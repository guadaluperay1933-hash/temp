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08  经营管理客户\待办工作\9.10  庆文9月台账\09  发票\"/>
    </mc:Choice>
  </mc:AlternateContent>
  <bookViews>
    <workbookView windowWidth="19200" windowHeight="7000" tabRatio="829" activeTab="2"/>
  </bookViews>
  <sheets>
    <sheet name="目录" sheetId="13" r:id="rId1"/>
    <sheet name="发票统计" sheetId="2" r:id="rId2"/>
    <sheet name="蒲吕片区A段" sheetId="15" r:id="rId3"/>
    <sheet name="淮阳站阳高线" sheetId="12" r:id="rId4"/>
    <sheet name="合川表计" sheetId="8" r:id="rId5"/>
    <sheet name="云龙社区" sheetId="10" r:id="rId6"/>
    <sheet name="铜城2回、玉璟尚线、铁井一回、淮拦线4" sheetId="4" r:id="rId7"/>
    <sheet name="合川瑞翔" sheetId="14" r:id="rId8"/>
  </sheets>
  <definedNames>
    <definedName name="_xlnm._FilterDatabase" localSheetId="1" hidden="1">发票统计!$A$2:$U$98</definedName>
    <definedName name="_xlnm._FilterDatabase" localSheetId="2" hidden="1">蒲吕片区A段!$A$2:$V$36</definedName>
    <definedName name="_xlnm._FilterDatabase" localSheetId="3" hidden="1">淮阳站阳高线!$A$2:$V$36</definedName>
    <definedName name="_xlnm._FilterDatabase" localSheetId="4" hidden="1">合川表计!$A$2:$U$48</definedName>
    <definedName name="_xlnm._FilterDatabase" localSheetId="5" hidden="1">云龙社区!$A$2:$V$36</definedName>
    <definedName name="_xlnm._FilterDatabase" localSheetId="6" hidden="1">铜城2回、玉璟尚线、铁井一回、淮拦线4!$A$2:$U$83</definedName>
    <definedName name="_xlnm._FilterDatabase" localSheetId="7" hidden="1">合川瑞翔!$A$2:$V$36</definedName>
  </definedNames>
  <calcPr calcId="191029" iterate="1" iterateCount="1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<sst xmlns="http://schemas.openxmlformats.org/spreadsheetml/2006/main" count="437" uniqueCount="141">
  <si>
    <t xml:space="preserve">项目目录 </t>
  </si>
  <si>
    <t>序号</t>
  </si>
  <si>
    <t>项目名称</t>
  </si>
  <si>
    <t>项目简称</t>
  </si>
  <si>
    <t>备注</t>
  </si>
  <si>
    <t>重庆铜梁110kV淮阳站阳高线10kV配套送出工程（安装）</t>
  </si>
  <si>
    <t>淮阳站阳高线</t>
  </si>
  <si>
    <t>重庆市合川区云门街道云龙社区居民委员会(铁工厂还房建设项目)高压新装用电工程</t>
  </si>
  <si>
    <t>云龙社区</t>
  </si>
  <si>
    <t>高新区厂房及配套设施提质改造项目开票到瑞翔厂区电力土建(管廊)建设工程</t>
  </si>
  <si>
    <t>合川瑞翔</t>
  </si>
  <si>
    <t>重庆铜梁铜城2回金龙物业管理有限公司10kV业扩配套工程</t>
  </si>
  <si>
    <t>铜城2回、玉璟尚线、铁井一回、淮拦线4</t>
  </si>
  <si>
    <t>重庆铜梁玉璟尚线金龙物业管理有限公司10kV业扩配套工程</t>
  </si>
  <si>
    <t>重庆铜梁铁井一回1#环网柜等6个10kV老旧环网柜改造工程(安装)</t>
  </si>
  <si>
    <t>重庆铜梁淮拦线4#环网柜等6个10kV老旧环网柜改造工程（安装）</t>
  </si>
  <si>
    <t>国网重庆合川供电公司2026年用电信息采集系统建筑相关工程施工(包4)</t>
  </si>
  <si>
    <t>合川表计</t>
  </si>
  <si>
    <t>铜梁区园区屋顶分布式光伏发电建设项目-蒲吕片区A段10千伏电力新建工程</t>
  </si>
  <si>
    <t>蒲吕片区A段</t>
  </si>
  <si>
    <t>项目总台账</t>
  </si>
  <si>
    <t>项目
简称</t>
  </si>
  <si>
    <t>月份</t>
  </si>
  <si>
    <t>项目
名称</t>
  </si>
  <si>
    <t>摘要</t>
  </si>
  <si>
    <t>收票
单位</t>
  </si>
  <si>
    <t>发票
性质</t>
  </si>
  <si>
    <t>管理
费点</t>
  </si>
  <si>
    <t>销售金额</t>
  </si>
  <si>
    <t>管理费</t>
  </si>
  <si>
    <t>应开
成本票</t>
  </si>
  <si>
    <t>已开
成本票</t>
  </si>
  <si>
    <t>未开
成本票</t>
  </si>
  <si>
    <t>应收款</t>
  </si>
  <si>
    <t>质保金</t>
  </si>
  <si>
    <t>已收款</t>
  </si>
  <si>
    <t>未收款</t>
  </si>
  <si>
    <t>应付
工程款</t>
  </si>
  <si>
    <t>扣除
管理费</t>
  </si>
  <si>
    <t>已付
工程款</t>
  </si>
  <si>
    <t>未付
工程款</t>
  </si>
  <si>
    <t>2026.3.25新德润开票到民能：淮阳站阳高线</t>
  </si>
  <si>
    <t>民能</t>
  </si>
  <si>
    <t>3%专票</t>
  </si>
  <si>
    <t>2026.3.25张氏机电-新德润：淮阳站阳高线</t>
  </si>
  <si>
    <t>新德润</t>
  </si>
  <si>
    <t>2026.4.28庆文开票给新德润：云龙社区居民委员会</t>
  </si>
  <si>
    <t>2026.4.30莨富收到新德润款项：云龙社区居民委员会</t>
  </si>
  <si>
    <t>2026.5.7庆文开票给新德润：云龙社区居民委员会</t>
  </si>
  <si>
    <t>2026.5.13庆文公账收到新德润款项：云龙社区居民委员会</t>
  </si>
  <si>
    <t>2026.6.17庆文开票给新德润：瑞翔厂区电力土建</t>
  </si>
  <si>
    <t>1%专票</t>
  </si>
  <si>
    <t>2026.6.18庆文收到新德润打款：瑞翔厂区电力</t>
  </si>
  <si>
    <t>2026.7.2朱氏水泥管件开票到新德润：瑞翔厂区电力土建</t>
  </si>
  <si>
    <t>1%普票</t>
  </si>
  <si>
    <t>2026.7.6朱氏水泥管收到新德润：瑞翔厂区电力</t>
  </si>
  <si>
    <t>2026.7.8庆文开票给新德润：瑞翔厂区电力土建</t>
  </si>
  <si>
    <t>2026.7.9庆文收到新德润打款：瑞翔厂区电力</t>
  </si>
  <si>
    <t>2026.7.8铜桐桐建材开票到新德润：瑞翔厂区电力土建</t>
  </si>
  <si>
    <t>2026.7.7号收到新德润打款给胡崇文：瑞翔厂区电力</t>
  </si>
  <si>
    <t>2026.7.13小溪建材开票到新德润：瑞翔厂区电力土建</t>
  </si>
  <si>
    <t>13%专票</t>
  </si>
  <si>
    <t>2026.7.15小溪建材收到新德润打款：瑞翔厂区电力</t>
  </si>
  <si>
    <t>2026.7.13旭承机械开票到新德润：瑞翔厂区电力土建</t>
  </si>
  <si>
    <t>2026.7.15旭承机械收到新德润打款：瑞翔厂区电力土建</t>
  </si>
  <si>
    <t>2026.7.14凯樽物资开票到新德润：瑞翔厂区电力土建</t>
  </si>
  <si>
    <t>2026.7.15凯樽物资收到新德润打款：瑞翔厂区电力土建</t>
  </si>
  <si>
    <t>2026.9.14新德润代胡崇文支付宜宾翠屏货款：42800-39473.83=3326.17</t>
  </si>
  <si>
    <t>2026.6.24新德润开票民能：铜城2回，10%管理费</t>
  </si>
  <si>
    <t>2026.6.24新德润开票民能：玉璟尚线，10%管理费</t>
  </si>
  <si>
    <t>2026.6.24新德润开票民能：铁井一回1#环网柜，10%管理费</t>
  </si>
  <si>
    <t>2026.6.24新德润开票民能：淮拦线4#环网柜，10%管理费</t>
  </si>
  <si>
    <t>2026.6.23桐桐建材开票到新德润：淮拦、铁井、玉璟、铜城2回</t>
  </si>
  <si>
    <t>2026.6.24宜宾翠屏开票到新德润淮：淮拦、铁井、玉璟、铜城2回</t>
  </si>
  <si>
    <t>2026.9.14新德润扣8月民能农民工工资个税</t>
  </si>
  <si>
    <t>2026.9.14新德润扣8月民能农民工工资：铁井一回1</t>
  </si>
  <si>
    <t>2026.9.14新德润扣8月民能农民工工资：淮拦线4</t>
  </si>
  <si>
    <t>2026.9.14新德润扣8月民能农民工工资：铜城2回</t>
  </si>
  <si>
    <t>2026.9.14新德润扣8月民能农民工工资：玉璟尚线</t>
  </si>
  <si>
    <t>2026.9.14新德润扣工资残保金1.5%</t>
  </si>
  <si>
    <t>2026.9.14新德润扣增值税3541.69，附加税425，印花税72.96</t>
  </si>
  <si>
    <t>2026.9.14新德润扣管理费</t>
  </si>
  <si>
    <t>2026.6.1张氏机电开票到新德润：合川表计项目</t>
  </si>
  <si>
    <t>2026.7.28冷氏五金开票到众聚能：合川表计项目</t>
  </si>
  <si>
    <t>众聚能</t>
  </si>
  <si>
    <t>3%普票</t>
  </si>
  <si>
    <t>2026.6.5张氏机电收到新德润转款：合川表计项目</t>
  </si>
  <si>
    <t>2026.7.31陈小琴（冷氏五金开）收到新德润打款：合川表计项目</t>
  </si>
  <si>
    <t>2026.8.21工资表给众聚能挂账：合川表计项目</t>
  </si>
  <si>
    <t>2026.8.21众聚能代付工资：合川表计项目</t>
  </si>
  <si>
    <t>2026.8.21工资表给腾泰挂账：合川表计项目</t>
  </si>
  <si>
    <t>腾泰</t>
  </si>
  <si>
    <t>2026.8.21腾泰代付工资：合川表计项目</t>
  </si>
  <si>
    <t>2026.9.14进源开给润德427712.65，提交15万工资（进源部分人工）：合川表计项目</t>
  </si>
  <si>
    <t>润德</t>
  </si>
  <si>
    <t>2026.9.21维维对账提交腾泰工资：合川表计项目</t>
  </si>
  <si>
    <t>2026.9.21何燕反馈提交10W工资表</t>
  </si>
  <si>
    <t>2026.9.21小温提供表计工资表给众聚能何燕挂账</t>
  </si>
  <si>
    <t>2026.5.6/5.23代付合川表计工资</t>
  </si>
  <si>
    <t>2026.5.14伍勇军借支</t>
  </si>
  <si>
    <t>2026.5.27伍勇军借支</t>
  </si>
  <si>
    <t>2026.6.8代付合川表计工资</t>
  </si>
  <si>
    <t>2026.6.18/6.30代付合川表计工资</t>
  </si>
  <si>
    <t>2026.7.2代付伍建华合川表计工资</t>
  </si>
  <si>
    <t>2026.7.9代付伍建华合川表计工资</t>
  </si>
  <si>
    <t>2026.7.13代付伍建华合川表计工资</t>
  </si>
  <si>
    <t>2026.7.25代付伍建华合川表计工资</t>
  </si>
  <si>
    <t>2026.7.31支付伍建华合川表计工资</t>
  </si>
  <si>
    <t>2026.8.1支付伍建劳表计费用</t>
  </si>
  <si>
    <t>2026.8.6支付合川工资</t>
  </si>
  <si>
    <t>2026.8.14支付伍建劳表计费用</t>
  </si>
  <si>
    <t>2026.8.20支付合川工资</t>
  </si>
  <si>
    <t>2026.8.24支付合川工资</t>
  </si>
  <si>
    <t>2026.6.9陈庆奎银付：转伍建华预支工资</t>
  </si>
  <si>
    <t>2026.7.11陈庆奎银付：转伍建华预支工资</t>
  </si>
  <si>
    <t>2026.7.6陈庆奎银付：转伍建华预支工资</t>
  </si>
  <si>
    <t>2026.8.21陈庆奎银付：转伍建华</t>
  </si>
  <si>
    <t>2026.8.24陈庆奎银付：陈庆奎转向祥红合川表计工资</t>
  </si>
  <si>
    <t>2026.8.24陈庆奎银付：陈庆奎转刘姜龙合川表计工资</t>
  </si>
  <si>
    <t>2026.8.24陈庆奎银付：陈庆奎转邹招财合川表计工资</t>
  </si>
  <si>
    <t>2026.8.24陈庆奎银付：陈庆奎转张纯军合川表计工资</t>
  </si>
  <si>
    <t>2026.8.24陈庆奎银付：陈庆奎转杨林合川表计工资</t>
  </si>
  <si>
    <t>2026.8.24陈庆奎银付：陈庆奎转陈旺合川表计工资</t>
  </si>
  <si>
    <t>2026.8.25陈庆奎银付：陈庆奎转屈建军合川表计工资</t>
  </si>
  <si>
    <t>2026.8.25陈庆奎银付：陈庆奎转罗东勤合川表计工资</t>
  </si>
  <si>
    <t>2026.8.25陈庆奎银付：陈庆奎转廖刚合川表计工资</t>
  </si>
  <si>
    <t>2026.8.25陈庆奎银付：陈庆奎转李丙菊合川表计工资</t>
  </si>
  <si>
    <t>2026.9.22胡崇文支付表计工资</t>
  </si>
  <si>
    <t>2026.2.9新德润开9%专票到民能：蒲吕片区A段10千伏电力新建</t>
  </si>
  <si>
    <t>9%专票</t>
  </si>
  <si>
    <t>2026.9.1扣15%管理费</t>
  </si>
  <si>
    <t>2026.9.1确认前期收到代发工资</t>
  </si>
  <si>
    <t>2026.9.1确认扣9%增值税29253.77，附加科3510.45，印花税212.58，合计32976.8</t>
  </si>
  <si>
    <t>2026.9.1扣残保金20W*1.5%</t>
  </si>
  <si>
    <t>2026.9.1扣个税</t>
  </si>
  <si>
    <t>2026.9.1质保金354295.65*3%</t>
  </si>
  <si>
    <t>2026.9.4新德润开9%专票到民能：蒲吕片区A段10千伏电力新建</t>
  </si>
  <si>
    <t>对账
单位</t>
  </si>
  <si>
    <t>合川表计项目</t>
  </si>
  <si>
    <t>扣质保金</t>
  </si>
  <si>
    <t>云门街道云龙社区居民委员会(铁工厂还房建设项目)高压新装用电工程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</si>
</sst>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4"/>
      <color theme="1"/>
      <name val="微软雅黑"/>
      <charset val="134"/>
    </font>
    <font>
      <b/>
      <sz val="11"/>
      <color theme="0"/>
      <name val="微软雅黑"/>
      <charset val="134"/>
    </font>
    <font>
      <sz val="24"/>
      <color theme="1"/>
      <name val="微软雅黑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8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0" fillId="12" borderId="5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6">
      <alignment vertical="center"/>
    </xf>
    <xf numFmtId="0" fontId="11" fillId="0" borderId="6">
      <alignment vertical="center"/>
    </xf>
    <xf numFmtId="0" fontId="12" fillId="0" borderId="7">
      <alignment vertical="center"/>
    </xf>
    <xf numFmtId="0" fontId="12" fillId="0" borderId="0">
      <alignment vertical="center"/>
    </xf>
    <xf numFmtId="0" fontId="13" fillId="13" borderId="8">
      <alignment vertical="center"/>
    </xf>
    <xf numFmtId="0" fontId="14" fillId="14" borderId="9">
      <alignment vertical="center"/>
    </xf>
    <xf numFmtId="0" fontId="15" fillId="14" borderId="8">
      <alignment vertical="center"/>
    </xf>
    <xf numFmtId="0" fontId="16" fillId="15" borderId="10">
      <alignment vertical="center"/>
    </xf>
    <xf numFmtId="0" fontId="17" fillId="0" borderId="11">
      <alignment vertical="center"/>
    </xf>
    <xf numFmtId="0" fontId="18" fillId="0" borderId="12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  <xf numFmtId="0" fontId="22" fillId="35" borderId="0">
      <alignment vertical="center"/>
    </xf>
    <xf numFmtId="0" fontId="23" fillId="36" borderId="0">
      <alignment vertical="center"/>
    </xf>
    <xf numFmtId="0" fontId="23" fillId="37" borderId="0">
      <alignment vertical="center"/>
    </xf>
    <xf numFmtId="0" fontId="22" fillId="38" borderId="0">
      <alignment vertical="center"/>
    </xf>
    <xf numFmtId="0" fontId="22" fillId="39" borderId="0">
      <alignment vertical="center"/>
    </xf>
    <xf numFmtId="0" fontId="23" fillId="40" borderId="0">
      <alignment vertical="center"/>
    </xf>
    <xf numFmtId="0" fontId="23" fillId="41" borderId="0">
      <alignment vertical="center"/>
    </xf>
    <xf numFmtId="0" fontId="22" fillId="42" borderId="0">
      <alignment vertical="center"/>
    </xf>
  </cellStyleXfs>
  <cellXfs count="58"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176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9" fontId="3" fillId="2" borderId="2" xfId="0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9" fontId="3" fillId="2" borderId="3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176" fontId="1" fillId="0" borderId="4" xfId="0" applyNumberFormat="1" applyFont="1" applyBorder="1" applyAlignment="1">
      <alignment vertical="center"/>
    </xf>
    <xf numFmtId="9" fontId="1" fillId="0" borderId="4" xfId="0" applyNumberFormat="1" applyFont="1" applyBorder="1" applyAlignment="1">
      <alignment vertical="center"/>
    </xf>
    <xf numFmtId="43" fontId="1" fillId="0" borderId="4" xfId="0" applyNumberFormat="1" applyFont="1" applyBorder="1" applyAlignment="1">
      <alignment vertical="center"/>
    </xf>
    <xf numFmtId="176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3" fontId="1" fillId="0" borderId="4" xfId="0" applyNumberFormat="1" applyFont="1" applyBorder="1" applyAlignment="1">
      <alignment horizontal="center" vertical="center"/>
    </xf>
    <xf numFmtId="43" fontId="1" fillId="3" borderId="4" xfId="0" applyNumberFormat="1" applyFont="1" applyFill="1" applyBorder="1" applyAlignme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4" borderId="4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 wrapText="1"/>
    </xf>
    <xf numFmtId="9" fontId="1" fillId="4" borderId="4" xfId="0" applyNumberFormat="1" applyFont="1" applyFill="1" applyBorder="1" applyAlignment="1">
      <alignment vertical="center" wrapText="1"/>
    </xf>
    <xf numFmtId="43" fontId="1" fillId="5" borderId="4" xfId="0" applyNumberFormat="1" applyFont="1" applyFill="1" applyBorder="1" applyAlignment="1">
      <alignment vertical="center" wrapText="1"/>
    </xf>
    <xf numFmtId="43" fontId="1" fillId="6" borderId="4" xfId="0" applyNumberFormat="1" applyFont="1" applyFill="1" applyBorder="1" applyAlignment="1">
      <alignment vertical="center" wrapText="1"/>
    </xf>
    <xf numFmtId="43" fontId="1" fillId="7" borderId="4" xfId="0" applyNumberFormat="1" applyFont="1" applyFill="1" applyBorder="1" applyAlignment="1">
      <alignment vertical="center" wrapText="1"/>
    </xf>
    <xf numFmtId="43" fontId="1" fillId="0" borderId="4" xfId="0" applyNumberFormat="1" applyFont="1" applyBorder="1" applyAlignment="1">
      <alignment vertical="center" wrapText="1"/>
    </xf>
    <xf numFmtId="43" fontId="1" fillId="8" borderId="4" xfId="0" applyNumberFormat="1" applyFont="1" applyFill="1" applyBorder="1" applyAlignment="1">
      <alignment vertical="center" wrapText="1"/>
    </xf>
    <xf numFmtId="0" fontId="1" fillId="9" borderId="4" xfId="0" applyFont="1" applyFill="1" applyBorder="1" applyAlignment="1">
      <alignment horizontal="left" vertical="center"/>
    </xf>
    <xf numFmtId="0" fontId="1" fillId="9" borderId="4" xfId="0" applyFont="1" applyFill="1" applyBorder="1" applyAlignment="1">
      <alignment horizontal="left" vertical="center" wrapText="1"/>
    </xf>
    <xf numFmtId="0" fontId="1" fillId="9" borderId="4" xfId="0" applyFont="1" applyFill="1" applyBorder="1" applyAlignment="1">
      <alignment vertical="center"/>
    </xf>
    <xf numFmtId="0" fontId="1" fillId="9" borderId="4" xfId="0" applyFont="1" applyFill="1" applyBorder="1" applyAlignment="1">
      <alignment vertical="center" wrapText="1"/>
    </xf>
    <xf numFmtId="9" fontId="1" fillId="9" borderId="4" xfId="0" applyNumberFormat="1" applyFont="1" applyFill="1" applyBorder="1" applyAlignment="1">
      <alignment vertical="center" wrapText="1"/>
    </xf>
    <xf numFmtId="0" fontId="1" fillId="10" borderId="4" xfId="0" applyFont="1" applyFill="1" applyBorder="1" applyAlignment="1">
      <alignment horizontal="left" vertical="center"/>
    </xf>
    <xf numFmtId="0" fontId="1" fillId="10" borderId="4" xfId="0" applyFont="1" applyFill="1" applyBorder="1" applyAlignment="1">
      <alignment horizontal="left" vertical="center" wrapText="1"/>
    </xf>
    <xf numFmtId="0" fontId="1" fillId="10" borderId="4" xfId="0" applyFont="1" applyFill="1" applyBorder="1" applyAlignment="1">
      <alignment vertical="center"/>
    </xf>
    <xf numFmtId="0" fontId="1" fillId="10" borderId="4" xfId="0" applyFont="1" applyFill="1" applyBorder="1" applyAlignment="1">
      <alignment vertical="center" wrapText="1"/>
    </xf>
    <xf numFmtId="9" fontId="1" fillId="10" borderId="4" xfId="0" applyNumberFormat="1" applyFont="1" applyFill="1" applyBorder="1" applyAlignment="1">
      <alignment vertical="center" wrapText="1"/>
    </xf>
    <xf numFmtId="0" fontId="1" fillId="6" borderId="4" xfId="0" applyFont="1" applyFill="1" applyBorder="1" applyAlignment="1">
      <alignment horizontal="left" vertical="center"/>
    </xf>
    <xf numFmtId="0" fontId="1" fillId="6" borderId="4" xfId="0" applyFont="1" applyFill="1" applyBorder="1" applyAlignment="1">
      <alignment horizontal="left" vertical="center" wrapText="1"/>
    </xf>
    <xf numFmtId="0" fontId="1" fillId="6" borderId="4" xfId="0" applyFont="1" applyFill="1" applyBorder="1" applyAlignment="1">
      <alignment vertical="center"/>
    </xf>
    <xf numFmtId="0" fontId="1" fillId="6" borderId="4" xfId="0" applyFont="1" applyFill="1" applyBorder="1" applyAlignment="1">
      <alignment vertical="center" wrapText="1"/>
    </xf>
    <xf numFmtId="9" fontId="1" fillId="6" borderId="4" xfId="0" applyNumberFormat="1" applyFont="1" applyFill="1" applyBorder="1" applyAlignment="1">
      <alignment vertical="center" wrapText="1"/>
    </xf>
    <xf numFmtId="0" fontId="1" fillId="11" borderId="4" xfId="0" applyFont="1" applyFill="1" applyBorder="1" applyAlignment="1">
      <alignment vertical="center" wrapText="1"/>
    </xf>
    <xf numFmtId="43" fontId="1" fillId="3" borderId="4" xfId="0" applyNumberFormat="1" applyFont="1" applyFill="1" applyBorder="1" applyAlignment="1">
      <alignment vertical="center" wrapText="1"/>
    </xf>
    <xf numFmtId="9" fontId="1" fillId="6" borderId="4" xfId="0" applyNumberFormat="1" applyFont="1" applyFill="1" applyBorder="1" applyAlignment="1">
      <alignment vertical="center"/>
    </xf>
    <xf numFmtId="43" fontId="1" fillId="6" borderId="4" xfId="0" applyNumberFormat="1" applyFont="1" applyFill="1" applyBorder="1" applyAlignment="1">
      <alignment vertical="center"/>
    </xf>
    <xf numFmtId="43" fontId="1" fillId="7" borderId="4" xfId="0" applyNumberFormat="1" applyFont="1" applyFill="1" applyBorder="1" applyAlignment="1">
      <alignment vertical="center"/>
    </xf>
    <xf numFmtId="43" fontId="1" fillId="8" borderId="4" xfId="0" applyNumberFormat="1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4" xfId="6" applyFont="1" applyBorder="1">
      <alignment vertical="center"/>
    </xf>
    <xf numFmtId="0" fontId="6" fillId="0" borderId="4" xfId="6" applyBorder="1">
      <alignment vertical="center"/>
    </xf>
    <xf numFmtId="0" fontId="5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C10" sqref="C10"/>
    </sheetView>
  </sheetViews>
  <sheetFormatPr defaultColWidth="8.72727272727273" defaultRowHeight="16.5" outlineLevelCol="3"/>
  <cols>
    <col min="1" max="1" width="5.72727272727273" style="2" customWidth="1"/>
    <col min="2" max="2" width="10.0909090909091" style="2" customWidth="1"/>
    <col min="3" max="3" width="46.5454545454545" style="2" customWidth="1"/>
    <col min="4" max="4" width="22.0909090909091" style="2" customWidth="1"/>
    <col min="5" max="16384" width="8.72727272727273" style="2"/>
  </cols>
  <sheetData>
    <row r="1" spans="1:4">
      <c r="A1" s="54" t="s">
        <v>0</v>
      </c>
      <c r="B1" s="54"/>
      <c r="C1" s="54"/>
      <c r="D1" s="54"/>
    </row>
    <row r="2" spans="1:4">
      <c r="A2" s="13" t="s">
        <v>1</v>
      </c>
      <c r="B2" s="13" t="s">
        <v>2</v>
      </c>
      <c r="C2" s="13" t="s">
        <v>3</v>
      </c>
      <c r="D2" s="13" t="s">
        <v>4</v>
      </c>
    </row>
    <row r="3" spans="1:4">
      <c r="A3" s="13">
        <v>1</v>
      </c>
      <c r="B3" s="13" t="s">
        <v>5</v>
      </c>
      <c r="C3" s="55" t="s">
        <v>6</v>
      </c>
      <c r="D3" s="13"/>
    </row>
    <row r="4" spans="1:4">
      <c r="A4" s="13">
        <v>2</v>
      </c>
      <c r="B4" s="13" t="s">
        <v>7</v>
      </c>
      <c r="C4" s="55" t="s">
        <v>8</v>
      </c>
      <c r="D4" s="13"/>
    </row>
    <row r="5" spans="1:4">
      <c r="A5" s="13">
        <v>3</v>
      </c>
      <c r="B5" s="13" t="s">
        <v>9</v>
      </c>
      <c r="C5" s="55" t="s">
        <v>10</v>
      </c>
      <c r="D5" s="13"/>
    </row>
    <row r="6" spans="1:4">
      <c r="A6" s="13">
        <v>4</v>
      </c>
      <c r="B6" s="13" t="s">
        <v>11</v>
      </c>
      <c r="C6" s="55" t="s">
        <v>12</v>
      </c>
      <c r="D6" s="13"/>
    </row>
    <row r="7" spans="1:4">
      <c r="A7" s="13">
        <v>5</v>
      </c>
      <c r="B7" s="13" t="s">
        <v>13</v>
      </c>
      <c r="C7" s="56" t="s">
        <v>12</v>
      </c>
      <c r="D7" s="13"/>
    </row>
    <row r="8" spans="1:4">
      <c r="A8" s="13">
        <v>6</v>
      </c>
      <c r="B8" s="13" t="s">
        <v>14</v>
      </c>
      <c r="C8" s="56" t="s">
        <v>12</v>
      </c>
      <c r="D8" s="13"/>
    </row>
    <row r="9" spans="1:4">
      <c r="A9" s="13">
        <v>7</v>
      </c>
      <c r="B9" s="13" t="s">
        <v>15</v>
      </c>
      <c r="C9" s="56" t="s">
        <v>12</v>
      </c>
      <c r="D9" s="13"/>
    </row>
    <row r="10" spans="1:4">
      <c r="A10" s="13">
        <v>8</v>
      </c>
      <c r="B10" s="13" t="s">
        <v>16</v>
      </c>
      <c r="C10" s="55" t="s">
        <v>17</v>
      </c>
      <c r="D10" s="13"/>
    </row>
    <row r="11" spans="1:4">
      <c r="A11" s="13">
        <v>9</v>
      </c>
      <c r="B11" s="13" t="s">
        <v>18</v>
      </c>
      <c r="C11" s="57" t="s">
        <v>19</v>
      </c>
      <c r="D11" s="13"/>
    </row>
    <row r="12" spans="1:4">
      <c r="A12" s="13"/>
      <c r="B12" s="13"/>
      <c r="C12" s="13"/>
      <c r="D12" s="13"/>
    </row>
    <row r="13" spans="1:4">
      <c r="A13" s="13"/>
      <c r="B13" s="13"/>
      <c r="C13" s="13"/>
      <c r="D13" s="13"/>
    </row>
    <row r="14" spans="1:4">
      <c r="A14" s="13"/>
      <c r="B14" s="13"/>
      <c r="C14" s="13"/>
      <c r="D14" s="13"/>
    </row>
    <row r="15" spans="1:4">
      <c r="A15" s="13">
        <v>13</v>
      </c>
      <c r="B15" s="13"/>
      <c r="C15" s="13"/>
      <c r="D15" s="13"/>
    </row>
    <row r="16" spans="1:4">
      <c r="A16" s="13">
        <v>14</v>
      </c>
      <c r="B16" s="13"/>
      <c r="C16" s="13"/>
      <c r="D16" s="13"/>
    </row>
    <row r="17" spans="1:4">
      <c r="A17" s="13">
        <v>15</v>
      </c>
      <c r="B17" s="13"/>
      <c r="C17" s="13"/>
      <c r="D17" s="13"/>
    </row>
    <row r="18" spans="1:4">
      <c r="A18" s="13">
        <v>16</v>
      </c>
      <c r="B18" s="13"/>
      <c r="C18" s="13"/>
      <c r="D18" s="13"/>
    </row>
    <row r="19" spans="1:4">
      <c r="A19" s="13">
        <v>17</v>
      </c>
      <c r="B19" s="13"/>
      <c r="C19" s="13"/>
      <c r="D19" s="13"/>
    </row>
    <row r="20" spans="1:4">
      <c r="A20" s="13">
        <v>18</v>
      </c>
      <c r="B20" s="13"/>
      <c r="C20" s="13"/>
      <c r="D20" s="13"/>
    </row>
    <row r="21" spans="1:4">
      <c r="A21" s="13">
        <v>19</v>
      </c>
      <c r="B21" s="13"/>
      <c r="C21" s="13"/>
      <c r="D21" s="13"/>
    </row>
    <row r="22" spans="1:4">
      <c r="A22" s="13">
        <v>20</v>
      </c>
      <c r="B22" s="13"/>
      <c r="C22" s="13"/>
      <c r="D22" s="13"/>
    </row>
  </sheetData>
  <mergeCells count="1">
    <mergeCell ref="A1:D1"/>
  </mergeCells>
  <hyperlinks>
    <hyperlink ref="C3" location="潍阳站阳高线!A1" display="淮阳站阳高线"/>
    <hyperlink ref="C4" location="云龙社区!A1" display="云龙社区"/>
    <hyperlink ref="C5" location="合川瑞翔!A1" display="合川瑞翔"/>
    <hyperlink ref="C6" location="铜城2回、玉璟尚线、铁井一回、淮拦线4!A1" display="铜城2回、玉璟尚线、铁井一回、淮拦线4"/>
    <hyperlink ref="C10" location="合川表计!A1" display="合川表计"/>
    <hyperlink ref="C11" location="蒲吕片区A段!A1" display="蒲吕片区A段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8"/>
  <sheetViews>
    <sheetView zoomScale="85" zoomScaleNormal="85" topLeftCell="A13" workbookViewId="0">
      <selection activeCell="D4" sqref="D4:D5"/>
    </sheetView>
  </sheetViews>
  <sheetFormatPr defaultColWidth="10.2727272727273" defaultRowHeight="16.5"/>
  <cols>
    <col min="1" max="1" width="9.3" style="21" customWidth="1"/>
    <col min="2" max="2" width="5.77272727272727" style="21" customWidth="1"/>
    <col min="3" max="3" width="19.7909090909091" style="2" customWidth="1"/>
    <col min="4" max="4" width="61.4909090909091" style="2" customWidth="1"/>
    <col min="5" max="5" width="8.01818181818182" style="1" customWidth="1"/>
    <col min="6" max="6" width="9.63636363636364" style="1" customWidth="1"/>
    <col min="7" max="7" width="8.66363636363636" style="1" customWidth="1"/>
    <col min="8" max="8" width="16.9090909090909" style="1" customWidth="1"/>
    <col min="9" max="11" width="14.8181818181818" style="1" customWidth="1"/>
    <col min="12" max="12" width="16.9090909090909" style="1" customWidth="1"/>
    <col min="13" max="14" width="16.7818181818182" style="1" customWidth="1"/>
    <col min="15" max="17" width="14.8181818181818" style="1" customWidth="1"/>
    <col min="18" max="18" width="12" style="1" customWidth="1"/>
    <col min="19" max="19" width="13.4727272727273" style="1" customWidth="1"/>
    <col min="20" max="20" width="16" style="1" customWidth="1"/>
    <col min="21" max="21" width="13.4545454545455" style="1" customWidth="1"/>
    <col min="22" max="16379" width="10.2727272727273" style="1" customWidth="1"/>
    <col min="16380" max="16384" width="10.2727272727273" style="1"/>
  </cols>
  <sheetData>
    <row r="1" ht="48" customHeight="1" spans="1:21">
      <c r="A1" s="22" t="s">
        <v>20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</row>
    <row r="2" s="1" customFormat="1" ht="33" spans="1:21">
      <c r="A2" s="6" t="s">
        <v>21</v>
      </c>
      <c r="B2" s="6" t="s">
        <v>22</v>
      </c>
      <c r="C2" s="6" t="s">
        <v>23</v>
      </c>
      <c r="D2" s="6" t="s">
        <v>24</v>
      </c>
      <c r="E2" s="7" t="s">
        <v>25</v>
      </c>
      <c r="F2" s="7" t="s">
        <v>26</v>
      </c>
      <c r="G2" s="8" t="s">
        <v>27</v>
      </c>
      <c r="H2" s="9" t="s">
        <v>28</v>
      </c>
      <c r="I2" s="9" t="s">
        <v>29</v>
      </c>
      <c r="J2" s="9" t="s">
        <v>30</v>
      </c>
      <c r="K2" s="9" t="s">
        <v>31</v>
      </c>
      <c r="L2" s="9" t="s">
        <v>32</v>
      </c>
      <c r="M2" s="6" t="s">
        <v>33</v>
      </c>
      <c r="N2" s="6" t="s">
        <v>34</v>
      </c>
      <c r="O2" s="6" t="s">
        <v>35</v>
      </c>
      <c r="P2" s="6" t="s">
        <v>36</v>
      </c>
      <c r="Q2" s="6" t="s">
        <v>37</v>
      </c>
      <c r="R2" s="6" t="s">
        <v>38</v>
      </c>
      <c r="S2" s="6" t="s">
        <v>39</v>
      </c>
      <c r="T2" s="6" t="s">
        <v>40</v>
      </c>
      <c r="U2" s="6" t="s">
        <v>4</v>
      </c>
    </row>
    <row r="3" s="1" customFormat="1" spans="1:21">
      <c r="A3" s="6"/>
      <c r="B3" s="6"/>
      <c r="C3" s="10"/>
      <c r="D3" s="6"/>
      <c r="E3" s="11"/>
      <c r="F3" s="11"/>
      <c r="G3" s="12"/>
      <c r="H3" s="9">
        <f>SUM(H4:H318)</f>
        <v>2206559.16</v>
      </c>
      <c r="I3" s="9">
        <f>SUM(I4:I318)</f>
        <v>65304.1575</v>
      </c>
      <c r="J3" s="9">
        <f>SUM(J4:J318)</f>
        <v>2041255.0025</v>
      </c>
      <c r="K3" s="9">
        <f>SUM(K4:K318)</f>
        <v>2098816.7125</v>
      </c>
      <c r="L3" s="9">
        <f>J3-K3</f>
        <v>-57561.71</v>
      </c>
      <c r="M3" s="9">
        <f>SUM(M4:M318)</f>
        <v>2006559.16</v>
      </c>
      <c r="N3" s="9">
        <f>SUM(N4:N318)</f>
        <v>0</v>
      </c>
      <c r="O3" s="9">
        <f t="shared" ref="O3:U3" si="0">SUM(O4:O318)</f>
        <v>1500594.2475</v>
      </c>
      <c r="P3" s="9">
        <f>M3-O3</f>
        <v>505964.9125</v>
      </c>
      <c r="Q3" s="9">
        <f t="shared" si="0"/>
        <v>0</v>
      </c>
      <c r="R3" s="9">
        <f t="shared" si="0"/>
        <v>0</v>
      </c>
      <c r="S3" s="9">
        <f t="shared" si="0"/>
        <v>576643</v>
      </c>
      <c r="T3" s="9">
        <f t="shared" si="0"/>
        <v>-22480349</v>
      </c>
      <c r="U3" s="9">
        <f t="shared" si="0"/>
        <v>0</v>
      </c>
    </row>
    <row r="4" spans="1:21">
      <c r="A4" s="23" t="str">
        <f>IFERROR(VLOOKUP(C4,目录!B:C,2,0),"")</f>
        <v>淮阳站阳高线</v>
      </c>
      <c r="B4" s="24" t="str">
        <f t="shared" ref="B4:B24" si="1">MID(D4,FIND(".",D4)+1,FIND(".",D4,FIND(".",D4)+1)-FIND(".",D4)-1)&amp;"月"</f>
        <v>3月</v>
      </c>
      <c r="C4" s="25" t="s">
        <v>5</v>
      </c>
      <c r="D4" s="25" t="s">
        <v>41</v>
      </c>
      <c r="E4" s="26" t="s">
        <v>42</v>
      </c>
      <c r="F4" s="26" t="s">
        <v>43</v>
      </c>
      <c r="G4" s="27"/>
      <c r="H4" s="28">
        <v>57824</v>
      </c>
      <c r="I4" s="28">
        <f>H4*G4</f>
        <v>0</v>
      </c>
      <c r="J4" s="29">
        <f>H4-I4</f>
        <v>57824</v>
      </c>
      <c r="K4" s="29">
        <v>57824</v>
      </c>
      <c r="L4" s="29">
        <f>J4-K4</f>
        <v>0</v>
      </c>
      <c r="M4" s="30">
        <f>H4</f>
        <v>57824</v>
      </c>
      <c r="N4" s="30"/>
      <c r="O4" s="30"/>
      <c r="P4" s="30">
        <f>M4-O4-N4</f>
        <v>57824</v>
      </c>
      <c r="Q4" s="31"/>
      <c r="R4" s="32">
        <v>0</v>
      </c>
      <c r="S4" s="32">
        <v>0</v>
      </c>
      <c r="T4" s="32">
        <f>Q4-R4-S4</f>
        <v>0</v>
      </c>
      <c r="U4" s="32"/>
    </row>
    <row r="5" spans="1:21">
      <c r="A5" s="23" t="str">
        <f>IFERROR(VLOOKUP(C5,目录!B:C,2,0),"")</f>
        <v>淮阳站阳高线</v>
      </c>
      <c r="B5" s="24" t="str">
        <f t="shared" si="1"/>
        <v>3月</v>
      </c>
      <c r="C5" s="25" t="s">
        <v>5</v>
      </c>
      <c r="D5" s="25" t="s">
        <v>44</v>
      </c>
      <c r="E5" s="26" t="s">
        <v>45</v>
      </c>
      <c r="F5" s="26"/>
      <c r="G5" s="27"/>
      <c r="H5" s="28">
        <v>50120.61</v>
      </c>
      <c r="I5" s="28">
        <f>H5*G5</f>
        <v>0</v>
      </c>
      <c r="J5" s="29">
        <f>H5-I5</f>
        <v>50120.61</v>
      </c>
      <c r="K5" s="29">
        <v>50120.61</v>
      </c>
      <c r="L5" s="29">
        <f>L4+J5-K5</f>
        <v>0</v>
      </c>
      <c r="M5" s="30">
        <f>H5</f>
        <v>50120.61</v>
      </c>
      <c r="N5" s="30"/>
      <c r="O5" s="30"/>
      <c r="P5" s="30">
        <f>P4+M5-N5-O5</f>
        <v>107944.61</v>
      </c>
      <c r="Q5" s="31"/>
      <c r="R5" s="32"/>
      <c r="S5" s="32"/>
      <c r="T5" s="32">
        <f>T4+Q5-R5-S5</f>
        <v>0</v>
      </c>
      <c r="U5" s="32"/>
    </row>
    <row r="6" spans="1:21">
      <c r="A6" s="33" t="str">
        <f>IFERROR(VLOOKUP(C6,目录!B:C,2,0),"")</f>
        <v>云龙社区</v>
      </c>
      <c r="B6" s="34" t="str">
        <f t="shared" si="1"/>
        <v>4月</v>
      </c>
      <c r="C6" s="35" t="s">
        <v>7</v>
      </c>
      <c r="D6" s="35" t="s">
        <v>46</v>
      </c>
      <c r="E6" s="36" t="s">
        <v>45</v>
      </c>
      <c r="F6" s="36" t="s">
        <v>43</v>
      </c>
      <c r="G6" s="37"/>
      <c r="H6" s="28">
        <v>183486.24</v>
      </c>
      <c r="I6" s="28">
        <f>H6*G6</f>
        <v>0</v>
      </c>
      <c r="J6" s="29">
        <f>H6-I6</f>
        <v>183486.24</v>
      </c>
      <c r="K6" s="29">
        <v>183486.24</v>
      </c>
      <c r="L6" s="29">
        <f>L5+J6-K6</f>
        <v>0</v>
      </c>
      <c r="M6" s="30">
        <f>H6</f>
        <v>183486.24</v>
      </c>
      <c r="N6" s="30"/>
      <c r="O6" s="30"/>
      <c r="P6" s="30">
        <f t="shared" ref="P6:P45" si="2">P5+M6-N6-O6</f>
        <v>291430.85</v>
      </c>
      <c r="Q6" s="31"/>
      <c r="R6" s="32"/>
      <c r="S6" s="32"/>
      <c r="T6" s="32">
        <f t="shared" ref="T6:T49" si="3">T5+Q6-R6-S6</f>
        <v>0</v>
      </c>
      <c r="U6" s="32"/>
    </row>
    <row r="7" spans="1:21">
      <c r="A7" s="33" t="str">
        <f>IFERROR(VLOOKUP(C7,目录!B:C,2,0),"")</f>
        <v>云龙社区</v>
      </c>
      <c r="B7" s="34" t="str">
        <f t="shared" si="1"/>
        <v>4月</v>
      </c>
      <c r="C7" s="35" t="s">
        <v>7</v>
      </c>
      <c r="D7" s="35" t="s">
        <v>47</v>
      </c>
      <c r="E7" s="36" t="s">
        <v>45</v>
      </c>
      <c r="F7" s="36"/>
      <c r="G7" s="37"/>
      <c r="H7" s="28"/>
      <c r="I7" s="28"/>
      <c r="J7" s="29"/>
      <c r="K7" s="29"/>
      <c r="L7" s="29"/>
      <c r="M7" s="30"/>
      <c r="N7" s="30"/>
      <c r="O7" s="30">
        <v>183486.24</v>
      </c>
      <c r="P7" s="30">
        <f t="shared" si="2"/>
        <v>107944.61</v>
      </c>
      <c r="Q7" s="31"/>
      <c r="R7" s="32"/>
      <c r="S7" s="32"/>
      <c r="T7" s="32">
        <f t="shared" si="3"/>
        <v>0</v>
      </c>
      <c r="U7" s="32"/>
    </row>
    <row r="8" spans="1:21">
      <c r="A8" s="33" t="str">
        <f>IFERROR(VLOOKUP(C8,目录!B:C,2,0),"")</f>
        <v>云龙社区</v>
      </c>
      <c r="B8" s="34" t="str">
        <f t="shared" si="1"/>
        <v>5月</v>
      </c>
      <c r="C8" s="35" t="s">
        <v>7</v>
      </c>
      <c r="D8" s="35" t="s">
        <v>48</v>
      </c>
      <c r="E8" s="36" t="s">
        <v>45</v>
      </c>
      <c r="F8" s="36" t="s">
        <v>43</v>
      </c>
      <c r="G8" s="37"/>
      <c r="H8" s="28">
        <v>43774.56</v>
      </c>
      <c r="I8" s="28">
        <f>H8*G8</f>
        <v>0</v>
      </c>
      <c r="J8" s="29">
        <f>H8-I8</f>
        <v>43774.56</v>
      </c>
      <c r="K8" s="29">
        <v>43774.56</v>
      </c>
      <c r="L8" s="29">
        <f>L6+J8-K8</f>
        <v>0</v>
      </c>
      <c r="M8" s="30">
        <f t="shared" ref="M8:M44" si="4">H8</f>
        <v>43774.56</v>
      </c>
      <c r="N8" s="30"/>
      <c r="O8" s="30"/>
      <c r="P8" s="30">
        <f t="shared" si="2"/>
        <v>151719.17</v>
      </c>
      <c r="Q8" s="31"/>
      <c r="R8" s="32"/>
      <c r="S8" s="32"/>
      <c r="T8" s="32">
        <f t="shared" si="3"/>
        <v>0</v>
      </c>
      <c r="U8" s="32"/>
    </row>
    <row r="9" spans="1:21">
      <c r="A9" s="33" t="str">
        <f>IFERROR(VLOOKUP(C9,目录!B:C,2,0),"")</f>
        <v>云龙社区</v>
      </c>
      <c r="B9" s="34" t="str">
        <f t="shared" si="1"/>
        <v>5月</v>
      </c>
      <c r="C9" s="35" t="s">
        <v>7</v>
      </c>
      <c r="D9" s="35" t="s">
        <v>49</v>
      </c>
      <c r="E9" s="36" t="s">
        <v>45</v>
      </c>
      <c r="F9" s="36"/>
      <c r="G9" s="37"/>
      <c r="H9" s="28"/>
      <c r="I9" s="28"/>
      <c r="J9" s="29"/>
      <c r="K9" s="29"/>
      <c r="L9" s="29"/>
      <c r="M9" s="30">
        <f t="shared" si="4"/>
        <v>0</v>
      </c>
      <c r="N9" s="30"/>
      <c r="O9" s="30">
        <v>43774.56</v>
      </c>
      <c r="P9" s="30">
        <f t="shared" si="2"/>
        <v>107944.61</v>
      </c>
      <c r="Q9" s="31"/>
      <c r="R9" s="32"/>
      <c r="S9" s="32"/>
      <c r="T9" s="32">
        <f t="shared" si="3"/>
        <v>0</v>
      </c>
      <c r="U9" s="32"/>
    </row>
    <row r="10" spans="1:21">
      <c r="A10" s="38" t="str">
        <f>IFERROR(VLOOKUP(C10,目录!B:C,2,0),"")</f>
        <v>合川瑞翔</v>
      </c>
      <c r="B10" s="39" t="str">
        <f t="shared" si="1"/>
        <v>6月</v>
      </c>
      <c r="C10" s="40" t="s">
        <v>9</v>
      </c>
      <c r="D10" s="40" t="s">
        <v>50</v>
      </c>
      <c r="E10" s="41" t="s">
        <v>45</v>
      </c>
      <c r="F10" s="41" t="s">
        <v>51</v>
      </c>
      <c r="G10" s="42"/>
      <c r="H10" s="28">
        <v>100000</v>
      </c>
      <c r="I10" s="28">
        <f>H10*G10</f>
        <v>0</v>
      </c>
      <c r="J10" s="29">
        <f>H10-I10</f>
        <v>100000</v>
      </c>
      <c r="K10" s="29">
        <v>100000</v>
      </c>
      <c r="L10" s="29">
        <f>L6+J10-K10</f>
        <v>0</v>
      </c>
      <c r="M10" s="30">
        <f t="shared" si="4"/>
        <v>100000</v>
      </c>
      <c r="N10" s="30"/>
      <c r="O10" s="30"/>
      <c r="P10" s="30">
        <f t="shared" si="2"/>
        <v>207944.61</v>
      </c>
      <c r="Q10" s="31"/>
      <c r="R10" s="32"/>
      <c r="S10" s="32"/>
      <c r="T10" s="32">
        <f t="shared" si="3"/>
        <v>0</v>
      </c>
      <c r="U10" s="32"/>
    </row>
    <row r="11" spans="1:21">
      <c r="A11" s="38" t="str">
        <f>IFERROR(VLOOKUP(C11,目录!B:C,2,0),"")</f>
        <v>合川瑞翔</v>
      </c>
      <c r="B11" s="39" t="str">
        <f t="shared" si="1"/>
        <v>6月</v>
      </c>
      <c r="C11" s="40" t="s">
        <v>9</v>
      </c>
      <c r="D11" s="40" t="s">
        <v>52</v>
      </c>
      <c r="E11" s="41" t="s">
        <v>45</v>
      </c>
      <c r="F11" s="41"/>
      <c r="G11" s="42"/>
      <c r="H11" s="28"/>
      <c r="I11" s="28"/>
      <c r="J11" s="29"/>
      <c r="K11" s="29"/>
      <c r="L11" s="29">
        <f t="shared" ref="L10:L49" si="5">L10+J11-K11</f>
        <v>0</v>
      </c>
      <c r="M11" s="30">
        <f t="shared" si="4"/>
        <v>0</v>
      </c>
      <c r="N11" s="30"/>
      <c r="O11" s="30">
        <v>100000</v>
      </c>
      <c r="P11" s="30">
        <f t="shared" si="2"/>
        <v>107944.61</v>
      </c>
      <c r="Q11" s="31"/>
      <c r="R11" s="32"/>
      <c r="S11" s="32"/>
      <c r="T11" s="32">
        <f t="shared" si="3"/>
        <v>0</v>
      </c>
      <c r="U11" s="32"/>
    </row>
    <row r="12" spans="1:21">
      <c r="A12" s="38" t="str">
        <f>IFERROR(VLOOKUP(C12,目录!B:C,2,0),"")</f>
        <v>合川瑞翔</v>
      </c>
      <c r="B12" s="39" t="str">
        <f t="shared" si="1"/>
        <v>7月</v>
      </c>
      <c r="C12" s="40" t="s">
        <v>9</v>
      </c>
      <c r="D12" s="40" t="s">
        <v>53</v>
      </c>
      <c r="E12" s="41" t="s">
        <v>45</v>
      </c>
      <c r="F12" s="41" t="s">
        <v>54</v>
      </c>
      <c r="G12" s="42"/>
      <c r="H12" s="28">
        <v>50200</v>
      </c>
      <c r="I12" s="28">
        <f>H12*G12</f>
        <v>0</v>
      </c>
      <c r="J12" s="29">
        <f>H12-I12</f>
        <v>50200</v>
      </c>
      <c r="K12" s="29">
        <v>50200</v>
      </c>
      <c r="L12" s="29">
        <f t="shared" si="5"/>
        <v>0</v>
      </c>
      <c r="M12" s="30">
        <f t="shared" si="4"/>
        <v>50200</v>
      </c>
      <c r="N12" s="30"/>
      <c r="O12" s="30"/>
      <c r="P12" s="30">
        <f t="shared" si="2"/>
        <v>158144.61</v>
      </c>
      <c r="Q12" s="31"/>
      <c r="R12" s="32"/>
      <c r="S12" s="32"/>
      <c r="T12" s="32">
        <f t="shared" si="3"/>
        <v>0</v>
      </c>
      <c r="U12" s="32"/>
    </row>
    <row r="13" spans="1:21">
      <c r="A13" s="38" t="str">
        <f>IFERROR(VLOOKUP(C13,目录!B:C,2,0),"")</f>
        <v>合川瑞翔</v>
      </c>
      <c r="B13" s="39" t="str">
        <f t="shared" si="1"/>
        <v>7月</v>
      </c>
      <c r="C13" s="40" t="s">
        <v>9</v>
      </c>
      <c r="D13" s="40" t="s">
        <v>55</v>
      </c>
      <c r="E13" s="41" t="s">
        <v>45</v>
      </c>
      <c r="F13" s="41"/>
      <c r="G13" s="42"/>
      <c r="H13" s="28"/>
      <c r="I13" s="28"/>
      <c r="J13" s="29"/>
      <c r="K13" s="29"/>
      <c r="L13" s="29">
        <f t="shared" si="5"/>
        <v>0</v>
      </c>
      <c r="M13" s="30">
        <f t="shared" si="4"/>
        <v>0</v>
      </c>
      <c r="N13" s="30"/>
      <c r="O13" s="30">
        <v>50200</v>
      </c>
      <c r="P13" s="30">
        <f t="shared" si="2"/>
        <v>107944.61</v>
      </c>
      <c r="Q13" s="31"/>
      <c r="R13" s="32"/>
      <c r="S13" s="32"/>
      <c r="T13" s="32">
        <f t="shared" si="3"/>
        <v>0</v>
      </c>
      <c r="U13" s="32"/>
    </row>
    <row r="14" spans="1:21">
      <c r="A14" s="38" t="str">
        <f>IFERROR(VLOOKUP(C14,目录!B:C,2,0),"")</f>
        <v>合川瑞翔</v>
      </c>
      <c r="B14" s="39" t="str">
        <f t="shared" si="1"/>
        <v>7月</v>
      </c>
      <c r="C14" s="40" t="s">
        <v>9</v>
      </c>
      <c r="D14" s="40" t="s">
        <v>56</v>
      </c>
      <c r="E14" s="41" t="s">
        <v>45</v>
      </c>
      <c r="F14" s="41" t="s">
        <v>51</v>
      </c>
      <c r="G14" s="42"/>
      <c r="H14" s="28">
        <v>100000</v>
      </c>
      <c r="I14" s="28">
        <f>H14*G14</f>
        <v>0</v>
      </c>
      <c r="J14" s="29">
        <f>H14-I14</f>
        <v>100000</v>
      </c>
      <c r="K14" s="29">
        <v>100000</v>
      </c>
      <c r="L14" s="29">
        <f t="shared" si="5"/>
        <v>0</v>
      </c>
      <c r="M14" s="30">
        <f t="shared" si="4"/>
        <v>100000</v>
      </c>
      <c r="N14" s="30"/>
      <c r="O14" s="30"/>
      <c r="P14" s="30">
        <f t="shared" si="2"/>
        <v>207944.61</v>
      </c>
      <c r="Q14" s="31"/>
      <c r="R14" s="32"/>
      <c r="S14" s="32"/>
      <c r="T14" s="32">
        <f t="shared" si="3"/>
        <v>0</v>
      </c>
      <c r="U14" s="32"/>
    </row>
    <row r="15" spans="1:21">
      <c r="A15" s="38" t="str">
        <f>IFERROR(VLOOKUP(C15,目录!B:C,2,0),"")</f>
        <v>合川瑞翔</v>
      </c>
      <c r="B15" s="39" t="str">
        <f t="shared" si="1"/>
        <v>7月</v>
      </c>
      <c r="C15" s="40" t="s">
        <v>9</v>
      </c>
      <c r="D15" s="40" t="s">
        <v>57</v>
      </c>
      <c r="E15" s="41" t="s">
        <v>45</v>
      </c>
      <c r="F15" s="41"/>
      <c r="G15" s="42"/>
      <c r="H15" s="28"/>
      <c r="I15" s="28">
        <f>H15*G15</f>
        <v>0</v>
      </c>
      <c r="J15" s="29">
        <f>H15-I15</f>
        <v>0</v>
      </c>
      <c r="K15" s="29">
        <v>0</v>
      </c>
      <c r="L15" s="29">
        <f t="shared" si="5"/>
        <v>0</v>
      </c>
      <c r="M15" s="30">
        <f t="shared" si="4"/>
        <v>0</v>
      </c>
      <c r="N15" s="30"/>
      <c r="O15" s="30">
        <v>100000</v>
      </c>
      <c r="P15" s="30">
        <f t="shared" si="2"/>
        <v>107944.61</v>
      </c>
      <c r="Q15" s="31"/>
      <c r="R15" s="32"/>
      <c r="S15" s="32"/>
      <c r="T15" s="32">
        <f t="shared" si="3"/>
        <v>0</v>
      </c>
      <c r="U15" s="32"/>
    </row>
    <row r="16" spans="1:21">
      <c r="A16" s="38" t="str">
        <f>IFERROR(VLOOKUP(C16,目录!B:C,2,0),"")</f>
        <v>合川瑞翔</v>
      </c>
      <c r="B16" s="39" t="str">
        <f t="shared" si="1"/>
        <v>7月</v>
      </c>
      <c r="C16" s="40" t="s">
        <v>9</v>
      </c>
      <c r="D16" s="40" t="s">
        <v>58</v>
      </c>
      <c r="E16" s="41" t="s">
        <v>45</v>
      </c>
      <c r="F16" s="41" t="s">
        <v>54</v>
      </c>
      <c r="G16" s="42"/>
      <c r="H16" s="28">
        <v>49800</v>
      </c>
      <c r="I16" s="28">
        <f>H16*G16</f>
        <v>0</v>
      </c>
      <c r="J16" s="29">
        <f>H16-I16</f>
        <v>49800</v>
      </c>
      <c r="K16" s="29">
        <v>49800</v>
      </c>
      <c r="L16" s="29">
        <f t="shared" si="5"/>
        <v>0</v>
      </c>
      <c r="M16" s="30">
        <f t="shared" si="4"/>
        <v>49800</v>
      </c>
      <c r="N16" s="30"/>
      <c r="O16" s="30"/>
      <c r="P16" s="30">
        <f t="shared" si="2"/>
        <v>157744.61</v>
      </c>
      <c r="Q16" s="31"/>
      <c r="R16" s="32"/>
      <c r="S16" s="32"/>
      <c r="T16" s="32">
        <f t="shared" si="3"/>
        <v>0</v>
      </c>
      <c r="U16" s="32"/>
    </row>
    <row r="17" spans="1:21">
      <c r="A17" s="38" t="str">
        <f>IFERROR(VLOOKUP(C17,目录!B:C,2,0),"")</f>
        <v>合川瑞翔</v>
      </c>
      <c r="B17" s="39" t="str">
        <f t="shared" si="1"/>
        <v>7月</v>
      </c>
      <c r="C17" s="40" t="s">
        <v>9</v>
      </c>
      <c r="D17" s="40" t="s">
        <v>59</v>
      </c>
      <c r="E17" s="41" t="s">
        <v>45</v>
      </c>
      <c r="F17" s="41"/>
      <c r="G17" s="42"/>
      <c r="H17" s="28"/>
      <c r="I17" s="28">
        <f>H17*G17</f>
        <v>0</v>
      </c>
      <c r="J17" s="29">
        <f>H17-I17</f>
        <v>0</v>
      </c>
      <c r="K17" s="29">
        <v>0</v>
      </c>
      <c r="L17" s="29">
        <f t="shared" si="5"/>
        <v>0</v>
      </c>
      <c r="M17" s="30">
        <f t="shared" si="4"/>
        <v>0</v>
      </c>
      <c r="N17" s="30"/>
      <c r="O17" s="30">
        <v>49800</v>
      </c>
      <c r="P17" s="30">
        <f t="shared" si="2"/>
        <v>107944.61</v>
      </c>
      <c r="Q17" s="31"/>
      <c r="R17" s="32"/>
      <c r="S17" s="32"/>
      <c r="T17" s="32">
        <f t="shared" si="3"/>
        <v>0</v>
      </c>
      <c r="U17" s="32"/>
    </row>
    <row r="18" spans="1:21">
      <c r="A18" s="38" t="str">
        <f>IFERROR(VLOOKUP(C18,目录!B:C,2,0),"")</f>
        <v>合川瑞翔</v>
      </c>
      <c r="B18" s="39" t="str">
        <f t="shared" si="1"/>
        <v>7月</v>
      </c>
      <c r="C18" s="40" t="s">
        <v>9</v>
      </c>
      <c r="D18" s="40" t="s">
        <v>60</v>
      </c>
      <c r="E18" s="41" t="s">
        <v>45</v>
      </c>
      <c r="F18" s="41" t="s">
        <v>61</v>
      </c>
      <c r="G18" s="42"/>
      <c r="H18" s="28">
        <v>50220</v>
      </c>
      <c r="I18" s="28">
        <f>H18*G18</f>
        <v>0</v>
      </c>
      <c r="J18" s="29">
        <f>H18-I18</f>
        <v>50220</v>
      </c>
      <c r="K18" s="29">
        <v>50220</v>
      </c>
      <c r="L18" s="29">
        <f t="shared" si="5"/>
        <v>0</v>
      </c>
      <c r="M18" s="30">
        <f t="shared" si="4"/>
        <v>50220</v>
      </c>
      <c r="N18" s="30"/>
      <c r="O18" s="30"/>
      <c r="P18" s="30">
        <f t="shared" si="2"/>
        <v>158164.61</v>
      </c>
      <c r="Q18" s="31"/>
      <c r="R18" s="32"/>
      <c r="S18" s="32"/>
      <c r="T18" s="32">
        <f t="shared" si="3"/>
        <v>0</v>
      </c>
      <c r="U18" s="32"/>
    </row>
    <row r="19" spans="1:21">
      <c r="A19" s="38" t="str">
        <f>IFERROR(VLOOKUP(C19,目录!B:C,2,0),"")</f>
        <v>合川瑞翔</v>
      </c>
      <c r="B19" s="39" t="str">
        <f t="shared" si="1"/>
        <v>7月</v>
      </c>
      <c r="C19" s="40" t="s">
        <v>9</v>
      </c>
      <c r="D19" s="40" t="s">
        <v>62</v>
      </c>
      <c r="E19" s="41" t="s">
        <v>45</v>
      </c>
      <c r="F19" s="41"/>
      <c r="G19" s="42"/>
      <c r="H19" s="28"/>
      <c r="I19" s="28"/>
      <c r="J19" s="29"/>
      <c r="K19" s="29"/>
      <c r="L19" s="29">
        <f t="shared" si="5"/>
        <v>0</v>
      </c>
      <c r="M19" s="30">
        <f t="shared" si="4"/>
        <v>0</v>
      </c>
      <c r="N19" s="30"/>
      <c r="O19" s="30">
        <v>50220</v>
      </c>
      <c r="P19" s="30">
        <f t="shared" si="2"/>
        <v>107944.61</v>
      </c>
      <c r="Q19" s="31"/>
      <c r="R19" s="32"/>
      <c r="S19" s="32"/>
      <c r="T19" s="32">
        <f t="shared" si="3"/>
        <v>0</v>
      </c>
      <c r="U19" s="32"/>
    </row>
    <row r="20" spans="1:21">
      <c r="A20" s="38" t="str">
        <f>IFERROR(VLOOKUP(C20,目录!B:C,2,0),"")</f>
        <v>合川瑞翔</v>
      </c>
      <c r="B20" s="39" t="str">
        <f t="shared" si="1"/>
        <v>7月</v>
      </c>
      <c r="C20" s="40" t="s">
        <v>9</v>
      </c>
      <c r="D20" s="40" t="s">
        <v>63</v>
      </c>
      <c r="E20" s="41" t="s">
        <v>45</v>
      </c>
      <c r="F20" s="41" t="s">
        <v>54</v>
      </c>
      <c r="G20" s="42"/>
      <c r="H20" s="28">
        <v>100000</v>
      </c>
      <c r="I20" s="28">
        <f>H20*G20</f>
        <v>0</v>
      </c>
      <c r="J20" s="29">
        <f>H20-I20</f>
        <v>100000</v>
      </c>
      <c r="K20" s="29">
        <v>100000</v>
      </c>
      <c r="L20" s="29">
        <f t="shared" si="5"/>
        <v>0</v>
      </c>
      <c r="M20" s="30">
        <f t="shared" si="4"/>
        <v>100000</v>
      </c>
      <c r="N20" s="30"/>
      <c r="O20" s="30"/>
      <c r="P20" s="30">
        <f t="shared" si="2"/>
        <v>207944.61</v>
      </c>
      <c r="Q20" s="31"/>
      <c r="R20" s="32"/>
      <c r="S20" s="32"/>
      <c r="T20" s="32">
        <f t="shared" si="3"/>
        <v>0</v>
      </c>
      <c r="U20" s="32"/>
    </row>
    <row r="21" spans="1:21">
      <c r="A21" s="38" t="str">
        <f>IFERROR(VLOOKUP(C21,目录!B:C,2,0),"")</f>
        <v>合川瑞翔</v>
      </c>
      <c r="B21" s="39" t="str">
        <f t="shared" si="1"/>
        <v>7月</v>
      </c>
      <c r="C21" s="40" t="s">
        <v>9</v>
      </c>
      <c r="D21" s="40" t="s">
        <v>64</v>
      </c>
      <c r="E21" s="41" t="s">
        <v>45</v>
      </c>
      <c r="F21" s="41"/>
      <c r="G21" s="42"/>
      <c r="H21" s="28"/>
      <c r="I21" s="28"/>
      <c r="J21" s="29"/>
      <c r="K21" s="29"/>
      <c r="L21" s="29">
        <f t="shared" si="5"/>
        <v>0</v>
      </c>
      <c r="M21" s="30">
        <f t="shared" si="4"/>
        <v>0</v>
      </c>
      <c r="N21" s="30"/>
      <c r="O21" s="30">
        <v>100000</v>
      </c>
      <c r="P21" s="30">
        <f t="shared" si="2"/>
        <v>107944.61</v>
      </c>
      <c r="Q21" s="31"/>
      <c r="R21" s="32"/>
      <c r="S21" s="32"/>
      <c r="T21" s="32">
        <f t="shared" si="3"/>
        <v>0</v>
      </c>
      <c r="U21" s="32"/>
    </row>
    <row r="22" spans="1:21">
      <c r="A22" s="38" t="str">
        <f>IFERROR(VLOOKUP(C22,目录!B:C,2,0),"")</f>
        <v>合川瑞翔</v>
      </c>
      <c r="B22" s="39" t="str">
        <f t="shared" si="1"/>
        <v>7月</v>
      </c>
      <c r="C22" s="40" t="s">
        <v>9</v>
      </c>
      <c r="D22" s="40" t="s">
        <v>65</v>
      </c>
      <c r="E22" s="41" t="s">
        <v>45</v>
      </c>
      <c r="F22" s="41" t="s">
        <v>61</v>
      </c>
      <c r="G22" s="42"/>
      <c r="H22" s="28">
        <v>49780</v>
      </c>
      <c r="I22" s="28">
        <f>H22*G22</f>
        <v>0</v>
      </c>
      <c r="J22" s="29">
        <f>H22-I22</f>
        <v>49780</v>
      </c>
      <c r="K22" s="29">
        <v>49780</v>
      </c>
      <c r="L22" s="29">
        <f t="shared" si="5"/>
        <v>0</v>
      </c>
      <c r="M22" s="30">
        <f t="shared" si="4"/>
        <v>49780</v>
      </c>
      <c r="N22" s="30"/>
      <c r="O22" s="30"/>
      <c r="P22" s="30">
        <f t="shared" si="2"/>
        <v>157724.61</v>
      </c>
      <c r="Q22" s="31"/>
      <c r="R22" s="32"/>
      <c r="S22" s="32"/>
      <c r="T22" s="32">
        <f t="shared" si="3"/>
        <v>0</v>
      </c>
      <c r="U22" s="32"/>
    </row>
    <row r="23" spans="1:21">
      <c r="A23" s="38" t="str">
        <f>IFERROR(VLOOKUP(C23,目录!B:C,2,0),"")</f>
        <v>合川瑞翔</v>
      </c>
      <c r="B23" s="39" t="str">
        <f t="shared" si="1"/>
        <v>7月</v>
      </c>
      <c r="C23" s="40" t="s">
        <v>9</v>
      </c>
      <c r="D23" s="40" t="s">
        <v>66</v>
      </c>
      <c r="E23" s="41" t="s">
        <v>45</v>
      </c>
      <c r="F23" s="41"/>
      <c r="G23" s="42"/>
      <c r="H23" s="28"/>
      <c r="I23" s="28"/>
      <c r="J23" s="29"/>
      <c r="K23" s="29"/>
      <c r="L23" s="29">
        <f t="shared" si="5"/>
        <v>0</v>
      </c>
      <c r="M23" s="30">
        <f t="shared" si="4"/>
        <v>0</v>
      </c>
      <c r="N23" s="30"/>
      <c r="O23" s="30">
        <v>49780</v>
      </c>
      <c r="P23" s="30">
        <f t="shared" si="2"/>
        <v>107944.61</v>
      </c>
      <c r="Q23" s="31"/>
      <c r="R23" s="32"/>
      <c r="S23" s="32"/>
      <c r="T23" s="32">
        <f t="shared" si="3"/>
        <v>0</v>
      </c>
      <c r="U23" s="32"/>
    </row>
    <row r="24" spans="1:21">
      <c r="A24" s="38" t="str">
        <f>IFERROR(VLOOKUP(C24,目录!B:C,2,0),"")</f>
        <v>合川瑞翔</v>
      </c>
      <c r="B24" s="39" t="str">
        <f t="shared" si="1"/>
        <v>9月</v>
      </c>
      <c r="C24" s="40" t="s">
        <v>9</v>
      </c>
      <c r="D24" s="40" t="s">
        <v>67</v>
      </c>
      <c r="E24" s="41" t="s">
        <v>45</v>
      </c>
      <c r="F24" s="41"/>
      <c r="G24" s="42"/>
      <c r="H24" s="28"/>
      <c r="I24" s="28"/>
      <c r="J24" s="29"/>
      <c r="K24" s="29"/>
      <c r="L24" s="29">
        <f t="shared" si="5"/>
        <v>0</v>
      </c>
      <c r="M24" s="30">
        <f t="shared" si="4"/>
        <v>0</v>
      </c>
      <c r="N24" s="30"/>
      <c r="O24" s="30">
        <v>3326.17</v>
      </c>
      <c r="P24" s="30">
        <f t="shared" si="2"/>
        <v>104618.44</v>
      </c>
      <c r="Q24" s="31"/>
      <c r="R24" s="32"/>
      <c r="S24" s="32"/>
      <c r="T24" s="32">
        <f t="shared" si="3"/>
        <v>0</v>
      </c>
      <c r="U24" s="32"/>
    </row>
    <row r="25" spans="1:21">
      <c r="A25" s="43" t="str">
        <f>IFERROR(VLOOKUP(C25,目录!B:C,2,0),"")</f>
        <v>铜城2回、玉璟尚线、铁井一回、淮拦线4</v>
      </c>
      <c r="B25" s="44" t="str">
        <f t="shared" ref="B25:B58" si="6">MID(D25,FIND(".",D25)+1,FIND(".",D25,FIND(".",D25)+1)-FIND(".",D25)-1)&amp;"月"</f>
        <v>6月</v>
      </c>
      <c r="C25" s="45" t="s">
        <v>11</v>
      </c>
      <c r="D25" s="45" t="s">
        <v>68</v>
      </c>
      <c r="E25" s="46" t="s">
        <v>42</v>
      </c>
      <c r="F25" s="46" t="s">
        <v>43</v>
      </c>
      <c r="G25" s="47">
        <v>0.1</v>
      </c>
      <c r="H25" s="28">
        <v>4002.66</v>
      </c>
      <c r="I25" s="28">
        <f t="shared" ref="I25:I35" si="7">H25*G25</f>
        <v>400.266</v>
      </c>
      <c r="J25" s="29">
        <f t="shared" ref="J25:J31" si="8">H25-I25</f>
        <v>3602.394</v>
      </c>
      <c r="K25" s="29"/>
      <c r="L25" s="29">
        <f t="shared" si="5"/>
        <v>3602.394</v>
      </c>
      <c r="M25" s="30">
        <f t="shared" si="4"/>
        <v>4002.66</v>
      </c>
      <c r="N25" s="30"/>
      <c r="O25" s="30"/>
      <c r="P25" s="30">
        <f t="shared" si="2"/>
        <v>108621.1</v>
      </c>
      <c r="Q25" s="31"/>
      <c r="R25" s="32"/>
      <c r="S25" s="32"/>
      <c r="T25" s="32">
        <f t="shared" si="3"/>
        <v>0</v>
      </c>
      <c r="U25" s="32"/>
    </row>
    <row r="26" spans="1:21">
      <c r="A26" s="43" t="str">
        <f>IFERROR(VLOOKUP(C26,目录!B:C,2,0),"")</f>
        <v>铜城2回、玉璟尚线、铁井一回、淮拦线4</v>
      </c>
      <c r="B26" s="44" t="str">
        <f t="shared" si="6"/>
        <v>6月</v>
      </c>
      <c r="C26" s="45" t="s">
        <v>13</v>
      </c>
      <c r="D26" s="45" t="s">
        <v>69</v>
      </c>
      <c r="E26" s="46" t="s">
        <v>42</v>
      </c>
      <c r="F26" s="46" t="s">
        <v>43</v>
      </c>
      <c r="G26" s="47">
        <v>0.1</v>
      </c>
      <c r="H26" s="28">
        <v>13079.84</v>
      </c>
      <c r="I26" s="28">
        <f t="shared" si="7"/>
        <v>1307.984</v>
      </c>
      <c r="J26" s="29">
        <f t="shared" si="8"/>
        <v>11771.856</v>
      </c>
      <c r="K26" s="29"/>
      <c r="L26" s="29">
        <f t="shared" si="5"/>
        <v>15374.25</v>
      </c>
      <c r="M26" s="30">
        <f t="shared" si="4"/>
        <v>13079.84</v>
      </c>
      <c r="N26" s="30"/>
      <c r="O26" s="30"/>
      <c r="P26" s="30">
        <f t="shared" si="2"/>
        <v>121700.94</v>
      </c>
      <c r="Q26" s="31"/>
      <c r="R26" s="32"/>
      <c r="S26" s="32"/>
      <c r="T26" s="32">
        <f t="shared" si="3"/>
        <v>0</v>
      </c>
      <c r="U26" s="32"/>
    </row>
    <row r="27" spans="1:21">
      <c r="A27" s="43" t="str">
        <f>IFERROR(VLOOKUP(C27,目录!B:C,2,0),"")</f>
        <v>铜城2回、玉璟尚线、铁井一回、淮拦线4</v>
      </c>
      <c r="B27" s="44" t="str">
        <f t="shared" si="6"/>
        <v>6月</v>
      </c>
      <c r="C27" s="45" t="s">
        <v>14</v>
      </c>
      <c r="D27" s="45" t="s">
        <v>70</v>
      </c>
      <c r="E27" s="46" t="s">
        <v>42</v>
      </c>
      <c r="F27" s="46" t="s">
        <v>43</v>
      </c>
      <c r="G27" s="47">
        <v>0.1</v>
      </c>
      <c r="H27" s="28">
        <v>47546.28</v>
      </c>
      <c r="I27" s="28">
        <f t="shared" si="7"/>
        <v>4754.628</v>
      </c>
      <c r="J27" s="29">
        <f t="shared" si="8"/>
        <v>42791.652</v>
      </c>
      <c r="K27" s="29"/>
      <c r="L27" s="29">
        <f t="shared" si="5"/>
        <v>58165.902</v>
      </c>
      <c r="M27" s="30">
        <f t="shared" si="4"/>
        <v>47546.28</v>
      </c>
      <c r="N27" s="30"/>
      <c r="O27" s="30"/>
      <c r="P27" s="30">
        <f t="shared" si="2"/>
        <v>169247.22</v>
      </c>
      <c r="Q27" s="31"/>
      <c r="R27" s="32"/>
      <c r="S27" s="32"/>
      <c r="T27" s="32">
        <f t="shared" si="3"/>
        <v>0</v>
      </c>
      <c r="U27" s="32"/>
    </row>
    <row r="28" spans="1:21">
      <c r="A28" s="43" t="str">
        <f>IFERROR(VLOOKUP(C28,目录!B:C,2,0),"")</f>
        <v>铜城2回、玉璟尚线、铁井一回、淮拦线4</v>
      </c>
      <c r="B28" s="44" t="str">
        <f t="shared" si="6"/>
        <v>6月</v>
      </c>
      <c r="C28" s="45" t="s">
        <v>15</v>
      </c>
      <c r="D28" s="45" t="s">
        <v>71</v>
      </c>
      <c r="E28" s="46" t="s">
        <v>42</v>
      </c>
      <c r="F28" s="46" t="s">
        <v>43</v>
      </c>
      <c r="G28" s="47">
        <v>0.1</v>
      </c>
      <c r="H28" s="28">
        <v>56969.32</v>
      </c>
      <c r="I28" s="28">
        <f t="shared" si="7"/>
        <v>5696.932</v>
      </c>
      <c r="J28" s="29">
        <f t="shared" si="8"/>
        <v>51272.388</v>
      </c>
      <c r="K28" s="29"/>
      <c r="L28" s="29">
        <f t="shared" si="5"/>
        <v>109438.29</v>
      </c>
      <c r="M28" s="30">
        <f t="shared" si="4"/>
        <v>56969.32</v>
      </c>
      <c r="N28" s="30"/>
      <c r="O28" s="30"/>
      <c r="P28" s="30">
        <f t="shared" si="2"/>
        <v>226216.54</v>
      </c>
      <c r="Q28" s="31"/>
      <c r="R28" s="32"/>
      <c r="S28" s="32"/>
      <c r="T28" s="32">
        <f t="shared" si="3"/>
        <v>0</v>
      </c>
      <c r="U28" s="32"/>
    </row>
    <row r="29" spans="1:21">
      <c r="A29" s="43" t="str">
        <f>IFERROR(VLOOKUP(C29,目录!B:C,2,0),"")</f>
        <v>铜城2回、玉璟尚线、铁井一回、淮拦线4</v>
      </c>
      <c r="B29" s="44" t="str">
        <f t="shared" si="6"/>
        <v>6月</v>
      </c>
      <c r="C29" s="45" t="s">
        <v>15</v>
      </c>
      <c r="D29" s="45" t="s">
        <v>72</v>
      </c>
      <c r="E29" s="46" t="s">
        <v>45</v>
      </c>
      <c r="F29" s="46" t="s">
        <v>54</v>
      </c>
      <c r="G29" s="47"/>
      <c r="H29" s="28"/>
      <c r="I29" s="28">
        <f t="shared" si="7"/>
        <v>0</v>
      </c>
      <c r="J29" s="29">
        <f t="shared" si="8"/>
        <v>0</v>
      </c>
      <c r="K29" s="29">
        <v>67200</v>
      </c>
      <c r="L29" s="29">
        <f t="shared" si="5"/>
        <v>42238.29</v>
      </c>
      <c r="M29" s="30">
        <f t="shared" si="4"/>
        <v>0</v>
      </c>
      <c r="N29" s="30"/>
      <c r="O29" s="30"/>
      <c r="P29" s="30">
        <f t="shared" si="2"/>
        <v>226216.54</v>
      </c>
      <c r="Q29" s="31"/>
      <c r="R29" s="32"/>
      <c r="S29" s="32"/>
      <c r="T29" s="32">
        <f t="shared" si="3"/>
        <v>0</v>
      </c>
      <c r="U29" s="32"/>
    </row>
    <row r="30" spans="1:21">
      <c r="A30" s="43" t="str">
        <f>IFERROR(VLOOKUP(C30,目录!B:C,2,0),"")</f>
        <v>铜城2回、玉璟尚线、铁井一回、淮拦线4</v>
      </c>
      <c r="B30" s="44" t="str">
        <f t="shared" si="6"/>
        <v>6月</v>
      </c>
      <c r="C30" s="45" t="s">
        <v>15</v>
      </c>
      <c r="D30" s="45" t="s">
        <v>73</v>
      </c>
      <c r="E30" s="46" t="s">
        <v>45</v>
      </c>
      <c r="F30" s="46" t="s">
        <v>54</v>
      </c>
      <c r="G30" s="47"/>
      <c r="H30" s="28"/>
      <c r="I30" s="28">
        <f t="shared" si="7"/>
        <v>0</v>
      </c>
      <c r="J30" s="29">
        <f t="shared" si="8"/>
        <v>0</v>
      </c>
      <c r="K30" s="29">
        <v>42800</v>
      </c>
      <c r="L30" s="29">
        <f t="shared" si="5"/>
        <v>-561.709999999992</v>
      </c>
      <c r="M30" s="30">
        <f t="shared" si="4"/>
        <v>0</v>
      </c>
      <c r="N30" s="30"/>
      <c r="O30" s="30"/>
      <c r="P30" s="30">
        <f t="shared" si="2"/>
        <v>226216.54</v>
      </c>
      <c r="Q30" s="31"/>
      <c r="R30" s="32"/>
      <c r="S30" s="32"/>
      <c r="T30" s="32">
        <f t="shared" si="3"/>
        <v>0</v>
      </c>
      <c r="U30" s="32"/>
    </row>
    <row r="31" spans="1:21">
      <c r="A31" s="43" t="str">
        <f>IFERROR(VLOOKUP(C31,目录!B:C,2,0),"")</f>
        <v>铜城2回、玉璟尚线、铁井一回、淮拦线4</v>
      </c>
      <c r="B31" s="44" t="str">
        <f t="shared" si="6"/>
        <v>9月</v>
      </c>
      <c r="C31" s="45" t="s">
        <v>15</v>
      </c>
      <c r="D31" s="45" t="s">
        <v>74</v>
      </c>
      <c r="E31" s="46" t="s">
        <v>45</v>
      </c>
      <c r="F31" s="46" t="s">
        <v>54</v>
      </c>
      <c r="G31" s="47"/>
      <c r="H31" s="28"/>
      <c r="I31" s="28">
        <f t="shared" si="7"/>
        <v>0</v>
      </c>
      <c r="J31" s="29">
        <f t="shared" si="8"/>
        <v>0</v>
      </c>
      <c r="K31" s="29">
        <v>57000</v>
      </c>
      <c r="L31" s="29">
        <f t="shared" si="5"/>
        <v>-57561.71</v>
      </c>
      <c r="M31" s="30">
        <f t="shared" si="4"/>
        <v>0</v>
      </c>
      <c r="N31" s="30"/>
      <c r="O31" s="30">
        <v>810</v>
      </c>
      <c r="P31" s="30">
        <f t="shared" si="2"/>
        <v>225406.54</v>
      </c>
      <c r="Q31" s="31"/>
      <c r="R31" s="32"/>
      <c r="S31" s="32"/>
      <c r="T31" s="32">
        <f t="shared" si="3"/>
        <v>0</v>
      </c>
      <c r="U31" s="32"/>
    </row>
    <row r="32" spans="1:21">
      <c r="A32" s="43" t="str">
        <f>IFERROR(VLOOKUP(C32,目录!B:C,2,0),"")</f>
        <v>铜城2回、玉璟尚线、铁井一回、淮拦线4</v>
      </c>
      <c r="B32" s="44" t="str">
        <f t="shared" si="6"/>
        <v>9月</v>
      </c>
      <c r="C32" s="45" t="s">
        <v>14</v>
      </c>
      <c r="D32" s="45" t="s">
        <v>75</v>
      </c>
      <c r="E32" s="46" t="s">
        <v>45</v>
      </c>
      <c r="F32" s="46"/>
      <c r="G32" s="47"/>
      <c r="H32" s="28"/>
      <c r="I32" s="28"/>
      <c r="J32" s="29">
        <f t="shared" ref="J32:J63" si="9">H32-I32</f>
        <v>0</v>
      </c>
      <c r="K32" s="29"/>
      <c r="L32" s="29">
        <f t="shared" si="5"/>
        <v>-57561.71</v>
      </c>
      <c r="M32" s="30">
        <f t="shared" si="4"/>
        <v>0</v>
      </c>
      <c r="N32" s="30"/>
      <c r="O32" s="30">
        <v>22000</v>
      </c>
      <c r="P32" s="30">
        <f t="shared" si="2"/>
        <v>203406.54</v>
      </c>
      <c r="Q32" s="31"/>
      <c r="R32" s="32"/>
      <c r="S32" s="32"/>
      <c r="T32" s="32">
        <f t="shared" si="3"/>
        <v>0</v>
      </c>
      <c r="U32" s="32"/>
    </row>
    <row r="33" spans="1:21">
      <c r="A33" s="43" t="str">
        <f>IFERROR(VLOOKUP(C33,目录!B:C,2,0),"")</f>
        <v>铜城2回、玉璟尚线、铁井一回、淮拦线4</v>
      </c>
      <c r="B33" s="44" t="str">
        <f t="shared" si="6"/>
        <v>9月</v>
      </c>
      <c r="C33" s="45" t="s">
        <v>15</v>
      </c>
      <c r="D33" s="45" t="s">
        <v>76</v>
      </c>
      <c r="E33" s="46" t="s">
        <v>45</v>
      </c>
      <c r="F33" s="46"/>
      <c r="G33" s="47"/>
      <c r="H33" s="28"/>
      <c r="I33" s="28"/>
      <c r="J33" s="29">
        <f t="shared" si="9"/>
        <v>0</v>
      </c>
      <c r="K33" s="29"/>
      <c r="L33" s="29">
        <f t="shared" si="5"/>
        <v>-57561.71</v>
      </c>
      <c r="M33" s="30">
        <f t="shared" si="4"/>
        <v>0</v>
      </c>
      <c r="N33" s="30"/>
      <c r="O33" s="30">
        <v>27000</v>
      </c>
      <c r="P33" s="30">
        <f t="shared" si="2"/>
        <v>176406.54</v>
      </c>
      <c r="Q33" s="31"/>
      <c r="R33" s="32"/>
      <c r="S33" s="32"/>
      <c r="T33" s="32">
        <f t="shared" si="3"/>
        <v>0</v>
      </c>
      <c r="U33" s="32"/>
    </row>
    <row r="34" spans="1:21">
      <c r="A34" s="43" t="str">
        <f>IFERROR(VLOOKUP(C34,目录!B:C,2,0),"")</f>
        <v>铜城2回、玉璟尚线、铁井一回、淮拦线4</v>
      </c>
      <c r="B34" s="44" t="str">
        <f t="shared" si="6"/>
        <v>9月</v>
      </c>
      <c r="C34" s="45" t="s">
        <v>11</v>
      </c>
      <c r="D34" s="45" t="s">
        <v>77</v>
      </c>
      <c r="E34" s="46" t="s">
        <v>45</v>
      </c>
      <c r="F34" s="46"/>
      <c r="G34" s="47"/>
      <c r="H34" s="28"/>
      <c r="I34" s="28"/>
      <c r="J34" s="29">
        <f t="shared" si="9"/>
        <v>0</v>
      </c>
      <c r="K34" s="29"/>
      <c r="L34" s="29">
        <f t="shared" si="5"/>
        <v>-57561.71</v>
      </c>
      <c r="M34" s="30">
        <f t="shared" si="4"/>
        <v>0</v>
      </c>
      <c r="N34" s="30"/>
      <c r="O34" s="30">
        <v>2000</v>
      </c>
      <c r="P34" s="30">
        <f t="shared" si="2"/>
        <v>174406.54</v>
      </c>
      <c r="Q34" s="31"/>
      <c r="R34" s="32"/>
      <c r="S34" s="32"/>
      <c r="T34" s="32">
        <f t="shared" si="3"/>
        <v>0</v>
      </c>
      <c r="U34" s="32"/>
    </row>
    <row r="35" spans="1:21">
      <c r="A35" s="43" t="str">
        <f>IFERROR(VLOOKUP(C35,目录!B:C,2,0),"")</f>
        <v>铜城2回、玉璟尚线、铁井一回、淮拦线4</v>
      </c>
      <c r="B35" s="44" t="str">
        <f t="shared" si="6"/>
        <v>9月</v>
      </c>
      <c r="C35" s="45" t="s">
        <v>13</v>
      </c>
      <c r="D35" s="45" t="s">
        <v>78</v>
      </c>
      <c r="E35" s="46" t="s">
        <v>45</v>
      </c>
      <c r="F35" s="46"/>
      <c r="G35" s="47"/>
      <c r="H35" s="28"/>
      <c r="I35" s="28"/>
      <c r="J35" s="29">
        <f t="shared" si="9"/>
        <v>0</v>
      </c>
      <c r="K35" s="29"/>
      <c r="L35" s="29">
        <f t="shared" si="5"/>
        <v>-57561.71</v>
      </c>
      <c r="M35" s="30">
        <f t="shared" si="4"/>
        <v>0</v>
      </c>
      <c r="N35" s="30"/>
      <c r="O35" s="30">
        <v>6000</v>
      </c>
      <c r="P35" s="30">
        <f t="shared" si="2"/>
        <v>168406.54</v>
      </c>
      <c r="Q35" s="31"/>
      <c r="R35" s="32"/>
      <c r="S35" s="32"/>
      <c r="T35" s="32">
        <f t="shared" si="3"/>
        <v>0</v>
      </c>
      <c r="U35" s="32"/>
    </row>
    <row r="36" spans="1:21">
      <c r="A36" s="43" t="str">
        <f>IFERROR(VLOOKUP(C36,目录!B:C,2,0),"")</f>
        <v>铜城2回、玉璟尚线、铁井一回、淮拦线4</v>
      </c>
      <c r="B36" s="44" t="str">
        <f t="shared" si="6"/>
        <v>9月</v>
      </c>
      <c r="C36" s="45" t="s">
        <v>15</v>
      </c>
      <c r="D36" s="45" t="s">
        <v>79</v>
      </c>
      <c r="E36" s="46" t="s">
        <v>45</v>
      </c>
      <c r="F36" s="46"/>
      <c r="G36" s="47"/>
      <c r="H36" s="28"/>
      <c r="I36" s="28"/>
      <c r="J36" s="29">
        <f t="shared" si="9"/>
        <v>0</v>
      </c>
      <c r="K36" s="29"/>
      <c r="L36" s="29">
        <f t="shared" si="5"/>
        <v>-57561.71</v>
      </c>
      <c r="M36" s="30">
        <f t="shared" si="4"/>
        <v>0</v>
      </c>
      <c r="N36" s="30"/>
      <c r="O36" s="30">
        <v>1823.97</v>
      </c>
      <c r="P36" s="30">
        <f t="shared" si="2"/>
        <v>166582.57</v>
      </c>
      <c r="Q36" s="31"/>
      <c r="R36" s="32"/>
      <c r="S36" s="32"/>
      <c r="T36" s="32">
        <f t="shared" si="3"/>
        <v>0</v>
      </c>
      <c r="U36" s="32"/>
    </row>
    <row r="37" spans="1:21">
      <c r="A37" s="43" t="str">
        <f>IFERROR(VLOOKUP(C37,目录!B:C,2,0),"")</f>
        <v>铜城2回、玉璟尚线、铁井一回、淮拦线4</v>
      </c>
      <c r="B37" s="44" t="str">
        <f t="shared" si="6"/>
        <v>9月</v>
      </c>
      <c r="C37" s="45" t="s">
        <v>15</v>
      </c>
      <c r="D37" s="45" t="s">
        <v>80</v>
      </c>
      <c r="E37" s="46" t="s">
        <v>45</v>
      </c>
      <c r="F37" s="46"/>
      <c r="G37" s="47"/>
      <c r="H37" s="28"/>
      <c r="I37" s="28"/>
      <c r="J37" s="29">
        <f t="shared" si="9"/>
        <v>0</v>
      </c>
      <c r="K37" s="29"/>
      <c r="L37" s="29">
        <f t="shared" si="5"/>
        <v>-57561.71</v>
      </c>
      <c r="M37" s="30">
        <f t="shared" si="4"/>
        <v>0</v>
      </c>
      <c r="N37" s="30"/>
      <c r="O37" s="30">
        <f>3541.69+425+72.96</f>
        <v>4039.65</v>
      </c>
      <c r="P37" s="30">
        <f t="shared" si="2"/>
        <v>162542.92</v>
      </c>
      <c r="Q37" s="31"/>
      <c r="R37" s="32"/>
      <c r="S37" s="32"/>
      <c r="T37" s="32">
        <f t="shared" si="3"/>
        <v>0</v>
      </c>
      <c r="U37" s="32"/>
    </row>
    <row r="38" spans="1:21">
      <c r="A38" s="43" t="str">
        <f>IFERROR(VLOOKUP(C38,目录!B:C,2,0),"")</f>
        <v>铜城2回、玉璟尚线、铁井一回、淮拦线4</v>
      </c>
      <c r="B38" s="44" t="str">
        <f t="shared" si="6"/>
        <v>9月</v>
      </c>
      <c r="C38" s="45" t="s">
        <v>15</v>
      </c>
      <c r="D38" s="45" t="s">
        <v>81</v>
      </c>
      <c r="E38" s="46" t="s">
        <v>45</v>
      </c>
      <c r="F38" s="46"/>
      <c r="G38" s="47"/>
      <c r="H38" s="28"/>
      <c r="I38" s="28"/>
      <c r="J38" s="29">
        <f t="shared" si="9"/>
        <v>0</v>
      </c>
      <c r="K38" s="29"/>
      <c r="L38" s="29">
        <f t="shared" si="5"/>
        <v>-57561.71</v>
      </c>
      <c r="M38" s="30">
        <f t="shared" si="4"/>
        <v>0</v>
      </c>
      <c r="N38" s="30"/>
      <c r="O38" s="30">
        <v>12159.81</v>
      </c>
      <c r="P38" s="30">
        <f t="shared" si="2"/>
        <v>150383.11</v>
      </c>
      <c r="Q38" s="31"/>
      <c r="R38" s="32"/>
      <c r="S38" s="32"/>
      <c r="T38" s="32">
        <f t="shared" si="3"/>
        <v>0</v>
      </c>
      <c r="U38" s="32"/>
    </row>
    <row r="39" spans="1:21">
      <c r="A39" s="43" t="str">
        <f>IFERROR(VLOOKUP(C39,目录!B:C,2,0),"")</f>
        <v>铜城2回、玉璟尚线、铁井一回、淮拦线4</v>
      </c>
      <c r="B39" s="44" t="str">
        <f t="shared" si="6"/>
        <v>9月</v>
      </c>
      <c r="C39" s="45" t="s">
        <v>15</v>
      </c>
      <c r="D39" s="45" t="s">
        <v>67</v>
      </c>
      <c r="E39" s="46" t="s">
        <v>45</v>
      </c>
      <c r="F39" s="46"/>
      <c r="G39" s="47"/>
      <c r="H39" s="28"/>
      <c r="I39" s="28"/>
      <c r="J39" s="29">
        <f t="shared" si="9"/>
        <v>0</v>
      </c>
      <c r="K39" s="29"/>
      <c r="L39" s="29">
        <f t="shared" si="5"/>
        <v>-57561.71</v>
      </c>
      <c r="M39" s="30">
        <f t="shared" si="4"/>
        <v>0</v>
      </c>
      <c r="N39" s="30"/>
      <c r="O39" s="30">
        <v>39473.83</v>
      </c>
      <c r="P39" s="30">
        <f t="shared" si="2"/>
        <v>110909.28</v>
      </c>
      <c r="Q39" s="31"/>
      <c r="R39" s="32"/>
      <c r="S39" s="32"/>
      <c r="T39" s="32">
        <f t="shared" si="3"/>
        <v>0</v>
      </c>
      <c r="U39" s="32"/>
    </row>
    <row r="40" spans="1:21">
      <c r="A40" s="33" t="str">
        <f>IFERROR(VLOOKUP(C40,目录!B:C,2,0),"")</f>
        <v>合川表计</v>
      </c>
      <c r="B40" s="34" t="str">
        <f t="shared" si="6"/>
        <v>6月</v>
      </c>
      <c r="C40" s="35" t="s">
        <v>16</v>
      </c>
      <c r="D40" s="35" t="s">
        <v>82</v>
      </c>
      <c r="E40" s="36" t="s">
        <v>45</v>
      </c>
      <c r="F40" s="36" t="s">
        <v>54</v>
      </c>
      <c r="G40" s="37"/>
      <c r="H40" s="28">
        <v>100000</v>
      </c>
      <c r="I40" s="28">
        <f>H40*G40</f>
        <v>0</v>
      </c>
      <c r="J40" s="29">
        <f t="shared" si="9"/>
        <v>100000</v>
      </c>
      <c r="K40" s="29">
        <v>100000</v>
      </c>
      <c r="L40" s="29">
        <f t="shared" si="5"/>
        <v>-57561.71</v>
      </c>
      <c r="M40" s="30">
        <f t="shared" si="4"/>
        <v>100000</v>
      </c>
      <c r="N40" s="30"/>
      <c r="O40" s="30"/>
      <c r="P40" s="30">
        <f t="shared" si="2"/>
        <v>210909.28</v>
      </c>
      <c r="Q40" s="31"/>
      <c r="R40" s="32"/>
      <c r="S40" s="32"/>
      <c r="T40" s="32">
        <f t="shared" si="3"/>
        <v>0</v>
      </c>
      <c r="U40" s="32"/>
    </row>
    <row r="41" spans="1:21">
      <c r="A41" s="34" t="str">
        <f>IFERROR(VLOOKUP(C41,目录!B:C,2,0),"")</f>
        <v>合川表计</v>
      </c>
      <c r="B41" s="34" t="str">
        <f t="shared" si="6"/>
        <v>7月</v>
      </c>
      <c r="C41" s="35" t="s">
        <v>16</v>
      </c>
      <c r="D41" s="35" t="s">
        <v>83</v>
      </c>
      <c r="E41" s="36" t="s">
        <v>84</v>
      </c>
      <c r="F41" s="36" t="s">
        <v>85</v>
      </c>
      <c r="G41" s="37"/>
      <c r="H41" s="28">
        <v>50000</v>
      </c>
      <c r="I41" s="28">
        <f>H41*G41</f>
        <v>0</v>
      </c>
      <c r="J41" s="29">
        <f t="shared" si="9"/>
        <v>50000</v>
      </c>
      <c r="K41" s="29">
        <v>50000</v>
      </c>
      <c r="L41" s="29">
        <f t="shared" si="5"/>
        <v>-57561.71</v>
      </c>
      <c r="M41" s="30">
        <f t="shared" si="4"/>
        <v>50000</v>
      </c>
      <c r="N41" s="30"/>
      <c r="O41" s="30"/>
      <c r="P41" s="30">
        <f t="shared" si="2"/>
        <v>260909.28</v>
      </c>
      <c r="Q41" s="31"/>
      <c r="R41" s="32"/>
      <c r="S41" s="32"/>
      <c r="T41" s="32">
        <f t="shared" si="3"/>
        <v>0</v>
      </c>
      <c r="U41" s="32"/>
    </row>
    <row r="42" spans="1:21">
      <c r="A42" s="34" t="str">
        <f>IFERROR(VLOOKUP(C42,目录!B:C,2,0),"")</f>
        <v>合川表计</v>
      </c>
      <c r="B42" s="34" t="str">
        <f t="shared" si="6"/>
        <v>6月</v>
      </c>
      <c r="C42" s="35" t="s">
        <v>16</v>
      </c>
      <c r="D42" s="35" t="s">
        <v>86</v>
      </c>
      <c r="E42" s="36" t="s">
        <v>45</v>
      </c>
      <c r="F42" s="36"/>
      <c r="G42" s="37"/>
      <c r="H42" s="28"/>
      <c r="I42" s="28">
        <f>H42*G42</f>
        <v>0</v>
      </c>
      <c r="J42" s="29">
        <f t="shared" si="9"/>
        <v>0</v>
      </c>
      <c r="K42" s="29"/>
      <c r="L42" s="29">
        <f t="shared" si="5"/>
        <v>-57561.71</v>
      </c>
      <c r="M42" s="30">
        <f t="shared" si="4"/>
        <v>0</v>
      </c>
      <c r="N42" s="30"/>
      <c r="O42" s="30">
        <v>100000</v>
      </c>
      <c r="P42" s="30">
        <f t="shared" si="2"/>
        <v>160909.28</v>
      </c>
      <c r="Q42" s="31"/>
      <c r="R42" s="32"/>
      <c r="S42" s="32"/>
      <c r="T42" s="32">
        <f t="shared" si="3"/>
        <v>0</v>
      </c>
      <c r="U42" s="32"/>
    </row>
    <row r="43" spans="1:21">
      <c r="A43" s="34" t="str">
        <f>IFERROR(VLOOKUP(C43,目录!B:C,2,0),"")</f>
        <v>合川表计</v>
      </c>
      <c r="B43" s="34" t="str">
        <f t="shared" si="6"/>
        <v>7月</v>
      </c>
      <c r="C43" s="35" t="s">
        <v>16</v>
      </c>
      <c r="D43" s="35" t="s">
        <v>87</v>
      </c>
      <c r="E43" s="36" t="s">
        <v>45</v>
      </c>
      <c r="F43" s="36"/>
      <c r="G43" s="37"/>
      <c r="H43" s="28"/>
      <c r="I43" s="28"/>
      <c r="J43" s="29">
        <f t="shared" si="9"/>
        <v>0</v>
      </c>
      <c r="K43" s="29"/>
      <c r="L43" s="29">
        <f t="shared" si="5"/>
        <v>-57561.71</v>
      </c>
      <c r="M43" s="30">
        <f t="shared" si="4"/>
        <v>0</v>
      </c>
      <c r="N43" s="30"/>
      <c r="O43" s="30">
        <v>50000</v>
      </c>
      <c r="P43" s="30">
        <f t="shared" si="2"/>
        <v>110909.28</v>
      </c>
      <c r="Q43" s="31"/>
      <c r="R43" s="32"/>
      <c r="S43" s="32"/>
      <c r="T43" s="32">
        <f t="shared" si="3"/>
        <v>0</v>
      </c>
      <c r="U43" s="32"/>
    </row>
    <row r="44" spans="1:21">
      <c r="A44" s="34" t="str">
        <f>IFERROR(VLOOKUP(C44,目录!B:C,2,0),"")</f>
        <v>合川表计</v>
      </c>
      <c r="B44" s="34" t="str">
        <f t="shared" si="6"/>
        <v>8月</v>
      </c>
      <c r="C44" s="35" t="s">
        <v>16</v>
      </c>
      <c r="D44" s="35" t="s">
        <v>88</v>
      </c>
      <c r="E44" s="36" t="s">
        <v>84</v>
      </c>
      <c r="F44" s="36" t="s">
        <v>54</v>
      </c>
      <c r="G44" s="37"/>
      <c r="H44" s="28">
        <v>122000</v>
      </c>
      <c r="I44" s="28"/>
      <c r="J44" s="29">
        <f t="shared" si="9"/>
        <v>122000</v>
      </c>
      <c r="K44" s="29">
        <v>122000</v>
      </c>
      <c r="L44" s="29">
        <f t="shared" si="5"/>
        <v>-57561.71</v>
      </c>
      <c r="M44" s="30">
        <f t="shared" si="4"/>
        <v>122000</v>
      </c>
      <c r="N44" s="30"/>
      <c r="O44" s="30"/>
      <c r="P44" s="30">
        <f t="shared" ref="P44:P75" si="10">P43+M44-N44-O44</f>
        <v>232909.28</v>
      </c>
      <c r="Q44" s="31"/>
      <c r="R44" s="32"/>
      <c r="S44" s="32"/>
      <c r="T44" s="32">
        <f t="shared" si="3"/>
        <v>0</v>
      </c>
      <c r="U44" s="32"/>
    </row>
    <row r="45" spans="1:21">
      <c r="A45" s="34" t="str">
        <f>IFERROR(VLOOKUP(C45,目录!B:C,2,0),"")</f>
        <v>合川表计</v>
      </c>
      <c r="B45" s="34" t="str">
        <f t="shared" si="6"/>
        <v>8月</v>
      </c>
      <c r="C45" s="35" t="s">
        <v>16</v>
      </c>
      <c r="D45" s="35" t="s">
        <v>89</v>
      </c>
      <c r="E45" s="36" t="s">
        <v>84</v>
      </c>
      <c r="F45" s="36"/>
      <c r="G45" s="37"/>
      <c r="H45" s="28"/>
      <c r="I45" s="28"/>
      <c r="J45" s="29">
        <f t="shared" si="9"/>
        <v>0</v>
      </c>
      <c r="K45" s="29"/>
      <c r="L45" s="29">
        <f t="shared" si="5"/>
        <v>-57561.71</v>
      </c>
      <c r="M45" s="30"/>
      <c r="N45" s="30"/>
      <c r="O45" s="30">
        <v>122000</v>
      </c>
      <c r="P45" s="30">
        <f t="shared" si="10"/>
        <v>110909.28</v>
      </c>
      <c r="Q45" s="31"/>
      <c r="R45" s="32"/>
      <c r="S45" s="32"/>
      <c r="T45" s="32">
        <f t="shared" si="3"/>
        <v>0</v>
      </c>
      <c r="U45" s="32"/>
    </row>
    <row r="46" spans="1:21">
      <c r="A46" s="34" t="str">
        <f>IFERROR(VLOOKUP(C46,目录!B:C,2,0),"")</f>
        <v>合川表计</v>
      </c>
      <c r="B46" s="34" t="str">
        <f t="shared" si="6"/>
        <v>8月</v>
      </c>
      <c r="C46" s="35" t="s">
        <v>16</v>
      </c>
      <c r="D46" s="35" t="s">
        <v>90</v>
      </c>
      <c r="E46" s="36" t="s">
        <v>91</v>
      </c>
      <c r="F46" s="36" t="s">
        <v>54</v>
      </c>
      <c r="G46" s="37"/>
      <c r="H46" s="28">
        <v>78000</v>
      </c>
      <c r="I46" s="28"/>
      <c r="J46" s="29">
        <f t="shared" si="9"/>
        <v>78000</v>
      </c>
      <c r="K46" s="29">
        <v>78000</v>
      </c>
      <c r="L46" s="29">
        <f t="shared" si="5"/>
        <v>-57561.71</v>
      </c>
      <c r="M46" s="30">
        <f>H46</f>
        <v>78000</v>
      </c>
      <c r="N46" s="30"/>
      <c r="O46" s="30"/>
      <c r="P46" s="30">
        <f t="shared" si="10"/>
        <v>188909.28</v>
      </c>
      <c r="Q46" s="31"/>
      <c r="R46" s="32"/>
      <c r="S46" s="32"/>
      <c r="T46" s="32">
        <f t="shared" si="3"/>
        <v>0</v>
      </c>
      <c r="U46" s="32"/>
    </row>
    <row r="47" spans="1:21">
      <c r="A47" s="34" t="str">
        <f>IFERROR(VLOOKUP(C47,目录!B:C,2,0),"")</f>
        <v>合川表计</v>
      </c>
      <c r="B47" s="34" t="str">
        <f t="shared" si="6"/>
        <v>8月</v>
      </c>
      <c r="C47" s="35" t="s">
        <v>16</v>
      </c>
      <c r="D47" s="35" t="s">
        <v>92</v>
      </c>
      <c r="E47" s="36" t="s">
        <v>91</v>
      </c>
      <c r="F47" s="36"/>
      <c r="G47" s="37"/>
      <c r="H47" s="28"/>
      <c r="I47" s="28"/>
      <c r="J47" s="29">
        <f t="shared" si="9"/>
        <v>0</v>
      </c>
      <c r="K47" s="29"/>
      <c r="L47" s="29">
        <f t="shared" si="5"/>
        <v>-57561.71</v>
      </c>
      <c r="M47" s="30">
        <f>H47</f>
        <v>0</v>
      </c>
      <c r="N47" s="30"/>
      <c r="O47" s="30">
        <v>78000</v>
      </c>
      <c r="P47" s="30">
        <f t="shared" si="10"/>
        <v>110909.28</v>
      </c>
      <c r="Q47" s="31"/>
      <c r="R47" s="32"/>
      <c r="S47" s="32"/>
      <c r="T47" s="32">
        <f t="shared" si="3"/>
        <v>0</v>
      </c>
      <c r="U47" s="32"/>
    </row>
    <row r="48" spans="1:21">
      <c r="A48" s="34" t="str">
        <f>IFERROR(VLOOKUP(C48,目录!B:C,2,0),"")</f>
        <v>合川表计</v>
      </c>
      <c r="B48" s="34" t="str">
        <f t="shared" si="6"/>
        <v>9月</v>
      </c>
      <c r="C48" s="35" t="s">
        <v>16</v>
      </c>
      <c r="D48" s="35" t="s">
        <v>93</v>
      </c>
      <c r="E48" s="48" t="s">
        <v>94</v>
      </c>
      <c r="F48" s="36" t="s">
        <v>43</v>
      </c>
      <c r="G48" s="37"/>
      <c r="H48" s="28">
        <v>150000</v>
      </c>
      <c r="I48" s="28"/>
      <c r="J48" s="29">
        <f t="shared" si="9"/>
        <v>150000</v>
      </c>
      <c r="K48" s="29">
        <v>150000</v>
      </c>
      <c r="L48" s="29">
        <f t="shared" si="5"/>
        <v>-57561.71</v>
      </c>
      <c r="M48" s="30">
        <f>H48</f>
        <v>150000</v>
      </c>
      <c r="N48" s="30"/>
      <c r="O48" s="30"/>
      <c r="P48" s="30">
        <f t="shared" si="10"/>
        <v>260909.28</v>
      </c>
      <c r="Q48" s="31"/>
      <c r="R48" s="32"/>
      <c r="S48" s="32"/>
      <c r="T48" s="32">
        <f t="shared" si="3"/>
        <v>0</v>
      </c>
      <c r="U48" s="32"/>
    </row>
    <row r="49" spans="1:21">
      <c r="A49" s="34" t="str">
        <f>IFERROR(VLOOKUP(C49,目录!B:C,2,0),"")</f>
        <v>合川表计</v>
      </c>
      <c r="B49" s="34" t="str">
        <f t="shared" si="6"/>
        <v>9月</v>
      </c>
      <c r="C49" s="35" t="s">
        <v>16</v>
      </c>
      <c r="D49" s="35" t="s">
        <v>95</v>
      </c>
      <c r="E49" s="48" t="s">
        <v>91</v>
      </c>
      <c r="F49" s="36" t="s">
        <v>54</v>
      </c>
      <c r="G49" s="37"/>
      <c r="H49" s="28">
        <v>195460</v>
      </c>
      <c r="I49" s="28"/>
      <c r="J49" s="29">
        <f t="shared" si="9"/>
        <v>195460</v>
      </c>
      <c r="K49" s="29">
        <v>195460</v>
      </c>
      <c r="L49" s="29">
        <f t="shared" si="5"/>
        <v>-57561.71</v>
      </c>
      <c r="M49" s="30">
        <f>H49</f>
        <v>195460</v>
      </c>
      <c r="N49" s="30"/>
      <c r="O49" s="30"/>
      <c r="P49" s="30">
        <f t="shared" si="10"/>
        <v>456369.28</v>
      </c>
      <c r="Q49" s="31"/>
      <c r="R49" s="32"/>
      <c r="S49" s="32"/>
      <c r="T49" s="32">
        <f t="shared" si="3"/>
        <v>0</v>
      </c>
      <c r="U49" s="32"/>
    </row>
    <row r="50" spans="1:21">
      <c r="A50" s="34" t="str">
        <f>IFERROR(VLOOKUP(C50,目录!B:C,2,0),"")</f>
        <v>合川表计</v>
      </c>
      <c r="B50" s="34" t="str">
        <f t="shared" si="6"/>
        <v>9月</v>
      </c>
      <c r="C50" s="35" t="s">
        <v>16</v>
      </c>
      <c r="D50" s="35" t="s">
        <v>96</v>
      </c>
      <c r="E50" s="48" t="s">
        <v>84</v>
      </c>
      <c r="F50" s="36"/>
      <c r="G50" s="37"/>
      <c r="H50" s="28">
        <v>100000</v>
      </c>
      <c r="I50" s="28"/>
      <c r="J50" s="29">
        <f t="shared" si="9"/>
        <v>100000</v>
      </c>
      <c r="K50" s="29">
        <v>100000</v>
      </c>
      <c r="L50" s="29">
        <f t="shared" ref="L50:L59" si="11">L49+J50-K50</f>
        <v>-57561.71</v>
      </c>
      <c r="M50" s="30"/>
      <c r="N50" s="30"/>
      <c r="O50" s="30"/>
      <c r="P50" s="30">
        <f t="shared" si="10"/>
        <v>456369.28</v>
      </c>
      <c r="Q50" s="31"/>
      <c r="R50" s="32"/>
      <c r="S50" s="32"/>
      <c r="T50" s="32"/>
      <c r="U50" s="32"/>
    </row>
    <row r="51" spans="1:21">
      <c r="A51" s="33" t="str">
        <f>IFERROR(VLOOKUP(C51,目录!B:C,2,0),"")</f>
        <v>合川表计</v>
      </c>
      <c r="B51" s="34" t="str">
        <f t="shared" si="6"/>
        <v>9月</v>
      </c>
      <c r="C51" s="13" t="s">
        <v>16</v>
      </c>
      <c r="D51" s="35" t="s">
        <v>97</v>
      </c>
      <c r="E51" s="35" t="s">
        <v>84</v>
      </c>
      <c r="F51" s="36" t="s">
        <v>54</v>
      </c>
      <c r="G51" s="37"/>
      <c r="H51" s="28">
        <v>100000</v>
      </c>
      <c r="I51" s="28"/>
      <c r="J51" s="29"/>
      <c r="K51" s="29"/>
      <c r="L51" s="29">
        <f t="shared" si="11"/>
        <v>-57561.71</v>
      </c>
      <c r="M51" s="30"/>
      <c r="N51" s="30"/>
      <c r="O51" s="30"/>
      <c r="P51" s="30">
        <f t="shared" si="10"/>
        <v>456369.28</v>
      </c>
      <c r="Q51" s="31"/>
      <c r="R51" s="32"/>
      <c r="S51" s="32"/>
      <c r="T51" s="32"/>
      <c r="U51" s="32"/>
    </row>
    <row r="52" spans="1:21">
      <c r="A52" s="34" t="str">
        <f>IFERROR(VLOOKUP(C52,目录!B:C,2,0),"")</f>
        <v>合川表计</v>
      </c>
      <c r="B52" s="34" t="str">
        <f t="shared" si="6"/>
        <v>5月</v>
      </c>
      <c r="C52" s="35" t="s">
        <v>16</v>
      </c>
      <c r="D52" s="35" t="s">
        <v>98</v>
      </c>
      <c r="E52" s="36"/>
      <c r="F52" s="36"/>
      <c r="G52" s="37"/>
      <c r="H52" s="28"/>
      <c r="I52" s="28"/>
      <c r="J52" s="29">
        <f t="shared" ref="J52:J64" si="12">H52-I52</f>
        <v>0</v>
      </c>
      <c r="K52" s="29"/>
      <c r="L52" s="29">
        <f t="shared" si="11"/>
        <v>-57561.71</v>
      </c>
      <c r="M52" s="30">
        <f t="shared" ref="M52:M57" si="13">H52</f>
        <v>0</v>
      </c>
      <c r="N52" s="30"/>
      <c r="O52" s="30"/>
      <c r="P52" s="30">
        <f t="shared" si="10"/>
        <v>456369.28</v>
      </c>
      <c r="Q52" s="31"/>
      <c r="R52" s="32"/>
      <c r="S52" s="49">
        <v>105000</v>
      </c>
      <c r="T52" s="32">
        <f>T49+Q52-R52-S52</f>
        <v>-105000</v>
      </c>
      <c r="U52" s="32"/>
    </row>
    <row r="53" spans="1:21">
      <c r="A53" s="34" t="str">
        <f>IFERROR(VLOOKUP(C53,目录!B:C,2,0),"")</f>
        <v>合川表计</v>
      </c>
      <c r="B53" s="34" t="str">
        <f t="shared" si="6"/>
        <v>5月</v>
      </c>
      <c r="C53" s="35" t="s">
        <v>16</v>
      </c>
      <c r="D53" s="35" t="s">
        <v>99</v>
      </c>
      <c r="E53" s="36"/>
      <c r="F53" s="36"/>
      <c r="G53" s="37"/>
      <c r="H53" s="28"/>
      <c r="I53" s="28"/>
      <c r="J53" s="29">
        <f t="shared" si="12"/>
        <v>0</v>
      </c>
      <c r="K53" s="29"/>
      <c r="L53" s="29">
        <f t="shared" si="11"/>
        <v>-57561.71</v>
      </c>
      <c r="M53" s="30">
        <f t="shared" si="13"/>
        <v>0</v>
      </c>
      <c r="N53" s="30"/>
      <c r="O53" s="30"/>
      <c r="P53" s="30">
        <f t="shared" si="10"/>
        <v>456369.28</v>
      </c>
      <c r="Q53" s="31"/>
      <c r="R53" s="32"/>
      <c r="S53" s="49">
        <v>20000</v>
      </c>
      <c r="T53" s="32">
        <f>T52+Q53-R53-S53</f>
        <v>-125000</v>
      </c>
      <c r="U53" s="32"/>
    </row>
    <row r="54" spans="1:21">
      <c r="A54" s="34" t="str">
        <f>IFERROR(VLOOKUP(C54,目录!B:C,2,0),"")</f>
        <v>合川表计</v>
      </c>
      <c r="B54" s="34" t="str">
        <f t="shared" si="6"/>
        <v>5月</v>
      </c>
      <c r="C54" s="35" t="s">
        <v>16</v>
      </c>
      <c r="D54" s="35" t="s">
        <v>100</v>
      </c>
      <c r="E54" s="36"/>
      <c r="F54" s="36"/>
      <c r="G54" s="37"/>
      <c r="H54" s="28"/>
      <c r="I54" s="28"/>
      <c r="J54" s="29">
        <f t="shared" si="12"/>
        <v>0</v>
      </c>
      <c r="K54" s="29"/>
      <c r="L54" s="29">
        <f t="shared" si="11"/>
        <v>-57561.71</v>
      </c>
      <c r="M54" s="30">
        <f t="shared" si="13"/>
        <v>0</v>
      </c>
      <c r="N54" s="30"/>
      <c r="O54" s="30"/>
      <c r="P54" s="30">
        <f t="shared" si="10"/>
        <v>456369.28</v>
      </c>
      <c r="Q54" s="31"/>
      <c r="R54" s="32"/>
      <c r="S54" s="49">
        <v>10000</v>
      </c>
      <c r="T54" s="32">
        <f t="shared" ref="T54:T98" si="14">T53+Q54-R54-S54</f>
        <v>-135000</v>
      </c>
      <c r="U54" s="32"/>
    </row>
    <row r="55" spans="1:21">
      <c r="A55" s="34" t="str">
        <f>IFERROR(VLOOKUP(C55,目录!B:C,2,0),"")</f>
        <v>合川表计</v>
      </c>
      <c r="B55" s="34" t="str">
        <f t="shared" si="6"/>
        <v>6月</v>
      </c>
      <c r="C55" s="35" t="s">
        <v>16</v>
      </c>
      <c r="D55" s="35" t="s">
        <v>101</v>
      </c>
      <c r="E55" s="36"/>
      <c r="F55" s="36"/>
      <c r="G55" s="37"/>
      <c r="H55" s="28"/>
      <c r="I55" s="28"/>
      <c r="J55" s="29">
        <f t="shared" si="12"/>
        <v>0</v>
      </c>
      <c r="K55" s="29"/>
      <c r="L55" s="29">
        <f t="shared" si="11"/>
        <v>-57561.71</v>
      </c>
      <c r="M55" s="30">
        <f t="shared" si="13"/>
        <v>0</v>
      </c>
      <c r="N55" s="30"/>
      <c r="O55" s="30"/>
      <c r="P55" s="30">
        <f t="shared" si="10"/>
        <v>456369.28</v>
      </c>
      <c r="Q55" s="31"/>
      <c r="R55" s="32"/>
      <c r="S55" s="49">
        <v>91200</v>
      </c>
      <c r="T55" s="32">
        <f t="shared" si="14"/>
        <v>-226200</v>
      </c>
      <c r="U55" s="32"/>
    </row>
    <row r="56" spans="1:21">
      <c r="A56" s="34" t="str">
        <f>IFERROR(VLOOKUP(C56,目录!B:C,2,0),"")</f>
        <v>合川表计</v>
      </c>
      <c r="B56" s="34" t="str">
        <f t="shared" si="6"/>
        <v>6月</v>
      </c>
      <c r="C56" s="35" t="s">
        <v>16</v>
      </c>
      <c r="D56" s="35" t="s">
        <v>102</v>
      </c>
      <c r="E56" s="36"/>
      <c r="F56" s="36"/>
      <c r="G56" s="37"/>
      <c r="H56" s="28"/>
      <c r="I56" s="28"/>
      <c r="J56" s="29">
        <f t="shared" si="12"/>
        <v>0</v>
      </c>
      <c r="K56" s="29"/>
      <c r="L56" s="29">
        <f t="shared" si="11"/>
        <v>-57561.71</v>
      </c>
      <c r="M56" s="30">
        <f t="shared" si="13"/>
        <v>0</v>
      </c>
      <c r="N56" s="30"/>
      <c r="O56" s="30"/>
      <c r="P56" s="30">
        <f t="shared" si="10"/>
        <v>456369.28</v>
      </c>
      <c r="Q56" s="31">
        <f t="shared" ref="Q52:Q72" si="15">H56</f>
        <v>0</v>
      </c>
      <c r="R56" s="32"/>
      <c r="S56" s="49">
        <v>75943</v>
      </c>
      <c r="T56" s="32">
        <f t="shared" si="14"/>
        <v>-302143</v>
      </c>
      <c r="U56" s="32"/>
    </row>
    <row r="57" spans="1:21">
      <c r="A57" s="34" t="str">
        <f>IFERROR(VLOOKUP(C57,目录!B:C,2,0),"")</f>
        <v>合川表计</v>
      </c>
      <c r="B57" s="34" t="str">
        <f t="shared" si="6"/>
        <v>7月</v>
      </c>
      <c r="C57" s="35" t="s">
        <v>16</v>
      </c>
      <c r="D57" s="35" t="s">
        <v>103</v>
      </c>
      <c r="E57" s="36"/>
      <c r="F57" s="36"/>
      <c r="G57" s="37"/>
      <c r="H57" s="28"/>
      <c r="I57" s="28"/>
      <c r="J57" s="29">
        <f t="shared" si="12"/>
        <v>0</v>
      </c>
      <c r="K57" s="29"/>
      <c r="L57" s="29">
        <f t="shared" si="11"/>
        <v>-57561.71</v>
      </c>
      <c r="M57" s="30">
        <f t="shared" si="13"/>
        <v>0</v>
      </c>
      <c r="N57" s="30"/>
      <c r="O57" s="30"/>
      <c r="P57" s="30">
        <f t="shared" si="10"/>
        <v>456369.28</v>
      </c>
      <c r="Q57" s="31">
        <f t="shared" si="15"/>
        <v>0</v>
      </c>
      <c r="R57" s="32"/>
      <c r="S57" s="49">
        <v>2000</v>
      </c>
      <c r="T57" s="32">
        <f t="shared" si="14"/>
        <v>-304143</v>
      </c>
      <c r="U57" s="32"/>
    </row>
    <row r="58" spans="1:21">
      <c r="A58" s="34" t="str">
        <f>IFERROR(VLOOKUP(C58,目录!B:C,2,0),"")</f>
        <v>合川表计</v>
      </c>
      <c r="B58" s="34" t="str">
        <f t="shared" si="6"/>
        <v>7月</v>
      </c>
      <c r="C58" s="35" t="s">
        <v>16</v>
      </c>
      <c r="D58" s="35" t="s">
        <v>104</v>
      </c>
      <c r="E58" s="36"/>
      <c r="F58" s="36"/>
      <c r="G58" s="37"/>
      <c r="H58" s="28"/>
      <c r="I58" s="28"/>
      <c r="J58" s="29">
        <f t="shared" si="12"/>
        <v>0</v>
      </c>
      <c r="K58" s="29"/>
      <c r="L58" s="29">
        <f t="shared" si="11"/>
        <v>-57561.71</v>
      </c>
      <c r="M58" s="30"/>
      <c r="N58" s="30"/>
      <c r="O58" s="30"/>
      <c r="P58" s="30">
        <f t="shared" si="10"/>
        <v>456369.28</v>
      </c>
      <c r="Q58" s="31">
        <f t="shared" si="15"/>
        <v>0</v>
      </c>
      <c r="R58" s="32"/>
      <c r="S58" s="32">
        <v>70000</v>
      </c>
      <c r="T58" s="32">
        <f t="shared" si="14"/>
        <v>-374143</v>
      </c>
      <c r="U58" s="32"/>
    </row>
    <row r="59" spans="1:21">
      <c r="A59" s="34" t="str">
        <f>IFERROR(VLOOKUP(C59,目录!B:C,2,0),"")</f>
        <v>合川表计</v>
      </c>
      <c r="B59" s="34" t="str">
        <f t="shared" ref="B59:B70" si="16">MID(D59,FIND(".",D59)+1,FIND(".",D59,FIND(".",D59)+1)-FIND(".",D59)-1)&amp;"月"</f>
        <v>7月</v>
      </c>
      <c r="C59" s="35" t="s">
        <v>16</v>
      </c>
      <c r="D59" s="35" t="s">
        <v>105</v>
      </c>
      <c r="E59" s="36"/>
      <c r="F59" s="36"/>
      <c r="G59" s="37"/>
      <c r="H59" s="28"/>
      <c r="I59" s="28"/>
      <c r="J59" s="29">
        <f t="shared" si="12"/>
        <v>0</v>
      </c>
      <c r="K59" s="29"/>
      <c r="L59" s="29">
        <f t="shared" si="11"/>
        <v>-57561.71</v>
      </c>
      <c r="M59" s="30">
        <f t="shared" ref="M59:M72" si="17">H59</f>
        <v>0</v>
      </c>
      <c r="N59" s="30"/>
      <c r="O59" s="30"/>
      <c r="P59" s="30">
        <f t="shared" si="10"/>
        <v>456369.28</v>
      </c>
      <c r="Q59" s="31">
        <f t="shared" si="15"/>
        <v>0</v>
      </c>
      <c r="R59" s="32"/>
      <c r="S59" s="49">
        <v>10000</v>
      </c>
      <c r="T59" s="32">
        <f t="shared" si="14"/>
        <v>-384143</v>
      </c>
      <c r="U59" s="32"/>
    </row>
    <row r="60" spans="1:21">
      <c r="A60" s="34" t="str">
        <f>IFERROR(VLOOKUP(C60,目录!B:C,2,0),"")</f>
        <v>合川表计</v>
      </c>
      <c r="B60" s="34" t="str">
        <f t="shared" si="16"/>
        <v>7月</v>
      </c>
      <c r="C60" s="35" t="s">
        <v>16</v>
      </c>
      <c r="D60" s="35" t="s">
        <v>106</v>
      </c>
      <c r="E60" s="36"/>
      <c r="F60" s="36"/>
      <c r="G60" s="37"/>
      <c r="H60" s="28"/>
      <c r="I60" s="28"/>
      <c r="J60" s="29">
        <f t="shared" si="12"/>
        <v>0</v>
      </c>
      <c r="K60" s="29"/>
      <c r="L60" s="29">
        <f t="shared" ref="L60:L88" si="18">L59+J60-K60</f>
        <v>-57561.71</v>
      </c>
      <c r="M60" s="30">
        <f t="shared" si="17"/>
        <v>0</v>
      </c>
      <c r="N60" s="30"/>
      <c r="O60" s="30"/>
      <c r="P60" s="30">
        <f t="shared" si="10"/>
        <v>456369.28</v>
      </c>
      <c r="Q60" s="31">
        <f t="shared" si="15"/>
        <v>0</v>
      </c>
      <c r="R60" s="32"/>
      <c r="S60" s="49">
        <v>5000</v>
      </c>
      <c r="T60" s="32">
        <f t="shared" si="14"/>
        <v>-389143</v>
      </c>
      <c r="U60" s="32"/>
    </row>
    <row r="61" spans="1:21">
      <c r="A61" s="34" t="str">
        <f>IFERROR(VLOOKUP(C61,目录!B:C,2,0),"")</f>
        <v>合川表计</v>
      </c>
      <c r="B61" s="34" t="str">
        <f t="shared" si="16"/>
        <v>7月</v>
      </c>
      <c r="C61" s="35" t="s">
        <v>16</v>
      </c>
      <c r="D61" s="35" t="s">
        <v>107</v>
      </c>
      <c r="E61" s="36"/>
      <c r="F61" s="36"/>
      <c r="G61" s="37"/>
      <c r="H61" s="28"/>
      <c r="I61" s="28"/>
      <c r="J61" s="29">
        <f t="shared" si="12"/>
        <v>0</v>
      </c>
      <c r="K61" s="29"/>
      <c r="L61" s="29">
        <f t="shared" si="18"/>
        <v>-57561.71</v>
      </c>
      <c r="M61" s="30">
        <f t="shared" si="17"/>
        <v>0</v>
      </c>
      <c r="N61" s="30"/>
      <c r="O61" s="30"/>
      <c r="P61" s="30">
        <f t="shared" si="10"/>
        <v>456369.28</v>
      </c>
      <c r="Q61" s="31">
        <f t="shared" si="15"/>
        <v>0</v>
      </c>
      <c r="R61" s="32"/>
      <c r="S61" s="49">
        <v>2000</v>
      </c>
      <c r="T61" s="32">
        <f t="shared" si="14"/>
        <v>-391143</v>
      </c>
      <c r="U61" s="32"/>
    </row>
    <row r="62" spans="1:21">
      <c r="A62" s="34" t="str">
        <f>IFERROR(VLOOKUP(C62,目录!B:C,2,0),"")</f>
        <v>合川表计</v>
      </c>
      <c r="B62" s="34" t="str">
        <f t="shared" si="16"/>
        <v>8月</v>
      </c>
      <c r="C62" s="35" t="s">
        <v>16</v>
      </c>
      <c r="D62" s="35" t="s">
        <v>108</v>
      </c>
      <c r="E62" s="36"/>
      <c r="F62" s="36"/>
      <c r="G62" s="37"/>
      <c r="H62" s="28"/>
      <c r="I62" s="28"/>
      <c r="J62" s="29">
        <f t="shared" si="12"/>
        <v>0</v>
      </c>
      <c r="K62" s="29"/>
      <c r="L62" s="29">
        <f t="shared" si="18"/>
        <v>-57561.71</v>
      </c>
      <c r="M62" s="30">
        <f t="shared" si="17"/>
        <v>0</v>
      </c>
      <c r="N62" s="30"/>
      <c r="O62" s="30"/>
      <c r="P62" s="30">
        <f t="shared" si="10"/>
        <v>456369.28</v>
      </c>
      <c r="Q62" s="31">
        <f t="shared" si="15"/>
        <v>0</v>
      </c>
      <c r="R62" s="32"/>
      <c r="S62" s="49">
        <v>8000</v>
      </c>
      <c r="T62" s="32">
        <f t="shared" si="14"/>
        <v>-399143</v>
      </c>
      <c r="U62" s="32"/>
    </row>
    <row r="63" spans="1:21">
      <c r="A63" s="34" t="str">
        <f>IFERROR(VLOOKUP(C63,目录!B:C,2,0),"")</f>
        <v>合川表计</v>
      </c>
      <c r="B63" s="34" t="str">
        <f t="shared" si="16"/>
        <v>8月</v>
      </c>
      <c r="C63" s="35" t="s">
        <v>16</v>
      </c>
      <c r="D63" s="35" t="s">
        <v>109</v>
      </c>
      <c r="E63" s="36"/>
      <c r="F63" s="36"/>
      <c r="G63" s="37"/>
      <c r="H63" s="28"/>
      <c r="I63" s="28"/>
      <c r="J63" s="29">
        <f t="shared" si="12"/>
        <v>0</v>
      </c>
      <c r="K63" s="29"/>
      <c r="L63" s="29">
        <f t="shared" si="18"/>
        <v>-57561.71</v>
      </c>
      <c r="M63" s="30">
        <f t="shared" si="17"/>
        <v>0</v>
      </c>
      <c r="N63" s="30"/>
      <c r="O63" s="30"/>
      <c r="P63" s="30">
        <f t="shared" si="10"/>
        <v>456369.28</v>
      </c>
      <c r="Q63" s="31">
        <f t="shared" si="15"/>
        <v>0</v>
      </c>
      <c r="R63" s="32"/>
      <c r="S63" s="49">
        <v>6000</v>
      </c>
      <c r="T63" s="32">
        <f t="shared" si="14"/>
        <v>-405143</v>
      </c>
      <c r="U63" s="32"/>
    </row>
    <row r="64" spans="1:21">
      <c r="A64" s="34" t="str">
        <f>IFERROR(VLOOKUP(C64,目录!B:C,2,0),"")</f>
        <v>合川表计</v>
      </c>
      <c r="B64" s="34" t="str">
        <f t="shared" si="16"/>
        <v>8月</v>
      </c>
      <c r="C64" s="35" t="s">
        <v>16</v>
      </c>
      <c r="D64" s="35" t="s">
        <v>110</v>
      </c>
      <c r="E64" s="36"/>
      <c r="F64" s="36"/>
      <c r="G64" s="37"/>
      <c r="H64" s="28"/>
      <c r="I64" s="28"/>
      <c r="J64" s="29">
        <f t="shared" si="12"/>
        <v>0</v>
      </c>
      <c r="K64" s="29"/>
      <c r="L64" s="29">
        <f t="shared" si="18"/>
        <v>-57561.71</v>
      </c>
      <c r="M64" s="30">
        <f t="shared" si="17"/>
        <v>0</v>
      </c>
      <c r="N64" s="30"/>
      <c r="O64" s="30"/>
      <c r="P64" s="30">
        <f t="shared" si="10"/>
        <v>456369.28</v>
      </c>
      <c r="Q64" s="31">
        <f t="shared" si="15"/>
        <v>0</v>
      </c>
      <c r="R64" s="32"/>
      <c r="S64" s="49">
        <v>5000</v>
      </c>
      <c r="T64" s="32">
        <f t="shared" si="14"/>
        <v>-410143</v>
      </c>
      <c r="U64" s="32"/>
    </row>
    <row r="65" spans="1:21">
      <c r="A65" s="34" t="str">
        <f>IFERROR(VLOOKUP(C65,目录!B:C,2,0),"")</f>
        <v>合川表计</v>
      </c>
      <c r="B65" s="34" t="str">
        <f t="shared" si="16"/>
        <v>8月</v>
      </c>
      <c r="C65" s="35" t="s">
        <v>16</v>
      </c>
      <c r="D65" s="35" t="s">
        <v>111</v>
      </c>
      <c r="E65" s="36"/>
      <c r="F65" s="36"/>
      <c r="G65" s="37"/>
      <c r="H65" s="28"/>
      <c r="I65" s="28"/>
      <c r="J65" s="29">
        <f t="shared" ref="J65:J88" si="19">H65-I65</f>
        <v>0</v>
      </c>
      <c r="K65" s="29"/>
      <c r="L65" s="29">
        <f t="shared" si="18"/>
        <v>-57561.71</v>
      </c>
      <c r="M65" s="30">
        <f t="shared" si="17"/>
        <v>0</v>
      </c>
      <c r="N65" s="30"/>
      <c r="O65" s="30"/>
      <c r="P65" s="30">
        <f t="shared" si="10"/>
        <v>456369.28</v>
      </c>
      <c r="Q65" s="31">
        <f t="shared" si="15"/>
        <v>0</v>
      </c>
      <c r="R65" s="32"/>
      <c r="S65" s="49">
        <v>1000</v>
      </c>
      <c r="T65" s="32">
        <f t="shared" si="14"/>
        <v>-411143</v>
      </c>
      <c r="U65" s="32"/>
    </row>
    <row r="66" spans="1:21">
      <c r="A66" s="34" t="str">
        <f>IFERROR(VLOOKUP(C66,目录!B:C,2,0),"")</f>
        <v>合川表计</v>
      </c>
      <c r="B66" s="34" t="str">
        <f t="shared" si="16"/>
        <v>8月</v>
      </c>
      <c r="C66" s="35" t="s">
        <v>16</v>
      </c>
      <c r="D66" s="35" t="s">
        <v>112</v>
      </c>
      <c r="E66" s="36"/>
      <c r="F66" s="36"/>
      <c r="G66" s="37"/>
      <c r="H66" s="28"/>
      <c r="I66" s="28"/>
      <c r="J66" s="29">
        <f t="shared" si="19"/>
        <v>0</v>
      </c>
      <c r="K66" s="29"/>
      <c r="L66" s="29">
        <f t="shared" si="18"/>
        <v>-57561.71</v>
      </c>
      <c r="M66" s="30">
        <f t="shared" si="17"/>
        <v>0</v>
      </c>
      <c r="N66" s="30"/>
      <c r="O66" s="30"/>
      <c r="P66" s="30">
        <f t="shared" si="10"/>
        <v>456369.28</v>
      </c>
      <c r="Q66" s="31">
        <f t="shared" si="15"/>
        <v>0</v>
      </c>
      <c r="R66" s="32"/>
      <c r="S66" s="49">
        <v>65000</v>
      </c>
      <c r="T66" s="32">
        <f t="shared" si="14"/>
        <v>-476143</v>
      </c>
      <c r="U66" s="32"/>
    </row>
    <row r="67" spans="1:21">
      <c r="A67" s="34" t="str">
        <f>IFERROR(VLOOKUP(C67,目录!B:C,2,0),"")</f>
        <v>合川表计</v>
      </c>
      <c r="B67" s="34" t="str">
        <f t="shared" si="16"/>
        <v>6月</v>
      </c>
      <c r="C67" s="35" t="s">
        <v>16</v>
      </c>
      <c r="D67" s="35" t="s">
        <v>113</v>
      </c>
      <c r="E67" s="36"/>
      <c r="F67" s="36"/>
      <c r="G67" s="37"/>
      <c r="H67" s="28"/>
      <c r="I67" s="28"/>
      <c r="J67" s="29">
        <f t="shared" si="19"/>
        <v>0</v>
      </c>
      <c r="K67" s="29"/>
      <c r="L67" s="29">
        <f t="shared" si="18"/>
        <v>-57561.71</v>
      </c>
      <c r="M67" s="30">
        <f t="shared" si="17"/>
        <v>0</v>
      </c>
      <c r="N67" s="30"/>
      <c r="O67" s="30"/>
      <c r="P67" s="30">
        <f t="shared" si="10"/>
        <v>456369.28</v>
      </c>
      <c r="Q67" s="31">
        <f t="shared" si="15"/>
        <v>0</v>
      </c>
      <c r="R67" s="32"/>
      <c r="S67" s="49">
        <v>5000</v>
      </c>
      <c r="T67" s="32">
        <f t="shared" si="14"/>
        <v>-481143</v>
      </c>
      <c r="U67" s="32"/>
    </row>
    <row r="68" spans="1:21">
      <c r="A68" s="34" t="str">
        <f>IFERROR(VLOOKUP(C68,目录!B:C,2,0),"")</f>
        <v>合川表计</v>
      </c>
      <c r="B68" s="34" t="str">
        <f t="shared" si="16"/>
        <v>7月</v>
      </c>
      <c r="C68" s="35" t="s">
        <v>16</v>
      </c>
      <c r="D68" s="35" t="s">
        <v>114</v>
      </c>
      <c r="E68" s="36"/>
      <c r="F68" s="36"/>
      <c r="G68" s="37"/>
      <c r="H68" s="28"/>
      <c r="I68" s="28"/>
      <c r="J68" s="29">
        <f t="shared" si="19"/>
        <v>0</v>
      </c>
      <c r="K68" s="29"/>
      <c r="L68" s="29">
        <f t="shared" si="18"/>
        <v>-57561.71</v>
      </c>
      <c r="M68" s="30">
        <f t="shared" si="17"/>
        <v>0</v>
      </c>
      <c r="N68" s="30"/>
      <c r="O68" s="30"/>
      <c r="P68" s="30">
        <f t="shared" si="10"/>
        <v>456369.28</v>
      </c>
      <c r="Q68" s="31">
        <f t="shared" si="15"/>
        <v>0</v>
      </c>
      <c r="R68" s="32"/>
      <c r="S68" s="49">
        <v>5000</v>
      </c>
      <c r="T68" s="32">
        <f t="shared" si="14"/>
        <v>-486143</v>
      </c>
      <c r="U68" s="32"/>
    </row>
    <row r="69" spans="1:21">
      <c r="A69" s="34" t="str">
        <f>IFERROR(VLOOKUP(C69,目录!B:C,2,0),"")</f>
        <v>合川表计</v>
      </c>
      <c r="B69" s="34" t="str">
        <f t="shared" si="16"/>
        <v>7月</v>
      </c>
      <c r="C69" s="35" t="s">
        <v>16</v>
      </c>
      <c r="D69" s="35" t="s">
        <v>115</v>
      </c>
      <c r="E69" s="36"/>
      <c r="F69" s="36"/>
      <c r="G69" s="37"/>
      <c r="H69" s="28"/>
      <c r="I69" s="28"/>
      <c r="J69" s="29">
        <f t="shared" si="19"/>
        <v>0</v>
      </c>
      <c r="K69" s="29"/>
      <c r="L69" s="29">
        <f t="shared" si="18"/>
        <v>-57561.71</v>
      </c>
      <c r="M69" s="30">
        <f t="shared" ref="M69:M88" si="20">H69</f>
        <v>0</v>
      </c>
      <c r="N69" s="30"/>
      <c r="O69" s="30"/>
      <c r="P69" s="30">
        <f t="shared" si="10"/>
        <v>456369.28</v>
      </c>
      <c r="Q69" s="31">
        <f t="shared" si="15"/>
        <v>0</v>
      </c>
      <c r="R69" s="32"/>
      <c r="S69" s="49">
        <v>5000</v>
      </c>
      <c r="T69" s="32">
        <f t="shared" si="14"/>
        <v>-491143</v>
      </c>
      <c r="U69" s="32"/>
    </row>
    <row r="70" spans="1:21">
      <c r="A70" s="34" t="str">
        <f>IFERROR(VLOOKUP(C70,目录!B:C,2,0),"")</f>
        <v>合川表计</v>
      </c>
      <c r="B70" s="34" t="str">
        <f t="shared" si="16"/>
        <v>8月</v>
      </c>
      <c r="C70" s="35" t="s">
        <v>16</v>
      </c>
      <c r="D70" s="35" t="s">
        <v>116</v>
      </c>
      <c r="E70" s="36"/>
      <c r="F70" s="36"/>
      <c r="G70" s="37"/>
      <c r="H70" s="28"/>
      <c r="I70" s="28"/>
      <c r="J70" s="29">
        <f t="shared" si="19"/>
        <v>0</v>
      </c>
      <c r="K70" s="29"/>
      <c r="L70" s="29">
        <f t="shared" si="18"/>
        <v>-57561.71</v>
      </c>
      <c r="M70" s="30">
        <f t="shared" si="20"/>
        <v>0</v>
      </c>
      <c r="N70" s="30"/>
      <c r="O70" s="30"/>
      <c r="P70" s="30">
        <f t="shared" si="10"/>
        <v>456369.28</v>
      </c>
      <c r="Q70" s="31">
        <f t="shared" si="15"/>
        <v>0</v>
      </c>
      <c r="R70" s="32"/>
      <c r="S70" s="49">
        <v>10000</v>
      </c>
      <c r="T70" s="32">
        <f t="shared" si="14"/>
        <v>-501143</v>
      </c>
      <c r="U70" s="32"/>
    </row>
    <row r="71" spans="1:21">
      <c r="A71" s="34" t="str">
        <f>IFERROR(VLOOKUP(C71,目录!B:C,2,0),"")</f>
        <v>合川表计</v>
      </c>
      <c r="B71" s="34" t="str">
        <f t="shared" ref="B71:B81" si="21">MID(D71,FIND(".",D71)+1,FIND(".",D71,FIND(".",D71)+1)-FIND(".",D71)-1)&amp;"月"</f>
        <v>8月</v>
      </c>
      <c r="C71" s="35" t="s">
        <v>16</v>
      </c>
      <c r="D71" s="35" t="s">
        <v>117</v>
      </c>
      <c r="E71" s="36"/>
      <c r="F71" s="36"/>
      <c r="G71" s="37"/>
      <c r="H71" s="28"/>
      <c r="I71" s="28"/>
      <c r="J71" s="29">
        <f t="shared" si="19"/>
        <v>0</v>
      </c>
      <c r="K71" s="29"/>
      <c r="L71" s="29">
        <f t="shared" si="18"/>
        <v>-57561.71</v>
      </c>
      <c r="M71" s="30">
        <f t="shared" si="20"/>
        <v>0</v>
      </c>
      <c r="N71" s="30"/>
      <c r="O71" s="30"/>
      <c r="P71" s="30">
        <f t="shared" si="10"/>
        <v>456369.28</v>
      </c>
      <c r="Q71" s="31">
        <f t="shared" si="15"/>
        <v>0</v>
      </c>
      <c r="R71" s="32"/>
      <c r="S71" s="49">
        <v>9000</v>
      </c>
      <c r="T71" s="32">
        <f t="shared" si="14"/>
        <v>-510143</v>
      </c>
      <c r="U71" s="32"/>
    </row>
    <row r="72" spans="1:21">
      <c r="A72" s="34" t="str">
        <f>IFERROR(VLOOKUP(C72,目录!B:C,2,0),"")</f>
        <v>合川表计</v>
      </c>
      <c r="B72" s="34" t="str">
        <f t="shared" si="21"/>
        <v>8月</v>
      </c>
      <c r="C72" s="35" t="s">
        <v>16</v>
      </c>
      <c r="D72" s="35" t="s">
        <v>118</v>
      </c>
      <c r="E72" s="36"/>
      <c r="F72" s="36"/>
      <c r="G72" s="37"/>
      <c r="H72" s="28"/>
      <c r="I72" s="28"/>
      <c r="J72" s="29">
        <f t="shared" si="19"/>
        <v>0</v>
      </c>
      <c r="K72" s="29"/>
      <c r="L72" s="29">
        <f t="shared" si="18"/>
        <v>-57561.71</v>
      </c>
      <c r="M72" s="30">
        <f t="shared" si="20"/>
        <v>0</v>
      </c>
      <c r="N72" s="30"/>
      <c r="O72" s="30"/>
      <c r="P72" s="30">
        <f t="shared" si="10"/>
        <v>456369.28</v>
      </c>
      <c r="Q72" s="31">
        <f t="shared" si="15"/>
        <v>0</v>
      </c>
      <c r="R72" s="32"/>
      <c r="S72" s="49">
        <v>6000</v>
      </c>
      <c r="T72" s="32">
        <f t="shared" si="14"/>
        <v>-516143</v>
      </c>
      <c r="U72" s="32"/>
    </row>
    <row r="73" spans="1:21">
      <c r="A73" s="34" t="str">
        <f>IFERROR(VLOOKUP(C73,目录!B:C,2,0),"")</f>
        <v>合川表计</v>
      </c>
      <c r="B73" s="34" t="str">
        <f t="shared" si="21"/>
        <v>8月</v>
      </c>
      <c r="C73" s="35" t="s">
        <v>16</v>
      </c>
      <c r="D73" s="35" t="s">
        <v>119</v>
      </c>
      <c r="E73" s="36"/>
      <c r="F73" s="36"/>
      <c r="G73" s="37"/>
      <c r="H73" s="28"/>
      <c r="I73" s="28"/>
      <c r="J73" s="29">
        <f t="shared" si="19"/>
        <v>0</v>
      </c>
      <c r="K73" s="29"/>
      <c r="L73" s="29">
        <f t="shared" si="18"/>
        <v>-57561.71</v>
      </c>
      <c r="M73" s="30">
        <f t="shared" si="20"/>
        <v>0</v>
      </c>
      <c r="N73" s="30"/>
      <c r="O73" s="30"/>
      <c r="P73" s="30">
        <f t="shared" si="10"/>
        <v>456369.28</v>
      </c>
      <c r="Q73" s="31"/>
      <c r="R73" s="32"/>
      <c r="S73" s="49">
        <v>6000</v>
      </c>
      <c r="T73" s="32">
        <f t="shared" si="14"/>
        <v>-522143</v>
      </c>
      <c r="U73" s="32"/>
    </row>
    <row r="74" spans="1:21">
      <c r="A74" s="34" t="str">
        <f>IFERROR(VLOOKUP(C74,目录!B:C,2,0),"")</f>
        <v>合川表计</v>
      </c>
      <c r="B74" s="34" t="str">
        <f t="shared" si="21"/>
        <v>8月</v>
      </c>
      <c r="C74" s="35" t="s">
        <v>16</v>
      </c>
      <c r="D74" s="35" t="s">
        <v>120</v>
      </c>
      <c r="E74" s="36"/>
      <c r="F74" s="36"/>
      <c r="G74" s="37"/>
      <c r="H74" s="28"/>
      <c r="I74" s="28"/>
      <c r="J74" s="29">
        <f t="shared" si="19"/>
        <v>0</v>
      </c>
      <c r="K74" s="29"/>
      <c r="L74" s="29">
        <f t="shared" si="18"/>
        <v>-57561.71</v>
      </c>
      <c r="M74" s="30">
        <f t="shared" si="20"/>
        <v>0</v>
      </c>
      <c r="N74" s="30"/>
      <c r="O74" s="30"/>
      <c r="P74" s="30">
        <f t="shared" si="10"/>
        <v>456369.28</v>
      </c>
      <c r="Q74" s="31"/>
      <c r="R74" s="32"/>
      <c r="S74" s="49">
        <v>6000</v>
      </c>
      <c r="T74" s="32">
        <f t="shared" si="14"/>
        <v>-528143</v>
      </c>
      <c r="U74" s="32"/>
    </row>
    <row r="75" spans="1:21">
      <c r="A75" s="34" t="str">
        <f>IFERROR(VLOOKUP(C75,目录!B:C,2,0),"")</f>
        <v>合川表计</v>
      </c>
      <c r="B75" s="34" t="str">
        <f t="shared" si="21"/>
        <v>8月</v>
      </c>
      <c r="C75" s="35" t="s">
        <v>16</v>
      </c>
      <c r="D75" s="35" t="s">
        <v>121</v>
      </c>
      <c r="E75" s="36"/>
      <c r="F75" s="36"/>
      <c r="G75" s="37"/>
      <c r="H75" s="28"/>
      <c r="I75" s="28"/>
      <c r="J75" s="29">
        <f t="shared" si="19"/>
        <v>0</v>
      </c>
      <c r="K75" s="29"/>
      <c r="L75" s="29">
        <f t="shared" si="18"/>
        <v>-57561.71</v>
      </c>
      <c r="M75" s="30">
        <f t="shared" si="20"/>
        <v>0</v>
      </c>
      <c r="N75" s="30"/>
      <c r="O75" s="30"/>
      <c r="P75" s="30">
        <f t="shared" si="10"/>
        <v>456369.28</v>
      </c>
      <c r="Q75" s="31"/>
      <c r="R75" s="32"/>
      <c r="S75" s="49">
        <v>8000</v>
      </c>
      <c r="T75" s="32">
        <f t="shared" si="14"/>
        <v>-536143</v>
      </c>
      <c r="U75" s="32"/>
    </row>
    <row r="76" spans="1:21">
      <c r="A76" s="34" t="str">
        <f>IFERROR(VLOOKUP(C76,目录!B:C,2,0),"")</f>
        <v>合川表计</v>
      </c>
      <c r="B76" s="34" t="str">
        <f t="shared" si="21"/>
        <v>8月</v>
      </c>
      <c r="C76" s="35" t="s">
        <v>16</v>
      </c>
      <c r="D76" s="35" t="s">
        <v>122</v>
      </c>
      <c r="E76" s="36"/>
      <c r="F76" s="36"/>
      <c r="G76" s="37"/>
      <c r="H76" s="28"/>
      <c r="I76" s="28"/>
      <c r="J76" s="29">
        <f t="shared" si="19"/>
        <v>0</v>
      </c>
      <c r="K76" s="29"/>
      <c r="L76" s="29">
        <f t="shared" si="18"/>
        <v>-57561.71</v>
      </c>
      <c r="M76" s="30">
        <f t="shared" si="20"/>
        <v>0</v>
      </c>
      <c r="N76" s="30"/>
      <c r="O76" s="30"/>
      <c r="P76" s="30">
        <f t="shared" ref="P76:P98" si="22">P75+M76-N76-O76</f>
        <v>456369.28</v>
      </c>
      <c r="Q76" s="31"/>
      <c r="R76" s="32"/>
      <c r="S76" s="49">
        <v>6000</v>
      </c>
      <c r="T76" s="32">
        <f t="shared" si="14"/>
        <v>-542143</v>
      </c>
      <c r="U76" s="32"/>
    </row>
    <row r="77" spans="1:21">
      <c r="A77" s="34" t="str">
        <f>IFERROR(VLOOKUP(C77,目录!B:C,2,0),"")</f>
        <v>合川表计</v>
      </c>
      <c r="B77" s="34" t="str">
        <f t="shared" si="21"/>
        <v>8月</v>
      </c>
      <c r="C77" s="35" t="s">
        <v>16</v>
      </c>
      <c r="D77" s="35" t="s">
        <v>123</v>
      </c>
      <c r="E77" s="36"/>
      <c r="F77" s="36"/>
      <c r="G77" s="37"/>
      <c r="H77" s="28"/>
      <c r="I77" s="28"/>
      <c r="J77" s="29">
        <f t="shared" si="19"/>
        <v>0</v>
      </c>
      <c r="K77" s="29"/>
      <c r="L77" s="29">
        <f t="shared" si="18"/>
        <v>-57561.71</v>
      </c>
      <c r="M77" s="30">
        <f t="shared" si="20"/>
        <v>0</v>
      </c>
      <c r="N77" s="30"/>
      <c r="O77" s="30"/>
      <c r="P77" s="30">
        <f t="shared" si="22"/>
        <v>456369.28</v>
      </c>
      <c r="Q77" s="31"/>
      <c r="R77" s="32"/>
      <c r="S77" s="49">
        <v>8000</v>
      </c>
      <c r="T77" s="32">
        <f t="shared" si="14"/>
        <v>-550143</v>
      </c>
      <c r="U77" s="32"/>
    </row>
    <row r="78" spans="1:21">
      <c r="A78" s="34" t="str">
        <f>IFERROR(VLOOKUP(C78,目录!B:C,2,0),"")</f>
        <v>合川表计</v>
      </c>
      <c r="B78" s="34" t="str">
        <f t="shared" si="21"/>
        <v>8月</v>
      </c>
      <c r="C78" s="35" t="s">
        <v>16</v>
      </c>
      <c r="D78" s="35" t="s">
        <v>124</v>
      </c>
      <c r="E78" s="36"/>
      <c r="F78" s="36"/>
      <c r="G78" s="37"/>
      <c r="H78" s="28"/>
      <c r="I78" s="28"/>
      <c r="J78" s="29">
        <f t="shared" si="19"/>
        <v>0</v>
      </c>
      <c r="K78" s="29"/>
      <c r="L78" s="29">
        <f t="shared" si="18"/>
        <v>-57561.71</v>
      </c>
      <c r="M78" s="30">
        <f t="shared" si="20"/>
        <v>0</v>
      </c>
      <c r="N78" s="30"/>
      <c r="O78" s="30"/>
      <c r="P78" s="30">
        <f t="shared" si="22"/>
        <v>456369.28</v>
      </c>
      <c r="Q78" s="31"/>
      <c r="R78" s="32"/>
      <c r="S78" s="49">
        <v>4000</v>
      </c>
      <c r="T78" s="32">
        <f t="shared" si="14"/>
        <v>-554143</v>
      </c>
      <c r="U78" s="32"/>
    </row>
    <row r="79" spans="1:21">
      <c r="A79" s="34" t="str">
        <f>IFERROR(VLOOKUP(C79,目录!B:C,2,0),"")</f>
        <v>合川表计</v>
      </c>
      <c r="B79" s="34" t="str">
        <f t="shared" si="21"/>
        <v>8月</v>
      </c>
      <c r="C79" s="35" t="s">
        <v>16</v>
      </c>
      <c r="D79" s="35" t="s">
        <v>125</v>
      </c>
      <c r="E79" s="36"/>
      <c r="F79" s="36"/>
      <c r="G79" s="37"/>
      <c r="H79" s="28"/>
      <c r="I79" s="28"/>
      <c r="J79" s="29">
        <f t="shared" si="19"/>
        <v>0</v>
      </c>
      <c r="K79" s="29"/>
      <c r="L79" s="29">
        <f t="shared" si="18"/>
        <v>-57561.71</v>
      </c>
      <c r="M79" s="30">
        <f t="shared" si="20"/>
        <v>0</v>
      </c>
      <c r="N79" s="30"/>
      <c r="O79" s="30"/>
      <c r="P79" s="30">
        <f t="shared" si="22"/>
        <v>456369.28</v>
      </c>
      <c r="Q79" s="31"/>
      <c r="R79" s="32"/>
      <c r="S79" s="49">
        <v>8000</v>
      </c>
      <c r="T79" s="32">
        <f t="shared" si="14"/>
        <v>-562143</v>
      </c>
      <c r="U79" s="32"/>
    </row>
    <row r="80" spans="1:21">
      <c r="A80" s="34" t="str">
        <f>IFERROR(VLOOKUP(C80,目录!B:C,2,0),"")</f>
        <v>合川表计</v>
      </c>
      <c r="B80" s="34" t="str">
        <f t="shared" si="21"/>
        <v>8月</v>
      </c>
      <c r="C80" s="35" t="s">
        <v>16</v>
      </c>
      <c r="D80" s="35" t="s">
        <v>126</v>
      </c>
      <c r="E80" s="36"/>
      <c r="F80" s="36"/>
      <c r="G80" s="37"/>
      <c r="H80" s="28"/>
      <c r="I80" s="28"/>
      <c r="J80" s="29">
        <f t="shared" si="19"/>
        <v>0</v>
      </c>
      <c r="K80" s="29"/>
      <c r="L80" s="29">
        <f t="shared" si="18"/>
        <v>-57561.71</v>
      </c>
      <c r="M80" s="30">
        <f t="shared" si="20"/>
        <v>0</v>
      </c>
      <c r="N80" s="30"/>
      <c r="O80" s="30"/>
      <c r="P80" s="30">
        <f t="shared" si="22"/>
        <v>456369.28</v>
      </c>
      <c r="Q80" s="31"/>
      <c r="R80" s="32"/>
      <c r="S80" s="49">
        <v>4000</v>
      </c>
      <c r="T80" s="32">
        <f t="shared" si="14"/>
        <v>-566143</v>
      </c>
      <c r="U80" s="32"/>
    </row>
    <row r="81" spans="1:21">
      <c r="A81" s="33" t="str">
        <f>IFERROR(VLOOKUP(C81,目录!B:C,2,0),"")</f>
        <v>合川表计</v>
      </c>
      <c r="B81" s="34" t="str">
        <f t="shared" si="21"/>
        <v>9月</v>
      </c>
      <c r="C81" s="35" t="s">
        <v>16</v>
      </c>
      <c r="D81" s="35" t="s">
        <v>127</v>
      </c>
      <c r="E81" s="35"/>
      <c r="F81" s="36"/>
      <c r="G81" s="37"/>
      <c r="H81" s="28"/>
      <c r="I81" s="28"/>
      <c r="J81" s="29"/>
      <c r="K81" s="29"/>
      <c r="L81" s="29">
        <f>L89+J81-K81</f>
        <v>-57561.71</v>
      </c>
      <c r="M81" s="30"/>
      <c r="N81" s="30"/>
      <c r="O81" s="30"/>
      <c r="P81" s="30">
        <f>P89+M81-N81-O81</f>
        <v>505964.9125</v>
      </c>
      <c r="Q81" s="31"/>
      <c r="R81" s="32"/>
      <c r="S81" s="32">
        <v>10500</v>
      </c>
      <c r="T81" s="32">
        <f>T89+Q81-R81-S81</f>
        <v>-576643</v>
      </c>
      <c r="U81" s="32"/>
    </row>
    <row r="82" s="2" customFormat="1" spans="1:21">
      <c r="A82" s="43" t="str">
        <f>IFERROR(VLOOKUP(C82,目录!B:C,2,0),"")</f>
        <v>蒲吕片区A段</v>
      </c>
      <c r="B82" s="44" t="str">
        <f t="shared" ref="B82:B94" si="23">MID(D82,FIND(".",D82)+1,FIND(".",D82,FIND(".",D82)+1)-FIND(".",D82)-1)&amp;"月"</f>
        <v>2月</v>
      </c>
      <c r="C82" s="45" t="s">
        <v>18</v>
      </c>
      <c r="D82" s="45" t="s">
        <v>128</v>
      </c>
      <c r="E82" s="45" t="s">
        <v>42</v>
      </c>
      <c r="F82" s="45" t="s">
        <v>129</v>
      </c>
      <c r="G82" s="50">
        <v>0.15</v>
      </c>
      <c r="H82" s="28">
        <v>200000</v>
      </c>
      <c r="I82" s="28">
        <f>H82*0.15</f>
        <v>30000</v>
      </c>
      <c r="J82" s="29">
        <f t="shared" ref="J82:J89" si="24">H82-I82</f>
        <v>170000</v>
      </c>
      <c r="K82" s="51"/>
      <c r="L82" s="29">
        <f>L80+J82-K82</f>
        <v>112438.29</v>
      </c>
      <c r="M82" s="30">
        <f t="shared" ref="M82:M89" si="25">H82</f>
        <v>200000</v>
      </c>
      <c r="N82" s="52"/>
      <c r="O82" s="52"/>
      <c r="P82" s="30">
        <f>P80+M82-N82-O82</f>
        <v>656369.28</v>
      </c>
      <c r="Q82" s="16"/>
      <c r="R82" s="53"/>
      <c r="S82" s="53"/>
      <c r="T82" s="32">
        <f>T80+Q82-R82-S82</f>
        <v>-566143</v>
      </c>
      <c r="U82" s="53"/>
    </row>
    <row r="83" s="2" customFormat="1" spans="1:21">
      <c r="A83" s="43" t="str">
        <f>IFERROR(VLOOKUP(C83,目录!B:C,2,0),"")</f>
        <v>蒲吕片区A段</v>
      </c>
      <c r="B83" s="44" t="str">
        <f t="shared" si="23"/>
        <v>9月</v>
      </c>
      <c r="C83" s="45" t="s">
        <v>18</v>
      </c>
      <c r="D83" s="45" t="s">
        <v>130</v>
      </c>
      <c r="E83" s="45" t="s">
        <v>42</v>
      </c>
      <c r="F83" s="45" t="s">
        <v>129</v>
      </c>
      <c r="G83" s="50">
        <v>0.15</v>
      </c>
      <c r="H83" s="28"/>
      <c r="I83" s="28"/>
      <c r="J83" s="29">
        <f t="shared" si="24"/>
        <v>0</v>
      </c>
      <c r="K83" s="51"/>
      <c r="L83" s="29">
        <f t="shared" ref="L83:L89" si="26">L82+J83-K83</f>
        <v>112438.29</v>
      </c>
      <c r="M83" s="30">
        <f t="shared" si="25"/>
        <v>0</v>
      </c>
      <c r="N83" s="52"/>
      <c r="O83" s="52">
        <v>30000</v>
      </c>
      <c r="P83" s="30">
        <f t="shared" ref="P83:P89" si="27">P82+M83-N83-O83</f>
        <v>626369.28</v>
      </c>
      <c r="Q83" s="16"/>
      <c r="R83" s="53"/>
      <c r="S83" s="53"/>
      <c r="T83" s="32">
        <f t="shared" ref="T83:T89" si="28">T82+Q83-R83-S83</f>
        <v>-566143</v>
      </c>
      <c r="U83" s="53"/>
    </row>
    <row r="84" s="2" customFormat="1" spans="1:21">
      <c r="A84" s="43" t="str">
        <f>IFERROR(VLOOKUP(C84,目录!B:C,2,0),"")</f>
        <v>蒲吕片区A段</v>
      </c>
      <c r="B84" s="44" t="str">
        <f t="shared" si="23"/>
        <v>9月</v>
      </c>
      <c r="C84" s="45" t="s">
        <v>18</v>
      </c>
      <c r="D84" s="45" t="s">
        <v>131</v>
      </c>
      <c r="E84" s="45" t="s">
        <v>42</v>
      </c>
      <c r="F84" s="45" t="s">
        <v>129</v>
      </c>
      <c r="G84" s="50">
        <v>0.15</v>
      </c>
      <c r="H84" s="28"/>
      <c r="I84" s="28"/>
      <c r="J84" s="29">
        <f t="shared" si="24"/>
        <v>0</v>
      </c>
      <c r="K84" s="51">
        <v>200000</v>
      </c>
      <c r="L84" s="29">
        <f t="shared" si="26"/>
        <v>-87561.71</v>
      </c>
      <c r="M84" s="30">
        <f t="shared" si="25"/>
        <v>0</v>
      </c>
      <c r="N84" s="52"/>
      <c r="O84" s="52">
        <v>200000</v>
      </c>
      <c r="P84" s="30">
        <f t="shared" si="27"/>
        <v>426369.28</v>
      </c>
      <c r="Q84" s="16"/>
      <c r="R84" s="53"/>
      <c r="S84" s="53"/>
      <c r="T84" s="32">
        <f t="shared" si="28"/>
        <v>-566143</v>
      </c>
      <c r="U84" s="53"/>
    </row>
    <row r="85" s="2" customFormat="1" spans="1:21">
      <c r="A85" s="43" t="str">
        <f>IFERROR(VLOOKUP(C85,目录!B:C,2,0),"")</f>
        <v>蒲吕片区A段</v>
      </c>
      <c r="B85" s="44" t="str">
        <f t="shared" si="23"/>
        <v>9月</v>
      </c>
      <c r="C85" s="45" t="s">
        <v>18</v>
      </c>
      <c r="D85" s="45" t="s">
        <v>132</v>
      </c>
      <c r="E85" s="45" t="s">
        <v>42</v>
      </c>
      <c r="F85" s="45" t="s">
        <v>129</v>
      </c>
      <c r="G85" s="50">
        <v>0.15</v>
      </c>
      <c r="H85" s="28"/>
      <c r="I85" s="28"/>
      <c r="J85" s="29">
        <f t="shared" si="24"/>
        <v>0</v>
      </c>
      <c r="K85" s="51">
        <v>32976.8</v>
      </c>
      <c r="L85" s="29">
        <f t="shared" si="26"/>
        <v>-120538.51</v>
      </c>
      <c r="M85" s="30">
        <f t="shared" si="25"/>
        <v>0</v>
      </c>
      <c r="N85" s="52"/>
      <c r="O85" s="52">
        <v>32976.8</v>
      </c>
      <c r="P85" s="30">
        <f t="shared" si="27"/>
        <v>393392.48</v>
      </c>
      <c r="Q85" s="16"/>
      <c r="R85" s="53"/>
      <c r="S85" s="53"/>
      <c r="T85" s="32">
        <f t="shared" si="28"/>
        <v>-566143</v>
      </c>
      <c r="U85" s="53"/>
    </row>
    <row r="86" s="2" customFormat="1" spans="1:21">
      <c r="A86" s="43" t="str">
        <f>IFERROR(VLOOKUP(C86,目录!B:C,2,0),"")</f>
        <v>蒲吕片区A段</v>
      </c>
      <c r="B86" s="44" t="str">
        <f t="shared" si="23"/>
        <v>9月</v>
      </c>
      <c r="C86" s="45" t="s">
        <v>18</v>
      </c>
      <c r="D86" s="45" t="s">
        <v>133</v>
      </c>
      <c r="E86" s="45" t="s">
        <v>42</v>
      </c>
      <c r="F86" s="45" t="s">
        <v>129</v>
      </c>
      <c r="G86" s="50">
        <v>0.15</v>
      </c>
      <c r="H86" s="28"/>
      <c r="I86" s="28"/>
      <c r="J86" s="29">
        <f t="shared" si="24"/>
        <v>0</v>
      </c>
      <c r="K86" s="51">
        <v>3000</v>
      </c>
      <c r="L86" s="29">
        <f t="shared" si="26"/>
        <v>-123538.51</v>
      </c>
      <c r="M86" s="30">
        <f t="shared" si="25"/>
        <v>0</v>
      </c>
      <c r="N86" s="52"/>
      <c r="O86" s="52">
        <v>3000</v>
      </c>
      <c r="P86" s="30">
        <f t="shared" si="27"/>
        <v>390392.48</v>
      </c>
      <c r="Q86" s="16"/>
      <c r="R86" s="53"/>
      <c r="S86" s="53"/>
      <c r="T86" s="32">
        <f t="shared" si="28"/>
        <v>-566143</v>
      </c>
      <c r="U86" s="53"/>
    </row>
    <row r="87" s="2" customFormat="1" spans="1:21">
      <c r="A87" s="43" t="str">
        <f>IFERROR(VLOOKUP(C87,目录!B:C,2,0),"")</f>
        <v>蒲吕片区A段</v>
      </c>
      <c r="B87" s="44" t="str">
        <f t="shared" si="23"/>
        <v>9月</v>
      </c>
      <c r="C87" s="45" t="s">
        <v>18</v>
      </c>
      <c r="D87" s="45" t="s">
        <v>134</v>
      </c>
      <c r="E87" s="45" t="s">
        <v>42</v>
      </c>
      <c r="F87" s="45" t="s">
        <v>129</v>
      </c>
      <c r="G87" s="50">
        <v>0.15</v>
      </c>
      <c r="H87" s="28"/>
      <c r="I87" s="28"/>
      <c r="J87" s="29">
        <f t="shared" si="24"/>
        <v>0</v>
      </c>
      <c r="K87" s="51">
        <v>4950</v>
      </c>
      <c r="L87" s="29">
        <f t="shared" si="26"/>
        <v>-128488.51</v>
      </c>
      <c r="M87" s="30">
        <f t="shared" si="25"/>
        <v>0</v>
      </c>
      <c r="N87" s="52"/>
      <c r="O87" s="52">
        <v>4950</v>
      </c>
      <c r="P87" s="30">
        <f t="shared" si="27"/>
        <v>385442.48</v>
      </c>
      <c r="Q87" s="16"/>
      <c r="R87" s="53"/>
      <c r="S87" s="53"/>
      <c r="T87" s="32">
        <f t="shared" si="28"/>
        <v>-566143</v>
      </c>
      <c r="U87" s="53"/>
    </row>
    <row r="88" s="2" customFormat="1" spans="1:21">
      <c r="A88" s="43" t="str">
        <f>IFERROR(VLOOKUP(C88,目录!B:C,2,0),"")</f>
        <v>蒲吕片区A段</v>
      </c>
      <c r="B88" s="44" t="str">
        <f t="shared" si="23"/>
        <v>9月</v>
      </c>
      <c r="C88" s="45" t="s">
        <v>18</v>
      </c>
      <c r="D88" s="45" t="s">
        <v>135</v>
      </c>
      <c r="E88" s="45" t="s">
        <v>42</v>
      </c>
      <c r="F88" s="45" t="s">
        <v>129</v>
      </c>
      <c r="G88" s="50">
        <v>0.15</v>
      </c>
      <c r="H88" s="28"/>
      <c r="I88" s="28"/>
      <c r="J88" s="29">
        <f t="shared" si="24"/>
        <v>0</v>
      </c>
      <c r="K88" s="51">
        <v>10628.87</v>
      </c>
      <c r="L88" s="29">
        <f t="shared" si="26"/>
        <v>-139117.38</v>
      </c>
      <c r="M88" s="30">
        <f t="shared" si="25"/>
        <v>0</v>
      </c>
      <c r="N88" s="52"/>
      <c r="O88" s="52">
        <v>10628.87</v>
      </c>
      <c r="P88" s="30">
        <f t="shared" si="27"/>
        <v>374813.61</v>
      </c>
      <c r="Q88" s="16"/>
      <c r="R88" s="53"/>
      <c r="S88" s="53"/>
      <c r="T88" s="32">
        <f t="shared" si="28"/>
        <v>-566143</v>
      </c>
      <c r="U88" s="53"/>
    </row>
    <row r="89" s="2" customFormat="1" spans="1:21">
      <c r="A89" s="43" t="str">
        <f>IFERROR(VLOOKUP(C89,目录!B:C,2,0),"")</f>
        <v>蒲吕片区A段</v>
      </c>
      <c r="B89" s="44" t="str">
        <f t="shared" si="23"/>
        <v>9月</v>
      </c>
      <c r="C89" s="45" t="s">
        <v>18</v>
      </c>
      <c r="D89" s="45" t="s">
        <v>136</v>
      </c>
      <c r="E89" s="45" t="s">
        <v>42</v>
      </c>
      <c r="F89" s="45" t="s">
        <v>129</v>
      </c>
      <c r="G89" s="50">
        <v>0.15</v>
      </c>
      <c r="H89" s="28">
        <v>154295.65</v>
      </c>
      <c r="I89" s="28">
        <f>H89*0.15</f>
        <v>23144.3475</v>
      </c>
      <c r="J89" s="29">
        <f t="shared" si="24"/>
        <v>131151.3025</v>
      </c>
      <c r="K89" s="51">
        <v>49595.6325</v>
      </c>
      <c r="L89" s="29">
        <f t="shared" si="26"/>
        <v>-57561.71</v>
      </c>
      <c r="M89" s="30">
        <f t="shared" si="25"/>
        <v>154295.65</v>
      </c>
      <c r="N89" s="52"/>
      <c r="O89" s="52">
        <v>23144.3475</v>
      </c>
      <c r="P89" s="30">
        <f t="shared" si="27"/>
        <v>505964.9125</v>
      </c>
      <c r="Q89" s="16"/>
      <c r="R89" s="53"/>
      <c r="S89" s="53"/>
      <c r="T89" s="32">
        <f t="shared" si="28"/>
        <v>-566143</v>
      </c>
      <c r="U89" s="53"/>
    </row>
    <row r="90" spans="1:21">
      <c r="A90" s="43" t="str">
        <f>IFERROR(VLOOKUP(C90,目录!B:C,2,0),"")</f>
        <v/>
      </c>
      <c r="B90" s="44" t="e">
        <f t="shared" si="23"/>
        <v>#VALUE!</v>
      </c>
      <c r="C90" s="45"/>
      <c r="D90" s="45"/>
      <c r="E90" s="45"/>
      <c r="F90" s="46"/>
      <c r="G90" s="47"/>
      <c r="H90" s="28"/>
      <c r="I90" s="28"/>
      <c r="J90" s="29"/>
      <c r="K90" s="29"/>
      <c r="L90" s="29">
        <f>L81+J90-K90</f>
        <v>-57561.71</v>
      </c>
      <c r="M90" s="30"/>
      <c r="N90" s="30"/>
      <c r="O90" s="30"/>
      <c r="P90" s="30">
        <f>P81+M90-N90-O90</f>
        <v>505964.9125</v>
      </c>
      <c r="Q90" s="31"/>
      <c r="R90" s="32"/>
      <c r="S90" s="32"/>
      <c r="T90" s="32">
        <f>T81+Q90-R90-S90</f>
        <v>-576643</v>
      </c>
      <c r="U90" s="32"/>
    </row>
    <row r="91" spans="1:21">
      <c r="A91" s="43" t="str">
        <f>IFERROR(VLOOKUP(C91,目录!B:C,2,0),"")</f>
        <v/>
      </c>
      <c r="B91" s="44" t="e">
        <f t="shared" si="23"/>
        <v>#VALUE!</v>
      </c>
      <c r="C91" s="45"/>
      <c r="D91" s="45"/>
      <c r="E91" s="45"/>
      <c r="F91" s="46"/>
      <c r="G91" s="47"/>
      <c r="H91" s="28"/>
      <c r="I91" s="28"/>
      <c r="J91" s="29"/>
      <c r="K91" s="29"/>
      <c r="L91" s="29">
        <f t="shared" ref="L89:L98" si="29">L90+J91-K91</f>
        <v>-57561.71</v>
      </c>
      <c r="M91" s="30"/>
      <c r="N91" s="30"/>
      <c r="O91" s="30"/>
      <c r="P91" s="30">
        <f t="shared" si="22"/>
        <v>505964.9125</v>
      </c>
      <c r="Q91" s="31"/>
      <c r="R91" s="32"/>
      <c r="S91" s="32"/>
      <c r="T91" s="32">
        <f t="shared" si="14"/>
        <v>-576643</v>
      </c>
      <c r="U91" s="32"/>
    </row>
    <row r="92" spans="1:21">
      <c r="A92" s="43" t="str">
        <f>IFERROR(VLOOKUP(C92,目录!B:C,2,0),"")</f>
        <v/>
      </c>
      <c r="B92" s="44" t="e">
        <f t="shared" si="23"/>
        <v>#VALUE!</v>
      </c>
      <c r="C92" s="45"/>
      <c r="D92" s="45"/>
      <c r="E92" s="46"/>
      <c r="F92" s="46"/>
      <c r="G92" s="47"/>
      <c r="H92" s="28"/>
      <c r="I92" s="28"/>
      <c r="J92" s="29"/>
      <c r="K92" s="29"/>
      <c r="L92" s="29">
        <f t="shared" si="29"/>
        <v>-57561.71</v>
      </c>
      <c r="M92" s="30"/>
      <c r="N92" s="30"/>
      <c r="O92" s="30"/>
      <c r="P92" s="30">
        <f t="shared" si="22"/>
        <v>505964.9125</v>
      </c>
      <c r="Q92" s="31"/>
      <c r="R92" s="32"/>
      <c r="S92" s="32"/>
      <c r="T92" s="32">
        <f t="shared" si="14"/>
        <v>-576643</v>
      </c>
      <c r="U92" s="32"/>
    </row>
    <row r="93" spans="1:21">
      <c r="A93" s="43" t="str">
        <f>IFERROR(VLOOKUP(C93,目录!B:C,2,0),"")</f>
        <v/>
      </c>
      <c r="B93" s="44" t="e">
        <f t="shared" si="23"/>
        <v>#VALUE!</v>
      </c>
      <c r="C93" s="45"/>
      <c r="D93" s="45"/>
      <c r="E93" s="46"/>
      <c r="F93" s="46"/>
      <c r="G93" s="47"/>
      <c r="H93" s="28"/>
      <c r="I93" s="28"/>
      <c r="J93" s="29"/>
      <c r="K93" s="29"/>
      <c r="L93" s="29">
        <f t="shared" si="29"/>
        <v>-57561.71</v>
      </c>
      <c r="M93" s="30"/>
      <c r="N93" s="30"/>
      <c r="O93" s="30"/>
      <c r="P93" s="30">
        <f t="shared" si="22"/>
        <v>505964.9125</v>
      </c>
      <c r="Q93" s="31"/>
      <c r="R93" s="32"/>
      <c r="S93" s="32"/>
      <c r="T93" s="32">
        <f t="shared" si="14"/>
        <v>-576643</v>
      </c>
      <c r="U93" s="32"/>
    </row>
    <row r="94" spans="1:21">
      <c r="A94" s="43" t="str">
        <f>IFERROR(VLOOKUP(C94,目录!B:C,2,0),"")</f>
        <v/>
      </c>
      <c r="B94" s="44" t="e">
        <f t="shared" si="23"/>
        <v>#VALUE!</v>
      </c>
      <c r="C94" s="45"/>
      <c r="D94" s="45"/>
      <c r="E94" s="46"/>
      <c r="F94" s="46"/>
      <c r="G94" s="47"/>
      <c r="H94" s="28"/>
      <c r="I94" s="28"/>
      <c r="J94" s="29"/>
      <c r="K94" s="29"/>
      <c r="L94" s="29">
        <f t="shared" si="29"/>
        <v>-57561.71</v>
      </c>
      <c r="M94" s="30"/>
      <c r="N94" s="30"/>
      <c r="O94" s="30"/>
      <c r="P94" s="30">
        <f t="shared" si="22"/>
        <v>505964.9125</v>
      </c>
      <c r="Q94" s="31"/>
      <c r="R94" s="32"/>
      <c r="S94" s="32"/>
      <c r="T94" s="32">
        <f t="shared" si="14"/>
        <v>-576643</v>
      </c>
      <c r="U94" s="32"/>
    </row>
    <row r="95" spans="1:21">
      <c r="A95" s="43"/>
      <c r="B95" s="44"/>
      <c r="C95" s="45"/>
      <c r="D95" s="45"/>
      <c r="E95" s="46"/>
      <c r="F95" s="46"/>
      <c r="G95" s="47"/>
      <c r="H95" s="28"/>
      <c r="I95" s="28"/>
      <c r="J95" s="29"/>
      <c r="K95" s="29"/>
      <c r="L95" s="29">
        <f t="shared" si="29"/>
        <v>-57561.71</v>
      </c>
      <c r="M95" s="30"/>
      <c r="N95" s="30"/>
      <c r="O95" s="30"/>
      <c r="P95" s="30">
        <f t="shared" si="22"/>
        <v>505964.9125</v>
      </c>
      <c r="Q95" s="31"/>
      <c r="R95" s="32"/>
      <c r="S95" s="32"/>
      <c r="T95" s="32">
        <f t="shared" si="14"/>
        <v>-576643</v>
      </c>
      <c r="U95" s="32"/>
    </row>
    <row r="96" spans="1:21">
      <c r="A96" s="43"/>
      <c r="B96" s="44"/>
      <c r="C96" s="45"/>
      <c r="D96" s="45"/>
      <c r="E96" s="46"/>
      <c r="F96" s="46"/>
      <c r="G96" s="47"/>
      <c r="H96" s="28"/>
      <c r="I96" s="28"/>
      <c r="J96" s="29"/>
      <c r="K96" s="29"/>
      <c r="L96" s="29">
        <f t="shared" si="29"/>
        <v>-57561.71</v>
      </c>
      <c r="M96" s="30"/>
      <c r="N96" s="30"/>
      <c r="O96" s="30"/>
      <c r="P96" s="30">
        <f t="shared" si="22"/>
        <v>505964.9125</v>
      </c>
      <c r="Q96" s="31"/>
      <c r="R96" s="32"/>
      <c r="S96" s="32"/>
      <c r="T96" s="32">
        <f t="shared" si="14"/>
        <v>-576643</v>
      </c>
      <c r="U96" s="32"/>
    </row>
    <row r="97" spans="1:21">
      <c r="A97" s="44"/>
      <c r="B97" s="44"/>
      <c r="C97" s="45"/>
      <c r="D97" s="45"/>
      <c r="E97" s="46"/>
      <c r="F97" s="46"/>
      <c r="G97" s="47"/>
      <c r="H97" s="28"/>
      <c r="I97" s="28"/>
      <c r="J97" s="29"/>
      <c r="K97" s="29"/>
      <c r="L97" s="29">
        <f t="shared" si="29"/>
        <v>-57561.71</v>
      </c>
      <c r="M97" s="30"/>
      <c r="N97" s="30"/>
      <c r="O97" s="30"/>
      <c r="P97" s="30">
        <f t="shared" si="22"/>
        <v>505964.9125</v>
      </c>
      <c r="Q97" s="31"/>
      <c r="R97" s="32"/>
      <c r="S97" s="32"/>
      <c r="T97" s="32">
        <f t="shared" si="14"/>
        <v>-576643</v>
      </c>
      <c r="U97" s="32"/>
    </row>
    <row r="98" spans="1:21">
      <c r="A98" s="44"/>
      <c r="B98" s="44"/>
      <c r="C98" s="45"/>
      <c r="D98" s="45"/>
      <c r="E98" s="46"/>
      <c r="F98" s="46"/>
      <c r="G98" s="47"/>
      <c r="H98" s="28"/>
      <c r="I98" s="28"/>
      <c r="J98" s="29"/>
      <c r="K98" s="29"/>
      <c r="L98" s="29">
        <f t="shared" si="29"/>
        <v>-57561.71</v>
      </c>
      <c r="M98" s="30"/>
      <c r="N98" s="30"/>
      <c r="O98" s="30"/>
      <c r="P98" s="30">
        <f t="shared" si="22"/>
        <v>505964.9125</v>
      </c>
      <c r="Q98" s="31"/>
      <c r="R98" s="32"/>
      <c r="S98" s="32"/>
      <c r="T98" s="32">
        <f t="shared" si="14"/>
        <v>-576643</v>
      </c>
      <c r="U98" s="32"/>
    </row>
  </sheetData>
  <autoFilter xmlns:etc="http://www.wps.cn/officeDocument/2017/etCustomData" ref="A2:U98" etc:filterBottomFollowUsedRange="0">
    <extLst/>
  </autoFilter>
  <mergeCells count="7">
    <mergeCell ref="A1:U1"/>
    <mergeCell ref="A2:A3"/>
    <mergeCell ref="B2:B3"/>
    <mergeCell ref="D2:D3"/>
    <mergeCell ref="E2:E3"/>
    <mergeCell ref="F2:F3"/>
    <mergeCell ref="G2:G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8"/>
  <sheetViews>
    <sheetView tabSelected="1" zoomScale="85" zoomScaleNormal="85" workbookViewId="0">
      <selection activeCell="A1" sqref="A1:U1"/>
    </sheetView>
  </sheetViews>
  <sheetFormatPr defaultColWidth="9" defaultRowHeight="16.5"/>
  <cols>
    <col min="1" max="1" width="7.72727272727273" style="2" customWidth="1"/>
    <col min="2" max="2" width="5.72727272727273" style="2" customWidth="1"/>
    <col min="3" max="3" width="57.4545454545455" style="2" hidden="1" customWidth="1"/>
    <col min="4" max="4" width="44.8181818181818" style="2" customWidth="1"/>
    <col min="5" max="6" width="8.63636363636364" style="3" customWidth="1"/>
    <col min="7" max="7" width="7" style="4" customWidth="1"/>
    <col min="8" max="8" width="12.6363636363636" style="3" customWidth="1"/>
    <col min="9" max="9" width="11.2727272727273" style="3" customWidth="1"/>
    <col min="10" max="11" width="12.6363636363636" style="3" customWidth="1"/>
    <col min="12" max="12" width="13.9090909090909" style="3" customWidth="1"/>
    <col min="13" max="14" width="13.9090909090909" style="2" customWidth="1"/>
    <col min="15" max="15" width="12.5454545454545" style="2" customWidth="1"/>
    <col min="16" max="16" width="14.8181818181818" style="2" customWidth="1"/>
    <col min="17" max="17" width="14.8181818181818" style="2" hidden="1" customWidth="1"/>
    <col min="18" max="20" width="12.5454545454545" style="2" hidden="1" customWidth="1"/>
    <col min="21" max="21" width="26.7272727272727" style="2" customWidth="1"/>
    <col min="22" max="16379" width="9" style="2"/>
  </cols>
  <sheetData>
    <row r="1" ht="48" customHeight="1" spans="1:21">
      <c r="A1" s="5" t="s">
        <v>18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="1" customFormat="1" ht="33" spans="1:21">
      <c r="A2" s="6" t="s">
        <v>137</v>
      </c>
      <c r="B2" s="6" t="s">
        <v>22</v>
      </c>
      <c r="C2" s="6" t="s">
        <v>23</v>
      </c>
      <c r="D2" s="6" t="s">
        <v>24</v>
      </c>
      <c r="E2" s="7" t="s">
        <v>25</v>
      </c>
      <c r="F2" s="7" t="s">
        <v>26</v>
      </c>
      <c r="G2" s="8" t="s">
        <v>27</v>
      </c>
      <c r="H2" s="9" t="s">
        <v>28</v>
      </c>
      <c r="I2" s="9" t="s">
        <v>29</v>
      </c>
      <c r="J2" s="9" t="s">
        <v>30</v>
      </c>
      <c r="K2" s="9" t="s">
        <v>31</v>
      </c>
      <c r="L2" s="9" t="s">
        <v>32</v>
      </c>
      <c r="M2" s="6" t="s">
        <v>33</v>
      </c>
      <c r="N2" s="6" t="s">
        <v>34</v>
      </c>
      <c r="O2" s="6" t="s">
        <v>35</v>
      </c>
      <c r="P2" s="6" t="s">
        <v>36</v>
      </c>
      <c r="Q2" s="6" t="s">
        <v>37</v>
      </c>
      <c r="R2" s="6" t="s">
        <v>38</v>
      </c>
      <c r="S2" s="6" t="s">
        <v>39</v>
      </c>
      <c r="T2" s="6" t="s">
        <v>40</v>
      </c>
      <c r="U2" s="6" t="s">
        <v>4</v>
      </c>
    </row>
    <row r="3" s="1" customFormat="1" spans="1:21">
      <c r="A3" s="6"/>
      <c r="B3" s="6"/>
      <c r="C3" s="10"/>
      <c r="D3" s="6"/>
      <c r="E3" s="11"/>
      <c r="F3" s="11"/>
      <c r="G3" s="12"/>
      <c r="H3" s="9">
        <f ca="1" t="shared" ref="H3:K3" si="0">SUM(H4:H306)</f>
        <v>354295.65</v>
      </c>
      <c r="I3" s="9">
        <f ca="1" t="shared" si="0"/>
        <v>53144.3475</v>
      </c>
      <c r="J3" s="9">
        <f ca="1" t="shared" si="0"/>
        <v>301151.3025</v>
      </c>
      <c r="K3" s="9">
        <f ca="1" t="shared" si="0"/>
        <v>301151.3025</v>
      </c>
      <c r="L3" s="9">
        <f ca="1">J3-K3</f>
        <v>0</v>
      </c>
      <c r="M3" s="9">
        <f ca="1" t="shared" ref="M3:O3" si="1">SUM(M4:M306)</f>
        <v>354295.65</v>
      </c>
      <c r="N3" s="9">
        <f ca="1" t="shared" si="1"/>
        <v>0</v>
      </c>
      <c r="O3" s="9">
        <f ca="1" t="shared" si="1"/>
        <v>304700.0175</v>
      </c>
      <c r="P3" s="9">
        <f ca="1">M3-O3</f>
        <v>49595.6325000001</v>
      </c>
      <c r="Q3" s="9">
        <f ca="1" t="shared" ref="Q3:U3" si="2">SUM(Q4:Q306)</f>
        <v>0</v>
      </c>
      <c r="R3" s="9">
        <f ca="1" t="shared" si="2"/>
        <v>0</v>
      </c>
      <c r="S3" s="9">
        <f ca="1" t="shared" si="2"/>
        <v>0</v>
      </c>
      <c r="T3" s="9">
        <f ca="1" t="shared" si="2"/>
        <v>0</v>
      </c>
      <c r="U3" s="9">
        <f t="shared" si="2"/>
        <v>0</v>
      </c>
    </row>
    <row r="4" spans="1:21">
      <c r="A4" s="13" t="str" cm="1">
        <f ca="1" t="array" ref="A4:K11">_xlfn._xlws.FILTER(发票统计!A:K,发票统计!A:A=_wpsfn.SHEETSNAME(A2))</f>
        <v>蒲吕片区A段</v>
      </c>
      <c r="B4" s="13" t="str">
        <v>2月</v>
      </c>
      <c r="C4" s="13" t="str">
        <v>铜梁区园区屋顶分布式光伏发电建设项目-蒲吕片区A段10千伏电力新建工程</v>
      </c>
      <c r="D4" s="13" t="str">
        <v>2026.2.9新德润开9%专票到民能：蒲吕片区A段10千伏电力新建</v>
      </c>
      <c r="E4" s="14" t="str">
        <v>民能</v>
      </c>
      <c r="F4" s="15" t="str">
        <v>9%专票</v>
      </c>
      <c r="G4" s="15">
        <v>0.15</v>
      </c>
      <c r="H4" s="16">
        <v>200000</v>
      </c>
      <c r="I4" s="16">
        <v>30000</v>
      </c>
      <c r="J4" s="16">
        <v>170000</v>
      </c>
      <c r="K4" s="16">
        <v>0</v>
      </c>
      <c r="L4" s="16">
        <f ca="1">J4-K4</f>
        <v>170000</v>
      </c>
      <c r="M4" s="16" cm="1">
        <f ca="1" t="array" ref="M4:O11">_xlfn._xlws.FILTER(发票统计!M:O,发票统计!A:A=_wpsfn.SHEETSNAME(A2))</f>
        <v>200000</v>
      </c>
      <c r="N4" s="16">
        <v>0</v>
      </c>
      <c r="O4" s="16">
        <v>0</v>
      </c>
      <c r="P4" s="16">
        <f ca="1">M4-N4</f>
        <v>200000</v>
      </c>
      <c r="Q4" s="16" cm="1">
        <f ca="1" t="array" ref="Q4:S11">_xlfn._xlws.FILTER(发票统计!Q:S,发票统计!A:A=_wpsfn.SHEETSNAME(A2))</f>
        <v>0</v>
      </c>
      <c r="R4" s="16">
        <v>0</v>
      </c>
      <c r="S4" s="16">
        <v>0</v>
      </c>
      <c r="T4" s="16" cm="1">
        <f ca="1" t="array" ref="T4">铜城2回、玉璟尚线、铁井一回、淮拦线4!Q3:Q3-铜城2回、玉璟尚线、铁井一回、淮拦线4!R3:R3-铜城2回、玉璟尚线、铁井一回、淮拦线4!S3:S3</f>
        <v>0</v>
      </c>
      <c r="U4" s="16"/>
    </row>
    <row r="5" spans="1:21">
      <c r="A5" s="13" t="str">
        <v>蒲吕片区A段</v>
      </c>
      <c r="B5" s="13" t="str">
        <v>9月</v>
      </c>
      <c r="C5" s="13" t="str">
        <v>铜梁区园区屋顶分布式光伏发电建设项目-蒲吕片区A段10千伏电力新建工程</v>
      </c>
      <c r="D5" s="13" t="str">
        <v>2026.9.1扣15%管理费</v>
      </c>
      <c r="E5" s="14" t="str">
        <v>民能</v>
      </c>
      <c r="F5" s="15" t="str">
        <v>9%专票</v>
      </c>
      <c r="G5" s="15">
        <v>0.15</v>
      </c>
      <c r="H5" s="16">
        <v>0</v>
      </c>
      <c r="I5" s="16">
        <v>0</v>
      </c>
      <c r="J5" s="16">
        <v>0</v>
      </c>
      <c r="K5" s="16">
        <v>0</v>
      </c>
      <c r="L5" s="16">
        <f ca="1" t="shared" ref="L5:L24" si="3">L4+J5-K5</f>
        <v>170000</v>
      </c>
      <c r="M5" s="16">
        <v>0</v>
      </c>
      <c r="N5" s="16">
        <v>0</v>
      </c>
      <c r="O5" s="16">
        <v>30000</v>
      </c>
      <c r="P5" s="16">
        <f ca="1" t="shared" ref="P5:P17" si="4">P4+M5-N5-O5</f>
        <v>170000</v>
      </c>
      <c r="Q5" s="16">
        <v>0</v>
      </c>
      <c r="R5" s="16">
        <v>0</v>
      </c>
      <c r="S5" s="16">
        <v>0</v>
      </c>
      <c r="T5" s="16" cm="1">
        <f ca="1" t="array" ref="T5">铜城2回、玉璟尚线、铁井一回、淮拦线4!T3:T3+铜城2回、玉璟尚线、铁井一回、淮拦线4!Q4:Q4-铜城2回、玉璟尚线、铁井一回、淮拦线4!R4:R4-铜城2回、玉璟尚线、铁井一回、淮拦线4!S4:S4</f>
        <v>0</v>
      </c>
      <c r="U5" s="16"/>
    </row>
    <row r="6" spans="1:21">
      <c r="A6" s="13" t="str">
        <v>蒲吕片区A段</v>
      </c>
      <c r="B6" s="13" t="str">
        <v>9月</v>
      </c>
      <c r="C6" s="13" t="str">
        <v>铜梁区园区屋顶分布式光伏发电建设项目-蒲吕片区A段10千伏电力新建工程</v>
      </c>
      <c r="D6" s="13" t="str">
        <v>2026.9.1确认前期收到代发工资</v>
      </c>
      <c r="E6" s="14" t="str">
        <v>民能</v>
      </c>
      <c r="F6" s="15" t="str">
        <v>9%专票</v>
      </c>
      <c r="G6" s="15">
        <v>0.15</v>
      </c>
      <c r="H6" s="16">
        <v>0</v>
      </c>
      <c r="I6" s="16">
        <v>0</v>
      </c>
      <c r="J6" s="16">
        <v>0</v>
      </c>
      <c r="K6" s="16">
        <v>200000</v>
      </c>
      <c r="L6" s="16">
        <f ca="1" t="shared" si="3"/>
        <v>-30000</v>
      </c>
      <c r="M6" s="16">
        <v>0</v>
      </c>
      <c r="N6" s="16">
        <v>0</v>
      </c>
      <c r="O6" s="16">
        <v>200000</v>
      </c>
      <c r="P6" s="16">
        <f ca="1" t="shared" si="4"/>
        <v>-30000</v>
      </c>
      <c r="Q6" s="16">
        <v>0</v>
      </c>
      <c r="R6" s="16">
        <v>0</v>
      </c>
      <c r="S6" s="16">
        <v>0</v>
      </c>
      <c r="T6" s="16"/>
      <c r="U6" s="16"/>
    </row>
    <row r="7" spans="1:21">
      <c r="A7" s="13" t="str">
        <v>蒲吕片区A段</v>
      </c>
      <c r="B7" s="13" t="str">
        <v>9月</v>
      </c>
      <c r="C7" s="13" t="str">
        <v>铜梁区园区屋顶分布式光伏发电建设项目-蒲吕片区A段10千伏电力新建工程</v>
      </c>
      <c r="D7" s="13" t="str">
        <v>2026.9.1确认扣9%增值税29253.77，附加科3510.45，印花税212.58，合计32976.8</v>
      </c>
      <c r="E7" s="14" t="str">
        <v>民能</v>
      </c>
      <c r="F7" s="15" t="str">
        <v>9%专票</v>
      </c>
      <c r="G7" s="15">
        <v>0.15</v>
      </c>
      <c r="H7" s="16">
        <v>0</v>
      </c>
      <c r="I7" s="16">
        <v>0</v>
      </c>
      <c r="J7" s="16">
        <v>0</v>
      </c>
      <c r="K7" s="16">
        <v>32976.8</v>
      </c>
      <c r="L7" s="16">
        <f ca="1" t="shared" si="3"/>
        <v>-62976.8</v>
      </c>
      <c r="M7" s="16">
        <v>0</v>
      </c>
      <c r="N7" s="16">
        <v>0</v>
      </c>
      <c r="O7" s="16">
        <v>32976.8</v>
      </c>
      <c r="P7" s="16">
        <f ca="1" t="shared" si="4"/>
        <v>-62976.8</v>
      </c>
      <c r="Q7" s="16">
        <v>0</v>
      </c>
      <c r="R7" s="16">
        <v>0</v>
      </c>
      <c r="S7" s="16">
        <v>0</v>
      </c>
      <c r="T7" s="16"/>
      <c r="U7" s="16"/>
    </row>
    <row r="8" spans="1:21">
      <c r="A8" s="13" t="str">
        <v>蒲吕片区A段</v>
      </c>
      <c r="B8" s="13" t="str">
        <v>9月</v>
      </c>
      <c r="C8" s="13" t="str">
        <v>铜梁区园区屋顶分布式光伏发电建设项目-蒲吕片区A段10千伏电力新建工程</v>
      </c>
      <c r="D8" s="13" t="str">
        <v>2026.9.1扣残保金20W*1.5%</v>
      </c>
      <c r="E8" s="14" t="str">
        <v>民能</v>
      </c>
      <c r="F8" s="15" t="str">
        <v>9%专票</v>
      </c>
      <c r="G8" s="15">
        <v>0.15</v>
      </c>
      <c r="H8" s="16">
        <v>0</v>
      </c>
      <c r="I8" s="16">
        <v>0</v>
      </c>
      <c r="J8" s="16">
        <v>0</v>
      </c>
      <c r="K8" s="16">
        <v>3000</v>
      </c>
      <c r="L8" s="16">
        <f ca="1" t="shared" si="3"/>
        <v>-65976.8</v>
      </c>
      <c r="M8" s="16">
        <v>0</v>
      </c>
      <c r="N8" s="16">
        <v>0</v>
      </c>
      <c r="O8" s="16">
        <v>3000</v>
      </c>
      <c r="P8" s="16">
        <f ca="1" t="shared" si="4"/>
        <v>-65976.8</v>
      </c>
      <c r="Q8" s="16">
        <v>0</v>
      </c>
      <c r="R8" s="16">
        <v>0</v>
      </c>
      <c r="S8" s="16">
        <v>0</v>
      </c>
      <c r="T8" s="16"/>
      <c r="U8" s="16"/>
    </row>
    <row r="9" spans="1:21">
      <c r="A9" s="13" t="str">
        <v>蒲吕片区A段</v>
      </c>
      <c r="B9" s="13" t="str">
        <v>9月</v>
      </c>
      <c r="C9" s="13" t="str">
        <v>铜梁区园区屋顶分布式光伏发电建设项目-蒲吕片区A段10千伏电力新建工程</v>
      </c>
      <c r="D9" s="13" t="str">
        <v>2026.9.1扣个税</v>
      </c>
      <c r="E9" s="14" t="str">
        <v>民能</v>
      </c>
      <c r="F9" s="15" t="str">
        <v>9%专票</v>
      </c>
      <c r="G9" s="15">
        <v>0.15</v>
      </c>
      <c r="H9" s="16">
        <v>0</v>
      </c>
      <c r="I9" s="16">
        <v>0</v>
      </c>
      <c r="J9" s="16">
        <v>0</v>
      </c>
      <c r="K9" s="16">
        <v>4950</v>
      </c>
      <c r="L9" s="16">
        <f ca="1" t="shared" si="3"/>
        <v>-70926.8</v>
      </c>
      <c r="M9" s="16">
        <v>0</v>
      </c>
      <c r="N9" s="16">
        <v>0</v>
      </c>
      <c r="O9" s="16">
        <v>4950</v>
      </c>
      <c r="P9" s="16">
        <f ca="1" t="shared" si="4"/>
        <v>-70926.8</v>
      </c>
      <c r="Q9" s="16">
        <v>0</v>
      </c>
      <c r="R9" s="16">
        <v>0</v>
      </c>
      <c r="S9" s="16">
        <v>0</v>
      </c>
      <c r="T9" s="16"/>
      <c r="U9" s="16"/>
    </row>
    <row r="10" spans="1:21">
      <c r="A10" s="13" t="str">
        <v>蒲吕片区A段</v>
      </c>
      <c r="B10" s="13" t="str">
        <v>9月</v>
      </c>
      <c r="C10" s="13" t="str">
        <v>铜梁区园区屋顶分布式光伏发电建设项目-蒲吕片区A段10千伏电力新建工程</v>
      </c>
      <c r="D10" s="13" t="str">
        <v>2026.9.1质保金354295.65*3%</v>
      </c>
      <c r="E10" s="14" t="str">
        <v>民能</v>
      </c>
      <c r="F10" s="15" t="str">
        <v>9%专票</v>
      </c>
      <c r="G10" s="15">
        <v>0.15</v>
      </c>
      <c r="H10" s="16">
        <v>0</v>
      </c>
      <c r="I10" s="16">
        <v>0</v>
      </c>
      <c r="J10" s="16">
        <v>0</v>
      </c>
      <c r="K10" s="16">
        <v>10628.87</v>
      </c>
      <c r="L10" s="16">
        <f ca="1" t="shared" si="3"/>
        <v>-81555.67</v>
      </c>
      <c r="M10" s="16">
        <v>0</v>
      </c>
      <c r="N10" s="16">
        <v>0</v>
      </c>
      <c r="O10" s="16">
        <v>10628.87</v>
      </c>
      <c r="P10" s="16">
        <f ca="1" t="shared" si="4"/>
        <v>-81555.67</v>
      </c>
      <c r="Q10" s="16">
        <v>0</v>
      </c>
      <c r="R10" s="16">
        <v>0</v>
      </c>
      <c r="S10" s="16">
        <v>0</v>
      </c>
      <c r="T10" s="16"/>
      <c r="U10" s="16"/>
    </row>
    <row r="11" spans="1:21">
      <c r="A11" s="13" t="str">
        <v>蒲吕片区A段</v>
      </c>
      <c r="B11" s="13" t="str">
        <v>9月</v>
      </c>
      <c r="C11" s="13" t="str">
        <v>铜梁区园区屋顶分布式光伏发电建设项目-蒲吕片区A段10千伏电力新建工程</v>
      </c>
      <c r="D11" s="13" t="str">
        <v>2026.9.4新德润开9%专票到民能：蒲吕片区A段10千伏电力新建</v>
      </c>
      <c r="E11" s="14" t="str">
        <v>民能</v>
      </c>
      <c r="F11" s="15" t="str">
        <v>9%专票</v>
      </c>
      <c r="G11" s="15">
        <v>0.15</v>
      </c>
      <c r="H11" s="16">
        <v>154295.65</v>
      </c>
      <c r="I11" s="16">
        <v>23144.3475</v>
      </c>
      <c r="J11" s="16">
        <v>131151.3025</v>
      </c>
      <c r="K11" s="16">
        <v>49595.6325</v>
      </c>
      <c r="L11" s="16">
        <f ca="1" t="shared" si="3"/>
        <v>0</v>
      </c>
      <c r="M11" s="16">
        <v>154295.65</v>
      </c>
      <c r="N11" s="16">
        <v>0</v>
      </c>
      <c r="O11" s="16">
        <v>23144.3475</v>
      </c>
      <c r="P11" s="16">
        <f ca="1" t="shared" si="4"/>
        <v>49595.6325</v>
      </c>
      <c r="Q11" s="16">
        <v>0</v>
      </c>
      <c r="R11" s="16">
        <v>0</v>
      </c>
      <c r="S11" s="16">
        <v>0</v>
      </c>
      <c r="T11" s="16"/>
      <c r="U11" s="16"/>
    </row>
    <row r="12" spans="1:21">
      <c r="A12" s="13"/>
      <c r="B12" s="13"/>
      <c r="C12" s="13"/>
      <c r="D12" s="13"/>
      <c r="E12" s="14"/>
      <c r="F12" s="15"/>
      <c r="G12" s="15"/>
      <c r="H12" s="16"/>
      <c r="I12" s="16"/>
      <c r="J12" s="16"/>
      <c r="K12" s="16"/>
      <c r="L12" s="16">
        <f ca="1" t="shared" si="3"/>
        <v>0</v>
      </c>
      <c r="M12" s="16"/>
      <c r="N12" s="16"/>
      <c r="O12" s="16"/>
      <c r="P12" s="16">
        <f ca="1" t="shared" si="4"/>
        <v>49595.6325</v>
      </c>
      <c r="Q12" s="16"/>
      <c r="R12" s="16"/>
      <c r="S12" s="16"/>
      <c r="T12" s="16"/>
      <c r="U12" s="16"/>
    </row>
    <row r="13" spans="1:21">
      <c r="A13" s="13"/>
      <c r="B13" s="13"/>
      <c r="C13" s="13"/>
      <c r="D13" s="13"/>
      <c r="E13" s="14"/>
      <c r="F13" s="15"/>
      <c r="G13" s="15"/>
      <c r="H13" s="16"/>
      <c r="I13" s="16"/>
      <c r="J13" s="16"/>
      <c r="K13" s="16"/>
      <c r="L13" s="16">
        <f ca="1" t="shared" si="3"/>
        <v>0</v>
      </c>
      <c r="M13" s="16"/>
      <c r="N13" s="16"/>
      <c r="O13" s="16"/>
      <c r="P13" s="16">
        <f ca="1" t="shared" si="4"/>
        <v>49595.6325</v>
      </c>
      <c r="Q13" s="16"/>
      <c r="R13" s="16"/>
      <c r="S13" s="16"/>
      <c r="T13" s="16"/>
      <c r="U13" s="16"/>
    </row>
    <row r="14" spans="1:21">
      <c r="A14" s="13"/>
      <c r="B14" s="13"/>
      <c r="C14" s="13"/>
      <c r="D14" s="13"/>
      <c r="E14" s="14"/>
      <c r="F14" s="15"/>
      <c r="G14" s="15"/>
      <c r="H14" s="16"/>
      <c r="I14" s="16"/>
      <c r="J14" s="16"/>
      <c r="K14" s="16"/>
      <c r="L14" s="16">
        <f ca="1" t="shared" si="3"/>
        <v>0</v>
      </c>
      <c r="M14" s="16"/>
      <c r="N14" s="16"/>
      <c r="O14" s="16"/>
      <c r="P14" s="16">
        <f ca="1" t="shared" si="4"/>
        <v>49595.6325</v>
      </c>
      <c r="Q14" s="16"/>
      <c r="R14" s="16"/>
      <c r="S14" s="16"/>
      <c r="T14" s="16"/>
      <c r="U14" s="16"/>
    </row>
    <row r="15" spans="1:21">
      <c r="A15" s="13"/>
      <c r="B15" s="13"/>
      <c r="C15" s="13"/>
      <c r="D15" s="13"/>
      <c r="E15" s="14"/>
      <c r="F15" s="15"/>
      <c r="G15" s="15"/>
      <c r="H15" s="16"/>
      <c r="I15" s="16"/>
      <c r="J15" s="16"/>
      <c r="K15" s="16"/>
      <c r="L15" s="16">
        <f ca="1" t="shared" si="3"/>
        <v>0</v>
      </c>
      <c r="M15" s="16"/>
      <c r="N15" s="16"/>
      <c r="O15" s="16"/>
      <c r="P15" s="16">
        <f ca="1" t="shared" si="4"/>
        <v>49595.6325</v>
      </c>
      <c r="Q15" s="16"/>
      <c r="R15" s="16"/>
      <c r="S15" s="16"/>
      <c r="T15" s="16"/>
      <c r="U15" s="16"/>
    </row>
    <row r="16" spans="1:21">
      <c r="A16" s="13"/>
      <c r="B16" s="13"/>
      <c r="C16" s="13"/>
      <c r="D16" s="13"/>
      <c r="E16" s="14"/>
      <c r="F16" s="14"/>
      <c r="G16" s="15"/>
      <c r="H16" s="16"/>
      <c r="I16" s="16"/>
      <c r="J16" s="16"/>
      <c r="K16" s="16"/>
      <c r="L16" s="16">
        <f ca="1" t="shared" si="3"/>
        <v>0</v>
      </c>
      <c r="M16" s="16"/>
      <c r="N16" s="16"/>
      <c r="O16" s="16"/>
      <c r="P16" s="16">
        <f ca="1" t="shared" si="4"/>
        <v>49595.6325</v>
      </c>
      <c r="Q16" s="16"/>
      <c r="R16" s="16"/>
      <c r="S16" s="16"/>
      <c r="T16" s="16"/>
      <c r="U16" s="16"/>
    </row>
    <row r="17" spans="1:21">
      <c r="A17" s="13"/>
      <c r="B17" s="13"/>
      <c r="C17" s="13"/>
      <c r="D17" s="13"/>
      <c r="E17" s="14"/>
      <c r="F17" s="14"/>
      <c r="G17" s="15"/>
      <c r="H17" s="16"/>
      <c r="I17" s="16"/>
      <c r="J17" s="16"/>
      <c r="K17" s="16"/>
      <c r="L17" s="16">
        <f ca="1" t="shared" si="3"/>
        <v>0</v>
      </c>
      <c r="M17" s="16"/>
      <c r="N17" s="16"/>
      <c r="O17" s="16"/>
      <c r="P17" s="16">
        <f ca="1" t="shared" si="4"/>
        <v>49595.6325</v>
      </c>
      <c r="Q17" s="16"/>
      <c r="R17" s="16"/>
      <c r="S17" s="16"/>
      <c r="T17" s="16"/>
      <c r="U17" s="16"/>
    </row>
    <row r="18" spans="1:21">
      <c r="A18" s="13"/>
      <c r="B18" s="13"/>
      <c r="C18" s="13"/>
      <c r="D18" s="13"/>
      <c r="E18" s="14"/>
      <c r="F18" s="14"/>
      <c r="G18" s="15"/>
      <c r="H18" s="16"/>
      <c r="I18" s="16"/>
      <c r="J18" s="16"/>
      <c r="K18" s="16"/>
      <c r="L18" s="16">
        <f ca="1" t="shared" si="3"/>
        <v>0</v>
      </c>
      <c r="M18" s="16"/>
      <c r="N18" s="16"/>
      <c r="O18" s="16"/>
      <c r="P18" s="16">
        <f ca="1" t="shared" ref="P18:P34" si="5">P17+M18-O18</f>
        <v>49595.6325</v>
      </c>
      <c r="Q18" s="16"/>
      <c r="R18" s="16"/>
      <c r="S18" s="16"/>
      <c r="T18" s="16"/>
      <c r="U18" s="16"/>
    </row>
    <row r="19" spans="1:21">
      <c r="A19" s="13"/>
      <c r="B19" s="13"/>
      <c r="C19" s="13"/>
      <c r="D19" s="13"/>
      <c r="E19" s="14"/>
      <c r="F19" s="14"/>
      <c r="G19" s="15"/>
      <c r="H19" s="16"/>
      <c r="I19" s="16"/>
      <c r="J19" s="16"/>
      <c r="K19" s="16"/>
      <c r="L19" s="16">
        <f ca="1" t="shared" si="3"/>
        <v>0</v>
      </c>
      <c r="M19" s="16"/>
      <c r="N19" s="16"/>
      <c r="O19" s="16"/>
      <c r="P19" s="16">
        <f ca="1" t="shared" si="5"/>
        <v>49595.6325</v>
      </c>
      <c r="Q19" s="16"/>
      <c r="R19" s="16"/>
      <c r="S19" s="16"/>
      <c r="T19" s="16"/>
      <c r="U19" s="16"/>
    </row>
    <row r="20" spans="1:21">
      <c r="A20" s="13"/>
      <c r="B20" s="13"/>
      <c r="C20" s="13"/>
      <c r="D20" s="13"/>
      <c r="E20" s="14"/>
      <c r="F20" s="14"/>
      <c r="G20" s="15"/>
      <c r="H20" s="16"/>
      <c r="I20" s="16"/>
      <c r="J20" s="16"/>
      <c r="K20" s="16"/>
      <c r="L20" s="16">
        <f ca="1" t="shared" si="3"/>
        <v>0</v>
      </c>
      <c r="M20" s="16"/>
      <c r="N20" s="16"/>
      <c r="O20" s="16"/>
      <c r="P20" s="16">
        <f ca="1" t="shared" si="5"/>
        <v>49595.6325</v>
      </c>
      <c r="Q20" s="16"/>
      <c r="R20" s="16"/>
      <c r="S20" s="16"/>
      <c r="T20" s="16"/>
      <c r="U20" s="16"/>
    </row>
    <row r="21" spans="1:21">
      <c r="A21" s="13"/>
      <c r="B21" s="13"/>
      <c r="C21" s="13"/>
      <c r="D21" s="13"/>
      <c r="E21" s="14"/>
      <c r="F21" s="14"/>
      <c r="G21" s="15"/>
      <c r="H21" s="16"/>
      <c r="I21" s="16"/>
      <c r="J21" s="16"/>
      <c r="K21" s="16"/>
      <c r="L21" s="16">
        <f ca="1" t="shared" si="3"/>
        <v>0</v>
      </c>
      <c r="M21" s="16"/>
      <c r="N21" s="16"/>
      <c r="O21" s="16"/>
      <c r="P21" s="16">
        <f ca="1" t="shared" si="5"/>
        <v>49595.6325</v>
      </c>
      <c r="Q21" s="16"/>
      <c r="R21" s="16"/>
      <c r="S21" s="16"/>
      <c r="T21" s="16"/>
      <c r="U21" s="16"/>
    </row>
    <row r="22" spans="1:21">
      <c r="A22" s="13"/>
      <c r="B22" s="13"/>
      <c r="C22" s="13"/>
      <c r="D22" s="13"/>
      <c r="E22" s="14"/>
      <c r="F22" s="14"/>
      <c r="G22" s="15"/>
      <c r="H22" s="16"/>
      <c r="I22" s="16"/>
      <c r="J22" s="16"/>
      <c r="K22" s="16"/>
      <c r="L22" s="16">
        <f ca="1" t="shared" si="3"/>
        <v>0</v>
      </c>
      <c r="M22" s="16"/>
      <c r="N22" s="16"/>
      <c r="O22" s="16"/>
      <c r="P22" s="16">
        <f ca="1" t="shared" si="5"/>
        <v>49595.6325</v>
      </c>
      <c r="Q22" s="16"/>
      <c r="R22" s="16"/>
      <c r="S22" s="16"/>
      <c r="T22" s="16"/>
      <c r="U22" s="16"/>
    </row>
    <row r="23" spans="1:21">
      <c r="A23" s="13"/>
      <c r="B23" s="13"/>
      <c r="C23" s="13"/>
      <c r="D23" s="13"/>
      <c r="E23" s="14"/>
      <c r="F23" s="14"/>
      <c r="G23" s="15"/>
      <c r="H23" s="16"/>
      <c r="I23" s="16"/>
      <c r="J23" s="16"/>
      <c r="K23" s="16"/>
      <c r="L23" s="16">
        <f ca="1" t="shared" si="3"/>
        <v>0</v>
      </c>
      <c r="M23" s="16"/>
      <c r="N23" s="16"/>
      <c r="O23" s="16"/>
      <c r="P23" s="16">
        <f ca="1" t="shared" si="5"/>
        <v>49595.6325</v>
      </c>
      <c r="Q23" s="16"/>
      <c r="R23" s="16"/>
      <c r="S23" s="16"/>
      <c r="T23" s="16"/>
      <c r="U23" s="16"/>
    </row>
    <row r="24" spans="1:21">
      <c r="A24" s="13"/>
      <c r="B24" s="13"/>
      <c r="C24" s="13"/>
      <c r="D24" s="13"/>
      <c r="E24" s="14"/>
      <c r="F24" s="14"/>
      <c r="G24" s="15"/>
      <c r="H24" s="16"/>
      <c r="I24" s="16"/>
      <c r="J24" s="16"/>
      <c r="K24" s="16"/>
      <c r="L24" s="16">
        <f ca="1" t="shared" si="3"/>
        <v>0</v>
      </c>
      <c r="M24" s="16"/>
      <c r="N24" s="16"/>
      <c r="O24" s="16"/>
      <c r="P24" s="16">
        <f ca="1" t="shared" si="5"/>
        <v>49595.6325</v>
      </c>
      <c r="Q24" s="16"/>
      <c r="R24" s="16"/>
      <c r="S24" s="16"/>
      <c r="T24" s="16"/>
      <c r="U24" s="16"/>
    </row>
    <row r="25" spans="1:21">
      <c r="A25" s="13"/>
      <c r="B25" s="13"/>
      <c r="C25" s="13"/>
      <c r="D25" s="13"/>
      <c r="E25" s="14"/>
      <c r="F25" s="14"/>
      <c r="G25" s="15"/>
      <c r="H25" s="16"/>
      <c r="I25" s="16"/>
      <c r="J25" s="16"/>
      <c r="K25" s="16"/>
      <c r="L25" s="16"/>
      <c r="M25" s="16"/>
      <c r="N25" s="16"/>
      <c r="O25" s="16"/>
      <c r="P25" s="16">
        <f ca="1" t="shared" si="5"/>
        <v>49595.6325</v>
      </c>
      <c r="Q25" s="16"/>
      <c r="R25" s="16"/>
      <c r="S25" s="16"/>
      <c r="T25" s="16"/>
      <c r="U25" s="16"/>
    </row>
    <row r="26" spans="1:21">
      <c r="A26" s="13"/>
      <c r="B26" s="13"/>
      <c r="C26" s="13"/>
      <c r="D26" s="13"/>
      <c r="E26" s="14"/>
      <c r="F26" s="14"/>
      <c r="G26" s="15"/>
      <c r="H26" s="16"/>
      <c r="I26" s="16"/>
      <c r="J26" s="16"/>
      <c r="K26" s="16"/>
      <c r="L26" s="16"/>
      <c r="M26" s="16"/>
      <c r="N26" s="16"/>
      <c r="O26" s="16"/>
      <c r="P26" s="16">
        <f ca="1" t="shared" si="5"/>
        <v>49595.6325</v>
      </c>
      <c r="Q26" s="16"/>
      <c r="R26" s="16"/>
      <c r="S26" s="16"/>
      <c r="T26" s="16"/>
      <c r="U26" s="16"/>
    </row>
    <row r="27" spans="1:21">
      <c r="A27" s="13"/>
      <c r="B27" s="13"/>
      <c r="C27" s="13"/>
      <c r="D27" s="13"/>
      <c r="E27" s="14"/>
      <c r="F27" s="14"/>
      <c r="G27" s="15"/>
      <c r="H27" s="16"/>
      <c r="I27" s="16"/>
      <c r="J27" s="16"/>
      <c r="K27" s="16"/>
      <c r="L27" s="16"/>
      <c r="M27" s="16"/>
      <c r="N27" s="16"/>
      <c r="O27" s="16"/>
      <c r="P27" s="16">
        <f ca="1" t="shared" si="5"/>
        <v>49595.6325</v>
      </c>
      <c r="Q27" s="16"/>
      <c r="R27" s="16"/>
      <c r="S27" s="16"/>
      <c r="T27" s="16"/>
      <c r="U27" s="16"/>
    </row>
    <row r="28" spans="1:21">
      <c r="A28" s="13"/>
      <c r="B28" s="13"/>
      <c r="C28" s="13"/>
      <c r="D28" s="13"/>
      <c r="E28" s="14"/>
      <c r="F28" s="14"/>
      <c r="G28" s="15"/>
      <c r="H28" s="16"/>
      <c r="I28" s="16"/>
      <c r="J28" s="16"/>
      <c r="K28" s="16"/>
      <c r="L28" s="16"/>
      <c r="M28" s="16"/>
      <c r="N28" s="16"/>
      <c r="O28" s="16"/>
      <c r="P28" s="16">
        <f ca="1" t="shared" si="5"/>
        <v>49595.6325</v>
      </c>
      <c r="Q28" s="16"/>
      <c r="R28" s="16"/>
      <c r="S28" s="16"/>
      <c r="T28" s="16"/>
      <c r="U28" s="16"/>
    </row>
    <row r="29" spans="1:21">
      <c r="A29" s="13"/>
      <c r="B29" s="13"/>
      <c r="C29" s="13"/>
      <c r="D29" s="13"/>
      <c r="E29" s="14"/>
      <c r="F29" s="14"/>
      <c r="G29" s="15"/>
      <c r="H29" s="16"/>
      <c r="I29" s="16"/>
      <c r="J29" s="16"/>
      <c r="K29" s="16"/>
      <c r="L29" s="16"/>
      <c r="M29" s="16"/>
      <c r="N29" s="16"/>
      <c r="O29" s="16"/>
      <c r="P29" s="16">
        <f ca="1" t="shared" si="5"/>
        <v>49595.6325</v>
      </c>
      <c r="Q29" s="16"/>
      <c r="R29" s="16"/>
      <c r="S29" s="16"/>
      <c r="T29" s="16"/>
      <c r="U29" s="16"/>
    </row>
    <row r="30" spans="1:21">
      <c r="A30" s="13"/>
      <c r="B30" s="13"/>
      <c r="C30" s="13"/>
      <c r="D30" s="13"/>
      <c r="E30" s="14"/>
      <c r="F30" s="14"/>
      <c r="G30" s="15"/>
      <c r="H30" s="16"/>
      <c r="I30" s="16"/>
      <c r="J30" s="16"/>
      <c r="K30" s="16"/>
      <c r="L30" s="16"/>
      <c r="M30" s="16"/>
      <c r="N30" s="16"/>
      <c r="O30" s="16"/>
      <c r="P30" s="16">
        <f ca="1" t="shared" si="5"/>
        <v>49595.6325</v>
      </c>
      <c r="Q30" s="16"/>
      <c r="R30" s="16"/>
      <c r="S30" s="16"/>
      <c r="T30" s="16"/>
      <c r="U30" s="16"/>
    </row>
    <row r="31" spans="1:21">
      <c r="A31" s="13"/>
      <c r="B31" s="13"/>
      <c r="C31" s="13"/>
      <c r="D31" s="13"/>
      <c r="E31" s="14"/>
      <c r="F31" s="14"/>
      <c r="G31" s="15"/>
      <c r="H31" s="16"/>
      <c r="I31" s="16"/>
      <c r="J31" s="16"/>
      <c r="K31" s="16"/>
      <c r="L31" s="16"/>
      <c r="M31" s="16"/>
      <c r="N31" s="16"/>
      <c r="O31" s="16"/>
      <c r="P31" s="16">
        <f ca="1" t="shared" si="5"/>
        <v>49595.6325</v>
      </c>
      <c r="Q31" s="16"/>
      <c r="R31" s="16"/>
      <c r="S31" s="16"/>
      <c r="T31" s="16"/>
      <c r="U31" s="16"/>
    </row>
    <row r="32" spans="1:21">
      <c r="A32" s="13"/>
      <c r="B32" s="13"/>
      <c r="C32" s="13"/>
      <c r="D32" s="13"/>
      <c r="E32" s="14"/>
      <c r="F32" s="14"/>
      <c r="G32" s="15"/>
      <c r="H32" s="16"/>
      <c r="I32" s="16"/>
      <c r="J32" s="16"/>
      <c r="K32" s="16"/>
      <c r="L32" s="16"/>
      <c r="M32" s="16"/>
      <c r="N32" s="16"/>
      <c r="O32" s="16"/>
      <c r="P32" s="16">
        <f ca="1" t="shared" si="5"/>
        <v>49595.6325</v>
      </c>
      <c r="Q32" s="16"/>
      <c r="R32" s="16"/>
      <c r="S32" s="16"/>
      <c r="T32" s="16"/>
      <c r="U32" s="16"/>
    </row>
    <row r="33" spans="1:21">
      <c r="A33" s="13"/>
      <c r="B33" s="13"/>
      <c r="C33" s="13"/>
      <c r="D33" s="13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>
        <f ca="1" t="shared" si="5"/>
        <v>49595.6325</v>
      </c>
      <c r="Q33" s="16"/>
      <c r="R33" s="16"/>
      <c r="S33" s="16"/>
      <c r="T33" s="16"/>
      <c r="U33" s="16"/>
    </row>
    <row r="34" spans="1:21">
      <c r="A34" s="13"/>
      <c r="B34" s="13"/>
      <c r="C34" s="13"/>
      <c r="D34" s="13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>
        <f ca="1" t="shared" si="5"/>
        <v>49595.6325</v>
      </c>
      <c r="Q34" s="16"/>
      <c r="R34" s="16"/>
      <c r="S34" s="16"/>
      <c r="T34" s="16"/>
      <c r="U34" s="16"/>
    </row>
    <row r="35" spans="1:21">
      <c r="A35" s="13"/>
      <c r="B35" s="13"/>
      <c r="C35" s="13"/>
      <c r="D35" s="13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 spans="1:21">
      <c r="A36" s="13"/>
      <c r="B36" s="13"/>
      <c r="C36" s="13"/>
      <c r="D36" s="13"/>
      <c r="E36" s="14"/>
      <c r="F36" s="14"/>
      <c r="G36" s="15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spans="1:21">
      <c r="A37" s="13"/>
      <c r="B37" s="13"/>
      <c r="C37" s="13"/>
      <c r="D37" s="13"/>
      <c r="E37" s="14"/>
      <c r="F37" s="14"/>
      <c r="G37" s="15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spans="1:21">
      <c r="A38" s="13"/>
      <c r="B38" s="13"/>
      <c r="C38" s="13"/>
      <c r="D38" s="13"/>
      <c r="E38" s="14"/>
      <c r="F38" s="14"/>
      <c r="G38" s="15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spans="1:21">
      <c r="A39" s="13"/>
      <c r="B39" s="13"/>
      <c r="C39" s="13"/>
      <c r="D39" s="13"/>
      <c r="E39" s="14"/>
      <c r="F39" s="14"/>
      <c r="G39" s="15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spans="1:21">
      <c r="A40" s="13"/>
      <c r="B40" s="13"/>
      <c r="C40" s="13"/>
      <c r="D40" s="13"/>
      <c r="E40" s="14"/>
      <c r="F40" s="14"/>
      <c r="G40" s="15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spans="1:21">
      <c r="A41" s="13"/>
      <c r="B41" s="13"/>
      <c r="C41" s="13"/>
      <c r="D41" s="13"/>
      <c r="E41" s="14"/>
      <c r="F41" s="14"/>
      <c r="G41" s="15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spans="1:21">
      <c r="A42" s="13"/>
      <c r="B42" s="13"/>
      <c r="C42" s="13"/>
      <c r="D42" s="13"/>
      <c r="E42" s="14"/>
      <c r="F42" s="14"/>
      <c r="G42" s="15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spans="1:21">
      <c r="A43" s="13"/>
      <c r="B43" s="13"/>
      <c r="C43" s="13"/>
      <c r="D43" s="13"/>
      <c r="E43" s="14"/>
      <c r="F43" s="14"/>
      <c r="G43" s="15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spans="1:21">
      <c r="A44" s="13"/>
      <c r="B44" s="13"/>
      <c r="C44" s="13"/>
      <c r="D44" s="13"/>
      <c r="E44" s="14"/>
      <c r="F44" s="14"/>
      <c r="G44" s="15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 spans="1:21">
      <c r="A45" s="13"/>
      <c r="B45" s="13"/>
      <c r="C45" s="13"/>
      <c r="D45" s="13"/>
      <c r="E45" s="14"/>
      <c r="F45" s="14"/>
      <c r="G45" s="15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spans="1:21">
      <c r="A46" s="13"/>
      <c r="B46" s="13"/>
      <c r="C46" s="13"/>
      <c r="D46" s="13"/>
      <c r="E46" s="14"/>
      <c r="F46" s="14"/>
      <c r="G46" s="15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1:21">
      <c r="A47" s="13"/>
      <c r="B47" s="13"/>
      <c r="C47" s="13"/>
      <c r="D47" s="13"/>
      <c r="E47" s="14"/>
      <c r="F47" s="14"/>
      <c r="G47" s="15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spans="1:21">
      <c r="A48" s="13"/>
      <c r="B48" s="13"/>
      <c r="C48" s="13"/>
      <c r="D48" s="13"/>
      <c r="E48" s="14"/>
      <c r="F48" s="14"/>
      <c r="G48" s="15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</row>
  </sheetData>
  <autoFilter xmlns:etc="http://www.wps.cn/officeDocument/2017/etCustomData" ref="A2:V36" etc:filterBottomFollowUsedRange="0">
    <extLst/>
  </autoFilter>
  <mergeCells count="7">
    <mergeCell ref="A1:U1"/>
    <mergeCell ref="A2:A3"/>
    <mergeCell ref="B2:B3"/>
    <mergeCell ref="D2:D3"/>
    <mergeCell ref="E2:E3"/>
    <mergeCell ref="F2:F3"/>
    <mergeCell ref="G2:G3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8"/>
  <sheetViews>
    <sheetView zoomScale="85" zoomScaleNormal="85" workbookViewId="0">
      <selection activeCell="A1" sqref="A1:U1"/>
    </sheetView>
  </sheetViews>
  <sheetFormatPr defaultColWidth="9" defaultRowHeight="16.5"/>
  <cols>
    <col min="1" max="1" width="7.72727272727273" style="2" customWidth="1"/>
    <col min="2" max="2" width="5.72727272727273" style="2" customWidth="1"/>
    <col min="3" max="3" width="57.4545454545455" style="2" hidden="1" customWidth="1"/>
    <col min="4" max="4" width="44.8181818181818" style="2" customWidth="1"/>
    <col min="5" max="6" width="8.63636363636364" style="3" customWidth="1"/>
    <col min="7" max="7" width="7" style="4" customWidth="1"/>
    <col min="8" max="8" width="12.6363636363636" style="3" customWidth="1"/>
    <col min="9" max="9" width="11.2727272727273" style="3" customWidth="1"/>
    <col min="10" max="11" width="12.6363636363636" style="3" customWidth="1"/>
    <col min="12" max="12" width="13.9090909090909" style="3" customWidth="1"/>
    <col min="13" max="14" width="13.9090909090909" style="2" customWidth="1"/>
    <col min="15" max="15" width="12.5454545454545" style="2" customWidth="1"/>
    <col min="16" max="16" width="14.8181818181818" style="2" customWidth="1"/>
    <col min="17" max="17" width="14.8181818181818" style="2" hidden="1" customWidth="1"/>
    <col min="18" max="20" width="12.5454545454545" style="2" hidden="1" customWidth="1"/>
    <col min="21" max="21" width="26.7272727272727" style="2" customWidth="1"/>
    <col min="22" max="16379" width="9" style="2"/>
  </cols>
  <sheetData>
    <row r="1" ht="48" customHeight="1" spans="1:21">
      <c r="A1" s="5" t="s">
        <v>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="1" customFormat="1" ht="33" spans="1:21">
      <c r="A2" s="6" t="s">
        <v>137</v>
      </c>
      <c r="B2" s="6" t="s">
        <v>22</v>
      </c>
      <c r="C2" s="6" t="s">
        <v>23</v>
      </c>
      <c r="D2" s="6" t="s">
        <v>24</v>
      </c>
      <c r="E2" s="7" t="s">
        <v>25</v>
      </c>
      <c r="F2" s="7" t="s">
        <v>26</v>
      </c>
      <c r="G2" s="8" t="s">
        <v>27</v>
      </c>
      <c r="H2" s="9" t="s">
        <v>28</v>
      </c>
      <c r="I2" s="9" t="s">
        <v>29</v>
      </c>
      <c r="J2" s="9" t="s">
        <v>30</v>
      </c>
      <c r="K2" s="9" t="s">
        <v>31</v>
      </c>
      <c r="L2" s="9" t="s">
        <v>32</v>
      </c>
      <c r="M2" s="6" t="s">
        <v>33</v>
      </c>
      <c r="N2" s="6" t="s">
        <v>34</v>
      </c>
      <c r="O2" s="6" t="s">
        <v>35</v>
      </c>
      <c r="P2" s="6" t="s">
        <v>36</v>
      </c>
      <c r="Q2" s="6" t="s">
        <v>37</v>
      </c>
      <c r="R2" s="6" t="s">
        <v>38</v>
      </c>
      <c r="S2" s="6" t="s">
        <v>39</v>
      </c>
      <c r="T2" s="6" t="s">
        <v>40</v>
      </c>
      <c r="U2" s="6" t="s">
        <v>4</v>
      </c>
    </row>
    <row r="3" s="1" customFormat="1" spans="1:21">
      <c r="A3" s="6"/>
      <c r="B3" s="6"/>
      <c r="C3" s="10"/>
      <c r="D3" s="6"/>
      <c r="E3" s="11"/>
      <c r="F3" s="11"/>
      <c r="G3" s="12"/>
      <c r="H3" s="9">
        <f ca="1" t="shared" ref="H3:K3" si="0">SUM(H4:H306)</f>
        <v>107944.61</v>
      </c>
      <c r="I3" s="9">
        <f ca="1" t="shared" si="0"/>
        <v>0</v>
      </c>
      <c r="J3" s="9">
        <f ca="1" t="shared" si="0"/>
        <v>107944.61</v>
      </c>
      <c r="K3" s="9">
        <f ca="1" t="shared" si="0"/>
        <v>107944.61</v>
      </c>
      <c r="L3" s="9">
        <f ca="1">J3-K3</f>
        <v>0</v>
      </c>
      <c r="M3" s="9">
        <f ca="1" t="shared" ref="M3:O3" si="1">SUM(M4:M306)</f>
        <v>107944.61</v>
      </c>
      <c r="N3" s="9">
        <f ca="1" t="shared" si="1"/>
        <v>0</v>
      </c>
      <c r="O3" s="9">
        <f ca="1" t="shared" si="1"/>
        <v>0</v>
      </c>
      <c r="P3" s="9">
        <f ca="1">M3-O3</f>
        <v>107944.61</v>
      </c>
      <c r="Q3" s="9">
        <f ca="1" t="shared" ref="Q3:U3" si="2">SUM(Q4:Q306)</f>
        <v>0</v>
      </c>
      <c r="R3" s="9">
        <f ca="1" t="shared" si="2"/>
        <v>0</v>
      </c>
      <c r="S3" s="9">
        <f ca="1" t="shared" si="2"/>
        <v>0</v>
      </c>
      <c r="T3" s="9">
        <f ca="1" t="shared" si="2"/>
        <v>0</v>
      </c>
      <c r="U3" s="9">
        <f t="shared" si="2"/>
        <v>0</v>
      </c>
    </row>
    <row r="4" spans="1:21">
      <c r="A4" s="13" t="str" cm="1">
        <f ca="1" t="array" ref="A4:K5">_xlfn._xlws.FILTER(发票统计!A:K,发票统计!A:A=_wpsfn.SHEETSNAME(A2))</f>
        <v>淮阳站阳高线</v>
      </c>
      <c r="B4" s="13" t="str">
        <v>3月</v>
      </c>
      <c r="C4" s="13" t="str">
        <v>重庆铜梁110kV淮阳站阳高线10kV配套送出工程（安装）</v>
      </c>
      <c r="D4" s="13" t="str">
        <v>2026.3.25新德润开票到民能：淮阳站阳高线</v>
      </c>
      <c r="E4" s="14" t="str">
        <v>民能</v>
      </c>
      <c r="F4" s="15" t="str">
        <v>3%专票</v>
      </c>
      <c r="G4" s="15">
        <v>0</v>
      </c>
      <c r="H4" s="16">
        <v>57824</v>
      </c>
      <c r="I4" s="16">
        <v>0</v>
      </c>
      <c r="J4" s="16">
        <v>57824</v>
      </c>
      <c r="K4" s="16">
        <v>57824</v>
      </c>
      <c r="L4" s="16">
        <f ca="1">J4-K4</f>
        <v>0</v>
      </c>
      <c r="M4" s="16" cm="1">
        <f ca="1" t="array" ref="M4:O5">_xlfn._xlws.FILTER(发票统计!M:O,发票统计!A:A=_wpsfn.SHEETSNAME(A2))</f>
        <v>57824</v>
      </c>
      <c r="N4" s="16">
        <v>0</v>
      </c>
      <c r="O4" s="16">
        <v>0</v>
      </c>
      <c r="P4" s="16">
        <f ca="1">M4-N4</f>
        <v>57824</v>
      </c>
      <c r="Q4" s="16" cm="1">
        <f ca="1" t="array" ref="Q4:S5">_xlfn._xlws.FILTER(发票统计!Q:S,发票统计!A:A=_wpsfn.SHEETSNAME(A2))</f>
        <v>0</v>
      </c>
      <c r="R4" s="16">
        <v>0</v>
      </c>
      <c r="S4" s="16">
        <v>0</v>
      </c>
      <c r="T4" s="16" cm="1">
        <f ca="1" t="array" ref="T4">铜城2回、玉璟尚线、铁井一回、淮拦线4!Q3:Q3-铜城2回、玉璟尚线、铁井一回、淮拦线4!R3:R3-铜城2回、玉璟尚线、铁井一回、淮拦线4!S3:S3</f>
        <v>0</v>
      </c>
      <c r="U4" s="16"/>
    </row>
    <row r="5" spans="1:21">
      <c r="A5" s="13" t="str">
        <v>淮阳站阳高线</v>
      </c>
      <c r="B5" s="13" t="str">
        <v>3月</v>
      </c>
      <c r="C5" s="13" t="str">
        <v>重庆铜梁110kV淮阳站阳高线10kV配套送出工程（安装）</v>
      </c>
      <c r="D5" s="13" t="str">
        <v>2026.3.25张氏机电-新德润：淮阳站阳高线</v>
      </c>
      <c r="E5" s="14" t="str">
        <v>新德润</v>
      </c>
      <c r="F5" s="15">
        <v>0</v>
      </c>
      <c r="G5" s="15">
        <v>0</v>
      </c>
      <c r="H5" s="16">
        <v>50120.61</v>
      </c>
      <c r="I5" s="16">
        <v>0</v>
      </c>
      <c r="J5" s="16">
        <v>50120.61</v>
      </c>
      <c r="K5" s="16">
        <v>50120.61</v>
      </c>
      <c r="L5" s="16">
        <f ca="1" t="shared" ref="L5:L24" si="3">L4+J5-K5</f>
        <v>0</v>
      </c>
      <c r="M5" s="16">
        <v>50120.61</v>
      </c>
      <c r="N5" s="16">
        <v>0</v>
      </c>
      <c r="O5" s="16">
        <v>0</v>
      </c>
      <c r="P5" s="16">
        <f ca="1" t="shared" ref="P5:P17" si="4">P4+M5-N5-O5</f>
        <v>107944.61</v>
      </c>
      <c r="Q5" s="16">
        <v>0</v>
      </c>
      <c r="R5" s="16">
        <v>0</v>
      </c>
      <c r="S5" s="16">
        <v>0</v>
      </c>
      <c r="T5" s="16" cm="1">
        <f ca="1" t="array" ref="T5">铜城2回、玉璟尚线、铁井一回、淮拦线4!T3:T3+铜城2回、玉璟尚线、铁井一回、淮拦线4!Q4:Q4-铜城2回、玉璟尚线、铁井一回、淮拦线4!R4:R4-铜城2回、玉璟尚线、铁井一回、淮拦线4!S4:S4</f>
        <v>0</v>
      </c>
      <c r="U5" s="16"/>
    </row>
    <row r="6" spans="1:21">
      <c r="A6" s="13"/>
      <c r="B6" s="13"/>
      <c r="C6" s="13"/>
      <c r="D6" s="13"/>
      <c r="E6" s="14"/>
      <c r="F6" s="15"/>
      <c r="G6" s="15"/>
      <c r="H6" s="16"/>
      <c r="I6" s="16"/>
      <c r="J6" s="16"/>
      <c r="K6" s="16"/>
      <c r="L6" s="16">
        <f ca="1" t="shared" si="3"/>
        <v>0</v>
      </c>
      <c r="M6" s="16"/>
      <c r="N6" s="16"/>
      <c r="O6" s="16"/>
      <c r="P6" s="16">
        <f ca="1" t="shared" si="4"/>
        <v>107944.61</v>
      </c>
      <c r="Q6" s="16"/>
      <c r="R6" s="16"/>
      <c r="S6" s="16"/>
      <c r="T6" s="16"/>
      <c r="U6" s="16"/>
    </row>
    <row r="7" spans="1:21">
      <c r="A7" s="13"/>
      <c r="B7" s="13"/>
      <c r="C7" s="13"/>
      <c r="D7" s="13"/>
      <c r="E7" s="14"/>
      <c r="F7" s="15"/>
      <c r="G7" s="15"/>
      <c r="H7" s="16"/>
      <c r="I7" s="16"/>
      <c r="J7" s="16"/>
      <c r="K7" s="16"/>
      <c r="L7" s="16">
        <f ca="1" t="shared" si="3"/>
        <v>0</v>
      </c>
      <c r="M7" s="16"/>
      <c r="N7" s="16"/>
      <c r="O7" s="16"/>
      <c r="P7" s="16">
        <f ca="1" t="shared" si="4"/>
        <v>107944.61</v>
      </c>
      <c r="Q7" s="16"/>
      <c r="R7" s="16"/>
      <c r="S7" s="16"/>
      <c r="T7" s="16"/>
      <c r="U7" s="16"/>
    </row>
    <row r="8" spans="1:21">
      <c r="A8" s="13"/>
      <c r="B8" s="13"/>
      <c r="C8" s="13"/>
      <c r="D8" s="13"/>
      <c r="E8" s="14"/>
      <c r="F8" s="15"/>
      <c r="G8" s="15"/>
      <c r="H8" s="16"/>
      <c r="I8" s="16"/>
      <c r="J8" s="16"/>
      <c r="K8" s="16"/>
      <c r="L8" s="16">
        <f ca="1" t="shared" si="3"/>
        <v>0</v>
      </c>
      <c r="M8" s="16"/>
      <c r="N8" s="16"/>
      <c r="O8" s="16"/>
      <c r="P8" s="16">
        <f ca="1" t="shared" si="4"/>
        <v>107944.61</v>
      </c>
      <c r="Q8" s="16"/>
      <c r="R8" s="16"/>
      <c r="S8" s="16"/>
      <c r="T8" s="16"/>
      <c r="U8" s="16"/>
    </row>
    <row r="9" spans="1:21">
      <c r="A9" s="13"/>
      <c r="B9" s="13"/>
      <c r="C9" s="13"/>
      <c r="D9" s="13"/>
      <c r="E9" s="14"/>
      <c r="F9" s="15"/>
      <c r="G9" s="15"/>
      <c r="H9" s="16"/>
      <c r="I9" s="16"/>
      <c r="J9" s="16"/>
      <c r="K9" s="16"/>
      <c r="L9" s="16">
        <f ca="1" t="shared" si="3"/>
        <v>0</v>
      </c>
      <c r="M9" s="16"/>
      <c r="N9" s="16"/>
      <c r="O9" s="16"/>
      <c r="P9" s="16">
        <f ca="1" t="shared" si="4"/>
        <v>107944.61</v>
      </c>
      <c r="Q9" s="16"/>
      <c r="R9" s="16"/>
      <c r="S9" s="16"/>
      <c r="T9" s="16"/>
      <c r="U9" s="16"/>
    </row>
    <row r="10" spans="1:21">
      <c r="A10" s="13"/>
      <c r="B10" s="13"/>
      <c r="C10" s="13"/>
      <c r="D10" s="13"/>
      <c r="E10" s="14"/>
      <c r="F10" s="15"/>
      <c r="G10" s="15"/>
      <c r="H10" s="16"/>
      <c r="I10" s="16"/>
      <c r="J10" s="16"/>
      <c r="K10" s="16"/>
      <c r="L10" s="16">
        <f ca="1" t="shared" si="3"/>
        <v>0</v>
      </c>
      <c r="M10" s="16"/>
      <c r="N10" s="16"/>
      <c r="O10" s="16"/>
      <c r="P10" s="16">
        <f ca="1" t="shared" si="4"/>
        <v>107944.61</v>
      </c>
      <c r="Q10" s="16"/>
      <c r="R10" s="16"/>
      <c r="S10" s="16"/>
      <c r="T10" s="16"/>
      <c r="U10" s="16"/>
    </row>
    <row r="11" spans="1:21">
      <c r="A11" s="13"/>
      <c r="B11" s="13"/>
      <c r="C11" s="13"/>
      <c r="D11" s="13"/>
      <c r="E11" s="14"/>
      <c r="F11" s="15"/>
      <c r="G11" s="15"/>
      <c r="H11" s="16"/>
      <c r="I11" s="16"/>
      <c r="J11" s="16"/>
      <c r="K11" s="16"/>
      <c r="L11" s="16">
        <f ca="1" t="shared" si="3"/>
        <v>0</v>
      </c>
      <c r="M11" s="16"/>
      <c r="N11" s="16"/>
      <c r="O11" s="16"/>
      <c r="P11" s="16">
        <f ca="1" t="shared" si="4"/>
        <v>107944.61</v>
      </c>
      <c r="Q11" s="16"/>
      <c r="R11" s="16"/>
      <c r="S11" s="16"/>
      <c r="T11" s="16"/>
      <c r="U11" s="16"/>
    </row>
    <row r="12" spans="1:21">
      <c r="A12" s="13"/>
      <c r="B12" s="13"/>
      <c r="C12" s="13"/>
      <c r="D12" s="13"/>
      <c r="E12" s="14"/>
      <c r="F12" s="15"/>
      <c r="G12" s="15"/>
      <c r="H12" s="16"/>
      <c r="I12" s="16"/>
      <c r="J12" s="16"/>
      <c r="K12" s="16"/>
      <c r="L12" s="16">
        <f ca="1" t="shared" si="3"/>
        <v>0</v>
      </c>
      <c r="M12" s="16"/>
      <c r="N12" s="16"/>
      <c r="O12" s="16"/>
      <c r="P12" s="16">
        <f ca="1" t="shared" si="4"/>
        <v>107944.61</v>
      </c>
      <c r="Q12" s="16"/>
      <c r="R12" s="16"/>
      <c r="S12" s="16"/>
      <c r="T12" s="16"/>
      <c r="U12" s="16"/>
    </row>
    <row r="13" spans="1:21">
      <c r="A13" s="13"/>
      <c r="B13" s="13"/>
      <c r="C13" s="13"/>
      <c r="D13" s="13"/>
      <c r="E13" s="14"/>
      <c r="F13" s="15"/>
      <c r="G13" s="15"/>
      <c r="H13" s="16"/>
      <c r="I13" s="16"/>
      <c r="J13" s="16"/>
      <c r="K13" s="16"/>
      <c r="L13" s="16">
        <f ca="1" t="shared" si="3"/>
        <v>0</v>
      </c>
      <c r="M13" s="16"/>
      <c r="N13" s="16"/>
      <c r="O13" s="16"/>
      <c r="P13" s="16">
        <f ca="1" t="shared" si="4"/>
        <v>107944.61</v>
      </c>
      <c r="Q13" s="16"/>
      <c r="R13" s="16"/>
      <c r="S13" s="16"/>
      <c r="T13" s="16"/>
      <c r="U13" s="16"/>
    </row>
    <row r="14" spans="1:21">
      <c r="A14" s="13"/>
      <c r="B14" s="13"/>
      <c r="C14" s="13"/>
      <c r="D14" s="13"/>
      <c r="E14" s="14"/>
      <c r="F14" s="15"/>
      <c r="G14" s="15"/>
      <c r="H14" s="16"/>
      <c r="I14" s="16"/>
      <c r="J14" s="16"/>
      <c r="K14" s="16"/>
      <c r="L14" s="16">
        <f ca="1" t="shared" si="3"/>
        <v>0</v>
      </c>
      <c r="M14" s="16"/>
      <c r="N14" s="16"/>
      <c r="O14" s="16"/>
      <c r="P14" s="16">
        <f ca="1" t="shared" si="4"/>
        <v>107944.61</v>
      </c>
      <c r="Q14" s="16"/>
      <c r="R14" s="16"/>
      <c r="S14" s="16"/>
      <c r="T14" s="16"/>
      <c r="U14" s="16"/>
    </row>
    <row r="15" spans="1:21">
      <c r="A15" s="13"/>
      <c r="B15" s="13"/>
      <c r="C15" s="13"/>
      <c r="D15" s="13"/>
      <c r="E15" s="14"/>
      <c r="F15" s="15"/>
      <c r="G15" s="15"/>
      <c r="H15" s="16"/>
      <c r="I15" s="16"/>
      <c r="J15" s="16"/>
      <c r="K15" s="16"/>
      <c r="L15" s="16">
        <f ca="1" t="shared" si="3"/>
        <v>0</v>
      </c>
      <c r="M15" s="16"/>
      <c r="N15" s="16"/>
      <c r="O15" s="16"/>
      <c r="P15" s="16">
        <f ca="1" t="shared" si="4"/>
        <v>107944.61</v>
      </c>
      <c r="Q15" s="16"/>
      <c r="R15" s="16"/>
      <c r="S15" s="16"/>
      <c r="T15" s="16"/>
      <c r="U15" s="16"/>
    </row>
    <row r="16" spans="1:21">
      <c r="A16" s="13"/>
      <c r="B16" s="13"/>
      <c r="C16" s="13"/>
      <c r="D16" s="13"/>
      <c r="E16" s="14"/>
      <c r="F16" s="14"/>
      <c r="G16" s="15"/>
      <c r="H16" s="16"/>
      <c r="I16" s="16"/>
      <c r="J16" s="16"/>
      <c r="K16" s="16"/>
      <c r="L16" s="16">
        <f ca="1" t="shared" si="3"/>
        <v>0</v>
      </c>
      <c r="M16" s="16"/>
      <c r="N16" s="16"/>
      <c r="O16" s="16"/>
      <c r="P16" s="16">
        <f ca="1" t="shared" si="4"/>
        <v>107944.61</v>
      </c>
      <c r="Q16" s="16"/>
      <c r="R16" s="16"/>
      <c r="S16" s="16"/>
      <c r="T16" s="16"/>
      <c r="U16" s="16"/>
    </row>
    <row r="17" spans="1:21">
      <c r="A17" s="13"/>
      <c r="B17" s="13"/>
      <c r="C17" s="13"/>
      <c r="D17" s="13"/>
      <c r="E17" s="14"/>
      <c r="F17" s="14"/>
      <c r="G17" s="15"/>
      <c r="H17" s="16"/>
      <c r="I17" s="16"/>
      <c r="J17" s="16"/>
      <c r="K17" s="16"/>
      <c r="L17" s="16">
        <f ca="1" t="shared" si="3"/>
        <v>0</v>
      </c>
      <c r="M17" s="16"/>
      <c r="N17" s="16"/>
      <c r="O17" s="16"/>
      <c r="P17" s="16">
        <f ca="1" t="shared" si="4"/>
        <v>107944.61</v>
      </c>
      <c r="Q17" s="16"/>
      <c r="R17" s="16"/>
      <c r="S17" s="16"/>
      <c r="T17" s="16"/>
      <c r="U17" s="16"/>
    </row>
    <row r="18" spans="1:21">
      <c r="A18" s="13"/>
      <c r="B18" s="13"/>
      <c r="C18" s="13"/>
      <c r="D18" s="13"/>
      <c r="E18" s="14"/>
      <c r="F18" s="14"/>
      <c r="G18" s="15"/>
      <c r="H18" s="16"/>
      <c r="I18" s="16"/>
      <c r="J18" s="16"/>
      <c r="K18" s="16"/>
      <c r="L18" s="16">
        <f ca="1" t="shared" si="3"/>
        <v>0</v>
      </c>
      <c r="M18" s="16"/>
      <c r="N18" s="16"/>
      <c r="O18" s="16"/>
      <c r="P18" s="16">
        <f ca="1" t="shared" ref="P5:P34" si="5">P17+M18-O18</f>
        <v>107944.61</v>
      </c>
      <c r="Q18" s="16"/>
      <c r="R18" s="16"/>
      <c r="S18" s="16"/>
      <c r="T18" s="16"/>
      <c r="U18" s="16"/>
    </row>
    <row r="19" spans="1:21">
      <c r="A19" s="13"/>
      <c r="B19" s="13"/>
      <c r="C19" s="13"/>
      <c r="D19" s="13"/>
      <c r="E19" s="14"/>
      <c r="F19" s="14"/>
      <c r="G19" s="15"/>
      <c r="H19" s="16"/>
      <c r="I19" s="16"/>
      <c r="J19" s="16"/>
      <c r="K19" s="16"/>
      <c r="L19" s="16">
        <f ca="1" t="shared" si="3"/>
        <v>0</v>
      </c>
      <c r="M19" s="16"/>
      <c r="N19" s="16"/>
      <c r="O19" s="16"/>
      <c r="P19" s="16">
        <f ca="1" t="shared" si="5"/>
        <v>107944.61</v>
      </c>
      <c r="Q19" s="16"/>
      <c r="R19" s="16"/>
      <c r="S19" s="16"/>
      <c r="T19" s="16"/>
      <c r="U19" s="16"/>
    </row>
    <row r="20" spans="1:21">
      <c r="A20" s="13"/>
      <c r="B20" s="13"/>
      <c r="C20" s="13"/>
      <c r="D20" s="13"/>
      <c r="E20" s="14"/>
      <c r="F20" s="14"/>
      <c r="G20" s="15"/>
      <c r="H20" s="16"/>
      <c r="I20" s="16"/>
      <c r="J20" s="16"/>
      <c r="K20" s="16"/>
      <c r="L20" s="16">
        <f ca="1" t="shared" si="3"/>
        <v>0</v>
      </c>
      <c r="M20" s="16"/>
      <c r="N20" s="16"/>
      <c r="O20" s="16"/>
      <c r="P20" s="16">
        <f ca="1" t="shared" si="5"/>
        <v>107944.61</v>
      </c>
      <c r="Q20" s="16"/>
      <c r="R20" s="16"/>
      <c r="S20" s="16"/>
      <c r="T20" s="16"/>
      <c r="U20" s="16"/>
    </row>
    <row r="21" spans="1:21">
      <c r="A21" s="13"/>
      <c r="B21" s="13"/>
      <c r="C21" s="13"/>
      <c r="D21" s="13"/>
      <c r="E21" s="14"/>
      <c r="F21" s="14"/>
      <c r="G21" s="15"/>
      <c r="H21" s="16"/>
      <c r="I21" s="16"/>
      <c r="J21" s="16"/>
      <c r="K21" s="16"/>
      <c r="L21" s="16">
        <f ca="1" t="shared" si="3"/>
        <v>0</v>
      </c>
      <c r="M21" s="16"/>
      <c r="N21" s="16"/>
      <c r="O21" s="16"/>
      <c r="P21" s="16">
        <f ca="1" t="shared" si="5"/>
        <v>107944.61</v>
      </c>
      <c r="Q21" s="16"/>
      <c r="R21" s="16"/>
      <c r="S21" s="16"/>
      <c r="T21" s="16"/>
      <c r="U21" s="16"/>
    </row>
    <row r="22" spans="1:21">
      <c r="A22" s="13"/>
      <c r="B22" s="13"/>
      <c r="C22" s="13"/>
      <c r="D22" s="13"/>
      <c r="E22" s="14"/>
      <c r="F22" s="14"/>
      <c r="G22" s="15"/>
      <c r="H22" s="16"/>
      <c r="I22" s="16"/>
      <c r="J22" s="16"/>
      <c r="K22" s="16"/>
      <c r="L22" s="16">
        <f ca="1" t="shared" si="3"/>
        <v>0</v>
      </c>
      <c r="M22" s="16"/>
      <c r="N22" s="16"/>
      <c r="O22" s="16"/>
      <c r="P22" s="16">
        <f ca="1" t="shared" si="5"/>
        <v>107944.61</v>
      </c>
      <c r="Q22" s="16"/>
      <c r="R22" s="16"/>
      <c r="S22" s="16"/>
      <c r="T22" s="16"/>
      <c r="U22" s="16"/>
    </row>
    <row r="23" spans="1:21">
      <c r="A23" s="13"/>
      <c r="B23" s="13"/>
      <c r="C23" s="13"/>
      <c r="D23" s="13"/>
      <c r="E23" s="14"/>
      <c r="F23" s="14"/>
      <c r="G23" s="15"/>
      <c r="H23" s="16"/>
      <c r="I23" s="16"/>
      <c r="J23" s="16"/>
      <c r="K23" s="16"/>
      <c r="L23" s="16">
        <f ca="1" t="shared" si="3"/>
        <v>0</v>
      </c>
      <c r="M23" s="16"/>
      <c r="N23" s="16"/>
      <c r="O23" s="16"/>
      <c r="P23" s="16">
        <f ca="1" t="shared" si="5"/>
        <v>107944.61</v>
      </c>
      <c r="Q23" s="16"/>
      <c r="R23" s="16"/>
      <c r="S23" s="16"/>
      <c r="T23" s="16"/>
      <c r="U23" s="16"/>
    </row>
    <row r="24" spans="1:21">
      <c r="A24" s="13"/>
      <c r="B24" s="13"/>
      <c r="C24" s="13"/>
      <c r="D24" s="13"/>
      <c r="E24" s="14"/>
      <c r="F24" s="14"/>
      <c r="G24" s="15"/>
      <c r="H24" s="16"/>
      <c r="I24" s="16"/>
      <c r="J24" s="16"/>
      <c r="K24" s="16"/>
      <c r="L24" s="16">
        <f ca="1" t="shared" si="3"/>
        <v>0</v>
      </c>
      <c r="M24" s="16"/>
      <c r="N24" s="16"/>
      <c r="O24" s="16"/>
      <c r="P24" s="16">
        <f ca="1" t="shared" si="5"/>
        <v>107944.61</v>
      </c>
      <c r="Q24" s="16"/>
      <c r="R24" s="16"/>
      <c r="S24" s="16"/>
      <c r="T24" s="16"/>
      <c r="U24" s="16"/>
    </row>
    <row r="25" spans="1:21">
      <c r="A25" s="13"/>
      <c r="B25" s="13"/>
      <c r="C25" s="13"/>
      <c r="D25" s="13"/>
      <c r="E25" s="14"/>
      <c r="F25" s="14"/>
      <c r="G25" s="15"/>
      <c r="H25" s="16"/>
      <c r="I25" s="16"/>
      <c r="J25" s="16"/>
      <c r="K25" s="16"/>
      <c r="L25" s="16"/>
      <c r="M25" s="16"/>
      <c r="N25" s="16"/>
      <c r="O25" s="16"/>
      <c r="P25" s="16">
        <f ca="1" t="shared" si="5"/>
        <v>107944.61</v>
      </c>
      <c r="Q25" s="16"/>
      <c r="R25" s="16"/>
      <c r="S25" s="16"/>
      <c r="T25" s="16"/>
      <c r="U25" s="16"/>
    </row>
    <row r="26" spans="1:21">
      <c r="A26" s="13"/>
      <c r="B26" s="13"/>
      <c r="C26" s="13"/>
      <c r="D26" s="13"/>
      <c r="E26" s="14"/>
      <c r="F26" s="14"/>
      <c r="G26" s="15"/>
      <c r="H26" s="16"/>
      <c r="I26" s="16"/>
      <c r="J26" s="16"/>
      <c r="K26" s="16"/>
      <c r="L26" s="16"/>
      <c r="M26" s="16"/>
      <c r="N26" s="16"/>
      <c r="O26" s="16"/>
      <c r="P26" s="16">
        <f ca="1" t="shared" si="5"/>
        <v>107944.61</v>
      </c>
      <c r="Q26" s="16"/>
      <c r="R26" s="16"/>
      <c r="S26" s="16"/>
      <c r="T26" s="16"/>
      <c r="U26" s="16"/>
    </row>
    <row r="27" spans="1:21">
      <c r="A27" s="13"/>
      <c r="B27" s="13"/>
      <c r="C27" s="13"/>
      <c r="D27" s="13"/>
      <c r="E27" s="14"/>
      <c r="F27" s="14"/>
      <c r="G27" s="15"/>
      <c r="H27" s="16"/>
      <c r="I27" s="16"/>
      <c r="J27" s="16"/>
      <c r="K27" s="16"/>
      <c r="L27" s="16"/>
      <c r="M27" s="16"/>
      <c r="N27" s="16"/>
      <c r="O27" s="16"/>
      <c r="P27" s="16">
        <f ca="1" t="shared" si="5"/>
        <v>107944.61</v>
      </c>
      <c r="Q27" s="16"/>
      <c r="R27" s="16"/>
      <c r="S27" s="16"/>
      <c r="T27" s="16"/>
      <c r="U27" s="16"/>
    </row>
    <row r="28" spans="1:21">
      <c r="A28" s="13"/>
      <c r="B28" s="13"/>
      <c r="C28" s="13"/>
      <c r="D28" s="13"/>
      <c r="E28" s="14"/>
      <c r="F28" s="14"/>
      <c r="G28" s="15"/>
      <c r="H28" s="16"/>
      <c r="I28" s="16"/>
      <c r="J28" s="16"/>
      <c r="K28" s="16"/>
      <c r="L28" s="16"/>
      <c r="M28" s="16"/>
      <c r="N28" s="16"/>
      <c r="O28" s="16"/>
      <c r="P28" s="16">
        <f ca="1" t="shared" si="5"/>
        <v>107944.61</v>
      </c>
      <c r="Q28" s="16"/>
      <c r="R28" s="16"/>
      <c r="S28" s="16"/>
      <c r="T28" s="16"/>
      <c r="U28" s="16"/>
    </row>
    <row r="29" spans="1:21">
      <c r="A29" s="13"/>
      <c r="B29" s="13"/>
      <c r="C29" s="13"/>
      <c r="D29" s="13"/>
      <c r="E29" s="14"/>
      <c r="F29" s="14"/>
      <c r="G29" s="15"/>
      <c r="H29" s="16"/>
      <c r="I29" s="16"/>
      <c r="J29" s="16"/>
      <c r="K29" s="16"/>
      <c r="L29" s="16"/>
      <c r="M29" s="16"/>
      <c r="N29" s="16"/>
      <c r="O29" s="16"/>
      <c r="P29" s="16">
        <f ca="1" t="shared" si="5"/>
        <v>107944.61</v>
      </c>
      <c r="Q29" s="16"/>
      <c r="R29" s="16"/>
      <c r="S29" s="16"/>
      <c r="T29" s="16"/>
      <c r="U29" s="16"/>
    </row>
    <row r="30" spans="1:21">
      <c r="A30" s="13"/>
      <c r="B30" s="13"/>
      <c r="C30" s="13"/>
      <c r="D30" s="13"/>
      <c r="E30" s="14"/>
      <c r="F30" s="14"/>
      <c r="G30" s="15"/>
      <c r="H30" s="16"/>
      <c r="I30" s="16"/>
      <c r="J30" s="16"/>
      <c r="K30" s="16"/>
      <c r="L30" s="16"/>
      <c r="M30" s="16"/>
      <c r="N30" s="16"/>
      <c r="O30" s="16"/>
      <c r="P30" s="16">
        <f ca="1" t="shared" si="5"/>
        <v>107944.61</v>
      </c>
      <c r="Q30" s="16"/>
      <c r="R30" s="16"/>
      <c r="S30" s="16"/>
      <c r="T30" s="16"/>
      <c r="U30" s="16"/>
    </row>
    <row r="31" spans="1:21">
      <c r="A31" s="13"/>
      <c r="B31" s="13"/>
      <c r="C31" s="13"/>
      <c r="D31" s="13"/>
      <c r="E31" s="14"/>
      <c r="F31" s="14"/>
      <c r="G31" s="15"/>
      <c r="H31" s="16"/>
      <c r="I31" s="16"/>
      <c r="J31" s="16"/>
      <c r="K31" s="16"/>
      <c r="L31" s="16"/>
      <c r="M31" s="16"/>
      <c r="N31" s="16"/>
      <c r="O31" s="16"/>
      <c r="P31" s="16">
        <f ca="1" t="shared" si="5"/>
        <v>107944.61</v>
      </c>
      <c r="Q31" s="16"/>
      <c r="R31" s="16"/>
      <c r="S31" s="16"/>
      <c r="T31" s="16"/>
      <c r="U31" s="16"/>
    </row>
    <row r="32" spans="1:21">
      <c r="A32" s="13"/>
      <c r="B32" s="13"/>
      <c r="C32" s="13"/>
      <c r="D32" s="13"/>
      <c r="E32" s="14"/>
      <c r="F32" s="14"/>
      <c r="G32" s="15"/>
      <c r="H32" s="16"/>
      <c r="I32" s="16"/>
      <c r="J32" s="16"/>
      <c r="K32" s="16"/>
      <c r="L32" s="16"/>
      <c r="M32" s="16"/>
      <c r="N32" s="16"/>
      <c r="O32" s="16"/>
      <c r="P32" s="16">
        <f ca="1" t="shared" si="5"/>
        <v>107944.61</v>
      </c>
      <c r="Q32" s="16"/>
      <c r="R32" s="16"/>
      <c r="S32" s="16"/>
      <c r="T32" s="16"/>
      <c r="U32" s="16"/>
    </row>
    <row r="33" spans="1:21">
      <c r="A33" s="13"/>
      <c r="B33" s="13"/>
      <c r="C33" s="13"/>
      <c r="D33" s="13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>
        <f ca="1" t="shared" si="5"/>
        <v>107944.61</v>
      </c>
      <c r="Q33" s="16"/>
      <c r="R33" s="16"/>
      <c r="S33" s="16"/>
      <c r="T33" s="16"/>
      <c r="U33" s="16"/>
    </row>
    <row r="34" spans="1:21">
      <c r="A34" s="13"/>
      <c r="B34" s="13"/>
      <c r="C34" s="13"/>
      <c r="D34" s="13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>
        <f ca="1" t="shared" si="5"/>
        <v>107944.61</v>
      </c>
      <c r="Q34" s="16"/>
      <c r="R34" s="16"/>
      <c r="S34" s="16"/>
      <c r="T34" s="16"/>
      <c r="U34" s="16"/>
    </row>
    <row r="35" spans="1:21">
      <c r="A35" s="13"/>
      <c r="B35" s="13"/>
      <c r="C35" s="13"/>
      <c r="D35" s="13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 spans="1:21">
      <c r="A36" s="13"/>
      <c r="B36" s="13"/>
      <c r="C36" s="13"/>
      <c r="D36" s="13"/>
      <c r="E36" s="14"/>
      <c r="F36" s="14"/>
      <c r="G36" s="15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spans="1:21">
      <c r="A37" s="13"/>
      <c r="B37" s="13"/>
      <c r="C37" s="13"/>
      <c r="D37" s="13"/>
      <c r="E37" s="14"/>
      <c r="F37" s="14"/>
      <c r="G37" s="15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spans="1:21">
      <c r="A38" s="13"/>
      <c r="B38" s="13"/>
      <c r="C38" s="13"/>
      <c r="D38" s="13"/>
      <c r="E38" s="14"/>
      <c r="F38" s="14"/>
      <c r="G38" s="15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spans="1:21">
      <c r="A39" s="13"/>
      <c r="B39" s="13"/>
      <c r="C39" s="13"/>
      <c r="D39" s="13"/>
      <c r="E39" s="14"/>
      <c r="F39" s="14"/>
      <c r="G39" s="15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spans="1:21">
      <c r="A40" s="13"/>
      <c r="B40" s="13"/>
      <c r="C40" s="13"/>
      <c r="D40" s="13"/>
      <c r="E40" s="14"/>
      <c r="F40" s="14"/>
      <c r="G40" s="15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spans="1:21">
      <c r="A41" s="13"/>
      <c r="B41" s="13"/>
      <c r="C41" s="13"/>
      <c r="D41" s="13"/>
      <c r="E41" s="14"/>
      <c r="F41" s="14"/>
      <c r="G41" s="15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spans="1:21">
      <c r="A42" s="13"/>
      <c r="B42" s="13"/>
      <c r="C42" s="13"/>
      <c r="D42" s="13"/>
      <c r="E42" s="14"/>
      <c r="F42" s="14"/>
      <c r="G42" s="15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spans="1:21">
      <c r="A43" s="13"/>
      <c r="B43" s="13"/>
      <c r="C43" s="13"/>
      <c r="D43" s="13"/>
      <c r="E43" s="14"/>
      <c r="F43" s="14"/>
      <c r="G43" s="15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spans="1:21">
      <c r="A44" s="13"/>
      <c r="B44" s="13"/>
      <c r="C44" s="13"/>
      <c r="D44" s="13"/>
      <c r="E44" s="14"/>
      <c r="F44" s="14"/>
      <c r="G44" s="15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 spans="1:21">
      <c r="A45" s="13"/>
      <c r="B45" s="13"/>
      <c r="C45" s="13"/>
      <c r="D45" s="13"/>
      <c r="E45" s="14"/>
      <c r="F45" s="14"/>
      <c r="G45" s="15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spans="1:21">
      <c r="A46" s="13"/>
      <c r="B46" s="13"/>
      <c r="C46" s="13"/>
      <c r="D46" s="13"/>
      <c r="E46" s="14"/>
      <c r="F46" s="14"/>
      <c r="G46" s="15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1:21">
      <c r="A47" s="13"/>
      <c r="B47" s="13"/>
      <c r="C47" s="13"/>
      <c r="D47" s="13"/>
      <c r="E47" s="14"/>
      <c r="F47" s="14"/>
      <c r="G47" s="15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spans="1:21">
      <c r="A48" s="13"/>
      <c r="B48" s="13"/>
      <c r="C48" s="13"/>
      <c r="D48" s="13"/>
      <c r="E48" s="14"/>
      <c r="F48" s="14"/>
      <c r="G48" s="15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</row>
  </sheetData>
  <autoFilter xmlns:etc="http://www.wps.cn/officeDocument/2017/etCustomData" ref="A2:V36" etc:filterBottomFollowUsedRange="0">
    <extLst/>
  </autoFilter>
  <mergeCells count="7">
    <mergeCell ref="A1:U1"/>
    <mergeCell ref="A2:A3"/>
    <mergeCell ref="B2:B3"/>
    <mergeCell ref="D2:D3"/>
    <mergeCell ref="E2:E3"/>
    <mergeCell ref="F2:F3"/>
    <mergeCell ref="G2:G3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8"/>
  <sheetViews>
    <sheetView zoomScale="85" zoomScaleNormal="85" topLeftCell="A4" workbookViewId="0">
      <selection activeCell="A1" sqref="A1:U1"/>
    </sheetView>
  </sheetViews>
  <sheetFormatPr defaultColWidth="9" defaultRowHeight="16.5"/>
  <cols>
    <col min="1" max="1" width="8.87272727272727" style="2" customWidth="1"/>
    <col min="2" max="2" width="5.72727272727273" style="2" hidden="1" customWidth="1"/>
    <col min="3" max="3" width="57.4545454545455" style="2" hidden="1" customWidth="1"/>
    <col min="4" max="4" width="49.6181818181818" style="2" customWidth="1"/>
    <col min="5" max="6" width="8.63636363636364" style="3" customWidth="1"/>
    <col min="7" max="7" width="7" style="4" customWidth="1"/>
    <col min="8" max="8" width="12.6363636363636" style="3" customWidth="1"/>
    <col min="9" max="9" width="11.2727272727273" style="3" customWidth="1"/>
    <col min="10" max="11" width="12.6363636363636" style="3" customWidth="1"/>
    <col min="12" max="12" width="10.6909090909091" style="3" customWidth="1"/>
    <col min="13" max="13" width="13.9090909090909" style="2" customWidth="1"/>
    <col min="14" max="14" width="6.81818181818182" style="2" customWidth="1"/>
    <col min="15" max="15" width="12.5454545454545" style="2" customWidth="1"/>
    <col min="16" max="16" width="14.8181818181818" style="2" customWidth="1"/>
    <col min="17" max="17" width="12.3" style="2" customWidth="1"/>
    <col min="18" max="18" width="10.1545454545455" style="2" customWidth="1"/>
    <col min="19" max="19" width="12.5454545454545" style="2" customWidth="1"/>
    <col min="20" max="20" width="17.3636363636364" style="2" customWidth="1"/>
    <col min="21" max="21" width="16.7818181818182" style="2" customWidth="1"/>
    <col min="22" max="16378" width="9" style="2"/>
  </cols>
  <sheetData>
    <row r="1" ht="44" customHeight="1" spans="1:21">
      <c r="A1" s="5" t="s">
        <v>138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="1" customFormat="1" ht="33" spans="1:21">
      <c r="A2" s="6" t="s">
        <v>137</v>
      </c>
      <c r="B2" s="6" t="s">
        <v>22</v>
      </c>
      <c r="C2" s="6" t="s">
        <v>23</v>
      </c>
      <c r="D2" s="6" t="s">
        <v>24</v>
      </c>
      <c r="E2" s="7" t="s">
        <v>25</v>
      </c>
      <c r="F2" s="7" t="s">
        <v>26</v>
      </c>
      <c r="G2" s="8" t="s">
        <v>27</v>
      </c>
      <c r="H2" s="9" t="s">
        <v>28</v>
      </c>
      <c r="I2" s="9" t="s">
        <v>29</v>
      </c>
      <c r="J2" s="9" t="s">
        <v>30</v>
      </c>
      <c r="K2" s="9" t="s">
        <v>31</v>
      </c>
      <c r="L2" s="9" t="s">
        <v>32</v>
      </c>
      <c r="M2" s="6" t="s">
        <v>33</v>
      </c>
      <c r="N2" s="6" t="s">
        <v>139</v>
      </c>
      <c r="O2" s="6" t="s">
        <v>35</v>
      </c>
      <c r="P2" s="6" t="s">
        <v>36</v>
      </c>
      <c r="Q2" s="6" t="s">
        <v>37</v>
      </c>
      <c r="R2" s="6" t="s">
        <v>38</v>
      </c>
      <c r="S2" s="6" t="s">
        <v>39</v>
      </c>
      <c r="T2" s="6" t="s">
        <v>40</v>
      </c>
      <c r="U2" s="6" t="s">
        <v>4</v>
      </c>
    </row>
    <row r="3" s="1" customFormat="1" spans="1:21">
      <c r="A3" s="6"/>
      <c r="B3" s="6"/>
      <c r="C3" s="10"/>
      <c r="D3" s="6"/>
      <c r="E3" s="11"/>
      <c r="F3" s="11"/>
      <c r="G3" s="12"/>
      <c r="H3" s="9">
        <f ca="1" t="shared" ref="H3:K3" si="0">SUM(H4:H306)</f>
        <v>895460</v>
      </c>
      <c r="I3" s="9">
        <f ca="1" t="shared" si="0"/>
        <v>0</v>
      </c>
      <c r="J3" s="9">
        <f ca="1" t="shared" si="0"/>
        <v>795460</v>
      </c>
      <c r="K3" s="9">
        <f ca="1" t="shared" si="0"/>
        <v>795460</v>
      </c>
      <c r="L3" s="9">
        <f ca="1">J3-K3</f>
        <v>0</v>
      </c>
      <c r="M3" s="9">
        <f ca="1" t="shared" ref="M3:O3" si="1">SUM(M4:M306)</f>
        <v>695460</v>
      </c>
      <c r="N3" s="9">
        <f ca="1" t="shared" si="1"/>
        <v>0</v>
      </c>
      <c r="O3" s="9">
        <f ca="1" t="shared" si="1"/>
        <v>350000</v>
      </c>
      <c r="P3" s="9">
        <f ca="1">M3-O3</f>
        <v>345460</v>
      </c>
      <c r="Q3" s="9">
        <f ca="1" t="shared" ref="Q3:U3" si="2">SUM(Q4:Q306)</f>
        <v>0</v>
      </c>
      <c r="R3" s="9">
        <f ca="1" t="shared" si="2"/>
        <v>0</v>
      </c>
      <c r="S3" s="9">
        <f ca="1" t="shared" si="2"/>
        <v>576643</v>
      </c>
      <c r="T3" s="9">
        <f ca="1" t="shared" si="2"/>
        <v>-14491347</v>
      </c>
      <c r="U3" s="9">
        <f t="shared" si="2"/>
        <v>0</v>
      </c>
    </row>
    <row r="4" spans="1:21">
      <c r="A4" s="13" t="str" cm="1">
        <f ca="1" t="array" ref="A4:K45">_xlfn._xlws.FILTER(发票统计!A:K,发票统计!A:A=_wpsfn.SHEETSNAME(A2))</f>
        <v>合川表计</v>
      </c>
      <c r="B4" s="13" t="str">
        <v>6月</v>
      </c>
      <c r="C4" s="13" t="str">
        <v>国网重庆合川供电公司2026年用电信息采集系统建筑相关工程施工(包4)</v>
      </c>
      <c r="D4" s="13" t="str">
        <v>2026.6.1张氏机电开票到新德润：合川表计项目</v>
      </c>
      <c r="E4" s="16" t="str">
        <v>新德润</v>
      </c>
      <c r="F4" s="16" t="str">
        <v>1%普票</v>
      </c>
      <c r="G4" s="16">
        <v>0</v>
      </c>
      <c r="H4" s="16">
        <v>100000</v>
      </c>
      <c r="I4" s="16">
        <v>0</v>
      </c>
      <c r="J4" s="16">
        <v>100000</v>
      </c>
      <c r="K4" s="16">
        <v>100000</v>
      </c>
      <c r="L4" s="16">
        <f ca="1">J4-K4</f>
        <v>0</v>
      </c>
      <c r="M4" s="16" cm="1">
        <f ca="1" t="array" ref="M4:O45">_xlfn._xlws.FILTER(发票统计!M:O,发票统计!A:A=_wpsfn.SHEETSNAME(A2))</f>
        <v>100000</v>
      </c>
      <c r="N4" s="16">
        <v>0</v>
      </c>
      <c r="O4" s="16">
        <v>0</v>
      </c>
      <c r="P4" s="16">
        <f ca="1">M4-N4</f>
        <v>100000</v>
      </c>
      <c r="Q4" s="16" cm="1">
        <f ca="1" t="array" ref="Q4:S45">_xlfn._xlws.FILTER(发票统计!Q:S,发票统计!A:A=_wpsfn.SHEETSNAME(A2))</f>
        <v>0</v>
      </c>
      <c r="R4" s="16">
        <v>0</v>
      </c>
      <c r="S4" s="16">
        <v>0</v>
      </c>
      <c r="T4" s="16">
        <f ca="1">Q4-R4</f>
        <v>0</v>
      </c>
      <c r="U4" s="16"/>
    </row>
    <row r="5" spans="1:21">
      <c r="A5" s="13" t="str">
        <v>合川表计</v>
      </c>
      <c r="B5" s="13" t="str">
        <v>7月</v>
      </c>
      <c r="C5" s="13" t="str">
        <v>国网重庆合川供电公司2026年用电信息采集系统建筑相关工程施工(包4)</v>
      </c>
      <c r="D5" s="13" t="str">
        <v>2026.7.28冷氏五金开票到众聚能：合川表计项目</v>
      </c>
      <c r="E5" s="16" t="str">
        <v>众聚能</v>
      </c>
      <c r="F5" s="16" t="str">
        <v>3%普票</v>
      </c>
      <c r="G5" s="16">
        <v>0</v>
      </c>
      <c r="H5" s="16">
        <v>50000</v>
      </c>
      <c r="I5" s="16">
        <v>0</v>
      </c>
      <c r="J5" s="16">
        <v>50000</v>
      </c>
      <c r="K5" s="16">
        <v>50000</v>
      </c>
      <c r="L5" s="16">
        <f ca="1">L4+J5-K5</f>
        <v>0</v>
      </c>
      <c r="M5" s="16">
        <v>50000</v>
      </c>
      <c r="N5" s="16">
        <v>0</v>
      </c>
      <c r="O5" s="16">
        <v>0</v>
      </c>
      <c r="P5" s="16">
        <f ca="1">P4+M5-N5-O5</f>
        <v>150000</v>
      </c>
      <c r="Q5" s="16">
        <v>0</v>
      </c>
      <c r="R5" s="16">
        <v>0</v>
      </c>
      <c r="S5" s="16">
        <v>0</v>
      </c>
      <c r="T5" s="16">
        <f ca="1" t="shared" ref="T5:T12" si="3">T4+Q5-R5-S5</f>
        <v>0</v>
      </c>
      <c r="U5" s="16"/>
    </row>
    <row r="6" spans="1:21">
      <c r="A6" s="13" t="str">
        <v>合川表计</v>
      </c>
      <c r="B6" s="13" t="str">
        <v>6月</v>
      </c>
      <c r="C6" s="13" t="str">
        <v>国网重庆合川供电公司2026年用电信息采集系统建筑相关工程施工(包4)</v>
      </c>
      <c r="D6" s="13" t="str">
        <v>2026.6.5张氏机电收到新德润转款：合川表计项目</v>
      </c>
      <c r="E6" s="16" t="str">
        <v>新德润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f ca="1" t="shared" ref="L6:L24" si="4">L5+J6-K6</f>
        <v>0</v>
      </c>
      <c r="M6" s="16">
        <v>0</v>
      </c>
      <c r="N6" s="16">
        <v>0</v>
      </c>
      <c r="O6" s="16">
        <v>100000</v>
      </c>
      <c r="P6" s="16">
        <f ca="1" t="shared" ref="P6:P48" si="5">P5+M6-N6-O6</f>
        <v>50000</v>
      </c>
      <c r="Q6" s="16">
        <v>0</v>
      </c>
      <c r="R6" s="16">
        <v>0</v>
      </c>
      <c r="S6" s="16">
        <v>0</v>
      </c>
      <c r="T6" s="16">
        <f ca="1" t="shared" si="3"/>
        <v>0</v>
      </c>
      <c r="U6" s="16"/>
    </row>
    <row r="7" spans="1:21">
      <c r="A7" s="13" t="str">
        <v>合川表计</v>
      </c>
      <c r="B7" s="13" t="str">
        <v>7月</v>
      </c>
      <c r="C7" s="13" t="str">
        <v>国网重庆合川供电公司2026年用电信息采集系统建筑相关工程施工(包4)</v>
      </c>
      <c r="D7" s="13" t="str">
        <v>2026.7.31陈小琴（冷氏五金开）收到新德润打款：合川表计项目</v>
      </c>
      <c r="E7" s="16" t="str">
        <v>新德润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f ca="1" t="shared" si="4"/>
        <v>0</v>
      </c>
      <c r="M7" s="16">
        <v>0</v>
      </c>
      <c r="N7" s="16">
        <v>0</v>
      </c>
      <c r="O7" s="16">
        <v>50000</v>
      </c>
      <c r="P7" s="16">
        <f ca="1" t="shared" si="5"/>
        <v>0</v>
      </c>
      <c r="Q7" s="16">
        <v>0</v>
      </c>
      <c r="R7" s="16">
        <v>0</v>
      </c>
      <c r="S7" s="16">
        <v>0</v>
      </c>
      <c r="T7" s="16">
        <f ca="1" t="shared" si="3"/>
        <v>0</v>
      </c>
      <c r="U7" s="16"/>
    </row>
    <row r="8" spans="1:21">
      <c r="A8" s="13" t="str">
        <v>合川表计</v>
      </c>
      <c r="B8" s="13" t="str">
        <v>8月</v>
      </c>
      <c r="C8" s="13" t="str">
        <v>国网重庆合川供电公司2026年用电信息采集系统建筑相关工程施工(包4)</v>
      </c>
      <c r="D8" s="13" t="str">
        <v>2026.8.21工资表给众聚能挂账：合川表计项目</v>
      </c>
      <c r="E8" s="16" t="str">
        <v>众聚能</v>
      </c>
      <c r="F8" s="16" t="str">
        <v>1%普票</v>
      </c>
      <c r="G8" s="16">
        <v>0</v>
      </c>
      <c r="H8" s="16">
        <v>122000</v>
      </c>
      <c r="I8" s="16">
        <v>0</v>
      </c>
      <c r="J8" s="16">
        <v>122000</v>
      </c>
      <c r="K8" s="16">
        <v>122000</v>
      </c>
      <c r="L8" s="16">
        <f ca="1" t="shared" si="4"/>
        <v>0</v>
      </c>
      <c r="M8" s="16">
        <v>122000</v>
      </c>
      <c r="N8" s="16">
        <v>0</v>
      </c>
      <c r="O8" s="16">
        <v>0</v>
      </c>
      <c r="P8" s="16">
        <f ca="1" t="shared" si="5"/>
        <v>122000</v>
      </c>
      <c r="Q8" s="16">
        <v>0</v>
      </c>
      <c r="R8" s="16">
        <v>0</v>
      </c>
      <c r="S8" s="16">
        <v>0</v>
      </c>
      <c r="T8" s="16">
        <f ca="1" t="shared" si="3"/>
        <v>0</v>
      </c>
      <c r="U8" s="16"/>
    </row>
    <row r="9" spans="1:21">
      <c r="A9" s="13" t="str">
        <v>合川表计</v>
      </c>
      <c r="B9" s="13" t="str">
        <v>8月</v>
      </c>
      <c r="C9" s="13" t="str">
        <v>国网重庆合川供电公司2026年用电信息采集系统建筑相关工程施工(包4)</v>
      </c>
      <c r="D9" s="13" t="str">
        <v>2026.8.21众聚能代付工资：合川表计项目</v>
      </c>
      <c r="E9" s="16" t="str">
        <v>众聚能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f ca="1" t="shared" si="4"/>
        <v>0</v>
      </c>
      <c r="M9" s="16">
        <v>0</v>
      </c>
      <c r="N9" s="16">
        <v>0</v>
      </c>
      <c r="O9" s="16">
        <v>122000</v>
      </c>
      <c r="P9" s="16">
        <f ca="1" t="shared" si="5"/>
        <v>0</v>
      </c>
      <c r="Q9" s="16">
        <v>0</v>
      </c>
      <c r="R9" s="16">
        <v>0</v>
      </c>
      <c r="S9" s="16">
        <v>0</v>
      </c>
      <c r="T9" s="16">
        <f ca="1" t="shared" si="3"/>
        <v>0</v>
      </c>
      <c r="U9" s="16"/>
    </row>
    <row r="10" spans="1:21">
      <c r="A10" s="13" t="str">
        <v>合川表计</v>
      </c>
      <c r="B10" s="13" t="str">
        <v>8月</v>
      </c>
      <c r="C10" s="13" t="str">
        <v>国网重庆合川供电公司2026年用电信息采集系统建筑相关工程施工(包4)</v>
      </c>
      <c r="D10" s="13" t="str">
        <v>2026.8.21工资表给腾泰挂账：合川表计项目</v>
      </c>
      <c r="E10" s="16" t="str">
        <v>腾泰</v>
      </c>
      <c r="F10" s="16" t="str">
        <v>1%普票</v>
      </c>
      <c r="G10" s="16">
        <v>0</v>
      </c>
      <c r="H10" s="16">
        <v>78000</v>
      </c>
      <c r="I10" s="16">
        <v>0</v>
      </c>
      <c r="J10" s="16">
        <v>78000</v>
      </c>
      <c r="K10" s="16">
        <v>78000</v>
      </c>
      <c r="L10" s="16">
        <f ca="1" t="shared" si="4"/>
        <v>0</v>
      </c>
      <c r="M10" s="16">
        <v>78000</v>
      </c>
      <c r="N10" s="16">
        <v>0</v>
      </c>
      <c r="O10" s="16">
        <v>0</v>
      </c>
      <c r="P10" s="16">
        <f ca="1" t="shared" si="5"/>
        <v>78000</v>
      </c>
      <c r="Q10" s="16">
        <v>0</v>
      </c>
      <c r="R10" s="16">
        <v>0</v>
      </c>
      <c r="S10" s="16">
        <v>0</v>
      </c>
      <c r="T10" s="16">
        <f ca="1" t="shared" si="3"/>
        <v>0</v>
      </c>
      <c r="U10" s="16"/>
    </row>
    <row r="11" spans="1:21">
      <c r="A11" s="13" t="str">
        <v>合川表计</v>
      </c>
      <c r="B11" s="13" t="str">
        <v>8月</v>
      </c>
      <c r="C11" s="13" t="str">
        <v>国网重庆合川供电公司2026年用电信息采集系统建筑相关工程施工(包4)</v>
      </c>
      <c r="D11" s="13" t="str">
        <v>2026.8.21腾泰代付工资：合川表计项目</v>
      </c>
      <c r="E11" s="16" t="str">
        <v>腾泰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f ca="1" t="shared" si="4"/>
        <v>0</v>
      </c>
      <c r="M11" s="16">
        <v>0</v>
      </c>
      <c r="N11" s="16">
        <v>0</v>
      </c>
      <c r="O11" s="16">
        <v>78000</v>
      </c>
      <c r="P11" s="16">
        <f ca="1" t="shared" si="5"/>
        <v>0</v>
      </c>
      <c r="Q11" s="16">
        <v>0</v>
      </c>
      <c r="R11" s="16">
        <v>0</v>
      </c>
      <c r="S11" s="16">
        <v>0</v>
      </c>
      <c r="T11" s="16">
        <f ca="1" t="shared" si="3"/>
        <v>0</v>
      </c>
      <c r="U11" s="16"/>
    </row>
    <row r="12" spans="1:21">
      <c r="A12" s="13" t="str">
        <v>合川表计</v>
      </c>
      <c r="B12" s="13" t="str">
        <v>9月</v>
      </c>
      <c r="C12" s="13" t="str">
        <v>国网重庆合川供电公司2026年用电信息采集系统建筑相关工程施工(包4)</v>
      </c>
      <c r="D12" s="13" t="str">
        <v>2026.9.14进源开给润德427712.65，提交15万工资（进源部分人工）：合川表计项目</v>
      </c>
      <c r="E12" s="16" t="str">
        <v>润德</v>
      </c>
      <c r="F12" s="16" t="str">
        <v>3%专票</v>
      </c>
      <c r="G12" s="16">
        <v>0</v>
      </c>
      <c r="H12" s="16">
        <v>150000</v>
      </c>
      <c r="I12" s="16">
        <v>0</v>
      </c>
      <c r="J12" s="16">
        <v>150000</v>
      </c>
      <c r="K12" s="16">
        <v>150000</v>
      </c>
      <c r="L12" s="16">
        <f ca="1" t="shared" si="4"/>
        <v>0</v>
      </c>
      <c r="M12" s="16">
        <v>150000</v>
      </c>
      <c r="N12" s="16">
        <v>0</v>
      </c>
      <c r="O12" s="16">
        <v>0</v>
      </c>
      <c r="P12" s="16">
        <f ca="1" t="shared" si="5"/>
        <v>150000</v>
      </c>
      <c r="Q12" s="16">
        <v>0</v>
      </c>
      <c r="R12" s="16">
        <v>0</v>
      </c>
      <c r="S12" s="16">
        <v>0</v>
      </c>
      <c r="T12" s="16">
        <f ca="1" t="shared" si="3"/>
        <v>0</v>
      </c>
      <c r="U12" s="16"/>
    </row>
    <row r="13" spans="1:21">
      <c r="A13" s="13" t="str">
        <v>合川表计</v>
      </c>
      <c r="B13" s="13" t="str">
        <v>9月</v>
      </c>
      <c r="C13" s="13" t="str">
        <v>国网重庆合川供电公司2026年用电信息采集系统建筑相关工程施工(包4)</v>
      </c>
      <c r="D13" s="13" t="str">
        <v>2026.9.21维维对账提交腾泰工资：合川表计项目</v>
      </c>
      <c r="E13" s="16" t="str">
        <v>腾泰</v>
      </c>
      <c r="F13" s="16" t="str">
        <v>1%普票</v>
      </c>
      <c r="G13" s="16">
        <v>0</v>
      </c>
      <c r="H13" s="16">
        <v>195460</v>
      </c>
      <c r="I13" s="16">
        <v>0</v>
      </c>
      <c r="J13" s="16">
        <v>195460</v>
      </c>
      <c r="K13" s="16">
        <v>195460</v>
      </c>
      <c r="L13" s="16">
        <f ca="1" t="shared" si="4"/>
        <v>0</v>
      </c>
      <c r="M13" s="16">
        <v>195460</v>
      </c>
      <c r="N13" s="16">
        <v>0</v>
      </c>
      <c r="O13" s="16">
        <v>0</v>
      </c>
      <c r="P13" s="16">
        <f ca="1" t="shared" si="5"/>
        <v>345460</v>
      </c>
      <c r="Q13" s="16">
        <v>0</v>
      </c>
      <c r="R13" s="16">
        <v>0</v>
      </c>
      <c r="S13" s="16">
        <v>0</v>
      </c>
      <c r="T13" s="16">
        <f ca="1" t="shared" ref="T13:T48" si="6">T12+Q13-R13-S13</f>
        <v>0</v>
      </c>
      <c r="U13" s="16"/>
    </row>
    <row r="14" spans="1:21">
      <c r="A14" s="13" t="str">
        <v>合川表计</v>
      </c>
      <c r="B14" s="13" t="str">
        <v>9月</v>
      </c>
      <c r="C14" s="13" t="str">
        <v>国网重庆合川供电公司2026年用电信息采集系统建筑相关工程施工(包4)</v>
      </c>
      <c r="D14" s="13" t="str">
        <v>2026.9.21何燕反馈提交10W工资表</v>
      </c>
      <c r="E14" s="16" t="str">
        <v>众聚能</v>
      </c>
      <c r="F14" s="16">
        <v>0</v>
      </c>
      <c r="G14" s="16">
        <v>0</v>
      </c>
      <c r="H14" s="16">
        <v>100000</v>
      </c>
      <c r="I14" s="16">
        <v>0</v>
      </c>
      <c r="J14" s="16">
        <v>100000</v>
      </c>
      <c r="K14" s="16">
        <v>100000</v>
      </c>
      <c r="L14" s="16">
        <f ca="1" t="shared" si="4"/>
        <v>0</v>
      </c>
      <c r="M14" s="16">
        <v>0</v>
      </c>
      <c r="N14" s="16">
        <v>0</v>
      </c>
      <c r="O14" s="16">
        <v>0</v>
      </c>
      <c r="P14" s="16">
        <f ca="1" t="shared" si="5"/>
        <v>345460</v>
      </c>
      <c r="Q14" s="16">
        <v>0</v>
      </c>
      <c r="R14" s="16">
        <v>0</v>
      </c>
      <c r="S14" s="16">
        <v>0</v>
      </c>
      <c r="T14" s="16">
        <f ca="1" t="shared" si="6"/>
        <v>0</v>
      </c>
      <c r="U14" s="16"/>
    </row>
    <row r="15" spans="1:21">
      <c r="A15" s="13" t="str">
        <v>合川表计</v>
      </c>
      <c r="B15" s="13" t="str">
        <v>9月</v>
      </c>
      <c r="C15" s="13" t="str">
        <v>国网重庆合川供电公司2026年用电信息采集系统建筑相关工程施工(包4)</v>
      </c>
      <c r="D15" s="13" t="str">
        <v>2026.9.21小温提供表计工资表给众聚能何燕挂账</v>
      </c>
      <c r="E15" s="16" t="str">
        <v>众聚能</v>
      </c>
      <c r="F15" s="16" t="str">
        <v>1%普票</v>
      </c>
      <c r="G15" s="16">
        <v>0</v>
      </c>
      <c r="H15" s="16">
        <v>100000</v>
      </c>
      <c r="I15" s="16">
        <v>0</v>
      </c>
      <c r="J15" s="16">
        <v>0</v>
      </c>
      <c r="K15" s="16">
        <v>0</v>
      </c>
      <c r="L15" s="16">
        <f ca="1" t="shared" si="4"/>
        <v>0</v>
      </c>
      <c r="M15" s="16">
        <v>0</v>
      </c>
      <c r="N15" s="16">
        <v>0</v>
      </c>
      <c r="O15" s="16">
        <v>0</v>
      </c>
      <c r="P15" s="16">
        <f ca="1" t="shared" si="5"/>
        <v>345460</v>
      </c>
      <c r="Q15" s="16">
        <v>0</v>
      </c>
      <c r="R15" s="16">
        <v>0</v>
      </c>
      <c r="S15" s="16">
        <v>0</v>
      </c>
      <c r="T15" s="16">
        <f ca="1" t="shared" si="6"/>
        <v>0</v>
      </c>
      <c r="U15" s="16"/>
    </row>
    <row r="16" spans="1:21">
      <c r="A16" s="13" t="str">
        <v>合川表计</v>
      </c>
      <c r="B16" s="13" t="str">
        <v>5月</v>
      </c>
      <c r="C16" s="13" t="str">
        <v>国网重庆合川供电公司2026年用电信息采集系统建筑相关工程施工(包4)</v>
      </c>
      <c r="D16" s="13" t="str">
        <v>2026.5.6/5.23代付合川表计工资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f ca="1" t="shared" si="4"/>
        <v>0</v>
      </c>
      <c r="M16" s="16">
        <v>0</v>
      </c>
      <c r="N16" s="16">
        <v>0</v>
      </c>
      <c r="O16" s="16">
        <v>0</v>
      </c>
      <c r="P16" s="16">
        <f ca="1" t="shared" si="5"/>
        <v>345460</v>
      </c>
      <c r="Q16" s="16">
        <v>0</v>
      </c>
      <c r="R16" s="16">
        <v>0</v>
      </c>
      <c r="S16" s="20">
        <v>105000</v>
      </c>
      <c r="T16" s="16">
        <f ca="1" t="shared" si="6"/>
        <v>-105000</v>
      </c>
      <c r="U16" s="16"/>
    </row>
    <row r="17" spans="1:21">
      <c r="A17" s="13" t="str">
        <v>合川表计</v>
      </c>
      <c r="B17" s="13" t="str">
        <v>5月</v>
      </c>
      <c r="C17" s="13" t="str">
        <v>国网重庆合川供电公司2026年用电信息采集系统建筑相关工程施工(包4)</v>
      </c>
      <c r="D17" s="13" t="str">
        <v>2026.5.14伍勇军借支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f ca="1" t="shared" si="4"/>
        <v>0</v>
      </c>
      <c r="M17" s="16">
        <v>0</v>
      </c>
      <c r="N17" s="16">
        <v>0</v>
      </c>
      <c r="O17" s="16">
        <v>0</v>
      </c>
      <c r="P17" s="16">
        <f ca="1" t="shared" si="5"/>
        <v>345460</v>
      </c>
      <c r="Q17" s="16">
        <v>0</v>
      </c>
      <c r="R17" s="16">
        <v>0</v>
      </c>
      <c r="S17" s="20">
        <v>20000</v>
      </c>
      <c r="T17" s="16">
        <f ca="1" t="shared" si="6"/>
        <v>-125000</v>
      </c>
      <c r="U17" s="16"/>
    </row>
    <row r="18" spans="1:21">
      <c r="A18" s="13" t="str">
        <v>合川表计</v>
      </c>
      <c r="B18" s="13" t="str">
        <v>5月</v>
      </c>
      <c r="C18" s="13" t="str">
        <v>国网重庆合川供电公司2026年用电信息采集系统建筑相关工程施工(包4)</v>
      </c>
      <c r="D18" s="13" t="str">
        <v>2026.5.27伍勇军借支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f ca="1" t="shared" si="4"/>
        <v>0</v>
      </c>
      <c r="M18" s="16">
        <v>0</v>
      </c>
      <c r="N18" s="16">
        <v>0</v>
      </c>
      <c r="O18" s="16">
        <v>0</v>
      </c>
      <c r="P18" s="16">
        <f ca="1" t="shared" si="5"/>
        <v>345460</v>
      </c>
      <c r="Q18" s="16">
        <v>0</v>
      </c>
      <c r="R18" s="16">
        <v>0</v>
      </c>
      <c r="S18" s="16">
        <v>10000</v>
      </c>
      <c r="T18" s="16">
        <f ca="1" t="shared" si="6"/>
        <v>-135000</v>
      </c>
      <c r="U18" s="16"/>
    </row>
    <row r="19" spans="1:21">
      <c r="A19" s="13" t="str">
        <v>合川表计</v>
      </c>
      <c r="B19" s="13" t="str">
        <v>6月</v>
      </c>
      <c r="C19" s="13" t="str">
        <v>国网重庆合川供电公司2026年用电信息采集系统建筑相关工程施工(包4)</v>
      </c>
      <c r="D19" s="13" t="str">
        <v>2026.6.8代付合川表计工资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f ca="1" t="shared" si="4"/>
        <v>0</v>
      </c>
      <c r="M19" s="16">
        <v>0</v>
      </c>
      <c r="N19" s="16">
        <v>0</v>
      </c>
      <c r="O19" s="16">
        <v>0</v>
      </c>
      <c r="P19" s="16">
        <f ca="1" t="shared" si="5"/>
        <v>345460</v>
      </c>
      <c r="Q19" s="16">
        <v>0</v>
      </c>
      <c r="R19" s="16">
        <v>0</v>
      </c>
      <c r="S19" s="16">
        <v>91200</v>
      </c>
      <c r="T19" s="16">
        <f ca="1" t="shared" si="6"/>
        <v>-226200</v>
      </c>
      <c r="U19" s="16"/>
    </row>
    <row r="20" spans="1:21">
      <c r="A20" s="13" t="str">
        <v>合川表计</v>
      </c>
      <c r="B20" s="13" t="str">
        <v>6月</v>
      </c>
      <c r="C20" s="13" t="str">
        <v>国网重庆合川供电公司2026年用电信息采集系统建筑相关工程施工(包4)</v>
      </c>
      <c r="D20" s="13" t="str">
        <v>2026.6.18/6.30代付合川表计工资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f ca="1" t="shared" si="4"/>
        <v>0</v>
      </c>
      <c r="M20" s="16">
        <v>0</v>
      </c>
      <c r="N20" s="16">
        <v>0</v>
      </c>
      <c r="O20" s="16">
        <v>0</v>
      </c>
      <c r="P20" s="16">
        <f ca="1" t="shared" si="5"/>
        <v>345460</v>
      </c>
      <c r="Q20" s="16">
        <v>0</v>
      </c>
      <c r="R20" s="16">
        <v>0</v>
      </c>
      <c r="S20" s="16">
        <v>75943</v>
      </c>
      <c r="T20" s="16">
        <f ca="1" t="shared" si="6"/>
        <v>-302143</v>
      </c>
      <c r="U20" s="16"/>
    </row>
    <row r="21" spans="1:21">
      <c r="A21" s="13" t="str">
        <v>合川表计</v>
      </c>
      <c r="B21" s="13" t="str">
        <v>7月</v>
      </c>
      <c r="C21" s="13" t="str">
        <v>国网重庆合川供电公司2026年用电信息采集系统建筑相关工程施工(包4)</v>
      </c>
      <c r="D21" s="13" t="str">
        <v>2026.7.2代付伍建华合川表计工资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f ca="1" t="shared" si="4"/>
        <v>0</v>
      </c>
      <c r="M21" s="16">
        <v>0</v>
      </c>
      <c r="N21" s="16">
        <v>0</v>
      </c>
      <c r="O21" s="16">
        <v>0</v>
      </c>
      <c r="P21" s="16">
        <f ca="1" t="shared" si="5"/>
        <v>345460</v>
      </c>
      <c r="Q21" s="16">
        <v>0</v>
      </c>
      <c r="R21" s="16">
        <v>0</v>
      </c>
      <c r="S21" s="16">
        <v>2000</v>
      </c>
      <c r="T21" s="16">
        <f ca="1" t="shared" si="6"/>
        <v>-304143</v>
      </c>
      <c r="U21" s="16"/>
    </row>
    <row r="22" spans="1:21">
      <c r="A22" s="13" t="str">
        <v>合川表计</v>
      </c>
      <c r="B22" s="13" t="str">
        <v>7月</v>
      </c>
      <c r="C22" s="13" t="str">
        <v>国网重庆合川供电公司2026年用电信息采集系统建筑相关工程施工(包4)</v>
      </c>
      <c r="D22" s="13" t="str">
        <v>2026.7.9代付伍建华合川表计工资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f ca="1" t="shared" si="4"/>
        <v>0</v>
      </c>
      <c r="M22" s="16">
        <v>0</v>
      </c>
      <c r="N22" s="16">
        <v>0</v>
      </c>
      <c r="O22" s="16">
        <v>0</v>
      </c>
      <c r="P22" s="16">
        <f ca="1" t="shared" si="5"/>
        <v>345460</v>
      </c>
      <c r="Q22" s="16">
        <v>0</v>
      </c>
      <c r="R22" s="16">
        <v>0</v>
      </c>
      <c r="S22" s="16">
        <v>70000</v>
      </c>
      <c r="T22" s="16">
        <f ca="1" t="shared" si="6"/>
        <v>-374143</v>
      </c>
      <c r="U22" s="16"/>
    </row>
    <row r="23" spans="1:21">
      <c r="A23" s="13" t="str">
        <v>合川表计</v>
      </c>
      <c r="B23" s="13" t="str">
        <v>7月</v>
      </c>
      <c r="C23" s="13" t="str">
        <v>国网重庆合川供电公司2026年用电信息采集系统建筑相关工程施工(包4)</v>
      </c>
      <c r="D23" s="13" t="str">
        <v>2026.7.13代付伍建华合川表计工资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f ca="1" t="shared" si="4"/>
        <v>0</v>
      </c>
      <c r="M23" s="16">
        <v>0</v>
      </c>
      <c r="N23" s="16">
        <v>0</v>
      </c>
      <c r="O23" s="16">
        <v>0</v>
      </c>
      <c r="P23" s="16">
        <f ca="1" t="shared" si="5"/>
        <v>345460</v>
      </c>
      <c r="Q23" s="16">
        <v>0</v>
      </c>
      <c r="R23" s="16">
        <v>0</v>
      </c>
      <c r="S23" s="16">
        <v>10000</v>
      </c>
      <c r="T23" s="16">
        <f ca="1" t="shared" si="6"/>
        <v>-384143</v>
      </c>
      <c r="U23" s="16"/>
    </row>
    <row r="24" spans="1:21">
      <c r="A24" s="13" t="str">
        <v>合川表计</v>
      </c>
      <c r="B24" s="13" t="str">
        <v>7月</v>
      </c>
      <c r="C24" s="13" t="str">
        <v>国网重庆合川供电公司2026年用电信息采集系统建筑相关工程施工(包4)</v>
      </c>
      <c r="D24" s="13" t="str">
        <v>2026.7.25代付伍建华合川表计工资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f ca="1" t="shared" si="4"/>
        <v>0</v>
      </c>
      <c r="M24" s="16">
        <v>0</v>
      </c>
      <c r="N24" s="16">
        <v>0</v>
      </c>
      <c r="O24" s="16">
        <v>0</v>
      </c>
      <c r="P24" s="16">
        <f ca="1" t="shared" si="5"/>
        <v>345460</v>
      </c>
      <c r="Q24" s="16">
        <v>0</v>
      </c>
      <c r="R24" s="16">
        <v>0</v>
      </c>
      <c r="S24" s="16">
        <v>5000</v>
      </c>
      <c r="T24" s="16">
        <f ca="1" t="shared" si="6"/>
        <v>-389143</v>
      </c>
      <c r="U24" s="16"/>
    </row>
    <row r="25" spans="1:21">
      <c r="A25" s="13" t="str">
        <v>合川表计</v>
      </c>
      <c r="B25" s="13" t="str">
        <v>7月</v>
      </c>
      <c r="C25" s="13" t="str">
        <v>国网重庆合川供电公司2026年用电信息采集系统建筑相关工程施工(包4)</v>
      </c>
      <c r="D25" s="13" t="str">
        <v>2026.7.31支付伍建华合川表计工资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/>
      <c r="M25" s="16">
        <v>0</v>
      </c>
      <c r="N25" s="16">
        <v>0</v>
      </c>
      <c r="O25" s="16">
        <v>0</v>
      </c>
      <c r="P25" s="16">
        <f ca="1" t="shared" si="5"/>
        <v>345460</v>
      </c>
      <c r="Q25" s="16">
        <v>0</v>
      </c>
      <c r="R25" s="16">
        <v>0</v>
      </c>
      <c r="S25" s="16">
        <v>2000</v>
      </c>
      <c r="T25" s="16">
        <f ca="1" t="shared" si="6"/>
        <v>-391143</v>
      </c>
      <c r="U25" s="16"/>
    </row>
    <row r="26" spans="1:21">
      <c r="A26" s="13" t="str">
        <v>合川表计</v>
      </c>
      <c r="B26" s="13" t="str">
        <v>8月</v>
      </c>
      <c r="C26" s="13" t="str">
        <v>国网重庆合川供电公司2026年用电信息采集系统建筑相关工程施工(包4)</v>
      </c>
      <c r="D26" s="13" t="str">
        <v>2026.8.1支付伍建劳表计费用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/>
      <c r="M26" s="16">
        <v>0</v>
      </c>
      <c r="N26" s="16">
        <v>0</v>
      </c>
      <c r="O26" s="16">
        <v>0</v>
      </c>
      <c r="P26" s="16">
        <f ca="1" t="shared" si="5"/>
        <v>345460</v>
      </c>
      <c r="Q26" s="16">
        <v>0</v>
      </c>
      <c r="R26" s="16">
        <v>0</v>
      </c>
      <c r="S26" s="16">
        <v>8000</v>
      </c>
      <c r="T26" s="16">
        <f ca="1" t="shared" si="6"/>
        <v>-399143</v>
      </c>
      <c r="U26" s="16"/>
    </row>
    <row r="27" spans="1:21">
      <c r="A27" s="13" t="str">
        <v>合川表计</v>
      </c>
      <c r="B27" s="13" t="str">
        <v>8月</v>
      </c>
      <c r="C27" s="13" t="str">
        <v>国网重庆合川供电公司2026年用电信息采集系统建筑相关工程施工(包4)</v>
      </c>
      <c r="D27" s="13" t="str">
        <v>2026.8.6支付合川工资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/>
      <c r="M27" s="16">
        <v>0</v>
      </c>
      <c r="N27" s="16">
        <v>0</v>
      </c>
      <c r="O27" s="16">
        <v>0</v>
      </c>
      <c r="P27" s="16">
        <f ca="1" t="shared" si="5"/>
        <v>345460</v>
      </c>
      <c r="Q27" s="16">
        <v>0</v>
      </c>
      <c r="R27" s="16">
        <v>0</v>
      </c>
      <c r="S27" s="16">
        <v>6000</v>
      </c>
      <c r="T27" s="16">
        <f ca="1" t="shared" si="6"/>
        <v>-405143</v>
      </c>
      <c r="U27" s="16"/>
    </row>
    <row r="28" spans="1:21">
      <c r="A28" s="13" t="str">
        <v>合川表计</v>
      </c>
      <c r="B28" s="13" t="str">
        <v>8月</v>
      </c>
      <c r="C28" s="13" t="str">
        <v>国网重庆合川供电公司2026年用电信息采集系统建筑相关工程施工(包4)</v>
      </c>
      <c r="D28" s="13" t="str">
        <v>2026.8.14支付伍建劳表计费用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/>
      <c r="M28" s="16">
        <v>0</v>
      </c>
      <c r="N28" s="16">
        <v>0</v>
      </c>
      <c r="O28" s="16">
        <v>0</v>
      </c>
      <c r="P28" s="16">
        <f ca="1" t="shared" si="5"/>
        <v>345460</v>
      </c>
      <c r="Q28" s="16">
        <v>0</v>
      </c>
      <c r="R28" s="16">
        <v>0</v>
      </c>
      <c r="S28" s="16">
        <v>5000</v>
      </c>
      <c r="T28" s="16">
        <f ca="1" t="shared" si="6"/>
        <v>-410143</v>
      </c>
      <c r="U28" s="16"/>
    </row>
    <row r="29" spans="1:21">
      <c r="A29" s="13" t="str">
        <v>合川表计</v>
      </c>
      <c r="B29" s="13" t="str">
        <v>8月</v>
      </c>
      <c r="C29" s="13" t="str">
        <v>国网重庆合川供电公司2026年用电信息采集系统建筑相关工程施工(包4)</v>
      </c>
      <c r="D29" s="13" t="str">
        <v>2026.8.20支付合川工资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/>
      <c r="M29" s="16">
        <v>0</v>
      </c>
      <c r="N29" s="16">
        <v>0</v>
      </c>
      <c r="O29" s="16">
        <v>0</v>
      </c>
      <c r="P29" s="16">
        <f ca="1" t="shared" si="5"/>
        <v>345460</v>
      </c>
      <c r="Q29" s="16">
        <v>0</v>
      </c>
      <c r="R29" s="16">
        <v>0</v>
      </c>
      <c r="S29" s="16">
        <v>1000</v>
      </c>
      <c r="T29" s="16">
        <f ca="1" t="shared" si="6"/>
        <v>-411143</v>
      </c>
      <c r="U29" s="16"/>
    </row>
    <row r="30" spans="1:21">
      <c r="A30" s="13" t="str">
        <v>合川表计</v>
      </c>
      <c r="B30" s="13" t="str">
        <v>8月</v>
      </c>
      <c r="C30" s="13" t="str">
        <v>国网重庆合川供电公司2026年用电信息采集系统建筑相关工程施工(包4)</v>
      </c>
      <c r="D30" s="13" t="str">
        <v>2026.8.24支付合川工资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/>
      <c r="M30" s="16">
        <v>0</v>
      </c>
      <c r="N30" s="16">
        <v>0</v>
      </c>
      <c r="O30" s="16">
        <v>0</v>
      </c>
      <c r="P30" s="16">
        <f ca="1" t="shared" si="5"/>
        <v>345460</v>
      </c>
      <c r="Q30" s="16">
        <v>0</v>
      </c>
      <c r="R30" s="16">
        <v>0</v>
      </c>
      <c r="S30" s="20">
        <v>65000</v>
      </c>
      <c r="T30" s="16">
        <f ca="1" t="shared" si="6"/>
        <v>-476143</v>
      </c>
      <c r="U30" s="16"/>
    </row>
    <row r="31" spans="1:21">
      <c r="A31" s="13" t="str">
        <v>合川表计</v>
      </c>
      <c r="B31" s="13" t="str">
        <v>6月</v>
      </c>
      <c r="C31" s="13" t="str">
        <v>国网重庆合川供电公司2026年用电信息采集系统建筑相关工程施工(包4)</v>
      </c>
      <c r="D31" s="13" t="str">
        <v>2026.6.9陈庆奎银付：转伍建华预支工资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/>
      <c r="M31" s="16">
        <v>0</v>
      </c>
      <c r="N31" s="16">
        <v>0</v>
      </c>
      <c r="O31" s="16">
        <v>0</v>
      </c>
      <c r="P31" s="16">
        <f ca="1" t="shared" si="5"/>
        <v>345460</v>
      </c>
      <c r="Q31" s="16">
        <v>0</v>
      </c>
      <c r="R31" s="16">
        <v>0</v>
      </c>
      <c r="S31" s="20">
        <v>5000</v>
      </c>
      <c r="T31" s="16">
        <f ca="1" t="shared" si="6"/>
        <v>-481143</v>
      </c>
      <c r="U31" s="16"/>
    </row>
    <row r="32" spans="1:21">
      <c r="A32" s="13" t="str">
        <v>合川表计</v>
      </c>
      <c r="B32" s="13" t="str">
        <v>7月</v>
      </c>
      <c r="C32" s="13" t="str">
        <v>国网重庆合川供电公司2026年用电信息采集系统建筑相关工程施工(包4)</v>
      </c>
      <c r="D32" s="13" t="str">
        <v>2026.7.11陈庆奎银付：转伍建华预支工资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/>
      <c r="M32" s="16">
        <v>0</v>
      </c>
      <c r="N32" s="16">
        <v>0</v>
      </c>
      <c r="O32" s="16">
        <v>0</v>
      </c>
      <c r="P32" s="16">
        <f ca="1" t="shared" si="5"/>
        <v>345460</v>
      </c>
      <c r="Q32" s="16">
        <v>0</v>
      </c>
      <c r="R32" s="16">
        <v>0</v>
      </c>
      <c r="S32" s="20">
        <v>5000</v>
      </c>
      <c r="T32" s="16">
        <f ca="1" t="shared" si="6"/>
        <v>-486143</v>
      </c>
      <c r="U32" s="16"/>
    </row>
    <row r="33" spans="1:21">
      <c r="A33" s="13" t="str">
        <v>合川表计</v>
      </c>
      <c r="B33" s="13" t="str">
        <v>7月</v>
      </c>
      <c r="C33" s="13" t="str">
        <v>国网重庆合川供电公司2026年用电信息采集系统建筑相关工程施工(包4)</v>
      </c>
      <c r="D33" s="13" t="str">
        <v>2026.7.6陈庆奎银付：转伍建华预支工资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/>
      <c r="M33" s="16">
        <v>0</v>
      </c>
      <c r="N33" s="16">
        <v>0</v>
      </c>
      <c r="O33" s="16">
        <v>0</v>
      </c>
      <c r="P33" s="16">
        <f ca="1" t="shared" si="5"/>
        <v>345460</v>
      </c>
      <c r="Q33" s="16">
        <v>0</v>
      </c>
      <c r="R33" s="16">
        <v>0</v>
      </c>
      <c r="S33" s="20">
        <v>5000</v>
      </c>
      <c r="T33" s="16">
        <f ca="1" t="shared" si="6"/>
        <v>-491143</v>
      </c>
      <c r="U33" s="16"/>
    </row>
    <row r="34" spans="1:21">
      <c r="A34" s="13" t="str">
        <v>合川表计</v>
      </c>
      <c r="B34" s="13" t="str">
        <v>8月</v>
      </c>
      <c r="C34" s="13" t="str">
        <v>国网重庆合川供电公司2026年用电信息采集系统建筑相关工程施工(包4)</v>
      </c>
      <c r="D34" s="13" t="str">
        <v>2026.8.21陈庆奎银付：转伍建华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/>
      <c r="M34" s="16">
        <v>0</v>
      </c>
      <c r="N34" s="16">
        <v>0</v>
      </c>
      <c r="O34" s="16">
        <v>0</v>
      </c>
      <c r="P34" s="16">
        <f ca="1" t="shared" si="5"/>
        <v>345460</v>
      </c>
      <c r="Q34" s="16">
        <v>0</v>
      </c>
      <c r="R34" s="16">
        <v>0</v>
      </c>
      <c r="S34" s="16">
        <v>10000</v>
      </c>
      <c r="T34" s="16">
        <f ca="1" t="shared" si="6"/>
        <v>-501143</v>
      </c>
      <c r="U34" s="16"/>
    </row>
    <row r="35" spans="1:21">
      <c r="A35" s="13" t="str">
        <v>合川表计</v>
      </c>
      <c r="B35" s="13" t="str">
        <v>8月</v>
      </c>
      <c r="C35" s="13" t="str">
        <v>国网重庆合川供电公司2026年用电信息采集系统建筑相关工程施工(包4)</v>
      </c>
      <c r="D35" s="13" t="str">
        <v>2026.8.24陈庆奎银付：陈庆奎转向祥红合川表计工资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/>
      <c r="M35" s="16">
        <v>0</v>
      </c>
      <c r="N35" s="16">
        <v>0</v>
      </c>
      <c r="O35" s="16">
        <v>0</v>
      </c>
      <c r="P35" s="16">
        <f ca="1" t="shared" si="5"/>
        <v>345460</v>
      </c>
      <c r="Q35" s="16">
        <v>0</v>
      </c>
      <c r="R35" s="16">
        <v>0</v>
      </c>
      <c r="S35" s="16">
        <v>9000</v>
      </c>
      <c r="T35" s="16">
        <f ca="1" t="shared" si="6"/>
        <v>-510143</v>
      </c>
      <c r="U35" s="16"/>
    </row>
    <row r="36" spans="1:21">
      <c r="A36" s="13" t="str">
        <v>合川表计</v>
      </c>
      <c r="B36" s="13" t="str">
        <v>8月</v>
      </c>
      <c r="C36" s="13" t="str">
        <v>国网重庆合川供电公司2026年用电信息采集系统建筑相关工程施工(包4)</v>
      </c>
      <c r="D36" s="13" t="str">
        <v>2026.8.24陈庆奎银付：陈庆奎转刘姜龙合川表计工资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/>
      <c r="M36" s="16">
        <v>0</v>
      </c>
      <c r="N36" s="16">
        <v>0</v>
      </c>
      <c r="O36" s="16">
        <v>0</v>
      </c>
      <c r="P36" s="16">
        <f ca="1" t="shared" si="5"/>
        <v>345460</v>
      </c>
      <c r="Q36" s="16">
        <v>0</v>
      </c>
      <c r="R36" s="16">
        <v>0</v>
      </c>
      <c r="S36" s="16">
        <v>6000</v>
      </c>
      <c r="T36" s="16">
        <f ca="1" t="shared" si="6"/>
        <v>-516143</v>
      </c>
      <c r="U36" s="16"/>
    </row>
    <row r="37" spans="1:21">
      <c r="A37" s="13" t="str">
        <v>合川表计</v>
      </c>
      <c r="B37" s="13" t="str">
        <v>8月</v>
      </c>
      <c r="C37" s="13" t="str">
        <v>国网重庆合川供电公司2026年用电信息采集系统建筑相关工程施工(包4)</v>
      </c>
      <c r="D37" s="13" t="str">
        <v>2026.8.24陈庆奎银付：陈庆奎转邹招财合川表计工资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/>
      <c r="M37" s="16">
        <v>0</v>
      </c>
      <c r="N37" s="16">
        <v>0</v>
      </c>
      <c r="O37" s="16">
        <v>0</v>
      </c>
      <c r="P37" s="16">
        <f ca="1" t="shared" si="5"/>
        <v>345460</v>
      </c>
      <c r="Q37" s="16">
        <v>0</v>
      </c>
      <c r="R37" s="16">
        <v>0</v>
      </c>
      <c r="S37" s="16">
        <v>6000</v>
      </c>
      <c r="T37" s="16">
        <f ca="1" t="shared" si="6"/>
        <v>-522143</v>
      </c>
      <c r="U37" s="16"/>
    </row>
    <row r="38" spans="1:21">
      <c r="A38" s="13" t="str">
        <v>合川表计</v>
      </c>
      <c r="B38" s="13" t="str">
        <v>8月</v>
      </c>
      <c r="C38" s="13" t="str">
        <v>国网重庆合川供电公司2026年用电信息采集系统建筑相关工程施工(包4)</v>
      </c>
      <c r="D38" s="13" t="str">
        <v>2026.8.24陈庆奎银付：陈庆奎转张纯军合川表计工资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/>
      <c r="M38" s="16">
        <v>0</v>
      </c>
      <c r="N38" s="16">
        <v>0</v>
      </c>
      <c r="O38" s="16">
        <v>0</v>
      </c>
      <c r="P38" s="16">
        <f ca="1" t="shared" si="5"/>
        <v>345460</v>
      </c>
      <c r="Q38" s="16">
        <v>0</v>
      </c>
      <c r="R38" s="16">
        <v>0</v>
      </c>
      <c r="S38" s="16">
        <v>6000</v>
      </c>
      <c r="T38" s="16">
        <f ca="1" t="shared" si="6"/>
        <v>-528143</v>
      </c>
      <c r="U38" s="16"/>
    </row>
    <row r="39" spans="1:21">
      <c r="A39" s="13" t="str">
        <v>合川表计</v>
      </c>
      <c r="B39" s="13" t="str">
        <v>8月</v>
      </c>
      <c r="C39" s="13" t="str">
        <v>国网重庆合川供电公司2026年用电信息采集系统建筑相关工程施工(包4)</v>
      </c>
      <c r="D39" s="13" t="str">
        <v>2026.8.24陈庆奎银付：陈庆奎转杨林合川表计工资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/>
      <c r="M39" s="16">
        <v>0</v>
      </c>
      <c r="N39" s="16">
        <v>0</v>
      </c>
      <c r="O39" s="16">
        <v>0</v>
      </c>
      <c r="P39" s="16">
        <f ca="1" t="shared" si="5"/>
        <v>345460</v>
      </c>
      <c r="Q39" s="16">
        <v>0</v>
      </c>
      <c r="R39" s="16">
        <v>0</v>
      </c>
      <c r="S39" s="16">
        <v>8000</v>
      </c>
      <c r="T39" s="16">
        <f ca="1" t="shared" si="6"/>
        <v>-536143</v>
      </c>
      <c r="U39" s="16"/>
    </row>
    <row r="40" spans="1:21">
      <c r="A40" s="13" t="str">
        <v>合川表计</v>
      </c>
      <c r="B40" s="13" t="str">
        <v>8月</v>
      </c>
      <c r="C40" s="13" t="str">
        <v>国网重庆合川供电公司2026年用电信息采集系统建筑相关工程施工(包4)</v>
      </c>
      <c r="D40" s="13" t="str">
        <v>2026.8.24陈庆奎银付：陈庆奎转陈旺合川表计工资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/>
      <c r="M40" s="16">
        <v>0</v>
      </c>
      <c r="N40" s="16">
        <v>0</v>
      </c>
      <c r="O40" s="16">
        <v>0</v>
      </c>
      <c r="P40" s="16">
        <f ca="1" t="shared" si="5"/>
        <v>345460</v>
      </c>
      <c r="Q40" s="16">
        <v>0</v>
      </c>
      <c r="R40" s="16">
        <v>0</v>
      </c>
      <c r="S40" s="16">
        <v>6000</v>
      </c>
      <c r="T40" s="16">
        <f ca="1" t="shared" si="6"/>
        <v>-542143</v>
      </c>
      <c r="U40" s="16"/>
    </row>
    <row r="41" spans="1:21">
      <c r="A41" s="13" t="str">
        <v>合川表计</v>
      </c>
      <c r="B41" s="13" t="str">
        <v>8月</v>
      </c>
      <c r="C41" s="13" t="str">
        <v>国网重庆合川供电公司2026年用电信息采集系统建筑相关工程施工(包4)</v>
      </c>
      <c r="D41" s="13" t="str">
        <v>2026.8.25陈庆奎银付：陈庆奎转屈建军合川表计工资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/>
      <c r="M41" s="16">
        <v>0</v>
      </c>
      <c r="N41" s="16">
        <v>0</v>
      </c>
      <c r="O41" s="16">
        <v>0</v>
      </c>
      <c r="P41" s="16">
        <f ca="1" t="shared" si="5"/>
        <v>345460</v>
      </c>
      <c r="Q41" s="16">
        <v>0</v>
      </c>
      <c r="R41" s="16">
        <v>0</v>
      </c>
      <c r="S41" s="16">
        <v>8000</v>
      </c>
      <c r="T41" s="16">
        <f ca="1" t="shared" si="6"/>
        <v>-550143</v>
      </c>
      <c r="U41" s="16"/>
    </row>
    <row r="42" spans="1:21">
      <c r="A42" s="13" t="str">
        <v>合川表计</v>
      </c>
      <c r="B42" s="13" t="str">
        <v>8月</v>
      </c>
      <c r="C42" s="13" t="str">
        <v>国网重庆合川供电公司2026年用电信息采集系统建筑相关工程施工(包4)</v>
      </c>
      <c r="D42" s="13" t="str">
        <v>2026.8.25陈庆奎银付：陈庆奎转罗东勤合川表计工资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/>
      <c r="M42" s="16">
        <v>0</v>
      </c>
      <c r="N42" s="16">
        <v>0</v>
      </c>
      <c r="O42" s="16">
        <v>0</v>
      </c>
      <c r="P42" s="16">
        <f ca="1" t="shared" si="5"/>
        <v>345460</v>
      </c>
      <c r="Q42" s="16">
        <v>0</v>
      </c>
      <c r="R42" s="16">
        <v>0</v>
      </c>
      <c r="S42" s="16">
        <v>4000</v>
      </c>
      <c r="T42" s="16">
        <f ca="1" t="shared" si="6"/>
        <v>-554143</v>
      </c>
      <c r="U42" s="16"/>
    </row>
    <row r="43" spans="1:21">
      <c r="A43" s="13" t="str">
        <v>合川表计</v>
      </c>
      <c r="B43" s="13" t="str">
        <v>8月</v>
      </c>
      <c r="C43" s="13" t="str">
        <v>国网重庆合川供电公司2026年用电信息采集系统建筑相关工程施工(包4)</v>
      </c>
      <c r="D43" s="13" t="str">
        <v>2026.8.25陈庆奎银付：陈庆奎转廖刚合川表计工资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/>
      <c r="M43" s="16">
        <v>0</v>
      </c>
      <c r="N43" s="16">
        <v>0</v>
      </c>
      <c r="O43" s="16">
        <v>0</v>
      </c>
      <c r="P43" s="16">
        <f ca="1" t="shared" si="5"/>
        <v>345460</v>
      </c>
      <c r="Q43" s="16">
        <v>0</v>
      </c>
      <c r="R43" s="16">
        <v>0</v>
      </c>
      <c r="S43" s="16">
        <v>8000</v>
      </c>
      <c r="T43" s="16">
        <f ca="1" t="shared" si="6"/>
        <v>-562143</v>
      </c>
      <c r="U43" s="16"/>
    </row>
    <row r="44" spans="1:21">
      <c r="A44" s="13" t="str">
        <v>合川表计</v>
      </c>
      <c r="B44" s="13" t="str">
        <v>8月</v>
      </c>
      <c r="C44" s="13" t="str">
        <v>国网重庆合川供电公司2026年用电信息采集系统建筑相关工程施工(包4)</v>
      </c>
      <c r="D44" s="13" t="str">
        <v>2026.8.25陈庆奎银付：陈庆奎转李丙菊合川表计工资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/>
      <c r="M44" s="16">
        <v>0</v>
      </c>
      <c r="N44" s="16">
        <v>0</v>
      </c>
      <c r="O44" s="16">
        <v>0</v>
      </c>
      <c r="P44" s="16">
        <f ca="1" t="shared" si="5"/>
        <v>345460</v>
      </c>
      <c r="Q44" s="16">
        <v>0</v>
      </c>
      <c r="R44" s="16">
        <v>0</v>
      </c>
      <c r="S44" s="16">
        <v>4000</v>
      </c>
      <c r="T44" s="16">
        <f ca="1" t="shared" si="6"/>
        <v>-566143</v>
      </c>
      <c r="U44" s="16"/>
    </row>
    <row r="45" spans="1:21">
      <c r="A45" s="13" t="str">
        <v>合川表计</v>
      </c>
      <c r="B45" s="13" t="str">
        <v>9月</v>
      </c>
      <c r="C45" s="13" t="str">
        <v>国网重庆合川供电公司2026年用电信息采集系统建筑相关工程施工(包4)</v>
      </c>
      <c r="D45" s="13" t="str">
        <v>2026.9.22胡崇文支付表计工资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/>
      <c r="M45" s="16">
        <v>0</v>
      </c>
      <c r="N45" s="16">
        <v>0</v>
      </c>
      <c r="O45" s="16">
        <v>0</v>
      </c>
      <c r="P45" s="16">
        <f ca="1" t="shared" si="5"/>
        <v>345460</v>
      </c>
      <c r="Q45" s="16">
        <v>0</v>
      </c>
      <c r="R45" s="16">
        <v>0</v>
      </c>
      <c r="S45" s="16">
        <v>10500</v>
      </c>
      <c r="T45" s="16">
        <f ca="1" t="shared" si="6"/>
        <v>-576643</v>
      </c>
      <c r="U45" s="16"/>
    </row>
    <row r="46" spans="1:21">
      <c r="A46" s="13"/>
      <c r="B46" s="13"/>
      <c r="C46" s="13"/>
      <c r="D46" s="13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>
        <f ca="1" t="shared" si="5"/>
        <v>345460</v>
      </c>
      <c r="Q46" s="16"/>
      <c r="R46" s="16"/>
      <c r="S46" s="16"/>
      <c r="T46" s="16">
        <f ca="1" t="shared" si="6"/>
        <v>-576643</v>
      </c>
      <c r="U46" s="16"/>
    </row>
    <row r="47" spans="1:21">
      <c r="A47" s="13"/>
      <c r="B47" s="13"/>
      <c r="C47" s="13"/>
      <c r="D47" s="13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>
        <f ca="1" t="shared" si="5"/>
        <v>345460</v>
      </c>
      <c r="Q47" s="16"/>
      <c r="R47" s="16"/>
      <c r="S47" s="16"/>
      <c r="T47" s="16">
        <f ca="1" t="shared" si="6"/>
        <v>-576643</v>
      </c>
      <c r="U47" s="16"/>
    </row>
    <row r="48" spans="1:21">
      <c r="A48" s="13"/>
      <c r="B48" s="13"/>
      <c r="C48" s="13"/>
      <c r="D48" s="13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>
        <f ca="1" t="shared" si="5"/>
        <v>345460</v>
      </c>
      <c r="Q48" s="16"/>
      <c r="R48" s="16"/>
      <c r="S48" s="16"/>
      <c r="T48" s="16">
        <f ca="1" t="shared" si="6"/>
        <v>-576643</v>
      </c>
      <c r="U48" s="16"/>
    </row>
  </sheetData>
  <autoFilter xmlns:etc="http://www.wps.cn/officeDocument/2017/etCustomData" ref="A2:U48" etc:filterBottomFollowUsedRange="0">
    <extLst/>
  </autoFilter>
  <mergeCells count="7">
    <mergeCell ref="A1:U1"/>
    <mergeCell ref="A2:A3"/>
    <mergeCell ref="B2:B3"/>
    <mergeCell ref="D2:D3"/>
    <mergeCell ref="E2:E3"/>
    <mergeCell ref="F2:F3"/>
    <mergeCell ref="G2:G3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8"/>
  <sheetViews>
    <sheetView zoomScale="85" zoomScaleNormal="85" workbookViewId="0">
      <selection activeCell="A1" sqref="A1:U1"/>
    </sheetView>
  </sheetViews>
  <sheetFormatPr defaultColWidth="9" defaultRowHeight="16.5"/>
  <cols>
    <col min="1" max="1" width="7.72727272727273" style="2" customWidth="1"/>
    <col min="2" max="2" width="5.72727272727273" style="2" customWidth="1"/>
    <col min="3" max="3" width="57.4545454545455" style="2" hidden="1" customWidth="1"/>
    <col min="4" max="4" width="47" style="2" customWidth="1"/>
    <col min="5" max="6" width="8.63636363636364" style="3" customWidth="1"/>
    <col min="7" max="7" width="7" style="4" customWidth="1"/>
    <col min="8" max="8" width="12.6363636363636" style="3" customWidth="1"/>
    <col min="9" max="9" width="11.2727272727273" style="3" customWidth="1"/>
    <col min="10" max="11" width="12.6363636363636" style="3" customWidth="1"/>
    <col min="12" max="12" width="13.9090909090909" style="3" customWidth="1"/>
    <col min="13" max="14" width="13.9090909090909" style="2" customWidth="1"/>
    <col min="15" max="15" width="12.5454545454545" style="2" customWidth="1"/>
    <col min="16" max="17" width="14.8181818181818" style="2" customWidth="1"/>
    <col min="18" max="20" width="12.5454545454545" style="2" customWidth="1"/>
    <col min="21" max="21" width="26.7272727272727" style="2" customWidth="1"/>
    <col min="22" max="16379" width="9" style="2"/>
  </cols>
  <sheetData>
    <row r="1" ht="38" customHeight="1" spans="1:21">
      <c r="A1" s="5" t="s">
        <v>140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="1" customFormat="1" ht="33" spans="1:21">
      <c r="A2" s="6" t="s">
        <v>137</v>
      </c>
      <c r="B2" s="6" t="s">
        <v>22</v>
      </c>
      <c r="C2" s="6" t="s">
        <v>23</v>
      </c>
      <c r="D2" s="6" t="s">
        <v>24</v>
      </c>
      <c r="E2" s="7" t="s">
        <v>25</v>
      </c>
      <c r="F2" s="7" t="s">
        <v>26</v>
      </c>
      <c r="G2" s="8" t="s">
        <v>27</v>
      </c>
      <c r="H2" s="9" t="s">
        <v>28</v>
      </c>
      <c r="I2" s="9" t="s">
        <v>29</v>
      </c>
      <c r="J2" s="9" t="s">
        <v>30</v>
      </c>
      <c r="K2" s="9" t="s">
        <v>31</v>
      </c>
      <c r="L2" s="9" t="s">
        <v>32</v>
      </c>
      <c r="M2" s="6" t="s">
        <v>33</v>
      </c>
      <c r="N2" s="6" t="s">
        <v>34</v>
      </c>
      <c r="O2" s="6" t="s">
        <v>35</v>
      </c>
      <c r="P2" s="6" t="s">
        <v>36</v>
      </c>
      <c r="Q2" s="6" t="s">
        <v>37</v>
      </c>
      <c r="R2" s="6" t="s">
        <v>38</v>
      </c>
      <c r="S2" s="6" t="s">
        <v>39</v>
      </c>
      <c r="T2" s="6" t="s">
        <v>40</v>
      </c>
      <c r="U2" s="6" t="s">
        <v>4</v>
      </c>
    </row>
    <row r="3" s="1" customFormat="1" spans="1:21">
      <c r="A3" s="6"/>
      <c r="B3" s="6"/>
      <c r="C3" s="10"/>
      <c r="D3" s="6"/>
      <c r="E3" s="11"/>
      <c r="F3" s="11"/>
      <c r="G3" s="12"/>
      <c r="H3" s="9">
        <f ca="1" t="shared" ref="H3:K3" si="0">SUM(H4:H306)</f>
        <v>227260.8</v>
      </c>
      <c r="I3" s="9">
        <f ca="1" t="shared" si="0"/>
        <v>0</v>
      </c>
      <c r="J3" s="9">
        <f ca="1" t="shared" si="0"/>
        <v>227260.8</v>
      </c>
      <c r="K3" s="9">
        <f ca="1" t="shared" si="0"/>
        <v>227260.8</v>
      </c>
      <c r="L3" s="9">
        <f ca="1">J3-K3</f>
        <v>0</v>
      </c>
      <c r="M3" s="9">
        <f ca="1" t="shared" ref="M3:O3" si="1">SUM(M4:M306)</f>
        <v>227260.8</v>
      </c>
      <c r="N3" s="9">
        <f ca="1" t="shared" si="1"/>
        <v>0</v>
      </c>
      <c r="O3" s="9">
        <f ca="1" t="shared" si="1"/>
        <v>227260.8</v>
      </c>
      <c r="P3" s="9">
        <f ca="1">M3-O3</f>
        <v>0</v>
      </c>
      <c r="Q3" s="9">
        <f ca="1" t="shared" ref="Q3:U3" si="2">SUM(Q4:Q306)</f>
        <v>0</v>
      </c>
      <c r="R3" s="9">
        <f ca="1" t="shared" si="2"/>
        <v>0</v>
      </c>
      <c r="S3" s="9">
        <f ca="1" t="shared" si="2"/>
        <v>0</v>
      </c>
      <c r="T3" s="9">
        <f ca="1" t="shared" si="2"/>
        <v>0</v>
      </c>
      <c r="U3" s="9">
        <f t="shared" si="2"/>
        <v>0</v>
      </c>
    </row>
    <row r="4" spans="1:21">
      <c r="A4" s="13" t="str" cm="1">
        <f ca="1" t="array" ref="A4:K7">_xlfn._xlws.FILTER(发票统计!A:K,发票统计!A:A=_wpsfn.SHEETSNAME(A2))</f>
        <v>云龙社区</v>
      </c>
      <c r="B4" s="13" t="str">
        <v>4月</v>
      </c>
      <c r="C4" s="13" t="str">
        <v>重庆市合川区云门街道云龙社区居民委员会(铁工厂还房建设项目)高压新装用电工程</v>
      </c>
      <c r="D4" s="13" t="str">
        <v>2026.4.28庆文开票给新德润：云龙社区居民委员会</v>
      </c>
      <c r="E4" s="14" t="str">
        <v>新德润</v>
      </c>
      <c r="F4" s="15" t="str">
        <v>3%专票</v>
      </c>
      <c r="G4" s="15">
        <v>0</v>
      </c>
      <c r="H4" s="16">
        <v>183486.24</v>
      </c>
      <c r="I4" s="16">
        <v>0</v>
      </c>
      <c r="J4" s="16">
        <v>183486.24</v>
      </c>
      <c r="K4" s="16">
        <v>183486.24</v>
      </c>
      <c r="L4" s="16">
        <f ca="1">J4-K4</f>
        <v>0</v>
      </c>
      <c r="M4" s="16" cm="1">
        <f ca="1" t="array" ref="M4:O7">_xlfn._xlws.FILTER(发票统计!M:O,发票统计!A:A=_wpsfn.SHEETSNAME(A2))</f>
        <v>183486.24</v>
      </c>
      <c r="N4" s="16">
        <v>0</v>
      </c>
      <c r="O4" s="16">
        <v>0</v>
      </c>
      <c r="P4" s="16">
        <f ca="1">M4-N4</f>
        <v>183486.24</v>
      </c>
      <c r="Q4" s="16" cm="1">
        <f ca="1" t="array" ref="Q4:S7">_xlfn._xlws.FILTER(发票统计!Q:S,发票统计!A:A=_wpsfn.SHEETSNAME(A2))</f>
        <v>0</v>
      </c>
      <c r="R4" s="16">
        <v>0</v>
      </c>
      <c r="S4" s="16">
        <v>0</v>
      </c>
      <c r="T4" s="16">
        <f ca="1">Q4-R4</f>
        <v>0</v>
      </c>
      <c r="U4" s="16"/>
    </row>
    <row r="5" spans="1:21">
      <c r="A5" s="13" t="str">
        <v>云龙社区</v>
      </c>
      <c r="B5" s="13" t="str">
        <v>4月</v>
      </c>
      <c r="C5" s="13" t="str">
        <v>重庆市合川区云门街道云龙社区居民委员会(铁工厂还房建设项目)高压新装用电工程</v>
      </c>
      <c r="D5" s="13" t="str">
        <v>2026.4.30莨富收到新德润款项：云龙社区居民委员会</v>
      </c>
      <c r="E5" s="14" t="str">
        <v>新德润</v>
      </c>
      <c r="F5" s="15">
        <v>0</v>
      </c>
      <c r="G5" s="15">
        <v>0</v>
      </c>
      <c r="H5" s="16">
        <v>0</v>
      </c>
      <c r="I5" s="16">
        <v>0</v>
      </c>
      <c r="J5" s="16">
        <v>0</v>
      </c>
      <c r="K5" s="16">
        <v>0</v>
      </c>
      <c r="L5" s="16">
        <f ca="1" t="shared" ref="L5:L24" si="3">L4+J5-K5</f>
        <v>0</v>
      </c>
      <c r="M5" s="16">
        <v>0</v>
      </c>
      <c r="N5" s="16">
        <v>0</v>
      </c>
      <c r="O5" s="16">
        <v>183486.24</v>
      </c>
      <c r="P5" s="16">
        <f ca="1" t="shared" ref="P5:P17" si="4">P4+M5-N5-O5</f>
        <v>0</v>
      </c>
      <c r="Q5" s="16">
        <v>0</v>
      </c>
      <c r="R5" s="16">
        <v>0</v>
      </c>
      <c r="S5" s="16">
        <v>0</v>
      </c>
      <c r="T5" s="16">
        <f ca="1" t="shared" ref="T5:T13" si="5">T4+Q5-R5-S5</f>
        <v>0</v>
      </c>
      <c r="U5" s="16"/>
    </row>
    <row r="6" spans="1:21">
      <c r="A6" s="13" t="str">
        <v>云龙社区</v>
      </c>
      <c r="B6" s="13" t="str">
        <v>5月</v>
      </c>
      <c r="C6" s="13" t="str">
        <v>重庆市合川区云门街道云龙社区居民委员会(铁工厂还房建设项目)高压新装用电工程</v>
      </c>
      <c r="D6" s="13" t="str">
        <v>2026.5.7庆文开票给新德润：云龙社区居民委员会</v>
      </c>
      <c r="E6" s="14" t="str">
        <v>新德润</v>
      </c>
      <c r="F6" s="15" t="str">
        <v>3%专票</v>
      </c>
      <c r="G6" s="15">
        <v>0</v>
      </c>
      <c r="H6" s="16">
        <v>43774.56</v>
      </c>
      <c r="I6" s="16">
        <v>0</v>
      </c>
      <c r="J6" s="16">
        <v>43774.56</v>
      </c>
      <c r="K6" s="16">
        <v>43774.56</v>
      </c>
      <c r="L6" s="16">
        <f ca="1" t="shared" si="3"/>
        <v>0</v>
      </c>
      <c r="M6" s="16">
        <v>43774.56</v>
      </c>
      <c r="N6" s="16">
        <v>0</v>
      </c>
      <c r="O6" s="16">
        <v>0</v>
      </c>
      <c r="P6" s="16">
        <f ca="1" t="shared" si="4"/>
        <v>43774.56</v>
      </c>
      <c r="Q6" s="16">
        <v>0</v>
      </c>
      <c r="R6" s="16">
        <v>0</v>
      </c>
      <c r="S6" s="16">
        <v>0</v>
      </c>
      <c r="T6" s="16">
        <f ca="1" t="shared" si="5"/>
        <v>0</v>
      </c>
      <c r="U6" s="16"/>
    </row>
    <row r="7" spans="1:21">
      <c r="A7" s="13" t="str">
        <v>云龙社区</v>
      </c>
      <c r="B7" s="13" t="str">
        <v>5月</v>
      </c>
      <c r="C7" s="13" t="str">
        <v>重庆市合川区云门街道云龙社区居民委员会(铁工厂还房建设项目)高压新装用电工程</v>
      </c>
      <c r="D7" s="13" t="str">
        <v>2026.5.13庆文公账收到新德润款项：云龙社区居民委员会</v>
      </c>
      <c r="E7" s="14" t="str">
        <v>新德润</v>
      </c>
      <c r="F7" s="15">
        <v>0</v>
      </c>
      <c r="G7" s="15">
        <v>0</v>
      </c>
      <c r="H7" s="16">
        <v>0</v>
      </c>
      <c r="I7" s="16">
        <v>0</v>
      </c>
      <c r="J7" s="16">
        <v>0</v>
      </c>
      <c r="K7" s="16">
        <v>0</v>
      </c>
      <c r="L7" s="16">
        <f ca="1" t="shared" si="3"/>
        <v>0</v>
      </c>
      <c r="M7" s="16">
        <v>0</v>
      </c>
      <c r="N7" s="16">
        <v>0</v>
      </c>
      <c r="O7" s="16">
        <v>43774.56</v>
      </c>
      <c r="P7" s="16">
        <f ca="1" t="shared" si="4"/>
        <v>0</v>
      </c>
      <c r="Q7" s="16">
        <v>0</v>
      </c>
      <c r="R7" s="16">
        <v>0</v>
      </c>
      <c r="S7" s="16">
        <v>0</v>
      </c>
      <c r="T7" s="16">
        <f ca="1" t="shared" si="5"/>
        <v>0</v>
      </c>
      <c r="U7" s="16"/>
    </row>
    <row r="8" spans="1:21">
      <c r="A8" s="13"/>
      <c r="B8" s="13"/>
      <c r="C8" s="13"/>
      <c r="D8" s="13"/>
      <c r="E8" s="14"/>
      <c r="F8" s="15"/>
      <c r="G8" s="15"/>
      <c r="H8" s="16"/>
      <c r="I8" s="16"/>
      <c r="J8" s="16"/>
      <c r="K8" s="16"/>
      <c r="L8" s="16">
        <f ca="1" t="shared" si="3"/>
        <v>0</v>
      </c>
      <c r="M8" s="16"/>
      <c r="N8" s="16"/>
      <c r="O8" s="16"/>
      <c r="P8" s="16">
        <f ca="1" t="shared" si="4"/>
        <v>0</v>
      </c>
      <c r="Q8" s="16"/>
      <c r="R8" s="16"/>
      <c r="S8" s="16"/>
      <c r="T8" s="16">
        <f ca="1" t="shared" si="5"/>
        <v>0</v>
      </c>
      <c r="U8" s="16"/>
    </row>
    <row r="9" spans="1:21">
      <c r="A9" s="13"/>
      <c r="B9" s="13"/>
      <c r="C9" s="13"/>
      <c r="D9" s="13"/>
      <c r="E9" s="14"/>
      <c r="F9" s="15"/>
      <c r="G9" s="15"/>
      <c r="H9" s="16"/>
      <c r="I9" s="16"/>
      <c r="J9" s="16"/>
      <c r="K9" s="16"/>
      <c r="L9" s="16">
        <f ca="1" t="shared" si="3"/>
        <v>0</v>
      </c>
      <c r="M9" s="16"/>
      <c r="N9" s="16"/>
      <c r="O9" s="16"/>
      <c r="P9" s="16">
        <f ca="1" t="shared" si="4"/>
        <v>0</v>
      </c>
      <c r="Q9" s="16"/>
      <c r="R9" s="16"/>
      <c r="S9" s="16"/>
      <c r="T9" s="16">
        <f ca="1" t="shared" si="5"/>
        <v>0</v>
      </c>
      <c r="U9" s="16"/>
    </row>
    <row r="10" spans="1:21">
      <c r="A10" s="13"/>
      <c r="B10" s="13"/>
      <c r="C10" s="13"/>
      <c r="D10" s="13"/>
      <c r="E10" s="14"/>
      <c r="F10" s="15"/>
      <c r="G10" s="15"/>
      <c r="H10" s="16"/>
      <c r="I10" s="16"/>
      <c r="J10" s="16"/>
      <c r="K10" s="16"/>
      <c r="L10" s="16">
        <f ca="1" t="shared" si="3"/>
        <v>0</v>
      </c>
      <c r="M10" s="16"/>
      <c r="N10" s="16"/>
      <c r="O10" s="16"/>
      <c r="P10" s="16">
        <f ca="1" t="shared" si="4"/>
        <v>0</v>
      </c>
      <c r="Q10" s="16"/>
      <c r="R10" s="16"/>
      <c r="S10" s="16"/>
      <c r="T10" s="16">
        <f ca="1" t="shared" si="5"/>
        <v>0</v>
      </c>
      <c r="U10" s="16"/>
    </row>
    <row r="11" spans="1:21">
      <c r="A11" s="13"/>
      <c r="B11" s="13"/>
      <c r="C11" s="13"/>
      <c r="D11" s="13"/>
      <c r="E11" s="14"/>
      <c r="F11" s="15"/>
      <c r="G11" s="15"/>
      <c r="H11" s="16"/>
      <c r="I11" s="16"/>
      <c r="J11" s="16"/>
      <c r="K11" s="16"/>
      <c r="L11" s="16">
        <f ca="1" t="shared" si="3"/>
        <v>0</v>
      </c>
      <c r="M11" s="16"/>
      <c r="N11" s="16"/>
      <c r="O11" s="16"/>
      <c r="P11" s="16">
        <f ca="1" t="shared" si="4"/>
        <v>0</v>
      </c>
      <c r="Q11" s="16"/>
      <c r="R11" s="16"/>
      <c r="S11" s="16"/>
      <c r="T11" s="16">
        <f ca="1" t="shared" si="5"/>
        <v>0</v>
      </c>
      <c r="U11" s="16"/>
    </row>
    <row r="12" spans="1:21">
      <c r="A12" s="13"/>
      <c r="B12" s="13"/>
      <c r="C12" s="13"/>
      <c r="D12" s="13"/>
      <c r="E12" s="14"/>
      <c r="F12" s="15"/>
      <c r="G12" s="15"/>
      <c r="H12" s="16"/>
      <c r="I12" s="16"/>
      <c r="J12" s="16"/>
      <c r="K12" s="16"/>
      <c r="L12" s="16">
        <f ca="1" t="shared" si="3"/>
        <v>0</v>
      </c>
      <c r="M12" s="16"/>
      <c r="N12" s="16"/>
      <c r="O12" s="16"/>
      <c r="P12" s="16">
        <f ca="1" t="shared" si="4"/>
        <v>0</v>
      </c>
      <c r="Q12" s="16"/>
      <c r="R12" s="16"/>
      <c r="S12" s="16"/>
      <c r="T12" s="16">
        <f ca="1" t="shared" si="5"/>
        <v>0</v>
      </c>
      <c r="U12" s="16"/>
    </row>
    <row r="13" spans="1:21">
      <c r="A13" s="13"/>
      <c r="B13" s="13"/>
      <c r="C13" s="13"/>
      <c r="D13" s="13"/>
      <c r="E13" s="14"/>
      <c r="F13" s="15"/>
      <c r="G13" s="15"/>
      <c r="H13" s="16"/>
      <c r="I13" s="16"/>
      <c r="J13" s="16"/>
      <c r="K13" s="16"/>
      <c r="L13" s="16">
        <f ca="1" t="shared" si="3"/>
        <v>0</v>
      </c>
      <c r="M13" s="16"/>
      <c r="N13" s="16"/>
      <c r="O13" s="16"/>
      <c r="P13" s="16">
        <f ca="1" t="shared" si="4"/>
        <v>0</v>
      </c>
      <c r="Q13" s="16"/>
      <c r="R13" s="16"/>
      <c r="S13" s="16"/>
      <c r="T13" s="16">
        <f ca="1" t="shared" si="5"/>
        <v>0</v>
      </c>
      <c r="U13" s="16"/>
    </row>
    <row r="14" spans="1:21">
      <c r="A14" s="13"/>
      <c r="B14" s="13"/>
      <c r="C14" s="13"/>
      <c r="D14" s="13"/>
      <c r="E14" s="14"/>
      <c r="F14" s="15"/>
      <c r="G14" s="15"/>
      <c r="H14" s="16"/>
      <c r="I14" s="16"/>
      <c r="J14" s="16"/>
      <c r="K14" s="16"/>
      <c r="L14" s="16">
        <f ca="1" t="shared" si="3"/>
        <v>0</v>
      </c>
      <c r="M14" s="16"/>
      <c r="N14" s="16"/>
      <c r="O14" s="16"/>
      <c r="P14" s="16">
        <f ca="1" t="shared" si="4"/>
        <v>0</v>
      </c>
      <c r="Q14" s="16"/>
      <c r="R14" s="16"/>
      <c r="S14" s="16"/>
      <c r="T14" s="16"/>
      <c r="U14" s="16"/>
    </row>
    <row r="15" spans="1:21">
      <c r="A15" s="13"/>
      <c r="B15" s="13"/>
      <c r="C15" s="13"/>
      <c r="D15" s="13"/>
      <c r="E15" s="14"/>
      <c r="F15" s="15"/>
      <c r="G15" s="15"/>
      <c r="H15" s="16"/>
      <c r="I15" s="16"/>
      <c r="J15" s="16"/>
      <c r="K15" s="16"/>
      <c r="L15" s="16">
        <f ca="1" t="shared" si="3"/>
        <v>0</v>
      </c>
      <c r="M15" s="16"/>
      <c r="N15" s="16"/>
      <c r="O15" s="16"/>
      <c r="P15" s="16">
        <f ca="1" t="shared" si="4"/>
        <v>0</v>
      </c>
      <c r="Q15" s="16"/>
      <c r="R15" s="16"/>
      <c r="S15" s="16"/>
      <c r="T15" s="16"/>
      <c r="U15" s="16"/>
    </row>
    <row r="16" spans="1:21">
      <c r="A16" s="13"/>
      <c r="B16" s="13"/>
      <c r="C16" s="13"/>
      <c r="D16" s="13"/>
      <c r="E16" s="14"/>
      <c r="F16" s="14"/>
      <c r="G16" s="15"/>
      <c r="H16" s="16"/>
      <c r="I16" s="16"/>
      <c r="J16" s="16"/>
      <c r="K16" s="16"/>
      <c r="L16" s="16">
        <f ca="1" t="shared" si="3"/>
        <v>0</v>
      </c>
      <c r="M16" s="16"/>
      <c r="N16" s="16"/>
      <c r="O16" s="16"/>
      <c r="P16" s="16">
        <f ca="1" t="shared" si="4"/>
        <v>0</v>
      </c>
      <c r="Q16" s="16"/>
      <c r="R16" s="16"/>
      <c r="S16" s="16"/>
      <c r="T16" s="16"/>
      <c r="U16" s="16"/>
    </row>
    <row r="17" spans="1:21">
      <c r="A17" s="13"/>
      <c r="B17" s="13"/>
      <c r="C17" s="13"/>
      <c r="D17" s="13"/>
      <c r="E17" s="14"/>
      <c r="F17" s="14"/>
      <c r="G17" s="15"/>
      <c r="H17" s="16"/>
      <c r="I17" s="16"/>
      <c r="J17" s="16"/>
      <c r="K17" s="16"/>
      <c r="L17" s="16">
        <f ca="1" t="shared" si="3"/>
        <v>0</v>
      </c>
      <c r="M17" s="16"/>
      <c r="N17" s="16"/>
      <c r="O17" s="16"/>
      <c r="P17" s="16">
        <f ca="1" t="shared" si="4"/>
        <v>0</v>
      </c>
      <c r="Q17" s="16"/>
      <c r="R17" s="16"/>
      <c r="S17" s="16"/>
      <c r="T17" s="16"/>
      <c r="U17" s="16"/>
    </row>
    <row r="18" spans="1:21">
      <c r="A18" s="13"/>
      <c r="B18" s="13"/>
      <c r="C18" s="13"/>
      <c r="D18" s="13"/>
      <c r="E18" s="14"/>
      <c r="F18" s="14"/>
      <c r="G18" s="15"/>
      <c r="H18" s="16"/>
      <c r="I18" s="16"/>
      <c r="J18" s="16"/>
      <c r="K18" s="16"/>
      <c r="L18" s="16">
        <f ca="1" t="shared" si="3"/>
        <v>0</v>
      </c>
      <c r="M18" s="16"/>
      <c r="N18" s="16"/>
      <c r="O18" s="16"/>
      <c r="P18" s="16">
        <f ca="1" t="shared" ref="P5:P34" si="6">P17+M18-O18</f>
        <v>0</v>
      </c>
      <c r="Q18" s="16"/>
      <c r="R18" s="16"/>
      <c r="S18" s="16"/>
      <c r="T18" s="16"/>
      <c r="U18" s="16"/>
    </row>
    <row r="19" spans="1:21">
      <c r="A19" s="13"/>
      <c r="B19" s="13"/>
      <c r="C19" s="13"/>
      <c r="D19" s="13"/>
      <c r="E19" s="14"/>
      <c r="F19" s="14"/>
      <c r="G19" s="15"/>
      <c r="H19" s="16"/>
      <c r="I19" s="16"/>
      <c r="J19" s="16"/>
      <c r="K19" s="16"/>
      <c r="L19" s="16">
        <f ca="1" t="shared" si="3"/>
        <v>0</v>
      </c>
      <c r="M19" s="16"/>
      <c r="N19" s="16"/>
      <c r="O19" s="16"/>
      <c r="P19" s="16">
        <f ca="1" t="shared" si="6"/>
        <v>0</v>
      </c>
      <c r="Q19" s="16"/>
      <c r="R19" s="16"/>
      <c r="S19" s="16"/>
      <c r="T19" s="16"/>
      <c r="U19" s="16"/>
    </row>
    <row r="20" spans="1:21">
      <c r="A20" s="13"/>
      <c r="B20" s="13"/>
      <c r="C20" s="13"/>
      <c r="D20" s="13"/>
      <c r="E20" s="14"/>
      <c r="F20" s="14"/>
      <c r="G20" s="15"/>
      <c r="H20" s="16"/>
      <c r="I20" s="16"/>
      <c r="J20" s="16"/>
      <c r="K20" s="16"/>
      <c r="L20" s="16">
        <f ca="1" t="shared" si="3"/>
        <v>0</v>
      </c>
      <c r="M20" s="16"/>
      <c r="N20" s="16"/>
      <c r="O20" s="16"/>
      <c r="P20" s="16">
        <f ca="1" t="shared" si="6"/>
        <v>0</v>
      </c>
      <c r="Q20" s="16"/>
      <c r="R20" s="16"/>
      <c r="S20" s="16"/>
      <c r="T20" s="16"/>
      <c r="U20" s="16"/>
    </row>
    <row r="21" spans="1:21">
      <c r="A21" s="13"/>
      <c r="B21" s="13"/>
      <c r="C21" s="13"/>
      <c r="D21" s="13"/>
      <c r="E21" s="14"/>
      <c r="F21" s="14"/>
      <c r="G21" s="15"/>
      <c r="H21" s="16"/>
      <c r="I21" s="16"/>
      <c r="J21" s="16"/>
      <c r="K21" s="16"/>
      <c r="L21" s="16">
        <f ca="1" t="shared" si="3"/>
        <v>0</v>
      </c>
      <c r="M21" s="16"/>
      <c r="N21" s="16"/>
      <c r="O21" s="16"/>
      <c r="P21" s="16">
        <f ca="1" t="shared" si="6"/>
        <v>0</v>
      </c>
      <c r="Q21" s="16"/>
      <c r="R21" s="16"/>
      <c r="S21" s="16"/>
      <c r="T21" s="16"/>
      <c r="U21" s="16"/>
    </row>
    <row r="22" spans="1:21">
      <c r="A22" s="13"/>
      <c r="B22" s="13"/>
      <c r="C22" s="13"/>
      <c r="D22" s="13"/>
      <c r="E22" s="14"/>
      <c r="F22" s="14"/>
      <c r="G22" s="15"/>
      <c r="H22" s="16"/>
      <c r="I22" s="16"/>
      <c r="J22" s="16"/>
      <c r="K22" s="16"/>
      <c r="L22" s="16">
        <f ca="1" t="shared" si="3"/>
        <v>0</v>
      </c>
      <c r="M22" s="16"/>
      <c r="N22" s="16"/>
      <c r="O22" s="16"/>
      <c r="P22" s="16">
        <f ca="1" t="shared" si="6"/>
        <v>0</v>
      </c>
      <c r="Q22" s="16"/>
      <c r="R22" s="16"/>
      <c r="S22" s="16"/>
      <c r="T22" s="16"/>
      <c r="U22" s="16"/>
    </row>
    <row r="23" spans="1:21">
      <c r="A23" s="13"/>
      <c r="B23" s="13"/>
      <c r="C23" s="13"/>
      <c r="D23" s="13"/>
      <c r="E23" s="14"/>
      <c r="F23" s="14"/>
      <c r="G23" s="15"/>
      <c r="H23" s="16"/>
      <c r="I23" s="16"/>
      <c r="J23" s="16"/>
      <c r="K23" s="16"/>
      <c r="L23" s="16">
        <f ca="1" t="shared" si="3"/>
        <v>0</v>
      </c>
      <c r="M23" s="16"/>
      <c r="N23" s="16"/>
      <c r="O23" s="16"/>
      <c r="P23" s="16">
        <f ca="1" t="shared" si="6"/>
        <v>0</v>
      </c>
      <c r="Q23" s="16"/>
      <c r="R23" s="16"/>
      <c r="S23" s="16"/>
      <c r="T23" s="16"/>
      <c r="U23" s="16"/>
    </row>
    <row r="24" spans="1:21">
      <c r="A24" s="13"/>
      <c r="B24" s="13"/>
      <c r="C24" s="13"/>
      <c r="D24" s="13"/>
      <c r="E24" s="14"/>
      <c r="F24" s="14"/>
      <c r="G24" s="15"/>
      <c r="H24" s="16"/>
      <c r="I24" s="16"/>
      <c r="J24" s="16"/>
      <c r="K24" s="16"/>
      <c r="L24" s="16">
        <f ca="1" t="shared" si="3"/>
        <v>0</v>
      </c>
      <c r="M24" s="16"/>
      <c r="N24" s="16"/>
      <c r="O24" s="16"/>
      <c r="P24" s="16">
        <f ca="1" t="shared" si="6"/>
        <v>0</v>
      </c>
      <c r="Q24" s="16"/>
      <c r="R24" s="16"/>
      <c r="S24" s="16"/>
      <c r="T24" s="16"/>
      <c r="U24" s="16"/>
    </row>
    <row r="25" spans="1:21">
      <c r="A25" s="13"/>
      <c r="B25" s="13"/>
      <c r="C25" s="13"/>
      <c r="D25" s="13"/>
      <c r="E25" s="14"/>
      <c r="F25" s="14"/>
      <c r="G25" s="15"/>
      <c r="H25" s="16"/>
      <c r="I25" s="16"/>
      <c r="J25" s="16"/>
      <c r="K25" s="16"/>
      <c r="L25" s="16"/>
      <c r="M25" s="16"/>
      <c r="N25" s="16"/>
      <c r="O25" s="16"/>
      <c r="P25" s="16">
        <f ca="1" t="shared" si="6"/>
        <v>0</v>
      </c>
      <c r="Q25" s="16"/>
      <c r="R25" s="16"/>
      <c r="S25" s="16"/>
      <c r="T25" s="16"/>
      <c r="U25" s="16"/>
    </row>
    <row r="26" spans="1:21">
      <c r="A26" s="13"/>
      <c r="B26" s="13"/>
      <c r="C26" s="13"/>
      <c r="D26" s="13"/>
      <c r="E26" s="14"/>
      <c r="F26" s="14"/>
      <c r="G26" s="15"/>
      <c r="H26" s="16"/>
      <c r="I26" s="16"/>
      <c r="J26" s="16"/>
      <c r="K26" s="16"/>
      <c r="L26" s="16"/>
      <c r="M26" s="16"/>
      <c r="N26" s="16"/>
      <c r="O26" s="16"/>
      <c r="P26" s="16">
        <f ca="1" t="shared" si="6"/>
        <v>0</v>
      </c>
      <c r="Q26" s="16"/>
      <c r="R26" s="16"/>
      <c r="S26" s="16"/>
      <c r="T26" s="16"/>
      <c r="U26" s="16"/>
    </row>
    <row r="27" spans="1:21">
      <c r="A27" s="13"/>
      <c r="B27" s="13"/>
      <c r="C27" s="13"/>
      <c r="D27" s="13"/>
      <c r="E27" s="14"/>
      <c r="F27" s="14"/>
      <c r="G27" s="15"/>
      <c r="H27" s="16"/>
      <c r="I27" s="16"/>
      <c r="J27" s="16"/>
      <c r="K27" s="16"/>
      <c r="L27" s="16"/>
      <c r="M27" s="16"/>
      <c r="N27" s="16"/>
      <c r="O27" s="16"/>
      <c r="P27" s="16">
        <f ca="1" t="shared" si="6"/>
        <v>0</v>
      </c>
      <c r="Q27" s="16"/>
      <c r="R27" s="16"/>
      <c r="S27" s="16"/>
      <c r="T27" s="16"/>
      <c r="U27" s="16"/>
    </row>
    <row r="28" spans="1:21">
      <c r="A28" s="13"/>
      <c r="B28" s="13"/>
      <c r="C28" s="13"/>
      <c r="D28" s="13"/>
      <c r="E28" s="14"/>
      <c r="F28" s="14"/>
      <c r="G28" s="15"/>
      <c r="H28" s="16"/>
      <c r="I28" s="16"/>
      <c r="J28" s="16"/>
      <c r="K28" s="16"/>
      <c r="L28" s="16"/>
      <c r="M28" s="16"/>
      <c r="N28" s="16"/>
      <c r="O28" s="16"/>
      <c r="P28" s="16">
        <f ca="1" t="shared" si="6"/>
        <v>0</v>
      </c>
      <c r="Q28" s="16"/>
      <c r="R28" s="16"/>
      <c r="S28" s="16"/>
      <c r="T28" s="16"/>
      <c r="U28" s="16"/>
    </row>
    <row r="29" spans="1:21">
      <c r="A29" s="13"/>
      <c r="B29" s="13"/>
      <c r="C29" s="13"/>
      <c r="D29" s="13"/>
      <c r="E29" s="14"/>
      <c r="F29" s="14"/>
      <c r="G29" s="15"/>
      <c r="H29" s="16"/>
      <c r="I29" s="16"/>
      <c r="J29" s="16"/>
      <c r="K29" s="16"/>
      <c r="L29" s="16"/>
      <c r="M29" s="16"/>
      <c r="N29" s="16"/>
      <c r="O29" s="16"/>
      <c r="P29" s="16">
        <f ca="1" t="shared" si="6"/>
        <v>0</v>
      </c>
      <c r="Q29" s="16"/>
      <c r="R29" s="16"/>
      <c r="S29" s="16"/>
      <c r="T29" s="16"/>
      <c r="U29" s="16"/>
    </row>
    <row r="30" spans="1:21">
      <c r="A30" s="13"/>
      <c r="B30" s="13"/>
      <c r="C30" s="13"/>
      <c r="D30" s="13"/>
      <c r="E30" s="14"/>
      <c r="F30" s="14"/>
      <c r="G30" s="15"/>
      <c r="H30" s="16"/>
      <c r="I30" s="16"/>
      <c r="J30" s="16"/>
      <c r="K30" s="16"/>
      <c r="L30" s="16"/>
      <c r="M30" s="16"/>
      <c r="N30" s="16"/>
      <c r="O30" s="16"/>
      <c r="P30" s="16">
        <f ca="1" t="shared" si="6"/>
        <v>0</v>
      </c>
      <c r="Q30" s="16"/>
      <c r="R30" s="16"/>
      <c r="S30" s="16"/>
      <c r="T30" s="16"/>
      <c r="U30" s="16"/>
    </row>
    <row r="31" spans="1:21">
      <c r="A31" s="13"/>
      <c r="B31" s="13"/>
      <c r="C31" s="13"/>
      <c r="D31" s="13"/>
      <c r="E31" s="14"/>
      <c r="F31" s="14"/>
      <c r="G31" s="15"/>
      <c r="H31" s="16"/>
      <c r="I31" s="16"/>
      <c r="J31" s="16"/>
      <c r="K31" s="16"/>
      <c r="L31" s="16"/>
      <c r="M31" s="16"/>
      <c r="N31" s="16"/>
      <c r="O31" s="16"/>
      <c r="P31" s="16">
        <f ca="1" t="shared" si="6"/>
        <v>0</v>
      </c>
      <c r="Q31" s="16"/>
      <c r="R31" s="16"/>
      <c r="S31" s="16"/>
      <c r="T31" s="16"/>
      <c r="U31" s="16"/>
    </row>
    <row r="32" spans="1:21">
      <c r="A32" s="13"/>
      <c r="B32" s="13"/>
      <c r="C32" s="13"/>
      <c r="D32" s="13"/>
      <c r="E32" s="14"/>
      <c r="F32" s="14"/>
      <c r="G32" s="15"/>
      <c r="H32" s="16"/>
      <c r="I32" s="16"/>
      <c r="J32" s="16"/>
      <c r="K32" s="16"/>
      <c r="L32" s="16"/>
      <c r="M32" s="16"/>
      <c r="N32" s="16"/>
      <c r="O32" s="16"/>
      <c r="P32" s="16">
        <f ca="1" t="shared" si="6"/>
        <v>0</v>
      </c>
      <c r="Q32" s="16"/>
      <c r="R32" s="16"/>
      <c r="S32" s="16"/>
      <c r="T32" s="16"/>
      <c r="U32" s="16"/>
    </row>
    <row r="33" spans="1:21">
      <c r="A33" s="13"/>
      <c r="B33" s="13"/>
      <c r="C33" s="13"/>
      <c r="D33" s="13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>
        <f ca="1" t="shared" si="6"/>
        <v>0</v>
      </c>
      <c r="Q33" s="16"/>
      <c r="R33" s="16"/>
      <c r="S33" s="16"/>
      <c r="T33" s="16"/>
      <c r="U33" s="16"/>
    </row>
    <row r="34" spans="1:21">
      <c r="A34" s="13"/>
      <c r="B34" s="13"/>
      <c r="C34" s="13"/>
      <c r="D34" s="13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>
        <f ca="1" t="shared" si="6"/>
        <v>0</v>
      </c>
      <c r="Q34" s="16"/>
      <c r="R34" s="16"/>
      <c r="S34" s="16"/>
      <c r="T34" s="16"/>
      <c r="U34" s="16"/>
    </row>
    <row r="35" spans="1:21">
      <c r="A35" s="13"/>
      <c r="B35" s="13"/>
      <c r="C35" s="13"/>
      <c r="D35" s="13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 spans="1:21">
      <c r="A36" s="13"/>
      <c r="B36" s="13"/>
      <c r="C36" s="13"/>
      <c r="D36" s="13"/>
      <c r="E36" s="14"/>
      <c r="F36" s="14"/>
      <c r="G36" s="15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spans="1:21">
      <c r="A37" s="13"/>
      <c r="B37" s="13"/>
      <c r="C37" s="13"/>
      <c r="D37" s="13"/>
      <c r="E37" s="14"/>
      <c r="F37" s="14"/>
      <c r="G37" s="15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spans="1:21">
      <c r="A38" s="13"/>
      <c r="B38" s="13"/>
      <c r="C38" s="13"/>
      <c r="D38" s="13"/>
      <c r="E38" s="14"/>
      <c r="F38" s="14"/>
      <c r="G38" s="15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spans="1:21">
      <c r="A39" s="13"/>
      <c r="B39" s="13"/>
      <c r="C39" s="13"/>
      <c r="D39" s="13"/>
      <c r="E39" s="14"/>
      <c r="F39" s="14"/>
      <c r="G39" s="15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spans="1:21">
      <c r="A40" s="13"/>
      <c r="B40" s="13"/>
      <c r="C40" s="13"/>
      <c r="D40" s="13"/>
      <c r="E40" s="14"/>
      <c r="F40" s="14"/>
      <c r="G40" s="15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spans="1:21">
      <c r="A41" s="13"/>
      <c r="B41" s="13"/>
      <c r="C41" s="13"/>
      <c r="D41" s="13"/>
      <c r="E41" s="14"/>
      <c r="F41" s="14"/>
      <c r="G41" s="15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spans="1:21">
      <c r="A42" s="13"/>
      <c r="B42" s="13"/>
      <c r="C42" s="13"/>
      <c r="D42" s="13"/>
      <c r="E42" s="14"/>
      <c r="F42" s="14"/>
      <c r="G42" s="15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spans="1:21">
      <c r="A43" s="13"/>
      <c r="B43" s="13"/>
      <c r="C43" s="13"/>
      <c r="D43" s="13"/>
      <c r="E43" s="14"/>
      <c r="F43" s="14"/>
      <c r="G43" s="15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spans="1:21">
      <c r="A44" s="13"/>
      <c r="B44" s="13"/>
      <c r="C44" s="13"/>
      <c r="D44" s="13"/>
      <c r="E44" s="14"/>
      <c r="F44" s="14"/>
      <c r="G44" s="15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 spans="1:21">
      <c r="A45" s="13"/>
      <c r="B45" s="13"/>
      <c r="C45" s="13"/>
      <c r="D45" s="13"/>
      <c r="E45" s="14"/>
      <c r="F45" s="14"/>
      <c r="G45" s="15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spans="1:21">
      <c r="A46" s="13"/>
      <c r="B46" s="13"/>
      <c r="C46" s="13"/>
      <c r="D46" s="13"/>
      <c r="E46" s="14"/>
      <c r="F46" s="14"/>
      <c r="G46" s="15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1:21">
      <c r="A47" s="13"/>
      <c r="B47" s="13"/>
      <c r="C47" s="13"/>
      <c r="D47" s="13"/>
      <c r="E47" s="14"/>
      <c r="F47" s="14"/>
      <c r="G47" s="15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spans="1:21">
      <c r="A48" s="13"/>
      <c r="B48" s="13"/>
      <c r="C48" s="13"/>
      <c r="D48" s="13"/>
      <c r="E48" s="14"/>
      <c r="F48" s="14"/>
      <c r="G48" s="15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</row>
  </sheetData>
  <autoFilter xmlns:etc="http://www.wps.cn/officeDocument/2017/etCustomData" ref="A2:V36" etc:filterBottomFollowUsedRange="0">
    <extLst/>
  </autoFilter>
  <mergeCells count="7">
    <mergeCell ref="A1:U1"/>
    <mergeCell ref="A2:A3"/>
    <mergeCell ref="B2:B3"/>
    <mergeCell ref="D2:D3"/>
    <mergeCell ref="E2:E3"/>
    <mergeCell ref="F2:F3"/>
    <mergeCell ref="G2:G3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3"/>
  <sheetViews>
    <sheetView zoomScale="85" zoomScaleNormal="85" workbookViewId="0">
      <selection activeCell="A1" sqref="A1:U1"/>
    </sheetView>
  </sheetViews>
  <sheetFormatPr defaultColWidth="9" defaultRowHeight="16.5"/>
  <cols>
    <col min="1" max="1" width="8.22727272727273" style="2" customWidth="1"/>
    <col min="2" max="2" width="5.72727272727273" style="2" hidden="1" customWidth="1"/>
    <col min="3" max="3" width="57.4545454545455" style="2" hidden="1" customWidth="1"/>
    <col min="4" max="4" width="66.4181818181818" style="2" customWidth="1"/>
    <col min="5" max="5" width="8.87272727272727" style="3" customWidth="1"/>
    <col min="6" max="6" width="9.2" style="17" customWidth="1"/>
    <col min="7" max="7" width="6.2" style="4" customWidth="1"/>
    <col min="8" max="8" width="14.9090909090909" style="3" customWidth="1"/>
    <col min="9" max="9" width="13.5454545454545" style="3" customWidth="1"/>
    <col min="10" max="11" width="14.9090909090909" style="3" customWidth="1"/>
    <col min="12" max="12" width="13.9090909090909" style="3" customWidth="1"/>
    <col min="13" max="14" width="13.9090909090909" style="2" customWidth="1"/>
    <col min="15" max="15" width="12.5454545454545" style="2" customWidth="1"/>
    <col min="16" max="17" width="14.8181818181818" style="2" customWidth="1"/>
    <col min="18" max="20" width="12.5454545454545" style="2" customWidth="1"/>
    <col min="21" max="21" width="24.1636363636364" style="2" customWidth="1"/>
    <col min="22" max="16378" width="9" style="2"/>
  </cols>
  <sheetData>
    <row r="1" ht="37" customHeight="1" spans="1:21">
      <c r="A1" s="18" t="s">
        <v>12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="1" customFormat="1" ht="33" spans="1:21">
      <c r="A2" s="6" t="s">
        <v>137</v>
      </c>
      <c r="B2" s="6" t="s">
        <v>22</v>
      </c>
      <c r="C2" s="6" t="s">
        <v>23</v>
      </c>
      <c r="D2" s="6" t="s">
        <v>24</v>
      </c>
      <c r="E2" s="7" t="s">
        <v>25</v>
      </c>
      <c r="F2" s="7" t="s">
        <v>26</v>
      </c>
      <c r="G2" s="8" t="s">
        <v>27</v>
      </c>
      <c r="H2" s="9" t="s">
        <v>28</v>
      </c>
      <c r="I2" s="9" t="s">
        <v>29</v>
      </c>
      <c r="J2" s="9" t="s">
        <v>30</v>
      </c>
      <c r="K2" s="9" t="s">
        <v>31</v>
      </c>
      <c r="L2" s="9" t="s">
        <v>32</v>
      </c>
      <c r="M2" s="6" t="s">
        <v>33</v>
      </c>
      <c r="N2" s="6" t="s">
        <v>34</v>
      </c>
      <c r="O2" s="6" t="s">
        <v>35</v>
      </c>
      <c r="P2" s="6" t="s">
        <v>36</v>
      </c>
      <c r="Q2" s="6" t="s">
        <v>37</v>
      </c>
      <c r="R2" s="6" t="s">
        <v>38</v>
      </c>
      <c r="S2" s="6" t="s">
        <v>39</v>
      </c>
      <c r="T2" s="6" t="s">
        <v>40</v>
      </c>
      <c r="U2" s="6" t="s">
        <v>4</v>
      </c>
    </row>
    <row r="3" s="1" customFormat="1" spans="1:21">
      <c r="A3" s="6"/>
      <c r="B3" s="6"/>
      <c r="C3" s="10"/>
      <c r="D3" s="6"/>
      <c r="E3" s="11"/>
      <c r="F3" s="11"/>
      <c r="G3" s="12"/>
      <c r="H3" s="9">
        <f ca="1">SUM(H4:H306)</f>
        <v>121598.1</v>
      </c>
      <c r="I3" s="9">
        <f ca="1" t="shared" ref="H3:K3" si="0">SUM(I4:I306)</f>
        <v>12159.81</v>
      </c>
      <c r="J3" s="9">
        <f ca="1" t="shared" si="0"/>
        <v>109438.29</v>
      </c>
      <c r="K3" s="9">
        <f ca="1" t="shared" si="0"/>
        <v>167000</v>
      </c>
      <c r="L3" s="9">
        <f ca="1">J3-K3</f>
        <v>-57561.71</v>
      </c>
      <c r="M3" s="9">
        <f ca="1" t="shared" ref="M3:O3" si="1">SUM(M4:M306)</f>
        <v>121598.1</v>
      </c>
      <c r="N3" s="9">
        <f ca="1" t="shared" si="1"/>
        <v>0</v>
      </c>
      <c r="O3" s="9">
        <f ca="1" t="shared" si="1"/>
        <v>115307.26</v>
      </c>
      <c r="P3" s="9">
        <f ca="1">M3-O3</f>
        <v>6290.84</v>
      </c>
      <c r="Q3" s="9">
        <f ca="1" t="shared" ref="Q3:U3" si="2">SUM(Q4:Q306)</f>
        <v>0</v>
      </c>
      <c r="R3" s="9">
        <f ca="1" t="shared" si="2"/>
        <v>0</v>
      </c>
      <c r="S3" s="9">
        <f ca="1" t="shared" si="2"/>
        <v>0</v>
      </c>
      <c r="T3" s="9">
        <f ca="1" t="shared" si="2"/>
        <v>0</v>
      </c>
      <c r="U3" s="9">
        <f t="shared" si="2"/>
        <v>0</v>
      </c>
    </row>
    <row r="4" spans="1:21">
      <c r="A4" s="16" t="str" cm="1">
        <f ca="1" t="array" ref="A4:K18">_xlfn._xlws.FILTER(发票统计!A:K,发票统计!A:A=_wpsfn.SHEETSNAME(A2))</f>
        <v>铜城2回、玉璟尚线、铁井一回、淮拦线4</v>
      </c>
      <c r="B4" s="16" t="str">
        <v>6月</v>
      </c>
      <c r="C4" s="16" t="str">
        <v>重庆铜梁铜城2回金龙物业管理有限公司10kV业扩配套工程</v>
      </c>
      <c r="D4" s="16" t="str">
        <v>2026.6.24新德润开票民能：铜城2回，10%管理费</v>
      </c>
      <c r="E4" s="16" t="str">
        <v>民能</v>
      </c>
      <c r="F4" s="19" t="str">
        <v>3%专票</v>
      </c>
      <c r="G4" s="15">
        <v>0.1</v>
      </c>
      <c r="H4" s="16">
        <v>4002.66</v>
      </c>
      <c r="I4" s="16">
        <v>400.266</v>
      </c>
      <c r="J4" s="16">
        <v>3602.394</v>
      </c>
      <c r="K4" s="16">
        <v>0</v>
      </c>
      <c r="L4" s="16">
        <f ca="1">J4-K4</f>
        <v>3602.394</v>
      </c>
      <c r="M4" s="16" cm="1">
        <f ca="1" t="array" ref="M4:O18">_xlfn._xlws.FILTER(发票统计!M:O,发票统计!A:A=_wpsfn.SHEETSNAME(A2))</f>
        <v>4002.66</v>
      </c>
      <c r="N4" s="16">
        <v>0</v>
      </c>
      <c r="O4" s="16">
        <v>0</v>
      </c>
      <c r="P4" s="16">
        <f ca="1">M4-N4</f>
        <v>4002.66</v>
      </c>
      <c r="Q4" s="16" cm="1">
        <f ca="1" t="array" ref="Q4:S18">_xlfn._xlws.FILTER(发票统计!Q:S,发票统计!A:A=_wpsfn.SHEETSNAME(A2))</f>
        <v>0</v>
      </c>
      <c r="R4" s="16">
        <v>0</v>
      </c>
      <c r="S4" s="16">
        <v>0</v>
      </c>
      <c r="T4" s="16">
        <f ca="1">Q4-R4</f>
        <v>0</v>
      </c>
      <c r="U4" s="16"/>
    </row>
    <row r="5" spans="1:21">
      <c r="A5" s="16" t="str">
        <v>铜城2回、玉璟尚线、铁井一回、淮拦线4</v>
      </c>
      <c r="B5" s="16" t="str">
        <v>6月</v>
      </c>
      <c r="C5" s="16" t="str">
        <v>重庆铜梁玉璟尚线金龙物业管理有限公司10kV业扩配套工程</v>
      </c>
      <c r="D5" s="16" t="str">
        <v>2026.6.24新德润开票民能：玉璟尚线，10%管理费</v>
      </c>
      <c r="E5" s="16" t="str">
        <v>民能</v>
      </c>
      <c r="F5" s="19" t="str">
        <v>3%专票</v>
      </c>
      <c r="G5" s="15">
        <v>0.1</v>
      </c>
      <c r="H5" s="16">
        <v>13079.84</v>
      </c>
      <c r="I5" s="16">
        <v>1307.984</v>
      </c>
      <c r="J5" s="16">
        <v>11771.856</v>
      </c>
      <c r="K5" s="16">
        <v>0</v>
      </c>
      <c r="L5" s="16">
        <f ca="1">L4+J5-K5</f>
        <v>15374.25</v>
      </c>
      <c r="M5" s="16">
        <v>13079.84</v>
      </c>
      <c r="N5" s="16">
        <v>0</v>
      </c>
      <c r="O5" s="16">
        <v>0</v>
      </c>
      <c r="P5" s="16">
        <f ca="1" t="shared" ref="P5:P17" si="3">P4+M5-N5-O5</f>
        <v>17082.5</v>
      </c>
      <c r="Q5" s="16">
        <v>0</v>
      </c>
      <c r="R5" s="16">
        <v>0</v>
      </c>
      <c r="S5" s="16">
        <v>0</v>
      </c>
      <c r="T5" s="16">
        <f ca="1" t="shared" ref="T5:T13" si="4">T4+Q5-R5-S5</f>
        <v>0</v>
      </c>
      <c r="U5" s="16"/>
    </row>
    <row r="6" spans="1:21">
      <c r="A6" s="16" t="str">
        <v>铜城2回、玉璟尚线、铁井一回、淮拦线4</v>
      </c>
      <c r="B6" s="16" t="str">
        <v>6月</v>
      </c>
      <c r="C6" s="16" t="str">
        <v>重庆铜梁铁井一回1#环网柜等6个10kV老旧环网柜改造工程(安装)</v>
      </c>
      <c r="D6" s="16" t="str">
        <v>2026.6.24新德润开票民能：铁井一回1#环网柜，10%管理费</v>
      </c>
      <c r="E6" s="16" t="str">
        <v>民能</v>
      </c>
      <c r="F6" s="19" t="str">
        <v>3%专票</v>
      </c>
      <c r="G6" s="15">
        <v>0.1</v>
      </c>
      <c r="H6" s="16">
        <v>47546.28</v>
      </c>
      <c r="I6" s="16">
        <v>4754.628</v>
      </c>
      <c r="J6" s="16">
        <v>42791.652</v>
      </c>
      <c r="K6" s="16">
        <v>0</v>
      </c>
      <c r="L6" s="16">
        <f ca="1" t="shared" ref="L6:L37" si="5">L5+J6-K6</f>
        <v>58165.902</v>
      </c>
      <c r="M6" s="16">
        <v>47546.28</v>
      </c>
      <c r="N6" s="16">
        <v>0</v>
      </c>
      <c r="O6" s="16">
        <v>0</v>
      </c>
      <c r="P6" s="16">
        <f ca="1" t="shared" si="3"/>
        <v>64628.78</v>
      </c>
      <c r="Q6" s="16">
        <v>0</v>
      </c>
      <c r="R6" s="16">
        <v>0</v>
      </c>
      <c r="S6" s="16">
        <v>0</v>
      </c>
      <c r="T6" s="16">
        <f ca="1" t="shared" si="4"/>
        <v>0</v>
      </c>
      <c r="U6" s="16"/>
    </row>
    <row r="7" spans="1:21">
      <c r="A7" s="16" t="str">
        <v>铜城2回、玉璟尚线、铁井一回、淮拦线4</v>
      </c>
      <c r="B7" s="16" t="str">
        <v>6月</v>
      </c>
      <c r="C7" s="16" t="str">
        <v>重庆铜梁淮拦线4#环网柜等6个10kV老旧环网柜改造工程（安装）</v>
      </c>
      <c r="D7" s="16" t="str">
        <v>2026.6.24新德润开票民能：淮拦线4#环网柜，10%管理费</v>
      </c>
      <c r="E7" s="16" t="str">
        <v>民能</v>
      </c>
      <c r="F7" s="19" t="str">
        <v>3%专票</v>
      </c>
      <c r="G7" s="15">
        <v>0.1</v>
      </c>
      <c r="H7" s="16">
        <v>56969.32</v>
      </c>
      <c r="I7" s="16">
        <v>5696.932</v>
      </c>
      <c r="J7" s="16">
        <v>51272.388</v>
      </c>
      <c r="K7" s="16">
        <v>0</v>
      </c>
      <c r="L7" s="16">
        <f ca="1" t="shared" si="5"/>
        <v>109438.29</v>
      </c>
      <c r="M7" s="16">
        <v>56969.32</v>
      </c>
      <c r="N7" s="16">
        <v>0</v>
      </c>
      <c r="O7" s="16">
        <v>0</v>
      </c>
      <c r="P7" s="16">
        <f ca="1" t="shared" si="3"/>
        <v>121598.1</v>
      </c>
      <c r="Q7" s="16">
        <v>0</v>
      </c>
      <c r="R7" s="16">
        <v>0</v>
      </c>
      <c r="S7" s="16">
        <v>0</v>
      </c>
      <c r="T7" s="16">
        <f ca="1" t="shared" si="4"/>
        <v>0</v>
      </c>
      <c r="U7" s="16"/>
    </row>
    <row r="8" spans="1:21">
      <c r="A8" s="16" t="str">
        <v>铜城2回、玉璟尚线、铁井一回、淮拦线4</v>
      </c>
      <c r="B8" s="16" t="str">
        <v>6月</v>
      </c>
      <c r="C8" s="16" t="str">
        <v>重庆铜梁淮拦线4#环网柜等6个10kV老旧环网柜改造工程（安装）</v>
      </c>
      <c r="D8" s="16" t="str">
        <v>2026.6.23桐桐建材开票到新德润：淮拦、铁井、玉璟、铜城2回</v>
      </c>
      <c r="E8" s="16" t="str">
        <v>新德润</v>
      </c>
      <c r="F8" s="19" t="str">
        <v>1%普票</v>
      </c>
      <c r="G8" s="15">
        <v>0</v>
      </c>
      <c r="H8" s="16">
        <v>0</v>
      </c>
      <c r="I8" s="16">
        <v>0</v>
      </c>
      <c r="J8" s="16">
        <v>0</v>
      </c>
      <c r="K8" s="16">
        <v>67200</v>
      </c>
      <c r="L8" s="16">
        <f ca="1" t="shared" si="5"/>
        <v>42238.29</v>
      </c>
      <c r="M8" s="16">
        <v>0</v>
      </c>
      <c r="N8" s="16">
        <v>0</v>
      </c>
      <c r="O8" s="16">
        <v>0</v>
      </c>
      <c r="P8" s="16">
        <f ca="1" t="shared" si="3"/>
        <v>121598.1</v>
      </c>
      <c r="Q8" s="16">
        <v>0</v>
      </c>
      <c r="R8" s="16">
        <v>0</v>
      </c>
      <c r="S8" s="16">
        <v>0</v>
      </c>
      <c r="T8" s="16">
        <f ca="1" t="shared" si="4"/>
        <v>0</v>
      </c>
      <c r="U8" s="16"/>
    </row>
    <row r="9" spans="1:21">
      <c r="A9" s="16" t="str">
        <v>铜城2回、玉璟尚线、铁井一回、淮拦线4</v>
      </c>
      <c r="B9" s="16" t="str">
        <v>6月</v>
      </c>
      <c r="C9" s="16" t="str">
        <v>重庆铜梁淮拦线4#环网柜等6个10kV老旧环网柜改造工程（安装）</v>
      </c>
      <c r="D9" s="16" t="str">
        <v>2026.6.24宜宾翠屏开票到新德润淮：淮拦、铁井、玉璟、铜城2回</v>
      </c>
      <c r="E9" s="16" t="str">
        <v>新德润</v>
      </c>
      <c r="F9" s="19" t="str">
        <v>1%普票</v>
      </c>
      <c r="G9" s="15">
        <v>0</v>
      </c>
      <c r="H9" s="16">
        <v>0</v>
      </c>
      <c r="I9" s="16">
        <v>0</v>
      </c>
      <c r="J9" s="16">
        <v>0</v>
      </c>
      <c r="K9" s="16">
        <v>42800</v>
      </c>
      <c r="L9" s="16">
        <f ca="1" t="shared" si="5"/>
        <v>-561.709999999992</v>
      </c>
      <c r="M9" s="16">
        <v>0</v>
      </c>
      <c r="N9" s="16">
        <v>0</v>
      </c>
      <c r="O9" s="16">
        <v>0</v>
      </c>
      <c r="P9" s="16">
        <f ca="1" t="shared" si="3"/>
        <v>121598.1</v>
      </c>
      <c r="Q9" s="16">
        <v>0</v>
      </c>
      <c r="R9" s="16">
        <v>0</v>
      </c>
      <c r="S9" s="16">
        <v>0</v>
      </c>
      <c r="T9" s="16">
        <f ca="1" t="shared" si="4"/>
        <v>0</v>
      </c>
      <c r="U9" s="16"/>
    </row>
    <row r="10" spans="1:21">
      <c r="A10" s="16" t="str">
        <v>铜城2回、玉璟尚线、铁井一回、淮拦线4</v>
      </c>
      <c r="B10" s="16" t="str">
        <v>9月</v>
      </c>
      <c r="C10" s="16" t="str">
        <v>重庆铜梁淮拦线4#环网柜等6个10kV老旧环网柜改造工程（安装）</v>
      </c>
      <c r="D10" s="16" t="str">
        <v>2026.9.14新德润扣8月民能农民工工资个税</v>
      </c>
      <c r="E10" s="16" t="str">
        <v>新德润</v>
      </c>
      <c r="F10" s="19" t="str">
        <v>1%普票</v>
      </c>
      <c r="G10" s="15">
        <v>0</v>
      </c>
      <c r="H10" s="16">
        <v>0</v>
      </c>
      <c r="I10" s="16">
        <v>0</v>
      </c>
      <c r="J10" s="16">
        <v>0</v>
      </c>
      <c r="K10" s="16">
        <v>57000</v>
      </c>
      <c r="L10" s="16">
        <f ca="1" t="shared" si="5"/>
        <v>-57561.71</v>
      </c>
      <c r="M10" s="16">
        <v>0</v>
      </c>
      <c r="N10" s="16">
        <v>0</v>
      </c>
      <c r="O10" s="16">
        <v>810</v>
      </c>
      <c r="P10" s="16">
        <f ca="1" t="shared" si="3"/>
        <v>120788.1</v>
      </c>
      <c r="Q10" s="16">
        <v>0</v>
      </c>
      <c r="R10" s="16">
        <v>0</v>
      </c>
      <c r="S10" s="16">
        <v>0</v>
      </c>
      <c r="T10" s="16">
        <f ca="1" t="shared" si="4"/>
        <v>0</v>
      </c>
      <c r="U10" s="16"/>
    </row>
    <row r="11" spans="1:21">
      <c r="A11" s="16" t="str">
        <v>铜城2回、玉璟尚线、铁井一回、淮拦线4</v>
      </c>
      <c r="B11" s="16" t="str">
        <v>9月</v>
      </c>
      <c r="C11" s="16" t="str">
        <v>重庆铜梁铁井一回1#环网柜等6个10kV老旧环网柜改造工程(安装)</v>
      </c>
      <c r="D11" s="16" t="str">
        <v>2026.9.14新德润扣8月民能农民工工资：铁井一回1</v>
      </c>
      <c r="E11" s="16" t="str">
        <v>新德润</v>
      </c>
      <c r="F11" s="19">
        <v>0</v>
      </c>
      <c r="G11" s="15">
        <v>0</v>
      </c>
      <c r="H11" s="16">
        <v>0</v>
      </c>
      <c r="I11" s="16">
        <v>0</v>
      </c>
      <c r="J11" s="16">
        <v>0</v>
      </c>
      <c r="K11" s="16">
        <v>0</v>
      </c>
      <c r="L11" s="16">
        <f ca="1" t="shared" si="5"/>
        <v>-57561.71</v>
      </c>
      <c r="M11" s="16">
        <v>0</v>
      </c>
      <c r="N11" s="16">
        <v>0</v>
      </c>
      <c r="O11" s="16">
        <v>22000</v>
      </c>
      <c r="P11" s="16">
        <f ca="1" t="shared" si="3"/>
        <v>98788.1</v>
      </c>
      <c r="Q11" s="16">
        <v>0</v>
      </c>
      <c r="R11" s="16">
        <v>0</v>
      </c>
      <c r="S11" s="16">
        <v>0</v>
      </c>
      <c r="T11" s="16">
        <f ca="1" t="shared" si="4"/>
        <v>0</v>
      </c>
      <c r="U11" s="16"/>
    </row>
    <row r="12" spans="1:21">
      <c r="A12" s="16" t="str">
        <v>铜城2回、玉璟尚线、铁井一回、淮拦线4</v>
      </c>
      <c r="B12" s="16" t="str">
        <v>9月</v>
      </c>
      <c r="C12" s="16" t="str">
        <v>重庆铜梁淮拦线4#环网柜等6个10kV老旧环网柜改造工程（安装）</v>
      </c>
      <c r="D12" s="16" t="str">
        <v>2026.9.14新德润扣8月民能农民工工资：淮拦线4</v>
      </c>
      <c r="E12" s="16" t="str">
        <v>新德润</v>
      </c>
      <c r="F12" s="19">
        <v>0</v>
      </c>
      <c r="G12" s="15">
        <v>0</v>
      </c>
      <c r="H12" s="16">
        <v>0</v>
      </c>
      <c r="I12" s="16">
        <v>0</v>
      </c>
      <c r="J12" s="16">
        <v>0</v>
      </c>
      <c r="K12" s="16">
        <v>0</v>
      </c>
      <c r="L12" s="16">
        <f ca="1" t="shared" si="5"/>
        <v>-57561.71</v>
      </c>
      <c r="M12" s="16">
        <v>0</v>
      </c>
      <c r="N12" s="16">
        <v>0</v>
      </c>
      <c r="O12" s="16">
        <v>27000</v>
      </c>
      <c r="P12" s="16">
        <f ca="1" t="shared" si="3"/>
        <v>71788.1</v>
      </c>
      <c r="Q12" s="16">
        <v>0</v>
      </c>
      <c r="R12" s="16">
        <v>0</v>
      </c>
      <c r="S12" s="16">
        <v>0</v>
      </c>
      <c r="T12" s="16">
        <f ca="1" t="shared" si="4"/>
        <v>0</v>
      </c>
      <c r="U12" s="16"/>
    </row>
    <row r="13" spans="1:21">
      <c r="A13" s="16" t="str">
        <v>铜城2回、玉璟尚线、铁井一回、淮拦线4</v>
      </c>
      <c r="B13" s="16" t="str">
        <v>9月</v>
      </c>
      <c r="C13" s="16" t="str">
        <v>重庆铜梁铜城2回金龙物业管理有限公司10kV业扩配套工程</v>
      </c>
      <c r="D13" s="16" t="str">
        <v>2026.9.14新德润扣8月民能农民工工资：铜城2回</v>
      </c>
      <c r="E13" s="16" t="str">
        <v>新德润</v>
      </c>
      <c r="F13" s="19">
        <v>0</v>
      </c>
      <c r="G13" s="15">
        <v>0</v>
      </c>
      <c r="H13" s="16">
        <v>0</v>
      </c>
      <c r="I13" s="16">
        <v>0</v>
      </c>
      <c r="J13" s="16">
        <v>0</v>
      </c>
      <c r="K13" s="16">
        <v>0</v>
      </c>
      <c r="L13" s="16">
        <f ca="1" t="shared" si="5"/>
        <v>-57561.71</v>
      </c>
      <c r="M13" s="16">
        <v>0</v>
      </c>
      <c r="N13" s="16">
        <v>0</v>
      </c>
      <c r="O13" s="16">
        <v>2000</v>
      </c>
      <c r="P13" s="16">
        <f ca="1" t="shared" si="3"/>
        <v>69788.1</v>
      </c>
      <c r="Q13" s="16">
        <v>0</v>
      </c>
      <c r="R13" s="16">
        <v>0</v>
      </c>
      <c r="S13" s="16">
        <v>0</v>
      </c>
      <c r="T13" s="16">
        <f ca="1" t="shared" si="4"/>
        <v>0</v>
      </c>
      <c r="U13" s="16"/>
    </row>
    <row r="14" spans="1:21">
      <c r="A14" s="16" t="str">
        <v>铜城2回、玉璟尚线、铁井一回、淮拦线4</v>
      </c>
      <c r="B14" s="16" t="str">
        <v>9月</v>
      </c>
      <c r="C14" s="16" t="str">
        <v>重庆铜梁玉璟尚线金龙物业管理有限公司10kV业扩配套工程</v>
      </c>
      <c r="D14" s="16" t="str">
        <v>2026.9.14新德润扣8月民能农民工工资：玉璟尚线</v>
      </c>
      <c r="E14" s="16" t="str">
        <v>新德润</v>
      </c>
      <c r="F14" s="19">
        <v>0</v>
      </c>
      <c r="G14" s="15">
        <v>0</v>
      </c>
      <c r="H14" s="16">
        <v>0</v>
      </c>
      <c r="I14" s="16">
        <v>0</v>
      </c>
      <c r="J14" s="16">
        <v>0</v>
      </c>
      <c r="K14" s="16">
        <v>0</v>
      </c>
      <c r="L14" s="16">
        <f ca="1" t="shared" si="5"/>
        <v>-57561.71</v>
      </c>
      <c r="M14" s="16">
        <v>0</v>
      </c>
      <c r="N14" s="16">
        <v>0</v>
      </c>
      <c r="O14" s="16">
        <v>6000</v>
      </c>
      <c r="P14" s="16">
        <f ca="1" t="shared" si="3"/>
        <v>63788.1</v>
      </c>
      <c r="Q14" s="16">
        <v>0</v>
      </c>
      <c r="R14" s="16">
        <v>0</v>
      </c>
      <c r="S14" s="16">
        <v>0</v>
      </c>
      <c r="T14" s="16" cm="1">
        <f ca="1" t="array" ref="T14">铜城2回、玉璟尚线、铁井一回、淮拦线4!T12:T12+铜城2回、玉璟尚线、铁井一回、淮拦线4!Q13:Q13-铜城2回、玉璟尚线、铁井一回、淮拦线4!R13:R13-铜城2回、玉璟尚线、铁井一回、淮拦线4!S13:S13</f>
        <v>0</v>
      </c>
      <c r="U14" s="16"/>
    </row>
    <row r="15" spans="1:21">
      <c r="A15" s="16" t="str">
        <v>铜城2回、玉璟尚线、铁井一回、淮拦线4</v>
      </c>
      <c r="B15" s="16" t="str">
        <v>9月</v>
      </c>
      <c r="C15" s="16" t="str">
        <v>重庆铜梁淮拦线4#环网柜等6个10kV老旧环网柜改造工程（安装）</v>
      </c>
      <c r="D15" s="16" t="str">
        <v>2026.9.14新德润扣工资残保金1.5%</v>
      </c>
      <c r="E15" s="16" t="str">
        <v>新德润</v>
      </c>
      <c r="F15" s="19">
        <v>0</v>
      </c>
      <c r="G15" s="15">
        <v>0</v>
      </c>
      <c r="H15" s="16">
        <v>0</v>
      </c>
      <c r="I15" s="16">
        <v>0</v>
      </c>
      <c r="J15" s="16">
        <v>0</v>
      </c>
      <c r="K15" s="16">
        <v>0</v>
      </c>
      <c r="L15" s="16">
        <f ca="1" t="shared" si="5"/>
        <v>-57561.71</v>
      </c>
      <c r="M15" s="16">
        <v>0</v>
      </c>
      <c r="N15" s="16">
        <v>0</v>
      </c>
      <c r="O15" s="16">
        <v>1823.97</v>
      </c>
      <c r="P15" s="16">
        <f ca="1" t="shared" si="3"/>
        <v>61964.13</v>
      </c>
      <c r="Q15" s="16">
        <v>0</v>
      </c>
      <c r="R15" s="16">
        <v>0</v>
      </c>
      <c r="S15" s="16">
        <v>0</v>
      </c>
      <c r="T15" s="16" cm="1">
        <f ca="1" t="array" ref="T15">铜城2回、玉璟尚线、铁井一回、淮拦线4!T13:T13+铜城2回、玉璟尚线、铁井一回、淮拦线4!Q14:Q14-铜城2回、玉璟尚线、铁井一回、淮拦线4!R14:R14-铜城2回、玉璟尚线、铁井一回、淮拦线4!S14:S14</f>
        <v>0</v>
      </c>
      <c r="U15" s="16"/>
    </row>
    <row r="16" spans="1:21">
      <c r="A16" s="16" t="str">
        <v>铜城2回、玉璟尚线、铁井一回、淮拦线4</v>
      </c>
      <c r="B16" s="16" t="str">
        <v>9月</v>
      </c>
      <c r="C16" s="16" t="str">
        <v>重庆铜梁淮拦线4#环网柜等6个10kV老旧环网柜改造工程（安装）</v>
      </c>
      <c r="D16" s="16" t="str">
        <v>2026.9.14新德润扣增值税3541.69，附加税425，印花税72.96</v>
      </c>
      <c r="E16" s="16" t="str">
        <v>新德润</v>
      </c>
      <c r="F16" s="19">
        <v>0</v>
      </c>
      <c r="G16" s="15">
        <v>0</v>
      </c>
      <c r="H16" s="16">
        <v>0</v>
      </c>
      <c r="I16" s="16">
        <v>0</v>
      </c>
      <c r="J16" s="16">
        <v>0</v>
      </c>
      <c r="K16" s="16">
        <v>0</v>
      </c>
      <c r="L16" s="16">
        <f ca="1" t="shared" si="5"/>
        <v>-57561.71</v>
      </c>
      <c r="M16" s="16">
        <v>0</v>
      </c>
      <c r="N16" s="16">
        <v>0</v>
      </c>
      <c r="O16" s="16">
        <v>4039.65</v>
      </c>
      <c r="P16" s="16">
        <f ca="1" t="shared" si="3"/>
        <v>57924.48</v>
      </c>
      <c r="Q16" s="16">
        <v>0</v>
      </c>
      <c r="R16" s="16">
        <v>0</v>
      </c>
      <c r="S16" s="16">
        <v>0</v>
      </c>
      <c r="T16" s="16" cm="1">
        <f ca="1" t="array" ref="T16">铜城2回、玉璟尚线、铁井一回、淮拦线4!T14:T14+铜城2回、玉璟尚线、铁井一回、淮拦线4!Q15:Q15-铜城2回、玉璟尚线、铁井一回、淮拦线4!R15:R15-铜城2回、玉璟尚线、铁井一回、淮拦线4!S15:S15</f>
        <v>0</v>
      </c>
      <c r="U16" s="16"/>
    </row>
    <row r="17" spans="1:21">
      <c r="A17" s="16" t="str">
        <v>铜城2回、玉璟尚线、铁井一回、淮拦线4</v>
      </c>
      <c r="B17" s="16" t="str">
        <v>9月</v>
      </c>
      <c r="C17" s="16" t="str">
        <v>重庆铜梁淮拦线4#环网柜等6个10kV老旧环网柜改造工程（安装）</v>
      </c>
      <c r="D17" s="16" t="str">
        <v>2026.9.14新德润扣管理费</v>
      </c>
      <c r="E17" s="16" t="str">
        <v>新德润</v>
      </c>
      <c r="F17" s="19">
        <v>0</v>
      </c>
      <c r="G17" s="15">
        <v>0</v>
      </c>
      <c r="H17" s="16">
        <v>0</v>
      </c>
      <c r="I17" s="16">
        <v>0</v>
      </c>
      <c r="J17" s="16">
        <v>0</v>
      </c>
      <c r="K17" s="16">
        <v>0</v>
      </c>
      <c r="L17" s="16">
        <f ca="1" t="shared" si="5"/>
        <v>-57561.71</v>
      </c>
      <c r="M17" s="16">
        <v>0</v>
      </c>
      <c r="N17" s="16">
        <v>0</v>
      </c>
      <c r="O17" s="16">
        <v>12159.81</v>
      </c>
      <c r="P17" s="16">
        <f ca="1" t="shared" si="3"/>
        <v>45764.67</v>
      </c>
      <c r="Q17" s="16">
        <v>0</v>
      </c>
      <c r="R17" s="16">
        <v>0</v>
      </c>
      <c r="S17" s="16">
        <v>0</v>
      </c>
      <c r="T17" s="16" cm="1">
        <f ca="1" t="array" ref="T17">铜城2回、玉璟尚线、铁井一回、淮拦线4!T15:T15+铜城2回、玉璟尚线、铁井一回、淮拦线4!Q16:Q16-铜城2回、玉璟尚线、铁井一回、淮拦线4!R16:R16-铜城2回、玉璟尚线、铁井一回、淮拦线4!S16:S16</f>
        <v>0</v>
      </c>
      <c r="U17" s="16"/>
    </row>
    <row r="18" spans="1:21">
      <c r="A18" s="16" t="str">
        <v>铜城2回、玉璟尚线、铁井一回、淮拦线4</v>
      </c>
      <c r="B18" s="16" t="str">
        <v>9月</v>
      </c>
      <c r="C18" s="16" t="str">
        <v>重庆铜梁淮拦线4#环网柜等6个10kV老旧环网柜改造工程（安装）</v>
      </c>
      <c r="D18" s="16" t="str">
        <v>2026.9.14新德润代胡崇文支付宜宾翠屏货款：42800-39473.83=3326.17</v>
      </c>
      <c r="E18" s="16" t="str">
        <v>新德润</v>
      </c>
      <c r="F18" s="19">
        <v>0</v>
      </c>
      <c r="G18" s="15">
        <v>0</v>
      </c>
      <c r="H18" s="16">
        <v>0</v>
      </c>
      <c r="I18" s="16">
        <v>0</v>
      </c>
      <c r="J18" s="16">
        <v>0</v>
      </c>
      <c r="K18" s="16">
        <v>0</v>
      </c>
      <c r="L18" s="16">
        <f ca="1" t="shared" si="5"/>
        <v>-57561.71</v>
      </c>
      <c r="M18" s="16">
        <v>0</v>
      </c>
      <c r="N18" s="16">
        <v>0</v>
      </c>
      <c r="O18" s="16">
        <v>39473.83</v>
      </c>
      <c r="P18" s="16">
        <f ca="1" t="shared" ref="P7:P38" si="6">P17+M18-O18</f>
        <v>6290.84</v>
      </c>
      <c r="Q18" s="16">
        <v>0</v>
      </c>
      <c r="R18" s="16">
        <v>0</v>
      </c>
      <c r="S18" s="16">
        <v>0</v>
      </c>
      <c r="T18" s="16" cm="1">
        <f ca="1" t="array" ref="T18">铜城2回、玉璟尚线、铁井一回、淮拦线4!T16:T16+铜城2回、玉璟尚线、铁井一回、淮拦线4!Q17:Q17-铜城2回、玉璟尚线、铁井一回、淮拦线4!R17:R17-铜城2回、玉璟尚线、铁井一回、淮拦线4!S17:S17</f>
        <v>0</v>
      </c>
      <c r="U18" s="16"/>
    </row>
    <row r="19" spans="1:21">
      <c r="A19" s="16"/>
      <c r="B19" s="16"/>
      <c r="C19" s="16"/>
      <c r="D19" s="16"/>
      <c r="E19" s="16"/>
      <c r="F19" s="19"/>
      <c r="G19" s="15"/>
      <c r="H19" s="16"/>
      <c r="I19" s="16"/>
      <c r="J19" s="16"/>
      <c r="K19" s="16"/>
      <c r="L19" s="16">
        <f ca="1" t="shared" si="5"/>
        <v>-57561.71</v>
      </c>
      <c r="M19" s="16"/>
      <c r="N19" s="16"/>
      <c r="O19" s="16"/>
      <c r="P19" s="16">
        <f ca="1" t="shared" si="6"/>
        <v>6290.84</v>
      </c>
      <c r="Q19" s="16"/>
      <c r="R19" s="16"/>
      <c r="S19" s="16"/>
      <c r="T19" s="16" cm="1">
        <f ca="1" t="array" ref="T19">铜城2回、玉璟尚线、铁井一回、淮拦线4!T17:T17+铜城2回、玉璟尚线、铁井一回、淮拦线4!Q18:Q18-铜城2回、玉璟尚线、铁井一回、淮拦线4!R18:R18-铜城2回、玉璟尚线、铁井一回、淮拦线4!S18:S18</f>
        <v>0</v>
      </c>
      <c r="U19" s="16"/>
    </row>
    <row r="20" spans="1:21">
      <c r="A20" s="16"/>
      <c r="B20" s="16"/>
      <c r="C20" s="16"/>
      <c r="D20" s="16"/>
      <c r="E20" s="16"/>
      <c r="F20" s="19"/>
      <c r="G20" s="15"/>
      <c r="H20" s="16"/>
      <c r="I20" s="16"/>
      <c r="J20" s="16"/>
      <c r="K20" s="16"/>
      <c r="L20" s="16">
        <f ca="1" t="shared" si="5"/>
        <v>-57561.71</v>
      </c>
      <c r="M20" s="16"/>
      <c r="N20" s="16"/>
      <c r="O20" s="16"/>
      <c r="P20" s="16">
        <f ca="1" t="shared" si="6"/>
        <v>6290.84</v>
      </c>
      <c r="Q20" s="16"/>
      <c r="R20" s="16"/>
      <c r="S20" s="16"/>
      <c r="T20" s="16" cm="1">
        <f ca="1" t="array" ref="T20">铜城2回、玉璟尚线、铁井一回、淮拦线4!T18:T18+铜城2回、玉璟尚线、铁井一回、淮拦线4!Q19:Q19-铜城2回、玉璟尚线、铁井一回、淮拦线4!R19:R19-铜城2回、玉璟尚线、铁井一回、淮拦线4!S19:S19</f>
        <v>0</v>
      </c>
      <c r="U20" s="16"/>
    </row>
    <row r="21" spans="1:21">
      <c r="A21" s="16"/>
      <c r="B21" s="16"/>
      <c r="C21" s="16"/>
      <c r="D21" s="16"/>
      <c r="E21" s="16"/>
      <c r="F21" s="19"/>
      <c r="G21" s="15"/>
      <c r="H21" s="16"/>
      <c r="I21" s="16"/>
      <c r="J21" s="16"/>
      <c r="K21" s="16"/>
      <c r="L21" s="16">
        <f ca="1" t="shared" si="5"/>
        <v>-57561.71</v>
      </c>
      <c r="M21" s="16"/>
      <c r="N21" s="16"/>
      <c r="O21" s="16"/>
      <c r="P21" s="16">
        <f ca="1" t="shared" si="6"/>
        <v>6290.84</v>
      </c>
      <c r="Q21" s="16"/>
      <c r="R21" s="16"/>
      <c r="S21" s="16"/>
      <c r="T21" s="16" cm="1">
        <f ca="1" t="array" ref="T21">铜城2回、玉璟尚线、铁井一回、淮拦线4!T19:T19+铜城2回、玉璟尚线、铁井一回、淮拦线4!Q20:Q20-铜城2回、玉璟尚线、铁井一回、淮拦线4!R20:R20-铜城2回、玉璟尚线、铁井一回、淮拦线4!S20:S20</f>
        <v>0</v>
      </c>
      <c r="U21" s="16"/>
    </row>
    <row r="22" spans="1:21">
      <c r="A22" s="16"/>
      <c r="B22" s="16"/>
      <c r="C22" s="16"/>
      <c r="D22" s="16"/>
      <c r="E22" s="16"/>
      <c r="F22" s="19"/>
      <c r="G22" s="15"/>
      <c r="H22" s="16"/>
      <c r="I22" s="16"/>
      <c r="J22" s="16"/>
      <c r="K22" s="16"/>
      <c r="L22" s="16">
        <f ca="1" t="shared" si="5"/>
        <v>-57561.71</v>
      </c>
      <c r="M22" s="16"/>
      <c r="N22" s="16"/>
      <c r="O22" s="16"/>
      <c r="P22" s="16">
        <f ca="1" t="shared" si="6"/>
        <v>6290.84</v>
      </c>
      <c r="Q22" s="16"/>
      <c r="R22" s="16"/>
      <c r="S22" s="16"/>
      <c r="T22" s="16" cm="1">
        <f ca="1" t="array" ref="T22">铜城2回、玉璟尚线、铁井一回、淮拦线4!T20:T20+铜城2回、玉璟尚线、铁井一回、淮拦线4!Q21:Q21-铜城2回、玉璟尚线、铁井一回、淮拦线4!R21:R21-铜城2回、玉璟尚线、铁井一回、淮拦线4!S21:S21</f>
        <v>0</v>
      </c>
      <c r="U22" s="16"/>
    </row>
    <row r="23" spans="1:21">
      <c r="A23" s="16"/>
      <c r="B23" s="16"/>
      <c r="C23" s="16"/>
      <c r="D23" s="16"/>
      <c r="E23" s="16"/>
      <c r="F23" s="19"/>
      <c r="G23" s="15"/>
      <c r="H23" s="16"/>
      <c r="I23" s="16"/>
      <c r="J23" s="16"/>
      <c r="K23" s="16"/>
      <c r="L23" s="16">
        <f ca="1" t="shared" si="5"/>
        <v>-57561.71</v>
      </c>
      <c r="M23" s="16"/>
      <c r="N23" s="16"/>
      <c r="O23" s="16"/>
      <c r="P23" s="16">
        <f ca="1" t="shared" si="6"/>
        <v>6290.84</v>
      </c>
      <c r="Q23" s="16"/>
      <c r="R23" s="16"/>
      <c r="S23" s="16"/>
      <c r="T23" s="16" cm="1">
        <f ca="1" t="array" ref="T23">铜城2回、玉璟尚线、铁井一回、淮拦线4!T21:T21+铜城2回、玉璟尚线、铁井一回、淮拦线4!Q22:Q22-铜城2回、玉璟尚线、铁井一回、淮拦线4!R22:R22-铜城2回、玉璟尚线、铁井一回、淮拦线4!S22:S22</f>
        <v>0</v>
      </c>
      <c r="U23" s="16"/>
    </row>
    <row r="24" spans="1:21">
      <c r="A24" s="16"/>
      <c r="B24" s="16"/>
      <c r="C24" s="16"/>
      <c r="D24" s="16"/>
      <c r="E24" s="16"/>
      <c r="F24" s="19"/>
      <c r="G24" s="15"/>
      <c r="H24" s="16"/>
      <c r="I24" s="16"/>
      <c r="J24" s="16"/>
      <c r="K24" s="16"/>
      <c r="L24" s="16">
        <f ca="1" t="shared" si="5"/>
        <v>-57561.71</v>
      </c>
      <c r="M24" s="16"/>
      <c r="N24" s="16"/>
      <c r="O24" s="16"/>
      <c r="P24" s="16">
        <f ca="1" t="shared" si="6"/>
        <v>6290.84</v>
      </c>
      <c r="Q24" s="16"/>
      <c r="R24" s="16"/>
      <c r="S24" s="16"/>
      <c r="T24" s="16" cm="1">
        <f ca="1" t="array" ref="T24">铜城2回、玉璟尚线、铁井一回、淮拦线4!T22:T22+铜城2回、玉璟尚线、铁井一回、淮拦线4!Q23:Q23-铜城2回、玉璟尚线、铁井一回、淮拦线4!R23:R23-铜城2回、玉璟尚线、铁井一回、淮拦线4!S23:S23</f>
        <v>0</v>
      </c>
      <c r="U24" s="16"/>
    </row>
    <row r="25" spans="1:21">
      <c r="A25" s="16"/>
      <c r="B25" s="16"/>
      <c r="C25" s="16"/>
      <c r="D25" s="16"/>
      <c r="E25" s="16"/>
      <c r="F25" s="19"/>
      <c r="G25" s="15"/>
      <c r="H25" s="16"/>
      <c r="I25" s="16"/>
      <c r="J25" s="16"/>
      <c r="K25" s="16"/>
      <c r="L25" s="16">
        <f ca="1" t="shared" si="5"/>
        <v>-57561.71</v>
      </c>
      <c r="M25" s="16"/>
      <c r="N25" s="16"/>
      <c r="O25" s="16"/>
      <c r="P25" s="16">
        <f ca="1" t="shared" si="6"/>
        <v>6290.84</v>
      </c>
      <c r="Q25" s="16"/>
      <c r="R25" s="16"/>
      <c r="S25" s="16"/>
      <c r="T25" s="16" cm="1">
        <f ca="1" t="array" ref="T25">铜城2回、玉璟尚线、铁井一回、淮拦线4!T23:T23+铜城2回、玉璟尚线、铁井一回、淮拦线4!Q24:Q24-铜城2回、玉璟尚线、铁井一回、淮拦线4!R24:R24-铜城2回、玉璟尚线、铁井一回、淮拦线4!S24:S24</f>
        <v>0</v>
      </c>
      <c r="U25" s="16"/>
    </row>
    <row r="26" spans="1:21">
      <c r="A26" s="16"/>
      <c r="B26" s="16"/>
      <c r="C26" s="16"/>
      <c r="D26" s="16"/>
      <c r="E26" s="16"/>
      <c r="F26" s="19"/>
      <c r="G26" s="15"/>
      <c r="H26" s="16"/>
      <c r="I26" s="16"/>
      <c r="J26" s="16"/>
      <c r="K26" s="16"/>
      <c r="L26" s="16">
        <f ca="1" t="shared" si="5"/>
        <v>-57561.71</v>
      </c>
      <c r="M26" s="16"/>
      <c r="N26" s="16"/>
      <c r="O26" s="16"/>
      <c r="P26" s="16">
        <f ca="1" t="shared" si="6"/>
        <v>6290.84</v>
      </c>
      <c r="Q26" s="16"/>
      <c r="R26" s="16"/>
      <c r="S26" s="16"/>
      <c r="T26" s="16" cm="1">
        <f ca="1" t="array" ref="T26">铜城2回、玉璟尚线、铁井一回、淮拦线4!T24:T24+铜城2回、玉璟尚线、铁井一回、淮拦线4!Q25:Q25-铜城2回、玉璟尚线、铁井一回、淮拦线4!R25:R25-铜城2回、玉璟尚线、铁井一回、淮拦线4!S25:S25</f>
        <v>0</v>
      </c>
      <c r="U26" s="16"/>
    </row>
    <row r="27" spans="1:21">
      <c r="A27" s="16"/>
      <c r="B27" s="16"/>
      <c r="C27" s="16"/>
      <c r="D27" s="16"/>
      <c r="E27" s="16"/>
      <c r="F27" s="19"/>
      <c r="G27" s="15"/>
      <c r="H27" s="16"/>
      <c r="I27" s="16"/>
      <c r="J27" s="16"/>
      <c r="K27" s="16"/>
      <c r="L27" s="16">
        <f ca="1" t="shared" si="5"/>
        <v>-57561.71</v>
      </c>
      <c r="M27" s="16"/>
      <c r="N27" s="16"/>
      <c r="O27" s="16"/>
      <c r="P27" s="16">
        <f ca="1" t="shared" si="6"/>
        <v>6290.84</v>
      </c>
      <c r="Q27" s="16"/>
      <c r="R27" s="16"/>
      <c r="S27" s="16"/>
      <c r="T27" s="16" cm="1">
        <f ca="1" t="array" ref="T27">铜城2回、玉璟尚线、铁井一回、淮拦线4!T25:T25+铜城2回、玉璟尚线、铁井一回、淮拦线4!Q26:Q26-铜城2回、玉璟尚线、铁井一回、淮拦线4!R26:R26-铜城2回、玉璟尚线、铁井一回、淮拦线4!S26:S26</f>
        <v>0</v>
      </c>
      <c r="U27" s="16"/>
    </row>
    <row r="28" spans="1:21">
      <c r="A28" s="16"/>
      <c r="B28" s="16"/>
      <c r="C28" s="16"/>
      <c r="D28" s="16"/>
      <c r="E28" s="16"/>
      <c r="F28" s="19"/>
      <c r="G28" s="15"/>
      <c r="H28" s="16"/>
      <c r="I28" s="16"/>
      <c r="J28" s="16"/>
      <c r="K28" s="16"/>
      <c r="L28" s="16">
        <f ca="1" t="shared" si="5"/>
        <v>-57561.71</v>
      </c>
      <c r="M28" s="16"/>
      <c r="N28" s="16"/>
      <c r="O28" s="16"/>
      <c r="P28" s="16">
        <f ca="1" t="shared" si="6"/>
        <v>6290.84</v>
      </c>
      <c r="Q28" s="16"/>
      <c r="R28" s="16"/>
      <c r="S28" s="16"/>
      <c r="T28" s="16" cm="1">
        <f ca="1" t="array" ref="T28">铜城2回、玉璟尚线、铁井一回、淮拦线4!T26:T26+铜城2回、玉璟尚线、铁井一回、淮拦线4!Q27:Q27-铜城2回、玉璟尚线、铁井一回、淮拦线4!R27:R27-铜城2回、玉璟尚线、铁井一回、淮拦线4!S27:S27</f>
        <v>0</v>
      </c>
      <c r="U28" s="16"/>
    </row>
    <row r="29" spans="1:21">
      <c r="A29" s="16"/>
      <c r="B29" s="16"/>
      <c r="C29" s="16"/>
      <c r="D29" s="16"/>
      <c r="E29" s="16"/>
      <c r="F29" s="19"/>
      <c r="G29" s="15"/>
      <c r="H29" s="16"/>
      <c r="I29" s="16"/>
      <c r="J29" s="16"/>
      <c r="K29" s="16"/>
      <c r="L29" s="16">
        <f ca="1" t="shared" si="5"/>
        <v>-57561.71</v>
      </c>
      <c r="M29" s="16"/>
      <c r="N29" s="16"/>
      <c r="O29" s="16"/>
      <c r="P29" s="16">
        <f ca="1" t="shared" si="6"/>
        <v>6290.84</v>
      </c>
      <c r="Q29" s="16"/>
      <c r="R29" s="16"/>
      <c r="S29" s="16"/>
      <c r="T29" s="16" cm="1">
        <f ca="1" t="array" ref="T29">铜城2回、玉璟尚线、铁井一回、淮拦线4!T27:T27+铜城2回、玉璟尚线、铁井一回、淮拦线4!Q28:Q28-铜城2回、玉璟尚线、铁井一回、淮拦线4!R28:R28-铜城2回、玉璟尚线、铁井一回、淮拦线4!S28:S28</f>
        <v>0</v>
      </c>
      <c r="U29" s="16"/>
    </row>
    <row r="30" spans="1:21">
      <c r="A30" s="16"/>
      <c r="B30" s="16"/>
      <c r="C30" s="16"/>
      <c r="D30" s="16"/>
      <c r="E30" s="16"/>
      <c r="F30" s="19"/>
      <c r="G30" s="15"/>
      <c r="H30" s="16"/>
      <c r="I30" s="16"/>
      <c r="J30" s="16"/>
      <c r="K30" s="16"/>
      <c r="L30" s="16">
        <f ca="1" t="shared" si="5"/>
        <v>-57561.71</v>
      </c>
      <c r="M30" s="16"/>
      <c r="N30" s="16"/>
      <c r="O30" s="16"/>
      <c r="P30" s="16">
        <f ca="1" t="shared" si="6"/>
        <v>6290.84</v>
      </c>
      <c r="Q30" s="16"/>
      <c r="R30" s="16"/>
      <c r="S30" s="16"/>
      <c r="T30" s="16" cm="1">
        <f ca="1" t="array" ref="T30">铜城2回、玉璟尚线、铁井一回、淮拦线4!T28:T28+铜城2回、玉璟尚线、铁井一回、淮拦线4!Q29:Q29-铜城2回、玉璟尚线、铁井一回、淮拦线4!R29:R29-铜城2回、玉璟尚线、铁井一回、淮拦线4!S29:S29</f>
        <v>0</v>
      </c>
      <c r="U30" s="16"/>
    </row>
    <row r="31" spans="1:21">
      <c r="A31" s="16"/>
      <c r="B31" s="16"/>
      <c r="C31" s="16"/>
      <c r="D31" s="16"/>
      <c r="E31" s="16"/>
      <c r="F31" s="19"/>
      <c r="G31" s="15"/>
      <c r="H31" s="16"/>
      <c r="I31" s="16"/>
      <c r="J31" s="16"/>
      <c r="K31" s="16"/>
      <c r="L31" s="16">
        <f ca="1" t="shared" si="5"/>
        <v>-57561.71</v>
      </c>
      <c r="M31" s="16"/>
      <c r="N31" s="16"/>
      <c r="O31" s="16"/>
      <c r="P31" s="16">
        <f ca="1" t="shared" si="6"/>
        <v>6290.84</v>
      </c>
      <c r="Q31" s="16"/>
      <c r="R31" s="16"/>
      <c r="S31" s="16"/>
      <c r="T31" s="16" cm="1">
        <f ca="1" t="array" ref="T31">铜城2回、玉璟尚线、铁井一回、淮拦线4!T29:T29+铜城2回、玉璟尚线、铁井一回、淮拦线4!Q30:Q30-铜城2回、玉璟尚线、铁井一回、淮拦线4!R30:R30-铜城2回、玉璟尚线、铁井一回、淮拦线4!S30:S30</f>
        <v>0</v>
      </c>
      <c r="U31" s="16"/>
    </row>
    <row r="32" spans="1:21">
      <c r="A32" s="16"/>
      <c r="B32" s="16"/>
      <c r="C32" s="16"/>
      <c r="D32" s="16"/>
      <c r="E32" s="16"/>
      <c r="F32" s="19"/>
      <c r="G32" s="15"/>
      <c r="H32" s="16"/>
      <c r="I32" s="16"/>
      <c r="J32" s="16"/>
      <c r="K32" s="16"/>
      <c r="L32" s="16">
        <f ca="1" t="shared" si="5"/>
        <v>-57561.71</v>
      </c>
      <c r="M32" s="16"/>
      <c r="N32" s="16"/>
      <c r="O32" s="16"/>
      <c r="P32" s="16">
        <f ca="1" t="shared" si="6"/>
        <v>6290.84</v>
      </c>
      <c r="Q32" s="16"/>
      <c r="R32" s="16"/>
      <c r="S32" s="16"/>
      <c r="T32" s="16" cm="1">
        <f ca="1" t="array" ref="T32">铜城2回、玉璟尚线、铁井一回、淮拦线4!T30:T30+铜城2回、玉璟尚线、铁井一回、淮拦线4!Q31:Q31-铜城2回、玉璟尚线、铁井一回、淮拦线4!R31:R31-铜城2回、玉璟尚线、铁井一回、淮拦线4!S31:S31</f>
        <v>0</v>
      </c>
      <c r="U32" s="16"/>
    </row>
    <row r="33" spans="1:21">
      <c r="A33" s="16"/>
      <c r="B33" s="16"/>
      <c r="C33" s="16"/>
      <c r="D33" s="16"/>
      <c r="E33" s="16"/>
      <c r="F33" s="19"/>
      <c r="G33" s="15"/>
      <c r="H33" s="16"/>
      <c r="I33" s="16"/>
      <c r="J33" s="16"/>
      <c r="K33" s="16"/>
      <c r="L33" s="16">
        <f ca="1" t="shared" si="5"/>
        <v>-57561.71</v>
      </c>
      <c r="M33" s="16"/>
      <c r="N33" s="16"/>
      <c r="O33" s="16"/>
      <c r="P33" s="16">
        <f ca="1" t="shared" si="6"/>
        <v>6290.84</v>
      </c>
      <c r="Q33" s="16"/>
      <c r="R33" s="16"/>
      <c r="S33" s="16"/>
      <c r="T33" s="16" cm="1">
        <f ca="1" t="array" ref="T33">铜城2回、玉璟尚线、铁井一回、淮拦线4!T31:T31+铜城2回、玉璟尚线、铁井一回、淮拦线4!Q32:Q32-铜城2回、玉璟尚线、铁井一回、淮拦线4!R32:R32-铜城2回、玉璟尚线、铁井一回、淮拦线4!S32:S32</f>
        <v>0</v>
      </c>
      <c r="U33" s="16"/>
    </row>
    <row r="34" spans="1:21">
      <c r="A34" s="16"/>
      <c r="B34" s="16"/>
      <c r="C34" s="16"/>
      <c r="D34" s="16"/>
      <c r="E34" s="16"/>
      <c r="F34" s="19"/>
      <c r="G34" s="15"/>
      <c r="H34" s="16"/>
      <c r="I34" s="16"/>
      <c r="J34" s="16"/>
      <c r="K34" s="16"/>
      <c r="L34" s="16">
        <f ca="1" t="shared" si="5"/>
        <v>-57561.71</v>
      </c>
      <c r="M34" s="16"/>
      <c r="N34" s="16"/>
      <c r="O34" s="16"/>
      <c r="P34" s="16">
        <f ca="1" t="shared" si="6"/>
        <v>6290.84</v>
      </c>
      <c r="Q34" s="16"/>
      <c r="R34" s="16"/>
      <c r="S34" s="16"/>
      <c r="T34" s="16" cm="1">
        <f ca="1" t="array" ref="T34">铜城2回、玉璟尚线、铁井一回、淮拦线4!T32:T32+铜城2回、玉璟尚线、铁井一回、淮拦线4!Q33:Q33-铜城2回、玉璟尚线、铁井一回、淮拦线4!R33:R33-铜城2回、玉璟尚线、铁井一回、淮拦线4!S33:S33</f>
        <v>0</v>
      </c>
      <c r="U34" s="16"/>
    </row>
    <row r="35" spans="1:21">
      <c r="A35" s="16"/>
      <c r="B35" s="16"/>
      <c r="C35" s="16"/>
      <c r="D35" s="16"/>
      <c r="E35" s="16"/>
      <c r="F35" s="19"/>
      <c r="G35" s="15"/>
      <c r="H35" s="16"/>
      <c r="I35" s="16"/>
      <c r="J35" s="16"/>
      <c r="K35" s="16"/>
      <c r="L35" s="16">
        <f ca="1" t="shared" si="5"/>
        <v>-57561.71</v>
      </c>
      <c r="M35" s="16"/>
      <c r="N35" s="16"/>
      <c r="O35" s="16"/>
      <c r="P35" s="16">
        <f ca="1" t="shared" si="6"/>
        <v>6290.84</v>
      </c>
      <c r="Q35" s="16"/>
      <c r="R35" s="16"/>
      <c r="S35" s="16"/>
      <c r="T35" s="16" cm="1">
        <f ca="1" t="array" ref="T35">铜城2回、玉璟尚线、铁井一回、淮拦线4!T33:T33+铜城2回、玉璟尚线、铁井一回、淮拦线4!Q34:Q34-铜城2回、玉璟尚线、铁井一回、淮拦线4!R34:R34-铜城2回、玉璟尚线、铁井一回、淮拦线4!S34:S34</f>
        <v>0</v>
      </c>
      <c r="U35" s="16"/>
    </row>
    <row r="36" spans="1:21">
      <c r="A36" s="16"/>
      <c r="B36" s="16"/>
      <c r="C36" s="16"/>
      <c r="D36" s="16"/>
      <c r="E36" s="16"/>
      <c r="F36" s="19"/>
      <c r="G36" s="15"/>
      <c r="H36" s="16"/>
      <c r="I36" s="16"/>
      <c r="J36" s="16"/>
      <c r="K36" s="16"/>
      <c r="L36" s="16">
        <f ca="1" t="shared" si="5"/>
        <v>-57561.71</v>
      </c>
      <c r="M36" s="16"/>
      <c r="N36" s="16"/>
      <c r="O36" s="16"/>
      <c r="P36" s="16">
        <f ca="1" t="shared" si="6"/>
        <v>6290.84</v>
      </c>
      <c r="Q36" s="16"/>
      <c r="R36" s="16"/>
      <c r="S36" s="16"/>
      <c r="T36" s="16" cm="1">
        <f ca="1" t="array" ref="T36">铜城2回、玉璟尚线、铁井一回、淮拦线4!T34:T34+铜城2回、玉璟尚线、铁井一回、淮拦线4!Q35:Q35-铜城2回、玉璟尚线、铁井一回、淮拦线4!R35:R35-铜城2回、玉璟尚线、铁井一回、淮拦线4!S35:S35</f>
        <v>0</v>
      </c>
      <c r="U36" s="16"/>
    </row>
    <row r="37" spans="1:21">
      <c r="A37" s="16"/>
      <c r="B37" s="16"/>
      <c r="C37" s="16"/>
      <c r="D37" s="16"/>
      <c r="E37" s="16"/>
      <c r="F37" s="19"/>
      <c r="G37" s="15"/>
      <c r="H37" s="16"/>
      <c r="I37" s="16"/>
      <c r="J37" s="16"/>
      <c r="K37" s="16"/>
      <c r="L37" s="16">
        <f ca="1" t="shared" si="5"/>
        <v>-57561.71</v>
      </c>
      <c r="M37" s="16"/>
      <c r="N37" s="16"/>
      <c r="O37" s="16"/>
      <c r="P37" s="16">
        <f ca="1" t="shared" si="6"/>
        <v>6290.84</v>
      </c>
      <c r="Q37" s="16"/>
      <c r="R37" s="16"/>
      <c r="S37" s="16"/>
      <c r="T37" s="16" cm="1">
        <f ca="1" t="array" ref="T37">铜城2回、玉璟尚线、铁井一回、淮拦线4!T35:T35+铜城2回、玉璟尚线、铁井一回、淮拦线4!Q36:Q36-铜城2回、玉璟尚线、铁井一回、淮拦线4!R36:R36-铜城2回、玉璟尚线、铁井一回、淮拦线4!S36:S36</f>
        <v>0</v>
      </c>
      <c r="U37" s="16"/>
    </row>
    <row r="38" spans="1:21">
      <c r="A38" s="16"/>
      <c r="B38" s="16"/>
      <c r="C38" s="16"/>
      <c r="D38" s="16"/>
      <c r="E38" s="16"/>
      <c r="F38" s="19"/>
      <c r="G38" s="15"/>
      <c r="H38" s="16"/>
      <c r="I38" s="16"/>
      <c r="J38" s="16"/>
      <c r="K38" s="16"/>
      <c r="L38" s="16">
        <f ca="1" t="shared" ref="L38:L77" si="7">L37+J38-K38</f>
        <v>-57561.71</v>
      </c>
      <c r="M38" s="16"/>
      <c r="N38" s="16"/>
      <c r="O38" s="16"/>
      <c r="P38" s="16">
        <f ca="1" t="shared" si="6"/>
        <v>6290.84</v>
      </c>
      <c r="Q38" s="16"/>
      <c r="R38" s="16"/>
      <c r="S38" s="16"/>
      <c r="T38" s="16" cm="1">
        <f ca="1" t="array" ref="T38">铜城2回、玉璟尚线、铁井一回、淮拦线4!T36:T36+铜城2回、玉璟尚线、铁井一回、淮拦线4!Q37:Q37-铜城2回、玉璟尚线、铁井一回、淮拦线4!R37:R37-铜城2回、玉璟尚线、铁井一回、淮拦线4!S37:S37</f>
        <v>0</v>
      </c>
      <c r="U38" s="16"/>
    </row>
    <row r="39" spans="1:21">
      <c r="A39" s="16"/>
      <c r="B39" s="16"/>
      <c r="C39" s="16"/>
      <c r="D39" s="16"/>
      <c r="E39" s="16"/>
      <c r="F39" s="19"/>
      <c r="G39" s="15"/>
      <c r="H39" s="16"/>
      <c r="I39" s="16"/>
      <c r="J39" s="16"/>
      <c r="K39" s="16"/>
      <c r="L39" s="16">
        <f ca="1" t="shared" si="7"/>
        <v>-57561.71</v>
      </c>
      <c r="M39" s="16"/>
      <c r="N39" s="16"/>
      <c r="O39" s="16"/>
      <c r="P39" s="16">
        <f ca="1" t="shared" ref="P39:P83" si="8">P38+M39-O39</f>
        <v>6290.84</v>
      </c>
      <c r="Q39" s="16"/>
      <c r="R39" s="16"/>
      <c r="S39" s="16"/>
      <c r="T39" s="16" cm="1">
        <f ca="1" t="array" ref="T39">铜城2回、玉璟尚线、铁井一回、淮拦线4!T37:T37+铜城2回、玉璟尚线、铁井一回、淮拦线4!Q38:Q38-铜城2回、玉璟尚线、铁井一回、淮拦线4!R38:R38-铜城2回、玉璟尚线、铁井一回、淮拦线4!S38:S38</f>
        <v>0</v>
      </c>
      <c r="U39" s="16"/>
    </row>
    <row r="40" spans="1:21">
      <c r="A40" s="16"/>
      <c r="B40" s="16"/>
      <c r="C40" s="16"/>
      <c r="D40" s="16"/>
      <c r="E40" s="16"/>
      <c r="F40" s="19"/>
      <c r="G40" s="15"/>
      <c r="H40" s="16"/>
      <c r="I40" s="16"/>
      <c r="J40" s="16"/>
      <c r="K40" s="16"/>
      <c r="L40" s="16">
        <f ca="1" t="shared" si="7"/>
        <v>-57561.71</v>
      </c>
      <c r="M40" s="16"/>
      <c r="N40" s="16"/>
      <c r="O40" s="16"/>
      <c r="P40" s="16">
        <f ca="1" t="shared" si="8"/>
        <v>6290.84</v>
      </c>
      <c r="Q40" s="16"/>
      <c r="R40" s="16"/>
      <c r="S40" s="16"/>
      <c r="T40" s="16" cm="1">
        <f ca="1" t="array" ref="T40">铜城2回、玉璟尚线、铁井一回、淮拦线4!T38:T38+铜城2回、玉璟尚线、铁井一回、淮拦线4!Q39:Q39-铜城2回、玉璟尚线、铁井一回、淮拦线4!R39:R39-铜城2回、玉璟尚线、铁井一回、淮拦线4!S39:S39</f>
        <v>0</v>
      </c>
      <c r="U40" s="16"/>
    </row>
    <row r="41" spans="1:21">
      <c r="A41" s="16"/>
      <c r="B41" s="16"/>
      <c r="C41" s="16"/>
      <c r="D41" s="16"/>
      <c r="E41" s="16"/>
      <c r="F41" s="19"/>
      <c r="G41" s="15"/>
      <c r="H41" s="16"/>
      <c r="I41" s="16"/>
      <c r="J41" s="16"/>
      <c r="K41" s="16"/>
      <c r="L41" s="16">
        <f ca="1" t="shared" si="7"/>
        <v>-57561.71</v>
      </c>
      <c r="M41" s="16"/>
      <c r="N41" s="16"/>
      <c r="O41" s="16"/>
      <c r="P41" s="16">
        <f ca="1" t="shared" si="8"/>
        <v>6290.84</v>
      </c>
      <c r="Q41" s="16"/>
      <c r="R41" s="16"/>
      <c r="S41" s="16"/>
      <c r="T41" s="16" cm="1">
        <f ca="1" t="array" ref="T41">铜城2回、玉璟尚线、铁井一回、淮拦线4!T39:T39+铜城2回、玉璟尚线、铁井一回、淮拦线4!Q40:Q40-铜城2回、玉璟尚线、铁井一回、淮拦线4!R40:R40-铜城2回、玉璟尚线、铁井一回、淮拦线4!S40:S40</f>
        <v>0</v>
      </c>
      <c r="U41" s="16"/>
    </row>
    <row r="42" spans="1:21">
      <c r="A42" s="16"/>
      <c r="B42" s="16"/>
      <c r="C42" s="16"/>
      <c r="D42" s="16"/>
      <c r="E42" s="16"/>
      <c r="F42" s="19"/>
      <c r="G42" s="15"/>
      <c r="H42" s="16"/>
      <c r="I42" s="16"/>
      <c r="J42" s="16"/>
      <c r="K42" s="16"/>
      <c r="L42" s="16">
        <f ca="1" t="shared" si="7"/>
        <v>-57561.71</v>
      </c>
      <c r="M42" s="16"/>
      <c r="N42" s="16"/>
      <c r="O42" s="16"/>
      <c r="P42" s="16">
        <f ca="1" t="shared" si="8"/>
        <v>6290.84</v>
      </c>
      <c r="Q42" s="16"/>
      <c r="R42" s="16"/>
      <c r="S42" s="16"/>
      <c r="T42" s="16" cm="1">
        <f ca="1" t="array" ref="T42">铜城2回、玉璟尚线、铁井一回、淮拦线4!T40:T40+铜城2回、玉璟尚线、铁井一回、淮拦线4!Q41:Q41-铜城2回、玉璟尚线、铁井一回、淮拦线4!R41:R41-铜城2回、玉璟尚线、铁井一回、淮拦线4!S41:S41</f>
        <v>0</v>
      </c>
      <c r="U42" s="16"/>
    </row>
    <row r="43" spans="1:21">
      <c r="A43" s="16"/>
      <c r="B43" s="16"/>
      <c r="C43" s="16"/>
      <c r="D43" s="16"/>
      <c r="E43" s="16"/>
      <c r="F43" s="19"/>
      <c r="G43" s="15"/>
      <c r="H43" s="16"/>
      <c r="I43" s="16"/>
      <c r="J43" s="16"/>
      <c r="K43" s="16"/>
      <c r="L43" s="16">
        <f ca="1" t="shared" si="7"/>
        <v>-57561.71</v>
      </c>
      <c r="M43" s="16"/>
      <c r="N43" s="16"/>
      <c r="O43" s="16"/>
      <c r="P43" s="16">
        <f ca="1" t="shared" si="8"/>
        <v>6290.84</v>
      </c>
      <c r="Q43" s="16"/>
      <c r="R43" s="16"/>
      <c r="S43" s="16"/>
      <c r="T43" s="16" cm="1">
        <f ca="1" t="array" ref="T43">铜城2回、玉璟尚线、铁井一回、淮拦线4!T41:T41+铜城2回、玉璟尚线、铁井一回、淮拦线4!Q42:Q42-铜城2回、玉璟尚线、铁井一回、淮拦线4!R42:R42-铜城2回、玉璟尚线、铁井一回、淮拦线4!S42:S42</f>
        <v>0</v>
      </c>
      <c r="U43" s="16"/>
    </row>
    <row r="44" spans="1:21">
      <c r="A44" s="16"/>
      <c r="B44" s="16"/>
      <c r="C44" s="16"/>
      <c r="D44" s="16"/>
      <c r="E44" s="16"/>
      <c r="F44" s="19"/>
      <c r="G44" s="15"/>
      <c r="H44" s="16"/>
      <c r="I44" s="16"/>
      <c r="J44" s="16"/>
      <c r="K44" s="16"/>
      <c r="L44" s="16">
        <f ca="1" t="shared" si="7"/>
        <v>-57561.71</v>
      </c>
      <c r="M44" s="16"/>
      <c r="N44" s="16"/>
      <c r="O44" s="16"/>
      <c r="P44" s="16">
        <f ca="1" t="shared" si="8"/>
        <v>6290.84</v>
      </c>
      <c r="Q44" s="16"/>
      <c r="R44" s="16"/>
      <c r="S44" s="16"/>
      <c r="T44" s="16" cm="1">
        <f ca="1" t="array" ref="T44">铜城2回、玉璟尚线、铁井一回、淮拦线4!T42:T42+铜城2回、玉璟尚线、铁井一回、淮拦线4!Q43:Q43-铜城2回、玉璟尚线、铁井一回、淮拦线4!R43:R43-铜城2回、玉璟尚线、铁井一回、淮拦线4!S43:S43</f>
        <v>0</v>
      </c>
      <c r="U44" s="16"/>
    </row>
    <row r="45" spans="1:21">
      <c r="A45" s="16"/>
      <c r="B45" s="16"/>
      <c r="C45" s="16"/>
      <c r="D45" s="16"/>
      <c r="E45" s="16"/>
      <c r="F45" s="19"/>
      <c r="G45" s="15"/>
      <c r="H45" s="16"/>
      <c r="I45" s="16"/>
      <c r="J45" s="16"/>
      <c r="K45" s="16"/>
      <c r="L45" s="16">
        <f ca="1" t="shared" si="7"/>
        <v>-57561.71</v>
      </c>
      <c r="M45" s="16"/>
      <c r="N45" s="16"/>
      <c r="O45" s="16"/>
      <c r="P45" s="16">
        <f ca="1" t="shared" si="8"/>
        <v>6290.84</v>
      </c>
      <c r="Q45" s="16"/>
      <c r="R45" s="16"/>
      <c r="S45" s="16"/>
      <c r="T45" s="16" cm="1">
        <f ca="1" t="array" ref="T45">铜城2回、玉璟尚线、铁井一回、淮拦线4!T43:T43+铜城2回、玉璟尚线、铁井一回、淮拦线4!Q44:Q44-铜城2回、玉璟尚线、铁井一回、淮拦线4!R44:R44-铜城2回、玉璟尚线、铁井一回、淮拦线4!S44:S44</f>
        <v>0</v>
      </c>
      <c r="U45" s="16"/>
    </row>
    <row r="46" spans="1:21">
      <c r="A46" s="16"/>
      <c r="B46" s="16"/>
      <c r="C46" s="16"/>
      <c r="D46" s="16"/>
      <c r="E46" s="16"/>
      <c r="F46" s="19"/>
      <c r="G46" s="15"/>
      <c r="H46" s="16"/>
      <c r="I46" s="16"/>
      <c r="J46" s="16"/>
      <c r="K46" s="16"/>
      <c r="L46" s="16">
        <f ca="1" t="shared" si="7"/>
        <v>-57561.71</v>
      </c>
      <c r="M46" s="16"/>
      <c r="N46" s="16"/>
      <c r="O46" s="16"/>
      <c r="P46" s="16">
        <f ca="1" t="shared" si="8"/>
        <v>6290.84</v>
      </c>
      <c r="Q46" s="16"/>
      <c r="R46" s="16"/>
      <c r="S46" s="16"/>
      <c r="T46" s="16" cm="1">
        <f ca="1" t="array" ref="T46">铜城2回、玉璟尚线、铁井一回、淮拦线4!T44:T44+铜城2回、玉璟尚线、铁井一回、淮拦线4!Q45:Q45-铜城2回、玉璟尚线、铁井一回、淮拦线4!R45:R45-铜城2回、玉璟尚线、铁井一回、淮拦线4!S45:S45</f>
        <v>0</v>
      </c>
      <c r="U46" s="16"/>
    </row>
    <row r="47" spans="1:21">
      <c r="A47" s="16"/>
      <c r="B47" s="16"/>
      <c r="C47" s="16"/>
      <c r="D47" s="16"/>
      <c r="E47" s="16"/>
      <c r="F47" s="19"/>
      <c r="G47" s="15"/>
      <c r="H47" s="16"/>
      <c r="I47" s="16"/>
      <c r="J47" s="16"/>
      <c r="K47" s="16"/>
      <c r="L47" s="16">
        <f ca="1" t="shared" si="7"/>
        <v>-57561.71</v>
      </c>
      <c r="M47" s="16"/>
      <c r="N47" s="16"/>
      <c r="O47" s="16"/>
      <c r="P47" s="16">
        <f ca="1" t="shared" si="8"/>
        <v>6290.84</v>
      </c>
      <c r="Q47" s="16"/>
      <c r="R47" s="16"/>
      <c r="S47" s="16"/>
      <c r="T47" s="16" cm="1">
        <f ca="1" t="array" ref="T47">铜城2回、玉璟尚线、铁井一回、淮拦线4!T45:T45+铜城2回、玉璟尚线、铁井一回、淮拦线4!Q46:Q46-铜城2回、玉璟尚线、铁井一回、淮拦线4!R46:R46-铜城2回、玉璟尚线、铁井一回、淮拦线4!S46:S46</f>
        <v>0</v>
      </c>
      <c r="U47" s="16"/>
    </row>
    <row r="48" spans="1:21">
      <c r="A48" s="16"/>
      <c r="B48" s="16"/>
      <c r="C48" s="16"/>
      <c r="D48" s="16"/>
      <c r="E48" s="16"/>
      <c r="F48" s="19"/>
      <c r="G48" s="15"/>
      <c r="H48" s="16"/>
      <c r="I48" s="16"/>
      <c r="J48" s="16"/>
      <c r="K48" s="16"/>
      <c r="L48" s="16">
        <f ca="1" t="shared" si="7"/>
        <v>-57561.71</v>
      </c>
      <c r="M48" s="16"/>
      <c r="N48" s="16"/>
      <c r="O48" s="16"/>
      <c r="P48" s="16">
        <f ca="1" t="shared" si="8"/>
        <v>6290.84</v>
      </c>
      <c r="Q48" s="16"/>
      <c r="R48" s="16"/>
      <c r="S48" s="16"/>
      <c r="T48" s="16" cm="1">
        <f ca="1" t="array" ref="T48">铜城2回、玉璟尚线、铁井一回、淮拦线4!T46:T46+铜城2回、玉璟尚线、铁井一回、淮拦线4!Q47:Q47-铜城2回、玉璟尚线、铁井一回、淮拦线4!R47:R47-铜城2回、玉璟尚线、铁井一回、淮拦线4!S47:S47</f>
        <v>0</v>
      </c>
      <c r="U48" s="16"/>
    </row>
    <row r="49" spans="1:21">
      <c r="A49" s="16"/>
      <c r="B49" s="16"/>
      <c r="C49" s="16"/>
      <c r="D49" s="16"/>
      <c r="E49" s="16"/>
      <c r="F49" s="19"/>
      <c r="G49" s="15"/>
      <c r="H49" s="16"/>
      <c r="I49" s="16"/>
      <c r="J49" s="16"/>
      <c r="K49" s="16"/>
      <c r="L49" s="16">
        <f ca="1" t="shared" si="7"/>
        <v>-57561.71</v>
      </c>
      <c r="M49" s="16"/>
      <c r="N49" s="16"/>
      <c r="O49" s="16"/>
      <c r="P49" s="16">
        <f ca="1" t="shared" si="8"/>
        <v>6290.84</v>
      </c>
      <c r="Q49" s="16"/>
      <c r="R49" s="16"/>
      <c r="S49" s="16"/>
      <c r="T49" s="16" cm="1">
        <f ca="1" t="array" ref="T49">铜城2回、玉璟尚线、铁井一回、淮拦线4!T47:T47+铜城2回、玉璟尚线、铁井一回、淮拦线4!Q48:Q48-铜城2回、玉璟尚线、铁井一回、淮拦线4!R48:R48-铜城2回、玉璟尚线、铁井一回、淮拦线4!S48:S48</f>
        <v>0</v>
      </c>
      <c r="U49" s="16"/>
    </row>
    <row r="50" spans="1:21">
      <c r="A50" s="16"/>
      <c r="B50" s="16"/>
      <c r="C50" s="16"/>
      <c r="D50" s="16"/>
      <c r="E50" s="16"/>
      <c r="F50" s="19"/>
      <c r="G50" s="15"/>
      <c r="H50" s="16"/>
      <c r="I50" s="16"/>
      <c r="J50" s="16"/>
      <c r="K50" s="16"/>
      <c r="L50" s="16">
        <f ca="1" t="shared" si="7"/>
        <v>-57561.71</v>
      </c>
      <c r="M50" s="16"/>
      <c r="N50" s="16"/>
      <c r="O50" s="16"/>
      <c r="P50" s="16">
        <f ca="1" t="shared" si="8"/>
        <v>6290.84</v>
      </c>
      <c r="Q50" s="16"/>
      <c r="R50" s="16"/>
      <c r="S50" s="16"/>
      <c r="T50" s="16" cm="1">
        <f ca="1" t="array" ref="T50">铜城2回、玉璟尚线、铁井一回、淮拦线4!T48:T48+铜城2回、玉璟尚线、铁井一回、淮拦线4!Q49:Q49-铜城2回、玉璟尚线、铁井一回、淮拦线4!R49:R49-铜城2回、玉璟尚线、铁井一回、淮拦线4!S49:S49</f>
        <v>0</v>
      </c>
      <c r="U50" s="16"/>
    </row>
    <row r="51" spans="1:21">
      <c r="A51" s="16"/>
      <c r="B51" s="16"/>
      <c r="C51" s="16"/>
      <c r="D51" s="16"/>
      <c r="E51" s="16"/>
      <c r="F51" s="19"/>
      <c r="G51" s="15"/>
      <c r="H51" s="16"/>
      <c r="I51" s="16"/>
      <c r="J51" s="16"/>
      <c r="K51" s="16"/>
      <c r="L51" s="16">
        <f ca="1" t="shared" si="7"/>
        <v>-57561.71</v>
      </c>
      <c r="M51" s="16"/>
      <c r="N51" s="16"/>
      <c r="O51" s="16"/>
      <c r="P51" s="16">
        <f ca="1" t="shared" si="8"/>
        <v>6290.84</v>
      </c>
      <c r="Q51" s="16"/>
      <c r="R51" s="16"/>
      <c r="S51" s="16"/>
      <c r="T51" s="16" cm="1">
        <f ca="1" t="array" ref="T51">铜城2回、玉璟尚线、铁井一回、淮拦线4!T49:T49+铜城2回、玉璟尚线、铁井一回、淮拦线4!Q50:Q50-铜城2回、玉璟尚线、铁井一回、淮拦线4!R50:R50-铜城2回、玉璟尚线、铁井一回、淮拦线4!S50:S50</f>
        <v>0</v>
      </c>
      <c r="U51" s="16"/>
    </row>
    <row r="52" spans="1:21">
      <c r="A52" s="16"/>
      <c r="B52" s="16"/>
      <c r="C52" s="16"/>
      <c r="D52" s="16"/>
      <c r="E52" s="16"/>
      <c r="F52" s="19"/>
      <c r="G52" s="15"/>
      <c r="H52" s="16"/>
      <c r="I52" s="16"/>
      <c r="J52" s="16"/>
      <c r="K52" s="16"/>
      <c r="L52" s="16">
        <f ca="1" t="shared" si="7"/>
        <v>-57561.71</v>
      </c>
      <c r="M52" s="16"/>
      <c r="N52" s="16"/>
      <c r="O52" s="16"/>
      <c r="P52" s="16">
        <f ca="1" t="shared" si="8"/>
        <v>6290.84</v>
      </c>
      <c r="Q52" s="16"/>
      <c r="R52" s="16"/>
      <c r="S52" s="16"/>
      <c r="T52" s="16" cm="1">
        <f ca="1" t="array" ref="T52">铜城2回、玉璟尚线、铁井一回、淮拦线4!T50:T50+铜城2回、玉璟尚线、铁井一回、淮拦线4!Q51:Q51-铜城2回、玉璟尚线、铁井一回、淮拦线4!R51:R51-铜城2回、玉璟尚线、铁井一回、淮拦线4!S51:S51</f>
        <v>0</v>
      </c>
      <c r="U52" s="16"/>
    </row>
    <row r="53" spans="1:21">
      <c r="A53" s="16"/>
      <c r="B53" s="16"/>
      <c r="C53" s="16"/>
      <c r="D53" s="16"/>
      <c r="E53" s="16"/>
      <c r="F53" s="19"/>
      <c r="G53" s="15"/>
      <c r="H53" s="16"/>
      <c r="I53" s="16"/>
      <c r="J53" s="16"/>
      <c r="K53" s="16"/>
      <c r="L53" s="16">
        <f ca="1" t="shared" si="7"/>
        <v>-57561.71</v>
      </c>
      <c r="M53" s="16"/>
      <c r="N53" s="16"/>
      <c r="O53" s="16"/>
      <c r="P53" s="16">
        <f ca="1" t="shared" si="8"/>
        <v>6290.84</v>
      </c>
      <c r="Q53" s="16"/>
      <c r="R53" s="16"/>
      <c r="S53" s="16"/>
      <c r="T53" s="16" cm="1">
        <f ca="1" t="array" ref="T53">铜城2回、玉璟尚线、铁井一回、淮拦线4!T51:T51+铜城2回、玉璟尚线、铁井一回、淮拦线4!Q52:Q52-铜城2回、玉璟尚线、铁井一回、淮拦线4!R52:R52-铜城2回、玉璟尚线、铁井一回、淮拦线4!S52:S52</f>
        <v>0</v>
      </c>
      <c r="U53" s="16"/>
    </row>
    <row r="54" spans="1:21">
      <c r="A54" s="16"/>
      <c r="B54" s="16"/>
      <c r="C54" s="16"/>
      <c r="D54" s="16"/>
      <c r="E54" s="16"/>
      <c r="F54" s="19"/>
      <c r="G54" s="15"/>
      <c r="H54" s="16"/>
      <c r="I54" s="16"/>
      <c r="J54" s="16"/>
      <c r="K54" s="16"/>
      <c r="L54" s="16">
        <f ca="1" t="shared" si="7"/>
        <v>-57561.71</v>
      </c>
      <c r="M54" s="16"/>
      <c r="N54" s="16"/>
      <c r="O54" s="16"/>
      <c r="P54" s="16">
        <f ca="1" t="shared" si="8"/>
        <v>6290.84</v>
      </c>
      <c r="Q54" s="16"/>
      <c r="R54" s="16"/>
      <c r="S54" s="16"/>
      <c r="T54" s="16" cm="1">
        <f ca="1" t="array" ref="T54">铜城2回、玉璟尚线、铁井一回、淮拦线4!T52:T52+铜城2回、玉璟尚线、铁井一回、淮拦线4!Q53:Q53-铜城2回、玉璟尚线、铁井一回、淮拦线4!R53:R53-铜城2回、玉璟尚线、铁井一回、淮拦线4!S53:S53</f>
        <v>0</v>
      </c>
      <c r="U54" s="16"/>
    </row>
    <row r="55" spans="1:21">
      <c r="A55" s="16"/>
      <c r="B55" s="16"/>
      <c r="C55" s="16"/>
      <c r="D55" s="16"/>
      <c r="E55" s="16"/>
      <c r="F55" s="19"/>
      <c r="G55" s="15"/>
      <c r="H55" s="16"/>
      <c r="I55" s="16"/>
      <c r="J55" s="16"/>
      <c r="K55" s="16"/>
      <c r="L55" s="16">
        <f ca="1" t="shared" si="7"/>
        <v>-57561.71</v>
      </c>
      <c r="M55" s="16"/>
      <c r="N55" s="16"/>
      <c r="O55" s="16"/>
      <c r="P55" s="16">
        <f ca="1" t="shared" si="8"/>
        <v>6290.84</v>
      </c>
      <c r="Q55" s="16"/>
      <c r="R55" s="16"/>
      <c r="S55" s="16"/>
      <c r="T55" s="16" cm="1">
        <f ca="1" t="array" ref="T55">铜城2回、玉璟尚线、铁井一回、淮拦线4!T53:T53+铜城2回、玉璟尚线、铁井一回、淮拦线4!Q54:Q54-铜城2回、玉璟尚线、铁井一回、淮拦线4!R54:R54-铜城2回、玉璟尚线、铁井一回、淮拦线4!S54:S54</f>
        <v>0</v>
      </c>
      <c r="U55" s="16"/>
    </row>
    <row r="56" spans="1:21">
      <c r="A56" s="16"/>
      <c r="B56" s="16"/>
      <c r="C56" s="16"/>
      <c r="D56" s="16"/>
      <c r="E56" s="16"/>
      <c r="F56" s="19"/>
      <c r="G56" s="15"/>
      <c r="H56" s="16"/>
      <c r="I56" s="16"/>
      <c r="J56" s="16"/>
      <c r="K56" s="16"/>
      <c r="L56" s="16">
        <f ca="1" t="shared" si="7"/>
        <v>-57561.71</v>
      </c>
      <c r="M56" s="16"/>
      <c r="N56" s="16"/>
      <c r="O56" s="16"/>
      <c r="P56" s="16">
        <f ca="1" t="shared" si="8"/>
        <v>6290.84</v>
      </c>
      <c r="Q56" s="16"/>
      <c r="R56" s="16"/>
      <c r="S56" s="16"/>
      <c r="T56" s="16" cm="1">
        <f ca="1" t="array" ref="T56">铜城2回、玉璟尚线、铁井一回、淮拦线4!T54:T54+铜城2回、玉璟尚线、铁井一回、淮拦线4!Q55:Q55-铜城2回、玉璟尚线、铁井一回、淮拦线4!R55:R55-铜城2回、玉璟尚线、铁井一回、淮拦线4!S55:S55</f>
        <v>0</v>
      </c>
      <c r="U56" s="16"/>
    </row>
    <row r="57" spans="1:21">
      <c r="A57" s="16"/>
      <c r="B57" s="16"/>
      <c r="C57" s="16"/>
      <c r="D57" s="16"/>
      <c r="E57" s="16"/>
      <c r="F57" s="19"/>
      <c r="G57" s="15"/>
      <c r="H57" s="16"/>
      <c r="I57" s="16"/>
      <c r="J57" s="16"/>
      <c r="K57" s="16"/>
      <c r="L57" s="16">
        <f ca="1" t="shared" si="7"/>
        <v>-57561.71</v>
      </c>
      <c r="M57" s="16"/>
      <c r="N57" s="16"/>
      <c r="O57" s="16"/>
      <c r="P57" s="16">
        <f ca="1" t="shared" si="8"/>
        <v>6290.84</v>
      </c>
      <c r="Q57" s="16"/>
      <c r="R57" s="16"/>
      <c r="S57" s="16"/>
      <c r="T57" s="16" cm="1">
        <f ca="1" t="array" ref="T57">铜城2回、玉璟尚线、铁井一回、淮拦线4!T55:T55+铜城2回、玉璟尚线、铁井一回、淮拦线4!Q56:Q56-铜城2回、玉璟尚线、铁井一回、淮拦线4!R56:R56-铜城2回、玉璟尚线、铁井一回、淮拦线4!S56:S56</f>
        <v>0</v>
      </c>
      <c r="U57" s="16"/>
    </row>
    <row r="58" spans="1:21">
      <c r="A58" s="16"/>
      <c r="B58" s="16"/>
      <c r="C58" s="16"/>
      <c r="D58" s="16"/>
      <c r="E58" s="16"/>
      <c r="F58" s="19"/>
      <c r="G58" s="15"/>
      <c r="H58" s="16"/>
      <c r="I58" s="16"/>
      <c r="J58" s="16"/>
      <c r="K58" s="16"/>
      <c r="L58" s="16">
        <f ca="1" t="shared" si="7"/>
        <v>-57561.71</v>
      </c>
      <c r="M58" s="16"/>
      <c r="N58" s="16"/>
      <c r="O58" s="16"/>
      <c r="P58" s="16">
        <f ca="1" t="shared" si="8"/>
        <v>6290.84</v>
      </c>
      <c r="Q58" s="16"/>
      <c r="R58" s="16"/>
      <c r="S58" s="16"/>
      <c r="T58" s="16" cm="1">
        <f ca="1" t="array" ref="T58">铜城2回、玉璟尚线、铁井一回、淮拦线4!T56:T56+铜城2回、玉璟尚线、铁井一回、淮拦线4!Q57:Q57-铜城2回、玉璟尚线、铁井一回、淮拦线4!R57:R57-铜城2回、玉璟尚线、铁井一回、淮拦线4!S57:S57</f>
        <v>0</v>
      </c>
      <c r="U58" s="16"/>
    </row>
    <row r="59" spans="1:21">
      <c r="A59" s="16"/>
      <c r="B59" s="16"/>
      <c r="C59" s="16"/>
      <c r="D59" s="16"/>
      <c r="E59" s="16"/>
      <c r="F59" s="19"/>
      <c r="G59" s="15"/>
      <c r="H59" s="16"/>
      <c r="I59" s="16"/>
      <c r="J59" s="16"/>
      <c r="K59" s="16"/>
      <c r="L59" s="16">
        <f ca="1" t="shared" si="7"/>
        <v>-57561.71</v>
      </c>
      <c r="M59" s="16"/>
      <c r="N59" s="16"/>
      <c r="O59" s="16"/>
      <c r="P59" s="16">
        <f ca="1" t="shared" si="8"/>
        <v>6290.84</v>
      </c>
      <c r="Q59" s="16"/>
      <c r="R59" s="16"/>
      <c r="S59" s="16"/>
      <c r="T59" s="16" cm="1">
        <f ca="1" t="array" ref="T59">铜城2回、玉璟尚线、铁井一回、淮拦线4!T57:T57+铜城2回、玉璟尚线、铁井一回、淮拦线4!Q58:Q58-铜城2回、玉璟尚线、铁井一回、淮拦线4!R58:R58-铜城2回、玉璟尚线、铁井一回、淮拦线4!S58:S58</f>
        <v>0</v>
      </c>
      <c r="U59" s="16"/>
    </row>
    <row r="60" spans="1:21">
      <c r="A60" s="16"/>
      <c r="B60" s="16"/>
      <c r="C60" s="16"/>
      <c r="D60" s="16"/>
      <c r="E60" s="16"/>
      <c r="F60" s="19"/>
      <c r="G60" s="15"/>
      <c r="H60" s="16"/>
      <c r="I60" s="16"/>
      <c r="J60" s="16"/>
      <c r="K60" s="16"/>
      <c r="L60" s="16">
        <f ca="1" t="shared" si="7"/>
        <v>-57561.71</v>
      </c>
      <c r="M60" s="16"/>
      <c r="N60" s="16"/>
      <c r="O60" s="16"/>
      <c r="P60" s="16">
        <f ca="1" t="shared" si="8"/>
        <v>6290.84</v>
      </c>
      <c r="Q60" s="16"/>
      <c r="R60" s="16"/>
      <c r="S60" s="16"/>
      <c r="T60" s="16" cm="1">
        <f ca="1" t="array" ref="T60">铜城2回、玉璟尚线、铁井一回、淮拦线4!T58:T58+铜城2回、玉璟尚线、铁井一回、淮拦线4!Q59:Q59-铜城2回、玉璟尚线、铁井一回、淮拦线4!R59:R59-铜城2回、玉璟尚线、铁井一回、淮拦线4!S59:S59</f>
        <v>0</v>
      </c>
      <c r="U60" s="16"/>
    </row>
    <row r="61" spans="1:21">
      <c r="A61" s="16"/>
      <c r="B61" s="16"/>
      <c r="C61" s="16"/>
      <c r="D61" s="16"/>
      <c r="E61" s="16"/>
      <c r="F61" s="19"/>
      <c r="G61" s="15"/>
      <c r="H61" s="16"/>
      <c r="I61" s="16"/>
      <c r="J61" s="16"/>
      <c r="K61" s="16"/>
      <c r="L61" s="16">
        <f ca="1" t="shared" si="7"/>
        <v>-57561.71</v>
      </c>
      <c r="M61" s="16"/>
      <c r="N61" s="16"/>
      <c r="O61" s="16"/>
      <c r="P61" s="16">
        <f ca="1" t="shared" si="8"/>
        <v>6290.84</v>
      </c>
      <c r="Q61" s="16"/>
      <c r="R61" s="16"/>
      <c r="S61" s="16"/>
      <c r="T61" s="16" cm="1">
        <f ca="1" t="array" ref="T61">铜城2回、玉璟尚线、铁井一回、淮拦线4!T59:T59+铜城2回、玉璟尚线、铁井一回、淮拦线4!Q60:Q60-铜城2回、玉璟尚线、铁井一回、淮拦线4!R60:R60-铜城2回、玉璟尚线、铁井一回、淮拦线4!S60:S60</f>
        <v>0</v>
      </c>
      <c r="U61" s="16"/>
    </row>
    <row r="62" spans="1:21">
      <c r="A62" s="16"/>
      <c r="B62" s="16"/>
      <c r="C62" s="16"/>
      <c r="D62" s="16"/>
      <c r="E62" s="16"/>
      <c r="F62" s="19"/>
      <c r="G62" s="15"/>
      <c r="H62" s="16"/>
      <c r="I62" s="16"/>
      <c r="J62" s="16"/>
      <c r="K62" s="16"/>
      <c r="L62" s="16">
        <f ca="1" t="shared" si="7"/>
        <v>-57561.71</v>
      </c>
      <c r="M62" s="16"/>
      <c r="N62" s="16"/>
      <c r="O62" s="16"/>
      <c r="P62" s="16">
        <f ca="1" t="shared" si="8"/>
        <v>6290.84</v>
      </c>
      <c r="Q62" s="16"/>
      <c r="R62" s="16"/>
      <c r="S62" s="16"/>
      <c r="T62" s="16" cm="1">
        <f ca="1" t="array" ref="T62">铜城2回、玉璟尚线、铁井一回、淮拦线4!T60:T60+铜城2回、玉璟尚线、铁井一回、淮拦线4!Q61:Q61-铜城2回、玉璟尚线、铁井一回、淮拦线4!R61:R61-铜城2回、玉璟尚线、铁井一回、淮拦线4!S61:S61</f>
        <v>0</v>
      </c>
      <c r="U62" s="16"/>
    </row>
    <row r="63" spans="1:21">
      <c r="A63" s="16"/>
      <c r="B63" s="16"/>
      <c r="C63" s="16"/>
      <c r="D63" s="16"/>
      <c r="E63" s="16"/>
      <c r="F63" s="19"/>
      <c r="G63" s="15"/>
      <c r="H63" s="16"/>
      <c r="I63" s="16"/>
      <c r="J63" s="16"/>
      <c r="K63" s="16"/>
      <c r="L63" s="16">
        <f ca="1" t="shared" si="7"/>
        <v>-57561.71</v>
      </c>
      <c r="M63" s="16"/>
      <c r="N63" s="16"/>
      <c r="O63" s="16"/>
      <c r="P63" s="16">
        <f ca="1" t="shared" si="8"/>
        <v>6290.84</v>
      </c>
      <c r="Q63" s="16"/>
      <c r="R63" s="16"/>
      <c r="S63" s="16"/>
      <c r="T63" s="16" cm="1">
        <f ca="1" t="array" ref="T63">铜城2回、玉璟尚线、铁井一回、淮拦线4!T61:T61+铜城2回、玉璟尚线、铁井一回、淮拦线4!Q62:Q62-铜城2回、玉璟尚线、铁井一回、淮拦线4!R62:R62-铜城2回、玉璟尚线、铁井一回、淮拦线4!S62:S62</f>
        <v>0</v>
      </c>
      <c r="U63" s="16"/>
    </row>
    <row r="64" spans="1:21">
      <c r="A64" s="16"/>
      <c r="B64" s="16"/>
      <c r="C64" s="16"/>
      <c r="D64" s="16"/>
      <c r="E64" s="16"/>
      <c r="F64" s="19"/>
      <c r="G64" s="15"/>
      <c r="H64" s="16"/>
      <c r="I64" s="16"/>
      <c r="J64" s="16"/>
      <c r="K64" s="16"/>
      <c r="L64" s="16">
        <f ca="1" t="shared" si="7"/>
        <v>-57561.71</v>
      </c>
      <c r="M64" s="16"/>
      <c r="N64" s="16"/>
      <c r="O64" s="16"/>
      <c r="P64" s="16">
        <f ca="1" t="shared" si="8"/>
        <v>6290.84</v>
      </c>
      <c r="Q64" s="16"/>
      <c r="R64" s="16"/>
      <c r="S64" s="16"/>
      <c r="T64" s="16" cm="1">
        <f ca="1" t="array" ref="T64">铜城2回、玉璟尚线、铁井一回、淮拦线4!T62:T62+铜城2回、玉璟尚线、铁井一回、淮拦线4!Q63:Q63-铜城2回、玉璟尚线、铁井一回、淮拦线4!R63:R63-铜城2回、玉璟尚线、铁井一回、淮拦线4!S63:S63</f>
        <v>0</v>
      </c>
      <c r="U64" s="16"/>
    </row>
    <row r="65" spans="1:21">
      <c r="A65" s="16"/>
      <c r="B65" s="16"/>
      <c r="C65" s="16"/>
      <c r="D65" s="16"/>
      <c r="E65" s="16"/>
      <c r="F65" s="19"/>
      <c r="G65" s="15"/>
      <c r="H65" s="16"/>
      <c r="I65" s="16"/>
      <c r="J65" s="16"/>
      <c r="K65" s="16"/>
      <c r="L65" s="16">
        <f ca="1" t="shared" si="7"/>
        <v>-57561.71</v>
      </c>
      <c r="M65" s="16"/>
      <c r="N65" s="16"/>
      <c r="O65" s="16"/>
      <c r="P65" s="16">
        <f ca="1" t="shared" si="8"/>
        <v>6290.84</v>
      </c>
      <c r="Q65" s="16"/>
      <c r="R65" s="16"/>
      <c r="S65" s="16"/>
      <c r="T65" s="16" cm="1">
        <f ca="1" t="array" ref="T65">铜城2回、玉璟尚线、铁井一回、淮拦线4!T63:T63+铜城2回、玉璟尚线、铁井一回、淮拦线4!Q64:Q64-铜城2回、玉璟尚线、铁井一回、淮拦线4!R64:R64-铜城2回、玉璟尚线、铁井一回、淮拦线4!S64:S64</f>
        <v>0</v>
      </c>
      <c r="U65" s="16"/>
    </row>
    <row r="66" spans="1:21">
      <c r="A66" s="16"/>
      <c r="B66" s="16"/>
      <c r="C66" s="16"/>
      <c r="D66" s="16"/>
      <c r="E66" s="16"/>
      <c r="F66" s="19"/>
      <c r="G66" s="15"/>
      <c r="H66" s="16"/>
      <c r="I66" s="16"/>
      <c r="J66" s="16"/>
      <c r="K66" s="16"/>
      <c r="L66" s="16">
        <f ca="1" t="shared" si="7"/>
        <v>-57561.71</v>
      </c>
      <c r="M66" s="16"/>
      <c r="N66" s="16"/>
      <c r="O66" s="16"/>
      <c r="P66" s="16">
        <f ca="1" t="shared" si="8"/>
        <v>6290.84</v>
      </c>
      <c r="Q66" s="16"/>
      <c r="R66" s="16"/>
      <c r="S66" s="16"/>
      <c r="T66" s="16" cm="1">
        <f ca="1" t="array" ref="T66">铜城2回、玉璟尚线、铁井一回、淮拦线4!T64:T64+铜城2回、玉璟尚线、铁井一回、淮拦线4!Q65:Q65-铜城2回、玉璟尚线、铁井一回、淮拦线4!R65:R65-铜城2回、玉璟尚线、铁井一回、淮拦线4!S65:S65</f>
        <v>0</v>
      </c>
      <c r="U66" s="16"/>
    </row>
    <row r="67" spans="1:21">
      <c r="A67" s="16"/>
      <c r="B67" s="16"/>
      <c r="C67" s="16"/>
      <c r="D67" s="16"/>
      <c r="E67" s="16"/>
      <c r="F67" s="19"/>
      <c r="G67" s="15"/>
      <c r="H67" s="16"/>
      <c r="I67" s="16"/>
      <c r="J67" s="16"/>
      <c r="K67" s="16"/>
      <c r="L67" s="16">
        <f ca="1" t="shared" si="7"/>
        <v>-57561.71</v>
      </c>
      <c r="M67" s="16"/>
      <c r="N67" s="16"/>
      <c r="O67" s="16"/>
      <c r="P67" s="16">
        <f ca="1" t="shared" si="8"/>
        <v>6290.84</v>
      </c>
      <c r="Q67" s="16"/>
      <c r="R67" s="16"/>
      <c r="S67" s="16"/>
      <c r="T67" s="16" cm="1">
        <f ca="1" t="array" ref="T67">铜城2回、玉璟尚线、铁井一回、淮拦线4!T65:T65+铜城2回、玉璟尚线、铁井一回、淮拦线4!Q66:Q66-铜城2回、玉璟尚线、铁井一回、淮拦线4!R66:R66-铜城2回、玉璟尚线、铁井一回、淮拦线4!S66:S66</f>
        <v>0</v>
      </c>
      <c r="U67" s="16"/>
    </row>
    <row r="68" spans="1:21">
      <c r="A68" s="16"/>
      <c r="B68" s="16"/>
      <c r="C68" s="16"/>
      <c r="D68" s="16"/>
      <c r="E68" s="16"/>
      <c r="F68" s="19"/>
      <c r="G68" s="15"/>
      <c r="H68" s="16"/>
      <c r="I68" s="16"/>
      <c r="J68" s="16"/>
      <c r="K68" s="16"/>
      <c r="L68" s="16">
        <f ca="1" t="shared" si="7"/>
        <v>-57561.71</v>
      </c>
      <c r="M68" s="16"/>
      <c r="N68" s="16"/>
      <c r="O68" s="16"/>
      <c r="P68" s="16">
        <f ca="1" t="shared" si="8"/>
        <v>6290.84</v>
      </c>
      <c r="Q68" s="16"/>
      <c r="R68" s="16"/>
      <c r="S68" s="16"/>
      <c r="T68" s="16" cm="1">
        <f ca="1" t="array" ref="T68">铜城2回、玉璟尚线、铁井一回、淮拦线4!T66:T66+铜城2回、玉璟尚线、铁井一回、淮拦线4!Q67:Q67-铜城2回、玉璟尚线、铁井一回、淮拦线4!R67:R67-铜城2回、玉璟尚线、铁井一回、淮拦线4!S67:S67</f>
        <v>0</v>
      </c>
      <c r="U68" s="16"/>
    </row>
    <row r="69" spans="1:21">
      <c r="A69" s="16"/>
      <c r="B69" s="16"/>
      <c r="C69" s="16"/>
      <c r="D69" s="16"/>
      <c r="E69" s="16"/>
      <c r="F69" s="19"/>
      <c r="G69" s="15"/>
      <c r="H69" s="16"/>
      <c r="I69" s="16"/>
      <c r="J69" s="16"/>
      <c r="K69" s="16"/>
      <c r="L69" s="16">
        <f ca="1" t="shared" si="7"/>
        <v>-57561.71</v>
      </c>
      <c r="M69" s="16"/>
      <c r="N69" s="16"/>
      <c r="O69" s="16"/>
      <c r="P69" s="16">
        <f ca="1" t="shared" si="8"/>
        <v>6290.84</v>
      </c>
      <c r="Q69" s="16"/>
      <c r="R69" s="16"/>
      <c r="S69" s="16"/>
      <c r="T69" s="16" cm="1">
        <f ca="1" t="array" ref="T69">铜城2回、玉璟尚线、铁井一回、淮拦线4!T67:T67+铜城2回、玉璟尚线、铁井一回、淮拦线4!Q68:Q68-铜城2回、玉璟尚线、铁井一回、淮拦线4!R68:R68-铜城2回、玉璟尚线、铁井一回、淮拦线4!S68:S68</f>
        <v>0</v>
      </c>
      <c r="U69" s="16"/>
    </row>
    <row r="70" spans="1:21">
      <c r="A70" s="16"/>
      <c r="B70" s="16"/>
      <c r="C70" s="16"/>
      <c r="D70" s="16"/>
      <c r="E70" s="16"/>
      <c r="F70" s="19"/>
      <c r="G70" s="15"/>
      <c r="H70" s="16"/>
      <c r="I70" s="16"/>
      <c r="J70" s="16"/>
      <c r="K70" s="16"/>
      <c r="L70" s="16">
        <f ca="1" t="shared" si="7"/>
        <v>-57561.71</v>
      </c>
      <c r="M70" s="16"/>
      <c r="N70" s="16"/>
      <c r="O70" s="16"/>
      <c r="P70" s="16">
        <f ca="1" t="shared" si="8"/>
        <v>6290.84</v>
      </c>
      <c r="Q70" s="16"/>
      <c r="R70" s="16"/>
      <c r="S70" s="16"/>
      <c r="T70" s="16" cm="1">
        <f ca="1" t="array" ref="T70">铜城2回、玉璟尚线、铁井一回、淮拦线4!T68:T68+铜城2回、玉璟尚线、铁井一回、淮拦线4!Q69:Q69-铜城2回、玉璟尚线、铁井一回、淮拦线4!R69:R69-铜城2回、玉璟尚线、铁井一回、淮拦线4!S69:S69</f>
        <v>0</v>
      </c>
      <c r="U70" s="16"/>
    </row>
    <row r="71" spans="1:21">
      <c r="A71" s="16"/>
      <c r="B71" s="16"/>
      <c r="C71" s="16"/>
      <c r="D71" s="16"/>
      <c r="E71" s="16"/>
      <c r="F71" s="19"/>
      <c r="G71" s="15"/>
      <c r="H71" s="16"/>
      <c r="I71" s="16"/>
      <c r="J71" s="16"/>
      <c r="K71" s="16"/>
      <c r="L71" s="16">
        <f ca="1" t="shared" si="7"/>
        <v>-57561.71</v>
      </c>
      <c r="M71" s="16"/>
      <c r="N71" s="16"/>
      <c r="O71" s="16"/>
      <c r="P71" s="16">
        <f ca="1" t="shared" si="8"/>
        <v>6290.84</v>
      </c>
      <c r="Q71" s="16"/>
      <c r="R71" s="16"/>
      <c r="S71" s="16"/>
      <c r="T71" s="16" cm="1">
        <f ca="1" t="array" ref="T71">铜城2回、玉璟尚线、铁井一回、淮拦线4!T69:T69+铜城2回、玉璟尚线、铁井一回、淮拦线4!Q70:Q70-铜城2回、玉璟尚线、铁井一回、淮拦线4!R70:R70-铜城2回、玉璟尚线、铁井一回、淮拦线4!S70:S70</f>
        <v>0</v>
      </c>
      <c r="U71" s="16"/>
    </row>
    <row r="72" spans="1:21">
      <c r="A72" s="16"/>
      <c r="B72" s="16"/>
      <c r="C72" s="16"/>
      <c r="D72" s="16"/>
      <c r="E72" s="16"/>
      <c r="F72" s="19"/>
      <c r="G72" s="15"/>
      <c r="H72" s="16"/>
      <c r="I72" s="16"/>
      <c r="J72" s="16"/>
      <c r="K72" s="16"/>
      <c r="L72" s="16">
        <f ca="1" t="shared" si="7"/>
        <v>-57561.71</v>
      </c>
      <c r="M72" s="16"/>
      <c r="N72" s="16"/>
      <c r="O72" s="16"/>
      <c r="P72" s="16">
        <f ca="1" t="shared" si="8"/>
        <v>6290.84</v>
      </c>
      <c r="Q72" s="16"/>
      <c r="R72" s="16"/>
      <c r="S72" s="16"/>
      <c r="T72" s="16" cm="1">
        <f ca="1" t="array" ref="T72">铜城2回、玉璟尚线、铁井一回、淮拦线4!T70:T70+铜城2回、玉璟尚线、铁井一回、淮拦线4!Q71:Q71-铜城2回、玉璟尚线、铁井一回、淮拦线4!R71:R71-铜城2回、玉璟尚线、铁井一回、淮拦线4!S71:S71</f>
        <v>0</v>
      </c>
      <c r="U72" s="16"/>
    </row>
    <row r="73" spans="1:21">
      <c r="A73" s="16"/>
      <c r="B73" s="16"/>
      <c r="C73" s="16"/>
      <c r="D73" s="16"/>
      <c r="E73" s="16"/>
      <c r="F73" s="19"/>
      <c r="G73" s="15"/>
      <c r="H73" s="16"/>
      <c r="I73" s="16"/>
      <c r="J73" s="16"/>
      <c r="K73" s="16"/>
      <c r="L73" s="16">
        <f ca="1" t="shared" si="7"/>
        <v>-57561.71</v>
      </c>
      <c r="M73" s="16"/>
      <c r="N73" s="16"/>
      <c r="O73" s="16"/>
      <c r="P73" s="16">
        <f ca="1" t="shared" si="8"/>
        <v>6290.84</v>
      </c>
      <c r="Q73" s="16"/>
      <c r="R73" s="16"/>
      <c r="S73" s="16"/>
      <c r="T73" s="16" cm="1">
        <f ca="1" t="array" ref="T73">铜城2回、玉璟尚线、铁井一回、淮拦线4!T71:T71+铜城2回、玉璟尚线、铁井一回、淮拦线4!Q72:Q72-铜城2回、玉璟尚线、铁井一回、淮拦线4!R72:R72-铜城2回、玉璟尚线、铁井一回、淮拦线4!S72:S72</f>
        <v>0</v>
      </c>
      <c r="U73" s="16"/>
    </row>
    <row r="74" spans="1:21">
      <c r="A74" s="16"/>
      <c r="B74" s="16"/>
      <c r="C74" s="16"/>
      <c r="D74" s="16"/>
      <c r="E74" s="16"/>
      <c r="F74" s="19"/>
      <c r="G74" s="15"/>
      <c r="H74" s="16"/>
      <c r="I74" s="16"/>
      <c r="J74" s="16"/>
      <c r="K74" s="16"/>
      <c r="L74" s="16">
        <f ca="1" t="shared" si="7"/>
        <v>-57561.71</v>
      </c>
      <c r="M74" s="16"/>
      <c r="N74" s="16"/>
      <c r="O74" s="16"/>
      <c r="P74" s="16">
        <f ca="1" t="shared" si="8"/>
        <v>6290.84</v>
      </c>
      <c r="Q74" s="16"/>
      <c r="R74" s="16"/>
      <c r="S74" s="16"/>
      <c r="T74" s="16" cm="1">
        <f ca="1" t="array" ref="T74">铜城2回、玉璟尚线、铁井一回、淮拦线4!T72:T72+铜城2回、玉璟尚线、铁井一回、淮拦线4!Q73:Q73-铜城2回、玉璟尚线、铁井一回、淮拦线4!R73:R73-铜城2回、玉璟尚线、铁井一回、淮拦线4!S73:S73</f>
        <v>0</v>
      </c>
      <c r="U74" s="16"/>
    </row>
    <row r="75" spans="1:21">
      <c r="A75" s="16"/>
      <c r="B75" s="16"/>
      <c r="C75" s="16"/>
      <c r="D75" s="16"/>
      <c r="E75" s="16"/>
      <c r="F75" s="19"/>
      <c r="G75" s="15"/>
      <c r="H75" s="16"/>
      <c r="I75" s="16"/>
      <c r="J75" s="16"/>
      <c r="K75" s="16"/>
      <c r="L75" s="16">
        <f ca="1" t="shared" si="7"/>
        <v>-57561.71</v>
      </c>
      <c r="M75" s="16"/>
      <c r="N75" s="16"/>
      <c r="O75" s="16"/>
      <c r="P75" s="16">
        <f ca="1" t="shared" si="8"/>
        <v>6290.84</v>
      </c>
      <c r="Q75" s="16"/>
      <c r="R75" s="16"/>
      <c r="S75" s="16"/>
      <c r="T75" s="16" cm="1">
        <f ca="1" t="array" ref="T75">铜城2回、玉璟尚线、铁井一回、淮拦线4!T73:T73+铜城2回、玉璟尚线、铁井一回、淮拦线4!Q74:Q74-铜城2回、玉璟尚线、铁井一回、淮拦线4!R74:R74-铜城2回、玉璟尚线、铁井一回、淮拦线4!S74:S74</f>
        <v>0</v>
      </c>
      <c r="U75" s="16"/>
    </row>
    <row r="76" spans="1:21">
      <c r="A76" s="16"/>
      <c r="B76" s="16"/>
      <c r="C76" s="16"/>
      <c r="D76" s="16"/>
      <c r="E76" s="16"/>
      <c r="F76" s="19"/>
      <c r="G76" s="15"/>
      <c r="H76" s="16"/>
      <c r="I76" s="16"/>
      <c r="J76" s="16"/>
      <c r="K76" s="16"/>
      <c r="L76" s="16">
        <f ca="1" t="shared" si="7"/>
        <v>-57561.71</v>
      </c>
      <c r="M76" s="16"/>
      <c r="N76" s="16"/>
      <c r="O76" s="16"/>
      <c r="P76" s="16">
        <f ca="1" t="shared" si="8"/>
        <v>6290.84</v>
      </c>
      <c r="Q76" s="16"/>
      <c r="R76" s="16"/>
      <c r="S76" s="16"/>
      <c r="T76" s="16" cm="1">
        <f ca="1" t="array" ref="T76">铜城2回、玉璟尚线、铁井一回、淮拦线4!T74:T74+铜城2回、玉璟尚线、铁井一回、淮拦线4!Q75:Q75-铜城2回、玉璟尚线、铁井一回、淮拦线4!R75:R75-铜城2回、玉璟尚线、铁井一回、淮拦线4!S75:S75</f>
        <v>0</v>
      </c>
      <c r="U76" s="16"/>
    </row>
    <row r="77" spans="1:21">
      <c r="A77" s="16"/>
      <c r="B77" s="16"/>
      <c r="C77" s="16"/>
      <c r="D77" s="16"/>
      <c r="E77" s="16"/>
      <c r="F77" s="19"/>
      <c r="G77" s="15"/>
      <c r="H77" s="16"/>
      <c r="I77" s="16"/>
      <c r="J77" s="16"/>
      <c r="K77" s="16"/>
      <c r="L77" s="16">
        <f ca="1" t="shared" si="7"/>
        <v>-57561.71</v>
      </c>
      <c r="M77" s="16"/>
      <c r="N77" s="16"/>
      <c r="O77" s="16"/>
      <c r="P77" s="16">
        <f ca="1" t="shared" si="8"/>
        <v>6290.84</v>
      </c>
      <c r="Q77" s="16"/>
      <c r="R77" s="16"/>
      <c r="S77" s="16"/>
      <c r="T77" s="16" cm="1">
        <f ca="1" t="array" ref="T77">铜城2回、玉璟尚线、铁井一回、淮拦线4!T75:T75+铜城2回、玉璟尚线、铁井一回、淮拦线4!Q76:Q76-铜城2回、玉璟尚线、铁井一回、淮拦线4!R76:R76-铜城2回、玉璟尚线、铁井一回、淮拦线4!S76:S76</f>
        <v>0</v>
      </c>
      <c r="U77" s="16"/>
    </row>
    <row r="78" spans="1:21">
      <c r="A78" s="16"/>
      <c r="B78" s="16"/>
      <c r="C78" s="16"/>
      <c r="D78" s="16"/>
      <c r="E78" s="16"/>
      <c r="F78" s="19"/>
      <c r="G78" s="15"/>
      <c r="H78" s="16"/>
      <c r="I78" s="16"/>
      <c r="J78" s="16"/>
      <c r="K78" s="16"/>
      <c r="L78" s="16"/>
      <c r="M78" s="16"/>
      <c r="N78" s="16"/>
      <c r="O78" s="16"/>
      <c r="P78" s="16">
        <f ca="1" t="shared" si="8"/>
        <v>6290.84</v>
      </c>
      <c r="Q78" s="16"/>
      <c r="R78" s="16"/>
      <c r="S78" s="16"/>
      <c r="T78" s="16" cm="1">
        <f ca="1" t="array" ref="T78">铜城2回、玉璟尚线、铁井一回、淮拦线4!T76:T76+铜城2回、玉璟尚线、铁井一回、淮拦线4!Q77:Q77-铜城2回、玉璟尚线、铁井一回、淮拦线4!R77:R77-铜城2回、玉璟尚线、铁井一回、淮拦线4!S77:S77</f>
        <v>0</v>
      </c>
      <c r="U78" s="16"/>
    </row>
    <row r="79" spans="1:21">
      <c r="A79" s="16"/>
      <c r="B79" s="16"/>
      <c r="C79" s="16"/>
      <c r="D79" s="16"/>
      <c r="E79" s="16"/>
      <c r="F79" s="19"/>
      <c r="G79" s="15"/>
      <c r="H79" s="16"/>
      <c r="I79" s="16"/>
      <c r="J79" s="16"/>
      <c r="K79" s="16"/>
      <c r="L79" s="16"/>
      <c r="M79" s="16"/>
      <c r="N79" s="16"/>
      <c r="O79" s="16"/>
      <c r="P79" s="16">
        <f ca="1" t="shared" si="8"/>
        <v>6290.84</v>
      </c>
      <c r="Q79" s="16"/>
      <c r="R79" s="16"/>
      <c r="S79" s="16"/>
      <c r="T79" s="16" cm="1">
        <f ca="1" t="array" ref="T79">铜城2回、玉璟尚线、铁井一回、淮拦线4!T77:T77+铜城2回、玉璟尚线、铁井一回、淮拦线4!Q78:Q78-铜城2回、玉璟尚线、铁井一回、淮拦线4!R78:R78-铜城2回、玉璟尚线、铁井一回、淮拦线4!S78:S78</f>
        <v>0</v>
      </c>
      <c r="U79" s="16"/>
    </row>
    <row r="80" spans="1:21">
      <c r="A80" s="16"/>
      <c r="B80" s="16"/>
      <c r="C80" s="16"/>
      <c r="D80" s="16"/>
      <c r="E80" s="16"/>
      <c r="F80" s="19"/>
      <c r="G80" s="15"/>
      <c r="H80" s="16"/>
      <c r="I80" s="16"/>
      <c r="J80" s="16"/>
      <c r="K80" s="16"/>
      <c r="L80" s="16"/>
      <c r="M80" s="16"/>
      <c r="N80" s="16"/>
      <c r="O80" s="16"/>
      <c r="P80" s="16">
        <f ca="1" t="shared" si="8"/>
        <v>6290.84</v>
      </c>
      <c r="Q80" s="16"/>
      <c r="R80" s="16"/>
      <c r="S80" s="16"/>
      <c r="T80" s="16" cm="1">
        <f ca="1" t="array" ref="T80">铜城2回、玉璟尚线、铁井一回、淮拦线4!T78:T78+铜城2回、玉璟尚线、铁井一回、淮拦线4!Q79:Q79-铜城2回、玉璟尚线、铁井一回、淮拦线4!R79:R79-铜城2回、玉璟尚线、铁井一回、淮拦线4!S79:S79</f>
        <v>0</v>
      </c>
      <c r="U80" s="16"/>
    </row>
    <row r="81" spans="1:21">
      <c r="A81" s="16"/>
      <c r="B81" s="16"/>
      <c r="C81" s="16"/>
      <c r="D81" s="16"/>
      <c r="E81" s="16"/>
      <c r="F81" s="19"/>
      <c r="G81" s="15"/>
      <c r="H81" s="16"/>
      <c r="I81" s="16"/>
      <c r="J81" s="16"/>
      <c r="K81" s="16"/>
      <c r="L81" s="16"/>
      <c r="M81" s="16"/>
      <c r="N81" s="16"/>
      <c r="O81" s="16"/>
      <c r="P81" s="16">
        <f ca="1" t="shared" si="8"/>
        <v>6290.84</v>
      </c>
      <c r="Q81" s="16"/>
      <c r="R81" s="16"/>
      <c r="S81" s="16"/>
      <c r="T81" s="16" cm="1">
        <f ca="1" t="array" ref="T81">铜城2回、玉璟尚线、铁井一回、淮拦线4!T79:T79+铜城2回、玉璟尚线、铁井一回、淮拦线4!Q80:Q80-铜城2回、玉璟尚线、铁井一回、淮拦线4!R80:R80-铜城2回、玉璟尚线、铁井一回、淮拦线4!S80:S80</f>
        <v>0</v>
      </c>
      <c r="U81" s="16"/>
    </row>
    <row r="82" spans="1:21">
      <c r="A82" s="16"/>
      <c r="B82" s="16"/>
      <c r="C82" s="16"/>
      <c r="D82" s="16"/>
      <c r="E82" s="16"/>
      <c r="F82" s="19"/>
      <c r="G82" s="15"/>
      <c r="H82" s="16"/>
      <c r="I82" s="16"/>
      <c r="J82" s="16"/>
      <c r="K82" s="16"/>
      <c r="L82" s="16"/>
      <c r="M82" s="16"/>
      <c r="N82" s="16"/>
      <c r="O82" s="16"/>
      <c r="P82" s="16">
        <f ca="1" t="shared" si="8"/>
        <v>6290.84</v>
      </c>
      <c r="Q82" s="16"/>
      <c r="R82" s="16"/>
      <c r="S82" s="16"/>
      <c r="T82" s="16" cm="1">
        <f ca="1" t="array" ref="T82">铜城2回、玉璟尚线、铁井一回、淮拦线4!T80:T80+铜城2回、玉璟尚线、铁井一回、淮拦线4!Q81:Q81-铜城2回、玉璟尚线、铁井一回、淮拦线4!R81:R81-铜城2回、玉璟尚线、铁井一回、淮拦线4!S81:S81</f>
        <v>0</v>
      </c>
      <c r="U82" s="16"/>
    </row>
    <row r="83" spans="1:21">
      <c r="A83" s="16"/>
      <c r="B83" s="16"/>
      <c r="C83" s="16"/>
      <c r="D83" s="16"/>
      <c r="E83" s="16"/>
      <c r="F83" s="19"/>
      <c r="G83" s="15"/>
      <c r="H83" s="16"/>
      <c r="I83" s="16"/>
      <c r="J83" s="16"/>
      <c r="K83" s="16"/>
      <c r="L83" s="16"/>
      <c r="M83" s="16"/>
      <c r="N83" s="16"/>
      <c r="O83" s="16"/>
      <c r="P83" s="16">
        <f ca="1" t="shared" si="8"/>
        <v>6290.84</v>
      </c>
      <c r="Q83" s="16"/>
      <c r="R83" s="16"/>
      <c r="S83" s="16"/>
      <c r="T83" s="16" cm="1">
        <f ca="1" t="array" ref="T83">铜城2回、玉璟尚线、铁井一回、淮拦线4!T81:T81+铜城2回、玉璟尚线、铁井一回、淮拦线4!Q82:Q82-铜城2回、玉璟尚线、铁井一回、淮拦线4!R82:R82-铜城2回、玉璟尚线、铁井一回、淮拦线4!S82:S82</f>
        <v>0</v>
      </c>
      <c r="U83" s="16"/>
    </row>
  </sheetData>
  <autoFilter xmlns:etc="http://www.wps.cn/officeDocument/2017/etCustomData" ref="A2:U83" etc:filterBottomFollowUsedRange="0">
    <extLst/>
  </autoFilter>
  <mergeCells count="7">
    <mergeCell ref="A1:U1"/>
    <mergeCell ref="A2:A3"/>
    <mergeCell ref="B2:B3"/>
    <mergeCell ref="D2:D3"/>
    <mergeCell ref="E2:E3"/>
    <mergeCell ref="F2:F3"/>
    <mergeCell ref="G2:G3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8"/>
  <sheetViews>
    <sheetView zoomScale="85" zoomScaleNormal="85" topLeftCell="I21" workbookViewId="0">
      <selection activeCell="T12" sqref="T12:T36"/>
    </sheetView>
  </sheetViews>
  <sheetFormatPr defaultColWidth="9" defaultRowHeight="16.5"/>
  <cols>
    <col min="1" max="1" width="7.72727272727273" style="2" customWidth="1"/>
    <col min="2" max="2" width="5.72727272727273" style="2" customWidth="1"/>
    <col min="3" max="3" width="57.4545454545455" style="2" hidden="1" customWidth="1"/>
    <col min="4" max="4" width="47" style="2" customWidth="1"/>
    <col min="5" max="6" width="8.63636363636364" style="3" customWidth="1"/>
    <col min="7" max="7" width="7" style="4" customWidth="1"/>
    <col min="8" max="8" width="12.6363636363636" style="3" customWidth="1"/>
    <col min="9" max="9" width="11.2727272727273" style="3" customWidth="1"/>
    <col min="10" max="11" width="12.6363636363636" style="3" customWidth="1"/>
    <col min="12" max="12" width="13.9090909090909" style="3" customWidth="1"/>
    <col min="13" max="14" width="13.9090909090909" style="2" customWidth="1"/>
    <col min="15" max="15" width="12.5454545454545" style="2" customWidth="1"/>
    <col min="16" max="17" width="14.8181818181818" style="2" customWidth="1"/>
    <col min="18" max="20" width="12.5454545454545" style="2" customWidth="1"/>
    <col min="21" max="21" width="26.7272727272727" style="2" customWidth="1"/>
    <col min="22" max="16379" width="9" style="2"/>
  </cols>
  <sheetData>
    <row r="1" ht="38" customHeight="1" spans="1:21">
      <c r="A1" s="5" t="s">
        <v>140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="1" customFormat="1" ht="33" spans="1:21">
      <c r="A2" s="6" t="s">
        <v>137</v>
      </c>
      <c r="B2" s="6" t="s">
        <v>22</v>
      </c>
      <c r="C2" s="6" t="s">
        <v>23</v>
      </c>
      <c r="D2" s="6" t="s">
        <v>24</v>
      </c>
      <c r="E2" s="7" t="s">
        <v>25</v>
      </c>
      <c r="F2" s="7" t="s">
        <v>26</v>
      </c>
      <c r="G2" s="8" t="s">
        <v>27</v>
      </c>
      <c r="H2" s="9" t="s">
        <v>28</v>
      </c>
      <c r="I2" s="9" t="s">
        <v>29</v>
      </c>
      <c r="J2" s="9" t="s">
        <v>30</v>
      </c>
      <c r="K2" s="9" t="s">
        <v>31</v>
      </c>
      <c r="L2" s="9" t="s">
        <v>32</v>
      </c>
      <c r="M2" s="6" t="s">
        <v>33</v>
      </c>
      <c r="N2" s="6" t="s">
        <v>34</v>
      </c>
      <c r="O2" s="6" t="s">
        <v>35</v>
      </c>
      <c r="P2" s="6" t="s">
        <v>36</v>
      </c>
      <c r="Q2" s="6" t="s">
        <v>37</v>
      </c>
      <c r="R2" s="6" t="s">
        <v>38</v>
      </c>
      <c r="S2" s="6" t="s">
        <v>39</v>
      </c>
      <c r="T2" s="6" t="s">
        <v>40</v>
      </c>
      <c r="U2" s="6" t="s">
        <v>4</v>
      </c>
    </row>
    <row r="3" s="1" customFormat="1" spans="1:21">
      <c r="A3" s="6"/>
      <c r="B3" s="6"/>
      <c r="C3" s="10"/>
      <c r="D3" s="6"/>
      <c r="E3" s="11"/>
      <c r="F3" s="11"/>
      <c r="G3" s="12"/>
      <c r="H3" s="9">
        <f ca="1" t="shared" ref="H3:K3" si="0">SUM(H4:H306)</f>
        <v>500000</v>
      </c>
      <c r="I3" s="9">
        <f ca="1" t="shared" si="0"/>
        <v>0</v>
      </c>
      <c r="J3" s="9">
        <f ca="1" t="shared" si="0"/>
        <v>500000</v>
      </c>
      <c r="K3" s="9">
        <f ca="1" t="shared" si="0"/>
        <v>500000</v>
      </c>
      <c r="L3" s="9">
        <f ca="1">J3-K3</f>
        <v>0</v>
      </c>
      <c r="M3" s="9">
        <f ca="1" t="shared" ref="M3:O3" si="1">SUM(M4:M306)</f>
        <v>500000</v>
      </c>
      <c r="N3" s="9">
        <f ca="1" t="shared" si="1"/>
        <v>0</v>
      </c>
      <c r="O3" s="9">
        <f ca="1" t="shared" si="1"/>
        <v>503326.17</v>
      </c>
      <c r="P3" s="9">
        <f ca="1">M3-O3</f>
        <v>-3326.16999999998</v>
      </c>
      <c r="Q3" s="9">
        <f ca="1" t="shared" ref="Q3:U3" si="2">SUM(Q4:Q306)</f>
        <v>0</v>
      </c>
      <c r="R3" s="9">
        <f ca="1" t="shared" si="2"/>
        <v>0</v>
      </c>
      <c r="S3" s="9">
        <f ca="1" t="shared" si="2"/>
        <v>0</v>
      </c>
      <c r="T3" s="9">
        <f ca="1" t="shared" si="2"/>
        <v>0</v>
      </c>
      <c r="U3" s="9">
        <f t="shared" si="2"/>
        <v>0</v>
      </c>
    </row>
    <row r="4" spans="1:21">
      <c r="A4" s="13" t="str" cm="1">
        <f ca="1" t="array" ref="A4:K18">_xlfn._xlws.FILTER(发票统计!A:K,发票统计!A:A=_wpsfn.SHEETSNAME(A2))</f>
        <v>合川瑞翔</v>
      </c>
      <c r="B4" s="13" t="str">
        <v>6月</v>
      </c>
      <c r="C4" s="13" t="str">
        <v>高新区厂房及配套设施提质改造项目开票到瑞翔厂区电力土建(管廊)建设工程</v>
      </c>
      <c r="D4" s="13" t="str">
        <v>2026.6.17庆文开票给新德润：瑞翔厂区电力土建</v>
      </c>
      <c r="E4" s="14" t="str">
        <v>新德润</v>
      </c>
      <c r="F4" s="15" t="str">
        <v>1%专票</v>
      </c>
      <c r="G4" s="15">
        <v>0</v>
      </c>
      <c r="H4" s="16">
        <v>100000</v>
      </c>
      <c r="I4" s="16">
        <v>0</v>
      </c>
      <c r="J4" s="16">
        <v>100000</v>
      </c>
      <c r="K4" s="16">
        <v>100000</v>
      </c>
      <c r="L4" s="16">
        <f ca="1">J4-K4</f>
        <v>0</v>
      </c>
      <c r="M4" s="16" cm="1">
        <f ca="1" t="array" ref="M4:O18">_xlfn._xlws.FILTER(发票统计!M:O,发票统计!A:A=_wpsfn.SHEETSNAME(A2))</f>
        <v>100000</v>
      </c>
      <c r="N4" s="16">
        <v>0</v>
      </c>
      <c r="O4" s="16">
        <v>0</v>
      </c>
      <c r="P4" s="16">
        <f ca="1">M4-N4</f>
        <v>100000</v>
      </c>
      <c r="Q4" s="16" cm="1">
        <f ca="1" t="array" ref="Q4:S18">_xlfn._xlws.FILTER(发票统计!Q:S,发票统计!A:A=_wpsfn.SHEETSNAME(A2))</f>
        <v>0</v>
      </c>
      <c r="R4" s="16">
        <v>0</v>
      </c>
      <c r="S4" s="16">
        <v>0</v>
      </c>
      <c r="T4" s="16">
        <f ca="1">Q4-R4</f>
        <v>0</v>
      </c>
      <c r="U4" s="16"/>
    </row>
    <row r="5" spans="1:21">
      <c r="A5" s="13" t="str">
        <v>合川瑞翔</v>
      </c>
      <c r="B5" s="13" t="str">
        <v>6月</v>
      </c>
      <c r="C5" s="13" t="str">
        <v>高新区厂房及配套设施提质改造项目开票到瑞翔厂区电力土建(管廊)建设工程</v>
      </c>
      <c r="D5" s="13" t="str">
        <v>2026.6.18庆文收到新德润打款：瑞翔厂区电力</v>
      </c>
      <c r="E5" s="14" t="str">
        <v>新德润</v>
      </c>
      <c r="F5" s="15">
        <v>0</v>
      </c>
      <c r="G5" s="15">
        <v>0</v>
      </c>
      <c r="H5" s="16">
        <v>0</v>
      </c>
      <c r="I5" s="16">
        <v>0</v>
      </c>
      <c r="J5" s="16">
        <v>0</v>
      </c>
      <c r="K5" s="16">
        <v>0</v>
      </c>
      <c r="L5" s="16">
        <f ca="1" t="shared" ref="L5:L24" si="3">L4+J5-K5</f>
        <v>0</v>
      </c>
      <c r="M5" s="16">
        <v>0</v>
      </c>
      <c r="N5" s="16">
        <v>0</v>
      </c>
      <c r="O5" s="16">
        <v>100000</v>
      </c>
      <c r="P5" s="16">
        <f ca="1" t="shared" ref="P5:P17" si="4">P4+M5-N5-O5</f>
        <v>0</v>
      </c>
      <c r="Q5" s="16">
        <v>0</v>
      </c>
      <c r="R5" s="16">
        <v>0</v>
      </c>
      <c r="S5" s="16">
        <v>0</v>
      </c>
      <c r="T5" s="16">
        <f ca="1" t="shared" ref="T5:T13" si="5">T4+Q5-R5-S5</f>
        <v>0</v>
      </c>
      <c r="U5" s="16"/>
    </row>
    <row r="6" spans="1:21">
      <c r="A6" s="13" t="str">
        <v>合川瑞翔</v>
      </c>
      <c r="B6" s="13" t="str">
        <v>7月</v>
      </c>
      <c r="C6" s="13" t="str">
        <v>高新区厂房及配套设施提质改造项目开票到瑞翔厂区电力土建(管廊)建设工程</v>
      </c>
      <c r="D6" s="13" t="str">
        <v>2026.7.2朱氏水泥管件开票到新德润：瑞翔厂区电力土建</v>
      </c>
      <c r="E6" s="14" t="str">
        <v>新德润</v>
      </c>
      <c r="F6" s="15" t="str">
        <v>1%普票</v>
      </c>
      <c r="G6" s="15">
        <v>0</v>
      </c>
      <c r="H6" s="16">
        <v>50200</v>
      </c>
      <c r="I6" s="16">
        <v>0</v>
      </c>
      <c r="J6" s="16">
        <v>50200</v>
      </c>
      <c r="K6" s="16">
        <v>50200</v>
      </c>
      <c r="L6" s="16">
        <f ca="1" t="shared" si="3"/>
        <v>0</v>
      </c>
      <c r="M6" s="16">
        <v>50200</v>
      </c>
      <c r="N6" s="16">
        <v>0</v>
      </c>
      <c r="O6" s="16">
        <v>0</v>
      </c>
      <c r="P6" s="16">
        <f ca="1" t="shared" si="4"/>
        <v>50200</v>
      </c>
      <c r="Q6" s="16">
        <v>0</v>
      </c>
      <c r="R6" s="16">
        <v>0</v>
      </c>
      <c r="S6" s="16">
        <v>0</v>
      </c>
      <c r="T6" s="16">
        <f ca="1" t="shared" si="5"/>
        <v>0</v>
      </c>
      <c r="U6" s="16"/>
    </row>
    <row r="7" spans="1:21">
      <c r="A7" s="13" t="str">
        <v>合川瑞翔</v>
      </c>
      <c r="B7" s="13" t="str">
        <v>7月</v>
      </c>
      <c r="C7" s="13" t="str">
        <v>高新区厂房及配套设施提质改造项目开票到瑞翔厂区电力土建(管廊)建设工程</v>
      </c>
      <c r="D7" s="13" t="str">
        <v>2026.7.6朱氏水泥管收到新德润：瑞翔厂区电力</v>
      </c>
      <c r="E7" s="14" t="str">
        <v>新德润</v>
      </c>
      <c r="F7" s="15">
        <v>0</v>
      </c>
      <c r="G7" s="15">
        <v>0</v>
      </c>
      <c r="H7" s="16">
        <v>0</v>
      </c>
      <c r="I7" s="16">
        <v>0</v>
      </c>
      <c r="J7" s="16">
        <v>0</v>
      </c>
      <c r="K7" s="16">
        <v>0</v>
      </c>
      <c r="L7" s="16">
        <f ca="1" t="shared" si="3"/>
        <v>0</v>
      </c>
      <c r="M7" s="16">
        <v>0</v>
      </c>
      <c r="N7" s="16">
        <v>0</v>
      </c>
      <c r="O7" s="16">
        <v>50200</v>
      </c>
      <c r="P7" s="16">
        <f ca="1" t="shared" si="4"/>
        <v>0</v>
      </c>
      <c r="Q7" s="16">
        <v>0</v>
      </c>
      <c r="R7" s="16">
        <v>0</v>
      </c>
      <c r="S7" s="16">
        <v>0</v>
      </c>
      <c r="T7" s="16">
        <f ca="1" t="shared" si="5"/>
        <v>0</v>
      </c>
      <c r="U7" s="16"/>
    </row>
    <row r="8" spans="1:21">
      <c r="A8" s="13" t="str">
        <v>合川瑞翔</v>
      </c>
      <c r="B8" s="13" t="str">
        <v>7月</v>
      </c>
      <c r="C8" s="13" t="str">
        <v>高新区厂房及配套设施提质改造项目开票到瑞翔厂区电力土建(管廊)建设工程</v>
      </c>
      <c r="D8" s="13" t="str">
        <v>2026.7.8庆文开票给新德润：瑞翔厂区电力土建</v>
      </c>
      <c r="E8" s="14" t="str">
        <v>新德润</v>
      </c>
      <c r="F8" s="15" t="str">
        <v>1%专票</v>
      </c>
      <c r="G8" s="15">
        <v>0</v>
      </c>
      <c r="H8" s="16">
        <v>100000</v>
      </c>
      <c r="I8" s="16">
        <v>0</v>
      </c>
      <c r="J8" s="16">
        <v>100000</v>
      </c>
      <c r="K8" s="16">
        <v>100000</v>
      </c>
      <c r="L8" s="16">
        <f ca="1" t="shared" si="3"/>
        <v>0</v>
      </c>
      <c r="M8" s="16">
        <v>100000</v>
      </c>
      <c r="N8" s="16">
        <v>0</v>
      </c>
      <c r="O8" s="16">
        <v>0</v>
      </c>
      <c r="P8" s="16">
        <f ca="1" t="shared" si="4"/>
        <v>100000</v>
      </c>
      <c r="Q8" s="16">
        <v>0</v>
      </c>
      <c r="R8" s="16">
        <v>0</v>
      </c>
      <c r="S8" s="16">
        <v>0</v>
      </c>
      <c r="T8" s="16">
        <f ca="1" t="shared" si="5"/>
        <v>0</v>
      </c>
      <c r="U8" s="16"/>
    </row>
    <row r="9" spans="1:21">
      <c r="A9" s="13" t="str">
        <v>合川瑞翔</v>
      </c>
      <c r="B9" s="13" t="str">
        <v>7月</v>
      </c>
      <c r="C9" s="13" t="str">
        <v>高新区厂房及配套设施提质改造项目开票到瑞翔厂区电力土建(管廊)建设工程</v>
      </c>
      <c r="D9" s="13" t="str">
        <v>2026.7.9庆文收到新德润打款：瑞翔厂区电力</v>
      </c>
      <c r="E9" s="14" t="str">
        <v>新德润</v>
      </c>
      <c r="F9" s="15">
        <v>0</v>
      </c>
      <c r="G9" s="15">
        <v>0</v>
      </c>
      <c r="H9" s="16">
        <v>0</v>
      </c>
      <c r="I9" s="16">
        <v>0</v>
      </c>
      <c r="J9" s="16">
        <v>0</v>
      </c>
      <c r="K9" s="16">
        <v>0</v>
      </c>
      <c r="L9" s="16">
        <f ca="1" t="shared" si="3"/>
        <v>0</v>
      </c>
      <c r="M9" s="16">
        <v>0</v>
      </c>
      <c r="N9" s="16">
        <v>0</v>
      </c>
      <c r="O9" s="16">
        <v>100000</v>
      </c>
      <c r="P9" s="16">
        <f ca="1" t="shared" si="4"/>
        <v>0</v>
      </c>
      <c r="Q9" s="16">
        <v>0</v>
      </c>
      <c r="R9" s="16">
        <v>0</v>
      </c>
      <c r="S9" s="16">
        <v>0</v>
      </c>
      <c r="T9" s="16">
        <f ca="1" t="shared" si="5"/>
        <v>0</v>
      </c>
      <c r="U9" s="16"/>
    </row>
    <row r="10" spans="1:21">
      <c r="A10" s="13" t="str">
        <v>合川瑞翔</v>
      </c>
      <c r="B10" s="13" t="str">
        <v>7月</v>
      </c>
      <c r="C10" s="13" t="str">
        <v>高新区厂房及配套设施提质改造项目开票到瑞翔厂区电力土建(管廊)建设工程</v>
      </c>
      <c r="D10" s="13" t="str">
        <v>2026.7.8铜桐桐建材开票到新德润：瑞翔厂区电力土建</v>
      </c>
      <c r="E10" s="14" t="str">
        <v>新德润</v>
      </c>
      <c r="F10" s="15" t="str">
        <v>1%普票</v>
      </c>
      <c r="G10" s="15">
        <v>0</v>
      </c>
      <c r="H10" s="16">
        <v>49800</v>
      </c>
      <c r="I10" s="16">
        <v>0</v>
      </c>
      <c r="J10" s="16">
        <v>49800</v>
      </c>
      <c r="K10" s="16">
        <v>49800</v>
      </c>
      <c r="L10" s="16">
        <f ca="1" t="shared" si="3"/>
        <v>0</v>
      </c>
      <c r="M10" s="16">
        <v>49800</v>
      </c>
      <c r="N10" s="16">
        <v>0</v>
      </c>
      <c r="O10" s="16">
        <v>0</v>
      </c>
      <c r="P10" s="16">
        <f ca="1" t="shared" si="4"/>
        <v>49800</v>
      </c>
      <c r="Q10" s="16">
        <v>0</v>
      </c>
      <c r="R10" s="16">
        <v>0</v>
      </c>
      <c r="S10" s="16">
        <v>0</v>
      </c>
      <c r="T10" s="16">
        <f ca="1" t="shared" si="5"/>
        <v>0</v>
      </c>
      <c r="U10" s="16"/>
    </row>
    <row r="11" spans="1:21">
      <c r="A11" s="13" t="str">
        <v>合川瑞翔</v>
      </c>
      <c r="B11" s="13" t="str">
        <v>7月</v>
      </c>
      <c r="C11" s="13" t="str">
        <v>高新区厂房及配套设施提质改造项目开票到瑞翔厂区电力土建(管廊)建设工程</v>
      </c>
      <c r="D11" s="13" t="str">
        <v>2026.7.7号收到新德润打款给胡崇文：瑞翔厂区电力</v>
      </c>
      <c r="E11" s="14" t="str">
        <v>新德润</v>
      </c>
      <c r="F11" s="15">
        <v>0</v>
      </c>
      <c r="G11" s="15">
        <v>0</v>
      </c>
      <c r="H11" s="16">
        <v>0</v>
      </c>
      <c r="I11" s="16">
        <v>0</v>
      </c>
      <c r="J11" s="16">
        <v>0</v>
      </c>
      <c r="K11" s="16">
        <v>0</v>
      </c>
      <c r="L11" s="16">
        <f ca="1" t="shared" si="3"/>
        <v>0</v>
      </c>
      <c r="M11" s="16">
        <v>0</v>
      </c>
      <c r="N11" s="16">
        <v>0</v>
      </c>
      <c r="O11" s="16">
        <v>49800</v>
      </c>
      <c r="P11" s="16">
        <f ca="1" t="shared" si="4"/>
        <v>0</v>
      </c>
      <c r="Q11" s="16">
        <v>0</v>
      </c>
      <c r="R11" s="16">
        <v>0</v>
      </c>
      <c r="S11" s="16">
        <v>0</v>
      </c>
      <c r="T11" s="16">
        <f ca="1" t="shared" si="5"/>
        <v>0</v>
      </c>
      <c r="U11" s="16"/>
    </row>
    <row r="12" spans="1:21">
      <c r="A12" s="13" t="str">
        <v>合川瑞翔</v>
      </c>
      <c r="B12" s="13" t="str">
        <v>7月</v>
      </c>
      <c r="C12" s="13" t="str">
        <v>高新区厂房及配套设施提质改造项目开票到瑞翔厂区电力土建(管廊)建设工程</v>
      </c>
      <c r="D12" s="13" t="str">
        <v>2026.7.13小溪建材开票到新德润：瑞翔厂区电力土建</v>
      </c>
      <c r="E12" s="14" t="str">
        <v>新德润</v>
      </c>
      <c r="F12" s="15" t="str">
        <v>13%专票</v>
      </c>
      <c r="G12" s="15">
        <v>0</v>
      </c>
      <c r="H12" s="16">
        <v>50220</v>
      </c>
      <c r="I12" s="16">
        <v>0</v>
      </c>
      <c r="J12" s="16">
        <v>50220</v>
      </c>
      <c r="K12" s="16">
        <v>50220</v>
      </c>
      <c r="L12" s="16">
        <f ca="1" t="shared" si="3"/>
        <v>0</v>
      </c>
      <c r="M12" s="16">
        <v>50220</v>
      </c>
      <c r="N12" s="16">
        <v>0</v>
      </c>
      <c r="O12" s="16">
        <v>0</v>
      </c>
      <c r="P12" s="16">
        <f ca="1" t="shared" si="4"/>
        <v>50220</v>
      </c>
      <c r="Q12" s="16">
        <v>0</v>
      </c>
      <c r="R12" s="16">
        <v>0</v>
      </c>
      <c r="S12" s="16">
        <v>0</v>
      </c>
      <c r="T12" s="16">
        <f ca="1" t="shared" si="5"/>
        <v>0</v>
      </c>
      <c r="U12" s="16"/>
    </row>
    <row r="13" spans="1:21">
      <c r="A13" s="13" t="str">
        <v>合川瑞翔</v>
      </c>
      <c r="B13" s="13" t="str">
        <v>7月</v>
      </c>
      <c r="C13" s="13" t="str">
        <v>高新区厂房及配套设施提质改造项目开票到瑞翔厂区电力土建(管廊)建设工程</v>
      </c>
      <c r="D13" s="13" t="str">
        <v>2026.7.15小溪建材收到新德润打款：瑞翔厂区电力</v>
      </c>
      <c r="E13" s="14" t="str">
        <v>新德润</v>
      </c>
      <c r="F13" s="15">
        <v>0</v>
      </c>
      <c r="G13" s="15">
        <v>0</v>
      </c>
      <c r="H13" s="16">
        <v>0</v>
      </c>
      <c r="I13" s="16">
        <v>0</v>
      </c>
      <c r="J13" s="16">
        <v>0</v>
      </c>
      <c r="K13" s="16">
        <v>0</v>
      </c>
      <c r="L13" s="16">
        <f ca="1" t="shared" si="3"/>
        <v>0</v>
      </c>
      <c r="M13" s="16">
        <v>0</v>
      </c>
      <c r="N13" s="16">
        <v>0</v>
      </c>
      <c r="O13" s="16">
        <v>50220</v>
      </c>
      <c r="P13" s="16">
        <f ca="1" t="shared" si="4"/>
        <v>0</v>
      </c>
      <c r="Q13" s="16">
        <v>0</v>
      </c>
      <c r="R13" s="16">
        <v>0</v>
      </c>
      <c r="S13" s="16">
        <v>0</v>
      </c>
      <c r="T13" s="16">
        <f ca="1" t="shared" si="5"/>
        <v>0</v>
      </c>
      <c r="U13" s="16"/>
    </row>
    <row r="14" spans="1:21">
      <c r="A14" s="13" t="str">
        <v>合川瑞翔</v>
      </c>
      <c r="B14" s="13" t="str">
        <v>7月</v>
      </c>
      <c r="C14" s="13" t="str">
        <v>高新区厂房及配套设施提质改造项目开票到瑞翔厂区电力土建(管廊)建设工程</v>
      </c>
      <c r="D14" s="13" t="str">
        <v>2026.7.13旭承机械开票到新德润：瑞翔厂区电力土建</v>
      </c>
      <c r="E14" s="14" t="str">
        <v>新德润</v>
      </c>
      <c r="F14" s="15" t="str">
        <v>1%普票</v>
      </c>
      <c r="G14" s="15">
        <v>0</v>
      </c>
      <c r="H14" s="16">
        <v>100000</v>
      </c>
      <c r="I14" s="16">
        <v>0</v>
      </c>
      <c r="J14" s="16">
        <v>100000</v>
      </c>
      <c r="K14" s="16">
        <v>100000</v>
      </c>
      <c r="L14" s="16">
        <f ca="1" t="shared" si="3"/>
        <v>0</v>
      </c>
      <c r="M14" s="16">
        <v>100000</v>
      </c>
      <c r="N14" s="16">
        <v>0</v>
      </c>
      <c r="O14" s="16">
        <v>0</v>
      </c>
      <c r="P14" s="16">
        <f ca="1" t="shared" si="4"/>
        <v>100000</v>
      </c>
      <c r="Q14" s="16">
        <v>0</v>
      </c>
      <c r="R14" s="16">
        <v>0</v>
      </c>
      <c r="S14" s="16">
        <v>0</v>
      </c>
      <c r="T14" s="16">
        <f ca="1" t="shared" ref="T14:T36" si="6">T13+Q14-R14-S14</f>
        <v>0</v>
      </c>
      <c r="U14" s="16"/>
    </row>
    <row r="15" spans="1:21">
      <c r="A15" s="13" t="str">
        <v>合川瑞翔</v>
      </c>
      <c r="B15" s="13" t="str">
        <v>7月</v>
      </c>
      <c r="C15" s="13" t="str">
        <v>高新区厂房及配套设施提质改造项目开票到瑞翔厂区电力土建(管廊)建设工程</v>
      </c>
      <c r="D15" s="13" t="str">
        <v>2026.7.15旭承机械收到新德润打款：瑞翔厂区电力土建</v>
      </c>
      <c r="E15" s="14" t="str">
        <v>新德润</v>
      </c>
      <c r="F15" s="15">
        <v>0</v>
      </c>
      <c r="G15" s="15">
        <v>0</v>
      </c>
      <c r="H15" s="16">
        <v>0</v>
      </c>
      <c r="I15" s="16">
        <v>0</v>
      </c>
      <c r="J15" s="16">
        <v>0</v>
      </c>
      <c r="K15" s="16">
        <v>0</v>
      </c>
      <c r="L15" s="16">
        <f ca="1" t="shared" si="3"/>
        <v>0</v>
      </c>
      <c r="M15" s="16">
        <v>0</v>
      </c>
      <c r="N15" s="16">
        <v>0</v>
      </c>
      <c r="O15" s="16">
        <v>100000</v>
      </c>
      <c r="P15" s="16">
        <f ca="1" t="shared" si="4"/>
        <v>0</v>
      </c>
      <c r="Q15" s="16">
        <v>0</v>
      </c>
      <c r="R15" s="16">
        <v>0</v>
      </c>
      <c r="S15" s="16">
        <v>0</v>
      </c>
      <c r="T15" s="16">
        <f ca="1" t="shared" si="6"/>
        <v>0</v>
      </c>
      <c r="U15" s="16"/>
    </row>
    <row r="16" spans="1:21">
      <c r="A16" s="13" t="str">
        <v>合川瑞翔</v>
      </c>
      <c r="B16" s="13" t="str">
        <v>7月</v>
      </c>
      <c r="C16" s="13" t="str">
        <v>高新区厂房及配套设施提质改造项目开票到瑞翔厂区电力土建(管廊)建设工程</v>
      </c>
      <c r="D16" s="13" t="str">
        <v>2026.7.14凯樽物资开票到新德润：瑞翔厂区电力土建</v>
      </c>
      <c r="E16" s="14" t="str">
        <v>新德润</v>
      </c>
      <c r="F16" s="14" t="str">
        <v>13%专票</v>
      </c>
      <c r="G16" s="15">
        <v>0</v>
      </c>
      <c r="H16" s="16">
        <v>49780</v>
      </c>
      <c r="I16" s="16">
        <v>0</v>
      </c>
      <c r="J16" s="16">
        <v>49780</v>
      </c>
      <c r="K16" s="16">
        <v>49780</v>
      </c>
      <c r="L16" s="16">
        <f ca="1" t="shared" si="3"/>
        <v>0</v>
      </c>
      <c r="M16" s="16">
        <v>49780</v>
      </c>
      <c r="N16" s="16">
        <v>0</v>
      </c>
      <c r="O16" s="16">
        <v>0</v>
      </c>
      <c r="P16" s="16">
        <f ca="1" t="shared" si="4"/>
        <v>49780</v>
      </c>
      <c r="Q16" s="16">
        <v>0</v>
      </c>
      <c r="R16" s="16">
        <v>0</v>
      </c>
      <c r="S16" s="16">
        <v>0</v>
      </c>
      <c r="T16" s="16">
        <f ca="1" t="shared" si="6"/>
        <v>0</v>
      </c>
      <c r="U16" s="16"/>
    </row>
    <row r="17" spans="1:21">
      <c r="A17" s="13" t="str">
        <v>合川瑞翔</v>
      </c>
      <c r="B17" s="13" t="str">
        <v>7月</v>
      </c>
      <c r="C17" s="13" t="str">
        <v>高新区厂房及配套设施提质改造项目开票到瑞翔厂区电力土建(管廊)建设工程</v>
      </c>
      <c r="D17" s="13" t="str">
        <v>2026.7.15凯樽物资收到新德润打款：瑞翔厂区电力土建</v>
      </c>
      <c r="E17" s="14" t="str">
        <v>新德润</v>
      </c>
      <c r="F17" s="14">
        <v>0</v>
      </c>
      <c r="G17" s="15">
        <v>0</v>
      </c>
      <c r="H17" s="16">
        <v>0</v>
      </c>
      <c r="I17" s="16">
        <v>0</v>
      </c>
      <c r="J17" s="16">
        <v>0</v>
      </c>
      <c r="K17" s="16">
        <v>0</v>
      </c>
      <c r="L17" s="16">
        <f ca="1" t="shared" si="3"/>
        <v>0</v>
      </c>
      <c r="M17" s="16">
        <v>0</v>
      </c>
      <c r="N17" s="16">
        <v>0</v>
      </c>
      <c r="O17" s="16">
        <v>49780</v>
      </c>
      <c r="P17" s="16">
        <f ca="1" t="shared" si="4"/>
        <v>0</v>
      </c>
      <c r="Q17" s="16">
        <v>0</v>
      </c>
      <c r="R17" s="16">
        <v>0</v>
      </c>
      <c r="S17" s="16">
        <v>0</v>
      </c>
      <c r="T17" s="16">
        <f ca="1" t="shared" si="6"/>
        <v>0</v>
      </c>
      <c r="U17" s="16"/>
    </row>
    <row r="18" spans="1:21">
      <c r="A18" s="13" t="str">
        <v>合川瑞翔</v>
      </c>
      <c r="B18" s="13" t="str">
        <v>9月</v>
      </c>
      <c r="C18" s="13" t="str">
        <v>高新区厂房及配套设施提质改造项目开票到瑞翔厂区电力土建(管廊)建设工程</v>
      </c>
      <c r="D18" s="13" t="str">
        <v>2026.9.14新德润代胡崇文支付宜宾翠屏货款：42800-39473.83=3326.17</v>
      </c>
      <c r="E18" s="14" t="str">
        <v>新德润</v>
      </c>
      <c r="F18" s="14">
        <v>0</v>
      </c>
      <c r="G18" s="15">
        <v>0</v>
      </c>
      <c r="H18" s="16">
        <v>0</v>
      </c>
      <c r="I18" s="16">
        <v>0</v>
      </c>
      <c r="J18" s="16">
        <v>0</v>
      </c>
      <c r="K18" s="16">
        <v>0</v>
      </c>
      <c r="L18" s="16">
        <f ca="1" t="shared" si="3"/>
        <v>0</v>
      </c>
      <c r="M18" s="16">
        <v>0</v>
      </c>
      <c r="N18" s="16">
        <v>0</v>
      </c>
      <c r="O18" s="16">
        <v>3326.17</v>
      </c>
      <c r="P18" s="16">
        <f ca="1" t="shared" ref="P18:P34" si="7">P17+M18-O18</f>
        <v>-3326.17</v>
      </c>
      <c r="Q18" s="16">
        <v>0</v>
      </c>
      <c r="R18" s="16">
        <v>0</v>
      </c>
      <c r="S18" s="16">
        <v>0</v>
      </c>
      <c r="T18" s="16">
        <f ca="1" t="shared" si="6"/>
        <v>0</v>
      </c>
      <c r="U18" s="16"/>
    </row>
    <row r="19" spans="1:21">
      <c r="A19" s="13"/>
      <c r="B19" s="13"/>
      <c r="C19" s="13"/>
      <c r="D19" s="13"/>
      <c r="E19" s="14"/>
      <c r="F19" s="14"/>
      <c r="G19" s="15"/>
      <c r="H19" s="16"/>
      <c r="I19" s="16"/>
      <c r="J19" s="16"/>
      <c r="K19" s="16"/>
      <c r="L19" s="16">
        <f ca="1" t="shared" si="3"/>
        <v>0</v>
      </c>
      <c r="M19" s="16"/>
      <c r="N19" s="16"/>
      <c r="O19" s="16"/>
      <c r="P19" s="16">
        <f ca="1" t="shared" si="7"/>
        <v>-3326.17</v>
      </c>
      <c r="Q19" s="16"/>
      <c r="R19" s="16"/>
      <c r="S19" s="16"/>
      <c r="T19" s="16">
        <f ca="1" t="shared" si="6"/>
        <v>0</v>
      </c>
      <c r="U19" s="16"/>
    </row>
    <row r="20" spans="1:21">
      <c r="A20" s="13"/>
      <c r="B20" s="13"/>
      <c r="C20" s="13"/>
      <c r="D20" s="13"/>
      <c r="E20" s="14"/>
      <c r="F20" s="14"/>
      <c r="G20" s="15"/>
      <c r="H20" s="16"/>
      <c r="I20" s="16"/>
      <c r="J20" s="16"/>
      <c r="K20" s="16"/>
      <c r="L20" s="16">
        <f ca="1" t="shared" si="3"/>
        <v>0</v>
      </c>
      <c r="M20" s="16"/>
      <c r="N20" s="16"/>
      <c r="O20" s="16"/>
      <c r="P20" s="16">
        <f ca="1" t="shared" si="7"/>
        <v>-3326.17</v>
      </c>
      <c r="Q20" s="16"/>
      <c r="R20" s="16"/>
      <c r="S20" s="16"/>
      <c r="T20" s="16">
        <f ca="1" t="shared" si="6"/>
        <v>0</v>
      </c>
      <c r="U20" s="16"/>
    </row>
    <row r="21" spans="1:21">
      <c r="A21" s="13"/>
      <c r="B21" s="13"/>
      <c r="C21" s="13"/>
      <c r="D21" s="13"/>
      <c r="E21" s="14"/>
      <c r="F21" s="14"/>
      <c r="G21" s="15"/>
      <c r="H21" s="16"/>
      <c r="I21" s="16"/>
      <c r="J21" s="16"/>
      <c r="K21" s="16"/>
      <c r="L21" s="16">
        <f ca="1" t="shared" si="3"/>
        <v>0</v>
      </c>
      <c r="M21" s="16"/>
      <c r="N21" s="16"/>
      <c r="O21" s="16"/>
      <c r="P21" s="16">
        <f ca="1" t="shared" si="7"/>
        <v>-3326.17</v>
      </c>
      <c r="Q21" s="16"/>
      <c r="R21" s="16"/>
      <c r="S21" s="16"/>
      <c r="T21" s="16">
        <f ca="1" t="shared" si="6"/>
        <v>0</v>
      </c>
      <c r="U21" s="16"/>
    </row>
    <row r="22" spans="1:21">
      <c r="A22" s="13"/>
      <c r="B22" s="13"/>
      <c r="C22" s="13"/>
      <c r="D22" s="13"/>
      <c r="E22" s="14"/>
      <c r="F22" s="14"/>
      <c r="G22" s="15"/>
      <c r="H22" s="16"/>
      <c r="I22" s="16"/>
      <c r="J22" s="16"/>
      <c r="K22" s="16"/>
      <c r="L22" s="16">
        <f ca="1" t="shared" si="3"/>
        <v>0</v>
      </c>
      <c r="M22" s="16"/>
      <c r="N22" s="16"/>
      <c r="O22" s="16"/>
      <c r="P22" s="16">
        <f ca="1" t="shared" si="7"/>
        <v>-3326.17</v>
      </c>
      <c r="Q22" s="16"/>
      <c r="R22" s="16"/>
      <c r="S22" s="16"/>
      <c r="T22" s="16">
        <f ca="1" t="shared" si="6"/>
        <v>0</v>
      </c>
      <c r="U22" s="16"/>
    </row>
    <row r="23" spans="1:21">
      <c r="A23" s="13"/>
      <c r="B23" s="13"/>
      <c r="C23" s="13"/>
      <c r="D23" s="13"/>
      <c r="E23" s="14"/>
      <c r="F23" s="14"/>
      <c r="G23" s="15"/>
      <c r="H23" s="16"/>
      <c r="I23" s="16"/>
      <c r="J23" s="16"/>
      <c r="K23" s="16"/>
      <c r="L23" s="16">
        <f ca="1" t="shared" si="3"/>
        <v>0</v>
      </c>
      <c r="M23" s="16"/>
      <c r="N23" s="16"/>
      <c r="O23" s="16"/>
      <c r="P23" s="16">
        <f ca="1" t="shared" si="7"/>
        <v>-3326.17</v>
      </c>
      <c r="Q23" s="16"/>
      <c r="R23" s="16"/>
      <c r="S23" s="16"/>
      <c r="T23" s="16">
        <f ca="1" t="shared" si="6"/>
        <v>0</v>
      </c>
      <c r="U23" s="16"/>
    </row>
    <row r="24" spans="1:21">
      <c r="A24" s="13"/>
      <c r="B24" s="13"/>
      <c r="C24" s="13"/>
      <c r="D24" s="13"/>
      <c r="E24" s="14"/>
      <c r="F24" s="14"/>
      <c r="G24" s="15"/>
      <c r="H24" s="16"/>
      <c r="I24" s="16"/>
      <c r="J24" s="16"/>
      <c r="K24" s="16"/>
      <c r="L24" s="16">
        <f ca="1" t="shared" si="3"/>
        <v>0</v>
      </c>
      <c r="M24" s="16"/>
      <c r="N24" s="16"/>
      <c r="O24" s="16"/>
      <c r="P24" s="16">
        <f ca="1" t="shared" si="7"/>
        <v>-3326.17</v>
      </c>
      <c r="Q24" s="16"/>
      <c r="R24" s="16"/>
      <c r="S24" s="16"/>
      <c r="T24" s="16">
        <f ca="1" t="shared" si="6"/>
        <v>0</v>
      </c>
      <c r="U24" s="16"/>
    </row>
    <row r="25" spans="1:21">
      <c r="A25" s="13"/>
      <c r="B25" s="13"/>
      <c r="C25" s="13"/>
      <c r="D25" s="13"/>
      <c r="E25" s="14"/>
      <c r="F25" s="14"/>
      <c r="G25" s="15"/>
      <c r="H25" s="16"/>
      <c r="I25" s="16"/>
      <c r="J25" s="16"/>
      <c r="K25" s="16"/>
      <c r="L25" s="16"/>
      <c r="M25" s="16"/>
      <c r="N25" s="16"/>
      <c r="O25" s="16"/>
      <c r="P25" s="16">
        <f ca="1" t="shared" si="7"/>
        <v>-3326.17</v>
      </c>
      <c r="Q25" s="16"/>
      <c r="R25" s="16"/>
      <c r="S25" s="16"/>
      <c r="T25" s="16">
        <f ca="1" t="shared" si="6"/>
        <v>0</v>
      </c>
      <c r="U25" s="16"/>
    </row>
    <row r="26" spans="1:21">
      <c r="A26" s="13"/>
      <c r="B26" s="13"/>
      <c r="C26" s="13"/>
      <c r="D26" s="13"/>
      <c r="E26" s="14"/>
      <c r="F26" s="14"/>
      <c r="G26" s="15"/>
      <c r="H26" s="16"/>
      <c r="I26" s="16"/>
      <c r="J26" s="16"/>
      <c r="K26" s="16"/>
      <c r="L26" s="16"/>
      <c r="M26" s="16"/>
      <c r="N26" s="16"/>
      <c r="O26" s="16"/>
      <c r="P26" s="16">
        <f ca="1" t="shared" si="7"/>
        <v>-3326.17</v>
      </c>
      <c r="Q26" s="16"/>
      <c r="R26" s="16"/>
      <c r="S26" s="16"/>
      <c r="T26" s="16">
        <f ca="1" t="shared" si="6"/>
        <v>0</v>
      </c>
      <c r="U26" s="16"/>
    </row>
    <row r="27" spans="1:21">
      <c r="A27" s="13"/>
      <c r="B27" s="13"/>
      <c r="C27" s="13"/>
      <c r="D27" s="13"/>
      <c r="E27" s="14"/>
      <c r="F27" s="14"/>
      <c r="G27" s="15"/>
      <c r="H27" s="16"/>
      <c r="I27" s="16"/>
      <c r="J27" s="16"/>
      <c r="K27" s="16"/>
      <c r="L27" s="16"/>
      <c r="M27" s="16"/>
      <c r="N27" s="16"/>
      <c r="O27" s="16"/>
      <c r="P27" s="16">
        <f ca="1" t="shared" si="7"/>
        <v>-3326.17</v>
      </c>
      <c r="Q27" s="16"/>
      <c r="R27" s="16"/>
      <c r="S27" s="16"/>
      <c r="T27" s="16">
        <f ca="1" t="shared" si="6"/>
        <v>0</v>
      </c>
      <c r="U27" s="16"/>
    </row>
    <row r="28" spans="1:21">
      <c r="A28" s="13"/>
      <c r="B28" s="13"/>
      <c r="C28" s="13"/>
      <c r="D28" s="13"/>
      <c r="E28" s="14"/>
      <c r="F28" s="14"/>
      <c r="G28" s="15"/>
      <c r="H28" s="16"/>
      <c r="I28" s="16"/>
      <c r="J28" s="16"/>
      <c r="K28" s="16"/>
      <c r="L28" s="16"/>
      <c r="M28" s="16"/>
      <c r="N28" s="16"/>
      <c r="O28" s="16"/>
      <c r="P28" s="16">
        <f ca="1" t="shared" si="7"/>
        <v>-3326.17</v>
      </c>
      <c r="Q28" s="16"/>
      <c r="R28" s="16"/>
      <c r="S28" s="16"/>
      <c r="T28" s="16">
        <f ca="1" t="shared" si="6"/>
        <v>0</v>
      </c>
      <c r="U28" s="16"/>
    </row>
    <row r="29" spans="1:21">
      <c r="A29" s="13"/>
      <c r="B29" s="13"/>
      <c r="C29" s="13"/>
      <c r="D29" s="13"/>
      <c r="E29" s="14"/>
      <c r="F29" s="14"/>
      <c r="G29" s="15"/>
      <c r="H29" s="16"/>
      <c r="I29" s="16"/>
      <c r="J29" s="16"/>
      <c r="K29" s="16"/>
      <c r="L29" s="16"/>
      <c r="M29" s="16"/>
      <c r="N29" s="16"/>
      <c r="O29" s="16"/>
      <c r="P29" s="16">
        <f ca="1" t="shared" si="7"/>
        <v>-3326.17</v>
      </c>
      <c r="Q29" s="16"/>
      <c r="R29" s="16"/>
      <c r="S29" s="16"/>
      <c r="T29" s="16">
        <f ca="1" t="shared" si="6"/>
        <v>0</v>
      </c>
      <c r="U29" s="16"/>
    </row>
    <row r="30" spans="1:21">
      <c r="A30" s="13"/>
      <c r="B30" s="13"/>
      <c r="C30" s="13"/>
      <c r="D30" s="13"/>
      <c r="E30" s="14"/>
      <c r="F30" s="14"/>
      <c r="G30" s="15"/>
      <c r="H30" s="16"/>
      <c r="I30" s="16"/>
      <c r="J30" s="16"/>
      <c r="K30" s="16"/>
      <c r="L30" s="16"/>
      <c r="M30" s="16"/>
      <c r="N30" s="16"/>
      <c r="O30" s="16"/>
      <c r="P30" s="16">
        <f ca="1" t="shared" si="7"/>
        <v>-3326.17</v>
      </c>
      <c r="Q30" s="16"/>
      <c r="R30" s="16"/>
      <c r="S30" s="16"/>
      <c r="T30" s="16">
        <f ca="1" t="shared" si="6"/>
        <v>0</v>
      </c>
      <c r="U30" s="16"/>
    </row>
    <row r="31" spans="1:21">
      <c r="A31" s="13"/>
      <c r="B31" s="13"/>
      <c r="C31" s="13"/>
      <c r="D31" s="13"/>
      <c r="E31" s="14"/>
      <c r="F31" s="14"/>
      <c r="G31" s="15"/>
      <c r="H31" s="16"/>
      <c r="I31" s="16"/>
      <c r="J31" s="16"/>
      <c r="K31" s="16"/>
      <c r="L31" s="16"/>
      <c r="M31" s="16"/>
      <c r="N31" s="16"/>
      <c r="O31" s="16"/>
      <c r="P31" s="16">
        <f ca="1" t="shared" si="7"/>
        <v>-3326.17</v>
      </c>
      <c r="Q31" s="16"/>
      <c r="R31" s="16"/>
      <c r="S31" s="16"/>
      <c r="T31" s="16">
        <f ca="1" t="shared" si="6"/>
        <v>0</v>
      </c>
      <c r="U31" s="16"/>
    </row>
    <row r="32" spans="1:21">
      <c r="A32" s="13"/>
      <c r="B32" s="13"/>
      <c r="C32" s="13"/>
      <c r="D32" s="13"/>
      <c r="E32" s="14"/>
      <c r="F32" s="14"/>
      <c r="G32" s="15"/>
      <c r="H32" s="16"/>
      <c r="I32" s="16"/>
      <c r="J32" s="16"/>
      <c r="K32" s="16"/>
      <c r="L32" s="16"/>
      <c r="M32" s="16"/>
      <c r="N32" s="16"/>
      <c r="O32" s="16"/>
      <c r="P32" s="16">
        <f ca="1" t="shared" si="7"/>
        <v>-3326.17</v>
      </c>
      <c r="Q32" s="16"/>
      <c r="R32" s="16"/>
      <c r="S32" s="16"/>
      <c r="T32" s="16">
        <f ca="1" t="shared" si="6"/>
        <v>0</v>
      </c>
      <c r="U32" s="16"/>
    </row>
    <row r="33" spans="1:21">
      <c r="A33" s="13"/>
      <c r="B33" s="13"/>
      <c r="C33" s="13"/>
      <c r="D33" s="13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>
        <f ca="1" t="shared" si="7"/>
        <v>-3326.17</v>
      </c>
      <c r="Q33" s="16"/>
      <c r="R33" s="16"/>
      <c r="S33" s="16"/>
      <c r="T33" s="16">
        <f ca="1" t="shared" si="6"/>
        <v>0</v>
      </c>
      <c r="U33" s="16"/>
    </row>
    <row r="34" spans="1:21">
      <c r="A34" s="13"/>
      <c r="B34" s="13"/>
      <c r="C34" s="13"/>
      <c r="D34" s="13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>
        <f ca="1" t="shared" si="7"/>
        <v>-3326.17</v>
      </c>
      <c r="Q34" s="16"/>
      <c r="R34" s="16"/>
      <c r="S34" s="16"/>
      <c r="T34" s="16">
        <f ca="1" t="shared" si="6"/>
        <v>0</v>
      </c>
      <c r="U34" s="16"/>
    </row>
    <row r="35" spans="1:21">
      <c r="A35" s="13"/>
      <c r="B35" s="13"/>
      <c r="C35" s="13"/>
      <c r="D35" s="13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>
        <f ca="1" t="shared" si="6"/>
        <v>0</v>
      </c>
      <c r="U35" s="16"/>
    </row>
    <row r="36" spans="1:21">
      <c r="A36" s="13"/>
      <c r="B36" s="13"/>
      <c r="C36" s="13"/>
      <c r="D36" s="13"/>
      <c r="E36" s="14"/>
      <c r="F36" s="14"/>
      <c r="G36" s="15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>
        <f ca="1" t="shared" si="6"/>
        <v>0</v>
      </c>
      <c r="U36" s="16"/>
    </row>
    <row r="37" spans="1:21">
      <c r="A37" s="13"/>
      <c r="B37" s="13"/>
      <c r="C37" s="13"/>
      <c r="D37" s="13"/>
      <c r="E37" s="14"/>
      <c r="F37" s="14"/>
      <c r="G37" s="15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spans="1:21">
      <c r="A38" s="13"/>
      <c r="B38" s="13"/>
      <c r="C38" s="13"/>
      <c r="D38" s="13"/>
      <c r="E38" s="14"/>
      <c r="F38" s="14"/>
      <c r="G38" s="15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spans="1:21">
      <c r="A39" s="13"/>
      <c r="B39" s="13"/>
      <c r="C39" s="13"/>
      <c r="D39" s="13"/>
      <c r="E39" s="14"/>
      <c r="F39" s="14"/>
      <c r="G39" s="15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spans="1:21">
      <c r="A40" s="13"/>
      <c r="B40" s="13"/>
      <c r="C40" s="13"/>
      <c r="D40" s="13"/>
      <c r="E40" s="14"/>
      <c r="F40" s="14"/>
      <c r="G40" s="15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spans="1:21">
      <c r="A41" s="13"/>
      <c r="B41" s="13"/>
      <c r="C41" s="13"/>
      <c r="D41" s="13"/>
      <c r="E41" s="14"/>
      <c r="F41" s="14"/>
      <c r="G41" s="15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spans="1:21">
      <c r="A42" s="13"/>
      <c r="B42" s="13"/>
      <c r="C42" s="13"/>
      <c r="D42" s="13"/>
      <c r="E42" s="14"/>
      <c r="F42" s="14"/>
      <c r="G42" s="15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spans="1:21">
      <c r="A43" s="13"/>
      <c r="B43" s="13"/>
      <c r="C43" s="13"/>
      <c r="D43" s="13"/>
      <c r="E43" s="14"/>
      <c r="F43" s="14"/>
      <c r="G43" s="15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spans="1:21">
      <c r="A44" s="13"/>
      <c r="B44" s="13"/>
      <c r="C44" s="13"/>
      <c r="D44" s="13"/>
      <c r="E44" s="14"/>
      <c r="F44" s="14"/>
      <c r="G44" s="15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 spans="1:21">
      <c r="A45" s="13"/>
      <c r="B45" s="13"/>
      <c r="C45" s="13"/>
      <c r="D45" s="13"/>
      <c r="E45" s="14"/>
      <c r="F45" s="14"/>
      <c r="G45" s="15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spans="1:21">
      <c r="A46" s="13"/>
      <c r="B46" s="13"/>
      <c r="C46" s="13"/>
      <c r="D46" s="13"/>
      <c r="E46" s="14"/>
      <c r="F46" s="14"/>
      <c r="G46" s="15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1:21">
      <c r="A47" s="13"/>
      <c r="B47" s="13"/>
      <c r="C47" s="13"/>
      <c r="D47" s="13"/>
      <c r="E47" s="14"/>
      <c r="F47" s="14"/>
      <c r="G47" s="15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spans="1:21">
      <c r="A48" s="13"/>
      <c r="B48" s="13"/>
      <c r="C48" s="13"/>
      <c r="D48" s="13"/>
      <c r="E48" s="14"/>
      <c r="F48" s="14"/>
      <c r="G48" s="15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</row>
  </sheetData>
  <autoFilter xmlns:etc="http://www.wps.cn/officeDocument/2017/etCustomData" ref="A2:V36" etc:filterBottomFollowUsedRange="0">
    <extLst/>
  </autoFilter>
  <mergeCells count="7">
    <mergeCell ref="A1:U1"/>
    <mergeCell ref="A2:A3"/>
    <mergeCell ref="B2:B3"/>
    <mergeCell ref="D2:D3"/>
    <mergeCell ref="E2:E3"/>
    <mergeCell ref="F2:F3"/>
    <mergeCell ref="G2:G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目录</vt:lpstr>
      <vt:lpstr>发票统计</vt:lpstr>
      <vt:lpstr>蒲吕片区A段</vt:lpstr>
      <vt:lpstr>淮阳站阳高线</vt:lpstr>
      <vt:lpstr>合川表计</vt:lpstr>
      <vt:lpstr>云龙社区</vt:lpstr>
      <vt:lpstr>铜城2回、玉璟尚线、铁井一回、淮拦线4</vt:lpstr>
      <vt:lpstr>合川瑞翔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春暖花开</cp:lastModifiedBy>
  <dcterms:created xsi:type="dcterms:W3CDTF">2023-05-12T11:15:00Z</dcterms:created>
  <dcterms:modified xsi:type="dcterms:W3CDTF">2026-09-24T06:20:14Z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51E8D05976A14D169B07C55578C5141C_13</vt:lpwstr>
  </property>
  <property fmtid="{D5CDD505-2E9C-101B-9397-08002B2CF9AE}" pid="4" name="CalculationRule">
    <vt:i4>0</vt:i4>
  </property>
</Properties>
</file>