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目录" sheetId="1" state="visible" r:id="rId3"/>
    <sheet name="发票统计" sheetId="2" state="visible" r:id="rId4"/>
    <sheet name="项目汇总" sheetId="3" state="visible" r:id="rId5"/>
    <sheet name="蒲吕片区A段" sheetId="4" state="visible" r:id="rId6"/>
    <sheet name="淮阳站阳高线" sheetId="5" state="visible" r:id="rId7"/>
    <sheet name="合川表计" sheetId="6" state="visible" r:id="rId8"/>
    <sheet name="云龙社区" sheetId="7" state="visible" r:id="rId9"/>
    <sheet name="铜城2回、玉璟尚线、铁井一回、淮拦线4" sheetId="8" state="visible" r:id="rId10"/>
    <sheet name="合川瑞翔" sheetId="9" state="visible" r:id="rId11"/>
    <sheet name="使用说明" sheetId="10" state="visible" r:id="rId12"/>
  </sheets>
  <definedNames>
    <definedName function="false" hidden="true" localSheetId="6" name="_xlnm._FilterDatabase" vbProcedure="false">云龙社区!$A$2:$V$36</definedName>
    <definedName function="false" hidden="true" localSheetId="1" name="_xlnm._FilterDatabase" vbProcedure="false">发票统计!$A$2:$U$98</definedName>
    <definedName function="false" hidden="true" localSheetId="8" name="_xlnm._FilterDatabase" vbProcedure="false">合川瑞翔!$A$2:$V$36</definedName>
    <definedName function="false" hidden="true" localSheetId="5" name="_xlnm._FilterDatabase" vbProcedure="false">合川表计!$A$2:$U$48</definedName>
    <definedName function="false" hidden="true" localSheetId="4" name="_xlnm._FilterDatabase" vbProcedure="false">淮阳站阳高线!$A$2:$V$36</definedName>
    <definedName function="false" hidden="true" localSheetId="3" name="_xlnm._FilterDatabase" vbProcedure="false">蒲吕片区A段!$A$2:$V$36</definedName>
    <definedName function="false" hidden="true" localSheetId="7" name="_xlnm._FilterDatabase" vbProcedure="false">'铜城2回、玉璟尚线、铁井一回、淮拦线4'!$A$2:$U$83</definedName>
  </definedNames>
  <calcPr iterateCount="1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<sst xmlns="http://schemas.openxmlformats.org/spreadsheetml/2006/main" count="500" uniqueCount="189">
  <si>
    <t xml:space="preserve">项目目录 </t>
  </si>
  <si>
    <t xml:space="preserve">序号</t>
  </si>
  <si>
    <t xml:space="preserve">项目名称</t>
  </si>
  <si>
    <t xml:space="preserve">项目简称</t>
  </si>
  <si>
    <t xml:space="preserve">备注</t>
  </si>
  <si>
    <r>
      <rPr>
        <sz val="11"/>
        <color theme="1"/>
        <rFont val="WenQuanYi Zen Hei"/>
        <family val="2"/>
      </rPr>
      <t xml:space="preserve">汇总序号</t>
    </r>
    <r>
      <rPr>
        <sz val="11"/>
        <color theme="1"/>
        <rFont val="微软雅黑"/>
        <family val="0"/>
        <charset val="134"/>
      </rPr>
      <t xml:space="preserve">(</t>
    </r>
    <r>
      <rPr>
        <sz val="11"/>
        <color theme="1"/>
        <rFont val="WenQuanYi Zen Hei"/>
        <family val="2"/>
      </rPr>
      <t xml:space="preserve">辅助</t>
    </r>
    <r>
      <rPr>
        <sz val="11"/>
        <color theme="1"/>
        <rFont val="微软雅黑"/>
        <family val="0"/>
        <charset val="134"/>
      </rPr>
      <t xml:space="preserve">)</t>
    </r>
  </si>
  <si>
    <r>
      <rPr>
        <sz val="11"/>
        <color theme="1"/>
        <rFont val="WenQuanYi Zen Hei"/>
        <family val="2"/>
      </rPr>
      <t xml:space="preserve">重庆铜梁</t>
    </r>
    <r>
      <rPr>
        <sz val="11"/>
        <color theme="1"/>
        <rFont val="微软雅黑"/>
        <family val="0"/>
        <charset val="134"/>
      </rPr>
      <t xml:space="preserve">110kV</t>
    </r>
    <r>
      <rPr>
        <sz val="11"/>
        <color theme="1"/>
        <rFont val="WenQuanYi Zen Hei"/>
        <family val="2"/>
      </rPr>
      <t xml:space="preserve">淮阳站阳高线</t>
    </r>
    <r>
      <rPr>
        <sz val="11"/>
        <color theme="1"/>
        <rFont val="微软雅黑"/>
        <family val="0"/>
        <charset val="134"/>
      </rPr>
      <t xml:space="preserve">10kV</t>
    </r>
    <r>
      <rPr>
        <sz val="11"/>
        <color theme="1"/>
        <rFont val="WenQuanYi Zen Hei"/>
        <family val="2"/>
      </rPr>
      <t xml:space="preserve">配套送出工程（安装）</t>
    </r>
  </si>
  <si>
    <t xml:space="preserve">淮阳站阳高线</t>
  </si>
  <si>
    <r>
      <rPr>
        <sz val="11"/>
        <color theme="1"/>
        <rFont val="WenQuanYi Zen Hei"/>
        <family val="2"/>
      </rPr>
      <t xml:space="preserve">重庆市合川区云门街道云龙社区居民委员会</t>
    </r>
    <r>
      <rPr>
        <sz val="11"/>
        <color theme="1"/>
        <rFont val="微软雅黑"/>
        <family val="0"/>
        <charset val="134"/>
      </rPr>
      <t xml:space="preserve">(</t>
    </r>
    <r>
      <rPr>
        <sz val="11"/>
        <color theme="1"/>
        <rFont val="WenQuanYi Zen Hei"/>
        <family val="2"/>
      </rPr>
      <t xml:space="preserve">铁工厂还房建设项目</t>
    </r>
    <r>
      <rPr>
        <sz val="11"/>
        <color theme="1"/>
        <rFont val="微软雅黑"/>
        <family val="0"/>
        <charset val="134"/>
      </rPr>
      <t xml:space="preserve">)</t>
    </r>
    <r>
      <rPr>
        <sz val="11"/>
        <color theme="1"/>
        <rFont val="WenQuanYi Zen Hei"/>
        <family val="2"/>
      </rPr>
      <t xml:space="preserve">高压新装用电工程</t>
    </r>
  </si>
  <si>
    <t xml:space="preserve">云龙社区</t>
  </si>
  <si>
    <r>
      <rPr>
        <sz val="11"/>
        <color theme="1"/>
        <rFont val="WenQuanYi Zen Hei"/>
        <family val="2"/>
      </rPr>
      <t xml:space="preserve">高新区厂房及配套设施提质改造项目开票到瑞翔厂区电力土建</t>
    </r>
    <r>
      <rPr>
        <sz val="11"/>
        <color theme="1"/>
        <rFont val="微软雅黑"/>
        <family val="0"/>
        <charset val="134"/>
      </rPr>
      <t xml:space="preserve">(</t>
    </r>
    <r>
      <rPr>
        <sz val="11"/>
        <color theme="1"/>
        <rFont val="WenQuanYi Zen Hei"/>
        <family val="2"/>
      </rPr>
      <t xml:space="preserve">管廊</t>
    </r>
    <r>
      <rPr>
        <sz val="11"/>
        <color theme="1"/>
        <rFont val="微软雅黑"/>
        <family val="0"/>
        <charset val="134"/>
      </rPr>
      <t xml:space="preserve">)</t>
    </r>
    <r>
      <rPr>
        <sz val="11"/>
        <color theme="1"/>
        <rFont val="WenQuanYi Zen Hei"/>
        <family val="2"/>
      </rPr>
      <t xml:space="preserve">建设工程</t>
    </r>
  </si>
  <si>
    <t xml:space="preserve">合川瑞翔</t>
  </si>
  <si>
    <r>
      <rPr>
        <sz val="11"/>
        <color theme="1"/>
        <rFont val="WenQuanYi Zen Hei"/>
        <family val="2"/>
      </rPr>
      <t xml:space="preserve">重庆铜梁铜城</t>
    </r>
    <r>
      <rPr>
        <sz val="11"/>
        <color theme="1"/>
        <rFont val="微软雅黑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回金龙物业管理有限公司</t>
    </r>
    <r>
      <rPr>
        <sz val="11"/>
        <color theme="1"/>
        <rFont val="微软雅黑"/>
        <family val="0"/>
        <charset val="134"/>
      </rPr>
      <t xml:space="preserve">10kV</t>
    </r>
    <r>
      <rPr>
        <sz val="11"/>
        <color theme="1"/>
        <rFont val="WenQuanYi Zen Hei"/>
        <family val="2"/>
      </rPr>
      <t xml:space="preserve">业扩配套工程</t>
    </r>
  </si>
  <si>
    <t xml:space="preserve">铜城2回、玉璟尚线、铁井一回、淮拦线4</t>
  </si>
  <si>
    <r>
      <rPr>
        <sz val="11"/>
        <color theme="1"/>
        <rFont val="WenQuanYi Zen Hei"/>
        <family val="2"/>
      </rPr>
      <t xml:space="preserve">重庆铜梁玉璟尚线金龙物业管理有限公司</t>
    </r>
    <r>
      <rPr>
        <sz val="11"/>
        <color theme="1"/>
        <rFont val="微软雅黑"/>
        <family val="0"/>
        <charset val="134"/>
      </rPr>
      <t xml:space="preserve">10kV</t>
    </r>
    <r>
      <rPr>
        <sz val="11"/>
        <color theme="1"/>
        <rFont val="WenQuanYi Zen Hei"/>
        <family val="2"/>
      </rPr>
      <t xml:space="preserve">业扩配套工程</t>
    </r>
  </si>
  <si>
    <r>
      <rPr>
        <u val="single"/>
        <sz val="11"/>
        <color rgb="FF0000FF"/>
        <rFont val="WenQuanYi Zen Hei"/>
        <family val="2"/>
      </rPr>
      <t xml:space="preserve">铜城</t>
    </r>
    <r>
      <rPr>
        <u val="single"/>
        <sz val="11"/>
        <color rgb="FF0000FF"/>
        <rFont val="宋体"/>
        <family val="0"/>
      </rPr>
      <t xml:space="preserve">2</t>
    </r>
    <r>
      <rPr>
        <u val="single"/>
        <sz val="11"/>
        <color rgb="FF0000FF"/>
        <rFont val="WenQuanYi Zen Hei"/>
        <family val="2"/>
      </rPr>
      <t xml:space="preserve">回、玉璟尚线、铁井一回、淮拦线</t>
    </r>
    <r>
      <rPr>
        <u val="single"/>
        <sz val="11"/>
        <color rgb="FF0000FF"/>
        <rFont val="宋体"/>
        <family val="0"/>
      </rPr>
      <t xml:space="preserve">4</t>
    </r>
  </si>
  <si>
    <r>
      <rPr>
        <sz val="11"/>
        <color theme="1"/>
        <rFont val="WenQuanYi Zen Hei"/>
        <family val="2"/>
      </rPr>
      <t xml:space="preserve">重庆铜梁铁井一回</t>
    </r>
    <r>
      <rPr>
        <sz val="11"/>
        <color theme="1"/>
        <rFont val="微软雅黑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环网柜等</t>
    </r>
    <r>
      <rPr>
        <sz val="11"/>
        <color theme="1"/>
        <rFont val="微软雅黑"/>
        <family val="0"/>
        <charset val="134"/>
      </rPr>
      <t xml:space="preserve">6</t>
    </r>
    <r>
      <rPr>
        <sz val="11"/>
        <color theme="1"/>
        <rFont val="WenQuanYi Zen Hei"/>
        <family val="2"/>
      </rPr>
      <t xml:space="preserve">个</t>
    </r>
    <r>
      <rPr>
        <sz val="11"/>
        <color theme="1"/>
        <rFont val="微软雅黑"/>
        <family val="0"/>
        <charset val="134"/>
      </rPr>
      <t xml:space="preserve">10kV</t>
    </r>
    <r>
      <rPr>
        <sz val="11"/>
        <color theme="1"/>
        <rFont val="WenQuanYi Zen Hei"/>
        <family val="2"/>
      </rPr>
      <t xml:space="preserve">老旧环网柜改造工程</t>
    </r>
    <r>
      <rPr>
        <sz val="11"/>
        <color theme="1"/>
        <rFont val="微软雅黑"/>
        <family val="0"/>
        <charset val="134"/>
      </rPr>
      <t xml:space="preserve">(</t>
    </r>
    <r>
      <rPr>
        <sz val="11"/>
        <color theme="1"/>
        <rFont val="WenQuanYi Zen Hei"/>
        <family val="2"/>
      </rPr>
      <t xml:space="preserve">安装</t>
    </r>
    <r>
      <rPr>
        <sz val="11"/>
        <color theme="1"/>
        <rFont val="微软雅黑"/>
        <family val="0"/>
        <charset val="134"/>
      </rPr>
      <t xml:space="preserve">)</t>
    </r>
  </si>
  <si>
    <r>
      <rPr>
        <sz val="11"/>
        <color theme="1"/>
        <rFont val="WenQuanYi Zen Hei"/>
        <family val="2"/>
      </rPr>
      <t xml:space="preserve">重庆铜梁淮拦线</t>
    </r>
    <r>
      <rPr>
        <sz val="11"/>
        <color theme="1"/>
        <rFont val="微软雅黑"/>
        <family val="0"/>
        <charset val="134"/>
      </rPr>
      <t xml:space="preserve">4#</t>
    </r>
    <r>
      <rPr>
        <sz val="11"/>
        <color theme="1"/>
        <rFont val="WenQuanYi Zen Hei"/>
        <family val="2"/>
      </rPr>
      <t xml:space="preserve">环网柜等</t>
    </r>
    <r>
      <rPr>
        <sz val="11"/>
        <color theme="1"/>
        <rFont val="微软雅黑"/>
        <family val="0"/>
        <charset val="134"/>
      </rPr>
      <t xml:space="preserve">6</t>
    </r>
    <r>
      <rPr>
        <sz val="11"/>
        <color theme="1"/>
        <rFont val="WenQuanYi Zen Hei"/>
        <family val="2"/>
      </rPr>
      <t xml:space="preserve">个</t>
    </r>
    <r>
      <rPr>
        <sz val="11"/>
        <color theme="1"/>
        <rFont val="微软雅黑"/>
        <family val="0"/>
        <charset val="134"/>
      </rPr>
      <t xml:space="preserve">10kV</t>
    </r>
    <r>
      <rPr>
        <sz val="11"/>
        <color theme="1"/>
        <rFont val="WenQuanYi Zen Hei"/>
        <family val="2"/>
      </rPr>
      <t xml:space="preserve">老旧环网柜改造工程（安装）</t>
    </r>
  </si>
  <si>
    <r>
      <rPr>
        <sz val="11"/>
        <color theme="1"/>
        <rFont val="WenQuanYi Zen Hei"/>
        <family val="2"/>
      </rPr>
      <t xml:space="preserve">国网重庆合川供电公司</t>
    </r>
    <r>
      <rPr>
        <sz val="11"/>
        <color theme="1"/>
        <rFont val="微软雅黑"/>
        <family val="0"/>
        <charset val="134"/>
      </rPr>
      <t xml:space="preserve">2026</t>
    </r>
    <r>
      <rPr>
        <sz val="11"/>
        <color theme="1"/>
        <rFont val="WenQuanYi Zen Hei"/>
        <family val="2"/>
      </rPr>
      <t xml:space="preserve">年用电信息采集系统建筑相关工程施工</t>
    </r>
    <r>
      <rPr>
        <sz val="11"/>
        <color theme="1"/>
        <rFont val="微软雅黑"/>
        <family val="0"/>
        <charset val="134"/>
      </rPr>
      <t xml:space="preserve">(</t>
    </r>
    <r>
      <rPr>
        <sz val="11"/>
        <color theme="1"/>
        <rFont val="WenQuanYi Zen Hei"/>
        <family val="2"/>
      </rPr>
      <t xml:space="preserve">包</t>
    </r>
    <r>
      <rPr>
        <sz val="11"/>
        <color theme="1"/>
        <rFont val="微软雅黑"/>
        <family val="0"/>
        <charset val="134"/>
      </rPr>
      <t xml:space="preserve">4)</t>
    </r>
  </si>
  <si>
    <t xml:space="preserve">合川表计</t>
  </si>
  <si>
    <r>
      <rPr>
        <sz val="11"/>
        <color theme="1"/>
        <rFont val="WenQuanYi Zen Hei"/>
        <family val="2"/>
      </rPr>
      <t xml:space="preserve">铜梁区园区屋顶分布式光伏发电建设项目</t>
    </r>
    <r>
      <rPr>
        <sz val="11"/>
        <color theme="1"/>
        <rFont val="微软雅黑"/>
        <family val="0"/>
        <charset val="134"/>
      </rPr>
      <t xml:space="preserve">-</t>
    </r>
    <r>
      <rPr>
        <sz val="11"/>
        <color theme="1"/>
        <rFont val="WenQuanYi Zen Hei"/>
        <family val="2"/>
      </rPr>
      <t xml:space="preserve">蒲吕片区</t>
    </r>
    <r>
      <rPr>
        <sz val="11"/>
        <color theme="1"/>
        <rFont val="微软雅黑"/>
        <family val="0"/>
        <charset val="134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微软雅黑"/>
        <family val="0"/>
        <charset val="134"/>
      </rPr>
      <t xml:space="preserve">10</t>
    </r>
    <r>
      <rPr>
        <sz val="11"/>
        <color theme="1"/>
        <rFont val="WenQuanYi Zen Hei"/>
        <family val="2"/>
      </rPr>
      <t xml:space="preserve">千伏电力新建工程</t>
    </r>
  </si>
  <si>
    <t xml:space="preserve">蒲吕片区A段</t>
  </si>
  <si>
    <t xml:space="preserve">项目总台账</t>
  </si>
  <si>
    <t xml:space="preserve">项目
简称</t>
  </si>
  <si>
    <t xml:space="preserve">月份</t>
  </si>
  <si>
    <t xml:space="preserve">项目
名称</t>
  </si>
  <si>
    <t xml:space="preserve">摘要</t>
  </si>
  <si>
    <t xml:space="preserve">收票
单位</t>
  </si>
  <si>
    <t xml:space="preserve">发票
性质</t>
  </si>
  <si>
    <t xml:space="preserve">管理
费点</t>
  </si>
  <si>
    <t xml:space="preserve">销售金额</t>
  </si>
  <si>
    <t xml:space="preserve">管理费</t>
  </si>
  <si>
    <t xml:space="preserve">应开
成本票</t>
  </si>
  <si>
    <t xml:space="preserve">已开
成本票</t>
  </si>
  <si>
    <t xml:space="preserve">未开
成本票</t>
  </si>
  <si>
    <t xml:space="preserve">应收款</t>
  </si>
  <si>
    <t xml:space="preserve">质保金</t>
  </si>
  <si>
    <t xml:space="preserve">已收款</t>
  </si>
  <si>
    <t xml:space="preserve">未收款</t>
  </si>
  <si>
    <t xml:space="preserve">应付
工程款</t>
  </si>
  <si>
    <t xml:space="preserve">扣除
管理费</t>
  </si>
  <si>
    <t xml:space="preserve">已付
工程款</t>
  </si>
  <si>
    <t xml:space="preserve">未付
工程款</t>
  </si>
  <si>
    <t xml:space="preserve">校验</t>
  </si>
  <si>
    <r>
      <rPr>
        <sz val="11"/>
        <color theme="1"/>
        <rFont val="WenQuanYi Zen Hei"/>
        <family val="2"/>
      </rPr>
      <t xml:space="preserve">取数键</t>
    </r>
    <r>
      <rPr>
        <sz val="11"/>
        <color theme="1"/>
        <rFont val="微软雅黑"/>
        <family val="0"/>
        <charset val="134"/>
      </rPr>
      <t xml:space="preserve">(</t>
    </r>
    <r>
      <rPr>
        <sz val="11"/>
        <color theme="1"/>
        <rFont val="WenQuanYi Zen Hei"/>
        <family val="2"/>
      </rPr>
      <t xml:space="preserve">辅助</t>
    </r>
    <r>
      <rPr>
        <sz val="11"/>
        <color theme="1"/>
        <rFont val="微软雅黑"/>
        <family val="0"/>
        <charset val="134"/>
      </rPr>
      <t xml:space="preserve">)</t>
    </r>
  </si>
  <si>
    <r>
      <rPr>
        <sz val="11"/>
        <color theme="1"/>
        <rFont val="微软雅黑"/>
        <family val="0"/>
        <charset val="134"/>
      </rPr>
      <t xml:space="preserve">2026.3.25</t>
    </r>
    <r>
      <rPr>
        <sz val="11"/>
        <color theme="1"/>
        <rFont val="WenQuanYi Zen Hei"/>
        <family val="2"/>
      </rPr>
      <t xml:space="preserve">新德润开票到民能：淮阳站阳高线</t>
    </r>
  </si>
  <si>
    <t xml:space="preserve">民能</t>
  </si>
  <si>
    <r>
      <rPr>
        <sz val="11"/>
        <color theme="1"/>
        <rFont val="微软雅黑"/>
        <family val="0"/>
        <charset val="134"/>
      </rPr>
      <t xml:space="preserve">3%</t>
    </r>
    <r>
      <rPr>
        <sz val="11"/>
        <color theme="1"/>
        <rFont val="WenQuanYi Zen Hei"/>
        <family val="2"/>
      </rPr>
      <t xml:space="preserve">专票</t>
    </r>
  </si>
  <si>
    <r>
      <rPr>
        <sz val="11"/>
        <color theme="1"/>
        <rFont val="微软雅黑"/>
        <family val="0"/>
        <charset val="134"/>
      </rPr>
      <t xml:space="preserve">2026.3.25</t>
    </r>
    <r>
      <rPr>
        <sz val="11"/>
        <color theme="1"/>
        <rFont val="WenQuanYi Zen Hei"/>
        <family val="2"/>
      </rPr>
      <t xml:space="preserve">张氏机电</t>
    </r>
    <r>
      <rPr>
        <sz val="11"/>
        <color theme="1"/>
        <rFont val="微软雅黑"/>
        <family val="0"/>
        <charset val="134"/>
      </rPr>
      <t xml:space="preserve">-</t>
    </r>
    <r>
      <rPr>
        <sz val="11"/>
        <color theme="1"/>
        <rFont val="WenQuanYi Zen Hei"/>
        <family val="2"/>
      </rPr>
      <t xml:space="preserve">新德润：淮阳站阳高线</t>
    </r>
  </si>
  <si>
    <t xml:space="preserve">新德润</t>
  </si>
  <si>
    <r>
      <rPr>
        <sz val="11"/>
        <color theme="1"/>
        <rFont val="微软雅黑"/>
        <family val="0"/>
        <charset val="134"/>
      </rPr>
      <t xml:space="preserve">2026.4.28</t>
    </r>
    <r>
      <rPr>
        <sz val="11"/>
        <color theme="1"/>
        <rFont val="WenQuanYi Zen Hei"/>
        <family val="2"/>
      </rPr>
      <t xml:space="preserve">庆文开票给新德润：云龙社区居民委员会</t>
    </r>
  </si>
  <si>
    <r>
      <rPr>
        <sz val="11"/>
        <color theme="1"/>
        <rFont val="微软雅黑"/>
        <family val="0"/>
        <charset val="134"/>
      </rPr>
      <t xml:space="preserve">2026.4.30</t>
    </r>
    <r>
      <rPr>
        <sz val="11"/>
        <color theme="1"/>
        <rFont val="WenQuanYi Zen Hei"/>
        <family val="2"/>
      </rPr>
      <t xml:space="preserve">莨富收到新德润款项：云龙社区居民委员会</t>
    </r>
  </si>
  <si>
    <r>
      <rPr>
        <sz val="11"/>
        <color theme="1"/>
        <rFont val="微软雅黑"/>
        <family val="0"/>
        <charset val="134"/>
      </rPr>
      <t xml:space="preserve">2026.5.7</t>
    </r>
    <r>
      <rPr>
        <sz val="11"/>
        <color theme="1"/>
        <rFont val="WenQuanYi Zen Hei"/>
        <family val="2"/>
      </rPr>
      <t xml:space="preserve">庆文开票给新德润：云龙社区居民委员会</t>
    </r>
  </si>
  <si>
    <r>
      <rPr>
        <sz val="11"/>
        <color theme="1"/>
        <rFont val="微软雅黑"/>
        <family val="0"/>
        <charset val="134"/>
      </rPr>
      <t xml:space="preserve">2026.5.13</t>
    </r>
    <r>
      <rPr>
        <sz val="11"/>
        <color theme="1"/>
        <rFont val="WenQuanYi Zen Hei"/>
        <family val="2"/>
      </rPr>
      <t xml:space="preserve">庆文公账收到新德润款项：云龙社区居民委员会</t>
    </r>
  </si>
  <si>
    <r>
      <rPr>
        <sz val="11"/>
        <color theme="1"/>
        <rFont val="微软雅黑"/>
        <family val="0"/>
        <charset val="134"/>
      </rPr>
      <t xml:space="preserve">2026.6.17</t>
    </r>
    <r>
      <rPr>
        <sz val="11"/>
        <color theme="1"/>
        <rFont val="WenQuanYi Zen Hei"/>
        <family val="2"/>
      </rPr>
      <t xml:space="preserve">庆文开票给新德润：瑞翔厂区电力土建</t>
    </r>
  </si>
  <si>
    <r>
      <rPr>
        <sz val="11"/>
        <color theme="1"/>
        <rFont val="微软雅黑"/>
        <family val="0"/>
        <charset val="134"/>
      </rPr>
      <t xml:space="preserve">1%</t>
    </r>
    <r>
      <rPr>
        <sz val="11"/>
        <color theme="1"/>
        <rFont val="WenQuanYi Zen Hei"/>
        <family val="2"/>
      </rPr>
      <t xml:space="preserve">专票</t>
    </r>
  </si>
  <si>
    <r>
      <rPr>
        <sz val="11"/>
        <color theme="1"/>
        <rFont val="微软雅黑"/>
        <family val="0"/>
        <charset val="134"/>
      </rPr>
      <t xml:space="preserve">2026.6.18</t>
    </r>
    <r>
      <rPr>
        <sz val="11"/>
        <color theme="1"/>
        <rFont val="WenQuanYi Zen Hei"/>
        <family val="2"/>
      </rPr>
      <t xml:space="preserve">庆文收到新德润打款：瑞翔厂区电力</t>
    </r>
  </si>
  <si>
    <r>
      <rPr>
        <sz val="11"/>
        <color theme="1"/>
        <rFont val="微软雅黑"/>
        <family val="0"/>
        <charset val="134"/>
      </rPr>
      <t xml:space="preserve">2026.7.2</t>
    </r>
    <r>
      <rPr>
        <sz val="11"/>
        <color theme="1"/>
        <rFont val="WenQuanYi Zen Hei"/>
        <family val="2"/>
      </rPr>
      <t xml:space="preserve">朱氏水泥管件开票到新德润：瑞翔厂区电力土建</t>
    </r>
  </si>
  <si>
    <r>
      <rPr>
        <sz val="11"/>
        <color theme="1"/>
        <rFont val="微软雅黑"/>
        <family val="0"/>
        <charset val="134"/>
      </rPr>
      <t xml:space="preserve">1%</t>
    </r>
    <r>
      <rPr>
        <sz val="11"/>
        <color theme="1"/>
        <rFont val="WenQuanYi Zen Hei"/>
        <family val="2"/>
      </rPr>
      <t xml:space="preserve">普票</t>
    </r>
  </si>
  <si>
    <r>
      <rPr>
        <sz val="11"/>
        <color theme="1"/>
        <rFont val="微软雅黑"/>
        <family val="0"/>
        <charset val="134"/>
      </rPr>
      <t xml:space="preserve">2026.7.6</t>
    </r>
    <r>
      <rPr>
        <sz val="11"/>
        <color theme="1"/>
        <rFont val="WenQuanYi Zen Hei"/>
        <family val="2"/>
      </rPr>
      <t xml:space="preserve">朱氏水泥管收到新德润：瑞翔厂区电力</t>
    </r>
  </si>
  <si>
    <r>
      <rPr>
        <sz val="11"/>
        <color theme="1"/>
        <rFont val="微软雅黑"/>
        <family val="0"/>
        <charset val="134"/>
      </rPr>
      <t xml:space="preserve">2026.7.8</t>
    </r>
    <r>
      <rPr>
        <sz val="11"/>
        <color theme="1"/>
        <rFont val="WenQuanYi Zen Hei"/>
        <family val="2"/>
      </rPr>
      <t xml:space="preserve">庆文开票给新德润：瑞翔厂区电力土建</t>
    </r>
  </si>
  <si>
    <r>
      <rPr>
        <sz val="11"/>
        <color theme="1"/>
        <rFont val="微软雅黑"/>
        <family val="0"/>
        <charset val="134"/>
      </rPr>
      <t xml:space="preserve">2026.7.9</t>
    </r>
    <r>
      <rPr>
        <sz val="11"/>
        <color theme="1"/>
        <rFont val="WenQuanYi Zen Hei"/>
        <family val="2"/>
      </rPr>
      <t xml:space="preserve">庆文收到新德润打款：瑞翔厂区电力</t>
    </r>
  </si>
  <si>
    <r>
      <rPr>
        <sz val="11"/>
        <color theme="1"/>
        <rFont val="微软雅黑"/>
        <family val="0"/>
        <charset val="134"/>
      </rPr>
      <t xml:space="preserve">2026.7.8</t>
    </r>
    <r>
      <rPr>
        <sz val="11"/>
        <color theme="1"/>
        <rFont val="WenQuanYi Zen Hei"/>
        <family val="2"/>
      </rPr>
      <t xml:space="preserve">铜桐桐建材开票到新德润：瑞翔厂区电力土建</t>
    </r>
  </si>
  <si>
    <r>
      <rPr>
        <sz val="11"/>
        <color theme="1"/>
        <rFont val="微软雅黑"/>
        <family val="0"/>
        <charset val="134"/>
      </rPr>
      <t xml:space="preserve">2026.7.7</t>
    </r>
    <r>
      <rPr>
        <sz val="11"/>
        <color theme="1"/>
        <rFont val="WenQuanYi Zen Hei"/>
        <family val="2"/>
      </rPr>
      <t xml:space="preserve">号收到新德润打款给胡崇文：瑞翔厂区电力</t>
    </r>
  </si>
  <si>
    <r>
      <rPr>
        <sz val="11"/>
        <color theme="1"/>
        <rFont val="微软雅黑"/>
        <family val="0"/>
        <charset val="134"/>
      </rPr>
      <t xml:space="preserve">2026.7.13</t>
    </r>
    <r>
      <rPr>
        <sz val="11"/>
        <color theme="1"/>
        <rFont val="WenQuanYi Zen Hei"/>
        <family val="2"/>
      </rPr>
      <t xml:space="preserve">小溪建材开票到新德润：瑞翔厂区电力土建</t>
    </r>
  </si>
  <si>
    <r>
      <rPr>
        <sz val="11"/>
        <color theme="1"/>
        <rFont val="微软雅黑"/>
        <family val="0"/>
        <charset val="134"/>
      </rPr>
      <t xml:space="preserve">13%</t>
    </r>
    <r>
      <rPr>
        <sz val="11"/>
        <color theme="1"/>
        <rFont val="WenQuanYi Zen Hei"/>
        <family val="2"/>
      </rPr>
      <t xml:space="preserve">专票</t>
    </r>
  </si>
  <si>
    <r>
      <rPr>
        <sz val="11"/>
        <color theme="1"/>
        <rFont val="微软雅黑"/>
        <family val="0"/>
        <charset val="134"/>
      </rPr>
      <t xml:space="preserve">2026.7.15</t>
    </r>
    <r>
      <rPr>
        <sz val="11"/>
        <color theme="1"/>
        <rFont val="WenQuanYi Zen Hei"/>
        <family val="2"/>
      </rPr>
      <t xml:space="preserve">小溪建材收到新德润打款：瑞翔厂区电力</t>
    </r>
  </si>
  <si>
    <r>
      <rPr>
        <sz val="11"/>
        <color theme="1"/>
        <rFont val="微软雅黑"/>
        <family val="0"/>
        <charset val="134"/>
      </rPr>
      <t xml:space="preserve">2026.7.13</t>
    </r>
    <r>
      <rPr>
        <sz val="11"/>
        <color theme="1"/>
        <rFont val="WenQuanYi Zen Hei"/>
        <family val="2"/>
      </rPr>
      <t xml:space="preserve">旭承机械开票到新德润：瑞翔厂区电力土建</t>
    </r>
  </si>
  <si>
    <r>
      <rPr>
        <sz val="11"/>
        <color theme="1"/>
        <rFont val="微软雅黑"/>
        <family val="0"/>
        <charset val="134"/>
      </rPr>
      <t xml:space="preserve">2026.7.15</t>
    </r>
    <r>
      <rPr>
        <sz val="11"/>
        <color theme="1"/>
        <rFont val="WenQuanYi Zen Hei"/>
        <family val="2"/>
      </rPr>
      <t xml:space="preserve">旭承机械收到新德润打款：瑞翔厂区电力土建</t>
    </r>
  </si>
  <si>
    <r>
      <rPr>
        <sz val="11"/>
        <color theme="1"/>
        <rFont val="微软雅黑"/>
        <family val="0"/>
        <charset val="134"/>
      </rPr>
      <t xml:space="preserve">2026.7.14</t>
    </r>
    <r>
      <rPr>
        <sz val="11"/>
        <color theme="1"/>
        <rFont val="WenQuanYi Zen Hei"/>
        <family val="2"/>
      </rPr>
      <t xml:space="preserve">凯樽物资开票到新德润：瑞翔厂区电力土建</t>
    </r>
  </si>
  <si>
    <r>
      <rPr>
        <sz val="11"/>
        <color theme="1"/>
        <rFont val="微软雅黑"/>
        <family val="0"/>
        <charset val="134"/>
      </rPr>
      <t xml:space="preserve">2026.7.15</t>
    </r>
    <r>
      <rPr>
        <sz val="11"/>
        <color theme="1"/>
        <rFont val="WenQuanYi Zen Hei"/>
        <family val="2"/>
      </rPr>
      <t xml:space="preserve">凯樽物资收到新德润打款：瑞翔厂区电力土建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</si>
  <si>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新德润代胡崇文支付宜宾翠屏货款：</t>
    </r>
    <r>
      <rPr>
        <sz val="11"/>
        <color theme="1"/>
        <rFont val="微软雅黑"/>
        <family val="0"/>
        <charset val="134"/>
      </rPr>
      <t xml:space="preserve">42800-39473.83=3326.17</t>
    </r>
  </si>
  <si>
    <r>
      <rPr>
        <sz val="11"/>
        <color theme="1"/>
        <rFont val="微软雅黑"/>
        <family val="0"/>
        <charset val="134"/>
      </rPr>
      <t xml:space="preserve">2026.6.24</t>
    </r>
    <r>
      <rPr>
        <sz val="11"/>
        <color theme="1"/>
        <rFont val="WenQuanYi Zen Hei"/>
        <family val="2"/>
      </rPr>
      <t xml:space="preserve">新德润开票民能：铜城</t>
    </r>
    <r>
      <rPr>
        <sz val="11"/>
        <color theme="1"/>
        <rFont val="微软雅黑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回，</t>
    </r>
    <r>
      <rPr>
        <sz val="11"/>
        <color theme="1"/>
        <rFont val="微软雅黑"/>
        <family val="0"/>
        <charset val="134"/>
      </rPr>
      <t xml:space="preserve">10%</t>
    </r>
    <r>
      <rPr>
        <sz val="11"/>
        <color theme="1"/>
        <rFont val="WenQuanYi Zen Hei"/>
        <family val="2"/>
      </rPr>
      <t xml:space="preserve">管理费</t>
    </r>
  </si>
  <si>
    <r>
      <rPr>
        <sz val="11"/>
        <color theme="1"/>
        <rFont val="微软雅黑"/>
        <family val="0"/>
        <charset val="134"/>
      </rPr>
      <t xml:space="preserve">2026.6.24</t>
    </r>
    <r>
      <rPr>
        <sz val="11"/>
        <color theme="1"/>
        <rFont val="WenQuanYi Zen Hei"/>
        <family val="2"/>
      </rPr>
      <t xml:space="preserve">新德润开票民能：玉璟尚线，</t>
    </r>
    <r>
      <rPr>
        <sz val="11"/>
        <color theme="1"/>
        <rFont val="微软雅黑"/>
        <family val="0"/>
        <charset val="134"/>
      </rPr>
      <t xml:space="preserve">10%</t>
    </r>
    <r>
      <rPr>
        <sz val="11"/>
        <color theme="1"/>
        <rFont val="WenQuanYi Zen Hei"/>
        <family val="2"/>
      </rPr>
      <t xml:space="preserve">管理费</t>
    </r>
  </si>
  <si>
    <r>
      <rPr>
        <sz val="11"/>
        <color theme="1"/>
        <rFont val="微软雅黑"/>
        <family val="0"/>
        <charset val="134"/>
      </rPr>
      <t xml:space="preserve">2026.6.24</t>
    </r>
    <r>
      <rPr>
        <sz val="11"/>
        <color theme="1"/>
        <rFont val="WenQuanYi Zen Hei"/>
        <family val="2"/>
      </rPr>
      <t xml:space="preserve">新德润开票民能：铁井一回</t>
    </r>
    <r>
      <rPr>
        <sz val="11"/>
        <color theme="1"/>
        <rFont val="微软雅黑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环网柜，</t>
    </r>
    <r>
      <rPr>
        <sz val="11"/>
        <color theme="1"/>
        <rFont val="微软雅黑"/>
        <family val="0"/>
        <charset val="134"/>
      </rPr>
      <t xml:space="preserve">10%</t>
    </r>
    <r>
      <rPr>
        <sz val="11"/>
        <color theme="1"/>
        <rFont val="WenQuanYi Zen Hei"/>
        <family val="2"/>
      </rPr>
      <t xml:space="preserve">管理费</t>
    </r>
  </si>
  <si>
    <r>
      <rPr>
        <sz val="11"/>
        <color theme="1"/>
        <rFont val="微软雅黑"/>
        <family val="0"/>
        <charset val="134"/>
      </rPr>
      <t xml:space="preserve">2026.6.24</t>
    </r>
    <r>
      <rPr>
        <sz val="11"/>
        <color theme="1"/>
        <rFont val="WenQuanYi Zen Hei"/>
        <family val="2"/>
      </rPr>
      <t xml:space="preserve">新德润开票民能：淮拦线</t>
    </r>
    <r>
      <rPr>
        <sz val="11"/>
        <color theme="1"/>
        <rFont val="微软雅黑"/>
        <family val="0"/>
        <charset val="134"/>
      </rPr>
      <t xml:space="preserve">4#</t>
    </r>
    <r>
      <rPr>
        <sz val="11"/>
        <color theme="1"/>
        <rFont val="WenQuanYi Zen Hei"/>
        <family val="2"/>
      </rPr>
      <t xml:space="preserve">环网柜，</t>
    </r>
    <r>
      <rPr>
        <sz val="11"/>
        <color theme="1"/>
        <rFont val="微软雅黑"/>
        <family val="0"/>
        <charset val="134"/>
      </rPr>
      <t xml:space="preserve">10%</t>
    </r>
    <r>
      <rPr>
        <sz val="11"/>
        <color theme="1"/>
        <rFont val="WenQuanYi Zen Hei"/>
        <family val="2"/>
      </rPr>
      <t xml:space="preserve">管理费</t>
    </r>
  </si>
  <si>
    <r>
      <rPr>
        <sz val="11"/>
        <color theme="1"/>
        <rFont val="微软雅黑"/>
        <family val="0"/>
        <charset val="134"/>
      </rPr>
      <t xml:space="preserve">2026.6.23</t>
    </r>
    <r>
      <rPr>
        <sz val="11"/>
        <color theme="1"/>
        <rFont val="WenQuanYi Zen Hei"/>
        <family val="2"/>
      </rPr>
      <t xml:space="preserve">桐桐建材开票到新德润：淮拦、铁井、玉璟、铜城</t>
    </r>
    <r>
      <rPr>
        <sz val="11"/>
        <color theme="1"/>
        <rFont val="微软雅黑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回</t>
    </r>
  </si>
  <si>
    <r>
      <rPr>
        <sz val="11"/>
        <color theme="1"/>
        <rFont val="微软雅黑"/>
        <family val="0"/>
        <charset val="134"/>
      </rPr>
      <t xml:space="preserve">2026.6.24</t>
    </r>
    <r>
      <rPr>
        <sz val="11"/>
        <color theme="1"/>
        <rFont val="WenQuanYi Zen Hei"/>
        <family val="2"/>
      </rPr>
      <t xml:space="preserve">宜宾翠屏开票到新德润淮：淮拦、铁井、玉璟、铜城</t>
    </r>
    <r>
      <rPr>
        <sz val="11"/>
        <color theme="1"/>
        <rFont val="微软雅黑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回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</si>
  <si>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</t>
    </r>
    <r>
      <rPr>
        <sz val="11"/>
        <color theme="1"/>
        <rFont val="微软雅黑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月民能农民工工资个税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</si>
  <si>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</t>
    </r>
    <r>
      <rPr>
        <sz val="11"/>
        <color theme="1"/>
        <rFont val="微软雅黑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月民能农民工工资：铁井一回</t>
    </r>
    <r>
      <rPr>
        <sz val="11"/>
        <color theme="1"/>
        <rFont val="微软雅黑"/>
        <family val="0"/>
        <charset val="134"/>
      </rPr>
      <t xml:space="preserve">1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</si>
  <si>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</t>
    </r>
    <r>
      <rPr>
        <sz val="11"/>
        <color theme="1"/>
        <rFont val="微软雅黑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月民能农民工工资：淮拦线</t>
    </r>
    <r>
      <rPr>
        <sz val="11"/>
        <color theme="1"/>
        <rFont val="微软雅黑"/>
        <family val="0"/>
        <charset val="134"/>
      </rPr>
      <t xml:space="preserve">4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</si>
  <si>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</t>
    </r>
    <r>
      <rPr>
        <sz val="11"/>
        <color theme="1"/>
        <rFont val="微软雅黑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月民能农民工工资：铜城</t>
    </r>
    <r>
      <rPr>
        <sz val="11"/>
        <color theme="1"/>
        <rFont val="微软雅黑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回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</si>
  <si>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</t>
    </r>
    <r>
      <rPr>
        <sz val="11"/>
        <color theme="1"/>
        <rFont val="微软雅黑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月民能农民工工资：玉璟尚线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</si>
  <si>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新德润扣工资残保金</t>
    </r>
    <r>
      <rPr>
        <sz val="11"/>
        <color theme="1"/>
        <rFont val="微软雅黑"/>
        <family val="0"/>
        <charset val="134"/>
      </rPr>
      <t xml:space="preserve">1.5%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</si>
  <si>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新德润扣增值税</t>
    </r>
    <r>
      <rPr>
        <sz val="11"/>
        <color theme="1"/>
        <rFont val="微软雅黑"/>
        <family val="0"/>
        <charset val="134"/>
      </rPr>
      <t xml:space="preserve">3541.69</t>
    </r>
    <r>
      <rPr>
        <sz val="11"/>
        <color theme="1"/>
        <rFont val="WenQuanYi Zen Hei"/>
        <family val="2"/>
      </rPr>
      <t xml:space="preserve">，附加税</t>
    </r>
    <r>
      <rPr>
        <sz val="11"/>
        <color theme="1"/>
        <rFont val="微软雅黑"/>
        <family val="0"/>
        <charset val="134"/>
      </rPr>
      <t xml:space="preserve">425</t>
    </r>
    <r>
      <rPr>
        <sz val="11"/>
        <color theme="1"/>
        <rFont val="WenQuanYi Zen Hei"/>
        <family val="2"/>
      </rPr>
      <t xml:space="preserve">，印花税</t>
    </r>
    <r>
      <rPr>
        <sz val="11"/>
        <color theme="1"/>
        <rFont val="微软雅黑"/>
        <family val="0"/>
        <charset val="134"/>
      </rPr>
      <t xml:space="preserve">72.96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</si>
  <si>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新德润扣管理费</t>
    </r>
  </si>
  <si>
    <r>
      <rPr>
        <sz val="11"/>
        <color theme="1"/>
        <rFont val="微软雅黑"/>
        <family val="0"/>
        <charset val="134"/>
      </rPr>
      <t xml:space="preserve">2026.6.1</t>
    </r>
    <r>
      <rPr>
        <sz val="11"/>
        <color theme="1"/>
        <rFont val="WenQuanYi Zen Hei"/>
        <family val="2"/>
      </rPr>
      <t xml:space="preserve">张氏机电开票到新德润：合川表计项目</t>
    </r>
  </si>
  <si>
    <r>
      <rPr>
        <sz val="11"/>
        <color theme="1"/>
        <rFont val="微软雅黑"/>
        <family val="0"/>
        <charset val="134"/>
      </rPr>
      <t xml:space="preserve">2026.7.28</t>
    </r>
    <r>
      <rPr>
        <sz val="11"/>
        <color theme="1"/>
        <rFont val="WenQuanYi Zen Hei"/>
        <family val="2"/>
      </rPr>
      <t xml:space="preserve">冷氏五金开票到众聚能：合川表计项目</t>
    </r>
  </si>
  <si>
    <t xml:space="preserve">众聚能</t>
  </si>
  <si>
    <r>
      <rPr>
        <sz val="11"/>
        <color theme="1"/>
        <rFont val="微软雅黑"/>
        <family val="0"/>
        <charset val="134"/>
      </rPr>
      <t xml:space="preserve">3%</t>
    </r>
    <r>
      <rPr>
        <sz val="11"/>
        <color theme="1"/>
        <rFont val="WenQuanYi Zen Hei"/>
        <family val="2"/>
      </rPr>
      <t xml:space="preserve">普票</t>
    </r>
  </si>
  <si>
    <r>
      <rPr>
        <sz val="11"/>
        <color theme="1"/>
        <rFont val="微软雅黑"/>
        <family val="0"/>
        <charset val="134"/>
      </rPr>
      <t xml:space="preserve">2026.6.5</t>
    </r>
    <r>
      <rPr>
        <sz val="11"/>
        <color theme="1"/>
        <rFont val="WenQuanYi Zen Hei"/>
        <family val="2"/>
      </rPr>
      <t xml:space="preserve">张氏机电收到新德润转款：合川表计项目</t>
    </r>
  </si>
  <si>
    <r>
      <rPr>
        <sz val="11"/>
        <color theme="1"/>
        <rFont val="微软雅黑"/>
        <family val="0"/>
        <charset val="134"/>
      </rPr>
      <t xml:space="preserve">2026.7.31</t>
    </r>
    <r>
      <rPr>
        <sz val="11"/>
        <color theme="1"/>
        <rFont val="WenQuanYi Zen Hei"/>
        <family val="2"/>
      </rPr>
      <t xml:space="preserve">陈小琴（冷氏五金开）收到新德润打款：合川表计项目</t>
    </r>
  </si>
  <si>
    <r>
      <rPr>
        <sz val="11"/>
        <color theme="1"/>
        <rFont val="微软雅黑"/>
        <family val="0"/>
        <charset val="134"/>
      </rPr>
      <t xml:space="preserve">2026.8.21</t>
    </r>
    <r>
      <rPr>
        <sz val="11"/>
        <color theme="1"/>
        <rFont val="WenQuanYi Zen Hei"/>
        <family val="2"/>
      </rPr>
      <t xml:space="preserve">工资表给众聚能挂账：合川表计项目</t>
    </r>
  </si>
  <si>
    <r>
      <rPr>
        <sz val="11"/>
        <color theme="1"/>
        <rFont val="微软雅黑"/>
        <family val="0"/>
        <charset val="134"/>
      </rPr>
      <t xml:space="preserve">2026.8.21</t>
    </r>
    <r>
      <rPr>
        <sz val="11"/>
        <color theme="1"/>
        <rFont val="WenQuanYi Zen Hei"/>
        <family val="2"/>
      </rPr>
      <t xml:space="preserve">众聚能代付工资：合川表计项目</t>
    </r>
  </si>
  <si>
    <r>
      <rPr>
        <sz val="11"/>
        <color theme="1"/>
        <rFont val="微软雅黑"/>
        <family val="0"/>
        <charset val="134"/>
      </rPr>
      <t xml:space="preserve">2026.8.21</t>
    </r>
    <r>
      <rPr>
        <sz val="11"/>
        <color theme="1"/>
        <rFont val="WenQuanYi Zen Hei"/>
        <family val="2"/>
      </rPr>
      <t xml:space="preserve">工资表给腾泰挂账：合川表计项目</t>
    </r>
  </si>
  <si>
    <t xml:space="preserve">腾泰</t>
  </si>
  <si>
    <r>
      <rPr>
        <sz val="11"/>
        <color theme="1"/>
        <rFont val="微软雅黑"/>
        <family val="0"/>
        <charset val="134"/>
      </rPr>
      <t xml:space="preserve">2026.8.21</t>
    </r>
    <r>
      <rPr>
        <sz val="11"/>
        <color theme="1"/>
        <rFont val="WenQuanYi Zen Hei"/>
        <family val="2"/>
      </rPr>
      <t xml:space="preserve">腾泰代付工资：合川表计项目</t>
    </r>
  </si>
  <si>
    <r>
      <rPr>
        <sz val="11"/>
        <color theme="1"/>
        <rFont val="微软雅黑"/>
        <family val="0"/>
        <charset val="134"/>
      </rPr>
      <t xml:space="preserve">2026.9.14</t>
    </r>
    <r>
      <rPr>
        <sz val="11"/>
        <color theme="1"/>
        <rFont val="WenQuanYi Zen Hei"/>
        <family val="2"/>
      </rPr>
      <t xml:space="preserve">进源开给润德</t>
    </r>
    <r>
      <rPr>
        <sz val="11"/>
        <color theme="1"/>
        <rFont val="微软雅黑"/>
        <family val="0"/>
        <charset val="134"/>
      </rPr>
      <t xml:space="preserve">427712.65</t>
    </r>
    <r>
      <rPr>
        <sz val="11"/>
        <color theme="1"/>
        <rFont val="WenQuanYi Zen Hei"/>
        <family val="2"/>
      </rPr>
      <t xml:space="preserve">，提交</t>
    </r>
    <r>
      <rPr>
        <sz val="11"/>
        <color theme="1"/>
        <rFont val="微软雅黑"/>
        <family val="0"/>
        <charset val="134"/>
      </rPr>
      <t xml:space="preserve">15</t>
    </r>
    <r>
      <rPr>
        <sz val="11"/>
        <color theme="1"/>
        <rFont val="WenQuanYi Zen Hei"/>
        <family val="2"/>
      </rPr>
      <t xml:space="preserve">万工资（进源部分人工）：合川表计项目</t>
    </r>
  </si>
  <si>
    <t xml:space="preserve">润德</t>
  </si>
  <si>
    <r>
      <rPr>
        <sz val="11"/>
        <color theme="1"/>
        <rFont val="微软雅黑"/>
        <family val="0"/>
        <charset val="134"/>
      </rPr>
      <t xml:space="preserve">2026.9.21</t>
    </r>
    <r>
      <rPr>
        <sz val="11"/>
        <color theme="1"/>
        <rFont val="WenQuanYi Zen Hei"/>
        <family val="2"/>
      </rPr>
      <t xml:space="preserve">维维对账提交腾泰工资：合川表计项目</t>
    </r>
  </si>
  <si>
    <r>
      <rPr>
        <sz val="11"/>
        <color theme="1"/>
        <rFont val="微软雅黑"/>
        <family val="0"/>
        <charset val="134"/>
      </rPr>
      <t xml:space="preserve">2026.9.21</t>
    </r>
    <r>
      <rPr>
        <sz val="11"/>
        <color theme="1"/>
        <rFont val="WenQuanYi Zen Hei"/>
        <family val="2"/>
      </rPr>
      <t xml:space="preserve">何燕反馈提交</t>
    </r>
    <r>
      <rPr>
        <sz val="11"/>
        <color theme="1"/>
        <rFont val="微软雅黑"/>
        <family val="0"/>
        <charset val="134"/>
      </rPr>
      <t xml:space="preserve">10W</t>
    </r>
    <r>
      <rPr>
        <sz val="11"/>
        <color theme="1"/>
        <rFont val="WenQuanYi Zen Hei"/>
        <family val="2"/>
      </rPr>
      <t xml:space="preserve">工资表</t>
    </r>
  </si>
  <si>
    <r>
      <rPr>
        <sz val="11"/>
        <color theme="1"/>
        <rFont val="微软雅黑"/>
        <family val="0"/>
        <charset val="134"/>
      </rPr>
      <t xml:space="preserve">2026.9.21</t>
    </r>
    <r>
      <rPr>
        <sz val="11"/>
        <color theme="1"/>
        <rFont val="WenQuanYi Zen Hei"/>
        <family val="2"/>
      </rPr>
      <t xml:space="preserve">小温提供表计工资表给众聚能何燕挂账</t>
    </r>
  </si>
  <si>
    <r>
      <rPr>
        <sz val="11"/>
        <color theme="1"/>
        <rFont val="微软雅黑"/>
        <family val="0"/>
        <charset val="134"/>
      </rPr>
      <t xml:space="preserve">2026.5.6/5.23</t>
    </r>
    <r>
      <rPr>
        <sz val="11"/>
        <color theme="1"/>
        <rFont val="WenQuanYi Zen Hei"/>
        <family val="2"/>
      </rPr>
      <t xml:space="preserve">代付合川表计工资</t>
    </r>
  </si>
  <si>
    <r>
      <rPr>
        <sz val="11"/>
        <color theme="1"/>
        <rFont val="微软雅黑"/>
        <family val="0"/>
        <charset val="134"/>
      </rPr>
      <t xml:space="preserve">2026.5.14</t>
    </r>
    <r>
      <rPr>
        <sz val="11"/>
        <color theme="1"/>
        <rFont val="WenQuanYi Zen Hei"/>
        <family val="2"/>
      </rPr>
      <t xml:space="preserve">伍勇军借支</t>
    </r>
  </si>
  <si>
    <r>
      <rPr>
        <sz val="11"/>
        <color theme="1"/>
        <rFont val="微软雅黑"/>
        <family val="0"/>
        <charset val="134"/>
      </rPr>
      <t xml:space="preserve">2026.5.27</t>
    </r>
    <r>
      <rPr>
        <sz val="11"/>
        <color theme="1"/>
        <rFont val="WenQuanYi Zen Hei"/>
        <family val="2"/>
      </rPr>
      <t xml:space="preserve">伍勇军借支</t>
    </r>
  </si>
  <si>
    <r>
      <rPr>
        <sz val="11"/>
        <color theme="1"/>
        <rFont val="微软雅黑"/>
        <family val="0"/>
        <charset val="134"/>
      </rPr>
      <t xml:space="preserve">2026.6.8</t>
    </r>
    <r>
      <rPr>
        <sz val="11"/>
        <color theme="1"/>
        <rFont val="WenQuanYi Zen Hei"/>
        <family val="2"/>
      </rPr>
      <t xml:space="preserve">代付合川表计工资</t>
    </r>
  </si>
  <si>
    <r>
      <rPr>
        <sz val="11"/>
        <color theme="1"/>
        <rFont val="微软雅黑"/>
        <family val="0"/>
        <charset val="134"/>
      </rPr>
      <t xml:space="preserve">2026.6.18/6.30</t>
    </r>
    <r>
      <rPr>
        <sz val="11"/>
        <color theme="1"/>
        <rFont val="WenQuanYi Zen Hei"/>
        <family val="2"/>
      </rPr>
      <t xml:space="preserve">代付合川表计工资</t>
    </r>
  </si>
  <si>
    <r>
      <rPr>
        <sz val="11"/>
        <color theme="1"/>
        <rFont val="微软雅黑"/>
        <family val="0"/>
        <charset val="134"/>
      </rPr>
      <t xml:space="preserve">2026.7.2</t>
    </r>
    <r>
      <rPr>
        <sz val="11"/>
        <color theme="1"/>
        <rFont val="WenQuanYi Zen Hei"/>
        <family val="2"/>
      </rPr>
      <t xml:space="preserve">代付伍建华合川表计工资</t>
    </r>
  </si>
  <si>
    <r>
      <rPr>
        <sz val="11"/>
        <color theme="1"/>
        <rFont val="微软雅黑"/>
        <family val="0"/>
        <charset val="134"/>
      </rPr>
      <t xml:space="preserve">2026.7.9</t>
    </r>
    <r>
      <rPr>
        <sz val="11"/>
        <color theme="1"/>
        <rFont val="WenQuanYi Zen Hei"/>
        <family val="2"/>
      </rPr>
      <t xml:space="preserve">代付伍建华合川表计工资</t>
    </r>
  </si>
  <si>
    <r>
      <rPr>
        <sz val="11"/>
        <color theme="1"/>
        <rFont val="微软雅黑"/>
        <family val="0"/>
        <charset val="134"/>
      </rPr>
      <t xml:space="preserve">2026.7.13</t>
    </r>
    <r>
      <rPr>
        <sz val="11"/>
        <color theme="1"/>
        <rFont val="WenQuanYi Zen Hei"/>
        <family val="2"/>
      </rPr>
      <t xml:space="preserve">代付伍建华合川表计工资</t>
    </r>
  </si>
  <si>
    <r>
      <rPr>
        <sz val="11"/>
        <color theme="1"/>
        <rFont val="微软雅黑"/>
        <family val="0"/>
        <charset val="134"/>
      </rPr>
      <t xml:space="preserve">2026.7.25</t>
    </r>
    <r>
      <rPr>
        <sz val="11"/>
        <color theme="1"/>
        <rFont val="WenQuanYi Zen Hei"/>
        <family val="2"/>
      </rPr>
      <t xml:space="preserve">代付伍建华合川表计工资</t>
    </r>
  </si>
  <si>
    <r>
      <rPr>
        <sz val="11"/>
        <color theme="1"/>
        <rFont val="微软雅黑"/>
        <family val="0"/>
        <charset val="134"/>
      </rPr>
      <t xml:space="preserve">2026.7.31</t>
    </r>
    <r>
      <rPr>
        <sz val="11"/>
        <color theme="1"/>
        <rFont val="WenQuanYi Zen Hei"/>
        <family val="2"/>
      </rPr>
      <t xml:space="preserve">支付伍建华合川表计工资</t>
    </r>
  </si>
  <si>
    <r>
      <rPr>
        <sz val="11"/>
        <color theme="1"/>
        <rFont val="微软雅黑"/>
        <family val="0"/>
        <charset val="134"/>
      </rPr>
      <t xml:space="preserve">2026.8.1</t>
    </r>
    <r>
      <rPr>
        <sz val="11"/>
        <color theme="1"/>
        <rFont val="WenQuanYi Zen Hei"/>
        <family val="2"/>
      </rPr>
      <t xml:space="preserve">支付伍建劳表计费用</t>
    </r>
  </si>
  <si>
    <r>
      <rPr>
        <sz val="11"/>
        <color theme="1"/>
        <rFont val="微软雅黑"/>
        <family val="0"/>
        <charset val="134"/>
      </rPr>
      <t xml:space="preserve">2026.8.6</t>
    </r>
    <r>
      <rPr>
        <sz val="11"/>
        <color theme="1"/>
        <rFont val="WenQuanYi Zen Hei"/>
        <family val="2"/>
      </rPr>
      <t xml:space="preserve">支付合川工资</t>
    </r>
  </si>
  <si>
    <r>
      <rPr>
        <sz val="11"/>
        <color theme="1"/>
        <rFont val="微软雅黑"/>
        <family val="0"/>
        <charset val="134"/>
      </rPr>
      <t xml:space="preserve">2026.8.14</t>
    </r>
    <r>
      <rPr>
        <sz val="11"/>
        <color theme="1"/>
        <rFont val="WenQuanYi Zen Hei"/>
        <family val="2"/>
      </rPr>
      <t xml:space="preserve">支付伍建劳表计费用</t>
    </r>
  </si>
  <si>
    <r>
      <rPr>
        <sz val="11"/>
        <color theme="1"/>
        <rFont val="微软雅黑"/>
        <family val="0"/>
        <charset val="134"/>
      </rPr>
      <t xml:space="preserve">2026.8.20</t>
    </r>
    <r>
      <rPr>
        <sz val="11"/>
        <color theme="1"/>
        <rFont val="WenQuanYi Zen Hei"/>
        <family val="2"/>
      </rPr>
      <t xml:space="preserve">支付合川工资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</si>
  <si>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支付合川工资</t>
    </r>
  </si>
  <si>
    <r>
      <rPr>
        <sz val="11"/>
        <color theme="1"/>
        <rFont val="微软雅黑"/>
        <family val="0"/>
        <charset val="134"/>
      </rPr>
      <t xml:space="preserve">2026.6.9</t>
    </r>
    <r>
      <rPr>
        <sz val="11"/>
        <color theme="1"/>
        <rFont val="WenQuanYi Zen Hei"/>
        <family val="2"/>
      </rPr>
      <t xml:space="preserve">陈庆奎银付：转伍建华预支工资</t>
    </r>
  </si>
  <si>
    <r>
      <rPr>
        <sz val="11"/>
        <color theme="1"/>
        <rFont val="微软雅黑"/>
        <family val="0"/>
        <charset val="134"/>
      </rPr>
      <t xml:space="preserve">2026.7.11</t>
    </r>
    <r>
      <rPr>
        <sz val="11"/>
        <color theme="1"/>
        <rFont val="WenQuanYi Zen Hei"/>
        <family val="2"/>
      </rPr>
      <t xml:space="preserve">陈庆奎银付：转伍建华预支工资</t>
    </r>
  </si>
  <si>
    <r>
      <rPr>
        <sz val="11"/>
        <color theme="1"/>
        <rFont val="微软雅黑"/>
        <family val="0"/>
        <charset val="134"/>
      </rPr>
      <t xml:space="preserve">2026.7.6</t>
    </r>
    <r>
      <rPr>
        <sz val="11"/>
        <color theme="1"/>
        <rFont val="WenQuanYi Zen Hei"/>
        <family val="2"/>
      </rPr>
      <t xml:space="preserve">陈庆奎银付：转伍建华预支工资</t>
    </r>
  </si>
  <si>
    <r>
      <rPr>
        <sz val="11"/>
        <color theme="1"/>
        <rFont val="微软雅黑"/>
        <family val="0"/>
        <charset val="134"/>
      </rPr>
      <t xml:space="preserve">2026.8.21</t>
    </r>
    <r>
      <rPr>
        <sz val="11"/>
        <color theme="1"/>
        <rFont val="WenQuanYi Zen Hei"/>
        <family val="2"/>
      </rPr>
      <t xml:space="preserve">陈庆奎银付：转伍建华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</si>
  <si>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陈庆奎银付：陈庆奎转向祥红合川表计工资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</si>
  <si>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陈庆奎银付：陈庆奎转刘姜龙合川表计工资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</si>
  <si>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陈庆奎银付：陈庆奎转邹招财合川表计工资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</si>
  <si>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陈庆奎银付：陈庆奎转张纯军合川表计工资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</si>
  <si>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陈庆奎银付：陈庆奎转杨林合川表计工资</t>
    </r>
  </si>
  <si>
    <r>
      <rPr>
        <sz val="11"/>
        <color theme="1"/>
        <rFont val="微软雅黑"/>
        <family val="0"/>
        <charset val="134"/>
      </rPr>
      <t xml:space="preserve">2026.8.24</t>
    </r>
    <r>
      <rPr>
        <sz val="11"/>
        <color theme="1"/>
        <rFont val="WenQuanYi Zen Hei"/>
        <family val="2"/>
      </rPr>
      <t xml:space="preserve">陈庆奎银付：陈庆奎转陈旺合川表计工资</t>
    </r>
  </si>
  <si>
    <r>
      <rPr>
        <sz val="11"/>
        <color theme="1"/>
        <rFont val="微软雅黑"/>
        <family val="0"/>
        <charset val="134"/>
      </rPr>
      <t xml:space="preserve">2026.8.25</t>
    </r>
    <r>
      <rPr>
        <sz val="11"/>
        <color theme="1"/>
        <rFont val="WenQuanYi Zen Hei"/>
        <family val="2"/>
      </rPr>
      <t xml:space="preserve">陈庆奎银付：陈庆奎转屈建军合川表计工资</t>
    </r>
  </si>
  <si>
    <r>
      <rPr>
        <sz val="11"/>
        <color theme="1"/>
        <rFont val="微软雅黑"/>
        <family val="0"/>
        <charset val="134"/>
      </rPr>
      <t xml:space="preserve">2026.8.25</t>
    </r>
    <r>
      <rPr>
        <sz val="11"/>
        <color theme="1"/>
        <rFont val="WenQuanYi Zen Hei"/>
        <family val="2"/>
      </rPr>
      <t xml:space="preserve">陈庆奎银付：陈庆奎转罗东勤合川表计工资</t>
    </r>
  </si>
  <si>
    <r>
      <rPr>
        <sz val="11"/>
        <color theme="1"/>
        <rFont val="微软雅黑"/>
        <family val="0"/>
        <charset val="134"/>
      </rPr>
      <t xml:space="preserve">2026.8.25</t>
    </r>
    <r>
      <rPr>
        <sz val="11"/>
        <color theme="1"/>
        <rFont val="WenQuanYi Zen Hei"/>
        <family val="2"/>
      </rPr>
      <t xml:space="preserve">陈庆奎银付：陈庆奎转廖刚合川表计工资</t>
    </r>
  </si>
  <si>
    <r>
      <rPr>
        <sz val="11"/>
        <color theme="1"/>
        <rFont val="微软雅黑"/>
        <family val="0"/>
        <charset val="134"/>
      </rPr>
      <t xml:space="preserve">2026.8.25</t>
    </r>
    <r>
      <rPr>
        <sz val="11"/>
        <color theme="1"/>
        <rFont val="WenQuanYi Zen Hei"/>
        <family val="2"/>
      </rPr>
      <t xml:space="preserve">陈庆奎银付：陈庆奎转李丙菊合川表计工资</t>
    </r>
  </si>
  <si>
    <r>
      <rPr>
        <sz val="11"/>
        <color theme="1"/>
        <rFont val="微软雅黑"/>
        <family val="0"/>
        <charset val="134"/>
      </rPr>
      <t xml:space="preserve">2026.9.22</t>
    </r>
    <r>
      <rPr>
        <sz val="11"/>
        <color theme="1"/>
        <rFont val="WenQuanYi Zen Hei"/>
        <family val="2"/>
      </rPr>
      <t xml:space="preserve">胡崇文支付表计工资</t>
    </r>
  </si>
  <si>
    <r>
      <rPr>
        <sz val="11"/>
        <color theme="1"/>
        <rFont val="微软雅黑"/>
        <family val="0"/>
        <charset val="134"/>
      </rPr>
      <t xml:space="preserve">2026.2.9</t>
    </r>
    <r>
      <rPr>
        <sz val="11"/>
        <color theme="1"/>
        <rFont val="WenQuanYi Zen Hei"/>
        <family val="2"/>
      </rPr>
      <t xml:space="preserve">新德润开</t>
    </r>
    <r>
      <rPr>
        <sz val="11"/>
        <color theme="1"/>
        <rFont val="微软雅黑"/>
        <family val="0"/>
        <charset val="134"/>
      </rPr>
      <t xml:space="preserve">9%</t>
    </r>
    <r>
      <rPr>
        <sz val="11"/>
        <color theme="1"/>
        <rFont val="WenQuanYi Zen Hei"/>
        <family val="2"/>
      </rPr>
      <t xml:space="preserve">专票到民能：蒲吕片区</t>
    </r>
    <r>
      <rPr>
        <sz val="11"/>
        <color theme="1"/>
        <rFont val="微软雅黑"/>
        <family val="0"/>
        <charset val="134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微软雅黑"/>
        <family val="0"/>
        <charset val="134"/>
      </rPr>
      <t xml:space="preserve">10</t>
    </r>
    <r>
      <rPr>
        <sz val="11"/>
        <color theme="1"/>
        <rFont val="WenQuanYi Zen Hei"/>
        <family val="2"/>
      </rPr>
      <t xml:space="preserve">千伏电力新建</t>
    </r>
  </si>
  <si>
    <r>
      <rPr>
        <sz val="11"/>
        <color theme="1"/>
        <rFont val="微软雅黑"/>
        <family val="0"/>
        <charset val="134"/>
      </rPr>
      <t xml:space="preserve">9%</t>
    </r>
    <r>
      <rPr>
        <sz val="11"/>
        <color theme="1"/>
        <rFont val="WenQuanYi Zen Hei"/>
        <family val="2"/>
      </rPr>
      <t xml:space="preserve">专票</t>
    </r>
  </si>
  <si>
    <r>
      <rPr>
        <sz val="11"/>
        <color theme="1"/>
        <rFont val="微软雅黑"/>
        <family val="0"/>
        <charset val="134"/>
      </rPr>
      <t xml:space="preserve">2026.9.1</t>
    </r>
    <r>
      <rPr>
        <sz val="11"/>
        <color theme="1"/>
        <rFont val="WenQuanYi Zen Hei"/>
        <family val="2"/>
      </rPr>
      <t xml:space="preserve">扣</t>
    </r>
    <r>
      <rPr>
        <sz val="11"/>
        <color theme="1"/>
        <rFont val="微软雅黑"/>
        <family val="0"/>
        <charset val="134"/>
      </rPr>
      <t xml:space="preserve">15%</t>
    </r>
    <r>
      <rPr>
        <sz val="11"/>
        <color theme="1"/>
        <rFont val="WenQuanYi Zen Hei"/>
        <family val="2"/>
      </rPr>
      <t xml:space="preserve">管理费</t>
    </r>
  </si>
  <si>
    <r>
      <rPr>
        <sz val="11"/>
        <color theme="1"/>
        <rFont val="微软雅黑"/>
        <family val="0"/>
        <charset val="134"/>
      </rPr>
      <t xml:space="preserve">2026.9.1</t>
    </r>
    <r>
      <rPr>
        <sz val="11"/>
        <color theme="1"/>
        <rFont val="WenQuanYi Zen Hei"/>
        <family val="2"/>
      </rPr>
      <t xml:space="preserve">确认前期收到代发工资</t>
    </r>
  </si>
  <si>
    <r>
      <rPr>
        <sz val="11"/>
        <color theme="1"/>
        <rFont val="微软雅黑"/>
        <family val="0"/>
        <charset val="134"/>
      </rPr>
      <t xml:space="preserve">2026.9.1</t>
    </r>
    <r>
      <rPr>
        <sz val="11"/>
        <color theme="1"/>
        <rFont val="WenQuanYi Zen Hei"/>
        <family val="2"/>
      </rPr>
      <t xml:space="preserve">确认扣</t>
    </r>
    <r>
      <rPr>
        <sz val="11"/>
        <color theme="1"/>
        <rFont val="微软雅黑"/>
        <family val="0"/>
        <charset val="134"/>
      </rPr>
      <t xml:space="preserve">9%</t>
    </r>
    <r>
      <rPr>
        <sz val="11"/>
        <color theme="1"/>
        <rFont val="WenQuanYi Zen Hei"/>
        <family val="2"/>
      </rPr>
      <t xml:space="preserve">增值税</t>
    </r>
    <r>
      <rPr>
        <sz val="11"/>
        <color theme="1"/>
        <rFont val="微软雅黑"/>
        <family val="0"/>
        <charset val="134"/>
      </rPr>
      <t xml:space="preserve">29253.77</t>
    </r>
    <r>
      <rPr>
        <sz val="11"/>
        <color theme="1"/>
        <rFont val="WenQuanYi Zen Hei"/>
        <family val="2"/>
      </rPr>
      <t xml:space="preserve">，附加科</t>
    </r>
    <r>
      <rPr>
        <sz val="11"/>
        <color theme="1"/>
        <rFont val="微软雅黑"/>
        <family val="0"/>
        <charset val="134"/>
      </rPr>
      <t xml:space="preserve">3510.45</t>
    </r>
    <r>
      <rPr>
        <sz val="11"/>
        <color theme="1"/>
        <rFont val="WenQuanYi Zen Hei"/>
        <family val="2"/>
      </rPr>
      <t xml:space="preserve">，印花税</t>
    </r>
    <r>
      <rPr>
        <sz val="11"/>
        <color theme="1"/>
        <rFont val="微软雅黑"/>
        <family val="0"/>
        <charset val="134"/>
      </rPr>
      <t xml:space="preserve">212.58</t>
    </r>
    <r>
      <rPr>
        <sz val="11"/>
        <color theme="1"/>
        <rFont val="WenQuanYi Zen Hei"/>
        <family val="2"/>
      </rPr>
      <t xml:space="preserve">，合计</t>
    </r>
    <r>
      <rPr>
        <sz val="11"/>
        <color theme="1"/>
        <rFont val="微软雅黑"/>
        <family val="0"/>
        <charset val="134"/>
      </rPr>
      <t xml:space="preserve">32976.8</t>
    </r>
  </si>
  <si>
    <r>
      <rPr>
        <sz val="11"/>
        <color theme="1"/>
        <rFont val="微软雅黑"/>
        <family val="0"/>
        <charset val="134"/>
      </rPr>
      <t xml:space="preserve">2026.9.1</t>
    </r>
    <r>
      <rPr>
        <sz val="11"/>
        <color theme="1"/>
        <rFont val="WenQuanYi Zen Hei"/>
        <family val="2"/>
      </rPr>
      <t xml:space="preserve">扣残保金</t>
    </r>
    <r>
      <rPr>
        <sz val="11"/>
        <color theme="1"/>
        <rFont val="微软雅黑"/>
        <family val="0"/>
        <charset val="134"/>
      </rPr>
      <t xml:space="preserve">20W*1.5%</t>
    </r>
  </si>
  <si>
    <r>
      <rPr>
        <sz val="11"/>
        <color theme="1"/>
        <rFont val="微软雅黑"/>
        <family val="0"/>
        <charset val="134"/>
      </rPr>
      <t xml:space="preserve">2026.9.1</t>
    </r>
    <r>
      <rPr>
        <sz val="11"/>
        <color theme="1"/>
        <rFont val="WenQuanYi Zen Hei"/>
        <family val="2"/>
      </rPr>
      <t xml:space="preserve">扣个税</t>
    </r>
  </si>
  <si>
    <r>
      <rPr>
        <sz val="11"/>
        <color theme="1"/>
        <rFont val="微软雅黑"/>
        <family val="0"/>
        <charset val="134"/>
      </rPr>
      <t xml:space="preserve">2026.9.1</t>
    </r>
    <r>
      <rPr>
        <sz val="11"/>
        <color theme="1"/>
        <rFont val="WenQuanYi Zen Hei"/>
        <family val="2"/>
      </rPr>
      <t xml:space="preserve">质保金</t>
    </r>
    <r>
      <rPr>
        <sz val="11"/>
        <color theme="1"/>
        <rFont val="微软雅黑"/>
        <family val="0"/>
        <charset val="134"/>
      </rPr>
      <t xml:space="preserve">354295.65*3%</t>
    </r>
  </si>
  <si>
    <r>
      <rPr>
        <sz val="11"/>
        <color theme="1"/>
        <rFont val="微软雅黑"/>
        <family val="0"/>
        <charset val="134"/>
      </rPr>
      <t xml:space="preserve">2026.9.4</t>
    </r>
    <r>
      <rPr>
        <sz val="11"/>
        <color theme="1"/>
        <rFont val="WenQuanYi Zen Hei"/>
        <family val="2"/>
      </rPr>
      <t xml:space="preserve">新德润开</t>
    </r>
    <r>
      <rPr>
        <sz val="11"/>
        <color theme="1"/>
        <rFont val="微软雅黑"/>
        <family val="0"/>
        <charset val="134"/>
      </rPr>
      <t xml:space="preserve">9%</t>
    </r>
    <r>
      <rPr>
        <sz val="11"/>
        <color theme="1"/>
        <rFont val="WenQuanYi Zen Hei"/>
        <family val="2"/>
      </rPr>
      <t xml:space="preserve">专票到民能：蒲吕片区</t>
    </r>
    <r>
      <rPr>
        <sz val="11"/>
        <color theme="1"/>
        <rFont val="微软雅黑"/>
        <family val="0"/>
        <charset val="134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微软雅黑"/>
        <family val="0"/>
        <charset val="134"/>
      </rPr>
      <t xml:space="preserve">10</t>
    </r>
    <r>
      <rPr>
        <sz val="11"/>
        <color theme="1"/>
        <rFont val="WenQuanYi Zen Hei"/>
        <family val="2"/>
      </rPr>
      <t xml:space="preserve">千伏电力新建</t>
    </r>
  </si>
  <si>
    <t xml:space="preserve">项目汇总</t>
  </si>
  <si>
    <t xml:space="preserve">项目简称
（点开分表）</t>
  </si>
  <si>
    <t xml:space="preserve">笔数</t>
  </si>
  <si>
    <t xml:space="preserve">最后一笔摘要</t>
  </si>
  <si>
    <t xml:space="preserve">分表核对</t>
  </si>
  <si>
    <t xml:space="preserve">合计</t>
  </si>
  <si>
    <r>
      <rPr>
        <b val="true"/>
        <sz val="24"/>
        <color theme="1"/>
        <rFont val="WenQuanYi Zen Hei"/>
        <family val="2"/>
      </rPr>
      <t xml:space="preserve">铜梁区园区屋顶分布式光伏发电建设项目</t>
    </r>
    <r>
      <rPr>
        <b val="true"/>
        <sz val="24"/>
        <color theme="1"/>
        <rFont val="微软雅黑"/>
        <family val="0"/>
        <charset val="134"/>
      </rPr>
      <t xml:space="preserve">-</t>
    </r>
    <r>
      <rPr>
        <b val="true"/>
        <sz val="24"/>
        <color theme="1"/>
        <rFont val="WenQuanYi Zen Hei"/>
        <family val="2"/>
      </rPr>
      <t xml:space="preserve">蒲吕片区</t>
    </r>
    <r>
      <rPr>
        <b val="true"/>
        <sz val="24"/>
        <color theme="1"/>
        <rFont val="微软雅黑"/>
        <family val="0"/>
        <charset val="134"/>
      </rPr>
      <t xml:space="preserve">A</t>
    </r>
    <r>
      <rPr>
        <b val="true"/>
        <sz val="24"/>
        <color theme="1"/>
        <rFont val="WenQuanYi Zen Hei"/>
        <family val="2"/>
      </rPr>
      <t xml:space="preserve">段</t>
    </r>
    <r>
      <rPr>
        <b val="true"/>
        <sz val="24"/>
        <color theme="1"/>
        <rFont val="微软雅黑"/>
        <family val="0"/>
        <charset val="134"/>
      </rPr>
      <t xml:space="preserve">10</t>
    </r>
    <r>
      <rPr>
        <b val="true"/>
        <sz val="24"/>
        <color theme="1"/>
        <rFont val="WenQuanYi Zen Hei"/>
        <family val="2"/>
      </rPr>
      <t xml:space="preserve">千伏电力新建工程</t>
    </r>
  </si>
  <si>
    <t xml:space="preserve">对账
单位</t>
  </si>
  <si>
    <t xml:space="preserve">本表项目简称
（自动取表名）</t>
  </si>
  <si>
    <t xml:space="preserve">合川表计项目</t>
  </si>
  <si>
    <t xml:space="preserve">扣质保金</t>
  </si>
  <si>
    <r>
      <rPr>
        <b val="true"/>
        <sz val="24"/>
        <color theme="1"/>
        <rFont val="WenQuanYi Zen Hei"/>
        <family val="2"/>
      </rPr>
      <t xml:space="preserve">云门街道云龙社区居民委员会</t>
    </r>
    <r>
      <rPr>
        <b val="true"/>
        <sz val="24"/>
        <color theme="1"/>
        <rFont val="微软雅黑"/>
        <family val="0"/>
        <charset val="134"/>
      </rPr>
      <t xml:space="preserve">(</t>
    </r>
    <r>
      <rPr>
        <b val="true"/>
        <sz val="24"/>
        <color theme="1"/>
        <rFont val="WenQuanYi Zen Hei"/>
        <family val="2"/>
      </rPr>
      <t xml:space="preserve">铁工厂还房建设项目</t>
    </r>
    <r>
      <rPr>
        <b val="true"/>
        <sz val="24"/>
        <color theme="1"/>
        <rFont val="微软雅黑"/>
        <family val="0"/>
        <charset val="134"/>
      </rPr>
      <t xml:space="preserve">)</t>
    </r>
    <r>
      <rPr>
        <b val="true"/>
        <sz val="24"/>
        <color theme="1"/>
        <rFont val="WenQuanYi Zen Hei"/>
        <family val="2"/>
      </rPr>
      <t xml:space="preserve">高压新装用电工程</t>
    </r>
  </si>
  <si>
    <r>
      <rPr>
        <sz val="24"/>
        <color theme="1"/>
        <rFont val="WenQuanYi Zen Hei"/>
        <family val="2"/>
      </rPr>
      <t xml:space="preserve">铜城</t>
    </r>
    <r>
      <rPr>
        <sz val="24"/>
        <color theme="1"/>
        <rFont val="微软雅黑"/>
        <family val="0"/>
        <charset val="134"/>
      </rPr>
      <t xml:space="preserve">2</t>
    </r>
    <r>
      <rPr>
        <sz val="24"/>
        <color theme="1"/>
        <rFont val="WenQuanYi Zen Hei"/>
        <family val="2"/>
      </rPr>
      <t xml:space="preserve">回、玉璟尚线、铁井一回、淮拦线</t>
    </r>
    <r>
      <rPr>
        <sz val="24"/>
        <color theme="1"/>
        <rFont val="微软雅黑"/>
        <family val="0"/>
        <charset val="134"/>
      </rPr>
      <t xml:space="preserve">4</t>
    </r>
  </si>
  <si>
    <r>
      <rPr>
        <b val="true"/>
        <sz val="24"/>
        <color theme="1"/>
        <rFont val="WenQuanYi Zen Hei"/>
        <family val="2"/>
      </rPr>
      <t xml:space="preserve">高新区厂房及配套设施提质改造项目开票到瑞翔厂区电力土建</t>
    </r>
    <r>
      <rPr>
        <b val="true"/>
        <sz val="24"/>
        <color theme="1"/>
        <rFont val="微软雅黑"/>
        <family val="0"/>
        <charset val="134"/>
      </rPr>
      <t xml:space="preserve">(</t>
    </r>
    <r>
      <rPr>
        <b val="true"/>
        <sz val="24"/>
        <color theme="1"/>
        <rFont val="WenQuanYi Zen Hei"/>
        <family val="2"/>
      </rPr>
      <t xml:space="preserve">管廊</t>
    </r>
    <r>
      <rPr>
        <b val="true"/>
        <sz val="24"/>
        <color theme="1"/>
        <rFont val="微软雅黑"/>
        <family val="0"/>
        <charset val="134"/>
      </rPr>
      <t xml:space="preserve">)</t>
    </r>
    <r>
      <rPr>
        <b val="true"/>
        <sz val="24"/>
        <color theme="1"/>
        <rFont val="WenQuanYi Zen Hei"/>
        <family val="2"/>
      </rPr>
      <t xml:space="preserve">建设工程</t>
    </r>
  </si>
  <si>
    <t xml:space="preserve">使用说明</t>
  </si>
  <si>
    <t xml:space="preserve">一、表的结构</t>
  </si>
  <si>
    <r>
      <rPr>
        <sz val="11"/>
        <rFont val="微软雅黑"/>
        <family val="0"/>
        <charset val="1"/>
      </rPr>
      <t xml:space="preserve">1. </t>
    </r>
    <r>
      <rPr>
        <sz val="11"/>
        <rFont val="WenQuanYi Zen Hei"/>
        <family val="2"/>
      </rPr>
      <t xml:space="preserve">目录：项目名称 → 项目简称。几个项目合在一张分表里算，就给它们填同一个简称（如铜城</t>
    </r>
    <r>
      <rPr>
        <sz val="11"/>
        <rFont val="微软雅黑"/>
        <family val="0"/>
        <charset val="1"/>
      </rPr>
      <t xml:space="preserve">2</t>
    </r>
    <r>
      <rPr>
        <sz val="11"/>
        <rFont val="WenQuanYi Zen Hei"/>
        <family val="2"/>
      </rPr>
      <t xml:space="preserve">回、玉璟尚线、铁井一回、淮拦线</t>
    </r>
    <r>
      <rPr>
        <sz val="11"/>
        <rFont val="微软雅黑"/>
        <family val="0"/>
        <charset val="1"/>
      </rPr>
      <t xml:space="preserve">4 </t>
    </r>
    <r>
      <rPr>
        <sz val="11"/>
        <rFont val="WenQuanYi Zen Hei"/>
        <family val="2"/>
      </rPr>
      <t xml:space="preserve">这 </t>
    </r>
    <r>
      <rPr>
        <sz val="11"/>
        <rFont val="微软雅黑"/>
        <family val="0"/>
        <charset val="1"/>
      </rPr>
      <t xml:space="preserve">4 </t>
    </r>
    <r>
      <rPr>
        <sz val="11"/>
        <rFont val="WenQuanYi Zen Hei"/>
        <family val="2"/>
      </rPr>
      <t xml:space="preserve">个项目）。</t>
    </r>
  </si>
  <si>
    <r>
      <rPr>
        <sz val="11"/>
        <rFont val="微软雅黑"/>
        <family val="0"/>
        <charset val="1"/>
      </rPr>
      <t xml:space="preserve">2. </t>
    </r>
    <r>
      <rPr>
        <sz val="11"/>
        <rFont val="WenQuanYi Zen Hei"/>
        <family val="2"/>
      </rPr>
      <t xml:space="preserve">发票统计：总台账，所有业务都只录在这里。</t>
    </r>
  </si>
  <si>
    <r>
      <rPr>
        <sz val="11"/>
        <rFont val="微软雅黑"/>
        <family val="0"/>
        <charset val="1"/>
      </rPr>
      <t xml:space="preserve">3. </t>
    </r>
    <r>
      <rPr>
        <sz val="11"/>
        <rFont val="WenQuanYi Zen Hei"/>
        <family val="2"/>
      </rPr>
      <t xml:space="preserve">项目汇总：每个项目一行，自动汇总；点项目简称可以跳到那张分表。</t>
    </r>
  </si>
  <si>
    <r>
      <rPr>
        <sz val="11"/>
        <rFont val="微软雅黑"/>
        <family val="0"/>
        <charset val="1"/>
      </rPr>
      <t xml:space="preserve">4. </t>
    </r>
    <r>
      <rPr>
        <sz val="11"/>
        <rFont val="WenQuanYi Zen Hei"/>
        <family val="2"/>
      </rPr>
      <t xml:space="preserve">各项目分表（表名 </t>
    </r>
    <r>
      <rPr>
        <sz val="11"/>
        <rFont val="微软雅黑"/>
        <family val="0"/>
        <charset val="1"/>
      </rPr>
      <t xml:space="preserve">= </t>
    </r>
    <r>
      <rPr>
        <sz val="11"/>
        <rFont val="WenQuanYi Zen Hei"/>
        <family val="2"/>
      </rPr>
      <t xml:space="preserve">项目简称）：自动从发票统计取本项目的行，按录入先后排列。不用手录，也不要在分表上改数——要改就改发票统计。</t>
    </r>
  </si>
  <si>
    <t xml:space="preserve">二、发票统计怎么录</t>
  </si>
  <si>
    <r>
      <rPr>
        <sz val="11"/>
        <rFont val="微软雅黑"/>
        <family val="0"/>
        <charset val="1"/>
      </rPr>
      <t xml:space="preserve">1. </t>
    </r>
    <r>
      <rPr>
        <sz val="11"/>
        <rFont val="WenQuanYi Zen Hei"/>
        <family val="2"/>
      </rPr>
      <t xml:space="preserve">手填的列：</t>
    </r>
    <r>
      <rPr>
        <sz val="11"/>
        <rFont val="微软雅黑"/>
        <family val="0"/>
        <charset val="1"/>
      </rPr>
      <t xml:space="preserve">C </t>
    </r>
    <r>
      <rPr>
        <sz val="11"/>
        <rFont val="WenQuanYi Zen Hei"/>
        <family val="2"/>
      </rPr>
      <t xml:space="preserve">项目名称（下拉选）、</t>
    </r>
    <r>
      <rPr>
        <sz val="11"/>
        <rFont val="微软雅黑"/>
        <family val="0"/>
        <charset val="1"/>
      </rPr>
      <t xml:space="preserve">D </t>
    </r>
    <r>
      <rPr>
        <sz val="11"/>
        <rFont val="WenQuanYi Zen Hei"/>
        <family val="2"/>
      </rPr>
      <t xml:space="preserve">摘要（开头写日期，如「</t>
    </r>
    <r>
      <rPr>
        <sz val="11"/>
        <rFont val="微软雅黑"/>
        <family val="0"/>
        <charset val="1"/>
      </rPr>
      <t xml:space="preserve">2026.9.21……</t>
    </r>
    <r>
      <rPr>
        <sz val="11"/>
        <rFont val="WenQuanYi Zen Hei"/>
        <family val="2"/>
      </rPr>
      <t xml:space="preserve">」）、</t>
    </r>
    <r>
      <rPr>
        <sz val="11"/>
        <rFont val="微软雅黑"/>
        <family val="0"/>
        <charset val="1"/>
      </rPr>
      <t xml:space="preserve">E </t>
    </r>
    <r>
      <rPr>
        <sz val="11"/>
        <rFont val="WenQuanYi Zen Hei"/>
        <family val="2"/>
      </rPr>
      <t xml:space="preserve">收票单位、</t>
    </r>
    <r>
      <rPr>
        <sz val="11"/>
        <rFont val="微软雅黑"/>
        <family val="0"/>
        <charset val="1"/>
      </rPr>
      <t xml:space="preserve">F </t>
    </r>
    <r>
      <rPr>
        <sz val="11"/>
        <rFont val="WenQuanYi Zen Hei"/>
        <family val="2"/>
      </rPr>
      <t xml:space="preserve">发票性质、</t>
    </r>
    <r>
      <rPr>
        <sz val="11"/>
        <rFont val="微软雅黑"/>
        <family val="0"/>
        <charset val="1"/>
      </rPr>
      <t xml:space="preserve">G </t>
    </r>
    <r>
      <rPr>
        <sz val="11"/>
        <rFont val="WenQuanYi Zen Hei"/>
        <family val="2"/>
      </rPr>
      <t xml:space="preserve">管理费点、</t>
    </r>
    <r>
      <rPr>
        <sz val="11"/>
        <rFont val="微软雅黑"/>
        <family val="0"/>
        <charset val="1"/>
      </rPr>
      <t xml:space="preserve">H </t>
    </r>
    <r>
      <rPr>
        <sz val="11"/>
        <rFont val="WenQuanYi Zen Hei"/>
        <family val="2"/>
      </rPr>
      <t xml:space="preserve">销售金额、</t>
    </r>
    <r>
      <rPr>
        <sz val="11"/>
        <rFont val="微软雅黑"/>
        <family val="0"/>
        <charset val="1"/>
      </rPr>
      <t xml:space="preserve">K </t>
    </r>
    <r>
      <rPr>
        <sz val="11"/>
        <rFont val="WenQuanYi Zen Hei"/>
        <family val="2"/>
      </rPr>
      <t xml:space="preserve">已开成本票、</t>
    </r>
    <r>
      <rPr>
        <sz val="11"/>
        <rFont val="微软雅黑"/>
        <family val="0"/>
        <charset val="1"/>
      </rPr>
      <t xml:space="preserve">N </t>
    </r>
    <r>
      <rPr>
        <sz val="11"/>
        <rFont val="WenQuanYi Zen Hei"/>
        <family val="2"/>
      </rPr>
      <t xml:space="preserve">质保金、</t>
    </r>
    <r>
      <rPr>
        <sz val="11"/>
        <rFont val="微软雅黑"/>
        <family val="0"/>
        <charset val="1"/>
      </rPr>
      <t xml:space="preserve">O </t>
    </r>
    <r>
      <rPr>
        <sz val="11"/>
        <rFont val="WenQuanYi Zen Hei"/>
        <family val="2"/>
      </rPr>
      <t xml:space="preserve">已收款、</t>
    </r>
    <r>
      <rPr>
        <sz val="11"/>
        <rFont val="微软雅黑"/>
        <family val="0"/>
        <charset val="1"/>
      </rPr>
      <t xml:space="preserve">Q </t>
    </r>
    <r>
      <rPr>
        <sz val="11"/>
        <rFont val="WenQuanYi Zen Hei"/>
        <family val="2"/>
      </rPr>
      <t xml:space="preserve">应付工程款、</t>
    </r>
    <r>
      <rPr>
        <sz val="11"/>
        <rFont val="微软雅黑"/>
        <family val="0"/>
        <charset val="1"/>
      </rPr>
      <t xml:space="preserve">R </t>
    </r>
    <r>
      <rPr>
        <sz val="11"/>
        <rFont val="WenQuanYi Zen Hei"/>
        <family val="2"/>
      </rPr>
      <t xml:space="preserve">扣除管理费、</t>
    </r>
    <r>
      <rPr>
        <sz val="11"/>
        <rFont val="微软雅黑"/>
        <family val="0"/>
        <charset val="1"/>
      </rPr>
      <t xml:space="preserve">S </t>
    </r>
    <r>
      <rPr>
        <sz val="11"/>
        <rFont val="WenQuanYi Zen Hei"/>
        <family val="2"/>
      </rPr>
      <t xml:space="preserve">已付工程款、</t>
    </r>
    <r>
      <rPr>
        <sz val="11"/>
        <rFont val="微软雅黑"/>
        <family val="0"/>
        <charset val="1"/>
      </rPr>
      <t xml:space="preserve">U </t>
    </r>
    <r>
      <rPr>
        <sz val="11"/>
        <rFont val="WenQuanYi Zen Hei"/>
        <family val="2"/>
      </rPr>
      <t xml:space="preserve">备注。</t>
    </r>
  </si>
  <si>
    <r>
      <rPr>
        <sz val="11"/>
        <rFont val="微软雅黑"/>
        <family val="0"/>
        <charset val="1"/>
      </rPr>
      <t xml:space="preserve">2. </t>
    </r>
    <r>
      <rPr>
        <sz val="11"/>
        <rFont val="WenQuanYi Zen Hei"/>
        <family val="2"/>
      </rPr>
      <t xml:space="preserve">自动算的列（不要手改）：</t>
    </r>
    <r>
      <rPr>
        <sz val="11"/>
        <rFont val="微软雅黑"/>
        <family val="0"/>
        <charset val="1"/>
      </rPr>
      <t xml:space="preserve">A </t>
    </r>
    <r>
      <rPr>
        <sz val="11"/>
        <rFont val="WenQuanYi Zen Hei"/>
        <family val="2"/>
      </rPr>
      <t xml:space="preserve">项目简称、</t>
    </r>
    <r>
      <rPr>
        <sz val="11"/>
        <rFont val="微软雅黑"/>
        <family val="0"/>
        <charset val="1"/>
      </rPr>
      <t xml:space="preserve">B </t>
    </r>
    <r>
      <rPr>
        <sz val="11"/>
        <rFont val="WenQuanYi Zen Hei"/>
        <family val="2"/>
      </rPr>
      <t xml:space="preserve">月份、</t>
    </r>
    <r>
      <rPr>
        <sz val="11"/>
        <rFont val="微软雅黑"/>
        <family val="0"/>
        <charset val="1"/>
      </rPr>
      <t xml:space="preserve">I </t>
    </r>
    <r>
      <rPr>
        <sz val="11"/>
        <rFont val="WenQuanYi Zen Hei"/>
        <family val="2"/>
      </rPr>
      <t xml:space="preserve">管理费＝</t>
    </r>
    <r>
      <rPr>
        <sz val="11"/>
        <rFont val="微软雅黑"/>
        <family val="0"/>
        <charset val="1"/>
      </rPr>
      <t xml:space="preserve">H×G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J </t>
    </r>
    <r>
      <rPr>
        <sz val="11"/>
        <rFont val="WenQuanYi Zen Hei"/>
        <family val="2"/>
      </rPr>
      <t xml:space="preserve">应开成本票＝</t>
    </r>
    <r>
      <rPr>
        <sz val="11"/>
        <rFont val="微软雅黑"/>
        <family val="0"/>
        <charset val="1"/>
      </rPr>
      <t xml:space="preserve">H</t>
    </r>
    <r>
      <rPr>
        <sz val="11"/>
        <rFont val="WenQuanYi Zen Hei"/>
        <family val="2"/>
      </rPr>
      <t xml:space="preserve">－</t>
    </r>
    <r>
      <rPr>
        <sz val="11"/>
        <rFont val="微软雅黑"/>
        <family val="0"/>
        <charset val="1"/>
      </rPr>
      <t xml:space="preserve">I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M </t>
    </r>
    <r>
      <rPr>
        <sz val="11"/>
        <rFont val="WenQuanYi Zen Hei"/>
        <family val="2"/>
      </rPr>
      <t xml:space="preserve">应收款＝</t>
    </r>
    <r>
      <rPr>
        <sz val="11"/>
        <rFont val="微软雅黑"/>
        <family val="0"/>
        <charset val="1"/>
      </rPr>
      <t xml:space="preserve">H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L </t>
    </r>
    <r>
      <rPr>
        <sz val="11"/>
        <rFont val="WenQuanYi Zen Hei"/>
        <family val="2"/>
      </rPr>
      <t xml:space="preserve">未开成本票、</t>
    </r>
    <r>
      <rPr>
        <sz val="11"/>
        <rFont val="微软雅黑"/>
        <family val="0"/>
        <charset val="1"/>
      </rPr>
      <t xml:space="preserve">P </t>
    </r>
    <r>
      <rPr>
        <sz val="11"/>
        <rFont val="WenQuanYi Zen Hei"/>
        <family val="2"/>
      </rPr>
      <t xml:space="preserve">未收款、</t>
    </r>
    <r>
      <rPr>
        <sz val="11"/>
        <rFont val="微软雅黑"/>
        <family val="0"/>
        <charset val="1"/>
      </rPr>
      <t xml:space="preserve">T </t>
    </r>
    <r>
      <rPr>
        <sz val="11"/>
        <rFont val="WenQuanYi Zen Hei"/>
        <family val="2"/>
      </rPr>
      <t xml:space="preserve">未付工程款、</t>
    </r>
    <r>
      <rPr>
        <sz val="11"/>
        <rFont val="微软雅黑"/>
        <family val="0"/>
        <charset val="1"/>
      </rPr>
      <t xml:space="preserve">V </t>
    </r>
    <r>
      <rPr>
        <sz val="11"/>
        <rFont val="WenQuanYi Zen Hei"/>
        <family val="2"/>
      </rPr>
      <t xml:space="preserve">校验。</t>
    </r>
  </si>
  <si>
    <r>
      <rPr>
        <sz val="11"/>
        <rFont val="微软雅黑"/>
        <family val="0"/>
        <charset val="1"/>
      </rPr>
      <t xml:space="preserve">3. L / P / T </t>
    </r>
    <r>
      <rPr>
        <sz val="11"/>
        <rFont val="WenQuanYi Zen Hei"/>
        <family val="2"/>
      </rPr>
      <t xml:space="preserve">是「这个项目累计到这一行」的余额，和分表上同一笔的数一样；第 </t>
    </r>
    <r>
      <rPr>
        <sz val="11"/>
        <rFont val="微软雅黑"/>
        <family val="0"/>
        <charset val="1"/>
      </rPr>
      <t xml:space="preserve">3 </t>
    </r>
    <r>
      <rPr>
        <sz val="11"/>
        <rFont val="WenQuanYi Zen Hei"/>
        <family val="2"/>
      </rPr>
      <t xml:space="preserve">行是全部项目的合计。</t>
    </r>
  </si>
  <si>
    <r>
      <rPr>
        <sz val="11"/>
        <rFont val="微软雅黑"/>
        <family val="0"/>
        <charset val="1"/>
      </rPr>
      <t xml:space="preserve">4. </t>
    </r>
    <r>
      <rPr>
        <sz val="11"/>
        <rFont val="WenQuanYi Zen Hei"/>
        <family val="2"/>
      </rPr>
      <t xml:space="preserve">新业务直接往下面的空行录，不用插行（公式已经铺到第 </t>
    </r>
    <r>
      <rPr>
        <sz val="11"/>
        <rFont val="微软雅黑"/>
        <family val="0"/>
        <charset val="1"/>
      </rPr>
      <t xml:space="preserve">1003 </t>
    </r>
    <r>
      <rPr>
        <sz val="11"/>
        <rFont val="WenQuanYi Zen Hei"/>
        <family val="2"/>
      </rPr>
      <t xml:space="preserve">行），分表会按录入先后自动排进去。想插在项目中间也可以：先复制上面一整行，右键「插入复制的单元格」，再改内容——公式会跟着过来。</t>
    </r>
  </si>
  <si>
    <r>
      <rPr>
        <sz val="11"/>
        <rFont val="微软雅黑"/>
        <family val="0"/>
        <charset val="1"/>
      </rPr>
      <t xml:space="preserve">5. </t>
    </r>
    <r>
      <rPr>
        <sz val="11"/>
        <rFont val="WenQuanYi Zen Hei"/>
        <family val="2"/>
      </rPr>
      <t xml:space="preserve">录完看 </t>
    </r>
    <r>
      <rPr>
        <sz val="11"/>
        <rFont val="微软雅黑"/>
        <family val="0"/>
        <charset val="1"/>
      </rPr>
      <t xml:space="preserve">V </t>
    </r>
    <r>
      <rPr>
        <sz val="11"/>
        <rFont val="WenQuanYi Zen Hei"/>
        <family val="2"/>
      </rPr>
      <t xml:space="preserve">列：✓ 正常；⚠ 是错了要改（项目名称不在目录里、金额里有文字、管理费点填成了整数等）；△ 是提醒（摘要开头没写日期、同一天同项目同金额可能录重了）。</t>
    </r>
    <r>
      <rPr>
        <sz val="11"/>
        <rFont val="微软雅黑"/>
        <family val="0"/>
        <charset val="1"/>
      </rPr>
      <t xml:space="preserve">V3 </t>
    </r>
    <r>
      <rPr>
        <sz val="11"/>
        <rFont val="WenQuanYi Zen Hei"/>
        <family val="2"/>
      </rPr>
      <t xml:space="preserve">是整张表的检查结果。</t>
    </r>
  </si>
  <si>
    <t xml:space="preserve">三、常见业务的录法（照原来的习惯）</t>
  </si>
  <si>
    <r>
      <rPr>
        <sz val="11"/>
        <rFont val="微软雅黑"/>
        <family val="0"/>
        <charset val="1"/>
      </rPr>
      <t xml:space="preserve">1. </t>
    </r>
    <r>
      <rPr>
        <sz val="11"/>
        <rFont val="WenQuanYi Zen Hei"/>
        <family val="2"/>
      </rPr>
      <t xml:space="preserve">开销售票：</t>
    </r>
    <r>
      <rPr>
        <sz val="11"/>
        <rFont val="微软雅黑"/>
        <family val="0"/>
        <charset val="1"/>
      </rPr>
      <t xml:space="preserve">H </t>
    </r>
    <r>
      <rPr>
        <sz val="11"/>
        <rFont val="WenQuanYi Zen Hei"/>
        <family val="2"/>
      </rPr>
      <t xml:space="preserve">填开票金额，</t>
    </r>
    <r>
      <rPr>
        <sz val="11"/>
        <rFont val="微软雅黑"/>
        <family val="0"/>
        <charset val="1"/>
      </rPr>
      <t xml:space="preserve">G </t>
    </r>
    <r>
      <rPr>
        <sz val="11"/>
        <rFont val="WenQuanYi Zen Hei"/>
        <family val="2"/>
      </rPr>
      <t xml:space="preserve">填管理费点（没有管理费就空着）→ 管理费、应开成本票、应收款自动算。</t>
    </r>
  </si>
  <si>
    <r>
      <rPr>
        <sz val="11"/>
        <rFont val="微软雅黑"/>
        <family val="0"/>
        <charset val="1"/>
      </rPr>
      <t xml:space="preserve">2. </t>
    </r>
    <r>
      <rPr>
        <sz val="11"/>
        <rFont val="WenQuanYi Zen Hei"/>
        <family val="2"/>
      </rPr>
      <t xml:space="preserve">收到成本票（包括工资表挂账）：</t>
    </r>
    <r>
      <rPr>
        <sz val="11"/>
        <rFont val="微软雅黑"/>
        <family val="0"/>
        <charset val="1"/>
      </rPr>
      <t xml:space="preserve">K </t>
    </r>
    <r>
      <rPr>
        <sz val="11"/>
        <rFont val="WenQuanYi Zen Hei"/>
        <family val="2"/>
      </rPr>
      <t xml:space="preserve">填金额，可以跟开票写在同一行，也可以单独录一行。</t>
    </r>
  </si>
  <si>
    <r>
      <rPr>
        <sz val="11"/>
        <rFont val="微软雅黑"/>
        <family val="0"/>
        <charset val="1"/>
      </rPr>
      <t xml:space="preserve">3. </t>
    </r>
    <r>
      <rPr>
        <sz val="11"/>
        <rFont val="WenQuanYi Zen Hei"/>
        <family val="2"/>
      </rPr>
      <t xml:space="preserve">收到款：</t>
    </r>
    <r>
      <rPr>
        <sz val="11"/>
        <rFont val="微软雅黑"/>
        <family val="0"/>
        <charset val="1"/>
      </rPr>
      <t xml:space="preserve">O </t>
    </r>
    <r>
      <rPr>
        <sz val="11"/>
        <rFont val="WenQuanYi Zen Hei"/>
        <family val="2"/>
      </rPr>
      <t xml:space="preserve">填金额；回款里直接扣掉的税费、管理费、残保金、个税等，也录在 </t>
    </r>
    <r>
      <rPr>
        <sz val="11"/>
        <rFont val="微软雅黑"/>
        <family val="0"/>
        <charset val="1"/>
      </rPr>
      <t xml:space="preserve">O</t>
    </r>
    <r>
      <rPr>
        <sz val="11"/>
        <rFont val="WenQuanYi Zen Hei"/>
        <family val="2"/>
      </rPr>
      <t xml:space="preserve">，摘要写清楚扣的是什么。</t>
    </r>
  </si>
  <si>
    <r>
      <rPr>
        <sz val="11"/>
        <rFont val="微软雅黑"/>
        <family val="0"/>
        <charset val="1"/>
      </rPr>
      <t xml:space="preserve">4. </t>
    </r>
    <r>
      <rPr>
        <sz val="11"/>
        <rFont val="WenQuanYi Zen Hei"/>
        <family val="2"/>
      </rPr>
      <t xml:space="preserve">质保金：建议录在 </t>
    </r>
    <r>
      <rPr>
        <sz val="11"/>
        <rFont val="微软雅黑"/>
        <family val="0"/>
        <charset val="1"/>
      </rPr>
      <t xml:space="preserve">N </t>
    </r>
    <r>
      <rPr>
        <sz val="11"/>
        <rFont val="WenQuanYi Zen Hei"/>
        <family val="2"/>
      </rPr>
      <t xml:space="preserve">列（质保金），这样项目汇总里能单独看到扣了多少质保金；录在 </t>
    </r>
    <r>
      <rPr>
        <sz val="11"/>
        <rFont val="微软雅黑"/>
        <family val="0"/>
        <charset val="1"/>
      </rPr>
      <t xml:space="preserve">O </t>
    </r>
    <r>
      <rPr>
        <sz val="11"/>
        <rFont val="WenQuanYi Zen Hei"/>
        <family val="2"/>
      </rPr>
      <t xml:space="preserve">也会减未收款，只是看不出是质保金。</t>
    </r>
  </si>
  <si>
    <r>
      <rPr>
        <sz val="11"/>
        <rFont val="微软雅黑"/>
        <family val="0"/>
        <charset val="1"/>
      </rPr>
      <t xml:space="preserve">5. </t>
    </r>
    <r>
      <rPr>
        <sz val="11"/>
        <rFont val="WenQuanYi Zen Hei"/>
        <family val="2"/>
      </rPr>
      <t xml:space="preserve">付工程款 </t>
    </r>
    <r>
      <rPr>
        <sz val="11"/>
        <rFont val="微软雅黑"/>
        <family val="0"/>
        <charset val="1"/>
      </rPr>
      <t xml:space="preserve">/ </t>
    </r>
    <r>
      <rPr>
        <sz val="11"/>
        <rFont val="WenQuanYi Zen Hei"/>
        <family val="2"/>
      </rPr>
      <t xml:space="preserve">代付工资：</t>
    </r>
    <r>
      <rPr>
        <sz val="11"/>
        <rFont val="微软雅黑"/>
        <family val="0"/>
        <charset val="1"/>
      </rPr>
      <t xml:space="preserve">S </t>
    </r>
    <r>
      <rPr>
        <sz val="11"/>
        <rFont val="WenQuanYi Zen Hei"/>
        <family val="2"/>
      </rPr>
      <t xml:space="preserve">填金额；应付工程款录在 </t>
    </r>
    <r>
      <rPr>
        <sz val="11"/>
        <rFont val="微软雅黑"/>
        <family val="0"/>
        <charset val="1"/>
      </rPr>
      <t xml:space="preserve">Q</t>
    </r>
    <r>
      <rPr>
        <sz val="11"/>
        <rFont val="WenQuanYi Zen Hei"/>
        <family val="2"/>
      </rPr>
      <t xml:space="preserve">。</t>
    </r>
    <r>
      <rPr>
        <sz val="11"/>
        <rFont val="微软雅黑"/>
        <family val="0"/>
        <charset val="1"/>
      </rPr>
      <t xml:space="preserve">Q </t>
    </r>
    <r>
      <rPr>
        <sz val="11"/>
        <rFont val="WenQuanYi Zen Hei"/>
        <family val="2"/>
      </rPr>
      <t xml:space="preserve">不录的话，未付工程款就是负数（＝已付合计）。</t>
    </r>
  </si>
  <si>
    <r>
      <rPr>
        <sz val="11"/>
        <rFont val="微软雅黑"/>
        <family val="0"/>
        <charset val="1"/>
      </rPr>
      <t xml:space="preserve">6. </t>
    </r>
    <r>
      <rPr>
        <sz val="11"/>
        <rFont val="WenQuanYi Zen Hei"/>
        <family val="2"/>
      </rPr>
      <t xml:space="preserve">红冲或更正：不删原来那一行，另录一行负数（</t>
    </r>
    <r>
      <rPr>
        <sz val="11"/>
        <rFont val="微软雅黑"/>
        <family val="0"/>
        <charset val="1"/>
      </rPr>
      <t xml:space="preserve">H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K </t>
    </r>
    <r>
      <rPr>
        <sz val="11"/>
        <rFont val="WenQuanYi Zen Hei"/>
        <family val="2"/>
      </rPr>
      <t xml:space="preserve">或 </t>
    </r>
    <r>
      <rPr>
        <sz val="11"/>
        <rFont val="微软雅黑"/>
        <family val="0"/>
        <charset val="1"/>
      </rPr>
      <t xml:space="preserve">O </t>
    </r>
    <r>
      <rPr>
        <sz val="11"/>
        <rFont val="WenQuanYi Zen Hei"/>
        <family val="2"/>
      </rPr>
      <t xml:space="preserve">填负数），摘要写「红冲……」，合计和分表自动冲掉。</t>
    </r>
  </si>
  <si>
    <t xml:space="preserve">四、新增项目</t>
  </si>
  <si>
    <r>
      <rPr>
        <sz val="11"/>
        <rFont val="微软雅黑"/>
        <family val="0"/>
        <charset val="1"/>
      </rPr>
      <t xml:space="preserve">1. </t>
    </r>
    <r>
      <rPr>
        <sz val="11"/>
        <rFont val="WenQuanYi Zen Hei"/>
        <family val="2"/>
      </rPr>
      <t xml:space="preserve">目录里加一行：项目名称 </t>
    </r>
    <r>
      <rPr>
        <sz val="11"/>
        <rFont val="微软雅黑"/>
        <family val="0"/>
        <charset val="1"/>
      </rPr>
      <t xml:space="preserve">+ </t>
    </r>
    <r>
      <rPr>
        <sz val="11"/>
        <rFont val="WenQuanYi Zen Hei"/>
        <family val="2"/>
      </rPr>
      <t xml:space="preserve">项目简称。</t>
    </r>
  </si>
  <si>
    <r>
      <rPr>
        <sz val="11"/>
        <rFont val="微软雅黑"/>
        <family val="0"/>
        <charset val="1"/>
      </rPr>
      <t xml:space="preserve">2. </t>
    </r>
    <r>
      <rPr>
        <sz val="11"/>
        <rFont val="WenQuanYi Zen Hei"/>
        <family val="2"/>
      </rPr>
      <t xml:space="preserve">要单独一张分表：右键任意一张项目分表 →「移动或复制」→ 勾「建立副本」，把新表名改成这个简称（要和目录里的简称一字不差），再改一下第 </t>
    </r>
    <r>
      <rPr>
        <sz val="11"/>
        <rFont val="微软雅黑"/>
        <family val="0"/>
        <charset val="1"/>
      </rPr>
      <t xml:space="preserve">1 </t>
    </r>
    <r>
      <rPr>
        <sz val="11"/>
        <rFont val="WenQuanYi Zen Hei"/>
        <family val="2"/>
      </rPr>
      <t xml:space="preserve">行标题，数据自动出来。</t>
    </r>
  </si>
  <si>
    <r>
      <rPr>
        <sz val="11"/>
        <rFont val="微软雅黑"/>
        <family val="0"/>
        <charset val="1"/>
      </rPr>
      <t xml:space="preserve">3. </t>
    </r>
    <r>
      <rPr>
        <sz val="11"/>
        <rFont val="WenQuanYi Zen Hei"/>
        <family val="2"/>
      </rPr>
      <t xml:space="preserve">分表右上角 </t>
    </r>
    <r>
      <rPr>
        <sz val="11"/>
        <rFont val="微软雅黑"/>
        <family val="0"/>
        <charset val="1"/>
      </rPr>
      <t xml:space="preserve">V3 </t>
    </r>
    <r>
      <rPr>
        <sz val="11"/>
        <rFont val="WenQuanYi Zen Hei"/>
        <family val="2"/>
      </rPr>
      <t xml:space="preserve">是本表取数用的简称（自动取表名，也可以直接手填）；</t>
    </r>
    <r>
      <rPr>
        <sz val="11"/>
        <rFont val="微软雅黑"/>
        <family val="0"/>
        <charset val="1"/>
      </rPr>
      <t xml:space="preserve">V4 </t>
    </r>
    <r>
      <rPr>
        <sz val="11"/>
        <rFont val="WenQuanYi Zen Hei"/>
        <family val="2"/>
      </rPr>
      <t xml:space="preserve">显示共几笔，或者提示哪里不对。</t>
    </r>
  </si>
  <si>
    <r>
      <rPr>
        <sz val="11"/>
        <rFont val="微软雅黑"/>
        <family val="0"/>
        <charset val="1"/>
      </rPr>
      <t xml:space="preserve">4. </t>
    </r>
    <r>
      <rPr>
        <sz val="11"/>
        <rFont val="WenQuanYi Zen Hei"/>
        <family val="2"/>
      </rPr>
      <t xml:space="preserve">项目汇总会自动多出这个项目；「分表核对」显示「⚠ 还没建分表」，就是第 </t>
    </r>
    <r>
      <rPr>
        <sz val="11"/>
        <rFont val="微软雅黑"/>
        <family val="0"/>
        <charset val="1"/>
      </rPr>
      <t xml:space="preserve">2 </t>
    </r>
    <r>
      <rPr>
        <sz val="11"/>
        <rFont val="WenQuanYi Zen Hei"/>
        <family val="2"/>
      </rPr>
      <t xml:space="preserve">步还没做。</t>
    </r>
  </si>
  <si>
    <t xml:space="preserve">五、核对</t>
  </si>
  <si>
    <r>
      <rPr>
        <sz val="11"/>
        <rFont val="微软雅黑"/>
        <family val="0"/>
        <charset val="1"/>
      </rPr>
      <t xml:space="preserve">1. </t>
    </r>
    <r>
      <rPr>
        <sz val="11"/>
        <rFont val="WenQuanYi Zen Hei"/>
        <family val="2"/>
      </rPr>
      <t xml:space="preserve">发票统计 </t>
    </r>
    <r>
      <rPr>
        <sz val="11"/>
        <rFont val="微软雅黑"/>
        <family val="0"/>
        <charset val="1"/>
      </rPr>
      <t xml:space="preserve">V3 </t>
    </r>
    <r>
      <rPr>
        <sz val="11"/>
        <rFont val="WenQuanYi Zen Hei"/>
        <family val="2"/>
      </rPr>
      <t xml:space="preserve">显示「✓ 全部通过」（△ 只是提醒，看一眼没问题就行）。</t>
    </r>
  </si>
  <si>
    <r>
      <rPr>
        <sz val="11"/>
        <rFont val="微软雅黑"/>
        <family val="0"/>
        <charset val="1"/>
      </rPr>
      <t xml:space="preserve">2. </t>
    </r>
    <r>
      <rPr>
        <sz val="11"/>
        <rFont val="WenQuanYi Zen Hei"/>
        <family val="2"/>
      </rPr>
      <t xml:space="preserve">项目汇总第 </t>
    </r>
    <r>
      <rPr>
        <sz val="11"/>
        <rFont val="微软雅黑"/>
        <family val="0"/>
        <charset val="1"/>
      </rPr>
      <t xml:space="preserve">3 </t>
    </r>
    <r>
      <rPr>
        <sz val="11"/>
        <rFont val="WenQuanYi Zen Hei"/>
        <family val="2"/>
      </rPr>
      <t xml:space="preserve">行显示「✓ 与发票统计合计一致」，每个项目的「分表核对」都是 ✓。</t>
    </r>
  </si>
  <si>
    <r>
      <rPr>
        <sz val="11"/>
        <rFont val="微软雅黑"/>
        <family val="0"/>
        <charset val="1"/>
      </rPr>
      <t xml:space="preserve">3. </t>
    </r>
    <r>
      <rPr>
        <sz val="11"/>
        <rFont val="WenQuanYi Zen Hei"/>
        <family val="2"/>
      </rPr>
      <t xml:space="preserve">每张分表最多显示 </t>
    </r>
    <r>
      <rPr>
        <sz val="11"/>
        <rFont val="微软雅黑"/>
        <family val="0"/>
        <charset val="1"/>
      </rPr>
      <t xml:space="preserve">300 </t>
    </r>
    <r>
      <rPr>
        <sz val="11"/>
        <rFont val="WenQuanYi Zen Hei"/>
        <family val="2"/>
      </rPr>
      <t xml:space="preserve">笔，超过会在 </t>
    </r>
    <r>
      <rPr>
        <sz val="11"/>
        <rFont val="微软雅黑"/>
        <family val="0"/>
        <charset val="1"/>
      </rPr>
      <t xml:space="preserve">V4 </t>
    </r>
    <r>
      <rPr>
        <sz val="11"/>
        <rFont val="WenQuanYi Zen Hei"/>
        <family val="2"/>
      </rPr>
      <t xml:space="preserve">提示；发票统计公式铺到第 </t>
    </r>
    <r>
      <rPr>
        <sz val="11"/>
        <rFont val="微软雅黑"/>
        <family val="0"/>
        <charset val="1"/>
      </rPr>
      <t xml:space="preserve">1003 </t>
    </r>
    <r>
      <rPr>
        <sz val="11"/>
        <rFont val="WenQuanYi Zen Hei"/>
        <family val="2"/>
      </rPr>
      <t xml:space="preserve">行，快用完时把最后一行往下拉。</t>
    </r>
  </si>
  <si>
    <t xml:space="preserve">六、这次整理改了什么</t>
  </si>
  <si>
    <r>
      <rPr>
        <sz val="11"/>
        <rFont val="微软雅黑"/>
        <family val="0"/>
        <charset val="1"/>
      </rPr>
      <t xml:space="preserve">1. </t>
    </r>
    <r>
      <rPr>
        <sz val="11"/>
        <rFont val="WenQuanYi Zen Hei"/>
        <family val="2"/>
      </rPr>
      <t xml:space="preserve">分表原来用 </t>
    </r>
    <r>
      <rPr>
        <sz val="11"/>
        <rFont val="微软雅黑"/>
        <family val="0"/>
        <charset val="1"/>
      </rPr>
      <t xml:space="preserve">WPS </t>
    </r>
    <r>
      <rPr>
        <sz val="11"/>
        <rFont val="WenQuanYi Zen Hei"/>
        <family val="2"/>
      </rPr>
      <t xml:space="preserve">专用的 </t>
    </r>
    <r>
      <rPr>
        <sz val="11"/>
        <rFont val="微软雅黑"/>
        <family val="0"/>
        <charset val="1"/>
      </rPr>
      <t xml:space="preserve">FILTER + SHEETSNAME </t>
    </r>
    <r>
      <rPr>
        <sz val="11"/>
        <rFont val="WenQuanYi Zen Hei"/>
        <family val="2"/>
      </rPr>
      <t xml:space="preserve">取数，</t>
    </r>
    <r>
      <rPr>
        <sz val="11"/>
        <rFont val="微软雅黑"/>
        <family val="0"/>
        <charset val="1"/>
      </rPr>
      <t xml:space="preserve">Excel </t>
    </r>
    <r>
      <rPr>
        <sz val="11"/>
        <rFont val="WenQuanYi Zen Hei"/>
        <family val="2"/>
      </rPr>
      <t xml:space="preserve">打开是错的；现在换成通用公式，</t>
    </r>
    <r>
      <rPr>
        <sz val="11"/>
        <rFont val="微软雅黑"/>
        <family val="0"/>
        <charset val="1"/>
      </rPr>
      <t xml:space="preserve">WPS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Excel </t>
    </r>
    <r>
      <rPr>
        <sz val="11"/>
        <rFont val="WenQuanYi Zen Hei"/>
        <family val="2"/>
      </rPr>
      <t xml:space="preserve">都能用，表名 </t>
    </r>
    <r>
      <rPr>
        <sz val="11"/>
        <rFont val="微软雅黑"/>
        <family val="0"/>
        <charset val="1"/>
      </rPr>
      <t xml:space="preserve">= </t>
    </r>
    <r>
      <rPr>
        <sz val="11"/>
        <rFont val="WenQuanYi Zen Hei"/>
        <family val="2"/>
      </rPr>
      <t xml:space="preserve">简称的规则不变。</t>
    </r>
  </si>
  <si>
    <r>
      <rPr>
        <sz val="11"/>
        <rFont val="微软雅黑"/>
        <family val="0"/>
        <charset val="1"/>
      </rPr>
      <t xml:space="preserve">2. </t>
    </r>
    <r>
      <rPr>
        <sz val="11"/>
        <rFont val="WenQuanYi Zen Hei"/>
        <family val="2"/>
      </rPr>
      <t xml:space="preserve">发票统计的余额原来是整张表往下滚，中间插过行，好几处引用错位（如第 </t>
    </r>
    <r>
      <rPr>
        <sz val="11"/>
        <rFont val="微软雅黑"/>
        <family val="0"/>
        <charset val="1"/>
      </rPr>
      <t xml:space="preserve">10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81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82 </t>
    </r>
    <r>
      <rPr>
        <sz val="11"/>
        <rFont val="WenQuanYi Zen Hei"/>
        <family val="2"/>
      </rPr>
      <t xml:space="preserve">行）；现在改成按项目累计，插行、排序都不会错。</t>
    </r>
  </si>
  <si>
    <r>
      <rPr>
        <sz val="11"/>
        <rFont val="微软雅黑"/>
        <family val="0"/>
        <charset val="1"/>
      </rPr>
      <t xml:space="preserve">3. </t>
    </r>
    <r>
      <rPr>
        <sz val="11"/>
        <rFont val="WenQuanYi Zen Hei"/>
        <family val="2"/>
      </rPr>
      <t xml:space="preserve">合计行：未收款原来漏减质保金，未付工程款原来把每一行的余额加在一起，都已改正。</t>
    </r>
  </si>
  <si>
    <r>
      <rPr>
        <sz val="11"/>
        <rFont val="微软雅黑"/>
        <family val="0"/>
        <charset val="1"/>
      </rPr>
      <t xml:space="preserve">4. </t>
    </r>
    <r>
      <rPr>
        <sz val="11"/>
        <rFont val="WenQuanYi Zen Hei"/>
        <family val="2"/>
      </rPr>
      <t xml:space="preserve">原来有几行没拉公式（第 </t>
    </r>
    <r>
      <rPr>
        <sz val="11"/>
        <rFont val="微软雅黑"/>
        <family val="0"/>
        <charset val="1"/>
      </rPr>
      <t xml:space="preserve">50</t>
    </r>
    <r>
      <rPr>
        <sz val="11"/>
        <rFont val="WenQuanYi Zen Hei"/>
        <family val="2"/>
      </rPr>
      <t xml:space="preserve">、</t>
    </r>
    <r>
      <rPr>
        <sz val="11"/>
        <rFont val="微软雅黑"/>
        <family val="0"/>
        <charset val="1"/>
      </rPr>
      <t xml:space="preserve">51 </t>
    </r>
    <r>
      <rPr>
        <sz val="11"/>
        <rFont val="WenQuanYi Zen Hei"/>
        <family val="2"/>
      </rPr>
      <t xml:space="preserve">行），应开成本票、应收款少算了；现在所有行统一用同一套公式。</t>
    </r>
  </si>
  <si>
    <r>
      <rPr>
        <sz val="11"/>
        <rFont val="微软雅黑"/>
        <family val="0"/>
        <charset val="1"/>
      </rPr>
      <t xml:space="preserve">5. </t>
    </r>
    <r>
      <rPr>
        <sz val="11"/>
        <rFont val="WenQuanYi Zen Hei"/>
        <family val="2"/>
      </rPr>
      <t xml:space="preserve">新增 </t>
    </r>
    <r>
      <rPr>
        <sz val="11"/>
        <rFont val="微软雅黑"/>
        <family val="0"/>
        <charset val="1"/>
      </rPr>
      <t xml:space="preserve">V </t>
    </r>
    <r>
      <rPr>
        <sz val="11"/>
        <rFont val="WenQuanYi Zen Hei"/>
        <family val="2"/>
      </rPr>
      <t xml:space="preserve">列校验、</t>
    </r>
    <r>
      <rPr>
        <sz val="11"/>
        <rFont val="微软雅黑"/>
        <family val="0"/>
        <charset val="1"/>
      </rPr>
      <t xml:space="preserve">C </t>
    </r>
    <r>
      <rPr>
        <sz val="11"/>
        <rFont val="WenQuanYi Zen Hei"/>
        <family val="2"/>
      </rPr>
      <t xml:space="preserve">列下拉、项目汇总、本说明；合川瑞翔分表标题原来抄成了云龙社区，已改正；目录补上序号 </t>
    </r>
    <r>
      <rPr>
        <sz val="11"/>
        <rFont val="微软雅黑"/>
        <family val="0"/>
        <charset val="1"/>
      </rPr>
      <t xml:space="preserve">10-12</t>
    </r>
    <r>
      <rPr>
        <sz val="11"/>
        <rFont val="WenQuanYi Zen Hei"/>
        <family val="2"/>
      </rPr>
      <t xml:space="preserve">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</si>
</sst>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_ "/>
    <numFmt numFmtId="167" formatCode="_ * #,##0.00_ ;_ * \-#,##0.00_ ;_ * \-??_ ;_ @_ "/>
    <numFmt numFmtId="168" formatCode="General"/>
  </numFmts>
  <fonts count="23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微软雅黑"/>
      <family val="0"/>
      <charset val="134"/>
    </font>
    <font>
      <sz val="11"/>
      <color theme="1"/>
      <name val="WenQuanYi Zen Hei"/>
      <family val="2"/>
    </font>
    <font>
      <u val="single"/>
      <sz val="11"/>
      <color rgb="FF800080"/>
      <name val="WenQuanYi Zen Hei"/>
      <family val="2"/>
    </font>
    <font>
      <u val="single"/>
      <sz val="11"/>
      <color rgb="FF0000FF"/>
      <name val="宋体"/>
      <family val="0"/>
    </font>
    <font>
      <u val="single"/>
      <sz val="11"/>
      <color rgb="FF0000FF"/>
      <name val="WenQuanYi Zen Hei"/>
      <family val="2"/>
    </font>
    <font>
      <b val="true"/>
      <sz val="24"/>
      <color theme="1"/>
      <name val="WenQuanYi Zen Hei"/>
      <family val="2"/>
    </font>
    <font>
      <b val="true"/>
      <sz val="11"/>
      <color theme="0"/>
      <name val="WenQuanYi Zen Hei"/>
      <family val="2"/>
    </font>
    <font>
      <b val="true"/>
      <sz val="11"/>
      <color theme="0"/>
      <name val="微软雅黑"/>
      <family val="0"/>
      <charset val="134"/>
    </font>
    <font>
      <b val="true"/>
      <sz val="10"/>
      <color theme="0"/>
      <name val="微软雅黑"/>
      <family val="0"/>
      <charset val="134"/>
    </font>
    <font>
      <u val="single"/>
      <sz val="11"/>
      <color rgb="FF0563C1"/>
      <name val="WenQuanYi Zen Hei"/>
      <family val="2"/>
    </font>
    <font>
      <b val="true"/>
      <sz val="24"/>
      <color theme="1"/>
      <name val="微软雅黑"/>
      <family val="0"/>
      <charset val="134"/>
    </font>
    <font>
      <b val="true"/>
      <sz val="10"/>
      <color theme="0"/>
      <name val="WenQuanYi Zen Hei"/>
      <family val="2"/>
    </font>
    <font>
      <sz val="10"/>
      <color theme="1"/>
      <name val="WenQuanYi Zen Hei"/>
      <family val="2"/>
    </font>
    <font>
      <sz val="24"/>
      <color theme="1"/>
      <name val="WenQuanYi Zen Hei"/>
      <family val="2"/>
    </font>
    <font>
      <sz val="24"/>
      <color theme="1"/>
      <name val="微软雅黑"/>
      <family val="0"/>
      <charset val="134"/>
    </font>
    <font>
      <b val="true"/>
      <sz val="18"/>
      <name val="WenQuanYi Zen Hei"/>
      <family val="2"/>
    </font>
    <font>
      <b val="true"/>
      <sz val="12"/>
      <color rgb="FF1F4E79"/>
      <name val="WenQuanYi Zen Hei"/>
      <family val="2"/>
    </font>
    <font>
      <sz val="11"/>
      <name val="微软雅黑"/>
      <family val="0"/>
      <charset val="1"/>
    </font>
    <font>
      <sz val="11"/>
      <name val="WenQuanYi Zen He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-0.25"/>
        <bgColor rgb="FF008080"/>
      </patternFill>
    </fill>
    <fill>
      <patternFill patternType="solid">
        <fgColor theme="4" tint="0.4"/>
        <bgColor rgb="FF969696"/>
      </patternFill>
    </fill>
    <fill>
      <patternFill patternType="solid">
        <fgColor theme="8" tint="0.4"/>
        <bgColor rgb="FFACD78E"/>
      </patternFill>
    </fill>
    <fill>
      <patternFill patternType="solid">
        <fgColor theme="6" tint="0.4"/>
        <bgColor rgb="FFFFCC00"/>
      </patternFill>
    </fill>
    <fill>
      <patternFill patternType="solid">
        <fgColor theme="9" tint="0.6"/>
        <bgColor rgb="FFEF949E"/>
      </patternFill>
    </fill>
    <fill>
      <patternFill patternType="solid">
        <fgColor theme="7" tint="0.4"/>
        <bgColor rgb="FF92D050"/>
      </patternFill>
    </fill>
    <fill>
      <patternFill patternType="solid">
        <fgColor theme="9" tint="0.4"/>
        <bgColor rgb="FFFF8080"/>
      </patternFill>
    </fill>
    <fill>
      <patternFill patternType="solid">
        <fgColor rgb="FF92D050"/>
        <bgColor rgb="FFACD78E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5">
    <dxf>
      <fill>
        <patternFill patternType="solid">
          <fgColor rgb="FF249087"/>
          <bgColor rgb="FF000000"/>
        </patternFill>
      </fill>
    </dxf>
    <dxf>
      <fill>
        <patternFill patternType="solid">
          <fgColor rgb="FF91ACE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EF949E"/>
          <bgColor rgb="FF000000"/>
        </patternFill>
      </fill>
    </dxf>
    <dxf>
      <fill>
        <patternFill patternType="solid">
          <fgColor rgb="FFFED9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DDFD6"/>
          <bgColor rgb="FF000000"/>
        </patternFill>
      </fill>
    </dxf>
    <dxf>
      <fill>
        <patternFill patternType="solid">
          <fgColor rgb="FFF5B7BF"/>
          <bgColor rgb="FF000000"/>
        </patternFill>
      </fill>
    </dxf>
    <dxf>
      <fill>
        <patternFill patternType="solid">
          <fgColor rgb="FFACD78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b val="1"/>
        <color rgb="FFC00000"/>
      </font>
    </dxf>
    <dxf>
      <font>
        <color rgb="FFC659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CD78E"/>
      <rgbColor rgb="FF808080"/>
      <rgbColor rgb="FF91ACE0"/>
      <rgbColor rgb="FF993366"/>
      <rgbColor rgb="FFFFFFCC"/>
      <rgbColor rgb="FFCCFFFF"/>
      <rgbColor rgb="FF660066"/>
      <rgbColor rgb="FFFF8080"/>
      <rgbColor rgb="FF0563C1"/>
      <rgbColor rgb="FFF5B7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DDFD6"/>
      <rgbColor rgb="FFEF949E"/>
      <rgbColor rgb="FFCC99FF"/>
      <rgbColor rgb="FFFED961"/>
      <rgbColor rgb="FF3366FF"/>
      <rgbColor rgb="FF33CCCC"/>
      <rgbColor rgb="FF92D050"/>
      <rgbColor rgb="FFFFCC00"/>
      <rgbColor rgb="FFFF9900"/>
      <rgbColor rgb="FFC65911"/>
      <rgbColor rgb="FF666699"/>
      <rgbColor rgb="FF969696"/>
      <rgbColor rgb="FF003366"/>
      <rgbColor rgb="FF24908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73046875" defaultRowHeight="16.5" zeroHeight="false" outlineLevelRow="0" outlineLevelCol="0"/>
  <cols>
    <col collapsed="false" customWidth="true" hidden="false" outlineLevel="0" max="1" min="1" style="1" width="5.73"/>
    <col collapsed="false" customWidth="true" hidden="false" outlineLevel="0" max="2" min="2" style="1" width="10.09"/>
    <col collapsed="false" customWidth="true" hidden="false" outlineLevel="0" max="3" min="3" style="1" width="46.54"/>
    <col collapsed="false" customWidth="true" hidden="false" outlineLevel="0" max="4" min="4" style="1" width="22.09"/>
    <col collapsed="false" customWidth="false" hidden="false" outlineLevel="0" max="5" min="5" style="1" width="8.73"/>
    <col collapsed="false" customWidth="false" hidden="true" outlineLevel="0" max="6" min="6" style="1" width="8.73"/>
    <col collapsed="false" customWidth="false" hidden="false" outlineLevel="0" max="16384" min="7" style="1" width="8.73"/>
  </cols>
  <sheetData>
    <row r="1" customFormat="false" ht="16.5" hidden="false" customHeight="false" outlineLevel="0" collapsed="false">
      <c r="A1" s="2" t="s">
        <v>0</v>
      </c>
      <c r="B1" s="2"/>
      <c r="C1" s="2"/>
      <c r="D1" s="2"/>
    </row>
    <row r="2" customFormat="false" ht="16.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</row>
    <row r="3" customFormat="false" ht="16.5" hidden="false" customHeight="false" outlineLevel="0" collapsed="false">
      <c r="A3" s="3" t="n">
        <v>1</v>
      </c>
      <c r="B3" s="3" t="s">
        <v>6</v>
      </c>
      <c r="C3" s="4" t="s">
        <v>7</v>
      </c>
      <c r="D3" s="3"/>
      <c r="F3" s="1" t="n">
        <f aca="false">IF(C3="","",IF(COUNTIF(C$3:C3,C3)=1,MAX(F$2:F2)+1,""))</f>
        <v>1</v>
      </c>
    </row>
    <row r="4" customFormat="false" ht="16.5" hidden="false" customHeight="false" outlineLevel="0" collapsed="false">
      <c r="A4" s="3" t="n">
        <v>2</v>
      </c>
      <c r="B4" s="3" t="s">
        <v>8</v>
      </c>
      <c r="C4" s="4" t="s">
        <v>9</v>
      </c>
      <c r="D4" s="3"/>
      <c r="F4" s="1" t="n">
        <f aca="false">IF(C4="","",IF(COUNTIF(C$3:C4,C4)=1,MAX(F$2:F3)+1,""))</f>
        <v>2</v>
      </c>
    </row>
    <row r="5" customFormat="false" ht="16.5" hidden="false" customHeight="false" outlineLevel="0" collapsed="false">
      <c r="A5" s="3" t="n">
        <v>3</v>
      </c>
      <c r="B5" s="3" t="s">
        <v>10</v>
      </c>
      <c r="C5" s="4" t="s">
        <v>11</v>
      </c>
      <c r="D5" s="3"/>
      <c r="F5" s="1" t="n">
        <f aca="false">IF(C5="","",IF(COUNTIF(C$3:C5,C5)=1,MAX(F$2:F4)+1,""))</f>
        <v>3</v>
      </c>
    </row>
    <row r="6" customFormat="false" ht="16.5" hidden="false" customHeight="false" outlineLevel="0" collapsed="false">
      <c r="A6" s="3" t="n">
        <v>4</v>
      </c>
      <c r="B6" s="3" t="s">
        <v>12</v>
      </c>
      <c r="C6" s="4" t="s">
        <v>13</v>
      </c>
      <c r="D6" s="3"/>
      <c r="F6" s="1" t="n">
        <f aca="false">IF(C6="","",IF(COUNTIF(C$3:C6,C6)=1,MAX(F$2:F5)+1,""))</f>
        <v>4</v>
      </c>
    </row>
    <row r="7" customFormat="false" ht="16.5" hidden="false" customHeight="false" outlineLevel="0" collapsed="false">
      <c r="A7" s="3" t="n">
        <v>5</v>
      </c>
      <c r="B7" s="3" t="s">
        <v>14</v>
      </c>
      <c r="C7" s="5" t="s">
        <v>15</v>
      </c>
      <c r="D7" s="3"/>
      <c r="F7" s="1" t="str">
        <f aca="false">IF(C7="","",IF(COUNTIF(C$3:C7,C7)=1,MAX(F$2:F6)+1,""))</f>
        <v/>
      </c>
    </row>
    <row r="8" customFormat="false" ht="16.5" hidden="false" customHeight="false" outlineLevel="0" collapsed="false">
      <c r="A8" s="3" t="n">
        <v>6</v>
      </c>
      <c r="B8" s="3" t="s">
        <v>16</v>
      </c>
      <c r="C8" s="5" t="s">
        <v>15</v>
      </c>
      <c r="D8" s="3"/>
      <c r="F8" s="1" t="str">
        <f aca="false">IF(C8="","",IF(COUNTIF(C$3:C8,C8)=1,MAX(F$2:F7)+1,""))</f>
        <v/>
      </c>
    </row>
    <row r="9" customFormat="false" ht="16.5" hidden="false" customHeight="false" outlineLevel="0" collapsed="false">
      <c r="A9" s="3" t="n">
        <v>7</v>
      </c>
      <c r="B9" s="3" t="s">
        <v>17</v>
      </c>
      <c r="C9" s="5" t="s">
        <v>15</v>
      </c>
      <c r="D9" s="3"/>
      <c r="F9" s="1" t="str">
        <f aca="false">IF(C9="","",IF(COUNTIF(C$3:C9,C9)=1,MAX(F$2:F8)+1,""))</f>
        <v/>
      </c>
    </row>
    <row r="10" customFormat="false" ht="16.5" hidden="false" customHeight="false" outlineLevel="0" collapsed="false">
      <c r="A10" s="3" t="n">
        <v>8</v>
      </c>
      <c r="B10" s="3" t="s">
        <v>18</v>
      </c>
      <c r="C10" s="4" t="s">
        <v>19</v>
      </c>
      <c r="D10" s="3"/>
      <c r="F10" s="1" t="n">
        <f aca="false">IF(C10="","",IF(COUNTIF(C$3:C10,C10)=1,MAX(F$2:F9)+1,""))</f>
        <v>5</v>
      </c>
    </row>
    <row r="11" customFormat="false" ht="16.5" hidden="false" customHeight="false" outlineLevel="0" collapsed="false">
      <c r="A11" s="3" t="n">
        <v>9</v>
      </c>
      <c r="B11" s="3" t="s">
        <v>20</v>
      </c>
      <c r="C11" s="6" t="s">
        <v>21</v>
      </c>
      <c r="D11" s="3"/>
      <c r="F11" s="1" t="n">
        <f aca="false">IF(C11="","",IF(COUNTIF(C$3:C11,C11)=1,MAX(F$2:F10)+1,""))</f>
        <v>6</v>
      </c>
    </row>
    <row r="12" customFormat="false" ht="16.5" hidden="false" customHeight="false" outlineLevel="0" collapsed="false">
      <c r="A12" s="3" t="n">
        <v>10</v>
      </c>
      <c r="B12" s="3"/>
      <c r="C12" s="3"/>
      <c r="D12" s="3"/>
      <c r="F12" s="1" t="str">
        <f aca="false">IF(C12="","",IF(COUNTIF(C$3:C12,C12)=1,MAX(F$2:F11)+1,""))</f>
        <v/>
      </c>
    </row>
    <row r="13" customFormat="false" ht="16.5" hidden="false" customHeight="false" outlineLevel="0" collapsed="false">
      <c r="A13" s="3" t="n">
        <v>11</v>
      </c>
      <c r="B13" s="3"/>
      <c r="C13" s="3"/>
      <c r="D13" s="3"/>
      <c r="F13" s="1" t="str">
        <f aca="false">IF(C13="","",IF(COUNTIF(C$3:C13,C13)=1,MAX(F$2:F12)+1,""))</f>
        <v/>
      </c>
    </row>
    <row r="14" customFormat="false" ht="16.5" hidden="false" customHeight="false" outlineLevel="0" collapsed="false">
      <c r="A14" s="3" t="n">
        <v>12</v>
      </c>
      <c r="B14" s="3"/>
      <c r="C14" s="3"/>
      <c r="D14" s="3"/>
      <c r="F14" s="1" t="str">
        <f aca="false">IF(C14="","",IF(COUNTIF(C$3:C14,C14)=1,MAX(F$2:F13)+1,""))</f>
        <v/>
      </c>
    </row>
    <row r="15" customFormat="false" ht="16.5" hidden="false" customHeight="false" outlineLevel="0" collapsed="false">
      <c r="A15" s="3" t="n">
        <v>13</v>
      </c>
      <c r="B15" s="3"/>
      <c r="C15" s="3"/>
      <c r="D15" s="3"/>
      <c r="F15" s="1" t="str">
        <f aca="false">IF(C15="","",IF(COUNTIF(C$3:C15,C15)=1,MAX(F$2:F14)+1,""))</f>
        <v/>
      </c>
    </row>
    <row r="16" customFormat="false" ht="16.5" hidden="false" customHeight="false" outlineLevel="0" collapsed="false">
      <c r="A16" s="3" t="n">
        <v>14</v>
      </c>
      <c r="B16" s="3"/>
      <c r="C16" s="3"/>
      <c r="D16" s="3"/>
      <c r="F16" s="1" t="str">
        <f aca="false">IF(C16="","",IF(COUNTIF(C$3:C16,C16)=1,MAX(F$2:F15)+1,""))</f>
        <v/>
      </c>
    </row>
    <row r="17" customFormat="false" ht="16.5" hidden="false" customHeight="false" outlineLevel="0" collapsed="false">
      <c r="A17" s="3" t="n">
        <v>15</v>
      </c>
      <c r="B17" s="3"/>
      <c r="C17" s="3"/>
      <c r="D17" s="3"/>
      <c r="F17" s="1" t="str">
        <f aca="false">IF(C17="","",IF(COUNTIF(C$3:C17,C17)=1,MAX(F$2:F16)+1,""))</f>
        <v/>
      </c>
    </row>
    <row r="18" customFormat="false" ht="16.5" hidden="false" customHeight="false" outlineLevel="0" collapsed="false">
      <c r="A18" s="3" t="n">
        <v>16</v>
      </c>
      <c r="B18" s="3"/>
      <c r="C18" s="3"/>
      <c r="D18" s="3"/>
      <c r="F18" s="1" t="str">
        <f aca="false">IF(C18="","",IF(COUNTIF(C$3:C18,C18)=1,MAX(F$2:F17)+1,""))</f>
        <v/>
      </c>
    </row>
    <row r="19" customFormat="false" ht="16.5" hidden="false" customHeight="false" outlineLevel="0" collapsed="false">
      <c r="A19" s="3" t="n">
        <v>17</v>
      </c>
      <c r="B19" s="3"/>
      <c r="C19" s="3"/>
      <c r="D19" s="3"/>
      <c r="F19" s="1" t="str">
        <f aca="false">IF(C19="","",IF(COUNTIF(C$3:C19,C19)=1,MAX(F$2:F18)+1,""))</f>
        <v/>
      </c>
    </row>
    <row r="20" customFormat="false" ht="16.5" hidden="false" customHeight="false" outlineLevel="0" collapsed="false">
      <c r="A20" s="3" t="n">
        <v>18</v>
      </c>
      <c r="B20" s="3"/>
      <c r="C20" s="3"/>
      <c r="D20" s="3"/>
      <c r="F20" s="1" t="str">
        <f aca="false">IF(C20="","",IF(COUNTIF(C$3:C20,C20)=1,MAX(F$2:F19)+1,""))</f>
        <v/>
      </c>
    </row>
    <row r="21" customFormat="false" ht="16.5" hidden="false" customHeight="false" outlineLevel="0" collapsed="false">
      <c r="A21" s="3" t="n">
        <v>19</v>
      </c>
      <c r="B21" s="3"/>
      <c r="C21" s="3"/>
      <c r="D21" s="3"/>
      <c r="F21" s="1" t="str">
        <f aca="false">IF(C21="","",IF(COUNTIF(C$3:C21,C21)=1,MAX(F$2:F20)+1,""))</f>
        <v/>
      </c>
    </row>
    <row r="22" customFormat="false" ht="16.5" hidden="false" customHeight="false" outlineLevel="0" collapsed="false">
      <c r="A22" s="3" t="n">
        <v>20</v>
      </c>
      <c r="B22" s="3"/>
      <c r="C22" s="3"/>
      <c r="D22" s="3"/>
      <c r="F22" s="1" t="str">
        <f aca="false">IF(C22="","",IF(COUNTIF(C$3:C22,C22)=1,MAX(F$2:F21)+1,""))</f>
        <v/>
      </c>
    </row>
    <row r="23" customFormat="false" ht="16.5" hidden="false" customHeight="false" outlineLevel="0" collapsed="false">
      <c r="F23" s="1" t="str">
        <f aca="false">IF(C23="","",IF(COUNTIF(C$3:C23,C23)=1,MAX(F$2:F22)+1,""))</f>
        <v/>
      </c>
    </row>
    <row r="24" customFormat="false" ht="16.5" hidden="false" customHeight="false" outlineLevel="0" collapsed="false">
      <c r="F24" s="1" t="str">
        <f aca="false">IF(C24="","",IF(COUNTIF(C$3:C24,C24)=1,MAX(F$2:F23)+1,""))</f>
        <v/>
      </c>
    </row>
    <row r="25" customFormat="false" ht="16.5" hidden="false" customHeight="false" outlineLevel="0" collapsed="false">
      <c r="F25" s="1" t="str">
        <f aca="false">IF(C25="","",IF(COUNTIF(C$3:C25,C25)=1,MAX(F$2:F24)+1,""))</f>
        <v/>
      </c>
    </row>
    <row r="26" customFormat="false" ht="16.5" hidden="false" customHeight="false" outlineLevel="0" collapsed="false">
      <c r="F26" s="1" t="str">
        <f aca="false">IF(C26="","",IF(COUNTIF(C$3:C26,C26)=1,MAX(F$2:F25)+1,""))</f>
        <v/>
      </c>
    </row>
    <row r="27" customFormat="false" ht="16.5" hidden="false" customHeight="false" outlineLevel="0" collapsed="false">
      <c r="F27" s="1" t="str">
        <f aca="false">IF(C27="","",IF(COUNTIF(C$3:C27,C27)=1,MAX(F$2:F26)+1,""))</f>
        <v/>
      </c>
    </row>
    <row r="28" customFormat="false" ht="16.5" hidden="false" customHeight="false" outlineLevel="0" collapsed="false">
      <c r="F28" s="1" t="str">
        <f aca="false">IF(C28="","",IF(COUNTIF(C$3:C28,C28)=1,MAX(F$2:F27)+1,""))</f>
        <v/>
      </c>
    </row>
    <row r="29" customFormat="false" ht="16.5" hidden="false" customHeight="false" outlineLevel="0" collapsed="false">
      <c r="F29" s="1" t="str">
        <f aca="false">IF(C29="","",IF(COUNTIF(C$3:C29,C29)=1,MAX(F$2:F28)+1,""))</f>
        <v/>
      </c>
    </row>
    <row r="30" customFormat="false" ht="16.5" hidden="false" customHeight="false" outlineLevel="0" collapsed="false">
      <c r="F30" s="1" t="str">
        <f aca="false">IF(C30="","",IF(COUNTIF(C$3:C30,C30)=1,MAX(F$2:F29)+1,""))</f>
        <v/>
      </c>
    </row>
    <row r="31" customFormat="false" ht="16.5" hidden="false" customHeight="false" outlineLevel="0" collapsed="false">
      <c r="F31" s="1" t="str">
        <f aca="false">IF(C31="","",IF(COUNTIF(C$3:C31,C31)=1,MAX(F$2:F30)+1,""))</f>
        <v/>
      </c>
    </row>
    <row r="32" customFormat="false" ht="16.5" hidden="false" customHeight="false" outlineLevel="0" collapsed="false">
      <c r="F32" s="1" t="str">
        <f aca="false">IF(C32="","",IF(COUNTIF(C$3:C32,C32)=1,MAX(F$2:F31)+1,""))</f>
        <v/>
      </c>
    </row>
    <row r="33" customFormat="false" ht="16.5" hidden="false" customHeight="false" outlineLevel="0" collapsed="false">
      <c r="F33" s="1" t="str">
        <f aca="false">IF(C33="","",IF(COUNTIF(C$3:C33,C33)=1,MAX(F$2:F32)+1,""))</f>
        <v/>
      </c>
    </row>
    <row r="34" customFormat="false" ht="16.5" hidden="false" customHeight="false" outlineLevel="0" collapsed="false">
      <c r="F34" s="1" t="str">
        <f aca="false">IF(C34="","",IF(COUNTIF(C$3:C34,C34)=1,MAX(F$2:F33)+1,""))</f>
        <v/>
      </c>
    </row>
    <row r="35" customFormat="false" ht="16.5" hidden="false" customHeight="false" outlineLevel="0" collapsed="false">
      <c r="F35" s="1" t="str">
        <f aca="false">IF(C35="","",IF(COUNTIF(C$3:C35,C35)=1,MAX(F$2:F34)+1,""))</f>
        <v/>
      </c>
    </row>
    <row r="36" customFormat="false" ht="16.5" hidden="false" customHeight="false" outlineLevel="0" collapsed="false">
      <c r="F36" s="1" t="str">
        <f aca="false">IF(C36="","",IF(COUNTIF(C$3:C36,C36)=1,MAX(F$2:F35)+1,""))</f>
        <v/>
      </c>
    </row>
    <row r="37" customFormat="false" ht="16.5" hidden="false" customHeight="false" outlineLevel="0" collapsed="false">
      <c r="F37" s="1" t="str">
        <f aca="false">IF(C37="","",IF(COUNTIF(C$3:C37,C37)=1,MAX(F$2:F36)+1,""))</f>
        <v/>
      </c>
    </row>
    <row r="38" customFormat="false" ht="16.5" hidden="false" customHeight="false" outlineLevel="0" collapsed="false">
      <c r="F38" s="1" t="str">
        <f aca="false">IF(C38="","",IF(COUNTIF(C$3:C38,C38)=1,MAX(F$2:F37)+1,""))</f>
        <v/>
      </c>
    </row>
    <row r="39" customFormat="false" ht="16.5" hidden="false" customHeight="false" outlineLevel="0" collapsed="false">
      <c r="F39" s="1" t="str">
        <f aca="false">IF(C39="","",IF(COUNTIF(C$3:C39,C39)=1,MAX(F$2:F38)+1,""))</f>
        <v/>
      </c>
    </row>
    <row r="40" customFormat="false" ht="16.5" hidden="false" customHeight="false" outlineLevel="0" collapsed="false">
      <c r="F40" s="1" t="str">
        <f aca="false">IF(C40="","",IF(COUNTIF(C$3:C40,C40)=1,MAX(F$2:F39)+1,""))</f>
        <v/>
      </c>
    </row>
    <row r="41" customFormat="false" ht="16.5" hidden="false" customHeight="false" outlineLevel="0" collapsed="false">
      <c r="F41" s="1" t="str">
        <f aca="false">IF(C41="","",IF(COUNTIF(C$3:C41,C41)=1,MAX(F$2:F40)+1,""))</f>
        <v/>
      </c>
    </row>
    <row r="42" customFormat="false" ht="16.5" hidden="false" customHeight="false" outlineLevel="0" collapsed="false">
      <c r="F42" s="1" t="str">
        <f aca="false">IF(C42="","",IF(COUNTIF(C$3:C42,C42)=1,MAX(F$2:F41)+1,""))</f>
        <v/>
      </c>
    </row>
    <row r="43" customFormat="false" ht="16.5" hidden="false" customHeight="false" outlineLevel="0" collapsed="false">
      <c r="F43" s="1" t="str">
        <f aca="false">IF(C43="","",IF(COUNTIF(C$3:C43,C43)=1,MAX(F$2:F42)+1,""))</f>
        <v/>
      </c>
    </row>
    <row r="44" customFormat="false" ht="16.5" hidden="false" customHeight="false" outlineLevel="0" collapsed="false">
      <c r="F44" s="1" t="str">
        <f aca="false">IF(C44="","",IF(COUNTIF(C$3:C44,C44)=1,MAX(F$2:F43)+1,""))</f>
        <v/>
      </c>
    </row>
    <row r="45" customFormat="false" ht="16.5" hidden="false" customHeight="false" outlineLevel="0" collapsed="false">
      <c r="F45" s="1" t="str">
        <f aca="false">IF(C45="","",IF(COUNTIF(C$3:C45,C45)=1,MAX(F$2:F44)+1,""))</f>
        <v/>
      </c>
    </row>
    <row r="46" customFormat="false" ht="16.5" hidden="false" customHeight="false" outlineLevel="0" collapsed="false">
      <c r="F46" s="1" t="str">
        <f aca="false">IF(C46="","",IF(COUNTIF(C$3:C46,C46)=1,MAX(F$2:F45)+1,""))</f>
        <v/>
      </c>
    </row>
    <row r="47" customFormat="false" ht="16.5" hidden="false" customHeight="false" outlineLevel="0" collapsed="false">
      <c r="F47" s="1" t="str">
        <f aca="false">IF(C47="","",IF(COUNTIF(C$3:C47,C47)=1,MAX(F$2:F46)+1,""))</f>
        <v/>
      </c>
    </row>
    <row r="48" customFormat="false" ht="16.5" hidden="false" customHeight="false" outlineLevel="0" collapsed="false">
      <c r="F48" s="1" t="str">
        <f aca="false">IF(C48="","",IF(COUNTIF(C$3:C48,C48)=1,MAX(F$2:F47)+1,""))</f>
        <v/>
      </c>
    </row>
    <row r="49" customFormat="false" ht="16.5" hidden="false" customHeight="false" outlineLevel="0" collapsed="false">
      <c r="F49" s="1" t="str">
        <f aca="false">IF(C49="","",IF(COUNTIF(C$3:C49,C49)=1,MAX(F$2:F48)+1,""))</f>
        <v/>
      </c>
    </row>
    <row r="50" customFormat="false" ht="16.5" hidden="false" customHeight="false" outlineLevel="0" collapsed="false">
      <c r="F50" s="1" t="str">
        <f aca="false">IF(C50="","",IF(COUNTIF(C$3:C50,C50)=1,MAX(F$2:F49)+1,""))</f>
        <v/>
      </c>
    </row>
    <row r="51" customFormat="false" ht="16.5" hidden="false" customHeight="false" outlineLevel="0" collapsed="false">
      <c r="F51" s="1" t="str">
        <f aca="false">IF(C51="","",IF(COUNTIF(C$3:C51,C51)=1,MAX(F$2:F50)+1,""))</f>
        <v/>
      </c>
    </row>
    <row r="52" customFormat="false" ht="16.5" hidden="false" customHeight="false" outlineLevel="0" collapsed="false">
      <c r="F52" s="1" t="str">
        <f aca="false">IF(C52="","",IF(COUNTIF(C$3:C52,C52)=1,MAX(F$2:F51)+1,""))</f>
        <v/>
      </c>
    </row>
    <row r="53" customFormat="false" ht="16.5" hidden="false" customHeight="false" outlineLevel="0" collapsed="false">
      <c r="F53" s="1" t="str">
        <f aca="false">IF(C53="","",IF(COUNTIF(C$3:C53,C53)=1,MAX(F$2:F52)+1,""))</f>
        <v/>
      </c>
    </row>
    <row r="54" customFormat="false" ht="16.5" hidden="false" customHeight="false" outlineLevel="0" collapsed="false">
      <c r="F54" s="1" t="str">
        <f aca="false">IF(C54="","",IF(COUNTIF(C$3:C54,C54)=1,MAX(F$2:F53)+1,""))</f>
        <v/>
      </c>
    </row>
    <row r="55" customFormat="false" ht="16.5" hidden="false" customHeight="false" outlineLevel="0" collapsed="false">
      <c r="F55" s="1" t="str">
        <f aca="false">IF(C55="","",IF(COUNTIF(C$3:C55,C55)=1,MAX(F$2:F54)+1,""))</f>
        <v/>
      </c>
    </row>
    <row r="56" customFormat="false" ht="16.5" hidden="false" customHeight="false" outlineLevel="0" collapsed="false">
      <c r="F56" s="1" t="str">
        <f aca="false">IF(C56="","",IF(COUNTIF(C$3:C56,C56)=1,MAX(F$2:F55)+1,""))</f>
        <v/>
      </c>
    </row>
    <row r="57" customFormat="false" ht="16.5" hidden="false" customHeight="false" outlineLevel="0" collapsed="false">
      <c r="F57" s="1" t="str">
        <f aca="false">IF(C57="","",IF(COUNTIF(C$3:C57,C57)=1,MAX(F$2:F56)+1,""))</f>
        <v/>
      </c>
    </row>
    <row r="58" customFormat="false" ht="16.5" hidden="false" customHeight="false" outlineLevel="0" collapsed="false">
      <c r="F58" s="1" t="str">
        <f aca="false">IF(C58="","",IF(COUNTIF(C$3:C58,C58)=1,MAX(F$2:F57)+1,""))</f>
        <v/>
      </c>
    </row>
    <row r="59" customFormat="false" ht="16.5" hidden="false" customHeight="false" outlineLevel="0" collapsed="false">
      <c r="F59" s="1" t="str">
        <f aca="false">IF(C59="","",IF(COUNTIF(C$3:C59,C59)=1,MAX(F$2:F58)+1,""))</f>
        <v/>
      </c>
    </row>
    <row r="60" customFormat="false" ht="16.5" hidden="false" customHeight="false" outlineLevel="0" collapsed="false">
      <c r="F60" s="1" t="str">
        <f aca="false">IF(C60="","",IF(COUNTIF(C$3:C60,C60)=1,MAX(F$2:F59)+1,""))</f>
        <v/>
      </c>
    </row>
    <row r="61" customFormat="false" ht="16.5" hidden="false" customHeight="false" outlineLevel="0" collapsed="false">
      <c r="F61" s="1" t="str">
        <f aca="false">IF(C61="","",IF(COUNTIF(C$3:C61,C61)=1,MAX(F$2:F60)+1,""))</f>
        <v/>
      </c>
    </row>
    <row r="62" customFormat="false" ht="16.5" hidden="false" customHeight="false" outlineLevel="0" collapsed="false">
      <c r="F62" s="1" t="str">
        <f aca="false">IF(C62="","",IF(COUNTIF(C$3:C62,C62)=1,MAX(F$2:F61)+1,""))</f>
        <v/>
      </c>
    </row>
    <row r="63" customFormat="false" ht="16.5" hidden="false" customHeight="false" outlineLevel="0" collapsed="false">
      <c r="F63" s="1" t="str">
        <f aca="false">IF(C63="","",IF(COUNTIF(C$3:C63,C63)=1,MAX(F$2:F62)+1,""))</f>
        <v/>
      </c>
    </row>
    <row r="64" customFormat="false" ht="16.5" hidden="false" customHeight="false" outlineLevel="0" collapsed="false">
      <c r="F64" s="1" t="str">
        <f aca="false">IF(C64="","",IF(COUNTIF(C$3:C64,C64)=1,MAX(F$2:F63)+1,""))</f>
        <v/>
      </c>
    </row>
    <row r="65" customFormat="false" ht="16.5" hidden="false" customHeight="false" outlineLevel="0" collapsed="false">
      <c r="F65" s="1" t="str">
        <f aca="false">IF(C65="","",IF(COUNTIF(C$3:C65,C65)=1,MAX(F$2:F64)+1,""))</f>
        <v/>
      </c>
    </row>
    <row r="66" customFormat="false" ht="16.5" hidden="false" customHeight="false" outlineLevel="0" collapsed="false">
      <c r="F66" s="1" t="str">
        <f aca="false">IF(C66="","",IF(COUNTIF(C$3:C66,C66)=1,MAX(F$2:F65)+1,""))</f>
        <v/>
      </c>
    </row>
    <row r="67" customFormat="false" ht="16.5" hidden="false" customHeight="false" outlineLevel="0" collapsed="false">
      <c r="F67" s="1" t="str">
        <f aca="false">IF(C67="","",IF(COUNTIF(C$3:C67,C67)=1,MAX(F$2:F66)+1,""))</f>
        <v/>
      </c>
    </row>
    <row r="68" customFormat="false" ht="16.5" hidden="false" customHeight="false" outlineLevel="0" collapsed="false">
      <c r="F68" s="1" t="str">
        <f aca="false">IF(C68="","",IF(COUNTIF(C$3:C68,C68)=1,MAX(F$2:F67)+1,""))</f>
        <v/>
      </c>
    </row>
    <row r="69" customFormat="false" ht="16.5" hidden="false" customHeight="false" outlineLevel="0" collapsed="false">
      <c r="F69" s="1" t="str">
        <f aca="false">IF(C69="","",IF(COUNTIF(C$3:C69,C69)=1,MAX(F$2:F68)+1,""))</f>
        <v/>
      </c>
    </row>
    <row r="70" customFormat="false" ht="16.5" hidden="false" customHeight="false" outlineLevel="0" collapsed="false">
      <c r="F70" s="1" t="str">
        <f aca="false">IF(C70="","",IF(COUNTIF(C$3:C70,C70)=1,MAX(F$2:F69)+1,""))</f>
        <v/>
      </c>
    </row>
    <row r="71" customFormat="false" ht="16.5" hidden="false" customHeight="false" outlineLevel="0" collapsed="false">
      <c r="F71" s="1" t="str">
        <f aca="false">IF(C71="","",IF(COUNTIF(C$3:C71,C71)=1,MAX(F$2:F70)+1,""))</f>
        <v/>
      </c>
    </row>
    <row r="72" customFormat="false" ht="16.5" hidden="false" customHeight="false" outlineLevel="0" collapsed="false">
      <c r="F72" s="1" t="str">
        <f aca="false">IF(C72="","",IF(COUNTIF(C$3:C72,C72)=1,MAX(F$2:F71)+1,""))</f>
        <v/>
      </c>
    </row>
    <row r="73" customFormat="false" ht="16.5" hidden="false" customHeight="false" outlineLevel="0" collapsed="false">
      <c r="F73" s="1" t="str">
        <f aca="false">IF(C73="","",IF(COUNTIF(C$3:C73,C73)=1,MAX(F$2:F72)+1,""))</f>
        <v/>
      </c>
    </row>
    <row r="74" customFormat="false" ht="16.5" hidden="false" customHeight="false" outlineLevel="0" collapsed="false">
      <c r="F74" s="1" t="str">
        <f aca="false">IF(C74="","",IF(COUNTIF(C$3:C74,C74)=1,MAX(F$2:F73)+1,""))</f>
        <v/>
      </c>
    </row>
    <row r="75" customFormat="false" ht="16.5" hidden="false" customHeight="false" outlineLevel="0" collapsed="false">
      <c r="F75" s="1" t="str">
        <f aca="false">IF(C75="","",IF(COUNTIF(C$3:C75,C75)=1,MAX(F$2:F74)+1,""))</f>
        <v/>
      </c>
    </row>
    <row r="76" customFormat="false" ht="16.5" hidden="false" customHeight="false" outlineLevel="0" collapsed="false">
      <c r="F76" s="1" t="str">
        <f aca="false">IF(C76="","",IF(COUNTIF(C$3:C76,C76)=1,MAX(F$2:F75)+1,""))</f>
        <v/>
      </c>
    </row>
    <row r="77" customFormat="false" ht="16.5" hidden="false" customHeight="false" outlineLevel="0" collapsed="false">
      <c r="F77" s="1" t="str">
        <f aca="false">IF(C77="","",IF(COUNTIF(C$3:C77,C77)=1,MAX(F$2:F76)+1,""))</f>
        <v/>
      </c>
    </row>
    <row r="78" customFormat="false" ht="16.5" hidden="false" customHeight="false" outlineLevel="0" collapsed="false">
      <c r="F78" s="1" t="str">
        <f aca="false">IF(C78="","",IF(COUNTIF(C$3:C78,C78)=1,MAX(F$2:F77)+1,""))</f>
        <v/>
      </c>
    </row>
    <row r="79" customFormat="false" ht="16.5" hidden="false" customHeight="false" outlineLevel="0" collapsed="false">
      <c r="F79" s="1" t="str">
        <f aca="false">IF(C79="","",IF(COUNTIF(C$3:C79,C79)=1,MAX(F$2:F78)+1,""))</f>
        <v/>
      </c>
    </row>
    <row r="80" customFormat="false" ht="16.5" hidden="false" customHeight="false" outlineLevel="0" collapsed="false">
      <c r="F80" s="1" t="str">
        <f aca="false">IF(C80="","",IF(COUNTIF(C$3:C80,C80)=1,MAX(F$2:F79)+1,""))</f>
        <v/>
      </c>
    </row>
    <row r="81" customFormat="false" ht="16.5" hidden="false" customHeight="false" outlineLevel="0" collapsed="false">
      <c r="F81" s="1" t="str">
        <f aca="false">IF(C81="","",IF(COUNTIF(C$3:C81,C81)=1,MAX(F$2:F80)+1,""))</f>
        <v/>
      </c>
    </row>
    <row r="82" customFormat="false" ht="16.5" hidden="false" customHeight="false" outlineLevel="0" collapsed="false">
      <c r="F82" s="1" t="str">
        <f aca="false">IF(C82="","",IF(COUNTIF(C$3:C82,C82)=1,MAX(F$2:F81)+1,""))</f>
        <v/>
      </c>
    </row>
    <row r="83" customFormat="false" ht="16.5" hidden="false" customHeight="false" outlineLevel="0" collapsed="false">
      <c r="F83" s="1" t="str">
        <f aca="false">IF(C83="","",IF(COUNTIF(C$3:C83,C83)=1,MAX(F$2:F82)+1,""))</f>
        <v/>
      </c>
    </row>
    <row r="84" customFormat="false" ht="16.5" hidden="false" customHeight="false" outlineLevel="0" collapsed="false">
      <c r="F84" s="1" t="str">
        <f aca="false">IF(C84="","",IF(COUNTIF(C$3:C84,C84)=1,MAX(F$2:F83)+1,""))</f>
        <v/>
      </c>
    </row>
    <row r="85" customFormat="false" ht="16.5" hidden="false" customHeight="false" outlineLevel="0" collapsed="false">
      <c r="F85" s="1" t="str">
        <f aca="false">IF(C85="","",IF(COUNTIF(C$3:C85,C85)=1,MAX(F$2:F84)+1,""))</f>
        <v/>
      </c>
    </row>
    <row r="86" customFormat="false" ht="16.5" hidden="false" customHeight="false" outlineLevel="0" collapsed="false">
      <c r="F86" s="1" t="str">
        <f aca="false">IF(C86="","",IF(COUNTIF(C$3:C86,C86)=1,MAX(F$2:F85)+1,""))</f>
        <v/>
      </c>
    </row>
    <row r="87" customFormat="false" ht="16.5" hidden="false" customHeight="false" outlineLevel="0" collapsed="false">
      <c r="F87" s="1" t="str">
        <f aca="false">IF(C87="","",IF(COUNTIF(C$3:C87,C87)=1,MAX(F$2:F86)+1,""))</f>
        <v/>
      </c>
    </row>
    <row r="88" customFormat="false" ht="16.5" hidden="false" customHeight="false" outlineLevel="0" collapsed="false">
      <c r="F88" s="1" t="str">
        <f aca="false">IF(C88="","",IF(COUNTIF(C$3:C88,C88)=1,MAX(F$2:F87)+1,""))</f>
        <v/>
      </c>
    </row>
    <row r="89" customFormat="false" ht="16.5" hidden="false" customHeight="false" outlineLevel="0" collapsed="false">
      <c r="F89" s="1" t="str">
        <f aca="false">IF(C89="","",IF(COUNTIF(C$3:C89,C89)=1,MAX(F$2:F88)+1,""))</f>
        <v/>
      </c>
    </row>
    <row r="90" customFormat="false" ht="16.5" hidden="false" customHeight="false" outlineLevel="0" collapsed="false">
      <c r="F90" s="1" t="str">
        <f aca="false">IF(C90="","",IF(COUNTIF(C$3:C90,C90)=1,MAX(F$2:F89)+1,""))</f>
        <v/>
      </c>
    </row>
    <row r="91" customFormat="false" ht="16.5" hidden="false" customHeight="false" outlineLevel="0" collapsed="false">
      <c r="F91" s="1" t="str">
        <f aca="false">IF(C91="","",IF(COUNTIF(C$3:C91,C91)=1,MAX(F$2:F90)+1,""))</f>
        <v/>
      </c>
    </row>
    <row r="92" customFormat="false" ht="16.5" hidden="false" customHeight="false" outlineLevel="0" collapsed="false">
      <c r="F92" s="1" t="str">
        <f aca="false">IF(C92="","",IF(COUNTIF(C$3:C92,C92)=1,MAX(F$2:F91)+1,""))</f>
        <v/>
      </c>
    </row>
    <row r="93" customFormat="false" ht="16.5" hidden="false" customHeight="false" outlineLevel="0" collapsed="false">
      <c r="F93" s="1" t="str">
        <f aca="false">IF(C93="","",IF(COUNTIF(C$3:C93,C93)=1,MAX(F$2:F92)+1,""))</f>
        <v/>
      </c>
    </row>
    <row r="94" customFormat="false" ht="16.5" hidden="false" customHeight="false" outlineLevel="0" collapsed="false">
      <c r="F94" s="1" t="str">
        <f aca="false">IF(C94="","",IF(COUNTIF(C$3:C94,C94)=1,MAX(F$2:F93)+1,""))</f>
        <v/>
      </c>
    </row>
    <row r="95" customFormat="false" ht="16.5" hidden="false" customHeight="false" outlineLevel="0" collapsed="false">
      <c r="F95" s="1" t="str">
        <f aca="false">IF(C95="","",IF(COUNTIF(C$3:C95,C95)=1,MAX(F$2:F94)+1,""))</f>
        <v/>
      </c>
    </row>
    <row r="96" customFormat="false" ht="16.5" hidden="false" customHeight="false" outlineLevel="0" collapsed="false">
      <c r="F96" s="1" t="str">
        <f aca="false">IF(C96="","",IF(COUNTIF(C$3:C96,C96)=1,MAX(F$2:F95)+1,""))</f>
        <v/>
      </c>
    </row>
    <row r="97" customFormat="false" ht="16.5" hidden="false" customHeight="false" outlineLevel="0" collapsed="false">
      <c r="F97" s="1" t="str">
        <f aca="false">IF(C97="","",IF(COUNTIF(C$3:C97,C97)=1,MAX(F$2:F96)+1,""))</f>
        <v/>
      </c>
    </row>
    <row r="98" customFormat="false" ht="16.5" hidden="false" customHeight="false" outlineLevel="0" collapsed="false">
      <c r="F98" s="1" t="str">
        <f aca="false">IF(C98="","",IF(COUNTIF(C$3:C98,C98)=1,MAX(F$2:F97)+1,""))</f>
        <v/>
      </c>
    </row>
    <row r="99" customFormat="false" ht="16.5" hidden="false" customHeight="false" outlineLevel="0" collapsed="false">
      <c r="F99" s="1" t="str">
        <f aca="false">IF(C99="","",IF(COUNTIF(C$3:C99,C99)=1,MAX(F$2:F98)+1,""))</f>
        <v/>
      </c>
    </row>
    <row r="100" customFormat="false" ht="16.5" hidden="false" customHeight="false" outlineLevel="0" collapsed="false">
      <c r="F100" s="1" t="str">
        <f aca="false">IF(C100="","",IF(COUNTIF(C$3:C100,C100)=1,MAX(F$2:F99)+1,""))</f>
        <v/>
      </c>
    </row>
    <row r="101" customFormat="false" ht="16.5" hidden="false" customHeight="false" outlineLevel="0" collapsed="false">
      <c r="F101" s="1" t="str">
        <f aca="false">IF(C101="","",IF(COUNTIF(C$3:C101,C101)=1,MAX(F$2:F100)+1,""))</f>
        <v/>
      </c>
    </row>
    <row r="102" customFormat="false" ht="16.5" hidden="false" customHeight="false" outlineLevel="0" collapsed="false">
      <c r="F102" s="1" t="str">
        <f aca="false">IF(C102="","",IF(COUNTIF(C$3:C102,C102)=1,MAX(F$2:F101)+1,""))</f>
        <v/>
      </c>
    </row>
  </sheetData>
  <mergeCells count="1">
    <mergeCell ref="A1:D1"/>
  </mergeCells>
  <hyperlinks>
    <hyperlink ref="C3" location="潍阳站阳高线!A1" display="淮阳站阳高线"/>
    <hyperlink ref="C4" location="云龙社区!A1" display="云龙社区"/>
    <hyperlink ref="C5" location="合川瑞翔!A1" display="合川瑞翔"/>
    <hyperlink ref="C6" location="铜城2回、玉璟尚线、铁井一回、淮拦线4!A1" display="铜城2回、玉璟尚线、铁井一回、淮拦线4"/>
    <hyperlink ref="C10" location="合川表计!A1" display="合川表计"/>
    <hyperlink ref="C11" location="蒲吕片区A段!A1" display="蒲吕片区A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3"/>
  <sheetViews>
    <sheetView showFormulas="false" showGridLines="true" showRowColHeaders="true" showZeros="true" rightToLeft="false" showOutlineSymbols="true" defaultGridColor="true" view="normal" topLeftCell="A13" colorId="64" zoomScale="85" zoomScaleNormal="85" zoomScalePageLayoutView="100" workbookViewId="0">
      <pane xSplit="0" ySplit="3" topLeftCell="A4" activePane="bottomLeft" state="frozen"/>
      <selection pane="topLeft" activeCell="A13" activeCellId="0" sqref="A13"/>
      <selection pane="bottomLeft" activeCell="D4" activeCellId="0" sqref="D4"/>
    </sheetView>
  </sheetViews>
  <sheetFormatPr defaultColWidth="10.2734375" defaultRowHeight="16.5" zeroHeight="false" outlineLevelRow="0" outlineLevelCol="0"/>
  <cols>
    <col collapsed="false" customWidth="true" hidden="false" outlineLevel="0" max="1" min="1" style="7" width="9.3"/>
    <col collapsed="false" customWidth="true" hidden="false" outlineLevel="0" max="2" min="2" style="7" width="5.77"/>
    <col collapsed="false" customWidth="true" hidden="false" outlineLevel="0" max="3" min="3" style="1" width="19.79"/>
    <col collapsed="false" customWidth="true" hidden="false" outlineLevel="0" max="4" min="4" style="1" width="61.49"/>
    <col collapsed="false" customWidth="true" hidden="false" outlineLevel="0" max="5" min="5" style="8" width="8.02"/>
    <col collapsed="false" customWidth="true" hidden="false" outlineLevel="0" max="6" min="6" style="8" width="9.63"/>
    <col collapsed="false" customWidth="true" hidden="false" outlineLevel="0" max="7" min="7" style="8" width="8.67"/>
    <col collapsed="false" customWidth="true" hidden="false" outlineLevel="0" max="8" min="8" style="8" width="16.91"/>
    <col collapsed="false" customWidth="true" hidden="false" outlineLevel="0" max="11" min="9" style="8" width="14.82"/>
    <col collapsed="false" customWidth="true" hidden="false" outlineLevel="0" max="12" min="12" style="8" width="16.91"/>
    <col collapsed="false" customWidth="true" hidden="false" outlineLevel="0" max="14" min="13" style="8" width="16.78"/>
    <col collapsed="false" customWidth="true" hidden="false" outlineLevel="0" max="17" min="15" style="8" width="14.82"/>
    <col collapsed="false" customWidth="true" hidden="false" outlineLevel="0" max="18" min="18" style="8" width="12"/>
    <col collapsed="false" customWidth="true" hidden="false" outlineLevel="0" max="19" min="19" style="8" width="13.47"/>
    <col collapsed="false" customWidth="true" hidden="false" outlineLevel="0" max="20" min="20" style="8" width="16"/>
    <col collapsed="false" customWidth="true" hidden="false" outlineLevel="0" max="21" min="21" style="8" width="13.46"/>
    <col collapsed="false" customWidth="true" hidden="false" outlineLevel="0" max="22" min="22" style="8" width="34"/>
    <col collapsed="false" customWidth="false" hidden="true" outlineLevel="0" max="23" min="23" style="8" width="10.27"/>
    <col collapsed="false" customWidth="false" hidden="false" outlineLevel="0" max="16384" min="24" style="8" width="10.27"/>
  </cols>
  <sheetData>
    <row r="1" customFormat="false" ht="48" hidden="false" customHeight="true" outlineLevel="0" collapsed="false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customFormat="false" ht="33" hidden="false" customHeight="true" outlineLevel="0" collapsed="false">
      <c r="A2" s="10" t="s">
        <v>23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10" t="s">
        <v>43</v>
      </c>
      <c r="W2" s="13" t="s">
        <v>44</v>
      </c>
    </row>
    <row r="3" customFormat="false" ht="16.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SUM(H4:H1003)</f>
        <v>2206559.16</v>
      </c>
      <c r="I3" s="15" t="n">
        <f aca="false">SUM(I4:I1003)</f>
        <v>65304.1575</v>
      </c>
      <c r="J3" s="15" t="n">
        <f aca="false">SUM(J4:J1003)</f>
        <v>2141255.0025</v>
      </c>
      <c r="K3" s="15" t="n">
        <f aca="false">SUM(K4:K1003)</f>
        <v>2098816.7125</v>
      </c>
      <c r="L3" s="15" t="n">
        <f aca="false">J3-K3</f>
        <v>42438.29</v>
      </c>
      <c r="M3" s="15" t="n">
        <f aca="false">SUM(M4:M1003)</f>
        <v>2206559.16</v>
      </c>
      <c r="N3" s="15" t="n">
        <f aca="false">SUM(N4:N1003)</f>
        <v>0</v>
      </c>
      <c r="O3" s="15" t="n">
        <f aca="false">SUM(O4:O1003)</f>
        <v>1500594.2475</v>
      </c>
      <c r="P3" s="15" t="n">
        <f aca="false">M3-N3-O3</f>
        <v>705964.9125</v>
      </c>
      <c r="Q3" s="15" t="n">
        <f aca="false">SUM(Q4:Q1003)</f>
        <v>0</v>
      </c>
      <c r="R3" s="15" t="n">
        <f aca="false">SUM(R4:R1003)</f>
        <v>0</v>
      </c>
      <c r="S3" s="15" t="n">
        <f aca="false">SUM(S4:S1003)</f>
        <v>576643</v>
      </c>
      <c r="T3" s="15" t="n">
        <f aca="false">Q3-R3-S3</f>
        <v>-576643</v>
      </c>
      <c r="U3" s="15"/>
      <c r="V3" s="16" t="str">
        <f aca="false">IF(COUNTA(C4:C1003)&gt;COUNTIF(W4:W1003,"?*"),"⚠ 有 "&amp;(COUNTA(C4:C1003)-COUNTIF(W4:W1003,"?*"))&amp;" 行缺公式或缺简称",IF(COUNTIF(V4:V1003,"⚠*")&gt;0,"⚠ "&amp;COUNTIF(V4:V1003,"⚠*")&amp;" 行有错，往下看",IF(COUNTIF(V4:V1003,"△*")&gt;0,"△ "&amp;COUNTIF(V4:V1003,"△*")&amp;" 行请留意","✓ 全部通过")))</f>
        <v>△ 2 行请留意</v>
      </c>
    </row>
    <row r="4" customFormat="false" ht="28.35" hidden="false" customHeight="false" outlineLevel="0" collapsed="false">
      <c r="A4" s="17" t="str">
        <f aca="false">IF($C4="","",IFERROR(VLOOKUP($C4,目录!$B:$C,2,0)&amp;"","⚠目录里没有"))</f>
        <v>淮阳站阳高线</v>
      </c>
      <c r="B4" s="18" t="str">
        <f aca="false">IF($D4="","",IFERROR(MID($D4,FIND(".",$D4)+1,FIND(".",$D4,FIND(".",$D4)+1)-FIND(".",$D4)-1)&amp;"月",""))</f>
        <v>3月</v>
      </c>
      <c r="C4" s="19" t="s">
        <v>6</v>
      </c>
      <c r="D4" s="20" t="s">
        <v>45</v>
      </c>
      <c r="E4" s="21" t="s">
        <v>46</v>
      </c>
      <c r="F4" s="22" t="s">
        <v>47</v>
      </c>
      <c r="G4" s="23"/>
      <c r="H4" s="24" t="n">
        <v>57824</v>
      </c>
      <c r="I4" s="24" t="n">
        <f aca="false">IF($H4="","",N($H4)*N($G4))</f>
        <v>0</v>
      </c>
      <c r="J4" s="25" t="n">
        <f aca="false">IF($H4="","",N($H4)-N($I4))</f>
        <v>57824</v>
      </c>
      <c r="K4" s="25" t="n">
        <v>57824</v>
      </c>
      <c r="L4" s="25" t="n">
        <f aca="false">IF($A4="","",SUMIF($A$4:$A4,$A4,$J$4:$J4)-SUMIF($A$4:$A4,$A4,$K$4:$K4))</f>
        <v>0</v>
      </c>
      <c r="M4" s="26" t="n">
        <f aca="false">IF($H4="","",N($H4))</f>
        <v>57824</v>
      </c>
      <c r="N4" s="26"/>
      <c r="O4" s="26"/>
      <c r="P4" s="26" t="n">
        <f aca="false">IF($A4="","",SUMIF($A$4:$A4,$A4,$M$4:$M4)-SUMIF($A$4:$A4,$A4,$N$4:$N4)-SUMIF($A$4:$A4,$A4,$O$4:$O4))</f>
        <v>57824</v>
      </c>
      <c r="Q4" s="27"/>
      <c r="R4" s="28" t="n">
        <v>0</v>
      </c>
      <c r="S4" s="28" t="n">
        <v>0</v>
      </c>
      <c r="T4" s="28" t="n">
        <f aca="false">IF($A4="","",SUMIF($A$4:$A4,$A4,$Q$4:$Q4)-SUMIF($A$4:$A4,$A4,$R$4:$R4)-SUMIF($A$4:$A4,$A4,$S$4:$S4))</f>
        <v>0</v>
      </c>
      <c r="U4" s="28"/>
      <c r="V4" s="29" t="str">
        <f aca="false">IF(AND($C4="",COUNTA($D4:$H4,$K4,$N4:$O4,$Q4:$S4,$U4)=0),"",IF($C4="","⚠ 没填项目名称",IF($A4="⚠目录里没有","⚠ 项目名称在目录里找不到（先加到目录）",IF($A4="","⚠ 目录里这个项目没填简称",IF(ISTEXT($G4)+ISTEXT($H4)+ISTEXT($K4)+ISTEXT($N4)+ISTEXT($O4)+ISTEXT($Q4)+ISTEXT($R4)+ISTEXT($S4)&gt;0,"⚠ 金额列里有文字，算不进合计",IF(N($G4)&gt;=1,"⚠ 管理费点要填百分比，如 10%",IF(AND($D4&lt;&gt;"",$B4=""),"△ 摘要开头没写日期（如 2026.9.21），月份取不到",IF(AND(N($H4)&lt;&gt;0,COUNTIFS($A$4:$A$1003,$A4,$H$4:$H$1003,$H4,$D$4:$D$1003,LEFT($D4,9)&amp;"*")&gt;1),"△ 同一天同项目有一样的销售金额，看看是不是录重了","✓"))))))))</f>
        <v>✓</v>
      </c>
      <c r="W4" s="8" t="str">
        <f aca="false">IF($A4="","",$A4&amp;"#"&amp;COUNTIF($A$4:$A4,$A4))</f>
        <v>淮阳站阳高线#1</v>
      </c>
    </row>
    <row r="5" customFormat="false" ht="28.35" hidden="false" customHeight="false" outlineLevel="0" collapsed="false">
      <c r="A5" s="17" t="str">
        <f aca="false">IF($C5="","",IFERROR(VLOOKUP($C5,目录!$B:$C,2,0)&amp;"","⚠目录里没有"))</f>
        <v>淮阳站阳高线</v>
      </c>
      <c r="B5" s="18" t="str">
        <f aca="false">IF($D5="","",IFERROR(MID($D5,FIND(".",$D5)+1,FIND(".",$D5,FIND(".",$D5)+1)-FIND(".",$D5)-1)&amp;"月",""))</f>
        <v>3月</v>
      </c>
      <c r="C5" s="19" t="s">
        <v>6</v>
      </c>
      <c r="D5" s="20" t="s">
        <v>48</v>
      </c>
      <c r="E5" s="21" t="s">
        <v>49</v>
      </c>
      <c r="F5" s="22"/>
      <c r="G5" s="23"/>
      <c r="H5" s="24" t="n">
        <v>50120.61</v>
      </c>
      <c r="I5" s="24" t="n">
        <f aca="false">IF($H5="","",N($H5)*N($G5))</f>
        <v>0</v>
      </c>
      <c r="J5" s="25" t="n">
        <f aca="false">IF($H5="","",N($H5)-N($I5))</f>
        <v>50120.61</v>
      </c>
      <c r="K5" s="25" t="n">
        <v>50120.61</v>
      </c>
      <c r="L5" s="25" t="n">
        <f aca="false">IF($A5="","",SUMIF($A$4:$A5,$A5,$J$4:$J5)-SUMIF($A$4:$A5,$A5,$K$4:$K5))</f>
        <v>0</v>
      </c>
      <c r="M5" s="26" t="n">
        <f aca="false">IF($H5="","",N($H5))</f>
        <v>50120.61</v>
      </c>
      <c r="N5" s="26"/>
      <c r="O5" s="26"/>
      <c r="P5" s="26" t="n">
        <f aca="false">IF($A5="","",SUMIF($A$4:$A5,$A5,$M$4:$M5)-SUMIF($A$4:$A5,$A5,$N$4:$N5)-SUMIF($A$4:$A5,$A5,$O$4:$O5))</f>
        <v>107944.61</v>
      </c>
      <c r="Q5" s="27"/>
      <c r="R5" s="28"/>
      <c r="S5" s="28"/>
      <c r="T5" s="28" t="n">
        <f aca="false">IF($A5="","",SUMIF($A$4:$A5,$A5,$Q$4:$Q5)-SUMIF($A$4:$A5,$A5,$R$4:$R5)-SUMIF($A$4:$A5,$A5,$S$4:$S5))</f>
        <v>0</v>
      </c>
      <c r="U5" s="28"/>
      <c r="V5" s="29" t="str">
        <f aca="false">IF(AND($C5="",COUNTA($D5:$H5,$K5,$N5:$O5,$Q5:$S5,$U5)=0),"",IF($C5="","⚠ 没填项目名称",IF($A5="⚠目录里没有","⚠ 项目名称在目录里找不到（先加到目录）",IF($A5="","⚠ 目录里这个项目没填简称",IF(ISTEXT($G5)+ISTEXT($H5)+ISTEXT($K5)+ISTEXT($N5)+ISTEXT($O5)+ISTEXT($Q5)+ISTEXT($R5)+ISTEXT($S5)&gt;0,"⚠ 金额列里有文字，算不进合计",IF(N($G5)&gt;=1,"⚠ 管理费点要填百分比，如 10%",IF(AND($D5&lt;&gt;"",$B5=""),"△ 摘要开头没写日期（如 2026.9.21），月份取不到",IF(AND(N($H5)&lt;&gt;0,COUNTIFS($A$4:$A$1003,$A5,$H$4:$H$1003,$H5,$D$4:$D$1003,LEFT($D5,9)&amp;"*")&gt;1),"△ 同一天同项目有一样的销售金额，看看是不是录重了","✓"))))))))</f>
        <v>✓</v>
      </c>
      <c r="W5" s="8" t="str">
        <f aca="false">IF($A5="","",$A5&amp;"#"&amp;COUNTIF($A$4:$A5,$A5))</f>
        <v>淮阳站阳高线#2</v>
      </c>
    </row>
    <row r="6" customFormat="false" ht="16.5" hidden="false" customHeight="false" outlineLevel="0" collapsed="false">
      <c r="A6" s="30" t="str">
        <f aca="false">IF($C6="","",IFERROR(VLOOKUP($C6,目录!$B:$C,2,0)&amp;"","⚠目录里没有"))</f>
        <v>云龙社区</v>
      </c>
      <c r="B6" s="31" t="str">
        <f aca="false">IF($D6="","",IFERROR(MID($D6,FIND(".",$D6)+1,FIND(".",$D6,FIND(".",$D6)+1)-FIND(".",$D6)-1)&amp;"月",""))</f>
        <v>4月</v>
      </c>
      <c r="C6" s="32" t="s">
        <v>8</v>
      </c>
      <c r="D6" s="33" t="s">
        <v>50</v>
      </c>
      <c r="E6" s="34" t="s">
        <v>49</v>
      </c>
      <c r="F6" s="35" t="s">
        <v>47</v>
      </c>
      <c r="G6" s="36"/>
      <c r="H6" s="24" t="n">
        <v>183486.24</v>
      </c>
      <c r="I6" s="24" t="n">
        <f aca="false">IF($H6="","",N($H6)*N($G6))</f>
        <v>0</v>
      </c>
      <c r="J6" s="25" t="n">
        <f aca="false">IF($H6="","",N($H6)-N($I6))</f>
        <v>183486.24</v>
      </c>
      <c r="K6" s="25" t="n">
        <v>183486.24</v>
      </c>
      <c r="L6" s="25" t="n">
        <f aca="false">IF($A6="","",SUMIF($A$4:$A6,$A6,$J$4:$J6)-SUMIF($A$4:$A6,$A6,$K$4:$K6))</f>
        <v>0</v>
      </c>
      <c r="M6" s="26" t="n">
        <f aca="false">IF($H6="","",N($H6))</f>
        <v>183486.24</v>
      </c>
      <c r="N6" s="26"/>
      <c r="O6" s="26"/>
      <c r="P6" s="26" t="n">
        <f aca="false">IF($A6="","",SUMIF($A$4:$A6,$A6,$M$4:$M6)-SUMIF($A$4:$A6,$A6,$N$4:$N6)-SUMIF($A$4:$A6,$A6,$O$4:$O6))</f>
        <v>183486.24</v>
      </c>
      <c r="Q6" s="27"/>
      <c r="R6" s="28"/>
      <c r="S6" s="28"/>
      <c r="T6" s="28" t="n">
        <f aca="false">IF($A6="","",SUMIF($A$4:$A6,$A6,$Q$4:$Q6)-SUMIF($A$4:$A6,$A6,$R$4:$R6)-SUMIF($A$4:$A6,$A6,$S$4:$S6))</f>
        <v>0</v>
      </c>
      <c r="U6" s="28"/>
      <c r="V6" s="29" t="str">
        <f aca="false">IF(AND($C6="",COUNTA($D6:$H6,$K6,$N6:$O6,$Q6:$S6,$U6)=0),"",IF($C6="","⚠ 没填项目名称",IF($A6="⚠目录里没有","⚠ 项目名称在目录里找不到（先加到目录）",IF($A6="","⚠ 目录里这个项目没填简称",IF(ISTEXT($G6)+ISTEXT($H6)+ISTEXT($K6)+ISTEXT($N6)+ISTEXT($O6)+ISTEXT($Q6)+ISTEXT($R6)+ISTEXT($S6)&gt;0,"⚠ 金额列里有文字，算不进合计",IF(N($G6)&gt;=1,"⚠ 管理费点要填百分比，如 10%",IF(AND($D6&lt;&gt;"",$B6=""),"△ 摘要开头没写日期（如 2026.9.21），月份取不到",IF(AND(N($H6)&lt;&gt;0,COUNTIFS($A$4:$A$1003,$A6,$H$4:$H$1003,$H6,$D$4:$D$1003,LEFT($D6,9)&amp;"*")&gt;1),"△ 同一天同项目有一样的销售金额，看看是不是录重了","✓"))))))))</f>
        <v>✓</v>
      </c>
      <c r="W6" s="8" t="str">
        <f aca="false">IF($A6="","",$A6&amp;"#"&amp;COUNTIF($A$4:$A6,$A6))</f>
        <v>云龙社区#1</v>
      </c>
    </row>
    <row r="7" customFormat="false" ht="16.5" hidden="false" customHeight="false" outlineLevel="0" collapsed="false">
      <c r="A7" s="30" t="str">
        <f aca="false">IF($C7="","",IFERROR(VLOOKUP($C7,目录!$B:$C,2,0)&amp;"","⚠目录里没有"))</f>
        <v>云龙社区</v>
      </c>
      <c r="B7" s="31" t="str">
        <f aca="false">IF($D7="","",IFERROR(MID($D7,FIND(".",$D7)+1,FIND(".",$D7,FIND(".",$D7)+1)-FIND(".",$D7)-1)&amp;"月",""))</f>
        <v>4月</v>
      </c>
      <c r="C7" s="32" t="s">
        <v>8</v>
      </c>
      <c r="D7" s="33" t="s">
        <v>51</v>
      </c>
      <c r="E7" s="34" t="s">
        <v>49</v>
      </c>
      <c r="F7" s="35"/>
      <c r="G7" s="36"/>
      <c r="H7" s="24"/>
      <c r="I7" s="24" t="str">
        <f aca="false">IF($H7="","",N($H7)*N($G7))</f>
        <v/>
      </c>
      <c r="J7" s="25" t="str">
        <f aca="false">IF($H7="","",N($H7)-N($I7))</f>
        <v/>
      </c>
      <c r="K7" s="25"/>
      <c r="L7" s="25" t="n">
        <f aca="false">IF($A7="","",SUMIF($A$4:$A7,$A7,$J$4:$J7)-SUMIF($A$4:$A7,$A7,$K$4:$K7))</f>
        <v>0</v>
      </c>
      <c r="M7" s="26" t="str">
        <f aca="false">IF($H7="","",N($H7))</f>
        <v/>
      </c>
      <c r="N7" s="26"/>
      <c r="O7" s="26" t="n">
        <v>183486.24</v>
      </c>
      <c r="P7" s="26" t="n">
        <f aca="false">IF($A7="","",SUMIF($A$4:$A7,$A7,$M$4:$M7)-SUMIF($A$4:$A7,$A7,$N$4:$N7)-SUMIF($A$4:$A7,$A7,$O$4:$O7))</f>
        <v>0</v>
      </c>
      <c r="Q7" s="27"/>
      <c r="R7" s="28"/>
      <c r="S7" s="28"/>
      <c r="T7" s="28" t="n">
        <f aca="false">IF($A7="","",SUMIF($A$4:$A7,$A7,$Q$4:$Q7)-SUMIF($A$4:$A7,$A7,$R$4:$R7)-SUMIF($A$4:$A7,$A7,$S$4:$S7))</f>
        <v>0</v>
      </c>
      <c r="U7" s="28"/>
      <c r="V7" s="29" t="str">
        <f aca="false">IF(AND($C7="",COUNTA($D7:$H7,$K7,$N7:$O7,$Q7:$S7,$U7)=0),"",IF($C7="","⚠ 没填项目名称",IF($A7="⚠目录里没有","⚠ 项目名称在目录里找不到（先加到目录）",IF($A7="","⚠ 目录里这个项目没填简称",IF(ISTEXT($G7)+ISTEXT($H7)+ISTEXT($K7)+ISTEXT($N7)+ISTEXT($O7)+ISTEXT($Q7)+ISTEXT($R7)+ISTEXT($S7)&gt;0,"⚠ 金额列里有文字，算不进合计",IF(N($G7)&gt;=1,"⚠ 管理费点要填百分比，如 10%",IF(AND($D7&lt;&gt;"",$B7=""),"△ 摘要开头没写日期（如 2026.9.21），月份取不到",IF(AND(N($H7)&lt;&gt;0,COUNTIFS($A$4:$A$1003,$A7,$H$4:$H$1003,$H7,$D$4:$D$1003,LEFT($D7,9)&amp;"*")&gt;1),"△ 同一天同项目有一样的销售金额，看看是不是录重了","✓"))))))))</f>
        <v>✓</v>
      </c>
      <c r="W7" s="8" t="str">
        <f aca="false">IF($A7="","",$A7&amp;"#"&amp;COUNTIF($A$4:$A7,$A7))</f>
        <v>云龙社区#2</v>
      </c>
    </row>
    <row r="8" customFormat="false" ht="16.5" hidden="false" customHeight="false" outlineLevel="0" collapsed="false">
      <c r="A8" s="30" t="str">
        <f aca="false">IF($C8="","",IFERROR(VLOOKUP($C8,目录!$B:$C,2,0)&amp;"","⚠目录里没有"))</f>
        <v>云龙社区</v>
      </c>
      <c r="B8" s="31" t="str">
        <f aca="false">IF($D8="","",IFERROR(MID($D8,FIND(".",$D8)+1,FIND(".",$D8,FIND(".",$D8)+1)-FIND(".",$D8)-1)&amp;"月",""))</f>
        <v>5月</v>
      </c>
      <c r="C8" s="32" t="s">
        <v>8</v>
      </c>
      <c r="D8" s="33" t="s">
        <v>52</v>
      </c>
      <c r="E8" s="34" t="s">
        <v>49</v>
      </c>
      <c r="F8" s="35" t="s">
        <v>47</v>
      </c>
      <c r="G8" s="36"/>
      <c r="H8" s="24" t="n">
        <v>43774.56</v>
      </c>
      <c r="I8" s="24" t="n">
        <f aca="false">IF($H8="","",N($H8)*N($G8))</f>
        <v>0</v>
      </c>
      <c r="J8" s="25" t="n">
        <f aca="false">IF($H8="","",N($H8)-N($I8))</f>
        <v>43774.56</v>
      </c>
      <c r="K8" s="25" t="n">
        <v>43774.56</v>
      </c>
      <c r="L8" s="25" t="n">
        <f aca="false">IF($A8="","",SUMIF($A$4:$A8,$A8,$J$4:$J8)-SUMIF($A$4:$A8,$A8,$K$4:$K8))</f>
        <v>0</v>
      </c>
      <c r="M8" s="26" t="n">
        <f aca="false">IF($H8="","",N($H8))</f>
        <v>43774.56</v>
      </c>
      <c r="N8" s="26"/>
      <c r="O8" s="26"/>
      <c r="P8" s="26" t="n">
        <f aca="false">IF($A8="","",SUMIF($A$4:$A8,$A8,$M$4:$M8)-SUMIF($A$4:$A8,$A8,$N$4:$N8)-SUMIF($A$4:$A8,$A8,$O$4:$O8))</f>
        <v>43774.56</v>
      </c>
      <c r="Q8" s="27"/>
      <c r="R8" s="28"/>
      <c r="S8" s="28"/>
      <c r="T8" s="28" t="n">
        <f aca="false">IF($A8="","",SUMIF($A$4:$A8,$A8,$Q$4:$Q8)-SUMIF($A$4:$A8,$A8,$R$4:$R8)-SUMIF($A$4:$A8,$A8,$S$4:$S8))</f>
        <v>0</v>
      </c>
      <c r="U8" s="28"/>
      <c r="V8" s="29" t="str">
        <f aca="false">IF(AND($C8="",COUNTA($D8:$H8,$K8,$N8:$O8,$Q8:$S8,$U8)=0),"",IF($C8="","⚠ 没填项目名称",IF($A8="⚠目录里没有","⚠ 项目名称在目录里找不到（先加到目录）",IF($A8="","⚠ 目录里这个项目没填简称",IF(ISTEXT($G8)+ISTEXT($H8)+ISTEXT($K8)+ISTEXT($N8)+ISTEXT($O8)+ISTEXT($Q8)+ISTEXT($R8)+ISTEXT($S8)&gt;0,"⚠ 金额列里有文字，算不进合计",IF(N($G8)&gt;=1,"⚠ 管理费点要填百分比，如 10%",IF(AND($D8&lt;&gt;"",$B8=""),"△ 摘要开头没写日期（如 2026.9.21），月份取不到",IF(AND(N($H8)&lt;&gt;0,COUNTIFS($A$4:$A$1003,$A8,$H$4:$H$1003,$H8,$D$4:$D$1003,LEFT($D8,9)&amp;"*")&gt;1),"△ 同一天同项目有一样的销售金额，看看是不是录重了","✓"))))))))</f>
        <v>✓</v>
      </c>
      <c r="W8" s="8" t="str">
        <f aca="false">IF($A8="","",$A8&amp;"#"&amp;COUNTIF($A$4:$A8,$A8))</f>
        <v>云龙社区#3</v>
      </c>
    </row>
    <row r="9" customFormat="false" ht="16.5" hidden="false" customHeight="false" outlineLevel="0" collapsed="false">
      <c r="A9" s="30" t="str">
        <f aca="false">IF($C9="","",IFERROR(VLOOKUP($C9,目录!$B:$C,2,0)&amp;"","⚠目录里没有"))</f>
        <v>云龙社区</v>
      </c>
      <c r="B9" s="31" t="str">
        <f aca="false">IF($D9="","",IFERROR(MID($D9,FIND(".",$D9)+1,FIND(".",$D9,FIND(".",$D9)+1)-FIND(".",$D9)-1)&amp;"月",""))</f>
        <v>5月</v>
      </c>
      <c r="C9" s="32" t="s">
        <v>8</v>
      </c>
      <c r="D9" s="33" t="s">
        <v>53</v>
      </c>
      <c r="E9" s="34" t="s">
        <v>49</v>
      </c>
      <c r="F9" s="35"/>
      <c r="G9" s="36"/>
      <c r="H9" s="24"/>
      <c r="I9" s="24" t="str">
        <f aca="false">IF($H9="","",N($H9)*N($G9))</f>
        <v/>
      </c>
      <c r="J9" s="25" t="str">
        <f aca="false">IF($H9="","",N($H9)-N($I9))</f>
        <v/>
      </c>
      <c r="K9" s="25"/>
      <c r="L9" s="25" t="n">
        <f aca="false">IF($A9="","",SUMIF($A$4:$A9,$A9,$J$4:$J9)-SUMIF($A$4:$A9,$A9,$K$4:$K9))</f>
        <v>0</v>
      </c>
      <c r="M9" s="26" t="str">
        <f aca="false">IF($H9="","",N($H9))</f>
        <v/>
      </c>
      <c r="N9" s="26"/>
      <c r="O9" s="26" t="n">
        <v>43774.56</v>
      </c>
      <c r="P9" s="26" t="n">
        <f aca="false">IF($A9="","",SUMIF($A$4:$A9,$A9,$M$4:$M9)-SUMIF($A$4:$A9,$A9,$N$4:$N9)-SUMIF($A$4:$A9,$A9,$O$4:$O9))</f>
        <v>0</v>
      </c>
      <c r="Q9" s="27"/>
      <c r="R9" s="28"/>
      <c r="S9" s="28"/>
      <c r="T9" s="28" t="n">
        <f aca="false">IF($A9="","",SUMIF($A$4:$A9,$A9,$Q$4:$Q9)-SUMIF($A$4:$A9,$A9,$R$4:$R9)-SUMIF($A$4:$A9,$A9,$S$4:$S9))</f>
        <v>0</v>
      </c>
      <c r="U9" s="28"/>
      <c r="V9" s="29" t="str">
        <f aca="false">IF(AND($C9="",COUNTA($D9:$H9,$K9,$N9:$O9,$Q9:$S9,$U9)=0),"",IF($C9="","⚠ 没填项目名称",IF($A9="⚠目录里没有","⚠ 项目名称在目录里找不到（先加到目录）",IF($A9="","⚠ 目录里这个项目没填简称",IF(ISTEXT($G9)+ISTEXT($H9)+ISTEXT($K9)+ISTEXT($N9)+ISTEXT($O9)+ISTEXT($Q9)+ISTEXT($R9)+ISTEXT($S9)&gt;0,"⚠ 金额列里有文字，算不进合计",IF(N($G9)&gt;=1,"⚠ 管理费点要填百分比，如 10%",IF(AND($D9&lt;&gt;"",$B9=""),"△ 摘要开头没写日期（如 2026.9.21），月份取不到",IF(AND(N($H9)&lt;&gt;0,COUNTIFS($A$4:$A$1003,$A9,$H$4:$H$1003,$H9,$D$4:$D$1003,LEFT($D9,9)&amp;"*")&gt;1),"△ 同一天同项目有一样的销售金额，看看是不是录重了","✓"))))))))</f>
        <v>✓</v>
      </c>
      <c r="W9" s="8" t="str">
        <f aca="false">IF($A9="","",$A9&amp;"#"&amp;COUNTIF($A$4:$A9,$A9))</f>
        <v>云龙社区#4</v>
      </c>
    </row>
    <row r="10" customFormat="false" ht="16.5" hidden="false" customHeight="false" outlineLevel="0" collapsed="false">
      <c r="A10" s="37" t="str">
        <f aca="false">IF($C10="","",IFERROR(VLOOKUP($C10,目录!$B:$C,2,0)&amp;"","⚠目录里没有"))</f>
        <v>合川瑞翔</v>
      </c>
      <c r="B10" s="38" t="str">
        <f aca="false">IF($D10="","",IFERROR(MID($D10,FIND(".",$D10)+1,FIND(".",$D10,FIND(".",$D10)+1)-FIND(".",$D10)-1)&amp;"月",""))</f>
        <v>6月</v>
      </c>
      <c r="C10" s="39" t="s">
        <v>10</v>
      </c>
      <c r="D10" s="40" t="s">
        <v>54</v>
      </c>
      <c r="E10" s="41" t="s">
        <v>49</v>
      </c>
      <c r="F10" s="42" t="s">
        <v>55</v>
      </c>
      <c r="G10" s="43"/>
      <c r="H10" s="24" t="n">
        <v>100000</v>
      </c>
      <c r="I10" s="24" t="n">
        <f aca="false">IF($H10="","",N($H10)*N($G10))</f>
        <v>0</v>
      </c>
      <c r="J10" s="25" t="n">
        <f aca="false">IF($H10="","",N($H10)-N($I10))</f>
        <v>100000</v>
      </c>
      <c r="K10" s="25" t="n">
        <v>100000</v>
      </c>
      <c r="L10" s="25" t="n">
        <f aca="false">IF($A10="","",SUMIF($A$4:$A10,$A10,$J$4:$J10)-SUMIF($A$4:$A10,$A10,$K$4:$K10))</f>
        <v>0</v>
      </c>
      <c r="M10" s="26" t="n">
        <f aca="false">IF($H10="","",N($H10))</f>
        <v>100000</v>
      </c>
      <c r="N10" s="26"/>
      <c r="O10" s="26"/>
      <c r="P10" s="26" t="n">
        <f aca="false">IF($A10="","",SUMIF($A$4:$A10,$A10,$M$4:$M10)-SUMIF($A$4:$A10,$A10,$N$4:$N10)-SUMIF($A$4:$A10,$A10,$O$4:$O10))</f>
        <v>100000</v>
      </c>
      <c r="Q10" s="27"/>
      <c r="R10" s="28"/>
      <c r="S10" s="28"/>
      <c r="T10" s="28" t="n">
        <f aca="false">IF($A10="","",SUMIF($A$4:$A10,$A10,$Q$4:$Q10)-SUMIF($A$4:$A10,$A10,$R$4:$R10)-SUMIF($A$4:$A10,$A10,$S$4:$S10))</f>
        <v>0</v>
      </c>
      <c r="U10" s="28"/>
      <c r="V10" s="29" t="str">
        <f aca="false">IF(AND($C10="",COUNTA($D10:$H10,$K10,$N10:$O10,$Q10:$S10,$U10)=0),"",IF($C10="","⚠ 没填项目名称",IF($A10="⚠目录里没有","⚠ 项目名称在目录里找不到（先加到目录）",IF($A10="","⚠ 目录里这个项目没填简称",IF(ISTEXT($G10)+ISTEXT($H10)+ISTEXT($K10)+ISTEXT($N10)+ISTEXT($O10)+ISTEXT($Q10)+ISTEXT($R10)+ISTEXT($S10)&gt;0,"⚠ 金额列里有文字，算不进合计",IF(N($G10)&gt;=1,"⚠ 管理费点要填百分比，如 10%",IF(AND($D10&lt;&gt;"",$B10=""),"△ 摘要开头没写日期（如 2026.9.21），月份取不到",IF(AND(N($H10)&lt;&gt;0,COUNTIFS($A$4:$A$1003,$A10,$H$4:$H$1003,$H10,$D$4:$D$1003,LEFT($D10,9)&amp;"*")&gt;1),"△ 同一天同项目有一样的销售金额，看看是不是录重了","✓"))))))))</f>
        <v>✓</v>
      </c>
      <c r="W10" s="8" t="str">
        <f aca="false">IF($A10="","",$A10&amp;"#"&amp;COUNTIF($A$4:$A10,$A10))</f>
        <v>合川瑞翔#1</v>
      </c>
    </row>
    <row r="11" customFormat="false" ht="16.5" hidden="false" customHeight="false" outlineLevel="0" collapsed="false">
      <c r="A11" s="37" t="str">
        <f aca="false">IF($C11="","",IFERROR(VLOOKUP($C11,目录!$B:$C,2,0)&amp;"","⚠目录里没有"))</f>
        <v>合川瑞翔</v>
      </c>
      <c r="B11" s="38" t="str">
        <f aca="false">IF($D11="","",IFERROR(MID($D11,FIND(".",$D11)+1,FIND(".",$D11,FIND(".",$D11)+1)-FIND(".",$D11)-1)&amp;"月",""))</f>
        <v>6月</v>
      </c>
      <c r="C11" s="39" t="s">
        <v>10</v>
      </c>
      <c r="D11" s="40" t="s">
        <v>56</v>
      </c>
      <c r="E11" s="41" t="s">
        <v>49</v>
      </c>
      <c r="F11" s="42"/>
      <c r="G11" s="43"/>
      <c r="H11" s="24"/>
      <c r="I11" s="24" t="str">
        <f aca="false">IF($H11="","",N($H11)*N($G11))</f>
        <v/>
      </c>
      <c r="J11" s="25" t="str">
        <f aca="false">IF($H11="","",N($H11)-N($I11))</f>
        <v/>
      </c>
      <c r="K11" s="25"/>
      <c r="L11" s="25" t="n">
        <f aca="false">IF($A11="","",SUMIF($A$4:$A11,$A11,$J$4:$J11)-SUMIF($A$4:$A11,$A11,$K$4:$K11))</f>
        <v>0</v>
      </c>
      <c r="M11" s="26" t="str">
        <f aca="false">IF($H11="","",N($H11))</f>
        <v/>
      </c>
      <c r="N11" s="26"/>
      <c r="O11" s="26" t="n">
        <v>100000</v>
      </c>
      <c r="P11" s="26" t="n">
        <f aca="false">IF($A11="","",SUMIF($A$4:$A11,$A11,$M$4:$M11)-SUMIF($A$4:$A11,$A11,$N$4:$N11)-SUMIF($A$4:$A11,$A11,$O$4:$O11))</f>
        <v>0</v>
      </c>
      <c r="Q11" s="27"/>
      <c r="R11" s="28"/>
      <c r="S11" s="28"/>
      <c r="T11" s="28" t="n">
        <f aca="false">IF($A11="","",SUMIF($A$4:$A11,$A11,$Q$4:$Q11)-SUMIF($A$4:$A11,$A11,$R$4:$R11)-SUMIF($A$4:$A11,$A11,$S$4:$S11))</f>
        <v>0</v>
      </c>
      <c r="U11" s="28"/>
      <c r="V11" s="29" t="str">
        <f aca="false">IF(AND($C11="",COUNTA($D11:$H11,$K11,$N11:$O11,$Q11:$S11,$U11)=0),"",IF($C11="","⚠ 没填项目名称",IF($A11="⚠目录里没有","⚠ 项目名称在目录里找不到（先加到目录）",IF($A11="","⚠ 目录里这个项目没填简称",IF(ISTEXT($G11)+ISTEXT($H11)+ISTEXT($K11)+ISTEXT($N11)+ISTEXT($O11)+ISTEXT($Q11)+ISTEXT($R11)+ISTEXT($S11)&gt;0,"⚠ 金额列里有文字，算不进合计",IF(N($G11)&gt;=1,"⚠ 管理费点要填百分比，如 10%",IF(AND($D11&lt;&gt;"",$B11=""),"△ 摘要开头没写日期（如 2026.9.21），月份取不到",IF(AND(N($H11)&lt;&gt;0,COUNTIFS($A$4:$A$1003,$A11,$H$4:$H$1003,$H11,$D$4:$D$1003,LEFT($D11,9)&amp;"*")&gt;1),"△ 同一天同项目有一样的销售金额，看看是不是录重了","✓"))))))))</f>
        <v>✓</v>
      </c>
      <c r="W11" s="8" t="str">
        <f aca="false">IF($A11="","",$A11&amp;"#"&amp;COUNTIF($A$4:$A11,$A11))</f>
        <v>合川瑞翔#2</v>
      </c>
    </row>
    <row r="12" customFormat="false" ht="16.5" hidden="false" customHeight="false" outlineLevel="0" collapsed="false">
      <c r="A12" s="37" t="str">
        <f aca="false">IF($C12="","",IFERROR(VLOOKUP($C12,目录!$B:$C,2,0)&amp;"","⚠目录里没有"))</f>
        <v>合川瑞翔</v>
      </c>
      <c r="B12" s="38" t="str">
        <f aca="false">IF($D12="","",IFERROR(MID($D12,FIND(".",$D12)+1,FIND(".",$D12,FIND(".",$D12)+1)-FIND(".",$D12)-1)&amp;"月",""))</f>
        <v>7月</v>
      </c>
      <c r="C12" s="39" t="s">
        <v>10</v>
      </c>
      <c r="D12" s="40" t="s">
        <v>57</v>
      </c>
      <c r="E12" s="41" t="s">
        <v>49</v>
      </c>
      <c r="F12" s="42" t="s">
        <v>58</v>
      </c>
      <c r="G12" s="43"/>
      <c r="H12" s="24" t="n">
        <v>50200</v>
      </c>
      <c r="I12" s="24" t="n">
        <f aca="false">IF($H12="","",N($H12)*N($G12))</f>
        <v>0</v>
      </c>
      <c r="J12" s="25" t="n">
        <f aca="false">IF($H12="","",N($H12)-N($I12))</f>
        <v>50200</v>
      </c>
      <c r="K12" s="25" t="n">
        <v>50200</v>
      </c>
      <c r="L12" s="25" t="n">
        <f aca="false">IF($A12="","",SUMIF($A$4:$A12,$A12,$J$4:$J12)-SUMIF($A$4:$A12,$A12,$K$4:$K12))</f>
        <v>0</v>
      </c>
      <c r="M12" s="26" t="n">
        <f aca="false">IF($H12="","",N($H12))</f>
        <v>50200</v>
      </c>
      <c r="N12" s="26"/>
      <c r="O12" s="26"/>
      <c r="P12" s="26" t="n">
        <f aca="false">IF($A12="","",SUMIF($A$4:$A12,$A12,$M$4:$M12)-SUMIF($A$4:$A12,$A12,$N$4:$N12)-SUMIF($A$4:$A12,$A12,$O$4:$O12))</f>
        <v>50200</v>
      </c>
      <c r="Q12" s="27"/>
      <c r="R12" s="28"/>
      <c r="S12" s="28"/>
      <c r="T12" s="28" t="n">
        <f aca="false">IF($A12="","",SUMIF($A$4:$A12,$A12,$Q$4:$Q12)-SUMIF($A$4:$A12,$A12,$R$4:$R12)-SUMIF($A$4:$A12,$A12,$S$4:$S12))</f>
        <v>0</v>
      </c>
      <c r="U12" s="28"/>
      <c r="V12" s="29" t="str">
        <f aca="false">IF(AND($C12="",COUNTA($D12:$H12,$K12,$N12:$O12,$Q12:$S12,$U12)=0),"",IF($C12="","⚠ 没填项目名称",IF($A12="⚠目录里没有","⚠ 项目名称在目录里找不到（先加到目录）",IF($A12="","⚠ 目录里这个项目没填简称",IF(ISTEXT($G12)+ISTEXT($H12)+ISTEXT($K12)+ISTEXT($N12)+ISTEXT($O12)+ISTEXT($Q12)+ISTEXT($R12)+ISTEXT($S12)&gt;0,"⚠ 金额列里有文字，算不进合计",IF(N($G12)&gt;=1,"⚠ 管理费点要填百分比，如 10%",IF(AND($D12&lt;&gt;"",$B12=""),"△ 摘要开头没写日期（如 2026.9.21），月份取不到",IF(AND(N($H12)&lt;&gt;0,COUNTIFS($A$4:$A$1003,$A12,$H$4:$H$1003,$H12,$D$4:$D$1003,LEFT($D12,9)&amp;"*")&gt;1),"△ 同一天同项目有一样的销售金额，看看是不是录重了","✓"))))))))</f>
        <v>✓</v>
      </c>
      <c r="W12" s="8" t="str">
        <f aca="false">IF($A12="","",$A12&amp;"#"&amp;COUNTIF($A$4:$A12,$A12))</f>
        <v>合川瑞翔#3</v>
      </c>
    </row>
    <row r="13" customFormat="false" ht="16.5" hidden="false" customHeight="false" outlineLevel="0" collapsed="false">
      <c r="A13" s="37" t="str">
        <f aca="false">IF($C13="","",IFERROR(VLOOKUP($C13,目录!$B:$C,2,0)&amp;"","⚠目录里没有"))</f>
        <v>合川瑞翔</v>
      </c>
      <c r="B13" s="38" t="str">
        <f aca="false">IF($D13="","",IFERROR(MID($D13,FIND(".",$D13)+1,FIND(".",$D13,FIND(".",$D13)+1)-FIND(".",$D13)-1)&amp;"月",""))</f>
        <v>7月</v>
      </c>
      <c r="C13" s="39" t="s">
        <v>10</v>
      </c>
      <c r="D13" s="40" t="s">
        <v>59</v>
      </c>
      <c r="E13" s="41" t="s">
        <v>49</v>
      </c>
      <c r="F13" s="42"/>
      <c r="G13" s="43"/>
      <c r="H13" s="24"/>
      <c r="I13" s="24" t="str">
        <f aca="false">IF($H13="","",N($H13)*N($G13))</f>
        <v/>
      </c>
      <c r="J13" s="25" t="str">
        <f aca="false">IF($H13="","",N($H13)-N($I13))</f>
        <v/>
      </c>
      <c r="K13" s="25"/>
      <c r="L13" s="25" t="n">
        <f aca="false">IF($A13="","",SUMIF($A$4:$A13,$A13,$J$4:$J13)-SUMIF($A$4:$A13,$A13,$K$4:$K13))</f>
        <v>0</v>
      </c>
      <c r="M13" s="26" t="str">
        <f aca="false">IF($H13="","",N($H13))</f>
        <v/>
      </c>
      <c r="N13" s="26"/>
      <c r="O13" s="26" t="n">
        <v>50200</v>
      </c>
      <c r="P13" s="26" t="n">
        <f aca="false">IF($A13="","",SUMIF($A$4:$A13,$A13,$M$4:$M13)-SUMIF($A$4:$A13,$A13,$N$4:$N13)-SUMIF($A$4:$A13,$A13,$O$4:$O13))</f>
        <v>0</v>
      </c>
      <c r="Q13" s="27"/>
      <c r="R13" s="28"/>
      <c r="S13" s="28"/>
      <c r="T13" s="28" t="n">
        <f aca="false">IF($A13="","",SUMIF($A$4:$A13,$A13,$Q$4:$Q13)-SUMIF($A$4:$A13,$A13,$R$4:$R13)-SUMIF($A$4:$A13,$A13,$S$4:$S13))</f>
        <v>0</v>
      </c>
      <c r="U13" s="28"/>
      <c r="V13" s="29" t="str">
        <f aca="false">IF(AND($C13="",COUNTA($D13:$H13,$K13,$N13:$O13,$Q13:$S13,$U13)=0),"",IF($C13="","⚠ 没填项目名称",IF($A13="⚠目录里没有","⚠ 项目名称在目录里找不到（先加到目录）",IF($A13="","⚠ 目录里这个项目没填简称",IF(ISTEXT($G13)+ISTEXT($H13)+ISTEXT($K13)+ISTEXT($N13)+ISTEXT($O13)+ISTEXT($Q13)+ISTEXT($R13)+ISTEXT($S13)&gt;0,"⚠ 金额列里有文字，算不进合计",IF(N($G13)&gt;=1,"⚠ 管理费点要填百分比，如 10%",IF(AND($D13&lt;&gt;"",$B13=""),"△ 摘要开头没写日期（如 2026.9.21），月份取不到",IF(AND(N($H13)&lt;&gt;0,COUNTIFS($A$4:$A$1003,$A13,$H$4:$H$1003,$H13,$D$4:$D$1003,LEFT($D13,9)&amp;"*")&gt;1),"△ 同一天同项目有一样的销售金额，看看是不是录重了","✓"))))))))</f>
        <v>✓</v>
      </c>
      <c r="W13" s="8" t="str">
        <f aca="false">IF($A13="","",$A13&amp;"#"&amp;COUNTIF($A$4:$A13,$A13))</f>
        <v>合川瑞翔#4</v>
      </c>
    </row>
    <row r="14" customFormat="false" ht="16.5" hidden="false" customHeight="false" outlineLevel="0" collapsed="false">
      <c r="A14" s="37" t="str">
        <f aca="false">IF($C14="","",IFERROR(VLOOKUP($C14,目录!$B:$C,2,0)&amp;"","⚠目录里没有"))</f>
        <v>合川瑞翔</v>
      </c>
      <c r="B14" s="38" t="str">
        <f aca="false">IF($D14="","",IFERROR(MID($D14,FIND(".",$D14)+1,FIND(".",$D14,FIND(".",$D14)+1)-FIND(".",$D14)-1)&amp;"月",""))</f>
        <v>7月</v>
      </c>
      <c r="C14" s="39" t="s">
        <v>10</v>
      </c>
      <c r="D14" s="40" t="s">
        <v>60</v>
      </c>
      <c r="E14" s="41" t="s">
        <v>49</v>
      </c>
      <c r="F14" s="42" t="s">
        <v>55</v>
      </c>
      <c r="G14" s="43"/>
      <c r="H14" s="24" t="n">
        <v>100000</v>
      </c>
      <c r="I14" s="24" t="n">
        <f aca="false">IF($H14="","",N($H14)*N($G14))</f>
        <v>0</v>
      </c>
      <c r="J14" s="25" t="n">
        <f aca="false">IF($H14="","",N($H14)-N($I14))</f>
        <v>100000</v>
      </c>
      <c r="K14" s="25" t="n">
        <v>100000</v>
      </c>
      <c r="L14" s="25" t="n">
        <f aca="false">IF($A14="","",SUMIF($A$4:$A14,$A14,$J$4:$J14)-SUMIF($A$4:$A14,$A14,$K$4:$K14))</f>
        <v>0</v>
      </c>
      <c r="M14" s="26" t="n">
        <f aca="false">IF($H14="","",N($H14))</f>
        <v>100000</v>
      </c>
      <c r="N14" s="26"/>
      <c r="O14" s="26"/>
      <c r="P14" s="26" t="n">
        <f aca="false">IF($A14="","",SUMIF($A$4:$A14,$A14,$M$4:$M14)-SUMIF($A$4:$A14,$A14,$N$4:$N14)-SUMIF($A$4:$A14,$A14,$O$4:$O14))</f>
        <v>100000</v>
      </c>
      <c r="Q14" s="27"/>
      <c r="R14" s="28"/>
      <c r="S14" s="28"/>
      <c r="T14" s="28" t="n">
        <f aca="false">IF($A14="","",SUMIF($A$4:$A14,$A14,$Q$4:$Q14)-SUMIF($A$4:$A14,$A14,$R$4:$R14)-SUMIF($A$4:$A14,$A14,$S$4:$S14))</f>
        <v>0</v>
      </c>
      <c r="U14" s="28"/>
      <c r="V14" s="29" t="str">
        <f aca="false">IF(AND($C14="",COUNTA($D14:$H14,$K14,$N14:$O14,$Q14:$S14,$U14)=0),"",IF($C14="","⚠ 没填项目名称",IF($A14="⚠目录里没有","⚠ 项目名称在目录里找不到（先加到目录）",IF($A14="","⚠ 目录里这个项目没填简称",IF(ISTEXT($G14)+ISTEXT($H14)+ISTEXT($K14)+ISTEXT($N14)+ISTEXT($O14)+ISTEXT($Q14)+ISTEXT($R14)+ISTEXT($S14)&gt;0,"⚠ 金额列里有文字，算不进合计",IF(N($G14)&gt;=1,"⚠ 管理费点要填百分比，如 10%",IF(AND($D14&lt;&gt;"",$B14=""),"△ 摘要开头没写日期（如 2026.9.21），月份取不到",IF(AND(N($H14)&lt;&gt;0,COUNTIFS($A$4:$A$1003,$A14,$H$4:$H$1003,$H14,$D$4:$D$1003,LEFT($D14,9)&amp;"*")&gt;1),"△ 同一天同项目有一样的销售金额，看看是不是录重了","✓"))))))))</f>
        <v>✓</v>
      </c>
      <c r="W14" s="8" t="str">
        <f aca="false">IF($A14="","",$A14&amp;"#"&amp;COUNTIF($A$4:$A14,$A14))</f>
        <v>合川瑞翔#5</v>
      </c>
    </row>
    <row r="15" customFormat="false" ht="16.5" hidden="false" customHeight="false" outlineLevel="0" collapsed="false">
      <c r="A15" s="37" t="str">
        <f aca="false">IF($C15="","",IFERROR(VLOOKUP($C15,目录!$B:$C,2,0)&amp;"","⚠目录里没有"))</f>
        <v>合川瑞翔</v>
      </c>
      <c r="B15" s="38" t="str">
        <f aca="false">IF($D15="","",IFERROR(MID($D15,FIND(".",$D15)+1,FIND(".",$D15,FIND(".",$D15)+1)-FIND(".",$D15)-1)&amp;"月",""))</f>
        <v>7月</v>
      </c>
      <c r="C15" s="39" t="s">
        <v>10</v>
      </c>
      <c r="D15" s="40" t="s">
        <v>61</v>
      </c>
      <c r="E15" s="41" t="s">
        <v>49</v>
      </c>
      <c r="F15" s="42"/>
      <c r="G15" s="43"/>
      <c r="H15" s="24"/>
      <c r="I15" s="24" t="str">
        <f aca="false">IF($H15="","",N($H15)*N($G15))</f>
        <v/>
      </c>
      <c r="J15" s="25" t="str">
        <f aca="false">IF($H15="","",N($H15)-N($I15))</f>
        <v/>
      </c>
      <c r="K15" s="25" t="n">
        <v>0</v>
      </c>
      <c r="L15" s="25" t="n">
        <f aca="false">IF($A15="","",SUMIF($A$4:$A15,$A15,$J$4:$J15)-SUMIF($A$4:$A15,$A15,$K$4:$K15))</f>
        <v>0</v>
      </c>
      <c r="M15" s="26" t="str">
        <f aca="false">IF($H15="","",N($H15))</f>
        <v/>
      </c>
      <c r="N15" s="26"/>
      <c r="O15" s="26" t="n">
        <v>100000</v>
      </c>
      <c r="P15" s="26" t="n">
        <f aca="false">IF($A15="","",SUMIF($A$4:$A15,$A15,$M$4:$M15)-SUMIF($A$4:$A15,$A15,$N$4:$N15)-SUMIF($A$4:$A15,$A15,$O$4:$O15))</f>
        <v>0</v>
      </c>
      <c r="Q15" s="27"/>
      <c r="R15" s="28"/>
      <c r="S15" s="28"/>
      <c r="T15" s="28" t="n">
        <f aca="false">IF($A15="","",SUMIF($A$4:$A15,$A15,$Q$4:$Q15)-SUMIF($A$4:$A15,$A15,$R$4:$R15)-SUMIF($A$4:$A15,$A15,$S$4:$S15))</f>
        <v>0</v>
      </c>
      <c r="U15" s="28"/>
      <c r="V15" s="29" t="str">
        <f aca="false">IF(AND($C15="",COUNTA($D15:$H15,$K15,$N15:$O15,$Q15:$S15,$U15)=0),"",IF($C15="","⚠ 没填项目名称",IF($A15="⚠目录里没有","⚠ 项目名称在目录里找不到（先加到目录）",IF($A15="","⚠ 目录里这个项目没填简称",IF(ISTEXT($G15)+ISTEXT($H15)+ISTEXT($K15)+ISTEXT($N15)+ISTEXT($O15)+ISTEXT($Q15)+ISTEXT($R15)+ISTEXT($S15)&gt;0,"⚠ 金额列里有文字，算不进合计",IF(N($G15)&gt;=1,"⚠ 管理费点要填百分比，如 10%",IF(AND($D15&lt;&gt;"",$B15=""),"△ 摘要开头没写日期（如 2026.9.21），月份取不到",IF(AND(N($H15)&lt;&gt;0,COUNTIFS($A$4:$A$1003,$A15,$H$4:$H$1003,$H15,$D$4:$D$1003,LEFT($D15,9)&amp;"*")&gt;1),"△ 同一天同项目有一样的销售金额，看看是不是录重了","✓"))))))))</f>
        <v>✓</v>
      </c>
      <c r="W15" s="8" t="str">
        <f aca="false">IF($A15="","",$A15&amp;"#"&amp;COUNTIF($A$4:$A15,$A15))</f>
        <v>合川瑞翔#6</v>
      </c>
    </row>
    <row r="16" customFormat="false" ht="16.5" hidden="false" customHeight="false" outlineLevel="0" collapsed="false">
      <c r="A16" s="37" t="str">
        <f aca="false">IF($C16="","",IFERROR(VLOOKUP($C16,目录!$B:$C,2,0)&amp;"","⚠目录里没有"))</f>
        <v>合川瑞翔</v>
      </c>
      <c r="B16" s="38" t="str">
        <f aca="false">IF($D16="","",IFERROR(MID($D16,FIND(".",$D16)+1,FIND(".",$D16,FIND(".",$D16)+1)-FIND(".",$D16)-1)&amp;"月",""))</f>
        <v>7月</v>
      </c>
      <c r="C16" s="39" t="s">
        <v>10</v>
      </c>
      <c r="D16" s="40" t="s">
        <v>62</v>
      </c>
      <c r="E16" s="41" t="s">
        <v>49</v>
      </c>
      <c r="F16" s="42" t="s">
        <v>58</v>
      </c>
      <c r="G16" s="43"/>
      <c r="H16" s="24" t="n">
        <v>49800</v>
      </c>
      <c r="I16" s="24" t="n">
        <f aca="false">IF($H16="","",N($H16)*N($G16))</f>
        <v>0</v>
      </c>
      <c r="J16" s="25" t="n">
        <f aca="false">IF($H16="","",N($H16)-N($I16))</f>
        <v>49800</v>
      </c>
      <c r="K16" s="25" t="n">
        <v>49800</v>
      </c>
      <c r="L16" s="25" t="n">
        <f aca="false">IF($A16="","",SUMIF($A$4:$A16,$A16,$J$4:$J16)-SUMIF($A$4:$A16,$A16,$K$4:$K16))</f>
        <v>0</v>
      </c>
      <c r="M16" s="26" t="n">
        <f aca="false">IF($H16="","",N($H16))</f>
        <v>49800</v>
      </c>
      <c r="N16" s="26"/>
      <c r="O16" s="26"/>
      <c r="P16" s="26" t="n">
        <f aca="false">IF($A16="","",SUMIF($A$4:$A16,$A16,$M$4:$M16)-SUMIF($A$4:$A16,$A16,$N$4:$N16)-SUMIF($A$4:$A16,$A16,$O$4:$O16))</f>
        <v>49800</v>
      </c>
      <c r="Q16" s="27"/>
      <c r="R16" s="28"/>
      <c r="S16" s="28"/>
      <c r="T16" s="28" t="n">
        <f aca="false">IF($A16="","",SUMIF($A$4:$A16,$A16,$Q$4:$Q16)-SUMIF($A$4:$A16,$A16,$R$4:$R16)-SUMIF($A$4:$A16,$A16,$S$4:$S16))</f>
        <v>0</v>
      </c>
      <c r="U16" s="28"/>
      <c r="V16" s="29" t="str">
        <f aca="false">IF(AND($C16="",COUNTA($D16:$H16,$K16,$N16:$O16,$Q16:$S16,$U16)=0),"",IF($C16="","⚠ 没填项目名称",IF($A16="⚠目录里没有","⚠ 项目名称在目录里找不到（先加到目录）",IF($A16="","⚠ 目录里这个项目没填简称",IF(ISTEXT($G16)+ISTEXT($H16)+ISTEXT($K16)+ISTEXT($N16)+ISTEXT($O16)+ISTEXT($Q16)+ISTEXT($R16)+ISTEXT($S16)&gt;0,"⚠ 金额列里有文字，算不进合计",IF(N($G16)&gt;=1,"⚠ 管理费点要填百分比，如 10%",IF(AND($D16&lt;&gt;"",$B16=""),"△ 摘要开头没写日期（如 2026.9.21），月份取不到",IF(AND(N($H16)&lt;&gt;0,COUNTIFS($A$4:$A$1003,$A16,$H$4:$H$1003,$H16,$D$4:$D$1003,LEFT($D16,9)&amp;"*")&gt;1),"△ 同一天同项目有一样的销售金额，看看是不是录重了","✓"))))))))</f>
        <v>✓</v>
      </c>
      <c r="W16" s="8" t="str">
        <f aca="false">IF($A16="","",$A16&amp;"#"&amp;COUNTIF($A$4:$A16,$A16))</f>
        <v>合川瑞翔#7</v>
      </c>
    </row>
    <row r="17" customFormat="false" ht="16.5" hidden="false" customHeight="false" outlineLevel="0" collapsed="false">
      <c r="A17" s="37" t="str">
        <f aca="false">IF($C17="","",IFERROR(VLOOKUP($C17,目录!$B:$C,2,0)&amp;"","⚠目录里没有"))</f>
        <v>合川瑞翔</v>
      </c>
      <c r="B17" s="38" t="str">
        <f aca="false">IF($D17="","",IFERROR(MID($D17,FIND(".",$D17)+1,FIND(".",$D17,FIND(".",$D17)+1)-FIND(".",$D17)-1)&amp;"月",""))</f>
        <v>7月</v>
      </c>
      <c r="C17" s="39" t="s">
        <v>10</v>
      </c>
      <c r="D17" s="40" t="s">
        <v>63</v>
      </c>
      <c r="E17" s="41" t="s">
        <v>49</v>
      </c>
      <c r="F17" s="42"/>
      <c r="G17" s="43"/>
      <c r="H17" s="24"/>
      <c r="I17" s="24" t="str">
        <f aca="false">IF($H17="","",N($H17)*N($G17))</f>
        <v/>
      </c>
      <c r="J17" s="25" t="str">
        <f aca="false">IF($H17="","",N($H17)-N($I17))</f>
        <v/>
      </c>
      <c r="K17" s="25" t="n">
        <v>0</v>
      </c>
      <c r="L17" s="25" t="n">
        <f aca="false">IF($A17="","",SUMIF($A$4:$A17,$A17,$J$4:$J17)-SUMIF($A$4:$A17,$A17,$K$4:$K17))</f>
        <v>0</v>
      </c>
      <c r="M17" s="26" t="str">
        <f aca="false">IF($H17="","",N($H17))</f>
        <v/>
      </c>
      <c r="N17" s="26"/>
      <c r="O17" s="26" t="n">
        <v>49800</v>
      </c>
      <c r="P17" s="26" t="n">
        <f aca="false">IF($A17="","",SUMIF($A$4:$A17,$A17,$M$4:$M17)-SUMIF($A$4:$A17,$A17,$N$4:$N17)-SUMIF($A$4:$A17,$A17,$O$4:$O17))</f>
        <v>0</v>
      </c>
      <c r="Q17" s="27"/>
      <c r="R17" s="28"/>
      <c r="S17" s="28"/>
      <c r="T17" s="28" t="n">
        <f aca="false">IF($A17="","",SUMIF($A$4:$A17,$A17,$Q$4:$Q17)-SUMIF($A$4:$A17,$A17,$R$4:$R17)-SUMIF($A$4:$A17,$A17,$S$4:$S17))</f>
        <v>0</v>
      </c>
      <c r="U17" s="28"/>
      <c r="V17" s="29" t="str">
        <f aca="false">IF(AND($C17="",COUNTA($D17:$H17,$K17,$N17:$O17,$Q17:$S17,$U17)=0),"",IF($C17="","⚠ 没填项目名称",IF($A17="⚠目录里没有","⚠ 项目名称在目录里找不到（先加到目录）",IF($A17="","⚠ 目录里这个项目没填简称",IF(ISTEXT($G17)+ISTEXT($H17)+ISTEXT($K17)+ISTEXT($N17)+ISTEXT($O17)+ISTEXT($Q17)+ISTEXT($R17)+ISTEXT($S17)&gt;0,"⚠ 金额列里有文字，算不进合计",IF(N($G17)&gt;=1,"⚠ 管理费点要填百分比，如 10%",IF(AND($D17&lt;&gt;"",$B17=""),"△ 摘要开头没写日期（如 2026.9.21），月份取不到",IF(AND(N($H17)&lt;&gt;0,COUNTIFS($A$4:$A$1003,$A17,$H$4:$H$1003,$H17,$D$4:$D$1003,LEFT($D17,9)&amp;"*")&gt;1),"△ 同一天同项目有一样的销售金额，看看是不是录重了","✓"))))))))</f>
        <v>✓</v>
      </c>
      <c r="W17" s="8" t="str">
        <f aca="false">IF($A17="","",$A17&amp;"#"&amp;COUNTIF($A$4:$A17,$A17))</f>
        <v>合川瑞翔#8</v>
      </c>
    </row>
    <row r="18" customFormat="false" ht="16.5" hidden="false" customHeight="false" outlineLevel="0" collapsed="false">
      <c r="A18" s="37" t="str">
        <f aca="false">IF($C18="","",IFERROR(VLOOKUP($C18,目录!$B:$C,2,0)&amp;"","⚠目录里没有"))</f>
        <v>合川瑞翔</v>
      </c>
      <c r="B18" s="38" t="str">
        <f aca="false">IF($D18="","",IFERROR(MID($D18,FIND(".",$D18)+1,FIND(".",$D18,FIND(".",$D18)+1)-FIND(".",$D18)-1)&amp;"月",""))</f>
        <v>7月</v>
      </c>
      <c r="C18" s="39" t="s">
        <v>10</v>
      </c>
      <c r="D18" s="40" t="s">
        <v>64</v>
      </c>
      <c r="E18" s="41" t="s">
        <v>49</v>
      </c>
      <c r="F18" s="42" t="s">
        <v>65</v>
      </c>
      <c r="G18" s="43"/>
      <c r="H18" s="24" t="n">
        <v>50220</v>
      </c>
      <c r="I18" s="24" t="n">
        <f aca="false">IF($H18="","",N($H18)*N($G18))</f>
        <v>0</v>
      </c>
      <c r="J18" s="25" t="n">
        <f aca="false">IF($H18="","",N($H18)-N($I18))</f>
        <v>50220</v>
      </c>
      <c r="K18" s="25" t="n">
        <v>50220</v>
      </c>
      <c r="L18" s="25" t="n">
        <f aca="false">IF($A18="","",SUMIF($A$4:$A18,$A18,$J$4:$J18)-SUMIF($A$4:$A18,$A18,$K$4:$K18))</f>
        <v>0</v>
      </c>
      <c r="M18" s="26" t="n">
        <f aca="false">IF($H18="","",N($H18))</f>
        <v>50220</v>
      </c>
      <c r="N18" s="26"/>
      <c r="O18" s="26"/>
      <c r="P18" s="26" t="n">
        <f aca="false">IF($A18="","",SUMIF($A$4:$A18,$A18,$M$4:$M18)-SUMIF($A$4:$A18,$A18,$N$4:$N18)-SUMIF($A$4:$A18,$A18,$O$4:$O18))</f>
        <v>50220</v>
      </c>
      <c r="Q18" s="27"/>
      <c r="R18" s="28"/>
      <c r="S18" s="28"/>
      <c r="T18" s="28" t="n">
        <f aca="false">IF($A18="","",SUMIF($A$4:$A18,$A18,$Q$4:$Q18)-SUMIF($A$4:$A18,$A18,$R$4:$R18)-SUMIF($A$4:$A18,$A18,$S$4:$S18))</f>
        <v>0</v>
      </c>
      <c r="U18" s="28"/>
      <c r="V18" s="29" t="str">
        <f aca="false">IF(AND($C18="",COUNTA($D18:$H18,$K18,$N18:$O18,$Q18:$S18,$U18)=0),"",IF($C18="","⚠ 没填项目名称",IF($A18="⚠目录里没有","⚠ 项目名称在目录里找不到（先加到目录）",IF($A18="","⚠ 目录里这个项目没填简称",IF(ISTEXT($G18)+ISTEXT($H18)+ISTEXT($K18)+ISTEXT($N18)+ISTEXT($O18)+ISTEXT($Q18)+ISTEXT($R18)+ISTEXT($S18)&gt;0,"⚠ 金额列里有文字，算不进合计",IF(N($G18)&gt;=1,"⚠ 管理费点要填百分比，如 10%",IF(AND($D18&lt;&gt;"",$B18=""),"△ 摘要开头没写日期（如 2026.9.21），月份取不到",IF(AND(N($H18)&lt;&gt;0,COUNTIFS($A$4:$A$1003,$A18,$H$4:$H$1003,$H18,$D$4:$D$1003,LEFT($D18,9)&amp;"*")&gt;1),"△ 同一天同项目有一样的销售金额，看看是不是录重了","✓"))))))))</f>
        <v>✓</v>
      </c>
      <c r="W18" s="8" t="str">
        <f aca="false">IF($A18="","",$A18&amp;"#"&amp;COUNTIF($A$4:$A18,$A18))</f>
        <v>合川瑞翔#9</v>
      </c>
    </row>
    <row r="19" customFormat="false" ht="28.35" hidden="false" customHeight="false" outlineLevel="0" collapsed="false">
      <c r="A19" s="37" t="str">
        <f aca="false">IF($C19="","",IFERROR(VLOOKUP($C19,目录!$B:$C,2,0)&amp;"","⚠目录里没有"))</f>
        <v>合川瑞翔</v>
      </c>
      <c r="B19" s="38" t="str">
        <f aca="false">IF($D19="","",IFERROR(MID($D19,FIND(".",$D19)+1,FIND(".",$D19,FIND(".",$D19)+1)-FIND(".",$D19)-1)&amp;"月",""))</f>
        <v>7月</v>
      </c>
      <c r="C19" s="39" t="s">
        <v>10</v>
      </c>
      <c r="D19" s="40" t="s">
        <v>66</v>
      </c>
      <c r="E19" s="41" t="s">
        <v>49</v>
      </c>
      <c r="F19" s="42"/>
      <c r="G19" s="43"/>
      <c r="H19" s="24"/>
      <c r="I19" s="24" t="str">
        <f aca="false">IF($H19="","",N($H19)*N($G19))</f>
        <v/>
      </c>
      <c r="J19" s="25" t="str">
        <f aca="false">IF($H19="","",N($H19)-N($I19))</f>
        <v/>
      </c>
      <c r="K19" s="25"/>
      <c r="L19" s="25" t="n">
        <f aca="false">IF($A19="","",SUMIF($A$4:$A19,$A19,$J$4:$J19)-SUMIF($A$4:$A19,$A19,$K$4:$K19))</f>
        <v>0</v>
      </c>
      <c r="M19" s="26" t="str">
        <f aca="false">IF($H19="","",N($H19))</f>
        <v/>
      </c>
      <c r="N19" s="26"/>
      <c r="O19" s="26" t="n">
        <v>50220</v>
      </c>
      <c r="P19" s="26" t="n">
        <f aca="false">IF($A19="","",SUMIF($A$4:$A19,$A19,$M$4:$M19)-SUMIF($A$4:$A19,$A19,$N$4:$N19)-SUMIF($A$4:$A19,$A19,$O$4:$O19))</f>
        <v>0</v>
      </c>
      <c r="Q19" s="27"/>
      <c r="R19" s="28"/>
      <c r="S19" s="28"/>
      <c r="T19" s="28" t="n">
        <f aca="false">IF($A19="","",SUMIF($A$4:$A19,$A19,$Q$4:$Q19)-SUMIF($A$4:$A19,$A19,$R$4:$R19)-SUMIF($A$4:$A19,$A19,$S$4:$S19))</f>
        <v>0</v>
      </c>
      <c r="U19" s="28"/>
      <c r="V19" s="29" t="str">
        <f aca="false">IF(AND($C19="",COUNTA($D19:$H19,$K19,$N19:$O19,$Q19:$S19,$U19)=0),"",IF($C19="","⚠ 没填项目名称",IF($A19="⚠目录里没有","⚠ 项目名称在目录里找不到（先加到目录）",IF($A19="","⚠ 目录里这个项目没填简称",IF(ISTEXT($G19)+ISTEXT($H19)+ISTEXT($K19)+ISTEXT($N19)+ISTEXT($O19)+ISTEXT($Q19)+ISTEXT($R19)+ISTEXT($S19)&gt;0,"⚠ 金额列里有文字，算不进合计",IF(N($G19)&gt;=1,"⚠ 管理费点要填百分比，如 10%",IF(AND($D19&lt;&gt;"",$B19=""),"△ 摘要开头没写日期（如 2026.9.21），月份取不到",IF(AND(N($H19)&lt;&gt;0,COUNTIFS($A$4:$A$1003,$A19,$H$4:$H$1003,$H19,$D$4:$D$1003,LEFT($D19,9)&amp;"*")&gt;1),"△ 同一天同项目有一样的销售金额，看看是不是录重了","✓"))))))))</f>
        <v>✓</v>
      </c>
      <c r="W19" s="8" t="str">
        <f aca="false">IF($A19="","",$A19&amp;"#"&amp;COUNTIF($A$4:$A19,$A19))</f>
        <v>合川瑞翔#10</v>
      </c>
    </row>
    <row r="20" customFormat="false" ht="28.35" hidden="false" customHeight="false" outlineLevel="0" collapsed="false">
      <c r="A20" s="37" t="str">
        <f aca="false">IF($C20="","",IFERROR(VLOOKUP($C20,目录!$B:$C,2,0)&amp;"","⚠目录里没有"))</f>
        <v>合川瑞翔</v>
      </c>
      <c r="B20" s="38" t="str">
        <f aca="false">IF($D20="","",IFERROR(MID($D20,FIND(".",$D20)+1,FIND(".",$D20,FIND(".",$D20)+1)-FIND(".",$D20)-1)&amp;"月",""))</f>
        <v>7月</v>
      </c>
      <c r="C20" s="39" t="s">
        <v>10</v>
      </c>
      <c r="D20" s="40" t="s">
        <v>67</v>
      </c>
      <c r="E20" s="41" t="s">
        <v>49</v>
      </c>
      <c r="F20" s="42" t="s">
        <v>58</v>
      </c>
      <c r="G20" s="43"/>
      <c r="H20" s="24" t="n">
        <v>100000</v>
      </c>
      <c r="I20" s="24" t="n">
        <f aca="false">IF($H20="","",N($H20)*N($G20))</f>
        <v>0</v>
      </c>
      <c r="J20" s="25" t="n">
        <f aca="false">IF($H20="","",N($H20)-N($I20))</f>
        <v>100000</v>
      </c>
      <c r="K20" s="25" t="n">
        <v>100000</v>
      </c>
      <c r="L20" s="25" t="n">
        <f aca="false">IF($A20="","",SUMIF($A$4:$A20,$A20,$J$4:$J20)-SUMIF($A$4:$A20,$A20,$K$4:$K20))</f>
        <v>0</v>
      </c>
      <c r="M20" s="26" t="n">
        <f aca="false">IF($H20="","",N($H20))</f>
        <v>100000</v>
      </c>
      <c r="N20" s="26"/>
      <c r="O20" s="26"/>
      <c r="P20" s="26" t="n">
        <f aca="false">IF($A20="","",SUMIF($A$4:$A20,$A20,$M$4:$M20)-SUMIF($A$4:$A20,$A20,$N$4:$N20)-SUMIF($A$4:$A20,$A20,$O$4:$O20))</f>
        <v>100000</v>
      </c>
      <c r="Q20" s="27"/>
      <c r="R20" s="28"/>
      <c r="S20" s="28"/>
      <c r="T20" s="28" t="n">
        <f aca="false">IF($A20="","",SUMIF($A$4:$A20,$A20,$Q$4:$Q20)-SUMIF($A$4:$A20,$A20,$R$4:$R20)-SUMIF($A$4:$A20,$A20,$S$4:$S20))</f>
        <v>0</v>
      </c>
      <c r="U20" s="28"/>
      <c r="V20" s="29" t="str">
        <f aca="false">IF(AND($C20="",COUNTA($D20:$H20,$K20,$N20:$O20,$Q20:$S20,$U20)=0),"",IF($C20="","⚠ 没填项目名称",IF($A20="⚠目录里没有","⚠ 项目名称在目录里找不到（先加到目录）",IF($A20="","⚠ 目录里这个项目没填简称",IF(ISTEXT($G20)+ISTEXT($H20)+ISTEXT($K20)+ISTEXT($N20)+ISTEXT($O20)+ISTEXT($Q20)+ISTEXT($R20)+ISTEXT($S20)&gt;0,"⚠ 金额列里有文字，算不进合计",IF(N($G20)&gt;=1,"⚠ 管理费点要填百分比，如 10%",IF(AND($D20&lt;&gt;"",$B20=""),"△ 摘要开头没写日期（如 2026.9.21），月份取不到",IF(AND(N($H20)&lt;&gt;0,COUNTIFS($A$4:$A$1003,$A20,$H$4:$H$1003,$H20,$D$4:$D$1003,LEFT($D20,9)&amp;"*")&gt;1),"△ 同一天同项目有一样的销售金额，看看是不是录重了","✓"))))))))</f>
        <v>✓</v>
      </c>
      <c r="W20" s="8" t="str">
        <f aca="false">IF($A20="","",$A20&amp;"#"&amp;COUNTIF($A$4:$A20,$A20))</f>
        <v>合川瑞翔#11</v>
      </c>
    </row>
    <row r="21" customFormat="false" ht="28.35" hidden="false" customHeight="false" outlineLevel="0" collapsed="false">
      <c r="A21" s="37" t="str">
        <f aca="false">IF($C21="","",IFERROR(VLOOKUP($C21,目录!$B:$C,2,0)&amp;"","⚠目录里没有"))</f>
        <v>合川瑞翔</v>
      </c>
      <c r="B21" s="38" t="str">
        <f aca="false">IF($D21="","",IFERROR(MID($D21,FIND(".",$D21)+1,FIND(".",$D21,FIND(".",$D21)+1)-FIND(".",$D21)-1)&amp;"月",""))</f>
        <v>7月</v>
      </c>
      <c r="C21" s="39" t="s">
        <v>10</v>
      </c>
      <c r="D21" s="40" t="s">
        <v>68</v>
      </c>
      <c r="E21" s="41" t="s">
        <v>49</v>
      </c>
      <c r="F21" s="42"/>
      <c r="G21" s="43"/>
      <c r="H21" s="24"/>
      <c r="I21" s="24" t="str">
        <f aca="false">IF($H21="","",N($H21)*N($G21))</f>
        <v/>
      </c>
      <c r="J21" s="25" t="str">
        <f aca="false">IF($H21="","",N($H21)-N($I21))</f>
        <v/>
      </c>
      <c r="K21" s="25"/>
      <c r="L21" s="25" t="n">
        <f aca="false">IF($A21="","",SUMIF($A$4:$A21,$A21,$J$4:$J21)-SUMIF($A$4:$A21,$A21,$K$4:$K21))</f>
        <v>0</v>
      </c>
      <c r="M21" s="26" t="str">
        <f aca="false">IF($H21="","",N($H21))</f>
        <v/>
      </c>
      <c r="N21" s="26"/>
      <c r="O21" s="26" t="n">
        <v>100000</v>
      </c>
      <c r="P21" s="26" t="n">
        <f aca="false">IF($A21="","",SUMIF($A$4:$A21,$A21,$M$4:$M21)-SUMIF($A$4:$A21,$A21,$N$4:$N21)-SUMIF($A$4:$A21,$A21,$O$4:$O21))</f>
        <v>0</v>
      </c>
      <c r="Q21" s="27"/>
      <c r="R21" s="28"/>
      <c r="S21" s="28"/>
      <c r="T21" s="28" t="n">
        <f aca="false">IF($A21="","",SUMIF($A$4:$A21,$A21,$Q$4:$Q21)-SUMIF($A$4:$A21,$A21,$R$4:$R21)-SUMIF($A$4:$A21,$A21,$S$4:$S21))</f>
        <v>0</v>
      </c>
      <c r="U21" s="28"/>
      <c r="V21" s="29" t="str">
        <f aca="false">IF(AND($C21="",COUNTA($D21:$H21,$K21,$N21:$O21,$Q21:$S21,$U21)=0),"",IF($C21="","⚠ 没填项目名称",IF($A21="⚠目录里没有","⚠ 项目名称在目录里找不到（先加到目录）",IF($A21="","⚠ 目录里这个项目没填简称",IF(ISTEXT($G21)+ISTEXT($H21)+ISTEXT($K21)+ISTEXT($N21)+ISTEXT($O21)+ISTEXT($Q21)+ISTEXT($R21)+ISTEXT($S21)&gt;0,"⚠ 金额列里有文字，算不进合计",IF(N($G21)&gt;=1,"⚠ 管理费点要填百分比，如 10%",IF(AND($D21&lt;&gt;"",$B21=""),"△ 摘要开头没写日期（如 2026.9.21），月份取不到",IF(AND(N($H21)&lt;&gt;0,COUNTIFS($A$4:$A$1003,$A21,$H$4:$H$1003,$H21,$D$4:$D$1003,LEFT($D21,9)&amp;"*")&gt;1),"△ 同一天同项目有一样的销售金额，看看是不是录重了","✓"))))))))</f>
        <v>✓</v>
      </c>
      <c r="W21" s="8" t="str">
        <f aca="false">IF($A21="","",$A21&amp;"#"&amp;COUNTIF($A$4:$A21,$A21))</f>
        <v>合川瑞翔#12</v>
      </c>
    </row>
    <row r="22" customFormat="false" ht="28.35" hidden="false" customHeight="false" outlineLevel="0" collapsed="false">
      <c r="A22" s="37" t="str">
        <f aca="false">IF($C22="","",IFERROR(VLOOKUP($C22,目录!$B:$C,2,0)&amp;"","⚠目录里没有"))</f>
        <v>合川瑞翔</v>
      </c>
      <c r="B22" s="38" t="str">
        <f aca="false">IF($D22="","",IFERROR(MID($D22,FIND(".",$D22)+1,FIND(".",$D22,FIND(".",$D22)+1)-FIND(".",$D22)-1)&amp;"月",""))</f>
        <v>7月</v>
      </c>
      <c r="C22" s="39" t="s">
        <v>10</v>
      </c>
      <c r="D22" s="40" t="s">
        <v>69</v>
      </c>
      <c r="E22" s="41" t="s">
        <v>49</v>
      </c>
      <c r="F22" s="42" t="s">
        <v>65</v>
      </c>
      <c r="G22" s="43"/>
      <c r="H22" s="24" t="n">
        <v>49780</v>
      </c>
      <c r="I22" s="24" t="n">
        <f aca="false">IF($H22="","",N($H22)*N($G22))</f>
        <v>0</v>
      </c>
      <c r="J22" s="25" t="n">
        <f aca="false">IF($H22="","",N($H22)-N($I22))</f>
        <v>49780</v>
      </c>
      <c r="K22" s="25" t="n">
        <v>49780</v>
      </c>
      <c r="L22" s="25" t="n">
        <f aca="false">IF($A22="","",SUMIF($A$4:$A22,$A22,$J$4:$J22)-SUMIF($A$4:$A22,$A22,$K$4:$K22))</f>
        <v>0</v>
      </c>
      <c r="M22" s="26" t="n">
        <f aca="false">IF($H22="","",N($H22))</f>
        <v>49780</v>
      </c>
      <c r="N22" s="26"/>
      <c r="O22" s="26"/>
      <c r="P22" s="26" t="n">
        <f aca="false">IF($A22="","",SUMIF($A$4:$A22,$A22,$M$4:$M22)-SUMIF($A$4:$A22,$A22,$N$4:$N22)-SUMIF($A$4:$A22,$A22,$O$4:$O22))</f>
        <v>49780</v>
      </c>
      <c r="Q22" s="27"/>
      <c r="R22" s="28"/>
      <c r="S22" s="28"/>
      <c r="T22" s="28" t="n">
        <f aca="false">IF($A22="","",SUMIF($A$4:$A22,$A22,$Q$4:$Q22)-SUMIF($A$4:$A22,$A22,$R$4:$R22)-SUMIF($A$4:$A22,$A22,$S$4:$S22))</f>
        <v>0</v>
      </c>
      <c r="U22" s="28"/>
      <c r="V22" s="29" t="str">
        <f aca="false">IF(AND($C22="",COUNTA($D22:$H22,$K22,$N22:$O22,$Q22:$S22,$U22)=0),"",IF($C22="","⚠ 没填项目名称",IF($A22="⚠目录里没有","⚠ 项目名称在目录里找不到（先加到目录）",IF($A22="","⚠ 目录里这个项目没填简称",IF(ISTEXT($G22)+ISTEXT($H22)+ISTEXT($K22)+ISTEXT($N22)+ISTEXT($O22)+ISTEXT($Q22)+ISTEXT($R22)+ISTEXT($S22)&gt;0,"⚠ 金额列里有文字，算不进合计",IF(N($G22)&gt;=1,"⚠ 管理费点要填百分比，如 10%",IF(AND($D22&lt;&gt;"",$B22=""),"△ 摘要开头没写日期（如 2026.9.21），月份取不到",IF(AND(N($H22)&lt;&gt;0,COUNTIFS($A$4:$A$1003,$A22,$H$4:$H$1003,$H22,$D$4:$D$1003,LEFT($D22,9)&amp;"*")&gt;1),"△ 同一天同项目有一样的销售金额，看看是不是录重了","✓"))))))))</f>
        <v>✓</v>
      </c>
      <c r="W22" s="8" t="str">
        <f aca="false">IF($A22="","",$A22&amp;"#"&amp;COUNTIF($A$4:$A22,$A22))</f>
        <v>合川瑞翔#13</v>
      </c>
    </row>
    <row r="23" customFormat="false" ht="28.35" hidden="false" customHeight="false" outlineLevel="0" collapsed="false">
      <c r="A23" s="37" t="str">
        <f aca="false">IF($C23="","",IFERROR(VLOOKUP($C23,目录!$B:$C,2,0)&amp;"","⚠目录里没有"))</f>
        <v>合川瑞翔</v>
      </c>
      <c r="B23" s="38" t="str">
        <f aca="false">IF($D23="","",IFERROR(MID($D23,FIND(".",$D23)+1,FIND(".",$D23,FIND(".",$D23)+1)-FIND(".",$D23)-1)&amp;"月",""))</f>
        <v>7月</v>
      </c>
      <c r="C23" s="39" t="s">
        <v>10</v>
      </c>
      <c r="D23" s="40" t="s">
        <v>70</v>
      </c>
      <c r="E23" s="41" t="s">
        <v>49</v>
      </c>
      <c r="F23" s="42"/>
      <c r="G23" s="43"/>
      <c r="H23" s="24"/>
      <c r="I23" s="24" t="str">
        <f aca="false">IF($H23="","",N($H23)*N($G23))</f>
        <v/>
      </c>
      <c r="J23" s="25" t="str">
        <f aca="false">IF($H23="","",N($H23)-N($I23))</f>
        <v/>
      </c>
      <c r="K23" s="25"/>
      <c r="L23" s="25" t="n">
        <f aca="false">IF($A23="","",SUMIF($A$4:$A23,$A23,$J$4:$J23)-SUMIF($A$4:$A23,$A23,$K$4:$K23))</f>
        <v>0</v>
      </c>
      <c r="M23" s="26" t="str">
        <f aca="false">IF($H23="","",N($H23))</f>
        <v/>
      </c>
      <c r="N23" s="26"/>
      <c r="O23" s="26" t="n">
        <v>49780</v>
      </c>
      <c r="P23" s="26" t="n">
        <f aca="false">IF($A23="","",SUMIF($A$4:$A23,$A23,$M$4:$M23)-SUMIF($A$4:$A23,$A23,$N$4:$N23)-SUMIF($A$4:$A23,$A23,$O$4:$O23))</f>
        <v>0</v>
      </c>
      <c r="Q23" s="27"/>
      <c r="R23" s="28"/>
      <c r="S23" s="28"/>
      <c r="T23" s="28" t="n">
        <f aca="false">IF($A23="","",SUMIF($A$4:$A23,$A23,$Q$4:$Q23)-SUMIF($A$4:$A23,$A23,$R$4:$R23)-SUMIF($A$4:$A23,$A23,$S$4:$S23))</f>
        <v>0</v>
      </c>
      <c r="U23" s="28"/>
      <c r="V23" s="29" t="str">
        <f aca="false">IF(AND($C23="",COUNTA($D23:$H23,$K23,$N23:$O23,$Q23:$S23,$U23)=0),"",IF($C23="","⚠ 没填项目名称",IF($A23="⚠目录里没有","⚠ 项目名称在目录里找不到（先加到目录）",IF($A23="","⚠ 目录里这个项目没填简称",IF(ISTEXT($G23)+ISTEXT($H23)+ISTEXT($K23)+ISTEXT($N23)+ISTEXT($O23)+ISTEXT($Q23)+ISTEXT($R23)+ISTEXT($S23)&gt;0,"⚠ 金额列里有文字，算不进合计",IF(N($G23)&gt;=1,"⚠ 管理费点要填百分比，如 10%",IF(AND($D23&lt;&gt;"",$B23=""),"△ 摘要开头没写日期（如 2026.9.21），月份取不到",IF(AND(N($H23)&lt;&gt;0,COUNTIFS($A$4:$A$1003,$A23,$H$4:$H$1003,$H23,$D$4:$D$1003,LEFT($D23,9)&amp;"*")&gt;1),"△ 同一天同项目有一样的销售金额，看看是不是录重了","✓"))))))))</f>
        <v>✓</v>
      </c>
      <c r="W23" s="8" t="str">
        <f aca="false">IF($A23="","",$A23&amp;"#"&amp;COUNTIF($A$4:$A23,$A23))</f>
        <v>合川瑞翔#14</v>
      </c>
    </row>
    <row r="24" customFormat="false" ht="28.35" hidden="false" customHeight="false" outlineLevel="0" collapsed="false">
      <c r="A24" s="37" t="str">
        <f aca="false">IF($C24="","",IFERROR(VLOOKUP($C24,目录!$B:$C,2,0)&amp;"","⚠目录里没有"))</f>
        <v>合川瑞翔</v>
      </c>
      <c r="B24" s="38" t="str">
        <f aca="false">IF($D24="","",IFERROR(MID($D24,FIND(".",$D24)+1,FIND(".",$D24,FIND(".",$D24)+1)-FIND(".",$D24)-1)&amp;"月",""))</f>
        <v>9月</v>
      </c>
      <c r="C24" s="39" t="s">
        <v>10</v>
      </c>
      <c r="D24" s="40" t="s">
        <v>71</v>
      </c>
      <c r="E24" s="41" t="s">
        <v>49</v>
      </c>
      <c r="F24" s="42"/>
      <c r="G24" s="43"/>
      <c r="H24" s="24"/>
      <c r="I24" s="24" t="str">
        <f aca="false">IF($H24="","",N($H24)*N($G24))</f>
        <v/>
      </c>
      <c r="J24" s="25" t="str">
        <f aca="false">IF($H24="","",N($H24)-N($I24))</f>
        <v/>
      </c>
      <c r="K24" s="25"/>
      <c r="L24" s="25" t="n">
        <f aca="false">IF($A24="","",SUMIF($A$4:$A24,$A24,$J$4:$J24)-SUMIF($A$4:$A24,$A24,$K$4:$K24))</f>
        <v>0</v>
      </c>
      <c r="M24" s="26" t="str">
        <f aca="false">IF($H24="","",N($H24))</f>
        <v/>
      </c>
      <c r="N24" s="26"/>
      <c r="O24" s="26" t="n">
        <v>3326.17</v>
      </c>
      <c r="P24" s="26" t="n">
        <f aca="false">IF($A24="","",SUMIF($A$4:$A24,$A24,$M$4:$M24)-SUMIF($A$4:$A24,$A24,$N$4:$N24)-SUMIF($A$4:$A24,$A24,$O$4:$O24))</f>
        <v>-3326.16999999998</v>
      </c>
      <c r="Q24" s="27"/>
      <c r="R24" s="28"/>
      <c r="S24" s="28"/>
      <c r="T24" s="28" t="n">
        <f aca="false">IF($A24="","",SUMIF($A$4:$A24,$A24,$Q$4:$Q24)-SUMIF($A$4:$A24,$A24,$R$4:$R24)-SUMIF($A$4:$A24,$A24,$S$4:$S24))</f>
        <v>0</v>
      </c>
      <c r="U24" s="28"/>
      <c r="V24" s="29" t="str">
        <f aca="false">IF(AND($C24="",COUNTA($D24:$H24,$K24,$N24:$O24,$Q24:$S24,$U24)=0),"",IF($C24="","⚠ 没填项目名称",IF($A24="⚠目录里没有","⚠ 项目名称在目录里找不到（先加到目录）",IF($A24="","⚠ 目录里这个项目没填简称",IF(ISTEXT($G24)+ISTEXT($H24)+ISTEXT($K24)+ISTEXT($N24)+ISTEXT($O24)+ISTEXT($Q24)+ISTEXT($R24)+ISTEXT($S24)&gt;0,"⚠ 金额列里有文字，算不进合计",IF(N($G24)&gt;=1,"⚠ 管理费点要填百分比，如 10%",IF(AND($D24&lt;&gt;"",$B24=""),"△ 摘要开头没写日期（如 2026.9.21），月份取不到",IF(AND(N($H24)&lt;&gt;0,COUNTIFS($A$4:$A$1003,$A24,$H$4:$H$1003,$H24,$D$4:$D$1003,LEFT($D24,9)&amp;"*")&gt;1),"△ 同一天同项目有一样的销售金额，看看是不是录重了","✓"))))))))</f>
        <v>✓</v>
      </c>
      <c r="W24" s="8" t="str">
        <f aca="false">IF($A24="","",$A24&amp;"#"&amp;COUNTIF($A$4:$A24,$A24))</f>
        <v>合川瑞翔#15</v>
      </c>
    </row>
    <row r="25" customFormat="false" ht="55.2" hidden="false" customHeight="false" outlineLevel="0" collapsed="false">
      <c r="A25" s="44" t="str">
        <f aca="false">IF($C25="","",IFERROR(VLOOKUP($C25,目录!$B:$C,2,0)&amp;"","⚠目录里没有"))</f>
        <v>铜城2回、玉璟尚线、铁井一回、淮拦线4</v>
      </c>
      <c r="B25" s="45" t="str">
        <f aca="false">IF($D25="","",IFERROR(MID($D25,FIND(".",$D25)+1,FIND(".",$D25,FIND(".",$D25)+1)-FIND(".",$D25)-1)&amp;"月",""))</f>
        <v>6月</v>
      </c>
      <c r="C25" s="46" t="s">
        <v>12</v>
      </c>
      <c r="D25" s="47" t="s">
        <v>72</v>
      </c>
      <c r="E25" s="48" t="s">
        <v>46</v>
      </c>
      <c r="F25" s="49" t="s">
        <v>47</v>
      </c>
      <c r="G25" s="50" t="n">
        <v>0.1</v>
      </c>
      <c r="H25" s="24" t="n">
        <v>4002.66</v>
      </c>
      <c r="I25" s="24" t="n">
        <f aca="false">IF($H25="","",N($H25)*N($G25))</f>
        <v>400.266</v>
      </c>
      <c r="J25" s="25" t="n">
        <f aca="false">IF($H25="","",N($H25)-N($I25))</f>
        <v>3602.394</v>
      </c>
      <c r="K25" s="25"/>
      <c r="L25" s="25" t="n">
        <f aca="false">IF($A25="","",SUMIF($A$4:$A25,$A25,$J$4:$J25)-SUMIF($A$4:$A25,$A25,$K$4:$K25))</f>
        <v>3602.394</v>
      </c>
      <c r="M25" s="26" t="n">
        <f aca="false">IF($H25="","",N($H25))</f>
        <v>4002.66</v>
      </c>
      <c r="N25" s="26"/>
      <c r="O25" s="26"/>
      <c r="P25" s="26" t="n">
        <f aca="false">IF($A25="","",SUMIF($A$4:$A25,$A25,$M$4:$M25)-SUMIF($A$4:$A25,$A25,$N$4:$N25)-SUMIF($A$4:$A25,$A25,$O$4:$O25))</f>
        <v>4002.66</v>
      </c>
      <c r="Q25" s="27"/>
      <c r="R25" s="28"/>
      <c r="S25" s="28"/>
      <c r="T25" s="28" t="n">
        <f aca="false">IF($A25="","",SUMIF($A$4:$A25,$A25,$Q$4:$Q25)-SUMIF($A$4:$A25,$A25,$R$4:$R25)-SUMIF($A$4:$A25,$A25,$S$4:$S25))</f>
        <v>0</v>
      </c>
      <c r="U25" s="28"/>
      <c r="V25" s="29" t="str">
        <f aca="false">IF(AND($C25="",COUNTA($D25:$H25,$K25,$N25:$O25,$Q25:$S25,$U25)=0),"",IF($C25="","⚠ 没填项目名称",IF($A25="⚠目录里没有","⚠ 项目名称在目录里找不到（先加到目录）",IF($A25="","⚠ 目录里这个项目没填简称",IF(ISTEXT($G25)+ISTEXT($H25)+ISTEXT($K25)+ISTEXT($N25)+ISTEXT($O25)+ISTEXT($Q25)+ISTEXT($R25)+ISTEXT($S25)&gt;0,"⚠ 金额列里有文字，算不进合计",IF(N($G25)&gt;=1,"⚠ 管理费点要填百分比，如 10%",IF(AND($D25&lt;&gt;"",$B25=""),"△ 摘要开头没写日期（如 2026.9.21），月份取不到",IF(AND(N($H25)&lt;&gt;0,COUNTIFS($A$4:$A$1003,$A25,$H$4:$H$1003,$H25,$D$4:$D$1003,LEFT($D25,9)&amp;"*")&gt;1),"△ 同一天同项目有一样的销售金额，看看是不是录重了","✓"))))))))</f>
        <v>✓</v>
      </c>
      <c r="W25" s="8" t="str">
        <f aca="false">IF($A25="","",$A25&amp;"#"&amp;COUNTIF($A$4:$A25,$A25))</f>
        <v>铜城2回、玉璟尚线、铁井一回、淮拦线4#1</v>
      </c>
    </row>
    <row r="26" customFormat="false" ht="55.2" hidden="false" customHeight="false" outlineLevel="0" collapsed="false">
      <c r="A26" s="44" t="str">
        <f aca="false">IF($C26="","",IFERROR(VLOOKUP($C26,目录!$B:$C,2,0)&amp;"","⚠目录里没有"))</f>
        <v>铜城2回、玉璟尚线、铁井一回、淮拦线4</v>
      </c>
      <c r="B26" s="45" t="str">
        <f aca="false">IF($D26="","",IFERROR(MID($D26,FIND(".",$D26)+1,FIND(".",$D26,FIND(".",$D26)+1)-FIND(".",$D26)-1)&amp;"月",""))</f>
        <v>6月</v>
      </c>
      <c r="C26" s="46" t="s">
        <v>14</v>
      </c>
      <c r="D26" s="47" t="s">
        <v>73</v>
      </c>
      <c r="E26" s="48" t="s">
        <v>46</v>
      </c>
      <c r="F26" s="49" t="s">
        <v>47</v>
      </c>
      <c r="G26" s="50" t="n">
        <v>0.1</v>
      </c>
      <c r="H26" s="24" t="n">
        <v>13079.84</v>
      </c>
      <c r="I26" s="24" t="n">
        <f aca="false">IF($H26="","",N($H26)*N($G26))</f>
        <v>1307.984</v>
      </c>
      <c r="J26" s="25" t="n">
        <f aca="false">IF($H26="","",N($H26)-N($I26))</f>
        <v>11771.856</v>
      </c>
      <c r="K26" s="25"/>
      <c r="L26" s="25" t="n">
        <f aca="false">IF($A26="","",SUMIF($A$4:$A26,$A26,$J$4:$J26)-SUMIF($A$4:$A26,$A26,$K$4:$K26))</f>
        <v>15374.25</v>
      </c>
      <c r="M26" s="26" t="n">
        <f aca="false">IF($H26="","",N($H26))</f>
        <v>13079.84</v>
      </c>
      <c r="N26" s="26"/>
      <c r="O26" s="26"/>
      <c r="P26" s="26" t="n">
        <f aca="false">IF($A26="","",SUMIF($A$4:$A26,$A26,$M$4:$M26)-SUMIF($A$4:$A26,$A26,$N$4:$N26)-SUMIF($A$4:$A26,$A26,$O$4:$O26))</f>
        <v>17082.5</v>
      </c>
      <c r="Q26" s="27"/>
      <c r="R26" s="28"/>
      <c r="S26" s="28"/>
      <c r="T26" s="28" t="n">
        <f aca="false">IF($A26="","",SUMIF($A$4:$A26,$A26,$Q$4:$Q26)-SUMIF($A$4:$A26,$A26,$R$4:$R26)-SUMIF($A$4:$A26,$A26,$S$4:$S26))</f>
        <v>0</v>
      </c>
      <c r="U26" s="28"/>
      <c r="V26" s="29" t="str">
        <f aca="false">IF(AND($C26="",COUNTA($D26:$H26,$K26,$N26:$O26,$Q26:$S26,$U26)=0),"",IF($C26="","⚠ 没填项目名称",IF($A26="⚠目录里没有","⚠ 项目名称在目录里找不到（先加到目录）",IF($A26="","⚠ 目录里这个项目没填简称",IF(ISTEXT($G26)+ISTEXT($H26)+ISTEXT($K26)+ISTEXT($N26)+ISTEXT($O26)+ISTEXT($Q26)+ISTEXT($R26)+ISTEXT($S26)&gt;0,"⚠ 金额列里有文字，算不进合计",IF(N($G26)&gt;=1,"⚠ 管理费点要填百分比，如 10%",IF(AND($D26&lt;&gt;"",$B26=""),"△ 摘要开头没写日期（如 2026.9.21），月份取不到",IF(AND(N($H26)&lt;&gt;0,COUNTIFS($A$4:$A$1003,$A26,$H$4:$H$1003,$H26,$D$4:$D$1003,LEFT($D26,9)&amp;"*")&gt;1),"△ 同一天同项目有一样的销售金额，看看是不是录重了","✓"))))))))</f>
        <v>✓</v>
      </c>
      <c r="W26" s="8" t="str">
        <f aca="false">IF($A26="","",$A26&amp;"#"&amp;COUNTIF($A$4:$A26,$A26))</f>
        <v>铜城2回、玉璟尚线、铁井一回、淮拦线4#2</v>
      </c>
    </row>
    <row r="27" customFormat="false" ht="55.2" hidden="false" customHeight="false" outlineLevel="0" collapsed="false">
      <c r="A27" s="44" t="str">
        <f aca="false">IF($C27="","",IFERROR(VLOOKUP($C27,目录!$B:$C,2,0)&amp;"","⚠目录里没有"))</f>
        <v>铜城2回、玉璟尚线、铁井一回、淮拦线4</v>
      </c>
      <c r="B27" s="45" t="str">
        <f aca="false">IF($D27="","",IFERROR(MID($D27,FIND(".",$D27)+1,FIND(".",$D27,FIND(".",$D27)+1)-FIND(".",$D27)-1)&amp;"月",""))</f>
        <v>6月</v>
      </c>
      <c r="C27" s="46" t="s">
        <v>16</v>
      </c>
      <c r="D27" s="47" t="s">
        <v>74</v>
      </c>
      <c r="E27" s="48" t="s">
        <v>46</v>
      </c>
      <c r="F27" s="49" t="s">
        <v>47</v>
      </c>
      <c r="G27" s="50" t="n">
        <v>0.1</v>
      </c>
      <c r="H27" s="24" t="n">
        <v>47546.28</v>
      </c>
      <c r="I27" s="24" t="n">
        <f aca="false">IF($H27="","",N($H27)*N($G27))</f>
        <v>4754.628</v>
      </c>
      <c r="J27" s="25" t="n">
        <f aca="false">IF($H27="","",N($H27)-N($I27))</f>
        <v>42791.652</v>
      </c>
      <c r="K27" s="25"/>
      <c r="L27" s="25" t="n">
        <f aca="false">IF($A27="","",SUMIF($A$4:$A27,$A27,$J$4:$J27)-SUMIF($A$4:$A27,$A27,$K$4:$K27))</f>
        <v>58165.902</v>
      </c>
      <c r="M27" s="26" t="n">
        <f aca="false">IF($H27="","",N($H27))</f>
        <v>47546.28</v>
      </c>
      <c r="N27" s="26"/>
      <c r="O27" s="26"/>
      <c r="P27" s="26" t="n">
        <f aca="false">IF($A27="","",SUMIF($A$4:$A27,$A27,$M$4:$M27)-SUMIF($A$4:$A27,$A27,$N$4:$N27)-SUMIF($A$4:$A27,$A27,$O$4:$O27))</f>
        <v>64628.78</v>
      </c>
      <c r="Q27" s="27"/>
      <c r="R27" s="28"/>
      <c r="S27" s="28"/>
      <c r="T27" s="28" t="n">
        <f aca="false">IF($A27="","",SUMIF($A$4:$A27,$A27,$Q$4:$Q27)-SUMIF($A$4:$A27,$A27,$R$4:$R27)-SUMIF($A$4:$A27,$A27,$S$4:$S27))</f>
        <v>0</v>
      </c>
      <c r="U27" s="28"/>
      <c r="V27" s="29" t="str">
        <f aca="false">IF(AND($C27="",COUNTA($D27:$H27,$K27,$N27:$O27,$Q27:$S27,$U27)=0),"",IF($C27="","⚠ 没填项目名称",IF($A27="⚠目录里没有","⚠ 项目名称在目录里找不到（先加到目录）",IF($A27="","⚠ 目录里这个项目没填简称",IF(ISTEXT($G27)+ISTEXT($H27)+ISTEXT($K27)+ISTEXT($N27)+ISTEXT($O27)+ISTEXT($Q27)+ISTEXT($R27)+ISTEXT($S27)&gt;0,"⚠ 金额列里有文字，算不进合计",IF(N($G27)&gt;=1,"⚠ 管理费点要填百分比，如 10%",IF(AND($D27&lt;&gt;"",$B27=""),"△ 摘要开头没写日期（如 2026.9.21），月份取不到",IF(AND(N($H27)&lt;&gt;0,COUNTIFS($A$4:$A$1003,$A27,$H$4:$H$1003,$H27,$D$4:$D$1003,LEFT($D27,9)&amp;"*")&gt;1),"△ 同一天同项目有一样的销售金额，看看是不是录重了","✓"))))))))</f>
        <v>✓</v>
      </c>
      <c r="W27" s="8" t="str">
        <f aca="false">IF($A27="","",$A27&amp;"#"&amp;COUNTIF($A$4:$A27,$A27))</f>
        <v>铜城2回、玉璟尚线、铁井一回、淮拦线4#3</v>
      </c>
    </row>
    <row r="28" customFormat="false" ht="55.2" hidden="false" customHeight="false" outlineLevel="0" collapsed="false">
      <c r="A28" s="44" t="str">
        <f aca="false">IF($C28="","",IFERROR(VLOOKUP($C28,目录!$B:$C,2,0)&amp;"","⚠目录里没有"))</f>
        <v>铜城2回、玉璟尚线、铁井一回、淮拦线4</v>
      </c>
      <c r="B28" s="45" t="str">
        <f aca="false">IF($D28="","",IFERROR(MID($D28,FIND(".",$D28)+1,FIND(".",$D28,FIND(".",$D28)+1)-FIND(".",$D28)-1)&amp;"月",""))</f>
        <v>6月</v>
      </c>
      <c r="C28" s="46" t="s">
        <v>17</v>
      </c>
      <c r="D28" s="47" t="s">
        <v>75</v>
      </c>
      <c r="E28" s="48" t="s">
        <v>46</v>
      </c>
      <c r="F28" s="49" t="s">
        <v>47</v>
      </c>
      <c r="G28" s="50" t="n">
        <v>0.1</v>
      </c>
      <c r="H28" s="24" t="n">
        <v>56969.32</v>
      </c>
      <c r="I28" s="24" t="n">
        <f aca="false">IF($H28="","",N($H28)*N($G28))</f>
        <v>5696.932</v>
      </c>
      <c r="J28" s="25" t="n">
        <f aca="false">IF($H28="","",N($H28)-N($I28))</f>
        <v>51272.388</v>
      </c>
      <c r="K28" s="25"/>
      <c r="L28" s="25" t="n">
        <f aca="false">IF($A28="","",SUMIF($A$4:$A28,$A28,$J$4:$J28)-SUMIF($A$4:$A28,$A28,$K$4:$K28))</f>
        <v>109438.29</v>
      </c>
      <c r="M28" s="26" t="n">
        <f aca="false">IF($H28="","",N($H28))</f>
        <v>56969.32</v>
      </c>
      <c r="N28" s="26"/>
      <c r="O28" s="26"/>
      <c r="P28" s="26" t="n">
        <f aca="false">IF($A28="","",SUMIF($A$4:$A28,$A28,$M$4:$M28)-SUMIF($A$4:$A28,$A28,$N$4:$N28)-SUMIF($A$4:$A28,$A28,$O$4:$O28))</f>
        <v>121598.1</v>
      </c>
      <c r="Q28" s="27"/>
      <c r="R28" s="28"/>
      <c r="S28" s="28"/>
      <c r="T28" s="28" t="n">
        <f aca="false">IF($A28="","",SUMIF($A$4:$A28,$A28,$Q$4:$Q28)-SUMIF($A$4:$A28,$A28,$R$4:$R28)-SUMIF($A$4:$A28,$A28,$S$4:$S28))</f>
        <v>0</v>
      </c>
      <c r="U28" s="28"/>
      <c r="V28" s="29" t="str">
        <f aca="false">IF(AND($C28="",COUNTA($D28:$H28,$K28,$N28:$O28,$Q28:$S28,$U28)=0),"",IF($C28="","⚠ 没填项目名称",IF($A28="⚠目录里没有","⚠ 项目名称在目录里找不到（先加到目录）",IF($A28="","⚠ 目录里这个项目没填简称",IF(ISTEXT($G28)+ISTEXT($H28)+ISTEXT($K28)+ISTEXT($N28)+ISTEXT($O28)+ISTEXT($Q28)+ISTEXT($R28)+ISTEXT($S28)&gt;0,"⚠ 金额列里有文字，算不进合计",IF(N($G28)&gt;=1,"⚠ 管理费点要填百分比，如 10%",IF(AND($D28&lt;&gt;"",$B28=""),"△ 摘要开头没写日期（如 2026.9.21），月份取不到",IF(AND(N($H28)&lt;&gt;0,COUNTIFS($A$4:$A$1003,$A28,$H$4:$H$1003,$H28,$D$4:$D$1003,LEFT($D28,9)&amp;"*")&gt;1),"△ 同一天同项目有一样的销售金额，看看是不是录重了","✓"))))))))</f>
        <v>✓</v>
      </c>
      <c r="W28" s="8" t="str">
        <f aca="false">IF($A28="","",$A28&amp;"#"&amp;COUNTIF($A$4:$A28,$A28))</f>
        <v>铜城2回、玉璟尚线、铁井一回、淮拦线4#4</v>
      </c>
    </row>
    <row r="29" customFormat="false" ht="55.2" hidden="false" customHeight="false" outlineLevel="0" collapsed="false">
      <c r="A29" s="44" t="str">
        <f aca="false">IF($C29="","",IFERROR(VLOOKUP($C29,目录!$B:$C,2,0)&amp;"","⚠目录里没有"))</f>
        <v>铜城2回、玉璟尚线、铁井一回、淮拦线4</v>
      </c>
      <c r="B29" s="45" t="str">
        <f aca="false">IF($D29="","",IFERROR(MID($D29,FIND(".",$D29)+1,FIND(".",$D29,FIND(".",$D29)+1)-FIND(".",$D29)-1)&amp;"月",""))</f>
        <v>6月</v>
      </c>
      <c r="C29" s="46" t="s">
        <v>17</v>
      </c>
      <c r="D29" s="47" t="s">
        <v>76</v>
      </c>
      <c r="E29" s="48" t="s">
        <v>49</v>
      </c>
      <c r="F29" s="49" t="s">
        <v>58</v>
      </c>
      <c r="G29" s="50"/>
      <c r="H29" s="24"/>
      <c r="I29" s="24" t="str">
        <f aca="false">IF($H29="","",N($H29)*N($G29))</f>
        <v/>
      </c>
      <c r="J29" s="25" t="str">
        <f aca="false">IF($H29="","",N($H29)-N($I29))</f>
        <v/>
      </c>
      <c r="K29" s="25" t="n">
        <v>67200</v>
      </c>
      <c r="L29" s="25" t="n">
        <f aca="false">IF($A29="","",SUMIF($A$4:$A29,$A29,$J$4:$J29)-SUMIF($A$4:$A29,$A29,$K$4:$K29))</f>
        <v>42238.29</v>
      </c>
      <c r="M29" s="26" t="str">
        <f aca="false">IF($H29="","",N($H29))</f>
        <v/>
      </c>
      <c r="N29" s="26"/>
      <c r="O29" s="26"/>
      <c r="P29" s="26" t="n">
        <f aca="false">IF($A29="","",SUMIF($A$4:$A29,$A29,$M$4:$M29)-SUMIF($A$4:$A29,$A29,$N$4:$N29)-SUMIF($A$4:$A29,$A29,$O$4:$O29))</f>
        <v>121598.1</v>
      </c>
      <c r="Q29" s="27"/>
      <c r="R29" s="28"/>
      <c r="S29" s="28"/>
      <c r="T29" s="28" t="n">
        <f aca="false">IF($A29="","",SUMIF($A$4:$A29,$A29,$Q$4:$Q29)-SUMIF($A$4:$A29,$A29,$R$4:$R29)-SUMIF($A$4:$A29,$A29,$S$4:$S29))</f>
        <v>0</v>
      </c>
      <c r="U29" s="28"/>
      <c r="V29" s="29" t="str">
        <f aca="false">IF(AND($C29="",COUNTA($D29:$H29,$K29,$N29:$O29,$Q29:$S29,$U29)=0),"",IF($C29="","⚠ 没填项目名称",IF($A29="⚠目录里没有","⚠ 项目名称在目录里找不到（先加到目录）",IF($A29="","⚠ 目录里这个项目没填简称",IF(ISTEXT($G29)+ISTEXT($H29)+ISTEXT($K29)+ISTEXT($N29)+ISTEXT($O29)+ISTEXT($Q29)+ISTEXT($R29)+ISTEXT($S29)&gt;0,"⚠ 金额列里有文字，算不进合计",IF(N($G29)&gt;=1,"⚠ 管理费点要填百分比，如 10%",IF(AND($D29&lt;&gt;"",$B29=""),"△ 摘要开头没写日期（如 2026.9.21），月份取不到",IF(AND(N($H29)&lt;&gt;0,COUNTIFS($A$4:$A$1003,$A29,$H$4:$H$1003,$H29,$D$4:$D$1003,LEFT($D29,9)&amp;"*")&gt;1),"△ 同一天同项目有一样的销售金额，看看是不是录重了","✓"))))))))</f>
        <v>✓</v>
      </c>
      <c r="W29" s="8" t="str">
        <f aca="false">IF($A29="","",$A29&amp;"#"&amp;COUNTIF($A$4:$A29,$A29))</f>
        <v>铜城2回、玉璟尚线、铁井一回、淮拦线4#5</v>
      </c>
    </row>
    <row r="30" customFormat="false" ht="55.2" hidden="false" customHeight="false" outlineLevel="0" collapsed="false">
      <c r="A30" s="44" t="str">
        <f aca="false">IF($C30="","",IFERROR(VLOOKUP($C30,目录!$B:$C,2,0)&amp;"","⚠目录里没有"))</f>
        <v>铜城2回、玉璟尚线、铁井一回、淮拦线4</v>
      </c>
      <c r="B30" s="45" t="str">
        <f aca="false">IF($D30="","",IFERROR(MID($D30,FIND(".",$D30)+1,FIND(".",$D30,FIND(".",$D30)+1)-FIND(".",$D30)-1)&amp;"月",""))</f>
        <v>6月</v>
      </c>
      <c r="C30" s="46" t="s">
        <v>17</v>
      </c>
      <c r="D30" s="47" t="s">
        <v>77</v>
      </c>
      <c r="E30" s="48" t="s">
        <v>49</v>
      </c>
      <c r="F30" s="49" t="s">
        <v>58</v>
      </c>
      <c r="G30" s="50"/>
      <c r="H30" s="24"/>
      <c r="I30" s="24" t="str">
        <f aca="false">IF($H30="","",N($H30)*N($G30))</f>
        <v/>
      </c>
      <c r="J30" s="25" t="str">
        <f aca="false">IF($H30="","",N($H30)-N($I30))</f>
        <v/>
      </c>
      <c r="K30" s="25" t="n">
        <v>42800</v>
      </c>
      <c r="L30" s="25" t="n">
        <f aca="false">IF($A30="","",SUMIF($A$4:$A30,$A30,$J$4:$J30)-SUMIF($A$4:$A30,$A30,$K$4:$K30))</f>
        <v>-561.710000000006</v>
      </c>
      <c r="M30" s="26" t="str">
        <f aca="false">IF($H30="","",N($H30))</f>
        <v/>
      </c>
      <c r="N30" s="26"/>
      <c r="O30" s="26"/>
      <c r="P30" s="26" t="n">
        <f aca="false">IF($A30="","",SUMIF($A$4:$A30,$A30,$M$4:$M30)-SUMIF($A$4:$A30,$A30,$N$4:$N30)-SUMIF($A$4:$A30,$A30,$O$4:$O30))</f>
        <v>121598.1</v>
      </c>
      <c r="Q30" s="27"/>
      <c r="R30" s="28"/>
      <c r="S30" s="28"/>
      <c r="T30" s="28" t="n">
        <f aca="false">IF($A30="","",SUMIF($A$4:$A30,$A30,$Q$4:$Q30)-SUMIF($A$4:$A30,$A30,$R$4:$R30)-SUMIF($A$4:$A30,$A30,$S$4:$S30))</f>
        <v>0</v>
      </c>
      <c r="U30" s="28"/>
      <c r="V30" s="29" t="str">
        <f aca="false">IF(AND($C30="",COUNTA($D30:$H30,$K30,$N30:$O30,$Q30:$S30,$U30)=0),"",IF($C30="","⚠ 没填项目名称",IF($A30="⚠目录里没有","⚠ 项目名称在目录里找不到（先加到目录）",IF($A30="","⚠ 目录里这个项目没填简称",IF(ISTEXT($G30)+ISTEXT($H30)+ISTEXT($K30)+ISTEXT($N30)+ISTEXT($O30)+ISTEXT($Q30)+ISTEXT($R30)+ISTEXT($S30)&gt;0,"⚠ 金额列里有文字，算不进合计",IF(N($G30)&gt;=1,"⚠ 管理费点要填百分比，如 10%",IF(AND($D30&lt;&gt;"",$B30=""),"△ 摘要开头没写日期（如 2026.9.21），月份取不到",IF(AND(N($H30)&lt;&gt;0,COUNTIFS($A$4:$A$1003,$A30,$H$4:$H$1003,$H30,$D$4:$D$1003,LEFT($D30,9)&amp;"*")&gt;1),"△ 同一天同项目有一样的销售金额，看看是不是录重了","✓"))))))))</f>
        <v>✓</v>
      </c>
      <c r="W30" s="8" t="str">
        <f aca="false">IF($A30="","",$A30&amp;"#"&amp;COUNTIF($A$4:$A30,$A30))</f>
        <v>铜城2回、玉璟尚线、铁井一回、淮拦线4#6</v>
      </c>
    </row>
    <row r="31" customFormat="false" ht="55.2" hidden="false" customHeight="false" outlineLevel="0" collapsed="false">
      <c r="A31" s="44" t="str">
        <f aca="false">IF($C31="","",IFERROR(VLOOKUP($C31,目录!$B:$C,2,0)&amp;"","⚠目录里没有"))</f>
        <v>铜城2回、玉璟尚线、铁井一回、淮拦线4</v>
      </c>
      <c r="B31" s="45" t="str">
        <f aca="false">IF($D31="","",IFERROR(MID($D31,FIND(".",$D31)+1,FIND(".",$D31,FIND(".",$D31)+1)-FIND(".",$D31)-1)&amp;"月",""))</f>
        <v>9月</v>
      </c>
      <c r="C31" s="46" t="s">
        <v>17</v>
      </c>
      <c r="D31" s="47" t="s">
        <v>78</v>
      </c>
      <c r="E31" s="48" t="s">
        <v>49</v>
      </c>
      <c r="F31" s="49" t="s">
        <v>58</v>
      </c>
      <c r="G31" s="50"/>
      <c r="H31" s="24"/>
      <c r="I31" s="24" t="str">
        <f aca="false">IF($H31="","",N($H31)*N($G31))</f>
        <v/>
      </c>
      <c r="J31" s="25" t="str">
        <f aca="false">IF($H31="","",N($H31)-N($I31))</f>
        <v/>
      </c>
      <c r="K31" s="25" t="n">
        <v>57000</v>
      </c>
      <c r="L31" s="25" t="n">
        <f aca="false">IF($A31="","",SUMIF($A$4:$A31,$A31,$J$4:$J31)-SUMIF($A$4:$A31,$A31,$K$4:$K31))</f>
        <v>-57561.71</v>
      </c>
      <c r="M31" s="26" t="str">
        <f aca="false">IF($H31="","",N($H31))</f>
        <v/>
      </c>
      <c r="N31" s="26"/>
      <c r="O31" s="26" t="n">
        <v>810</v>
      </c>
      <c r="P31" s="26" t="n">
        <f aca="false">IF($A31="","",SUMIF($A$4:$A31,$A31,$M$4:$M31)-SUMIF($A$4:$A31,$A31,$N$4:$N31)-SUMIF($A$4:$A31,$A31,$O$4:$O31))</f>
        <v>120788.1</v>
      </c>
      <c r="Q31" s="27"/>
      <c r="R31" s="28"/>
      <c r="S31" s="28"/>
      <c r="T31" s="28" t="n">
        <f aca="false">IF($A31="","",SUMIF($A$4:$A31,$A31,$Q$4:$Q31)-SUMIF($A$4:$A31,$A31,$R$4:$R31)-SUMIF($A$4:$A31,$A31,$S$4:$S31))</f>
        <v>0</v>
      </c>
      <c r="U31" s="28"/>
      <c r="V31" s="29" t="str">
        <f aca="false">IF(AND($C31="",COUNTA($D31:$H31,$K31,$N31:$O31,$Q31:$S31,$U31)=0),"",IF($C31="","⚠ 没填项目名称",IF($A31="⚠目录里没有","⚠ 项目名称在目录里找不到（先加到目录）",IF($A31="","⚠ 目录里这个项目没填简称",IF(ISTEXT($G31)+ISTEXT($H31)+ISTEXT($K31)+ISTEXT($N31)+ISTEXT($O31)+ISTEXT($Q31)+ISTEXT($R31)+ISTEXT($S31)&gt;0,"⚠ 金额列里有文字，算不进合计",IF(N($G31)&gt;=1,"⚠ 管理费点要填百分比，如 10%",IF(AND($D31&lt;&gt;"",$B31=""),"△ 摘要开头没写日期（如 2026.9.21），月份取不到",IF(AND(N($H31)&lt;&gt;0,COUNTIFS($A$4:$A$1003,$A31,$H$4:$H$1003,$H31,$D$4:$D$1003,LEFT($D31,9)&amp;"*")&gt;1),"△ 同一天同项目有一样的销售金额，看看是不是录重了","✓"))))))))</f>
        <v>✓</v>
      </c>
      <c r="W31" s="8" t="str">
        <f aca="false">IF($A31="","",$A31&amp;"#"&amp;COUNTIF($A$4:$A31,$A31))</f>
        <v>铜城2回、玉璟尚线、铁井一回、淮拦线4#7</v>
      </c>
    </row>
    <row r="32" customFormat="false" ht="55.2" hidden="false" customHeight="false" outlineLevel="0" collapsed="false">
      <c r="A32" s="44" t="str">
        <f aca="false">IF($C32="","",IFERROR(VLOOKUP($C32,目录!$B:$C,2,0)&amp;"","⚠目录里没有"))</f>
        <v>铜城2回、玉璟尚线、铁井一回、淮拦线4</v>
      </c>
      <c r="B32" s="45" t="str">
        <f aca="false">IF($D32="","",IFERROR(MID($D32,FIND(".",$D32)+1,FIND(".",$D32,FIND(".",$D32)+1)-FIND(".",$D32)-1)&amp;"月",""))</f>
        <v>9月</v>
      </c>
      <c r="C32" s="46" t="s">
        <v>16</v>
      </c>
      <c r="D32" s="47" t="s">
        <v>79</v>
      </c>
      <c r="E32" s="48" t="s">
        <v>49</v>
      </c>
      <c r="F32" s="49"/>
      <c r="G32" s="50"/>
      <c r="H32" s="24"/>
      <c r="I32" s="24" t="str">
        <f aca="false">IF($H32="","",N($H32)*N($G32))</f>
        <v/>
      </c>
      <c r="J32" s="25" t="str">
        <f aca="false">IF($H32="","",N($H32)-N($I32))</f>
        <v/>
      </c>
      <c r="K32" s="25"/>
      <c r="L32" s="25" t="n">
        <f aca="false">IF($A32="","",SUMIF($A$4:$A32,$A32,$J$4:$J32)-SUMIF($A$4:$A32,$A32,$K$4:$K32))</f>
        <v>-57561.71</v>
      </c>
      <c r="M32" s="26" t="str">
        <f aca="false">IF($H32="","",N($H32))</f>
        <v/>
      </c>
      <c r="N32" s="26"/>
      <c r="O32" s="26" t="n">
        <v>22000</v>
      </c>
      <c r="P32" s="26" t="n">
        <f aca="false">IF($A32="","",SUMIF($A$4:$A32,$A32,$M$4:$M32)-SUMIF($A$4:$A32,$A32,$N$4:$N32)-SUMIF($A$4:$A32,$A32,$O$4:$O32))</f>
        <v>98788.1</v>
      </c>
      <c r="Q32" s="27"/>
      <c r="R32" s="28"/>
      <c r="S32" s="28"/>
      <c r="T32" s="28" t="n">
        <f aca="false">IF($A32="","",SUMIF($A$4:$A32,$A32,$Q$4:$Q32)-SUMIF($A$4:$A32,$A32,$R$4:$R32)-SUMIF($A$4:$A32,$A32,$S$4:$S32))</f>
        <v>0</v>
      </c>
      <c r="U32" s="28"/>
      <c r="V32" s="29" t="str">
        <f aca="false">IF(AND($C32="",COUNTA($D32:$H32,$K32,$N32:$O32,$Q32:$S32,$U32)=0),"",IF($C32="","⚠ 没填项目名称",IF($A32="⚠目录里没有","⚠ 项目名称在目录里找不到（先加到目录）",IF($A32="","⚠ 目录里这个项目没填简称",IF(ISTEXT($G32)+ISTEXT($H32)+ISTEXT($K32)+ISTEXT($N32)+ISTEXT($O32)+ISTEXT($Q32)+ISTEXT($R32)+ISTEXT($S32)&gt;0,"⚠ 金额列里有文字，算不进合计",IF(N($G32)&gt;=1,"⚠ 管理费点要填百分比，如 10%",IF(AND($D32&lt;&gt;"",$B32=""),"△ 摘要开头没写日期（如 2026.9.21），月份取不到",IF(AND(N($H32)&lt;&gt;0,COUNTIFS($A$4:$A$1003,$A32,$H$4:$H$1003,$H32,$D$4:$D$1003,LEFT($D32,9)&amp;"*")&gt;1),"△ 同一天同项目有一样的销售金额，看看是不是录重了","✓"))))))))</f>
        <v>✓</v>
      </c>
      <c r="W32" s="8" t="str">
        <f aca="false">IF($A32="","",$A32&amp;"#"&amp;COUNTIF($A$4:$A32,$A32))</f>
        <v>铜城2回、玉璟尚线、铁井一回、淮拦线4#8</v>
      </c>
    </row>
    <row r="33" customFormat="false" ht="55.2" hidden="false" customHeight="false" outlineLevel="0" collapsed="false">
      <c r="A33" s="44" t="str">
        <f aca="false">IF($C33="","",IFERROR(VLOOKUP($C33,目录!$B:$C,2,0)&amp;"","⚠目录里没有"))</f>
        <v>铜城2回、玉璟尚线、铁井一回、淮拦线4</v>
      </c>
      <c r="B33" s="45" t="str">
        <f aca="false">IF($D33="","",IFERROR(MID($D33,FIND(".",$D33)+1,FIND(".",$D33,FIND(".",$D33)+1)-FIND(".",$D33)-1)&amp;"月",""))</f>
        <v>9月</v>
      </c>
      <c r="C33" s="46" t="s">
        <v>17</v>
      </c>
      <c r="D33" s="47" t="s">
        <v>80</v>
      </c>
      <c r="E33" s="48" t="s">
        <v>49</v>
      </c>
      <c r="F33" s="49"/>
      <c r="G33" s="50"/>
      <c r="H33" s="24"/>
      <c r="I33" s="24" t="str">
        <f aca="false">IF($H33="","",N($H33)*N($G33))</f>
        <v/>
      </c>
      <c r="J33" s="25" t="str">
        <f aca="false">IF($H33="","",N($H33)-N($I33))</f>
        <v/>
      </c>
      <c r="K33" s="25"/>
      <c r="L33" s="25" t="n">
        <f aca="false">IF($A33="","",SUMIF($A$4:$A33,$A33,$J$4:$J33)-SUMIF($A$4:$A33,$A33,$K$4:$K33))</f>
        <v>-57561.71</v>
      </c>
      <c r="M33" s="26" t="str">
        <f aca="false">IF($H33="","",N($H33))</f>
        <v/>
      </c>
      <c r="N33" s="26"/>
      <c r="O33" s="26" t="n">
        <v>27000</v>
      </c>
      <c r="P33" s="26" t="n">
        <f aca="false">IF($A33="","",SUMIF($A$4:$A33,$A33,$M$4:$M33)-SUMIF($A$4:$A33,$A33,$N$4:$N33)-SUMIF($A$4:$A33,$A33,$O$4:$O33))</f>
        <v>71788.1</v>
      </c>
      <c r="Q33" s="27"/>
      <c r="R33" s="28"/>
      <c r="S33" s="28"/>
      <c r="T33" s="28" t="n">
        <f aca="false">IF($A33="","",SUMIF($A$4:$A33,$A33,$Q$4:$Q33)-SUMIF($A$4:$A33,$A33,$R$4:$R33)-SUMIF($A$4:$A33,$A33,$S$4:$S33))</f>
        <v>0</v>
      </c>
      <c r="U33" s="28"/>
      <c r="V33" s="29" t="str">
        <f aca="false">IF(AND($C33="",COUNTA($D33:$H33,$K33,$N33:$O33,$Q33:$S33,$U33)=0),"",IF($C33="","⚠ 没填项目名称",IF($A33="⚠目录里没有","⚠ 项目名称在目录里找不到（先加到目录）",IF($A33="","⚠ 目录里这个项目没填简称",IF(ISTEXT($G33)+ISTEXT($H33)+ISTEXT($K33)+ISTEXT($N33)+ISTEXT($O33)+ISTEXT($Q33)+ISTEXT($R33)+ISTEXT($S33)&gt;0,"⚠ 金额列里有文字，算不进合计",IF(N($G33)&gt;=1,"⚠ 管理费点要填百分比，如 10%",IF(AND($D33&lt;&gt;"",$B33=""),"△ 摘要开头没写日期（如 2026.9.21），月份取不到",IF(AND(N($H33)&lt;&gt;0,COUNTIFS($A$4:$A$1003,$A33,$H$4:$H$1003,$H33,$D$4:$D$1003,LEFT($D33,9)&amp;"*")&gt;1),"△ 同一天同项目有一样的销售金额，看看是不是录重了","✓"))))))))</f>
        <v>✓</v>
      </c>
      <c r="W33" s="8" t="str">
        <f aca="false">IF($A33="","",$A33&amp;"#"&amp;COUNTIF($A$4:$A33,$A33))</f>
        <v>铜城2回、玉璟尚线、铁井一回、淮拦线4#9</v>
      </c>
    </row>
    <row r="34" customFormat="false" ht="55.2" hidden="false" customHeight="false" outlineLevel="0" collapsed="false">
      <c r="A34" s="44" t="str">
        <f aca="false">IF($C34="","",IFERROR(VLOOKUP($C34,目录!$B:$C,2,0)&amp;"","⚠目录里没有"))</f>
        <v>铜城2回、玉璟尚线、铁井一回、淮拦线4</v>
      </c>
      <c r="B34" s="45" t="str">
        <f aca="false">IF($D34="","",IFERROR(MID($D34,FIND(".",$D34)+1,FIND(".",$D34,FIND(".",$D34)+1)-FIND(".",$D34)-1)&amp;"月",""))</f>
        <v>9月</v>
      </c>
      <c r="C34" s="46" t="s">
        <v>12</v>
      </c>
      <c r="D34" s="47" t="s">
        <v>81</v>
      </c>
      <c r="E34" s="48" t="s">
        <v>49</v>
      </c>
      <c r="F34" s="49"/>
      <c r="G34" s="50"/>
      <c r="H34" s="24"/>
      <c r="I34" s="24" t="str">
        <f aca="false">IF($H34="","",N($H34)*N($G34))</f>
        <v/>
      </c>
      <c r="J34" s="25" t="str">
        <f aca="false">IF($H34="","",N($H34)-N($I34))</f>
        <v/>
      </c>
      <c r="K34" s="25"/>
      <c r="L34" s="25" t="n">
        <f aca="false">IF($A34="","",SUMIF($A$4:$A34,$A34,$J$4:$J34)-SUMIF($A$4:$A34,$A34,$K$4:$K34))</f>
        <v>-57561.71</v>
      </c>
      <c r="M34" s="26" t="str">
        <f aca="false">IF($H34="","",N($H34))</f>
        <v/>
      </c>
      <c r="N34" s="26"/>
      <c r="O34" s="26" t="n">
        <v>2000</v>
      </c>
      <c r="P34" s="26" t="n">
        <f aca="false">IF($A34="","",SUMIF($A$4:$A34,$A34,$M$4:$M34)-SUMIF($A$4:$A34,$A34,$N$4:$N34)-SUMIF($A$4:$A34,$A34,$O$4:$O34))</f>
        <v>69788.1</v>
      </c>
      <c r="Q34" s="27"/>
      <c r="R34" s="28"/>
      <c r="S34" s="28"/>
      <c r="T34" s="28" t="n">
        <f aca="false">IF($A34="","",SUMIF($A$4:$A34,$A34,$Q$4:$Q34)-SUMIF($A$4:$A34,$A34,$R$4:$R34)-SUMIF($A$4:$A34,$A34,$S$4:$S34))</f>
        <v>0</v>
      </c>
      <c r="U34" s="28"/>
      <c r="V34" s="29" t="str">
        <f aca="false">IF(AND($C34="",COUNTA($D34:$H34,$K34,$N34:$O34,$Q34:$S34,$U34)=0),"",IF($C34="","⚠ 没填项目名称",IF($A34="⚠目录里没有","⚠ 项目名称在目录里找不到（先加到目录）",IF($A34="","⚠ 目录里这个项目没填简称",IF(ISTEXT($G34)+ISTEXT($H34)+ISTEXT($K34)+ISTEXT($N34)+ISTEXT($O34)+ISTEXT($Q34)+ISTEXT($R34)+ISTEXT($S34)&gt;0,"⚠ 金额列里有文字，算不进合计",IF(N($G34)&gt;=1,"⚠ 管理费点要填百分比，如 10%",IF(AND($D34&lt;&gt;"",$B34=""),"△ 摘要开头没写日期（如 2026.9.21），月份取不到",IF(AND(N($H34)&lt;&gt;0,COUNTIFS($A$4:$A$1003,$A34,$H$4:$H$1003,$H34,$D$4:$D$1003,LEFT($D34,9)&amp;"*")&gt;1),"△ 同一天同项目有一样的销售金额，看看是不是录重了","✓"))))))))</f>
        <v>✓</v>
      </c>
      <c r="W34" s="8" t="str">
        <f aca="false">IF($A34="","",$A34&amp;"#"&amp;COUNTIF($A$4:$A34,$A34))</f>
        <v>铜城2回、玉璟尚线、铁井一回、淮拦线4#10</v>
      </c>
    </row>
    <row r="35" customFormat="false" ht="55.2" hidden="false" customHeight="false" outlineLevel="0" collapsed="false">
      <c r="A35" s="44" t="str">
        <f aca="false">IF($C35="","",IFERROR(VLOOKUP($C35,目录!$B:$C,2,0)&amp;"","⚠目录里没有"))</f>
        <v>铜城2回、玉璟尚线、铁井一回、淮拦线4</v>
      </c>
      <c r="B35" s="45" t="str">
        <f aca="false">IF($D35="","",IFERROR(MID($D35,FIND(".",$D35)+1,FIND(".",$D35,FIND(".",$D35)+1)-FIND(".",$D35)-1)&amp;"月",""))</f>
        <v>9月</v>
      </c>
      <c r="C35" s="46" t="s">
        <v>14</v>
      </c>
      <c r="D35" s="47" t="s">
        <v>82</v>
      </c>
      <c r="E35" s="48" t="s">
        <v>49</v>
      </c>
      <c r="F35" s="49"/>
      <c r="G35" s="50"/>
      <c r="H35" s="24"/>
      <c r="I35" s="24" t="str">
        <f aca="false">IF($H35="","",N($H35)*N($G35))</f>
        <v/>
      </c>
      <c r="J35" s="25" t="str">
        <f aca="false">IF($H35="","",N($H35)-N($I35))</f>
        <v/>
      </c>
      <c r="K35" s="25"/>
      <c r="L35" s="25" t="n">
        <f aca="false">IF($A35="","",SUMIF($A$4:$A35,$A35,$J$4:$J35)-SUMIF($A$4:$A35,$A35,$K$4:$K35))</f>
        <v>-57561.71</v>
      </c>
      <c r="M35" s="26" t="str">
        <f aca="false">IF($H35="","",N($H35))</f>
        <v/>
      </c>
      <c r="N35" s="26"/>
      <c r="O35" s="26" t="n">
        <v>6000</v>
      </c>
      <c r="P35" s="26" t="n">
        <f aca="false">IF($A35="","",SUMIF($A$4:$A35,$A35,$M$4:$M35)-SUMIF($A$4:$A35,$A35,$N$4:$N35)-SUMIF($A$4:$A35,$A35,$O$4:$O35))</f>
        <v>63788.1</v>
      </c>
      <c r="Q35" s="27"/>
      <c r="R35" s="28"/>
      <c r="S35" s="28"/>
      <c r="T35" s="28" t="n">
        <f aca="false">IF($A35="","",SUMIF($A$4:$A35,$A35,$Q$4:$Q35)-SUMIF($A$4:$A35,$A35,$R$4:$R35)-SUMIF($A$4:$A35,$A35,$S$4:$S35))</f>
        <v>0</v>
      </c>
      <c r="U35" s="28"/>
      <c r="V35" s="29" t="str">
        <f aca="false">IF(AND($C35="",COUNTA($D35:$H35,$K35,$N35:$O35,$Q35:$S35,$U35)=0),"",IF($C35="","⚠ 没填项目名称",IF($A35="⚠目录里没有","⚠ 项目名称在目录里找不到（先加到目录）",IF($A35="","⚠ 目录里这个项目没填简称",IF(ISTEXT($G35)+ISTEXT($H35)+ISTEXT($K35)+ISTEXT($N35)+ISTEXT($O35)+ISTEXT($Q35)+ISTEXT($R35)+ISTEXT($S35)&gt;0,"⚠ 金额列里有文字，算不进合计",IF(N($G35)&gt;=1,"⚠ 管理费点要填百分比，如 10%",IF(AND($D35&lt;&gt;"",$B35=""),"△ 摘要开头没写日期（如 2026.9.21），月份取不到",IF(AND(N($H35)&lt;&gt;0,COUNTIFS($A$4:$A$1003,$A35,$H$4:$H$1003,$H35,$D$4:$D$1003,LEFT($D35,9)&amp;"*")&gt;1),"△ 同一天同项目有一样的销售金额，看看是不是录重了","✓"))))))))</f>
        <v>✓</v>
      </c>
      <c r="W35" s="8" t="str">
        <f aca="false">IF($A35="","",$A35&amp;"#"&amp;COUNTIF($A$4:$A35,$A35))</f>
        <v>铜城2回、玉璟尚线、铁井一回、淮拦线4#11</v>
      </c>
    </row>
    <row r="36" customFormat="false" ht="55.2" hidden="false" customHeight="false" outlineLevel="0" collapsed="false">
      <c r="A36" s="44" t="str">
        <f aca="false">IF($C36="","",IFERROR(VLOOKUP($C36,目录!$B:$C,2,0)&amp;"","⚠目录里没有"))</f>
        <v>铜城2回、玉璟尚线、铁井一回、淮拦线4</v>
      </c>
      <c r="B36" s="45" t="str">
        <f aca="false">IF($D36="","",IFERROR(MID($D36,FIND(".",$D36)+1,FIND(".",$D36,FIND(".",$D36)+1)-FIND(".",$D36)-1)&amp;"月",""))</f>
        <v>9月</v>
      </c>
      <c r="C36" s="46" t="s">
        <v>17</v>
      </c>
      <c r="D36" s="47" t="s">
        <v>83</v>
      </c>
      <c r="E36" s="48" t="s">
        <v>49</v>
      </c>
      <c r="F36" s="49"/>
      <c r="G36" s="50"/>
      <c r="H36" s="24"/>
      <c r="I36" s="24" t="str">
        <f aca="false">IF($H36="","",N($H36)*N($G36))</f>
        <v/>
      </c>
      <c r="J36" s="25" t="str">
        <f aca="false">IF($H36="","",N($H36)-N($I36))</f>
        <v/>
      </c>
      <c r="K36" s="25"/>
      <c r="L36" s="25" t="n">
        <f aca="false">IF($A36="","",SUMIF($A$4:$A36,$A36,$J$4:$J36)-SUMIF($A$4:$A36,$A36,$K$4:$K36))</f>
        <v>-57561.71</v>
      </c>
      <c r="M36" s="26" t="str">
        <f aca="false">IF($H36="","",N($H36))</f>
        <v/>
      </c>
      <c r="N36" s="26"/>
      <c r="O36" s="26" t="n">
        <v>1823.97</v>
      </c>
      <c r="P36" s="26" t="n">
        <f aca="false">IF($A36="","",SUMIF($A$4:$A36,$A36,$M$4:$M36)-SUMIF($A$4:$A36,$A36,$N$4:$N36)-SUMIF($A$4:$A36,$A36,$O$4:$O36))</f>
        <v>61964.13</v>
      </c>
      <c r="Q36" s="27"/>
      <c r="R36" s="28"/>
      <c r="S36" s="28"/>
      <c r="T36" s="28" t="n">
        <f aca="false">IF($A36="","",SUMIF($A$4:$A36,$A36,$Q$4:$Q36)-SUMIF($A$4:$A36,$A36,$R$4:$R36)-SUMIF($A$4:$A36,$A36,$S$4:$S36))</f>
        <v>0</v>
      </c>
      <c r="U36" s="28"/>
      <c r="V36" s="29" t="str">
        <f aca="false">IF(AND($C36="",COUNTA($D36:$H36,$K36,$N36:$O36,$Q36:$S36,$U36)=0),"",IF($C36="","⚠ 没填项目名称",IF($A36="⚠目录里没有","⚠ 项目名称在目录里找不到（先加到目录）",IF($A36="","⚠ 目录里这个项目没填简称",IF(ISTEXT($G36)+ISTEXT($H36)+ISTEXT($K36)+ISTEXT($N36)+ISTEXT($O36)+ISTEXT($Q36)+ISTEXT($R36)+ISTEXT($S36)&gt;0,"⚠ 金额列里有文字，算不进合计",IF(N($G36)&gt;=1,"⚠ 管理费点要填百分比，如 10%",IF(AND($D36&lt;&gt;"",$B36=""),"△ 摘要开头没写日期（如 2026.9.21），月份取不到",IF(AND(N($H36)&lt;&gt;0,COUNTIFS($A$4:$A$1003,$A36,$H$4:$H$1003,$H36,$D$4:$D$1003,LEFT($D36,9)&amp;"*")&gt;1),"△ 同一天同项目有一样的销售金额，看看是不是录重了","✓"))))))))</f>
        <v>✓</v>
      </c>
      <c r="W36" s="8" t="str">
        <f aca="false">IF($A36="","",$A36&amp;"#"&amp;COUNTIF($A$4:$A36,$A36))</f>
        <v>铜城2回、玉璟尚线、铁井一回、淮拦线4#12</v>
      </c>
    </row>
    <row r="37" customFormat="false" ht="55.2" hidden="false" customHeight="false" outlineLevel="0" collapsed="false">
      <c r="A37" s="44" t="str">
        <f aca="false">IF($C37="","",IFERROR(VLOOKUP($C37,目录!$B:$C,2,0)&amp;"","⚠目录里没有"))</f>
        <v>铜城2回、玉璟尚线、铁井一回、淮拦线4</v>
      </c>
      <c r="B37" s="45" t="str">
        <f aca="false">IF($D37="","",IFERROR(MID($D37,FIND(".",$D37)+1,FIND(".",$D37,FIND(".",$D37)+1)-FIND(".",$D37)-1)&amp;"月",""))</f>
        <v>9月</v>
      </c>
      <c r="C37" s="46" t="s">
        <v>17</v>
      </c>
      <c r="D37" s="47" t="s">
        <v>84</v>
      </c>
      <c r="E37" s="48" t="s">
        <v>49</v>
      </c>
      <c r="F37" s="49"/>
      <c r="G37" s="50"/>
      <c r="H37" s="24"/>
      <c r="I37" s="24" t="str">
        <f aca="false">IF($H37="","",N($H37)*N($G37))</f>
        <v/>
      </c>
      <c r="J37" s="25" t="str">
        <f aca="false">IF($H37="","",N($H37)-N($I37))</f>
        <v/>
      </c>
      <c r="K37" s="25"/>
      <c r="L37" s="25" t="n">
        <f aca="false">IF($A37="","",SUMIF($A$4:$A37,$A37,$J$4:$J37)-SUMIF($A$4:$A37,$A37,$K$4:$K37))</f>
        <v>-57561.71</v>
      </c>
      <c r="M37" s="26" t="str">
        <f aca="false">IF($H37="","",N($H37))</f>
        <v/>
      </c>
      <c r="N37" s="26"/>
      <c r="O37" s="26" t="n">
        <f aca="false">3541.69+425+72.96</f>
        <v>4039.65</v>
      </c>
      <c r="P37" s="26" t="n">
        <f aca="false">IF($A37="","",SUMIF($A$4:$A37,$A37,$M$4:$M37)-SUMIF($A$4:$A37,$A37,$N$4:$N37)-SUMIF($A$4:$A37,$A37,$O$4:$O37))</f>
        <v>57924.48</v>
      </c>
      <c r="Q37" s="27"/>
      <c r="R37" s="28"/>
      <c r="S37" s="28"/>
      <c r="T37" s="28" t="n">
        <f aca="false">IF($A37="","",SUMIF($A$4:$A37,$A37,$Q$4:$Q37)-SUMIF($A$4:$A37,$A37,$R$4:$R37)-SUMIF($A$4:$A37,$A37,$S$4:$S37))</f>
        <v>0</v>
      </c>
      <c r="U37" s="28"/>
      <c r="V37" s="29" t="str">
        <f aca="false">IF(AND($C37="",COUNTA($D37:$H37,$K37,$N37:$O37,$Q37:$S37,$U37)=0),"",IF($C37="","⚠ 没填项目名称",IF($A37="⚠目录里没有","⚠ 项目名称在目录里找不到（先加到目录）",IF($A37="","⚠ 目录里这个项目没填简称",IF(ISTEXT($G37)+ISTEXT($H37)+ISTEXT($K37)+ISTEXT($N37)+ISTEXT($O37)+ISTEXT($Q37)+ISTEXT($R37)+ISTEXT($S37)&gt;0,"⚠ 金额列里有文字，算不进合计",IF(N($G37)&gt;=1,"⚠ 管理费点要填百分比，如 10%",IF(AND($D37&lt;&gt;"",$B37=""),"△ 摘要开头没写日期（如 2026.9.21），月份取不到",IF(AND(N($H37)&lt;&gt;0,COUNTIFS($A$4:$A$1003,$A37,$H$4:$H$1003,$H37,$D$4:$D$1003,LEFT($D37,9)&amp;"*")&gt;1),"△ 同一天同项目有一样的销售金额，看看是不是录重了","✓"))))))))</f>
        <v>✓</v>
      </c>
      <c r="W37" s="8" t="str">
        <f aca="false">IF($A37="","",$A37&amp;"#"&amp;COUNTIF($A$4:$A37,$A37))</f>
        <v>铜城2回、玉璟尚线、铁井一回、淮拦线4#13</v>
      </c>
    </row>
    <row r="38" customFormat="false" ht="55.2" hidden="false" customHeight="false" outlineLevel="0" collapsed="false">
      <c r="A38" s="44" t="str">
        <f aca="false">IF($C38="","",IFERROR(VLOOKUP($C38,目录!$B:$C,2,0)&amp;"","⚠目录里没有"))</f>
        <v>铜城2回、玉璟尚线、铁井一回、淮拦线4</v>
      </c>
      <c r="B38" s="45" t="str">
        <f aca="false">IF($D38="","",IFERROR(MID($D38,FIND(".",$D38)+1,FIND(".",$D38,FIND(".",$D38)+1)-FIND(".",$D38)-1)&amp;"月",""))</f>
        <v>9月</v>
      </c>
      <c r="C38" s="46" t="s">
        <v>17</v>
      </c>
      <c r="D38" s="47" t="s">
        <v>85</v>
      </c>
      <c r="E38" s="48" t="s">
        <v>49</v>
      </c>
      <c r="F38" s="49"/>
      <c r="G38" s="50"/>
      <c r="H38" s="24"/>
      <c r="I38" s="24" t="str">
        <f aca="false">IF($H38="","",N($H38)*N($G38))</f>
        <v/>
      </c>
      <c r="J38" s="25" t="str">
        <f aca="false">IF($H38="","",N($H38)-N($I38))</f>
        <v/>
      </c>
      <c r="K38" s="25"/>
      <c r="L38" s="25" t="n">
        <f aca="false">IF($A38="","",SUMIF($A$4:$A38,$A38,$J$4:$J38)-SUMIF($A$4:$A38,$A38,$K$4:$K38))</f>
        <v>-57561.71</v>
      </c>
      <c r="M38" s="26" t="str">
        <f aca="false">IF($H38="","",N($H38))</f>
        <v/>
      </c>
      <c r="N38" s="26"/>
      <c r="O38" s="26" t="n">
        <v>12159.81</v>
      </c>
      <c r="P38" s="26" t="n">
        <f aca="false">IF($A38="","",SUMIF($A$4:$A38,$A38,$M$4:$M38)-SUMIF($A$4:$A38,$A38,$N$4:$N38)-SUMIF($A$4:$A38,$A38,$O$4:$O38))</f>
        <v>45764.67</v>
      </c>
      <c r="Q38" s="27"/>
      <c r="R38" s="28"/>
      <c r="S38" s="28"/>
      <c r="T38" s="28" t="n">
        <f aca="false">IF($A38="","",SUMIF($A$4:$A38,$A38,$Q$4:$Q38)-SUMIF($A$4:$A38,$A38,$R$4:$R38)-SUMIF($A$4:$A38,$A38,$S$4:$S38))</f>
        <v>0</v>
      </c>
      <c r="U38" s="28"/>
      <c r="V38" s="29" t="str">
        <f aca="false">IF(AND($C38="",COUNTA($D38:$H38,$K38,$N38:$O38,$Q38:$S38,$U38)=0),"",IF($C38="","⚠ 没填项目名称",IF($A38="⚠目录里没有","⚠ 项目名称在目录里找不到（先加到目录）",IF($A38="","⚠ 目录里这个项目没填简称",IF(ISTEXT($G38)+ISTEXT($H38)+ISTEXT($K38)+ISTEXT($N38)+ISTEXT($O38)+ISTEXT($Q38)+ISTEXT($R38)+ISTEXT($S38)&gt;0,"⚠ 金额列里有文字，算不进合计",IF(N($G38)&gt;=1,"⚠ 管理费点要填百分比，如 10%",IF(AND($D38&lt;&gt;"",$B38=""),"△ 摘要开头没写日期（如 2026.9.21），月份取不到",IF(AND(N($H38)&lt;&gt;0,COUNTIFS($A$4:$A$1003,$A38,$H$4:$H$1003,$H38,$D$4:$D$1003,LEFT($D38,9)&amp;"*")&gt;1),"△ 同一天同项目有一样的销售金额，看看是不是录重了","✓"))))))))</f>
        <v>✓</v>
      </c>
      <c r="W38" s="8" t="str">
        <f aca="false">IF($A38="","",$A38&amp;"#"&amp;COUNTIF($A$4:$A38,$A38))</f>
        <v>铜城2回、玉璟尚线、铁井一回、淮拦线4#14</v>
      </c>
    </row>
    <row r="39" customFormat="false" ht="55.2" hidden="false" customHeight="false" outlineLevel="0" collapsed="false">
      <c r="A39" s="44" t="str">
        <f aca="false">IF($C39="","",IFERROR(VLOOKUP($C39,目录!$B:$C,2,0)&amp;"","⚠目录里没有"))</f>
        <v>铜城2回、玉璟尚线、铁井一回、淮拦线4</v>
      </c>
      <c r="B39" s="45" t="str">
        <f aca="false">IF($D39="","",IFERROR(MID($D39,FIND(".",$D39)+1,FIND(".",$D39,FIND(".",$D39)+1)-FIND(".",$D39)-1)&amp;"月",""))</f>
        <v>9月</v>
      </c>
      <c r="C39" s="46" t="s">
        <v>17</v>
      </c>
      <c r="D39" s="47" t="s">
        <v>71</v>
      </c>
      <c r="E39" s="48" t="s">
        <v>49</v>
      </c>
      <c r="F39" s="49"/>
      <c r="G39" s="50"/>
      <c r="H39" s="24"/>
      <c r="I39" s="24" t="str">
        <f aca="false">IF($H39="","",N($H39)*N($G39))</f>
        <v/>
      </c>
      <c r="J39" s="25" t="str">
        <f aca="false">IF($H39="","",N($H39)-N($I39))</f>
        <v/>
      </c>
      <c r="K39" s="25"/>
      <c r="L39" s="25" t="n">
        <f aca="false">IF($A39="","",SUMIF($A$4:$A39,$A39,$J$4:$J39)-SUMIF($A$4:$A39,$A39,$K$4:$K39))</f>
        <v>-57561.71</v>
      </c>
      <c r="M39" s="26" t="str">
        <f aca="false">IF($H39="","",N($H39))</f>
        <v/>
      </c>
      <c r="N39" s="26"/>
      <c r="O39" s="26" t="n">
        <v>39473.83</v>
      </c>
      <c r="P39" s="26" t="n">
        <f aca="false">IF($A39="","",SUMIF($A$4:$A39,$A39,$M$4:$M39)-SUMIF($A$4:$A39,$A39,$N$4:$N39)-SUMIF($A$4:$A39,$A39,$O$4:$O39))</f>
        <v>6290.84000000001</v>
      </c>
      <c r="Q39" s="27"/>
      <c r="R39" s="28"/>
      <c r="S39" s="28"/>
      <c r="T39" s="28" t="n">
        <f aca="false">IF($A39="","",SUMIF($A$4:$A39,$A39,$Q$4:$Q39)-SUMIF($A$4:$A39,$A39,$R$4:$R39)-SUMIF($A$4:$A39,$A39,$S$4:$S39))</f>
        <v>0</v>
      </c>
      <c r="U39" s="28"/>
      <c r="V39" s="29" t="str">
        <f aca="false">IF(AND($C39="",COUNTA($D39:$H39,$K39,$N39:$O39,$Q39:$S39,$U39)=0),"",IF($C39="","⚠ 没填项目名称",IF($A39="⚠目录里没有","⚠ 项目名称在目录里找不到（先加到目录）",IF($A39="","⚠ 目录里这个项目没填简称",IF(ISTEXT($G39)+ISTEXT($H39)+ISTEXT($K39)+ISTEXT($N39)+ISTEXT($O39)+ISTEXT($Q39)+ISTEXT($R39)+ISTEXT($S39)&gt;0,"⚠ 金额列里有文字，算不进合计",IF(N($G39)&gt;=1,"⚠ 管理费点要填百分比，如 10%",IF(AND($D39&lt;&gt;"",$B39=""),"△ 摘要开头没写日期（如 2026.9.21），月份取不到",IF(AND(N($H39)&lt;&gt;0,COUNTIFS($A$4:$A$1003,$A39,$H$4:$H$1003,$H39,$D$4:$D$1003,LEFT($D39,9)&amp;"*")&gt;1),"△ 同一天同项目有一样的销售金额，看看是不是录重了","✓"))))))))</f>
        <v>✓</v>
      </c>
      <c r="W39" s="8" t="str">
        <f aca="false">IF($A39="","",$A39&amp;"#"&amp;COUNTIF($A$4:$A39,$A39))</f>
        <v>铜城2回、玉璟尚线、铁井一回、淮拦线4#15</v>
      </c>
    </row>
    <row r="40" customFormat="false" ht="16.5" hidden="false" customHeight="false" outlineLevel="0" collapsed="false">
      <c r="A40" s="30" t="str">
        <f aca="false">IF($C40="","",IFERROR(VLOOKUP($C40,目录!$B:$C,2,0)&amp;"","⚠目录里没有"))</f>
        <v>合川表计</v>
      </c>
      <c r="B40" s="31" t="str">
        <f aca="false">IF($D40="","",IFERROR(MID($D40,FIND(".",$D40)+1,FIND(".",$D40,FIND(".",$D40)+1)-FIND(".",$D40)-1)&amp;"月",""))</f>
        <v>6月</v>
      </c>
      <c r="C40" s="32" t="s">
        <v>18</v>
      </c>
      <c r="D40" s="33" t="s">
        <v>86</v>
      </c>
      <c r="E40" s="34" t="s">
        <v>49</v>
      </c>
      <c r="F40" s="35" t="s">
        <v>58</v>
      </c>
      <c r="G40" s="36"/>
      <c r="H40" s="24" t="n">
        <v>100000</v>
      </c>
      <c r="I40" s="24" t="n">
        <f aca="false">IF($H40="","",N($H40)*N($G40))</f>
        <v>0</v>
      </c>
      <c r="J40" s="25" t="n">
        <f aca="false">IF($H40="","",N($H40)-N($I40))</f>
        <v>100000</v>
      </c>
      <c r="K40" s="25" t="n">
        <v>100000</v>
      </c>
      <c r="L40" s="25" t="n">
        <f aca="false">IF($A40="","",SUMIF($A$4:$A40,$A40,$J$4:$J40)-SUMIF($A$4:$A40,$A40,$K$4:$K40))</f>
        <v>0</v>
      </c>
      <c r="M40" s="26" t="n">
        <f aca="false">IF($H40="","",N($H40))</f>
        <v>100000</v>
      </c>
      <c r="N40" s="26"/>
      <c r="O40" s="26"/>
      <c r="P40" s="26" t="n">
        <f aca="false">IF($A40="","",SUMIF($A$4:$A40,$A40,$M$4:$M40)-SUMIF($A$4:$A40,$A40,$N$4:$N40)-SUMIF($A$4:$A40,$A40,$O$4:$O40))</f>
        <v>100000</v>
      </c>
      <c r="Q40" s="27"/>
      <c r="R40" s="28"/>
      <c r="S40" s="28"/>
      <c r="T40" s="28" t="n">
        <f aca="false">IF($A40="","",SUMIF($A$4:$A40,$A40,$Q$4:$Q40)-SUMIF($A$4:$A40,$A40,$R$4:$R40)-SUMIF($A$4:$A40,$A40,$S$4:$S40))</f>
        <v>0</v>
      </c>
      <c r="U40" s="28"/>
      <c r="V40" s="29" t="str">
        <f aca="false">IF(AND($C40="",COUNTA($D40:$H40,$K40,$N40:$O40,$Q40:$S40,$U40)=0),"",IF($C40="","⚠ 没填项目名称",IF($A40="⚠目录里没有","⚠ 项目名称在目录里找不到（先加到目录）",IF($A40="","⚠ 目录里这个项目没填简称",IF(ISTEXT($G40)+ISTEXT($H40)+ISTEXT($K40)+ISTEXT($N40)+ISTEXT($O40)+ISTEXT($Q40)+ISTEXT($R40)+ISTEXT($S40)&gt;0,"⚠ 金额列里有文字，算不进合计",IF(N($G40)&gt;=1,"⚠ 管理费点要填百分比，如 10%",IF(AND($D40&lt;&gt;"",$B40=""),"△ 摘要开头没写日期（如 2026.9.21），月份取不到",IF(AND(N($H40)&lt;&gt;0,COUNTIFS($A$4:$A$1003,$A40,$H$4:$H$1003,$H40,$D$4:$D$1003,LEFT($D40,9)&amp;"*")&gt;1),"△ 同一天同项目有一样的销售金额，看看是不是录重了","✓"))))))))</f>
        <v>✓</v>
      </c>
      <c r="W40" s="8" t="str">
        <f aca="false">IF($A40="","",$A40&amp;"#"&amp;COUNTIF($A$4:$A40,$A40))</f>
        <v>合川表计#1</v>
      </c>
    </row>
    <row r="41" customFormat="false" ht="16.5" hidden="false" customHeight="false" outlineLevel="0" collapsed="false">
      <c r="A41" s="31" t="str">
        <f aca="false">IF($C41="","",IFERROR(VLOOKUP($C41,目录!$B:$C,2,0)&amp;"","⚠目录里没有"))</f>
        <v>合川表计</v>
      </c>
      <c r="B41" s="31" t="str">
        <f aca="false">IF($D41="","",IFERROR(MID($D41,FIND(".",$D41)+1,FIND(".",$D41,FIND(".",$D41)+1)-FIND(".",$D41)-1)&amp;"月",""))</f>
        <v>7月</v>
      </c>
      <c r="C41" s="32" t="s">
        <v>18</v>
      </c>
      <c r="D41" s="33" t="s">
        <v>87</v>
      </c>
      <c r="E41" s="34" t="s">
        <v>88</v>
      </c>
      <c r="F41" s="35" t="s">
        <v>89</v>
      </c>
      <c r="G41" s="36"/>
      <c r="H41" s="24" t="n">
        <v>50000</v>
      </c>
      <c r="I41" s="24" t="n">
        <f aca="false">IF($H41="","",N($H41)*N($G41))</f>
        <v>0</v>
      </c>
      <c r="J41" s="25" t="n">
        <f aca="false">IF($H41="","",N($H41)-N($I41))</f>
        <v>50000</v>
      </c>
      <c r="K41" s="25" t="n">
        <v>50000</v>
      </c>
      <c r="L41" s="25" t="n">
        <f aca="false">IF($A41="","",SUMIF($A$4:$A41,$A41,$J$4:$J41)-SUMIF($A$4:$A41,$A41,$K$4:$K41))</f>
        <v>0</v>
      </c>
      <c r="M41" s="26" t="n">
        <f aca="false">IF($H41="","",N($H41))</f>
        <v>50000</v>
      </c>
      <c r="N41" s="26"/>
      <c r="O41" s="26"/>
      <c r="P41" s="26" t="n">
        <f aca="false">IF($A41="","",SUMIF($A$4:$A41,$A41,$M$4:$M41)-SUMIF($A$4:$A41,$A41,$N$4:$N41)-SUMIF($A$4:$A41,$A41,$O$4:$O41))</f>
        <v>150000</v>
      </c>
      <c r="Q41" s="27"/>
      <c r="R41" s="28"/>
      <c r="S41" s="28"/>
      <c r="T41" s="28" t="n">
        <f aca="false">IF($A41="","",SUMIF($A$4:$A41,$A41,$Q$4:$Q41)-SUMIF($A$4:$A41,$A41,$R$4:$R41)-SUMIF($A$4:$A41,$A41,$S$4:$S41))</f>
        <v>0</v>
      </c>
      <c r="U41" s="28"/>
      <c r="V41" s="29" t="str">
        <f aca="false">IF(AND($C41="",COUNTA($D41:$H41,$K41,$N41:$O41,$Q41:$S41,$U41)=0),"",IF($C41="","⚠ 没填项目名称",IF($A41="⚠目录里没有","⚠ 项目名称在目录里找不到（先加到目录）",IF($A41="","⚠ 目录里这个项目没填简称",IF(ISTEXT($G41)+ISTEXT($H41)+ISTEXT($K41)+ISTEXT($N41)+ISTEXT($O41)+ISTEXT($Q41)+ISTEXT($R41)+ISTEXT($S41)&gt;0,"⚠ 金额列里有文字，算不进合计",IF(N($G41)&gt;=1,"⚠ 管理费点要填百分比，如 10%",IF(AND($D41&lt;&gt;"",$B41=""),"△ 摘要开头没写日期（如 2026.9.21），月份取不到",IF(AND(N($H41)&lt;&gt;0,COUNTIFS($A$4:$A$1003,$A41,$H$4:$H$1003,$H41,$D$4:$D$1003,LEFT($D41,9)&amp;"*")&gt;1),"△ 同一天同项目有一样的销售金额，看看是不是录重了","✓"))))))))</f>
        <v>✓</v>
      </c>
      <c r="W41" s="8" t="str">
        <f aca="false">IF($A41="","",$A41&amp;"#"&amp;COUNTIF($A$4:$A41,$A41))</f>
        <v>合川表计#2</v>
      </c>
    </row>
    <row r="42" customFormat="false" ht="16.5" hidden="false" customHeight="false" outlineLevel="0" collapsed="false">
      <c r="A42" s="31" t="str">
        <f aca="false">IF($C42="","",IFERROR(VLOOKUP($C42,目录!$B:$C,2,0)&amp;"","⚠目录里没有"))</f>
        <v>合川表计</v>
      </c>
      <c r="B42" s="31" t="str">
        <f aca="false">IF($D42="","",IFERROR(MID($D42,FIND(".",$D42)+1,FIND(".",$D42,FIND(".",$D42)+1)-FIND(".",$D42)-1)&amp;"月",""))</f>
        <v>6月</v>
      </c>
      <c r="C42" s="32" t="s">
        <v>18</v>
      </c>
      <c r="D42" s="33" t="s">
        <v>90</v>
      </c>
      <c r="E42" s="34" t="s">
        <v>49</v>
      </c>
      <c r="F42" s="35"/>
      <c r="G42" s="36"/>
      <c r="H42" s="24"/>
      <c r="I42" s="24" t="str">
        <f aca="false">IF($H42="","",N($H42)*N($G42))</f>
        <v/>
      </c>
      <c r="J42" s="25" t="str">
        <f aca="false">IF($H42="","",N($H42)-N($I42))</f>
        <v/>
      </c>
      <c r="K42" s="25"/>
      <c r="L42" s="25" t="n">
        <f aca="false">IF($A42="","",SUMIF($A$4:$A42,$A42,$J$4:$J42)-SUMIF($A$4:$A42,$A42,$K$4:$K42))</f>
        <v>0</v>
      </c>
      <c r="M42" s="26" t="str">
        <f aca="false">IF($H42="","",N($H42))</f>
        <v/>
      </c>
      <c r="N42" s="26"/>
      <c r="O42" s="26" t="n">
        <v>100000</v>
      </c>
      <c r="P42" s="26" t="n">
        <f aca="false">IF($A42="","",SUMIF($A$4:$A42,$A42,$M$4:$M42)-SUMIF($A$4:$A42,$A42,$N$4:$N42)-SUMIF($A$4:$A42,$A42,$O$4:$O42))</f>
        <v>50000</v>
      </c>
      <c r="Q42" s="27"/>
      <c r="R42" s="28"/>
      <c r="S42" s="28"/>
      <c r="T42" s="28" t="n">
        <f aca="false">IF($A42="","",SUMIF($A$4:$A42,$A42,$Q$4:$Q42)-SUMIF($A$4:$A42,$A42,$R$4:$R42)-SUMIF($A$4:$A42,$A42,$S$4:$S42))</f>
        <v>0</v>
      </c>
      <c r="U42" s="28"/>
      <c r="V42" s="29" t="str">
        <f aca="false">IF(AND($C42="",COUNTA($D42:$H42,$K42,$N42:$O42,$Q42:$S42,$U42)=0),"",IF($C42="","⚠ 没填项目名称",IF($A42="⚠目录里没有","⚠ 项目名称在目录里找不到（先加到目录）",IF($A42="","⚠ 目录里这个项目没填简称",IF(ISTEXT($G42)+ISTEXT($H42)+ISTEXT($K42)+ISTEXT($N42)+ISTEXT($O42)+ISTEXT($Q42)+ISTEXT($R42)+ISTEXT($S42)&gt;0,"⚠ 金额列里有文字，算不进合计",IF(N($G42)&gt;=1,"⚠ 管理费点要填百分比，如 10%",IF(AND($D42&lt;&gt;"",$B42=""),"△ 摘要开头没写日期（如 2026.9.21），月份取不到",IF(AND(N($H42)&lt;&gt;0,COUNTIFS($A$4:$A$1003,$A42,$H$4:$H$1003,$H42,$D$4:$D$1003,LEFT($D42,9)&amp;"*")&gt;1),"△ 同一天同项目有一样的销售金额，看看是不是录重了","✓"))))))))</f>
        <v>✓</v>
      </c>
      <c r="W42" s="8" t="str">
        <f aca="false">IF($A42="","",$A42&amp;"#"&amp;COUNTIF($A$4:$A42,$A42))</f>
        <v>合川表计#3</v>
      </c>
    </row>
    <row r="43" customFormat="false" ht="16.5" hidden="false" customHeight="false" outlineLevel="0" collapsed="false">
      <c r="A43" s="31" t="str">
        <f aca="false">IF($C43="","",IFERROR(VLOOKUP($C43,目录!$B:$C,2,0)&amp;"","⚠目录里没有"))</f>
        <v>合川表计</v>
      </c>
      <c r="B43" s="31" t="str">
        <f aca="false">IF($D43="","",IFERROR(MID($D43,FIND(".",$D43)+1,FIND(".",$D43,FIND(".",$D43)+1)-FIND(".",$D43)-1)&amp;"月",""))</f>
        <v>7月</v>
      </c>
      <c r="C43" s="32" t="s">
        <v>18</v>
      </c>
      <c r="D43" s="33" t="s">
        <v>91</v>
      </c>
      <c r="E43" s="34" t="s">
        <v>49</v>
      </c>
      <c r="F43" s="35"/>
      <c r="G43" s="36"/>
      <c r="H43" s="24"/>
      <c r="I43" s="24" t="str">
        <f aca="false">IF($H43="","",N($H43)*N($G43))</f>
        <v/>
      </c>
      <c r="J43" s="25" t="str">
        <f aca="false">IF($H43="","",N($H43)-N($I43))</f>
        <v/>
      </c>
      <c r="K43" s="25"/>
      <c r="L43" s="25" t="n">
        <f aca="false">IF($A43="","",SUMIF($A$4:$A43,$A43,$J$4:$J43)-SUMIF($A$4:$A43,$A43,$K$4:$K43))</f>
        <v>0</v>
      </c>
      <c r="M43" s="26" t="str">
        <f aca="false">IF($H43="","",N($H43))</f>
        <v/>
      </c>
      <c r="N43" s="26"/>
      <c r="O43" s="26" t="n">
        <v>50000</v>
      </c>
      <c r="P43" s="26" t="n">
        <f aca="false">IF($A43="","",SUMIF($A$4:$A43,$A43,$M$4:$M43)-SUMIF($A$4:$A43,$A43,$N$4:$N43)-SUMIF($A$4:$A43,$A43,$O$4:$O43))</f>
        <v>0</v>
      </c>
      <c r="Q43" s="27"/>
      <c r="R43" s="28"/>
      <c r="S43" s="28"/>
      <c r="T43" s="28" t="n">
        <f aca="false">IF($A43="","",SUMIF($A$4:$A43,$A43,$Q$4:$Q43)-SUMIF($A$4:$A43,$A43,$R$4:$R43)-SUMIF($A$4:$A43,$A43,$S$4:$S43))</f>
        <v>0</v>
      </c>
      <c r="U43" s="28"/>
      <c r="V43" s="29" t="str">
        <f aca="false">IF(AND($C43="",COUNTA($D43:$H43,$K43,$N43:$O43,$Q43:$S43,$U43)=0),"",IF($C43="","⚠ 没填项目名称",IF($A43="⚠目录里没有","⚠ 项目名称在目录里找不到（先加到目录）",IF($A43="","⚠ 目录里这个项目没填简称",IF(ISTEXT($G43)+ISTEXT($H43)+ISTEXT($K43)+ISTEXT($N43)+ISTEXT($O43)+ISTEXT($Q43)+ISTEXT($R43)+ISTEXT($S43)&gt;0,"⚠ 金额列里有文字，算不进合计",IF(N($G43)&gt;=1,"⚠ 管理费点要填百分比，如 10%",IF(AND($D43&lt;&gt;"",$B43=""),"△ 摘要开头没写日期（如 2026.9.21），月份取不到",IF(AND(N($H43)&lt;&gt;0,COUNTIFS($A$4:$A$1003,$A43,$H$4:$H$1003,$H43,$D$4:$D$1003,LEFT($D43,9)&amp;"*")&gt;1),"△ 同一天同项目有一样的销售金额，看看是不是录重了","✓"))))))))</f>
        <v>✓</v>
      </c>
      <c r="W43" s="8" t="str">
        <f aca="false">IF($A43="","",$A43&amp;"#"&amp;COUNTIF($A$4:$A43,$A43))</f>
        <v>合川表计#4</v>
      </c>
    </row>
    <row r="44" customFormat="false" ht="16.5" hidden="false" customHeight="false" outlineLevel="0" collapsed="false">
      <c r="A44" s="31" t="str">
        <f aca="false">IF($C44="","",IFERROR(VLOOKUP($C44,目录!$B:$C,2,0)&amp;"","⚠目录里没有"))</f>
        <v>合川表计</v>
      </c>
      <c r="B44" s="31" t="str">
        <f aca="false">IF($D44="","",IFERROR(MID($D44,FIND(".",$D44)+1,FIND(".",$D44,FIND(".",$D44)+1)-FIND(".",$D44)-1)&amp;"月",""))</f>
        <v>8月</v>
      </c>
      <c r="C44" s="32" t="s">
        <v>18</v>
      </c>
      <c r="D44" s="33" t="s">
        <v>92</v>
      </c>
      <c r="E44" s="34" t="s">
        <v>88</v>
      </c>
      <c r="F44" s="35" t="s">
        <v>58</v>
      </c>
      <c r="G44" s="36"/>
      <c r="H44" s="24" t="n">
        <v>122000</v>
      </c>
      <c r="I44" s="24" t="n">
        <f aca="false">IF($H44="","",N($H44)*N($G44))</f>
        <v>0</v>
      </c>
      <c r="J44" s="25" t="n">
        <f aca="false">IF($H44="","",N($H44)-N($I44))</f>
        <v>122000</v>
      </c>
      <c r="K44" s="25" t="n">
        <v>122000</v>
      </c>
      <c r="L44" s="25" t="n">
        <f aca="false">IF($A44="","",SUMIF($A$4:$A44,$A44,$J$4:$J44)-SUMIF($A$4:$A44,$A44,$K$4:$K44))</f>
        <v>0</v>
      </c>
      <c r="M44" s="26" t="n">
        <f aca="false">IF($H44="","",N($H44))</f>
        <v>122000</v>
      </c>
      <c r="N44" s="26"/>
      <c r="O44" s="26"/>
      <c r="P44" s="26" t="n">
        <f aca="false">IF($A44="","",SUMIF($A$4:$A44,$A44,$M$4:$M44)-SUMIF($A$4:$A44,$A44,$N$4:$N44)-SUMIF($A$4:$A44,$A44,$O$4:$O44))</f>
        <v>122000</v>
      </c>
      <c r="Q44" s="27"/>
      <c r="R44" s="28"/>
      <c r="S44" s="28"/>
      <c r="T44" s="28" t="n">
        <f aca="false">IF($A44="","",SUMIF($A$4:$A44,$A44,$Q$4:$Q44)-SUMIF($A$4:$A44,$A44,$R$4:$R44)-SUMIF($A$4:$A44,$A44,$S$4:$S44))</f>
        <v>0</v>
      </c>
      <c r="U44" s="28"/>
      <c r="V44" s="29" t="str">
        <f aca="false">IF(AND($C44="",COUNTA($D44:$H44,$K44,$N44:$O44,$Q44:$S44,$U44)=0),"",IF($C44="","⚠ 没填项目名称",IF($A44="⚠目录里没有","⚠ 项目名称在目录里找不到（先加到目录）",IF($A44="","⚠ 目录里这个项目没填简称",IF(ISTEXT($G44)+ISTEXT($H44)+ISTEXT($K44)+ISTEXT($N44)+ISTEXT($O44)+ISTEXT($Q44)+ISTEXT($R44)+ISTEXT($S44)&gt;0,"⚠ 金额列里有文字，算不进合计",IF(N($G44)&gt;=1,"⚠ 管理费点要填百分比，如 10%",IF(AND($D44&lt;&gt;"",$B44=""),"△ 摘要开头没写日期（如 2026.9.21），月份取不到",IF(AND(N($H44)&lt;&gt;0,COUNTIFS($A$4:$A$1003,$A44,$H$4:$H$1003,$H44,$D$4:$D$1003,LEFT($D44,9)&amp;"*")&gt;1),"△ 同一天同项目有一样的销售金额，看看是不是录重了","✓"))))))))</f>
        <v>✓</v>
      </c>
      <c r="W44" s="8" t="str">
        <f aca="false">IF($A44="","",$A44&amp;"#"&amp;COUNTIF($A$4:$A44,$A44))</f>
        <v>合川表计#5</v>
      </c>
    </row>
    <row r="45" customFormat="false" ht="16.5" hidden="false" customHeight="false" outlineLevel="0" collapsed="false">
      <c r="A45" s="31" t="str">
        <f aca="false">IF($C45="","",IFERROR(VLOOKUP($C45,目录!$B:$C,2,0)&amp;"","⚠目录里没有"))</f>
        <v>合川表计</v>
      </c>
      <c r="B45" s="31" t="str">
        <f aca="false">IF($D45="","",IFERROR(MID($D45,FIND(".",$D45)+1,FIND(".",$D45,FIND(".",$D45)+1)-FIND(".",$D45)-1)&amp;"月",""))</f>
        <v>8月</v>
      </c>
      <c r="C45" s="32" t="s">
        <v>18</v>
      </c>
      <c r="D45" s="33" t="s">
        <v>93</v>
      </c>
      <c r="E45" s="34" t="s">
        <v>88</v>
      </c>
      <c r="F45" s="35"/>
      <c r="G45" s="36"/>
      <c r="H45" s="24"/>
      <c r="I45" s="24" t="str">
        <f aca="false">IF($H45="","",N($H45)*N($G45))</f>
        <v/>
      </c>
      <c r="J45" s="25" t="str">
        <f aca="false">IF($H45="","",N($H45)-N($I45))</f>
        <v/>
      </c>
      <c r="K45" s="25"/>
      <c r="L45" s="25" t="n">
        <f aca="false">IF($A45="","",SUMIF($A$4:$A45,$A45,$J$4:$J45)-SUMIF($A$4:$A45,$A45,$K$4:$K45))</f>
        <v>0</v>
      </c>
      <c r="M45" s="26" t="str">
        <f aca="false">IF($H45="","",N($H45))</f>
        <v/>
      </c>
      <c r="N45" s="26"/>
      <c r="O45" s="26" t="n">
        <v>122000</v>
      </c>
      <c r="P45" s="26" t="n">
        <f aca="false">IF($A45="","",SUMIF($A$4:$A45,$A45,$M$4:$M45)-SUMIF($A$4:$A45,$A45,$N$4:$N45)-SUMIF($A$4:$A45,$A45,$O$4:$O45))</f>
        <v>0</v>
      </c>
      <c r="Q45" s="27"/>
      <c r="R45" s="28"/>
      <c r="S45" s="28"/>
      <c r="T45" s="28" t="n">
        <f aca="false">IF($A45="","",SUMIF($A$4:$A45,$A45,$Q$4:$Q45)-SUMIF($A$4:$A45,$A45,$R$4:$R45)-SUMIF($A$4:$A45,$A45,$S$4:$S45))</f>
        <v>0</v>
      </c>
      <c r="U45" s="28"/>
      <c r="V45" s="29" t="str">
        <f aca="false">IF(AND($C45="",COUNTA($D45:$H45,$K45,$N45:$O45,$Q45:$S45,$U45)=0),"",IF($C45="","⚠ 没填项目名称",IF($A45="⚠目录里没有","⚠ 项目名称在目录里找不到（先加到目录）",IF($A45="","⚠ 目录里这个项目没填简称",IF(ISTEXT($G45)+ISTEXT($H45)+ISTEXT($K45)+ISTEXT($N45)+ISTEXT($O45)+ISTEXT($Q45)+ISTEXT($R45)+ISTEXT($S45)&gt;0,"⚠ 金额列里有文字，算不进合计",IF(N($G45)&gt;=1,"⚠ 管理费点要填百分比，如 10%",IF(AND($D45&lt;&gt;"",$B45=""),"△ 摘要开头没写日期（如 2026.9.21），月份取不到",IF(AND(N($H45)&lt;&gt;0,COUNTIFS($A$4:$A$1003,$A45,$H$4:$H$1003,$H45,$D$4:$D$1003,LEFT($D45,9)&amp;"*")&gt;1),"△ 同一天同项目有一样的销售金额，看看是不是录重了","✓"))))))))</f>
        <v>✓</v>
      </c>
      <c r="W45" s="8" t="str">
        <f aca="false">IF($A45="","",$A45&amp;"#"&amp;COUNTIF($A$4:$A45,$A45))</f>
        <v>合川表计#6</v>
      </c>
    </row>
    <row r="46" customFormat="false" ht="16.5" hidden="false" customHeight="false" outlineLevel="0" collapsed="false">
      <c r="A46" s="31" t="str">
        <f aca="false">IF($C46="","",IFERROR(VLOOKUP($C46,目录!$B:$C,2,0)&amp;"","⚠目录里没有"))</f>
        <v>合川表计</v>
      </c>
      <c r="B46" s="31" t="str">
        <f aca="false">IF($D46="","",IFERROR(MID($D46,FIND(".",$D46)+1,FIND(".",$D46,FIND(".",$D46)+1)-FIND(".",$D46)-1)&amp;"月",""))</f>
        <v>8月</v>
      </c>
      <c r="C46" s="32" t="s">
        <v>18</v>
      </c>
      <c r="D46" s="33" t="s">
        <v>94</v>
      </c>
      <c r="E46" s="34" t="s">
        <v>95</v>
      </c>
      <c r="F46" s="35" t="s">
        <v>58</v>
      </c>
      <c r="G46" s="36"/>
      <c r="H46" s="24" t="n">
        <v>78000</v>
      </c>
      <c r="I46" s="24" t="n">
        <f aca="false">IF($H46="","",N($H46)*N($G46))</f>
        <v>0</v>
      </c>
      <c r="J46" s="25" t="n">
        <f aca="false">IF($H46="","",N($H46)-N($I46))</f>
        <v>78000</v>
      </c>
      <c r="K46" s="25" t="n">
        <v>78000</v>
      </c>
      <c r="L46" s="25" t="n">
        <f aca="false">IF($A46="","",SUMIF($A$4:$A46,$A46,$J$4:$J46)-SUMIF($A$4:$A46,$A46,$K$4:$K46))</f>
        <v>0</v>
      </c>
      <c r="M46" s="26" t="n">
        <f aca="false">IF($H46="","",N($H46))</f>
        <v>78000</v>
      </c>
      <c r="N46" s="26"/>
      <c r="O46" s="26"/>
      <c r="P46" s="26" t="n">
        <f aca="false">IF($A46="","",SUMIF($A$4:$A46,$A46,$M$4:$M46)-SUMIF($A$4:$A46,$A46,$N$4:$N46)-SUMIF($A$4:$A46,$A46,$O$4:$O46))</f>
        <v>78000</v>
      </c>
      <c r="Q46" s="27"/>
      <c r="R46" s="28"/>
      <c r="S46" s="28"/>
      <c r="T46" s="28" t="n">
        <f aca="false">IF($A46="","",SUMIF($A$4:$A46,$A46,$Q$4:$Q46)-SUMIF($A$4:$A46,$A46,$R$4:$R46)-SUMIF($A$4:$A46,$A46,$S$4:$S46))</f>
        <v>0</v>
      </c>
      <c r="U46" s="28"/>
      <c r="V46" s="29" t="str">
        <f aca="false">IF(AND($C46="",COUNTA($D46:$H46,$K46,$N46:$O46,$Q46:$S46,$U46)=0),"",IF($C46="","⚠ 没填项目名称",IF($A46="⚠目录里没有","⚠ 项目名称在目录里找不到（先加到目录）",IF($A46="","⚠ 目录里这个项目没填简称",IF(ISTEXT($G46)+ISTEXT($H46)+ISTEXT($K46)+ISTEXT($N46)+ISTEXT($O46)+ISTEXT($Q46)+ISTEXT($R46)+ISTEXT($S46)&gt;0,"⚠ 金额列里有文字，算不进合计",IF(N($G46)&gt;=1,"⚠ 管理费点要填百分比，如 10%",IF(AND($D46&lt;&gt;"",$B46=""),"△ 摘要开头没写日期（如 2026.9.21），月份取不到",IF(AND(N($H46)&lt;&gt;0,COUNTIFS($A$4:$A$1003,$A46,$H$4:$H$1003,$H46,$D$4:$D$1003,LEFT($D46,9)&amp;"*")&gt;1),"△ 同一天同项目有一样的销售金额，看看是不是录重了","✓"))))))))</f>
        <v>✓</v>
      </c>
      <c r="W46" s="8" t="str">
        <f aca="false">IF($A46="","",$A46&amp;"#"&amp;COUNTIF($A$4:$A46,$A46))</f>
        <v>合川表计#7</v>
      </c>
    </row>
    <row r="47" customFormat="false" ht="16.5" hidden="false" customHeight="false" outlineLevel="0" collapsed="false">
      <c r="A47" s="31" t="str">
        <f aca="false">IF($C47="","",IFERROR(VLOOKUP($C47,目录!$B:$C,2,0)&amp;"","⚠目录里没有"))</f>
        <v>合川表计</v>
      </c>
      <c r="B47" s="31" t="str">
        <f aca="false">IF($D47="","",IFERROR(MID($D47,FIND(".",$D47)+1,FIND(".",$D47,FIND(".",$D47)+1)-FIND(".",$D47)-1)&amp;"月",""))</f>
        <v>8月</v>
      </c>
      <c r="C47" s="32" t="s">
        <v>18</v>
      </c>
      <c r="D47" s="33" t="s">
        <v>96</v>
      </c>
      <c r="E47" s="34" t="s">
        <v>95</v>
      </c>
      <c r="F47" s="35"/>
      <c r="G47" s="36"/>
      <c r="H47" s="24"/>
      <c r="I47" s="24" t="str">
        <f aca="false">IF($H47="","",N($H47)*N($G47))</f>
        <v/>
      </c>
      <c r="J47" s="25" t="str">
        <f aca="false">IF($H47="","",N($H47)-N($I47))</f>
        <v/>
      </c>
      <c r="K47" s="25"/>
      <c r="L47" s="25" t="n">
        <f aca="false">IF($A47="","",SUMIF($A$4:$A47,$A47,$J$4:$J47)-SUMIF($A$4:$A47,$A47,$K$4:$K47))</f>
        <v>0</v>
      </c>
      <c r="M47" s="26" t="str">
        <f aca="false">IF($H47="","",N($H47))</f>
        <v/>
      </c>
      <c r="N47" s="26"/>
      <c r="O47" s="26" t="n">
        <v>78000</v>
      </c>
      <c r="P47" s="26" t="n">
        <f aca="false">IF($A47="","",SUMIF($A$4:$A47,$A47,$M$4:$M47)-SUMIF($A$4:$A47,$A47,$N$4:$N47)-SUMIF($A$4:$A47,$A47,$O$4:$O47))</f>
        <v>0</v>
      </c>
      <c r="Q47" s="27"/>
      <c r="R47" s="28"/>
      <c r="S47" s="28"/>
      <c r="T47" s="28" t="n">
        <f aca="false">IF($A47="","",SUMIF($A$4:$A47,$A47,$Q$4:$Q47)-SUMIF($A$4:$A47,$A47,$R$4:$R47)-SUMIF($A$4:$A47,$A47,$S$4:$S47))</f>
        <v>0</v>
      </c>
      <c r="U47" s="28"/>
      <c r="V47" s="29" t="str">
        <f aca="false">IF(AND($C47="",COUNTA($D47:$H47,$K47,$N47:$O47,$Q47:$S47,$U47)=0),"",IF($C47="","⚠ 没填项目名称",IF($A47="⚠目录里没有","⚠ 项目名称在目录里找不到（先加到目录）",IF($A47="","⚠ 目录里这个项目没填简称",IF(ISTEXT($G47)+ISTEXT($H47)+ISTEXT($K47)+ISTEXT($N47)+ISTEXT($O47)+ISTEXT($Q47)+ISTEXT($R47)+ISTEXT($S47)&gt;0,"⚠ 金额列里有文字，算不进合计",IF(N($G47)&gt;=1,"⚠ 管理费点要填百分比，如 10%",IF(AND($D47&lt;&gt;"",$B47=""),"△ 摘要开头没写日期（如 2026.9.21），月份取不到",IF(AND(N($H47)&lt;&gt;0,COUNTIFS($A$4:$A$1003,$A47,$H$4:$H$1003,$H47,$D$4:$D$1003,LEFT($D47,9)&amp;"*")&gt;1),"△ 同一天同项目有一样的销售金额，看看是不是录重了","✓"))))))))</f>
        <v>✓</v>
      </c>
      <c r="W47" s="8" t="str">
        <f aca="false">IF($A47="","",$A47&amp;"#"&amp;COUNTIF($A$4:$A47,$A47))</f>
        <v>合川表计#8</v>
      </c>
    </row>
    <row r="48" customFormat="false" ht="16.5" hidden="false" customHeight="false" outlineLevel="0" collapsed="false">
      <c r="A48" s="31" t="str">
        <f aca="false">IF($C48="","",IFERROR(VLOOKUP($C48,目录!$B:$C,2,0)&amp;"","⚠目录里没有"))</f>
        <v>合川表计</v>
      </c>
      <c r="B48" s="31" t="str">
        <f aca="false">IF($D48="","",IFERROR(MID($D48,FIND(".",$D48)+1,FIND(".",$D48,FIND(".",$D48)+1)-FIND(".",$D48)-1)&amp;"月",""))</f>
        <v>9月</v>
      </c>
      <c r="C48" s="32" t="s">
        <v>18</v>
      </c>
      <c r="D48" s="33" t="s">
        <v>97</v>
      </c>
      <c r="E48" s="51" t="s">
        <v>98</v>
      </c>
      <c r="F48" s="35" t="s">
        <v>47</v>
      </c>
      <c r="G48" s="36"/>
      <c r="H48" s="24" t="n">
        <v>150000</v>
      </c>
      <c r="I48" s="24" t="n">
        <f aca="false">IF($H48="","",N($H48)*N($G48))</f>
        <v>0</v>
      </c>
      <c r="J48" s="25" t="n">
        <f aca="false">IF($H48="","",N($H48)-N($I48))</f>
        <v>150000</v>
      </c>
      <c r="K48" s="25" t="n">
        <v>150000</v>
      </c>
      <c r="L48" s="25" t="n">
        <f aca="false">IF($A48="","",SUMIF($A$4:$A48,$A48,$J$4:$J48)-SUMIF($A$4:$A48,$A48,$K$4:$K48))</f>
        <v>0</v>
      </c>
      <c r="M48" s="26" t="n">
        <f aca="false">IF($H48="","",N($H48))</f>
        <v>150000</v>
      </c>
      <c r="N48" s="26"/>
      <c r="O48" s="26"/>
      <c r="P48" s="26" t="n">
        <f aca="false">IF($A48="","",SUMIF($A$4:$A48,$A48,$M$4:$M48)-SUMIF($A$4:$A48,$A48,$N$4:$N48)-SUMIF($A$4:$A48,$A48,$O$4:$O48))</f>
        <v>150000</v>
      </c>
      <c r="Q48" s="27"/>
      <c r="R48" s="28"/>
      <c r="S48" s="28"/>
      <c r="T48" s="28" t="n">
        <f aca="false">IF($A48="","",SUMIF($A$4:$A48,$A48,$Q$4:$Q48)-SUMIF($A$4:$A48,$A48,$R$4:$R48)-SUMIF($A$4:$A48,$A48,$S$4:$S48))</f>
        <v>0</v>
      </c>
      <c r="U48" s="28"/>
      <c r="V48" s="29" t="str">
        <f aca="false">IF(AND($C48="",COUNTA($D48:$H48,$K48,$N48:$O48,$Q48:$S48,$U48)=0),"",IF($C48="","⚠ 没填项目名称",IF($A48="⚠目录里没有","⚠ 项目名称在目录里找不到（先加到目录）",IF($A48="","⚠ 目录里这个项目没填简称",IF(ISTEXT($G48)+ISTEXT($H48)+ISTEXT($K48)+ISTEXT($N48)+ISTEXT($O48)+ISTEXT($Q48)+ISTEXT($R48)+ISTEXT($S48)&gt;0,"⚠ 金额列里有文字，算不进合计",IF(N($G48)&gt;=1,"⚠ 管理费点要填百分比，如 10%",IF(AND($D48&lt;&gt;"",$B48=""),"△ 摘要开头没写日期（如 2026.9.21），月份取不到",IF(AND(N($H48)&lt;&gt;0,COUNTIFS($A$4:$A$1003,$A48,$H$4:$H$1003,$H48,$D$4:$D$1003,LEFT($D48,9)&amp;"*")&gt;1),"△ 同一天同项目有一样的销售金额，看看是不是录重了","✓"))))))))</f>
        <v>✓</v>
      </c>
      <c r="W48" s="8" t="str">
        <f aca="false">IF($A48="","",$A48&amp;"#"&amp;COUNTIF($A$4:$A48,$A48))</f>
        <v>合川表计#9</v>
      </c>
    </row>
    <row r="49" customFormat="false" ht="28.35" hidden="false" customHeight="false" outlineLevel="0" collapsed="false">
      <c r="A49" s="31" t="str">
        <f aca="false">IF($C49="","",IFERROR(VLOOKUP($C49,目录!$B:$C,2,0)&amp;"","⚠目录里没有"))</f>
        <v>合川表计</v>
      </c>
      <c r="B49" s="31" t="str">
        <f aca="false">IF($D49="","",IFERROR(MID($D49,FIND(".",$D49)+1,FIND(".",$D49,FIND(".",$D49)+1)-FIND(".",$D49)-1)&amp;"月",""))</f>
        <v>9月</v>
      </c>
      <c r="C49" s="32" t="s">
        <v>18</v>
      </c>
      <c r="D49" s="33" t="s">
        <v>99</v>
      </c>
      <c r="E49" s="51" t="s">
        <v>95</v>
      </c>
      <c r="F49" s="35" t="s">
        <v>58</v>
      </c>
      <c r="G49" s="36"/>
      <c r="H49" s="24" t="n">
        <v>195460</v>
      </c>
      <c r="I49" s="24" t="n">
        <f aca="false">IF($H49="","",N($H49)*N($G49))</f>
        <v>0</v>
      </c>
      <c r="J49" s="25" t="n">
        <f aca="false">IF($H49="","",N($H49)-N($I49))</f>
        <v>195460</v>
      </c>
      <c r="K49" s="25" t="n">
        <v>195460</v>
      </c>
      <c r="L49" s="25" t="n">
        <f aca="false">IF($A49="","",SUMIF($A$4:$A49,$A49,$J$4:$J49)-SUMIF($A$4:$A49,$A49,$K$4:$K49))</f>
        <v>0</v>
      </c>
      <c r="M49" s="26" t="n">
        <f aca="false">IF($H49="","",N($H49))</f>
        <v>195460</v>
      </c>
      <c r="N49" s="26"/>
      <c r="O49" s="26"/>
      <c r="P49" s="26" t="n">
        <f aca="false">IF($A49="","",SUMIF($A$4:$A49,$A49,$M$4:$M49)-SUMIF($A$4:$A49,$A49,$N$4:$N49)-SUMIF($A$4:$A49,$A49,$O$4:$O49))</f>
        <v>345460</v>
      </c>
      <c r="Q49" s="27"/>
      <c r="R49" s="28"/>
      <c r="S49" s="28"/>
      <c r="T49" s="28" t="n">
        <f aca="false">IF($A49="","",SUMIF($A$4:$A49,$A49,$Q$4:$Q49)-SUMIF($A$4:$A49,$A49,$R$4:$R49)-SUMIF($A$4:$A49,$A49,$S$4:$S49))</f>
        <v>0</v>
      </c>
      <c r="U49" s="28"/>
      <c r="V49" s="29" t="str">
        <f aca="false">IF(AND($C49="",COUNTA($D49:$H49,$K49,$N49:$O49,$Q49:$S49,$U49)=0),"",IF($C49="","⚠ 没填项目名称",IF($A49="⚠目录里没有","⚠ 项目名称在目录里找不到（先加到目录）",IF($A49="","⚠ 目录里这个项目没填简称",IF(ISTEXT($G49)+ISTEXT($H49)+ISTEXT($K49)+ISTEXT($N49)+ISTEXT($O49)+ISTEXT($Q49)+ISTEXT($R49)+ISTEXT($S49)&gt;0,"⚠ 金额列里有文字，算不进合计",IF(N($G49)&gt;=1,"⚠ 管理费点要填百分比，如 10%",IF(AND($D49&lt;&gt;"",$B49=""),"△ 摘要开头没写日期（如 2026.9.21），月份取不到",IF(AND(N($H49)&lt;&gt;0,COUNTIFS($A$4:$A$1003,$A49,$H$4:$H$1003,$H49,$D$4:$D$1003,LEFT($D49,9)&amp;"*")&gt;1),"△ 同一天同项目有一样的销售金额，看看是不是录重了","✓"))))))))</f>
        <v>✓</v>
      </c>
      <c r="W49" s="8" t="str">
        <f aca="false">IF($A49="","",$A49&amp;"#"&amp;COUNTIF($A$4:$A49,$A49))</f>
        <v>合川表计#10</v>
      </c>
    </row>
    <row r="50" customFormat="false" ht="28.35" hidden="false" customHeight="false" outlineLevel="0" collapsed="false">
      <c r="A50" s="31" t="str">
        <f aca="false">IF($C50="","",IFERROR(VLOOKUP($C50,目录!$B:$C,2,0)&amp;"","⚠目录里没有"))</f>
        <v>合川表计</v>
      </c>
      <c r="B50" s="31" t="str">
        <f aca="false">IF($D50="","",IFERROR(MID($D50,FIND(".",$D50)+1,FIND(".",$D50,FIND(".",$D50)+1)-FIND(".",$D50)-1)&amp;"月",""))</f>
        <v>9月</v>
      </c>
      <c r="C50" s="32" t="s">
        <v>18</v>
      </c>
      <c r="D50" s="33" t="s">
        <v>100</v>
      </c>
      <c r="E50" s="51" t="s">
        <v>88</v>
      </c>
      <c r="F50" s="35"/>
      <c r="G50" s="36"/>
      <c r="H50" s="24" t="n">
        <v>100000</v>
      </c>
      <c r="I50" s="24" t="n">
        <f aca="false">IF($H50="","",N($H50)*N($G50))</f>
        <v>0</v>
      </c>
      <c r="J50" s="25" t="n">
        <f aca="false">IF($H50="","",N($H50)-N($I50))</f>
        <v>100000</v>
      </c>
      <c r="K50" s="25" t="n">
        <v>100000</v>
      </c>
      <c r="L50" s="25" t="n">
        <f aca="false">IF($A50="","",SUMIF($A$4:$A50,$A50,$J$4:$J50)-SUMIF($A$4:$A50,$A50,$K$4:$K50))</f>
        <v>0</v>
      </c>
      <c r="M50" s="26" t="n">
        <f aca="false">IF($H50="","",N($H50))</f>
        <v>100000</v>
      </c>
      <c r="N50" s="26"/>
      <c r="O50" s="26"/>
      <c r="P50" s="26" t="n">
        <f aca="false">IF($A50="","",SUMIF($A$4:$A50,$A50,$M$4:$M50)-SUMIF($A$4:$A50,$A50,$N$4:$N50)-SUMIF($A$4:$A50,$A50,$O$4:$O50))</f>
        <v>445460</v>
      </c>
      <c r="Q50" s="27"/>
      <c r="R50" s="28"/>
      <c r="S50" s="28"/>
      <c r="T50" s="28" t="n">
        <f aca="false">IF($A50="","",SUMIF($A$4:$A50,$A50,$Q$4:$Q50)-SUMIF($A$4:$A50,$A50,$R$4:$R50)-SUMIF($A$4:$A50,$A50,$S$4:$S50))</f>
        <v>0</v>
      </c>
      <c r="U50" s="28"/>
      <c r="V50" s="29" t="str">
        <f aca="false">IF(AND($C50="",COUNTA($D50:$H50,$K50,$N50:$O50,$Q50:$S50,$U50)=0),"",IF($C50="","⚠ 没填项目名称",IF($A50="⚠目录里没有","⚠ 项目名称在目录里找不到（先加到目录）",IF($A50="","⚠ 目录里这个项目没填简称",IF(ISTEXT($G50)+ISTEXT($H50)+ISTEXT($K50)+ISTEXT($N50)+ISTEXT($O50)+ISTEXT($Q50)+ISTEXT($R50)+ISTEXT($S50)&gt;0,"⚠ 金额列里有文字，算不进合计",IF(N($G50)&gt;=1,"⚠ 管理费点要填百分比，如 10%",IF(AND($D50&lt;&gt;"",$B50=""),"△ 摘要开头没写日期（如 2026.9.21），月份取不到",IF(AND(N($H50)&lt;&gt;0,COUNTIFS($A$4:$A$1003,$A50,$H$4:$H$1003,$H50,$D$4:$D$1003,LEFT($D50,9)&amp;"*")&gt;1),"△ 同一天同项目有一样的销售金额，看看是不是录重了","✓"))))))))</f>
        <v>△ 同一天同项目有一样的销售金额，看看是不是录重了</v>
      </c>
      <c r="W50" s="8" t="str">
        <f aca="false">IF($A50="","",$A50&amp;"#"&amp;COUNTIF($A$4:$A50,$A50))</f>
        <v>合川表计#11</v>
      </c>
    </row>
    <row r="51" customFormat="false" ht="28.35" hidden="false" customHeight="false" outlineLevel="0" collapsed="false">
      <c r="A51" s="30" t="str">
        <f aca="false">IF($C51="","",IFERROR(VLOOKUP($C51,目录!$B:$C,2,0)&amp;"","⚠目录里没有"))</f>
        <v>合川表计</v>
      </c>
      <c r="B51" s="31" t="str">
        <f aca="false">IF($D51="","",IFERROR(MID($D51,FIND(".",$D51)+1,FIND(".",$D51,FIND(".",$D51)+1)-FIND(".",$D51)-1)&amp;"月",""))</f>
        <v>9月</v>
      </c>
      <c r="C51" s="3" t="s">
        <v>18</v>
      </c>
      <c r="D51" s="33" t="s">
        <v>101</v>
      </c>
      <c r="E51" s="32" t="s">
        <v>88</v>
      </c>
      <c r="F51" s="35" t="s">
        <v>58</v>
      </c>
      <c r="G51" s="36"/>
      <c r="H51" s="24" t="n">
        <v>100000</v>
      </c>
      <c r="I51" s="24" t="n">
        <f aca="false">IF($H51="","",N($H51)*N($G51))</f>
        <v>0</v>
      </c>
      <c r="J51" s="25" t="n">
        <f aca="false">IF($H51="","",N($H51)-N($I51))</f>
        <v>100000</v>
      </c>
      <c r="K51" s="25"/>
      <c r="L51" s="25" t="n">
        <f aca="false">IF($A51="","",SUMIF($A$4:$A51,$A51,$J$4:$J51)-SUMIF($A$4:$A51,$A51,$K$4:$K51))</f>
        <v>100000</v>
      </c>
      <c r="M51" s="26" t="n">
        <f aca="false">IF($H51="","",N($H51))</f>
        <v>100000</v>
      </c>
      <c r="N51" s="26"/>
      <c r="O51" s="26"/>
      <c r="P51" s="26" t="n">
        <f aca="false">IF($A51="","",SUMIF($A$4:$A51,$A51,$M$4:$M51)-SUMIF($A$4:$A51,$A51,$N$4:$N51)-SUMIF($A$4:$A51,$A51,$O$4:$O51))</f>
        <v>545460</v>
      </c>
      <c r="Q51" s="27"/>
      <c r="R51" s="28"/>
      <c r="S51" s="28"/>
      <c r="T51" s="28" t="n">
        <f aca="false">IF($A51="","",SUMIF($A$4:$A51,$A51,$Q$4:$Q51)-SUMIF($A$4:$A51,$A51,$R$4:$R51)-SUMIF($A$4:$A51,$A51,$S$4:$S51))</f>
        <v>0</v>
      </c>
      <c r="U51" s="28"/>
      <c r="V51" s="29" t="str">
        <f aca="false">IF(AND($C51="",COUNTA($D51:$H51,$K51,$N51:$O51,$Q51:$S51,$U51)=0),"",IF($C51="","⚠ 没填项目名称",IF($A51="⚠目录里没有","⚠ 项目名称在目录里找不到（先加到目录）",IF($A51="","⚠ 目录里这个项目没填简称",IF(ISTEXT($G51)+ISTEXT($H51)+ISTEXT($K51)+ISTEXT($N51)+ISTEXT($O51)+ISTEXT($Q51)+ISTEXT($R51)+ISTEXT($S51)&gt;0,"⚠ 金额列里有文字，算不进合计",IF(N($G51)&gt;=1,"⚠ 管理费点要填百分比，如 10%",IF(AND($D51&lt;&gt;"",$B51=""),"△ 摘要开头没写日期（如 2026.9.21），月份取不到",IF(AND(N($H51)&lt;&gt;0,COUNTIFS($A$4:$A$1003,$A51,$H$4:$H$1003,$H51,$D$4:$D$1003,LEFT($D51,9)&amp;"*")&gt;1),"△ 同一天同项目有一样的销售金额，看看是不是录重了","✓"))))))))</f>
        <v>△ 同一天同项目有一样的销售金额，看看是不是录重了</v>
      </c>
      <c r="W51" s="8" t="str">
        <f aca="false">IF($A51="","",$A51&amp;"#"&amp;COUNTIF($A$4:$A51,$A51))</f>
        <v>合川表计#12</v>
      </c>
    </row>
    <row r="52" customFormat="false" ht="28.35" hidden="false" customHeight="false" outlineLevel="0" collapsed="false">
      <c r="A52" s="31" t="str">
        <f aca="false">IF($C52="","",IFERROR(VLOOKUP($C52,目录!$B:$C,2,0)&amp;"","⚠目录里没有"))</f>
        <v>合川表计</v>
      </c>
      <c r="B52" s="31" t="str">
        <f aca="false">IF($D52="","",IFERROR(MID($D52,FIND(".",$D52)+1,FIND(".",$D52,FIND(".",$D52)+1)-FIND(".",$D52)-1)&amp;"月",""))</f>
        <v>5月</v>
      </c>
      <c r="C52" s="32" t="s">
        <v>18</v>
      </c>
      <c r="D52" s="33" t="s">
        <v>102</v>
      </c>
      <c r="E52" s="35"/>
      <c r="F52" s="35"/>
      <c r="G52" s="36"/>
      <c r="H52" s="24"/>
      <c r="I52" s="24" t="str">
        <f aca="false">IF($H52="","",N($H52)*N($G52))</f>
        <v/>
      </c>
      <c r="J52" s="25" t="str">
        <f aca="false">IF($H52="","",N($H52)-N($I52))</f>
        <v/>
      </c>
      <c r="K52" s="25"/>
      <c r="L52" s="25" t="n">
        <f aca="false">IF($A52="","",SUMIF($A$4:$A52,$A52,$J$4:$J52)-SUMIF($A$4:$A52,$A52,$K$4:$K52))</f>
        <v>100000</v>
      </c>
      <c r="M52" s="26" t="str">
        <f aca="false">IF($H52="","",N($H52))</f>
        <v/>
      </c>
      <c r="N52" s="26"/>
      <c r="O52" s="26"/>
      <c r="P52" s="26" t="n">
        <f aca="false">IF($A52="","",SUMIF($A$4:$A52,$A52,$M$4:$M52)-SUMIF($A$4:$A52,$A52,$N$4:$N52)-SUMIF($A$4:$A52,$A52,$O$4:$O52))</f>
        <v>545460</v>
      </c>
      <c r="Q52" s="27"/>
      <c r="R52" s="28"/>
      <c r="S52" s="52" t="n">
        <v>105000</v>
      </c>
      <c r="T52" s="28" t="n">
        <f aca="false">IF($A52="","",SUMIF($A$4:$A52,$A52,$Q$4:$Q52)-SUMIF($A$4:$A52,$A52,$R$4:$R52)-SUMIF($A$4:$A52,$A52,$S$4:$S52))</f>
        <v>-105000</v>
      </c>
      <c r="U52" s="28"/>
      <c r="V52" s="29" t="str">
        <f aca="false">IF(AND($C52="",COUNTA($D52:$H52,$K52,$N52:$O52,$Q52:$S52,$U52)=0),"",IF($C52="","⚠ 没填项目名称",IF($A52="⚠目录里没有","⚠ 项目名称在目录里找不到（先加到目录）",IF($A52="","⚠ 目录里这个项目没填简称",IF(ISTEXT($G52)+ISTEXT($H52)+ISTEXT($K52)+ISTEXT($N52)+ISTEXT($O52)+ISTEXT($Q52)+ISTEXT($R52)+ISTEXT($S52)&gt;0,"⚠ 金额列里有文字，算不进合计",IF(N($G52)&gt;=1,"⚠ 管理费点要填百分比，如 10%",IF(AND($D52&lt;&gt;"",$B52=""),"△ 摘要开头没写日期（如 2026.9.21），月份取不到",IF(AND(N($H52)&lt;&gt;0,COUNTIFS($A$4:$A$1003,$A52,$H$4:$H$1003,$H52,$D$4:$D$1003,LEFT($D52,9)&amp;"*")&gt;1),"△ 同一天同项目有一样的销售金额，看看是不是录重了","✓"))))))))</f>
        <v>✓</v>
      </c>
      <c r="W52" s="8" t="str">
        <f aca="false">IF($A52="","",$A52&amp;"#"&amp;COUNTIF($A$4:$A52,$A52))</f>
        <v>合川表计#13</v>
      </c>
    </row>
    <row r="53" customFormat="false" ht="28.35" hidden="false" customHeight="false" outlineLevel="0" collapsed="false">
      <c r="A53" s="31" t="str">
        <f aca="false">IF($C53="","",IFERROR(VLOOKUP($C53,目录!$B:$C,2,0)&amp;"","⚠目录里没有"))</f>
        <v>合川表计</v>
      </c>
      <c r="B53" s="31" t="str">
        <f aca="false">IF($D53="","",IFERROR(MID($D53,FIND(".",$D53)+1,FIND(".",$D53,FIND(".",$D53)+1)-FIND(".",$D53)-1)&amp;"月",""))</f>
        <v>5月</v>
      </c>
      <c r="C53" s="32" t="s">
        <v>18</v>
      </c>
      <c r="D53" s="33" t="s">
        <v>103</v>
      </c>
      <c r="E53" s="35"/>
      <c r="F53" s="35"/>
      <c r="G53" s="36"/>
      <c r="H53" s="24"/>
      <c r="I53" s="24" t="str">
        <f aca="false">IF($H53="","",N($H53)*N($G53))</f>
        <v/>
      </c>
      <c r="J53" s="25" t="str">
        <f aca="false">IF($H53="","",N($H53)-N($I53))</f>
        <v/>
      </c>
      <c r="K53" s="25"/>
      <c r="L53" s="25" t="n">
        <f aca="false">IF($A53="","",SUMIF($A$4:$A53,$A53,$J$4:$J53)-SUMIF($A$4:$A53,$A53,$K$4:$K53))</f>
        <v>100000</v>
      </c>
      <c r="M53" s="26" t="str">
        <f aca="false">IF($H53="","",N($H53))</f>
        <v/>
      </c>
      <c r="N53" s="26"/>
      <c r="O53" s="26"/>
      <c r="P53" s="26" t="n">
        <f aca="false">IF($A53="","",SUMIF($A$4:$A53,$A53,$M$4:$M53)-SUMIF($A$4:$A53,$A53,$N$4:$N53)-SUMIF($A$4:$A53,$A53,$O$4:$O53))</f>
        <v>545460</v>
      </c>
      <c r="Q53" s="27"/>
      <c r="R53" s="28"/>
      <c r="S53" s="52" t="n">
        <v>20000</v>
      </c>
      <c r="T53" s="28" t="n">
        <f aca="false">IF($A53="","",SUMIF($A$4:$A53,$A53,$Q$4:$Q53)-SUMIF($A$4:$A53,$A53,$R$4:$R53)-SUMIF($A$4:$A53,$A53,$S$4:$S53))</f>
        <v>-125000</v>
      </c>
      <c r="U53" s="28"/>
      <c r="V53" s="29" t="str">
        <f aca="false">IF(AND($C53="",COUNTA($D53:$H53,$K53,$N53:$O53,$Q53:$S53,$U53)=0),"",IF($C53="","⚠ 没填项目名称",IF($A53="⚠目录里没有","⚠ 项目名称在目录里找不到（先加到目录）",IF($A53="","⚠ 目录里这个项目没填简称",IF(ISTEXT($G53)+ISTEXT($H53)+ISTEXT($K53)+ISTEXT($N53)+ISTEXT($O53)+ISTEXT($Q53)+ISTEXT($R53)+ISTEXT($S53)&gt;0,"⚠ 金额列里有文字，算不进合计",IF(N($G53)&gt;=1,"⚠ 管理费点要填百分比，如 10%",IF(AND($D53&lt;&gt;"",$B53=""),"△ 摘要开头没写日期（如 2026.9.21），月份取不到",IF(AND(N($H53)&lt;&gt;0,COUNTIFS($A$4:$A$1003,$A53,$H$4:$H$1003,$H53,$D$4:$D$1003,LEFT($D53,9)&amp;"*")&gt;1),"△ 同一天同项目有一样的销售金额，看看是不是录重了","✓"))))))))</f>
        <v>✓</v>
      </c>
      <c r="W53" s="8" t="str">
        <f aca="false">IF($A53="","",$A53&amp;"#"&amp;COUNTIF($A$4:$A53,$A53))</f>
        <v>合川表计#14</v>
      </c>
    </row>
    <row r="54" customFormat="false" ht="28.35" hidden="false" customHeight="false" outlineLevel="0" collapsed="false">
      <c r="A54" s="31" t="str">
        <f aca="false">IF($C54="","",IFERROR(VLOOKUP($C54,目录!$B:$C,2,0)&amp;"","⚠目录里没有"))</f>
        <v>合川表计</v>
      </c>
      <c r="B54" s="31" t="str">
        <f aca="false">IF($D54="","",IFERROR(MID($D54,FIND(".",$D54)+1,FIND(".",$D54,FIND(".",$D54)+1)-FIND(".",$D54)-1)&amp;"月",""))</f>
        <v>5月</v>
      </c>
      <c r="C54" s="32" t="s">
        <v>18</v>
      </c>
      <c r="D54" s="33" t="s">
        <v>104</v>
      </c>
      <c r="E54" s="35"/>
      <c r="F54" s="35"/>
      <c r="G54" s="36"/>
      <c r="H54" s="24"/>
      <c r="I54" s="24" t="str">
        <f aca="false">IF($H54="","",N($H54)*N($G54))</f>
        <v/>
      </c>
      <c r="J54" s="25" t="str">
        <f aca="false">IF($H54="","",N($H54)-N($I54))</f>
        <v/>
      </c>
      <c r="K54" s="25"/>
      <c r="L54" s="25" t="n">
        <f aca="false">IF($A54="","",SUMIF($A$4:$A54,$A54,$J$4:$J54)-SUMIF($A$4:$A54,$A54,$K$4:$K54))</f>
        <v>100000</v>
      </c>
      <c r="M54" s="26" t="str">
        <f aca="false">IF($H54="","",N($H54))</f>
        <v/>
      </c>
      <c r="N54" s="26"/>
      <c r="O54" s="26"/>
      <c r="P54" s="26" t="n">
        <f aca="false">IF($A54="","",SUMIF($A$4:$A54,$A54,$M$4:$M54)-SUMIF($A$4:$A54,$A54,$N$4:$N54)-SUMIF($A$4:$A54,$A54,$O$4:$O54))</f>
        <v>545460</v>
      </c>
      <c r="Q54" s="27"/>
      <c r="R54" s="28"/>
      <c r="S54" s="52" t="n">
        <v>10000</v>
      </c>
      <c r="T54" s="28" t="n">
        <f aca="false">IF($A54="","",SUMIF($A$4:$A54,$A54,$Q$4:$Q54)-SUMIF($A$4:$A54,$A54,$R$4:$R54)-SUMIF($A$4:$A54,$A54,$S$4:$S54))</f>
        <v>-135000</v>
      </c>
      <c r="U54" s="28"/>
      <c r="V54" s="29" t="str">
        <f aca="false">IF(AND($C54="",COUNTA($D54:$H54,$K54,$N54:$O54,$Q54:$S54,$U54)=0),"",IF($C54="","⚠ 没填项目名称",IF($A54="⚠目录里没有","⚠ 项目名称在目录里找不到（先加到目录）",IF($A54="","⚠ 目录里这个项目没填简称",IF(ISTEXT($G54)+ISTEXT($H54)+ISTEXT($K54)+ISTEXT($N54)+ISTEXT($O54)+ISTEXT($Q54)+ISTEXT($R54)+ISTEXT($S54)&gt;0,"⚠ 金额列里有文字，算不进合计",IF(N($G54)&gt;=1,"⚠ 管理费点要填百分比，如 10%",IF(AND($D54&lt;&gt;"",$B54=""),"△ 摘要开头没写日期（如 2026.9.21），月份取不到",IF(AND(N($H54)&lt;&gt;0,COUNTIFS($A$4:$A$1003,$A54,$H$4:$H$1003,$H54,$D$4:$D$1003,LEFT($D54,9)&amp;"*")&gt;1),"△ 同一天同项目有一样的销售金额，看看是不是录重了","✓"))))))))</f>
        <v>✓</v>
      </c>
      <c r="W54" s="8" t="str">
        <f aca="false">IF($A54="","",$A54&amp;"#"&amp;COUNTIF($A$4:$A54,$A54))</f>
        <v>合川表计#15</v>
      </c>
    </row>
    <row r="55" customFormat="false" ht="28.35" hidden="false" customHeight="false" outlineLevel="0" collapsed="false">
      <c r="A55" s="31" t="str">
        <f aca="false">IF($C55="","",IFERROR(VLOOKUP($C55,目录!$B:$C,2,0)&amp;"","⚠目录里没有"))</f>
        <v>合川表计</v>
      </c>
      <c r="B55" s="31" t="str">
        <f aca="false">IF($D55="","",IFERROR(MID($D55,FIND(".",$D55)+1,FIND(".",$D55,FIND(".",$D55)+1)-FIND(".",$D55)-1)&amp;"月",""))</f>
        <v>6月</v>
      </c>
      <c r="C55" s="32" t="s">
        <v>18</v>
      </c>
      <c r="D55" s="33" t="s">
        <v>105</v>
      </c>
      <c r="E55" s="35"/>
      <c r="F55" s="35"/>
      <c r="G55" s="36"/>
      <c r="H55" s="24"/>
      <c r="I55" s="24" t="str">
        <f aca="false">IF($H55="","",N($H55)*N($G55))</f>
        <v/>
      </c>
      <c r="J55" s="25" t="str">
        <f aca="false">IF($H55="","",N($H55)-N($I55))</f>
        <v/>
      </c>
      <c r="K55" s="25"/>
      <c r="L55" s="25" t="n">
        <f aca="false">IF($A55="","",SUMIF($A$4:$A55,$A55,$J$4:$J55)-SUMIF($A$4:$A55,$A55,$K$4:$K55))</f>
        <v>100000</v>
      </c>
      <c r="M55" s="26" t="str">
        <f aca="false">IF($H55="","",N($H55))</f>
        <v/>
      </c>
      <c r="N55" s="26"/>
      <c r="O55" s="26"/>
      <c r="P55" s="26" t="n">
        <f aca="false">IF($A55="","",SUMIF($A$4:$A55,$A55,$M$4:$M55)-SUMIF($A$4:$A55,$A55,$N$4:$N55)-SUMIF($A$4:$A55,$A55,$O$4:$O55))</f>
        <v>545460</v>
      </c>
      <c r="Q55" s="27"/>
      <c r="R55" s="28"/>
      <c r="S55" s="52" t="n">
        <v>91200</v>
      </c>
      <c r="T55" s="28" t="n">
        <f aca="false">IF($A55="","",SUMIF($A$4:$A55,$A55,$Q$4:$Q55)-SUMIF($A$4:$A55,$A55,$R$4:$R55)-SUMIF($A$4:$A55,$A55,$S$4:$S55))</f>
        <v>-226200</v>
      </c>
      <c r="U55" s="28"/>
      <c r="V55" s="29" t="str">
        <f aca="false">IF(AND($C55="",COUNTA($D55:$H55,$K55,$N55:$O55,$Q55:$S55,$U55)=0),"",IF($C55="","⚠ 没填项目名称",IF($A55="⚠目录里没有","⚠ 项目名称在目录里找不到（先加到目录）",IF($A55="","⚠ 目录里这个项目没填简称",IF(ISTEXT($G55)+ISTEXT($H55)+ISTEXT($K55)+ISTEXT($N55)+ISTEXT($O55)+ISTEXT($Q55)+ISTEXT($R55)+ISTEXT($S55)&gt;0,"⚠ 金额列里有文字，算不进合计",IF(N($G55)&gt;=1,"⚠ 管理费点要填百分比，如 10%",IF(AND($D55&lt;&gt;"",$B55=""),"△ 摘要开头没写日期（如 2026.9.21），月份取不到",IF(AND(N($H55)&lt;&gt;0,COUNTIFS($A$4:$A$1003,$A55,$H$4:$H$1003,$H55,$D$4:$D$1003,LEFT($D55,9)&amp;"*")&gt;1),"△ 同一天同项目有一样的销售金额，看看是不是录重了","✓"))))))))</f>
        <v>✓</v>
      </c>
      <c r="W55" s="8" t="str">
        <f aca="false">IF($A55="","",$A55&amp;"#"&amp;COUNTIF($A$4:$A55,$A55))</f>
        <v>合川表计#16</v>
      </c>
    </row>
    <row r="56" customFormat="false" ht="28.35" hidden="false" customHeight="false" outlineLevel="0" collapsed="false">
      <c r="A56" s="31" t="str">
        <f aca="false">IF($C56="","",IFERROR(VLOOKUP($C56,目录!$B:$C,2,0)&amp;"","⚠目录里没有"))</f>
        <v>合川表计</v>
      </c>
      <c r="B56" s="31" t="str">
        <f aca="false">IF($D56="","",IFERROR(MID($D56,FIND(".",$D56)+1,FIND(".",$D56,FIND(".",$D56)+1)-FIND(".",$D56)-1)&amp;"月",""))</f>
        <v>6月</v>
      </c>
      <c r="C56" s="32" t="s">
        <v>18</v>
      </c>
      <c r="D56" s="33" t="s">
        <v>106</v>
      </c>
      <c r="E56" s="35"/>
      <c r="F56" s="35"/>
      <c r="G56" s="36"/>
      <c r="H56" s="24"/>
      <c r="I56" s="24" t="str">
        <f aca="false">IF($H56="","",N($H56)*N($G56))</f>
        <v/>
      </c>
      <c r="J56" s="25" t="str">
        <f aca="false">IF($H56="","",N($H56)-N($I56))</f>
        <v/>
      </c>
      <c r="K56" s="25"/>
      <c r="L56" s="25" t="n">
        <f aca="false">IF($A56="","",SUMIF($A$4:$A56,$A56,$J$4:$J56)-SUMIF($A$4:$A56,$A56,$K$4:$K56))</f>
        <v>100000</v>
      </c>
      <c r="M56" s="26" t="str">
        <f aca="false">IF($H56="","",N($H56))</f>
        <v/>
      </c>
      <c r="N56" s="26"/>
      <c r="O56" s="26"/>
      <c r="P56" s="26" t="n">
        <f aca="false">IF($A56="","",SUMIF($A$4:$A56,$A56,$M$4:$M56)-SUMIF($A$4:$A56,$A56,$N$4:$N56)-SUMIF($A$4:$A56,$A56,$O$4:$O56))</f>
        <v>545460</v>
      </c>
      <c r="Q56" s="27"/>
      <c r="R56" s="28"/>
      <c r="S56" s="52" t="n">
        <v>75943</v>
      </c>
      <c r="T56" s="28" t="n">
        <f aca="false">IF($A56="","",SUMIF($A$4:$A56,$A56,$Q$4:$Q56)-SUMIF($A$4:$A56,$A56,$R$4:$R56)-SUMIF($A$4:$A56,$A56,$S$4:$S56))</f>
        <v>-302143</v>
      </c>
      <c r="U56" s="28"/>
      <c r="V56" s="29" t="str">
        <f aca="false">IF(AND($C56="",COUNTA($D56:$H56,$K56,$N56:$O56,$Q56:$S56,$U56)=0),"",IF($C56="","⚠ 没填项目名称",IF($A56="⚠目录里没有","⚠ 项目名称在目录里找不到（先加到目录）",IF($A56="","⚠ 目录里这个项目没填简称",IF(ISTEXT($G56)+ISTEXT($H56)+ISTEXT($K56)+ISTEXT($N56)+ISTEXT($O56)+ISTEXT($Q56)+ISTEXT($R56)+ISTEXT($S56)&gt;0,"⚠ 金额列里有文字，算不进合计",IF(N($G56)&gt;=1,"⚠ 管理费点要填百分比，如 10%",IF(AND($D56&lt;&gt;"",$B56=""),"△ 摘要开头没写日期（如 2026.9.21），月份取不到",IF(AND(N($H56)&lt;&gt;0,COUNTIFS($A$4:$A$1003,$A56,$H$4:$H$1003,$H56,$D$4:$D$1003,LEFT($D56,9)&amp;"*")&gt;1),"△ 同一天同项目有一样的销售金额，看看是不是录重了","✓"))))))))</f>
        <v>✓</v>
      </c>
      <c r="W56" s="8" t="str">
        <f aca="false">IF($A56="","",$A56&amp;"#"&amp;COUNTIF($A$4:$A56,$A56))</f>
        <v>合川表计#17</v>
      </c>
    </row>
    <row r="57" customFormat="false" ht="28.35" hidden="false" customHeight="false" outlineLevel="0" collapsed="false">
      <c r="A57" s="31" t="str">
        <f aca="false">IF($C57="","",IFERROR(VLOOKUP($C57,目录!$B:$C,2,0)&amp;"","⚠目录里没有"))</f>
        <v>合川表计</v>
      </c>
      <c r="B57" s="31" t="str">
        <f aca="false">IF($D57="","",IFERROR(MID($D57,FIND(".",$D57)+1,FIND(".",$D57,FIND(".",$D57)+1)-FIND(".",$D57)-1)&amp;"月",""))</f>
        <v>7月</v>
      </c>
      <c r="C57" s="32" t="s">
        <v>18</v>
      </c>
      <c r="D57" s="33" t="s">
        <v>107</v>
      </c>
      <c r="E57" s="35"/>
      <c r="F57" s="35"/>
      <c r="G57" s="36"/>
      <c r="H57" s="24"/>
      <c r="I57" s="24" t="str">
        <f aca="false">IF($H57="","",N($H57)*N($G57))</f>
        <v/>
      </c>
      <c r="J57" s="25" t="str">
        <f aca="false">IF($H57="","",N($H57)-N($I57))</f>
        <v/>
      </c>
      <c r="K57" s="25"/>
      <c r="L57" s="25" t="n">
        <f aca="false">IF($A57="","",SUMIF($A$4:$A57,$A57,$J$4:$J57)-SUMIF($A$4:$A57,$A57,$K$4:$K57))</f>
        <v>100000</v>
      </c>
      <c r="M57" s="26" t="str">
        <f aca="false">IF($H57="","",N($H57))</f>
        <v/>
      </c>
      <c r="N57" s="26"/>
      <c r="O57" s="26"/>
      <c r="P57" s="26" t="n">
        <f aca="false">IF($A57="","",SUMIF($A$4:$A57,$A57,$M$4:$M57)-SUMIF($A$4:$A57,$A57,$N$4:$N57)-SUMIF($A$4:$A57,$A57,$O$4:$O57))</f>
        <v>545460</v>
      </c>
      <c r="Q57" s="27"/>
      <c r="R57" s="28"/>
      <c r="S57" s="52" t="n">
        <v>2000</v>
      </c>
      <c r="T57" s="28" t="n">
        <f aca="false">IF($A57="","",SUMIF($A$4:$A57,$A57,$Q$4:$Q57)-SUMIF($A$4:$A57,$A57,$R$4:$R57)-SUMIF($A$4:$A57,$A57,$S$4:$S57))</f>
        <v>-304143</v>
      </c>
      <c r="U57" s="28"/>
      <c r="V57" s="29" t="str">
        <f aca="false">IF(AND($C57="",COUNTA($D57:$H57,$K57,$N57:$O57,$Q57:$S57,$U57)=0),"",IF($C57="","⚠ 没填项目名称",IF($A57="⚠目录里没有","⚠ 项目名称在目录里找不到（先加到目录）",IF($A57="","⚠ 目录里这个项目没填简称",IF(ISTEXT($G57)+ISTEXT($H57)+ISTEXT($K57)+ISTEXT($N57)+ISTEXT($O57)+ISTEXT($Q57)+ISTEXT($R57)+ISTEXT($S57)&gt;0,"⚠ 金额列里有文字，算不进合计",IF(N($G57)&gt;=1,"⚠ 管理费点要填百分比，如 10%",IF(AND($D57&lt;&gt;"",$B57=""),"△ 摘要开头没写日期（如 2026.9.21），月份取不到",IF(AND(N($H57)&lt;&gt;0,COUNTIFS($A$4:$A$1003,$A57,$H$4:$H$1003,$H57,$D$4:$D$1003,LEFT($D57,9)&amp;"*")&gt;1),"△ 同一天同项目有一样的销售金额，看看是不是录重了","✓"))))))))</f>
        <v>✓</v>
      </c>
      <c r="W57" s="8" t="str">
        <f aca="false">IF($A57="","",$A57&amp;"#"&amp;COUNTIF($A$4:$A57,$A57))</f>
        <v>合川表计#18</v>
      </c>
    </row>
    <row r="58" customFormat="false" ht="28.35" hidden="false" customHeight="false" outlineLevel="0" collapsed="false">
      <c r="A58" s="31" t="str">
        <f aca="false">IF($C58="","",IFERROR(VLOOKUP($C58,目录!$B:$C,2,0)&amp;"","⚠目录里没有"))</f>
        <v>合川表计</v>
      </c>
      <c r="B58" s="31" t="str">
        <f aca="false">IF($D58="","",IFERROR(MID($D58,FIND(".",$D58)+1,FIND(".",$D58,FIND(".",$D58)+1)-FIND(".",$D58)-1)&amp;"月",""))</f>
        <v>7月</v>
      </c>
      <c r="C58" s="32" t="s">
        <v>18</v>
      </c>
      <c r="D58" s="33" t="s">
        <v>108</v>
      </c>
      <c r="E58" s="35"/>
      <c r="F58" s="35"/>
      <c r="G58" s="36"/>
      <c r="H58" s="24"/>
      <c r="I58" s="24" t="str">
        <f aca="false">IF($H58="","",N($H58)*N($G58))</f>
        <v/>
      </c>
      <c r="J58" s="25" t="str">
        <f aca="false">IF($H58="","",N($H58)-N($I58))</f>
        <v/>
      </c>
      <c r="K58" s="25"/>
      <c r="L58" s="25" t="n">
        <f aca="false">IF($A58="","",SUMIF($A$4:$A58,$A58,$J$4:$J58)-SUMIF($A$4:$A58,$A58,$K$4:$K58))</f>
        <v>100000</v>
      </c>
      <c r="M58" s="26" t="str">
        <f aca="false">IF($H58="","",N($H58))</f>
        <v/>
      </c>
      <c r="N58" s="26"/>
      <c r="O58" s="26"/>
      <c r="P58" s="26" t="n">
        <f aca="false">IF($A58="","",SUMIF($A$4:$A58,$A58,$M$4:$M58)-SUMIF($A$4:$A58,$A58,$N$4:$N58)-SUMIF($A$4:$A58,$A58,$O$4:$O58))</f>
        <v>545460</v>
      </c>
      <c r="Q58" s="27"/>
      <c r="R58" s="28"/>
      <c r="S58" s="28" t="n">
        <v>70000</v>
      </c>
      <c r="T58" s="28" t="n">
        <f aca="false">IF($A58="","",SUMIF($A$4:$A58,$A58,$Q$4:$Q58)-SUMIF($A$4:$A58,$A58,$R$4:$R58)-SUMIF($A$4:$A58,$A58,$S$4:$S58))</f>
        <v>-374143</v>
      </c>
      <c r="U58" s="28"/>
      <c r="V58" s="29" t="str">
        <f aca="false">IF(AND($C58="",COUNTA($D58:$H58,$K58,$N58:$O58,$Q58:$S58,$U58)=0),"",IF($C58="","⚠ 没填项目名称",IF($A58="⚠目录里没有","⚠ 项目名称在目录里找不到（先加到目录）",IF($A58="","⚠ 目录里这个项目没填简称",IF(ISTEXT($G58)+ISTEXT($H58)+ISTEXT($K58)+ISTEXT($N58)+ISTEXT($O58)+ISTEXT($Q58)+ISTEXT($R58)+ISTEXT($S58)&gt;0,"⚠ 金额列里有文字，算不进合计",IF(N($G58)&gt;=1,"⚠ 管理费点要填百分比，如 10%",IF(AND($D58&lt;&gt;"",$B58=""),"△ 摘要开头没写日期（如 2026.9.21），月份取不到",IF(AND(N($H58)&lt;&gt;0,COUNTIFS($A$4:$A$1003,$A58,$H$4:$H$1003,$H58,$D$4:$D$1003,LEFT($D58,9)&amp;"*")&gt;1),"△ 同一天同项目有一样的销售金额，看看是不是录重了","✓"))))))))</f>
        <v>✓</v>
      </c>
      <c r="W58" s="8" t="str">
        <f aca="false">IF($A58="","",$A58&amp;"#"&amp;COUNTIF($A$4:$A58,$A58))</f>
        <v>合川表计#19</v>
      </c>
    </row>
    <row r="59" customFormat="false" ht="28.35" hidden="false" customHeight="false" outlineLevel="0" collapsed="false">
      <c r="A59" s="31" t="str">
        <f aca="false">IF($C59="","",IFERROR(VLOOKUP($C59,目录!$B:$C,2,0)&amp;"","⚠目录里没有"))</f>
        <v>合川表计</v>
      </c>
      <c r="B59" s="31" t="str">
        <f aca="false">IF($D59="","",IFERROR(MID($D59,FIND(".",$D59)+1,FIND(".",$D59,FIND(".",$D59)+1)-FIND(".",$D59)-1)&amp;"月",""))</f>
        <v>7月</v>
      </c>
      <c r="C59" s="32" t="s">
        <v>18</v>
      </c>
      <c r="D59" s="33" t="s">
        <v>109</v>
      </c>
      <c r="E59" s="35"/>
      <c r="F59" s="35"/>
      <c r="G59" s="36"/>
      <c r="H59" s="24"/>
      <c r="I59" s="24" t="str">
        <f aca="false">IF($H59="","",N($H59)*N($G59))</f>
        <v/>
      </c>
      <c r="J59" s="25" t="str">
        <f aca="false">IF($H59="","",N($H59)-N($I59))</f>
        <v/>
      </c>
      <c r="K59" s="25"/>
      <c r="L59" s="25" t="n">
        <f aca="false">IF($A59="","",SUMIF($A$4:$A59,$A59,$J$4:$J59)-SUMIF($A$4:$A59,$A59,$K$4:$K59))</f>
        <v>100000</v>
      </c>
      <c r="M59" s="26" t="str">
        <f aca="false">IF($H59="","",N($H59))</f>
        <v/>
      </c>
      <c r="N59" s="26"/>
      <c r="O59" s="26"/>
      <c r="P59" s="26" t="n">
        <f aca="false">IF($A59="","",SUMIF($A$4:$A59,$A59,$M$4:$M59)-SUMIF($A$4:$A59,$A59,$N$4:$N59)-SUMIF($A$4:$A59,$A59,$O$4:$O59))</f>
        <v>545460</v>
      </c>
      <c r="Q59" s="27"/>
      <c r="R59" s="28"/>
      <c r="S59" s="52" t="n">
        <v>10000</v>
      </c>
      <c r="T59" s="28" t="n">
        <f aca="false">IF($A59="","",SUMIF($A$4:$A59,$A59,$Q$4:$Q59)-SUMIF($A$4:$A59,$A59,$R$4:$R59)-SUMIF($A$4:$A59,$A59,$S$4:$S59))</f>
        <v>-384143</v>
      </c>
      <c r="U59" s="28"/>
      <c r="V59" s="29" t="str">
        <f aca="false">IF(AND($C59="",COUNTA($D59:$H59,$K59,$N59:$O59,$Q59:$S59,$U59)=0),"",IF($C59="","⚠ 没填项目名称",IF($A59="⚠目录里没有","⚠ 项目名称在目录里找不到（先加到目录）",IF($A59="","⚠ 目录里这个项目没填简称",IF(ISTEXT($G59)+ISTEXT($H59)+ISTEXT($K59)+ISTEXT($N59)+ISTEXT($O59)+ISTEXT($Q59)+ISTEXT($R59)+ISTEXT($S59)&gt;0,"⚠ 金额列里有文字，算不进合计",IF(N($G59)&gt;=1,"⚠ 管理费点要填百分比，如 10%",IF(AND($D59&lt;&gt;"",$B59=""),"△ 摘要开头没写日期（如 2026.9.21），月份取不到",IF(AND(N($H59)&lt;&gt;0,COUNTIFS($A$4:$A$1003,$A59,$H$4:$H$1003,$H59,$D$4:$D$1003,LEFT($D59,9)&amp;"*")&gt;1),"△ 同一天同项目有一样的销售金额，看看是不是录重了","✓"))))))))</f>
        <v>✓</v>
      </c>
      <c r="W59" s="8" t="str">
        <f aca="false">IF($A59="","",$A59&amp;"#"&amp;COUNTIF($A$4:$A59,$A59))</f>
        <v>合川表计#20</v>
      </c>
    </row>
    <row r="60" customFormat="false" ht="28.35" hidden="false" customHeight="false" outlineLevel="0" collapsed="false">
      <c r="A60" s="31" t="str">
        <f aca="false">IF($C60="","",IFERROR(VLOOKUP($C60,目录!$B:$C,2,0)&amp;"","⚠目录里没有"))</f>
        <v>合川表计</v>
      </c>
      <c r="B60" s="31" t="str">
        <f aca="false">IF($D60="","",IFERROR(MID($D60,FIND(".",$D60)+1,FIND(".",$D60,FIND(".",$D60)+1)-FIND(".",$D60)-1)&amp;"月",""))</f>
        <v>7月</v>
      </c>
      <c r="C60" s="32" t="s">
        <v>18</v>
      </c>
      <c r="D60" s="33" t="s">
        <v>110</v>
      </c>
      <c r="E60" s="35"/>
      <c r="F60" s="35"/>
      <c r="G60" s="36"/>
      <c r="H60" s="24"/>
      <c r="I60" s="24" t="str">
        <f aca="false">IF($H60="","",N($H60)*N($G60))</f>
        <v/>
      </c>
      <c r="J60" s="25" t="str">
        <f aca="false">IF($H60="","",N($H60)-N($I60))</f>
        <v/>
      </c>
      <c r="K60" s="25"/>
      <c r="L60" s="25" t="n">
        <f aca="false">IF($A60="","",SUMIF($A$4:$A60,$A60,$J$4:$J60)-SUMIF($A$4:$A60,$A60,$K$4:$K60))</f>
        <v>100000</v>
      </c>
      <c r="M60" s="26" t="str">
        <f aca="false">IF($H60="","",N($H60))</f>
        <v/>
      </c>
      <c r="N60" s="26"/>
      <c r="O60" s="26"/>
      <c r="P60" s="26" t="n">
        <f aca="false">IF($A60="","",SUMIF($A$4:$A60,$A60,$M$4:$M60)-SUMIF($A$4:$A60,$A60,$N$4:$N60)-SUMIF($A$4:$A60,$A60,$O$4:$O60))</f>
        <v>545460</v>
      </c>
      <c r="Q60" s="27"/>
      <c r="R60" s="28"/>
      <c r="S60" s="52" t="n">
        <v>5000</v>
      </c>
      <c r="T60" s="28" t="n">
        <f aca="false">IF($A60="","",SUMIF($A$4:$A60,$A60,$Q$4:$Q60)-SUMIF($A$4:$A60,$A60,$R$4:$R60)-SUMIF($A$4:$A60,$A60,$S$4:$S60))</f>
        <v>-389143</v>
      </c>
      <c r="U60" s="28"/>
      <c r="V60" s="29" t="str">
        <f aca="false">IF(AND($C60="",COUNTA($D60:$H60,$K60,$N60:$O60,$Q60:$S60,$U60)=0),"",IF($C60="","⚠ 没填项目名称",IF($A60="⚠目录里没有","⚠ 项目名称在目录里找不到（先加到目录）",IF($A60="","⚠ 目录里这个项目没填简称",IF(ISTEXT($G60)+ISTEXT($H60)+ISTEXT($K60)+ISTEXT($N60)+ISTEXT($O60)+ISTEXT($Q60)+ISTEXT($R60)+ISTEXT($S60)&gt;0,"⚠ 金额列里有文字，算不进合计",IF(N($G60)&gt;=1,"⚠ 管理费点要填百分比，如 10%",IF(AND($D60&lt;&gt;"",$B60=""),"△ 摘要开头没写日期（如 2026.9.21），月份取不到",IF(AND(N($H60)&lt;&gt;0,COUNTIFS($A$4:$A$1003,$A60,$H$4:$H$1003,$H60,$D$4:$D$1003,LEFT($D60,9)&amp;"*")&gt;1),"△ 同一天同项目有一样的销售金额，看看是不是录重了","✓"))))))))</f>
        <v>✓</v>
      </c>
      <c r="W60" s="8" t="str">
        <f aca="false">IF($A60="","",$A60&amp;"#"&amp;COUNTIF($A$4:$A60,$A60))</f>
        <v>合川表计#21</v>
      </c>
    </row>
    <row r="61" customFormat="false" ht="28.35" hidden="false" customHeight="false" outlineLevel="0" collapsed="false">
      <c r="A61" s="31" t="str">
        <f aca="false">IF($C61="","",IFERROR(VLOOKUP($C61,目录!$B:$C,2,0)&amp;"","⚠目录里没有"))</f>
        <v>合川表计</v>
      </c>
      <c r="B61" s="31" t="str">
        <f aca="false">IF($D61="","",IFERROR(MID($D61,FIND(".",$D61)+1,FIND(".",$D61,FIND(".",$D61)+1)-FIND(".",$D61)-1)&amp;"月",""))</f>
        <v>7月</v>
      </c>
      <c r="C61" s="32" t="s">
        <v>18</v>
      </c>
      <c r="D61" s="33" t="s">
        <v>111</v>
      </c>
      <c r="E61" s="35"/>
      <c r="F61" s="35"/>
      <c r="G61" s="36"/>
      <c r="H61" s="24"/>
      <c r="I61" s="24" t="str">
        <f aca="false">IF($H61="","",N($H61)*N($G61))</f>
        <v/>
      </c>
      <c r="J61" s="25" t="str">
        <f aca="false">IF($H61="","",N($H61)-N($I61))</f>
        <v/>
      </c>
      <c r="K61" s="25"/>
      <c r="L61" s="25" t="n">
        <f aca="false">IF($A61="","",SUMIF($A$4:$A61,$A61,$J$4:$J61)-SUMIF($A$4:$A61,$A61,$K$4:$K61))</f>
        <v>100000</v>
      </c>
      <c r="M61" s="26" t="str">
        <f aca="false">IF($H61="","",N($H61))</f>
        <v/>
      </c>
      <c r="N61" s="26"/>
      <c r="O61" s="26"/>
      <c r="P61" s="26" t="n">
        <f aca="false">IF($A61="","",SUMIF($A$4:$A61,$A61,$M$4:$M61)-SUMIF($A$4:$A61,$A61,$N$4:$N61)-SUMIF($A$4:$A61,$A61,$O$4:$O61))</f>
        <v>545460</v>
      </c>
      <c r="Q61" s="27"/>
      <c r="R61" s="28"/>
      <c r="S61" s="52" t="n">
        <v>2000</v>
      </c>
      <c r="T61" s="28" t="n">
        <f aca="false">IF($A61="","",SUMIF($A$4:$A61,$A61,$Q$4:$Q61)-SUMIF($A$4:$A61,$A61,$R$4:$R61)-SUMIF($A$4:$A61,$A61,$S$4:$S61))</f>
        <v>-391143</v>
      </c>
      <c r="U61" s="28"/>
      <c r="V61" s="29" t="str">
        <f aca="false">IF(AND($C61="",COUNTA($D61:$H61,$K61,$N61:$O61,$Q61:$S61,$U61)=0),"",IF($C61="","⚠ 没填项目名称",IF($A61="⚠目录里没有","⚠ 项目名称在目录里找不到（先加到目录）",IF($A61="","⚠ 目录里这个项目没填简称",IF(ISTEXT($G61)+ISTEXT($H61)+ISTEXT($K61)+ISTEXT($N61)+ISTEXT($O61)+ISTEXT($Q61)+ISTEXT($R61)+ISTEXT($S61)&gt;0,"⚠ 金额列里有文字，算不进合计",IF(N($G61)&gt;=1,"⚠ 管理费点要填百分比，如 10%",IF(AND($D61&lt;&gt;"",$B61=""),"△ 摘要开头没写日期（如 2026.9.21），月份取不到",IF(AND(N($H61)&lt;&gt;0,COUNTIFS($A$4:$A$1003,$A61,$H$4:$H$1003,$H61,$D$4:$D$1003,LEFT($D61,9)&amp;"*")&gt;1),"△ 同一天同项目有一样的销售金额，看看是不是录重了","✓"))))))))</f>
        <v>✓</v>
      </c>
      <c r="W61" s="8" t="str">
        <f aca="false">IF($A61="","",$A61&amp;"#"&amp;COUNTIF($A$4:$A61,$A61))</f>
        <v>合川表计#22</v>
      </c>
    </row>
    <row r="62" customFormat="false" ht="28.35" hidden="false" customHeight="false" outlineLevel="0" collapsed="false">
      <c r="A62" s="31" t="str">
        <f aca="false">IF($C62="","",IFERROR(VLOOKUP($C62,目录!$B:$C,2,0)&amp;"","⚠目录里没有"))</f>
        <v>合川表计</v>
      </c>
      <c r="B62" s="31" t="str">
        <f aca="false">IF($D62="","",IFERROR(MID($D62,FIND(".",$D62)+1,FIND(".",$D62,FIND(".",$D62)+1)-FIND(".",$D62)-1)&amp;"月",""))</f>
        <v>8月</v>
      </c>
      <c r="C62" s="32" t="s">
        <v>18</v>
      </c>
      <c r="D62" s="33" t="s">
        <v>112</v>
      </c>
      <c r="E62" s="35"/>
      <c r="F62" s="35"/>
      <c r="G62" s="36"/>
      <c r="H62" s="24"/>
      <c r="I62" s="24" t="str">
        <f aca="false">IF($H62="","",N($H62)*N($G62))</f>
        <v/>
      </c>
      <c r="J62" s="25" t="str">
        <f aca="false">IF($H62="","",N($H62)-N($I62))</f>
        <v/>
      </c>
      <c r="K62" s="25"/>
      <c r="L62" s="25" t="n">
        <f aca="false">IF($A62="","",SUMIF($A$4:$A62,$A62,$J$4:$J62)-SUMIF($A$4:$A62,$A62,$K$4:$K62))</f>
        <v>100000</v>
      </c>
      <c r="M62" s="26" t="str">
        <f aca="false">IF($H62="","",N($H62))</f>
        <v/>
      </c>
      <c r="N62" s="26"/>
      <c r="O62" s="26"/>
      <c r="P62" s="26" t="n">
        <f aca="false">IF($A62="","",SUMIF($A$4:$A62,$A62,$M$4:$M62)-SUMIF($A$4:$A62,$A62,$N$4:$N62)-SUMIF($A$4:$A62,$A62,$O$4:$O62))</f>
        <v>545460</v>
      </c>
      <c r="Q62" s="27"/>
      <c r="R62" s="28"/>
      <c r="S62" s="52" t="n">
        <v>8000</v>
      </c>
      <c r="T62" s="28" t="n">
        <f aca="false">IF($A62="","",SUMIF($A$4:$A62,$A62,$Q$4:$Q62)-SUMIF($A$4:$A62,$A62,$R$4:$R62)-SUMIF($A$4:$A62,$A62,$S$4:$S62))</f>
        <v>-399143</v>
      </c>
      <c r="U62" s="28"/>
      <c r="V62" s="29" t="str">
        <f aca="false">IF(AND($C62="",COUNTA($D62:$H62,$K62,$N62:$O62,$Q62:$S62,$U62)=0),"",IF($C62="","⚠ 没填项目名称",IF($A62="⚠目录里没有","⚠ 项目名称在目录里找不到（先加到目录）",IF($A62="","⚠ 目录里这个项目没填简称",IF(ISTEXT($G62)+ISTEXT($H62)+ISTEXT($K62)+ISTEXT($N62)+ISTEXT($O62)+ISTEXT($Q62)+ISTEXT($R62)+ISTEXT($S62)&gt;0,"⚠ 金额列里有文字，算不进合计",IF(N($G62)&gt;=1,"⚠ 管理费点要填百分比，如 10%",IF(AND($D62&lt;&gt;"",$B62=""),"△ 摘要开头没写日期（如 2026.9.21），月份取不到",IF(AND(N($H62)&lt;&gt;0,COUNTIFS($A$4:$A$1003,$A62,$H$4:$H$1003,$H62,$D$4:$D$1003,LEFT($D62,9)&amp;"*")&gt;1),"△ 同一天同项目有一样的销售金额，看看是不是录重了","✓"))))))))</f>
        <v>✓</v>
      </c>
      <c r="W62" s="8" t="str">
        <f aca="false">IF($A62="","",$A62&amp;"#"&amp;COUNTIF($A$4:$A62,$A62))</f>
        <v>合川表计#23</v>
      </c>
    </row>
    <row r="63" customFormat="false" ht="28.35" hidden="false" customHeight="false" outlineLevel="0" collapsed="false">
      <c r="A63" s="31" t="str">
        <f aca="false">IF($C63="","",IFERROR(VLOOKUP($C63,目录!$B:$C,2,0)&amp;"","⚠目录里没有"))</f>
        <v>合川表计</v>
      </c>
      <c r="B63" s="31" t="str">
        <f aca="false">IF($D63="","",IFERROR(MID($D63,FIND(".",$D63)+1,FIND(".",$D63,FIND(".",$D63)+1)-FIND(".",$D63)-1)&amp;"月",""))</f>
        <v>8月</v>
      </c>
      <c r="C63" s="32" t="s">
        <v>18</v>
      </c>
      <c r="D63" s="33" t="s">
        <v>113</v>
      </c>
      <c r="E63" s="35"/>
      <c r="F63" s="35"/>
      <c r="G63" s="36"/>
      <c r="H63" s="24"/>
      <c r="I63" s="24" t="str">
        <f aca="false">IF($H63="","",N($H63)*N($G63))</f>
        <v/>
      </c>
      <c r="J63" s="25" t="str">
        <f aca="false">IF($H63="","",N($H63)-N($I63))</f>
        <v/>
      </c>
      <c r="K63" s="25"/>
      <c r="L63" s="25" t="n">
        <f aca="false">IF($A63="","",SUMIF($A$4:$A63,$A63,$J$4:$J63)-SUMIF($A$4:$A63,$A63,$K$4:$K63))</f>
        <v>100000</v>
      </c>
      <c r="M63" s="26" t="str">
        <f aca="false">IF($H63="","",N($H63))</f>
        <v/>
      </c>
      <c r="N63" s="26"/>
      <c r="O63" s="26"/>
      <c r="P63" s="26" t="n">
        <f aca="false">IF($A63="","",SUMIF($A$4:$A63,$A63,$M$4:$M63)-SUMIF($A$4:$A63,$A63,$N$4:$N63)-SUMIF($A$4:$A63,$A63,$O$4:$O63))</f>
        <v>545460</v>
      </c>
      <c r="Q63" s="27"/>
      <c r="R63" s="28"/>
      <c r="S63" s="52" t="n">
        <v>6000</v>
      </c>
      <c r="T63" s="28" t="n">
        <f aca="false">IF($A63="","",SUMIF($A$4:$A63,$A63,$Q$4:$Q63)-SUMIF($A$4:$A63,$A63,$R$4:$R63)-SUMIF($A$4:$A63,$A63,$S$4:$S63))</f>
        <v>-405143</v>
      </c>
      <c r="U63" s="28"/>
      <c r="V63" s="29" t="str">
        <f aca="false">IF(AND($C63="",COUNTA($D63:$H63,$K63,$N63:$O63,$Q63:$S63,$U63)=0),"",IF($C63="","⚠ 没填项目名称",IF($A63="⚠目录里没有","⚠ 项目名称在目录里找不到（先加到目录）",IF($A63="","⚠ 目录里这个项目没填简称",IF(ISTEXT($G63)+ISTEXT($H63)+ISTEXT($K63)+ISTEXT($N63)+ISTEXT($O63)+ISTEXT($Q63)+ISTEXT($R63)+ISTEXT($S63)&gt;0,"⚠ 金额列里有文字，算不进合计",IF(N($G63)&gt;=1,"⚠ 管理费点要填百分比，如 10%",IF(AND($D63&lt;&gt;"",$B63=""),"△ 摘要开头没写日期（如 2026.9.21），月份取不到",IF(AND(N($H63)&lt;&gt;0,COUNTIFS($A$4:$A$1003,$A63,$H$4:$H$1003,$H63,$D$4:$D$1003,LEFT($D63,9)&amp;"*")&gt;1),"△ 同一天同项目有一样的销售金额，看看是不是录重了","✓"))))))))</f>
        <v>✓</v>
      </c>
      <c r="W63" s="8" t="str">
        <f aca="false">IF($A63="","",$A63&amp;"#"&amp;COUNTIF($A$4:$A63,$A63))</f>
        <v>合川表计#24</v>
      </c>
    </row>
    <row r="64" customFormat="false" ht="28.35" hidden="false" customHeight="false" outlineLevel="0" collapsed="false">
      <c r="A64" s="31" t="str">
        <f aca="false">IF($C64="","",IFERROR(VLOOKUP($C64,目录!$B:$C,2,0)&amp;"","⚠目录里没有"))</f>
        <v>合川表计</v>
      </c>
      <c r="B64" s="31" t="str">
        <f aca="false">IF($D64="","",IFERROR(MID($D64,FIND(".",$D64)+1,FIND(".",$D64,FIND(".",$D64)+1)-FIND(".",$D64)-1)&amp;"月",""))</f>
        <v>8月</v>
      </c>
      <c r="C64" s="32" t="s">
        <v>18</v>
      </c>
      <c r="D64" s="33" t="s">
        <v>114</v>
      </c>
      <c r="E64" s="35"/>
      <c r="F64" s="35"/>
      <c r="G64" s="36"/>
      <c r="H64" s="24"/>
      <c r="I64" s="24" t="str">
        <f aca="false">IF($H64="","",N($H64)*N($G64))</f>
        <v/>
      </c>
      <c r="J64" s="25" t="str">
        <f aca="false">IF($H64="","",N($H64)-N($I64))</f>
        <v/>
      </c>
      <c r="K64" s="25"/>
      <c r="L64" s="25" t="n">
        <f aca="false">IF($A64="","",SUMIF($A$4:$A64,$A64,$J$4:$J64)-SUMIF($A$4:$A64,$A64,$K$4:$K64))</f>
        <v>100000</v>
      </c>
      <c r="M64" s="26" t="str">
        <f aca="false">IF($H64="","",N($H64))</f>
        <v/>
      </c>
      <c r="N64" s="26"/>
      <c r="O64" s="26"/>
      <c r="P64" s="26" t="n">
        <f aca="false">IF($A64="","",SUMIF($A$4:$A64,$A64,$M$4:$M64)-SUMIF($A$4:$A64,$A64,$N$4:$N64)-SUMIF($A$4:$A64,$A64,$O$4:$O64))</f>
        <v>545460</v>
      </c>
      <c r="Q64" s="27"/>
      <c r="R64" s="28"/>
      <c r="S64" s="52" t="n">
        <v>5000</v>
      </c>
      <c r="T64" s="28" t="n">
        <f aca="false">IF($A64="","",SUMIF($A$4:$A64,$A64,$Q$4:$Q64)-SUMIF($A$4:$A64,$A64,$R$4:$R64)-SUMIF($A$4:$A64,$A64,$S$4:$S64))</f>
        <v>-410143</v>
      </c>
      <c r="U64" s="28"/>
      <c r="V64" s="29" t="str">
        <f aca="false">IF(AND($C64="",COUNTA($D64:$H64,$K64,$N64:$O64,$Q64:$S64,$U64)=0),"",IF($C64="","⚠ 没填项目名称",IF($A64="⚠目录里没有","⚠ 项目名称在目录里找不到（先加到目录）",IF($A64="","⚠ 目录里这个项目没填简称",IF(ISTEXT($G64)+ISTEXT($H64)+ISTEXT($K64)+ISTEXT($N64)+ISTEXT($O64)+ISTEXT($Q64)+ISTEXT($R64)+ISTEXT($S64)&gt;0,"⚠ 金额列里有文字，算不进合计",IF(N($G64)&gt;=1,"⚠ 管理费点要填百分比，如 10%",IF(AND($D64&lt;&gt;"",$B64=""),"△ 摘要开头没写日期（如 2026.9.21），月份取不到",IF(AND(N($H64)&lt;&gt;0,COUNTIFS($A$4:$A$1003,$A64,$H$4:$H$1003,$H64,$D$4:$D$1003,LEFT($D64,9)&amp;"*")&gt;1),"△ 同一天同项目有一样的销售金额，看看是不是录重了","✓"))))))))</f>
        <v>✓</v>
      </c>
      <c r="W64" s="8" t="str">
        <f aca="false">IF($A64="","",$A64&amp;"#"&amp;COUNTIF($A$4:$A64,$A64))</f>
        <v>合川表计#25</v>
      </c>
    </row>
    <row r="65" customFormat="false" ht="28.35" hidden="false" customHeight="false" outlineLevel="0" collapsed="false">
      <c r="A65" s="31" t="str">
        <f aca="false">IF($C65="","",IFERROR(VLOOKUP($C65,目录!$B:$C,2,0)&amp;"","⚠目录里没有"))</f>
        <v>合川表计</v>
      </c>
      <c r="B65" s="31" t="str">
        <f aca="false">IF($D65="","",IFERROR(MID($D65,FIND(".",$D65)+1,FIND(".",$D65,FIND(".",$D65)+1)-FIND(".",$D65)-1)&amp;"月",""))</f>
        <v>8月</v>
      </c>
      <c r="C65" s="32" t="s">
        <v>18</v>
      </c>
      <c r="D65" s="33" t="s">
        <v>115</v>
      </c>
      <c r="E65" s="35"/>
      <c r="F65" s="35"/>
      <c r="G65" s="36"/>
      <c r="H65" s="24"/>
      <c r="I65" s="24" t="str">
        <f aca="false">IF($H65="","",N($H65)*N($G65))</f>
        <v/>
      </c>
      <c r="J65" s="25" t="str">
        <f aca="false">IF($H65="","",N($H65)-N($I65))</f>
        <v/>
      </c>
      <c r="K65" s="25"/>
      <c r="L65" s="25" t="n">
        <f aca="false">IF($A65="","",SUMIF($A$4:$A65,$A65,$J$4:$J65)-SUMIF($A$4:$A65,$A65,$K$4:$K65))</f>
        <v>100000</v>
      </c>
      <c r="M65" s="26" t="str">
        <f aca="false">IF($H65="","",N($H65))</f>
        <v/>
      </c>
      <c r="N65" s="26"/>
      <c r="O65" s="26"/>
      <c r="P65" s="26" t="n">
        <f aca="false">IF($A65="","",SUMIF($A$4:$A65,$A65,$M$4:$M65)-SUMIF($A$4:$A65,$A65,$N$4:$N65)-SUMIF($A$4:$A65,$A65,$O$4:$O65))</f>
        <v>545460</v>
      </c>
      <c r="Q65" s="27"/>
      <c r="R65" s="28"/>
      <c r="S65" s="52" t="n">
        <v>1000</v>
      </c>
      <c r="T65" s="28" t="n">
        <f aca="false">IF($A65="","",SUMIF($A$4:$A65,$A65,$Q$4:$Q65)-SUMIF($A$4:$A65,$A65,$R$4:$R65)-SUMIF($A$4:$A65,$A65,$S$4:$S65))</f>
        <v>-411143</v>
      </c>
      <c r="U65" s="28"/>
      <c r="V65" s="29" t="str">
        <f aca="false">IF(AND($C65="",COUNTA($D65:$H65,$K65,$N65:$O65,$Q65:$S65,$U65)=0),"",IF($C65="","⚠ 没填项目名称",IF($A65="⚠目录里没有","⚠ 项目名称在目录里找不到（先加到目录）",IF($A65="","⚠ 目录里这个项目没填简称",IF(ISTEXT($G65)+ISTEXT($H65)+ISTEXT($K65)+ISTEXT($N65)+ISTEXT($O65)+ISTEXT($Q65)+ISTEXT($R65)+ISTEXT($S65)&gt;0,"⚠ 金额列里有文字，算不进合计",IF(N($G65)&gt;=1,"⚠ 管理费点要填百分比，如 10%",IF(AND($D65&lt;&gt;"",$B65=""),"△ 摘要开头没写日期（如 2026.9.21），月份取不到",IF(AND(N($H65)&lt;&gt;0,COUNTIFS($A$4:$A$1003,$A65,$H$4:$H$1003,$H65,$D$4:$D$1003,LEFT($D65,9)&amp;"*")&gt;1),"△ 同一天同项目有一样的销售金额，看看是不是录重了","✓"))))))))</f>
        <v>✓</v>
      </c>
      <c r="W65" s="8" t="str">
        <f aca="false">IF($A65="","",$A65&amp;"#"&amp;COUNTIF($A$4:$A65,$A65))</f>
        <v>合川表计#26</v>
      </c>
    </row>
    <row r="66" customFormat="false" ht="28.35" hidden="false" customHeight="false" outlineLevel="0" collapsed="false">
      <c r="A66" s="31" t="str">
        <f aca="false">IF($C66="","",IFERROR(VLOOKUP($C66,目录!$B:$C,2,0)&amp;"","⚠目录里没有"))</f>
        <v>合川表计</v>
      </c>
      <c r="B66" s="31" t="str">
        <f aca="false">IF($D66="","",IFERROR(MID($D66,FIND(".",$D66)+1,FIND(".",$D66,FIND(".",$D66)+1)-FIND(".",$D66)-1)&amp;"月",""))</f>
        <v>8月</v>
      </c>
      <c r="C66" s="32" t="s">
        <v>18</v>
      </c>
      <c r="D66" s="33" t="s">
        <v>116</v>
      </c>
      <c r="E66" s="35"/>
      <c r="F66" s="35"/>
      <c r="G66" s="36"/>
      <c r="H66" s="24"/>
      <c r="I66" s="24" t="str">
        <f aca="false">IF($H66="","",N($H66)*N($G66))</f>
        <v/>
      </c>
      <c r="J66" s="25" t="str">
        <f aca="false">IF($H66="","",N($H66)-N($I66))</f>
        <v/>
      </c>
      <c r="K66" s="25"/>
      <c r="L66" s="25" t="n">
        <f aca="false">IF($A66="","",SUMIF($A$4:$A66,$A66,$J$4:$J66)-SUMIF($A$4:$A66,$A66,$K$4:$K66))</f>
        <v>100000</v>
      </c>
      <c r="M66" s="26" t="str">
        <f aca="false">IF($H66="","",N($H66))</f>
        <v/>
      </c>
      <c r="N66" s="26"/>
      <c r="O66" s="26"/>
      <c r="P66" s="26" t="n">
        <f aca="false">IF($A66="","",SUMIF($A$4:$A66,$A66,$M$4:$M66)-SUMIF($A$4:$A66,$A66,$N$4:$N66)-SUMIF($A$4:$A66,$A66,$O$4:$O66))</f>
        <v>545460</v>
      </c>
      <c r="Q66" s="27"/>
      <c r="R66" s="28"/>
      <c r="S66" s="52" t="n">
        <v>65000</v>
      </c>
      <c r="T66" s="28" t="n">
        <f aca="false">IF($A66="","",SUMIF($A$4:$A66,$A66,$Q$4:$Q66)-SUMIF($A$4:$A66,$A66,$R$4:$R66)-SUMIF($A$4:$A66,$A66,$S$4:$S66))</f>
        <v>-476143</v>
      </c>
      <c r="U66" s="28"/>
      <c r="V66" s="29" t="str">
        <f aca="false">IF(AND($C66="",COUNTA($D66:$H66,$K66,$N66:$O66,$Q66:$S66,$U66)=0),"",IF($C66="","⚠ 没填项目名称",IF($A66="⚠目录里没有","⚠ 项目名称在目录里找不到（先加到目录）",IF($A66="","⚠ 目录里这个项目没填简称",IF(ISTEXT($G66)+ISTEXT($H66)+ISTEXT($K66)+ISTEXT($N66)+ISTEXT($O66)+ISTEXT($Q66)+ISTEXT($R66)+ISTEXT($S66)&gt;0,"⚠ 金额列里有文字，算不进合计",IF(N($G66)&gt;=1,"⚠ 管理费点要填百分比，如 10%",IF(AND($D66&lt;&gt;"",$B66=""),"△ 摘要开头没写日期（如 2026.9.21），月份取不到",IF(AND(N($H66)&lt;&gt;0,COUNTIFS($A$4:$A$1003,$A66,$H$4:$H$1003,$H66,$D$4:$D$1003,LEFT($D66,9)&amp;"*")&gt;1),"△ 同一天同项目有一样的销售金额，看看是不是录重了","✓"))))))))</f>
        <v>✓</v>
      </c>
      <c r="W66" s="8" t="str">
        <f aca="false">IF($A66="","",$A66&amp;"#"&amp;COUNTIF($A$4:$A66,$A66))</f>
        <v>合川表计#27</v>
      </c>
    </row>
    <row r="67" customFormat="false" ht="28.35" hidden="false" customHeight="false" outlineLevel="0" collapsed="false">
      <c r="A67" s="31" t="str">
        <f aca="false">IF($C67="","",IFERROR(VLOOKUP($C67,目录!$B:$C,2,0)&amp;"","⚠目录里没有"))</f>
        <v>合川表计</v>
      </c>
      <c r="B67" s="31" t="str">
        <f aca="false">IF($D67="","",IFERROR(MID($D67,FIND(".",$D67)+1,FIND(".",$D67,FIND(".",$D67)+1)-FIND(".",$D67)-1)&amp;"月",""))</f>
        <v>6月</v>
      </c>
      <c r="C67" s="32" t="s">
        <v>18</v>
      </c>
      <c r="D67" s="33" t="s">
        <v>117</v>
      </c>
      <c r="E67" s="35"/>
      <c r="F67" s="35"/>
      <c r="G67" s="36"/>
      <c r="H67" s="24"/>
      <c r="I67" s="24" t="str">
        <f aca="false">IF($H67="","",N($H67)*N($G67))</f>
        <v/>
      </c>
      <c r="J67" s="25" t="str">
        <f aca="false">IF($H67="","",N($H67)-N($I67))</f>
        <v/>
      </c>
      <c r="K67" s="25"/>
      <c r="L67" s="25" t="n">
        <f aca="false">IF($A67="","",SUMIF($A$4:$A67,$A67,$J$4:$J67)-SUMIF($A$4:$A67,$A67,$K$4:$K67))</f>
        <v>100000</v>
      </c>
      <c r="M67" s="26" t="str">
        <f aca="false">IF($H67="","",N($H67))</f>
        <v/>
      </c>
      <c r="N67" s="26"/>
      <c r="O67" s="26"/>
      <c r="P67" s="26" t="n">
        <f aca="false">IF($A67="","",SUMIF($A$4:$A67,$A67,$M$4:$M67)-SUMIF($A$4:$A67,$A67,$N$4:$N67)-SUMIF($A$4:$A67,$A67,$O$4:$O67))</f>
        <v>545460</v>
      </c>
      <c r="Q67" s="27"/>
      <c r="R67" s="28"/>
      <c r="S67" s="52" t="n">
        <v>5000</v>
      </c>
      <c r="T67" s="28" t="n">
        <f aca="false">IF($A67="","",SUMIF($A$4:$A67,$A67,$Q$4:$Q67)-SUMIF($A$4:$A67,$A67,$R$4:$R67)-SUMIF($A$4:$A67,$A67,$S$4:$S67))</f>
        <v>-481143</v>
      </c>
      <c r="U67" s="28"/>
      <c r="V67" s="29" t="str">
        <f aca="false">IF(AND($C67="",COUNTA($D67:$H67,$K67,$N67:$O67,$Q67:$S67,$U67)=0),"",IF($C67="","⚠ 没填项目名称",IF($A67="⚠目录里没有","⚠ 项目名称在目录里找不到（先加到目录）",IF($A67="","⚠ 目录里这个项目没填简称",IF(ISTEXT($G67)+ISTEXT($H67)+ISTEXT($K67)+ISTEXT($N67)+ISTEXT($O67)+ISTEXT($Q67)+ISTEXT($R67)+ISTEXT($S67)&gt;0,"⚠ 金额列里有文字，算不进合计",IF(N($G67)&gt;=1,"⚠ 管理费点要填百分比，如 10%",IF(AND($D67&lt;&gt;"",$B67=""),"△ 摘要开头没写日期（如 2026.9.21），月份取不到",IF(AND(N($H67)&lt;&gt;0,COUNTIFS($A$4:$A$1003,$A67,$H$4:$H$1003,$H67,$D$4:$D$1003,LEFT($D67,9)&amp;"*")&gt;1),"△ 同一天同项目有一样的销售金额，看看是不是录重了","✓"))))))))</f>
        <v>✓</v>
      </c>
      <c r="W67" s="8" t="str">
        <f aca="false">IF($A67="","",$A67&amp;"#"&amp;COUNTIF($A$4:$A67,$A67))</f>
        <v>合川表计#28</v>
      </c>
    </row>
    <row r="68" customFormat="false" ht="28.35" hidden="false" customHeight="false" outlineLevel="0" collapsed="false">
      <c r="A68" s="31" t="str">
        <f aca="false">IF($C68="","",IFERROR(VLOOKUP($C68,目录!$B:$C,2,0)&amp;"","⚠目录里没有"))</f>
        <v>合川表计</v>
      </c>
      <c r="B68" s="31" t="str">
        <f aca="false">IF($D68="","",IFERROR(MID($D68,FIND(".",$D68)+1,FIND(".",$D68,FIND(".",$D68)+1)-FIND(".",$D68)-1)&amp;"月",""))</f>
        <v>7月</v>
      </c>
      <c r="C68" s="32" t="s">
        <v>18</v>
      </c>
      <c r="D68" s="33" t="s">
        <v>118</v>
      </c>
      <c r="E68" s="35"/>
      <c r="F68" s="35"/>
      <c r="G68" s="36"/>
      <c r="H68" s="24"/>
      <c r="I68" s="24" t="str">
        <f aca="false">IF($H68="","",N($H68)*N($G68))</f>
        <v/>
      </c>
      <c r="J68" s="25" t="str">
        <f aca="false">IF($H68="","",N($H68)-N($I68))</f>
        <v/>
      </c>
      <c r="K68" s="25"/>
      <c r="L68" s="25" t="n">
        <f aca="false">IF($A68="","",SUMIF($A$4:$A68,$A68,$J$4:$J68)-SUMIF($A$4:$A68,$A68,$K$4:$K68))</f>
        <v>100000</v>
      </c>
      <c r="M68" s="26" t="str">
        <f aca="false">IF($H68="","",N($H68))</f>
        <v/>
      </c>
      <c r="N68" s="26"/>
      <c r="O68" s="26"/>
      <c r="P68" s="26" t="n">
        <f aca="false">IF($A68="","",SUMIF($A$4:$A68,$A68,$M$4:$M68)-SUMIF($A$4:$A68,$A68,$N$4:$N68)-SUMIF($A$4:$A68,$A68,$O$4:$O68))</f>
        <v>545460</v>
      </c>
      <c r="Q68" s="27"/>
      <c r="R68" s="28"/>
      <c r="S68" s="52" t="n">
        <v>5000</v>
      </c>
      <c r="T68" s="28" t="n">
        <f aca="false">IF($A68="","",SUMIF($A$4:$A68,$A68,$Q$4:$Q68)-SUMIF($A$4:$A68,$A68,$R$4:$R68)-SUMIF($A$4:$A68,$A68,$S$4:$S68))</f>
        <v>-486143</v>
      </c>
      <c r="U68" s="28"/>
      <c r="V68" s="29" t="str">
        <f aca="false">IF(AND($C68="",COUNTA($D68:$H68,$K68,$N68:$O68,$Q68:$S68,$U68)=0),"",IF($C68="","⚠ 没填项目名称",IF($A68="⚠目录里没有","⚠ 项目名称在目录里找不到（先加到目录）",IF($A68="","⚠ 目录里这个项目没填简称",IF(ISTEXT($G68)+ISTEXT($H68)+ISTEXT($K68)+ISTEXT($N68)+ISTEXT($O68)+ISTEXT($Q68)+ISTEXT($R68)+ISTEXT($S68)&gt;0,"⚠ 金额列里有文字，算不进合计",IF(N($G68)&gt;=1,"⚠ 管理费点要填百分比，如 10%",IF(AND($D68&lt;&gt;"",$B68=""),"△ 摘要开头没写日期（如 2026.9.21），月份取不到",IF(AND(N($H68)&lt;&gt;0,COUNTIFS($A$4:$A$1003,$A68,$H$4:$H$1003,$H68,$D$4:$D$1003,LEFT($D68,9)&amp;"*")&gt;1),"△ 同一天同项目有一样的销售金额，看看是不是录重了","✓"))))))))</f>
        <v>✓</v>
      </c>
      <c r="W68" s="8" t="str">
        <f aca="false">IF($A68="","",$A68&amp;"#"&amp;COUNTIF($A$4:$A68,$A68))</f>
        <v>合川表计#29</v>
      </c>
    </row>
    <row r="69" customFormat="false" ht="28.35" hidden="false" customHeight="false" outlineLevel="0" collapsed="false">
      <c r="A69" s="31" t="str">
        <f aca="false">IF($C69="","",IFERROR(VLOOKUP($C69,目录!$B:$C,2,0)&amp;"","⚠目录里没有"))</f>
        <v>合川表计</v>
      </c>
      <c r="B69" s="31" t="str">
        <f aca="false">IF($D69="","",IFERROR(MID($D69,FIND(".",$D69)+1,FIND(".",$D69,FIND(".",$D69)+1)-FIND(".",$D69)-1)&amp;"月",""))</f>
        <v>7月</v>
      </c>
      <c r="C69" s="32" t="s">
        <v>18</v>
      </c>
      <c r="D69" s="33" t="s">
        <v>119</v>
      </c>
      <c r="E69" s="35"/>
      <c r="F69" s="35"/>
      <c r="G69" s="36"/>
      <c r="H69" s="24"/>
      <c r="I69" s="24" t="str">
        <f aca="false">IF($H69="","",N($H69)*N($G69))</f>
        <v/>
      </c>
      <c r="J69" s="25" t="str">
        <f aca="false">IF($H69="","",N($H69)-N($I69))</f>
        <v/>
      </c>
      <c r="K69" s="25"/>
      <c r="L69" s="25" t="n">
        <f aca="false">IF($A69="","",SUMIF($A$4:$A69,$A69,$J$4:$J69)-SUMIF($A$4:$A69,$A69,$K$4:$K69))</f>
        <v>100000</v>
      </c>
      <c r="M69" s="26" t="str">
        <f aca="false">IF($H69="","",N($H69))</f>
        <v/>
      </c>
      <c r="N69" s="26"/>
      <c r="O69" s="26"/>
      <c r="P69" s="26" t="n">
        <f aca="false">IF($A69="","",SUMIF($A$4:$A69,$A69,$M$4:$M69)-SUMIF($A$4:$A69,$A69,$N$4:$N69)-SUMIF($A$4:$A69,$A69,$O$4:$O69))</f>
        <v>545460</v>
      </c>
      <c r="Q69" s="27"/>
      <c r="R69" s="28"/>
      <c r="S69" s="52" t="n">
        <v>5000</v>
      </c>
      <c r="T69" s="28" t="n">
        <f aca="false">IF($A69="","",SUMIF($A$4:$A69,$A69,$Q$4:$Q69)-SUMIF($A$4:$A69,$A69,$R$4:$R69)-SUMIF($A$4:$A69,$A69,$S$4:$S69))</f>
        <v>-491143</v>
      </c>
      <c r="U69" s="28"/>
      <c r="V69" s="29" t="str">
        <f aca="false">IF(AND($C69="",COUNTA($D69:$H69,$K69,$N69:$O69,$Q69:$S69,$U69)=0),"",IF($C69="","⚠ 没填项目名称",IF($A69="⚠目录里没有","⚠ 项目名称在目录里找不到（先加到目录）",IF($A69="","⚠ 目录里这个项目没填简称",IF(ISTEXT($G69)+ISTEXT($H69)+ISTEXT($K69)+ISTEXT($N69)+ISTEXT($O69)+ISTEXT($Q69)+ISTEXT($R69)+ISTEXT($S69)&gt;0,"⚠ 金额列里有文字，算不进合计",IF(N($G69)&gt;=1,"⚠ 管理费点要填百分比，如 10%",IF(AND($D69&lt;&gt;"",$B69=""),"△ 摘要开头没写日期（如 2026.9.21），月份取不到",IF(AND(N($H69)&lt;&gt;0,COUNTIFS($A$4:$A$1003,$A69,$H$4:$H$1003,$H69,$D$4:$D$1003,LEFT($D69,9)&amp;"*")&gt;1),"△ 同一天同项目有一样的销售金额，看看是不是录重了","✓"))))))))</f>
        <v>✓</v>
      </c>
      <c r="W69" s="8" t="str">
        <f aca="false">IF($A69="","",$A69&amp;"#"&amp;COUNTIF($A$4:$A69,$A69))</f>
        <v>合川表计#30</v>
      </c>
    </row>
    <row r="70" customFormat="false" ht="28.35" hidden="false" customHeight="false" outlineLevel="0" collapsed="false">
      <c r="A70" s="31" t="str">
        <f aca="false">IF($C70="","",IFERROR(VLOOKUP($C70,目录!$B:$C,2,0)&amp;"","⚠目录里没有"))</f>
        <v>合川表计</v>
      </c>
      <c r="B70" s="31" t="str">
        <f aca="false">IF($D70="","",IFERROR(MID($D70,FIND(".",$D70)+1,FIND(".",$D70,FIND(".",$D70)+1)-FIND(".",$D70)-1)&amp;"月",""))</f>
        <v>8月</v>
      </c>
      <c r="C70" s="32" t="s">
        <v>18</v>
      </c>
      <c r="D70" s="33" t="s">
        <v>120</v>
      </c>
      <c r="E70" s="35"/>
      <c r="F70" s="35"/>
      <c r="G70" s="36"/>
      <c r="H70" s="24"/>
      <c r="I70" s="24" t="str">
        <f aca="false">IF($H70="","",N($H70)*N($G70))</f>
        <v/>
      </c>
      <c r="J70" s="25" t="str">
        <f aca="false">IF($H70="","",N($H70)-N($I70))</f>
        <v/>
      </c>
      <c r="K70" s="25"/>
      <c r="L70" s="25" t="n">
        <f aca="false">IF($A70="","",SUMIF($A$4:$A70,$A70,$J$4:$J70)-SUMIF($A$4:$A70,$A70,$K$4:$K70))</f>
        <v>100000</v>
      </c>
      <c r="M70" s="26" t="str">
        <f aca="false">IF($H70="","",N($H70))</f>
        <v/>
      </c>
      <c r="N70" s="26"/>
      <c r="O70" s="26"/>
      <c r="P70" s="26" t="n">
        <f aca="false">IF($A70="","",SUMIF($A$4:$A70,$A70,$M$4:$M70)-SUMIF($A$4:$A70,$A70,$N$4:$N70)-SUMIF($A$4:$A70,$A70,$O$4:$O70))</f>
        <v>545460</v>
      </c>
      <c r="Q70" s="27"/>
      <c r="R70" s="28"/>
      <c r="S70" s="52" t="n">
        <v>10000</v>
      </c>
      <c r="T70" s="28" t="n">
        <f aca="false">IF($A70="","",SUMIF($A$4:$A70,$A70,$Q$4:$Q70)-SUMIF($A$4:$A70,$A70,$R$4:$R70)-SUMIF($A$4:$A70,$A70,$S$4:$S70))</f>
        <v>-501143</v>
      </c>
      <c r="U70" s="28"/>
      <c r="V70" s="29" t="str">
        <f aca="false">IF(AND($C70="",COUNTA($D70:$H70,$K70,$N70:$O70,$Q70:$S70,$U70)=0),"",IF($C70="","⚠ 没填项目名称",IF($A70="⚠目录里没有","⚠ 项目名称在目录里找不到（先加到目录）",IF($A70="","⚠ 目录里这个项目没填简称",IF(ISTEXT($G70)+ISTEXT($H70)+ISTEXT($K70)+ISTEXT($N70)+ISTEXT($O70)+ISTEXT($Q70)+ISTEXT($R70)+ISTEXT($S70)&gt;0,"⚠ 金额列里有文字，算不进合计",IF(N($G70)&gt;=1,"⚠ 管理费点要填百分比，如 10%",IF(AND($D70&lt;&gt;"",$B70=""),"△ 摘要开头没写日期（如 2026.9.21），月份取不到",IF(AND(N($H70)&lt;&gt;0,COUNTIFS($A$4:$A$1003,$A70,$H$4:$H$1003,$H70,$D$4:$D$1003,LEFT($D70,9)&amp;"*")&gt;1),"△ 同一天同项目有一样的销售金额，看看是不是录重了","✓"))))))))</f>
        <v>✓</v>
      </c>
      <c r="W70" s="8" t="str">
        <f aca="false">IF($A70="","",$A70&amp;"#"&amp;COUNTIF($A$4:$A70,$A70))</f>
        <v>合川表计#31</v>
      </c>
    </row>
    <row r="71" customFormat="false" ht="28.35" hidden="false" customHeight="false" outlineLevel="0" collapsed="false">
      <c r="A71" s="31" t="str">
        <f aca="false">IF($C71="","",IFERROR(VLOOKUP($C71,目录!$B:$C,2,0)&amp;"","⚠目录里没有"))</f>
        <v>合川表计</v>
      </c>
      <c r="B71" s="31" t="str">
        <f aca="false">IF($D71="","",IFERROR(MID($D71,FIND(".",$D71)+1,FIND(".",$D71,FIND(".",$D71)+1)-FIND(".",$D71)-1)&amp;"月",""))</f>
        <v>8月</v>
      </c>
      <c r="C71" s="32" t="s">
        <v>18</v>
      </c>
      <c r="D71" s="33" t="s">
        <v>121</v>
      </c>
      <c r="E71" s="35"/>
      <c r="F71" s="35"/>
      <c r="G71" s="36"/>
      <c r="H71" s="24"/>
      <c r="I71" s="24" t="str">
        <f aca="false">IF($H71="","",N($H71)*N($G71))</f>
        <v/>
      </c>
      <c r="J71" s="25" t="str">
        <f aca="false">IF($H71="","",N($H71)-N($I71))</f>
        <v/>
      </c>
      <c r="K71" s="25"/>
      <c r="L71" s="25" t="n">
        <f aca="false">IF($A71="","",SUMIF($A$4:$A71,$A71,$J$4:$J71)-SUMIF($A$4:$A71,$A71,$K$4:$K71))</f>
        <v>100000</v>
      </c>
      <c r="M71" s="26" t="str">
        <f aca="false">IF($H71="","",N($H71))</f>
        <v/>
      </c>
      <c r="N71" s="26"/>
      <c r="O71" s="26"/>
      <c r="P71" s="26" t="n">
        <f aca="false">IF($A71="","",SUMIF($A$4:$A71,$A71,$M$4:$M71)-SUMIF($A$4:$A71,$A71,$N$4:$N71)-SUMIF($A$4:$A71,$A71,$O$4:$O71))</f>
        <v>545460</v>
      </c>
      <c r="Q71" s="27"/>
      <c r="R71" s="28"/>
      <c r="S71" s="52" t="n">
        <v>9000</v>
      </c>
      <c r="T71" s="28" t="n">
        <f aca="false">IF($A71="","",SUMIF($A$4:$A71,$A71,$Q$4:$Q71)-SUMIF($A$4:$A71,$A71,$R$4:$R71)-SUMIF($A$4:$A71,$A71,$S$4:$S71))</f>
        <v>-510143</v>
      </c>
      <c r="U71" s="28"/>
      <c r="V71" s="29" t="str">
        <f aca="false">IF(AND($C71="",COUNTA($D71:$H71,$K71,$N71:$O71,$Q71:$S71,$U71)=0),"",IF($C71="","⚠ 没填项目名称",IF($A71="⚠目录里没有","⚠ 项目名称在目录里找不到（先加到目录）",IF($A71="","⚠ 目录里这个项目没填简称",IF(ISTEXT($G71)+ISTEXT($H71)+ISTEXT($K71)+ISTEXT($N71)+ISTEXT($O71)+ISTEXT($Q71)+ISTEXT($R71)+ISTEXT($S71)&gt;0,"⚠ 金额列里有文字，算不进合计",IF(N($G71)&gt;=1,"⚠ 管理费点要填百分比，如 10%",IF(AND($D71&lt;&gt;"",$B71=""),"△ 摘要开头没写日期（如 2026.9.21），月份取不到",IF(AND(N($H71)&lt;&gt;0,COUNTIFS($A$4:$A$1003,$A71,$H$4:$H$1003,$H71,$D$4:$D$1003,LEFT($D71,9)&amp;"*")&gt;1),"△ 同一天同项目有一样的销售金额，看看是不是录重了","✓"))))))))</f>
        <v>✓</v>
      </c>
      <c r="W71" s="8" t="str">
        <f aca="false">IF($A71="","",$A71&amp;"#"&amp;COUNTIF($A$4:$A71,$A71))</f>
        <v>合川表计#32</v>
      </c>
    </row>
    <row r="72" customFormat="false" ht="28.35" hidden="false" customHeight="false" outlineLevel="0" collapsed="false">
      <c r="A72" s="31" t="str">
        <f aca="false">IF($C72="","",IFERROR(VLOOKUP($C72,目录!$B:$C,2,0)&amp;"","⚠目录里没有"))</f>
        <v>合川表计</v>
      </c>
      <c r="B72" s="31" t="str">
        <f aca="false">IF($D72="","",IFERROR(MID($D72,FIND(".",$D72)+1,FIND(".",$D72,FIND(".",$D72)+1)-FIND(".",$D72)-1)&amp;"月",""))</f>
        <v>8月</v>
      </c>
      <c r="C72" s="32" t="s">
        <v>18</v>
      </c>
      <c r="D72" s="33" t="s">
        <v>122</v>
      </c>
      <c r="E72" s="35"/>
      <c r="F72" s="35"/>
      <c r="G72" s="36"/>
      <c r="H72" s="24"/>
      <c r="I72" s="24" t="str">
        <f aca="false">IF($H72="","",N($H72)*N($G72))</f>
        <v/>
      </c>
      <c r="J72" s="25" t="str">
        <f aca="false">IF($H72="","",N($H72)-N($I72))</f>
        <v/>
      </c>
      <c r="K72" s="25"/>
      <c r="L72" s="25" t="n">
        <f aca="false">IF($A72="","",SUMIF($A$4:$A72,$A72,$J$4:$J72)-SUMIF($A$4:$A72,$A72,$K$4:$K72))</f>
        <v>100000</v>
      </c>
      <c r="M72" s="26" t="str">
        <f aca="false">IF($H72="","",N($H72))</f>
        <v/>
      </c>
      <c r="N72" s="26"/>
      <c r="O72" s="26"/>
      <c r="P72" s="26" t="n">
        <f aca="false">IF($A72="","",SUMIF($A$4:$A72,$A72,$M$4:$M72)-SUMIF($A$4:$A72,$A72,$N$4:$N72)-SUMIF($A$4:$A72,$A72,$O$4:$O72))</f>
        <v>545460</v>
      </c>
      <c r="Q72" s="27"/>
      <c r="R72" s="28"/>
      <c r="S72" s="52" t="n">
        <v>6000</v>
      </c>
      <c r="T72" s="28" t="n">
        <f aca="false">IF($A72="","",SUMIF($A$4:$A72,$A72,$Q$4:$Q72)-SUMIF($A$4:$A72,$A72,$R$4:$R72)-SUMIF($A$4:$A72,$A72,$S$4:$S72))</f>
        <v>-516143</v>
      </c>
      <c r="U72" s="28"/>
      <c r="V72" s="29" t="str">
        <f aca="false">IF(AND($C72="",COUNTA($D72:$H72,$K72,$N72:$O72,$Q72:$S72,$U72)=0),"",IF($C72="","⚠ 没填项目名称",IF($A72="⚠目录里没有","⚠ 项目名称在目录里找不到（先加到目录）",IF($A72="","⚠ 目录里这个项目没填简称",IF(ISTEXT($G72)+ISTEXT($H72)+ISTEXT($K72)+ISTEXT($N72)+ISTEXT($O72)+ISTEXT($Q72)+ISTEXT($R72)+ISTEXT($S72)&gt;0,"⚠ 金额列里有文字，算不进合计",IF(N($G72)&gt;=1,"⚠ 管理费点要填百分比，如 10%",IF(AND($D72&lt;&gt;"",$B72=""),"△ 摘要开头没写日期（如 2026.9.21），月份取不到",IF(AND(N($H72)&lt;&gt;0,COUNTIFS($A$4:$A$1003,$A72,$H$4:$H$1003,$H72,$D$4:$D$1003,LEFT($D72,9)&amp;"*")&gt;1),"△ 同一天同项目有一样的销售金额，看看是不是录重了","✓"))))))))</f>
        <v>✓</v>
      </c>
      <c r="W72" s="8" t="str">
        <f aca="false">IF($A72="","",$A72&amp;"#"&amp;COUNTIF($A$4:$A72,$A72))</f>
        <v>合川表计#33</v>
      </c>
    </row>
    <row r="73" customFormat="false" ht="28.35" hidden="false" customHeight="false" outlineLevel="0" collapsed="false">
      <c r="A73" s="31" t="str">
        <f aca="false">IF($C73="","",IFERROR(VLOOKUP($C73,目录!$B:$C,2,0)&amp;"","⚠目录里没有"))</f>
        <v>合川表计</v>
      </c>
      <c r="B73" s="31" t="str">
        <f aca="false">IF($D73="","",IFERROR(MID($D73,FIND(".",$D73)+1,FIND(".",$D73,FIND(".",$D73)+1)-FIND(".",$D73)-1)&amp;"月",""))</f>
        <v>8月</v>
      </c>
      <c r="C73" s="32" t="s">
        <v>18</v>
      </c>
      <c r="D73" s="33" t="s">
        <v>123</v>
      </c>
      <c r="E73" s="35"/>
      <c r="F73" s="35"/>
      <c r="G73" s="36"/>
      <c r="H73" s="24"/>
      <c r="I73" s="24" t="str">
        <f aca="false">IF($H73="","",N($H73)*N($G73))</f>
        <v/>
      </c>
      <c r="J73" s="25" t="str">
        <f aca="false">IF($H73="","",N($H73)-N($I73))</f>
        <v/>
      </c>
      <c r="K73" s="25"/>
      <c r="L73" s="25" t="n">
        <f aca="false">IF($A73="","",SUMIF($A$4:$A73,$A73,$J$4:$J73)-SUMIF($A$4:$A73,$A73,$K$4:$K73))</f>
        <v>100000</v>
      </c>
      <c r="M73" s="26" t="str">
        <f aca="false">IF($H73="","",N($H73))</f>
        <v/>
      </c>
      <c r="N73" s="26"/>
      <c r="O73" s="26"/>
      <c r="P73" s="26" t="n">
        <f aca="false">IF($A73="","",SUMIF($A$4:$A73,$A73,$M$4:$M73)-SUMIF($A$4:$A73,$A73,$N$4:$N73)-SUMIF($A$4:$A73,$A73,$O$4:$O73))</f>
        <v>545460</v>
      </c>
      <c r="Q73" s="27"/>
      <c r="R73" s="28"/>
      <c r="S73" s="52" t="n">
        <v>6000</v>
      </c>
      <c r="T73" s="28" t="n">
        <f aca="false">IF($A73="","",SUMIF($A$4:$A73,$A73,$Q$4:$Q73)-SUMIF($A$4:$A73,$A73,$R$4:$R73)-SUMIF($A$4:$A73,$A73,$S$4:$S73))</f>
        <v>-522143</v>
      </c>
      <c r="U73" s="28"/>
      <c r="V73" s="29" t="str">
        <f aca="false">IF(AND($C73="",COUNTA($D73:$H73,$K73,$N73:$O73,$Q73:$S73,$U73)=0),"",IF($C73="","⚠ 没填项目名称",IF($A73="⚠目录里没有","⚠ 项目名称在目录里找不到（先加到目录）",IF($A73="","⚠ 目录里这个项目没填简称",IF(ISTEXT($G73)+ISTEXT($H73)+ISTEXT($K73)+ISTEXT($N73)+ISTEXT($O73)+ISTEXT($Q73)+ISTEXT($R73)+ISTEXT($S73)&gt;0,"⚠ 金额列里有文字，算不进合计",IF(N($G73)&gt;=1,"⚠ 管理费点要填百分比，如 10%",IF(AND($D73&lt;&gt;"",$B73=""),"△ 摘要开头没写日期（如 2026.9.21），月份取不到",IF(AND(N($H73)&lt;&gt;0,COUNTIFS($A$4:$A$1003,$A73,$H$4:$H$1003,$H73,$D$4:$D$1003,LEFT($D73,9)&amp;"*")&gt;1),"△ 同一天同项目有一样的销售金额，看看是不是录重了","✓"))))))))</f>
        <v>✓</v>
      </c>
      <c r="W73" s="8" t="str">
        <f aca="false">IF($A73="","",$A73&amp;"#"&amp;COUNTIF($A$4:$A73,$A73))</f>
        <v>合川表计#34</v>
      </c>
    </row>
    <row r="74" customFormat="false" ht="28.35" hidden="false" customHeight="false" outlineLevel="0" collapsed="false">
      <c r="A74" s="31" t="str">
        <f aca="false">IF($C74="","",IFERROR(VLOOKUP($C74,目录!$B:$C,2,0)&amp;"","⚠目录里没有"))</f>
        <v>合川表计</v>
      </c>
      <c r="B74" s="31" t="str">
        <f aca="false">IF($D74="","",IFERROR(MID($D74,FIND(".",$D74)+1,FIND(".",$D74,FIND(".",$D74)+1)-FIND(".",$D74)-1)&amp;"月",""))</f>
        <v>8月</v>
      </c>
      <c r="C74" s="32" t="s">
        <v>18</v>
      </c>
      <c r="D74" s="33" t="s">
        <v>124</v>
      </c>
      <c r="E74" s="35"/>
      <c r="F74" s="35"/>
      <c r="G74" s="36"/>
      <c r="H74" s="24"/>
      <c r="I74" s="24" t="str">
        <f aca="false">IF($H74="","",N($H74)*N($G74))</f>
        <v/>
      </c>
      <c r="J74" s="25" t="str">
        <f aca="false">IF($H74="","",N($H74)-N($I74))</f>
        <v/>
      </c>
      <c r="K74" s="25"/>
      <c r="L74" s="25" t="n">
        <f aca="false">IF($A74="","",SUMIF($A$4:$A74,$A74,$J$4:$J74)-SUMIF($A$4:$A74,$A74,$K$4:$K74))</f>
        <v>100000</v>
      </c>
      <c r="M74" s="26" t="str">
        <f aca="false">IF($H74="","",N($H74))</f>
        <v/>
      </c>
      <c r="N74" s="26"/>
      <c r="O74" s="26"/>
      <c r="P74" s="26" t="n">
        <f aca="false">IF($A74="","",SUMIF($A$4:$A74,$A74,$M$4:$M74)-SUMIF($A$4:$A74,$A74,$N$4:$N74)-SUMIF($A$4:$A74,$A74,$O$4:$O74))</f>
        <v>545460</v>
      </c>
      <c r="Q74" s="27"/>
      <c r="R74" s="28"/>
      <c r="S74" s="52" t="n">
        <v>6000</v>
      </c>
      <c r="T74" s="28" t="n">
        <f aca="false">IF($A74="","",SUMIF($A$4:$A74,$A74,$Q$4:$Q74)-SUMIF($A$4:$A74,$A74,$R$4:$R74)-SUMIF($A$4:$A74,$A74,$S$4:$S74))</f>
        <v>-528143</v>
      </c>
      <c r="U74" s="28"/>
      <c r="V74" s="29" t="str">
        <f aca="false">IF(AND($C74="",COUNTA($D74:$H74,$K74,$N74:$O74,$Q74:$S74,$U74)=0),"",IF($C74="","⚠ 没填项目名称",IF($A74="⚠目录里没有","⚠ 项目名称在目录里找不到（先加到目录）",IF($A74="","⚠ 目录里这个项目没填简称",IF(ISTEXT($G74)+ISTEXT($H74)+ISTEXT($K74)+ISTEXT($N74)+ISTEXT($O74)+ISTEXT($Q74)+ISTEXT($R74)+ISTEXT($S74)&gt;0,"⚠ 金额列里有文字，算不进合计",IF(N($G74)&gt;=1,"⚠ 管理费点要填百分比，如 10%",IF(AND($D74&lt;&gt;"",$B74=""),"△ 摘要开头没写日期（如 2026.9.21），月份取不到",IF(AND(N($H74)&lt;&gt;0,COUNTIFS($A$4:$A$1003,$A74,$H$4:$H$1003,$H74,$D$4:$D$1003,LEFT($D74,9)&amp;"*")&gt;1),"△ 同一天同项目有一样的销售金额，看看是不是录重了","✓"))))))))</f>
        <v>✓</v>
      </c>
      <c r="W74" s="8" t="str">
        <f aca="false">IF($A74="","",$A74&amp;"#"&amp;COUNTIF($A$4:$A74,$A74))</f>
        <v>合川表计#35</v>
      </c>
    </row>
    <row r="75" customFormat="false" ht="28.35" hidden="false" customHeight="false" outlineLevel="0" collapsed="false">
      <c r="A75" s="31" t="str">
        <f aca="false">IF($C75="","",IFERROR(VLOOKUP($C75,目录!$B:$C,2,0)&amp;"","⚠目录里没有"))</f>
        <v>合川表计</v>
      </c>
      <c r="B75" s="31" t="str">
        <f aca="false">IF($D75="","",IFERROR(MID($D75,FIND(".",$D75)+1,FIND(".",$D75,FIND(".",$D75)+1)-FIND(".",$D75)-1)&amp;"月",""))</f>
        <v>8月</v>
      </c>
      <c r="C75" s="32" t="s">
        <v>18</v>
      </c>
      <c r="D75" s="33" t="s">
        <v>125</v>
      </c>
      <c r="E75" s="35"/>
      <c r="F75" s="35"/>
      <c r="G75" s="36"/>
      <c r="H75" s="24"/>
      <c r="I75" s="24" t="str">
        <f aca="false">IF($H75="","",N($H75)*N($G75))</f>
        <v/>
      </c>
      <c r="J75" s="25" t="str">
        <f aca="false">IF($H75="","",N($H75)-N($I75))</f>
        <v/>
      </c>
      <c r="K75" s="25"/>
      <c r="L75" s="25" t="n">
        <f aca="false">IF($A75="","",SUMIF($A$4:$A75,$A75,$J$4:$J75)-SUMIF($A$4:$A75,$A75,$K$4:$K75))</f>
        <v>100000</v>
      </c>
      <c r="M75" s="26" t="str">
        <f aca="false">IF($H75="","",N($H75))</f>
        <v/>
      </c>
      <c r="N75" s="26"/>
      <c r="O75" s="26"/>
      <c r="P75" s="26" t="n">
        <f aca="false">IF($A75="","",SUMIF($A$4:$A75,$A75,$M$4:$M75)-SUMIF($A$4:$A75,$A75,$N$4:$N75)-SUMIF($A$4:$A75,$A75,$O$4:$O75))</f>
        <v>545460</v>
      </c>
      <c r="Q75" s="27"/>
      <c r="R75" s="28"/>
      <c r="S75" s="52" t="n">
        <v>8000</v>
      </c>
      <c r="T75" s="28" t="n">
        <f aca="false">IF($A75="","",SUMIF($A$4:$A75,$A75,$Q$4:$Q75)-SUMIF($A$4:$A75,$A75,$R$4:$R75)-SUMIF($A$4:$A75,$A75,$S$4:$S75))</f>
        <v>-536143</v>
      </c>
      <c r="U75" s="28"/>
      <c r="V75" s="29" t="str">
        <f aca="false">IF(AND($C75="",COUNTA($D75:$H75,$K75,$N75:$O75,$Q75:$S75,$U75)=0),"",IF($C75="","⚠ 没填项目名称",IF($A75="⚠目录里没有","⚠ 项目名称在目录里找不到（先加到目录）",IF($A75="","⚠ 目录里这个项目没填简称",IF(ISTEXT($G75)+ISTEXT($H75)+ISTEXT($K75)+ISTEXT($N75)+ISTEXT($O75)+ISTEXT($Q75)+ISTEXT($R75)+ISTEXT($S75)&gt;0,"⚠ 金额列里有文字，算不进合计",IF(N($G75)&gt;=1,"⚠ 管理费点要填百分比，如 10%",IF(AND($D75&lt;&gt;"",$B75=""),"△ 摘要开头没写日期（如 2026.9.21），月份取不到",IF(AND(N($H75)&lt;&gt;0,COUNTIFS($A$4:$A$1003,$A75,$H$4:$H$1003,$H75,$D$4:$D$1003,LEFT($D75,9)&amp;"*")&gt;1),"△ 同一天同项目有一样的销售金额，看看是不是录重了","✓"))))))))</f>
        <v>✓</v>
      </c>
      <c r="W75" s="8" t="str">
        <f aca="false">IF($A75="","",$A75&amp;"#"&amp;COUNTIF($A$4:$A75,$A75))</f>
        <v>合川表计#36</v>
      </c>
    </row>
    <row r="76" customFormat="false" ht="28.35" hidden="false" customHeight="false" outlineLevel="0" collapsed="false">
      <c r="A76" s="31" t="str">
        <f aca="false">IF($C76="","",IFERROR(VLOOKUP($C76,目录!$B:$C,2,0)&amp;"","⚠目录里没有"))</f>
        <v>合川表计</v>
      </c>
      <c r="B76" s="31" t="str">
        <f aca="false">IF($D76="","",IFERROR(MID($D76,FIND(".",$D76)+1,FIND(".",$D76,FIND(".",$D76)+1)-FIND(".",$D76)-1)&amp;"月",""))</f>
        <v>8月</v>
      </c>
      <c r="C76" s="32" t="s">
        <v>18</v>
      </c>
      <c r="D76" s="33" t="s">
        <v>126</v>
      </c>
      <c r="E76" s="35"/>
      <c r="F76" s="35"/>
      <c r="G76" s="36"/>
      <c r="H76" s="24"/>
      <c r="I76" s="24" t="str">
        <f aca="false">IF($H76="","",N($H76)*N($G76))</f>
        <v/>
      </c>
      <c r="J76" s="25" t="str">
        <f aca="false">IF($H76="","",N($H76)-N($I76))</f>
        <v/>
      </c>
      <c r="K76" s="25"/>
      <c r="L76" s="25" t="n">
        <f aca="false">IF($A76="","",SUMIF($A$4:$A76,$A76,$J$4:$J76)-SUMIF($A$4:$A76,$A76,$K$4:$K76))</f>
        <v>100000</v>
      </c>
      <c r="M76" s="26" t="str">
        <f aca="false">IF($H76="","",N($H76))</f>
        <v/>
      </c>
      <c r="N76" s="26"/>
      <c r="O76" s="26"/>
      <c r="P76" s="26" t="n">
        <f aca="false">IF($A76="","",SUMIF($A$4:$A76,$A76,$M$4:$M76)-SUMIF($A$4:$A76,$A76,$N$4:$N76)-SUMIF($A$4:$A76,$A76,$O$4:$O76))</f>
        <v>545460</v>
      </c>
      <c r="Q76" s="27"/>
      <c r="R76" s="28"/>
      <c r="S76" s="52" t="n">
        <v>6000</v>
      </c>
      <c r="T76" s="28" t="n">
        <f aca="false">IF($A76="","",SUMIF($A$4:$A76,$A76,$Q$4:$Q76)-SUMIF($A$4:$A76,$A76,$R$4:$R76)-SUMIF($A$4:$A76,$A76,$S$4:$S76))</f>
        <v>-542143</v>
      </c>
      <c r="U76" s="28"/>
      <c r="V76" s="29" t="str">
        <f aca="false">IF(AND($C76="",COUNTA($D76:$H76,$K76,$N76:$O76,$Q76:$S76,$U76)=0),"",IF($C76="","⚠ 没填项目名称",IF($A76="⚠目录里没有","⚠ 项目名称在目录里找不到（先加到目录）",IF($A76="","⚠ 目录里这个项目没填简称",IF(ISTEXT($G76)+ISTEXT($H76)+ISTEXT($K76)+ISTEXT($N76)+ISTEXT($O76)+ISTEXT($Q76)+ISTEXT($R76)+ISTEXT($S76)&gt;0,"⚠ 金额列里有文字，算不进合计",IF(N($G76)&gt;=1,"⚠ 管理费点要填百分比，如 10%",IF(AND($D76&lt;&gt;"",$B76=""),"△ 摘要开头没写日期（如 2026.9.21），月份取不到",IF(AND(N($H76)&lt;&gt;0,COUNTIFS($A$4:$A$1003,$A76,$H$4:$H$1003,$H76,$D$4:$D$1003,LEFT($D76,9)&amp;"*")&gt;1),"△ 同一天同项目有一样的销售金额，看看是不是录重了","✓"))))))))</f>
        <v>✓</v>
      </c>
      <c r="W76" s="8" t="str">
        <f aca="false">IF($A76="","",$A76&amp;"#"&amp;COUNTIF($A$4:$A76,$A76))</f>
        <v>合川表计#37</v>
      </c>
    </row>
    <row r="77" customFormat="false" ht="28.35" hidden="false" customHeight="false" outlineLevel="0" collapsed="false">
      <c r="A77" s="31" t="str">
        <f aca="false">IF($C77="","",IFERROR(VLOOKUP($C77,目录!$B:$C,2,0)&amp;"","⚠目录里没有"))</f>
        <v>合川表计</v>
      </c>
      <c r="B77" s="31" t="str">
        <f aca="false">IF($D77="","",IFERROR(MID($D77,FIND(".",$D77)+1,FIND(".",$D77,FIND(".",$D77)+1)-FIND(".",$D77)-1)&amp;"月",""))</f>
        <v>8月</v>
      </c>
      <c r="C77" s="32" t="s">
        <v>18</v>
      </c>
      <c r="D77" s="33" t="s">
        <v>127</v>
      </c>
      <c r="E77" s="35"/>
      <c r="F77" s="35"/>
      <c r="G77" s="36"/>
      <c r="H77" s="24"/>
      <c r="I77" s="24" t="str">
        <f aca="false">IF($H77="","",N($H77)*N($G77))</f>
        <v/>
      </c>
      <c r="J77" s="25" t="str">
        <f aca="false">IF($H77="","",N($H77)-N($I77))</f>
        <v/>
      </c>
      <c r="K77" s="25"/>
      <c r="L77" s="25" t="n">
        <f aca="false">IF($A77="","",SUMIF($A$4:$A77,$A77,$J$4:$J77)-SUMIF($A$4:$A77,$A77,$K$4:$K77))</f>
        <v>100000</v>
      </c>
      <c r="M77" s="26" t="str">
        <f aca="false">IF($H77="","",N($H77))</f>
        <v/>
      </c>
      <c r="N77" s="26"/>
      <c r="O77" s="26"/>
      <c r="P77" s="26" t="n">
        <f aca="false">IF($A77="","",SUMIF($A$4:$A77,$A77,$M$4:$M77)-SUMIF($A$4:$A77,$A77,$N$4:$N77)-SUMIF($A$4:$A77,$A77,$O$4:$O77))</f>
        <v>545460</v>
      </c>
      <c r="Q77" s="27"/>
      <c r="R77" s="28"/>
      <c r="S77" s="52" t="n">
        <v>8000</v>
      </c>
      <c r="T77" s="28" t="n">
        <f aca="false">IF($A77="","",SUMIF($A$4:$A77,$A77,$Q$4:$Q77)-SUMIF($A$4:$A77,$A77,$R$4:$R77)-SUMIF($A$4:$A77,$A77,$S$4:$S77))</f>
        <v>-550143</v>
      </c>
      <c r="U77" s="28"/>
      <c r="V77" s="29" t="str">
        <f aca="false">IF(AND($C77="",COUNTA($D77:$H77,$K77,$N77:$O77,$Q77:$S77,$U77)=0),"",IF($C77="","⚠ 没填项目名称",IF($A77="⚠目录里没有","⚠ 项目名称在目录里找不到（先加到目录）",IF($A77="","⚠ 目录里这个项目没填简称",IF(ISTEXT($G77)+ISTEXT($H77)+ISTEXT($K77)+ISTEXT($N77)+ISTEXT($O77)+ISTEXT($Q77)+ISTEXT($R77)+ISTEXT($S77)&gt;0,"⚠ 金额列里有文字，算不进合计",IF(N($G77)&gt;=1,"⚠ 管理费点要填百分比，如 10%",IF(AND($D77&lt;&gt;"",$B77=""),"△ 摘要开头没写日期（如 2026.9.21），月份取不到",IF(AND(N($H77)&lt;&gt;0,COUNTIFS($A$4:$A$1003,$A77,$H$4:$H$1003,$H77,$D$4:$D$1003,LEFT($D77,9)&amp;"*")&gt;1),"△ 同一天同项目有一样的销售金额，看看是不是录重了","✓"))))))))</f>
        <v>✓</v>
      </c>
      <c r="W77" s="8" t="str">
        <f aca="false">IF($A77="","",$A77&amp;"#"&amp;COUNTIF($A$4:$A77,$A77))</f>
        <v>合川表计#38</v>
      </c>
    </row>
    <row r="78" customFormat="false" ht="28.35" hidden="false" customHeight="false" outlineLevel="0" collapsed="false">
      <c r="A78" s="31" t="str">
        <f aca="false">IF($C78="","",IFERROR(VLOOKUP($C78,目录!$B:$C,2,0)&amp;"","⚠目录里没有"))</f>
        <v>合川表计</v>
      </c>
      <c r="B78" s="31" t="str">
        <f aca="false">IF($D78="","",IFERROR(MID($D78,FIND(".",$D78)+1,FIND(".",$D78,FIND(".",$D78)+1)-FIND(".",$D78)-1)&amp;"月",""))</f>
        <v>8月</v>
      </c>
      <c r="C78" s="32" t="s">
        <v>18</v>
      </c>
      <c r="D78" s="33" t="s">
        <v>128</v>
      </c>
      <c r="E78" s="35"/>
      <c r="F78" s="35"/>
      <c r="G78" s="36"/>
      <c r="H78" s="24"/>
      <c r="I78" s="24" t="str">
        <f aca="false">IF($H78="","",N($H78)*N($G78))</f>
        <v/>
      </c>
      <c r="J78" s="25" t="str">
        <f aca="false">IF($H78="","",N($H78)-N($I78))</f>
        <v/>
      </c>
      <c r="K78" s="25"/>
      <c r="L78" s="25" t="n">
        <f aca="false">IF($A78="","",SUMIF($A$4:$A78,$A78,$J$4:$J78)-SUMIF($A$4:$A78,$A78,$K$4:$K78))</f>
        <v>100000</v>
      </c>
      <c r="M78" s="26" t="str">
        <f aca="false">IF($H78="","",N($H78))</f>
        <v/>
      </c>
      <c r="N78" s="26"/>
      <c r="O78" s="26"/>
      <c r="P78" s="26" t="n">
        <f aca="false">IF($A78="","",SUMIF($A$4:$A78,$A78,$M$4:$M78)-SUMIF($A$4:$A78,$A78,$N$4:$N78)-SUMIF($A$4:$A78,$A78,$O$4:$O78))</f>
        <v>545460</v>
      </c>
      <c r="Q78" s="27"/>
      <c r="R78" s="28"/>
      <c r="S78" s="52" t="n">
        <v>4000</v>
      </c>
      <c r="T78" s="28" t="n">
        <f aca="false">IF($A78="","",SUMIF($A$4:$A78,$A78,$Q$4:$Q78)-SUMIF($A$4:$A78,$A78,$R$4:$R78)-SUMIF($A$4:$A78,$A78,$S$4:$S78))</f>
        <v>-554143</v>
      </c>
      <c r="U78" s="28"/>
      <c r="V78" s="29" t="str">
        <f aca="false">IF(AND($C78="",COUNTA($D78:$H78,$K78,$N78:$O78,$Q78:$S78,$U78)=0),"",IF($C78="","⚠ 没填项目名称",IF($A78="⚠目录里没有","⚠ 项目名称在目录里找不到（先加到目录）",IF($A78="","⚠ 目录里这个项目没填简称",IF(ISTEXT($G78)+ISTEXT($H78)+ISTEXT($K78)+ISTEXT($N78)+ISTEXT($O78)+ISTEXT($Q78)+ISTEXT($R78)+ISTEXT($S78)&gt;0,"⚠ 金额列里有文字，算不进合计",IF(N($G78)&gt;=1,"⚠ 管理费点要填百分比，如 10%",IF(AND($D78&lt;&gt;"",$B78=""),"△ 摘要开头没写日期（如 2026.9.21），月份取不到",IF(AND(N($H78)&lt;&gt;0,COUNTIFS($A$4:$A$1003,$A78,$H$4:$H$1003,$H78,$D$4:$D$1003,LEFT($D78,9)&amp;"*")&gt;1),"△ 同一天同项目有一样的销售金额，看看是不是录重了","✓"))))))))</f>
        <v>✓</v>
      </c>
      <c r="W78" s="8" t="str">
        <f aca="false">IF($A78="","",$A78&amp;"#"&amp;COUNTIF($A$4:$A78,$A78))</f>
        <v>合川表计#39</v>
      </c>
    </row>
    <row r="79" customFormat="false" ht="28.35" hidden="false" customHeight="false" outlineLevel="0" collapsed="false">
      <c r="A79" s="31" t="str">
        <f aca="false">IF($C79="","",IFERROR(VLOOKUP($C79,目录!$B:$C,2,0)&amp;"","⚠目录里没有"))</f>
        <v>合川表计</v>
      </c>
      <c r="B79" s="31" t="str">
        <f aca="false">IF($D79="","",IFERROR(MID($D79,FIND(".",$D79)+1,FIND(".",$D79,FIND(".",$D79)+1)-FIND(".",$D79)-1)&amp;"月",""))</f>
        <v>8月</v>
      </c>
      <c r="C79" s="32" t="s">
        <v>18</v>
      </c>
      <c r="D79" s="33" t="s">
        <v>129</v>
      </c>
      <c r="E79" s="35"/>
      <c r="F79" s="35"/>
      <c r="G79" s="36"/>
      <c r="H79" s="24"/>
      <c r="I79" s="24" t="str">
        <f aca="false">IF($H79="","",N($H79)*N($G79))</f>
        <v/>
      </c>
      <c r="J79" s="25" t="str">
        <f aca="false">IF($H79="","",N($H79)-N($I79))</f>
        <v/>
      </c>
      <c r="K79" s="25"/>
      <c r="L79" s="25" t="n">
        <f aca="false">IF($A79="","",SUMIF($A$4:$A79,$A79,$J$4:$J79)-SUMIF($A$4:$A79,$A79,$K$4:$K79))</f>
        <v>100000</v>
      </c>
      <c r="M79" s="26" t="str">
        <f aca="false">IF($H79="","",N($H79))</f>
        <v/>
      </c>
      <c r="N79" s="26"/>
      <c r="O79" s="26"/>
      <c r="P79" s="26" t="n">
        <f aca="false">IF($A79="","",SUMIF($A$4:$A79,$A79,$M$4:$M79)-SUMIF($A$4:$A79,$A79,$N$4:$N79)-SUMIF($A$4:$A79,$A79,$O$4:$O79))</f>
        <v>545460</v>
      </c>
      <c r="Q79" s="27"/>
      <c r="R79" s="28"/>
      <c r="S79" s="52" t="n">
        <v>8000</v>
      </c>
      <c r="T79" s="28" t="n">
        <f aca="false">IF($A79="","",SUMIF($A$4:$A79,$A79,$Q$4:$Q79)-SUMIF($A$4:$A79,$A79,$R$4:$R79)-SUMIF($A$4:$A79,$A79,$S$4:$S79))</f>
        <v>-562143</v>
      </c>
      <c r="U79" s="28"/>
      <c r="V79" s="29" t="str">
        <f aca="false">IF(AND($C79="",COUNTA($D79:$H79,$K79,$N79:$O79,$Q79:$S79,$U79)=0),"",IF($C79="","⚠ 没填项目名称",IF($A79="⚠目录里没有","⚠ 项目名称在目录里找不到（先加到目录）",IF($A79="","⚠ 目录里这个项目没填简称",IF(ISTEXT($G79)+ISTEXT($H79)+ISTEXT($K79)+ISTEXT($N79)+ISTEXT($O79)+ISTEXT($Q79)+ISTEXT($R79)+ISTEXT($S79)&gt;0,"⚠ 金额列里有文字，算不进合计",IF(N($G79)&gt;=1,"⚠ 管理费点要填百分比，如 10%",IF(AND($D79&lt;&gt;"",$B79=""),"△ 摘要开头没写日期（如 2026.9.21），月份取不到",IF(AND(N($H79)&lt;&gt;0,COUNTIFS($A$4:$A$1003,$A79,$H$4:$H$1003,$H79,$D$4:$D$1003,LEFT($D79,9)&amp;"*")&gt;1),"△ 同一天同项目有一样的销售金额，看看是不是录重了","✓"))))))))</f>
        <v>✓</v>
      </c>
      <c r="W79" s="8" t="str">
        <f aca="false">IF($A79="","",$A79&amp;"#"&amp;COUNTIF($A$4:$A79,$A79))</f>
        <v>合川表计#40</v>
      </c>
    </row>
    <row r="80" customFormat="false" ht="28.35" hidden="false" customHeight="false" outlineLevel="0" collapsed="false">
      <c r="A80" s="31" t="str">
        <f aca="false">IF($C80="","",IFERROR(VLOOKUP($C80,目录!$B:$C,2,0)&amp;"","⚠目录里没有"))</f>
        <v>合川表计</v>
      </c>
      <c r="B80" s="31" t="str">
        <f aca="false">IF($D80="","",IFERROR(MID($D80,FIND(".",$D80)+1,FIND(".",$D80,FIND(".",$D80)+1)-FIND(".",$D80)-1)&amp;"月",""))</f>
        <v>8月</v>
      </c>
      <c r="C80" s="32" t="s">
        <v>18</v>
      </c>
      <c r="D80" s="33" t="s">
        <v>130</v>
      </c>
      <c r="E80" s="35"/>
      <c r="F80" s="35"/>
      <c r="G80" s="36"/>
      <c r="H80" s="24"/>
      <c r="I80" s="24" t="str">
        <f aca="false">IF($H80="","",N($H80)*N($G80))</f>
        <v/>
      </c>
      <c r="J80" s="25" t="str">
        <f aca="false">IF($H80="","",N($H80)-N($I80))</f>
        <v/>
      </c>
      <c r="K80" s="25"/>
      <c r="L80" s="25" t="n">
        <f aca="false">IF($A80="","",SUMIF($A$4:$A80,$A80,$J$4:$J80)-SUMIF($A$4:$A80,$A80,$K$4:$K80))</f>
        <v>100000</v>
      </c>
      <c r="M80" s="26" t="str">
        <f aca="false">IF($H80="","",N($H80))</f>
        <v/>
      </c>
      <c r="N80" s="26"/>
      <c r="O80" s="26"/>
      <c r="P80" s="26" t="n">
        <f aca="false">IF($A80="","",SUMIF($A$4:$A80,$A80,$M$4:$M80)-SUMIF($A$4:$A80,$A80,$N$4:$N80)-SUMIF($A$4:$A80,$A80,$O$4:$O80))</f>
        <v>545460</v>
      </c>
      <c r="Q80" s="27"/>
      <c r="R80" s="28"/>
      <c r="S80" s="52" t="n">
        <v>4000</v>
      </c>
      <c r="T80" s="28" t="n">
        <f aca="false">IF($A80="","",SUMIF($A$4:$A80,$A80,$Q$4:$Q80)-SUMIF($A$4:$A80,$A80,$R$4:$R80)-SUMIF($A$4:$A80,$A80,$S$4:$S80))</f>
        <v>-566143</v>
      </c>
      <c r="U80" s="28"/>
      <c r="V80" s="29" t="str">
        <f aca="false">IF(AND($C80="",COUNTA($D80:$H80,$K80,$N80:$O80,$Q80:$S80,$U80)=0),"",IF($C80="","⚠ 没填项目名称",IF($A80="⚠目录里没有","⚠ 项目名称在目录里找不到（先加到目录）",IF($A80="","⚠ 目录里这个项目没填简称",IF(ISTEXT($G80)+ISTEXT($H80)+ISTEXT($K80)+ISTEXT($N80)+ISTEXT($O80)+ISTEXT($Q80)+ISTEXT($R80)+ISTEXT($S80)&gt;0,"⚠ 金额列里有文字，算不进合计",IF(N($G80)&gt;=1,"⚠ 管理费点要填百分比，如 10%",IF(AND($D80&lt;&gt;"",$B80=""),"△ 摘要开头没写日期（如 2026.9.21），月份取不到",IF(AND(N($H80)&lt;&gt;0,COUNTIFS($A$4:$A$1003,$A80,$H$4:$H$1003,$H80,$D$4:$D$1003,LEFT($D80,9)&amp;"*")&gt;1),"△ 同一天同项目有一样的销售金额，看看是不是录重了","✓"))))))))</f>
        <v>✓</v>
      </c>
      <c r="W80" s="8" t="str">
        <f aca="false">IF($A80="","",$A80&amp;"#"&amp;COUNTIF($A$4:$A80,$A80))</f>
        <v>合川表计#41</v>
      </c>
    </row>
    <row r="81" customFormat="false" ht="28.35" hidden="false" customHeight="false" outlineLevel="0" collapsed="false">
      <c r="A81" s="30" t="str">
        <f aca="false">IF($C81="","",IFERROR(VLOOKUP($C81,目录!$B:$C,2,0)&amp;"","⚠目录里没有"))</f>
        <v>合川表计</v>
      </c>
      <c r="B81" s="31" t="str">
        <f aca="false">IF($D81="","",IFERROR(MID($D81,FIND(".",$D81)+1,FIND(".",$D81,FIND(".",$D81)+1)-FIND(".",$D81)-1)&amp;"月",""))</f>
        <v>9月</v>
      </c>
      <c r="C81" s="32" t="s">
        <v>18</v>
      </c>
      <c r="D81" s="33" t="s">
        <v>131</v>
      </c>
      <c r="E81" s="33"/>
      <c r="F81" s="35"/>
      <c r="G81" s="36"/>
      <c r="H81" s="24"/>
      <c r="I81" s="24" t="str">
        <f aca="false">IF($H81="","",N($H81)*N($G81))</f>
        <v/>
      </c>
      <c r="J81" s="25" t="str">
        <f aca="false">IF($H81="","",N($H81)-N($I81))</f>
        <v/>
      </c>
      <c r="K81" s="25"/>
      <c r="L81" s="25" t="n">
        <f aca="false">IF($A81="","",SUMIF($A$4:$A81,$A81,$J$4:$J81)-SUMIF($A$4:$A81,$A81,$K$4:$K81))</f>
        <v>100000</v>
      </c>
      <c r="M81" s="26" t="str">
        <f aca="false">IF($H81="","",N($H81))</f>
        <v/>
      </c>
      <c r="N81" s="26"/>
      <c r="O81" s="26"/>
      <c r="P81" s="26" t="n">
        <f aca="false">IF($A81="","",SUMIF($A$4:$A81,$A81,$M$4:$M81)-SUMIF($A$4:$A81,$A81,$N$4:$N81)-SUMIF($A$4:$A81,$A81,$O$4:$O81))</f>
        <v>545460</v>
      </c>
      <c r="Q81" s="27"/>
      <c r="R81" s="28"/>
      <c r="S81" s="28" t="n">
        <v>10500</v>
      </c>
      <c r="T81" s="28" t="n">
        <f aca="false">IF($A81="","",SUMIF($A$4:$A81,$A81,$Q$4:$Q81)-SUMIF($A$4:$A81,$A81,$R$4:$R81)-SUMIF($A$4:$A81,$A81,$S$4:$S81))</f>
        <v>-576643</v>
      </c>
      <c r="U81" s="28"/>
      <c r="V81" s="29" t="str">
        <f aca="false">IF(AND($C81="",COUNTA($D81:$H81,$K81,$N81:$O81,$Q81:$S81,$U81)=0),"",IF($C81="","⚠ 没填项目名称",IF($A81="⚠目录里没有","⚠ 项目名称在目录里找不到（先加到目录）",IF($A81="","⚠ 目录里这个项目没填简称",IF(ISTEXT($G81)+ISTEXT($H81)+ISTEXT($K81)+ISTEXT($N81)+ISTEXT($O81)+ISTEXT($Q81)+ISTEXT($R81)+ISTEXT($S81)&gt;0,"⚠ 金额列里有文字，算不进合计",IF(N($G81)&gt;=1,"⚠ 管理费点要填百分比，如 10%",IF(AND($D81&lt;&gt;"",$B81=""),"△ 摘要开头没写日期（如 2026.9.21），月份取不到",IF(AND(N($H81)&lt;&gt;0,COUNTIFS($A$4:$A$1003,$A81,$H$4:$H$1003,$H81,$D$4:$D$1003,LEFT($D81,9)&amp;"*")&gt;1),"△ 同一天同项目有一样的销售金额，看看是不是录重了","✓"))))))))</f>
        <v>✓</v>
      </c>
      <c r="W81" s="8" t="str">
        <f aca="false">IF($A81="","",$A81&amp;"#"&amp;COUNTIF($A$4:$A81,$A81))</f>
        <v>合川表计#42</v>
      </c>
    </row>
    <row r="82" s="1" customFormat="true" ht="16.5" hidden="false" customHeight="false" outlineLevel="0" collapsed="false">
      <c r="A82" s="44" t="str">
        <f aca="false">IF($C82="","",IFERROR(VLOOKUP($C82,目录!$B:$C,2,0)&amp;"","⚠目录里没有"))</f>
        <v>蒲吕片区A段</v>
      </c>
      <c r="B82" s="45" t="str">
        <f aca="false">IF($D82="","",IFERROR(MID($D82,FIND(".",$D82)+1,FIND(".",$D82,FIND(".",$D82)+1)-FIND(".",$D82)-1)&amp;"月",""))</f>
        <v>2月</v>
      </c>
      <c r="C82" s="46" t="s">
        <v>20</v>
      </c>
      <c r="D82" s="47" t="s">
        <v>132</v>
      </c>
      <c r="E82" s="46" t="s">
        <v>46</v>
      </c>
      <c r="F82" s="47" t="s">
        <v>133</v>
      </c>
      <c r="G82" s="53" t="n">
        <v>0.15</v>
      </c>
      <c r="H82" s="24" t="n">
        <v>200000</v>
      </c>
      <c r="I82" s="24" t="n">
        <f aca="false">IF($H82="","",N($H82)*N($G82))</f>
        <v>30000</v>
      </c>
      <c r="J82" s="25" t="n">
        <f aca="false">IF($H82="","",N($H82)-N($I82))</f>
        <v>170000</v>
      </c>
      <c r="K82" s="54"/>
      <c r="L82" s="25" t="n">
        <f aca="false">IF($A82="","",SUMIF($A$4:$A82,$A82,$J$4:$J82)-SUMIF($A$4:$A82,$A82,$K$4:$K82))</f>
        <v>170000</v>
      </c>
      <c r="M82" s="26" t="n">
        <f aca="false">IF($H82="","",N($H82))</f>
        <v>200000</v>
      </c>
      <c r="N82" s="55"/>
      <c r="O82" s="55"/>
      <c r="P82" s="26" t="n">
        <f aca="false">IF($A82="","",SUMIF($A$4:$A82,$A82,$M$4:$M82)-SUMIF($A$4:$A82,$A82,$N$4:$N82)-SUMIF($A$4:$A82,$A82,$O$4:$O82))</f>
        <v>200000</v>
      </c>
      <c r="Q82" s="56"/>
      <c r="R82" s="57"/>
      <c r="S82" s="57"/>
      <c r="T82" s="28" t="n">
        <f aca="false">IF($A82="","",SUMIF($A$4:$A82,$A82,$Q$4:$Q82)-SUMIF($A$4:$A82,$A82,$R$4:$R82)-SUMIF($A$4:$A82,$A82,$S$4:$S82))</f>
        <v>0</v>
      </c>
      <c r="U82" s="57"/>
      <c r="V82" s="29" t="str">
        <f aca="false">IF(AND($C82="",COUNTA($D82:$H82,$K82,$N82:$O82,$Q82:$S82,$U82)=0),"",IF($C82="","⚠ 没填项目名称",IF($A82="⚠目录里没有","⚠ 项目名称在目录里找不到（先加到目录）",IF($A82="","⚠ 目录里这个项目没填简称",IF(ISTEXT($G82)+ISTEXT($H82)+ISTEXT($K82)+ISTEXT($N82)+ISTEXT($O82)+ISTEXT($Q82)+ISTEXT($R82)+ISTEXT($S82)&gt;0,"⚠ 金额列里有文字，算不进合计",IF(N($G82)&gt;=1,"⚠ 管理费点要填百分比，如 10%",IF(AND($D82&lt;&gt;"",$B82=""),"△ 摘要开头没写日期（如 2026.9.21），月份取不到",IF(AND(N($H82)&lt;&gt;0,COUNTIFS($A$4:$A$1003,$A82,$H$4:$H$1003,$H82,$D$4:$D$1003,LEFT($D82,9)&amp;"*")&gt;1),"△ 同一天同项目有一样的销售金额，看看是不是录重了","✓"))))))))</f>
        <v>✓</v>
      </c>
      <c r="W82" s="1" t="str">
        <f aca="false">IF($A82="","",$A82&amp;"#"&amp;COUNTIF($A$4:$A82,$A82))</f>
        <v>蒲吕片区A段#1</v>
      </c>
    </row>
    <row r="83" s="1" customFormat="true" ht="16.5" hidden="false" customHeight="false" outlineLevel="0" collapsed="false">
      <c r="A83" s="44" t="str">
        <f aca="false">IF($C83="","",IFERROR(VLOOKUP($C83,目录!$B:$C,2,0)&amp;"","⚠目录里没有"))</f>
        <v>蒲吕片区A段</v>
      </c>
      <c r="B83" s="45" t="str">
        <f aca="false">IF($D83="","",IFERROR(MID($D83,FIND(".",$D83)+1,FIND(".",$D83,FIND(".",$D83)+1)-FIND(".",$D83)-1)&amp;"月",""))</f>
        <v>9月</v>
      </c>
      <c r="C83" s="46" t="s">
        <v>20</v>
      </c>
      <c r="D83" s="47" t="s">
        <v>134</v>
      </c>
      <c r="E83" s="46" t="s">
        <v>46</v>
      </c>
      <c r="F83" s="47" t="s">
        <v>133</v>
      </c>
      <c r="G83" s="53" t="n">
        <v>0.15</v>
      </c>
      <c r="H83" s="24"/>
      <c r="I83" s="24" t="str">
        <f aca="false">IF($H83="","",N($H83)*N($G83))</f>
        <v/>
      </c>
      <c r="J83" s="25" t="str">
        <f aca="false">IF($H83="","",N($H83)-N($I83))</f>
        <v/>
      </c>
      <c r="K83" s="54"/>
      <c r="L83" s="25" t="n">
        <f aca="false">IF($A83="","",SUMIF($A$4:$A83,$A83,$J$4:$J83)-SUMIF($A$4:$A83,$A83,$K$4:$K83))</f>
        <v>170000</v>
      </c>
      <c r="M83" s="26" t="str">
        <f aca="false">IF($H83="","",N($H83))</f>
        <v/>
      </c>
      <c r="N83" s="55"/>
      <c r="O83" s="55" t="n">
        <v>30000</v>
      </c>
      <c r="P83" s="26" t="n">
        <f aca="false">IF($A83="","",SUMIF($A$4:$A83,$A83,$M$4:$M83)-SUMIF($A$4:$A83,$A83,$N$4:$N83)-SUMIF($A$4:$A83,$A83,$O$4:$O83))</f>
        <v>170000</v>
      </c>
      <c r="Q83" s="56"/>
      <c r="R83" s="57"/>
      <c r="S83" s="57"/>
      <c r="T83" s="28" t="n">
        <f aca="false">IF($A83="","",SUMIF($A$4:$A83,$A83,$Q$4:$Q83)-SUMIF($A$4:$A83,$A83,$R$4:$R83)-SUMIF($A$4:$A83,$A83,$S$4:$S83))</f>
        <v>0</v>
      </c>
      <c r="U83" s="57"/>
      <c r="V83" s="29" t="str">
        <f aca="false">IF(AND($C83="",COUNTA($D83:$H83,$K83,$N83:$O83,$Q83:$S83,$U83)=0),"",IF($C83="","⚠ 没填项目名称",IF($A83="⚠目录里没有","⚠ 项目名称在目录里找不到（先加到目录）",IF($A83="","⚠ 目录里这个项目没填简称",IF(ISTEXT($G83)+ISTEXT($H83)+ISTEXT($K83)+ISTEXT($N83)+ISTEXT($O83)+ISTEXT($Q83)+ISTEXT($R83)+ISTEXT($S83)&gt;0,"⚠ 金额列里有文字，算不进合计",IF(N($G83)&gt;=1,"⚠ 管理费点要填百分比，如 10%",IF(AND($D83&lt;&gt;"",$B83=""),"△ 摘要开头没写日期（如 2026.9.21），月份取不到",IF(AND(N($H83)&lt;&gt;0,COUNTIFS($A$4:$A$1003,$A83,$H$4:$H$1003,$H83,$D$4:$D$1003,LEFT($D83,9)&amp;"*")&gt;1),"△ 同一天同项目有一样的销售金额，看看是不是录重了","✓"))))))))</f>
        <v>✓</v>
      </c>
      <c r="W83" s="1" t="str">
        <f aca="false">IF($A83="","",$A83&amp;"#"&amp;COUNTIF($A$4:$A83,$A83))</f>
        <v>蒲吕片区A段#2</v>
      </c>
    </row>
    <row r="84" s="1" customFormat="true" ht="16.5" hidden="false" customHeight="false" outlineLevel="0" collapsed="false">
      <c r="A84" s="44" t="str">
        <f aca="false">IF($C84="","",IFERROR(VLOOKUP($C84,目录!$B:$C,2,0)&amp;"","⚠目录里没有"))</f>
        <v>蒲吕片区A段</v>
      </c>
      <c r="B84" s="45" t="str">
        <f aca="false">IF($D84="","",IFERROR(MID($D84,FIND(".",$D84)+1,FIND(".",$D84,FIND(".",$D84)+1)-FIND(".",$D84)-1)&amp;"月",""))</f>
        <v>9月</v>
      </c>
      <c r="C84" s="46" t="s">
        <v>20</v>
      </c>
      <c r="D84" s="47" t="s">
        <v>135</v>
      </c>
      <c r="E84" s="46" t="s">
        <v>46</v>
      </c>
      <c r="F84" s="47" t="s">
        <v>133</v>
      </c>
      <c r="G84" s="53" t="n">
        <v>0.15</v>
      </c>
      <c r="H84" s="24"/>
      <c r="I84" s="24" t="str">
        <f aca="false">IF($H84="","",N($H84)*N($G84))</f>
        <v/>
      </c>
      <c r="J84" s="25" t="str">
        <f aca="false">IF($H84="","",N($H84)-N($I84))</f>
        <v/>
      </c>
      <c r="K84" s="54" t="n">
        <v>200000</v>
      </c>
      <c r="L84" s="25" t="n">
        <f aca="false">IF($A84="","",SUMIF($A$4:$A84,$A84,$J$4:$J84)-SUMIF($A$4:$A84,$A84,$K$4:$K84))</f>
        <v>-30000</v>
      </c>
      <c r="M84" s="26" t="str">
        <f aca="false">IF($H84="","",N($H84))</f>
        <v/>
      </c>
      <c r="N84" s="55"/>
      <c r="O84" s="55" t="n">
        <v>200000</v>
      </c>
      <c r="P84" s="26" t="n">
        <f aca="false">IF($A84="","",SUMIF($A$4:$A84,$A84,$M$4:$M84)-SUMIF($A$4:$A84,$A84,$N$4:$N84)-SUMIF($A$4:$A84,$A84,$O$4:$O84))</f>
        <v>-30000</v>
      </c>
      <c r="Q84" s="56"/>
      <c r="R84" s="57"/>
      <c r="S84" s="57"/>
      <c r="T84" s="28" t="n">
        <f aca="false">IF($A84="","",SUMIF($A$4:$A84,$A84,$Q$4:$Q84)-SUMIF($A$4:$A84,$A84,$R$4:$R84)-SUMIF($A$4:$A84,$A84,$S$4:$S84))</f>
        <v>0</v>
      </c>
      <c r="U84" s="57"/>
      <c r="V84" s="29" t="str">
        <f aca="false">IF(AND($C84="",COUNTA($D84:$H84,$K84,$N84:$O84,$Q84:$S84,$U84)=0),"",IF($C84="","⚠ 没填项目名称",IF($A84="⚠目录里没有","⚠ 项目名称在目录里找不到（先加到目录）",IF($A84="","⚠ 目录里这个项目没填简称",IF(ISTEXT($G84)+ISTEXT($H84)+ISTEXT($K84)+ISTEXT($N84)+ISTEXT($O84)+ISTEXT($Q84)+ISTEXT($R84)+ISTEXT($S84)&gt;0,"⚠ 金额列里有文字，算不进合计",IF(N($G84)&gt;=1,"⚠ 管理费点要填百分比，如 10%",IF(AND($D84&lt;&gt;"",$B84=""),"△ 摘要开头没写日期（如 2026.9.21），月份取不到",IF(AND(N($H84)&lt;&gt;0,COUNTIFS($A$4:$A$1003,$A84,$H$4:$H$1003,$H84,$D$4:$D$1003,LEFT($D84,9)&amp;"*")&gt;1),"△ 同一天同项目有一样的销售金额，看看是不是录重了","✓"))))))))</f>
        <v>✓</v>
      </c>
      <c r="W84" s="1" t="str">
        <f aca="false">IF($A84="","",$A84&amp;"#"&amp;COUNTIF($A$4:$A84,$A84))</f>
        <v>蒲吕片区A段#3</v>
      </c>
    </row>
    <row r="85" s="1" customFormat="true" ht="16.5" hidden="false" customHeight="false" outlineLevel="0" collapsed="false">
      <c r="A85" s="44" t="str">
        <f aca="false">IF($C85="","",IFERROR(VLOOKUP($C85,目录!$B:$C,2,0)&amp;"","⚠目录里没有"))</f>
        <v>蒲吕片区A段</v>
      </c>
      <c r="B85" s="45" t="str">
        <f aca="false">IF($D85="","",IFERROR(MID($D85,FIND(".",$D85)+1,FIND(".",$D85,FIND(".",$D85)+1)-FIND(".",$D85)-1)&amp;"月",""))</f>
        <v>9月</v>
      </c>
      <c r="C85" s="46" t="s">
        <v>20</v>
      </c>
      <c r="D85" s="47" t="s">
        <v>136</v>
      </c>
      <c r="E85" s="46" t="s">
        <v>46</v>
      </c>
      <c r="F85" s="47" t="s">
        <v>133</v>
      </c>
      <c r="G85" s="53" t="n">
        <v>0.15</v>
      </c>
      <c r="H85" s="24"/>
      <c r="I85" s="24" t="str">
        <f aca="false">IF($H85="","",N($H85)*N($G85))</f>
        <v/>
      </c>
      <c r="J85" s="25" t="str">
        <f aca="false">IF($H85="","",N($H85)-N($I85))</f>
        <v/>
      </c>
      <c r="K85" s="54" t="n">
        <v>32976.8</v>
      </c>
      <c r="L85" s="25" t="n">
        <f aca="false">IF($A85="","",SUMIF($A$4:$A85,$A85,$J$4:$J85)-SUMIF($A$4:$A85,$A85,$K$4:$K85))</f>
        <v>-62976.8</v>
      </c>
      <c r="M85" s="26" t="str">
        <f aca="false">IF($H85="","",N($H85))</f>
        <v/>
      </c>
      <c r="N85" s="55"/>
      <c r="O85" s="55" t="n">
        <v>32976.8</v>
      </c>
      <c r="P85" s="26" t="n">
        <f aca="false">IF($A85="","",SUMIF($A$4:$A85,$A85,$M$4:$M85)-SUMIF($A$4:$A85,$A85,$N$4:$N85)-SUMIF($A$4:$A85,$A85,$O$4:$O85))</f>
        <v>-62976.8</v>
      </c>
      <c r="Q85" s="56"/>
      <c r="R85" s="57"/>
      <c r="S85" s="57"/>
      <c r="T85" s="28" t="n">
        <f aca="false">IF($A85="","",SUMIF($A$4:$A85,$A85,$Q$4:$Q85)-SUMIF($A$4:$A85,$A85,$R$4:$R85)-SUMIF($A$4:$A85,$A85,$S$4:$S85))</f>
        <v>0</v>
      </c>
      <c r="U85" s="57"/>
      <c r="V85" s="29" t="str">
        <f aca="false">IF(AND($C85="",COUNTA($D85:$H85,$K85,$N85:$O85,$Q85:$S85,$U85)=0),"",IF($C85="","⚠ 没填项目名称",IF($A85="⚠目录里没有","⚠ 项目名称在目录里找不到（先加到目录）",IF($A85="","⚠ 目录里这个项目没填简称",IF(ISTEXT($G85)+ISTEXT($H85)+ISTEXT($K85)+ISTEXT($N85)+ISTEXT($O85)+ISTEXT($Q85)+ISTEXT($R85)+ISTEXT($S85)&gt;0,"⚠ 金额列里有文字，算不进合计",IF(N($G85)&gt;=1,"⚠ 管理费点要填百分比，如 10%",IF(AND($D85&lt;&gt;"",$B85=""),"△ 摘要开头没写日期（如 2026.9.21），月份取不到",IF(AND(N($H85)&lt;&gt;0,COUNTIFS($A$4:$A$1003,$A85,$H$4:$H$1003,$H85,$D$4:$D$1003,LEFT($D85,9)&amp;"*")&gt;1),"△ 同一天同项目有一样的销售金额，看看是不是录重了","✓"))))))))</f>
        <v>✓</v>
      </c>
      <c r="W85" s="1" t="str">
        <f aca="false">IF($A85="","",$A85&amp;"#"&amp;COUNTIF($A$4:$A85,$A85))</f>
        <v>蒲吕片区A段#4</v>
      </c>
    </row>
    <row r="86" s="1" customFormat="true" ht="16.5" hidden="false" customHeight="false" outlineLevel="0" collapsed="false">
      <c r="A86" s="44" t="str">
        <f aca="false">IF($C86="","",IFERROR(VLOOKUP($C86,目录!$B:$C,2,0)&amp;"","⚠目录里没有"))</f>
        <v>蒲吕片区A段</v>
      </c>
      <c r="B86" s="45" t="str">
        <f aca="false">IF($D86="","",IFERROR(MID($D86,FIND(".",$D86)+1,FIND(".",$D86,FIND(".",$D86)+1)-FIND(".",$D86)-1)&amp;"月",""))</f>
        <v>9月</v>
      </c>
      <c r="C86" s="46" t="s">
        <v>20</v>
      </c>
      <c r="D86" s="47" t="s">
        <v>137</v>
      </c>
      <c r="E86" s="46" t="s">
        <v>46</v>
      </c>
      <c r="F86" s="47" t="s">
        <v>133</v>
      </c>
      <c r="G86" s="53" t="n">
        <v>0.15</v>
      </c>
      <c r="H86" s="24"/>
      <c r="I86" s="24" t="str">
        <f aca="false">IF($H86="","",N($H86)*N($G86))</f>
        <v/>
      </c>
      <c r="J86" s="25" t="str">
        <f aca="false">IF($H86="","",N($H86)-N($I86))</f>
        <v/>
      </c>
      <c r="K86" s="54" t="n">
        <v>3000</v>
      </c>
      <c r="L86" s="25" t="n">
        <f aca="false">IF($A86="","",SUMIF($A$4:$A86,$A86,$J$4:$J86)-SUMIF($A$4:$A86,$A86,$K$4:$K86))</f>
        <v>-65976.8</v>
      </c>
      <c r="M86" s="26" t="str">
        <f aca="false">IF($H86="","",N($H86))</f>
        <v/>
      </c>
      <c r="N86" s="55"/>
      <c r="O86" s="55" t="n">
        <v>3000</v>
      </c>
      <c r="P86" s="26" t="n">
        <f aca="false">IF($A86="","",SUMIF($A$4:$A86,$A86,$M$4:$M86)-SUMIF($A$4:$A86,$A86,$N$4:$N86)-SUMIF($A$4:$A86,$A86,$O$4:$O86))</f>
        <v>-65976.8</v>
      </c>
      <c r="Q86" s="56"/>
      <c r="R86" s="57"/>
      <c r="S86" s="57"/>
      <c r="T86" s="28" t="n">
        <f aca="false">IF($A86="","",SUMIF($A$4:$A86,$A86,$Q$4:$Q86)-SUMIF($A$4:$A86,$A86,$R$4:$R86)-SUMIF($A$4:$A86,$A86,$S$4:$S86))</f>
        <v>0</v>
      </c>
      <c r="U86" s="57"/>
      <c r="V86" s="29" t="str">
        <f aca="false">IF(AND($C86="",COUNTA($D86:$H86,$K86,$N86:$O86,$Q86:$S86,$U86)=0),"",IF($C86="","⚠ 没填项目名称",IF($A86="⚠目录里没有","⚠ 项目名称在目录里找不到（先加到目录）",IF($A86="","⚠ 目录里这个项目没填简称",IF(ISTEXT($G86)+ISTEXT($H86)+ISTEXT($K86)+ISTEXT($N86)+ISTEXT($O86)+ISTEXT($Q86)+ISTEXT($R86)+ISTEXT($S86)&gt;0,"⚠ 金额列里有文字，算不进合计",IF(N($G86)&gt;=1,"⚠ 管理费点要填百分比，如 10%",IF(AND($D86&lt;&gt;"",$B86=""),"△ 摘要开头没写日期（如 2026.9.21），月份取不到",IF(AND(N($H86)&lt;&gt;0,COUNTIFS($A$4:$A$1003,$A86,$H$4:$H$1003,$H86,$D$4:$D$1003,LEFT($D86,9)&amp;"*")&gt;1),"△ 同一天同项目有一样的销售金额，看看是不是录重了","✓"))))))))</f>
        <v>✓</v>
      </c>
      <c r="W86" s="1" t="str">
        <f aca="false">IF($A86="","",$A86&amp;"#"&amp;COUNTIF($A$4:$A86,$A86))</f>
        <v>蒲吕片区A段#5</v>
      </c>
    </row>
    <row r="87" s="1" customFormat="true" ht="16.5" hidden="false" customHeight="false" outlineLevel="0" collapsed="false">
      <c r="A87" s="44" t="str">
        <f aca="false">IF($C87="","",IFERROR(VLOOKUP($C87,目录!$B:$C,2,0)&amp;"","⚠目录里没有"))</f>
        <v>蒲吕片区A段</v>
      </c>
      <c r="B87" s="45" t="str">
        <f aca="false">IF($D87="","",IFERROR(MID($D87,FIND(".",$D87)+1,FIND(".",$D87,FIND(".",$D87)+1)-FIND(".",$D87)-1)&amp;"月",""))</f>
        <v>9月</v>
      </c>
      <c r="C87" s="46" t="s">
        <v>20</v>
      </c>
      <c r="D87" s="47" t="s">
        <v>138</v>
      </c>
      <c r="E87" s="46" t="s">
        <v>46</v>
      </c>
      <c r="F87" s="47" t="s">
        <v>133</v>
      </c>
      <c r="G87" s="53" t="n">
        <v>0.15</v>
      </c>
      <c r="H87" s="24"/>
      <c r="I87" s="24" t="str">
        <f aca="false">IF($H87="","",N($H87)*N($G87))</f>
        <v/>
      </c>
      <c r="J87" s="25" t="str">
        <f aca="false">IF($H87="","",N($H87)-N($I87))</f>
        <v/>
      </c>
      <c r="K87" s="54" t="n">
        <v>4950</v>
      </c>
      <c r="L87" s="25" t="n">
        <f aca="false">IF($A87="","",SUMIF($A$4:$A87,$A87,$J$4:$J87)-SUMIF($A$4:$A87,$A87,$K$4:$K87))</f>
        <v>-70926.8</v>
      </c>
      <c r="M87" s="26" t="str">
        <f aca="false">IF($H87="","",N($H87))</f>
        <v/>
      </c>
      <c r="N87" s="55"/>
      <c r="O87" s="55" t="n">
        <v>4950</v>
      </c>
      <c r="P87" s="26" t="n">
        <f aca="false">IF($A87="","",SUMIF($A$4:$A87,$A87,$M$4:$M87)-SUMIF($A$4:$A87,$A87,$N$4:$N87)-SUMIF($A$4:$A87,$A87,$O$4:$O87))</f>
        <v>-70926.8</v>
      </c>
      <c r="Q87" s="56"/>
      <c r="R87" s="57"/>
      <c r="S87" s="57"/>
      <c r="T87" s="28" t="n">
        <f aca="false">IF($A87="","",SUMIF($A$4:$A87,$A87,$Q$4:$Q87)-SUMIF($A$4:$A87,$A87,$R$4:$R87)-SUMIF($A$4:$A87,$A87,$S$4:$S87))</f>
        <v>0</v>
      </c>
      <c r="U87" s="57"/>
      <c r="V87" s="29" t="str">
        <f aca="false">IF(AND($C87="",COUNTA($D87:$H87,$K87,$N87:$O87,$Q87:$S87,$U87)=0),"",IF($C87="","⚠ 没填项目名称",IF($A87="⚠目录里没有","⚠ 项目名称在目录里找不到（先加到目录）",IF($A87="","⚠ 目录里这个项目没填简称",IF(ISTEXT($G87)+ISTEXT($H87)+ISTEXT($K87)+ISTEXT($N87)+ISTEXT($O87)+ISTEXT($Q87)+ISTEXT($R87)+ISTEXT($S87)&gt;0,"⚠ 金额列里有文字，算不进合计",IF(N($G87)&gt;=1,"⚠ 管理费点要填百分比，如 10%",IF(AND($D87&lt;&gt;"",$B87=""),"△ 摘要开头没写日期（如 2026.9.21），月份取不到",IF(AND(N($H87)&lt;&gt;0,COUNTIFS($A$4:$A$1003,$A87,$H$4:$H$1003,$H87,$D$4:$D$1003,LEFT($D87,9)&amp;"*")&gt;1),"△ 同一天同项目有一样的销售金额，看看是不是录重了","✓"))))))))</f>
        <v>✓</v>
      </c>
      <c r="W87" s="1" t="str">
        <f aca="false">IF($A87="","",$A87&amp;"#"&amp;COUNTIF($A$4:$A87,$A87))</f>
        <v>蒲吕片区A段#6</v>
      </c>
    </row>
    <row r="88" s="1" customFormat="true" ht="16.5" hidden="false" customHeight="false" outlineLevel="0" collapsed="false">
      <c r="A88" s="44" t="str">
        <f aca="false">IF($C88="","",IFERROR(VLOOKUP($C88,目录!$B:$C,2,0)&amp;"","⚠目录里没有"))</f>
        <v>蒲吕片区A段</v>
      </c>
      <c r="B88" s="45" t="str">
        <f aca="false">IF($D88="","",IFERROR(MID($D88,FIND(".",$D88)+1,FIND(".",$D88,FIND(".",$D88)+1)-FIND(".",$D88)-1)&amp;"月",""))</f>
        <v>9月</v>
      </c>
      <c r="C88" s="46" t="s">
        <v>20</v>
      </c>
      <c r="D88" s="47" t="s">
        <v>139</v>
      </c>
      <c r="E88" s="46" t="s">
        <v>46</v>
      </c>
      <c r="F88" s="47" t="s">
        <v>133</v>
      </c>
      <c r="G88" s="53" t="n">
        <v>0.15</v>
      </c>
      <c r="H88" s="24"/>
      <c r="I88" s="24" t="str">
        <f aca="false">IF($H88="","",N($H88)*N($G88))</f>
        <v/>
      </c>
      <c r="J88" s="25" t="str">
        <f aca="false">IF($H88="","",N($H88)-N($I88))</f>
        <v/>
      </c>
      <c r="K88" s="54" t="n">
        <v>10628.87</v>
      </c>
      <c r="L88" s="25" t="n">
        <f aca="false">IF($A88="","",SUMIF($A$4:$A88,$A88,$J$4:$J88)-SUMIF($A$4:$A88,$A88,$K$4:$K88))</f>
        <v>-81555.67</v>
      </c>
      <c r="M88" s="26" t="str">
        <f aca="false">IF($H88="","",N($H88))</f>
        <v/>
      </c>
      <c r="N88" s="55"/>
      <c r="O88" s="55" t="n">
        <v>10628.87</v>
      </c>
      <c r="P88" s="26" t="n">
        <f aca="false">IF($A88="","",SUMIF($A$4:$A88,$A88,$M$4:$M88)-SUMIF($A$4:$A88,$A88,$N$4:$N88)-SUMIF($A$4:$A88,$A88,$O$4:$O88))</f>
        <v>-81555.67</v>
      </c>
      <c r="Q88" s="56"/>
      <c r="R88" s="57"/>
      <c r="S88" s="57"/>
      <c r="T88" s="28" t="n">
        <f aca="false">IF($A88="","",SUMIF($A$4:$A88,$A88,$Q$4:$Q88)-SUMIF($A$4:$A88,$A88,$R$4:$R88)-SUMIF($A$4:$A88,$A88,$S$4:$S88))</f>
        <v>0</v>
      </c>
      <c r="U88" s="57"/>
      <c r="V88" s="29" t="str">
        <f aca="false">IF(AND($C88="",COUNTA($D88:$H88,$K88,$N88:$O88,$Q88:$S88,$U88)=0),"",IF($C88="","⚠ 没填项目名称",IF($A88="⚠目录里没有","⚠ 项目名称在目录里找不到（先加到目录）",IF($A88="","⚠ 目录里这个项目没填简称",IF(ISTEXT($G88)+ISTEXT($H88)+ISTEXT($K88)+ISTEXT($N88)+ISTEXT($O88)+ISTEXT($Q88)+ISTEXT($R88)+ISTEXT($S88)&gt;0,"⚠ 金额列里有文字，算不进合计",IF(N($G88)&gt;=1,"⚠ 管理费点要填百分比，如 10%",IF(AND($D88&lt;&gt;"",$B88=""),"△ 摘要开头没写日期（如 2026.9.21），月份取不到",IF(AND(N($H88)&lt;&gt;0,COUNTIFS($A$4:$A$1003,$A88,$H$4:$H$1003,$H88,$D$4:$D$1003,LEFT($D88,9)&amp;"*")&gt;1),"△ 同一天同项目有一样的销售金额，看看是不是录重了","✓"))))))))</f>
        <v>✓</v>
      </c>
      <c r="W88" s="1" t="str">
        <f aca="false">IF($A88="","",$A88&amp;"#"&amp;COUNTIF($A$4:$A88,$A88))</f>
        <v>蒲吕片区A段#7</v>
      </c>
    </row>
    <row r="89" s="1" customFormat="true" ht="16.5" hidden="false" customHeight="false" outlineLevel="0" collapsed="false">
      <c r="A89" s="44" t="str">
        <f aca="false">IF($C89="","",IFERROR(VLOOKUP($C89,目录!$B:$C,2,0)&amp;"","⚠目录里没有"))</f>
        <v>蒲吕片区A段</v>
      </c>
      <c r="B89" s="45" t="str">
        <f aca="false">IF($D89="","",IFERROR(MID($D89,FIND(".",$D89)+1,FIND(".",$D89,FIND(".",$D89)+1)-FIND(".",$D89)-1)&amp;"月",""))</f>
        <v>9月</v>
      </c>
      <c r="C89" s="46" t="s">
        <v>20</v>
      </c>
      <c r="D89" s="47" t="s">
        <v>140</v>
      </c>
      <c r="E89" s="46" t="s">
        <v>46</v>
      </c>
      <c r="F89" s="47" t="s">
        <v>133</v>
      </c>
      <c r="G89" s="53" t="n">
        <v>0.15</v>
      </c>
      <c r="H89" s="24" t="n">
        <v>154295.65</v>
      </c>
      <c r="I89" s="24" t="n">
        <f aca="false">IF($H89="","",N($H89)*N($G89))</f>
        <v>23144.3475</v>
      </c>
      <c r="J89" s="25" t="n">
        <f aca="false">IF($H89="","",N($H89)-N($I89))</f>
        <v>131151.3025</v>
      </c>
      <c r="K89" s="54" t="n">
        <v>49595.6325</v>
      </c>
      <c r="L89" s="25" t="n">
        <f aca="false">IF($A89="","",SUMIF($A$4:$A89,$A89,$J$4:$J89)-SUMIF($A$4:$A89,$A89,$K$4:$K89))</f>
        <v>0</v>
      </c>
      <c r="M89" s="26" t="n">
        <f aca="false">IF($H89="","",N($H89))</f>
        <v>154295.65</v>
      </c>
      <c r="N89" s="55"/>
      <c r="O89" s="55" t="n">
        <v>23144.3475</v>
      </c>
      <c r="P89" s="26" t="n">
        <f aca="false">IF($A89="","",SUMIF($A$4:$A89,$A89,$M$4:$M89)-SUMIF($A$4:$A89,$A89,$N$4:$N89)-SUMIF($A$4:$A89,$A89,$O$4:$O89))</f>
        <v>49595.6325</v>
      </c>
      <c r="Q89" s="56"/>
      <c r="R89" s="57"/>
      <c r="S89" s="57"/>
      <c r="T89" s="28" t="n">
        <f aca="false">IF($A89="","",SUMIF($A$4:$A89,$A89,$Q$4:$Q89)-SUMIF($A$4:$A89,$A89,$R$4:$R89)-SUMIF($A$4:$A89,$A89,$S$4:$S89))</f>
        <v>0</v>
      </c>
      <c r="U89" s="57"/>
      <c r="V89" s="29" t="str">
        <f aca="false">IF(AND($C89="",COUNTA($D89:$H89,$K89,$N89:$O89,$Q89:$S89,$U89)=0),"",IF($C89="","⚠ 没填项目名称",IF($A89="⚠目录里没有","⚠ 项目名称在目录里找不到（先加到目录）",IF($A89="","⚠ 目录里这个项目没填简称",IF(ISTEXT($G89)+ISTEXT($H89)+ISTEXT($K89)+ISTEXT($N89)+ISTEXT($O89)+ISTEXT($Q89)+ISTEXT($R89)+ISTEXT($S89)&gt;0,"⚠ 金额列里有文字，算不进合计",IF(N($G89)&gt;=1,"⚠ 管理费点要填百分比，如 10%",IF(AND($D89&lt;&gt;"",$B89=""),"△ 摘要开头没写日期（如 2026.9.21），月份取不到",IF(AND(N($H89)&lt;&gt;0,COUNTIFS($A$4:$A$1003,$A89,$H$4:$H$1003,$H89,$D$4:$D$1003,LEFT($D89,9)&amp;"*")&gt;1),"△ 同一天同项目有一样的销售金额，看看是不是录重了","✓"))))))))</f>
        <v>✓</v>
      </c>
      <c r="W89" s="1" t="str">
        <f aca="false">IF($A89="","",$A89&amp;"#"&amp;COUNTIF($A$4:$A89,$A89))</f>
        <v>蒲吕片区A段#8</v>
      </c>
    </row>
    <row r="90" customFormat="false" ht="16.5" hidden="false" customHeight="false" outlineLevel="0" collapsed="false">
      <c r="A90" s="44" t="str">
        <f aca="false">IF($C90="","",IFERROR(VLOOKUP($C90,目录!$B:$C,2,0)&amp;"","⚠目录里没有"))</f>
        <v/>
      </c>
      <c r="B90" s="45" t="str">
        <f aca="false">IF($D90="","",IFERROR(MID($D90,FIND(".",$D90)+1,FIND(".",$D90,FIND(".",$D90)+1)-FIND(".",$D90)-1)&amp;"月",""))</f>
        <v/>
      </c>
      <c r="C90" s="46"/>
      <c r="D90" s="47"/>
      <c r="E90" s="47"/>
      <c r="F90" s="49"/>
      <c r="G90" s="50"/>
      <c r="H90" s="24"/>
      <c r="I90" s="24" t="str">
        <f aca="false">IF($H90="","",N($H90)*N($G90))</f>
        <v/>
      </c>
      <c r="J90" s="25" t="str">
        <f aca="false">IF($H90="","",N($H90)-N($I90))</f>
        <v/>
      </c>
      <c r="K90" s="25"/>
      <c r="L90" s="25" t="str">
        <f aca="false">IF($A90="","",SUMIF($A$4:$A90,$A90,$J$4:$J90)-SUMIF($A$4:$A90,$A90,$K$4:$K90))</f>
        <v/>
      </c>
      <c r="M90" s="26" t="str">
        <f aca="false">IF($H90="","",N($H90))</f>
        <v/>
      </c>
      <c r="N90" s="26"/>
      <c r="O90" s="26"/>
      <c r="P90" s="26" t="str">
        <f aca="false">IF($A90="","",SUMIF($A$4:$A90,$A90,$M$4:$M90)-SUMIF($A$4:$A90,$A90,$N$4:$N90)-SUMIF($A$4:$A90,$A90,$O$4:$O90))</f>
        <v/>
      </c>
      <c r="Q90" s="27"/>
      <c r="R90" s="28"/>
      <c r="S90" s="28"/>
      <c r="T90" s="28" t="str">
        <f aca="false">IF($A90="","",SUMIF($A$4:$A90,$A90,$Q$4:$Q90)-SUMIF($A$4:$A90,$A90,$R$4:$R90)-SUMIF($A$4:$A90,$A90,$S$4:$S90))</f>
        <v/>
      </c>
      <c r="U90" s="28"/>
      <c r="V90" s="29" t="str">
        <f aca="false">IF(AND($C90="",COUNTA($D90:$H90,$K90,$N90:$O90,$Q90:$S90,$U90)=0),"",IF($C90="","⚠ 没填项目名称",IF($A90="⚠目录里没有","⚠ 项目名称在目录里找不到（先加到目录）",IF($A90="","⚠ 目录里这个项目没填简称",IF(ISTEXT($G90)+ISTEXT($H90)+ISTEXT($K90)+ISTEXT($N90)+ISTEXT($O90)+ISTEXT($Q90)+ISTEXT($R90)+ISTEXT($S90)&gt;0,"⚠ 金额列里有文字，算不进合计",IF(N($G90)&gt;=1,"⚠ 管理费点要填百分比，如 10%",IF(AND($D90&lt;&gt;"",$B90=""),"△ 摘要开头没写日期（如 2026.9.21），月份取不到",IF(AND(N($H90)&lt;&gt;0,COUNTIFS($A$4:$A$1003,$A90,$H$4:$H$1003,$H90,$D$4:$D$1003,LEFT($D90,9)&amp;"*")&gt;1),"△ 同一天同项目有一样的销售金额，看看是不是录重了","✓"))))))))</f>
        <v/>
      </c>
      <c r="W90" s="8" t="str">
        <f aca="false">IF($A90="","",$A90&amp;"#"&amp;COUNTIF($A$4:$A90,$A90))</f>
        <v/>
      </c>
    </row>
    <row r="91" customFormat="false" ht="16.5" hidden="false" customHeight="false" outlineLevel="0" collapsed="false">
      <c r="A91" s="44" t="str">
        <f aca="false">IF($C91="","",IFERROR(VLOOKUP($C91,目录!$B:$C,2,0)&amp;"","⚠目录里没有"))</f>
        <v/>
      </c>
      <c r="B91" s="45" t="str">
        <f aca="false">IF($D91="","",IFERROR(MID($D91,FIND(".",$D91)+1,FIND(".",$D91,FIND(".",$D91)+1)-FIND(".",$D91)-1)&amp;"月",""))</f>
        <v/>
      </c>
      <c r="C91" s="46"/>
      <c r="D91" s="47"/>
      <c r="E91" s="47"/>
      <c r="F91" s="49"/>
      <c r="G91" s="50"/>
      <c r="H91" s="24"/>
      <c r="I91" s="24" t="str">
        <f aca="false">IF($H91="","",N($H91)*N($G91))</f>
        <v/>
      </c>
      <c r="J91" s="25" t="str">
        <f aca="false">IF($H91="","",N($H91)-N($I91))</f>
        <v/>
      </c>
      <c r="K91" s="25"/>
      <c r="L91" s="25" t="str">
        <f aca="false">IF($A91="","",SUMIF($A$4:$A91,$A91,$J$4:$J91)-SUMIF($A$4:$A91,$A91,$K$4:$K91))</f>
        <v/>
      </c>
      <c r="M91" s="26" t="str">
        <f aca="false">IF($H91="","",N($H91))</f>
        <v/>
      </c>
      <c r="N91" s="26"/>
      <c r="O91" s="26"/>
      <c r="P91" s="26" t="str">
        <f aca="false">IF($A91="","",SUMIF($A$4:$A91,$A91,$M$4:$M91)-SUMIF($A$4:$A91,$A91,$N$4:$N91)-SUMIF($A$4:$A91,$A91,$O$4:$O91))</f>
        <v/>
      </c>
      <c r="Q91" s="27"/>
      <c r="R91" s="28"/>
      <c r="S91" s="28"/>
      <c r="T91" s="28" t="str">
        <f aca="false">IF($A91="","",SUMIF($A$4:$A91,$A91,$Q$4:$Q91)-SUMIF($A$4:$A91,$A91,$R$4:$R91)-SUMIF($A$4:$A91,$A91,$S$4:$S91))</f>
        <v/>
      </c>
      <c r="U91" s="28"/>
      <c r="V91" s="29" t="str">
        <f aca="false">IF(AND($C91="",COUNTA($D91:$H91,$K91,$N91:$O91,$Q91:$S91,$U91)=0),"",IF($C91="","⚠ 没填项目名称",IF($A91="⚠目录里没有","⚠ 项目名称在目录里找不到（先加到目录）",IF($A91="","⚠ 目录里这个项目没填简称",IF(ISTEXT($G91)+ISTEXT($H91)+ISTEXT($K91)+ISTEXT($N91)+ISTEXT($O91)+ISTEXT($Q91)+ISTEXT($R91)+ISTEXT($S91)&gt;0,"⚠ 金额列里有文字，算不进合计",IF(N($G91)&gt;=1,"⚠ 管理费点要填百分比，如 10%",IF(AND($D91&lt;&gt;"",$B91=""),"△ 摘要开头没写日期（如 2026.9.21），月份取不到",IF(AND(N($H91)&lt;&gt;0,COUNTIFS($A$4:$A$1003,$A91,$H$4:$H$1003,$H91,$D$4:$D$1003,LEFT($D91,9)&amp;"*")&gt;1),"△ 同一天同项目有一样的销售金额，看看是不是录重了","✓"))))))))</f>
        <v/>
      </c>
      <c r="W91" s="8" t="str">
        <f aca="false">IF($A91="","",$A91&amp;"#"&amp;COUNTIF($A$4:$A91,$A91))</f>
        <v/>
      </c>
    </row>
    <row r="92" customFormat="false" ht="16.5" hidden="false" customHeight="false" outlineLevel="0" collapsed="false">
      <c r="A92" s="44" t="str">
        <f aca="false">IF($C92="","",IFERROR(VLOOKUP($C92,目录!$B:$C,2,0)&amp;"","⚠目录里没有"))</f>
        <v/>
      </c>
      <c r="B92" s="45" t="str">
        <f aca="false">IF($D92="","",IFERROR(MID($D92,FIND(".",$D92)+1,FIND(".",$D92,FIND(".",$D92)+1)-FIND(".",$D92)-1)&amp;"月",""))</f>
        <v/>
      </c>
      <c r="C92" s="46"/>
      <c r="D92" s="47"/>
      <c r="E92" s="49"/>
      <c r="F92" s="49"/>
      <c r="G92" s="50"/>
      <c r="H92" s="24"/>
      <c r="I92" s="24" t="str">
        <f aca="false">IF($H92="","",N($H92)*N($G92))</f>
        <v/>
      </c>
      <c r="J92" s="25" t="str">
        <f aca="false">IF($H92="","",N($H92)-N($I92))</f>
        <v/>
      </c>
      <c r="K92" s="25"/>
      <c r="L92" s="25" t="str">
        <f aca="false">IF($A92="","",SUMIF($A$4:$A92,$A92,$J$4:$J92)-SUMIF($A$4:$A92,$A92,$K$4:$K92))</f>
        <v/>
      </c>
      <c r="M92" s="26" t="str">
        <f aca="false">IF($H92="","",N($H92))</f>
        <v/>
      </c>
      <c r="N92" s="26"/>
      <c r="O92" s="26"/>
      <c r="P92" s="26" t="str">
        <f aca="false">IF($A92="","",SUMIF($A$4:$A92,$A92,$M$4:$M92)-SUMIF($A$4:$A92,$A92,$N$4:$N92)-SUMIF($A$4:$A92,$A92,$O$4:$O92))</f>
        <v/>
      </c>
      <c r="Q92" s="27"/>
      <c r="R92" s="28"/>
      <c r="S92" s="28"/>
      <c r="T92" s="28" t="str">
        <f aca="false">IF($A92="","",SUMIF($A$4:$A92,$A92,$Q$4:$Q92)-SUMIF($A$4:$A92,$A92,$R$4:$R92)-SUMIF($A$4:$A92,$A92,$S$4:$S92))</f>
        <v/>
      </c>
      <c r="U92" s="28"/>
      <c r="V92" s="29" t="str">
        <f aca="false">IF(AND($C92="",COUNTA($D92:$H92,$K92,$N92:$O92,$Q92:$S92,$U92)=0),"",IF($C92="","⚠ 没填项目名称",IF($A92="⚠目录里没有","⚠ 项目名称在目录里找不到（先加到目录）",IF($A92="","⚠ 目录里这个项目没填简称",IF(ISTEXT($G92)+ISTEXT($H92)+ISTEXT($K92)+ISTEXT($N92)+ISTEXT($O92)+ISTEXT($Q92)+ISTEXT($R92)+ISTEXT($S92)&gt;0,"⚠ 金额列里有文字，算不进合计",IF(N($G92)&gt;=1,"⚠ 管理费点要填百分比，如 10%",IF(AND($D92&lt;&gt;"",$B92=""),"△ 摘要开头没写日期（如 2026.9.21），月份取不到",IF(AND(N($H92)&lt;&gt;0,COUNTIFS($A$4:$A$1003,$A92,$H$4:$H$1003,$H92,$D$4:$D$1003,LEFT($D92,9)&amp;"*")&gt;1),"△ 同一天同项目有一样的销售金额，看看是不是录重了","✓"))))))))</f>
        <v/>
      </c>
      <c r="W92" s="8" t="str">
        <f aca="false">IF($A92="","",$A92&amp;"#"&amp;COUNTIF($A$4:$A92,$A92))</f>
        <v/>
      </c>
    </row>
    <row r="93" customFormat="false" ht="16.5" hidden="false" customHeight="false" outlineLevel="0" collapsed="false">
      <c r="A93" s="44" t="str">
        <f aca="false">IF($C93="","",IFERROR(VLOOKUP($C93,目录!$B:$C,2,0)&amp;"","⚠目录里没有"))</f>
        <v/>
      </c>
      <c r="B93" s="45" t="str">
        <f aca="false">IF($D93="","",IFERROR(MID($D93,FIND(".",$D93)+1,FIND(".",$D93,FIND(".",$D93)+1)-FIND(".",$D93)-1)&amp;"月",""))</f>
        <v/>
      </c>
      <c r="C93" s="46"/>
      <c r="D93" s="47"/>
      <c r="E93" s="49"/>
      <c r="F93" s="49"/>
      <c r="G93" s="50"/>
      <c r="H93" s="24"/>
      <c r="I93" s="24" t="str">
        <f aca="false">IF($H93="","",N($H93)*N($G93))</f>
        <v/>
      </c>
      <c r="J93" s="25" t="str">
        <f aca="false">IF($H93="","",N($H93)-N($I93))</f>
        <v/>
      </c>
      <c r="K93" s="25"/>
      <c r="L93" s="25" t="str">
        <f aca="false">IF($A93="","",SUMIF($A$4:$A93,$A93,$J$4:$J93)-SUMIF($A$4:$A93,$A93,$K$4:$K93))</f>
        <v/>
      </c>
      <c r="M93" s="26" t="str">
        <f aca="false">IF($H93="","",N($H93))</f>
        <v/>
      </c>
      <c r="N93" s="26"/>
      <c r="O93" s="26"/>
      <c r="P93" s="26" t="str">
        <f aca="false">IF($A93="","",SUMIF($A$4:$A93,$A93,$M$4:$M93)-SUMIF($A$4:$A93,$A93,$N$4:$N93)-SUMIF($A$4:$A93,$A93,$O$4:$O93))</f>
        <v/>
      </c>
      <c r="Q93" s="27"/>
      <c r="R93" s="28"/>
      <c r="S93" s="28"/>
      <c r="T93" s="28" t="str">
        <f aca="false">IF($A93="","",SUMIF($A$4:$A93,$A93,$Q$4:$Q93)-SUMIF($A$4:$A93,$A93,$R$4:$R93)-SUMIF($A$4:$A93,$A93,$S$4:$S93))</f>
        <v/>
      </c>
      <c r="U93" s="28"/>
      <c r="V93" s="29" t="str">
        <f aca="false">IF(AND($C93="",COUNTA($D93:$H93,$K93,$N93:$O93,$Q93:$S93,$U93)=0),"",IF($C93="","⚠ 没填项目名称",IF($A93="⚠目录里没有","⚠ 项目名称在目录里找不到（先加到目录）",IF($A93="","⚠ 目录里这个项目没填简称",IF(ISTEXT($G93)+ISTEXT($H93)+ISTEXT($K93)+ISTEXT($N93)+ISTEXT($O93)+ISTEXT($Q93)+ISTEXT($R93)+ISTEXT($S93)&gt;0,"⚠ 金额列里有文字，算不进合计",IF(N($G93)&gt;=1,"⚠ 管理费点要填百分比，如 10%",IF(AND($D93&lt;&gt;"",$B93=""),"△ 摘要开头没写日期（如 2026.9.21），月份取不到",IF(AND(N($H93)&lt;&gt;0,COUNTIFS($A$4:$A$1003,$A93,$H$4:$H$1003,$H93,$D$4:$D$1003,LEFT($D93,9)&amp;"*")&gt;1),"△ 同一天同项目有一样的销售金额，看看是不是录重了","✓"))))))))</f>
        <v/>
      </c>
      <c r="W93" s="8" t="str">
        <f aca="false">IF($A93="","",$A93&amp;"#"&amp;COUNTIF($A$4:$A93,$A93))</f>
        <v/>
      </c>
    </row>
    <row r="94" customFormat="false" ht="16.5" hidden="false" customHeight="false" outlineLevel="0" collapsed="false">
      <c r="A94" s="44" t="str">
        <f aca="false">IF($C94="","",IFERROR(VLOOKUP($C94,目录!$B:$C,2,0)&amp;"","⚠目录里没有"))</f>
        <v/>
      </c>
      <c r="B94" s="45" t="str">
        <f aca="false">IF($D94="","",IFERROR(MID($D94,FIND(".",$D94)+1,FIND(".",$D94,FIND(".",$D94)+1)-FIND(".",$D94)-1)&amp;"月",""))</f>
        <v/>
      </c>
      <c r="C94" s="46"/>
      <c r="D94" s="47"/>
      <c r="E94" s="49"/>
      <c r="F94" s="49"/>
      <c r="G94" s="50"/>
      <c r="H94" s="24"/>
      <c r="I94" s="24" t="str">
        <f aca="false">IF($H94="","",N($H94)*N($G94))</f>
        <v/>
      </c>
      <c r="J94" s="25" t="str">
        <f aca="false">IF($H94="","",N($H94)-N($I94))</f>
        <v/>
      </c>
      <c r="K94" s="25"/>
      <c r="L94" s="25" t="str">
        <f aca="false">IF($A94="","",SUMIF($A$4:$A94,$A94,$J$4:$J94)-SUMIF($A$4:$A94,$A94,$K$4:$K94))</f>
        <v/>
      </c>
      <c r="M94" s="26" t="str">
        <f aca="false">IF($H94="","",N($H94))</f>
        <v/>
      </c>
      <c r="N94" s="26"/>
      <c r="O94" s="26"/>
      <c r="P94" s="26" t="str">
        <f aca="false">IF($A94="","",SUMIF($A$4:$A94,$A94,$M$4:$M94)-SUMIF($A$4:$A94,$A94,$N$4:$N94)-SUMIF($A$4:$A94,$A94,$O$4:$O94))</f>
        <v/>
      </c>
      <c r="Q94" s="27"/>
      <c r="R94" s="28"/>
      <c r="S94" s="28"/>
      <c r="T94" s="28" t="str">
        <f aca="false">IF($A94="","",SUMIF($A$4:$A94,$A94,$Q$4:$Q94)-SUMIF($A$4:$A94,$A94,$R$4:$R94)-SUMIF($A$4:$A94,$A94,$S$4:$S94))</f>
        <v/>
      </c>
      <c r="U94" s="28"/>
      <c r="V94" s="29" t="str">
        <f aca="false">IF(AND($C94="",COUNTA($D94:$H94,$K94,$N94:$O94,$Q94:$S94,$U94)=0),"",IF($C94="","⚠ 没填项目名称",IF($A94="⚠目录里没有","⚠ 项目名称在目录里找不到（先加到目录）",IF($A94="","⚠ 目录里这个项目没填简称",IF(ISTEXT($G94)+ISTEXT($H94)+ISTEXT($K94)+ISTEXT($N94)+ISTEXT($O94)+ISTEXT($Q94)+ISTEXT($R94)+ISTEXT($S94)&gt;0,"⚠ 金额列里有文字，算不进合计",IF(N($G94)&gt;=1,"⚠ 管理费点要填百分比，如 10%",IF(AND($D94&lt;&gt;"",$B94=""),"△ 摘要开头没写日期（如 2026.9.21），月份取不到",IF(AND(N($H94)&lt;&gt;0,COUNTIFS($A$4:$A$1003,$A94,$H$4:$H$1003,$H94,$D$4:$D$1003,LEFT($D94,9)&amp;"*")&gt;1),"△ 同一天同项目有一样的销售金额，看看是不是录重了","✓"))))))))</f>
        <v/>
      </c>
      <c r="W94" s="8" t="str">
        <f aca="false">IF($A94="","",$A94&amp;"#"&amp;COUNTIF($A$4:$A94,$A94))</f>
        <v/>
      </c>
    </row>
    <row r="95" customFormat="false" ht="16.5" hidden="false" customHeight="false" outlineLevel="0" collapsed="false">
      <c r="A95" s="44" t="str">
        <f aca="false">IF($C95="","",IFERROR(VLOOKUP($C95,目录!$B:$C,2,0)&amp;"","⚠目录里没有"))</f>
        <v/>
      </c>
      <c r="B95" s="45" t="str">
        <f aca="false">IF($D95="","",IFERROR(MID($D95,FIND(".",$D95)+1,FIND(".",$D95,FIND(".",$D95)+1)-FIND(".",$D95)-1)&amp;"月",""))</f>
        <v/>
      </c>
      <c r="C95" s="46"/>
      <c r="D95" s="47"/>
      <c r="E95" s="49"/>
      <c r="F95" s="49"/>
      <c r="G95" s="50"/>
      <c r="H95" s="24"/>
      <c r="I95" s="24" t="str">
        <f aca="false">IF($H95="","",N($H95)*N($G95))</f>
        <v/>
      </c>
      <c r="J95" s="25" t="str">
        <f aca="false">IF($H95="","",N($H95)-N($I95))</f>
        <v/>
      </c>
      <c r="K95" s="25"/>
      <c r="L95" s="25" t="str">
        <f aca="false">IF($A95="","",SUMIF($A$4:$A95,$A95,$J$4:$J95)-SUMIF($A$4:$A95,$A95,$K$4:$K95))</f>
        <v/>
      </c>
      <c r="M95" s="26" t="str">
        <f aca="false">IF($H95="","",N($H95))</f>
        <v/>
      </c>
      <c r="N95" s="26"/>
      <c r="O95" s="26"/>
      <c r="P95" s="26" t="str">
        <f aca="false">IF($A95="","",SUMIF($A$4:$A95,$A95,$M$4:$M95)-SUMIF($A$4:$A95,$A95,$N$4:$N95)-SUMIF($A$4:$A95,$A95,$O$4:$O95))</f>
        <v/>
      </c>
      <c r="Q95" s="27"/>
      <c r="R95" s="28"/>
      <c r="S95" s="28"/>
      <c r="T95" s="28" t="str">
        <f aca="false">IF($A95="","",SUMIF($A$4:$A95,$A95,$Q$4:$Q95)-SUMIF($A$4:$A95,$A95,$R$4:$R95)-SUMIF($A$4:$A95,$A95,$S$4:$S95))</f>
        <v/>
      </c>
      <c r="U95" s="28"/>
      <c r="V95" s="29" t="str">
        <f aca="false">IF(AND($C95="",COUNTA($D95:$H95,$K95,$N95:$O95,$Q95:$S95,$U95)=0),"",IF($C95="","⚠ 没填项目名称",IF($A95="⚠目录里没有","⚠ 项目名称在目录里找不到（先加到目录）",IF($A95="","⚠ 目录里这个项目没填简称",IF(ISTEXT($G95)+ISTEXT($H95)+ISTEXT($K95)+ISTEXT($N95)+ISTEXT($O95)+ISTEXT($Q95)+ISTEXT($R95)+ISTEXT($S95)&gt;0,"⚠ 金额列里有文字，算不进合计",IF(N($G95)&gt;=1,"⚠ 管理费点要填百分比，如 10%",IF(AND($D95&lt;&gt;"",$B95=""),"△ 摘要开头没写日期（如 2026.9.21），月份取不到",IF(AND(N($H95)&lt;&gt;0,COUNTIFS($A$4:$A$1003,$A95,$H$4:$H$1003,$H95,$D$4:$D$1003,LEFT($D95,9)&amp;"*")&gt;1),"△ 同一天同项目有一样的销售金额，看看是不是录重了","✓"))))))))</f>
        <v/>
      </c>
      <c r="W95" s="8" t="str">
        <f aca="false">IF($A95="","",$A95&amp;"#"&amp;COUNTIF($A$4:$A95,$A95))</f>
        <v/>
      </c>
    </row>
    <row r="96" customFormat="false" ht="16.5" hidden="false" customHeight="false" outlineLevel="0" collapsed="false">
      <c r="A96" s="44" t="str">
        <f aca="false">IF($C96="","",IFERROR(VLOOKUP($C96,目录!$B:$C,2,0)&amp;"","⚠目录里没有"))</f>
        <v/>
      </c>
      <c r="B96" s="45" t="str">
        <f aca="false">IF($D96="","",IFERROR(MID($D96,FIND(".",$D96)+1,FIND(".",$D96,FIND(".",$D96)+1)-FIND(".",$D96)-1)&amp;"月",""))</f>
        <v/>
      </c>
      <c r="C96" s="46"/>
      <c r="D96" s="47"/>
      <c r="E96" s="49"/>
      <c r="F96" s="49"/>
      <c r="G96" s="50"/>
      <c r="H96" s="24"/>
      <c r="I96" s="24" t="str">
        <f aca="false">IF($H96="","",N($H96)*N($G96))</f>
        <v/>
      </c>
      <c r="J96" s="25" t="str">
        <f aca="false">IF($H96="","",N($H96)-N($I96))</f>
        <v/>
      </c>
      <c r="K96" s="25"/>
      <c r="L96" s="25" t="str">
        <f aca="false">IF($A96="","",SUMIF($A$4:$A96,$A96,$J$4:$J96)-SUMIF($A$4:$A96,$A96,$K$4:$K96))</f>
        <v/>
      </c>
      <c r="M96" s="26" t="str">
        <f aca="false">IF($H96="","",N($H96))</f>
        <v/>
      </c>
      <c r="N96" s="26"/>
      <c r="O96" s="26"/>
      <c r="P96" s="26" t="str">
        <f aca="false">IF($A96="","",SUMIF($A$4:$A96,$A96,$M$4:$M96)-SUMIF($A$4:$A96,$A96,$N$4:$N96)-SUMIF($A$4:$A96,$A96,$O$4:$O96))</f>
        <v/>
      </c>
      <c r="Q96" s="27"/>
      <c r="R96" s="28"/>
      <c r="S96" s="28"/>
      <c r="T96" s="28" t="str">
        <f aca="false">IF($A96="","",SUMIF($A$4:$A96,$A96,$Q$4:$Q96)-SUMIF($A$4:$A96,$A96,$R$4:$R96)-SUMIF($A$4:$A96,$A96,$S$4:$S96))</f>
        <v/>
      </c>
      <c r="U96" s="28"/>
      <c r="V96" s="29" t="str">
        <f aca="false">IF(AND($C96="",COUNTA($D96:$H96,$K96,$N96:$O96,$Q96:$S96,$U96)=0),"",IF($C96="","⚠ 没填项目名称",IF($A96="⚠目录里没有","⚠ 项目名称在目录里找不到（先加到目录）",IF($A96="","⚠ 目录里这个项目没填简称",IF(ISTEXT($G96)+ISTEXT($H96)+ISTEXT($K96)+ISTEXT($N96)+ISTEXT($O96)+ISTEXT($Q96)+ISTEXT($R96)+ISTEXT($S96)&gt;0,"⚠ 金额列里有文字，算不进合计",IF(N($G96)&gt;=1,"⚠ 管理费点要填百分比，如 10%",IF(AND($D96&lt;&gt;"",$B96=""),"△ 摘要开头没写日期（如 2026.9.21），月份取不到",IF(AND(N($H96)&lt;&gt;0,COUNTIFS($A$4:$A$1003,$A96,$H$4:$H$1003,$H96,$D$4:$D$1003,LEFT($D96,9)&amp;"*")&gt;1),"△ 同一天同项目有一样的销售金额，看看是不是录重了","✓"))))))))</f>
        <v/>
      </c>
      <c r="W96" s="8" t="str">
        <f aca="false">IF($A96="","",$A96&amp;"#"&amp;COUNTIF($A$4:$A96,$A96))</f>
        <v/>
      </c>
    </row>
    <row r="97" customFormat="false" ht="16.5" hidden="false" customHeight="false" outlineLevel="0" collapsed="false">
      <c r="A97" s="45" t="str">
        <f aca="false">IF($C97="","",IFERROR(VLOOKUP($C97,目录!$B:$C,2,0)&amp;"","⚠目录里没有"))</f>
        <v/>
      </c>
      <c r="B97" s="45" t="str">
        <f aca="false">IF($D97="","",IFERROR(MID($D97,FIND(".",$D97)+1,FIND(".",$D97,FIND(".",$D97)+1)-FIND(".",$D97)-1)&amp;"月",""))</f>
        <v/>
      </c>
      <c r="C97" s="46"/>
      <c r="D97" s="47"/>
      <c r="E97" s="49"/>
      <c r="F97" s="49"/>
      <c r="G97" s="50"/>
      <c r="H97" s="24"/>
      <c r="I97" s="24" t="str">
        <f aca="false">IF($H97="","",N($H97)*N($G97))</f>
        <v/>
      </c>
      <c r="J97" s="25" t="str">
        <f aca="false">IF($H97="","",N($H97)-N($I97))</f>
        <v/>
      </c>
      <c r="K97" s="25"/>
      <c r="L97" s="25" t="str">
        <f aca="false">IF($A97="","",SUMIF($A$4:$A97,$A97,$J$4:$J97)-SUMIF($A$4:$A97,$A97,$K$4:$K97))</f>
        <v/>
      </c>
      <c r="M97" s="26" t="str">
        <f aca="false">IF($H97="","",N($H97))</f>
        <v/>
      </c>
      <c r="N97" s="26"/>
      <c r="O97" s="26"/>
      <c r="P97" s="26" t="str">
        <f aca="false">IF($A97="","",SUMIF($A$4:$A97,$A97,$M$4:$M97)-SUMIF($A$4:$A97,$A97,$N$4:$N97)-SUMIF($A$4:$A97,$A97,$O$4:$O97))</f>
        <v/>
      </c>
      <c r="Q97" s="27"/>
      <c r="R97" s="28"/>
      <c r="S97" s="28"/>
      <c r="T97" s="28" t="str">
        <f aca="false">IF($A97="","",SUMIF($A$4:$A97,$A97,$Q$4:$Q97)-SUMIF($A$4:$A97,$A97,$R$4:$R97)-SUMIF($A$4:$A97,$A97,$S$4:$S97))</f>
        <v/>
      </c>
      <c r="U97" s="28"/>
      <c r="V97" s="29" t="str">
        <f aca="false">IF(AND($C97="",COUNTA($D97:$H97,$K97,$N97:$O97,$Q97:$S97,$U97)=0),"",IF($C97="","⚠ 没填项目名称",IF($A97="⚠目录里没有","⚠ 项目名称在目录里找不到（先加到目录）",IF($A97="","⚠ 目录里这个项目没填简称",IF(ISTEXT($G97)+ISTEXT($H97)+ISTEXT($K97)+ISTEXT($N97)+ISTEXT($O97)+ISTEXT($Q97)+ISTEXT($R97)+ISTEXT($S97)&gt;0,"⚠ 金额列里有文字，算不进合计",IF(N($G97)&gt;=1,"⚠ 管理费点要填百分比，如 10%",IF(AND($D97&lt;&gt;"",$B97=""),"△ 摘要开头没写日期（如 2026.9.21），月份取不到",IF(AND(N($H97)&lt;&gt;0,COUNTIFS($A$4:$A$1003,$A97,$H$4:$H$1003,$H97,$D$4:$D$1003,LEFT($D97,9)&amp;"*")&gt;1),"△ 同一天同项目有一样的销售金额，看看是不是录重了","✓"))))))))</f>
        <v/>
      </c>
      <c r="W97" s="8" t="str">
        <f aca="false">IF($A97="","",$A97&amp;"#"&amp;COUNTIF($A$4:$A97,$A97))</f>
        <v/>
      </c>
    </row>
    <row r="98" customFormat="false" ht="16.5" hidden="false" customHeight="false" outlineLevel="0" collapsed="false">
      <c r="A98" s="45" t="str">
        <f aca="false">IF($C98="","",IFERROR(VLOOKUP($C98,目录!$B:$C,2,0)&amp;"","⚠目录里没有"))</f>
        <v/>
      </c>
      <c r="B98" s="45" t="str">
        <f aca="false">IF($D98="","",IFERROR(MID($D98,FIND(".",$D98)+1,FIND(".",$D98,FIND(".",$D98)+1)-FIND(".",$D98)-1)&amp;"月",""))</f>
        <v/>
      </c>
      <c r="C98" s="46"/>
      <c r="D98" s="47"/>
      <c r="E98" s="49"/>
      <c r="F98" s="49"/>
      <c r="G98" s="50"/>
      <c r="H98" s="24"/>
      <c r="I98" s="24" t="str">
        <f aca="false">IF($H98="","",N($H98)*N($G98))</f>
        <v/>
      </c>
      <c r="J98" s="25" t="str">
        <f aca="false">IF($H98="","",N($H98)-N($I98))</f>
        <v/>
      </c>
      <c r="K98" s="25"/>
      <c r="L98" s="25" t="str">
        <f aca="false">IF($A98="","",SUMIF($A$4:$A98,$A98,$J$4:$J98)-SUMIF($A$4:$A98,$A98,$K$4:$K98))</f>
        <v/>
      </c>
      <c r="M98" s="26" t="str">
        <f aca="false">IF($H98="","",N($H98))</f>
        <v/>
      </c>
      <c r="N98" s="26"/>
      <c r="O98" s="26"/>
      <c r="P98" s="26" t="str">
        <f aca="false">IF($A98="","",SUMIF($A$4:$A98,$A98,$M$4:$M98)-SUMIF($A$4:$A98,$A98,$N$4:$N98)-SUMIF($A$4:$A98,$A98,$O$4:$O98))</f>
        <v/>
      </c>
      <c r="Q98" s="27"/>
      <c r="R98" s="28"/>
      <c r="S98" s="28"/>
      <c r="T98" s="28" t="str">
        <f aca="false">IF($A98="","",SUMIF($A$4:$A98,$A98,$Q$4:$Q98)-SUMIF($A$4:$A98,$A98,$R$4:$R98)-SUMIF($A$4:$A98,$A98,$S$4:$S98))</f>
        <v/>
      </c>
      <c r="U98" s="28"/>
      <c r="V98" s="29" t="str">
        <f aca="false">IF(AND($C98="",COUNTA($D98:$H98,$K98,$N98:$O98,$Q98:$S98,$U98)=0),"",IF($C98="","⚠ 没填项目名称",IF($A98="⚠目录里没有","⚠ 项目名称在目录里找不到（先加到目录）",IF($A98="","⚠ 目录里这个项目没填简称",IF(ISTEXT($G98)+ISTEXT($H98)+ISTEXT($K98)+ISTEXT($N98)+ISTEXT($O98)+ISTEXT($Q98)+ISTEXT($R98)+ISTEXT($S98)&gt;0,"⚠ 金额列里有文字，算不进合计",IF(N($G98)&gt;=1,"⚠ 管理费点要填百分比，如 10%",IF(AND($D98&lt;&gt;"",$B98=""),"△ 摘要开头没写日期（如 2026.9.21），月份取不到",IF(AND(N($H98)&lt;&gt;0,COUNTIFS($A$4:$A$1003,$A98,$H$4:$H$1003,$H98,$D$4:$D$1003,LEFT($D98,9)&amp;"*")&gt;1),"△ 同一天同项目有一样的销售金额，看看是不是录重了","✓"))))))))</f>
        <v/>
      </c>
      <c r="W98" s="8" t="str">
        <f aca="false">IF($A98="","",$A98&amp;"#"&amp;COUNTIF($A$4:$A98,$A98))</f>
        <v/>
      </c>
    </row>
    <row r="99" customFormat="false" ht="16.5" hidden="false" customHeight="false" outlineLevel="0" collapsed="false">
      <c r="A99" s="44" t="str">
        <f aca="false">IF($C99="","",IFERROR(VLOOKUP($C99,目录!$B:$C,2,0)&amp;"","⚠目录里没有"))</f>
        <v/>
      </c>
      <c r="B99" s="45" t="str">
        <f aca="false">IF($D99="","",IFERROR(MID($D99,FIND(".",$D99)+1,FIND(".",$D99,FIND(".",$D99)+1)-FIND(".",$D99)-1)&amp;"月",""))</f>
        <v/>
      </c>
      <c r="C99" s="46"/>
      <c r="D99" s="47"/>
      <c r="E99" s="47"/>
      <c r="F99" s="49"/>
      <c r="G99" s="50"/>
      <c r="H99" s="24"/>
      <c r="I99" s="24" t="str">
        <f aca="false">IF($H99="","",N($H99)*N($G99))</f>
        <v/>
      </c>
      <c r="J99" s="25" t="str">
        <f aca="false">IF($H99="","",N($H99)-N($I99))</f>
        <v/>
      </c>
      <c r="K99" s="25"/>
      <c r="L99" s="25" t="str">
        <f aca="false">IF($A99="","",SUMIF($A$4:$A99,$A99,$J$4:$J99)-SUMIF($A$4:$A99,$A99,$K$4:$K99))</f>
        <v/>
      </c>
      <c r="M99" s="26" t="str">
        <f aca="false">IF($H99="","",N($H99))</f>
        <v/>
      </c>
      <c r="N99" s="26"/>
      <c r="O99" s="26"/>
      <c r="P99" s="26" t="str">
        <f aca="false">IF($A99="","",SUMIF($A$4:$A99,$A99,$M$4:$M99)-SUMIF($A$4:$A99,$A99,$N$4:$N99)-SUMIF($A$4:$A99,$A99,$O$4:$O99))</f>
        <v/>
      </c>
      <c r="Q99" s="27"/>
      <c r="R99" s="28"/>
      <c r="S99" s="28"/>
      <c r="T99" s="28" t="str">
        <f aca="false">IF($A99="","",SUMIF($A$4:$A99,$A99,$Q$4:$Q99)-SUMIF($A$4:$A99,$A99,$R$4:$R99)-SUMIF($A$4:$A99,$A99,$S$4:$S99))</f>
        <v/>
      </c>
      <c r="U99" s="28"/>
      <c r="V99" s="29" t="str">
        <f aca="false">IF(AND($C99="",COUNTA($D99:$H99,$K99,$N99:$O99,$Q99:$S99,$U99)=0),"",IF($C99="","⚠ 没填项目名称",IF($A99="⚠目录里没有","⚠ 项目名称在目录里找不到（先加到目录）",IF($A99="","⚠ 目录里这个项目没填简称",IF(ISTEXT($G99)+ISTEXT($H99)+ISTEXT($K99)+ISTEXT($N99)+ISTEXT($O99)+ISTEXT($Q99)+ISTEXT($R99)+ISTEXT($S99)&gt;0,"⚠ 金额列里有文字，算不进合计",IF(N($G99)&gt;=1,"⚠ 管理费点要填百分比，如 10%",IF(AND($D99&lt;&gt;"",$B99=""),"△ 摘要开头没写日期（如 2026.9.21），月份取不到",IF(AND(N($H99)&lt;&gt;0,COUNTIFS($A$4:$A$1003,$A99,$H$4:$H$1003,$H99,$D$4:$D$1003,LEFT($D99,9)&amp;"*")&gt;1),"△ 同一天同项目有一样的销售金额，看看是不是录重了","✓"))))))))</f>
        <v/>
      </c>
      <c r="W99" s="8" t="str">
        <f aca="false">IF($A99="","",$A99&amp;"#"&amp;COUNTIF($A$4:$A99,$A99))</f>
        <v/>
      </c>
    </row>
    <row r="100" customFormat="false" ht="16.5" hidden="false" customHeight="false" outlineLevel="0" collapsed="false">
      <c r="A100" s="44" t="str">
        <f aca="false">IF($C100="","",IFERROR(VLOOKUP($C100,目录!$B:$C,2,0)&amp;"","⚠目录里没有"))</f>
        <v/>
      </c>
      <c r="B100" s="45" t="str">
        <f aca="false">IF($D100="","",IFERROR(MID($D100,FIND(".",$D100)+1,FIND(".",$D100,FIND(".",$D100)+1)-FIND(".",$D100)-1)&amp;"月",""))</f>
        <v/>
      </c>
      <c r="C100" s="46"/>
      <c r="D100" s="47"/>
      <c r="E100" s="47"/>
      <c r="F100" s="49"/>
      <c r="G100" s="50"/>
      <c r="H100" s="24"/>
      <c r="I100" s="24" t="str">
        <f aca="false">IF($H100="","",N($H100)*N($G100))</f>
        <v/>
      </c>
      <c r="J100" s="25" t="str">
        <f aca="false">IF($H100="","",N($H100)-N($I100))</f>
        <v/>
      </c>
      <c r="K100" s="25"/>
      <c r="L100" s="25" t="str">
        <f aca="false">IF($A100="","",SUMIF($A$4:$A100,$A100,$J$4:$J100)-SUMIF($A$4:$A100,$A100,$K$4:$K100))</f>
        <v/>
      </c>
      <c r="M100" s="26" t="str">
        <f aca="false">IF($H100="","",N($H100))</f>
        <v/>
      </c>
      <c r="N100" s="26"/>
      <c r="O100" s="26"/>
      <c r="P100" s="26" t="str">
        <f aca="false">IF($A100="","",SUMIF($A$4:$A100,$A100,$M$4:$M100)-SUMIF($A$4:$A100,$A100,$N$4:$N100)-SUMIF($A$4:$A100,$A100,$O$4:$O100))</f>
        <v/>
      </c>
      <c r="Q100" s="27"/>
      <c r="R100" s="28"/>
      <c r="S100" s="28"/>
      <c r="T100" s="28" t="str">
        <f aca="false">IF($A100="","",SUMIF($A$4:$A100,$A100,$Q$4:$Q100)-SUMIF($A$4:$A100,$A100,$R$4:$R100)-SUMIF($A$4:$A100,$A100,$S$4:$S100))</f>
        <v/>
      </c>
      <c r="U100" s="28"/>
      <c r="V100" s="29" t="str">
        <f aca="false">IF(AND($C100="",COUNTA($D100:$H100,$K100,$N100:$O100,$Q100:$S100,$U100)=0),"",IF($C100="","⚠ 没填项目名称",IF($A100="⚠目录里没有","⚠ 项目名称在目录里找不到（先加到目录）",IF($A100="","⚠ 目录里这个项目没填简称",IF(ISTEXT($G100)+ISTEXT($H100)+ISTEXT($K100)+ISTEXT($N100)+ISTEXT($O100)+ISTEXT($Q100)+ISTEXT($R100)+ISTEXT($S100)&gt;0,"⚠ 金额列里有文字，算不进合计",IF(N($G100)&gt;=1,"⚠ 管理费点要填百分比，如 10%",IF(AND($D100&lt;&gt;"",$B100=""),"△ 摘要开头没写日期（如 2026.9.21），月份取不到",IF(AND(N($H100)&lt;&gt;0,COUNTIFS($A$4:$A$1003,$A100,$H$4:$H$1003,$H100,$D$4:$D$1003,LEFT($D100,9)&amp;"*")&gt;1),"△ 同一天同项目有一样的销售金额，看看是不是录重了","✓"))))))))</f>
        <v/>
      </c>
      <c r="W100" s="8" t="str">
        <f aca="false">IF($A100="","",$A100&amp;"#"&amp;COUNTIF($A$4:$A100,$A100))</f>
        <v/>
      </c>
    </row>
    <row r="101" customFormat="false" ht="16.5" hidden="false" customHeight="false" outlineLevel="0" collapsed="false">
      <c r="A101" s="44" t="str">
        <f aca="false">IF($C101="","",IFERROR(VLOOKUP($C101,目录!$B:$C,2,0)&amp;"","⚠目录里没有"))</f>
        <v/>
      </c>
      <c r="B101" s="45" t="str">
        <f aca="false">IF($D101="","",IFERROR(MID($D101,FIND(".",$D101)+1,FIND(".",$D101,FIND(".",$D101)+1)-FIND(".",$D101)-1)&amp;"月",""))</f>
        <v/>
      </c>
      <c r="C101" s="46"/>
      <c r="D101" s="47"/>
      <c r="E101" s="47"/>
      <c r="F101" s="49"/>
      <c r="G101" s="50"/>
      <c r="H101" s="24"/>
      <c r="I101" s="24" t="str">
        <f aca="false">IF($H101="","",N($H101)*N($G101))</f>
        <v/>
      </c>
      <c r="J101" s="25" t="str">
        <f aca="false">IF($H101="","",N($H101)-N($I101))</f>
        <v/>
      </c>
      <c r="K101" s="25"/>
      <c r="L101" s="25" t="str">
        <f aca="false">IF($A101="","",SUMIF($A$4:$A101,$A101,$J$4:$J101)-SUMIF($A$4:$A101,$A101,$K$4:$K101))</f>
        <v/>
      </c>
      <c r="M101" s="26" t="str">
        <f aca="false">IF($H101="","",N($H101))</f>
        <v/>
      </c>
      <c r="N101" s="26"/>
      <c r="O101" s="26"/>
      <c r="P101" s="26" t="str">
        <f aca="false">IF($A101="","",SUMIF($A$4:$A101,$A101,$M$4:$M101)-SUMIF($A$4:$A101,$A101,$N$4:$N101)-SUMIF($A$4:$A101,$A101,$O$4:$O101))</f>
        <v/>
      </c>
      <c r="Q101" s="27"/>
      <c r="R101" s="28"/>
      <c r="S101" s="28"/>
      <c r="T101" s="28" t="str">
        <f aca="false">IF($A101="","",SUMIF($A$4:$A101,$A101,$Q$4:$Q101)-SUMIF($A$4:$A101,$A101,$R$4:$R101)-SUMIF($A$4:$A101,$A101,$S$4:$S101))</f>
        <v/>
      </c>
      <c r="U101" s="28"/>
      <c r="V101" s="29" t="str">
        <f aca="false">IF(AND($C101="",COUNTA($D101:$H101,$K101,$N101:$O101,$Q101:$S101,$U101)=0),"",IF($C101="","⚠ 没填项目名称",IF($A101="⚠目录里没有","⚠ 项目名称在目录里找不到（先加到目录）",IF($A101="","⚠ 目录里这个项目没填简称",IF(ISTEXT($G101)+ISTEXT($H101)+ISTEXT($K101)+ISTEXT($N101)+ISTEXT($O101)+ISTEXT($Q101)+ISTEXT($R101)+ISTEXT($S101)&gt;0,"⚠ 金额列里有文字，算不进合计",IF(N($G101)&gt;=1,"⚠ 管理费点要填百分比，如 10%",IF(AND($D101&lt;&gt;"",$B101=""),"△ 摘要开头没写日期（如 2026.9.21），月份取不到",IF(AND(N($H101)&lt;&gt;0,COUNTIFS($A$4:$A$1003,$A101,$H$4:$H$1003,$H101,$D$4:$D$1003,LEFT($D101,9)&amp;"*")&gt;1),"△ 同一天同项目有一样的销售金额，看看是不是录重了","✓"))))))))</f>
        <v/>
      </c>
      <c r="W101" s="8" t="str">
        <f aca="false">IF($A101="","",$A101&amp;"#"&amp;COUNTIF($A$4:$A101,$A101))</f>
        <v/>
      </c>
    </row>
    <row r="102" customFormat="false" ht="16.5" hidden="false" customHeight="false" outlineLevel="0" collapsed="false">
      <c r="A102" s="44" t="str">
        <f aca="false">IF($C102="","",IFERROR(VLOOKUP($C102,目录!$B:$C,2,0)&amp;"","⚠目录里没有"))</f>
        <v/>
      </c>
      <c r="B102" s="45" t="str">
        <f aca="false">IF($D102="","",IFERROR(MID($D102,FIND(".",$D102)+1,FIND(".",$D102,FIND(".",$D102)+1)-FIND(".",$D102)-1)&amp;"月",""))</f>
        <v/>
      </c>
      <c r="C102" s="46"/>
      <c r="D102" s="47"/>
      <c r="E102" s="47"/>
      <c r="F102" s="49"/>
      <c r="G102" s="50"/>
      <c r="H102" s="24"/>
      <c r="I102" s="24" t="str">
        <f aca="false">IF($H102="","",N($H102)*N($G102))</f>
        <v/>
      </c>
      <c r="J102" s="25" t="str">
        <f aca="false">IF($H102="","",N($H102)-N($I102))</f>
        <v/>
      </c>
      <c r="K102" s="25"/>
      <c r="L102" s="25" t="str">
        <f aca="false">IF($A102="","",SUMIF($A$4:$A102,$A102,$J$4:$J102)-SUMIF($A$4:$A102,$A102,$K$4:$K102))</f>
        <v/>
      </c>
      <c r="M102" s="26" t="str">
        <f aca="false">IF($H102="","",N($H102))</f>
        <v/>
      </c>
      <c r="N102" s="26"/>
      <c r="O102" s="26"/>
      <c r="P102" s="26" t="str">
        <f aca="false">IF($A102="","",SUMIF($A$4:$A102,$A102,$M$4:$M102)-SUMIF($A$4:$A102,$A102,$N$4:$N102)-SUMIF($A$4:$A102,$A102,$O$4:$O102))</f>
        <v/>
      </c>
      <c r="Q102" s="27"/>
      <c r="R102" s="28"/>
      <c r="S102" s="28"/>
      <c r="T102" s="28" t="str">
        <f aca="false">IF($A102="","",SUMIF($A$4:$A102,$A102,$Q$4:$Q102)-SUMIF($A$4:$A102,$A102,$R$4:$R102)-SUMIF($A$4:$A102,$A102,$S$4:$S102))</f>
        <v/>
      </c>
      <c r="U102" s="28"/>
      <c r="V102" s="29" t="str">
        <f aca="false">IF(AND($C102="",COUNTA($D102:$H102,$K102,$N102:$O102,$Q102:$S102,$U102)=0),"",IF($C102="","⚠ 没填项目名称",IF($A102="⚠目录里没有","⚠ 项目名称在目录里找不到（先加到目录）",IF($A102="","⚠ 目录里这个项目没填简称",IF(ISTEXT($G102)+ISTEXT($H102)+ISTEXT($K102)+ISTEXT($N102)+ISTEXT($O102)+ISTEXT($Q102)+ISTEXT($R102)+ISTEXT($S102)&gt;0,"⚠ 金额列里有文字，算不进合计",IF(N($G102)&gt;=1,"⚠ 管理费点要填百分比，如 10%",IF(AND($D102&lt;&gt;"",$B102=""),"△ 摘要开头没写日期（如 2026.9.21），月份取不到",IF(AND(N($H102)&lt;&gt;0,COUNTIFS($A$4:$A$1003,$A102,$H$4:$H$1003,$H102,$D$4:$D$1003,LEFT($D102,9)&amp;"*")&gt;1),"△ 同一天同项目有一样的销售金额，看看是不是录重了","✓"))))))))</f>
        <v/>
      </c>
      <c r="W102" s="8" t="str">
        <f aca="false">IF($A102="","",$A102&amp;"#"&amp;COUNTIF($A$4:$A102,$A102))</f>
        <v/>
      </c>
    </row>
    <row r="103" customFormat="false" ht="16.5" hidden="false" customHeight="false" outlineLevel="0" collapsed="false">
      <c r="A103" s="44" t="str">
        <f aca="false">IF($C103="","",IFERROR(VLOOKUP($C103,目录!$B:$C,2,0)&amp;"","⚠目录里没有"))</f>
        <v/>
      </c>
      <c r="B103" s="45" t="str">
        <f aca="false">IF($D103="","",IFERROR(MID($D103,FIND(".",$D103)+1,FIND(".",$D103,FIND(".",$D103)+1)-FIND(".",$D103)-1)&amp;"月",""))</f>
        <v/>
      </c>
      <c r="C103" s="46"/>
      <c r="D103" s="47"/>
      <c r="E103" s="47"/>
      <c r="F103" s="49"/>
      <c r="G103" s="50"/>
      <c r="H103" s="24"/>
      <c r="I103" s="24" t="str">
        <f aca="false">IF($H103="","",N($H103)*N($G103))</f>
        <v/>
      </c>
      <c r="J103" s="25" t="str">
        <f aca="false">IF($H103="","",N($H103)-N($I103))</f>
        <v/>
      </c>
      <c r="K103" s="25"/>
      <c r="L103" s="25" t="str">
        <f aca="false">IF($A103="","",SUMIF($A$4:$A103,$A103,$J$4:$J103)-SUMIF($A$4:$A103,$A103,$K$4:$K103))</f>
        <v/>
      </c>
      <c r="M103" s="26" t="str">
        <f aca="false">IF($H103="","",N($H103))</f>
        <v/>
      </c>
      <c r="N103" s="26"/>
      <c r="O103" s="26"/>
      <c r="P103" s="26" t="str">
        <f aca="false">IF($A103="","",SUMIF($A$4:$A103,$A103,$M$4:$M103)-SUMIF($A$4:$A103,$A103,$N$4:$N103)-SUMIF($A$4:$A103,$A103,$O$4:$O103))</f>
        <v/>
      </c>
      <c r="Q103" s="27"/>
      <c r="R103" s="28"/>
      <c r="S103" s="28"/>
      <c r="T103" s="28" t="str">
        <f aca="false">IF($A103="","",SUMIF($A$4:$A103,$A103,$Q$4:$Q103)-SUMIF($A$4:$A103,$A103,$R$4:$R103)-SUMIF($A$4:$A103,$A103,$S$4:$S103))</f>
        <v/>
      </c>
      <c r="U103" s="28"/>
      <c r="V103" s="29" t="str">
        <f aca="false">IF(AND($C103="",COUNTA($D103:$H103,$K103,$N103:$O103,$Q103:$S103,$U103)=0),"",IF($C103="","⚠ 没填项目名称",IF($A103="⚠目录里没有","⚠ 项目名称在目录里找不到（先加到目录）",IF($A103="","⚠ 目录里这个项目没填简称",IF(ISTEXT($G103)+ISTEXT($H103)+ISTEXT($K103)+ISTEXT($N103)+ISTEXT($O103)+ISTEXT($Q103)+ISTEXT($R103)+ISTEXT($S103)&gt;0,"⚠ 金额列里有文字，算不进合计",IF(N($G103)&gt;=1,"⚠ 管理费点要填百分比，如 10%",IF(AND($D103&lt;&gt;"",$B103=""),"△ 摘要开头没写日期（如 2026.9.21），月份取不到",IF(AND(N($H103)&lt;&gt;0,COUNTIFS($A$4:$A$1003,$A103,$H$4:$H$1003,$H103,$D$4:$D$1003,LEFT($D103,9)&amp;"*")&gt;1),"△ 同一天同项目有一样的销售金额，看看是不是录重了","✓"))))))))</f>
        <v/>
      </c>
      <c r="W103" s="8" t="str">
        <f aca="false">IF($A103="","",$A103&amp;"#"&amp;COUNTIF($A$4:$A103,$A103))</f>
        <v/>
      </c>
    </row>
    <row r="104" customFormat="false" ht="16.5" hidden="false" customHeight="false" outlineLevel="0" collapsed="false">
      <c r="A104" s="44" t="str">
        <f aca="false">IF($C104="","",IFERROR(VLOOKUP($C104,目录!$B:$C,2,0)&amp;"","⚠目录里没有"))</f>
        <v/>
      </c>
      <c r="B104" s="45" t="str">
        <f aca="false">IF($D104="","",IFERROR(MID($D104,FIND(".",$D104)+1,FIND(".",$D104,FIND(".",$D104)+1)-FIND(".",$D104)-1)&amp;"月",""))</f>
        <v/>
      </c>
      <c r="C104" s="46"/>
      <c r="D104" s="47"/>
      <c r="E104" s="47"/>
      <c r="F104" s="49"/>
      <c r="G104" s="50"/>
      <c r="H104" s="24"/>
      <c r="I104" s="24" t="str">
        <f aca="false">IF($H104="","",N($H104)*N($G104))</f>
        <v/>
      </c>
      <c r="J104" s="25" t="str">
        <f aca="false">IF($H104="","",N($H104)-N($I104))</f>
        <v/>
      </c>
      <c r="K104" s="25"/>
      <c r="L104" s="25" t="str">
        <f aca="false">IF($A104="","",SUMIF($A$4:$A104,$A104,$J$4:$J104)-SUMIF($A$4:$A104,$A104,$K$4:$K104))</f>
        <v/>
      </c>
      <c r="M104" s="26" t="str">
        <f aca="false">IF($H104="","",N($H104))</f>
        <v/>
      </c>
      <c r="N104" s="26"/>
      <c r="O104" s="26"/>
      <c r="P104" s="26" t="str">
        <f aca="false">IF($A104="","",SUMIF($A$4:$A104,$A104,$M$4:$M104)-SUMIF($A$4:$A104,$A104,$N$4:$N104)-SUMIF($A$4:$A104,$A104,$O$4:$O104))</f>
        <v/>
      </c>
      <c r="Q104" s="27"/>
      <c r="R104" s="28"/>
      <c r="S104" s="28"/>
      <c r="T104" s="28" t="str">
        <f aca="false">IF($A104="","",SUMIF($A$4:$A104,$A104,$Q$4:$Q104)-SUMIF($A$4:$A104,$A104,$R$4:$R104)-SUMIF($A$4:$A104,$A104,$S$4:$S104))</f>
        <v/>
      </c>
      <c r="U104" s="28"/>
      <c r="V104" s="29" t="str">
        <f aca="false">IF(AND($C104="",COUNTA($D104:$H104,$K104,$N104:$O104,$Q104:$S104,$U104)=0),"",IF($C104="","⚠ 没填项目名称",IF($A104="⚠目录里没有","⚠ 项目名称在目录里找不到（先加到目录）",IF($A104="","⚠ 目录里这个项目没填简称",IF(ISTEXT($G104)+ISTEXT($H104)+ISTEXT($K104)+ISTEXT($N104)+ISTEXT($O104)+ISTEXT($Q104)+ISTEXT($R104)+ISTEXT($S104)&gt;0,"⚠ 金额列里有文字，算不进合计",IF(N($G104)&gt;=1,"⚠ 管理费点要填百分比，如 10%",IF(AND($D104&lt;&gt;"",$B104=""),"△ 摘要开头没写日期（如 2026.9.21），月份取不到",IF(AND(N($H104)&lt;&gt;0,COUNTIFS($A$4:$A$1003,$A104,$H$4:$H$1003,$H104,$D$4:$D$1003,LEFT($D104,9)&amp;"*")&gt;1),"△ 同一天同项目有一样的销售金额，看看是不是录重了","✓"))))))))</f>
        <v/>
      </c>
      <c r="W104" s="8" t="str">
        <f aca="false">IF($A104="","",$A104&amp;"#"&amp;COUNTIF($A$4:$A104,$A104))</f>
        <v/>
      </c>
    </row>
    <row r="105" customFormat="false" ht="16.5" hidden="false" customHeight="false" outlineLevel="0" collapsed="false">
      <c r="A105" s="44" t="str">
        <f aca="false">IF($C105="","",IFERROR(VLOOKUP($C105,目录!$B:$C,2,0)&amp;"","⚠目录里没有"))</f>
        <v/>
      </c>
      <c r="B105" s="45" t="str">
        <f aca="false">IF($D105="","",IFERROR(MID($D105,FIND(".",$D105)+1,FIND(".",$D105,FIND(".",$D105)+1)-FIND(".",$D105)-1)&amp;"月",""))</f>
        <v/>
      </c>
      <c r="C105" s="46"/>
      <c r="D105" s="47"/>
      <c r="E105" s="47"/>
      <c r="F105" s="49"/>
      <c r="G105" s="50"/>
      <c r="H105" s="24"/>
      <c r="I105" s="24" t="str">
        <f aca="false">IF($H105="","",N($H105)*N($G105))</f>
        <v/>
      </c>
      <c r="J105" s="25" t="str">
        <f aca="false">IF($H105="","",N($H105)-N($I105))</f>
        <v/>
      </c>
      <c r="K105" s="25"/>
      <c r="L105" s="25" t="str">
        <f aca="false">IF($A105="","",SUMIF($A$4:$A105,$A105,$J$4:$J105)-SUMIF($A$4:$A105,$A105,$K$4:$K105))</f>
        <v/>
      </c>
      <c r="M105" s="26" t="str">
        <f aca="false">IF($H105="","",N($H105))</f>
        <v/>
      </c>
      <c r="N105" s="26"/>
      <c r="O105" s="26"/>
      <c r="P105" s="26" t="str">
        <f aca="false">IF($A105="","",SUMIF($A$4:$A105,$A105,$M$4:$M105)-SUMIF($A$4:$A105,$A105,$N$4:$N105)-SUMIF($A$4:$A105,$A105,$O$4:$O105))</f>
        <v/>
      </c>
      <c r="Q105" s="27"/>
      <c r="R105" s="28"/>
      <c r="S105" s="28"/>
      <c r="T105" s="28" t="str">
        <f aca="false">IF($A105="","",SUMIF($A$4:$A105,$A105,$Q$4:$Q105)-SUMIF($A$4:$A105,$A105,$R$4:$R105)-SUMIF($A$4:$A105,$A105,$S$4:$S105))</f>
        <v/>
      </c>
      <c r="U105" s="28"/>
      <c r="V105" s="29" t="str">
        <f aca="false">IF(AND($C105="",COUNTA($D105:$H105,$K105,$N105:$O105,$Q105:$S105,$U105)=0),"",IF($C105="","⚠ 没填项目名称",IF($A105="⚠目录里没有","⚠ 项目名称在目录里找不到（先加到目录）",IF($A105="","⚠ 目录里这个项目没填简称",IF(ISTEXT($G105)+ISTEXT($H105)+ISTEXT($K105)+ISTEXT($N105)+ISTEXT($O105)+ISTEXT($Q105)+ISTEXT($R105)+ISTEXT($S105)&gt;0,"⚠ 金额列里有文字，算不进合计",IF(N($G105)&gt;=1,"⚠ 管理费点要填百分比，如 10%",IF(AND($D105&lt;&gt;"",$B105=""),"△ 摘要开头没写日期（如 2026.9.21），月份取不到",IF(AND(N($H105)&lt;&gt;0,COUNTIFS($A$4:$A$1003,$A105,$H$4:$H$1003,$H105,$D$4:$D$1003,LEFT($D105,9)&amp;"*")&gt;1),"△ 同一天同项目有一样的销售金额，看看是不是录重了","✓"))))))))</f>
        <v/>
      </c>
      <c r="W105" s="8" t="str">
        <f aca="false">IF($A105="","",$A105&amp;"#"&amp;COUNTIF($A$4:$A105,$A105))</f>
        <v/>
      </c>
    </row>
    <row r="106" customFormat="false" ht="16.5" hidden="false" customHeight="false" outlineLevel="0" collapsed="false">
      <c r="A106" s="44" t="str">
        <f aca="false">IF($C106="","",IFERROR(VLOOKUP($C106,目录!$B:$C,2,0)&amp;"","⚠目录里没有"))</f>
        <v/>
      </c>
      <c r="B106" s="45" t="str">
        <f aca="false">IF($D106="","",IFERROR(MID($D106,FIND(".",$D106)+1,FIND(".",$D106,FIND(".",$D106)+1)-FIND(".",$D106)-1)&amp;"月",""))</f>
        <v/>
      </c>
      <c r="C106" s="46"/>
      <c r="D106" s="47"/>
      <c r="E106" s="47"/>
      <c r="F106" s="49"/>
      <c r="G106" s="50"/>
      <c r="H106" s="24"/>
      <c r="I106" s="24" t="str">
        <f aca="false">IF($H106="","",N($H106)*N($G106))</f>
        <v/>
      </c>
      <c r="J106" s="25" t="str">
        <f aca="false">IF($H106="","",N($H106)-N($I106))</f>
        <v/>
      </c>
      <c r="K106" s="25"/>
      <c r="L106" s="25" t="str">
        <f aca="false">IF($A106="","",SUMIF($A$4:$A106,$A106,$J$4:$J106)-SUMIF($A$4:$A106,$A106,$K$4:$K106))</f>
        <v/>
      </c>
      <c r="M106" s="26" t="str">
        <f aca="false">IF($H106="","",N($H106))</f>
        <v/>
      </c>
      <c r="N106" s="26"/>
      <c r="O106" s="26"/>
      <c r="P106" s="26" t="str">
        <f aca="false">IF($A106="","",SUMIF($A$4:$A106,$A106,$M$4:$M106)-SUMIF($A$4:$A106,$A106,$N$4:$N106)-SUMIF($A$4:$A106,$A106,$O$4:$O106))</f>
        <v/>
      </c>
      <c r="Q106" s="27"/>
      <c r="R106" s="28"/>
      <c r="S106" s="28"/>
      <c r="T106" s="28" t="str">
        <f aca="false">IF($A106="","",SUMIF($A$4:$A106,$A106,$Q$4:$Q106)-SUMIF($A$4:$A106,$A106,$R$4:$R106)-SUMIF($A$4:$A106,$A106,$S$4:$S106))</f>
        <v/>
      </c>
      <c r="U106" s="28"/>
      <c r="V106" s="29" t="str">
        <f aca="false">IF(AND($C106="",COUNTA($D106:$H106,$K106,$N106:$O106,$Q106:$S106,$U106)=0),"",IF($C106="","⚠ 没填项目名称",IF($A106="⚠目录里没有","⚠ 项目名称在目录里找不到（先加到目录）",IF($A106="","⚠ 目录里这个项目没填简称",IF(ISTEXT($G106)+ISTEXT($H106)+ISTEXT($K106)+ISTEXT($N106)+ISTEXT($O106)+ISTEXT($Q106)+ISTEXT($R106)+ISTEXT($S106)&gt;0,"⚠ 金额列里有文字，算不进合计",IF(N($G106)&gt;=1,"⚠ 管理费点要填百分比，如 10%",IF(AND($D106&lt;&gt;"",$B106=""),"△ 摘要开头没写日期（如 2026.9.21），月份取不到",IF(AND(N($H106)&lt;&gt;0,COUNTIFS($A$4:$A$1003,$A106,$H$4:$H$1003,$H106,$D$4:$D$1003,LEFT($D106,9)&amp;"*")&gt;1),"△ 同一天同项目有一样的销售金额，看看是不是录重了","✓"))))))))</f>
        <v/>
      </c>
      <c r="W106" s="8" t="str">
        <f aca="false">IF($A106="","",$A106&amp;"#"&amp;COUNTIF($A$4:$A106,$A106))</f>
        <v/>
      </c>
    </row>
    <row r="107" customFormat="false" ht="16.5" hidden="false" customHeight="false" outlineLevel="0" collapsed="false">
      <c r="A107" s="44" t="str">
        <f aca="false">IF($C107="","",IFERROR(VLOOKUP($C107,目录!$B:$C,2,0)&amp;"","⚠目录里没有"))</f>
        <v/>
      </c>
      <c r="B107" s="45" t="str">
        <f aca="false">IF($D107="","",IFERROR(MID($D107,FIND(".",$D107)+1,FIND(".",$D107,FIND(".",$D107)+1)-FIND(".",$D107)-1)&amp;"月",""))</f>
        <v/>
      </c>
      <c r="C107" s="46"/>
      <c r="D107" s="47"/>
      <c r="E107" s="47"/>
      <c r="F107" s="49"/>
      <c r="G107" s="50"/>
      <c r="H107" s="24"/>
      <c r="I107" s="24" t="str">
        <f aca="false">IF($H107="","",N($H107)*N($G107))</f>
        <v/>
      </c>
      <c r="J107" s="25" t="str">
        <f aca="false">IF($H107="","",N($H107)-N($I107))</f>
        <v/>
      </c>
      <c r="K107" s="25"/>
      <c r="L107" s="25" t="str">
        <f aca="false">IF($A107="","",SUMIF($A$4:$A107,$A107,$J$4:$J107)-SUMIF($A$4:$A107,$A107,$K$4:$K107))</f>
        <v/>
      </c>
      <c r="M107" s="26" t="str">
        <f aca="false">IF($H107="","",N($H107))</f>
        <v/>
      </c>
      <c r="N107" s="26"/>
      <c r="O107" s="26"/>
      <c r="P107" s="26" t="str">
        <f aca="false">IF($A107="","",SUMIF($A$4:$A107,$A107,$M$4:$M107)-SUMIF($A$4:$A107,$A107,$N$4:$N107)-SUMIF($A$4:$A107,$A107,$O$4:$O107))</f>
        <v/>
      </c>
      <c r="Q107" s="27"/>
      <c r="R107" s="28"/>
      <c r="S107" s="28"/>
      <c r="T107" s="28" t="str">
        <f aca="false">IF($A107="","",SUMIF($A$4:$A107,$A107,$Q$4:$Q107)-SUMIF($A$4:$A107,$A107,$R$4:$R107)-SUMIF($A$4:$A107,$A107,$S$4:$S107))</f>
        <v/>
      </c>
      <c r="U107" s="28"/>
      <c r="V107" s="29" t="str">
        <f aca="false">IF(AND($C107="",COUNTA($D107:$H107,$K107,$N107:$O107,$Q107:$S107,$U107)=0),"",IF($C107="","⚠ 没填项目名称",IF($A107="⚠目录里没有","⚠ 项目名称在目录里找不到（先加到目录）",IF($A107="","⚠ 目录里这个项目没填简称",IF(ISTEXT($G107)+ISTEXT($H107)+ISTEXT($K107)+ISTEXT($N107)+ISTEXT($O107)+ISTEXT($Q107)+ISTEXT($R107)+ISTEXT($S107)&gt;0,"⚠ 金额列里有文字，算不进合计",IF(N($G107)&gt;=1,"⚠ 管理费点要填百分比，如 10%",IF(AND($D107&lt;&gt;"",$B107=""),"△ 摘要开头没写日期（如 2026.9.21），月份取不到",IF(AND(N($H107)&lt;&gt;0,COUNTIFS($A$4:$A$1003,$A107,$H$4:$H$1003,$H107,$D$4:$D$1003,LEFT($D107,9)&amp;"*")&gt;1),"△ 同一天同项目有一样的销售金额，看看是不是录重了","✓"))))))))</f>
        <v/>
      </c>
      <c r="W107" s="8" t="str">
        <f aca="false">IF($A107="","",$A107&amp;"#"&amp;COUNTIF($A$4:$A107,$A107))</f>
        <v/>
      </c>
    </row>
    <row r="108" customFormat="false" ht="16.5" hidden="false" customHeight="false" outlineLevel="0" collapsed="false">
      <c r="A108" s="44" t="str">
        <f aca="false">IF($C108="","",IFERROR(VLOOKUP($C108,目录!$B:$C,2,0)&amp;"","⚠目录里没有"))</f>
        <v/>
      </c>
      <c r="B108" s="45" t="str">
        <f aca="false">IF($D108="","",IFERROR(MID($D108,FIND(".",$D108)+1,FIND(".",$D108,FIND(".",$D108)+1)-FIND(".",$D108)-1)&amp;"月",""))</f>
        <v/>
      </c>
      <c r="C108" s="46"/>
      <c r="D108" s="47"/>
      <c r="E108" s="47"/>
      <c r="F108" s="49"/>
      <c r="G108" s="50"/>
      <c r="H108" s="24"/>
      <c r="I108" s="24" t="str">
        <f aca="false">IF($H108="","",N($H108)*N($G108))</f>
        <v/>
      </c>
      <c r="J108" s="25" t="str">
        <f aca="false">IF($H108="","",N($H108)-N($I108))</f>
        <v/>
      </c>
      <c r="K108" s="25"/>
      <c r="L108" s="25" t="str">
        <f aca="false">IF($A108="","",SUMIF($A$4:$A108,$A108,$J$4:$J108)-SUMIF($A$4:$A108,$A108,$K$4:$K108))</f>
        <v/>
      </c>
      <c r="M108" s="26" t="str">
        <f aca="false">IF($H108="","",N($H108))</f>
        <v/>
      </c>
      <c r="N108" s="26"/>
      <c r="O108" s="26"/>
      <c r="P108" s="26" t="str">
        <f aca="false">IF($A108="","",SUMIF($A$4:$A108,$A108,$M$4:$M108)-SUMIF($A$4:$A108,$A108,$N$4:$N108)-SUMIF($A$4:$A108,$A108,$O$4:$O108))</f>
        <v/>
      </c>
      <c r="Q108" s="27"/>
      <c r="R108" s="28"/>
      <c r="S108" s="28"/>
      <c r="T108" s="28" t="str">
        <f aca="false">IF($A108="","",SUMIF($A$4:$A108,$A108,$Q$4:$Q108)-SUMIF($A$4:$A108,$A108,$R$4:$R108)-SUMIF($A$4:$A108,$A108,$S$4:$S108))</f>
        <v/>
      </c>
      <c r="U108" s="28"/>
      <c r="V108" s="29" t="str">
        <f aca="false">IF(AND($C108="",COUNTA($D108:$H108,$K108,$N108:$O108,$Q108:$S108,$U108)=0),"",IF($C108="","⚠ 没填项目名称",IF($A108="⚠目录里没有","⚠ 项目名称在目录里找不到（先加到目录）",IF($A108="","⚠ 目录里这个项目没填简称",IF(ISTEXT($G108)+ISTEXT($H108)+ISTEXT($K108)+ISTEXT($N108)+ISTEXT($O108)+ISTEXT($Q108)+ISTEXT($R108)+ISTEXT($S108)&gt;0,"⚠ 金额列里有文字，算不进合计",IF(N($G108)&gt;=1,"⚠ 管理费点要填百分比，如 10%",IF(AND($D108&lt;&gt;"",$B108=""),"△ 摘要开头没写日期（如 2026.9.21），月份取不到",IF(AND(N($H108)&lt;&gt;0,COUNTIFS($A$4:$A$1003,$A108,$H$4:$H$1003,$H108,$D$4:$D$1003,LEFT($D108,9)&amp;"*")&gt;1),"△ 同一天同项目有一样的销售金额，看看是不是录重了","✓"))))))))</f>
        <v/>
      </c>
      <c r="W108" s="8" t="str">
        <f aca="false">IF($A108="","",$A108&amp;"#"&amp;COUNTIF($A$4:$A108,$A108))</f>
        <v/>
      </c>
    </row>
    <row r="109" customFormat="false" ht="16.5" hidden="false" customHeight="false" outlineLevel="0" collapsed="false">
      <c r="A109" s="44" t="str">
        <f aca="false">IF($C109="","",IFERROR(VLOOKUP($C109,目录!$B:$C,2,0)&amp;"","⚠目录里没有"))</f>
        <v/>
      </c>
      <c r="B109" s="45" t="str">
        <f aca="false">IF($D109="","",IFERROR(MID($D109,FIND(".",$D109)+1,FIND(".",$D109,FIND(".",$D109)+1)-FIND(".",$D109)-1)&amp;"月",""))</f>
        <v/>
      </c>
      <c r="C109" s="46"/>
      <c r="D109" s="47"/>
      <c r="E109" s="47"/>
      <c r="F109" s="49"/>
      <c r="G109" s="50"/>
      <c r="H109" s="24"/>
      <c r="I109" s="24" t="str">
        <f aca="false">IF($H109="","",N($H109)*N($G109))</f>
        <v/>
      </c>
      <c r="J109" s="25" t="str">
        <f aca="false">IF($H109="","",N($H109)-N($I109))</f>
        <v/>
      </c>
      <c r="K109" s="25"/>
      <c r="L109" s="25" t="str">
        <f aca="false">IF($A109="","",SUMIF($A$4:$A109,$A109,$J$4:$J109)-SUMIF($A$4:$A109,$A109,$K$4:$K109))</f>
        <v/>
      </c>
      <c r="M109" s="26" t="str">
        <f aca="false">IF($H109="","",N($H109))</f>
        <v/>
      </c>
      <c r="N109" s="26"/>
      <c r="O109" s="26"/>
      <c r="P109" s="26" t="str">
        <f aca="false">IF($A109="","",SUMIF($A$4:$A109,$A109,$M$4:$M109)-SUMIF($A$4:$A109,$A109,$N$4:$N109)-SUMIF($A$4:$A109,$A109,$O$4:$O109))</f>
        <v/>
      </c>
      <c r="Q109" s="27"/>
      <c r="R109" s="28"/>
      <c r="S109" s="28"/>
      <c r="T109" s="28" t="str">
        <f aca="false">IF($A109="","",SUMIF($A$4:$A109,$A109,$Q$4:$Q109)-SUMIF($A$4:$A109,$A109,$R$4:$R109)-SUMIF($A$4:$A109,$A109,$S$4:$S109))</f>
        <v/>
      </c>
      <c r="U109" s="28"/>
      <c r="V109" s="29" t="str">
        <f aca="false">IF(AND($C109="",COUNTA($D109:$H109,$K109,$N109:$O109,$Q109:$S109,$U109)=0),"",IF($C109="","⚠ 没填项目名称",IF($A109="⚠目录里没有","⚠ 项目名称在目录里找不到（先加到目录）",IF($A109="","⚠ 目录里这个项目没填简称",IF(ISTEXT($G109)+ISTEXT($H109)+ISTEXT($K109)+ISTEXT($N109)+ISTEXT($O109)+ISTEXT($Q109)+ISTEXT($R109)+ISTEXT($S109)&gt;0,"⚠ 金额列里有文字，算不进合计",IF(N($G109)&gt;=1,"⚠ 管理费点要填百分比，如 10%",IF(AND($D109&lt;&gt;"",$B109=""),"△ 摘要开头没写日期（如 2026.9.21），月份取不到",IF(AND(N($H109)&lt;&gt;0,COUNTIFS($A$4:$A$1003,$A109,$H$4:$H$1003,$H109,$D$4:$D$1003,LEFT($D109,9)&amp;"*")&gt;1),"△ 同一天同项目有一样的销售金额，看看是不是录重了","✓"))))))))</f>
        <v/>
      </c>
      <c r="W109" s="8" t="str">
        <f aca="false">IF($A109="","",$A109&amp;"#"&amp;COUNTIF($A$4:$A109,$A109))</f>
        <v/>
      </c>
    </row>
    <row r="110" customFormat="false" ht="16.5" hidden="false" customHeight="false" outlineLevel="0" collapsed="false">
      <c r="A110" s="44" t="str">
        <f aca="false">IF($C110="","",IFERROR(VLOOKUP($C110,目录!$B:$C,2,0)&amp;"","⚠目录里没有"))</f>
        <v/>
      </c>
      <c r="B110" s="45" t="str">
        <f aca="false">IF($D110="","",IFERROR(MID($D110,FIND(".",$D110)+1,FIND(".",$D110,FIND(".",$D110)+1)-FIND(".",$D110)-1)&amp;"月",""))</f>
        <v/>
      </c>
      <c r="C110" s="46"/>
      <c r="D110" s="47"/>
      <c r="E110" s="47"/>
      <c r="F110" s="49"/>
      <c r="G110" s="50"/>
      <c r="H110" s="24"/>
      <c r="I110" s="24" t="str">
        <f aca="false">IF($H110="","",N($H110)*N($G110))</f>
        <v/>
      </c>
      <c r="J110" s="25" t="str">
        <f aca="false">IF($H110="","",N($H110)-N($I110))</f>
        <v/>
      </c>
      <c r="K110" s="25"/>
      <c r="L110" s="25" t="str">
        <f aca="false">IF($A110="","",SUMIF($A$4:$A110,$A110,$J$4:$J110)-SUMIF($A$4:$A110,$A110,$K$4:$K110))</f>
        <v/>
      </c>
      <c r="M110" s="26" t="str">
        <f aca="false">IF($H110="","",N($H110))</f>
        <v/>
      </c>
      <c r="N110" s="26"/>
      <c r="O110" s="26"/>
      <c r="P110" s="26" t="str">
        <f aca="false">IF($A110="","",SUMIF($A$4:$A110,$A110,$M$4:$M110)-SUMIF($A$4:$A110,$A110,$N$4:$N110)-SUMIF($A$4:$A110,$A110,$O$4:$O110))</f>
        <v/>
      </c>
      <c r="Q110" s="27"/>
      <c r="R110" s="28"/>
      <c r="S110" s="28"/>
      <c r="T110" s="28" t="str">
        <f aca="false">IF($A110="","",SUMIF($A$4:$A110,$A110,$Q$4:$Q110)-SUMIF($A$4:$A110,$A110,$R$4:$R110)-SUMIF($A$4:$A110,$A110,$S$4:$S110))</f>
        <v/>
      </c>
      <c r="U110" s="28"/>
      <c r="V110" s="29" t="str">
        <f aca="false">IF(AND($C110="",COUNTA($D110:$H110,$K110,$N110:$O110,$Q110:$S110,$U110)=0),"",IF($C110="","⚠ 没填项目名称",IF($A110="⚠目录里没有","⚠ 项目名称在目录里找不到（先加到目录）",IF($A110="","⚠ 目录里这个项目没填简称",IF(ISTEXT($G110)+ISTEXT($H110)+ISTEXT($K110)+ISTEXT($N110)+ISTEXT($O110)+ISTEXT($Q110)+ISTEXT($R110)+ISTEXT($S110)&gt;0,"⚠ 金额列里有文字，算不进合计",IF(N($G110)&gt;=1,"⚠ 管理费点要填百分比，如 10%",IF(AND($D110&lt;&gt;"",$B110=""),"△ 摘要开头没写日期（如 2026.9.21），月份取不到",IF(AND(N($H110)&lt;&gt;0,COUNTIFS($A$4:$A$1003,$A110,$H$4:$H$1003,$H110,$D$4:$D$1003,LEFT($D110,9)&amp;"*")&gt;1),"△ 同一天同项目有一样的销售金额，看看是不是录重了","✓"))))))))</f>
        <v/>
      </c>
      <c r="W110" s="8" t="str">
        <f aca="false">IF($A110="","",$A110&amp;"#"&amp;COUNTIF($A$4:$A110,$A110))</f>
        <v/>
      </c>
    </row>
    <row r="111" customFormat="false" ht="16.5" hidden="false" customHeight="false" outlineLevel="0" collapsed="false">
      <c r="A111" s="44" t="str">
        <f aca="false">IF($C111="","",IFERROR(VLOOKUP($C111,目录!$B:$C,2,0)&amp;"","⚠目录里没有"))</f>
        <v/>
      </c>
      <c r="B111" s="45" t="str">
        <f aca="false">IF($D111="","",IFERROR(MID($D111,FIND(".",$D111)+1,FIND(".",$D111,FIND(".",$D111)+1)-FIND(".",$D111)-1)&amp;"月",""))</f>
        <v/>
      </c>
      <c r="C111" s="46"/>
      <c r="D111" s="47"/>
      <c r="E111" s="47"/>
      <c r="F111" s="49"/>
      <c r="G111" s="50"/>
      <c r="H111" s="24"/>
      <c r="I111" s="24" t="str">
        <f aca="false">IF($H111="","",N($H111)*N($G111))</f>
        <v/>
      </c>
      <c r="J111" s="25" t="str">
        <f aca="false">IF($H111="","",N($H111)-N($I111))</f>
        <v/>
      </c>
      <c r="K111" s="25"/>
      <c r="L111" s="25" t="str">
        <f aca="false">IF($A111="","",SUMIF($A$4:$A111,$A111,$J$4:$J111)-SUMIF($A$4:$A111,$A111,$K$4:$K111))</f>
        <v/>
      </c>
      <c r="M111" s="26" t="str">
        <f aca="false">IF($H111="","",N($H111))</f>
        <v/>
      </c>
      <c r="N111" s="26"/>
      <c r="O111" s="26"/>
      <c r="P111" s="26" t="str">
        <f aca="false">IF($A111="","",SUMIF($A$4:$A111,$A111,$M$4:$M111)-SUMIF($A$4:$A111,$A111,$N$4:$N111)-SUMIF($A$4:$A111,$A111,$O$4:$O111))</f>
        <v/>
      </c>
      <c r="Q111" s="27"/>
      <c r="R111" s="28"/>
      <c r="S111" s="28"/>
      <c r="T111" s="28" t="str">
        <f aca="false">IF($A111="","",SUMIF($A$4:$A111,$A111,$Q$4:$Q111)-SUMIF($A$4:$A111,$A111,$R$4:$R111)-SUMIF($A$4:$A111,$A111,$S$4:$S111))</f>
        <v/>
      </c>
      <c r="U111" s="28"/>
      <c r="V111" s="29" t="str">
        <f aca="false">IF(AND($C111="",COUNTA($D111:$H111,$K111,$N111:$O111,$Q111:$S111,$U111)=0),"",IF($C111="","⚠ 没填项目名称",IF($A111="⚠目录里没有","⚠ 项目名称在目录里找不到（先加到目录）",IF($A111="","⚠ 目录里这个项目没填简称",IF(ISTEXT($G111)+ISTEXT($H111)+ISTEXT($K111)+ISTEXT($N111)+ISTEXT($O111)+ISTEXT($Q111)+ISTEXT($R111)+ISTEXT($S111)&gt;0,"⚠ 金额列里有文字，算不进合计",IF(N($G111)&gt;=1,"⚠ 管理费点要填百分比，如 10%",IF(AND($D111&lt;&gt;"",$B111=""),"△ 摘要开头没写日期（如 2026.9.21），月份取不到",IF(AND(N($H111)&lt;&gt;0,COUNTIFS($A$4:$A$1003,$A111,$H$4:$H$1003,$H111,$D$4:$D$1003,LEFT($D111,9)&amp;"*")&gt;1),"△ 同一天同项目有一样的销售金额，看看是不是录重了","✓"))))))))</f>
        <v/>
      </c>
      <c r="W111" s="8" t="str">
        <f aca="false">IF($A111="","",$A111&amp;"#"&amp;COUNTIF($A$4:$A111,$A111))</f>
        <v/>
      </c>
    </row>
    <row r="112" customFormat="false" ht="16.5" hidden="false" customHeight="false" outlineLevel="0" collapsed="false">
      <c r="A112" s="44" t="str">
        <f aca="false">IF($C112="","",IFERROR(VLOOKUP($C112,目录!$B:$C,2,0)&amp;"","⚠目录里没有"))</f>
        <v/>
      </c>
      <c r="B112" s="45" t="str">
        <f aca="false">IF($D112="","",IFERROR(MID($D112,FIND(".",$D112)+1,FIND(".",$D112,FIND(".",$D112)+1)-FIND(".",$D112)-1)&amp;"月",""))</f>
        <v/>
      </c>
      <c r="C112" s="46"/>
      <c r="D112" s="47"/>
      <c r="E112" s="47"/>
      <c r="F112" s="49"/>
      <c r="G112" s="50"/>
      <c r="H112" s="24"/>
      <c r="I112" s="24" t="str">
        <f aca="false">IF($H112="","",N($H112)*N($G112))</f>
        <v/>
      </c>
      <c r="J112" s="25" t="str">
        <f aca="false">IF($H112="","",N($H112)-N($I112))</f>
        <v/>
      </c>
      <c r="K112" s="25"/>
      <c r="L112" s="25" t="str">
        <f aca="false">IF($A112="","",SUMIF($A$4:$A112,$A112,$J$4:$J112)-SUMIF($A$4:$A112,$A112,$K$4:$K112))</f>
        <v/>
      </c>
      <c r="M112" s="26" t="str">
        <f aca="false">IF($H112="","",N($H112))</f>
        <v/>
      </c>
      <c r="N112" s="26"/>
      <c r="O112" s="26"/>
      <c r="P112" s="26" t="str">
        <f aca="false">IF($A112="","",SUMIF($A$4:$A112,$A112,$M$4:$M112)-SUMIF($A$4:$A112,$A112,$N$4:$N112)-SUMIF($A$4:$A112,$A112,$O$4:$O112))</f>
        <v/>
      </c>
      <c r="Q112" s="27"/>
      <c r="R112" s="28"/>
      <c r="S112" s="28"/>
      <c r="T112" s="28" t="str">
        <f aca="false">IF($A112="","",SUMIF($A$4:$A112,$A112,$Q$4:$Q112)-SUMIF($A$4:$A112,$A112,$R$4:$R112)-SUMIF($A$4:$A112,$A112,$S$4:$S112))</f>
        <v/>
      </c>
      <c r="U112" s="28"/>
      <c r="V112" s="29" t="str">
        <f aca="false">IF(AND($C112="",COUNTA($D112:$H112,$K112,$N112:$O112,$Q112:$S112,$U112)=0),"",IF($C112="","⚠ 没填项目名称",IF($A112="⚠目录里没有","⚠ 项目名称在目录里找不到（先加到目录）",IF($A112="","⚠ 目录里这个项目没填简称",IF(ISTEXT($G112)+ISTEXT($H112)+ISTEXT($K112)+ISTEXT($N112)+ISTEXT($O112)+ISTEXT($Q112)+ISTEXT($R112)+ISTEXT($S112)&gt;0,"⚠ 金额列里有文字，算不进合计",IF(N($G112)&gt;=1,"⚠ 管理费点要填百分比，如 10%",IF(AND($D112&lt;&gt;"",$B112=""),"△ 摘要开头没写日期（如 2026.9.21），月份取不到",IF(AND(N($H112)&lt;&gt;0,COUNTIFS($A$4:$A$1003,$A112,$H$4:$H$1003,$H112,$D$4:$D$1003,LEFT($D112,9)&amp;"*")&gt;1),"△ 同一天同项目有一样的销售金额，看看是不是录重了","✓"))))))))</f>
        <v/>
      </c>
      <c r="W112" s="8" t="str">
        <f aca="false">IF($A112="","",$A112&amp;"#"&amp;COUNTIF($A$4:$A112,$A112))</f>
        <v/>
      </c>
    </row>
    <row r="113" customFormat="false" ht="16.5" hidden="false" customHeight="false" outlineLevel="0" collapsed="false">
      <c r="A113" s="44" t="str">
        <f aca="false">IF($C113="","",IFERROR(VLOOKUP($C113,目录!$B:$C,2,0)&amp;"","⚠目录里没有"))</f>
        <v/>
      </c>
      <c r="B113" s="45" t="str">
        <f aca="false">IF($D113="","",IFERROR(MID($D113,FIND(".",$D113)+1,FIND(".",$D113,FIND(".",$D113)+1)-FIND(".",$D113)-1)&amp;"月",""))</f>
        <v/>
      </c>
      <c r="C113" s="46"/>
      <c r="D113" s="47"/>
      <c r="E113" s="47"/>
      <c r="F113" s="49"/>
      <c r="G113" s="50"/>
      <c r="H113" s="24"/>
      <c r="I113" s="24" t="str">
        <f aca="false">IF($H113="","",N($H113)*N($G113))</f>
        <v/>
      </c>
      <c r="J113" s="25" t="str">
        <f aca="false">IF($H113="","",N($H113)-N($I113))</f>
        <v/>
      </c>
      <c r="K113" s="25"/>
      <c r="L113" s="25" t="str">
        <f aca="false">IF($A113="","",SUMIF($A$4:$A113,$A113,$J$4:$J113)-SUMIF($A$4:$A113,$A113,$K$4:$K113))</f>
        <v/>
      </c>
      <c r="M113" s="26" t="str">
        <f aca="false">IF($H113="","",N($H113))</f>
        <v/>
      </c>
      <c r="N113" s="26"/>
      <c r="O113" s="26"/>
      <c r="P113" s="26" t="str">
        <f aca="false">IF($A113="","",SUMIF($A$4:$A113,$A113,$M$4:$M113)-SUMIF($A$4:$A113,$A113,$N$4:$N113)-SUMIF($A$4:$A113,$A113,$O$4:$O113))</f>
        <v/>
      </c>
      <c r="Q113" s="27"/>
      <c r="R113" s="28"/>
      <c r="S113" s="28"/>
      <c r="T113" s="28" t="str">
        <f aca="false">IF($A113="","",SUMIF($A$4:$A113,$A113,$Q$4:$Q113)-SUMIF($A$4:$A113,$A113,$R$4:$R113)-SUMIF($A$4:$A113,$A113,$S$4:$S113))</f>
        <v/>
      </c>
      <c r="U113" s="28"/>
      <c r="V113" s="29" t="str">
        <f aca="false">IF(AND($C113="",COUNTA($D113:$H113,$K113,$N113:$O113,$Q113:$S113,$U113)=0),"",IF($C113="","⚠ 没填项目名称",IF($A113="⚠目录里没有","⚠ 项目名称在目录里找不到（先加到目录）",IF($A113="","⚠ 目录里这个项目没填简称",IF(ISTEXT($G113)+ISTEXT($H113)+ISTEXT($K113)+ISTEXT($N113)+ISTEXT($O113)+ISTEXT($Q113)+ISTEXT($R113)+ISTEXT($S113)&gt;0,"⚠ 金额列里有文字，算不进合计",IF(N($G113)&gt;=1,"⚠ 管理费点要填百分比，如 10%",IF(AND($D113&lt;&gt;"",$B113=""),"△ 摘要开头没写日期（如 2026.9.21），月份取不到",IF(AND(N($H113)&lt;&gt;0,COUNTIFS($A$4:$A$1003,$A113,$H$4:$H$1003,$H113,$D$4:$D$1003,LEFT($D113,9)&amp;"*")&gt;1),"△ 同一天同项目有一样的销售金额，看看是不是录重了","✓"))))))))</f>
        <v/>
      </c>
      <c r="W113" s="8" t="str">
        <f aca="false">IF($A113="","",$A113&amp;"#"&amp;COUNTIF($A$4:$A113,$A113))</f>
        <v/>
      </c>
    </row>
    <row r="114" customFormat="false" ht="16.5" hidden="false" customHeight="false" outlineLevel="0" collapsed="false">
      <c r="A114" s="44" t="str">
        <f aca="false">IF($C114="","",IFERROR(VLOOKUP($C114,目录!$B:$C,2,0)&amp;"","⚠目录里没有"))</f>
        <v/>
      </c>
      <c r="B114" s="45" t="str">
        <f aca="false">IF($D114="","",IFERROR(MID($D114,FIND(".",$D114)+1,FIND(".",$D114,FIND(".",$D114)+1)-FIND(".",$D114)-1)&amp;"月",""))</f>
        <v/>
      </c>
      <c r="C114" s="46"/>
      <c r="D114" s="47"/>
      <c r="E114" s="47"/>
      <c r="F114" s="49"/>
      <c r="G114" s="50"/>
      <c r="H114" s="24"/>
      <c r="I114" s="24" t="str">
        <f aca="false">IF($H114="","",N($H114)*N($G114))</f>
        <v/>
      </c>
      <c r="J114" s="25" t="str">
        <f aca="false">IF($H114="","",N($H114)-N($I114))</f>
        <v/>
      </c>
      <c r="K114" s="25"/>
      <c r="L114" s="25" t="str">
        <f aca="false">IF($A114="","",SUMIF($A$4:$A114,$A114,$J$4:$J114)-SUMIF($A$4:$A114,$A114,$K$4:$K114))</f>
        <v/>
      </c>
      <c r="M114" s="26" t="str">
        <f aca="false">IF($H114="","",N($H114))</f>
        <v/>
      </c>
      <c r="N114" s="26"/>
      <c r="O114" s="26"/>
      <c r="P114" s="26" t="str">
        <f aca="false">IF($A114="","",SUMIF($A$4:$A114,$A114,$M$4:$M114)-SUMIF($A$4:$A114,$A114,$N$4:$N114)-SUMIF($A$4:$A114,$A114,$O$4:$O114))</f>
        <v/>
      </c>
      <c r="Q114" s="27"/>
      <c r="R114" s="28"/>
      <c r="S114" s="28"/>
      <c r="T114" s="28" t="str">
        <f aca="false">IF($A114="","",SUMIF($A$4:$A114,$A114,$Q$4:$Q114)-SUMIF($A$4:$A114,$A114,$R$4:$R114)-SUMIF($A$4:$A114,$A114,$S$4:$S114))</f>
        <v/>
      </c>
      <c r="U114" s="28"/>
      <c r="V114" s="29" t="str">
        <f aca="false">IF(AND($C114="",COUNTA($D114:$H114,$K114,$N114:$O114,$Q114:$S114,$U114)=0),"",IF($C114="","⚠ 没填项目名称",IF($A114="⚠目录里没有","⚠ 项目名称在目录里找不到（先加到目录）",IF($A114="","⚠ 目录里这个项目没填简称",IF(ISTEXT($G114)+ISTEXT($H114)+ISTEXT($K114)+ISTEXT($N114)+ISTEXT($O114)+ISTEXT($Q114)+ISTEXT($R114)+ISTEXT($S114)&gt;0,"⚠ 金额列里有文字，算不进合计",IF(N($G114)&gt;=1,"⚠ 管理费点要填百分比，如 10%",IF(AND($D114&lt;&gt;"",$B114=""),"△ 摘要开头没写日期（如 2026.9.21），月份取不到",IF(AND(N($H114)&lt;&gt;0,COUNTIFS($A$4:$A$1003,$A114,$H$4:$H$1003,$H114,$D$4:$D$1003,LEFT($D114,9)&amp;"*")&gt;1),"△ 同一天同项目有一样的销售金额，看看是不是录重了","✓"))))))))</f>
        <v/>
      </c>
      <c r="W114" s="8" t="str">
        <f aca="false">IF($A114="","",$A114&amp;"#"&amp;COUNTIF($A$4:$A114,$A114))</f>
        <v/>
      </c>
    </row>
    <row r="115" customFormat="false" ht="16.5" hidden="false" customHeight="false" outlineLevel="0" collapsed="false">
      <c r="A115" s="44" t="str">
        <f aca="false">IF($C115="","",IFERROR(VLOOKUP($C115,目录!$B:$C,2,0)&amp;"","⚠目录里没有"))</f>
        <v/>
      </c>
      <c r="B115" s="45" t="str">
        <f aca="false">IF($D115="","",IFERROR(MID($D115,FIND(".",$D115)+1,FIND(".",$D115,FIND(".",$D115)+1)-FIND(".",$D115)-1)&amp;"月",""))</f>
        <v/>
      </c>
      <c r="C115" s="46"/>
      <c r="D115" s="47"/>
      <c r="E115" s="47"/>
      <c r="F115" s="49"/>
      <c r="G115" s="50"/>
      <c r="H115" s="24"/>
      <c r="I115" s="24" t="str">
        <f aca="false">IF($H115="","",N($H115)*N($G115))</f>
        <v/>
      </c>
      <c r="J115" s="25" t="str">
        <f aca="false">IF($H115="","",N($H115)-N($I115))</f>
        <v/>
      </c>
      <c r="K115" s="25"/>
      <c r="L115" s="25" t="str">
        <f aca="false">IF($A115="","",SUMIF($A$4:$A115,$A115,$J$4:$J115)-SUMIF($A$4:$A115,$A115,$K$4:$K115))</f>
        <v/>
      </c>
      <c r="M115" s="26" t="str">
        <f aca="false">IF($H115="","",N($H115))</f>
        <v/>
      </c>
      <c r="N115" s="26"/>
      <c r="O115" s="26"/>
      <c r="P115" s="26" t="str">
        <f aca="false">IF($A115="","",SUMIF($A$4:$A115,$A115,$M$4:$M115)-SUMIF($A$4:$A115,$A115,$N$4:$N115)-SUMIF($A$4:$A115,$A115,$O$4:$O115))</f>
        <v/>
      </c>
      <c r="Q115" s="27"/>
      <c r="R115" s="28"/>
      <c r="S115" s="28"/>
      <c r="T115" s="28" t="str">
        <f aca="false">IF($A115="","",SUMIF($A$4:$A115,$A115,$Q$4:$Q115)-SUMIF($A$4:$A115,$A115,$R$4:$R115)-SUMIF($A$4:$A115,$A115,$S$4:$S115))</f>
        <v/>
      </c>
      <c r="U115" s="28"/>
      <c r="V115" s="29" t="str">
        <f aca="false">IF(AND($C115="",COUNTA($D115:$H115,$K115,$N115:$O115,$Q115:$S115,$U115)=0),"",IF($C115="","⚠ 没填项目名称",IF($A115="⚠目录里没有","⚠ 项目名称在目录里找不到（先加到目录）",IF($A115="","⚠ 目录里这个项目没填简称",IF(ISTEXT($G115)+ISTEXT($H115)+ISTEXT($K115)+ISTEXT($N115)+ISTEXT($O115)+ISTEXT($Q115)+ISTEXT($R115)+ISTEXT($S115)&gt;0,"⚠ 金额列里有文字，算不进合计",IF(N($G115)&gt;=1,"⚠ 管理费点要填百分比，如 10%",IF(AND($D115&lt;&gt;"",$B115=""),"△ 摘要开头没写日期（如 2026.9.21），月份取不到",IF(AND(N($H115)&lt;&gt;0,COUNTIFS($A$4:$A$1003,$A115,$H$4:$H$1003,$H115,$D$4:$D$1003,LEFT($D115,9)&amp;"*")&gt;1),"△ 同一天同项目有一样的销售金额，看看是不是录重了","✓"))))))))</f>
        <v/>
      </c>
      <c r="W115" s="8" t="str">
        <f aca="false">IF($A115="","",$A115&amp;"#"&amp;COUNTIF($A$4:$A115,$A115))</f>
        <v/>
      </c>
    </row>
    <row r="116" customFormat="false" ht="16.5" hidden="false" customHeight="false" outlineLevel="0" collapsed="false">
      <c r="A116" s="44" t="str">
        <f aca="false">IF($C116="","",IFERROR(VLOOKUP($C116,目录!$B:$C,2,0)&amp;"","⚠目录里没有"))</f>
        <v/>
      </c>
      <c r="B116" s="45" t="str">
        <f aca="false">IF($D116="","",IFERROR(MID($D116,FIND(".",$D116)+1,FIND(".",$D116,FIND(".",$D116)+1)-FIND(".",$D116)-1)&amp;"月",""))</f>
        <v/>
      </c>
      <c r="C116" s="46"/>
      <c r="D116" s="47"/>
      <c r="E116" s="47"/>
      <c r="F116" s="49"/>
      <c r="G116" s="50"/>
      <c r="H116" s="24"/>
      <c r="I116" s="24" t="str">
        <f aca="false">IF($H116="","",N($H116)*N($G116))</f>
        <v/>
      </c>
      <c r="J116" s="25" t="str">
        <f aca="false">IF($H116="","",N($H116)-N($I116))</f>
        <v/>
      </c>
      <c r="K116" s="25"/>
      <c r="L116" s="25" t="str">
        <f aca="false">IF($A116="","",SUMIF($A$4:$A116,$A116,$J$4:$J116)-SUMIF($A$4:$A116,$A116,$K$4:$K116))</f>
        <v/>
      </c>
      <c r="M116" s="26" t="str">
        <f aca="false">IF($H116="","",N($H116))</f>
        <v/>
      </c>
      <c r="N116" s="26"/>
      <c r="O116" s="26"/>
      <c r="P116" s="26" t="str">
        <f aca="false">IF($A116="","",SUMIF($A$4:$A116,$A116,$M$4:$M116)-SUMIF($A$4:$A116,$A116,$N$4:$N116)-SUMIF($A$4:$A116,$A116,$O$4:$O116))</f>
        <v/>
      </c>
      <c r="Q116" s="27"/>
      <c r="R116" s="28"/>
      <c r="S116" s="28"/>
      <c r="T116" s="28" t="str">
        <f aca="false">IF($A116="","",SUMIF($A$4:$A116,$A116,$Q$4:$Q116)-SUMIF($A$4:$A116,$A116,$R$4:$R116)-SUMIF($A$4:$A116,$A116,$S$4:$S116))</f>
        <v/>
      </c>
      <c r="U116" s="28"/>
      <c r="V116" s="29" t="str">
        <f aca="false">IF(AND($C116="",COUNTA($D116:$H116,$K116,$N116:$O116,$Q116:$S116,$U116)=0),"",IF($C116="","⚠ 没填项目名称",IF($A116="⚠目录里没有","⚠ 项目名称在目录里找不到（先加到目录）",IF($A116="","⚠ 目录里这个项目没填简称",IF(ISTEXT($G116)+ISTEXT($H116)+ISTEXT($K116)+ISTEXT($N116)+ISTEXT($O116)+ISTEXT($Q116)+ISTEXT($R116)+ISTEXT($S116)&gt;0,"⚠ 金额列里有文字，算不进合计",IF(N($G116)&gt;=1,"⚠ 管理费点要填百分比，如 10%",IF(AND($D116&lt;&gt;"",$B116=""),"△ 摘要开头没写日期（如 2026.9.21），月份取不到",IF(AND(N($H116)&lt;&gt;0,COUNTIFS($A$4:$A$1003,$A116,$H$4:$H$1003,$H116,$D$4:$D$1003,LEFT($D116,9)&amp;"*")&gt;1),"△ 同一天同项目有一样的销售金额，看看是不是录重了","✓"))))))))</f>
        <v/>
      </c>
      <c r="W116" s="8" t="str">
        <f aca="false">IF($A116="","",$A116&amp;"#"&amp;COUNTIF($A$4:$A116,$A116))</f>
        <v/>
      </c>
    </row>
    <row r="117" customFormat="false" ht="16.5" hidden="false" customHeight="false" outlineLevel="0" collapsed="false">
      <c r="A117" s="44" t="str">
        <f aca="false">IF($C117="","",IFERROR(VLOOKUP($C117,目录!$B:$C,2,0)&amp;"","⚠目录里没有"))</f>
        <v/>
      </c>
      <c r="B117" s="45" t="str">
        <f aca="false">IF($D117="","",IFERROR(MID($D117,FIND(".",$D117)+1,FIND(".",$D117,FIND(".",$D117)+1)-FIND(".",$D117)-1)&amp;"月",""))</f>
        <v/>
      </c>
      <c r="C117" s="46"/>
      <c r="D117" s="47"/>
      <c r="E117" s="47"/>
      <c r="F117" s="49"/>
      <c r="G117" s="50"/>
      <c r="H117" s="24"/>
      <c r="I117" s="24" t="str">
        <f aca="false">IF($H117="","",N($H117)*N($G117))</f>
        <v/>
      </c>
      <c r="J117" s="25" t="str">
        <f aca="false">IF($H117="","",N($H117)-N($I117))</f>
        <v/>
      </c>
      <c r="K117" s="25"/>
      <c r="L117" s="25" t="str">
        <f aca="false">IF($A117="","",SUMIF($A$4:$A117,$A117,$J$4:$J117)-SUMIF($A$4:$A117,$A117,$K$4:$K117))</f>
        <v/>
      </c>
      <c r="M117" s="26" t="str">
        <f aca="false">IF($H117="","",N($H117))</f>
        <v/>
      </c>
      <c r="N117" s="26"/>
      <c r="O117" s="26"/>
      <c r="P117" s="26" t="str">
        <f aca="false">IF($A117="","",SUMIF($A$4:$A117,$A117,$M$4:$M117)-SUMIF($A$4:$A117,$A117,$N$4:$N117)-SUMIF($A$4:$A117,$A117,$O$4:$O117))</f>
        <v/>
      </c>
      <c r="Q117" s="27"/>
      <c r="R117" s="28"/>
      <c r="S117" s="28"/>
      <c r="T117" s="28" t="str">
        <f aca="false">IF($A117="","",SUMIF($A$4:$A117,$A117,$Q$4:$Q117)-SUMIF($A$4:$A117,$A117,$R$4:$R117)-SUMIF($A$4:$A117,$A117,$S$4:$S117))</f>
        <v/>
      </c>
      <c r="U117" s="28"/>
      <c r="V117" s="29" t="str">
        <f aca="false">IF(AND($C117="",COUNTA($D117:$H117,$K117,$N117:$O117,$Q117:$S117,$U117)=0),"",IF($C117="","⚠ 没填项目名称",IF($A117="⚠目录里没有","⚠ 项目名称在目录里找不到（先加到目录）",IF($A117="","⚠ 目录里这个项目没填简称",IF(ISTEXT($G117)+ISTEXT($H117)+ISTEXT($K117)+ISTEXT($N117)+ISTEXT($O117)+ISTEXT($Q117)+ISTEXT($R117)+ISTEXT($S117)&gt;0,"⚠ 金额列里有文字，算不进合计",IF(N($G117)&gt;=1,"⚠ 管理费点要填百分比，如 10%",IF(AND($D117&lt;&gt;"",$B117=""),"△ 摘要开头没写日期（如 2026.9.21），月份取不到",IF(AND(N($H117)&lt;&gt;0,COUNTIFS($A$4:$A$1003,$A117,$H$4:$H$1003,$H117,$D$4:$D$1003,LEFT($D117,9)&amp;"*")&gt;1),"△ 同一天同项目有一样的销售金额，看看是不是录重了","✓"))))))))</f>
        <v/>
      </c>
      <c r="W117" s="8" t="str">
        <f aca="false">IF($A117="","",$A117&amp;"#"&amp;COUNTIF($A$4:$A117,$A117))</f>
        <v/>
      </c>
    </row>
    <row r="118" customFormat="false" ht="16.5" hidden="false" customHeight="false" outlineLevel="0" collapsed="false">
      <c r="A118" s="44" t="str">
        <f aca="false">IF($C118="","",IFERROR(VLOOKUP($C118,目录!$B:$C,2,0)&amp;"","⚠目录里没有"))</f>
        <v/>
      </c>
      <c r="B118" s="45" t="str">
        <f aca="false">IF($D118="","",IFERROR(MID($D118,FIND(".",$D118)+1,FIND(".",$D118,FIND(".",$D118)+1)-FIND(".",$D118)-1)&amp;"月",""))</f>
        <v/>
      </c>
      <c r="C118" s="46"/>
      <c r="D118" s="47"/>
      <c r="E118" s="47"/>
      <c r="F118" s="49"/>
      <c r="G118" s="50"/>
      <c r="H118" s="24"/>
      <c r="I118" s="24" t="str">
        <f aca="false">IF($H118="","",N($H118)*N($G118))</f>
        <v/>
      </c>
      <c r="J118" s="25" t="str">
        <f aca="false">IF($H118="","",N($H118)-N($I118))</f>
        <v/>
      </c>
      <c r="K118" s="25"/>
      <c r="L118" s="25" t="str">
        <f aca="false">IF($A118="","",SUMIF($A$4:$A118,$A118,$J$4:$J118)-SUMIF($A$4:$A118,$A118,$K$4:$K118))</f>
        <v/>
      </c>
      <c r="M118" s="26" t="str">
        <f aca="false">IF($H118="","",N($H118))</f>
        <v/>
      </c>
      <c r="N118" s="26"/>
      <c r="O118" s="26"/>
      <c r="P118" s="26" t="str">
        <f aca="false">IF($A118="","",SUMIF($A$4:$A118,$A118,$M$4:$M118)-SUMIF($A$4:$A118,$A118,$N$4:$N118)-SUMIF($A$4:$A118,$A118,$O$4:$O118))</f>
        <v/>
      </c>
      <c r="Q118" s="27"/>
      <c r="R118" s="28"/>
      <c r="S118" s="28"/>
      <c r="T118" s="28" t="str">
        <f aca="false">IF($A118="","",SUMIF($A$4:$A118,$A118,$Q$4:$Q118)-SUMIF($A$4:$A118,$A118,$R$4:$R118)-SUMIF($A$4:$A118,$A118,$S$4:$S118))</f>
        <v/>
      </c>
      <c r="U118" s="28"/>
      <c r="V118" s="29" t="str">
        <f aca="false">IF(AND($C118="",COUNTA($D118:$H118,$K118,$N118:$O118,$Q118:$S118,$U118)=0),"",IF($C118="","⚠ 没填项目名称",IF($A118="⚠目录里没有","⚠ 项目名称在目录里找不到（先加到目录）",IF($A118="","⚠ 目录里这个项目没填简称",IF(ISTEXT($G118)+ISTEXT($H118)+ISTEXT($K118)+ISTEXT($N118)+ISTEXT($O118)+ISTEXT($Q118)+ISTEXT($R118)+ISTEXT($S118)&gt;0,"⚠ 金额列里有文字，算不进合计",IF(N($G118)&gt;=1,"⚠ 管理费点要填百分比，如 10%",IF(AND($D118&lt;&gt;"",$B118=""),"△ 摘要开头没写日期（如 2026.9.21），月份取不到",IF(AND(N($H118)&lt;&gt;0,COUNTIFS($A$4:$A$1003,$A118,$H$4:$H$1003,$H118,$D$4:$D$1003,LEFT($D118,9)&amp;"*")&gt;1),"△ 同一天同项目有一样的销售金额，看看是不是录重了","✓"))))))))</f>
        <v/>
      </c>
      <c r="W118" s="8" t="str">
        <f aca="false">IF($A118="","",$A118&amp;"#"&amp;COUNTIF($A$4:$A118,$A118))</f>
        <v/>
      </c>
    </row>
    <row r="119" customFormat="false" ht="16.5" hidden="false" customHeight="false" outlineLevel="0" collapsed="false">
      <c r="A119" s="44" t="str">
        <f aca="false">IF($C119="","",IFERROR(VLOOKUP($C119,目录!$B:$C,2,0)&amp;"","⚠目录里没有"))</f>
        <v/>
      </c>
      <c r="B119" s="45" t="str">
        <f aca="false">IF($D119="","",IFERROR(MID($D119,FIND(".",$D119)+1,FIND(".",$D119,FIND(".",$D119)+1)-FIND(".",$D119)-1)&amp;"月",""))</f>
        <v/>
      </c>
      <c r="C119" s="46"/>
      <c r="D119" s="47"/>
      <c r="E119" s="47"/>
      <c r="F119" s="49"/>
      <c r="G119" s="50"/>
      <c r="H119" s="24"/>
      <c r="I119" s="24" t="str">
        <f aca="false">IF($H119="","",N($H119)*N($G119))</f>
        <v/>
      </c>
      <c r="J119" s="25" t="str">
        <f aca="false">IF($H119="","",N($H119)-N($I119))</f>
        <v/>
      </c>
      <c r="K119" s="25"/>
      <c r="L119" s="25" t="str">
        <f aca="false">IF($A119="","",SUMIF($A$4:$A119,$A119,$J$4:$J119)-SUMIF($A$4:$A119,$A119,$K$4:$K119))</f>
        <v/>
      </c>
      <c r="M119" s="26" t="str">
        <f aca="false">IF($H119="","",N($H119))</f>
        <v/>
      </c>
      <c r="N119" s="26"/>
      <c r="O119" s="26"/>
      <c r="P119" s="26" t="str">
        <f aca="false">IF($A119="","",SUMIF($A$4:$A119,$A119,$M$4:$M119)-SUMIF($A$4:$A119,$A119,$N$4:$N119)-SUMIF($A$4:$A119,$A119,$O$4:$O119))</f>
        <v/>
      </c>
      <c r="Q119" s="27"/>
      <c r="R119" s="28"/>
      <c r="S119" s="28"/>
      <c r="T119" s="28" t="str">
        <f aca="false">IF($A119="","",SUMIF($A$4:$A119,$A119,$Q$4:$Q119)-SUMIF($A$4:$A119,$A119,$R$4:$R119)-SUMIF($A$4:$A119,$A119,$S$4:$S119))</f>
        <v/>
      </c>
      <c r="U119" s="28"/>
      <c r="V119" s="29" t="str">
        <f aca="false">IF(AND($C119="",COUNTA($D119:$H119,$K119,$N119:$O119,$Q119:$S119,$U119)=0),"",IF($C119="","⚠ 没填项目名称",IF($A119="⚠目录里没有","⚠ 项目名称在目录里找不到（先加到目录）",IF($A119="","⚠ 目录里这个项目没填简称",IF(ISTEXT($G119)+ISTEXT($H119)+ISTEXT($K119)+ISTEXT($N119)+ISTEXT($O119)+ISTEXT($Q119)+ISTEXT($R119)+ISTEXT($S119)&gt;0,"⚠ 金额列里有文字，算不进合计",IF(N($G119)&gt;=1,"⚠ 管理费点要填百分比，如 10%",IF(AND($D119&lt;&gt;"",$B119=""),"△ 摘要开头没写日期（如 2026.9.21），月份取不到",IF(AND(N($H119)&lt;&gt;0,COUNTIFS($A$4:$A$1003,$A119,$H$4:$H$1003,$H119,$D$4:$D$1003,LEFT($D119,9)&amp;"*")&gt;1),"△ 同一天同项目有一样的销售金额，看看是不是录重了","✓"))))))))</f>
        <v/>
      </c>
      <c r="W119" s="8" t="str">
        <f aca="false">IF($A119="","",$A119&amp;"#"&amp;COUNTIF($A$4:$A119,$A119))</f>
        <v/>
      </c>
    </row>
    <row r="120" customFormat="false" ht="16.5" hidden="false" customHeight="false" outlineLevel="0" collapsed="false">
      <c r="A120" s="44" t="str">
        <f aca="false">IF($C120="","",IFERROR(VLOOKUP($C120,目录!$B:$C,2,0)&amp;"","⚠目录里没有"))</f>
        <v/>
      </c>
      <c r="B120" s="45" t="str">
        <f aca="false">IF($D120="","",IFERROR(MID($D120,FIND(".",$D120)+1,FIND(".",$D120,FIND(".",$D120)+1)-FIND(".",$D120)-1)&amp;"月",""))</f>
        <v/>
      </c>
      <c r="C120" s="46"/>
      <c r="D120" s="47"/>
      <c r="E120" s="47"/>
      <c r="F120" s="49"/>
      <c r="G120" s="50"/>
      <c r="H120" s="24"/>
      <c r="I120" s="24" t="str">
        <f aca="false">IF($H120="","",N($H120)*N($G120))</f>
        <v/>
      </c>
      <c r="J120" s="25" t="str">
        <f aca="false">IF($H120="","",N($H120)-N($I120))</f>
        <v/>
      </c>
      <c r="K120" s="25"/>
      <c r="L120" s="25" t="str">
        <f aca="false">IF($A120="","",SUMIF($A$4:$A120,$A120,$J$4:$J120)-SUMIF($A$4:$A120,$A120,$K$4:$K120))</f>
        <v/>
      </c>
      <c r="M120" s="26" t="str">
        <f aca="false">IF($H120="","",N($H120))</f>
        <v/>
      </c>
      <c r="N120" s="26"/>
      <c r="O120" s="26"/>
      <c r="P120" s="26" t="str">
        <f aca="false">IF($A120="","",SUMIF($A$4:$A120,$A120,$M$4:$M120)-SUMIF($A$4:$A120,$A120,$N$4:$N120)-SUMIF($A$4:$A120,$A120,$O$4:$O120))</f>
        <v/>
      </c>
      <c r="Q120" s="27"/>
      <c r="R120" s="28"/>
      <c r="S120" s="28"/>
      <c r="T120" s="28" t="str">
        <f aca="false">IF($A120="","",SUMIF($A$4:$A120,$A120,$Q$4:$Q120)-SUMIF($A$4:$A120,$A120,$R$4:$R120)-SUMIF($A$4:$A120,$A120,$S$4:$S120))</f>
        <v/>
      </c>
      <c r="U120" s="28"/>
      <c r="V120" s="29" t="str">
        <f aca="false">IF(AND($C120="",COUNTA($D120:$H120,$K120,$N120:$O120,$Q120:$S120,$U120)=0),"",IF($C120="","⚠ 没填项目名称",IF($A120="⚠目录里没有","⚠ 项目名称在目录里找不到（先加到目录）",IF($A120="","⚠ 目录里这个项目没填简称",IF(ISTEXT($G120)+ISTEXT($H120)+ISTEXT($K120)+ISTEXT($N120)+ISTEXT($O120)+ISTEXT($Q120)+ISTEXT($R120)+ISTEXT($S120)&gt;0,"⚠ 金额列里有文字，算不进合计",IF(N($G120)&gt;=1,"⚠ 管理费点要填百分比，如 10%",IF(AND($D120&lt;&gt;"",$B120=""),"△ 摘要开头没写日期（如 2026.9.21），月份取不到",IF(AND(N($H120)&lt;&gt;0,COUNTIFS($A$4:$A$1003,$A120,$H$4:$H$1003,$H120,$D$4:$D$1003,LEFT($D120,9)&amp;"*")&gt;1),"△ 同一天同项目有一样的销售金额，看看是不是录重了","✓"))))))))</f>
        <v/>
      </c>
      <c r="W120" s="8" t="str">
        <f aca="false">IF($A120="","",$A120&amp;"#"&amp;COUNTIF($A$4:$A120,$A120))</f>
        <v/>
      </c>
    </row>
    <row r="121" customFormat="false" ht="16.5" hidden="false" customHeight="false" outlineLevel="0" collapsed="false">
      <c r="A121" s="44" t="str">
        <f aca="false">IF($C121="","",IFERROR(VLOOKUP($C121,目录!$B:$C,2,0)&amp;"","⚠目录里没有"))</f>
        <v/>
      </c>
      <c r="B121" s="45" t="str">
        <f aca="false">IF($D121="","",IFERROR(MID($D121,FIND(".",$D121)+1,FIND(".",$D121,FIND(".",$D121)+1)-FIND(".",$D121)-1)&amp;"月",""))</f>
        <v/>
      </c>
      <c r="C121" s="46"/>
      <c r="D121" s="47"/>
      <c r="E121" s="47"/>
      <c r="F121" s="49"/>
      <c r="G121" s="50"/>
      <c r="H121" s="24"/>
      <c r="I121" s="24" t="str">
        <f aca="false">IF($H121="","",N($H121)*N($G121))</f>
        <v/>
      </c>
      <c r="J121" s="25" t="str">
        <f aca="false">IF($H121="","",N($H121)-N($I121))</f>
        <v/>
      </c>
      <c r="K121" s="25"/>
      <c r="L121" s="25" t="str">
        <f aca="false">IF($A121="","",SUMIF($A$4:$A121,$A121,$J$4:$J121)-SUMIF($A$4:$A121,$A121,$K$4:$K121))</f>
        <v/>
      </c>
      <c r="M121" s="26" t="str">
        <f aca="false">IF($H121="","",N($H121))</f>
        <v/>
      </c>
      <c r="N121" s="26"/>
      <c r="O121" s="26"/>
      <c r="P121" s="26" t="str">
        <f aca="false">IF($A121="","",SUMIF($A$4:$A121,$A121,$M$4:$M121)-SUMIF($A$4:$A121,$A121,$N$4:$N121)-SUMIF($A$4:$A121,$A121,$O$4:$O121))</f>
        <v/>
      </c>
      <c r="Q121" s="27"/>
      <c r="R121" s="28"/>
      <c r="S121" s="28"/>
      <c r="T121" s="28" t="str">
        <f aca="false">IF($A121="","",SUMIF($A$4:$A121,$A121,$Q$4:$Q121)-SUMIF($A$4:$A121,$A121,$R$4:$R121)-SUMIF($A$4:$A121,$A121,$S$4:$S121))</f>
        <v/>
      </c>
      <c r="U121" s="28"/>
      <c r="V121" s="29" t="str">
        <f aca="false">IF(AND($C121="",COUNTA($D121:$H121,$K121,$N121:$O121,$Q121:$S121,$U121)=0),"",IF($C121="","⚠ 没填项目名称",IF($A121="⚠目录里没有","⚠ 项目名称在目录里找不到（先加到目录）",IF($A121="","⚠ 目录里这个项目没填简称",IF(ISTEXT($G121)+ISTEXT($H121)+ISTEXT($K121)+ISTEXT($N121)+ISTEXT($O121)+ISTEXT($Q121)+ISTEXT($R121)+ISTEXT($S121)&gt;0,"⚠ 金额列里有文字，算不进合计",IF(N($G121)&gt;=1,"⚠ 管理费点要填百分比，如 10%",IF(AND($D121&lt;&gt;"",$B121=""),"△ 摘要开头没写日期（如 2026.9.21），月份取不到",IF(AND(N($H121)&lt;&gt;0,COUNTIFS($A$4:$A$1003,$A121,$H$4:$H$1003,$H121,$D$4:$D$1003,LEFT($D121,9)&amp;"*")&gt;1),"△ 同一天同项目有一样的销售金额，看看是不是录重了","✓"))))))))</f>
        <v/>
      </c>
      <c r="W121" s="8" t="str">
        <f aca="false">IF($A121="","",$A121&amp;"#"&amp;COUNTIF($A$4:$A121,$A121))</f>
        <v/>
      </c>
    </row>
    <row r="122" customFormat="false" ht="16.5" hidden="false" customHeight="false" outlineLevel="0" collapsed="false">
      <c r="A122" s="44" t="str">
        <f aca="false">IF($C122="","",IFERROR(VLOOKUP($C122,目录!$B:$C,2,0)&amp;"","⚠目录里没有"))</f>
        <v/>
      </c>
      <c r="B122" s="45" t="str">
        <f aca="false">IF($D122="","",IFERROR(MID($D122,FIND(".",$D122)+1,FIND(".",$D122,FIND(".",$D122)+1)-FIND(".",$D122)-1)&amp;"月",""))</f>
        <v/>
      </c>
      <c r="C122" s="46"/>
      <c r="D122" s="47"/>
      <c r="E122" s="47"/>
      <c r="F122" s="49"/>
      <c r="G122" s="50"/>
      <c r="H122" s="24"/>
      <c r="I122" s="24" t="str">
        <f aca="false">IF($H122="","",N($H122)*N($G122))</f>
        <v/>
      </c>
      <c r="J122" s="25" t="str">
        <f aca="false">IF($H122="","",N($H122)-N($I122))</f>
        <v/>
      </c>
      <c r="K122" s="25"/>
      <c r="L122" s="25" t="str">
        <f aca="false">IF($A122="","",SUMIF($A$4:$A122,$A122,$J$4:$J122)-SUMIF($A$4:$A122,$A122,$K$4:$K122))</f>
        <v/>
      </c>
      <c r="M122" s="26" t="str">
        <f aca="false">IF($H122="","",N($H122))</f>
        <v/>
      </c>
      <c r="N122" s="26"/>
      <c r="O122" s="26"/>
      <c r="P122" s="26" t="str">
        <f aca="false">IF($A122="","",SUMIF($A$4:$A122,$A122,$M$4:$M122)-SUMIF($A$4:$A122,$A122,$N$4:$N122)-SUMIF($A$4:$A122,$A122,$O$4:$O122))</f>
        <v/>
      </c>
      <c r="Q122" s="27"/>
      <c r="R122" s="28"/>
      <c r="S122" s="28"/>
      <c r="T122" s="28" t="str">
        <f aca="false">IF($A122="","",SUMIF($A$4:$A122,$A122,$Q$4:$Q122)-SUMIF($A$4:$A122,$A122,$R$4:$R122)-SUMIF($A$4:$A122,$A122,$S$4:$S122))</f>
        <v/>
      </c>
      <c r="U122" s="28"/>
      <c r="V122" s="29" t="str">
        <f aca="false">IF(AND($C122="",COUNTA($D122:$H122,$K122,$N122:$O122,$Q122:$S122,$U122)=0),"",IF($C122="","⚠ 没填项目名称",IF($A122="⚠目录里没有","⚠ 项目名称在目录里找不到（先加到目录）",IF($A122="","⚠ 目录里这个项目没填简称",IF(ISTEXT($G122)+ISTEXT($H122)+ISTEXT($K122)+ISTEXT($N122)+ISTEXT($O122)+ISTEXT($Q122)+ISTEXT($R122)+ISTEXT($S122)&gt;0,"⚠ 金额列里有文字，算不进合计",IF(N($G122)&gt;=1,"⚠ 管理费点要填百分比，如 10%",IF(AND($D122&lt;&gt;"",$B122=""),"△ 摘要开头没写日期（如 2026.9.21），月份取不到",IF(AND(N($H122)&lt;&gt;0,COUNTIFS($A$4:$A$1003,$A122,$H$4:$H$1003,$H122,$D$4:$D$1003,LEFT($D122,9)&amp;"*")&gt;1),"△ 同一天同项目有一样的销售金额，看看是不是录重了","✓"))))))))</f>
        <v/>
      </c>
      <c r="W122" s="8" t="str">
        <f aca="false">IF($A122="","",$A122&amp;"#"&amp;COUNTIF($A$4:$A122,$A122))</f>
        <v/>
      </c>
    </row>
    <row r="123" customFormat="false" ht="16.5" hidden="false" customHeight="false" outlineLevel="0" collapsed="false">
      <c r="A123" s="44" t="str">
        <f aca="false">IF($C123="","",IFERROR(VLOOKUP($C123,目录!$B:$C,2,0)&amp;"","⚠目录里没有"))</f>
        <v/>
      </c>
      <c r="B123" s="45" t="str">
        <f aca="false">IF($D123="","",IFERROR(MID($D123,FIND(".",$D123)+1,FIND(".",$D123,FIND(".",$D123)+1)-FIND(".",$D123)-1)&amp;"月",""))</f>
        <v/>
      </c>
      <c r="C123" s="46"/>
      <c r="D123" s="47"/>
      <c r="E123" s="47"/>
      <c r="F123" s="49"/>
      <c r="G123" s="50"/>
      <c r="H123" s="24"/>
      <c r="I123" s="24" t="str">
        <f aca="false">IF($H123="","",N($H123)*N($G123))</f>
        <v/>
      </c>
      <c r="J123" s="25" t="str">
        <f aca="false">IF($H123="","",N($H123)-N($I123))</f>
        <v/>
      </c>
      <c r="K123" s="25"/>
      <c r="L123" s="25" t="str">
        <f aca="false">IF($A123="","",SUMIF($A$4:$A123,$A123,$J$4:$J123)-SUMIF($A$4:$A123,$A123,$K$4:$K123))</f>
        <v/>
      </c>
      <c r="M123" s="26" t="str">
        <f aca="false">IF($H123="","",N($H123))</f>
        <v/>
      </c>
      <c r="N123" s="26"/>
      <c r="O123" s="26"/>
      <c r="P123" s="26" t="str">
        <f aca="false">IF($A123="","",SUMIF($A$4:$A123,$A123,$M$4:$M123)-SUMIF($A$4:$A123,$A123,$N$4:$N123)-SUMIF($A$4:$A123,$A123,$O$4:$O123))</f>
        <v/>
      </c>
      <c r="Q123" s="27"/>
      <c r="R123" s="28"/>
      <c r="S123" s="28"/>
      <c r="T123" s="28" t="str">
        <f aca="false">IF($A123="","",SUMIF($A$4:$A123,$A123,$Q$4:$Q123)-SUMIF($A$4:$A123,$A123,$R$4:$R123)-SUMIF($A$4:$A123,$A123,$S$4:$S123))</f>
        <v/>
      </c>
      <c r="U123" s="28"/>
      <c r="V123" s="29" t="str">
        <f aca="false">IF(AND($C123="",COUNTA($D123:$H123,$K123,$N123:$O123,$Q123:$S123,$U123)=0),"",IF($C123="","⚠ 没填项目名称",IF($A123="⚠目录里没有","⚠ 项目名称在目录里找不到（先加到目录）",IF($A123="","⚠ 目录里这个项目没填简称",IF(ISTEXT($G123)+ISTEXT($H123)+ISTEXT($K123)+ISTEXT($N123)+ISTEXT($O123)+ISTEXT($Q123)+ISTEXT($R123)+ISTEXT($S123)&gt;0,"⚠ 金额列里有文字，算不进合计",IF(N($G123)&gt;=1,"⚠ 管理费点要填百分比，如 10%",IF(AND($D123&lt;&gt;"",$B123=""),"△ 摘要开头没写日期（如 2026.9.21），月份取不到",IF(AND(N($H123)&lt;&gt;0,COUNTIFS($A$4:$A$1003,$A123,$H$4:$H$1003,$H123,$D$4:$D$1003,LEFT($D123,9)&amp;"*")&gt;1),"△ 同一天同项目有一样的销售金额，看看是不是录重了","✓"))))))))</f>
        <v/>
      </c>
      <c r="W123" s="8" t="str">
        <f aca="false">IF($A123="","",$A123&amp;"#"&amp;COUNTIF($A$4:$A123,$A123))</f>
        <v/>
      </c>
    </row>
    <row r="124" customFormat="false" ht="16.5" hidden="false" customHeight="false" outlineLevel="0" collapsed="false">
      <c r="A124" s="44" t="str">
        <f aca="false">IF($C124="","",IFERROR(VLOOKUP($C124,目录!$B:$C,2,0)&amp;"","⚠目录里没有"))</f>
        <v/>
      </c>
      <c r="B124" s="45" t="str">
        <f aca="false">IF($D124="","",IFERROR(MID($D124,FIND(".",$D124)+1,FIND(".",$D124,FIND(".",$D124)+1)-FIND(".",$D124)-1)&amp;"月",""))</f>
        <v/>
      </c>
      <c r="C124" s="46"/>
      <c r="D124" s="47"/>
      <c r="E124" s="47"/>
      <c r="F124" s="49"/>
      <c r="G124" s="50"/>
      <c r="H124" s="24"/>
      <c r="I124" s="24" t="str">
        <f aca="false">IF($H124="","",N($H124)*N($G124))</f>
        <v/>
      </c>
      <c r="J124" s="25" t="str">
        <f aca="false">IF($H124="","",N($H124)-N($I124))</f>
        <v/>
      </c>
      <c r="K124" s="25"/>
      <c r="L124" s="25" t="str">
        <f aca="false">IF($A124="","",SUMIF($A$4:$A124,$A124,$J$4:$J124)-SUMIF($A$4:$A124,$A124,$K$4:$K124))</f>
        <v/>
      </c>
      <c r="M124" s="26" t="str">
        <f aca="false">IF($H124="","",N($H124))</f>
        <v/>
      </c>
      <c r="N124" s="26"/>
      <c r="O124" s="26"/>
      <c r="P124" s="26" t="str">
        <f aca="false">IF($A124="","",SUMIF($A$4:$A124,$A124,$M$4:$M124)-SUMIF($A$4:$A124,$A124,$N$4:$N124)-SUMIF($A$4:$A124,$A124,$O$4:$O124))</f>
        <v/>
      </c>
      <c r="Q124" s="27"/>
      <c r="R124" s="28"/>
      <c r="S124" s="28"/>
      <c r="T124" s="28" t="str">
        <f aca="false">IF($A124="","",SUMIF($A$4:$A124,$A124,$Q$4:$Q124)-SUMIF($A$4:$A124,$A124,$R$4:$R124)-SUMIF($A$4:$A124,$A124,$S$4:$S124))</f>
        <v/>
      </c>
      <c r="U124" s="28"/>
      <c r="V124" s="29" t="str">
        <f aca="false">IF(AND($C124="",COUNTA($D124:$H124,$K124,$N124:$O124,$Q124:$S124,$U124)=0),"",IF($C124="","⚠ 没填项目名称",IF($A124="⚠目录里没有","⚠ 项目名称在目录里找不到（先加到目录）",IF($A124="","⚠ 目录里这个项目没填简称",IF(ISTEXT($G124)+ISTEXT($H124)+ISTEXT($K124)+ISTEXT($N124)+ISTEXT($O124)+ISTEXT($Q124)+ISTEXT($R124)+ISTEXT($S124)&gt;0,"⚠ 金额列里有文字，算不进合计",IF(N($G124)&gt;=1,"⚠ 管理费点要填百分比，如 10%",IF(AND($D124&lt;&gt;"",$B124=""),"△ 摘要开头没写日期（如 2026.9.21），月份取不到",IF(AND(N($H124)&lt;&gt;0,COUNTIFS($A$4:$A$1003,$A124,$H$4:$H$1003,$H124,$D$4:$D$1003,LEFT($D124,9)&amp;"*")&gt;1),"△ 同一天同项目有一样的销售金额，看看是不是录重了","✓"))))))))</f>
        <v/>
      </c>
      <c r="W124" s="8" t="str">
        <f aca="false">IF($A124="","",$A124&amp;"#"&amp;COUNTIF($A$4:$A124,$A124))</f>
        <v/>
      </c>
    </row>
    <row r="125" customFormat="false" ht="16.5" hidden="false" customHeight="false" outlineLevel="0" collapsed="false">
      <c r="A125" s="44" t="str">
        <f aca="false">IF($C125="","",IFERROR(VLOOKUP($C125,目录!$B:$C,2,0)&amp;"","⚠目录里没有"))</f>
        <v/>
      </c>
      <c r="B125" s="45" t="str">
        <f aca="false">IF($D125="","",IFERROR(MID($D125,FIND(".",$D125)+1,FIND(".",$D125,FIND(".",$D125)+1)-FIND(".",$D125)-1)&amp;"月",""))</f>
        <v/>
      </c>
      <c r="C125" s="46"/>
      <c r="D125" s="47"/>
      <c r="E125" s="47"/>
      <c r="F125" s="49"/>
      <c r="G125" s="50"/>
      <c r="H125" s="24"/>
      <c r="I125" s="24" t="str">
        <f aca="false">IF($H125="","",N($H125)*N($G125))</f>
        <v/>
      </c>
      <c r="J125" s="25" t="str">
        <f aca="false">IF($H125="","",N($H125)-N($I125))</f>
        <v/>
      </c>
      <c r="K125" s="25"/>
      <c r="L125" s="25" t="str">
        <f aca="false">IF($A125="","",SUMIF($A$4:$A125,$A125,$J$4:$J125)-SUMIF($A$4:$A125,$A125,$K$4:$K125))</f>
        <v/>
      </c>
      <c r="M125" s="26" t="str">
        <f aca="false">IF($H125="","",N($H125))</f>
        <v/>
      </c>
      <c r="N125" s="26"/>
      <c r="O125" s="26"/>
      <c r="P125" s="26" t="str">
        <f aca="false">IF($A125="","",SUMIF($A$4:$A125,$A125,$M$4:$M125)-SUMIF($A$4:$A125,$A125,$N$4:$N125)-SUMIF($A$4:$A125,$A125,$O$4:$O125))</f>
        <v/>
      </c>
      <c r="Q125" s="27"/>
      <c r="R125" s="28"/>
      <c r="S125" s="28"/>
      <c r="T125" s="28" t="str">
        <f aca="false">IF($A125="","",SUMIF($A$4:$A125,$A125,$Q$4:$Q125)-SUMIF($A$4:$A125,$A125,$R$4:$R125)-SUMIF($A$4:$A125,$A125,$S$4:$S125))</f>
        <v/>
      </c>
      <c r="U125" s="28"/>
      <c r="V125" s="29" t="str">
        <f aca="false">IF(AND($C125="",COUNTA($D125:$H125,$K125,$N125:$O125,$Q125:$S125,$U125)=0),"",IF($C125="","⚠ 没填项目名称",IF($A125="⚠目录里没有","⚠ 项目名称在目录里找不到（先加到目录）",IF($A125="","⚠ 目录里这个项目没填简称",IF(ISTEXT($G125)+ISTEXT($H125)+ISTEXT($K125)+ISTEXT($N125)+ISTEXT($O125)+ISTEXT($Q125)+ISTEXT($R125)+ISTEXT($S125)&gt;0,"⚠ 金额列里有文字，算不进合计",IF(N($G125)&gt;=1,"⚠ 管理费点要填百分比，如 10%",IF(AND($D125&lt;&gt;"",$B125=""),"△ 摘要开头没写日期（如 2026.9.21），月份取不到",IF(AND(N($H125)&lt;&gt;0,COUNTIFS($A$4:$A$1003,$A125,$H$4:$H$1003,$H125,$D$4:$D$1003,LEFT($D125,9)&amp;"*")&gt;1),"△ 同一天同项目有一样的销售金额，看看是不是录重了","✓"))))))))</f>
        <v/>
      </c>
      <c r="W125" s="8" t="str">
        <f aca="false">IF($A125="","",$A125&amp;"#"&amp;COUNTIF($A$4:$A125,$A125))</f>
        <v/>
      </c>
    </row>
    <row r="126" customFormat="false" ht="16.5" hidden="false" customHeight="false" outlineLevel="0" collapsed="false">
      <c r="A126" s="44" t="str">
        <f aca="false">IF($C126="","",IFERROR(VLOOKUP($C126,目录!$B:$C,2,0)&amp;"","⚠目录里没有"))</f>
        <v/>
      </c>
      <c r="B126" s="45" t="str">
        <f aca="false">IF($D126="","",IFERROR(MID($D126,FIND(".",$D126)+1,FIND(".",$D126,FIND(".",$D126)+1)-FIND(".",$D126)-1)&amp;"月",""))</f>
        <v/>
      </c>
      <c r="C126" s="46"/>
      <c r="D126" s="47"/>
      <c r="E126" s="47"/>
      <c r="F126" s="49"/>
      <c r="G126" s="50"/>
      <c r="H126" s="24"/>
      <c r="I126" s="24" t="str">
        <f aca="false">IF($H126="","",N($H126)*N($G126))</f>
        <v/>
      </c>
      <c r="J126" s="25" t="str">
        <f aca="false">IF($H126="","",N($H126)-N($I126))</f>
        <v/>
      </c>
      <c r="K126" s="25"/>
      <c r="L126" s="25" t="str">
        <f aca="false">IF($A126="","",SUMIF($A$4:$A126,$A126,$J$4:$J126)-SUMIF($A$4:$A126,$A126,$K$4:$K126))</f>
        <v/>
      </c>
      <c r="M126" s="26" t="str">
        <f aca="false">IF($H126="","",N($H126))</f>
        <v/>
      </c>
      <c r="N126" s="26"/>
      <c r="O126" s="26"/>
      <c r="P126" s="26" t="str">
        <f aca="false">IF($A126="","",SUMIF($A$4:$A126,$A126,$M$4:$M126)-SUMIF($A$4:$A126,$A126,$N$4:$N126)-SUMIF($A$4:$A126,$A126,$O$4:$O126))</f>
        <v/>
      </c>
      <c r="Q126" s="27"/>
      <c r="R126" s="28"/>
      <c r="S126" s="28"/>
      <c r="T126" s="28" t="str">
        <f aca="false">IF($A126="","",SUMIF($A$4:$A126,$A126,$Q$4:$Q126)-SUMIF($A$4:$A126,$A126,$R$4:$R126)-SUMIF($A$4:$A126,$A126,$S$4:$S126))</f>
        <v/>
      </c>
      <c r="U126" s="28"/>
      <c r="V126" s="29" t="str">
        <f aca="false">IF(AND($C126="",COUNTA($D126:$H126,$K126,$N126:$O126,$Q126:$S126,$U126)=0),"",IF($C126="","⚠ 没填项目名称",IF($A126="⚠目录里没有","⚠ 项目名称在目录里找不到（先加到目录）",IF($A126="","⚠ 目录里这个项目没填简称",IF(ISTEXT($G126)+ISTEXT($H126)+ISTEXT($K126)+ISTEXT($N126)+ISTEXT($O126)+ISTEXT($Q126)+ISTEXT($R126)+ISTEXT($S126)&gt;0,"⚠ 金额列里有文字，算不进合计",IF(N($G126)&gt;=1,"⚠ 管理费点要填百分比，如 10%",IF(AND($D126&lt;&gt;"",$B126=""),"△ 摘要开头没写日期（如 2026.9.21），月份取不到",IF(AND(N($H126)&lt;&gt;0,COUNTIFS($A$4:$A$1003,$A126,$H$4:$H$1003,$H126,$D$4:$D$1003,LEFT($D126,9)&amp;"*")&gt;1),"△ 同一天同项目有一样的销售金额，看看是不是录重了","✓"))))))))</f>
        <v/>
      </c>
      <c r="W126" s="8" t="str">
        <f aca="false">IF($A126="","",$A126&amp;"#"&amp;COUNTIF($A$4:$A126,$A126))</f>
        <v/>
      </c>
    </row>
    <row r="127" customFormat="false" ht="16.5" hidden="false" customHeight="false" outlineLevel="0" collapsed="false">
      <c r="A127" s="44" t="str">
        <f aca="false">IF($C127="","",IFERROR(VLOOKUP($C127,目录!$B:$C,2,0)&amp;"","⚠目录里没有"))</f>
        <v/>
      </c>
      <c r="B127" s="45" t="str">
        <f aca="false">IF($D127="","",IFERROR(MID($D127,FIND(".",$D127)+1,FIND(".",$D127,FIND(".",$D127)+1)-FIND(".",$D127)-1)&amp;"月",""))</f>
        <v/>
      </c>
      <c r="C127" s="46"/>
      <c r="D127" s="47"/>
      <c r="E127" s="47"/>
      <c r="F127" s="49"/>
      <c r="G127" s="50"/>
      <c r="H127" s="24"/>
      <c r="I127" s="24" t="str">
        <f aca="false">IF($H127="","",N($H127)*N($G127))</f>
        <v/>
      </c>
      <c r="J127" s="25" t="str">
        <f aca="false">IF($H127="","",N($H127)-N($I127))</f>
        <v/>
      </c>
      <c r="K127" s="25"/>
      <c r="L127" s="25" t="str">
        <f aca="false">IF($A127="","",SUMIF($A$4:$A127,$A127,$J$4:$J127)-SUMIF($A$4:$A127,$A127,$K$4:$K127))</f>
        <v/>
      </c>
      <c r="M127" s="26" t="str">
        <f aca="false">IF($H127="","",N($H127))</f>
        <v/>
      </c>
      <c r="N127" s="26"/>
      <c r="O127" s="26"/>
      <c r="P127" s="26" t="str">
        <f aca="false">IF($A127="","",SUMIF($A$4:$A127,$A127,$M$4:$M127)-SUMIF($A$4:$A127,$A127,$N$4:$N127)-SUMIF($A$4:$A127,$A127,$O$4:$O127))</f>
        <v/>
      </c>
      <c r="Q127" s="27"/>
      <c r="R127" s="28"/>
      <c r="S127" s="28"/>
      <c r="T127" s="28" t="str">
        <f aca="false">IF($A127="","",SUMIF($A$4:$A127,$A127,$Q$4:$Q127)-SUMIF($A$4:$A127,$A127,$R$4:$R127)-SUMIF($A$4:$A127,$A127,$S$4:$S127))</f>
        <v/>
      </c>
      <c r="U127" s="28"/>
      <c r="V127" s="29" t="str">
        <f aca="false">IF(AND($C127="",COUNTA($D127:$H127,$K127,$N127:$O127,$Q127:$S127,$U127)=0),"",IF($C127="","⚠ 没填项目名称",IF($A127="⚠目录里没有","⚠ 项目名称在目录里找不到（先加到目录）",IF($A127="","⚠ 目录里这个项目没填简称",IF(ISTEXT($G127)+ISTEXT($H127)+ISTEXT($K127)+ISTEXT($N127)+ISTEXT($O127)+ISTEXT($Q127)+ISTEXT($R127)+ISTEXT($S127)&gt;0,"⚠ 金额列里有文字，算不进合计",IF(N($G127)&gt;=1,"⚠ 管理费点要填百分比，如 10%",IF(AND($D127&lt;&gt;"",$B127=""),"△ 摘要开头没写日期（如 2026.9.21），月份取不到",IF(AND(N($H127)&lt;&gt;0,COUNTIFS($A$4:$A$1003,$A127,$H$4:$H$1003,$H127,$D$4:$D$1003,LEFT($D127,9)&amp;"*")&gt;1),"△ 同一天同项目有一样的销售金额，看看是不是录重了","✓"))))))))</f>
        <v/>
      </c>
      <c r="W127" s="8" t="str">
        <f aca="false">IF($A127="","",$A127&amp;"#"&amp;COUNTIF($A$4:$A127,$A127))</f>
        <v/>
      </c>
    </row>
    <row r="128" customFormat="false" ht="16.5" hidden="false" customHeight="false" outlineLevel="0" collapsed="false">
      <c r="A128" s="44" t="str">
        <f aca="false">IF($C128="","",IFERROR(VLOOKUP($C128,目录!$B:$C,2,0)&amp;"","⚠目录里没有"))</f>
        <v/>
      </c>
      <c r="B128" s="45" t="str">
        <f aca="false">IF($D128="","",IFERROR(MID($D128,FIND(".",$D128)+1,FIND(".",$D128,FIND(".",$D128)+1)-FIND(".",$D128)-1)&amp;"月",""))</f>
        <v/>
      </c>
      <c r="C128" s="46"/>
      <c r="D128" s="47"/>
      <c r="E128" s="47"/>
      <c r="F128" s="49"/>
      <c r="G128" s="50"/>
      <c r="H128" s="24"/>
      <c r="I128" s="24" t="str">
        <f aca="false">IF($H128="","",N($H128)*N($G128))</f>
        <v/>
      </c>
      <c r="J128" s="25" t="str">
        <f aca="false">IF($H128="","",N($H128)-N($I128))</f>
        <v/>
      </c>
      <c r="K128" s="25"/>
      <c r="L128" s="25" t="str">
        <f aca="false">IF($A128="","",SUMIF($A$4:$A128,$A128,$J$4:$J128)-SUMIF($A$4:$A128,$A128,$K$4:$K128))</f>
        <v/>
      </c>
      <c r="M128" s="26" t="str">
        <f aca="false">IF($H128="","",N($H128))</f>
        <v/>
      </c>
      <c r="N128" s="26"/>
      <c r="O128" s="26"/>
      <c r="P128" s="26" t="str">
        <f aca="false">IF($A128="","",SUMIF($A$4:$A128,$A128,$M$4:$M128)-SUMIF($A$4:$A128,$A128,$N$4:$N128)-SUMIF($A$4:$A128,$A128,$O$4:$O128))</f>
        <v/>
      </c>
      <c r="Q128" s="27"/>
      <c r="R128" s="28"/>
      <c r="S128" s="28"/>
      <c r="T128" s="28" t="str">
        <f aca="false">IF($A128="","",SUMIF($A$4:$A128,$A128,$Q$4:$Q128)-SUMIF($A$4:$A128,$A128,$R$4:$R128)-SUMIF($A$4:$A128,$A128,$S$4:$S128))</f>
        <v/>
      </c>
      <c r="U128" s="28"/>
      <c r="V128" s="29" t="str">
        <f aca="false">IF(AND($C128="",COUNTA($D128:$H128,$K128,$N128:$O128,$Q128:$S128,$U128)=0),"",IF($C128="","⚠ 没填项目名称",IF($A128="⚠目录里没有","⚠ 项目名称在目录里找不到（先加到目录）",IF($A128="","⚠ 目录里这个项目没填简称",IF(ISTEXT($G128)+ISTEXT($H128)+ISTEXT($K128)+ISTEXT($N128)+ISTEXT($O128)+ISTEXT($Q128)+ISTEXT($R128)+ISTEXT($S128)&gt;0,"⚠ 金额列里有文字，算不进合计",IF(N($G128)&gt;=1,"⚠ 管理费点要填百分比，如 10%",IF(AND($D128&lt;&gt;"",$B128=""),"△ 摘要开头没写日期（如 2026.9.21），月份取不到",IF(AND(N($H128)&lt;&gt;0,COUNTIFS($A$4:$A$1003,$A128,$H$4:$H$1003,$H128,$D$4:$D$1003,LEFT($D128,9)&amp;"*")&gt;1),"△ 同一天同项目有一样的销售金额，看看是不是录重了","✓"))))))))</f>
        <v/>
      </c>
      <c r="W128" s="8" t="str">
        <f aca="false">IF($A128="","",$A128&amp;"#"&amp;COUNTIF($A$4:$A128,$A128))</f>
        <v/>
      </c>
    </row>
    <row r="129" customFormat="false" ht="16.5" hidden="false" customHeight="false" outlineLevel="0" collapsed="false">
      <c r="A129" s="44" t="str">
        <f aca="false">IF($C129="","",IFERROR(VLOOKUP($C129,目录!$B:$C,2,0)&amp;"","⚠目录里没有"))</f>
        <v/>
      </c>
      <c r="B129" s="45" t="str">
        <f aca="false">IF($D129="","",IFERROR(MID($D129,FIND(".",$D129)+1,FIND(".",$D129,FIND(".",$D129)+1)-FIND(".",$D129)-1)&amp;"月",""))</f>
        <v/>
      </c>
      <c r="C129" s="46"/>
      <c r="D129" s="47"/>
      <c r="E129" s="47"/>
      <c r="F129" s="49"/>
      <c r="G129" s="50"/>
      <c r="H129" s="24"/>
      <c r="I129" s="24" t="str">
        <f aca="false">IF($H129="","",N($H129)*N($G129))</f>
        <v/>
      </c>
      <c r="J129" s="25" t="str">
        <f aca="false">IF($H129="","",N($H129)-N($I129))</f>
        <v/>
      </c>
      <c r="K129" s="25"/>
      <c r="L129" s="25" t="str">
        <f aca="false">IF($A129="","",SUMIF($A$4:$A129,$A129,$J$4:$J129)-SUMIF($A$4:$A129,$A129,$K$4:$K129))</f>
        <v/>
      </c>
      <c r="M129" s="26" t="str">
        <f aca="false">IF($H129="","",N($H129))</f>
        <v/>
      </c>
      <c r="N129" s="26"/>
      <c r="O129" s="26"/>
      <c r="P129" s="26" t="str">
        <f aca="false">IF($A129="","",SUMIF($A$4:$A129,$A129,$M$4:$M129)-SUMIF($A$4:$A129,$A129,$N$4:$N129)-SUMIF($A$4:$A129,$A129,$O$4:$O129))</f>
        <v/>
      </c>
      <c r="Q129" s="27"/>
      <c r="R129" s="28"/>
      <c r="S129" s="28"/>
      <c r="T129" s="28" t="str">
        <f aca="false">IF($A129="","",SUMIF($A$4:$A129,$A129,$Q$4:$Q129)-SUMIF($A$4:$A129,$A129,$R$4:$R129)-SUMIF($A$4:$A129,$A129,$S$4:$S129))</f>
        <v/>
      </c>
      <c r="U129" s="28"/>
      <c r="V129" s="29" t="str">
        <f aca="false">IF(AND($C129="",COUNTA($D129:$H129,$K129,$N129:$O129,$Q129:$S129,$U129)=0),"",IF($C129="","⚠ 没填项目名称",IF($A129="⚠目录里没有","⚠ 项目名称在目录里找不到（先加到目录）",IF($A129="","⚠ 目录里这个项目没填简称",IF(ISTEXT($G129)+ISTEXT($H129)+ISTEXT($K129)+ISTEXT($N129)+ISTEXT($O129)+ISTEXT($Q129)+ISTEXT($R129)+ISTEXT($S129)&gt;0,"⚠ 金额列里有文字，算不进合计",IF(N($G129)&gt;=1,"⚠ 管理费点要填百分比，如 10%",IF(AND($D129&lt;&gt;"",$B129=""),"△ 摘要开头没写日期（如 2026.9.21），月份取不到",IF(AND(N($H129)&lt;&gt;0,COUNTIFS($A$4:$A$1003,$A129,$H$4:$H$1003,$H129,$D$4:$D$1003,LEFT($D129,9)&amp;"*")&gt;1),"△ 同一天同项目有一样的销售金额，看看是不是录重了","✓"))))))))</f>
        <v/>
      </c>
      <c r="W129" s="8" t="str">
        <f aca="false">IF($A129="","",$A129&amp;"#"&amp;COUNTIF($A$4:$A129,$A129))</f>
        <v/>
      </c>
    </row>
    <row r="130" customFormat="false" ht="16.5" hidden="false" customHeight="false" outlineLevel="0" collapsed="false">
      <c r="A130" s="44" t="str">
        <f aca="false">IF($C130="","",IFERROR(VLOOKUP($C130,目录!$B:$C,2,0)&amp;"","⚠目录里没有"))</f>
        <v/>
      </c>
      <c r="B130" s="45" t="str">
        <f aca="false">IF($D130="","",IFERROR(MID($D130,FIND(".",$D130)+1,FIND(".",$D130,FIND(".",$D130)+1)-FIND(".",$D130)-1)&amp;"月",""))</f>
        <v/>
      </c>
      <c r="C130" s="46"/>
      <c r="D130" s="47"/>
      <c r="E130" s="47"/>
      <c r="F130" s="49"/>
      <c r="G130" s="50"/>
      <c r="H130" s="24"/>
      <c r="I130" s="24" t="str">
        <f aca="false">IF($H130="","",N($H130)*N($G130))</f>
        <v/>
      </c>
      <c r="J130" s="25" t="str">
        <f aca="false">IF($H130="","",N($H130)-N($I130))</f>
        <v/>
      </c>
      <c r="K130" s="25"/>
      <c r="L130" s="25" t="str">
        <f aca="false">IF($A130="","",SUMIF($A$4:$A130,$A130,$J$4:$J130)-SUMIF($A$4:$A130,$A130,$K$4:$K130))</f>
        <v/>
      </c>
      <c r="M130" s="26" t="str">
        <f aca="false">IF($H130="","",N($H130))</f>
        <v/>
      </c>
      <c r="N130" s="26"/>
      <c r="O130" s="26"/>
      <c r="P130" s="26" t="str">
        <f aca="false">IF($A130="","",SUMIF($A$4:$A130,$A130,$M$4:$M130)-SUMIF($A$4:$A130,$A130,$N$4:$N130)-SUMIF($A$4:$A130,$A130,$O$4:$O130))</f>
        <v/>
      </c>
      <c r="Q130" s="27"/>
      <c r="R130" s="28"/>
      <c r="S130" s="28"/>
      <c r="T130" s="28" t="str">
        <f aca="false">IF($A130="","",SUMIF($A$4:$A130,$A130,$Q$4:$Q130)-SUMIF($A$4:$A130,$A130,$R$4:$R130)-SUMIF($A$4:$A130,$A130,$S$4:$S130))</f>
        <v/>
      </c>
      <c r="U130" s="28"/>
      <c r="V130" s="29" t="str">
        <f aca="false">IF(AND($C130="",COUNTA($D130:$H130,$K130,$N130:$O130,$Q130:$S130,$U130)=0),"",IF($C130="","⚠ 没填项目名称",IF($A130="⚠目录里没有","⚠ 项目名称在目录里找不到（先加到目录）",IF($A130="","⚠ 目录里这个项目没填简称",IF(ISTEXT($G130)+ISTEXT($H130)+ISTEXT($K130)+ISTEXT($N130)+ISTEXT($O130)+ISTEXT($Q130)+ISTEXT($R130)+ISTEXT($S130)&gt;0,"⚠ 金额列里有文字，算不进合计",IF(N($G130)&gt;=1,"⚠ 管理费点要填百分比，如 10%",IF(AND($D130&lt;&gt;"",$B130=""),"△ 摘要开头没写日期（如 2026.9.21），月份取不到",IF(AND(N($H130)&lt;&gt;0,COUNTIFS($A$4:$A$1003,$A130,$H$4:$H$1003,$H130,$D$4:$D$1003,LEFT($D130,9)&amp;"*")&gt;1),"△ 同一天同项目有一样的销售金额，看看是不是录重了","✓"))))))))</f>
        <v/>
      </c>
      <c r="W130" s="8" t="str">
        <f aca="false">IF($A130="","",$A130&amp;"#"&amp;COUNTIF($A$4:$A130,$A130))</f>
        <v/>
      </c>
    </row>
    <row r="131" customFormat="false" ht="16.5" hidden="false" customHeight="false" outlineLevel="0" collapsed="false">
      <c r="A131" s="44" t="str">
        <f aca="false">IF($C131="","",IFERROR(VLOOKUP($C131,目录!$B:$C,2,0)&amp;"","⚠目录里没有"))</f>
        <v/>
      </c>
      <c r="B131" s="45" t="str">
        <f aca="false">IF($D131="","",IFERROR(MID($D131,FIND(".",$D131)+1,FIND(".",$D131,FIND(".",$D131)+1)-FIND(".",$D131)-1)&amp;"月",""))</f>
        <v/>
      </c>
      <c r="C131" s="46"/>
      <c r="D131" s="47"/>
      <c r="E131" s="47"/>
      <c r="F131" s="49"/>
      <c r="G131" s="50"/>
      <c r="H131" s="24"/>
      <c r="I131" s="24" t="str">
        <f aca="false">IF($H131="","",N($H131)*N($G131))</f>
        <v/>
      </c>
      <c r="J131" s="25" t="str">
        <f aca="false">IF($H131="","",N($H131)-N($I131))</f>
        <v/>
      </c>
      <c r="K131" s="25"/>
      <c r="L131" s="25" t="str">
        <f aca="false">IF($A131="","",SUMIF($A$4:$A131,$A131,$J$4:$J131)-SUMIF($A$4:$A131,$A131,$K$4:$K131))</f>
        <v/>
      </c>
      <c r="M131" s="26" t="str">
        <f aca="false">IF($H131="","",N($H131))</f>
        <v/>
      </c>
      <c r="N131" s="26"/>
      <c r="O131" s="26"/>
      <c r="P131" s="26" t="str">
        <f aca="false">IF($A131="","",SUMIF($A$4:$A131,$A131,$M$4:$M131)-SUMIF($A$4:$A131,$A131,$N$4:$N131)-SUMIF($A$4:$A131,$A131,$O$4:$O131))</f>
        <v/>
      </c>
      <c r="Q131" s="27"/>
      <c r="R131" s="28"/>
      <c r="S131" s="28"/>
      <c r="T131" s="28" t="str">
        <f aca="false">IF($A131="","",SUMIF($A$4:$A131,$A131,$Q$4:$Q131)-SUMIF($A$4:$A131,$A131,$R$4:$R131)-SUMIF($A$4:$A131,$A131,$S$4:$S131))</f>
        <v/>
      </c>
      <c r="U131" s="28"/>
      <c r="V131" s="29" t="str">
        <f aca="false">IF(AND($C131="",COUNTA($D131:$H131,$K131,$N131:$O131,$Q131:$S131,$U131)=0),"",IF($C131="","⚠ 没填项目名称",IF($A131="⚠目录里没有","⚠ 项目名称在目录里找不到（先加到目录）",IF($A131="","⚠ 目录里这个项目没填简称",IF(ISTEXT($G131)+ISTEXT($H131)+ISTEXT($K131)+ISTEXT($N131)+ISTEXT($O131)+ISTEXT($Q131)+ISTEXT($R131)+ISTEXT($S131)&gt;0,"⚠ 金额列里有文字，算不进合计",IF(N($G131)&gt;=1,"⚠ 管理费点要填百分比，如 10%",IF(AND($D131&lt;&gt;"",$B131=""),"△ 摘要开头没写日期（如 2026.9.21），月份取不到",IF(AND(N($H131)&lt;&gt;0,COUNTIFS($A$4:$A$1003,$A131,$H$4:$H$1003,$H131,$D$4:$D$1003,LEFT($D131,9)&amp;"*")&gt;1),"△ 同一天同项目有一样的销售金额，看看是不是录重了","✓"))))))))</f>
        <v/>
      </c>
      <c r="W131" s="8" t="str">
        <f aca="false">IF($A131="","",$A131&amp;"#"&amp;COUNTIF($A$4:$A131,$A131))</f>
        <v/>
      </c>
    </row>
    <row r="132" customFormat="false" ht="16.5" hidden="false" customHeight="false" outlineLevel="0" collapsed="false">
      <c r="A132" s="44" t="str">
        <f aca="false">IF($C132="","",IFERROR(VLOOKUP($C132,目录!$B:$C,2,0)&amp;"","⚠目录里没有"))</f>
        <v/>
      </c>
      <c r="B132" s="45" t="str">
        <f aca="false">IF($D132="","",IFERROR(MID($D132,FIND(".",$D132)+1,FIND(".",$D132,FIND(".",$D132)+1)-FIND(".",$D132)-1)&amp;"月",""))</f>
        <v/>
      </c>
      <c r="C132" s="46"/>
      <c r="D132" s="47"/>
      <c r="E132" s="47"/>
      <c r="F132" s="49"/>
      <c r="G132" s="50"/>
      <c r="H132" s="24"/>
      <c r="I132" s="24" t="str">
        <f aca="false">IF($H132="","",N($H132)*N($G132))</f>
        <v/>
      </c>
      <c r="J132" s="25" t="str">
        <f aca="false">IF($H132="","",N($H132)-N($I132))</f>
        <v/>
      </c>
      <c r="K132" s="25"/>
      <c r="L132" s="25" t="str">
        <f aca="false">IF($A132="","",SUMIF($A$4:$A132,$A132,$J$4:$J132)-SUMIF($A$4:$A132,$A132,$K$4:$K132))</f>
        <v/>
      </c>
      <c r="M132" s="26" t="str">
        <f aca="false">IF($H132="","",N($H132))</f>
        <v/>
      </c>
      <c r="N132" s="26"/>
      <c r="O132" s="26"/>
      <c r="P132" s="26" t="str">
        <f aca="false">IF($A132="","",SUMIF($A$4:$A132,$A132,$M$4:$M132)-SUMIF($A$4:$A132,$A132,$N$4:$N132)-SUMIF($A$4:$A132,$A132,$O$4:$O132))</f>
        <v/>
      </c>
      <c r="Q132" s="27"/>
      <c r="R132" s="28"/>
      <c r="S132" s="28"/>
      <c r="T132" s="28" t="str">
        <f aca="false">IF($A132="","",SUMIF($A$4:$A132,$A132,$Q$4:$Q132)-SUMIF($A$4:$A132,$A132,$R$4:$R132)-SUMIF($A$4:$A132,$A132,$S$4:$S132))</f>
        <v/>
      </c>
      <c r="U132" s="28"/>
      <c r="V132" s="29" t="str">
        <f aca="false">IF(AND($C132="",COUNTA($D132:$H132,$K132,$N132:$O132,$Q132:$S132,$U132)=0),"",IF($C132="","⚠ 没填项目名称",IF($A132="⚠目录里没有","⚠ 项目名称在目录里找不到（先加到目录）",IF($A132="","⚠ 目录里这个项目没填简称",IF(ISTEXT($G132)+ISTEXT($H132)+ISTEXT($K132)+ISTEXT($N132)+ISTEXT($O132)+ISTEXT($Q132)+ISTEXT($R132)+ISTEXT($S132)&gt;0,"⚠ 金额列里有文字，算不进合计",IF(N($G132)&gt;=1,"⚠ 管理费点要填百分比，如 10%",IF(AND($D132&lt;&gt;"",$B132=""),"△ 摘要开头没写日期（如 2026.9.21），月份取不到",IF(AND(N($H132)&lt;&gt;0,COUNTIFS($A$4:$A$1003,$A132,$H$4:$H$1003,$H132,$D$4:$D$1003,LEFT($D132,9)&amp;"*")&gt;1),"△ 同一天同项目有一样的销售金额，看看是不是录重了","✓"))))))))</f>
        <v/>
      </c>
      <c r="W132" s="8" t="str">
        <f aca="false">IF($A132="","",$A132&amp;"#"&amp;COUNTIF($A$4:$A132,$A132))</f>
        <v/>
      </c>
    </row>
    <row r="133" customFormat="false" ht="16.5" hidden="false" customHeight="false" outlineLevel="0" collapsed="false">
      <c r="A133" s="44" t="str">
        <f aca="false">IF($C133="","",IFERROR(VLOOKUP($C133,目录!$B:$C,2,0)&amp;"","⚠目录里没有"))</f>
        <v/>
      </c>
      <c r="B133" s="45" t="str">
        <f aca="false">IF($D133="","",IFERROR(MID($D133,FIND(".",$D133)+1,FIND(".",$D133,FIND(".",$D133)+1)-FIND(".",$D133)-1)&amp;"月",""))</f>
        <v/>
      </c>
      <c r="C133" s="46"/>
      <c r="D133" s="47"/>
      <c r="E133" s="47"/>
      <c r="F133" s="49"/>
      <c r="G133" s="50"/>
      <c r="H133" s="24"/>
      <c r="I133" s="24" t="str">
        <f aca="false">IF($H133="","",N($H133)*N($G133))</f>
        <v/>
      </c>
      <c r="J133" s="25" t="str">
        <f aca="false">IF($H133="","",N($H133)-N($I133))</f>
        <v/>
      </c>
      <c r="K133" s="25"/>
      <c r="L133" s="25" t="str">
        <f aca="false">IF($A133="","",SUMIF($A$4:$A133,$A133,$J$4:$J133)-SUMIF($A$4:$A133,$A133,$K$4:$K133))</f>
        <v/>
      </c>
      <c r="M133" s="26" t="str">
        <f aca="false">IF($H133="","",N($H133))</f>
        <v/>
      </c>
      <c r="N133" s="26"/>
      <c r="O133" s="26"/>
      <c r="P133" s="26" t="str">
        <f aca="false">IF($A133="","",SUMIF($A$4:$A133,$A133,$M$4:$M133)-SUMIF($A$4:$A133,$A133,$N$4:$N133)-SUMIF($A$4:$A133,$A133,$O$4:$O133))</f>
        <v/>
      </c>
      <c r="Q133" s="27"/>
      <c r="R133" s="28"/>
      <c r="S133" s="28"/>
      <c r="T133" s="28" t="str">
        <f aca="false">IF($A133="","",SUMIF($A$4:$A133,$A133,$Q$4:$Q133)-SUMIF($A$4:$A133,$A133,$R$4:$R133)-SUMIF($A$4:$A133,$A133,$S$4:$S133))</f>
        <v/>
      </c>
      <c r="U133" s="28"/>
      <c r="V133" s="29" t="str">
        <f aca="false">IF(AND($C133="",COUNTA($D133:$H133,$K133,$N133:$O133,$Q133:$S133,$U133)=0),"",IF($C133="","⚠ 没填项目名称",IF($A133="⚠目录里没有","⚠ 项目名称在目录里找不到（先加到目录）",IF($A133="","⚠ 目录里这个项目没填简称",IF(ISTEXT($G133)+ISTEXT($H133)+ISTEXT($K133)+ISTEXT($N133)+ISTEXT($O133)+ISTEXT($Q133)+ISTEXT($R133)+ISTEXT($S133)&gt;0,"⚠ 金额列里有文字，算不进合计",IF(N($G133)&gt;=1,"⚠ 管理费点要填百分比，如 10%",IF(AND($D133&lt;&gt;"",$B133=""),"△ 摘要开头没写日期（如 2026.9.21），月份取不到",IF(AND(N($H133)&lt;&gt;0,COUNTIFS($A$4:$A$1003,$A133,$H$4:$H$1003,$H133,$D$4:$D$1003,LEFT($D133,9)&amp;"*")&gt;1),"△ 同一天同项目有一样的销售金额，看看是不是录重了","✓"))))))))</f>
        <v/>
      </c>
      <c r="W133" s="8" t="str">
        <f aca="false">IF($A133="","",$A133&amp;"#"&amp;COUNTIF($A$4:$A133,$A133))</f>
        <v/>
      </c>
    </row>
    <row r="134" customFormat="false" ht="16.5" hidden="false" customHeight="false" outlineLevel="0" collapsed="false">
      <c r="A134" s="44" t="str">
        <f aca="false">IF($C134="","",IFERROR(VLOOKUP($C134,目录!$B:$C,2,0)&amp;"","⚠目录里没有"))</f>
        <v/>
      </c>
      <c r="B134" s="45" t="str">
        <f aca="false">IF($D134="","",IFERROR(MID($D134,FIND(".",$D134)+1,FIND(".",$D134,FIND(".",$D134)+1)-FIND(".",$D134)-1)&amp;"月",""))</f>
        <v/>
      </c>
      <c r="C134" s="46"/>
      <c r="D134" s="47"/>
      <c r="E134" s="47"/>
      <c r="F134" s="49"/>
      <c r="G134" s="50"/>
      <c r="H134" s="24"/>
      <c r="I134" s="24" t="str">
        <f aca="false">IF($H134="","",N($H134)*N($G134))</f>
        <v/>
      </c>
      <c r="J134" s="25" t="str">
        <f aca="false">IF($H134="","",N($H134)-N($I134))</f>
        <v/>
      </c>
      <c r="K134" s="25"/>
      <c r="L134" s="25" t="str">
        <f aca="false">IF($A134="","",SUMIF($A$4:$A134,$A134,$J$4:$J134)-SUMIF($A$4:$A134,$A134,$K$4:$K134))</f>
        <v/>
      </c>
      <c r="M134" s="26" t="str">
        <f aca="false">IF($H134="","",N($H134))</f>
        <v/>
      </c>
      <c r="N134" s="26"/>
      <c r="O134" s="26"/>
      <c r="P134" s="26" t="str">
        <f aca="false">IF($A134="","",SUMIF($A$4:$A134,$A134,$M$4:$M134)-SUMIF($A$4:$A134,$A134,$N$4:$N134)-SUMIF($A$4:$A134,$A134,$O$4:$O134))</f>
        <v/>
      </c>
      <c r="Q134" s="27"/>
      <c r="R134" s="28"/>
      <c r="S134" s="28"/>
      <c r="T134" s="28" t="str">
        <f aca="false">IF($A134="","",SUMIF($A$4:$A134,$A134,$Q$4:$Q134)-SUMIF($A$4:$A134,$A134,$R$4:$R134)-SUMIF($A$4:$A134,$A134,$S$4:$S134))</f>
        <v/>
      </c>
      <c r="U134" s="28"/>
      <c r="V134" s="29" t="str">
        <f aca="false">IF(AND($C134="",COUNTA($D134:$H134,$K134,$N134:$O134,$Q134:$S134,$U134)=0),"",IF($C134="","⚠ 没填项目名称",IF($A134="⚠目录里没有","⚠ 项目名称在目录里找不到（先加到目录）",IF($A134="","⚠ 目录里这个项目没填简称",IF(ISTEXT($G134)+ISTEXT($H134)+ISTEXT($K134)+ISTEXT($N134)+ISTEXT($O134)+ISTEXT($Q134)+ISTEXT($R134)+ISTEXT($S134)&gt;0,"⚠ 金额列里有文字，算不进合计",IF(N($G134)&gt;=1,"⚠ 管理费点要填百分比，如 10%",IF(AND($D134&lt;&gt;"",$B134=""),"△ 摘要开头没写日期（如 2026.9.21），月份取不到",IF(AND(N($H134)&lt;&gt;0,COUNTIFS($A$4:$A$1003,$A134,$H$4:$H$1003,$H134,$D$4:$D$1003,LEFT($D134,9)&amp;"*")&gt;1),"△ 同一天同项目有一样的销售金额，看看是不是录重了","✓"))))))))</f>
        <v/>
      </c>
      <c r="W134" s="8" t="str">
        <f aca="false">IF($A134="","",$A134&amp;"#"&amp;COUNTIF($A$4:$A134,$A134))</f>
        <v/>
      </c>
    </row>
    <row r="135" customFormat="false" ht="16.5" hidden="false" customHeight="false" outlineLevel="0" collapsed="false">
      <c r="A135" s="44" t="str">
        <f aca="false">IF($C135="","",IFERROR(VLOOKUP($C135,目录!$B:$C,2,0)&amp;"","⚠目录里没有"))</f>
        <v/>
      </c>
      <c r="B135" s="45" t="str">
        <f aca="false">IF($D135="","",IFERROR(MID($D135,FIND(".",$D135)+1,FIND(".",$D135,FIND(".",$D135)+1)-FIND(".",$D135)-1)&amp;"月",""))</f>
        <v/>
      </c>
      <c r="C135" s="46"/>
      <c r="D135" s="47"/>
      <c r="E135" s="47"/>
      <c r="F135" s="49"/>
      <c r="G135" s="50"/>
      <c r="H135" s="24"/>
      <c r="I135" s="24" t="str">
        <f aca="false">IF($H135="","",N($H135)*N($G135))</f>
        <v/>
      </c>
      <c r="J135" s="25" t="str">
        <f aca="false">IF($H135="","",N($H135)-N($I135))</f>
        <v/>
      </c>
      <c r="K135" s="25"/>
      <c r="L135" s="25" t="str">
        <f aca="false">IF($A135="","",SUMIF($A$4:$A135,$A135,$J$4:$J135)-SUMIF($A$4:$A135,$A135,$K$4:$K135))</f>
        <v/>
      </c>
      <c r="M135" s="26" t="str">
        <f aca="false">IF($H135="","",N($H135))</f>
        <v/>
      </c>
      <c r="N135" s="26"/>
      <c r="O135" s="26"/>
      <c r="P135" s="26" t="str">
        <f aca="false">IF($A135="","",SUMIF($A$4:$A135,$A135,$M$4:$M135)-SUMIF($A$4:$A135,$A135,$N$4:$N135)-SUMIF($A$4:$A135,$A135,$O$4:$O135))</f>
        <v/>
      </c>
      <c r="Q135" s="27"/>
      <c r="R135" s="28"/>
      <c r="S135" s="28"/>
      <c r="T135" s="28" t="str">
        <f aca="false">IF($A135="","",SUMIF($A$4:$A135,$A135,$Q$4:$Q135)-SUMIF($A$4:$A135,$A135,$R$4:$R135)-SUMIF($A$4:$A135,$A135,$S$4:$S135))</f>
        <v/>
      </c>
      <c r="U135" s="28"/>
      <c r="V135" s="29" t="str">
        <f aca="false">IF(AND($C135="",COUNTA($D135:$H135,$K135,$N135:$O135,$Q135:$S135,$U135)=0),"",IF($C135="","⚠ 没填项目名称",IF($A135="⚠目录里没有","⚠ 项目名称在目录里找不到（先加到目录）",IF($A135="","⚠ 目录里这个项目没填简称",IF(ISTEXT($G135)+ISTEXT($H135)+ISTEXT($K135)+ISTEXT($N135)+ISTEXT($O135)+ISTEXT($Q135)+ISTEXT($R135)+ISTEXT($S135)&gt;0,"⚠ 金额列里有文字，算不进合计",IF(N($G135)&gt;=1,"⚠ 管理费点要填百分比，如 10%",IF(AND($D135&lt;&gt;"",$B135=""),"△ 摘要开头没写日期（如 2026.9.21），月份取不到",IF(AND(N($H135)&lt;&gt;0,COUNTIFS($A$4:$A$1003,$A135,$H$4:$H$1003,$H135,$D$4:$D$1003,LEFT($D135,9)&amp;"*")&gt;1),"△ 同一天同项目有一样的销售金额，看看是不是录重了","✓"))))))))</f>
        <v/>
      </c>
      <c r="W135" s="8" t="str">
        <f aca="false">IF($A135="","",$A135&amp;"#"&amp;COUNTIF($A$4:$A135,$A135))</f>
        <v/>
      </c>
    </row>
    <row r="136" customFormat="false" ht="16.5" hidden="false" customHeight="false" outlineLevel="0" collapsed="false">
      <c r="A136" s="44" t="str">
        <f aca="false">IF($C136="","",IFERROR(VLOOKUP($C136,目录!$B:$C,2,0)&amp;"","⚠目录里没有"))</f>
        <v/>
      </c>
      <c r="B136" s="45" t="str">
        <f aca="false">IF($D136="","",IFERROR(MID($D136,FIND(".",$D136)+1,FIND(".",$D136,FIND(".",$D136)+1)-FIND(".",$D136)-1)&amp;"月",""))</f>
        <v/>
      </c>
      <c r="C136" s="46"/>
      <c r="D136" s="47"/>
      <c r="E136" s="47"/>
      <c r="F136" s="49"/>
      <c r="G136" s="50"/>
      <c r="H136" s="24"/>
      <c r="I136" s="24" t="str">
        <f aca="false">IF($H136="","",N($H136)*N($G136))</f>
        <v/>
      </c>
      <c r="J136" s="25" t="str">
        <f aca="false">IF($H136="","",N($H136)-N($I136))</f>
        <v/>
      </c>
      <c r="K136" s="25"/>
      <c r="L136" s="25" t="str">
        <f aca="false">IF($A136="","",SUMIF($A$4:$A136,$A136,$J$4:$J136)-SUMIF($A$4:$A136,$A136,$K$4:$K136))</f>
        <v/>
      </c>
      <c r="M136" s="26" t="str">
        <f aca="false">IF($H136="","",N($H136))</f>
        <v/>
      </c>
      <c r="N136" s="26"/>
      <c r="O136" s="26"/>
      <c r="P136" s="26" t="str">
        <f aca="false">IF($A136="","",SUMIF($A$4:$A136,$A136,$M$4:$M136)-SUMIF($A$4:$A136,$A136,$N$4:$N136)-SUMIF($A$4:$A136,$A136,$O$4:$O136))</f>
        <v/>
      </c>
      <c r="Q136" s="27"/>
      <c r="R136" s="28"/>
      <c r="S136" s="28"/>
      <c r="T136" s="28" t="str">
        <f aca="false">IF($A136="","",SUMIF($A$4:$A136,$A136,$Q$4:$Q136)-SUMIF($A$4:$A136,$A136,$R$4:$R136)-SUMIF($A$4:$A136,$A136,$S$4:$S136))</f>
        <v/>
      </c>
      <c r="U136" s="28"/>
      <c r="V136" s="29" t="str">
        <f aca="false">IF(AND($C136="",COUNTA($D136:$H136,$K136,$N136:$O136,$Q136:$S136,$U136)=0),"",IF($C136="","⚠ 没填项目名称",IF($A136="⚠目录里没有","⚠ 项目名称在目录里找不到（先加到目录）",IF($A136="","⚠ 目录里这个项目没填简称",IF(ISTEXT($G136)+ISTEXT($H136)+ISTEXT($K136)+ISTEXT($N136)+ISTEXT($O136)+ISTEXT($Q136)+ISTEXT($R136)+ISTEXT($S136)&gt;0,"⚠ 金额列里有文字，算不进合计",IF(N($G136)&gt;=1,"⚠ 管理费点要填百分比，如 10%",IF(AND($D136&lt;&gt;"",$B136=""),"△ 摘要开头没写日期（如 2026.9.21），月份取不到",IF(AND(N($H136)&lt;&gt;0,COUNTIFS($A$4:$A$1003,$A136,$H$4:$H$1003,$H136,$D$4:$D$1003,LEFT($D136,9)&amp;"*")&gt;1),"△ 同一天同项目有一样的销售金额，看看是不是录重了","✓"))))))))</f>
        <v/>
      </c>
      <c r="W136" s="8" t="str">
        <f aca="false">IF($A136="","",$A136&amp;"#"&amp;COUNTIF($A$4:$A136,$A136))</f>
        <v/>
      </c>
    </row>
    <row r="137" customFormat="false" ht="16.5" hidden="false" customHeight="false" outlineLevel="0" collapsed="false">
      <c r="A137" s="44" t="str">
        <f aca="false">IF($C137="","",IFERROR(VLOOKUP($C137,目录!$B:$C,2,0)&amp;"","⚠目录里没有"))</f>
        <v/>
      </c>
      <c r="B137" s="45" t="str">
        <f aca="false">IF($D137="","",IFERROR(MID($D137,FIND(".",$D137)+1,FIND(".",$D137,FIND(".",$D137)+1)-FIND(".",$D137)-1)&amp;"月",""))</f>
        <v/>
      </c>
      <c r="C137" s="46"/>
      <c r="D137" s="47"/>
      <c r="E137" s="47"/>
      <c r="F137" s="49"/>
      <c r="G137" s="50"/>
      <c r="H137" s="24"/>
      <c r="I137" s="24" t="str">
        <f aca="false">IF($H137="","",N($H137)*N($G137))</f>
        <v/>
      </c>
      <c r="J137" s="25" t="str">
        <f aca="false">IF($H137="","",N($H137)-N($I137))</f>
        <v/>
      </c>
      <c r="K137" s="25"/>
      <c r="L137" s="25" t="str">
        <f aca="false">IF($A137="","",SUMIF($A$4:$A137,$A137,$J$4:$J137)-SUMIF($A$4:$A137,$A137,$K$4:$K137))</f>
        <v/>
      </c>
      <c r="M137" s="26" t="str">
        <f aca="false">IF($H137="","",N($H137))</f>
        <v/>
      </c>
      <c r="N137" s="26"/>
      <c r="O137" s="26"/>
      <c r="P137" s="26" t="str">
        <f aca="false">IF($A137="","",SUMIF($A$4:$A137,$A137,$M$4:$M137)-SUMIF($A$4:$A137,$A137,$N$4:$N137)-SUMIF($A$4:$A137,$A137,$O$4:$O137))</f>
        <v/>
      </c>
      <c r="Q137" s="27"/>
      <c r="R137" s="28"/>
      <c r="S137" s="28"/>
      <c r="T137" s="28" t="str">
        <f aca="false">IF($A137="","",SUMIF($A$4:$A137,$A137,$Q$4:$Q137)-SUMIF($A$4:$A137,$A137,$R$4:$R137)-SUMIF($A$4:$A137,$A137,$S$4:$S137))</f>
        <v/>
      </c>
      <c r="U137" s="28"/>
      <c r="V137" s="29" t="str">
        <f aca="false">IF(AND($C137="",COUNTA($D137:$H137,$K137,$N137:$O137,$Q137:$S137,$U137)=0),"",IF($C137="","⚠ 没填项目名称",IF($A137="⚠目录里没有","⚠ 项目名称在目录里找不到（先加到目录）",IF($A137="","⚠ 目录里这个项目没填简称",IF(ISTEXT($G137)+ISTEXT($H137)+ISTEXT($K137)+ISTEXT($N137)+ISTEXT($O137)+ISTEXT($Q137)+ISTEXT($R137)+ISTEXT($S137)&gt;0,"⚠ 金额列里有文字，算不进合计",IF(N($G137)&gt;=1,"⚠ 管理费点要填百分比，如 10%",IF(AND($D137&lt;&gt;"",$B137=""),"△ 摘要开头没写日期（如 2026.9.21），月份取不到",IF(AND(N($H137)&lt;&gt;0,COUNTIFS($A$4:$A$1003,$A137,$H$4:$H$1003,$H137,$D$4:$D$1003,LEFT($D137,9)&amp;"*")&gt;1),"△ 同一天同项目有一样的销售金额，看看是不是录重了","✓"))))))))</f>
        <v/>
      </c>
      <c r="W137" s="8" t="str">
        <f aca="false">IF($A137="","",$A137&amp;"#"&amp;COUNTIF($A$4:$A137,$A137))</f>
        <v/>
      </c>
    </row>
    <row r="138" customFormat="false" ht="16.5" hidden="false" customHeight="false" outlineLevel="0" collapsed="false">
      <c r="A138" s="44" t="str">
        <f aca="false">IF($C138="","",IFERROR(VLOOKUP($C138,目录!$B:$C,2,0)&amp;"","⚠目录里没有"))</f>
        <v/>
      </c>
      <c r="B138" s="45" t="str">
        <f aca="false">IF($D138="","",IFERROR(MID($D138,FIND(".",$D138)+1,FIND(".",$D138,FIND(".",$D138)+1)-FIND(".",$D138)-1)&amp;"月",""))</f>
        <v/>
      </c>
      <c r="C138" s="46"/>
      <c r="D138" s="47"/>
      <c r="E138" s="47"/>
      <c r="F138" s="49"/>
      <c r="G138" s="50"/>
      <c r="H138" s="24"/>
      <c r="I138" s="24" t="str">
        <f aca="false">IF($H138="","",N($H138)*N($G138))</f>
        <v/>
      </c>
      <c r="J138" s="25" t="str">
        <f aca="false">IF($H138="","",N($H138)-N($I138))</f>
        <v/>
      </c>
      <c r="K138" s="25"/>
      <c r="L138" s="25" t="str">
        <f aca="false">IF($A138="","",SUMIF($A$4:$A138,$A138,$J$4:$J138)-SUMIF($A$4:$A138,$A138,$K$4:$K138))</f>
        <v/>
      </c>
      <c r="M138" s="26" t="str">
        <f aca="false">IF($H138="","",N($H138))</f>
        <v/>
      </c>
      <c r="N138" s="26"/>
      <c r="O138" s="26"/>
      <c r="P138" s="26" t="str">
        <f aca="false">IF($A138="","",SUMIF($A$4:$A138,$A138,$M$4:$M138)-SUMIF($A$4:$A138,$A138,$N$4:$N138)-SUMIF($A$4:$A138,$A138,$O$4:$O138))</f>
        <v/>
      </c>
      <c r="Q138" s="27"/>
      <c r="R138" s="28"/>
      <c r="S138" s="28"/>
      <c r="T138" s="28" t="str">
        <f aca="false">IF($A138="","",SUMIF($A$4:$A138,$A138,$Q$4:$Q138)-SUMIF($A$4:$A138,$A138,$R$4:$R138)-SUMIF($A$4:$A138,$A138,$S$4:$S138))</f>
        <v/>
      </c>
      <c r="U138" s="28"/>
      <c r="V138" s="29" t="str">
        <f aca="false">IF(AND($C138="",COUNTA($D138:$H138,$K138,$N138:$O138,$Q138:$S138,$U138)=0),"",IF($C138="","⚠ 没填项目名称",IF($A138="⚠目录里没有","⚠ 项目名称在目录里找不到（先加到目录）",IF($A138="","⚠ 目录里这个项目没填简称",IF(ISTEXT($G138)+ISTEXT($H138)+ISTEXT($K138)+ISTEXT($N138)+ISTEXT($O138)+ISTEXT($Q138)+ISTEXT($R138)+ISTEXT($S138)&gt;0,"⚠ 金额列里有文字，算不进合计",IF(N($G138)&gt;=1,"⚠ 管理费点要填百分比，如 10%",IF(AND($D138&lt;&gt;"",$B138=""),"△ 摘要开头没写日期（如 2026.9.21），月份取不到",IF(AND(N($H138)&lt;&gt;0,COUNTIFS($A$4:$A$1003,$A138,$H$4:$H$1003,$H138,$D$4:$D$1003,LEFT($D138,9)&amp;"*")&gt;1),"△ 同一天同项目有一样的销售金额，看看是不是录重了","✓"))))))))</f>
        <v/>
      </c>
      <c r="W138" s="8" t="str">
        <f aca="false">IF($A138="","",$A138&amp;"#"&amp;COUNTIF($A$4:$A138,$A138))</f>
        <v/>
      </c>
    </row>
    <row r="139" customFormat="false" ht="16.5" hidden="false" customHeight="false" outlineLevel="0" collapsed="false">
      <c r="A139" s="44" t="str">
        <f aca="false">IF($C139="","",IFERROR(VLOOKUP($C139,目录!$B:$C,2,0)&amp;"","⚠目录里没有"))</f>
        <v/>
      </c>
      <c r="B139" s="45" t="str">
        <f aca="false">IF($D139="","",IFERROR(MID($D139,FIND(".",$D139)+1,FIND(".",$D139,FIND(".",$D139)+1)-FIND(".",$D139)-1)&amp;"月",""))</f>
        <v/>
      </c>
      <c r="C139" s="46"/>
      <c r="D139" s="47"/>
      <c r="E139" s="47"/>
      <c r="F139" s="49"/>
      <c r="G139" s="50"/>
      <c r="H139" s="24"/>
      <c r="I139" s="24" t="str">
        <f aca="false">IF($H139="","",N($H139)*N($G139))</f>
        <v/>
      </c>
      <c r="J139" s="25" t="str">
        <f aca="false">IF($H139="","",N($H139)-N($I139))</f>
        <v/>
      </c>
      <c r="K139" s="25"/>
      <c r="L139" s="25" t="str">
        <f aca="false">IF($A139="","",SUMIF($A$4:$A139,$A139,$J$4:$J139)-SUMIF($A$4:$A139,$A139,$K$4:$K139))</f>
        <v/>
      </c>
      <c r="M139" s="26" t="str">
        <f aca="false">IF($H139="","",N($H139))</f>
        <v/>
      </c>
      <c r="N139" s="26"/>
      <c r="O139" s="26"/>
      <c r="P139" s="26" t="str">
        <f aca="false">IF($A139="","",SUMIF($A$4:$A139,$A139,$M$4:$M139)-SUMIF($A$4:$A139,$A139,$N$4:$N139)-SUMIF($A$4:$A139,$A139,$O$4:$O139))</f>
        <v/>
      </c>
      <c r="Q139" s="27"/>
      <c r="R139" s="28"/>
      <c r="S139" s="28"/>
      <c r="T139" s="28" t="str">
        <f aca="false">IF($A139="","",SUMIF($A$4:$A139,$A139,$Q$4:$Q139)-SUMIF($A$4:$A139,$A139,$R$4:$R139)-SUMIF($A$4:$A139,$A139,$S$4:$S139))</f>
        <v/>
      </c>
      <c r="U139" s="28"/>
      <c r="V139" s="29" t="str">
        <f aca="false">IF(AND($C139="",COUNTA($D139:$H139,$K139,$N139:$O139,$Q139:$S139,$U139)=0),"",IF($C139="","⚠ 没填项目名称",IF($A139="⚠目录里没有","⚠ 项目名称在目录里找不到（先加到目录）",IF($A139="","⚠ 目录里这个项目没填简称",IF(ISTEXT($G139)+ISTEXT($H139)+ISTEXT($K139)+ISTEXT($N139)+ISTEXT($O139)+ISTEXT($Q139)+ISTEXT($R139)+ISTEXT($S139)&gt;0,"⚠ 金额列里有文字，算不进合计",IF(N($G139)&gt;=1,"⚠ 管理费点要填百分比，如 10%",IF(AND($D139&lt;&gt;"",$B139=""),"△ 摘要开头没写日期（如 2026.9.21），月份取不到",IF(AND(N($H139)&lt;&gt;0,COUNTIFS($A$4:$A$1003,$A139,$H$4:$H$1003,$H139,$D$4:$D$1003,LEFT($D139,9)&amp;"*")&gt;1),"△ 同一天同项目有一样的销售金额，看看是不是录重了","✓"))))))))</f>
        <v/>
      </c>
      <c r="W139" s="8" t="str">
        <f aca="false">IF($A139="","",$A139&amp;"#"&amp;COUNTIF($A$4:$A139,$A139))</f>
        <v/>
      </c>
    </row>
    <row r="140" customFormat="false" ht="16.5" hidden="false" customHeight="false" outlineLevel="0" collapsed="false">
      <c r="A140" s="44" t="str">
        <f aca="false">IF($C140="","",IFERROR(VLOOKUP($C140,目录!$B:$C,2,0)&amp;"","⚠目录里没有"))</f>
        <v/>
      </c>
      <c r="B140" s="45" t="str">
        <f aca="false">IF($D140="","",IFERROR(MID($D140,FIND(".",$D140)+1,FIND(".",$D140,FIND(".",$D140)+1)-FIND(".",$D140)-1)&amp;"月",""))</f>
        <v/>
      </c>
      <c r="C140" s="46"/>
      <c r="D140" s="47"/>
      <c r="E140" s="47"/>
      <c r="F140" s="49"/>
      <c r="G140" s="50"/>
      <c r="H140" s="24"/>
      <c r="I140" s="24" t="str">
        <f aca="false">IF($H140="","",N($H140)*N($G140))</f>
        <v/>
      </c>
      <c r="J140" s="25" t="str">
        <f aca="false">IF($H140="","",N($H140)-N($I140))</f>
        <v/>
      </c>
      <c r="K140" s="25"/>
      <c r="L140" s="25" t="str">
        <f aca="false">IF($A140="","",SUMIF($A$4:$A140,$A140,$J$4:$J140)-SUMIF($A$4:$A140,$A140,$K$4:$K140))</f>
        <v/>
      </c>
      <c r="M140" s="26" t="str">
        <f aca="false">IF($H140="","",N($H140))</f>
        <v/>
      </c>
      <c r="N140" s="26"/>
      <c r="O140" s="26"/>
      <c r="P140" s="26" t="str">
        <f aca="false">IF($A140="","",SUMIF($A$4:$A140,$A140,$M$4:$M140)-SUMIF($A$4:$A140,$A140,$N$4:$N140)-SUMIF($A$4:$A140,$A140,$O$4:$O140))</f>
        <v/>
      </c>
      <c r="Q140" s="27"/>
      <c r="R140" s="28"/>
      <c r="S140" s="28"/>
      <c r="T140" s="28" t="str">
        <f aca="false">IF($A140="","",SUMIF($A$4:$A140,$A140,$Q$4:$Q140)-SUMIF($A$4:$A140,$A140,$R$4:$R140)-SUMIF($A$4:$A140,$A140,$S$4:$S140))</f>
        <v/>
      </c>
      <c r="U140" s="28"/>
      <c r="V140" s="29" t="str">
        <f aca="false">IF(AND($C140="",COUNTA($D140:$H140,$K140,$N140:$O140,$Q140:$S140,$U140)=0),"",IF($C140="","⚠ 没填项目名称",IF($A140="⚠目录里没有","⚠ 项目名称在目录里找不到（先加到目录）",IF($A140="","⚠ 目录里这个项目没填简称",IF(ISTEXT($G140)+ISTEXT($H140)+ISTEXT($K140)+ISTEXT($N140)+ISTEXT($O140)+ISTEXT($Q140)+ISTEXT($R140)+ISTEXT($S140)&gt;0,"⚠ 金额列里有文字，算不进合计",IF(N($G140)&gt;=1,"⚠ 管理费点要填百分比，如 10%",IF(AND($D140&lt;&gt;"",$B140=""),"△ 摘要开头没写日期（如 2026.9.21），月份取不到",IF(AND(N($H140)&lt;&gt;0,COUNTIFS($A$4:$A$1003,$A140,$H$4:$H$1003,$H140,$D$4:$D$1003,LEFT($D140,9)&amp;"*")&gt;1),"△ 同一天同项目有一样的销售金额，看看是不是录重了","✓"))))))))</f>
        <v/>
      </c>
      <c r="W140" s="8" t="str">
        <f aca="false">IF($A140="","",$A140&amp;"#"&amp;COUNTIF($A$4:$A140,$A140))</f>
        <v/>
      </c>
    </row>
    <row r="141" customFormat="false" ht="16.5" hidden="false" customHeight="false" outlineLevel="0" collapsed="false">
      <c r="A141" s="44" t="str">
        <f aca="false">IF($C141="","",IFERROR(VLOOKUP($C141,目录!$B:$C,2,0)&amp;"","⚠目录里没有"))</f>
        <v/>
      </c>
      <c r="B141" s="45" t="str">
        <f aca="false">IF($D141="","",IFERROR(MID($D141,FIND(".",$D141)+1,FIND(".",$D141,FIND(".",$D141)+1)-FIND(".",$D141)-1)&amp;"月",""))</f>
        <v/>
      </c>
      <c r="C141" s="46"/>
      <c r="D141" s="47"/>
      <c r="E141" s="47"/>
      <c r="F141" s="49"/>
      <c r="G141" s="50"/>
      <c r="H141" s="24"/>
      <c r="I141" s="24" t="str">
        <f aca="false">IF($H141="","",N($H141)*N($G141))</f>
        <v/>
      </c>
      <c r="J141" s="25" t="str">
        <f aca="false">IF($H141="","",N($H141)-N($I141))</f>
        <v/>
      </c>
      <c r="K141" s="25"/>
      <c r="L141" s="25" t="str">
        <f aca="false">IF($A141="","",SUMIF($A$4:$A141,$A141,$J$4:$J141)-SUMIF($A$4:$A141,$A141,$K$4:$K141))</f>
        <v/>
      </c>
      <c r="M141" s="26" t="str">
        <f aca="false">IF($H141="","",N($H141))</f>
        <v/>
      </c>
      <c r="N141" s="26"/>
      <c r="O141" s="26"/>
      <c r="P141" s="26" t="str">
        <f aca="false">IF($A141="","",SUMIF($A$4:$A141,$A141,$M$4:$M141)-SUMIF($A$4:$A141,$A141,$N$4:$N141)-SUMIF($A$4:$A141,$A141,$O$4:$O141))</f>
        <v/>
      </c>
      <c r="Q141" s="27"/>
      <c r="R141" s="28"/>
      <c r="S141" s="28"/>
      <c r="T141" s="28" t="str">
        <f aca="false">IF($A141="","",SUMIF($A$4:$A141,$A141,$Q$4:$Q141)-SUMIF($A$4:$A141,$A141,$R$4:$R141)-SUMIF($A$4:$A141,$A141,$S$4:$S141))</f>
        <v/>
      </c>
      <c r="U141" s="28"/>
      <c r="V141" s="29" t="str">
        <f aca="false">IF(AND($C141="",COUNTA($D141:$H141,$K141,$N141:$O141,$Q141:$S141,$U141)=0),"",IF($C141="","⚠ 没填项目名称",IF($A141="⚠目录里没有","⚠ 项目名称在目录里找不到（先加到目录）",IF($A141="","⚠ 目录里这个项目没填简称",IF(ISTEXT($G141)+ISTEXT($H141)+ISTEXT($K141)+ISTEXT($N141)+ISTEXT($O141)+ISTEXT($Q141)+ISTEXT($R141)+ISTEXT($S141)&gt;0,"⚠ 金额列里有文字，算不进合计",IF(N($G141)&gt;=1,"⚠ 管理费点要填百分比，如 10%",IF(AND($D141&lt;&gt;"",$B141=""),"△ 摘要开头没写日期（如 2026.9.21），月份取不到",IF(AND(N($H141)&lt;&gt;0,COUNTIFS($A$4:$A$1003,$A141,$H$4:$H$1003,$H141,$D$4:$D$1003,LEFT($D141,9)&amp;"*")&gt;1),"△ 同一天同项目有一样的销售金额，看看是不是录重了","✓"))))))))</f>
        <v/>
      </c>
      <c r="W141" s="8" t="str">
        <f aca="false">IF($A141="","",$A141&amp;"#"&amp;COUNTIF($A$4:$A141,$A141))</f>
        <v/>
      </c>
    </row>
    <row r="142" customFormat="false" ht="16.5" hidden="false" customHeight="false" outlineLevel="0" collapsed="false">
      <c r="A142" s="44" t="str">
        <f aca="false">IF($C142="","",IFERROR(VLOOKUP($C142,目录!$B:$C,2,0)&amp;"","⚠目录里没有"))</f>
        <v/>
      </c>
      <c r="B142" s="45" t="str">
        <f aca="false">IF($D142="","",IFERROR(MID($D142,FIND(".",$D142)+1,FIND(".",$D142,FIND(".",$D142)+1)-FIND(".",$D142)-1)&amp;"月",""))</f>
        <v/>
      </c>
      <c r="C142" s="46"/>
      <c r="D142" s="47"/>
      <c r="E142" s="47"/>
      <c r="F142" s="49"/>
      <c r="G142" s="50"/>
      <c r="H142" s="24"/>
      <c r="I142" s="24" t="str">
        <f aca="false">IF($H142="","",N($H142)*N($G142))</f>
        <v/>
      </c>
      <c r="J142" s="25" t="str">
        <f aca="false">IF($H142="","",N($H142)-N($I142))</f>
        <v/>
      </c>
      <c r="K142" s="25"/>
      <c r="L142" s="25" t="str">
        <f aca="false">IF($A142="","",SUMIF($A$4:$A142,$A142,$J$4:$J142)-SUMIF($A$4:$A142,$A142,$K$4:$K142))</f>
        <v/>
      </c>
      <c r="M142" s="26" t="str">
        <f aca="false">IF($H142="","",N($H142))</f>
        <v/>
      </c>
      <c r="N142" s="26"/>
      <c r="O142" s="26"/>
      <c r="P142" s="26" t="str">
        <f aca="false">IF($A142="","",SUMIF($A$4:$A142,$A142,$M$4:$M142)-SUMIF($A$4:$A142,$A142,$N$4:$N142)-SUMIF($A$4:$A142,$A142,$O$4:$O142))</f>
        <v/>
      </c>
      <c r="Q142" s="27"/>
      <c r="R142" s="28"/>
      <c r="S142" s="28"/>
      <c r="T142" s="28" t="str">
        <f aca="false">IF($A142="","",SUMIF($A$4:$A142,$A142,$Q$4:$Q142)-SUMIF($A$4:$A142,$A142,$R$4:$R142)-SUMIF($A$4:$A142,$A142,$S$4:$S142))</f>
        <v/>
      </c>
      <c r="U142" s="28"/>
      <c r="V142" s="29" t="str">
        <f aca="false">IF(AND($C142="",COUNTA($D142:$H142,$K142,$N142:$O142,$Q142:$S142,$U142)=0),"",IF($C142="","⚠ 没填项目名称",IF($A142="⚠目录里没有","⚠ 项目名称在目录里找不到（先加到目录）",IF($A142="","⚠ 目录里这个项目没填简称",IF(ISTEXT($G142)+ISTEXT($H142)+ISTEXT($K142)+ISTEXT($N142)+ISTEXT($O142)+ISTEXT($Q142)+ISTEXT($R142)+ISTEXT($S142)&gt;0,"⚠ 金额列里有文字，算不进合计",IF(N($G142)&gt;=1,"⚠ 管理费点要填百分比，如 10%",IF(AND($D142&lt;&gt;"",$B142=""),"△ 摘要开头没写日期（如 2026.9.21），月份取不到",IF(AND(N($H142)&lt;&gt;0,COUNTIFS($A$4:$A$1003,$A142,$H$4:$H$1003,$H142,$D$4:$D$1003,LEFT($D142,9)&amp;"*")&gt;1),"△ 同一天同项目有一样的销售金额，看看是不是录重了","✓"))))))))</f>
        <v/>
      </c>
      <c r="W142" s="8" t="str">
        <f aca="false">IF($A142="","",$A142&amp;"#"&amp;COUNTIF($A$4:$A142,$A142))</f>
        <v/>
      </c>
    </row>
    <row r="143" customFormat="false" ht="16.5" hidden="false" customHeight="false" outlineLevel="0" collapsed="false">
      <c r="A143" s="44" t="str">
        <f aca="false">IF($C143="","",IFERROR(VLOOKUP($C143,目录!$B:$C,2,0)&amp;"","⚠目录里没有"))</f>
        <v/>
      </c>
      <c r="B143" s="45" t="str">
        <f aca="false">IF($D143="","",IFERROR(MID($D143,FIND(".",$D143)+1,FIND(".",$D143,FIND(".",$D143)+1)-FIND(".",$D143)-1)&amp;"月",""))</f>
        <v/>
      </c>
      <c r="C143" s="46"/>
      <c r="D143" s="47"/>
      <c r="E143" s="47"/>
      <c r="F143" s="49"/>
      <c r="G143" s="50"/>
      <c r="H143" s="24"/>
      <c r="I143" s="24" t="str">
        <f aca="false">IF($H143="","",N($H143)*N($G143))</f>
        <v/>
      </c>
      <c r="J143" s="25" t="str">
        <f aca="false">IF($H143="","",N($H143)-N($I143))</f>
        <v/>
      </c>
      <c r="K143" s="25"/>
      <c r="L143" s="25" t="str">
        <f aca="false">IF($A143="","",SUMIF($A$4:$A143,$A143,$J$4:$J143)-SUMIF($A$4:$A143,$A143,$K$4:$K143))</f>
        <v/>
      </c>
      <c r="M143" s="26" t="str">
        <f aca="false">IF($H143="","",N($H143))</f>
        <v/>
      </c>
      <c r="N143" s="26"/>
      <c r="O143" s="26"/>
      <c r="P143" s="26" t="str">
        <f aca="false">IF($A143="","",SUMIF($A$4:$A143,$A143,$M$4:$M143)-SUMIF($A$4:$A143,$A143,$N$4:$N143)-SUMIF($A$4:$A143,$A143,$O$4:$O143))</f>
        <v/>
      </c>
      <c r="Q143" s="27"/>
      <c r="R143" s="28"/>
      <c r="S143" s="28"/>
      <c r="T143" s="28" t="str">
        <f aca="false">IF($A143="","",SUMIF($A$4:$A143,$A143,$Q$4:$Q143)-SUMIF($A$4:$A143,$A143,$R$4:$R143)-SUMIF($A$4:$A143,$A143,$S$4:$S143))</f>
        <v/>
      </c>
      <c r="U143" s="28"/>
      <c r="V143" s="29" t="str">
        <f aca="false">IF(AND($C143="",COUNTA($D143:$H143,$K143,$N143:$O143,$Q143:$S143,$U143)=0),"",IF($C143="","⚠ 没填项目名称",IF($A143="⚠目录里没有","⚠ 项目名称在目录里找不到（先加到目录）",IF($A143="","⚠ 目录里这个项目没填简称",IF(ISTEXT($G143)+ISTEXT($H143)+ISTEXT($K143)+ISTEXT($N143)+ISTEXT($O143)+ISTEXT($Q143)+ISTEXT($R143)+ISTEXT($S143)&gt;0,"⚠ 金额列里有文字，算不进合计",IF(N($G143)&gt;=1,"⚠ 管理费点要填百分比，如 10%",IF(AND($D143&lt;&gt;"",$B143=""),"△ 摘要开头没写日期（如 2026.9.21），月份取不到",IF(AND(N($H143)&lt;&gt;0,COUNTIFS($A$4:$A$1003,$A143,$H$4:$H$1003,$H143,$D$4:$D$1003,LEFT($D143,9)&amp;"*")&gt;1),"△ 同一天同项目有一样的销售金额，看看是不是录重了","✓"))))))))</f>
        <v/>
      </c>
      <c r="W143" s="8" t="str">
        <f aca="false">IF($A143="","",$A143&amp;"#"&amp;COUNTIF($A$4:$A143,$A143))</f>
        <v/>
      </c>
    </row>
    <row r="144" customFormat="false" ht="16.5" hidden="false" customHeight="false" outlineLevel="0" collapsed="false">
      <c r="A144" s="44" t="str">
        <f aca="false">IF($C144="","",IFERROR(VLOOKUP($C144,目录!$B:$C,2,0)&amp;"","⚠目录里没有"))</f>
        <v/>
      </c>
      <c r="B144" s="45" t="str">
        <f aca="false">IF($D144="","",IFERROR(MID($D144,FIND(".",$D144)+1,FIND(".",$D144,FIND(".",$D144)+1)-FIND(".",$D144)-1)&amp;"月",""))</f>
        <v/>
      </c>
      <c r="C144" s="46"/>
      <c r="D144" s="47"/>
      <c r="E144" s="47"/>
      <c r="F144" s="49"/>
      <c r="G144" s="50"/>
      <c r="H144" s="24"/>
      <c r="I144" s="24" t="str">
        <f aca="false">IF($H144="","",N($H144)*N($G144))</f>
        <v/>
      </c>
      <c r="J144" s="25" t="str">
        <f aca="false">IF($H144="","",N($H144)-N($I144))</f>
        <v/>
      </c>
      <c r="K144" s="25"/>
      <c r="L144" s="25" t="str">
        <f aca="false">IF($A144="","",SUMIF($A$4:$A144,$A144,$J$4:$J144)-SUMIF($A$4:$A144,$A144,$K$4:$K144))</f>
        <v/>
      </c>
      <c r="M144" s="26" t="str">
        <f aca="false">IF($H144="","",N($H144))</f>
        <v/>
      </c>
      <c r="N144" s="26"/>
      <c r="O144" s="26"/>
      <c r="P144" s="26" t="str">
        <f aca="false">IF($A144="","",SUMIF($A$4:$A144,$A144,$M$4:$M144)-SUMIF($A$4:$A144,$A144,$N$4:$N144)-SUMIF($A$4:$A144,$A144,$O$4:$O144))</f>
        <v/>
      </c>
      <c r="Q144" s="27"/>
      <c r="R144" s="28"/>
      <c r="S144" s="28"/>
      <c r="T144" s="28" t="str">
        <f aca="false">IF($A144="","",SUMIF($A$4:$A144,$A144,$Q$4:$Q144)-SUMIF($A$4:$A144,$A144,$R$4:$R144)-SUMIF($A$4:$A144,$A144,$S$4:$S144))</f>
        <v/>
      </c>
      <c r="U144" s="28"/>
      <c r="V144" s="29" t="str">
        <f aca="false">IF(AND($C144="",COUNTA($D144:$H144,$K144,$N144:$O144,$Q144:$S144,$U144)=0),"",IF($C144="","⚠ 没填项目名称",IF($A144="⚠目录里没有","⚠ 项目名称在目录里找不到（先加到目录）",IF($A144="","⚠ 目录里这个项目没填简称",IF(ISTEXT($G144)+ISTEXT($H144)+ISTEXT($K144)+ISTEXT($N144)+ISTEXT($O144)+ISTEXT($Q144)+ISTEXT($R144)+ISTEXT($S144)&gt;0,"⚠ 金额列里有文字，算不进合计",IF(N($G144)&gt;=1,"⚠ 管理费点要填百分比，如 10%",IF(AND($D144&lt;&gt;"",$B144=""),"△ 摘要开头没写日期（如 2026.9.21），月份取不到",IF(AND(N($H144)&lt;&gt;0,COUNTIFS($A$4:$A$1003,$A144,$H$4:$H$1003,$H144,$D$4:$D$1003,LEFT($D144,9)&amp;"*")&gt;1),"△ 同一天同项目有一样的销售金额，看看是不是录重了","✓"))))))))</f>
        <v/>
      </c>
      <c r="W144" s="8" t="str">
        <f aca="false">IF($A144="","",$A144&amp;"#"&amp;COUNTIF($A$4:$A144,$A144))</f>
        <v/>
      </c>
    </row>
    <row r="145" customFormat="false" ht="16.5" hidden="false" customHeight="false" outlineLevel="0" collapsed="false">
      <c r="A145" s="44" t="str">
        <f aca="false">IF($C145="","",IFERROR(VLOOKUP($C145,目录!$B:$C,2,0)&amp;"","⚠目录里没有"))</f>
        <v/>
      </c>
      <c r="B145" s="45" t="str">
        <f aca="false">IF($D145="","",IFERROR(MID($D145,FIND(".",$D145)+1,FIND(".",$D145,FIND(".",$D145)+1)-FIND(".",$D145)-1)&amp;"月",""))</f>
        <v/>
      </c>
      <c r="C145" s="46"/>
      <c r="D145" s="47"/>
      <c r="E145" s="47"/>
      <c r="F145" s="49"/>
      <c r="G145" s="50"/>
      <c r="H145" s="24"/>
      <c r="I145" s="24" t="str">
        <f aca="false">IF($H145="","",N($H145)*N($G145))</f>
        <v/>
      </c>
      <c r="J145" s="25" t="str">
        <f aca="false">IF($H145="","",N($H145)-N($I145))</f>
        <v/>
      </c>
      <c r="K145" s="25"/>
      <c r="L145" s="25" t="str">
        <f aca="false">IF($A145="","",SUMIF($A$4:$A145,$A145,$J$4:$J145)-SUMIF($A$4:$A145,$A145,$K$4:$K145))</f>
        <v/>
      </c>
      <c r="M145" s="26" t="str">
        <f aca="false">IF($H145="","",N($H145))</f>
        <v/>
      </c>
      <c r="N145" s="26"/>
      <c r="O145" s="26"/>
      <c r="P145" s="26" t="str">
        <f aca="false">IF($A145="","",SUMIF($A$4:$A145,$A145,$M$4:$M145)-SUMIF($A$4:$A145,$A145,$N$4:$N145)-SUMIF($A$4:$A145,$A145,$O$4:$O145))</f>
        <v/>
      </c>
      <c r="Q145" s="27"/>
      <c r="R145" s="28"/>
      <c r="S145" s="28"/>
      <c r="T145" s="28" t="str">
        <f aca="false">IF($A145="","",SUMIF($A$4:$A145,$A145,$Q$4:$Q145)-SUMIF($A$4:$A145,$A145,$R$4:$R145)-SUMIF($A$4:$A145,$A145,$S$4:$S145))</f>
        <v/>
      </c>
      <c r="U145" s="28"/>
      <c r="V145" s="29" t="str">
        <f aca="false">IF(AND($C145="",COUNTA($D145:$H145,$K145,$N145:$O145,$Q145:$S145,$U145)=0),"",IF($C145="","⚠ 没填项目名称",IF($A145="⚠目录里没有","⚠ 项目名称在目录里找不到（先加到目录）",IF($A145="","⚠ 目录里这个项目没填简称",IF(ISTEXT($G145)+ISTEXT($H145)+ISTEXT($K145)+ISTEXT($N145)+ISTEXT($O145)+ISTEXT($Q145)+ISTEXT($R145)+ISTEXT($S145)&gt;0,"⚠ 金额列里有文字，算不进合计",IF(N($G145)&gt;=1,"⚠ 管理费点要填百分比，如 10%",IF(AND($D145&lt;&gt;"",$B145=""),"△ 摘要开头没写日期（如 2026.9.21），月份取不到",IF(AND(N($H145)&lt;&gt;0,COUNTIFS($A$4:$A$1003,$A145,$H$4:$H$1003,$H145,$D$4:$D$1003,LEFT($D145,9)&amp;"*")&gt;1),"△ 同一天同项目有一样的销售金额，看看是不是录重了","✓"))))))))</f>
        <v/>
      </c>
      <c r="W145" s="8" t="str">
        <f aca="false">IF($A145="","",$A145&amp;"#"&amp;COUNTIF($A$4:$A145,$A145))</f>
        <v/>
      </c>
    </row>
    <row r="146" customFormat="false" ht="16.5" hidden="false" customHeight="false" outlineLevel="0" collapsed="false">
      <c r="A146" s="44" t="str">
        <f aca="false">IF($C146="","",IFERROR(VLOOKUP($C146,目录!$B:$C,2,0)&amp;"","⚠目录里没有"))</f>
        <v/>
      </c>
      <c r="B146" s="45" t="str">
        <f aca="false">IF($D146="","",IFERROR(MID($D146,FIND(".",$D146)+1,FIND(".",$D146,FIND(".",$D146)+1)-FIND(".",$D146)-1)&amp;"月",""))</f>
        <v/>
      </c>
      <c r="C146" s="46"/>
      <c r="D146" s="47"/>
      <c r="E146" s="47"/>
      <c r="F146" s="49"/>
      <c r="G146" s="50"/>
      <c r="H146" s="24"/>
      <c r="I146" s="24" t="str">
        <f aca="false">IF($H146="","",N($H146)*N($G146))</f>
        <v/>
      </c>
      <c r="J146" s="25" t="str">
        <f aca="false">IF($H146="","",N($H146)-N($I146))</f>
        <v/>
      </c>
      <c r="K146" s="25"/>
      <c r="L146" s="25" t="str">
        <f aca="false">IF($A146="","",SUMIF($A$4:$A146,$A146,$J$4:$J146)-SUMIF($A$4:$A146,$A146,$K$4:$K146))</f>
        <v/>
      </c>
      <c r="M146" s="26" t="str">
        <f aca="false">IF($H146="","",N($H146))</f>
        <v/>
      </c>
      <c r="N146" s="26"/>
      <c r="O146" s="26"/>
      <c r="P146" s="26" t="str">
        <f aca="false">IF($A146="","",SUMIF($A$4:$A146,$A146,$M$4:$M146)-SUMIF($A$4:$A146,$A146,$N$4:$N146)-SUMIF($A$4:$A146,$A146,$O$4:$O146))</f>
        <v/>
      </c>
      <c r="Q146" s="27"/>
      <c r="R146" s="28"/>
      <c r="S146" s="28"/>
      <c r="T146" s="28" t="str">
        <f aca="false">IF($A146="","",SUMIF($A$4:$A146,$A146,$Q$4:$Q146)-SUMIF($A$4:$A146,$A146,$R$4:$R146)-SUMIF($A$4:$A146,$A146,$S$4:$S146))</f>
        <v/>
      </c>
      <c r="U146" s="28"/>
      <c r="V146" s="29" t="str">
        <f aca="false">IF(AND($C146="",COUNTA($D146:$H146,$K146,$N146:$O146,$Q146:$S146,$U146)=0),"",IF($C146="","⚠ 没填项目名称",IF($A146="⚠目录里没有","⚠ 项目名称在目录里找不到（先加到目录）",IF($A146="","⚠ 目录里这个项目没填简称",IF(ISTEXT($G146)+ISTEXT($H146)+ISTEXT($K146)+ISTEXT($N146)+ISTEXT($O146)+ISTEXT($Q146)+ISTEXT($R146)+ISTEXT($S146)&gt;0,"⚠ 金额列里有文字，算不进合计",IF(N($G146)&gt;=1,"⚠ 管理费点要填百分比，如 10%",IF(AND($D146&lt;&gt;"",$B146=""),"△ 摘要开头没写日期（如 2026.9.21），月份取不到",IF(AND(N($H146)&lt;&gt;0,COUNTIFS($A$4:$A$1003,$A146,$H$4:$H$1003,$H146,$D$4:$D$1003,LEFT($D146,9)&amp;"*")&gt;1),"△ 同一天同项目有一样的销售金额，看看是不是录重了","✓"))))))))</f>
        <v/>
      </c>
      <c r="W146" s="8" t="str">
        <f aca="false">IF($A146="","",$A146&amp;"#"&amp;COUNTIF($A$4:$A146,$A146))</f>
        <v/>
      </c>
    </row>
    <row r="147" customFormat="false" ht="16.5" hidden="false" customHeight="false" outlineLevel="0" collapsed="false">
      <c r="A147" s="44" t="str">
        <f aca="false">IF($C147="","",IFERROR(VLOOKUP($C147,目录!$B:$C,2,0)&amp;"","⚠目录里没有"))</f>
        <v/>
      </c>
      <c r="B147" s="45" t="str">
        <f aca="false">IF($D147="","",IFERROR(MID($D147,FIND(".",$D147)+1,FIND(".",$D147,FIND(".",$D147)+1)-FIND(".",$D147)-1)&amp;"月",""))</f>
        <v/>
      </c>
      <c r="C147" s="46"/>
      <c r="D147" s="47"/>
      <c r="E147" s="47"/>
      <c r="F147" s="49"/>
      <c r="G147" s="50"/>
      <c r="H147" s="24"/>
      <c r="I147" s="24" t="str">
        <f aca="false">IF($H147="","",N($H147)*N($G147))</f>
        <v/>
      </c>
      <c r="J147" s="25" t="str">
        <f aca="false">IF($H147="","",N($H147)-N($I147))</f>
        <v/>
      </c>
      <c r="K147" s="25"/>
      <c r="L147" s="25" t="str">
        <f aca="false">IF($A147="","",SUMIF($A$4:$A147,$A147,$J$4:$J147)-SUMIF($A$4:$A147,$A147,$K$4:$K147))</f>
        <v/>
      </c>
      <c r="M147" s="26" t="str">
        <f aca="false">IF($H147="","",N($H147))</f>
        <v/>
      </c>
      <c r="N147" s="26"/>
      <c r="O147" s="26"/>
      <c r="P147" s="26" t="str">
        <f aca="false">IF($A147="","",SUMIF($A$4:$A147,$A147,$M$4:$M147)-SUMIF($A$4:$A147,$A147,$N$4:$N147)-SUMIF($A$4:$A147,$A147,$O$4:$O147))</f>
        <v/>
      </c>
      <c r="Q147" s="27"/>
      <c r="R147" s="28"/>
      <c r="S147" s="28"/>
      <c r="T147" s="28" t="str">
        <f aca="false">IF($A147="","",SUMIF($A$4:$A147,$A147,$Q$4:$Q147)-SUMIF($A$4:$A147,$A147,$R$4:$R147)-SUMIF($A$4:$A147,$A147,$S$4:$S147))</f>
        <v/>
      </c>
      <c r="U147" s="28"/>
      <c r="V147" s="29" t="str">
        <f aca="false">IF(AND($C147="",COUNTA($D147:$H147,$K147,$N147:$O147,$Q147:$S147,$U147)=0),"",IF($C147="","⚠ 没填项目名称",IF($A147="⚠目录里没有","⚠ 项目名称在目录里找不到（先加到目录）",IF($A147="","⚠ 目录里这个项目没填简称",IF(ISTEXT($G147)+ISTEXT($H147)+ISTEXT($K147)+ISTEXT($N147)+ISTEXT($O147)+ISTEXT($Q147)+ISTEXT($R147)+ISTEXT($S147)&gt;0,"⚠ 金额列里有文字，算不进合计",IF(N($G147)&gt;=1,"⚠ 管理费点要填百分比，如 10%",IF(AND($D147&lt;&gt;"",$B147=""),"△ 摘要开头没写日期（如 2026.9.21），月份取不到",IF(AND(N($H147)&lt;&gt;0,COUNTIFS($A$4:$A$1003,$A147,$H$4:$H$1003,$H147,$D$4:$D$1003,LEFT($D147,9)&amp;"*")&gt;1),"△ 同一天同项目有一样的销售金额，看看是不是录重了","✓"))))))))</f>
        <v/>
      </c>
      <c r="W147" s="8" t="str">
        <f aca="false">IF($A147="","",$A147&amp;"#"&amp;COUNTIF($A$4:$A147,$A147))</f>
        <v/>
      </c>
    </row>
    <row r="148" customFormat="false" ht="16.5" hidden="false" customHeight="false" outlineLevel="0" collapsed="false">
      <c r="A148" s="44" t="str">
        <f aca="false">IF($C148="","",IFERROR(VLOOKUP($C148,目录!$B:$C,2,0)&amp;"","⚠目录里没有"))</f>
        <v/>
      </c>
      <c r="B148" s="45" t="str">
        <f aca="false">IF($D148="","",IFERROR(MID($D148,FIND(".",$D148)+1,FIND(".",$D148,FIND(".",$D148)+1)-FIND(".",$D148)-1)&amp;"月",""))</f>
        <v/>
      </c>
      <c r="C148" s="46"/>
      <c r="D148" s="47"/>
      <c r="E148" s="47"/>
      <c r="F148" s="49"/>
      <c r="G148" s="50"/>
      <c r="H148" s="24"/>
      <c r="I148" s="24" t="str">
        <f aca="false">IF($H148="","",N($H148)*N($G148))</f>
        <v/>
      </c>
      <c r="J148" s="25" t="str">
        <f aca="false">IF($H148="","",N($H148)-N($I148))</f>
        <v/>
      </c>
      <c r="K148" s="25"/>
      <c r="L148" s="25" t="str">
        <f aca="false">IF($A148="","",SUMIF($A$4:$A148,$A148,$J$4:$J148)-SUMIF($A$4:$A148,$A148,$K$4:$K148))</f>
        <v/>
      </c>
      <c r="M148" s="26" t="str">
        <f aca="false">IF($H148="","",N($H148))</f>
        <v/>
      </c>
      <c r="N148" s="26"/>
      <c r="O148" s="26"/>
      <c r="P148" s="26" t="str">
        <f aca="false">IF($A148="","",SUMIF($A$4:$A148,$A148,$M$4:$M148)-SUMIF($A$4:$A148,$A148,$N$4:$N148)-SUMIF($A$4:$A148,$A148,$O$4:$O148))</f>
        <v/>
      </c>
      <c r="Q148" s="27"/>
      <c r="R148" s="28"/>
      <c r="S148" s="28"/>
      <c r="T148" s="28" t="str">
        <f aca="false">IF($A148="","",SUMIF($A$4:$A148,$A148,$Q$4:$Q148)-SUMIF($A$4:$A148,$A148,$R$4:$R148)-SUMIF($A$4:$A148,$A148,$S$4:$S148))</f>
        <v/>
      </c>
      <c r="U148" s="28"/>
      <c r="V148" s="29" t="str">
        <f aca="false">IF(AND($C148="",COUNTA($D148:$H148,$K148,$N148:$O148,$Q148:$S148,$U148)=0),"",IF($C148="","⚠ 没填项目名称",IF($A148="⚠目录里没有","⚠ 项目名称在目录里找不到（先加到目录）",IF($A148="","⚠ 目录里这个项目没填简称",IF(ISTEXT($G148)+ISTEXT($H148)+ISTEXT($K148)+ISTEXT($N148)+ISTEXT($O148)+ISTEXT($Q148)+ISTEXT($R148)+ISTEXT($S148)&gt;0,"⚠ 金额列里有文字，算不进合计",IF(N($G148)&gt;=1,"⚠ 管理费点要填百分比，如 10%",IF(AND($D148&lt;&gt;"",$B148=""),"△ 摘要开头没写日期（如 2026.9.21），月份取不到",IF(AND(N($H148)&lt;&gt;0,COUNTIFS($A$4:$A$1003,$A148,$H$4:$H$1003,$H148,$D$4:$D$1003,LEFT($D148,9)&amp;"*")&gt;1),"△ 同一天同项目有一样的销售金额，看看是不是录重了","✓"))))))))</f>
        <v/>
      </c>
      <c r="W148" s="8" t="str">
        <f aca="false">IF($A148="","",$A148&amp;"#"&amp;COUNTIF($A$4:$A148,$A148))</f>
        <v/>
      </c>
    </row>
    <row r="149" customFormat="false" ht="16.5" hidden="false" customHeight="false" outlineLevel="0" collapsed="false">
      <c r="A149" s="44" t="str">
        <f aca="false">IF($C149="","",IFERROR(VLOOKUP($C149,目录!$B:$C,2,0)&amp;"","⚠目录里没有"))</f>
        <v/>
      </c>
      <c r="B149" s="45" t="str">
        <f aca="false">IF($D149="","",IFERROR(MID($D149,FIND(".",$D149)+1,FIND(".",$D149,FIND(".",$D149)+1)-FIND(".",$D149)-1)&amp;"月",""))</f>
        <v/>
      </c>
      <c r="C149" s="46"/>
      <c r="D149" s="47"/>
      <c r="E149" s="47"/>
      <c r="F149" s="49"/>
      <c r="G149" s="50"/>
      <c r="H149" s="24"/>
      <c r="I149" s="24" t="str">
        <f aca="false">IF($H149="","",N($H149)*N($G149))</f>
        <v/>
      </c>
      <c r="J149" s="25" t="str">
        <f aca="false">IF($H149="","",N($H149)-N($I149))</f>
        <v/>
      </c>
      <c r="K149" s="25"/>
      <c r="L149" s="25" t="str">
        <f aca="false">IF($A149="","",SUMIF($A$4:$A149,$A149,$J$4:$J149)-SUMIF($A$4:$A149,$A149,$K$4:$K149))</f>
        <v/>
      </c>
      <c r="M149" s="26" t="str">
        <f aca="false">IF($H149="","",N($H149))</f>
        <v/>
      </c>
      <c r="N149" s="26"/>
      <c r="O149" s="26"/>
      <c r="P149" s="26" t="str">
        <f aca="false">IF($A149="","",SUMIF($A$4:$A149,$A149,$M$4:$M149)-SUMIF($A$4:$A149,$A149,$N$4:$N149)-SUMIF($A$4:$A149,$A149,$O$4:$O149))</f>
        <v/>
      </c>
      <c r="Q149" s="27"/>
      <c r="R149" s="28"/>
      <c r="S149" s="28"/>
      <c r="T149" s="28" t="str">
        <f aca="false">IF($A149="","",SUMIF($A$4:$A149,$A149,$Q$4:$Q149)-SUMIF($A$4:$A149,$A149,$R$4:$R149)-SUMIF($A$4:$A149,$A149,$S$4:$S149))</f>
        <v/>
      </c>
      <c r="U149" s="28"/>
      <c r="V149" s="29" t="str">
        <f aca="false">IF(AND($C149="",COUNTA($D149:$H149,$K149,$N149:$O149,$Q149:$S149,$U149)=0),"",IF($C149="","⚠ 没填项目名称",IF($A149="⚠目录里没有","⚠ 项目名称在目录里找不到（先加到目录）",IF($A149="","⚠ 目录里这个项目没填简称",IF(ISTEXT($G149)+ISTEXT($H149)+ISTEXT($K149)+ISTEXT($N149)+ISTEXT($O149)+ISTEXT($Q149)+ISTEXT($R149)+ISTEXT($S149)&gt;0,"⚠ 金额列里有文字，算不进合计",IF(N($G149)&gt;=1,"⚠ 管理费点要填百分比，如 10%",IF(AND($D149&lt;&gt;"",$B149=""),"△ 摘要开头没写日期（如 2026.9.21），月份取不到",IF(AND(N($H149)&lt;&gt;0,COUNTIFS($A$4:$A$1003,$A149,$H$4:$H$1003,$H149,$D$4:$D$1003,LEFT($D149,9)&amp;"*")&gt;1),"△ 同一天同项目有一样的销售金额，看看是不是录重了","✓"))))))))</f>
        <v/>
      </c>
      <c r="W149" s="8" t="str">
        <f aca="false">IF($A149="","",$A149&amp;"#"&amp;COUNTIF($A$4:$A149,$A149))</f>
        <v/>
      </c>
    </row>
    <row r="150" customFormat="false" ht="16.5" hidden="false" customHeight="false" outlineLevel="0" collapsed="false">
      <c r="A150" s="44" t="str">
        <f aca="false">IF($C150="","",IFERROR(VLOOKUP($C150,目录!$B:$C,2,0)&amp;"","⚠目录里没有"))</f>
        <v/>
      </c>
      <c r="B150" s="45" t="str">
        <f aca="false">IF($D150="","",IFERROR(MID($D150,FIND(".",$D150)+1,FIND(".",$D150,FIND(".",$D150)+1)-FIND(".",$D150)-1)&amp;"月",""))</f>
        <v/>
      </c>
      <c r="C150" s="46"/>
      <c r="D150" s="47"/>
      <c r="E150" s="47"/>
      <c r="F150" s="49"/>
      <c r="G150" s="50"/>
      <c r="H150" s="24"/>
      <c r="I150" s="24" t="str">
        <f aca="false">IF($H150="","",N($H150)*N($G150))</f>
        <v/>
      </c>
      <c r="J150" s="25" t="str">
        <f aca="false">IF($H150="","",N($H150)-N($I150))</f>
        <v/>
      </c>
      <c r="K150" s="25"/>
      <c r="L150" s="25" t="str">
        <f aca="false">IF($A150="","",SUMIF($A$4:$A150,$A150,$J$4:$J150)-SUMIF($A$4:$A150,$A150,$K$4:$K150))</f>
        <v/>
      </c>
      <c r="M150" s="26" t="str">
        <f aca="false">IF($H150="","",N($H150))</f>
        <v/>
      </c>
      <c r="N150" s="26"/>
      <c r="O150" s="26"/>
      <c r="P150" s="26" t="str">
        <f aca="false">IF($A150="","",SUMIF($A$4:$A150,$A150,$M$4:$M150)-SUMIF($A$4:$A150,$A150,$N$4:$N150)-SUMIF($A$4:$A150,$A150,$O$4:$O150))</f>
        <v/>
      </c>
      <c r="Q150" s="27"/>
      <c r="R150" s="28"/>
      <c r="S150" s="28"/>
      <c r="T150" s="28" t="str">
        <f aca="false">IF($A150="","",SUMIF($A$4:$A150,$A150,$Q$4:$Q150)-SUMIF($A$4:$A150,$A150,$R$4:$R150)-SUMIF($A$4:$A150,$A150,$S$4:$S150))</f>
        <v/>
      </c>
      <c r="U150" s="28"/>
      <c r="V150" s="29" t="str">
        <f aca="false">IF(AND($C150="",COUNTA($D150:$H150,$K150,$N150:$O150,$Q150:$S150,$U150)=0),"",IF($C150="","⚠ 没填项目名称",IF($A150="⚠目录里没有","⚠ 项目名称在目录里找不到（先加到目录）",IF($A150="","⚠ 目录里这个项目没填简称",IF(ISTEXT($G150)+ISTEXT($H150)+ISTEXT($K150)+ISTEXT($N150)+ISTEXT($O150)+ISTEXT($Q150)+ISTEXT($R150)+ISTEXT($S150)&gt;0,"⚠ 金额列里有文字，算不进合计",IF(N($G150)&gt;=1,"⚠ 管理费点要填百分比，如 10%",IF(AND($D150&lt;&gt;"",$B150=""),"△ 摘要开头没写日期（如 2026.9.21），月份取不到",IF(AND(N($H150)&lt;&gt;0,COUNTIFS($A$4:$A$1003,$A150,$H$4:$H$1003,$H150,$D$4:$D$1003,LEFT($D150,9)&amp;"*")&gt;1),"△ 同一天同项目有一样的销售金额，看看是不是录重了","✓"))))))))</f>
        <v/>
      </c>
      <c r="W150" s="8" t="str">
        <f aca="false">IF($A150="","",$A150&amp;"#"&amp;COUNTIF($A$4:$A150,$A150))</f>
        <v/>
      </c>
    </row>
    <row r="151" customFormat="false" ht="16.5" hidden="false" customHeight="false" outlineLevel="0" collapsed="false">
      <c r="A151" s="44" t="str">
        <f aca="false">IF($C151="","",IFERROR(VLOOKUP($C151,目录!$B:$C,2,0)&amp;"","⚠目录里没有"))</f>
        <v/>
      </c>
      <c r="B151" s="45" t="str">
        <f aca="false">IF($D151="","",IFERROR(MID($D151,FIND(".",$D151)+1,FIND(".",$D151,FIND(".",$D151)+1)-FIND(".",$D151)-1)&amp;"月",""))</f>
        <v/>
      </c>
      <c r="C151" s="46"/>
      <c r="D151" s="47"/>
      <c r="E151" s="47"/>
      <c r="F151" s="49"/>
      <c r="G151" s="50"/>
      <c r="H151" s="24"/>
      <c r="I151" s="24" t="str">
        <f aca="false">IF($H151="","",N($H151)*N($G151))</f>
        <v/>
      </c>
      <c r="J151" s="25" t="str">
        <f aca="false">IF($H151="","",N($H151)-N($I151))</f>
        <v/>
      </c>
      <c r="K151" s="25"/>
      <c r="L151" s="25" t="str">
        <f aca="false">IF($A151="","",SUMIF($A$4:$A151,$A151,$J$4:$J151)-SUMIF($A$4:$A151,$A151,$K$4:$K151))</f>
        <v/>
      </c>
      <c r="M151" s="26" t="str">
        <f aca="false">IF($H151="","",N($H151))</f>
        <v/>
      </c>
      <c r="N151" s="26"/>
      <c r="O151" s="26"/>
      <c r="P151" s="26" t="str">
        <f aca="false">IF($A151="","",SUMIF($A$4:$A151,$A151,$M$4:$M151)-SUMIF($A$4:$A151,$A151,$N$4:$N151)-SUMIF($A$4:$A151,$A151,$O$4:$O151))</f>
        <v/>
      </c>
      <c r="Q151" s="27"/>
      <c r="R151" s="28"/>
      <c r="S151" s="28"/>
      <c r="T151" s="28" t="str">
        <f aca="false">IF($A151="","",SUMIF($A$4:$A151,$A151,$Q$4:$Q151)-SUMIF($A$4:$A151,$A151,$R$4:$R151)-SUMIF($A$4:$A151,$A151,$S$4:$S151))</f>
        <v/>
      </c>
      <c r="U151" s="28"/>
      <c r="V151" s="29" t="str">
        <f aca="false">IF(AND($C151="",COUNTA($D151:$H151,$K151,$N151:$O151,$Q151:$S151,$U151)=0),"",IF($C151="","⚠ 没填项目名称",IF($A151="⚠目录里没有","⚠ 项目名称在目录里找不到（先加到目录）",IF($A151="","⚠ 目录里这个项目没填简称",IF(ISTEXT($G151)+ISTEXT($H151)+ISTEXT($K151)+ISTEXT($N151)+ISTEXT($O151)+ISTEXT($Q151)+ISTEXT($R151)+ISTEXT($S151)&gt;0,"⚠ 金额列里有文字，算不进合计",IF(N($G151)&gt;=1,"⚠ 管理费点要填百分比，如 10%",IF(AND($D151&lt;&gt;"",$B151=""),"△ 摘要开头没写日期（如 2026.9.21），月份取不到",IF(AND(N($H151)&lt;&gt;0,COUNTIFS($A$4:$A$1003,$A151,$H$4:$H$1003,$H151,$D$4:$D$1003,LEFT($D151,9)&amp;"*")&gt;1),"△ 同一天同项目有一样的销售金额，看看是不是录重了","✓"))))))))</f>
        <v/>
      </c>
      <c r="W151" s="8" t="str">
        <f aca="false">IF($A151="","",$A151&amp;"#"&amp;COUNTIF($A$4:$A151,$A151))</f>
        <v/>
      </c>
    </row>
    <row r="152" customFormat="false" ht="16.5" hidden="false" customHeight="false" outlineLevel="0" collapsed="false">
      <c r="A152" s="44" t="str">
        <f aca="false">IF($C152="","",IFERROR(VLOOKUP($C152,目录!$B:$C,2,0)&amp;"","⚠目录里没有"))</f>
        <v/>
      </c>
      <c r="B152" s="45" t="str">
        <f aca="false">IF($D152="","",IFERROR(MID($D152,FIND(".",$D152)+1,FIND(".",$D152,FIND(".",$D152)+1)-FIND(".",$D152)-1)&amp;"月",""))</f>
        <v/>
      </c>
      <c r="C152" s="46"/>
      <c r="D152" s="47"/>
      <c r="E152" s="47"/>
      <c r="F152" s="49"/>
      <c r="G152" s="50"/>
      <c r="H152" s="24"/>
      <c r="I152" s="24" t="str">
        <f aca="false">IF($H152="","",N($H152)*N($G152))</f>
        <v/>
      </c>
      <c r="J152" s="25" t="str">
        <f aca="false">IF($H152="","",N($H152)-N($I152))</f>
        <v/>
      </c>
      <c r="K152" s="25"/>
      <c r="L152" s="25" t="str">
        <f aca="false">IF($A152="","",SUMIF($A$4:$A152,$A152,$J$4:$J152)-SUMIF($A$4:$A152,$A152,$K$4:$K152))</f>
        <v/>
      </c>
      <c r="M152" s="26" t="str">
        <f aca="false">IF($H152="","",N($H152))</f>
        <v/>
      </c>
      <c r="N152" s="26"/>
      <c r="O152" s="26"/>
      <c r="P152" s="26" t="str">
        <f aca="false">IF($A152="","",SUMIF($A$4:$A152,$A152,$M$4:$M152)-SUMIF($A$4:$A152,$A152,$N$4:$N152)-SUMIF($A$4:$A152,$A152,$O$4:$O152))</f>
        <v/>
      </c>
      <c r="Q152" s="27"/>
      <c r="R152" s="28"/>
      <c r="S152" s="28"/>
      <c r="T152" s="28" t="str">
        <f aca="false">IF($A152="","",SUMIF($A$4:$A152,$A152,$Q$4:$Q152)-SUMIF($A$4:$A152,$A152,$R$4:$R152)-SUMIF($A$4:$A152,$A152,$S$4:$S152))</f>
        <v/>
      </c>
      <c r="U152" s="28"/>
      <c r="V152" s="29" t="str">
        <f aca="false">IF(AND($C152="",COUNTA($D152:$H152,$K152,$N152:$O152,$Q152:$S152,$U152)=0),"",IF($C152="","⚠ 没填项目名称",IF($A152="⚠目录里没有","⚠ 项目名称在目录里找不到（先加到目录）",IF($A152="","⚠ 目录里这个项目没填简称",IF(ISTEXT($G152)+ISTEXT($H152)+ISTEXT($K152)+ISTEXT($N152)+ISTEXT($O152)+ISTEXT($Q152)+ISTEXT($R152)+ISTEXT($S152)&gt;0,"⚠ 金额列里有文字，算不进合计",IF(N($G152)&gt;=1,"⚠ 管理费点要填百分比，如 10%",IF(AND($D152&lt;&gt;"",$B152=""),"△ 摘要开头没写日期（如 2026.9.21），月份取不到",IF(AND(N($H152)&lt;&gt;0,COUNTIFS($A$4:$A$1003,$A152,$H$4:$H$1003,$H152,$D$4:$D$1003,LEFT($D152,9)&amp;"*")&gt;1),"△ 同一天同项目有一样的销售金额，看看是不是录重了","✓"))))))))</f>
        <v/>
      </c>
      <c r="W152" s="8" t="str">
        <f aca="false">IF($A152="","",$A152&amp;"#"&amp;COUNTIF($A$4:$A152,$A152))</f>
        <v/>
      </c>
    </row>
    <row r="153" customFormat="false" ht="16.5" hidden="false" customHeight="false" outlineLevel="0" collapsed="false">
      <c r="A153" s="44" t="str">
        <f aca="false">IF($C153="","",IFERROR(VLOOKUP($C153,目录!$B:$C,2,0)&amp;"","⚠目录里没有"))</f>
        <v/>
      </c>
      <c r="B153" s="45" t="str">
        <f aca="false">IF($D153="","",IFERROR(MID($D153,FIND(".",$D153)+1,FIND(".",$D153,FIND(".",$D153)+1)-FIND(".",$D153)-1)&amp;"月",""))</f>
        <v/>
      </c>
      <c r="C153" s="46"/>
      <c r="D153" s="47"/>
      <c r="E153" s="47"/>
      <c r="F153" s="49"/>
      <c r="G153" s="50"/>
      <c r="H153" s="24"/>
      <c r="I153" s="24" t="str">
        <f aca="false">IF($H153="","",N($H153)*N($G153))</f>
        <v/>
      </c>
      <c r="J153" s="25" t="str">
        <f aca="false">IF($H153="","",N($H153)-N($I153))</f>
        <v/>
      </c>
      <c r="K153" s="25"/>
      <c r="L153" s="25" t="str">
        <f aca="false">IF($A153="","",SUMIF($A$4:$A153,$A153,$J$4:$J153)-SUMIF($A$4:$A153,$A153,$K$4:$K153))</f>
        <v/>
      </c>
      <c r="M153" s="26" t="str">
        <f aca="false">IF($H153="","",N($H153))</f>
        <v/>
      </c>
      <c r="N153" s="26"/>
      <c r="O153" s="26"/>
      <c r="P153" s="26" t="str">
        <f aca="false">IF($A153="","",SUMIF($A$4:$A153,$A153,$M$4:$M153)-SUMIF($A$4:$A153,$A153,$N$4:$N153)-SUMIF($A$4:$A153,$A153,$O$4:$O153))</f>
        <v/>
      </c>
      <c r="Q153" s="27"/>
      <c r="R153" s="28"/>
      <c r="S153" s="28"/>
      <c r="T153" s="28" t="str">
        <f aca="false">IF($A153="","",SUMIF($A$4:$A153,$A153,$Q$4:$Q153)-SUMIF($A$4:$A153,$A153,$R$4:$R153)-SUMIF($A$4:$A153,$A153,$S$4:$S153))</f>
        <v/>
      </c>
      <c r="U153" s="28"/>
      <c r="V153" s="29" t="str">
        <f aca="false">IF(AND($C153="",COUNTA($D153:$H153,$K153,$N153:$O153,$Q153:$S153,$U153)=0),"",IF($C153="","⚠ 没填项目名称",IF($A153="⚠目录里没有","⚠ 项目名称在目录里找不到（先加到目录）",IF($A153="","⚠ 目录里这个项目没填简称",IF(ISTEXT($G153)+ISTEXT($H153)+ISTEXT($K153)+ISTEXT($N153)+ISTEXT($O153)+ISTEXT($Q153)+ISTEXT($R153)+ISTEXT($S153)&gt;0,"⚠ 金额列里有文字，算不进合计",IF(N($G153)&gt;=1,"⚠ 管理费点要填百分比，如 10%",IF(AND($D153&lt;&gt;"",$B153=""),"△ 摘要开头没写日期（如 2026.9.21），月份取不到",IF(AND(N($H153)&lt;&gt;0,COUNTIFS($A$4:$A$1003,$A153,$H$4:$H$1003,$H153,$D$4:$D$1003,LEFT($D153,9)&amp;"*")&gt;1),"△ 同一天同项目有一样的销售金额，看看是不是录重了","✓"))))))))</f>
        <v/>
      </c>
      <c r="W153" s="8" t="str">
        <f aca="false">IF($A153="","",$A153&amp;"#"&amp;COUNTIF($A$4:$A153,$A153))</f>
        <v/>
      </c>
    </row>
    <row r="154" customFormat="false" ht="16.5" hidden="false" customHeight="false" outlineLevel="0" collapsed="false">
      <c r="A154" s="44" t="str">
        <f aca="false">IF($C154="","",IFERROR(VLOOKUP($C154,目录!$B:$C,2,0)&amp;"","⚠目录里没有"))</f>
        <v/>
      </c>
      <c r="B154" s="45" t="str">
        <f aca="false">IF($D154="","",IFERROR(MID($D154,FIND(".",$D154)+1,FIND(".",$D154,FIND(".",$D154)+1)-FIND(".",$D154)-1)&amp;"月",""))</f>
        <v/>
      </c>
      <c r="C154" s="46"/>
      <c r="D154" s="47"/>
      <c r="E154" s="47"/>
      <c r="F154" s="49"/>
      <c r="G154" s="50"/>
      <c r="H154" s="24"/>
      <c r="I154" s="24" t="str">
        <f aca="false">IF($H154="","",N($H154)*N($G154))</f>
        <v/>
      </c>
      <c r="J154" s="25" t="str">
        <f aca="false">IF($H154="","",N($H154)-N($I154))</f>
        <v/>
      </c>
      <c r="K154" s="25"/>
      <c r="L154" s="25" t="str">
        <f aca="false">IF($A154="","",SUMIF($A$4:$A154,$A154,$J$4:$J154)-SUMIF($A$4:$A154,$A154,$K$4:$K154))</f>
        <v/>
      </c>
      <c r="M154" s="26" t="str">
        <f aca="false">IF($H154="","",N($H154))</f>
        <v/>
      </c>
      <c r="N154" s="26"/>
      <c r="O154" s="26"/>
      <c r="P154" s="26" t="str">
        <f aca="false">IF($A154="","",SUMIF($A$4:$A154,$A154,$M$4:$M154)-SUMIF($A$4:$A154,$A154,$N$4:$N154)-SUMIF($A$4:$A154,$A154,$O$4:$O154))</f>
        <v/>
      </c>
      <c r="Q154" s="27"/>
      <c r="R154" s="28"/>
      <c r="S154" s="28"/>
      <c r="T154" s="28" t="str">
        <f aca="false">IF($A154="","",SUMIF($A$4:$A154,$A154,$Q$4:$Q154)-SUMIF($A$4:$A154,$A154,$R$4:$R154)-SUMIF($A$4:$A154,$A154,$S$4:$S154))</f>
        <v/>
      </c>
      <c r="U154" s="28"/>
      <c r="V154" s="29" t="str">
        <f aca="false">IF(AND($C154="",COUNTA($D154:$H154,$K154,$N154:$O154,$Q154:$S154,$U154)=0),"",IF($C154="","⚠ 没填项目名称",IF($A154="⚠目录里没有","⚠ 项目名称在目录里找不到（先加到目录）",IF($A154="","⚠ 目录里这个项目没填简称",IF(ISTEXT($G154)+ISTEXT($H154)+ISTEXT($K154)+ISTEXT($N154)+ISTEXT($O154)+ISTEXT($Q154)+ISTEXT($R154)+ISTEXT($S154)&gt;0,"⚠ 金额列里有文字，算不进合计",IF(N($G154)&gt;=1,"⚠ 管理费点要填百分比，如 10%",IF(AND($D154&lt;&gt;"",$B154=""),"△ 摘要开头没写日期（如 2026.9.21），月份取不到",IF(AND(N($H154)&lt;&gt;0,COUNTIFS($A$4:$A$1003,$A154,$H$4:$H$1003,$H154,$D$4:$D$1003,LEFT($D154,9)&amp;"*")&gt;1),"△ 同一天同项目有一样的销售金额，看看是不是录重了","✓"))))))))</f>
        <v/>
      </c>
      <c r="W154" s="8" t="str">
        <f aca="false">IF($A154="","",$A154&amp;"#"&amp;COUNTIF($A$4:$A154,$A154))</f>
        <v/>
      </c>
    </row>
    <row r="155" customFormat="false" ht="16.5" hidden="false" customHeight="false" outlineLevel="0" collapsed="false">
      <c r="A155" s="44" t="str">
        <f aca="false">IF($C155="","",IFERROR(VLOOKUP($C155,目录!$B:$C,2,0)&amp;"","⚠目录里没有"))</f>
        <v/>
      </c>
      <c r="B155" s="45" t="str">
        <f aca="false">IF($D155="","",IFERROR(MID($D155,FIND(".",$D155)+1,FIND(".",$D155,FIND(".",$D155)+1)-FIND(".",$D155)-1)&amp;"月",""))</f>
        <v/>
      </c>
      <c r="C155" s="46"/>
      <c r="D155" s="47"/>
      <c r="E155" s="47"/>
      <c r="F155" s="49"/>
      <c r="G155" s="50"/>
      <c r="H155" s="24"/>
      <c r="I155" s="24" t="str">
        <f aca="false">IF($H155="","",N($H155)*N($G155))</f>
        <v/>
      </c>
      <c r="J155" s="25" t="str">
        <f aca="false">IF($H155="","",N($H155)-N($I155))</f>
        <v/>
      </c>
      <c r="K155" s="25"/>
      <c r="L155" s="25" t="str">
        <f aca="false">IF($A155="","",SUMIF($A$4:$A155,$A155,$J$4:$J155)-SUMIF($A$4:$A155,$A155,$K$4:$K155))</f>
        <v/>
      </c>
      <c r="M155" s="26" t="str">
        <f aca="false">IF($H155="","",N($H155))</f>
        <v/>
      </c>
      <c r="N155" s="26"/>
      <c r="O155" s="26"/>
      <c r="P155" s="26" t="str">
        <f aca="false">IF($A155="","",SUMIF($A$4:$A155,$A155,$M$4:$M155)-SUMIF($A$4:$A155,$A155,$N$4:$N155)-SUMIF($A$4:$A155,$A155,$O$4:$O155))</f>
        <v/>
      </c>
      <c r="Q155" s="27"/>
      <c r="R155" s="28"/>
      <c r="S155" s="28"/>
      <c r="T155" s="28" t="str">
        <f aca="false">IF($A155="","",SUMIF($A$4:$A155,$A155,$Q$4:$Q155)-SUMIF($A$4:$A155,$A155,$R$4:$R155)-SUMIF($A$4:$A155,$A155,$S$4:$S155))</f>
        <v/>
      </c>
      <c r="U155" s="28"/>
      <c r="V155" s="29" t="str">
        <f aca="false">IF(AND($C155="",COUNTA($D155:$H155,$K155,$N155:$O155,$Q155:$S155,$U155)=0),"",IF($C155="","⚠ 没填项目名称",IF($A155="⚠目录里没有","⚠ 项目名称在目录里找不到（先加到目录）",IF($A155="","⚠ 目录里这个项目没填简称",IF(ISTEXT($G155)+ISTEXT($H155)+ISTEXT($K155)+ISTEXT($N155)+ISTEXT($O155)+ISTEXT($Q155)+ISTEXT($R155)+ISTEXT($S155)&gt;0,"⚠ 金额列里有文字，算不进合计",IF(N($G155)&gt;=1,"⚠ 管理费点要填百分比，如 10%",IF(AND($D155&lt;&gt;"",$B155=""),"△ 摘要开头没写日期（如 2026.9.21），月份取不到",IF(AND(N($H155)&lt;&gt;0,COUNTIFS($A$4:$A$1003,$A155,$H$4:$H$1003,$H155,$D$4:$D$1003,LEFT($D155,9)&amp;"*")&gt;1),"△ 同一天同项目有一样的销售金额，看看是不是录重了","✓"))))))))</f>
        <v/>
      </c>
      <c r="W155" s="8" t="str">
        <f aca="false">IF($A155="","",$A155&amp;"#"&amp;COUNTIF($A$4:$A155,$A155))</f>
        <v/>
      </c>
    </row>
    <row r="156" customFormat="false" ht="16.5" hidden="false" customHeight="false" outlineLevel="0" collapsed="false">
      <c r="A156" s="44" t="str">
        <f aca="false">IF($C156="","",IFERROR(VLOOKUP($C156,目录!$B:$C,2,0)&amp;"","⚠目录里没有"))</f>
        <v/>
      </c>
      <c r="B156" s="45" t="str">
        <f aca="false">IF($D156="","",IFERROR(MID($D156,FIND(".",$D156)+1,FIND(".",$D156,FIND(".",$D156)+1)-FIND(".",$D156)-1)&amp;"月",""))</f>
        <v/>
      </c>
      <c r="C156" s="46"/>
      <c r="D156" s="47"/>
      <c r="E156" s="47"/>
      <c r="F156" s="49"/>
      <c r="G156" s="50"/>
      <c r="H156" s="24"/>
      <c r="I156" s="24" t="str">
        <f aca="false">IF($H156="","",N($H156)*N($G156))</f>
        <v/>
      </c>
      <c r="J156" s="25" t="str">
        <f aca="false">IF($H156="","",N($H156)-N($I156))</f>
        <v/>
      </c>
      <c r="K156" s="25"/>
      <c r="L156" s="25" t="str">
        <f aca="false">IF($A156="","",SUMIF($A$4:$A156,$A156,$J$4:$J156)-SUMIF($A$4:$A156,$A156,$K$4:$K156))</f>
        <v/>
      </c>
      <c r="M156" s="26" t="str">
        <f aca="false">IF($H156="","",N($H156))</f>
        <v/>
      </c>
      <c r="N156" s="26"/>
      <c r="O156" s="26"/>
      <c r="P156" s="26" t="str">
        <f aca="false">IF($A156="","",SUMIF($A$4:$A156,$A156,$M$4:$M156)-SUMIF($A$4:$A156,$A156,$N$4:$N156)-SUMIF($A$4:$A156,$A156,$O$4:$O156))</f>
        <v/>
      </c>
      <c r="Q156" s="27"/>
      <c r="R156" s="28"/>
      <c r="S156" s="28"/>
      <c r="T156" s="28" t="str">
        <f aca="false">IF($A156="","",SUMIF($A$4:$A156,$A156,$Q$4:$Q156)-SUMIF($A$4:$A156,$A156,$R$4:$R156)-SUMIF($A$4:$A156,$A156,$S$4:$S156))</f>
        <v/>
      </c>
      <c r="U156" s="28"/>
      <c r="V156" s="29" t="str">
        <f aca="false">IF(AND($C156="",COUNTA($D156:$H156,$K156,$N156:$O156,$Q156:$S156,$U156)=0),"",IF($C156="","⚠ 没填项目名称",IF($A156="⚠目录里没有","⚠ 项目名称在目录里找不到（先加到目录）",IF($A156="","⚠ 目录里这个项目没填简称",IF(ISTEXT($G156)+ISTEXT($H156)+ISTEXT($K156)+ISTEXT($N156)+ISTEXT($O156)+ISTEXT($Q156)+ISTEXT($R156)+ISTEXT($S156)&gt;0,"⚠ 金额列里有文字，算不进合计",IF(N($G156)&gt;=1,"⚠ 管理费点要填百分比，如 10%",IF(AND($D156&lt;&gt;"",$B156=""),"△ 摘要开头没写日期（如 2026.9.21），月份取不到",IF(AND(N($H156)&lt;&gt;0,COUNTIFS($A$4:$A$1003,$A156,$H$4:$H$1003,$H156,$D$4:$D$1003,LEFT($D156,9)&amp;"*")&gt;1),"△ 同一天同项目有一样的销售金额，看看是不是录重了","✓"))))))))</f>
        <v/>
      </c>
      <c r="W156" s="8" t="str">
        <f aca="false">IF($A156="","",$A156&amp;"#"&amp;COUNTIF($A$4:$A156,$A156))</f>
        <v/>
      </c>
    </row>
    <row r="157" customFormat="false" ht="16.5" hidden="false" customHeight="false" outlineLevel="0" collapsed="false">
      <c r="A157" s="44" t="str">
        <f aca="false">IF($C157="","",IFERROR(VLOOKUP($C157,目录!$B:$C,2,0)&amp;"","⚠目录里没有"))</f>
        <v/>
      </c>
      <c r="B157" s="45" t="str">
        <f aca="false">IF($D157="","",IFERROR(MID($D157,FIND(".",$D157)+1,FIND(".",$D157,FIND(".",$D157)+1)-FIND(".",$D157)-1)&amp;"月",""))</f>
        <v/>
      </c>
      <c r="C157" s="46"/>
      <c r="D157" s="47"/>
      <c r="E157" s="47"/>
      <c r="F157" s="49"/>
      <c r="G157" s="50"/>
      <c r="H157" s="24"/>
      <c r="I157" s="24" t="str">
        <f aca="false">IF($H157="","",N($H157)*N($G157))</f>
        <v/>
      </c>
      <c r="J157" s="25" t="str">
        <f aca="false">IF($H157="","",N($H157)-N($I157))</f>
        <v/>
      </c>
      <c r="K157" s="25"/>
      <c r="L157" s="25" t="str">
        <f aca="false">IF($A157="","",SUMIF($A$4:$A157,$A157,$J$4:$J157)-SUMIF($A$4:$A157,$A157,$K$4:$K157))</f>
        <v/>
      </c>
      <c r="M157" s="26" t="str">
        <f aca="false">IF($H157="","",N($H157))</f>
        <v/>
      </c>
      <c r="N157" s="26"/>
      <c r="O157" s="26"/>
      <c r="P157" s="26" t="str">
        <f aca="false">IF($A157="","",SUMIF($A$4:$A157,$A157,$M$4:$M157)-SUMIF($A$4:$A157,$A157,$N$4:$N157)-SUMIF($A$4:$A157,$A157,$O$4:$O157))</f>
        <v/>
      </c>
      <c r="Q157" s="27"/>
      <c r="R157" s="28"/>
      <c r="S157" s="28"/>
      <c r="T157" s="28" t="str">
        <f aca="false">IF($A157="","",SUMIF($A$4:$A157,$A157,$Q$4:$Q157)-SUMIF($A$4:$A157,$A157,$R$4:$R157)-SUMIF($A$4:$A157,$A157,$S$4:$S157))</f>
        <v/>
      </c>
      <c r="U157" s="28"/>
      <c r="V157" s="29" t="str">
        <f aca="false">IF(AND($C157="",COUNTA($D157:$H157,$K157,$N157:$O157,$Q157:$S157,$U157)=0),"",IF($C157="","⚠ 没填项目名称",IF($A157="⚠目录里没有","⚠ 项目名称在目录里找不到（先加到目录）",IF($A157="","⚠ 目录里这个项目没填简称",IF(ISTEXT($G157)+ISTEXT($H157)+ISTEXT($K157)+ISTEXT($N157)+ISTEXT($O157)+ISTEXT($Q157)+ISTEXT($R157)+ISTEXT($S157)&gt;0,"⚠ 金额列里有文字，算不进合计",IF(N($G157)&gt;=1,"⚠ 管理费点要填百分比，如 10%",IF(AND($D157&lt;&gt;"",$B157=""),"△ 摘要开头没写日期（如 2026.9.21），月份取不到",IF(AND(N($H157)&lt;&gt;0,COUNTIFS($A$4:$A$1003,$A157,$H$4:$H$1003,$H157,$D$4:$D$1003,LEFT($D157,9)&amp;"*")&gt;1),"△ 同一天同项目有一样的销售金额，看看是不是录重了","✓"))))))))</f>
        <v/>
      </c>
      <c r="W157" s="8" t="str">
        <f aca="false">IF($A157="","",$A157&amp;"#"&amp;COUNTIF($A$4:$A157,$A157))</f>
        <v/>
      </c>
    </row>
    <row r="158" customFormat="false" ht="16.5" hidden="false" customHeight="false" outlineLevel="0" collapsed="false">
      <c r="A158" s="44" t="str">
        <f aca="false">IF($C158="","",IFERROR(VLOOKUP($C158,目录!$B:$C,2,0)&amp;"","⚠目录里没有"))</f>
        <v/>
      </c>
      <c r="B158" s="45" t="str">
        <f aca="false">IF($D158="","",IFERROR(MID($D158,FIND(".",$D158)+1,FIND(".",$D158,FIND(".",$D158)+1)-FIND(".",$D158)-1)&amp;"月",""))</f>
        <v/>
      </c>
      <c r="C158" s="46"/>
      <c r="D158" s="47"/>
      <c r="E158" s="47"/>
      <c r="F158" s="49"/>
      <c r="G158" s="50"/>
      <c r="H158" s="24"/>
      <c r="I158" s="24" t="str">
        <f aca="false">IF($H158="","",N($H158)*N($G158))</f>
        <v/>
      </c>
      <c r="J158" s="25" t="str">
        <f aca="false">IF($H158="","",N($H158)-N($I158))</f>
        <v/>
      </c>
      <c r="K158" s="25"/>
      <c r="L158" s="25" t="str">
        <f aca="false">IF($A158="","",SUMIF($A$4:$A158,$A158,$J$4:$J158)-SUMIF($A$4:$A158,$A158,$K$4:$K158))</f>
        <v/>
      </c>
      <c r="M158" s="26" t="str">
        <f aca="false">IF($H158="","",N($H158))</f>
        <v/>
      </c>
      <c r="N158" s="26"/>
      <c r="O158" s="26"/>
      <c r="P158" s="26" t="str">
        <f aca="false">IF($A158="","",SUMIF($A$4:$A158,$A158,$M$4:$M158)-SUMIF($A$4:$A158,$A158,$N$4:$N158)-SUMIF($A$4:$A158,$A158,$O$4:$O158))</f>
        <v/>
      </c>
      <c r="Q158" s="27"/>
      <c r="R158" s="28"/>
      <c r="S158" s="28"/>
      <c r="T158" s="28" t="str">
        <f aca="false">IF($A158="","",SUMIF($A$4:$A158,$A158,$Q$4:$Q158)-SUMIF($A$4:$A158,$A158,$R$4:$R158)-SUMIF($A$4:$A158,$A158,$S$4:$S158))</f>
        <v/>
      </c>
      <c r="U158" s="28"/>
      <c r="V158" s="29" t="str">
        <f aca="false">IF(AND($C158="",COUNTA($D158:$H158,$K158,$N158:$O158,$Q158:$S158,$U158)=0),"",IF($C158="","⚠ 没填项目名称",IF($A158="⚠目录里没有","⚠ 项目名称在目录里找不到（先加到目录）",IF($A158="","⚠ 目录里这个项目没填简称",IF(ISTEXT($G158)+ISTEXT($H158)+ISTEXT($K158)+ISTEXT($N158)+ISTEXT($O158)+ISTEXT($Q158)+ISTEXT($R158)+ISTEXT($S158)&gt;0,"⚠ 金额列里有文字，算不进合计",IF(N($G158)&gt;=1,"⚠ 管理费点要填百分比，如 10%",IF(AND($D158&lt;&gt;"",$B158=""),"△ 摘要开头没写日期（如 2026.9.21），月份取不到",IF(AND(N($H158)&lt;&gt;0,COUNTIFS($A$4:$A$1003,$A158,$H$4:$H$1003,$H158,$D$4:$D$1003,LEFT($D158,9)&amp;"*")&gt;1),"△ 同一天同项目有一样的销售金额，看看是不是录重了","✓"))))))))</f>
        <v/>
      </c>
      <c r="W158" s="8" t="str">
        <f aca="false">IF($A158="","",$A158&amp;"#"&amp;COUNTIF($A$4:$A158,$A158))</f>
        <v/>
      </c>
    </row>
    <row r="159" customFormat="false" ht="16.5" hidden="false" customHeight="false" outlineLevel="0" collapsed="false">
      <c r="A159" s="44" t="str">
        <f aca="false">IF($C159="","",IFERROR(VLOOKUP($C159,目录!$B:$C,2,0)&amp;"","⚠目录里没有"))</f>
        <v/>
      </c>
      <c r="B159" s="45" t="str">
        <f aca="false">IF($D159="","",IFERROR(MID($D159,FIND(".",$D159)+1,FIND(".",$D159,FIND(".",$D159)+1)-FIND(".",$D159)-1)&amp;"月",""))</f>
        <v/>
      </c>
      <c r="C159" s="46"/>
      <c r="D159" s="47"/>
      <c r="E159" s="47"/>
      <c r="F159" s="49"/>
      <c r="G159" s="50"/>
      <c r="H159" s="24"/>
      <c r="I159" s="24" t="str">
        <f aca="false">IF($H159="","",N($H159)*N($G159))</f>
        <v/>
      </c>
      <c r="J159" s="25" t="str">
        <f aca="false">IF($H159="","",N($H159)-N($I159))</f>
        <v/>
      </c>
      <c r="K159" s="25"/>
      <c r="L159" s="25" t="str">
        <f aca="false">IF($A159="","",SUMIF($A$4:$A159,$A159,$J$4:$J159)-SUMIF($A$4:$A159,$A159,$K$4:$K159))</f>
        <v/>
      </c>
      <c r="M159" s="26" t="str">
        <f aca="false">IF($H159="","",N($H159))</f>
        <v/>
      </c>
      <c r="N159" s="26"/>
      <c r="O159" s="26"/>
      <c r="P159" s="26" t="str">
        <f aca="false">IF($A159="","",SUMIF($A$4:$A159,$A159,$M$4:$M159)-SUMIF($A$4:$A159,$A159,$N$4:$N159)-SUMIF($A$4:$A159,$A159,$O$4:$O159))</f>
        <v/>
      </c>
      <c r="Q159" s="27"/>
      <c r="R159" s="28"/>
      <c r="S159" s="28"/>
      <c r="T159" s="28" t="str">
        <f aca="false">IF($A159="","",SUMIF($A$4:$A159,$A159,$Q$4:$Q159)-SUMIF($A$4:$A159,$A159,$R$4:$R159)-SUMIF($A$4:$A159,$A159,$S$4:$S159))</f>
        <v/>
      </c>
      <c r="U159" s="28"/>
      <c r="V159" s="29" t="str">
        <f aca="false">IF(AND($C159="",COUNTA($D159:$H159,$K159,$N159:$O159,$Q159:$S159,$U159)=0),"",IF($C159="","⚠ 没填项目名称",IF($A159="⚠目录里没有","⚠ 项目名称在目录里找不到（先加到目录）",IF($A159="","⚠ 目录里这个项目没填简称",IF(ISTEXT($G159)+ISTEXT($H159)+ISTEXT($K159)+ISTEXT($N159)+ISTEXT($O159)+ISTEXT($Q159)+ISTEXT($R159)+ISTEXT($S159)&gt;0,"⚠ 金额列里有文字，算不进合计",IF(N($G159)&gt;=1,"⚠ 管理费点要填百分比，如 10%",IF(AND($D159&lt;&gt;"",$B159=""),"△ 摘要开头没写日期（如 2026.9.21），月份取不到",IF(AND(N($H159)&lt;&gt;0,COUNTIFS($A$4:$A$1003,$A159,$H$4:$H$1003,$H159,$D$4:$D$1003,LEFT($D159,9)&amp;"*")&gt;1),"△ 同一天同项目有一样的销售金额，看看是不是录重了","✓"))))))))</f>
        <v/>
      </c>
      <c r="W159" s="8" t="str">
        <f aca="false">IF($A159="","",$A159&amp;"#"&amp;COUNTIF($A$4:$A159,$A159))</f>
        <v/>
      </c>
    </row>
    <row r="160" customFormat="false" ht="16.5" hidden="false" customHeight="false" outlineLevel="0" collapsed="false">
      <c r="A160" s="44" t="str">
        <f aca="false">IF($C160="","",IFERROR(VLOOKUP($C160,目录!$B:$C,2,0)&amp;"","⚠目录里没有"))</f>
        <v/>
      </c>
      <c r="B160" s="45" t="str">
        <f aca="false">IF($D160="","",IFERROR(MID($D160,FIND(".",$D160)+1,FIND(".",$D160,FIND(".",$D160)+1)-FIND(".",$D160)-1)&amp;"月",""))</f>
        <v/>
      </c>
      <c r="C160" s="46"/>
      <c r="D160" s="47"/>
      <c r="E160" s="47"/>
      <c r="F160" s="49"/>
      <c r="G160" s="50"/>
      <c r="H160" s="24"/>
      <c r="I160" s="24" t="str">
        <f aca="false">IF($H160="","",N($H160)*N($G160))</f>
        <v/>
      </c>
      <c r="J160" s="25" t="str">
        <f aca="false">IF($H160="","",N($H160)-N($I160))</f>
        <v/>
      </c>
      <c r="K160" s="25"/>
      <c r="L160" s="25" t="str">
        <f aca="false">IF($A160="","",SUMIF($A$4:$A160,$A160,$J$4:$J160)-SUMIF($A$4:$A160,$A160,$K$4:$K160))</f>
        <v/>
      </c>
      <c r="M160" s="26" t="str">
        <f aca="false">IF($H160="","",N($H160))</f>
        <v/>
      </c>
      <c r="N160" s="26"/>
      <c r="O160" s="26"/>
      <c r="P160" s="26" t="str">
        <f aca="false">IF($A160="","",SUMIF($A$4:$A160,$A160,$M$4:$M160)-SUMIF($A$4:$A160,$A160,$N$4:$N160)-SUMIF($A$4:$A160,$A160,$O$4:$O160))</f>
        <v/>
      </c>
      <c r="Q160" s="27"/>
      <c r="R160" s="28"/>
      <c r="S160" s="28"/>
      <c r="T160" s="28" t="str">
        <f aca="false">IF($A160="","",SUMIF($A$4:$A160,$A160,$Q$4:$Q160)-SUMIF($A$4:$A160,$A160,$R$4:$R160)-SUMIF($A$4:$A160,$A160,$S$4:$S160))</f>
        <v/>
      </c>
      <c r="U160" s="28"/>
      <c r="V160" s="29" t="str">
        <f aca="false">IF(AND($C160="",COUNTA($D160:$H160,$K160,$N160:$O160,$Q160:$S160,$U160)=0),"",IF($C160="","⚠ 没填项目名称",IF($A160="⚠目录里没有","⚠ 项目名称在目录里找不到（先加到目录）",IF($A160="","⚠ 目录里这个项目没填简称",IF(ISTEXT($G160)+ISTEXT($H160)+ISTEXT($K160)+ISTEXT($N160)+ISTEXT($O160)+ISTEXT($Q160)+ISTEXT($R160)+ISTEXT($S160)&gt;0,"⚠ 金额列里有文字，算不进合计",IF(N($G160)&gt;=1,"⚠ 管理费点要填百分比，如 10%",IF(AND($D160&lt;&gt;"",$B160=""),"△ 摘要开头没写日期（如 2026.9.21），月份取不到",IF(AND(N($H160)&lt;&gt;0,COUNTIFS($A$4:$A$1003,$A160,$H$4:$H$1003,$H160,$D$4:$D$1003,LEFT($D160,9)&amp;"*")&gt;1),"△ 同一天同项目有一样的销售金额，看看是不是录重了","✓"))))))))</f>
        <v/>
      </c>
      <c r="W160" s="8" t="str">
        <f aca="false">IF($A160="","",$A160&amp;"#"&amp;COUNTIF($A$4:$A160,$A160))</f>
        <v/>
      </c>
    </row>
    <row r="161" customFormat="false" ht="16.5" hidden="false" customHeight="false" outlineLevel="0" collapsed="false">
      <c r="A161" s="44" t="str">
        <f aca="false">IF($C161="","",IFERROR(VLOOKUP($C161,目录!$B:$C,2,0)&amp;"","⚠目录里没有"))</f>
        <v/>
      </c>
      <c r="B161" s="45" t="str">
        <f aca="false">IF($D161="","",IFERROR(MID($D161,FIND(".",$D161)+1,FIND(".",$D161,FIND(".",$D161)+1)-FIND(".",$D161)-1)&amp;"月",""))</f>
        <v/>
      </c>
      <c r="C161" s="46"/>
      <c r="D161" s="47"/>
      <c r="E161" s="47"/>
      <c r="F161" s="49"/>
      <c r="G161" s="50"/>
      <c r="H161" s="24"/>
      <c r="I161" s="24" t="str">
        <f aca="false">IF($H161="","",N($H161)*N($G161))</f>
        <v/>
      </c>
      <c r="J161" s="25" t="str">
        <f aca="false">IF($H161="","",N($H161)-N($I161))</f>
        <v/>
      </c>
      <c r="K161" s="25"/>
      <c r="L161" s="25" t="str">
        <f aca="false">IF($A161="","",SUMIF($A$4:$A161,$A161,$J$4:$J161)-SUMIF($A$4:$A161,$A161,$K$4:$K161))</f>
        <v/>
      </c>
      <c r="M161" s="26" t="str">
        <f aca="false">IF($H161="","",N($H161))</f>
        <v/>
      </c>
      <c r="N161" s="26"/>
      <c r="O161" s="26"/>
      <c r="P161" s="26" t="str">
        <f aca="false">IF($A161="","",SUMIF($A$4:$A161,$A161,$M$4:$M161)-SUMIF($A$4:$A161,$A161,$N$4:$N161)-SUMIF($A$4:$A161,$A161,$O$4:$O161))</f>
        <v/>
      </c>
      <c r="Q161" s="27"/>
      <c r="R161" s="28"/>
      <c r="S161" s="28"/>
      <c r="T161" s="28" t="str">
        <f aca="false">IF($A161="","",SUMIF($A$4:$A161,$A161,$Q$4:$Q161)-SUMIF($A$4:$A161,$A161,$R$4:$R161)-SUMIF($A$4:$A161,$A161,$S$4:$S161))</f>
        <v/>
      </c>
      <c r="U161" s="28"/>
      <c r="V161" s="29" t="str">
        <f aca="false">IF(AND($C161="",COUNTA($D161:$H161,$K161,$N161:$O161,$Q161:$S161,$U161)=0),"",IF($C161="","⚠ 没填项目名称",IF($A161="⚠目录里没有","⚠ 项目名称在目录里找不到（先加到目录）",IF($A161="","⚠ 目录里这个项目没填简称",IF(ISTEXT($G161)+ISTEXT($H161)+ISTEXT($K161)+ISTEXT($N161)+ISTEXT($O161)+ISTEXT($Q161)+ISTEXT($R161)+ISTEXT($S161)&gt;0,"⚠ 金额列里有文字，算不进合计",IF(N($G161)&gt;=1,"⚠ 管理费点要填百分比，如 10%",IF(AND($D161&lt;&gt;"",$B161=""),"△ 摘要开头没写日期（如 2026.9.21），月份取不到",IF(AND(N($H161)&lt;&gt;0,COUNTIFS($A$4:$A$1003,$A161,$H$4:$H$1003,$H161,$D$4:$D$1003,LEFT($D161,9)&amp;"*")&gt;1),"△ 同一天同项目有一样的销售金额，看看是不是录重了","✓"))))))))</f>
        <v/>
      </c>
      <c r="W161" s="8" t="str">
        <f aca="false">IF($A161="","",$A161&amp;"#"&amp;COUNTIF($A$4:$A161,$A161))</f>
        <v/>
      </c>
    </row>
    <row r="162" customFormat="false" ht="16.5" hidden="false" customHeight="false" outlineLevel="0" collapsed="false">
      <c r="A162" s="44" t="str">
        <f aca="false">IF($C162="","",IFERROR(VLOOKUP($C162,目录!$B:$C,2,0)&amp;"","⚠目录里没有"))</f>
        <v/>
      </c>
      <c r="B162" s="45" t="str">
        <f aca="false">IF($D162="","",IFERROR(MID($D162,FIND(".",$D162)+1,FIND(".",$D162,FIND(".",$D162)+1)-FIND(".",$D162)-1)&amp;"月",""))</f>
        <v/>
      </c>
      <c r="C162" s="46"/>
      <c r="D162" s="47"/>
      <c r="E162" s="47"/>
      <c r="F162" s="49"/>
      <c r="G162" s="50"/>
      <c r="H162" s="24"/>
      <c r="I162" s="24" t="str">
        <f aca="false">IF($H162="","",N($H162)*N($G162))</f>
        <v/>
      </c>
      <c r="J162" s="25" t="str">
        <f aca="false">IF($H162="","",N($H162)-N($I162))</f>
        <v/>
      </c>
      <c r="K162" s="25"/>
      <c r="L162" s="25" t="str">
        <f aca="false">IF($A162="","",SUMIF($A$4:$A162,$A162,$J$4:$J162)-SUMIF($A$4:$A162,$A162,$K$4:$K162))</f>
        <v/>
      </c>
      <c r="M162" s="26" t="str">
        <f aca="false">IF($H162="","",N($H162))</f>
        <v/>
      </c>
      <c r="N162" s="26"/>
      <c r="O162" s="26"/>
      <c r="P162" s="26" t="str">
        <f aca="false">IF($A162="","",SUMIF($A$4:$A162,$A162,$M$4:$M162)-SUMIF($A$4:$A162,$A162,$N$4:$N162)-SUMIF($A$4:$A162,$A162,$O$4:$O162))</f>
        <v/>
      </c>
      <c r="Q162" s="27"/>
      <c r="R162" s="28"/>
      <c r="S162" s="28"/>
      <c r="T162" s="28" t="str">
        <f aca="false">IF($A162="","",SUMIF($A$4:$A162,$A162,$Q$4:$Q162)-SUMIF($A$4:$A162,$A162,$R$4:$R162)-SUMIF($A$4:$A162,$A162,$S$4:$S162))</f>
        <v/>
      </c>
      <c r="U162" s="28"/>
      <c r="V162" s="29" t="str">
        <f aca="false">IF(AND($C162="",COUNTA($D162:$H162,$K162,$N162:$O162,$Q162:$S162,$U162)=0),"",IF($C162="","⚠ 没填项目名称",IF($A162="⚠目录里没有","⚠ 项目名称在目录里找不到（先加到目录）",IF($A162="","⚠ 目录里这个项目没填简称",IF(ISTEXT($G162)+ISTEXT($H162)+ISTEXT($K162)+ISTEXT($N162)+ISTEXT($O162)+ISTEXT($Q162)+ISTEXT($R162)+ISTEXT($S162)&gt;0,"⚠ 金额列里有文字，算不进合计",IF(N($G162)&gt;=1,"⚠ 管理费点要填百分比，如 10%",IF(AND($D162&lt;&gt;"",$B162=""),"△ 摘要开头没写日期（如 2026.9.21），月份取不到",IF(AND(N($H162)&lt;&gt;0,COUNTIFS($A$4:$A$1003,$A162,$H$4:$H$1003,$H162,$D$4:$D$1003,LEFT($D162,9)&amp;"*")&gt;1),"△ 同一天同项目有一样的销售金额，看看是不是录重了","✓"))))))))</f>
        <v/>
      </c>
      <c r="W162" s="8" t="str">
        <f aca="false">IF($A162="","",$A162&amp;"#"&amp;COUNTIF($A$4:$A162,$A162))</f>
        <v/>
      </c>
    </row>
    <row r="163" customFormat="false" ht="16.5" hidden="false" customHeight="false" outlineLevel="0" collapsed="false">
      <c r="A163" s="44" t="str">
        <f aca="false">IF($C163="","",IFERROR(VLOOKUP($C163,目录!$B:$C,2,0)&amp;"","⚠目录里没有"))</f>
        <v/>
      </c>
      <c r="B163" s="45" t="str">
        <f aca="false">IF($D163="","",IFERROR(MID($D163,FIND(".",$D163)+1,FIND(".",$D163,FIND(".",$D163)+1)-FIND(".",$D163)-1)&amp;"月",""))</f>
        <v/>
      </c>
      <c r="C163" s="46"/>
      <c r="D163" s="47"/>
      <c r="E163" s="47"/>
      <c r="F163" s="49"/>
      <c r="G163" s="50"/>
      <c r="H163" s="24"/>
      <c r="I163" s="24" t="str">
        <f aca="false">IF($H163="","",N($H163)*N($G163))</f>
        <v/>
      </c>
      <c r="J163" s="25" t="str">
        <f aca="false">IF($H163="","",N($H163)-N($I163))</f>
        <v/>
      </c>
      <c r="K163" s="25"/>
      <c r="L163" s="25" t="str">
        <f aca="false">IF($A163="","",SUMIF($A$4:$A163,$A163,$J$4:$J163)-SUMIF($A$4:$A163,$A163,$K$4:$K163))</f>
        <v/>
      </c>
      <c r="M163" s="26" t="str">
        <f aca="false">IF($H163="","",N($H163))</f>
        <v/>
      </c>
      <c r="N163" s="26"/>
      <c r="O163" s="26"/>
      <c r="P163" s="26" t="str">
        <f aca="false">IF($A163="","",SUMIF($A$4:$A163,$A163,$M$4:$M163)-SUMIF($A$4:$A163,$A163,$N$4:$N163)-SUMIF($A$4:$A163,$A163,$O$4:$O163))</f>
        <v/>
      </c>
      <c r="Q163" s="27"/>
      <c r="R163" s="28"/>
      <c r="S163" s="28"/>
      <c r="T163" s="28" t="str">
        <f aca="false">IF($A163="","",SUMIF($A$4:$A163,$A163,$Q$4:$Q163)-SUMIF($A$4:$A163,$A163,$R$4:$R163)-SUMIF($A$4:$A163,$A163,$S$4:$S163))</f>
        <v/>
      </c>
      <c r="U163" s="28"/>
      <c r="V163" s="29" t="str">
        <f aca="false">IF(AND($C163="",COUNTA($D163:$H163,$K163,$N163:$O163,$Q163:$S163,$U163)=0),"",IF($C163="","⚠ 没填项目名称",IF($A163="⚠目录里没有","⚠ 项目名称在目录里找不到（先加到目录）",IF($A163="","⚠ 目录里这个项目没填简称",IF(ISTEXT($G163)+ISTEXT($H163)+ISTEXT($K163)+ISTEXT($N163)+ISTEXT($O163)+ISTEXT($Q163)+ISTEXT($R163)+ISTEXT($S163)&gt;0,"⚠ 金额列里有文字，算不进合计",IF(N($G163)&gt;=1,"⚠ 管理费点要填百分比，如 10%",IF(AND($D163&lt;&gt;"",$B163=""),"△ 摘要开头没写日期（如 2026.9.21），月份取不到",IF(AND(N($H163)&lt;&gt;0,COUNTIFS($A$4:$A$1003,$A163,$H$4:$H$1003,$H163,$D$4:$D$1003,LEFT($D163,9)&amp;"*")&gt;1),"△ 同一天同项目有一样的销售金额，看看是不是录重了","✓"))))))))</f>
        <v/>
      </c>
      <c r="W163" s="8" t="str">
        <f aca="false">IF($A163="","",$A163&amp;"#"&amp;COUNTIF($A$4:$A163,$A163))</f>
        <v/>
      </c>
    </row>
    <row r="164" customFormat="false" ht="16.5" hidden="false" customHeight="false" outlineLevel="0" collapsed="false">
      <c r="A164" s="44" t="str">
        <f aca="false">IF($C164="","",IFERROR(VLOOKUP($C164,目录!$B:$C,2,0)&amp;"","⚠目录里没有"))</f>
        <v/>
      </c>
      <c r="B164" s="45" t="str">
        <f aca="false">IF($D164="","",IFERROR(MID($D164,FIND(".",$D164)+1,FIND(".",$D164,FIND(".",$D164)+1)-FIND(".",$D164)-1)&amp;"月",""))</f>
        <v/>
      </c>
      <c r="C164" s="46"/>
      <c r="D164" s="47"/>
      <c r="E164" s="47"/>
      <c r="F164" s="49"/>
      <c r="G164" s="50"/>
      <c r="H164" s="24"/>
      <c r="I164" s="24" t="str">
        <f aca="false">IF($H164="","",N($H164)*N($G164))</f>
        <v/>
      </c>
      <c r="J164" s="25" t="str">
        <f aca="false">IF($H164="","",N($H164)-N($I164))</f>
        <v/>
      </c>
      <c r="K164" s="25"/>
      <c r="L164" s="25" t="str">
        <f aca="false">IF($A164="","",SUMIF($A$4:$A164,$A164,$J$4:$J164)-SUMIF($A$4:$A164,$A164,$K$4:$K164))</f>
        <v/>
      </c>
      <c r="M164" s="26" t="str">
        <f aca="false">IF($H164="","",N($H164))</f>
        <v/>
      </c>
      <c r="N164" s="26"/>
      <c r="O164" s="26"/>
      <c r="P164" s="26" t="str">
        <f aca="false">IF($A164="","",SUMIF($A$4:$A164,$A164,$M$4:$M164)-SUMIF($A$4:$A164,$A164,$N$4:$N164)-SUMIF($A$4:$A164,$A164,$O$4:$O164))</f>
        <v/>
      </c>
      <c r="Q164" s="27"/>
      <c r="R164" s="28"/>
      <c r="S164" s="28"/>
      <c r="T164" s="28" t="str">
        <f aca="false">IF($A164="","",SUMIF($A$4:$A164,$A164,$Q$4:$Q164)-SUMIF($A$4:$A164,$A164,$R$4:$R164)-SUMIF($A$4:$A164,$A164,$S$4:$S164))</f>
        <v/>
      </c>
      <c r="U164" s="28"/>
      <c r="V164" s="29" t="str">
        <f aca="false">IF(AND($C164="",COUNTA($D164:$H164,$K164,$N164:$O164,$Q164:$S164,$U164)=0),"",IF($C164="","⚠ 没填项目名称",IF($A164="⚠目录里没有","⚠ 项目名称在目录里找不到（先加到目录）",IF($A164="","⚠ 目录里这个项目没填简称",IF(ISTEXT($G164)+ISTEXT($H164)+ISTEXT($K164)+ISTEXT($N164)+ISTEXT($O164)+ISTEXT($Q164)+ISTEXT($R164)+ISTEXT($S164)&gt;0,"⚠ 金额列里有文字，算不进合计",IF(N($G164)&gt;=1,"⚠ 管理费点要填百分比，如 10%",IF(AND($D164&lt;&gt;"",$B164=""),"△ 摘要开头没写日期（如 2026.9.21），月份取不到",IF(AND(N($H164)&lt;&gt;0,COUNTIFS($A$4:$A$1003,$A164,$H$4:$H$1003,$H164,$D$4:$D$1003,LEFT($D164,9)&amp;"*")&gt;1),"△ 同一天同项目有一样的销售金额，看看是不是录重了","✓"))))))))</f>
        <v/>
      </c>
      <c r="W164" s="8" t="str">
        <f aca="false">IF($A164="","",$A164&amp;"#"&amp;COUNTIF($A$4:$A164,$A164))</f>
        <v/>
      </c>
    </row>
    <row r="165" customFormat="false" ht="16.5" hidden="false" customHeight="false" outlineLevel="0" collapsed="false">
      <c r="A165" s="44" t="str">
        <f aca="false">IF($C165="","",IFERROR(VLOOKUP($C165,目录!$B:$C,2,0)&amp;"","⚠目录里没有"))</f>
        <v/>
      </c>
      <c r="B165" s="45" t="str">
        <f aca="false">IF($D165="","",IFERROR(MID($D165,FIND(".",$D165)+1,FIND(".",$D165,FIND(".",$D165)+1)-FIND(".",$D165)-1)&amp;"月",""))</f>
        <v/>
      </c>
      <c r="C165" s="46"/>
      <c r="D165" s="47"/>
      <c r="E165" s="47"/>
      <c r="F165" s="49"/>
      <c r="G165" s="50"/>
      <c r="H165" s="24"/>
      <c r="I165" s="24" t="str">
        <f aca="false">IF($H165="","",N($H165)*N($G165))</f>
        <v/>
      </c>
      <c r="J165" s="25" t="str">
        <f aca="false">IF($H165="","",N($H165)-N($I165))</f>
        <v/>
      </c>
      <c r="K165" s="25"/>
      <c r="L165" s="25" t="str">
        <f aca="false">IF($A165="","",SUMIF($A$4:$A165,$A165,$J$4:$J165)-SUMIF($A$4:$A165,$A165,$K$4:$K165))</f>
        <v/>
      </c>
      <c r="M165" s="26" t="str">
        <f aca="false">IF($H165="","",N($H165))</f>
        <v/>
      </c>
      <c r="N165" s="26"/>
      <c r="O165" s="26"/>
      <c r="P165" s="26" t="str">
        <f aca="false">IF($A165="","",SUMIF($A$4:$A165,$A165,$M$4:$M165)-SUMIF($A$4:$A165,$A165,$N$4:$N165)-SUMIF($A$4:$A165,$A165,$O$4:$O165))</f>
        <v/>
      </c>
      <c r="Q165" s="27"/>
      <c r="R165" s="28"/>
      <c r="S165" s="28"/>
      <c r="T165" s="28" t="str">
        <f aca="false">IF($A165="","",SUMIF($A$4:$A165,$A165,$Q$4:$Q165)-SUMIF($A$4:$A165,$A165,$R$4:$R165)-SUMIF($A$4:$A165,$A165,$S$4:$S165))</f>
        <v/>
      </c>
      <c r="U165" s="28"/>
      <c r="V165" s="29" t="str">
        <f aca="false">IF(AND($C165="",COUNTA($D165:$H165,$K165,$N165:$O165,$Q165:$S165,$U165)=0),"",IF($C165="","⚠ 没填项目名称",IF($A165="⚠目录里没有","⚠ 项目名称在目录里找不到（先加到目录）",IF($A165="","⚠ 目录里这个项目没填简称",IF(ISTEXT($G165)+ISTEXT($H165)+ISTEXT($K165)+ISTEXT($N165)+ISTEXT($O165)+ISTEXT($Q165)+ISTEXT($R165)+ISTEXT($S165)&gt;0,"⚠ 金额列里有文字，算不进合计",IF(N($G165)&gt;=1,"⚠ 管理费点要填百分比，如 10%",IF(AND($D165&lt;&gt;"",$B165=""),"△ 摘要开头没写日期（如 2026.9.21），月份取不到",IF(AND(N($H165)&lt;&gt;0,COUNTIFS($A$4:$A$1003,$A165,$H$4:$H$1003,$H165,$D$4:$D$1003,LEFT($D165,9)&amp;"*")&gt;1),"△ 同一天同项目有一样的销售金额，看看是不是录重了","✓"))))))))</f>
        <v/>
      </c>
      <c r="W165" s="8" t="str">
        <f aca="false">IF($A165="","",$A165&amp;"#"&amp;COUNTIF($A$4:$A165,$A165))</f>
        <v/>
      </c>
    </row>
    <row r="166" customFormat="false" ht="16.5" hidden="false" customHeight="false" outlineLevel="0" collapsed="false">
      <c r="A166" s="44" t="str">
        <f aca="false">IF($C166="","",IFERROR(VLOOKUP($C166,目录!$B:$C,2,0)&amp;"","⚠目录里没有"))</f>
        <v/>
      </c>
      <c r="B166" s="45" t="str">
        <f aca="false">IF($D166="","",IFERROR(MID($D166,FIND(".",$D166)+1,FIND(".",$D166,FIND(".",$D166)+1)-FIND(".",$D166)-1)&amp;"月",""))</f>
        <v/>
      </c>
      <c r="C166" s="46"/>
      <c r="D166" s="47"/>
      <c r="E166" s="47"/>
      <c r="F166" s="49"/>
      <c r="G166" s="50"/>
      <c r="H166" s="24"/>
      <c r="I166" s="24" t="str">
        <f aca="false">IF($H166="","",N($H166)*N($G166))</f>
        <v/>
      </c>
      <c r="J166" s="25" t="str">
        <f aca="false">IF($H166="","",N($H166)-N($I166))</f>
        <v/>
      </c>
      <c r="K166" s="25"/>
      <c r="L166" s="25" t="str">
        <f aca="false">IF($A166="","",SUMIF($A$4:$A166,$A166,$J$4:$J166)-SUMIF($A$4:$A166,$A166,$K$4:$K166))</f>
        <v/>
      </c>
      <c r="M166" s="26" t="str">
        <f aca="false">IF($H166="","",N($H166))</f>
        <v/>
      </c>
      <c r="N166" s="26"/>
      <c r="O166" s="26"/>
      <c r="P166" s="26" t="str">
        <f aca="false">IF($A166="","",SUMIF($A$4:$A166,$A166,$M$4:$M166)-SUMIF($A$4:$A166,$A166,$N$4:$N166)-SUMIF($A$4:$A166,$A166,$O$4:$O166))</f>
        <v/>
      </c>
      <c r="Q166" s="27"/>
      <c r="R166" s="28"/>
      <c r="S166" s="28"/>
      <c r="T166" s="28" t="str">
        <f aca="false">IF($A166="","",SUMIF($A$4:$A166,$A166,$Q$4:$Q166)-SUMIF($A$4:$A166,$A166,$R$4:$R166)-SUMIF($A$4:$A166,$A166,$S$4:$S166))</f>
        <v/>
      </c>
      <c r="U166" s="28"/>
      <c r="V166" s="29" t="str">
        <f aca="false">IF(AND($C166="",COUNTA($D166:$H166,$K166,$N166:$O166,$Q166:$S166,$U166)=0),"",IF($C166="","⚠ 没填项目名称",IF($A166="⚠目录里没有","⚠ 项目名称在目录里找不到（先加到目录）",IF($A166="","⚠ 目录里这个项目没填简称",IF(ISTEXT($G166)+ISTEXT($H166)+ISTEXT($K166)+ISTEXT($N166)+ISTEXT($O166)+ISTEXT($Q166)+ISTEXT($R166)+ISTEXT($S166)&gt;0,"⚠ 金额列里有文字，算不进合计",IF(N($G166)&gt;=1,"⚠ 管理费点要填百分比，如 10%",IF(AND($D166&lt;&gt;"",$B166=""),"△ 摘要开头没写日期（如 2026.9.21），月份取不到",IF(AND(N($H166)&lt;&gt;0,COUNTIFS($A$4:$A$1003,$A166,$H$4:$H$1003,$H166,$D$4:$D$1003,LEFT($D166,9)&amp;"*")&gt;1),"△ 同一天同项目有一样的销售金额，看看是不是录重了","✓"))))))))</f>
        <v/>
      </c>
      <c r="W166" s="8" t="str">
        <f aca="false">IF($A166="","",$A166&amp;"#"&amp;COUNTIF($A$4:$A166,$A166))</f>
        <v/>
      </c>
    </row>
    <row r="167" customFormat="false" ht="16.5" hidden="false" customHeight="false" outlineLevel="0" collapsed="false">
      <c r="A167" s="44" t="str">
        <f aca="false">IF($C167="","",IFERROR(VLOOKUP($C167,目录!$B:$C,2,0)&amp;"","⚠目录里没有"))</f>
        <v/>
      </c>
      <c r="B167" s="45" t="str">
        <f aca="false">IF($D167="","",IFERROR(MID($D167,FIND(".",$D167)+1,FIND(".",$D167,FIND(".",$D167)+1)-FIND(".",$D167)-1)&amp;"月",""))</f>
        <v/>
      </c>
      <c r="C167" s="46"/>
      <c r="D167" s="47"/>
      <c r="E167" s="47"/>
      <c r="F167" s="49"/>
      <c r="G167" s="50"/>
      <c r="H167" s="24"/>
      <c r="I167" s="24" t="str">
        <f aca="false">IF($H167="","",N($H167)*N($G167))</f>
        <v/>
      </c>
      <c r="J167" s="25" t="str">
        <f aca="false">IF($H167="","",N($H167)-N($I167))</f>
        <v/>
      </c>
      <c r="K167" s="25"/>
      <c r="L167" s="25" t="str">
        <f aca="false">IF($A167="","",SUMIF($A$4:$A167,$A167,$J$4:$J167)-SUMIF($A$4:$A167,$A167,$K$4:$K167))</f>
        <v/>
      </c>
      <c r="M167" s="26" t="str">
        <f aca="false">IF($H167="","",N($H167))</f>
        <v/>
      </c>
      <c r="N167" s="26"/>
      <c r="O167" s="26"/>
      <c r="P167" s="26" t="str">
        <f aca="false">IF($A167="","",SUMIF($A$4:$A167,$A167,$M$4:$M167)-SUMIF($A$4:$A167,$A167,$N$4:$N167)-SUMIF($A$4:$A167,$A167,$O$4:$O167))</f>
        <v/>
      </c>
      <c r="Q167" s="27"/>
      <c r="R167" s="28"/>
      <c r="S167" s="28"/>
      <c r="T167" s="28" t="str">
        <f aca="false">IF($A167="","",SUMIF($A$4:$A167,$A167,$Q$4:$Q167)-SUMIF($A$4:$A167,$A167,$R$4:$R167)-SUMIF($A$4:$A167,$A167,$S$4:$S167))</f>
        <v/>
      </c>
      <c r="U167" s="28"/>
      <c r="V167" s="29" t="str">
        <f aca="false">IF(AND($C167="",COUNTA($D167:$H167,$K167,$N167:$O167,$Q167:$S167,$U167)=0),"",IF($C167="","⚠ 没填项目名称",IF($A167="⚠目录里没有","⚠ 项目名称在目录里找不到（先加到目录）",IF($A167="","⚠ 目录里这个项目没填简称",IF(ISTEXT($G167)+ISTEXT($H167)+ISTEXT($K167)+ISTEXT($N167)+ISTEXT($O167)+ISTEXT($Q167)+ISTEXT($R167)+ISTEXT($S167)&gt;0,"⚠ 金额列里有文字，算不进合计",IF(N($G167)&gt;=1,"⚠ 管理费点要填百分比，如 10%",IF(AND($D167&lt;&gt;"",$B167=""),"△ 摘要开头没写日期（如 2026.9.21），月份取不到",IF(AND(N($H167)&lt;&gt;0,COUNTIFS($A$4:$A$1003,$A167,$H$4:$H$1003,$H167,$D$4:$D$1003,LEFT($D167,9)&amp;"*")&gt;1),"△ 同一天同项目有一样的销售金额，看看是不是录重了","✓"))))))))</f>
        <v/>
      </c>
      <c r="W167" s="8" t="str">
        <f aca="false">IF($A167="","",$A167&amp;"#"&amp;COUNTIF($A$4:$A167,$A167))</f>
        <v/>
      </c>
    </row>
    <row r="168" customFormat="false" ht="16.5" hidden="false" customHeight="false" outlineLevel="0" collapsed="false">
      <c r="A168" s="44" t="str">
        <f aca="false">IF($C168="","",IFERROR(VLOOKUP($C168,目录!$B:$C,2,0)&amp;"","⚠目录里没有"))</f>
        <v/>
      </c>
      <c r="B168" s="45" t="str">
        <f aca="false">IF($D168="","",IFERROR(MID($D168,FIND(".",$D168)+1,FIND(".",$D168,FIND(".",$D168)+1)-FIND(".",$D168)-1)&amp;"月",""))</f>
        <v/>
      </c>
      <c r="C168" s="46"/>
      <c r="D168" s="47"/>
      <c r="E168" s="47"/>
      <c r="F168" s="49"/>
      <c r="G168" s="50"/>
      <c r="H168" s="24"/>
      <c r="I168" s="24" t="str">
        <f aca="false">IF($H168="","",N($H168)*N($G168))</f>
        <v/>
      </c>
      <c r="J168" s="25" t="str">
        <f aca="false">IF($H168="","",N($H168)-N($I168))</f>
        <v/>
      </c>
      <c r="K168" s="25"/>
      <c r="L168" s="25" t="str">
        <f aca="false">IF($A168="","",SUMIF($A$4:$A168,$A168,$J$4:$J168)-SUMIF($A$4:$A168,$A168,$K$4:$K168))</f>
        <v/>
      </c>
      <c r="M168" s="26" t="str">
        <f aca="false">IF($H168="","",N($H168))</f>
        <v/>
      </c>
      <c r="N168" s="26"/>
      <c r="O168" s="26"/>
      <c r="P168" s="26" t="str">
        <f aca="false">IF($A168="","",SUMIF($A$4:$A168,$A168,$M$4:$M168)-SUMIF($A$4:$A168,$A168,$N$4:$N168)-SUMIF($A$4:$A168,$A168,$O$4:$O168))</f>
        <v/>
      </c>
      <c r="Q168" s="27"/>
      <c r="R168" s="28"/>
      <c r="S168" s="28"/>
      <c r="T168" s="28" t="str">
        <f aca="false">IF($A168="","",SUMIF($A$4:$A168,$A168,$Q$4:$Q168)-SUMIF($A$4:$A168,$A168,$R$4:$R168)-SUMIF($A$4:$A168,$A168,$S$4:$S168))</f>
        <v/>
      </c>
      <c r="U168" s="28"/>
      <c r="V168" s="29" t="str">
        <f aca="false">IF(AND($C168="",COUNTA($D168:$H168,$K168,$N168:$O168,$Q168:$S168,$U168)=0),"",IF($C168="","⚠ 没填项目名称",IF($A168="⚠目录里没有","⚠ 项目名称在目录里找不到（先加到目录）",IF($A168="","⚠ 目录里这个项目没填简称",IF(ISTEXT($G168)+ISTEXT($H168)+ISTEXT($K168)+ISTEXT($N168)+ISTEXT($O168)+ISTEXT($Q168)+ISTEXT($R168)+ISTEXT($S168)&gt;0,"⚠ 金额列里有文字，算不进合计",IF(N($G168)&gt;=1,"⚠ 管理费点要填百分比，如 10%",IF(AND($D168&lt;&gt;"",$B168=""),"△ 摘要开头没写日期（如 2026.9.21），月份取不到",IF(AND(N($H168)&lt;&gt;0,COUNTIFS($A$4:$A$1003,$A168,$H$4:$H$1003,$H168,$D$4:$D$1003,LEFT($D168,9)&amp;"*")&gt;1),"△ 同一天同项目有一样的销售金额，看看是不是录重了","✓"))))))))</f>
        <v/>
      </c>
      <c r="W168" s="8" t="str">
        <f aca="false">IF($A168="","",$A168&amp;"#"&amp;COUNTIF($A$4:$A168,$A168))</f>
        <v/>
      </c>
    </row>
    <row r="169" customFormat="false" ht="16.5" hidden="false" customHeight="false" outlineLevel="0" collapsed="false">
      <c r="A169" s="44" t="str">
        <f aca="false">IF($C169="","",IFERROR(VLOOKUP($C169,目录!$B:$C,2,0)&amp;"","⚠目录里没有"))</f>
        <v/>
      </c>
      <c r="B169" s="45" t="str">
        <f aca="false">IF($D169="","",IFERROR(MID($D169,FIND(".",$D169)+1,FIND(".",$D169,FIND(".",$D169)+1)-FIND(".",$D169)-1)&amp;"月",""))</f>
        <v/>
      </c>
      <c r="C169" s="46"/>
      <c r="D169" s="47"/>
      <c r="E169" s="47"/>
      <c r="F169" s="49"/>
      <c r="G169" s="50"/>
      <c r="H169" s="24"/>
      <c r="I169" s="24" t="str">
        <f aca="false">IF($H169="","",N($H169)*N($G169))</f>
        <v/>
      </c>
      <c r="J169" s="25" t="str">
        <f aca="false">IF($H169="","",N($H169)-N($I169))</f>
        <v/>
      </c>
      <c r="K169" s="25"/>
      <c r="L169" s="25" t="str">
        <f aca="false">IF($A169="","",SUMIF($A$4:$A169,$A169,$J$4:$J169)-SUMIF($A$4:$A169,$A169,$K$4:$K169))</f>
        <v/>
      </c>
      <c r="M169" s="26" t="str">
        <f aca="false">IF($H169="","",N($H169))</f>
        <v/>
      </c>
      <c r="N169" s="26"/>
      <c r="O169" s="26"/>
      <c r="P169" s="26" t="str">
        <f aca="false">IF($A169="","",SUMIF($A$4:$A169,$A169,$M$4:$M169)-SUMIF($A$4:$A169,$A169,$N$4:$N169)-SUMIF($A$4:$A169,$A169,$O$4:$O169))</f>
        <v/>
      </c>
      <c r="Q169" s="27"/>
      <c r="R169" s="28"/>
      <c r="S169" s="28"/>
      <c r="T169" s="28" t="str">
        <f aca="false">IF($A169="","",SUMIF($A$4:$A169,$A169,$Q$4:$Q169)-SUMIF($A$4:$A169,$A169,$R$4:$R169)-SUMIF($A$4:$A169,$A169,$S$4:$S169))</f>
        <v/>
      </c>
      <c r="U169" s="28"/>
      <c r="V169" s="29" t="str">
        <f aca="false">IF(AND($C169="",COUNTA($D169:$H169,$K169,$N169:$O169,$Q169:$S169,$U169)=0),"",IF($C169="","⚠ 没填项目名称",IF($A169="⚠目录里没有","⚠ 项目名称在目录里找不到（先加到目录）",IF($A169="","⚠ 目录里这个项目没填简称",IF(ISTEXT($G169)+ISTEXT($H169)+ISTEXT($K169)+ISTEXT($N169)+ISTEXT($O169)+ISTEXT($Q169)+ISTEXT($R169)+ISTEXT($S169)&gt;0,"⚠ 金额列里有文字，算不进合计",IF(N($G169)&gt;=1,"⚠ 管理费点要填百分比，如 10%",IF(AND($D169&lt;&gt;"",$B169=""),"△ 摘要开头没写日期（如 2026.9.21），月份取不到",IF(AND(N($H169)&lt;&gt;0,COUNTIFS($A$4:$A$1003,$A169,$H$4:$H$1003,$H169,$D$4:$D$1003,LEFT($D169,9)&amp;"*")&gt;1),"△ 同一天同项目有一样的销售金额，看看是不是录重了","✓"))))))))</f>
        <v/>
      </c>
      <c r="W169" s="8" t="str">
        <f aca="false">IF($A169="","",$A169&amp;"#"&amp;COUNTIF($A$4:$A169,$A169))</f>
        <v/>
      </c>
    </row>
    <row r="170" customFormat="false" ht="16.5" hidden="false" customHeight="false" outlineLevel="0" collapsed="false">
      <c r="A170" s="44" t="str">
        <f aca="false">IF($C170="","",IFERROR(VLOOKUP($C170,目录!$B:$C,2,0)&amp;"","⚠目录里没有"))</f>
        <v/>
      </c>
      <c r="B170" s="45" t="str">
        <f aca="false">IF($D170="","",IFERROR(MID($D170,FIND(".",$D170)+1,FIND(".",$D170,FIND(".",$D170)+1)-FIND(".",$D170)-1)&amp;"月",""))</f>
        <v/>
      </c>
      <c r="C170" s="46"/>
      <c r="D170" s="47"/>
      <c r="E170" s="47"/>
      <c r="F170" s="49"/>
      <c r="G170" s="50"/>
      <c r="H170" s="24"/>
      <c r="I170" s="24" t="str">
        <f aca="false">IF($H170="","",N($H170)*N($G170))</f>
        <v/>
      </c>
      <c r="J170" s="25" t="str">
        <f aca="false">IF($H170="","",N($H170)-N($I170))</f>
        <v/>
      </c>
      <c r="K170" s="25"/>
      <c r="L170" s="25" t="str">
        <f aca="false">IF($A170="","",SUMIF($A$4:$A170,$A170,$J$4:$J170)-SUMIF($A$4:$A170,$A170,$K$4:$K170))</f>
        <v/>
      </c>
      <c r="M170" s="26" t="str">
        <f aca="false">IF($H170="","",N($H170))</f>
        <v/>
      </c>
      <c r="N170" s="26"/>
      <c r="O170" s="26"/>
      <c r="P170" s="26" t="str">
        <f aca="false">IF($A170="","",SUMIF($A$4:$A170,$A170,$M$4:$M170)-SUMIF($A$4:$A170,$A170,$N$4:$N170)-SUMIF($A$4:$A170,$A170,$O$4:$O170))</f>
        <v/>
      </c>
      <c r="Q170" s="27"/>
      <c r="R170" s="28"/>
      <c r="S170" s="28"/>
      <c r="T170" s="28" t="str">
        <f aca="false">IF($A170="","",SUMIF($A$4:$A170,$A170,$Q$4:$Q170)-SUMIF($A$4:$A170,$A170,$R$4:$R170)-SUMIF($A$4:$A170,$A170,$S$4:$S170))</f>
        <v/>
      </c>
      <c r="U170" s="28"/>
      <c r="V170" s="29" t="str">
        <f aca="false">IF(AND($C170="",COUNTA($D170:$H170,$K170,$N170:$O170,$Q170:$S170,$U170)=0),"",IF($C170="","⚠ 没填项目名称",IF($A170="⚠目录里没有","⚠ 项目名称在目录里找不到（先加到目录）",IF($A170="","⚠ 目录里这个项目没填简称",IF(ISTEXT($G170)+ISTEXT($H170)+ISTEXT($K170)+ISTEXT($N170)+ISTEXT($O170)+ISTEXT($Q170)+ISTEXT($R170)+ISTEXT($S170)&gt;0,"⚠ 金额列里有文字，算不进合计",IF(N($G170)&gt;=1,"⚠ 管理费点要填百分比，如 10%",IF(AND($D170&lt;&gt;"",$B170=""),"△ 摘要开头没写日期（如 2026.9.21），月份取不到",IF(AND(N($H170)&lt;&gt;0,COUNTIFS($A$4:$A$1003,$A170,$H$4:$H$1003,$H170,$D$4:$D$1003,LEFT($D170,9)&amp;"*")&gt;1),"△ 同一天同项目有一样的销售金额，看看是不是录重了","✓"))))))))</f>
        <v/>
      </c>
      <c r="W170" s="8" t="str">
        <f aca="false">IF($A170="","",$A170&amp;"#"&amp;COUNTIF($A$4:$A170,$A170))</f>
        <v/>
      </c>
    </row>
    <row r="171" customFormat="false" ht="16.5" hidden="false" customHeight="false" outlineLevel="0" collapsed="false">
      <c r="A171" s="44" t="str">
        <f aca="false">IF($C171="","",IFERROR(VLOOKUP($C171,目录!$B:$C,2,0)&amp;"","⚠目录里没有"))</f>
        <v/>
      </c>
      <c r="B171" s="45" t="str">
        <f aca="false">IF($D171="","",IFERROR(MID($D171,FIND(".",$D171)+1,FIND(".",$D171,FIND(".",$D171)+1)-FIND(".",$D171)-1)&amp;"月",""))</f>
        <v/>
      </c>
      <c r="C171" s="46"/>
      <c r="D171" s="47"/>
      <c r="E171" s="47"/>
      <c r="F171" s="49"/>
      <c r="G171" s="50"/>
      <c r="H171" s="24"/>
      <c r="I171" s="24" t="str">
        <f aca="false">IF($H171="","",N($H171)*N($G171))</f>
        <v/>
      </c>
      <c r="J171" s="25" t="str">
        <f aca="false">IF($H171="","",N($H171)-N($I171))</f>
        <v/>
      </c>
      <c r="K171" s="25"/>
      <c r="L171" s="25" t="str">
        <f aca="false">IF($A171="","",SUMIF($A$4:$A171,$A171,$J$4:$J171)-SUMIF($A$4:$A171,$A171,$K$4:$K171))</f>
        <v/>
      </c>
      <c r="M171" s="26" t="str">
        <f aca="false">IF($H171="","",N($H171))</f>
        <v/>
      </c>
      <c r="N171" s="26"/>
      <c r="O171" s="26"/>
      <c r="P171" s="26" t="str">
        <f aca="false">IF($A171="","",SUMIF($A$4:$A171,$A171,$M$4:$M171)-SUMIF($A$4:$A171,$A171,$N$4:$N171)-SUMIF($A$4:$A171,$A171,$O$4:$O171))</f>
        <v/>
      </c>
      <c r="Q171" s="27"/>
      <c r="R171" s="28"/>
      <c r="S171" s="28"/>
      <c r="T171" s="28" t="str">
        <f aca="false">IF($A171="","",SUMIF($A$4:$A171,$A171,$Q$4:$Q171)-SUMIF($A$4:$A171,$A171,$R$4:$R171)-SUMIF($A$4:$A171,$A171,$S$4:$S171))</f>
        <v/>
      </c>
      <c r="U171" s="28"/>
      <c r="V171" s="29" t="str">
        <f aca="false">IF(AND($C171="",COUNTA($D171:$H171,$K171,$N171:$O171,$Q171:$S171,$U171)=0),"",IF($C171="","⚠ 没填项目名称",IF($A171="⚠目录里没有","⚠ 项目名称在目录里找不到（先加到目录）",IF($A171="","⚠ 目录里这个项目没填简称",IF(ISTEXT($G171)+ISTEXT($H171)+ISTEXT($K171)+ISTEXT($N171)+ISTEXT($O171)+ISTEXT($Q171)+ISTEXT($R171)+ISTEXT($S171)&gt;0,"⚠ 金额列里有文字，算不进合计",IF(N($G171)&gt;=1,"⚠ 管理费点要填百分比，如 10%",IF(AND($D171&lt;&gt;"",$B171=""),"△ 摘要开头没写日期（如 2026.9.21），月份取不到",IF(AND(N($H171)&lt;&gt;0,COUNTIFS($A$4:$A$1003,$A171,$H$4:$H$1003,$H171,$D$4:$D$1003,LEFT($D171,9)&amp;"*")&gt;1),"△ 同一天同项目有一样的销售金额，看看是不是录重了","✓"))))))))</f>
        <v/>
      </c>
      <c r="W171" s="8" t="str">
        <f aca="false">IF($A171="","",$A171&amp;"#"&amp;COUNTIF($A$4:$A171,$A171))</f>
        <v/>
      </c>
    </row>
    <row r="172" customFormat="false" ht="16.5" hidden="false" customHeight="false" outlineLevel="0" collapsed="false">
      <c r="A172" s="44" t="str">
        <f aca="false">IF($C172="","",IFERROR(VLOOKUP($C172,目录!$B:$C,2,0)&amp;"","⚠目录里没有"))</f>
        <v/>
      </c>
      <c r="B172" s="45" t="str">
        <f aca="false">IF($D172="","",IFERROR(MID($D172,FIND(".",$D172)+1,FIND(".",$D172,FIND(".",$D172)+1)-FIND(".",$D172)-1)&amp;"月",""))</f>
        <v/>
      </c>
      <c r="C172" s="46"/>
      <c r="D172" s="47"/>
      <c r="E172" s="47"/>
      <c r="F172" s="49"/>
      <c r="G172" s="50"/>
      <c r="H172" s="24"/>
      <c r="I172" s="24" t="str">
        <f aca="false">IF($H172="","",N($H172)*N($G172))</f>
        <v/>
      </c>
      <c r="J172" s="25" t="str">
        <f aca="false">IF($H172="","",N($H172)-N($I172))</f>
        <v/>
      </c>
      <c r="K172" s="25"/>
      <c r="L172" s="25" t="str">
        <f aca="false">IF($A172="","",SUMIF($A$4:$A172,$A172,$J$4:$J172)-SUMIF($A$4:$A172,$A172,$K$4:$K172))</f>
        <v/>
      </c>
      <c r="M172" s="26" t="str">
        <f aca="false">IF($H172="","",N($H172))</f>
        <v/>
      </c>
      <c r="N172" s="26"/>
      <c r="O172" s="26"/>
      <c r="P172" s="26" t="str">
        <f aca="false">IF($A172="","",SUMIF($A$4:$A172,$A172,$M$4:$M172)-SUMIF($A$4:$A172,$A172,$N$4:$N172)-SUMIF($A$4:$A172,$A172,$O$4:$O172))</f>
        <v/>
      </c>
      <c r="Q172" s="27"/>
      <c r="R172" s="28"/>
      <c r="S172" s="28"/>
      <c r="T172" s="28" t="str">
        <f aca="false">IF($A172="","",SUMIF($A$4:$A172,$A172,$Q$4:$Q172)-SUMIF($A$4:$A172,$A172,$R$4:$R172)-SUMIF($A$4:$A172,$A172,$S$4:$S172))</f>
        <v/>
      </c>
      <c r="U172" s="28"/>
      <c r="V172" s="29" t="str">
        <f aca="false">IF(AND($C172="",COUNTA($D172:$H172,$K172,$N172:$O172,$Q172:$S172,$U172)=0),"",IF($C172="","⚠ 没填项目名称",IF($A172="⚠目录里没有","⚠ 项目名称在目录里找不到（先加到目录）",IF($A172="","⚠ 目录里这个项目没填简称",IF(ISTEXT($G172)+ISTEXT($H172)+ISTEXT($K172)+ISTEXT($N172)+ISTEXT($O172)+ISTEXT($Q172)+ISTEXT($R172)+ISTEXT($S172)&gt;0,"⚠ 金额列里有文字，算不进合计",IF(N($G172)&gt;=1,"⚠ 管理费点要填百分比，如 10%",IF(AND($D172&lt;&gt;"",$B172=""),"△ 摘要开头没写日期（如 2026.9.21），月份取不到",IF(AND(N($H172)&lt;&gt;0,COUNTIFS($A$4:$A$1003,$A172,$H$4:$H$1003,$H172,$D$4:$D$1003,LEFT($D172,9)&amp;"*")&gt;1),"△ 同一天同项目有一样的销售金额，看看是不是录重了","✓"))))))))</f>
        <v/>
      </c>
      <c r="W172" s="8" t="str">
        <f aca="false">IF($A172="","",$A172&amp;"#"&amp;COUNTIF($A$4:$A172,$A172))</f>
        <v/>
      </c>
    </row>
    <row r="173" customFormat="false" ht="16.5" hidden="false" customHeight="false" outlineLevel="0" collapsed="false">
      <c r="A173" s="44" t="str">
        <f aca="false">IF($C173="","",IFERROR(VLOOKUP($C173,目录!$B:$C,2,0)&amp;"","⚠目录里没有"))</f>
        <v/>
      </c>
      <c r="B173" s="45" t="str">
        <f aca="false">IF($D173="","",IFERROR(MID($D173,FIND(".",$D173)+1,FIND(".",$D173,FIND(".",$D173)+1)-FIND(".",$D173)-1)&amp;"月",""))</f>
        <v/>
      </c>
      <c r="C173" s="46"/>
      <c r="D173" s="47"/>
      <c r="E173" s="47"/>
      <c r="F173" s="49"/>
      <c r="G173" s="50"/>
      <c r="H173" s="24"/>
      <c r="I173" s="24" t="str">
        <f aca="false">IF($H173="","",N($H173)*N($G173))</f>
        <v/>
      </c>
      <c r="J173" s="25" t="str">
        <f aca="false">IF($H173="","",N($H173)-N($I173))</f>
        <v/>
      </c>
      <c r="K173" s="25"/>
      <c r="L173" s="25" t="str">
        <f aca="false">IF($A173="","",SUMIF($A$4:$A173,$A173,$J$4:$J173)-SUMIF($A$4:$A173,$A173,$K$4:$K173))</f>
        <v/>
      </c>
      <c r="M173" s="26" t="str">
        <f aca="false">IF($H173="","",N($H173))</f>
        <v/>
      </c>
      <c r="N173" s="26"/>
      <c r="O173" s="26"/>
      <c r="P173" s="26" t="str">
        <f aca="false">IF($A173="","",SUMIF($A$4:$A173,$A173,$M$4:$M173)-SUMIF($A$4:$A173,$A173,$N$4:$N173)-SUMIF($A$4:$A173,$A173,$O$4:$O173))</f>
        <v/>
      </c>
      <c r="Q173" s="27"/>
      <c r="R173" s="28"/>
      <c r="S173" s="28"/>
      <c r="T173" s="28" t="str">
        <f aca="false">IF($A173="","",SUMIF($A$4:$A173,$A173,$Q$4:$Q173)-SUMIF($A$4:$A173,$A173,$R$4:$R173)-SUMIF($A$4:$A173,$A173,$S$4:$S173))</f>
        <v/>
      </c>
      <c r="U173" s="28"/>
      <c r="V173" s="29" t="str">
        <f aca="false">IF(AND($C173="",COUNTA($D173:$H173,$K173,$N173:$O173,$Q173:$S173,$U173)=0),"",IF($C173="","⚠ 没填项目名称",IF($A173="⚠目录里没有","⚠ 项目名称在目录里找不到（先加到目录）",IF($A173="","⚠ 目录里这个项目没填简称",IF(ISTEXT($G173)+ISTEXT($H173)+ISTEXT($K173)+ISTEXT($N173)+ISTEXT($O173)+ISTEXT($Q173)+ISTEXT($R173)+ISTEXT($S173)&gt;0,"⚠ 金额列里有文字，算不进合计",IF(N($G173)&gt;=1,"⚠ 管理费点要填百分比，如 10%",IF(AND($D173&lt;&gt;"",$B173=""),"△ 摘要开头没写日期（如 2026.9.21），月份取不到",IF(AND(N($H173)&lt;&gt;0,COUNTIFS($A$4:$A$1003,$A173,$H$4:$H$1003,$H173,$D$4:$D$1003,LEFT($D173,9)&amp;"*")&gt;1),"△ 同一天同项目有一样的销售金额，看看是不是录重了","✓"))))))))</f>
        <v/>
      </c>
      <c r="W173" s="8" t="str">
        <f aca="false">IF($A173="","",$A173&amp;"#"&amp;COUNTIF($A$4:$A173,$A173))</f>
        <v/>
      </c>
    </row>
    <row r="174" customFormat="false" ht="16.5" hidden="false" customHeight="false" outlineLevel="0" collapsed="false">
      <c r="A174" s="44" t="str">
        <f aca="false">IF($C174="","",IFERROR(VLOOKUP($C174,目录!$B:$C,2,0)&amp;"","⚠目录里没有"))</f>
        <v/>
      </c>
      <c r="B174" s="45" t="str">
        <f aca="false">IF($D174="","",IFERROR(MID($D174,FIND(".",$D174)+1,FIND(".",$D174,FIND(".",$D174)+1)-FIND(".",$D174)-1)&amp;"月",""))</f>
        <v/>
      </c>
      <c r="C174" s="46"/>
      <c r="D174" s="47"/>
      <c r="E174" s="47"/>
      <c r="F174" s="49"/>
      <c r="G174" s="50"/>
      <c r="H174" s="24"/>
      <c r="I174" s="24" t="str">
        <f aca="false">IF($H174="","",N($H174)*N($G174))</f>
        <v/>
      </c>
      <c r="J174" s="25" t="str">
        <f aca="false">IF($H174="","",N($H174)-N($I174))</f>
        <v/>
      </c>
      <c r="K174" s="25"/>
      <c r="L174" s="25" t="str">
        <f aca="false">IF($A174="","",SUMIF($A$4:$A174,$A174,$J$4:$J174)-SUMIF($A$4:$A174,$A174,$K$4:$K174))</f>
        <v/>
      </c>
      <c r="M174" s="26" t="str">
        <f aca="false">IF($H174="","",N($H174))</f>
        <v/>
      </c>
      <c r="N174" s="26"/>
      <c r="O174" s="26"/>
      <c r="P174" s="26" t="str">
        <f aca="false">IF($A174="","",SUMIF($A$4:$A174,$A174,$M$4:$M174)-SUMIF($A$4:$A174,$A174,$N$4:$N174)-SUMIF($A$4:$A174,$A174,$O$4:$O174))</f>
        <v/>
      </c>
      <c r="Q174" s="27"/>
      <c r="R174" s="28"/>
      <c r="S174" s="28"/>
      <c r="T174" s="28" t="str">
        <f aca="false">IF($A174="","",SUMIF($A$4:$A174,$A174,$Q$4:$Q174)-SUMIF($A$4:$A174,$A174,$R$4:$R174)-SUMIF($A$4:$A174,$A174,$S$4:$S174))</f>
        <v/>
      </c>
      <c r="U174" s="28"/>
      <c r="V174" s="29" t="str">
        <f aca="false">IF(AND($C174="",COUNTA($D174:$H174,$K174,$N174:$O174,$Q174:$S174,$U174)=0),"",IF($C174="","⚠ 没填项目名称",IF($A174="⚠目录里没有","⚠ 项目名称在目录里找不到（先加到目录）",IF($A174="","⚠ 目录里这个项目没填简称",IF(ISTEXT($G174)+ISTEXT($H174)+ISTEXT($K174)+ISTEXT($N174)+ISTEXT($O174)+ISTEXT($Q174)+ISTEXT($R174)+ISTEXT($S174)&gt;0,"⚠ 金额列里有文字，算不进合计",IF(N($G174)&gt;=1,"⚠ 管理费点要填百分比，如 10%",IF(AND($D174&lt;&gt;"",$B174=""),"△ 摘要开头没写日期（如 2026.9.21），月份取不到",IF(AND(N($H174)&lt;&gt;0,COUNTIFS($A$4:$A$1003,$A174,$H$4:$H$1003,$H174,$D$4:$D$1003,LEFT($D174,9)&amp;"*")&gt;1),"△ 同一天同项目有一样的销售金额，看看是不是录重了","✓"))))))))</f>
        <v/>
      </c>
      <c r="W174" s="8" t="str">
        <f aca="false">IF($A174="","",$A174&amp;"#"&amp;COUNTIF($A$4:$A174,$A174))</f>
        <v/>
      </c>
    </row>
    <row r="175" customFormat="false" ht="16.5" hidden="false" customHeight="false" outlineLevel="0" collapsed="false">
      <c r="A175" s="44" t="str">
        <f aca="false">IF($C175="","",IFERROR(VLOOKUP($C175,目录!$B:$C,2,0)&amp;"","⚠目录里没有"))</f>
        <v/>
      </c>
      <c r="B175" s="45" t="str">
        <f aca="false">IF($D175="","",IFERROR(MID($D175,FIND(".",$D175)+1,FIND(".",$D175,FIND(".",$D175)+1)-FIND(".",$D175)-1)&amp;"月",""))</f>
        <v/>
      </c>
      <c r="C175" s="46"/>
      <c r="D175" s="47"/>
      <c r="E175" s="47"/>
      <c r="F175" s="49"/>
      <c r="G175" s="50"/>
      <c r="H175" s="24"/>
      <c r="I175" s="24" t="str">
        <f aca="false">IF($H175="","",N($H175)*N($G175))</f>
        <v/>
      </c>
      <c r="J175" s="25" t="str">
        <f aca="false">IF($H175="","",N($H175)-N($I175))</f>
        <v/>
      </c>
      <c r="K175" s="25"/>
      <c r="L175" s="25" t="str">
        <f aca="false">IF($A175="","",SUMIF($A$4:$A175,$A175,$J$4:$J175)-SUMIF($A$4:$A175,$A175,$K$4:$K175))</f>
        <v/>
      </c>
      <c r="M175" s="26" t="str">
        <f aca="false">IF($H175="","",N($H175))</f>
        <v/>
      </c>
      <c r="N175" s="26"/>
      <c r="O175" s="26"/>
      <c r="P175" s="26" t="str">
        <f aca="false">IF($A175="","",SUMIF($A$4:$A175,$A175,$M$4:$M175)-SUMIF($A$4:$A175,$A175,$N$4:$N175)-SUMIF($A$4:$A175,$A175,$O$4:$O175))</f>
        <v/>
      </c>
      <c r="Q175" s="27"/>
      <c r="R175" s="28"/>
      <c r="S175" s="28"/>
      <c r="T175" s="28" t="str">
        <f aca="false">IF($A175="","",SUMIF($A$4:$A175,$A175,$Q$4:$Q175)-SUMIF($A$4:$A175,$A175,$R$4:$R175)-SUMIF($A$4:$A175,$A175,$S$4:$S175))</f>
        <v/>
      </c>
      <c r="U175" s="28"/>
      <c r="V175" s="29" t="str">
        <f aca="false">IF(AND($C175="",COUNTA($D175:$H175,$K175,$N175:$O175,$Q175:$S175,$U175)=0),"",IF($C175="","⚠ 没填项目名称",IF($A175="⚠目录里没有","⚠ 项目名称在目录里找不到（先加到目录）",IF($A175="","⚠ 目录里这个项目没填简称",IF(ISTEXT($G175)+ISTEXT($H175)+ISTEXT($K175)+ISTEXT($N175)+ISTEXT($O175)+ISTEXT($Q175)+ISTEXT($R175)+ISTEXT($S175)&gt;0,"⚠ 金额列里有文字，算不进合计",IF(N($G175)&gt;=1,"⚠ 管理费点要填百分比，如 10%",IF(AND($D175&lt;&gt;"",$B175=""),"△ 摘要开头没写日期（如 2026.9.21），月份取不到",IF(AND(N($H175)&lt;&gt;0,COUNTIFS($A$4:$A$1003,$A175,$H$4:$H$1003,$H175,$D$4:$D$1003,LEFT($D175,9)&amp;"*")&gt;1),"△ 同一天同项目有一样的销售金额，看看是不是录重了","✓"))))))))</f>
        <v/>
      </c>
      <c r="W175" s="8" t="str">
        <f aca="false">IF($A175="","",$A175&amp;"#"&amp;COUNTIF($A$4:$A175,$A175))</f>
        <v/>
      </c>
    </row>
    <row r="176" customFormat="false" ht="16.5" hidden="false" customHeight="false" outlineLevel="0" collapsed="false">
      <c r="A176" s="44" t="str">
        <f aca="false">IF($C176="","",IFERROR(VLOOKUP($C176,目录!$B:$C,2,0)&amp;"","⚠目录里没有"))</f>
        <v/>
      </c>
      <c r="B176" s="45" t="str">
        <f aca="false">IF($D176="","",IFERROR(MID($D176,FIND(".",$D176)+1,FIND(".",$D176,FIND(".",$D176)+1)-FIND(".",$D176)-1)&amp;"月",""))</f>
        <v/>
      </c>
      <c r="C176" s="46"/>
      <c r="D176" s="47"/>
      <c r="E176" s="47"/>
      <c r="F176" s="49"/>
      <c r="G176" s="50"/>
      <c r="H176" s="24"/>
      <c r="I176" s="24" t="str">
        <f aca="false">IF($H176="","",N($H176)*N($G176))</f>
        <v/>
      </c>
      <c r="J176" s="25" t="str">
        <f aca="false">IF($H176="","",N($H176)-N($I176))</f>
        <v/>
      </c>
      <c r="K176" s="25"/>
      <c r="L176" s="25" t="str">
        <f aca="false">IF($A176="","",SUMIF($A$4:$A176,$A176,$J$4:$J176)-SUMIF($A$4:$A176,$A176,$K$4:$K176))</f>
        <v/>
      </c>
      <c r="M176" s="26" t="str">
        <f aca="false">IF($H176="","",N($H176))</f>
        <v/>
      </c>
      <c r="N176" s="26"/>
      <c r="O176" s="26"/>
      <c r="P176" s="26" t="str">
        <f aca="false">IF($A176="","",SUMIF($A$4:$A176,$A176,$M$4:$M176)-SUMIF($A$4:$A176,$A176,$N$4:$N176)-SUMIF($A$4:$A176,$A176,$O$4:$O176))</f>
        <v/>
      </c>
      <c r="Q176" s="27"/>
      <c r="R176" s="28"/>
      <c r="S176" s="28"/>
      <c r="T176" s="28" t="str">
        <f aca="false">IF($A176="","",SUMIF($A$4:$A176,$A176,$Q$4:$Q176)-SUMIF($A$4:$A176,$A176,$R$4:$R176)-SUMIF($A$4:$A176,$A176,$S$4:$S176))</f>
        <v/>
      </c>
      <c r="U176" s="28"/>
      <c r="V176" s="29" t="str">
        <f aca="false">IF(AND($C176="",COUNTA($D176:$H176,$K176,$N176:$O176,$Q176:$S176,$U176)=0),"",IF($C176="","⚠ 没填项目名称",IF($A176="⚠目录里没有","⚠ 项目名称在目录里找不到（先加到目录）",IF($A176="","⚠ 目录里这个项目没填简称",IF(ISTEXT($G176)+ISTEXT($H176)+ISTEXT($K176)+ISTEXT($N176)+ISTEXT($O176)+ISTEXT($Q176)+ISTEXT($R176)+ISTEXT($S176)&gt;0,"⚠ 金额列里有文字，算不进合计",IF(N($G176)&gt;=1,"⚠ 管理费点要填百分比，如 10%",IF(AND($D176&lt;&gt;"",$B176=""),"△ 摘要开头没写日期（如 2026.9.21），月份取不到",IF(AND(N($H176)&lt;&gt;0,COUNTIFS($A$4:$A$1003,$A176,$H$4:$H$1003,$H176,$D$4:$D$1003,LEFT($D176,9)&amp;"*")&gt;1),"△ 同一天同项目有一样的销售金额，看看是不是录重了","✓"))))))))</f>
        <v/>
      </c>
      <c r="W176" s="8" t="str">
        <f aca="false">IF($A176="","",$A176&amp;"#"&amp;COUNTIF($A$4:$A176,$A176))</f>
        <v/>
      </c>
    </row>
    <row r="177" customFormat="false" ht="16.5" hidden="false" customHeight="false" outlineLevel="0" collapsed="false">
      <c r="A177" s="44" t="str">
        <f aca="false">IF($C177="","",IFERROR(VLOOKUP($C177,目录!$B:$C,2,0)&amp;"","⚠目录里没有"))</f>
        <v/>
      </c>
      <c r="B177" s="45" t="str">
        <f aca="false">IF($D177="","",IFERROR(MID($D177,FIND(".",$D177)+1,FIND(".",$D177,FIND(".",$D177)+1)-FIND(".",$D177)-1)&amp;"月",""))</f>
        <v/>
      </c>
      <c r="C177" s="46"/>
      <c r="D177" s="47"/>
      <c r="E177" s="47"/>
      <c r="F177" s="49"/>
      <c r="G177" s="50"/>
      <c r="H177" s="24"/>
      <c r="I177" s="24" t="str">
        <f aca="false">IF($H177="","",N($H177)*N($G177))</f>
        <v/>
      </c>
      <c r="J177" s="25" t="str">
        <f aca="false">IF($H177="","",N($H177)-N($I177))</f>
        <v/>
      </c>
      <c r="K177" s="25"/>
      <c r="L177" s="25" t="str">
        <f aca="false">IF($A177="","",SUMIF($A$4:$A177,$A177,$J$4:$J177)-SUMIF($A$4:$A177,$A177,$K$4:$K177))</f>
        <v/>
      </c>
      <c r="M177" s="26" t="str">
        <f aca="false">IF($H177="","",N($H177))</f>
        <v/>
      </c>
      <c r="N177" s="26"/>
      <c r="O177" s="26"/>
      <c r="P177" s="26" t="str">
        <f aca="false">IF($A177="","",SUMIF($A$4:$A177,$A177,$M$4:$M177)-SUMIF($A$4:$A177,$A177,$N$4:$N177)-SUMIF($A$4:$A177,$A177,$O$4:$O177))</f>
        <v/>
      </c>
      <c r="Q177" s="27"/>
      <c r="R177" s="28"/>
      <c r="S177" s="28"/>
      <c r="T177" s="28" t="str">
        <f aca="false">IF($A177="","",SUMIF($A$4:$A177,$A177,$Q$4:$Q177)-SUMIF($A$4:$A177,$A177,$R$4:$R177)-SUMIF($A$4:$A177,$A177,$S$4:$S177))</f>
        <v/>
      </c>
      <c r="U177" s="28"/>
      <c r="V177" s="29" t="str">
        <f aca="false">IF(AND($C177="",COUNTA($D177:$H177,$K177,$N177:$O177,$Q177:$S177,$U177)=0),"",IF($C177="","⚠ 没填项目名称",IF($A177="⚠目录里没有","⚠ 项目名称在目录里找不到（先加到目录）",IF($A177="","⚠ 目录里这个项目没填简称",IF(ISTEXT($G177)+ISTEXT($H177)+ISTEXT($K177)+ISTEXT($N177)+ISTEXT($O177)+ISTEXT($Q177)+ISTEXT($R177)+ISTEXT($S177)&gt;0,"⚠ 金额列里有文字，算不进合计",IF(N($G177)&gt;=1,"⚠ 管理费点要填百分比，如 10%",IF(AND($D177&lt;&gt;"",$B177=""),"△ 摘要开头没写日期（如 2026.9.21），月份取不到",IF(AND(N($H177)&lt;&gt;0,COUNTIFS($A$4:$A$1003,$A177,$H$4:$H$1003,$H177,$D$4:$D$1003,LEFT($D177,9)&amp;"*")&gt;1),"△ 同一天同项目有一样的销售金额，看看是不是录重了","✓"))))))))</f>
        <v/>
      </c>
      <c r="W177" s="8" t="str">
        <f aca="false">IF($A177="","",$A177&amp;"#"&amp;COUNTIF($A$4:$A177,$A177))</f>
        <v/>
      </c>
    </row>
    <row r="178" customFormat="false" ht="16.5" hidden="false" customHeight="false" outlineLevel="0" collapsed="false">
      <c r="A178" s="44" t="str">
        <f aca="false">IF($C178="","",IFERROR(VLOOKUP($C178,目录!$B:$C,2,0)&amp;"","⚠目录里没有"))</f>
        <v/>
      </c>
      <c r="B178" s="45" t="str">
        <f aca="false">IF($D178="","",IFERROR(MID($D178,FIND(".",$D178)+1,FIND(".",$D178,FIND(".",$D178)+1)-FIND(".",$D178)-1)&amp;"月",""))</f>
        <v/>
      </c>
      <c r="C178" s="46"/>
      <c r="D178" s="47"/>
      <c r="E178" s="47"/>
      <c r="F178" s="49"/>
      <c r="G178" s="50"/>
      <c r="H178" s="24"/>
      <c r="I178" s="24" t="str">
        <f aca="false">IF($H178="","",N($H178)*N($G178))</f>
        <v/>
      </c>
      <c r="J178" s="25" t="str">
        <f aca="false">IF($H178="","",N($H178)-N($I178))</f>
        <v/>
      </c>
      <c r="K178" s="25"/>
      <c r="L178" s="25" t="str">
        <f aca="false">IF($A178="","",SUMIF($A$4:$A178,$A178,$J$4:$J178)-SUMIF($A$4:$A178,$A178,$K$4:$K178))</f>
        <v/>
      </c>
      <c r="M178" s="26" t="str">
        <f aca="false">IF($H178="","",N($H178))</f>
        <v/>
      </c>
      <c r="N178" s="26"/>
      <c r="O178" s="26"/>
      <c r="P178" s="26" t="str">
        <f aca="false">IF($A178="","",SUMIF($A$4:$A178,$A178,$M$4:$M178)-SUMIF($A$4:$A178,$A178,$N$4:$N178)-SUMIF($A$4:$A178,$A178,$O$4:$O178))</f>
        <v/>
      </c>
      <c r="Q178" s="27"/>
      <c r="R178" s="28"/>
      <c r="S178" s="28"/>
      <c r="T178" s="28" t="str">
        <f aca="false">IF($A178="","",SUMIF($A$4:$A178,$A178,$Q$4:$Q178)-SUMIF($A$4:$A178,$A178,$R$4:$R178)-SUMIF($A$4:$A178,$A178,$S$4:$S178))</f>
        <v/>
      </c>
      <c r="U178" s="28"/>
      <c r="V178" s="29" t="str">
        <f aca="false">IF(AND($C178="",COUNTA($D178:$H178,$K178,$N178:$O178,$Q178:$S178,$U178)=0),"",IF($C178="","⚠ 没填项目名称",IF($A178="⚠目录里没有","⚠ 项目名称在目录里找不到（先加到目录）",IF($A178="","⚠ 目录里这个项目没填简称",IF(ISTEXT($G178)+ISTEXT($H178)+ISTEXT($K178)+ISTEXT($N178)+ISTEXT($O178)+ISTEXT($Q178)+ISTEXT($R178)+ISTEXT($S178)&gt;0,"⚠ 金额列里有文字，算不进合计",IF(N($G178)&gt;=1,"⚠ 管理费点要填百分比，如 10%",IF(AND($D178&lt;&gt;"",$B178=""),"△ 摘要开头没写日期（如 2026.9.21），月份取不到",IF(AND(N($H178)&lt;&gt;0,COUNTIFS($A$4:$A$1003,$A178,$H$4:$H$1003,$H178,$D$4:$D$1003,LEFT($D178,9)&amp;"*")&gt;1),"△ 同一天同项目有一样的销售金额，看看是不是录重了","✓"))))))))</f>
        <v/>
      </c>
      <c r="W178" s="8" t="str">
        <f aca="false">IF($A178="","",$A178&amp;"#"&amp;COUNTIF($A$4:$A178,$A178))</f>
        <v/>
      </c>
    </row>
    <row r="179" customFormat="false" ht="16.5" hidden="false" customHeight="false" outlineLevel="0" collapsed="false">
      <c r="A179" s="44" t="str">
        <f aca="false">IF($C179="","",IFERROR(VLOOKUP($C179,目录!$B:$C,2,0)&amp;"","⚠目录里没有"))</f>
        <v/>
      </c>
      <c r="B179" s="45" t="str">
        <f aca="false">IF($D179="","",IFERROR(MID($D179,FIND(".",$D179)+1,FIND(".",$D179,FIND(".",$D179)+1)-FIND(".",$D179)-1)&amp;"月",""))</f>
        <v/>
      </c>
      <c r="C179" s="46"/>
      <c r="D179" s="47"/>
      <c r="E179" s="47"/>
      <c r="F179" s="49"/>
      <c r="G179" s="50"/>
      <c r="H179" s="24"/>
      <c r="I179" s="24" t="str">
        <f aca="false">IF($H179="","",N($H179)*N($G179))</f>
        <v/>
      </c>
      <c r="J179" s="25" t="str">
        <f aca="false">IF($H179="","",N($H179)-N($I179))</f>
        <v/>
      </c>
      <c r="K179" s="25"/>
      <c r="L179" s="25" t="str">
        <f aca="false">IF($A179="","",SUMIF($A$4:$A179,$A179,$J$4:$J179)-SUMIF($A$4:$A179,$A179,$K$4:$K179))</f>
        <v/>
      </c>
      <c r="M179" s="26" t="str">
        <f aca="false">IF($H179="","",N($H179))</f>
        <v/>
      </c>
      <c r="N179" s="26"/>
      <c r="O179" s="26"/>
      <c r="P179" s="26" t="str">
        <f aca="false">IF($A179="","",SUMIF($A$4:$A179,$A179,$M$4:$M179)-SUMIF($A$4:$A179,$A179,$N$4:$N179)-SUMIF($A$4:$A179,$A179,$O$4:$O179))</f>
        <v/>
      </c>
      <c r="Q179" s="27"/>
      <c r="R179" s="28"/>
      <c r="S179" s="28"/>
      <c r="T179" s="28" t="str">
        <f aca="false">IF($A179="","",SUMIF($A$4:$A179,$A179,$Q$4:$Q179)-SUMIF($A$4:$A179,$A179,$R$4:$R179)-SUMIF($A$4:$A179,$A179,$S$4:$S179))</f>
        <v/>
      </c>
      <c r="U179" s="28"/>
      <c r="V179" s="29" t="str">
        <f aca="false">IF(AND($C179="",COUNTA($D179:$H179,$K179,$N179:$O179,$Q179:$S179,$U179)=0),"",IF($C179="","⚠ 没填项目名称",IF($A179="⚠目录里没有","⚠ 项目名称在目录里找不到（先加到目录）",IF($A179="","⚠ 目录里这个项目没填简称",IF(ISTEXT($G179)+ISTEXT($H179)+ISTEXT($K179)+ISTEXT($N179)+ISTEXT($O179)+ISTEXT($Q179)+ISTEXT($R179)+ISTEXT($S179)&gt;0,"⚠ 金额列里有文字，算不进合计",IF(N($G179)&gt;=1,"⚠ 管理费点要填百分比，如 10%",IF(AND($D179&lt;&gt;"",$B179=""),"△ 摘要开头没写日期（如 2026.9.21），月份取不到",IF(AND(N($H179)&lt;&gt;0,COUNTIFS($A$4:$A$1003,$A179,$H$4:$H$1003,$H179,$D$4:$D$1003,LEFT($D179,9)&amp;"*")&gt;1),"△ 同一天同项目有一样的销售金额，看看是不是录重了","✓"))))))))</f>
        <v/>
      </c>
      <c r="W179" s="8" t="str">
        <f aca="false">IF($A179="","",$A179&amp;"#"&amp;COUNTIF($A$4:$A179,$A179))</f>
        <v/>
      </c>
    </row>
    <row r="180" customFormat="false" ht="16.5" hidden="false" customHeight="false" outlineLevel="0" collapsed="false">
      <c r="A180" s="44" t="str">
        <f aca="false">IF($C180="","",IFERROR(VLOOKUP($C180,目录!$B:$C,2,0)&amp;"","⚠目录里没有"))</f>
        <v/>
      </c>
      <c r="B180" s="45" t="str">
        <f aca="false">IF($D180="","",IFERROR(MID($D180,FIND(".",$D180)+1,FIND(".",$D180,FIND(".",$D180)+1)-FIND(".",$D180)-1)&amp;"月",""))</f>
        <v/>
      </c>
      <c r="C180" s="46"/>
      <c r="D180" s="47"/>
      <c r="E180" s="47"/>
      <c r="F180" s="49"/>
      <c r="G180" s="50"/>
      <c r="H180" s="24"/>
      <c r="I180" s="24" t="str">
        <f aca="false">IF($H180="","",N($H180)*N($G180))</f>
        <v/>
      </c>
      <c r="J180" s="25" t="str">
        <f aca="false">IF($H180="","",N($H180)-N($I180))</f>
        <v/>
      </c>
      <c r="K180" s="25"/>
      <c r="L180" s="25" t="str">
        <f aca="false">IF($A180="","",SUMIF($A$4:$A180,$A180,$J$4:$J180)-SUMIF($A$4:$A180,$A180,$K$4:$K180))</f>
        <v/>
      </c>
      <c r="M180" s="26" t="str">
        <f aca="false">IF($H180="","",N($H180))</f>
        <v/>
      </c>
      <c r="N180" s="26"/>
      <c r="O180" s="26"/>
      <c r="P180" s="26" t="str">
        <f aca="false">IF($A180="","",SUMIF($A$4:$A180,$A180,$M$4:$M180)-SUMIF($A$4:$A180,$A180,$N$4:$N180)-SUMIF($A$4:$A180,$A180,$O$4:$O180))</f>
        <v/>
      </c>
      <c r="Q180" s="27"/>
      <c r="R180" s="28"/>
      <c r="S180" s="28"/>
      <c r="T180" s="28" t="str">
        <f aca="false">IF($A180="","",SUMIF($A$4:$A180,$A180,$Q$4:$Q180)-SUMIF($A$4:$A180,$A180,$R$4:$R180)-SUMIF($A$4:$A180,$A180,$S$4:$S180))</f>
        <v/>
      </c>
      <c r="U180" s="28"/>
      <c r="V180" s="29" t="str">
        <f aca="false">IF(AND($C180="",COUNTA($D180:$H180,$K180,$N180:$O180,$Q180:$S180,$U180)=0),"",IF($C180="","⚠ 没填项目名称",IF($A180="⚠目录里没有","⚠ 项目名称在目录里找不到（先加到目录）",IF($A180="","⚠ 目录里这个项目没填简称",IF(ISTEXT($G180)+ISTEXT($H180)+ISTEXT($K180)+ISTEXT($N180)+ISTEXT($O180)+ISTEXT($Q180)+ISTEXT($R180)+ISTEXT($S180)&gt;0,"⚠ 金额列里有文字，算不进合计",IF(N($G180)&gt;=1,"⚠ 管理费点要填百分比，如 10%",IF(AND($D180&lt;&gt;"",$B180=""),"△ 摘要开头没写日期（如 2026.9.21），月份取不到",IF(AND(N($H180)&lt;&gt;0,COUNTIFS($A$4:$A$1003,$A180,$H$4:$H$1003,$H180,$D$4:$D$1003,LEFT($D180,9)&amp;"*")&gt;1),"△ 同一天同项目有一样的销售金额，看看是不是录重了","✓"))))))))</f>
        <v/>
      </c>
      <c r="W180" s="8" t="str">
        <f aca="false">IF($A180="","",$A180&amp;"#"&amp;COUNTIF($A$4:$A180,$A180))</f>
        <v/>
      </c>
    </row>
    <row r="181" customFormat="false" ht="16.5" hidden="false" customHeight="false" outlineLevel="0" collapsed="false">
      <c r="A181" s="44" t="str">
        <f aca="false">IF($C181="","",IFERROR(VLOOKUP($C181,目录!$B:$C,2,0)&amp;"","⚠目录里没有"))</f>
        <v/>
      </c>
      <c r="B181" s="45" t="str">
        <f aca="false">IF($D181="","",IFERROR(MID($D181,FIND(".",$D181)+1,FIND(".",$D181,FIND(".",$D181)+1)-FIND(".",$D181)-1)&amp;"月",""))</f>
        <v/>
      </c>
      <c r="C181" s="46"/>
      <c r="D181" s="47"/>
      <c r="E181" s="47"/>
      <c r="F181" s="49"/>
      <c r="G181" s="50"/>
      <c r="H181" s="24"/>
      <c r="I181" s="24" t="str">
        <f aca="false">IF($H181="","",N($H181)*N($G181))</f>
        <v/>
      </c>
      <c r="J181" s="25" t="str">
        <f aca="false">IF($H181="","",N($H181)-N($I181))</f>
        <v/>
      </c>
      <c r="K181" s="25"/>
      <c r="L181" s="25" t="str">
        <f aca="false">IF($A181="","",SUMIF($A$4:$A181,$A181,$J$4:$J181)-SUMIF($A$4:$A181,$A181,$K$4:$K181))</f>
        <v/>
      </c>
      <c r="M181" s="26" t="str">
        <f aca="false">IF($H181="","",N($H181))</f>
        <v/>
      </c>
      <c r="N181" s="26"/>
      <c r="O181" s="26"/>
      <c r="P181" s="26" t="str">
        <f aca="false">IF($A181="","",SUMIF($A$4:$A181,$A181,$M$4:$M181)-SUMIF($A$4:$A181,$A181,$N$4:$N181)-SUMIF($A$4:$A181,$A181,$O$4:$O181))</f>
        <v/>
      </c>
      <c r="Q181" s="27"/>
      <c r="R181" s="28"/>
      <c r="S181" s="28"/>
      <c r="T181" s="28" t="str">
        <f aca="false">IF($A181="","",SUMIF($A$4:$A181,$A181,$Q$4:$Q181)-SUMIF($A$4:$A181,$A181,$R$4:$R181)-SUMIF($A$4:$A181,$A181,$S$4:$S181))</f>
        <v/>
      </c>
      <c r="U181" s="28"/>
      <c r="V181" s="29" t="str">
        <f aca="false">IF(AND($C181="",COUNTA($D181:$H181,$K181,$N181:$O181,$Q181:$S181,$U181)=0),"",IF($C181="","⚠ 没填项目名称",IF($A181="⚠目录里没有","⚠ 项目名称在目录里找不到（先加到目录）",IF($A181="","⚠ 目录里这个项目没填简称",IF(ISTEXT($G181)+ISTEXT($H181)+ISTEXT($K181)+ISTEXT($N181)+ISTEXT($O181)+ISTEXT($Q181)+ISTEXT($R181)+ISTEXT($S181)&gt;0,"⚠ 金额列里有文字，算不进合计",IF(N($G181)&gt;=1,"⚠ 管理费点要填百分比，如 10%",IF(AND($D181&lt;&gt;"",$B181=""),"△ 摘要开头没写日期（如 2026.9.21），月份取不到",IF(AND(N($H181)&lt;&gt;0,COUNTIFS($A$4:$A$1003,$A181,$H$4:$H$1003,$H181,$D$4:$D$1003,LEFT($D181,9)&amp;"*")&gt;1),"△ 同一天同项目有一样的销售金额，看看是不是录重了","✓"))))))))</f>
        <v/>
      </c>
      <c r="W181" s="8" t="str">
        <f aca="false">IF($A181="","",$A181&amp;"#"&amp;COUNTIF($A$4:$A181,$A181))</f>
        <v/>
      </c>
    </row>
    <row r="182" customFormat="false" ht="16.5" hidden="false" customHeight="false" outlineLevel="0" collapsed="false">
      <c r="A182" s="44" t="str">
        <f aca="false">IF($C182="","",IFERROR(VLOOKUP($C182,目录!$B:$C,2,0)&amp;"","⚠目录里没有"))</f>
        <v/>
      </c>
      <c r="B182" s="45" t="str">
        <f aca="false">IF($D182="","",IFERROR(MID($D182,FIND(".",$D182)+1,FIND(".",$D182,FIND(".",$D182)+1)-FIND(".",$D182)-1)&amp;"月",""))</f>
        <v/>
      </c>
      <c r="C182" s="46"/>
      <c r="D182" s="47"/>
      <c r="E182" s="47"/>
      <c r="F182" s="49"/>
      <c r="G182" s="50"/>
      <c r="H182" s="24"/>
      <c r="I182" s="24" t="str">
        <f aca="false">IF($H182="","",N($H182)*N($G182))</f>
        <v/>
      </c>
      <c r="J182" s="25" t="str">
        <f aca="false">IF($H182="","",N($H182)-N($I182))</f>
        <v/>
      </c>
      <c r="K182" s="25"/>
      <c r="L182" s="25" t="str">
        <f aca="false">IF($A182="","",SUMIF($A$4:$A182,$A182,$J$4:$J182)-SUMIF($A$4:$A182,$A182,$K$4:$K182))</f>
        <v/>
      </c>
      <c r="M182" s="26" t="str">
        <f aca="false">IF($H182="","",N($H182))</f>
        <v/>
      </c>
      <c r="N182" s="26"/>
      <c r="O182" s="26"/>
      <c r="P182" s="26" t="str">
        <f aca="false">IF($A182="","",SUMIF($A$4:$A182,$A182,$M$4:$M182)-SUMIF($A$4:$A182,$A182,$N$4:$N182)-SUMIF($A$4:$A182,$A182,$O$4:$O182))</f>
        <v/>
      </c>
      <c r="Q182" s="27"/>
      <c r="R182" s="28"/>
      <c r="S182" s="28"/>
      <c r="T182" s="28" t="str">
        <f aca="false">IF($A182="","",SUMIF($A$4:$A182,$A182,$Q$4:$Q182)-SUMIF($A$4:$A182,$A182,$R$4:$R182)-SUMIF($A$4:$A182,$A182,$S$4:$S182))</f>
        <v/>
      </c>
      <c r="U182" s="28"/>
      <c r="V182" s="29" t="str">
        <f aca="false">IF(AND($C182="",COUNTA($D182:$H182,$K182,$N182:$O182,$Q182:$S182,$U182)=0),"",IF($C182="","⚠ 没填项目名称",IF($A182="⚠目录里没有","⚠ 项目名称在目录里找不到（先加到目录）",IF($A182="","⚠ 目录里这个项目没填简称",IF(ISTEXT($G182)+ISTEXT($H182)+ISTEXT($K182)+ISTEXT($N182)+ISTEXT($O182)+ISTEXT($Q182)+ISTEXT($R182)+ISTEXT($S182)&gt;0,"⚠ 金额列里有文字，算不进合计",IF(N($G182)&gt;=1,"⚠ 管理费点要填百分比，如 10%",IF(AND($D182&lt;&gt;"",$B182=""),"△ 摘要开头没写日期（如 2026.9.21），月份取不到",IF(AND(N($H182)&lt;&gt;0,COUNTIFS($A$4:$A$1003,$A182,$H$4:$H$1003,$H182,$D$4:$D$1003,LEFT($D182,9)&amp;"*")&gt;1),"△ 同一天同项目有一样的销售金额，看看是不是录重了","✓"))))))))</f>
        <v/>
      </c>
      <c r="W182" s="8" t="str">
        <f aca="false">IF($A182="","",$A182&amp;"#"&amp;COUNTIF($A$4:$A182,$A182))</f>
        <v/>
      </c>
    </row>
    <row r="183" customFormat="false" ht="16.5" hidden="false" customHeight="false" outlineLevel="0" collapsed="false">
      <c r="A183" s="44" t="str">
        <f aca="false">IF($C183="","",IFERROR(VLOOKUP($C183,目录!$B:$C,2,0)&amp;"","⚠目录里没有"))</f>
        <v/>
      </c>
      <c r="B183" s="45" t="str">
        <f aca="false">IF($D183="","",IFERROR(MID($D183,FIND(".",$D183)+1,FIND(".",$D183,FIND(".",$D183)+1)-FIND(".",$D183)-1)&amp;"月",""))</f>
        <v/>
      </c>
      <c r="C183" s="46"/>
      <c r="D183" s="47"/>
      <c r="E183" s="47"/>
      <c r="F183" s="49"/>
      <c r="G183" s="50"/>
      <c r="H183" s="24"/>
      <c r="I183" s="24" t="str">
        <f aca="false">IF($H183="","",N($H183)*N($G183))</f>
        <v/>
      </c>
      <c r="J183" s="25" t="str">
        <f aca="false">IF($H183="","",N($H183)-N($I183))</f>
        <v/>
      </c>
      <c r="K183" s="25"/>
      <c r="L183" s="25" t="str">
        <f aca="false">IF($A183="","",SUMIF($A$4:$A183,$A183,$J$4:$J183)-SUMIF($A$4:$A183,$A183,$K$4:$K183))</f>
        <v/>
      </c>
      <c r="M183" s="26" t="str">
        <f aca="false">IF($H183="","",N($H183))</f>
        <v/>
      </c>
      <c r="N183" s="26"/>
      <c r="O183" s="26"/>
      <c r="P183" s="26" t="str">
        <f aca="false">IF($A183="","",SUMIF($A$4:$A183,$A183,$M$4:$M183)-SUMIF($A$4:$A183,$A183,$N$4:$N183)-SUMIF($A$4:$A183,$A183,$O$4:$O183))</f>
        <v/>
      </c>
      <c r="Q183" s="27"/>
      <c r="R183" s="28"/>
      <c r="S183" s="28"/>
      <c r="T183" s="28" t="str">
        <f aca="false">IF($A183="","",SUMIF($A$4:$A183,$A183,$Q$4:$Q183)-SUMIF($A$4:$A183,$A183,$R$4:$R183)-SUMIF($A$4:$A183,$A183,$S$4:$S183))</f>
        <v/>
      </c>
      <c r="U183" s="28"/>
      <c r="V183" s="29" t="str">
        <f aca="false">IF(AND($C183="",COUNTA($D183:$H183,$K183,$N183:$O183,$Q183:$S183,$U183)=0),"",IF($C183="","⚠ 没填项目名称",IF($A183="⚠目录里没有","⚠ 项目名称在目录里找不到（先加到目录）",IF($A183="","⚠ 目录里这个项目没填简称",IF(ISTEXT($G183)+ISTEXT($H183)+ISTEXT($K183)+ISTEXT($N183)+ISTEXT($O183)+ISTEXT($Q183)+ISTEXT($R183)+ISTEXT($S183)&gt;0,"⚠ 金额列里有文字，算不进合计",IF(N($G183)&gt;=1,"⚠ 管理费点要填百分比，如 10%",IF(AND($D183&lt;&gt;"",$B183=""),"△ 摘要开头没写日期（如 2026.9.21），月份取不到",IF(AND(N($H183)&lt;&gt;0,COUNTIFS($A$4:$A$1003,$A183,$H$4:$H$1003,$H183,$D$4:$D$1003,LEFT($D183,9)&amp;"*")&gt;1),"△ 同一天同项目有一样的销售金额，看看是不是录重了","✓"))))))))</f>
        <v/>
      </c>
      <c r="W183" s="8" t="str">
        <f aca="false">IF($A183="","",$A183&amp;"#"&amp;COUNTIF($A$4:$A183,$A183))</f>
        <v/>
      </c>
    </row>
    <row r="184" customFormat="false" ht="16.5" hidden="false" customHeight="false" outlineLevel="0" collapsed="false">
      <c r="A184" s="44" t="str">
        <f aca="false">IF($C184="","",IFERROR(VLOOKUP($C184,目录!$B:$C,2,0)&amp;"","⚠目录里没有"))</f>
        <v/>
      </c>
      <c r="B184" s="45" t="str">
        <f aca="false">IF($D184="","",IFERROR(MID($D184,FIND(".",$D184)+1,FIND(".",$D184,FIND(".",$D184)+1)-FIND(".",$D184)-1)&amp;"月",""))</f>
        <v/>
      </c>
      <c r="C184" s="46"/>
      <c r="D184" s="47"/>
      <c r="E184" s="47"/>
      <c r="F184" s="49"/>
      <c r="G184" s="50"/>
      <c r="H184" s="24"/>
      <c r="I184" s="24" t="str">
        <f aca="false">IF($H184="","",N($H184)*N($G184))</f>
        <v/>
      </c>
      <c r="J184" s="25" t="str">
        <f aca="false">IF($H184="","",N($H184)-N($I184))</f>
        <v/>
      </c>
      <c r="K184" s="25"/>
      <c r="L184" s="25" t="str">
        <f aca="false">IF($A184="","",SUMIF($A$4:$A184,$A184,$J$4:$J184)-SUMIF($A$4:$A184,$A184,$K$4:$K184))</f>
        <v/>
      </c>
      <c r="M184" s="26" t="str">
        <f aca="false">IF($H184="","",N($H184))</f>
        <v/>
      </c>
      <c r="N184" s="26"/>
      <c r="O184" s="26"/>
      <c r="P184" s="26" t="str">
        <f aca="false">IF($A184="","",SUMIF($A$4:$A184,$A184,$M$4:$M184)-SUMIF($A$4:$A184,$A184,$N$4:$N184)-SUMIF($A$4:$A184,$A184,$O$4:$O184))</f>
        <v/>
      </c>
      <c r="Q184" s="27"/>
      <c r="R184" s="28"/>
      <c r="S184" s="28"/>
      <c r="T184" s="28" t="str">
        <f aca="false">IF($A184="","",SUMIF($A$4:$A184,$A184,$Q$4:$Q184)-SUMIF($A$4:$A184,$A184,$R$4:$R184)-SUMIF($A$4:$A184,$A184,$S$4:$S184))</f>
        <v/>
      </c>
      <c r="U184" s="28"/>
      <c r="V184" s="29" t="str">
        <f aca="false">IF(AND($C184="",COUNTA($D184:$H184,$K184,$N184:$O184,$Q184:$S184,$U184)=0),"",IF($C184="","⚠ 没填项目名称",IF($A184="⚠目录里没有","⚠ 项目名称在目录里找不到（先加到目录）",IF($A184="","⚠ 目录里这个项目没填简称",IF(ISTEXT($G184)+ISTEXT($H184)+ISTEXT($K184)+ISTEXT($N184)+ISTEXT($O184)+ISTEXT($Q184)+ISTEXT($R184)+ISTEXT($S184)&gt;0,"⚠ 金额列里有文字，算不进合计",IF(N($G184)&gt;=1,"⚠ 管理费点要填百分比，如 10%",IF(AND($D184&lt;&gt;"",$B184=""),"△ 摘要开头没写日期（如 2026.9.21），月份取不到",IF(AND(N($H184)&lt;&gt;0,COUNTIFS($A$4:$A$1003,$A184,$H$4:$H$1003,$H184,$D$4:$D$1003,LEFT($D184,9)&amp;"*")&gt;1),"△ 同一天同项目有一样的销售金额，看看是不是录重了","✓"))))))))</f>
        <v/>
      </c>
      <c r="W184" s="8" t="str">
        <f aca="false">IF($A184="","",$A184&amp;"#"&amp;COUNTIF($A$4:$A184,$A184))</f>
        <v/>
      </c>
    </row>
    <row r="185" customFormat="false" ht="16.5" hidden="false" customHeight="false" outlineLevel="0" collapsed="false">
      <c r="A185" s="44" t="str">
        <f aca="false">IF($C185="","",IFERROR(VLOOKUP($C185,目录!$B:$C,2,0)&amp;"","⚠目录里没有"))</f>
        <v/>
      </c>
      <c r="B185" s="45" t="str">
        <f aca="false">IF($D185="","",IFERROR(MID($D185,FIND(".",$D185)+1,FIND(".",$D185,FIND(".",$D185)+1)-FIND(".",$D185)-1)&amp;"月",""))</f>
        <v/>
      </c>
      <c r="C185" s="46"/>
      <c r="D185" s="47"/>
      <c r="E185" s="47"/>
      <c r="F185" s="49"/>
      <c r="G185" s="50"/>
      <c r="H185" s="24"/>
      <c r="I185" s="24" t="str">
        <f aca="false">IF($H185="","",N($H185)*N($G185))</f>
        <v/>
      </c>
      <c r="J185" s="25" t="str">
        <f aca="false">IF($H185="","",N($H185)-N($I185))</f>
        <v/>
      </c>
      <c r="K185" s="25"/>
      <c r="L185" s="25" t="str">
        <f aca="false">IF($A185="","",SUMIF($A$4:$A185,$A185,$J$4:$J185)-SUMIF($A$4:$A185,$A185,$K$4:$K185))</f>
        <v/>
      </c>
      <c r="M185" s="26" t="str">
        <f aca="false">IF($H185="","",N($H185))</f>
        <v/>
      </c>
      <c r="N185" s="26"/>
      <c r="O185" s="26"/>
      <c r="P185" s="26" t="str">
        <f aca="false">IF($A185="","",SUMIF($A$4:$A185,$A185,$M$4:$M185)-SUMIF($A$4:$A185,$A185,$N$4:$N185)-SUMIF($A$4:$A185,$A185,$O$4:$O185))</f>
        <v/>
      </c>
      <c r="Q185" s="27"/>
      <c r="R185" s="28"/>
      <c r="S185" s="28"/>
      <c r="T185" s="28" t="str">
        <f aca="false">IF($A185="","",SUMIF($A$4:$A185,$A185,$Q$4:$Q185)-SUMIF($A$4:$A185,$A185,$R$4:$R185)-SUMIF($A$4:$A185,$A185,$S$4:$S185))</f>
        <v/>
      </c>
      <c r="U185" s="28"/>
      <c r="V185" s="29" t="str">
        <f aca="false">IF(AND($C185="",COUNTA($D185:$H185,$K185,$N185:$O185,$Q185:$S185,$U185)=0),"",IF($C185="","⚠ 没填项目名称",IF($A185="⚠目录里没有","⚠ 项目名称在目录里找不到（先加到目录）",IF($A185="","⚠ 目录里这个项目没填简称",IF(ISTEXT($G185)+ISTEXT($H185)+ISTEXT($K185)+ISTEXT($N185)+ISTEXT($O185)+ISTEXT($Q185)+ISTEXT($R185)+ISTEXT($S185)&gt;0,"⚠ 金额列里有文字，算不进合计",IF(N($G185)&gt;=1,"⚠ 管理费点要填百分比，如 10%",IF(AND($D185&lt;&gt;"",$B185=""),"△ 摘要开头没写日期（如 2026.9.21），月份取不到",IF(AND(N($H185)&lt;&gt;0,COUNTIFS($A$4:$A$1003,$A185,$H$4:$H$1003,$H185,$D$4:$D$1003,LEFT($D185,9)&amp;"*")&gt;1),"△ 同一天同项目有一样的销售金额，看看是不是录重了","✓"))))))))</f>
        <v/>
      </c>
      <c r="W185" s="8" t="str">
        <f aca="false">IF($A185="","",$A185&amp;"#"&amp;COUNTIF($A$4:$A185,$A185))</f>
        <v/>
      </c>
    </row>
    <row r="186" customFormat="false" ht="16.5" hidden="false" customHeight="false" outlineLevel="0" collapsed="false">
      <c r="A186" s="44" t="str">
        <f aca="false">IF($C186="","",IFERROR(VLOOKUP($C186,目录!$B:$C,2,0)&amp;"","⚠目录里没有"))</f>
        <v/>
      </c>
      <c r="B186" s="45" t="str">
        <f aca="false">IF($D186="","",IFERROR(MID($D186,FIND(".",$D186)+1,FIND(".",$D186,FIND(".",$D186)+1)-FIND(".",$D186)-1)&amp;"月",""))</f>
        <v/>
      </c>
      <c r="C186" s="46"/>
      <c r="D186" s="47"/>
      <c r="E186" s="47"/>
      <c r="F186" s="49"/>
      <c r="G186" s="50"/>
      <c r="H186" s="24"/>
      <c r="I186" s="24" t="str">
        <f aca="false">IF($H186="","",N($H186)*N($G186))</f>
        <v/>
      </c>
      <c r="J186" s="25" t="str">
        <f aca="false">IF($H186="","",N($H186)-N($I186))</f>
        <v/>
      </c>
      <c r="K186" s="25"/>
      <c r="L186" s="25" t="str">
        <f aca="false">IF($A186="","",SUMIF($A$4:$A186,$A186,$J$4:$J186)-SUMIF($A$4:$A186,$A186,$K$4:$K186))</f>
        <v/>
      </c>
      <c r="M186" s="26" t="str">
        <f aca="false">IF($H186="","",N($H186))</f>
        <v/>
      </c>
      <c r="N186" s="26"/>
      <c r="O186" s="26"/>
      <c r="P186" s="26" t="str">
        <f aca="false">IF($A186="","",SUMIF($A$4:$A186,$A186,$M$4:$M186)-SUMIF($A$4:$A186,$A186,$N$4:$N186)-SUMIF($A$4:$A186,$A186,$O$4:$O186))</f>
        <v/>
      </c>
      <c r="Q186" s="27"/>
      <c r="R186" s="28"/>
      <c r="S186" s="28"/>
      <c r="T186" s="28" t="str">
        <f aca="false">IF($A186="","",SUMIF($A$4:$A186,$A186,$Q$4:$Q186)-SUMIF($A$4:$A186,$A186,$R$4:$R186)-SUMIF($A$4:$A186,$A186,$S$4:$S186))</f>
        <v/>
      </c>
      <c r="U186" s="28"/>
      <c r="V186" s="29" t="str">
        <f aca="false">IF(AND($C186="",COUNTA($D186:$H186,$K186,$N186:$O186,$Q186:$S186,$U186)=0),"",IF($C186="","⚠ 没填项目名称",IF($A186="⚠目录里没有","⚠ 项目名称在目录里找不到（先加到目录）",IF($A186="","⚠ 目录里这个项目没填简称",IF(ISTEXT($G186)+ISTEXT($H186)+ISTEXT($K186)+ISTEXT($N186)+ISTEXT($O186)+ISTEXT($Q186)+ISTEXT($R186)+ISTEXT($S186)&gt;0,"⚠ 金额列里有文字，算不进合计",IF(N($G186)&gt;=1,"⚠ 管理费点要填百分比，如 10%",IF(AND($D186&lt;&gt;"",$B186=""),"△ 摘要开头没写日期（如 2026.9.21），月份取不到",IF(AND(N($H186)&lt;&gt;0,COUNTIFS($A$4:$A$1003,$A186,$H$4:$H$1003,$H186,$D$4:$D$1003,LEFT($D186,9)&amp;"*")&gt;1),"△ 同一天同项目有一样的销售金额，看看是不是录重了","✓"))))))))</f>
        <v/>
      </c>
      <c r="W186" s="8" t="str">
        <f aca="false">IF($A186="","",$A186&amp;"#"&amp;COUNTIF($A$4:$A186,$A186))</f>
        <v/>
      </c>
    </row>
    <row r="187" customFormat="false" ht="16.5" hidden="false" customHeight="false" outlineLevel="0" collapsed="false">
      <c r="A187" s="44" t="str">
        <f aca="false">IF($C187="","",IFERROR(VLOOKUP($C187,目录!$B:$C,2,0)&amp;"","⚠目录里没有"))</f>
        <v/>
      </c>
      <c r="B187" s="45" t="str">
        <f aca="false">IF($D187="","",IFERROR(MID($D187,FIND(".",$D187)+1,FIND(".",$D187,FIND(".",$D187)+1)-FIND(".",$D187)-1)&amp;"月",""))</f>
        <v/>
      </c>
      <c r="C187" s="46"/>
      <c r="D187" s="47"/>
      <c r="E187" s="47"/>
      <c r="F187" s="49"/>
      <c r="G187" s="50"/>
      <c r="H187" s="24"/>
      <c r="I187" s="24" t="str">
        <f aca="false">IF($H187="","",N($H187)*N($G187))</f>
        <v/>
      </c>
      <c r="J187" s="25" t="str">
        <f aca="false">IF($H187="","",N($H187)-N($I187))</f>
        <v/>
      </c>
      <c r="K187" s="25"/>
      <c r="L187" s="25" t="str">
        <f aca="false">IF($A187="","",SUMIF($A$4:$A187,$A187,$J$4:$J187)-SUMIF($A$4:$A187,$A187,$K$4:$K187))</f>
        <v/>
      </c>
      <c r="M187" s="26" t="str">
        <f aca="false">IF($H187="","",N($H187))</f>
        <v/>
      </c>
      <c r="N187" s="26"/>
      <c r="O187" s="26"/>
      <c r="P187" s="26" t="str">
        <f aca="false">IF($A187="","",SUMIF($A$4:$A187,$A187,$M$4:$M187)-SUMIF($A$4:$A187,$A187,$N$4:$N187)-SUMIF($A$4:$A187,$A187,$O$4:$O187))</f>
        <v/>
      </c>
      <c r="Q187" s="27"/>
      <c r="R187" s="28"/>
      <c r="S187" s="28"/>
      <c r="T187" s="28" t="str">
        <f aca="false">IF($A187="","",SUMIF($A$4:$A187,$A187,$Q$4:$Q187)-SUMIF($A$4:$A187,$A187,$R$4:$R187)-SUMIF($A$4:$A187,$A187,$S$4:$S187))</f>
        <v/>
      </c>
      <c r="U187" s="28"/>
      <c r="V187" s="29" t="str">
        <f aca="false">IF(AND($C187="",COUNTA($D187:$H187,$K187,$N187:$O187,$Q187:$S187,$U187)=0),"",IF($C187="","⚠ 没填项目名称",IF($A187="⚠目录里没有","⚠ 项目名称在目录里找不到（先加到目录）",IF($A187="","⚠ 目录里这个项目没填简称",IF(ISTEXT($G187)+ISTEXT($H187)+ISTEXT($K187)+ISTEXT($N187)+ISTEXT($O187)+ISTEXT($Q187)+ISTEXT($R187)+ISTEXT($S187)&gt;0,"⚠ 金额列里有文字，算不进合计",IF(N($G187)&gt;=1,"⚠ 管理费点要填百分比，如 10%",IF(AND($D187&lt;&gt;"",$B187=""),"△ 摘要开头没写日期（如 2026.9.21），月份取不到",IF(AND(N($H187)&lt;&gt;0,COUNTIFS($A$4:$A$1003,$A187,$H$4:$H$1003,$H187,$D$4:$D$1003,LEFT($D187,9)&amp;"*")&gt;1),"△ 同一天同项目有一样的销售金额，看看是不是录重了","✓"))))))))</f>
        <v/>
      </c>
      <c r="W187" s="8" t="str">
        <f aca="false">IF($A187="","",$A187&amp;"#"&amp;COUNTIF($A$4:$A187,$A187))</f>
        <v/>
      </c>
    </row>
    <row r="188" customFormat="false" ht="16.5" hidden="false" customHeight="false" outlineLevel="0" collapsed="false">
      <c r="A188" s="44" t="str">
        <f aca="false">IF($C188="","",IFERROR(VLOOKUP($C188,目录!$B:$C,2,0)&amp;"","⚠目录里没有"))</f>
        <v/>
      </c>
      <c r="B188" s="45" t="str">
        <f aca="false">IF($D188="","",IFERROR(MID($D188,FIND(".",$D188)+1,FIND(".",$D188,FIND(".",$D188)+1)-FIND(".",$D188)-1)&amp;"月",""))</f>
        <v/>
      </c>
      <c r="C188" s="46"/>
      <c r="D188" s="47"/>
      <c r="E188" s="47"/>
      <c r="F188" s="49"/>
      <c r="G188" s="50"/>
      <c r="H188" s="24"/>
      <c r="I188" s="24" t="str">
        <f aca="false">IF($H188="","",N($H188)*N($G188))</f>
        <v/>
      </c>
      <c r="J188" s="25" t="str">
        <f aca="false">IF($H188="","",N($H188)-N($I188))</f>
        <v/>
      </c>
      <c r="K188" s="25"/>
      <c r="L188" s="25" t="str">
        <f aca="false">IF($A188="","",SUMIF($A$4:$A188,$A188,$J$4:$J188)-SUMIF($A$4:$A188,$A188,$K$4:$K188))</f>
        <v/>
      </c>
      <c r="M188" s="26" t="str">
        <f aca="false">IF($H188="","",N($H188))</f>
        <v/>
      </c>
      <c r="N188" s="26"/>
      <c r="O188" s="26"/>
      <c r="P188" s="26" t="str">
        <f aca="false">IF($A188="","",SUMIF($A$4:$A188,$A188,$M$4:$M188)-SUMIF($A$4:$A188,$A188,$N$4:$N188)-SUMIF($A$4:$A188,$A188,$O$4:$O188))</f>
        <v/>
      </c>
      <c r="Q188" s="27"/>
      <c r="R188" s="28"/>
      <c r="S188" s="28"/>
      <c r="T188" s="28" t="str">
        <f aca="false">IF($A188="","",SUMIF($A$4:$A188,$A188,$Q$4:$Q188)-SUMIF($A$4:$A188,$A188,$R$4:$R188)-SUMIF($A$4:$A188,$A188,$S$4:$S188))</f>
        <v/>
      </c>
      <c r="U188" s="28"/>
      <c r="V188" s="29" t="str">
        <f aca="false">IF(AND($C188="",COUNTA($D188:$H188,$K188,$N188:$O188,$Q188:$S188,$U188)=0),"",IF($C188="","⚠ 没填项目名称",IF($A188="⚠目录里没有","⚠ 项目名称在目录里找不到（先加到目录）",IF($A188="","⚠ 目录里这个项目没填简称",IF(ISTEXT($G188)+ISTEXT($H188)+ISTEXT($K188)+ISTEXT($N188)+ISTEXT($O188)+ISTEXT($Q188)+ISTEXT($R188)+ISTEXT($S188)&gt;0,"⚠ 金额列里有文字，算不进合计",IF(N($G188)&gt;=1,"⚠ 管理费点要填百分比，如 10%",IF(AND($D188&lt;&gt;"",$B188=""),"△ 摘要开头没写日期（如 2026.9.21），月份取不到",IF(AND(N($H188)&lt;&gt;0,COUNTIFS($A$4:$A$1003,$A188,$H$4:$H$1003,$H188,$D$4:$D$1003,LEFT($D188,9)&amp;"*")&gt;1),"△ 同一天同项目有一样的销售金额，看看是不是录重了","✓"))))))))</f>
        <v/>
      </c>
      <c r="W188" s="8" t="str">
        <f aca="false">IF($A188="","",$A188&amp;"#"&amp;COUNTIF($A$4:$A188,$A188))</f>
        <v/>
      </c>
    </row>
    <row r="189" customFormat="false" ht="16.5" hidden="false" customHeight="false" outlineLevel="0" collapsed="false">
      <c r="A189" s="44" t="str">
        <f aca="false">IF($C189="","",IFERROR(VLOOKUP($C189,目录!$B:$C,2,0)&amp;"","⚠目录里没有"))</f>
        <v/>
      </c>
      <c r="B189" s="45" t="str">
        <f aca="false">IF($D189="","",IFERROR(MID($D189,FIND(".",$D189)+1,FIND(".",$D189,FIND(".",$D189)+1)-FIND(".",$D189)-1)&amp;"月",""))</f>
        <v/>
      </c>
      <c r="C189" s="46"/>
      <c r="D189" s="47"/>
      <c r="E189" s="47"/>
      <c r="F189" s="49"/>
      <c r="G189" s="50"/>
      <c r="H189" s="24"/>
      <c r="I189" s="24" t="str">
        <f aca="false">IF($H189="","",N($H189)*N($G189))</f>
        <v/>
      </c>
      <c r="J189" s="25" t="str">
        <f aca="false">IF($H189="","",N($H189)-N($I189))</f>
        <v/>
      </c>
      <c r="K189" s="25"/>
      <c r="L189" s="25" t="str">
        <f aca="false">IF($A189="","",SUMIF($A$4:$A189,$A189,$J$4:$J189)-SUMIF($A$4:$A189,$A189,$K$4:$K189))</f>
        <v/>
      </c>
      <c r="M189" s="26" t="str">
        <f aca="false">IF($H189="","",N($H189))</f>
        <v/>
      </c>
      <c r="N189" s="26"/>
      <c r="O189" s="26"/>
      <c r="P189" s="26" t="str">
        <f aca="false">IF($A189="","",SUMIF($A$4:$A189,$A189,$M$4:$M189)-SUMIF($A$4:$A189,$A189,$N$4:$N189)-SUMIF($A$4:$A189,$A189,$O$4:$O189))</f>
        <v/>
      </c>
      <c r="Q189" s="27"/>
      <c r="R189" s="28"/>
      <c r="S189" s="28"/>
      <c r="T189" s="28" t="str">
        <f aca="false">IF($A189="","",SUMIF($A$4:$A189,$A189,$Q$4:$Q189)-SUMIF($A$4:$A189,$A189,$R$4:$R189)-SUMIF($A$4:$A189,$A189,$S$4:$S189))</f>
        <v/>
      </c>
      <c r="U189" s="28"/>
      <c r="V189" s="29" t="str">
        <f aca="false">IF(AND($C189="",COUNTA($D189:$H189,$K189,$N189:$O189,$Q189:$S189,$U189)=0),"",IF($C189="","⚠ 没填项目名称",IF($A189="⚠目录里没有","⚠ 项目名称在目录里找不到（先加到目录）",IF($A189="","⚠ 目录里这个项目没填简称",IF(ISTEXT($G189)+ISTEXT($H189)+ISTEXT($K189)+ISTEXT($N189)+ISTEXT($O189)+ISTEXT($Q189)+ISTEXT($R189)+ISTEXT($S189)&gt;0,"⚠ 金额列里有文字，算不进合计",IF(N($G189)&gt;=1,"⚠ 管理费点要填百分比，如 10%",IF(AND($D189&lt;&gt;"",$B189=""),"△ 摘要开头没写日期（如 2026.9.21），月份取不到",IF(AND(N($H189)&lt;&gt;0,COUNTIFS($A$4:$A$1003,$A189,$H$4:$H$1003,$H189,$D$4:$D$1003,LEFT($D189,9)&amp;"*")&gt;1),"△ 同一天同项目有一样的销售金额，看看是不是录重了","✓"))))))))</f>
        <v/>
      </c>
      <c r="W189" s="8" t="str">
        <f aca="false">IF($A189="","",$A189&amp;"#"&amp;COUNTIF($A$4:$A189,$A189))</f>
        <v/>
      </c>
    </row>
    <row r="190" customFormat="false" ht="16.5" hidden="false" customHeight="false" outlineLevel="0" collapsed="false">
      <c r="A190" s="44" t="str">
        <f aca="false">IF($C190="","",IFERROR(VLOOKUP($C190,目录!$B:$C,2,0)&amp;"","⚠目录里没有"))</f>
        <v/>
      </c>
      <c r="B190" s="45" t="str">
        <f aca="false">IF($D190="","",IFERROR(MID($D190,FIND(".",$D190)+1,FIND(".",$D190,FIND(".",$D190)+1)-FIND(".",$D190)-1)&amp;"月",""))</f>
        <v/>
      </c>
      <c r="C190" s="46"/>
      <c r="D190" s="47"/>
      <c r="E190" s="47"/>
      <c r="F190" s="49"/>
      <c r="G190" s="50"/>
      <c r="H190" s="24"/>
      <c r="I190" s="24" t="str">
        <f aca="false">IF($H190="","",N($H190)*N($G190))</f>
        <v/>
      </c>
      <c r="J190" s="25" t="str">
        <f aca="false">IF($H190="","",N($H190)-N($I190))</f>
        <v/>
      </c>
      <c r="K190" s="25"/>
      <c r="L190" s="25" t="str">
        <f aca="false">IF($A190="","",SUMIF($A$4:$A190,$A190,$J$4:$J190)-SUMIF($A$4:$A190,$A190,$K$4:$K190))</f>
        <v/>
      </c>
      <c r="M190" s="26" t="str">
        <f aca="false">IF($H190="","",N($H190))</f>
        <v/>
      </c>
      <c r="N190" s="26"/>
      <c r="O190" s="26"/>
      <c r="P190" s="26" t="str">
        <f aca="false">IF($A190="","",SUMIF($A$4:$A190,$A190,$M$4:$M190)-SUMIF($A$4:$A190,$A190,$N$4:$N190)-SUMIF($A$4:$A190,$A190,$O$4:$O190))</f>
        <v/>
      </c>
      <c r="Q190" s="27"/>
      <c r="R190" s="28"/>
      <c r="S190" s="28"/>
      <c r="T190" s="28" t="str">
        <f aca="false">IF($A190="","",SUMIF($A$4:$A190,$A190,$Q$4:$Q190)-SUMIF($A$4:$A190,$A190,$R$4:$R190)-SUMIF($A$4:$A190,$A190,$S$4:$S190))</f>
        <v/>
      </c>
      <c r="U190" s="28"/>
      <c r="V190" s="29" t="str">
        <f aca="false">IF(AND($C190="",COUNTA($D190:$H190,$K190,$N190:$O190,$Q190:$S190,$U190)=0),"",IF($C190="","⚠ 没填项目名称",IF($A190="⚠目录里没有","⚠ 项目名称在目录里找不到（先加到目录）",IF($A190="","⚠ 目录里这个项目没填简称",IF(ISTEXT($G190)+ISTEXT($H190)+ISTEXT($K190)+ISTEXT($N190)+ISTEXT($O190)+ISTEXT($Q190)+ISTEXT($R190)+ISTEXT($S190)&gt;0,"⚠ 金额列里有文字，算不进合计",IF(N($G190)&gt;=1,"⚠ 管理费点要填百分比，如 10%",IF(AND($D190&lt;&gt;"",$B190=""),"△ 摘要开头没写日期（如 2026.9.21），月份取不到",IF(AND(N($H190)&lt;&gt;0,COUNTIFS($A$4:$A$1003,$A190,$H$4:$H$1003,$H190,$D$4:$D$1003,LEFT($D190,9)&amp;"*")&gt;1),"△ 同一天同项目有一样的销售金额，看看是不是录重了","✓"))))))))</f>
        <v/>
      </c>
      <c r="W190" s="8" t="str">
        <f aca="false">IF($A190="","",$A190&amp;"#"&amp;COUNTIF($A$4:$A190,$A190))</f>
        <v/>
      </c>
    </row>
    <row r="191" customFormat="false" ht="16.5" hidden="false" customHeight="false" outlineLevel="0" collapsed="false">
      <c r="A191" s="44" t="str">
        <f aca="false">IF($C191="","",IFERROR(VLOOKUP($C191,目录!$B:$C,2,0)&amp;"","⚠目录里没有"))</f>
        <v/>
      </c>
      <c r="B191" s="45" t="str">
        <f aca="false">IF($D191="","",IFERROR(MID($D191,FIND(".",$D191)+1,FIND(".",$D191,FIND(".",$D191)+1)-FIND(".",$D191)-1)&amp;"月",""))</f>
        <v/>
      </c>
      <c r="C191" s="46"/>
      <c r="D191" s="47"/>
      <c r="E191" s="47"/>
      <c r="F191" s="49"/>
      <c r="G191" s="50"/>
      <c r="H191" s="24"/>
      <c r="I191" s="24" t="str">
        <f aca="false">IF($H191="","",N($H191)*N($G191))</f>
        <v/>
      </c>
      <c r="J191" s="25" t="str">
        <f aca="false">IF($H191="","",N($H191)-N($I191))</f>
        <v/>
      </c>
      <c r="K191" s="25"/>
      <c r="L191" s="25" t="str">
        <f aca="false">IF($A191="","",SUMIF($A$4:$A191,$A191,$J$4:$J191)-SUMIF($A$4:$A191,$A191,$K$4:$K191))</f>
        <v/>
      </c>
      <c r="M191" s="26" t="str">
        <f aca="false">IF($H191="","",N($H191))</f>
        <v/>
      </c>
      <c r="N191" s="26"/>
      <c r="O191" s="26"/>
      <c r="P191" s="26" t="str">
        <f aca="false">IF($A191="","",SUMIF($A$4:$A191,$A191,$M$4:$M191)-SUMIF($A$4:$A191,$A191,$N$4:$N191)-SUMIF($A$4:$A191,$A191,$O$4:$O191))</f>
        <v/>
      </c>
      <c r="Q191" s="27"/>
      <c r="R191" s="28"/>
      <c r="S191" s="28"/>
      <c r="T191" s="28" t="str">
        <f aca="false">IF($A191="","",SUMIF($A$4:$A191,$A191,$Q$4:$Q191)-SUMIF($A$4:$A191,$A191,$R$4:$R191)-SUMIF($A$4:$A191,$A191,$S$4:$S191))</f>
        <v/>
      </c>
      <c r="U191" s="28"/>
      <c r="V191" s="29" t="str">
        <f aca="false">IF(AND($C191="",COUNTA($D191:$H191,$K191,$N191:$O191,$Q191:$S191,$U191)=0),"",IF($C191="","⚠ 没填项目名称",IF($A191="⚠目录里没有","⚠ 项目名称在目录里找不到（先加到目录）",IF($A191="","⚠ 目录里这个项目没填简称",IF(ISTEXT($G191)+ISTEXT($H191)+ISTEXT($K191)+ISTEXT($N191)+ISTEXT($O191)+ISTEXT($Q191)+ISTEXT($R191)+ISTEXT($S191)&gt;0,"⚠ 金额列里有文字，算不进合计",IF(N($G191)&gt;=1,"⚠ 管理费点要填百分比，如 10%",IF(AND($D191&lt;&gt;"",$B191=""),"△ 摘要开头没写日期（如 2026.9.21），月份取不到",IF(AND(N($H191)&lt;&gt;0,COUNTIFS($A$4:$A$1003,$A191,$H$4:$H$1003,$H191,$D$4:$D$1003,LEFT($D191,9)&amp;"*")&gt;1),"△ 同一天同项目有一样的销售金额，看看是不是录重了","✓"))))))))</f>
        <v/>
      </c>
      <c r="W191" s="8" t="str">
        <f aca="false">IF($A191="","",$A191&amp;"#"&amp;COUNTIF($A$4:$A191,$A191))</f>
        <v/>
      </c>
    </row>
    <row r="192" customFormat="false" ht="16.5" hidden="false" customHeight="false" outlineLevel="0" collapsed="false">
      <c r="A192" s="44" t="str">
        <f aca="false">IF($C192="","",IFERROR(VLOOKUP($C192,目录!$B:$C,2,0)&amp;"","⚠目录里没有"))</f>
        <v/>
      </c>
      <c r="B192" s="45" t="str">
        <f aca="false">IF($D192="","",IFERROR(MID($D192,FIND(".",$D192)+1,FIND(".",$D192,FIND(".",$D192)+1)-FIND(".",$D192)-1)&amp;"月",""))</f>
        <v/>
      </c>
      <c r="C192" s="46"/>
      <c r="D192" s="47"/>
      <c r="E192" s="47"/>
      <c r="F192" s="49"/>
      <c r="G192" s="50"/>
      <c r="H192" s="24"/>
      <c r="I192" s="24" t="str">
        <f aca="false">IF($H192="","",N($H192)*N($G192))</f>
        <v/>
      </c>
      <c r="J192" s="25" t="str">
        <f aca="false">IF($H192="","",N($H192)-N($I192))</f>
        <v/>
      </c>
      <c r="K192" s="25"/>
      <c r="L192" s="25" t="str">
        <f aca="false">IF($A192="","",SUMIF($A$4:$A192,$A192,$J$4:$J192)-SUMIF($A$4:$A192,$A192,$K$4:$K192))</f>
        <v/>
      </c>
      <c r="M192" s="26" t="str">
        <f aca="false">IF($H192="","",N($H192))</f>
        <v/>
      </c>
      <c r="N192" s="26"/>
      <c r="O192" s="26"/>
      <c r="P192" s="26" t="str">
        <f aca="false">IF($A192="","",SUMIF($A$4:$A192,$A192,$M$4:$M192)-SUMIF($A$4:$A192,$A192,$N$4:$N192)-SUMIF($A$4:$A192,$A192,$O$4:$O192))</f>
        <v/>
      </c>
      <c r="Q192" s="27"/>
      <c r="R192" s="28"/>
      <c r="S192" s="28"/>
      <c r="T192" s="28" t="str">
        <f aca="false">IF($A192="","",SUMIF($A$4:$A192,$A192,$Q$4:$Q192)-SUMIF($A$4:$A192,$A192,$R$4:$R192)-SUMIF($A$4:$A192,$A192,$S$4:$S192))</f>
        <v/>
      </c>
      <c r="U192" s="28"/>
      <c r="V192" s="29" t="str">
        <f aca="false">IF(AND($C192="",COUNTA($D192:$H192,$K192,$N192:$O192,$Q192:$S192,$U192)=0),"",IF($C192="","⚠ 没填项目名称",IF($A192="⚠目录里没有","⚠ 项目名称在目录里找不到（先加到目录）",IF($A192="","⚠ 目录里这个项目没填简称",IF(ISTEXT($G192)+ISTEXT($H192)+ISTEXT($K192)+ISTEXT($N192)+ISTEXT($O192)+ISTEXT($Q192)+ISTEXT($R192)+ISTEXT($S192)&gt;0,"⚠ 金额列里有文字，算不进合计",IF(N($G192)&gt;=1,"⚠ 管理费点要填百分比，如 10%",IF(AND($D192&lt;&gt;"",$B192=""),"△ 摘要开头没写日期（如 2026.9.21），月份取不到",IF(AND(N($H192)&lt;&gt;0,COUNTIFS($A$4:$A$1003,$A192,$H$4:$H$1003,$H192,$D$4:$D$1003,LEFT($D192,9)&amp;"*")&gt;1),"△ 同一天同项目有一样的销售金额，看看是不是录重了","✓"))))))))</f>
        <v/>
      </c>
      <c r="W192" s="8" t="str">
        <f aca="false">IF($A192="","",$A192&amp;"#"&amp;COUNTIF($A$4:$A192,$A192))</f>
        <v/>
      </c>
    </row>
    <row r="193" customFormat="false" ht="16.5" hidden="false" customHeight="false" outlineLevel="0" collapsed="false">
      <c r="A193" s="44" t="str">
        <f aca="false">IF($C193="","",IFERROR(VLOOKUP($C193,目录!$B:$C,2,0)&amp;"","⚠目录里没有"))</f>
        <v/>
      </c>
      <c r="B193" s="45" t="str">
        <f aca="false">IF($D193="","",IFERROR(MID($D193,FIND(".",$D193)+1,FIND(".",$D193,FIND(".",$D193)+1)-FIND(".",$D193)-1)&amp;"月",""))</f>
        <v/>
      </c>
      <c r="C193" s="46"/>
      <c r="D193" s="47"/>
      <c r="E193" s="47"/>
      <c r="F193" s="49"/>
      <c r="G193" s="50"/>
      <c r="H193" s="24"/>
      <c r="I193" s="24" t="str">
        <f aca="false">IF($H193="","",N($H193)*N($G193))</f>
        <v/>
      </c>
      <c r="J193" s="25" t="str">
        <f aca="false">IF($H193="","",N($H193)-N($I193))</f>
        <v/>
      </c>
      <c r="K193" s="25"/>
      <c r="L193" s="25" t="str">
        <f aca="false">IF($A193="","",SUMIF($A$4:$A193,$A193,$J$4:$J193)-SUMIF($A$4:$A193,$A193,$K$4:$K193))</f>
        <v/>
      </c>
      <c r="M193" s="26" t="str">
        <f aca="false">IF($H193="","",N($H193))</f>
        <v/>
      </c>
      <c r="N193" s="26"/>
      <c r="O193" s="26"/>
      <c r="P193" s="26" t="str">
        <f aca="false">IF($A193="","",SUMIF($A$4:$A193,$A193,$M$4:$M193)-SUMIF($A$4:$A193,$A193,$N$4:$N193)-SUMIF($A$4:$A193,$A193,$O$4:$O193))</f>
        <v/>
      </c>
      <c r="Q193" s="27"/>
      <c r="R193" s="28"/>
      <c r="S193" s="28"/>
      <c r="T193" s="28" t="str">
        <f aca="false">IF($A193="","",SUMIF($A$4:$A193,$A193,$Q$4:$Q193)-SUMIF($A$4:$A193,$A193,$R$4:$R193)-SUMIF($A$4:$A193,$A193,$S$4:$S193))</f>
        <v/>
      </c>
      <c r="U193" s="28"/>
      <c r="V193" s="29" t="str">
        <f aca="false">IF(AND($C193="",COUNTA($D193:$H193,$K193,$N193:$O193,$Q193:$S193,$U193)=0),"",IF($C193="","⚠ 没填项目名称",IF($A193="⚠目录里没有","⚠ 项目名称在目录里找不到（先加到目录）",IF($A193="","⚠ 目录里这个项目没填简称",IF(ISTEXT($G193)+ISTEXT($H193)+ISTEXT($K193)+ISTEXT($N193)+ISTEXT($O193)+ISTEXT($Q193)+ISTEXT($R193)+ISTEXT($S193)&gt;0,"⚠ 金额列里有文字，算不进合计",IF(N($G193)&gt;=1,"⚠ 管理费点要填百分比，如 10%",IF(AND($D193&lt;&gt;"",$B193=""),"△ 摘要开头没写日期（如 2026.9.21），月份取不到",IF(AND(N($H193)&lt;&gt;0,COUNTIFS($A$4:$A$1003,$A193,$H$4:$H$1003,$H193,$D$4:$D$1003,LEFT($D193,9)&amp;"*")&gt;1),"△ 同一天同项目有一样的销售金额，看看是不是录重了","✓"))))))))</f>
        <v/>
      </c>
      <c r="W193" s="8" t="str">
        <f aca="false">IF($A193="","",$A193&amp;"#"&amp;COUNTIF($A$4:$A193,$A193))</f>
        <v/>
      </c>
    </row>
    <row r="194" customFormat="false" ht="16.5" hidden="false" customHeight="false" outlineLevel="0" collapsed="false">
      <c r="A194" s="44" t="str">
        <f aca="false">IF($C194="","",IFERROR(VLOOKUP($C194,目录!$B:$C,2,0)&amp;"","⚠目录里没有"))</f>
        <v/>
      </c>
      <c r="B194" s="45" t="str">
        <f aca="false">IF($D194="","",IFERROR(MID($D194,FIND(".",$D194)+1,FIND(".",$D194,FIND(".",$D194)+1)-FIND(".",$D194)-1)&amp;"月",""))</f>
        <v/>
      </c>
      <c r="C194" s="46"/>
      <c r="D194" s="47"/>
      <c r="E194" s="47"/>
      <c r="F194" s="49"/>
      <c r="G194" s="50"/>
      <c r="H194" s="24"/>
      <c r="I194" s="24" t="str">
        <f aca="false">IF($H194="","",N($H194)*N($G194))</f>
        <v/>
      </c>
      <c r="J194" s="25" t="str">
        <f aca="false">IF($H194="","",N($H194)-N($I194))</f>
        <v/>
      </c>
      <c r="K194" s="25"/>
      <c r="L194" s="25" t="str">
        <f aca="false">IF($A194="","",SUMIF($A$4:$A194,$A194,$J$4:$J194)-SUMIF($A$4:$A194,$A194,$K$4:$K194))</f>
        <v/>
      </c>
      <c r="M194" s="26" t="str">
        <f aca="false">IF($H194="","",N($H194))</f>
        <v/>
      </c>
      <c r="N194" s="26"/>
      <c r="O194" s="26"/>
      <c r="P194" s="26" t="str">
        <f aca="false">IF($A194="","",SUMIF($A$4:$A194,$A194,$M$4:$M194)-SUMIF($A$4:$A194,$A194,$N$4:$N194)-SUMIF($A$4:$A194,$A194,$O$4:$O194))</f>
        <v/>
      </c>
      <c r="Q194" s="27"/>
      <c r="R194" s="28"/>
      <c r="S194" s="28"/>
      <c r="T194" s="28" t="str">
        <f aca="false">IF($A194="","",SUMIF($A$4:$A194,$A194,$Q$4:$Q194)-SUMIF($A$4:$A194,$A194,$R$4:$R194)-SUMIF($A$4:$A194,$A194,$S$4:$S194))</f>
        <v/>
      </c>
      <c r="U194" s="28"/>
      <c r="V194" s="29" t="str">
        <f aca="false">IF(AND($C194="",COUNTA($D194:$H194,$K194,$N194:$O194,$Q194:$S194,$U194)=0),"",IF($C194="","⚠ 没填项目名称",IF($A194="⚠目录里没有","⚠ 项目名称在目录里找不到（先加到目录）",IF($A194="","⚠ 目录里这个项目没填简称",IF(ISTEXT($G194)+ISTEXT($H194)+ISTEXT($K194)+ISTEXT($N194)+ISTEXT($O194)+ISTEXT($Q194)+ISTEXT($R194)+ISTEXT($S194)&gt;0,"⚠ 金额列里有文字，算不进合计",IF(N($G194)&gt;=1,"⚠ 管理费点要填百分比，如 10%",IF(AND($D194&lt;&gt;"",$B194=""),"△ 摘要开头没写日期（如 2026.9.21），月份取不到",IF(AND(N($H194)&lt;&gt;0,COUNTIFS($A$4:$A$1003,$A194,$H$4:$H$1003,$H194,$D$4:$D$1003,LEFT($D194,9)&amp;"*")&gt;1),"△ 同一天同项目有一样的销售金额，看看是不是录重了","✓"))))))))</f>
        <v/>
      </c>
      <c r="W194" s="8" t="str">
        <f aca="false">IF($A194="","",$A194&amp;"#"&amp;COUNTIF($A$4:$A194,$A194))</f>
        <v/>
      </c>
    </row>
    <row r="195" customFormat="false" ht="16.5" hidden="false" customHeight="false" outlineLevel="0" collapsed="false">
      <c r="A195" s="44" t="str">
        <f aca="false">IF($C195="","",IFERROR(VLOOKUP($C195,目录!$B:$C,2,0)&amp;"","⚠目录里没有"))</f>
        <v/>
      </c>
      <c r="B195" s="45" t="str">
        <f aca="false">IF($D195="","",IFERROR(MID($D195,FIND(".",$D195)+1,FIND(".",$D195,FIND(".",$D195)+1)-FIND(".",$D195)-1)&amp;"月",""))</f>
        <v/>
      </c>
      <c r="C195" s="46"/>
      <c r="D195" s="47"/>
      <c r="E195" s="47"/>
      <c r="F195" s="49"/>
      <c r="G195" s="50"/>
      <c r="H195" s="24"/>
      <c r="I195" s="24" t="str">
        <f aca="false">IF($H195="","",N($H195)*N($G195))</f>
        <v/>
      </c>
      <c r="J195" s="25" t="str">
        <f aca="false">IF($H195="","",N($H195)-N($I195))</f>
        <v/>
      </c>
      <c r="K195" s="25"/>
      <c r="L195" s="25" t="str">
        <f aca="false">IF($A195="","",SUMIF($A$4:$A195,$A195,$J$4:$J195)-SUMIF($A$4:$A195,$A195,$K$4:$K195))</f>
        <v/>
      </c>
      <c r="M195" s="26" t="str">
        <f aca="false">IF($H195="","",N($H195))</f>
        <v/>
      </c>
      <c r="N195" s="26"/>
      <c r="O195" s="26"/>
      <c r="P195" s="26" t="str">
        <f aca="false">IF($A195="","",SUMIF($A$4:$A195,$A195,$M$4:$M195)-SUMIF($A$4:$A195,$A195,$N$4:$N195)-SUMIF($A$4:$A195,$A195,$O$4:$O195))</f>
        <v/>
      </c>
      <c r="Q195" s="27"/>
      <c r="R195" s="28"/>
      <c r="S195" s="28"/>
      <c r="T195" s="28" t="str">
        <f aca="false">IF($A195="","",SUMIF($A$4:$A195,$A195,$Q$4:$Q195)-SUMIF($A$4:$A195,$A195,$R$4:$R195)-SUMIF($A$4:$A195,$A195,$S$4:$S195))</f>
        <v/>
      </c>
      <c r="U195" s="28"/>
      <c r="V195" s="29" t="str">
        <f aca="false">IF(AND($C195="",COUNTA($D195:$H195,$K195,$N195:$O195,$Q195:$S195,$U195)=0),"",IF($C195="","⚠ 没填项目名称",IF($A195="⚠目录里没有","⚠ 项目名称在目录里找不到（先加到目录）",IF($A195="","⚠ 目录里这个项目没填简称",IF(ISTEXT($G195)+ISTEXT($H195)+ISTEXT($K195)+ISTEXT($N195)+ISTEXT($O195)+ISTEXT($Q195)+ISTEXT($R195)+ISTEXT($S195)&gt;0,"⚠ 金额列里有文字，算不进合计",IF(N($G195)&gt;=1,"⚠ 管理费点要填百分比，如 10%",IF(AND($D195&lt;&gt;"",$B195=""),"△ 摘要开头没写日期（如 2026.9.21），月份取不到",IF(AND(N($H195)&lt;&gt;0,COUNTIFS($A$4:$A$1003,$A195,$H$4:$H$1003,$H195,$D$4:$D$1003,LEFT($D195,9)&amp;"*")&gt;1),"△ 同一天同项目有一样的销售金额，看看是不是录重了","✓"))))))))</f>
        <v/>
      </c>
      <c r="W195" s="8" t="str">
        <f aca="false">IF($A195="","",$A195&amp;"#"&amp;COUNTIF($A$4:$A195,$A195))</f>
        <v/>
      </c>
    </row>
    <row r="196" customFormat="false" ht="16.5" hidden="false" customHeight="false" outlineLevel="0" collapsed="false">
      <c r="A196" s="44" t="str">
        <f aca="false">IF($C196="","",IFERROR(VLOOKUP($C196,目录!$B:$C,2,0)&amp;"","⚠目录里没有"))</f>
        <v/>
      </c>
      <c r="B196" s="45" t="str">
        <f aca="false">IF($D196="","",IFERROR(MID($D196,FIND(".",$D196)+1,FIND(".",$D196,FIND(".",$D196)+1)-FIND(".",$D196)-1)&amp;"月",""))</f>
        <v/>
      </c>
      <c r="C196" s="46"/>
      <c r="D196" s="47"/>
      <c r="E196" s="47"/>
      <c r="F196" s="49"/>
      <c r="G196" s="50"/>
      <c r="H196" s="24"/>
      <c r="I196" s="24" t="str">
        <f aca="false">IF($H196="","",N($H196)*N($G196))</f>
        <v/>
      </c>
      <c r="J196" s="25" t="str">
        <f aca="false">IF($H196="","",N($H196)-N($I196))</f>
        <v/>
      </c>
      <c r="K196" s="25"/>
      <c r="L196" s="25" t="str">
        <f aca="false">IF($A196="","",SUMIF($A$4:$A196,$A196,$J$4:$J196)-SUMIF($A$4:$A196,$A196,$K$4:$K196))</f>
        <v/>
      </c>
      <c r="M196" s="26" t="str">
        <f aca="false">IF($H196="","",N($H196))</f>
        <v/>
      </c>
      <c r="N196" s="26"/>
      <c r="O196" s="26"/>
      <c r="P196" s="26" t="str">
        <f aca="false">IF($A196="","",SUMIF($A$4:$A196,$A196,$M$4:$M196)-SUMIF($A$4:$A196,$A196,$N$4:$N196)-SUMIF($A$4:$A196,$A196,$O$4:$O196))</f>
        <v/>
      </c>
      <c r="Q196" s="27"/>
      <c r="R196" s="28"/>
      <c r="S196" s="28"/>
      <c r="T196" s="28" t="str">
        <f aca="false">IF($A196="","",SUMIF($A$4:$A196,$A196,$Q$4:$Q196)-SUMIF($A$4:$A196,$A196,$R$4:$R196)-SUMIF($A$4:$A196,$A196,$S$4:$S196))</f>
        <v/>
      </c>
      <c r="U196" s="28"/>
      <c r="V196" s="29" t="str">
        <f aca="false">IF(AND($C196="",COUNTA($D196:$H196,$K196,$N196:$O196,$Q196:$S196,$U196)=0),"",IF($C196="","⚠ 没填项目名称",IF($A196="⚠目录里没有","⚠ 项目名称在目录里找不到（先加到目录）",IF($A196="","⚠ 目录里这个项目没填简称",IF(ISTEXT($G196)+ISTEXT($H196)+ISTEXT($K196)+ISTEXT($N196)+ISTEXT($O196)+ISTEXT($Q196)+ISTEXT($R196)+ISTEXT($S196)&gt;0,"⚠ 金额列里有文字，算不进合计",IF(N($G196)&gt;=1,"⚠ 管理费点要填百分比，如 10%",IF(AND($D196&lt;&gt;"",$B196=""),"△ 摘要开头没写日期（如 2026.9.21），月份取不到",IF(AND(N($H196)&lt;&gt;0,COUNTIFS($A$4:$A$1003,$A196,$H$4:$H$1003,$H196,$D$4:$D$1003,LEFT($D196,9)&amp;"*")&gt;1),"△ 同一天同项目有一样的销售金额，看看是不是录重了","✓"))))))))</f>
        <v/>
      </c>
      <c r="W196" s="8" t="str">
        <f aca="false">IF($A196="","",$A196&amp;"#"&amp;COUNTIF($A$4:$A196,$A196))</f>
        <v/>
      </c>
    </row>
    <row r="197" customFormat="false" ht="16.5" hidden="false" customHeight="false" outlineLevel="0" collapsed="false">
      <c r="A197" s="44" t="str">
        <f aca="false">IF($C197="","",IFERROR(VLOOKUP($C197,目录!$B:$C,2,0)&amp;"","⚠目录里没有"))</f>
        <v/>
      </c>
      <c r="B197" s="45" t="str">
        <f aca="false">IF($D197="","",IFERROR(MID($D197,FIND(".",$D197)+1,FIND(".",$D197,FIND(".",$D197)+1)-FIND(".",$D197)-1)&amp;"月",""))</f>
        <v/>
      </c>
      <c r="C197" s="46"/>
      <c r="D197" s="47"/>
      <c r="E197" s="47"/>
      <c r="F197" s="49"/>
      <c r="G197" s="50"/>
      <c r="H197" s="24"/>
      <c r="I197" s="24" t="str">
        <f aca="false">IF($H197="","",N($H197)*N($G197))</f>
        <v/>
      </c>
      <c r="J197" s="25" t="str">
        <f aca="false">IF($H197="","",N($H197)-N($I197))</f>
        <v/>
      </c>
      <c r="K197" s="25"/>
      <c r="L197" s="25" t="str">
        <f aca="false">IF($A197="","",SUMIF($A$4:$A197,$A197,$J$4:$J197)-SUMIF($A$4:$A197,$A197,$K$4:$K197))</f>
        <v/>
      </c>
      <c r="M197" s="26" t="str">
        <f aca="false">IF($H197="","",N($H197))</f>
        <v/>
      </c>
      <c r="N197" s="26"/>
      <c r="O197" s="26"/>
      <c r="P197" s="26" t="str">
        <f aca="false">IF($A197="","",SUMIF($A$4:$A197,$A197,$M$4:$M197)-SUMIF($A$4:$A197,$A197,$N$4:$N197)-SUMIF($A$4:$A197,$A197,$O$4:$O197))</f>
        <v/>
      </c>
      <c r="Q197" s="27"/>
      <c r="R197" s="28"/>
      <c r="S197" s="28"/>
      <c r="T197" s="28" t="str">
        <f aca="false">IF($A197="","",SUMIF($A$4:$A197,$A197,$Q$4:$Q197)-SUMIF($A$4:$A197,$A197,$R$4:$R197)-SUMIF($A$4:$A197,$A197,$S$4:$S197))</f>
        <v/>
      </c>
      <c r="U197" s="28"/>
      <c r="V197" s="29" t="str">
        <f aca="false">IF(AND($C197="",COUNTA($D197:$H197,$K197,$N197:$O197,$Q197:$S197,$U197)=0),"",IF($C197="","⚠ 没填项目名称",IF($A197="⚠目录里没有","⚠ 项目名称在目录里找不到（先加到目录）",IF($A197="","⚠ 目录里这个项目没填简称",IF(ISTEXT($G197)+ISTEXT($H197)+ISTEXT($K197)+ISTEXT($N197)+ISTEXT($O197)+ISTEXT($Q197)+ISTEXT($R197)+ISTEXT($S197)&gt;0,"⚠ 金额列里有文字，算不进合计",IF(N($G197)&gt;=1,"⚠ 管理费点要填百分比，如 10%",IF(AND($D197&lt;&gt;"",$B197=""),"△ 摘要开头没写日期（如 2026.9.21），月份取不到",IF(AND(N($H197)&lt;&gt;0,COUNTIFS($A$4:$A$1003,$A197,$H$4:$H$1003,$H197,$D$4:$D$1003,LEFT($D197,9)&amp;"*")&gt;1),"△ 同一天同项目有一样的销售金额，看看是不是录重了","✓"))))))))</f>
        <v/>
      </c>
      <c r="W197" s="8" t="str">
        <f aca="false">IF($A197="","",$A197&amp;"#"&amp;COUNTIF($A$4:$A197,$A197))</f>
        <v/>
      </c>
    </row>
    <row r="198" customFormat="false" ht="16.5" hidden="false" customHeight="false" outlineLevel="0" collapsed="false">
      <c r="A198" s="44" t="str">
        <f aca="false">IF($C198="","",IFERROR(VLOOKUP($C198,目录!$B:$C,2,0)&amp;"","⚠目录里没有"))</f>
        <v/>
      </c>
      <c r="B198" s="45" t="str">
        <f aca="false">IF($D198="","",IFERROR(MID($D198,FIND(".",$D198)+1,FIND(".",$D198,FIND(".",$D198)+1)-FIND(".",$D198)-1)&amp;"月",""))</f>
        <v/>
      </c>
      <c r="C198" s="46"/>
      <c r="D198" s="47"/>
      <c r="E198" s="47"/>
      <c r="F198" s="49"/>
      <c r="G198" s="50"/>
      <c r="H198" s="24"/>
      <c r="I198" s="24" t="str">
        <f aca="false">IF($H198="","",N($H198)*N($G198))</f>
        <v/>
      </c>
      <c r="J198" s="25" t="str">
        <f aca="false">IF($H198="","",N($H198)-N($I198))</f>
        <v/>
      </c>
      <c r="K198" s="25"/>
      <c r="L198" s="25" t="str">
        <f aca="false">IF($A198="","",SUMIF($A$4:$A198,$A198,$J$4:$J198)-SUMIF($A$4:$A198,$A198,$K$4:$K198))</f>
        <v/>
      </c>
      <c r="M198" s="26" t="str">
        <f aca="false">IF($H198="","",N($H198))</f>
        <v/>
      </c>
      <c r="N198" s="26"/>
      <c r="O198" s="26"/>
      <c r="P198" s="26" t="str">
        <f aca="false">IF($A198="","",SUMIF($A$4:$A198,$A198,$M$4:$M198)-SUMIF($A$4:$A198,$A198,$N$4:$N198)-SUMIF($A$4:$A198,$A198,$O$4:$O198))</f>
        <v/>
      </c>
      <c r="Q198" s="27"/>
      <c r="R198" s="28"/>
      <c r="S198" s="28"/>
      <c r="T198" s="28" t="str">
        <f aca="false">IF($A198="","",SUMIF($A$4:$A198,$A198,$Q$4:$Q198)-SUMIF($A$4:$A198,$A198,$R$4:$R198)-SUMIF($A$4:$A198,$A198,$S$4:$S198))</f>
        <v/>
      </c>
      <c r="U198" s="28"/>
      <c r="V198" s="29" t="str">
        <f aca="false">IF(AND($C198="",COUNTA($D198:$H198,$K198,$N198:$O198,$Q198:$S198,$U198)=0),"",IF($C198="","⚠ 没填项目名称",IF($A198="⚠目录里没有","⚠ 项目名称在目录里找不到（先加到目录）",IF($A198="","⚠ 目录里这个项目没填简称",IF(ISTEXT($G198)+ISTEXT($H198)+ISTEXT($K198)+ISTEXT($N198)+ISTEXT($O198)+ISTEXT($Q198)+ISTEXT($R198)+ISTEXT($S198)&gt;0,"⚠ 金额列里有文字，算不进合计",IF(N($G198)&gt;=1,"⚠ 管理费点要填百分比，如 10%",IF(AND($D198&lt;&gt;"",$B198=""),"△ 摘要开头没写日期（如 2026.9.21），月份取不到",IF(AND(N($H198)&lt;&gt;0,COUNTIFS($A$4:$A$1003,$A198,$H$4:$H$1003,$H198,$D$4:$D$1003,LEFT($D198,9)&amp;"*")&gt;1),"△ 同一天同项目有一样的销售金额，看看是不是录重了","✓"))))))))</f>
        <v/>
      </c>
      <c r="W198" s="8" t="str">
        <f aca="false">IF($A198="","",$A198&amp;"#"&amp;COUNTIF($A$4:$A198,$A198))</f>
        <v/>
      </c>
    </row>
    <row r="199" customFormat="false" ht="16.5" hidden="false" customHeight="false" outlineLevel="0" collapsed="false">
      <c r="A199" s="44" t="str">
        <f aca="false">IF($C199="","",IFERROR(VLOOKUP($C199,目录!$B:$C,2,0)&amp;"","⚠目录里没有"))</f>
        <v/>
      </c>
      <c r="B199" s="45" t="str">
        <f aca="false">IF($D199="","",IFERROR(MID($D199,FIND(".",$D199)+1,FIND(".",$D199,FIND(".",$D199)+1)-FIND(".",$D199)-1)&amp;"月",""))</f>
        <v/>
      </c>
      <c r="C199" s="46"/>
      <c r="D199" s="47"/>
      <c r="E199" s="47"/>
      <c r="F199" s="49"/>
      <c r="G199" s="50"/>
      <c r="H199" s="24"/>
      <c r="I199" s="24" t="str">
        <f aca="false">IF($H199="","",N($H199)*N($G199))</f>
        <v/>
      </c>
      <c r="J199" s="25" t="str">
        <f aca="false">IF($H199="","",N($H199)-N($I199))</f>
        <v/>
      </c>
      <c r="K199" s="25"/>
      <c r="L199" s="25" t="str">
        <f aca="false">IF($A199="","",SUMIF($A$4:$A199,$A199,$J$4:$J199)-SUMIF($A$4:$A199,$A199,$K$4:$K199))</f>
        <v/>
      </c>
      <c r="M199" s="26" t="str">
        <f aca="false">IF($H199="","",N($H199))</f>
        <v/>
      </c>
      <c r="N199" s="26"/>
      <c r="O199" s="26"/>
      <c r="P199" s="26" t="str">
        <f aca="false">IF($A199="","",SUMIF($A$4:$A199,$A199,$M$4:$M199)-SUMIF($A$4:$A199,$A199,$N$4:$N199)-SUMIF($A$4:$A199,$A199,$O$4:$O199))</f>
        <v/>
      </c>
      <c r="Q199" s="27"/>
      <c r="R199" s="28"/>
      <c r="S199" s="28"/>
      <c r="T199" s="28" t="str">
        <f aca="false">IF($A199="","",SUMIF($A$4:$A199,$A199,$Q$4:$Q199)-SUMIF($A$4:$A199,$A199,$R$4:$R199)-SUMIF($A$4:$A199,$A199,$S$4:$S199))</f>
        <v/>
      </c>
      <c r="U199" s="28"/>
      <c r="V199" s="29" t="str">
        <f aca="false">IF(AND($C199="",COUNTA($D199:$H199,$K199,$N199:$O199,$Q199:$S199,$U199)=0),"",IF($C199="","⚠ 没填项目名称",IF($A199="⚠目录里没有","⚠ 项目名称在目录里找不到（先加到目录）",IF($A199="","⚠ 目录里这个项目没填简称",IF(ISTEXT($G199)+ISTEXT($H199)+ISTEXT($K199)+ISTEXT($N199)+ISTEXT($O199)+ISTEXT($Q199)+ISTEXT($R199)+ISTEXT($S199)&gt;0,"⚠ 金额列里有文字，算不进合计",IF(N($G199)&gt;=1,"⚠ 管理费点要填百分比，如 10%",IF(AND($D199&lt;&gt;"",$B199=""),"△ 摘要开头没写日期（如 2026.9.21），月份取不到",IF(AND(N($H199)&lt;&gt;0,COUNTIFS($A$4:$A$1003,$A199,$H$4:$H$1003,$H199,$D$4:$D$1003,LEFT($D199,9)&amp;"*")&gt;1),"△ 同一天同项目有一样的销售金额，看看是不是录重了","✓"))))))))</f>
        <v/>
      </c>
      <c r="W199" s="8" t="str">
        <f aca="false">IF($A199="","",$A199&amp;"#"&amp;COUNTIF($A$4:$A199,$A199))</f>
        <v/>
      </c>
    </row>
    <row r="200" customFormat="false" ht="16.5" hidden="false" customHeight="false" outlineLevel="0" collapsed="false">
      <c r="A200" s="44" t="str">
        <f aca="false">IF($C200="","",IFERROR(VLOOKUP($C200,目录!$B:$C,2,0)&amp;"","⚠目录里没有"))</f>
        <v/>
      </c>
      <c r="B200" s="45" t="str">
        <f aca="false">IF($D200="","",IFERROR(MID($D200,FIND(".",$D200)+1,FIND(".",$D200,FIND(".",$D200)+1)-FIND(".",$D200)-1)&amp;"月",""))</f>
        <v/>
      </c>
      <c r="C200" s="46"/>
      <c r="D200" s="47"/>
      <c r="E200" s="47"/>
      <c r="F200" s="49"/>
      <c r="G200" s="50"/>
      <c r="H200" s="24"/>
      <c r="I200" s="24" t="str">
        <f aca="false">IF($H200="","",N($H200)*N($G200))</f>
        <v/>
      </c>
      <c r="J200" s="25" t="str">
        <f aca="false">IF($H200="","",N($H200)-N($I200))</f>
        <v/>
      </c>
      <c r="K200" s="25"/>
      <c r="L200" s="25" t="str">
        <f aca="false">IF($A200="","",SUMIF($A$4:$A200,$A200,$J$4:$J200)-SUMIF($A$4:$A200,$A200,$K$4:$K200))</f>
        <v/>
      </c>
      <c r="M200" s="26" t="str">
        <f aca="false">IF($H200="","",N($H200))</f>
        <v/>
      </c>
      <c r="N200" s="26"/>
      <c r="O200" s="26"/>
      <c r="P200" s="26" t="str">
        <f aca="false">IF($A200="","",SUMIF($A$4:$A200,$A200,$M$4:$M200)-SUMIF($A$4:$A200,$A200,$N$4:$N200)-SUMIF($A$4:$A200,$A200,$O$4:$O200))</f>
        <v/>
      </c>
      <c r="Q200" s="27"/>
      <c r="R200" s="28"/>
      <c r="S200" s="28"/>
      <c r="T200" s="28" t="str">
        <f aca="false">IF($A200="","",SUMIF($A$4:$A200,$A200,$Q$4:$Q200)-SUMIF($A$4:$A200,$A200,$R$4:$R200)-SUMIF($A$4:$A200,$A200,$S$4:$S200))</f>
        <v/>
      </c>
      <c r="U200" s="28"/>
      <c r="V200" s="29" t="str">
        <f aca="false">IF(AND($C200="",COUNTA($D200:$H200,$K200,$N200:$O200,$Q200:$S200,$U200)=0),"",IF($C200="","⚠ 没填项目名称",IF($A200="⚠目录里没有","⚠ 项目名称在目录里找不到（先加到目录）",IF($A200="","⚠ 目录里这个项目没填简称",IF(ISTEXT($G200)+ISTEXT($H200)+ISTEXT($K200)+ISTEXT($N200)+ISTEXT($O200)+ISTEXT($Q200)+ISTEXT($R200)+ISTEXT($S200)&gt;0,"⚠ 金额列里有文字，算不进合计",IF(N($G200)&gt;=1,"⚠ 管理费点要填百分比，如 10%",IF(AND($D200&lt;&gt;"",$B200=""),"△ 摘要开头没写日期（如 2026.9.21），月份取不到",IF(AND(N($H200)&lt;&gt;0,COUNTIFS($A$4:$A$1003,$A200,$H$4:$H$1003,$H200,$D$4:$D$1003,LEFT($D200,9)&amp;"*")&gt;1),"△ 同一天同项目有一样的销售金额，看看是不是录重了","✓"))))))))</f>
        <v/>
      </c>
      <c r="W200" s="8" t="str">
        <f aca="false">IF($A200="","",$A200&amp;"#"&amp;COUNTIF($A$4:$A200,$A200))</f>
        <v/>
      </c>
    </row>
    <row r="201" customFormat="false" ht="16.5" hidden="false" customHeight="false" outlineLevel="0" collapsed="false">
      <c r="A201" s="44" t="str">
        <f aca="false">IF($C201="","",IFERROR(VLOOKUP($C201,目录!$B:$C,2,0)&amp;"","⚠目录里没有"))</f>
        <v/>
      </c>
      <c r="B201" s="45" t="str">
        <f aca="false">IF($D201="","",IFERROR(MID($D201,FIND(".",$D201)+1,FIND(".",$D201,FIND(".",$D201)+1)-FIND(".",$D201)-1)&amp;"月",""))</f>
        <v/>
      </c>
      <c r="C201" s="46"/>
      <c r="D201" s="47"/>
      <c r="E201" s="47"/>
      <c r="F201" s="49"/>
      <c r="G201" s="50"/>
      <c r="H201" s="24"/>
      <c r="I201" s="24" t="str">
        <f aca="false">IF($H201="","",N($H201)*N($G201))</f>
        <v/>
      </c>
      <c r="J201" s="25" t="str">
        <f aca="false">IF($H201="","",N($H201)-N($I201))</f>
        <v/>
      </c>
      <c r="K201" s="25"/>
      <c r="L201" s="25" t="str">
        <f aca="false">IF($A201="","",SUMIF($A$4:$A201,$A201,$J$4:$J201)-SUMIF($A$4:$A201,$A201,$K$4:$K201))</f>
        <v/>
      </c>
      <c r="M201" s="26" t="str">
        <f aca="false">IF($H201="","",N($H201))</f>
        <v/>
      </c>
      <c r="N201" s="26"/>
      <c r="O201" s="26"/>
      <c r="P201" s="26" t="str">
        <f aca="false">IF($A201="","",SUMIF($A$4:$A201,$A201,$M$4:$M201)-SUMIF($A$4:$A201,$A201,$N$4:$N201)-SUMIF($A$4:$A201,$A201,$O$4:$O201))</f>
        <v/>
      </c>
      <c r="Q201" s="27"/>
      <c r="R201" s="28"/>
      <c r="S201" s="28"/>
      <c r="T201" s="28" t="str">
        <f aca="false">IF($A201="","",SUMIF($A$4:$A201,$A201,$Q$4:$Q201)-SUMIF($A$4:$A201,$A201,$R$4:$R201)-SUMIF($A$4:$A201,$A201,$S$4:$S201))</f>
        <v/>
      </c>
      <c r="U201" s="28"/>
      <c r="V201" s="29" t="str">
        <f aca="false">IF(AND($C201="",COUNTA($D201:$H201,$K201,$N201:$O201,$Q201:$S201,$U201)=0),"",IF($C201="","⚠ 没填项目名称",IF($A201="⚠目录里没有","⚠ 项目名称在目录里找不到（先加到目录）",IF($A201="","⚠ 目录里这个项目没填简称",IF(ISTEXT($G201)+ISTEXT($H201)+ISTEXT($K201)+ISTEXT($N201)+ISTEXT($O201)+ISTEXT($Q201)+ISTEXT($R201)+ISTEXT($S201)&gt;0,"⚠ 金额列里有文字，算不进合计",IF(N($G201)&gt;=1,"⚠ 管理费点要填百分比，如 10%",IF(AND($D201&lt;&gt;"",$B201=""),"△ 摘要开头没写日期（如 2026.9.21），月份取不到",IF(AND(N($H201)&lt;&gt;0,COUNTIFS($A$4:$A$1003,$A201,$H$4:$H$1003,$H201,$D$4:$D$1003,LEFT($D201,9)&amp;"*")&gt;1),"△ 同一天同项目有一样的销售金额，看看是不是录重了","✓"))))))))</f>
        <v/>
      </c>
      <c r="W201" s="8" t="str">
        <f aca="false">IF($A201="","",$A201&amp;"#"&amp;COUNTIF($A$4:$A201,$A201))</f>
        <v/>
      </c>
    </row>
    <row r="202" customFormat="false" ht="16.5" hidden="false" customHeight="false" outlineLevel="0" collapsed="false">
      <c r="A202" s="44" t="str">
        <f aca="false">IF($C202="","",IFERROR(VLOOKUP($C202,目录!$B:$C,2,0)&amp;"","⚠目录里没有"))</f>
        <v/>
      </c>
      <c r="B202" s="45" t="str">
        <f aca="false">IF($D202="","",IFERROR(MID($D202,FIND(".",$D202)+1,FIND(".",$D202,FIND(".",$D202)+1)-FIND(".",$D202)-1)&amp;"月",""))</f>
        <v/>
      </c>
      <c r="C202" s="46"/>
      <c r="D202" s="47"/>
      <c r="E202" s="47"/>
      <c r="F202" s="49"/>
      <c r="G202" s="50"/>
      <c r="H202" s="24"/>
      <c r="I202" s="24" t="str">
        <f aca="false">IF($H202="","",N($H202)*N($G202))</f>
        <v/>
      </c>
      <c r="J202" s="25" t="str">
        <f aca="false">IF($H202="","",N($H202)-N($I202))</f>
        <v/>
      </c>
      <c r="K202" s="25"/>
      <c r="L202" s="25" t="str">
        <f aca="false">IF($A202="","",SUMIF($A$4:$A202,$A202,$J$4:$J202)-SUMIF($A$4:$A202,$A202,$K$4:$K202))</f>
        <v/>
      </c>
      <c r="M202" s="26" t="str">
        <f aca="false">IF($H202="","",N($H202))</f>
        <v/>
      </c>
      <c r="N202" s="26"/>
      <c r="O202" s="26"/>
      <c r="P202" s="26" t="str">
        <f aca="false">IF($A202="","",SUMIF($A$4:$A202,$A202,$M$4:$M202)-SUMIF($A$4:$A202,$A202,$N$4:$N202)-SUMIF($A$4:$A202,$A202,$O$4:$O202))</f>
        <v/>
      </c>
      <c r="Q202" s="27"/>
      <c r="R202" s="28"/>
      <c r="S202" s="28"/>
      <c r="T202" s="28" t="str">
        <f aca="false">IF($A202="","",SUMIF($A$4:$A202,$A202,$Q$4:$Q202)-SUMIF($A$4:$A202,$A202,$R$4:$R202)-SUMIF($A$4:$A202,$A202,$S$4:$S202))</f>
        <v/>
      </c>
      <c r="U202" s="28"/>
      <c r="V202" s="29" t="str">
        <f aca="false">IF(AND($C202="",COUNTA($D202:$H202,$K202,$N202:$O202,$Q202:$S202,$U202)=0),"",IF($C202="","⚠ 没填项目名称",IF($A202="⚠目录里没有","⚠ 项目名称在目录里找不到（先加到目录）",IF($A202="","⚠ 目录里这个项目没填简称",IF(ISTEXT($G202)+ISTEXT($H202)+ISTEXT($K202)+ISTEXT($N202)+ISTEXT($O202)+ISTEXT($Q202)+ISTEXT($R202)+ISTEXT($S202)&gt;0,"⚠ 金额列里有文字，算不进合计",IF(N($G202)&gt;=1,"⚠ 管理费点要填百分比，如 10%",IF(AND($D202&lt;&gt;"",$B202=""),"△ 摘要开头没写日期（如 2026.9.21），月份取不到",IF(AND(N($H202)&lt;&gt;0,COUNTIFS($A$4:$A$1003,$A202,$H$4:$H$1003,$H202,$D$4:$D$1003,LEFT($D202,9)&amp;"*")&gt;1),"△ 同一天同项目有一样的销售金额，看看是不是录重了","✓"))))))))</f>
        <v/>
      </c>
      <c r="W202" s="8" t="str">
        <f aca="false">IF($A202="","",$A202&amp;"#"&amp;COUNTIF($A$4:$A202,$A202))</f>
        <v/>
      </c>
    </row>
    <row r="203" customFormat="false" ht="16.5" hidden="false" customHeight="false" outlineLevel="0" collapsed="false">
      <c r="A203" s="44" t="str">
        <f aca="false">IF($C203="","",IFERROR(VLOOKUP($C203,目录!$B:$C,2,0)&amp;"","⚠目录里没有"))</f>
        <v/>
      </c>
      <c r="B203" s="45" t="str">
        <f aca="false">IF($D203="","",IFERROR(MID($D203,FIND(".",$D203)+1,FIND(".",$D203,FIND(".",$D203)+1)-FIND(".",$D203)-1)&amp;"月",""))</f>
        <v/>
      </c>
      <c r="C203" s="46"/>
      <c r="D203" s="47"/>
      <c r="E203" s="47"/>
      <c r="F203" s="49"/>
      <c r="G203" s="50"/>
      <c r="H203" s="24"/>
      <c r="I203" s="24" t="str">
        <f aca="false">IF($H203="","",N($H203)*N($G203))</f>
        <v/>
      </c>
      <c r="J203" s="25" t="str">
        <f aca="false">IF($H203="","",N($H203)-N($I203))</f>
        <v/>
      </c>
      <c r="K203" s="25"/>
      <c r="L203" s="25" t="str">
        <f aca="false">IF($A203="","",SUMIF($A$4:$A203,$A203,$J$4:$J203)-SUMIF($A$4:$A203,$A203,$K$4:$K203))</f>
        <v/>
      </c>
      <c r="M203" s="26" t="str">
        <f aca="false">IF($H203="","",N($H203))</f>
        <v/>
      </c>
      <c r="N203" s="26"/>
      <c r="O203" s="26"/>
      <c r="P203" s="26" t="str">
        <f aca="false">IF($A203="","",SUMIF($A$4:$A203,$A203,$M$4:$M203)-SUMIF($A$4:$A203,$A203,$N$4:$N203)-SUMIF($A$4:$A203,$A203,$O$4:$O203))</f>
        <v/>
      </c>
      <c r="Q203" s="27"/>
      <c r="R203" s="28"/>
      <c r="S203" s="28"/>
      <c r="T203" s="28" t="str">
        <f aca="false">IF($A203="","",SUMIF($A$4:$A203,$A203,$Q$4:$Q203)-SUMIF($A$4:$A203,$A203,$R$4:$R203)-SUMIF($A$4:$A203,$A203,$S$4:$S203))</f>
        <v/>
      </c>
      <c r="U203" s="28"/>
      <c r="V203" s="29" t="str">
        <f aca="false">IF(AND($C203="",COUNTA($D203:$H203,$K203,$N203:$O203,$Q203:$S203,$U203)=0),"",IF($C203="","⚠ 没填项目名称",IF($A203="⚠目录里没有","⚠ 项目名称在目录里找不到（先加到目录）",IF($A203="","⚠ 目录里这个项目没填简称",IF(ISTEXT($G203)+ISTEXT($H203)+ISTEXT($K203)+ISTEXT($N203)+ISTEXT($O203)+ISTEXT($Q203)+ISTEXT($R203)+ISTEXT($S203)&gt;0,"⚠ 金额列里有文字，算不进合计",IF(N($G203)&gt;=1,"⚠ 管理费点要填百分比，如 10%",IF(AND($D203&lt;&gt;"",$B203=""),"△ 摘要开头没写日期（如 2026.9.21），月份取不到",IF(AND(N($H203)&lt;&gt;0,COUNTIFS($A$4:$A$1003,$A203,$H$4:$H$1003,$H203,$D$4:$D$1003,LEFT($D203,9)&amp;"*")&gt;1),"△ 同一天同项目有一样的销售金额，看看是不是录重了","✓"))))))))</f>
        <v/>
      </c>
      <c r="W203" s="8" t="str">
        <f aca="false">IF($A203="","",$A203&amp;"#"&amp;COUNTIF($A$4:$A203,$A203))</f>
        <v/>
      </c>
    </row>
    <row r="204" customFormat="false" ht="16.5" hidden="false" customHeight="false" outlineLevel="0" collapsed="false">
      <c r="A204" s="44" t="str">
        <f aca="false">IF($C204="","",IFERROR(VLOOKUP($C204,目录!$B:$C,2,0)&amp;"","⚠目录里没有"))</f>
        <v/>
      </c>
      <c r="B204" s="45" t="str">
        <f aca="false">IF($D204="","",IFERROR(MID($D204,FIND(".",$D204)+1,FIND(".",$D204,FIND(".",$D204)+1)-FIND(".",$D204)-1)&amp;"月",""))</f>
        <v/>
      </c>
      <c r="C204" s="46"/>
      <c r="D204" s="47"/>
      <c r="E204" s="47"/>
      <c r="F204" s="49"/>
      <c r="G204" s="50"/>
      <c r="H204" s="24"/>
      <c r="I204" s="24" t="str">
        <f aca="false">IF($H204="","",N($H204)*N($G204))</f>
        <v/>
      </c>
      <c r="J204" s="25" t="str">
        <f aca="false">IF($H204="","",N($H204)-N($I204))</f>
        <v/>
      </c>
      <c r="K204" s="25"/>
      <c r="L204" s="25" t="str">
        <f aca="false">IF($A204="","",SUMIF($A$4:$A204,$A204,$J$4:$J204)-SUMIF($A$4:$A204,$A204,$K$4:$K204))</f>
        <v/>
      </c>
      <c r="M204" s="26" t="str">
        <f aca="false">IF($H204="","",N($H204))</f>
        <v/>
      </c>
      <c r="N204" s="26"/>
      <c r="O204" s="26"/>
      <c r="P204" s="26" t="str">
        <f aca="false">IF($A204="","",SUMIF($A$4:$A204,$A204,$M$4:$M204)-SUMIF($A$4:$A204,$A204,$N$4:$N204)-SUMIF($A$4:$A204,$A204,$O$4:$O204))</f>
        <v/>
      </c>
      <c r="Q204" s="27"/>
      <c r="R204" s="28"/>
      <c r="S204" s="28"/>
      <c r="T204" s="28" t="str">
        <f aca="false">IF($A204="","",SUMIF($A$4:$A204,$A204,$Q$4:$Q204)-SUMIF($A$4:$A204,$A204,$R$4:$R204)-SUMIF($A$4:$A204,$A204,$S$4:$S204))</f>
        <v/>
      </c>
      <c r="U204" s="28"/>
      <c r="V204" s="29" t="str">
        <f aca="false">IF(AND($C204="",COUNTA($D204:$H204,$K204,$N204:$O204,$Q204:$S204,$U204)=0),"",IF($C204="","⚠ 没填项目名称",IF($A204="⚠目录里没有","⚠ 项目名称在目录里找不到（先加到目录）",IF($A204="","⚠ 目录里这个项目没填简称",IF(ISTEXT($G204)+ISTEXT($H204)+ISTEXT($K204)+ISTEXT($N204)+ISTEXT($O204)+ISTEXT($Q204)+ISTEXT($R204)+ISTEXT($S204)&gt;0,"⚠ 金额列里有文字，算不进合计",IF(N($G204)&gt;=1,"⚠ 管理费点要填百分比，如 10%",IF(AND($D204&lt;&gt;"",$B204=""),"△ 摘要开头没写日期（如 2026.9.21），月份取不到",IF(AND(N($H204)&lt;&gt;0,COUNTIFS($A$4:$A$1003,$A204,$H$4:$H$1003,$H204,$D$4:$D$1003,LEFT($D204,9)&amp;"*")&gt;1),"△ 同一天同项目有一样的销售金额，看看是不是录重了","✓"))))))))</f>
        <v/>
      </c>
      <c r="W204" s="8" t="str">
        <f aca="false">IF($A204="","",$A204&amp;"#"&amp;COUNTIF($A$4:$A204,$A204))</f>
        <v/>
      </c>
    </row>
    <row r="205" customFormat="false" ht="16.5" hidden="false" customHeight="false" outlineLevel="0" collapsed="false">
      <c r="A205" s="44" t="str">
        <f aca="false">IF($C205="","",IFERROR(VLOOKUP($C205,目录!$B:$C,2,0)&amp;"","⚠目录里没有"))</f>
        <v/>
      </c>
      <c r="B205" s="45" t="str">
        <f aca="false">IF($D205="","",IFERROR(MID($D205,FIND(".",$D205)+1,FIND(".",$D205,FIND(".",$D205)+1)-FIND(".",$D205)-1)&amp;"月",""))</f>
        <v/>
      </c>
      <c r="C205" s="46"/>
      <c r="D205" s="47"/>
      <c r="E205" s="47"/>
      <c r="F205" s="49"/>
      <c r="G205" s="50"/>
      <c r="H205" s="24"/>
      <c r="I205" s="24" t="str">
        <f aca="false">IF($H205="","",N($H205)*N($G205))</f>
        <v/>
      </c>
      <c r="J205" s="25" t="str">
        <f aca="false">IF($H205="","",N($H205)-N($I205))</f>
        <v/>
      </c>
      <c r="K205" s="25"/>
      <c r="L205" s="25" t="str">
        <f aca="false">IF($A205="","",SUMIF($A$4:$A205,$A205,$J$4:$J205)-SUMIF($A$4:$A205,$A205,$K$4:$K205))</f>
        <v/>
      </c>
      <c r="M205" s="26" t="str">
        <f aca="false">IF($H205="","",N($H205))</f>
        <v/>
      </c>
      <c r="N205" s="26"/>
      <c r="O205" s="26"/>
      <c r="P205" s="26" t="str">
        <f aca="false">IF($A205="","",SUMIF($A$4:$A205,$A205,$M$4:$M205)-SUMIF($A$4:$A205,$A205,$N$4:$N205)-SUMIF($A$4:$A205,$A205,$O$4:$O205))</f>
        <v/>
      </c>
      <c r="Q205" s="27"/>
      <c r="R205" s="28"/>
      <c r="S205" s="28"/>
      <c r="T205" s="28" t="str">
        <f aca="false">IF($A205="","",SUMIF($A$4:$A205,$A205,$Q$4:$Q205)-SUMIF($A$4:$A205,$A205,$R$4:$R205)-SUMIF($A$4:$A205,$A205,$S$4:$S205))</f>
        <v/>
      </c>
      <c r="U205" s="28"/>
      <c r="V205" s="29" t="str">
        <f aca="false">IF(AND($C205="",COUNTA($D205:$H205,$K205,$N205:$O205,$Q205:$S205,$U205)=0),"",IF($C205="","⚠ 没填项目名称",IF($A205="⚠目录里没有","⚠ 项目名称在目录里找不到（先加到目录）",IF($A205="","⚠ 目录里这个项目没填简称",IF(ISTEXT($G205)+ISTEXT($H205)+ISTEXT($K205)+ISTEXT($N205)+ISTEXT($O205)+ISTEXT($Q205)+ISTEXT($R205)+ISTEXT($S205)&gt;0,"⚠ 金额列里有文字，算不进合计",IF(N($G205)&gt;=1,"⚠ 管理费点要填百分比，如 10%",IF(AND($D205&lt;&gt;"",$B205=""),"△ 摘要开头没写日期（如 2026.9.21），月份取不到",IF(AND(N($H205)&lt;&gt;0,COUNTIFS($A$4:$A$1003,$A205,$H$4:$H$1003,$H205,$D$4:$D$1003,LEFT($D205,9)&amp;"*")&gt;1),"△ 同一天同项目有一样的销售金额，看看是不是录重了","✓"))))))))</f>
        <v/>
      </c>
      <c r="W205" s="8" t="str">
        <f aca="false">IF($A205="","",$A205&amp;"#"&amp;COUNTIF($A$4:$A205,$A205))</f>
        <v/>
      </c>
    </row>
    <row r="206" customFormat="false" ht="16.5" hidden="false" customHeight="false" outlineLevel="0" collapsed="false">
      <c r="A206" s="44" t="str">
        <f aca="false">IF($C206="","",IFERROR(VLOOKUP($C206,目录!$B:$C,2,0)&amp;"","⚠目录里没有"))</f>
        <v/>
      </c>
      <c r="B206" s="45" t="str">
        <f aca="false">IF($D206="","",IFERROR(MID($D206,FIND(".",$D206)+1,FIND(".",$D206,FIND(".",$D206)+1)-FIND(".",$D206)-1)&amp;"月",""))</f>
        <v/>
      </c>
      <c r="C206" s="46"/>
      <c r="D206" s="47"/>
      <c r="E206" s="47"/>
      <c r="F206" s="49"/>
      <c r="G206" s="50"/>
      <c r="H206" s="24"/>
      <c r="I206" s="24" t="str">
        <f aca="false">IF($H206="","",N($H206)*N($G206))</f>
        <v/>
      </c>
      <c r="J206" s="25" t="str">
        <f aca="false">IF($H206="","",N($H206)-N($I206))</f>
        <v/>
      </c>
      <c r="K206" s="25"/>
      <c r="L206" s="25" t="str">
        <f aca="false">IF($A206="","",SUMIF($A$4:$A206,$A206,$J$4:$J206)-SUMIF($A$4:$A206,$A206,$K$4:$K206))</f>
        <v/>
      </c>
      <c r="M206" s="26" t="str">
        <f aca="false">IF($H206="","",N($H206))</f>
        <v/>
      </c>
      <c r="N206" s="26"/>
      <c r="O206" s="26"/>
      <c r="P206" s="26" t="str">
        <f aca="false">IF($A206="","",SUMIF($A$4:$A206,$A206,$M$4:$M206)-SUMIF($A$4:$A206,$A206,$N$4:$N206)-SUMIF($A$4:$A206,$A206,$O$4:$O206))</f>
        <v/>
      </c>
      <c r="Q206" s="27"/>
      <c r="R206" s="28"/>
      <c r="S206" s="28"/>
      <c r="T206" s="28" t="str">
        <f aca="false">IF($A206="","",SUMIF($A$4:$A206,$A206,$Q$4:$Q206)-SUMIF($A$4:$A206,$A206,$R$4:$R206)-SUMIF($A$4:$A206,$A206,$S$4:$S206))</f>
        <v/>
      </c>
      <c r="U206" s="28"/>
      <c r="V206" s="29" t="str">
        <f aca="false">IF(AND($C206="",COUNTA($D206:$H206,$K206,$N206:$O206,$Q206:$S206,$U206)=0),"",IF($C206="","⚠ 没填项目名称",IF($A206="⚠目录里没有","⚠ 项目名称在目录里找不到（先加到目录）",IF($A206="","⚠ 目录里这个项目没填简称",IF(ISTEXT($G206)+ISTEXT($H206)+ISTEXT($K206)+ISTEXT($N206)+ISTEXT($O206)+ISTEXT($Q206)+ISTEXT($R206)+ISTEXT($S206)&gt;0,"⚠ 金额列里有文字，算不进合计",IF(N($G206)&gt;=1,"⚠ 管理费点要填百分比，如 10%",IF(AND($D206&lt;&gt;"",$B206=""),"△ 摘要开头没写日期（如 2026.9.21），月份取不到",IF(AND(N($H206)&lt;&gt;0,COUNTIFS($A$4:$A$1003,$A206,$H$4:$H$1003,$H206,$D$4:$D$1003,LEFT($D206,9)&amp;"*")&gt;1),"△ 同一天同项目有一样的销售金额，看看是不是录重了","✓"))))))))</f>
        <v/>
      </c>
      <c r="W206" s="8" t="str">
        <f aca="false">IF($A206="","",$A206&amp;"#"&amp;COUNTIF($A$4:$A206,$A206))</f>
        <v/>
      </c>
    </row>
    <row r="207" customFormat="false" ht="16.5" hidden="false" customHeight="false" outlineLevel="0" collapsed="false">
      <c r="A207" s="44" t="str">
        <f aca="false">IF($C207="","",IFERROR(VLOOKUP($C207,目录!$B:$C,2,0)&amp;"","⚠目录里没有"))</f>
        <v/>
      </c>
      <c r="B207" s="45" t="str">
        <f aca="false">IF($D207="","",IFERROR(MID($D207,FIND(".",$D207)+1,FIND(".",$D207,FIND(".",$D207)+1)-FIND(".",$D207)-1)&amp;"月",""))</f>
        <v/>
      </c>
      <c r="C207" s="46"/>
      <c r="D207" s="47"/>
      <c r="E207" s="47"/>
      <c r="F207" s="49"/>
      <c r="G207" s="50"/>
      <c r="H207" s="24"/>
      <c r="I207" s="24" t="str">
        <f aca="false">IF($H207="","",N($H207)*N($G207))</f>
        <v/>
      </c>
      <c r="J207" s="25" t="str">
        <f aca="false">IF($H207="","",N($H207)-N($I207))</f>
        <v/>
      </c>
      <c r="K207" s="25"/>
      <c r="L207" s="25" t="str">
        <f aca="false">IF($A207="","",SUMIF($A$4:$A207,$A207,$J$4:$J207)-SUMIF($A$4:$A207,$A207,$K$4:$K207))</f>
        <v/>
      </c>
      <c r="M207" s="26" t="str">
        <f aca="false">IF($H207="","",N($H207))</f>
        <v/>
      </c>
      <c r="N207" s="26"/>
      <c r="O207" s="26"/>
      <c r="P207" s="26" t="str">
        <f aca="false">IF($A207="","",SUMIF($A$4:$A207,$A207,$M$4:$M207)-SUMIF($A$4:$A207,$A207,$N$4:$N207)-SUMIF($A$4:$A207,$A207,$O$4:$O207))</f>
        <v/>
      </c>
      <c r="Q207" s="27"/>
      <c r="R207" s="28"/>
      <c r="S207" s="28"/>
      <c r="T207" s="28" t="str">
        <f aca="false">IF($A207="","",SUMIF($A$4:$A207,$A207,$Q$4:$Q207)-SUMIF($A$4:$A207,$A207,$R$4:$R207)-SUMIF($A$4:$A207,$A207,$S$4:$S207))</f>
        <v/>
      </c>
      <c r="U207" s="28"/>
      <c r="V207" s="29" t="str">
        <f aca="false">IF(AND($C207="",COUNTA($D207:$H207,$K207,$N207:$O207,$Q207:$S207,$U207)=0),"",IF($C207="","⚠ 没填项目名称",IF($A207="⚠目录里没有","⚠ 项目名称在目录里找不到（先加到目录）",IF($A207="","⚠ 目录里这个项目没填简称",IF(ISTEXT($G207)+ISTEXT($H207)+ISTEXT($K207)+ISTEXT($N207)+ISTEXT($O207)+ISTEXT($Q207)+ISTEXT($R207)+ISTEXT($S207)&gt;0,"⚠ 金额列里有文字，算不进合计",IF(N($G207)&gt;=1,"⚠ 管理费点要填百分比，如 10%",IF(AND($D207&lt;&gt;"",$B207=""),"△ 摘要开头没写日期（如 2026.9.21），月份取不到",IF(AND(N($H207)&lt;&gt;0,COUNTIFS($A$4:$A$1003,$A207,$H$4:$H$1003,$H207,$D$4:$D$1003,LEFT($D207,9)&amp;"*")&gt;1),"△ 同一天同项目有一样的销售金额，看看是不是录重了","✓"))))))))</f>
        <v/>
      </c>
      <c r="W207" s="8" t="str">
        <f aca="false">IF($A207="","",$A207&amp;"#"&amp;COUNTIF($A$4:$A207,$A207))</f>
        <v/>
      </c>
    </row>
    <row r="208" customFormat="false" ht="16.5" hidden="false" customHeight="false" outlineLevel="0" collapsed="false">
      <c r="A208" s="44" t="str">
        <f aca="false">IF($C208="","",IFERROR(VLOOKUP($C208,目录!$B:$C,2,0)&amp;"","⚠目录里没有"))</f>
        <v/>
      </c>
      <c r="B208" s="45" t="str">
        <f aca="false">IF($D208="","",IFERROR(MID($D208,FIND(".",$D208)+1,FIND(".",$D208,FIND(".",$D208)+1)-FIND(".",$D208)-1)&amp;"月",""))</f>
        <v/>
      </c>
      <c r="C208" s="46"/>
      <c r="D208" s="47"/>
      <c r="E208" s="47"/>
      <c r="F208" s="49"/>
      <c r="G208" s="50"/>
      <c r="H208" s="24"/>
      <c r="I208" s="24" t="str">
        <f aca="false">IF($H208="","",N($H208)*N($G208))</f>
        <v/>
      </c>
      <c r="J208" s="25" t="str">
        <f aca="false">IF($H208="","",N($H208)-N($I208))</f>
        <v/>
      </c>
      <c r="K208" s="25"/>
      <c r="L208" s="25" t="str">
        <f aca="false">IF($A208="","",SUMIF($A$4:$A208,$A208,$J$4:$J208)-SUMIF($A$4:$A208,$A208,$K$4:$K208))</f>
        <v/>
      </c>
      <c r="M208" s="26" t="str">
        <f aca="false">IF($H208="","",N($H208))</f>
        <v/>
      </c>
      <c r="N208" s="26"/>
      <c r="O208" s="26"/>
      <c r="P208" s="26" t="str">
        <f aca="false">IF($A208="","",SUMIF($A$4:$A208,$A208,$M$4:$M208)-SUMIF($A$4:$A208,$A208,$N$4:$N208)-SUMIF($A$4:$A208,$A208,$O$4:$O208))</f>
        <v/>
      </c>
      <c r="Q208" s="27"/>
      <c r="R208" s="28"/>
      <c r="S208" s="28"/>
      <c r="T208" s="28" t="str">
        <f aca="false">IF($A208="","",SUMIF($A$4:$A208,$A208,$Q$4:$Q208)-SUMIF($A$4:$A208,$A208,$R$4:$R208)-SUMIF($A$4:$A208,$A208,$S$4:$S208))</f>
        <v/>
      </c>
      <c r="U208" s="28"/>
      <c r="V208" s="29" t="str">
        <f aca="false">IF(AND($C208="",COUNTA($D208:$H208,$K208,$N208:$O208,$Q208:$S208,$U208)=0),"",IF($C208="","⚠ 没填项目名称",IF($A208="⚠目录里没有","⚠ 项目名称在目录里找不到（先加到目录）",IF($A208="","⚠ 目录里这个项目没填简称",IF(ISTEXT($G208)+ISTEXT($H208)+ISTEXT($K208)+ISTEXT($N208)+ISTEXT($O208)+ISTEXT($Q208)+ISTEXT($R208)+ISTEXT($S208)&gt;0,"⚠ 金额列里有文字，算不进合计",IF(N($G208)&gt;=1,"⚠ 管理费点要填百分比，如 10%",IF(AND($D208&lt;&gt;"",$B208=""),"△ 摘要开头没写日期（如 2026.9.21），月份取不到",IF(AND(N($H208)&lt;&gt;0,COUNTIFS($A$4:$A$1003,$A208,$H$4:$H$1003,$H208,$D$4:$D$1003,LEFT($D208,9)&amp;"*")&gt;1),"△ 同一天同项目有一样的销售金额，看看是不是录重了","✓"))))))))</f>
        <v/>
      </c>
      <c r="W208" s="8" t="str">
        <f aca="false">IF($A208="","",$A208&amp;"#"&amp;COUNTIF($A$4:$A208,$A208))</f>
        <v/>
      </c>
    </row>
    <row r="209" customFormat="false" ht="16.5" hidden="false" customHeight="false" outlineLevel="0" collapsed="false">
      <c r="A209" s="44" t="str">
        <f aca="false">IF($C209="","",IFERROR(VLOOKUP($C209,目录!$B:$C,2,0)&amp;"","⚠目录里没有"))</f>
        <v/>
      </c>
      <c r="B209" s="45" t="str">
        <f aca="false">IF($D209="","",IFERROR(MID($D209,FIND(".",$D209)+1,FIND(".",$D209,FIND(".",$D209)+1)-FIND(".",$D209)-1)&amp;"月",""))</f>
        <v/>
      </c>
      <c r="C209" s="46"/>
      <c r="D209" s="47"/>
      <c r="E209" s="47"/>
      <c r="F209" s="49"/>
      <c r="G209" s="50"/>
      <c r="H209" s="24"/>
      <c r="I209" s="24" t="str">
        <f aca="false">IF($H209="","",N($H209)*N($G209))</f>
        <v/>
      </c>
      <c r="J209" s="25" t="str">
        <f aca="false">IF($H209="","",N($H209)-N($I209))</f>
        <v/>
      </c>
      <c r="K209" s="25"/>
      <c r="L209" s="25" t="str">
        <f aca="false">IF($A209="","",SUMIF($A$4:$A209,$A209,$J$4:$J209)-SUMIF($A$4:$A209,$A209,$K$4:$K209))</f>
        <v/>
      </c>
      <c r="M209" s="26" t="str">
        <f aca="false">IF($H209="","",N($H209))</f>
        <v/>
      </c>
      <c r="N209" s="26"/>
      <c r="O209" s="26"/>
      <c r="P209" s="26" t="str">
        <f aca="false">IF($A209="","",SUMIF($A$4:$A209,$A209,$M$4:$M209)-SUMIF($A$4:$A209,$A209,$N$4:$N209)-SUMIF($A$4:$A209,$A209,$O$4:$O209))</f>
        <v/>
      </c>
      <c r="Q209" s="27"/>
      <c r="R209" s="28"/>
      <c r="S209" s="28"/>
      <c r="T209" s="28" t="str">
        <f aca="false">IF($A209="","",SUMIF($A$4:$A209,$A209,$Q$4:$Q209)-SUMIF($A$4:$A209,$A209,$R$4:$R209)-SUMIF($A$4:$A209,$A209,$S$4:$S209))</f>
        <v/>
      </c>
      <c r="U209" s="28"/>
      <c r="V209" s="29" t="str">
        <f aca="false">IF(AND($C209="",COUNTA($D209:$H209,$K209,$N209:$O209,$Q209:$S209,$U209)=0),"",IF($C209="","⚠ 没填项目名称",IF($A209="⚠目录里没有","⚠ 项目名称在目录里找不到（先加到目录）",IF($A209="","⚠ 目录里这个项目没填简称",IF(ISTEXT($G209)+ISTEXT($H209)+ISTEXT($K209)+ISTEXT($N209)+ISTEXT($O209)+ISTEXT($Q209)+ISTEXT($R209)+ISTEXT($S209)&gt;0,"⚠ 金额列里有文字，算不进合计",IF(N($G209)&gt;=1,"⚠ 管理费点要填百分比，如 10%",IF(AND($D209&lt;&gt;"",$B209=""),"△ 摘要开头没写日期（如 2026.9.21），月份取不到",IF(AND(N($H209)&lt;&gt;0,COUNTIFS($A$4:$A$1003,$A209,$H$4:$H$1003,$H209,$D$4:$D$1003,LEFT($D209,9)&amp;"*")&gt;1),"△ 同一天同项目有一样的销售金额，看看是不是录重了","✓"))))))))</f>
        <v/>
      </c>
      <c r="W209" s="8" t="str">
        <f aca="false">IF($A209="","",$A209&amp;"#"&amp;COUNTIF($A$4:$A209,$A209))</f>
        <v/>
      </c>
    </row>
    <row r="210" customFormat="false" ht="16.5" hidden="false" customHeight="false" outlineLevel="0" collapsed="false">
      <c r="A210" s="44" t="str">
        <f aca="false">IF($C210="","",IFERROR(VLOOKUP($C210,目录!$B:$C,2,0)&amp;"","⚠目录里没有"))</f>
        <v/>
      </c>
      <c r="B210" s="45" t="str">
        <f aca="false">IF($D210="","",IFERROR(MID($D210,FIND(".",$D210)+1,FIND(".",$D210,FIND(".",$D210)+1)-FIND(".",$D210)-1)&amp;"月",""))</f>
        <v/>
      </c>
      <c r="C210" s="46"/>
      <c r="D210" s="47"/>
      <c r="E210" s="47"/>
      <c r="F210" s="49"/>
      <c r="G210" s="50"/>
      <c r="H210" s="24"/>
      <c r="I210" s="24" t="str">
        <f aca="false">IF($H210="","",N($H210)*N($G210))</f>
        <v/>
      </c>
      <c r="J210" s="25" t="str">
        <f aca="false">IF($H210="","",N($H210)-N($I210))</f>
        <v/>
      </c>
      <c r="K210" s="25"/>
      <c r="L210" s="25" t="str">
        <f aca="false">IF($A210="","",SUMIF($A$4:$A210,$A210,$J$4:$J210)-SUMIF($A$4:$A210,$A210,$K$4:$K210))</f>
        <v/>
      </c>
      <c r="M210" s="26" t="str">
        <f aca="false">IF($H210="","",N($H210))</f>
        <v/>
      </c>
      <c r="N210" s="26"/>
      <c r="O210" s="26"/>
      <c r="P210" s="26" t="str">
        <f aca="false">IF($A210="","",SUMIF($A$4:$A210,$A210,$M$4:$M210)-SUMIF($A$4:$A210,$A210,$N$4:$N210)-SUMIF($A$4:$A210,$A210,$O$4:$O210))</f>
        <v/>
      </c>
      <c r="Q210" s="27"/>
      <c r="R210" s="28"/>
      <c r="S210" s="28"/>
      <c r="T210" s="28" t="str">
        <f aca="false">IF($A210="","",SUMIF($A$4:$A210,$A210,$Q$4:$Q210)-SUMIF($A$4:$A210,$A210,$R$4:$R210)-SUMIF($A$4:$A210,$A210,$S$4:$S210))</f>
        <v/>
      </c>
      <c r="U210" s="28"/>
      <c r="V210" s="29" t="str">
        <f aca="false">IF(AND($C210="",COUNTA($D210:$H210,$K210,$N210:$O210,$Q210:$S210,$U210)=0),"",IF($C210="","⚠ 没填项目名称",IF($A210="⚠目录里没有","⚠ 项目名称在目录里找不到（先加到目录）",IF($A210="","⚠ 目录里这个项目没填简称",IF(ISTEXT($G210)+ISTEXT($H210)+ISTEXT($K210)+ISTEXT($N210)+ISTEXT($O210)+ISTEXT($Q210)+ISTEXT($R210)+ISTEXT($S210)&gt;0,"⚠ 金额列里有文字，算不进合计",IF(N($G210)&gt;=1,"⚠ 管理费点要填百分比，如 10%",IF(AND($D210&lt;&gt;"",$B210=""),"△ 摘要开头没写日期（如 2026.9.21），月份取不到",IF(AND(N($H210)&lt;&gt;0,COUNTIFS($A$4:$A$1003,$A210,$H$4:$H$1003,$H210,$D$4:$D$1003,LEFT($D210,9)&amp;"*")&gt;1),"△ 同一天同项目有一样的销售金额，看看是不是录重了","✓"))))))))</f>
        <v/>
      </c>
      <c r="W210" s="8" t="str">
        <f aca="false">IF($A210="","",$A210&amp;"#"&amp;COUNTIF($A$4:$A210,$A210))</f>
        <v/>
      </c>
    </row>
    <row r="211" customFormat="false" ht="16.5" hidden="false" customHeight="false" outlineLevel="0" collapsed="false">
      <c r="A211" s="44" t="str">
        <f aca="false">IF($C211="","",IFERROR(VLOOKUP($C211,目录!$B:$C,2,0)&amp;"","⚠目录里没有"))</f>
        <v/>
      </c>
      <c r="B211" s="45" t="str">
        <f aca="false">IF($D211="","",IFERROR(MID($D211,FIND(".",$D211)+1,FIND(".",$D211,FIND(".",$D211)+1)-FIND(".",$D211)-1)&amp;"月",""))</f>
        <v/>
      </c>
      <c r="C211" s="46"/>
      <c r="D211" s="47"/>
      <c r="E211" s="47"/>
      <c r="F211" s="49"/>
      <c r="G211" s="50"/>
      <c r="H211" s="24"/>
      <c r="I211" s="24" t="str">
        <f aca="false">IF($H211="","",N($H211)*N($G211))</f>
        <v/>
      </c>
      <c r="J211" s="25" t="str">
        <f aca="false">IF($H211="","",N($H211)-N($I211))</f>
        <v/>
      </c>
      <c r="K211" s="25"/>
      <c r="L211" s="25" t="str">
        <f aca="false">IF($A211="","",SUMIF($A$4:$A211,$A211,$J$4:$J211)-SUMIF($A$4:$A211,$A211,$K$4:$K211))</f>
        <v/>
      </c>
      <c r="M211" s="26" t="str">
        <f aca="false">IF($H211="","",N($H211))</f>
        <v/>
      </c>
      <c r="N211" s="26"/>
      <c r="O211" s="26"/>
      <c r="P211" s="26" t="str">
        <f aca="false">IF($A211="","",SUMIF($A$4:$A211,$A211,$M$4:$M211)-SUMIF($A$4:$A211,$A211,$N$4:$N211)-SUMIF($A$4:$A211,$A211,$O$4:$O211))</f>
        <v/>
      </c>
      <c r="Q211" s="27"/>
      <c r="R211" s="28"/>
      <c r="S211" s="28"/>
      <c r="T211" s="28" t="str">
        <f aca="false">IF($A211="","",SUMIF($A$4:$A211,$A211,$Q$4:$Q211)-SUMIF($A$4:$A211,$A211,$R$4:$R211)-SUMIF($A$4:$A211,$A211,$S$4:$S211))</f>
        <v/>
      </c>
      <c r="U211" s="28"/>
      <c r="V211" s="29" t="str">
        <f aca="false">IF(AND($C211="",COUNTA($D211:$H211,$K211,$N211:$O211,$Q211:$S211,$U211)=0),"",IF($C211="","⚠ 没填项目名称",IF($A211="⚠目录里没有","⚠ 项目名称在目录里找不到（先加到目录）",IF($A211="","⚠ 目录里这个项目没填简称",IF(ISTEXT($G211)+ISTEXT($H211)+ISTEXT($K211)+ISTEXT($N211)+ISTEXT($O211)+ISTEXT($Q211)+ISTEXT($R211)+ISTEXT($S211)&gt;0,"⚠ 金额列里有文字，算不进合计",IF(N($G211)&gt;=1,"⚠ 管理费点要填百分比，如 10%",IF(AND($D211&lt;&gt;"",$B211=""),"△ 摘要开头没写日期（如 2026.9.21），月份取不到",IF(AND(N($H211)&lt;&gt;0,COUNTIFS($A$4:$A$1003,$A211,$H$4:$H$1003,$H211,$D$4:$D$1003,LEFT($D211,9)&amp;"*")&gt;1),"△ 同一天同项目有一样的销售金额，看看是不是录重了","✓"))))))))</f>
        <v/>
      </c>
      <c r="W211" s="8" t="str">
        <f aca="false">IF($A211="","",$A211&amp;"#"&amp;COUNTIF($A$4:$A211,$A211))</f>
        <v/>
      </c>
    </row>
    <row r="212" customFormat="false" ht="16.5" hidden="false" customHeight="false" outlineLevel="0" collapsed="false">
      <c r="A212" s="44" t="str">
        <f aca="false">IF($C212="","",IFERROR(VLOOKUP($C212,目录!$B:$C,2,0)&amp;"","⚠目录里没有"))</f>
        <v/>
      </c>
      <c r="B212" s="45" t="str">
        <f aca="false">IF($D212="","",IFERROR(MID($D212,FIND(".",$D212)+1,FIND(".",$D212,FIND(".",$D212)+1)-FIND(".",$D212)-1)&amp;"月",""))</f>
        <v/>
      </c>
      <c r="C212" s="46"/>
      <c r="D212" s="47"/>
      <c r="E212" s="47"/>
      <c r="F212" s="49"/>
      <c r="G212" s="50"/>
      <c r="H212" s="24"/>
      <c r="I212" s="24" t="str">
        <f aca="false">IF($H212="","",N($H212)*N($G212))</f>
        <v/>
      </c>
      <c r="J212" s="25" t="str">
        <f aca="false">IF($H212="","",N($H212)-N($I212))</f>
        <v/>
      </c>
      <c r="K212" s="25"/>
      <c r="L212" s="25" t="str">
        <f aca="false">IF($A212="","",SUMIF($A$4:$A212,$A212,$J$4:$J212)-SUMIF($A$4:$A212,$A212,$K$4:$K212))</f>
        <v/>
      </c>
      <c r="M212" s="26" t="str">
        <f aca="false">IF($H212="","",N($H212))</f>
        <v/>
      </c>
      <c r="N212" s="26"/>
      <c r="O212" s="26"/>
      <c r="P212" s="26" t="str">
        <f aca="false">IF($A212="","",SUMIF($A$4:$A212,$A212,$M$4:$M212)-SUMIF($A$4:$A212,$A212,$N$4:$N212)-SUMIF($A$4:$A212,$A212,$O$4:$O212))</f>
        <v/>
      </c>
      <c r="Q212" s="27"/>
      <c r="R212" s="28"/>
      <c r="S212" s="28"/>
      <c r="T212" s="28" t="str">
        <f aca="false">IF($A212="","",SUMIF($A$4:$A212,$A212,$Q$4:$Q212)-SUMIF($A$4:$A212,$A212,$R$4:$R212)-SUMIF($A$4:$A212,$A212,$S$4:$S212))</f>
        <v/>
      </c>
      <c r="U212" s="28"/>
      <c r="V212" s="29" t="str">
        <f aca="false">IF(AND($C212="",COUNTA($D212:$H212,$K212,$N212:$O212,$Q212:$S212,$U212)=0),"",IF($C212="","⚠ 没填项目名称",IF($A212="⚠目录里没有","⚠ 项目名称在目录里找不到（先加到目录）",IF($A212="","⚠ 目录里这个项目没填简称",IF(ISTEXT($G212)+ISTEXT($H212)+ISTEXT($K212)+ISTEXT($N212)+ISTEXT($O212)+ISTEXT($Q212)+ISTEXT($R212)+ISTEXT($S212)&gt;0,"⚠ 金额列里有文字，算不进合计",IF(N($G212)&gt;=1,"⚠ 管理费点要填百分比，如 10%",IF(AND($D212&lt;&gt;"",$B212=""),"△ 摘要开头没写日期（如 2026.9.21），月份取不到",IF(AND(N($H212)&lt;&gt;0,COUNTIFS($A$4:$A$1003,$A212,$H$4:$H$1003,$H212,$D$4:$D$1003,LEFT($D212,9)&amp;"*")&gt;1),"△ 同一天同项目有一样的销售金额，看看是不是录重了","✓"))))))))</f>
        <v/>
      </c>
      <c r="W212" s="8" t="str">
        <f aca="false">IF($A212="","",$A212&amp;"#"&amp;COUNTIF($A$4:$A212,$A212))</f>
        <v/>
      </c>
    </row>
    <row r="213" customFormat="false" ht="16.5" hidden="false" customHeight="false" outlineLevel="0" collapsed="false">
      <c r="A213" s="44" t="str">
        <f aca="false">IF($C213="","",IFERROR(VLOOKUP($C213,目录!$B:$C,2,0)&amp;"","⚠目录里没有"))</f>
        <v/>
      </c>
      <c r="B213" s="45" t="str">
        <f aca="false">IF($D213="","",IFERROR(MID($D213,FIND(".",$D213)+1,FIND(".",$D213,FIND(".",$D213)+1)-FIND(".",$D213)-1)&amp;"月",""))</f>
        <v/>
      </c>
      <c r="C213" s="46"/>
      <c r="D213" s="47"/>
      <c r="E213" s="47"/>
      <c r="F213" s="49"/>
      <c r="G213" s="50"/>
      <c r="H213" s="24"/>
      <c r="I213" s="24" t="str">
        <f aca="false">IF($H213="","",N($H213)*N($G213))</f>
        <v/>
      </c>
      <c r="J213" s="25" t="str">
        <f aca="false">IF($H213="","",N($H213)-N($I213))</f>
        <v/>
      </c>
      <c r="K213" s="25"/>
      <c r="L213" s="25" t="str">
        <f aca="false">IF($A213="","",SUMIF($A$4:$A213,$A213,$J$4:$J213)-SUMIF($A$4:$A213,$A213,$K$4:$K213))</f>
        <v/>
      </c>
      <c r="M213" s="26" t="str">
        <f aca="false">IF($H213="","",N($H213))</f>
        <v/>
      </c>
      <c r="N213" s="26"/>
      <c r="O213" s="26"/>
      <c r="P213" s="26" t="str">
        <f aca="false">IF($A213="","",SUMIF($A$4:$A213,$A213,$M$4:$M213)-SUMIF($A$4:$A213,$A213,$N$4:$N213)-SUMIF($A$4:$A213,$A213,$O$4:$O213))</f>
        <v/>
      </c>
      <c r="Q213" s="27"/>
      <c r="R213" s="28"/>
      <c r="S213" s="28"/>
      <c r="T213" s="28" t="str">
        <f aca="false">IF($A213="","",SUMIF($A$4:$A213,$A213,$Q$4:$Q213)-SUMIF($A$4:$A213,$A213,$R$4:$R213)-SUMIF($A$4:$A213,$A213,$S$4:$S213))</f>
        <v/>
      </c>
      <c r="U213" s="28"/>
      <c r="V213" s="29" t="str">
        <f aca="false">IF(AND($C213="",COUNTA($D213:$H213,$K213,$N213:$O213,$Q213:$S213,$U213)=0),"",IF($C213="","⚠ 没填项目名称",IF($A213="⚠目录里没有","⚠ 项目名称在目录里找不到（先加到目录）",IF($A213="","⚠ 目录里这个项目没填简称",IF(ISTEXT($G213)+ISTEXT($H213)+ISTEXT($K213)+ISTEXT($N213)+ISTEXT($O213)+ISTEXT($Q213)+ISTEXT($R213)+ISTEXT($S213)&gt;0,"⚠ 金额列里有文字，算不进合计",IF(N($G213)&gt;=1,"⚠ 管理费点要填百分比，如 10%",IF(AND($D213&lt;&gt;"",$B213=""),"△ 摘要开头没写日期（如 2026.9.21），月份取不到",IF(AND(N($H213)&lt;&gt;0,COUNTIFS($A$4:$A$1003,$A213,$H$4:$H$1003,$H213,$D$4:$D$1003,LEFT($D213,9)&amp;"*")&gt;1),"△ 同一天同项目有一样的销售金额，看看是不是录重了","✓"))))))))</f>
        <v/>
      </c>
      <c r="W213" s="8" t="str">
        <f aca="false">IF($A213="","",$A213&amp;"#"&amp;COUNTIF($A$4:$A213,$A213))</f>
        <v/>
      </c>
    </row>
    <row r="214" customFormat="false" ht="16.5" hidden="false" customHeight="false" outlineLevel="0" collapsed="false">
      <c r="A214" s="44" t="str">
        <f aca="false">IF($C214="","",IFERROR(VLOOKUP($C214,目录!$B:$C,2,0)&amp;"","⚠目录里没有"))</f>
        <v/>
      </c>
      <c r="B214" s="45" t="str">
        <f aca="false">IF($D214="","",IFERROR(MID($D214,FIND(".",$D214)+1,FIND(".",$D214,FIND(".",$D214)+1)-FIND(".",$D214)-1)&amp;"月",""))</f>
        <v/>
      </c>
      <c r="C214" s="46"/>
      <c r="D214" s="47"/>
      <c r="E214" s="47"/>
      <c r="F214" s="49"/>
      <c r="G214" s="50"/>
      <c r="H214" s="24"/>
      <c r="I214" s="24" t="str">
        <f aca="false">IF($H214="","",N($H214)*N($G214))</f>
        <v/>
      </c>
      <c r="J214" s="25" t="str">
        <f aca="false">IF($H214="","",N($H214)-N($I214))</f>
        <v/>
      </c>
      <c r="K214" s="25"/>
      <c r="L214" s="25" t="str">
        <f aca="false">IF($A214="","",SUMIF($A$4:$A214,$A214,$J$4:$J214)-SUMIF($A$4:$A214,$A214,$K$4:$K214))</f>
        <v/>
      </c>
      <c r="M214" s="26" t="str">
        <f aca="false">IF($H214="","",N($H214))</f>
        <v/>
      </c>
      <c r="N214" s="26"/>
      <c r="O214" s="26"/>
      <c r="P214" s="26" t="str">
        <f aca="false">IF($A214="","",SUMIF($A$4:$A214,$A214,$M$4:$M214)-SUMIF($A$4:$A214,$A214,$N$4:$N214)-SUMIF($A$4:$A214,$A214,$O$4:$O214))</f>
        <v/>
      </c>
      <c r="Q214" s="27"/>
      <c r="R214" s="28"/>
      <c r="S214" s="28"/>
      <c r="T214" s="28" t="str">
        <f aca="false">IF($A214="","",SUMIF($A$4:$A214,$A214,$Q$4:$Q214)-SUMIF($A$4:$A214,$A214,$R$4:$R214)-SUMIF($A$4:$A214,$A214,$S$4:$S214))</f>
        <v/>
      </c>
      <c r="U214" s="28"/>
      <c r="V214" s="29" t="str">
        <f aca="false">IF(AND($C214="",COUNTA($D214:$H214,$K214,$N214:$O214,$Q214:$S214,$U214)=0),"",IF($C214="","⚠ 没填项目名称",IF($A214="⚠目录里没有","⚠ 项目名称在目录里找不到（先加到目录）",IF($A214="","⚠ 目录里这个项目没填简称",IF(ISTEXT($G214)+ISTEXT($H214)+ISTEXT($K214)+ISTEXT($N214)+ISTEXT($O214)+ISTEXT($Q214)+ISTEXT($R214)+ISTEXT($S214)&gt;0,"⚠ 金额列里有文字，算不进合计",IF(N($G214)&gt;=1,"⚠ 管理费点要填百分比，如 10%",IF(AND($D214&lt;&gt;"",$B214=""),"△ 摘要开头没写日期（如 2026.9.21），月份取不到",IF(AND(N($H214)&lt;&gt;0,COUNTIFS($A$4:$A$1003,$A214,$H$4:$H$1003,$H214,$D$4:$D$1003,LEFT($D214,9)&amp;"*")&gt;1),"△ 同一天同项目有一样的销售金额，看看是不是录重了","✓"))))))))</f>
        <v/>
      </c>
      <c r="W214" s="8" t="str">
        <f aca="false">IF($A214="","",$A214&amp;"#"&amp;COUNTIF($A$4:$A214,$A214))</f>
        <v/>
      </c>
    </row>
    <row r="215" customFormat="false" ht="16.5" hidden="false" customHeight="false" outlineLevel="0" collapsed="false">
      <c r="A215" s="44" t="str">
        <f aca="false">IF($C215="","",IFERROR(VLOOKUP($C215,目录!$B:$C,2,0)&amp;"","⚠目录里没有"))</f>
        <v/>
      </c>
      <c r="B215" s="45" t="str">
        <f aca="false">IF($D215="","",IFERROR(MID($D215,FIND(".",$D215)+1,FIND(".",$D215,FIND(".",$D215)+1)-FIND(".",$D215)-1)&amp;"月",""))</f>
        <v/>
      </c>
      <c r="C215" s="46"/>
      <c r="D215" s="47"/>
      <c r="E215" s="47"/>
      <c r="F215" s="49"/>
      <c r="G215" s="50"/>
      <c r="H215" s="24"/>
      <c r="I215" s="24" t="str">
        <f aca="false">IF($H215="","",N($H215)*N($G215))</f>
        <v/>
      </c>
      <c r="J215" s="25" t="str">
        <f aca="false">IF($H215="","",N($H215)-N($I215))</f>
        <v/>
      </c>
      <c r="K215" s="25"/>
      <c r="L215" s="25" t="str">
        <f aca="false">IF($A215="","",SUMIF($A$4:$A215,$A215,$J$4:$J215)-SUMIF($A$4:$A215,$A215,$K$4:$K215))</f>
        <v/>
      </c>
      <c r="M215" s="26" t="str">
        <f aca="false">IF($H215="","",N($H215))</f>
        <v/>
      </c>
      <c r="N215" s="26"/>
      <c r="O215" s="26"/>
      <c r="P215" s="26" t="str">
        <f aca="false">IF($A215="","",SUMIF($A$4:$A215,$A215,$M$4:$M215)-SUMIF($A$4:$A215,$A215,$N$4:$N215)-SUMIF($A$4:$A215,$A215,$O$4:$O215))</f>
        <v/>
      </c>
      <c r="Q215" s="27"/>
      <c r="R215" s="28"/>
      <c r="S215" s="28"/>
      <c r="T215" s="28" t="str">
        <f aca="false">IF($A215="","",SUMIF($A$4:$A215,$A215,$Q$4:$Q215)-SUMIF($A$4:$A215,$A215,$R$4:$R215)-SUMIF($A$4:$A215,$A215,$S$4:$S215))</f>
        <v/>
      </c>
      <c r="U215" s="28"/>
      <c r="V215" s="29" t="str">
        <f aca="false">IF(AND($C215="",COUNTA($D215:$H215,$K215,$N215:$O215,$Q215:$S215,$U215)=0),"",IF($C215="","⚠ 没填项目名称",IF($A215="⚠目录里没有","⚠ 项目名称在目录里找不到（先加到目录）",IF($A215="","⚠ 目录里这个项目没填简称",IF(ISTEXT($G215)+ISTEXT($H215)+ISTEXT($K215)+ISTEXT($N215)+ISTEXT($O215)+ISTEXT($Q215)+ISTEXT($R215)+ISTEXT($S215)&gt;0,"⚠ 金额列里有文字，算不进合计",IF(N($G215)&gt;=1,"⚠ 管理费点要填百分比，如 10%",IF(AND($D215&lt;&gt;"",$B215=""),"△ 摘要开头没写日期（如 2026.9.21），月份取不到",IF(AND(N($H215)&lt;&gt;0,COUNTIFS($A$4:$A$1003,$A215,$H$4:$H$1003,$H215,$D$4:$D$1003,LEFT($D215,9)&amp;"*")&gt;1),"△ 同一天同项目有一样的销售金额，看看是不是录重了","✓"))))))))</f>
        <v/>
      </c>
      <c r="W215" s="8" t="str">
        <f aca="false">IF($A215="","",$A215&amp;"#"&amp;COUNTIF($A$4:$A215,$A215))</f>
        <v/>
      </c>
    </row>
    <row r="216" customFormat="false" ht="16.5" hidden="false" customHeight="false" outlineLevel="0" collapsed="false">
      <c r="A216" s="44" t="str">
        <f aca="false">IF($C216="","",IFERROR(VLOOKUP($C216,目录!$B:$C,2,0)&amp;"","⚠目录里没有"))</f>
        <v/>
      </c>
      <c r="B216" s="45" t="str">
        <f aca="false">IF($D216="","",IFERROR(MID($D216,FIND(".",$D216)+1,FIND(".",$D216,FIND(".",$D216)+1)-FIND(".",$D216)-1)&amp;"月",""))</f>
        <v/>
      </c>
      <c r="C216" s="46"/>
      <c r="D216" s="47"/>
      <c r="E216" s="47"/>
      <c r="F216" s="49"/>
      <c r="G216" s="50"/>
      <c r="H216" s="24"/>
      <c r="I216" s="24" t="str">
        <f aca="false">IF($H216="","",N($H216)*N($G216))</f>
        <v/>
      </c>
      <c r="J216" s="25" t="str">
        <f aca="false">IF($H216="","",N($H216)-N($I216))</f>
        <v/>
      </c>
      <c r="K216" s="25"/>
      <c r="L216" s="25" t="str">
        <f aca="false">IF($A216="","",SUMIF($A$4:$A216,$A216,$J$4:$J216)-SUMIF($A$4:$A216,$A216,$K$4:$K216))</f>
        <v/>
      </c>
      <c r="M216" s="26" t="str">
        <f aca="false">IF($H216="","",N($H216))</f>
        <v/>
      </c>
      <c r="N216" s="26"/>
      <c r="O216" s="26"/>
      <c r="P216" s="26" t="str">
        <f aca="false">IF($A216="","",SUMIF($A$4:$A216,$A216,$M$4:$M216)-SUMIF($A$4:$A216,$A216,$N$4:$N216)-SUMIF($A$4:$A216,$A216,$O$4:$O216))</f>
        <v/>
      </c>
      <c r="Q216" s="27"/>
      <c r="R216" s="28"/>
      <c r="S216" s="28"/>
      <c r="T216" s="28" t="str">
        <f aca="false">IF($A216="","",SUMIF($A$4:$A216,$A216,$Q$4:$Q216)-SUMIF($A$4:$A216,$A216,$R$4:$R216)-SUMIF($A$4:$A216,$A216,$S$4:$S216))</f>
        <v/>
      </c>
      <c r="U216" s="28"/>
      <c r="V216" s="29" t="str">
        <f aca="false">IF(AND($C216="",COUNTA($D216:$H216,$K216,$N216:$O216,$Q216:$S216,$U216)=0),"",IF($C216="","⚠ 没填项目名称",IF($A216="⚠目录里没有","⚠ 项目名称在目录里找不到（先加到目录）",IF($A216="","⚠ 目录里这个项目没填简称",IF(ISTEXT($G216)+ISTEXT($H216)+ISTEXT($K216)+ISTEXT($N216)+ISTEXT($O216)+ISTEXT($Q216)+ISTEXT($R216)+ISTEXT($S216)&gt;0,"⚠ 金额列里有文字，算不进合计",IF(N($G216)&gt;=1,"⚠ 管理费点要填百分比，如 10%",IF(AND($D216&lt;&gt;"",$B216=""),"△ 摘要开头没写日期（如 2026.9.21），月份取不到",IF(AND(N($H216)&lt;&gt;0,COUNTIFS($A$4:$A$1003,$A216,$H$4:$H$1003,$H216,$D$4:$D$1003,LEFT($D216,9)&amp;"*")&gt;1),"△ 同一天同项目有一样的销售金额，看看是不是录重了","✓"))))))))</f>
        <v/>
      </c>
      <c r="W216" s="8" t="str">
        <f aca="false">IF($A216="","",$A216&amp;"#"&amp;COUNTIF($A$4:$A216,$A216))</f>
        <v/>
      </c>
    </row>
    <row r="217" customFormat="false" ht="16.5" hidden="false" customHeight="false" outlineLevel="0" collapsed="false">
      <c r="A217" s="44" t="str">
        <f aca="false">IF($C217="","",IFERROR(VLOOKUP($C217,目录!$B:$C,2,0)&amp;"","⚠目录里没有"))</f>
        <v/>
      </c>
      <c r="B217" s="45" t="str">
        <f aca="false">IF($D217="","",IFERROR(MID($D217,FIND(".",$D217)+1,FIND(".",$D217,FIND(".",$D217)+1)-FIND(".",$D217)-1)&amp;"月",""))</f>
        <v/>
      </c>
      <c r="C217" s="46"/>
      <c r="D217" s="47"/>
      <c r="E217" s="47"/>
      <c r="F217" s="49"/>
      <c r="G217" s="50"/>
      <c r="H217" s="24"/>
      <c r="I217" s="24" t="str">
        <f aca="false">IF($H217="","",N($H217)*N($G217))</f>
        <v/>
      </c>
      <c r="J217" s="25" t="str">
        <f aca="false">IF($H217="","",N($H217)-N($I217))</f>
        <v/>
      </c>
      <c r="K217" s="25"/>
      <c r="L217" s="25" t="str">
        <f aca="false">IF($A217="","",SUMIF($A$4:$A217,$A217,$J$4:$J217)-SUMIF($A$4:$A217,$A217,$K$4:$K217))</f>
        <v/>
      </c>
      <c r="M217" s="26" t="str">
        <f aca="false">IF($H217="","",N($H217))</f>
        <v/>
      </c>
      <c r="N217" s="26"/>
      <c r="O217" s="26"/>
      <c r="P217" s="26" t="str">
        <f aca="false">IF($A217="","",SUMIF($A$4:$A217,$A217,$M$4:$M217)-SUMIF($A$4:$A217,$A217,$N$4:$N217)-SUMIF($A$4:$A217,$A217,$O$4:$O217))</f>
        <v/>
      </c>
      <c r="Q217" s="27"/>
      <c r="R217" s="28"/>
      <c r="S217" s="28"/>
      <c r="T217" s="28" t="str">
        <f aca="false">IF($A217="","",SUMIF($A$4:$A217,$A217,$Q$4:$Q217)-SUMIF($A$4:$A217,$A217,$R$4:$R217)-SUMIF($A$4:$A217,$A217,$S$4:$S217))</f>
        <v/>
      </c>
      <c r="U217" s="28"/>
      <c r="V217" s="29" t="str">
        <f aca="false">IF(AND($C217="",COUNTA($D217:$H217,$K217,$N217:$O217,$Q217:$S217,$U217)=0),"",IF($C217="","⚠ 没填项目名称",IF($A217="⚠目录里没有","⚠ 项目名称在目录里找不到（先加到目录）",IF($A217="","⚠ 目录里这个项目没填简称",IF(ISTEXT($G217)+ISTEXT($H217)+ISTEXT($K217)+ISTEXT($N217)+ISTEXT($O217)+ISTEXT($Q217)+ISTEXT($R217)+ISTEXT($S217)&gt;0,"⚠ 金额列里有文字，算不进合计",IF(N($G217)&gt;=1,"⚠ 管理费点要填百分比，如 10%",IF(AND($D217&lt;&gt;"",$B217=""),"△ 摘要开头没写日期（如 2026.9.21），月份取不到",IF(AND(N($H217)&lt;&gt;0,COUNTIFS($A$4:$A$1003,$A217,$H$4:$H$1003,$H217,$D$4:$D$1003,LEFT($D217,9)&amp;"*")&gt;1),"△ 同一天同项目有一样的销售金额，看看是不是录重了","✓"))))))))</f>
        <v/>
      </c>
      <c r="W217" s="8" t="str">
        <f aca="false">IF($A217="","",$A217&amp;"#"&amp;COUNTIF($A$4:$A217,$A217))</f>
        <v/>
      </c>
    </row>
    <row r="218" customFormat="false" ht="16.5" hidden="false" customHeight="false" outlineLevel="0" collapsed="false">
      <c r="A218" s="44" t="str">
        <f aca="false">IF($C218="","",IFERROR(VLOOKUP($C218,目录!$B:$C,2,0)&amp;"","⚠目录里没有"))</f>
        <v/>
      </c>
      <c r="B218" s="45" t="str">
        <f aca="false">IF($D218="","",IFERROR(MID($D218,FIND(".",$D218)+1,FIND(".",$D218,FIND(".",$D218)+1)-FIND(".",$D218)-1)&amp;"月",""))</f>
        <v/>
      </c>
      <c r="C218" s="46"/>
      <c r="D218" s="47"/>
      <c r="E218" s="47"/>
      <c r="F218" s="49"/>
      <c r="G218" s="50"/>
      <c r="H218" s="24"/>
      <c r="I218" s="24" t="str">
        <f aca="false">IF($H218="","",N($H218)*N($G218))</f>
        <v/>
      </c>
      <c r="J218" s="25" t="str">
        <f aca="false">IF($H218="","",N($H218)-N($I218))</f>
        <v/>
      </c>
      <c r="K218" s="25"/>
      <c r="L218" s="25" t="str">
        <f aca="false">IF($A218="","",SUMIF($A$4:$A218,$A218,$J$4:$J218)-SUMIF($A$4:$A218,$A218,$K$4:$K218))</f>
        <v/>
      </c>
      <c r="M218" s="26" t="str">
        <f aca="false">IF($H218="","",N($H218))</f>
        <v/>
      </c>
      <c r="N218" s="26"/>
      <c r="O218" s="26"/>
      <c r="P218" s="26" t="str">
        <f aca="false">IF($A218="","",SUMIF($A$4:$A218,$A218,$M$4:$M218)-SUMIF($A$4:$A218,$A218,$N$4:$N218)-SUMIF($A$4:$A218,$A218,$O$4:$O218))</f>
        <v/>
      </c>
      <c r="Q218" s="27"/>
      <c r="R218" s="28"/>
      <c r="S218" s="28"/>
      <c r="T218" s="28" t="str">
        <f aca="false">IF($A218="","",SUMIF($A$4:$A218,$A218,$Q$4:$Q218)-SUMIF($A$4:$A218,$A218,$R$4:$R218)-SUMIF($A$4:$A218,$A218,$S$4:$S218))</f>
        <v/>
      </c>
      <c r="U218" s="28"/>
      <c r="V218" s="29" t="str">
        <f aca="false">IF(AND($C218="",COUNTA($D218:$H218,$K218,$N218:$O218,$Q218:$S218,$U218)=0),"",IF($C218="","⚠ 没填项目名称",IF($A218="⚠目录里没有","⚠ 项目名称在目录里找不到（先加到目录）",IF($A218="","⚠ 目录里这个项目没填简称",IF(ISTEXT($G218)+ISTEXT($H218)+ISTEXT($K218)+ISTEXT($N218)+ISTEXT($O218)+ISTEXT($Q218)+ISTEXT($R218)+ISTEXT($S218)&gt;0,"⚠ 金额列里有文字，算不进合计",IF(N($G218)&gt;=1,"⚠ 管理费点要填百分比，如 10%",IF(AND($D218&lt;&gt;"",$B218=""),"△ 摘要开头没写日期（如 2026.9.21），月份取不到",IF(AND(N($H218)&lt;&gt;0,COUNTIFS($A$4:$A$1003,$A218,$H$4:$H$1003,$H218,$D$4:$D$1003,LEFT($D218,9)&amp;"*")&gt;1),"△ 同一天同项目有一样的销售金额，看看是不是录重了","✓"))))))))</f>
        <v/>
      </c>
      <c r="W218" s="8" t="str">
        <f aca="false">IF($A218="","",$A218&amp;"#"&amp;COUNTIF($A$4:$A218,$A218))</f>
        <v/>
      </c>
    </row>
    <row r="219" customFormat="false" ht="16.5" hidden="false" customHeight="false" outlineLevel="0" collapsed="false">
      <c r="A219" s="44" t="str">
        <f aca="false">IF($C219="","",IFERROR(VLOOKUP($C219,目录!$B:$C,2,0)&amp;"","⚠目录里没有"))</f>
        <v/>
      </c>
      <c r="B219" s="45" t="str">
        <f aca="false">IF($D219="","",IFERROR(MID($D219,FIND(".",$D219)+1,FIND(".",$D219,FIND(".",$D219)+1)-FIND(".",$D219)-1)&amp;"月",""))</f>
        <v/>
      </c>
      <c r="C219" s="46"/>
      <c r="D219" s="47"/>
      <c r="E219" s="47"/>
      <c r="F219" s="49"/>
      <c r="G219" s="50"/>
      <c r="H219" s="24"/>
      <c r="I219" s="24" t="str">
        <f aca="false">IF($H219="","",N($H219)*N($G219))</f>
        <v/>
      </c>
      <c r="J219" s="25" t="str">
        <f aca="false">IF($H219="","",N($H219)-N($I219))</f>
        <v/>
      </c>
      <c r="K219" s="25"/>
      <c r="L219" s="25" t="str">
        <f aca="false">IF($A219="","",SUMIF($A$4:$A219,$A219,$J$4:$J219)-SUMIF($A$4:$A219,$A219,$K$4:$K219))</f>
        <v/>
      </c>
      <c r="M219" s="26" t="str">
        <f aca="false">IF($H219="","",N($H219))</f>
        <v/>
      </c>
      <c r="N219" s="26"/>
      <c r="O219" s="26"/>
      <c r="P219" s="26" t="str">
        <f aca="false">IF($A219="","",SUMIF($A$4:$A219,$A219,$M$4:$M219)-SUMIF($A$4:$A219,$A219,$N$4:$N219)-SUMIF($A$4:$A219,$A219,$O$4:$O219))</f>
        <v/>
      </c>
      <c r="Q219" s="27"/>
      <c r="R219" s="28"/>
      <c r="S219" s="28"/>
      <c r="T219" s="28" t="str">
        <f aca="false">IF($A219="","",SUMIF($A$4:$A219,$A219,$Q$4:$Q219)-SUMIF($A$4:$A219,$A219,$R$4:$R219)-SUMIF($A$4:$A219,$A219,$S$4:$S219))</f>
        <v/>
      </c>
      <c r="U219" s="28"/>
      <c r="V219" s="29" t="str">
        <f aca="false">IF(AND($C219="",COUNTA($D219:$H219,$K219,$N219:$O219,$Q219:$S219,$U219)=0),"",IF($C219="","⚠ 没填项目名称",IF($A219="⚠目录里没有","⚠ 项目名称在目录里找不到（先加到目录）",IF($A219="","⚠ 目录里这个项目没填简称",IF(ISTEXT($G219)+ISTEXT($H219)+ISTEXT($K219)+ISTEXT($N219)+ISTEXT($O219)+ISTEXT($Q219)+ISTEXT($R219)+ISTEXT($S219)&gt;0,"⚠ 金额列里有文字，算不进合计",IF(N($G219)&gt;=1,"⚠ 管理费点要填百分比，如 10%",IF(AND($D219&lt;&gt;"",$B219=""),"△ 摘要开头没写日期（如 2026.9.21），月份取不到",IF(AND(N($H219)&lt;&gt;0,COUNTIFS($A$4:$A$1003,$A219,$H$4:$H$1003,$H219,$D$4:$D$1003,LEFT($D219,9)&amp;"*")&gt;1),"△ 同一天同项目有一样的销售金额，看看是不是录重了","✓"))))))))</f>
        <v/>
      </c>
      <c r="W219" s="8" t="str">
        <f aca="false">IF($A219="","",$A219&amp;"#"&amp;COUNTIF($A$4:$A219,$A219))</f>
        <v/>
      </c>
    </row>
    <row r="220" customFormat="false" ht="16.5" hidden="false" customHeight="false" outlineLevel="0" collapsed="false">
      <c r="A220" s="44" t="str">
        <f aca="false">IF($C220="","",IFERROR(VLOOKUP($C220,目录!$B:$C,2,0)&amp;"","⚠目录里没有"))</f>
        <v/>
      </c>
      <c r="B220" s="45" t="str">
        <f aca="false">IF($D220="","",IFERROR(MID($D220,FIND(".",$D220)+1,FIND(".",$D220,FIND(".",$D220)+1)-FIND(".",$D220)-1)&amp;"月",""))</f>
        <v/>
      </c>
      <c r="C220" s="46"/>
      <c r="D220" s="47"/>
      <c r="E220" s="47"/>
      <c r="F220" s="49"/>
      <c r="G220" s="50"/>
      <c r="H220" s="24"/>
      <c r="I220" s="24" t="str">
        <f aca="false">IF($H220="","",N($H220)*N($G220))</f>
        <v/>
      </c>
      <c r="J220" s="25" t="str">
        <f aca="false">IF($H220="","",N($H220)-N($I220))</f>
        <v/>
      </c>
      <c r="K220" s="25"/>
      <c r="L220" s="25" t="str">
        <f aca="false">IF($A220="","",SUMIF($A$4:$A220,$A220,$J$4:$J220)-SUMIF($A$4:$A220,$A220,$K$4:$K220))</f>
        <v/>
      </c>
      <c r="M220" s="26" t="str">
        <f aca="false">IF($H220="","",N($H220))</f>
        <v/>
      </c>
      <c r="N220" s="26"/>
      <c r="O220" s="26"/>
      <c r="P220" s="26" t="str">
        <f aca="false">IF($A220="","",SUMIF($A$4:$A220,$A220,$M$4:$M220)-SUMIF($A$4:$A220,$A220,$N$4:$N220)-SUMIF($A$4:$A220,$A220,$O$4:$O220))</f>
        <v/>
      </c>
      <c r="Q220" s="27"/>
      <c r="R220" s="28"/>
      <c r="S220" s="28"/>
      <c r="T220" s="28" t="str">
        <f aca="false">IF($A220="","",SUMIF($A$4:$A220,$A220,$Q$4:$Q220)-SUMIF($A$4:$A220,$A220,$R$4:$R220)-SUMIF($A$4:$A220,$A220,$S$4:$S220))</f>
        <v/>
      </c>
      <c r="U220" s="28"/>
      <c r="V220" s="29" t="str">
        <f aca="false">IF(AND($C220="",COUNTA($D220:$H220,$K220,$N220:$O220,$Q220:$S220,$U220)=0),"",IF($C220="","⚠ 没填项目名称",IF($A220="⚠目录里没有","⚠ 项目名称在目录里找不到（先加到目录）",IF($A220="","⚠ 目录里这个项目没填简称",IF(ISTEXT($G220)+ISTEXT($H220)+ISTEXT($K220)+ISTEXT($N220)+ISTEXT($O220)+ISTEXT($Q220)+ISTEXT($R220)+ISTEXT($S220)&gt;0,"⚠ 金额列里有文字，算不进合计",IF(N($G220)&gt;=1,"⚠ 管理费点要填百分比，如 10%",IF(AND($D220&lt;&gt;"",$B220=""),"△ 摘要开头没写日期（如 2026.9.21），月份取不到",IF(AND(N($H220)&lt;&gt;0,COUNTIFS($A$4:$A$1003,$A220,$H$4:$H$1003,$H220,$D$4:$D$1003,LEFT($D220,9)&amp;"*")&gt;1),"△ 同一天同项目有一样的销售金额，看看是不是录重了","✓"))))))))</f>
        <v/>
      </c>
      <c r="W220" s="8" t="str">
        <f aca="false">IF($A220="","",$A220&amp;"#"&amp;COUNTIF($A$4:$A220,$A220))</f>
        <v/>
      </c>
    </row>
    <row r="221" customFormat="false" ht="16.5" hidden="false" customHeight="false" outlineLevel="0" collapsed="false">
      <c r="A221" s="44" t="str">
        <f aca="false">IF($C221="","",IFERROR(VLOOKUP($C221,目录!$B:$C,2,0)&amp;"","⚠目录里没有"))</f>
        <v/>
      </c>
      <c r="B221" s="45" t="str">
        <f aca="false">IF($D221="","",IFERROR(MID($D221,FIND(".",$D221)+1,FIND(".",$D221,FIND(".",$D221)+1)-FIND(".",$D221)-1)&amp;"月",""))</f>
        <v/>
      </c>
      <c r="C221" s="46"/>
      <c r="D221" s="47"/>
      <c r="E221" s="47"/>
      <c r="F221" s="49"/>
      <c r="G221" s="50"/>
      <c r="H221" s="24"/>
      <c r="I221" s="24" t="str">
        <f aca="false">IF($H221="","",N($H221)*N($G221))</f>
        <v/>
      </c>
      <c r="J221" s="25" t="str">
        <f aca="false">IF($H221="","",N($H221)-N($I221))</f>
        <v/>
      </c>
      <c r="K221" s="25"/>
      <c r="L221" s="25" t="str">
        <f aca="false">IF($A221="","",SUMIF($A$4:$A221,$A221,$J$4:$J221)-SUMIF($A$4:$A221,$A221,$K$4:$K221))</f>
        <v/>
      </c>
      <c r="M221" s="26" t="str">
        <f aca="false">IF($H221="","",N($H221))</f>
        <v/>
      </c>
      <c r="N221" s="26"/>
      <c r="O221" s="26"/>
      <c r="P221" s="26" t="str">
        <f aca="false">IF($A221="","",SUMIF($A$4:$A221,$A221,$M$4:$M221)-SUMIF($A$4:$A221,$A221,$N$4:$N221)-SUMIF($A$4:$A221,$A221,$O$4:$O221))</f>
        <v/>
      </c>
      <c r="Q221" s="27"/>
      <c r="R221" s="28"/>
      <c r="S221" s="28"/>
      <c r="T221" s="28" t="str">
        <f aca="false">IF($A221="","",SUMIF($A$4:$A221,$A221,$Q$4:$Q221)-SUMIF($A$4:$A221,$A221,$R$4:$R221)-SUMIF($A$4:$A221,$A221,$S$4:$S221))</f>
        <v/>
      </c>
      <c r="U221" s="28"/>
      <c r="V221" s="29" t="str">
        <f aca="false">IF(AND($C221="",COUNTA($D221:$H221,$K221,$N221:$O221,$Q221:$S221,$U221)=0),"",IF($C221="","⚠ 没填项目名称",IF($A221="⚠目录里没有","⚠ 项目名称在目录里找不到（先加到目录）",IF($A221="","⚠ 目录里这个项目没填简称",IF(ISTEXT($G221)+ISTEXT($H221)+ISTEXT($K221)+ISTEXT($N221)+ISTEXT($O221)+ISTEXT($Q221)+ISTEXT($R221)+ISTEXT($S221)&gt;0,"⚠ 金额列里有文字，算不进合计",IF(N($G221)&gt;=1,"⚠ 管理费点要填百分比，如 10%",IF(AND($D221&lt;&gt;"",$B221=""),"△ 摘要开头没写日期（如 2026.9.21），月份取不到",IF(AND(N($H221)&lt;&gt;0,COUNTIFS($A$4:$A$1003,$A221,$H$4:$H$1003,$H221,$D$4:$D$1003,LEFT($D221,9)&amp;"*")&gt;1),"△ 同一天同项目有一样的销售金额，看看是不是录重了","✓"))))))))</f>
        <v/>
      </c>
      <c r="W221" s="8" t="str">
        <f aca="false">IF($A221="","",$A221&amp;"#"&amp;COUNTIF($A$4:$A221,$A221))</f>
        <v/>
      </c>
    </row>
    <row r="222" customFormat="false" ht="16.5" hidden="false" customHeight="false" outlineLevel="0" collapsed="false">
      <c r="A222" s="44" t="str">
        <f aca="false">IF($C222="","",IFERROR(VLOOKUP($C222,目录!$B:$C,2,0)&amp;"","⚠目录里没有"))</f>
        <v/>
      </c>
      <c r="B222" s="45" t="str">
        <f aca="false">IF($D222="","",IFERROR(MID($D222,FIND(".",$D222)+1,FIND(".",$D222,FIND(".",$D222)+1)-FIND(".",$D222)-1)&amp;"月",""))</f>
        <v/>
      </c>
      <c r="C222" s="46"/>
      <c r="D222" s="47"/>
      <c r="E222" s="47"/>
      <c r="F222" s="49"/>
      <c r="G222" s="50"/>
      <c r="H222" s="24"/>
      <c r="I222" s="24" t="str">
        <f aca="false">IF($H222="","",N($H222)*N($G222))</f>
        <v/>
      </c>
      <c r="J222" s="25" t="str">
        <f aca="false">IF($H222="","",N($H222)-N($I222))</f>
        <v/>
      </c>
      <c r="K222" s="25"/>
      <c r="L222" s="25" t="str">
        <f aca="false">IF($A222="","",SUMIF($A$4:$A222,$A222,$J$4:$J222)-SUMIF($A$4:$A222,$A222,$K$4:$K222))</f>
        <v/>
      </c>
      <c r="M222" s="26" t="str">
        <f aca="false">IF($H222="","",N($H222))</f>
        <v/>
      </c>
      <c r="N222" s="26"/>
      <c r="O222" s="26"/>
      <c r="P222" s="26" t="str">
        <f aca="false">IF($A222="","",SUMIF($A$4:$A222,$A222,$M$4:$M222)-SUMIF($A$4:$A222,$A222,$N$4:$N222)-SUMIF($A$4:$A222,$A222,$O$4:$O222))</f>
        <v/>
      </c>
      <c r="Q222" s="27"/>
      <c r="R222" s="28"/>
      <c r="S222" s="28"/>
      <c r="T222" s="28" t="str">
        <f aca="false">IF($A222="","",SUMIF($A$4:$A222,$A222,$Q$4:$Q222)-SUMIF($A$4:$A222,$A222,$R$4:$R222)-SUMIF($A$4:$A222,$A222,$S$4:$S222))</f>
        <v/>
      </c>
      <c r="U222" s="28"/>
      <c r="V222" s="29" t="str">
        <f aca="false">IF(AND($C222="",COUNTA($D222:$H222,$K222,$N222:$O222,$Q222:$S222,$U222)=0),"",IF($C222="","⚠ 没填项目名称",IF($A222="⚠目录里没有","⚠ 项目名称在目录里找不到（先加到目录）",IF($A222="","⚠ 目录里这个项目没填简称",IF(ISTEXT($G222)+ISTEXT($H222)+ISTEXT($K222)+ISTEXT($N222)+ISTEXT($O222)+ISTEXT($Q222)+ISTEXT($R222)+ISTEXT($S222)&gt;0,"⚠ 金额列里有文字，算不进合计",IF(N($G222)&gt;=1,"⚠ 管理费点要填百分比，如 10%",IF(AND($D222&lt;&gt;"",$B222=""),"△ 摘要开头没写日期（如 2026.9.21），月份取不到",IF(AND(N($H222)&lt;&gt;0,COUNTIFS($A$4:$A$1003,$A222,$H$4:$H$1003,$H222,$D$4:$D$1003,LEFT($D222,9)&amp;"*")&gt;1),"△ 同一天同项目有一样的销售金额，看看是不是录重了","✓"))))))))</f>
        <v/>
      </c>
      <c r="W222" s="8" t="str">
        <f aca="false">IF($A222="","",$A222&amp;"#"&amp;COUNTIF($A$4:$A222,$A222))</f>
        <v/>
      </c>
    </row>
    <row r="223" customFormat="false" ht="16.5" hidden="false" customHeight="false" outlineLevel="0" collapsed="false">
      <c r="A223" s="44" t="str">
        <f aca="false">IF($C223="","",IFERROR(VLOOKUP($C223,目录!$B:$C,2,0)&amp;"","⚠目录里没有"))</f>
        <v/>
      </c>
      <c r="B223" s="45" t="str">
        <f aca="false">IF($D223="","",IFERROR(MID($D223,FIND(".",$D223)+1,FIND(".",$D223,FIND(".",$D223)+1)-FIND(".",$D223)-1)&amp;"月",""))</f>
        <v/>
      </c>
      <c r="C223" s="46"/>
      <c r="D223" s="47"/>
      <c r="E223" s="47"/>
      <c r="F223" s="49"/>
      <c r="G223" s="50"/>
      <c r="H223" s="24"/>
      <c r="I223" s="24" t="str">
        <f aca="false">IF($H223="","",N($H223)*N($G223))</f>
        <v/>
      </c>
      <c r="J223" s="25" t="str">
        <f aca="false">IF($H223="","",N($H223)-N($I223))</f>
        <v/>
      </c>
      <c r="K223" s="25"/>
      <c r="L223" s="25" t="str">
        <f aca="false">IF($A223="","",SUMIF($A$4:$A223,$A223,$J$4:$J223)-SUMIF($A$4:$A223,$A223,$K$4:$K223))</f>
        <v/>
      </c>
      <c r="M223" s="26" t="str">
        <f aca="false">IF($H223="","",N($H223))</f>
        <v/>
      </c>
      <c r="N223" s="26"/>
      <c r="O223" s="26"/>
      <c r="P223" s="26" t="str">
        <f aca="false">IF($A223="","",SUMIF($A$4:$A223,$A223,$M$4:$M223)-SUMIF($A$4:$A223,$A223,$N$4:$N223)-SUMIF($A$4:$A223,$A223,$O$4:$O223))</f>
        <v/>
      </c>
      <c r="Q223" s="27"/>
      <c r="R223" s="28"/>
      <c r="S223" s="28"/>
      <c r="T223" s="28" t="str">
        <f aca="false">IF($A223="","",SUMIF($A$4:$A223,$A223,$Q$4:$Q223)-SUMIF($A$4:$A223,$A223,$R$4:$R223)-SUMIF($A$4:$A223,$A223,$S$4:$S223))</f>
        <v/>
      </c>
      <c r="U223" s="28"/>
      <c r="V223" s="29" t="str">
        <f aca="false">IF(AND($C223="",COUNTA($D223:$H223,$K223,$N223:$O223,$Q223:$S223,$U223)=0),"",IF($C223="","⚠ 没填项目名称",IF($A223="⚠目录里没有","⚠ 项目名称在目录里找不到（先加到目录）",IF($A223="","⚠ 目录里这个项目没填简称",IF(ISTEXT($G223)+ISTEXT($H223)+ISTEXT($K223)+ISTEXT($N223)+ISTEXT($O223)+ISTEXT($Q223)+ISTEXT($R223)+ISTEXT($S223)&gt;0,"⚠ 金额列里有文字，算不进合计",IF(N($G223)&gt;=1,"⚠ 管理费点要填百分比，如 10%",IF(AND($D223&lt;&gt;"",$B223=""),"△ 摘要开头没写日期（如 2026.9.21），月份取不到",IF(AND(N($H223)&lt;&gt;0,COUNTIFS($A$4:$A$1003,$A223,$H$4:$H$1003,$H223,$D$4:$D$1003,LEFT($D223,9)&amp;"*")&gt;1),"△ 同一天同项目有一样的销售金额，看看是不是录重了","✓"))))))))</f>
        <v/>
      </c>
      <c r="W223" s="8" t="str">
        <f aca="false">IF($A223="","",$A223&amp;"#"&amp;COUNTIF($A$4:$A223,$A223))</f>
        <v/>
      </c>
    </row>
    <row r="224" customFormat="false" ht="16.5" hidden="false" customHeight="false" outlineLevel="0" collapsed="false">
      <c r="A224" s="44" t="str">
        <f aca="false">IF($C224="","",IFERROR(VLOOKUP($C224,目录!$B:$C,2,0)&amp;"","⚠目录里没有"))</f>
        <v/>
      </c>
      <c r="B224" s="45" t="str">
        <f aca="false">IF($D224="","",IFERROR(MID($D224,FIND(".",$D224)+1,FIND(".",$D224,FIND(".",$D224)+1)-FIND(".",$D224)-1)&amp;"月",""))</f>
        <v/>
      </c>
      <c r="C224" s="46"/>
      <c r="D224" s="47"/>
      <c r="E224" s="47"/>
      <c r="F224" s="49"/>
      <c r="G224" s="50"/>
      <c r="H224" s="24"/>
      <c r="I224" s="24" t="str">
        <f aca="false">IF($H224="","",N($H224)*N($G224))</f>
        <v/>
      </c>
      <c r="J224" s="25" t="str">
        <f aca="false">IF($H224="","",N($H224)-N($I224))</f>
        <v/>
      </c>
      <c r="K224" s="25"/>
      <c r="L224" s="25" t="str">
        <f aca="false">IF($A224="","",SUMIF($A$4:$A224,$A224,$J$4:$J224)-SUMIF($A$4:$A224,$A224,$K$4:$K224))</f>
        <v/>
      </c>
      <c r="M224" s="26" t="str">
        <f aca="false">IF($H224="","",N($H224))</f>
        <v/>
      </c>
      <c r="N224" s="26"/>
      <c r="O224" s="26"/>
      <c r="P224" s="26" t="str">
        <f aca="false">IF($A224="","",SUMIF($A$4:$A224,$A224,$M$4:$M224)-SUMIF($A$4:$A224,$A224,$N$4:$N224)-SUMIF($A$4:$A224,$A224,$O$4:$O224))</f>
        <v/>
      </c>
      <c r="Q224" s="27"/>
      <c r="R224" s="28"/>
      <c r="S224" s="28"/>
      <c r="T224" s="28" t="str">
        <f aca="false">IF($A224="","",SUMIF($A$4:$A224,$A224,$Q$4:$Q224)-SUMIF($A$4:$A224,$A224,$R$4:$R224)-SUMIF($A$4:$A224,$A224,$S$4:$S224))</f>
        <v/>
      </c>
      <c r="U224" s="28"/>
      <c r="V224" s="29" t="str">
        <f aca="false">IF(AND($C224="",COUNTA($D224:$H224,$K224,$N224:$O224,$Q224:$S224,$U224)=0),"",IF($C224="","⚠ 没填项目名称",IF($A224="⚠目录里没有","⚠ 项目名称在目录里找不到（先加到目录）",IF($A224="","⚠ 目录里这个项目没填简称",IF(ISTEXT($G224)+ISTEXT($H224)+ISTEXT($K224)+ISTEXT($N224)+ISTEXT($O224)+ISTEXT($Q224)+ISTEXT($R224)+ISTEXT($S224)&gt;0,"⚠ 金额列里有文字，算不进合计",IF(N($G224)&gt;=1,"⚠ 管理费点要填百分比，如 10%",IF(AND($D224&lt;&gt;"",$B224=""),"△ 摘要开头没写日期（如 2026.9.21），月份取不到",IF(AND(N($H224)&lt;&gt;0,COUNTIFS($A$4:$A$1003,$A224,$H$4:$H$1003,$H224,$D$4:$D$1003,LEFT($D224,9)&amp;"*")&gt;1),"△ 同一天同项目有一样的销售金额，看看是不是录重了","✓"))))))))</f>
        <v/>
      </c>
      <c r="W224" s="8" t="str">
        <f aca="false">IF($A224="","",$A224&amp;"#"&amp;COUNTIF($A$4:$A224,$A224))</f>
        <v/>
      </c>
    </row>
    <row r="225" customFormat="false" ht="16.5" hidden="false" customHeight="false" outlineLevel="0" collapsed="false">
      <c r="A225" s="44" t="str">
        <f aca="false">IF($C225="","",IFERROR(VLOOKUP($C225,目录!$B:$C,2,0)&amp;"","⚠目录里没有"))</f>
        <v/>
      </c>
      <c r="B225" s="45" t="str">
        <f aca="false">IF($D225="","",IFERROR(MID($D225,FIND(".",$D225)+1,FIND(".",$D225,FIND(".",$D225)+1)-FIND(".",$D225)-1)&amp;"月",""))</f>
        <v/>
      </c>
      <c r="C225" s="46"/>
      <c r="D225" s="47"/>
      <c r="E225" s="47"/>
      <c r="F225" s="49"/>
      <c r="G225" s="50"/>
      <c r="H225" s="24"/>
      <c r="I225" s="24" t="str">
        <f aca="false">IF($H225="","",N($H225)*N($G225))</f>
        <v/>
      </c>
      <c r="J225" s="25" t="str">
        <f aca="false">IF($H225="","",N($H225)-N($I225))</f>
        <v/>
      </c>
      <c r="K225" s="25"/>
      <c r="L225" s="25" t="str">
        <f aca="false">IF($A225="","",SUMIF($A$4:$A225,$A225,$J$4:$J225)-SUMIF($A$4:$A225,$A225,$K$4:$K225))</f>
        <v/>
      </c>
      <c r="M225" s="26" t="str">
        <f aca="false">IF($H225="","",N($H225))</f>
        <v/>
      </c>
      <c r="N225" s="26"/>
      <c r="O225" s="26"/>
      <c r="P225" s="26" t="str">
        <f aca="false">IF($A225="","",SUMIF($A$4:$A225,$A225,$M$4:$M225)-SUMIF($A$4:$A225,$A225,$N$4:$N225)-SUMIF($A$4:$A225,$A225,$O$4:$O225))</f>
        <v/>
      </c>
      <c r="Q225" s="27"/>
      <c r="R225" s="28"/>
      <c r="S225" s="28"/>
      <c r="T225" s="28" t="str">
        <f aca="false">IF($A225="","",SUMIF($A$4:$A225,$A225,$Q$4:$Q225)-SUMIF($A$4:$A225,$A225,$R$4:$R225)-SUMIF($A$4:$A225,$A225,$S$4:$S225))</f>
        <v/>
      </c>
      <c r="U225" s="28"/>
      <c r="V225" s="29" t="str">
        <f aca="false">IF(AND($C225="",COUNTA($D225:$H225,$K225,$N225:$O225,$Q225:$S225,$U225)=0),"",IF($C225="","⚠ 没填项目名称",IF($A225="⚠目录里没有","⚠ 项目名称在目录里找不到（先加到目录）",IF($A225="","⚠ 目录里这个项目没填简称",IF(ISTEXT($G225)+ISTEXT($H225)+ISTEXT($K225)+ISTEXT($N225)+ISTEXT($O225)+ISTEXT($Q225)+ISTEXT($R225)+ISTEXT($S225)&gt;0,"⚠ 金额列里有文字，算不进合计",IF(N($G225)&gt;=1,"⚠ 管理费点要填百分比，如 10%",IF(AND($D225&lt;&gt;"",$B225=""),"△ 摘要开头没写日期（如 2026.9.21），月份取不到",IF(AND(N($H225)&lt;&gt;0,COUNTIFS($A$4:$A$1003,$A225,$H$4:$H$1003,$H225,$D$4:$D$1003,LEFT($D225,9)&amp;"*")&gt;1),"△ 同一天同项目有一样的销售金额，看看是不是录重了","✓"))))))))</f>
        <v/>
      </c>
      <c r="W225" s="8" t="str">
        <f aca="false">IF($A225="","",$A225&amp;"#"&amp;COUNTIF($A$4:$A225,$A225))</f>
        <v/>
      </c>
    </row>
    <row r="226" customFormat="false" ht="16.5" hidden="false" customHeight="false" outlineLevel="0" collapsed="false">
      <c r="A226" s="44" t="str">
        <f aca="false">IF($C226="","",IFERROR(VLOOKUP($C226,目录!$B:$C,2,0)&amp;"","⚠目录里没有"))</f>
        <v/>
      </c>
      <c r="B226" s="45" t="str">
        <f aca="false">IF($D226="","",IFERROR(MID($D226,FIND(".",$D226)+1,FIND(".",$D226,FIND(".",$D226)+1)-FIND(".",$D226)-1)&amp;"月",""))</f>
        <v/>
      </c>
      <c r="C226" s="46"/>
      <c r="D226" s="47"/>
      <c r="E226" s="47"/>
      <c r="F226" s="49"/>
      <c r="G226" s="50"/>
      <c r="H226" s="24"/>
      <c r="I226" s="24" t="str">
        <f aca="false">IF($H226="","",N($H226)*N($G226))</f>
        <v/>
      </c>
      <c r="J226" s="25" t="str">
        <f aca="false">IF($H226="","",N($H226)-N($I226))</f>
        <v/>
      </c>
      <c r="K226" s="25"/>
      <c r="L226" s="25" t="str">
        <f aca="false">IF($A226="","",SUMIF($A$4:$A226,$A226,$J$4:$J226)-SUMIF($A$4:$A226,$A226,$K$4:$K226))</f>
        <v/>
      </c>
      <c r="M226" s="26" t="str">
        <f aca="false">IF($H226="","",N($H226))</f>
        <v/>
      </c>
      <c r="N226" s="26"/>
      <c r="O226" s="26"/>
      <c r="P226" s="26" t="str">
        <f aca="false">IF($A226="","",SUMIF($A$4:$A226,$A226,$M$4:$M226)-SUMIF($A$4:$A226,$A226,$N$4:$N226)-SUMIF($A$4:$A226,$A226,$O$4:$O226))</f>
        <v/>
      </c>
      <c r="Q226" s="27"/>
      <c r="R226" s="28"/>
      <c r="S226" s="28"/>
      <c r="T226" s="28" t="str">
        <f aca="false">IF($A226="","",SUMIF($A$4:$A226,$A226,$Q$4:$Q226)-SUMIF($A$4:$A226,$A226,$R$4:$R226)-SUMIF($A$4:$A226,$A226,$S$4:$S226))</f>
        <v/>
      </c>
      <c r="U226" s="28"/>
      <c r="V226" s="29" t="str">
        <f aca="false">IF(AND($C226="",COUNTA($D226:$H226,$K226,$N226:$O226,$Q226:$S226,$U226)=0),"",IF($C226="","⚠ 没填项目名称",IF($A226="⚠目录里没有","⚠ 项目名称在目录里找不到（先加到目录）",IF($A226="","⚠ 目录里这个项目没填简称",IF(ISTEXT($G226)+ISTEXT($H226)+ISTEXT($K226)+ISTEXT($N226)+ISTEXT($O226)+ISTEXT($Q226)+ISTEXT($R226)+ISTEXT($S226)&gt;0,"⚠ 金额列里有文字，算不进合计",IF(N($G226)&gt;=1,"⚠ 管理费点要填百分比，如 10%",IF(AND($D226&lt;&gt;"",$B226=""),"△ 摘要开头没写日期（如 2026.9.21），月份取不到",IF(AND(N($H226)&lt;&gt;0,COUNTIFS($A$4:$A$1003,$A226,$H$4:$H$1003,$H226,$D$4:$D$1003,LEFT($D226,9)&amp;"*")&gt;1),"△ 同一天同项目有一样的销售金额，看看是不是录重了","✓"))))))))</f>
        <v/>
      </c>
      <c r="W226" s="8" t="str">
        <f aca="false">IF($A226="","",$A226&amp;"#"&amp;COUNTIF($A$4:$A226,$A226))</f>
        <v/>
      </c>
    </row>
    <row r="227" customFormat="false" ht="16.5" hidden="false" customHeight="false" outlineLevel="0" collapsed="false">
      <c r="A227" s="44" t="str">
        <f aca="false">IF($C227="","",IFERROR(VLOOKUP($C227,目录!$B:$C,2,0)&amp;"","⚠目录里没有"))</f>
        <v/>
      </c>
      <c r="B227" s="45" t="str">
        <f aca="false">IF($D227="","",IFERROR(MID($D227,FIND(".",$D227)+1,FIND(".",$D227,FIND(".",$D227)+1)-FIND(".",$D227)-1)&amp;"月",""))</f>
        <v/>
      </c>
      <c r="C227" s="46"/>
      <c r="D227" s="47"/>
      <c r="E227" s="47"/>
      <c r="F227" s="49"/>
      <c r="G227" s="50"/>
      <c r="H227" s="24"/>
      <c r="I227" s="24" t="str">
        <f aca="false">IF($H227="","",N($H227)*N($G227))</f>
        <v/>
      </c>
      <c r="J227" s="25" t="str">
        <f aca="false">IF($H227="","",N($H227)-N($I227))</f>
        <v/>
      </c>
      <c r="K227" s="25"/>
      <c r="L227" s="25" t="str">
        <f aca="false">IF($A227="","",SUMIF($A$4:$A227,$A227,$J$4:$J227)-SUMIF($A$4:$A227,$A227,$K$4:$K227))</f>
        <v/>
      </c>
      <c r="M227" s="26" t="str">
        <f aca="false">IF($H227="","",N($H227))</f>
        <v/>
      </c>
      <c r="N227" s="26"/>
      <c r="O227" s="26"/>
      <c r="P227" s="26" t="str">
        <f aca="false">IF($A227="","",SUMIF($A$4:$A227,$A227,$M$4:$M227)-SUMIF($A$4:$A227,$A227,$N$4:$N227)-SUMIF($A$4:$A227,$A227,$O$4:$O227))</f>
        <v/>
      </c>
      <c r="Q227" s="27"/>
      <c r="R227" s="28"/>
      <c r="S227" s="28"/>
      <c r="T227" s="28" t="str">
        <f aca="false">IF($A227="","",SUMIF($A$4:$A227,$A227,$Q$4:$Q227)-SUMIF($A$4:$A227,$A227,$R$4:$R227)-SUMIF($A$4:$A227,$A227,$S$4:$S227))</f>
        <v/>
      </c>
      <c r="U227" s="28"/>
      <c r="V227" s="29" t="str">
        <f aca="false">IF(AND($C227="",COUNTA($D227:$H227,$K227,$N227:$O227,$Q227:$S227,$U227)=0),"",IF($C227="","⚠ 没填项目名称",IF($A227="⚠目录里没有","⚠ 项目名称在目录里找不到（先加到目录）",IF($A227="","⚠ 目录里这个项目没填简称",IF(ISTEXT($G227)+ISTEXT($H227)+ISTEXT($K227)+ISTEXT($N227)+ISTEXT($O227)+ISTEXT($Q227)+ISTEXT($R227)+ISTEXT($S227)&gt;0,"⚠ 金额列里有文字，算不进合计",IF(N($G227)&gt;=1,"⚠ 管理费点要填百分比，如 10%",IF(AND($D227&lt;&gt;"",$B227=""),"△ 摘要开头没写日期（如 2026.9.21），月份取不到",IF(AND(N($H227)&lt;&gt;0,COUNTIFS($A$4:$A$1003,$A227,$H$4:$H$1003,$H227,$D$4:$D$1003,LEFT($D227,9)&amp;"*")&gt;1),"△ 同一天同项目有一样的销售金额，看看是不是录重了","✓"))))))))</f>
        <v/>
      </c>
      <c r="W227" s="8" t="str">
        <f aca="false">IF($A227="","",$A227&amp;"#"&amp;COUNTIF($A$4:$A227,$A227))</f>
        <v/>
      </c>
    </row>
    <row r="228" customFormat="false" ht="16.5" hidden="false" customHeight="false" outlineLevel="0" collapsed="false">
      <c r="A228" s="44" t="str">
        <f aca="false">IF($C228="","",IFERROR(VLOOKUP($C228,目录!$B:$C,2,0)&amp;"","⚠目录里没有"))</f>
        <v/>
      </c>
      <c r="B228" s="45" t="str">
        <f aca="false">IF($D228="","",IFERROR(MID($D228,FIND(".",$D228)+1,FIND(".",$D228,FIND(".",$D228)+1)-FIND(".",$D228)-1)&amp;"月",""))</f>
        <v/>
      </c>
      <c r="C228" s="46"/>
      <c r="D228" s="47"/>
      <c r="E228" s="47"/>
      <c r="F228" s="49"/>
      <c r="G228" s="50"/>
      <c r="H228" s="24"/>
      <c r="I228" s="24" t="str">
        <f aca="false">IF($H228="","",N($H228)*N($G228))</f>
        <v/>
      </c>
      <c r="J228" s="25" t="str">
        <f aca="false">IF($H228="","",N($H228)-N($I228))</f>
        <v/>
      </c>
      <c r="K228" s="25"/>
      <c r="L228" s="25" t="str">
        <f aca="false">IF($A228="","",SUMIF($A$4:$A228,$A228,$J$4:$J228)-SUMIF($A$4:$A228,$A228,$K$4:$K228))</f>
        <v/>
      </c>
      <c r="M228" s="26" t="str">
        <f aca="false">IF($H228="","",N($H228))</f>
        <v/>
      </c>
      <c r="N228" s="26"/>
      <c r="O228" s="26"/>
      <c r="P228" s="26" t="str">
        <f aca="false">IF($A228="","",SUMIF($A$4:$A228,$A228,$M$4:$M228)-SUMIF($A$4:$A228,$A228,$N$4:$N228)-SUMIF($A$4:$A228,$A228,$O$4:$O228))</f>
        <v/>
      </c>
      <c r="Q228" s="27"/>
      <c r="R228" s="28"/>
      <c r="S228" s="28"/>
      <c r="T228" s="28" t="str">
        <f aca="false">IF($A228="","",SUMIF($A$4:$A228,$A228,$Q$4:$Q228)-SUMIF($A$4:$A228,$A228,$R$4:$R228)-SUMIF($A$4:$A228,$A228,$S$4:$S228))</f>
        <v/>
      </c>
      <c r="U228" s="28"/>
      <c r="V228" s="29" t="str">
        <f aca="false">IF(AND($C228="",COUNTA($D228:$H228,$K228,$N228:$O228,$Q228:$S228,$U228)=0),"",IF($C228="","⚠ 没填项目名称",IF($A228="⚠目录里没有","⚠ 项目名称在目录里找不到（先加到目录）",IF($A228="","⚠ 目录里这个项目没填简称",IF(ISTEXT($G228)+ISTEXT($H228)+ISTEXT($K228)+ISTEXT($N228)+ISTEXT($O228)+ISTEXT($Q228)+ISTEXT($R228)+ISTEXT($S228)&gt;0,"⚠ 金额列里有文字，算不进合计",IF(N($G228)&gt;=1,"⚠ 管理费点要填百分比，如 10%",IF(AND($D228&lt;&gt;"",$B228=""),"△ 摘要开头没写日期（如 2026.9.21），月份取不到",IF(AND(N($H228)&lt;&gt;0,COUNTIFS($A$4:$A$1003,$A228,$H$4:$H$1003,$H228,$D$4:$D$1003,LEFT($D228,9)&amp;"*")&gt;1),"△ 同一天同项目有一样的销售金额，看看是不是录重了","✓"))))))))</f>
        <v/>
      </c>
      <c r="W228" s="8" t="str">
        <f aca="false">IF($A228="","",$A228&amp;"#"&amp;COUNTIF($A$4:$A228,$A228))</f>
        <v/>
      </c>
    </row>
    <row r="229" customFormat="false" ht="16.5" hidden="false" customHeight="false" outlineLevel="0" collapsed="false">
      <c r="A229" s="44" t="str">
        <f aca="false">IF($C229="","",IFERROR(VLOOKUP($C229,目录!$B:$C,2,0)&amp;"","⚠目录里没有"))</f>
        <v/>
      </c>
      <c r="B229" s="45" t="str">
        <f aca="false">IF($D229="","",IFERROR(MID($D229,FIND(".",$D229)+1,FIND(".",$D229,FIND(".",$D229)+1)-FIND(".",$D229)-1)&amp;"月",""))</f>
        <v/>
      </c>
      <c r="C229" s="46"/>
      <c r="D229" s="47"/>
      <c r="E229" s="47"/>
      <c r="F229" s="49"/>
      <c r="G229" s="50"/>
      <c r="H229" s="24"/>
      <c r="I229" s="24" t="str">
        <f aca="false">IF($H229="","",N($H229)*N($G229))</f>
        <v/>
      </c>
      <c r="J229" s="25" t="str">
        <f aca="false">IF($H229="","",N($H229)-N($I229))</f>
        <v/>
      </c>
      <c r="K229" s="25"/>
      <c r="L229" s="25" t="str">
        <f aca="false">IF($A229="","",SUMIF($A$4:$A229,$A229,$J$4:$J229)-SUMIF($A$4:$A229,$A229,$K$4:$K229))</f>
        <v/>
      </c>
      <c r="M229" s="26" t="str">
        <f aca="false">IF($H229="","",N($H229))</f>
        <v/>
      </c>
      <c r="N229" s="26"/>
      <c r="O229" s="26"/>
      <c r="P229" s="26" t="str">
        <f aca="false">IF($A229="","",SUMIF($A$4:$A229,$A229,$M$4:$M229)-SUMIF($A$4:$A229,$A229,$N$4:$N229)-SUMIF($A$4:$A229,$A229,$O$4:$O229))</f>
        <v/>
      </c>
      <c r="Q229" s="27"/>
      <c r="R229" s="28"/>
      <c r="S229" s="28"/>
      <c r="T229" s="28" t="str">
        <f aca="false">IF($A229="","",SUMIF($A$4:$A229,$A229,$Q$4:$Q229)-SUMIF($A$4:$A229,$A229,$R$4:$R229)-SUMIF($A$4:$A229,$A229,$S$4:$S229))</f>
        <v/>
      </c>
      <c r="U229" s="28"/>
      <c r="V229" s="29" t="str">
        <f aca="false">IF(AND($C229="",COUNTA($D229:$H229,$K229,$N229:$O229,$Q229:$S229,$U229)=0),"",IF($C229="","⚠ 没填项目名称",IF($A229="⚠目录里没有","⚠ 项目名称在目录里找不到（先加到目录）",IF($A229="","⚠ 目录里这个项目没填简称",IF(ISTEXT($G229)+ISTEXT($H229)+ISTEXT($K229)+ISTEXT($N229)+ISTEXT($O229)+ISTEXT($Q229)+ISTEXT($R229)+ISTEXT($S229)&gt;0,"⚠ 金额列里有文字，算不进合计",IF(N($G229)&gt;=1,"⚠ 管理费点要填百分比，如 10%",IF(AND($D229&lt;&gt;"",$B229=""),"△ 摘要开头没写日期（如 2026.9.21），月份取不到",IF(AND(N($H229)&lt;&gt;0,COUNTIFS($A$4:$A$1003,$A229,$H$4:$H$1003,$H229,$D$4:$D$1003,LEFT($D229,9)&amp;"*")&gt;1),"△ 同一天同项目有一样的销售金额，看看是不是录重了","✓"))))))))</f>
        <v/>
      </c>
      <c r="W229" s="8" t="str">
        <f aca="false">IF($A229="","",$A229&amp;"#"&amp;COUNTIF($A$4:$A229,$A229))</f>
        <v/>
      </c>
    </row>
    <row r="230" customFormat="false" ht="16.5" hidden="false" customHeight="false" outlineLevel="0" collapsed="false">
      <c r="A230" s="44" t="str">
        <f aca="false">IF($C230="","",IFERROR(VLOOKUP($C230,目录!$B:$C,2,0)&amp;"","⚠目录里没有"))</f>
        <v/>
      </c>
      <c r="B230" s="45" t="str">
        <f aca="false">IF($D230="","",IFERROR(MID($D230,FIND(".",$D230)+1,FIND(".",$D230,FIND(".",$D230)+1)-FIND(".",$D230)-1)&amp;"月",""))</f>
        <v/>
      </c>
      <c r="C230" s="46"/>
      <c r="D230" s="47"/>
      <c r="E230" s="47"/>
      <c r="F230" s="49"/>
      <c r="G230" s="50"/>
      <c r="H230" s="24"/>
      <c r="I230" s="24" t="str">
        <f aca="false">IF($H230="","",N($H230)*N($G230))</f>
        <v/>
      </c>
      <c r="J230" s="25" t="str">
        <f aca="false">IF($H230="","",N($H230)-N($I230))</f>
        <v/>
      </c>
      <c r="K230" s="25"/>
      <c r="L230" s="25" t="str">
        <f aca="false">IF($A230="","",SUMIF($A$4:$A230,$A230,$J$4:$J230)-SUMIF($A$4:$A230,$A230,$K$4:$K230))</f>
        <v/>
      </c>
      <c r="M230" s="26" t="str">
        <f aca="false">IF($H230="","",N($H230))</f>
        <v/>
      </c>
      <c r="N230" s="26"/>
      <c r="O230" s="26"/>
      <c r="P230" s="26" t="str">
        <f aca="false">IF($A230="","",SUMIF($A$4:$A230,$A230,$M$4:$M230)-SUMIF($A$4:$A230,$A230,$N$4:$N230)-SUMIF($A$4:$A230,$A230,$O$4:$O230))</f>
        <v/>
      </c>
      <c r="Q230" s="27"/>
      <c r="R230" s="28"/>
      <c r="S230" s="28"/>
      <c r="T230" s="28" t="str">
        <f aca="false">IF($A230="","",SUMIF($A$4:$A230,$A230,$Q$4:$Q230)-SUMIF($A$4:$A230,$A230,$R$4:$R230)-SUMIF($A$4:$A230,$A230,$S$4:$S230))</f>
        <v/>
      </c>
      <c r="U230" s="28"/>
      <c r="V230" s="29" t="str">
        <f aca="false">IF(AND($C230="",COUNTA($D230:$H230,$K230,$N230:$O230,$Q230:$S230,$U230)=0),"",IF($C230="","⚠ 没填项目名称",IF($A230="⚠目录里没有","⚠ 项目名称在目录里找不到（先加到目录）",IF($A230="","⚠ 目录里这个项目没填简称",IF(ISTEXT($G230)+ISTEXT($H230)+ISTEXT($K230)+ISTEXT($N230)+ISTEXT($O230)+ISTEXT($Q230)+ISTEXT($R230)+ISTEXT($S230)&gt;0,"⚠ 金额列里有文字，算不进合计",IF(N($G230)&gt;=1,"⚠ 管理费点要填百分比，如 10%",IF(AND($D230&lt;&gt;"",$B230=""),"△ 摘要开头没写日期（如 2026.9.21），月份取不到",IF(AND(N($H230)&lt;&gt;0,COUNTIFS($A$4:$A$1003,$A230,$H$4:$H$1003,$H230,$D$4:$D$1003,LEFT($D230,9)&amp;"*")&gt;1),"△ 同一天同项目有一样的销售金额，看看是不是录重了","✓"))))))))</f>
        <v/>
      </c>
      <c r="W230" s="8" t="str">
        <f aca="false">IF($A230="","",$A230&amp;"#"&amp;COUNTIF($A$4:$A230,$A230))</f>
        <v/>
      </c>
    </row>
    <row r="231" customFormat="false" ht="16.5" hidden="false" customHeight="false" outlineLevel="0" collapsed="false">
      <c r="A231" s="44" t="str">
        <f aca="false">IF($C231="","",IFERROR(VLOOKUP($C231,目录!$B:$C,2,0)&amp;"","⚠目录里没有"))</f>
        <v/>
      </c>
      <c r="B231" s="45" t="str">
        <f aca="false">IF($D231="","",IFERROR(MID($D231,FIND(".",$D231)+1,FIND(".",$D231,FIND(".",$D231)+1)-FIND(".",$D231)-1)&amp;"月",""))</f>
        <v/>
      </c>
      <c r="C231" s="46"/>
      <c r="D231" s="47"/>
      <c r="E231" s="47"/>
      <c r="F231" s="49"/>
      <c r="G231" s="50"/>
      <c r="H231" s="24"/>
      <c r="I231" s="24" t="str">
        <f aca="false">IF($H231="","",N($H231)*N($G231))</f>
        <v/>
      </c>
      <c r="J231" s="25" t="str">
        <f aca="false">IF($H231="","",N($H231)-N($I231))</f>
        <v/>
      </c>
      <c r="K231" s="25"/>
      <c r="L231" s="25" t="str">
        <f aca="false">IF($A231="","",SUMIF($A$4:$A231,$A231,$J$4:$J231)-SUMIF($A$4:$A231,$A231,$K$4:$K231))</f>
        <v/>
      </c>
      <c r="M231" s="26" t="str">
        <f aca="false">IF($H231="","",N($H231))</f>
        <v/>
      </c>
      <c r="N231" s="26"/>
      <c r="O231" s="26"/>
      <c r="P231" s="26" t="str">
        <f aca="false">IF($A231="","",SUMIF($A$4:$A231,$A231,$M$4:$M231)-SUMIF($A$4:$A231,$A231,$N$4:$N231)-SUMIF($A$4:$A231,$A231,$O$4:$O231))</f>
        <v/>
      </c>
      <c r="Q231" s="27"/>
      <c r="R231" s="28"/>
      <c r="S231" s="28"/>
      <c r="T231" s="28" t="str">
        <f aca="false">IF($A231="","",SUMIF($A$4:$A231,$A231,$Q$4:$Q231)-SUMIF($A$4:$A231,$A231,$R$4:$R231)-SUMIF($A$4:$A231,$A231,$S$4:$S231))</f>
        <v/>
      </c>
      <c r="U231" s="28"/>
      <c r="V231" s="29" t="str">
        <f aca="false">IF(AND($C231="",COUNTA($D231:$H231,$K231,$N231:$O231,$Q231:$S231,$U231)=0),"",IF($C231="","⚠ 没填项目名称",IF($A231="⚠目录里没有","⚠ 项目名称在目录里找不到（先加到目录）",IF($A231="","⚠ 目录里这个项目没填简称",IF(ISTEXT($G231)+ISTEXT($H231)+ISTEXT($K231)+ISTEXT($N231)+ISTEXT($O231)+ISTEXT($Q231)+ISTEXT($R231)+ISTEXT($S231)&gt;0,"⚠ 金额列里有文字，算不进合计",IF(N($G231)&gt;=1,"⚠ 管理费点要填百分比，如 10%",IF(AND($D231&lt;&gt;"",$B231=""),"△ 摘要开头没写日期（如 2026.9.21），月份取不到",IF(AND(N($H231)&lt;&gt;0,COUNTIFS($A$4:$A$1003,$A231,$H$4:$H$1003,$H231,$D$4:$D$1003,LEFT($D231,9)&amp;"*")&gt;1),"△ 同一天同项目有一样的销售金额，看看是不是录重了","✓"))))))))</f>
        <v/>
      </c>
      <c r="W231" s="8" t="str">
        <f aca="false">IF($A231="","",$A231&amp;"#"&amp;COUNTIF($A$4:$A231,$A231))</f>
        <v/>
      </c>
    </row>
    <row r="232" customFormat="false" ht="16.5" hidden="false" customHeight="false" outlineLevel="0" collapsed="false">
      <c r="A232" s="44" t="str">
        <f aca="false">IF($C232="","",IFERROR(VLOOKUP($C232,目录!$B:$C,2,0)&amp;"","⚠目录里没有"))</f>
        <v/>
      </c>
      <c r="B232" s="45" t="str">
        <f aca="false">IF($D232="","",IFERROR(MID($D232,FIND(".",$D232)+1,FIND(".",$D232,FIND(".",$D232)+1)-FIND(".",$D232)-1)&amp;"月",""))</f>
        <v/>
      </c>
      <c r="C232" s="46"/>
      <c r="D232" s="47"/>
      <c r="E232" s="47"/>
      <c r="F232" s="49"/>
      <c r="G232" s="50"/>
      <c r="H232" s="24"/>
      <c r="I232" s="24" t="str">
        <f aca="false">IF($H232="","",N($H232)*N($G232))</f>
        <v/>
      </c>
      <c r="J232" s="25" t="str">
        <f aca="false">IF($H232="","",N($H232)-N($I232))</f>
        <v/>
      </c>
      <c r="K232" s="25"/>
      <c r="L232" s="25" t="str">
        <f aca="false">IF($A232="","",SUMIF($A$4:$A232,$A232,$J$4:$J232)-SUMIF($A$4:$A232,$A232,$K$4:$K232))</f>
        <v/>
      </c>
      <c r="M232" s="26" t="str">
        <f aca="false">IF($H232="","",N($H232))</f>
        <v/>
      </c>
      <c r="N232" s="26"/>
      <c r="O232" s="26"/>
      <c r="P232" s="26" t="str">
        <f aca="false">IF($A232="","",SUMIF($A$4:$A232,$A232,$M$4:$M232)-SUMIF($A$4:$A232,$A232,$N$4:$N232)-SUMIF($A$4:$A232,$A232,$O$4:$O232))</f>
        <v/>
      </c>
      <c r="Q232" s="27"/>
      <c r="R232" s="28"/>
      <c r="S232" s="28"/>
      <c r="T232" s="28" t="str">
        <f aca="false">IF($A232="","",SUMIF($A$4:$A232,$A232,$Q$4:$Q232)-SUMIF($A$4:$A232,$A232,$R$4:$R232)-SUMIF($A$4:$A232,$A232,$S$4:$S232))</f>
        <v/>
      </c>
      <c r="U232" s="28"/>
      <c r="V232" s="29" t="str">
        <f aca="false">IF(AND($C232="",COUNTA($D232:$H232,$K232,$N232:$O232,$Q232:$S232,$U232)=0),"",IF($C232="","⚠ 没填项目名称",IF($A232="⚠目录里没有","⚠ 项目名称在目录里找不到（先加到目录）",IF($A232="","⚠ 目录里这个项目没填简称",IF(ISTEXT($G232)+ISTEXT($H232)+ISTEXT($K232)+ISTEXT($N232)+ISTEXT($O232)+ISTEXT($Q232)+ISTEXT($R232)+ISTEXT($S232)&gt;0,"⚠ 金额列里有文字，算不进合计",IF(N($G232)&gt;=1,"⚠ 管理费点要填百分比，如 10%",IF(AND($D232&lt;&gt;"",$B232=""),"△ 摘要开头没写日期（如 2026.9.21），月份取不到",IF(AND(N($H232)&lt;&gt;0,COUNTIFS($A$4:$A$1003,$A232,$H$4:$H$1003,$H232,$D$4:$D$1003,LEFT($D232,9)&amp;"*")&gt;1),"△ 同一天同项目有一样的销售金额，看看是不是录重了","✓"))))))))</f>
        <v/>
      </c>
      <c r="W232" s="8" t="str">
        <f aca="false">IF($A232="","",$A232&amp;"#"&amp;COUNTIF($A$4:$A232,$A232))</f>
        <v/>
      </c>
    </row>
    <row r="233" customFormat="false" ht="16.5" hidden="false" customHeight="false" outlineLevel="0" collapsed="false">
      <c r="A233" s="44" t="str">
        <f aca="false">IF($C233="","",IFERROR(VLOOKUP($C233,目录!$B:$C,2,0)&amp;"","⚠目录里没有"))</f>
        <v/>
      </c>
      <c r="B233" s="45" t="str">
        <f aca="false">IF($D233="","",IFERROR(MID($D233,FIND(".",$D233)+1,FIND(".",$D233,FIND(".",$D233)+1)-FIND(".",$D233)-1)&amp;"月",""))</f>
        <v/>
      </c>
      <c r="C233" s="46"/>
      <c r="D233" s="47"/>
      <c r="E233" s="47"/>
      <c r="F233" s="49"/>
      <c r="G233" s="50"/>
      <c r="H233" s="24"/>
      <c r="I233" s="24" t="str">
        <f aca="false">IF($H233="","",N($H233)*N($G233))</f>
        <v/>
      </c>
      <c r="J233" s="25" t="str">
        <f aca="false">IF($H233="","",N($H233)-N($I233))</f>
        <v/>
      </c>
      <c r="K233" s="25"/>
      <c r="L233" s="25" t="str">
        <f aca="false">IF($A233="","",SUMIF($A$4:$A233,$A233,$J$4:$J233)-SUMIF($A$4:$A233,$A233,$K$4:$K233))</f>
        <v/>
      </c>
      <c r="M233" s="26" t="str">
        <f aca="false">IF($H233="","",N($H233))</f>
        <v/>
      </c>
      <c r="N233" s="26"/>
      <c r="O233" s="26"/>
      <c r="P233" s="26" t="str">
        <f aca="false">IF($A233="","",SUMIF($A$4:$A233,$A233,$M$4:$M233)-SUMIF($A$4:$A233,$A233,$N$4:$N233)-SUMIF($A$4:$A233,$A233,$O$4:$O233))</f>
        <v/>
      </c>
      <c r="Q233" s="27"/>
      <c r="R233" s="28"/>
      <c r="S233" s="28"/>
      <c r="T233" s="28" t="str">
        <f aca="false">IF($A233="","",SUMIF($A$4:$A233,$A233,$Q$4:$Q233)-SUMIF($A$4:$A233,$A233,$R$4:$R233)-SUMIF($A$4:$A233,$A233,$S$4:$S233))</f>
        <v/>
      </c>
      <c r="U233" s="28"/>
      <c r="V233" s="29" t="str">
        <f aca="false">IF(AND($C233="",COUNTA($D233:$H233,$K233,$N233:$O233,$Q233:$S233,$U233)=0),"",IF($C233="","⚠ 没填项目名称",IF($A233="⚠目录里没有","⚠ 项目名称在目录里找不到（先加到目录）",IF($A233="","⚠ 目录里这个项目没填简称",IF(ISTEXT($G233)+ISTEXT($H233)+ISTEXT($K233)+ISTEXT($N233)+ISTEXT($O233)+ISTEXT($Q233)+ISTEXT($R233)+ISTEXT($S233)&gt;0,"⚠ 金额列里有文字，算不进合计",IF(N($G233)&gt;=1,"⚠ 管理费点要填百分比，如 10%",IF(AND($D233&lt;&gt;"",$B233=""),"△ 摘要开头没写日期（如 2026.9.21），月份取不到",IF(AND(N($H233)&lt;&gt;0,COUNTIFS($A$4:$A$1003,$A233,$H$4:$H$1003,$H233,$D$4:$D$1003,LEFT($D233,9)&amp;"*")&gt;1),"△ 同一天同项目有一样的销售金额，看看是不是录重了","✓"))))))))</f>
        <v/>
      </c>
      <c r="W233" s="8" t="str">
        <f aca="false">IF($A233="","",$A233&amp;"#"&amp;COUNTIF($A$4:$A233,$A233))</f>
        <v/>
      </c>
    </row>
    <row r="234" customFormat="false" ht="16.5" hidden="false" customHeight="false" outlineLevel="0" collapsed="false">
      <c r="A234" s="44" t="str">
        <f aca="false">IF($C234="","",IFERROR(VLOOKUP($C234,目录!$B:$C,2,0)&amp;"","⚠目录里没有"))</f>
        <v/>
      </c>
      <c r="B234" s="45" t="str">
        <f aca="false">IF($D234="","",IFERROR(MID($D234,FIND(".",$D234)+1,FIND(".",$D234,FIND(".",$D234)+1)-FIND(".",$D234)-1)&amp;"月",""))</f>
        <v/>
      </c>
      <c r="C234" s="46"/>
      <c r="D234" s="47"/>
      <c r="E234" s="47"/>
      <c r="F234" s="49"/>
      <c r="G234" s="50"/>
      <c r="H234" s="24"/>
      <c r="I234" s="24" t="str">
        <f aca="false">IF($H234="","",N($H234)*N($G234))</f>
        <v/>
      </c>
      <c r="J234" s="25" t="str">
        <f aca="false">IF($H234="","",N($H234)-N($I234))</f>
        <v/>
      </c>
      <c r="K234" s="25"/>
      <c r="L234" s="25" t="str">
        <f aca="false">IF($A234="","",SUMIF($A$4:$A234,$A234,$J$4:$J234)-SUMIF($A$4:$A234,$A234,$K$4:$K234))</f>
        <v/>
      </c>
      <c r="M234" s="26" t="str">
        <f aca="false">IF($H234="","",N($H234))</f>
        <v/>
      </c>
      <c r="N234" s="26"/>
      <c r="O234" s="26"/>
      <c r="P234" s="26" t="str">
        <f aca="false">IF($A234="","",SUMIF($A$4:$A234,$A234,$M$4:$M234)-SUMIF($A$4:$A234,$A234,$N$4:$N234)-SUMIF($A$4:$A234,$A234,$O$4:$O234))</f>
        <v/>
      </c>
      <c r="Q234" s="27"/>
      <c r="R234" s="28"/>
      <c r="S234" s="28"/>
      <c r="T234" s="28" t="str">
        <f aca="false">IF($A234="","",SUMIF($A$4:$A234,$A234,$Q$4:$Q234)-SUMIF($A$4:$A234,$A234,$R$4:$R234)-SUMIF($A$4:$A234,$A234,$S$4:$S234))</f>
        <v/>
      </c>
      <c r="U234" s="28"/>
      <c r="V234" s="29" t="str">
        <f aca="false">IF(AND($C234="",COUNTA($D234:$H234,$K234,$N234:$O234,$Q234:$S234,$U234)=0),"",IF($C234="","⚠ 没填项目名称",IF($A234="⚠目录里没有","⚠ 项目名称在目录里找不到（先加到目录）",IF($A234="","⚠ 目录里这个项目没填简称",IF(ISTEXT($G234)+ISTEXT($H234)+ISTEXT($K234)+ISTEXT($N234)+ISTEXT($O234)+ISTEXT($Q234)+ISTEXT($R234)+ISTEXT($S234)&gt;0,"⚠ 金额列里有文字，算不进合计",IF(N($G234)&gt;=1,"⚠ 管理费点要填百分比，如 10%",IF(AND($D234&lt;&gt;"",$B234=""),"△ 摘要开头没写日期（如 2026.9.21），月份取不到",IF(AND(N($H234)&lt;&gt;0,COUNTIFS($A$4:$A$1003,$A234,$H$4:$H$1003,$H234,$D$4:$D$1003,LEFT($D234,9)&amp;"*")&gt;1),"△ 同一天同项目有一样的销售金额，看看是不是录重了","✓"))))))))</f>
        <v/>
      </c>
      <c r="W234" s="8" t="str">
        <f aca="false">IF($A234="","",$A234&amp;"#"&amp;COUNTIF($A$4:$A234,$A234))</f>
        <v/>
      </c>
    </row>
    <row r="235" customFormat="false" ht="16.5" hidden="false" customHeight="false" outlineLevel="0" collapsed="false">
      <c r="A235" s="44" t="str">
        <f aca="false">IF($C235="","",IFERROR(VLOOKUP($C235,目录!$B:$C,2,0)&amp;"","⚠目录里没有"))</f>
        <v/>
      </c>
      <c r="B235" s="45" t="str">
        <f aca="false">IF($D235="","",IFERROR(MID($D235,FIND(".",$D235)+1,FIND(".",$D235,FIND(".",$D235)+1)-FIND(".",$D235)-1)&amp;"月",""))</f>
        <v/>
      </c>
      <c r="C235" s="46"/>
      <c r="D235" s="47"/>
      <c r="E235" s="47"/>
      <c r="F235" s="49"/>
      <c r="G235" s="50"/>
      <c r="H235" s="24"/>
      <c r="I235" s="24" t="str">
        <f aca="false">IF($H235="","",N($H235)*N($G235))</f>
        <v/>
      </c>
      <c r="J235" s="25" t="str">
        <f aca="false">IF($H235="","",N($H235)-N($I235))</f>
        <v/>
      </c>
      <c r="K235" s="25"/>
      <c r="L235" s="25" t="str">
        <f aca="false">IF($A235="","",SUMIF($A$4:$A235,$A235,$J$4:$J235)-SUMIF($A$4:$A235,$A235,$K$4:$K235))</f>
        <v/>
      </c>
      <c r="M235" s="26" t="str">
        <f aca="false">IF($H235="","",N($H235))</f>
        <v/>
      </c>
      <c r="N235" s="26"/>
      <c r="O235" s="26"/>
      <c r="P235" s="26" t="str">
        <f aca="false">IF($A235="","",SUMIF($A$4:$A235,$A235,$M$4:$M235)-SUMIF($A$4:$A235,$A235,$N$4:$N235)-SUMIF($A$4:$A235,$A235,$O$4:$O235))</f>
        <v/>
      </c>
      <c r="Q235" s="27"/>
      <c r="R235" s="28"/>
      <c r="S235" s="28"/>
      <c r="T235" s="28" t="str">
        <f aca="false">IF($A235="","",SUMIF($A$4:$A235,$A235,$Q$4:$Q235)-SUMIF($A$4:$A235,$A235,$R$4:$R235)-SUMIF($A$4:$A235,$A235,$S$4:$S235))</f>
        <v/>
      </c>
      <c r="U235" s="28"/>
      <c r="V235" s="29" t="str">
        <f aca="false">IF(AND($C235="",COUNTA($D235:$H235,$K235,$N235:$O235,$Q235:$S235,$U235)=0),"",IF($C235="","⚠ 没填项目名称",IF($A235="⚠目录里没有","⚠ 项目名称在目录里找不到（先加到目录）",IF($A235="","⚠ 目录里这个项目没填简称",IF(ISTEXT($G235)+ISTEXT($H235)+ISTEXT($K235)+ISTEXT($N235)+ISTEXT($O235)+ISTEXT($Q235)+ISTEXT($R235)+ISTEXT($S235)&gt;0,"⚠ 金额列里有文字，算不进合计",IF(N($G235)&gt;=1,"⚠ 管理费点要填百分比，如 10%",IF(AND($D235&lt;&gt;"",$B235=""),"△ 摘要开头没写日期（如 2026.9.21），月份取不到",IF(AND(N($H235)&lt;&gt;0,COUNTIFS($A$4:$A$1003,$A235,$H$4:$H$1003,$H235,$D$4:$D$1003,LEFT($D235,9)&amp;"*")&gt;1),"△ 同一天同项目有一样的销售金额，看看是不是录重了","✓"))))))))</f>
        <v/>
      </c>
      <c r="W235" s="8" t="str">
        <f aca="false">IF($A235="","",$A235&amp;"#"&amp;COUNTIF($A$4:$A235,$A235))</f>
        <v/>
      </c>
    </row>
    <row r="236" customFormat="false" ht="16.5" hidden="false" customHeight="false" outlineLevel="0" collapsed="false">
      <c r="A236" s="44" t="str">
        <f aca="false">IF($C236="","",IFERROR(VLOOKUP($C236,目录!$B:$C,2,0)&amp;"","⚠目录里没有"))</f>
        <v/>
      </c>
      <c r="B236" s="45" t="str">
        <f aca="false">IF($D236="","",IFERROR(MID($D236,FIND(".",$D236)+1,FIND(".",$D236,FIND(".",$D236)+1)-FIND(".",$D236)-1)&amp;"月",""))</f>
        <v/>
      </c>
      <c r="C236" s="46"/>
      <c r="D236" s="47"/>
      <c r="E236" s="47"/>
      <c r="F236" s="49"/>
      <c r="G236" s="50"/>
      <c r="H236" s="24"/>
      <c r="I236" s="24" t="str">
        <f aca="false">IF($H236="","",N($H236)*N($G236))</f>
        <v/>
      </c>
      <c r="J236" s="25" t="str">
        <f aca="false">IF($H236="","",N($H236)-N($I236))</f>
        <v/>
      </c>
      <c r="K236" s="25"/>
      <c r="L236" s="25" t="str">
        <f aca="false">IF($A236="","",SUMIF($A$4:$A236,$A236,$J$4:$J236)-SUMIF($A$4:$A236,$A236,$K$4:$K236))</f>
        <v/>
      </c>
      <c r="M236" s="26" t="str">
        <f aca="false">IF($H236="","",N($H236))</f>
        <v/>
      </c>
      <c r="N236" s="26"/>
      <c r="O236" s="26"/>
      <c r="P236" s="26" t="str">
        <f aca="false">IF($A236="","",SUMIF($A$4:$A236,$A236,$M$4:$M236)-SUMIF($A$4:$A236,$A236,$N$4:$N236)-SUMIF($A$4:$A236,$A236,$O$4:$O236))</f>
        <v/>
      </c>
      <c r="Q236" s="27"/>
      <c r="R236" s="28"/>
      <c r="S236" s="28"/>
      <c r="T236" s="28" t="str">
        <f aca="false">IF($A236="","",SUMIF($A$4:$A236,$A236,$Q$4:$Q236)-SUMIF($A$4:$A236,$A236,$R$4:$R236)-SUMIF($A$4:$A236,$A236,$S$4:$S236))</f>
        <v/>
      </c>
      <c r="U236" s="28"/>
      <c r="V236" s="29" t="str">
        <f aca="false">IF(AND($C236="",COUNTA($D236:$H236,$K236,$N236:$O236,$Q236:$S236,$U236)=0),"",IF($C236="","⚠ 没填项目名称",IF($A236="⚠目录里没有","⚠ 项目名称在目录里找不到（先加到目录）",IF($A236="","⚠ 目录里这个项目没填简称",IF(ISTEXT($G236)+ISTEXT($H236)+ISTEXT($K236)+ISTEXT($N236)+ISTEXT($O236)+ISTEXT($Q236)+ISTEXT($R236)+ISTEXT($S236)&gt;0,"⚠ 金额列里有文字，算不进合计",IF(N($G236)&gt;=1,"⚠ 管理费点要填百分比，如 10%",IF(AND($D236&lt;&gt;"",$B236=""),"△ 摘要开头没写日期（如 2026.9.21），月份取不到",IF(AND(N($H236)&lt;&gt;0,COUNTIFS($A$4:$A$1003,$A236,$H$4:$H$1003,$H236,$D$4:$D$1003,LEFT($D236,9)&amp;"*")&gt;1),"△ 同一天同项目有一样的销售金额，看看是不是录重了","✓"))))))))</f>
        <v/>
      </c>
      <c r="W236" s="8" t="str">
        <f aca="false">IF($A236="","",$A236&amp;"#"&amp;COUNTIF($A$4:$A236,$A236))</f>
        <v/>
      </c>
    </row>
    <row r="237" customFormat="false" ht="16.5" hidden="false" customHeight="false" outlineLevel="0" collapsed="false">
      <c r="A237" s="44" t="str">
        <f aca="false">IF($C237="","",IFERROR(VLOOKUP($C237,目录!$B:$C,2,0)&amp;"","⚠目录里没有"))</f>
        <v/>
      </c>
      <c r="B237" s="45" t="str">
        <f aca="false">IF($D237="","",IFERROR(MID($D237,FIND(".",$D237)+1,FIND(".",$D237,FIND(".",$D237)+1)-FIND(".",$D237)-1)&amp;"月",""))</f>
        <v/>
      </c>
      <c r="C237" s="46"/>
      <c r="D237" s="47"/>
      <c r="E237" s="47"/>
      <c r="F237" s="49"/>
      <c r="G237" s="50"/>
      <c r="H237" s="24"/>
      <c r="I237" s="24" t="str">
        <f aca="false">IF($H237="","",N($H237)*N($G237))</f>
        <v/>
      </c>
      <c r="J237" s="25" t="str">
        <f aca="false">IF($H237="","",N($H237)-N($I237))</f>
        <v/>
      </c>
      <c r="K237" s="25"/>
      <c r="L237" s="25" t="str">
        <f aca="false">IF($A237="","",SUMIF($A$4:$A237,$A237,$J$4:$J237)-SUMIF($A$4:$A237,$A237,$K$4:$K237))</f>
        <v/>
      </c>
      <c r="M237" s="26" t="str">
        <f aca="false">IF($H237="","",N($H237))</f>
        <v/>
      </c>
      <c r="N237" s="26"/>
      <c r="O237" s="26"/>
      <c r="P237" s="26" t="str">
        <f aca="false">IF($A237="","",SUMIF($A$4:$A237,$A237,$M$4:$M237)-SUMIF($A$4:$A237,$A237,$N$4:$N237)-SUMIF($A$4:$A237,$A237,$O$4:$O237))</f>
        <v/>
      </c>
      <c r="Q237" s="27"/>
      <c r="R237" s="28"/>
      <c r="S237" s="28"/>
      <c r="T237" s="28" t="str">
        <f aca="false">IF($A237="","",SUMIF($A$4:$A237,$A237,$Q$4:$Q237)-SUMIF($A$4:$A237,$A237,$R$4:$R237)-SUMIF($A$4:$A237,$A237,$S$4:$S237))</f>
        <v/>
      </c>
      <c r="U237" s="28"/>
      <c r="V237" s="29" t="str">
        <f aca="false">IF(AND($C237="",COUNTA($D237:$H237,$K237,$N237:$O237,$Q237:$S237,$U237)=0),"",IF($C237="","⚠ 没填项目名称",IF($A237="⚠目录里没有","⚠ 项目名称在目录里找不到（先加到目录）",IF($A237="","⚠ 目录里这个项目没填简称",IF(ISTEXT($G237)+ISTEXT($H237)+ISTEXT($K237)+ISTEXT($N237)+ISTEXT($O237)+ISTEXT($Q237)+ISTEXT($R237)+ISTEXT($S237)&gt;0,"⚠ 金额列里有文字，算不进合计",IF(N($G237)&gt;=1,"⚠ 管理费点要填百分比，如 10%",IF(AND($D237&lt;&gt;"",$B237=""),"△ 摘要开头没写日期（如 2026.9.21），月份取不到",IF(AND(N($H237)&lt;&gt;0,COUNTIFS($A$4:$A$1003,$A237,$H$4:$H$1003,$H237,$D$4:$D$1003,LEFT($D237,9)&amp;"*")&gt;1),"△ 同一天同项目有一样的销售金额，看看是不是录重了","✓"))))))))</f>
        <v/>
      </c>
      <c r="W237" s="8" t="str">
        <f aca="false">IF($A237="","",$A237&amp;"#"&amp;COUNTIF($A$4:$A237,$A237))</f>
        <v/>
      </c>
    </row>
    <row r="238" customFormat="false" ht="16.5" hidden="false" customHeight="false" outlineLevel="0" collapsed="false">
      <c r="A238" s="44" t="str">
        <f aca="false">IF($C238="","",IFERROR(VLOOKUP($C238,目录!$B:$C,2,0)&amp;"","⚠目录里没有"))</f>
        <v/>
      </c>
      <c r="B238" s="45" t="str">
        <f aca="false">IF($D238="","",IFERROR(MID($D238,FIND(".",$D238)+1,FIND(".",$D238,FIND(".",$D238)+1)-FIND(".",$D238)-1)&amp;"月",""))</f>
        <v/>
      </c>
      <c r="C238" s="46"/>
      <c r="D238" s="47"/>
      <c r="E238" s="47"/>
      <c r="F238" s="49"/>
      <c r="G238" s="50"/>
      <c r="H238" s="24"/>
      <c r="I238" s="24" t="str">
        <f aca="false">IF($H238="","",N($H238)*N($G238))</f>
        <v/>
      </c>
      <c r="J238" s="25" t="str">
        <f aca="false">IF($H238="","",N($H238)-N($I238))</f>
        <v/>
      </c>
      <c r="K238" s="25"/>
      <c r="L238" s="25" t="str">
        <f aca="false">IF($A238="","",SUMIF($A$4:$A238,$A238,$J$4:$J238)-SUMIF($A$4:$A238,$A238,$K$4:$K238))</f>
        <v/>
      </c>
      <c r="M238" s="26" t="str">
        <f aca="false">IF($H238="","",N($H238))</f>
        <v/>
      </c>
      <c r="N238" s="26"/>
      <c r="O238" s="26"/>
      <c r="P238" s="26" t="str">
        <f aca="false">IF($A238="","",SUMIF($A$4:$A238,$A238,$M$4:$M238)-SUMIF($A$4:$A238,$A238,$N$4:$N238)-SUMIF($A$4:$A238,$A238,$O$4:$O238))</f>
        <v/>
      </c>
      <c r="Q238" s="27"/>
      <c r="R238" s="28"/>
      <c r="S238" s="28"/>
      <c r="T238" s="28" t="str">
        <f aca="false">IF($A238="","",SUMIF($A$4:$A238,$A238,$Q$4:$Q238)-SUMIF($A$4:$A238,$A238,$R$4:$R238)-SUMIF($A$4:$A238,$A238,$S$4:$S238))</f>
        <v/>
      </c>
      <c r="U238" s="28"/>
      <c r="V238" s="29" t="str">
        <f aca="false">IF(AND($C238="",COUNTA($D238:$H238,$K238,$N238:$O238,$Q238:$S238,$U238)=0),"",IF($C238="","⚠ 没填项目名称",IF($A238="⚠目录里没有","⚠ 项目名称在目录里找不到（先加到目录）",IF($A238="","⚠ 目录里这个项目没填简称",IF(ISTEXT($G238)+ISTEXT($H238)+ISTEXT($K238)+ISTEXT($N238)+ISTEXT($O238)+ISTEXT($Q238)+ISTEXT($R238)+ISTEXT($S238)&gt;0,"⚠ 金额列里有文字，算不进合计",IF(N($G238)&gt;=1,"⚠ 管理费点要填百分比，如 10%",IF(AND($D238&lt;&gt;"",$B238=""),"△ 摘要开头没写日期（如 2026.9.21），月份取不到",IF(AND(N($H238)&lt;&gt;0,COUNTIFS($A$4:$A$1003,$A238,$H$4:$H$1003,$H238,$D$4:$D$1003,LEFT($D238,9)&amp;"*")&gt;1),"△ 同一天同项目有一样的销售金额，看看是不是录重了","✓"))))))))</f>
        <v/>
      </c>
      <c r="W238" s="8" t="str">
        <f aca="false">IF($A238="","",$A238&amp;"#"&amp;COUNTIF($A$4:$A238,$A238))</f>
        <v/>
      </c>
    </row>
    <row r="239" customFormat="false" ht="16.5" hidden="false" customHeight="false" outlineLevel="0" collapsed="false">
      <c r="A239" s="44" t="str">
        <f aca="false">IF($C239="","",IFERROR(VLOOKUP($C239,目录!$B:$C,2,0)&amp;"","⚠目录里没有"))</f>
        <v/>
      </c>
      <c r="B239" s="45" t="str">
        <f aca="false">IF($D239="","",IFERROR(MID($D239,FIND(".",$D239)+1,FIND(".",$D239,FIND(".",$D239)+1)-FIND(".",$D239)-1)&amp;"月",""))</f>
        <v/>
      </c>
      <c r="C239" s="46"/>
      <c r="D239" s="47"/>
      <c r="E239" s="47"/>
      <c r="F239" s="49"/>
      <c r="G239" s="50"/>
      <c r="H239" s="24"/>
      <c r="I239" s="24" t="str">
        <f aca="false">IF($H239="","",N($H239)*N($G239))</f>
        <v/>
      </c>
      <c r="J239" s="25" t="str">
        <f aca="false">IF($H239="","",N($H239)-N($I239))</f>
        <v/>
      </c>
      <c r="K239" s="25"/>
      <c r="L239" s="25" t="str">
        <f aca="false">IF($A239="","",SUMIF($A$4:$A239,$A239,$J$4:$J239)-SUMIF($A$4:$A239,$A239,$K$4:$K239))</f>
        <v/>
      </c>
      <c r="M239" s="26" t="str">
        <f aca="false">IF($H239="","",N($H239))</f>
        <v/>
      </c>
      <c r="N239" s="26"/>
      <c r="O239" s="26"/>
      <c r="P239" s="26" t="str">
        <f aca="false">IF($A239="","",SUMIF($A$4:$A239,$A239,$M$4:$M239)-SUMIF($A$4:$A239,$A239,$N$4:$N239)-SUMIF($A$4:$A239,$A239,$O$4:$O239))</f>
        <v/>
      </c>
      <c r="Q239" s="27"/>
      <c r="R239" s="28"/>
      <c r="S239" s="28"/>
      <c r="T239" s="28" t="str">
        <f aca="false">IF($A239="","",SUMIF($A$4:$A239,$A239,$Q$4:$Q239)-SUMIF($A$4:$A239,$A239,$R$4:$R239)-SUMIF($A$4:$A239,$A239,$S$4:$S239))</f>
        <v/>
      </c>
      <c r="U239" s="28"/>
      <c r="V239" s="29" t="str">
        <f aca="false">IF(AND($C239="",COUNTA($D239:$H239,$K239,$N239:$O239,$Q239:$S239,$U239)=0),"",IF($C239="","⚠ 没填项目名称",IF($A239="⚠目录里没有","⚠ 项目名称在目录里找不到（先加到目录）",IF($A239="","⚠ 目录里这个项目没填简称",IF(ISTEXT($G239)+ISTEXT($H239)+ISTEXT($K239)+ISTEXT($N239)+ISTEXT($O239)+ISTEXT($Q239)+ISTEXT($R239)+ISTEXT($S239)&gt;0,"⚠ 金额列里有文字，算不进合计",IF(N($G239)&gt;=1,"⚠ 管理费点要填百分比，如 10%",IF(AND($D239&lt;&gt;"",$B239=""),"△ 摘要开头没写日期（如 2026.9.21），月份取不到",IF(AND(N($H239)&lt;&gt;0,COUNTIFS($A$4:$A$1003,$A239,$H$4:$H$1003,$H239,$D$4:$D$1003,LEFT($D239,9)&amp;"*")&gt;1),"△ 同一天同项目有一样的销售金额，看看是不是录重了","✓"))))))))</f>
        <v/>
      </c>
      <c r="W239" s="8" t="str">
        <f aca="false">IF($A239="","",$A239&amp;"#"&amp;COUNTIF($A$4:$A239,$A239))</f>
        <v/>
      </c>
    </row>
    <row r="240" customFormat="false" ht="16.5" hidden="false" customHeight="false" outlineLevel="0" collapsed="false">
      <c r="A240" s="44" t="str">
        <f aca="false">IF($C240="","",IFERROR(VLOOKUP($C240,目录!$B:$C,2,0)&amp;"","⚠目录里没有"))</f>
        <v/>
      </c>
      <c r="B240" s="45" t="str">
        <f aca="false">IF($D240="","",IFERROR(MID($D240,FIND(".",$D240)+1,FIND(".",$D240,FIND(".",$D240)+1)-FIND(".",$D240)-1)&amp;"月",""))</f>
        <v/>
      </c>
      <c r="C240" s="46"/>
      <c r="D240" s="47"/>
      <c r="E240" s="47"/>
      <c r="F240" s="49"/>
      <c r="G240" s="50"/>
      <c r="H240" s="24"/>
      <c r="I240" s="24" t="str">
        <f aca="false">IF($H240="","",N($H240)*N($G240))</f>
        <v/>
      </c>
      <c r="J240" s="25" t="str">
        <f aca="false">IF($H240="","",N($H240)-N($I240))</f>
        <v/>
      </c>
      <c r="K240" s="25"/>
      <c r="L240" s="25" t="str">
        <f aca="false">IF($A240="","",SUMIF($A$4:$A240,$A240,$J$4:$J240)-SUMIF($A$4:$A240,$A240,$K$4:$K240))</f>
        <v/>
      </c>
      <c r="M240" s="26" t="str">
        <f aca="false">IF($H240="","",N($H240))</f>
        <v/>
      </c>
      <c r="N240" s="26"/>
      <c r="O240" s="26"/>
      <c r="P240" s="26" t="str">
        <f aca="false">IF($A240="","",SUMIF($A$4:$A240,$A240,$M$4:$M240)-SUMIF($A$4:$A240,$A240,$N$4:$N240)-SUMIF($A$4:$A240,$A240,$O$4:$O240))</f>
        <v/>
      </c>
      <c r="Q240" s="27"/>
      <c r="R240" s="28"/>
      <c r="S240" s="28"/>
      <c r="T240" s="28" t="str">
        <f aca="false">IF($A240="","",SUMIF($A$4:$A240,$A240,$Q$4:$Q240)-SUMIF($A$4:$A240,$A240,$R$4:$R240)-SUMIF($A$4:$A240,$A240,$S$4:$S240))</f>
        <v/>
      </c>
      <c r="U240" s="28"/>
      <c r="V240" s="29" t="str">
        <f aca="false">IF(AND($C240="",COUNTA($D240:$H240,$K240,$N240:$O240,$Q240:$S240,$U240)=0),"",IF($C240="","⚠ 没填项目名称",IF($A240="⚠目录里没有","⚠ 项目名称在目录里找不到（先加到目录）",IF($A240="","⚠ 目录里这个项目没填简称",IF(ISTEXT($G240)+ISTEXT($H240)+ISTEXT($K240)+ISTEXT($N240)+ISTEXT($O240)+ISTEXT($Q240)+ISTEXT($R240)+ISTEXT($S240)&gt;0,"⚠ 金额列里有文字，算不进合计",IF(N($G240)&gt;=1,"⚠ 管理费点要填百分比，如 10%",IF(AND($D240&lt;&gt;"",$B240=""),"△ 摘要开头没写日期（如 2026.9.21），月份取不到",IF(AND(N($H240)&lt;&gt;0,COUNTIFS($A$4:$A$1003,$A240,$H$4:$H$1003,$H240,$D$4:$D$1003,LEFT($D240,9)&amp;"*")&gt;1),"△ 同一天同项目有一样的销售金额，看看是不是录重了","✓"))))))))</f>
        <v/>
      </c>
      <c r="W240" s="8" t="str">
        <f aca="false">IF($A240="","",$A240&amp;"#"&amp;COUNTIF($A$4:$A240,$A240))</f>
        <v/>
      </c>
    </row>
    <row r="241" customFormat="false" ht="16.5" hidden="false" customHeight="false" outlineLevel="0" collapsed="false">
      <c r="A241" s="44" t="str">
        <f aca="false">IF($C241="","",IFERROR(VLOOKUP($C241,目录!$B:$C,2,0)&amp;"","⚠目录里没有"))</f>
        <v/>
      </c>
      <c r="B241" s="45" t="str">
        <f aca="false">IF($D241="","",IFERROR(MID($D241,FIND(".",$D241)+1,FIND(".",$D241,FIND(".",$D241)+1)-FIND(".",$D241)-1)&amp;"月",""))</f>
        <v/>
      </c>
      <c r="C241" s="46"/>
      <c r="D241" s="47"/>
      <c r="E241" s="47"/>
      <c r="F241" s="49"/>
      <c r="G241" s="50"/>
      <c r="H241" s="24"/>
      <c r="I241" s="24" t="str">
        <f aca="false">IF($H241="","",N($H241)*N($G241))</f>
        <v/>
      </c>
      <c r="J241" s="25" t="str">
        <f aca="false">IF($H241="","",N($H241)-N($I241))</f>
        <v/>
      </c>
      <c r="K241" s="25"/>
      <c r="L241" s="25" t="str">
        <f aca="false">IF($A241="","",SUMIF($A$4:$A241,$A241,$J$4:$J241)-SUMIF($A$4:$A241,$A241,$K$4:$K241))</f>
        <v/>
      </c>
      <c r="M241" s="26" t="str">
        <f aca="false">IF($H241="","",N($H241))</f>
        <v/>
      </c>
      <c r="N241" s="26"/>
      <c r="O241" s="26"/>
      <c r="P241" s="26" t="str">
        <f aca="false">IF($A241="","",SUMIF($A$4:$A241,$A241,$M$4:$M241)-SUMIF($A$4:$A241,$A241,$N$4:$N241)-SUMIF($A$4:$A241,$A241,$O$4:$O241))</f>
        <v/>
      </c>
      <c r="Q241" s="27"/>
      <c r="R241" s="28"/>
      <c r="S241" s="28"/>
      <c r="T241" s="28" t="str">
        <f aca="false">IF($A241="","",SUMIF($A$4:$A241,$A241,$Q$4:$Q241)-SUMIF($A$4:$A241,$A241,$R$4:$R241)-SUMIF($A$4:$A241,$A241,$S$4:$S241))</f>
        <v/>
      </c>
      <c r="U241" s="28"/>
      <c r="V241" s="29" t="str">
        <f aca="false">IF(AND($C241="",COUNTA($D241:$H241,$K241,$N241:$O241,$Q241:$S241,$U241)=0),"",IF($C241="","⚠ 没填项目名称",IF($A241="⚠目录里没有","⚠ 项目名称在目录里找不到（先加到目录）",IF($A241="","⚠ 目录里这个项目没填简称",IF(ISTEXT($G241)+ISTEXT($H241)+ISTEXT($K241)+ISTEXT($N241)+ISTEXT($O241)+ISTEXT($Q241)+ISTEXT($R241)+ISTEXT($S241)&gt;0,"⚠ 金额列里有文字，算不进合计",IF(N($G241)&gt;=1,"⚠ 管理费点要填百分比，如 10%",IF(AND($D241&lt;&gt;"",$B241=""),"△ 摘要开头没写日期（如 2026.9.21），月份取不到",IF(AND(N($H241)&lt;&gt;0,COUNTIFS($A$4:$A$1003,$A241,$H$4:$H$1003,$H241,$D$4:$D$1003,LEFT($D241,9)&amp;"*")&gt;1),"△ 同一天同项目有一样的销售金额，看看是不是录重了","✓"))))))))</f>
        <v/>
      </c>
      <c r="W241" s="8" t="str">
        <f aca="false">IF($A241="","",$A241&amp;"#"&amp;COUNTIF($A$4:$A241,$A241))</f>
        <v/>
      </c>
    </row>
    <row r="242" customFormat="false" ht="16.5" hidden="false" customHeight="false" outlineLevel="0" collapsed="false">
      <c r="A242" s="44" t="str">
        <f aca="false">IF($C242="","",IFERROR(VLOOKUP($C242,目录!$B:$C,2,0)&amp;"","⚠目录里没有"))</f>
        <v/>
      </c>
      <c r="B242" s="45" t="str">
        <f aca="false">IF($D242="","",IFERROR(MID($D242,FIND(".",$D242)+1,FIND(".",$D242,FIND(".",$D242)+1)-FIND(".",$D242)-1)&amp;"月",""))</f>
        <v/>
      </c>
      <c r="C242" s="46"/>
      <c r="D242" s="47"/>
      <c r="E242" s="47"/>
      <c r="F242" s="49"/>
      <c r="G242" s="50"/>
      <c r="H242" s="24"/>
      <c r="I242" s="24" t="str">
        <f aca="false">IF($H242="","",N($H242)*N($G242))</f>
        <v/>
      </c>
      <c r="J242" s="25" t="str">
        <f aca="false">IF($H242="","",N($H242)-N($I242))</f>
        <v/>
      </c>
      <c r="K242" s="25"/>
      <c r="L242" s="25" t="str">
        <f aca="false">IF($A242="","",SUMIF($A$4:$A242,$A242,$J$4:$J242)-SUMIF($A$4:$A242,$A242,$K$4:$K242))</f>
        <v/>
      </c>
      <c r="M242" s="26" t="str">
        <f aca="false">IF($H242="","",N($H242))</f>
        <v/>
      </c>
      <c r="N242" s="26"/>
      <c r="O242" s="26"/>
      <c r="P242" s="26" t="str">
        <f aca="false">IF($A242="","",SUMIF($A$4:$A242,$A242,$M$4:$M242)-SUMIF($A$4:$A242,$A242,$N$4:$N242)-SUMIF($A$4:$A242,$A242,$O$4:$O242))</f>
        <v/>
      </c>
      <c r="Q242" s="27"/>
      <c r="R242" s="28"/>
      <c r="S242" s="28"/>
      <c r="T242" s="28" t="str">
        <f aca="false">IF($A242="","",SUMIF($A$4:$A242,$A242,$Q$4:$Q242)-SUMIF($A$4:$A242,$A242,$R$4:$R242)-SUMIF($A$4:$A242,$A242,$S$4:$S242))</f>
        <v/>
      </c>
      <c r="U242" s="28"/>
      <c r="V242" s="29" t="str">
        <f aca="false">IF(AND($C242="",COUNTA($D242:$H242,$K242,$N242:$O242,$Q242:$S242,$U242)=0),"",IF($C242="","⚠ 没填项目名称",IF($A242="⚠目录里没有","⚠ 项目名称在目录里找不到（先加到目录）",IF($A242="","⚠ 目录里这个项目没填简称",IF(ISTEXT($G242)+ISTEXT($H242)+ISTEXT($K242)+ISTEXT($N242)+ISTEXT($O242)+ISTEXT($Q242)+ISTEXT($R242)+ISTEXT($S242)&gt;0,"⚠ 金额列里有文字，算不进合计",IF(N($G242)&gt;=1,"⚠ 管理费点要填百分比，如 10%",IF(AND($D242&lt;&gt;"",$B242=""),"△ 摘要开头没写日期（如 2026.9.21），月份取不到",IF(AND(N($H242)&lt;&gt;0,COUNTIFS($A$4:$A$1003,$A242,$H$4:$H$1003,$H242,$D$4:$D$1003,LEFT($D242,9)&amp;"*")&gt;1),"△ 同一天同项目有一样的销售金额，看看是不是录重了","✓"))))))))</f>
        <v/>
      </c>
      <c r="W242" s="8" t="str">
        <f aca="false">IF($A242="","",$A242&amp;"#"&amp;COUNTIF($A$4:$A242,$A242))</f>
        <v/>
      </c>
    </row>
    <row r="243" customFormat="false" ht="16.5" hidden="false" customHeight="false" outlineLevel="0" collapsed="false">
      <c r="A243" s="44" t="str">
        <f aca="false">IF($C243="","",IFERROR(VLOOKUP($C243,目录!$B:$C,2,0)&amp;"","⚠目录里没有"))</f>
        <v/>
      </c>
      <c r="B243" s="45" t="str">
        <f aca="false">IF($D243="","",IFERROR(MID($D243,FIND(".",$D243)+1,FIND(".",$D243,FIND(".",$D243)+1)-FIND(".",$D243)-1)&amp;"月",""))</f>
        <v/>
      </c>
      <c r="C243" s="46"/>
      <c r="D243" s="47"/>
      <c r="E243" s="47"/>
      <c r="F243" s="49"/>
      <c r="G243" s="50"/>
      <c r="H243" s="24"/>
      <c r="I243" s="24" t="str">
        <f aca="false">IF($H243="","",N($H243)*N($G243))</f>
        <v/>
      </c>
      <c r="J243" s="25" t="str">
        <f aca="false">IF($H243="","",N($H243)-N($I243))</f>
        <v/>
      </c>
      <c r="K243" s="25"/>
      <c r="L243" s="25" t="str">
        <f aca="false">IF($A243="","",SUMIF($A$4:$A243,$A243,$J$4:$J243)-SUMIF($A$4:$A243,$A243,$K$4:$K243))</f>
        <v/>
      </c>
      <c r="M243" s="26" t="str">
        <f aca="false">IF($H243="","",N($H243))</f>
        <v/>
      </c>
      <c r="N243" s="26"/>
      <c r="O243" s="26"/>
      <c r="P243" s="26" t="str">
        <f aca="false">IF($A243="","",SUMIF($A$4:$A243,$A243,$M$4:$M243)-SUMIF($A$4:$A243,$A243,$N$4:$N243)-SUMIF($A$4:$A243,$A243,$O$4:$O243))</f>
        <v/>
      </c>
      <c r="Q243" s="27"/>
      <c r="R243" s="28"/>
      <c r="S243" s="28"/>
      <c r="T243" s="28" t="str">
        <f aca="false">IF($A243="","",SUMIF($A$4:$A243,$A243,$Q$4:$Q243)-SUMIF($A$4:$A243,$A243,$R$4:$R243)-SUMIF($A$4:$A243,$A243,$S$4:$S243))</f>
        <v/>
      </c>
      <c r="U243" s="28"/>
      <c r="V243" s="29" t="str">
        <f aca="false">IF(AND($C243="",COUNTA($D243:$H243,$K243,$N243:$O243,$Q243:$S243,$U243)=0),"",IF($C243="","⚠ 没填项目名称",IF($A243="⚠目录里没有","⚠ 项目名称在目录里找不到（先加到目录）",IF($A243="","⚠ 目录里这个项目没填简称",IF(ISTEXT($G243)+ISTEXT($H243)+ISTEXT($K243)+ISTEXT($N243)+ISTEXT($O243)+ISTEXT($Q243)+ISTEXT($R243)+ISTEXT($S243)&gt;0,"⚠ 金额列里有文字，算不进合计",IF(N($G243)&gt;=1,"⚠ 管理费点要填百分比，如 10%",IF(AND($D243&lt;&gt;"",$B243=""),"△ 摘要开头没写日期（如 2026.9.21），月份取不到",IF(AND(N($H243)&lt;&gt;0,COUNTIFS($A$4:$A$1003,$A243,$H$4:$H$1003,$H243,$D$4:$D$1003,LEFT($D243,9)&amp;"*")&gt;1),"△ 同一天同项目有一样的销售金额，看看是不是录重了","✓"))))))))</f>
        <v/>
      </c>
      <c r="W243" s="8" t="str">
        <f aca="false">IF($A243="","",$A243&amp;"#"&amp;COUNTIF($A$4:$A243,$A243))</f>
        <v/>
      </c>
    </row>
    <row r="244" customFormat="false" ht="16.5" hidden="false" customHeight="false" outlineLevel="0" collapsed="false">
      <c r="A244" s="44" t="str">
        <f aca="false">IF($C244="","",IFERROR(VLOOKUP($C244,目录!$B:$C,2,0)&amp;"","⚠目录里没有"))</f>
        <v/>
      </c>
      <c r="B244" s="45" t="str">
        <f aca="false">IF($D244="","",IFERROR(MID($D244,FIND(".",$D244)+1,FIND(".",$D244,FIND(".",$D244)+1)-FIND(".",$D244)-1)&amp;"月",""))</f>
        <v/>
      </c>
      <c r="C244" s="46"/>
      <c r="D244" s="47"/>
      <c r="E244" s="47"/>
      <c r="F244" s="49"/>
      <c r="G244" s="50"/>
      <c r="H244" s="24"/>
      <c r="I244" s="24" t="str">
        <f aca="false">IF($H244="","",N($H244)*N($G244))</f>
        <v/>
      </c>
      <c r="J244" s="25" t="str">
        <f aca="false">IF($H244="","",N($H244)-N($I244))</f>
        <v/>
      </c>
      <c r="K244" s="25"/>
      <c r="L244" s="25" t="str">
        <f aca="false">IF($A244="","",SUMIF($A$4:$A244,$A244,$J$4:$J244)-SUMIF($A$4:$A244,$A244,$K$4:$K244))</f>
        <v/>
      </c>
      <c r="M244" s="26" t="str">
        <f aca="false">IF($H244="","",N($H244))</f>
        <v/>
      </c>
      <c r="N244" s="26"/>
      <c r="O244" s="26"/>
      <c r="P244" s="26" t="str">
        <f aca="false">IF($A244="","",SUMIF($A$4:$A244,$A244,$M$4:$M244)-SUMIF($A$4:$A244,$A244,$N$4:$N244)-SUMIF($A$4:$A244,$A244,$O$4:$O244))</f>
        <v/>
      </c>
      <c r="Q244" s="27"/>
      <c r="R244" s="28"/>
      <c r="S244" s="28"/>
      <c r="T244" s="28" t="str">
        <f aca="false">IF($A244="","",SUMIF($A$4:$A244,$A244,$Q$4:$Q244)-SUMIF($A$4:$A244,$A244,$R$4:$R244)-SUMIF($A$4:$A244,$A244,$S$4:$S244))</f>
        <v/>
      </c>
      <c r="U244" s="28"/>
      <c r="V244" s="29" t="str">
        <f aca="false">IF(AND($C244="",COUNTA($D244:$H244,$K244,$N244:$O244,$Q244:$S244,$U244)=0),"",IF($C244="","⚠ 没填项目名称",IF($A244="⚠目录里没有","⚠ 项目名称在目录里找不到（先加到目录）",IF($A244="","⚠ 目录里这个项目没填简称",IF(ISTEXT($G244)+ISTEXT($H244)+ISTEXT($K244)+ISTEXT($N244)+ISTEXT($O244)+ISTEXT($Q244)+ISTEXT($R244)+ISTEXT($S244)&gt;0,"⚠ 金额列里有文字，算不进合计",IF(N($G244)&gt;=1,"⚠ 管理费点要填百分比，如 10%",IF(AND($D244&lt;&gt;"",$B244=""),"△ 摘要开头没写日期（如 2026.9.21），月份取不到",IF(AND(N($H244)&lt;&gt;0,COUNTIFS($A$4:$A$1003,$A244,$H$4:$H$1003,$H244,$D$4:$D$1003,LEFT($D244,9)&amp;"*")&gt;1),"△ 同一天同项目有一样的销售金额，看看是不是录重了","✓"))))))))</f>
        <v/>
      </c>
      <c r="W244" s="8" t="str">
        <f aca="false">IF($A244="","",$A244&amp;"#"&amp;COUNTIF($A$4:$A244,$A244))</f>
        <v/>
      </c>
    </row>
    <row r="245" customFormat="false" ht="16.5" hidden="false" customHeight="false" outlineLevel="0" collapsed="false">
      <c r="A245" s="44" t="str">
        <f aca="false">IF($C245="","",IFERROR(VLOOKUP($C245,目录!$B:$C,2,0)&amp;"","⚠目录里没有"))</f>
        <v/>
      </c>
      <c r="B245" s="45" t="str">
        <f aca="false">IF($D245="","",IFERROR(MID($D245,FIND(".",$D245)+1,FIND(".",$D245,FIND(".",$D245)+1)-FIND(".",$D245)-1)&amp;"月",""))</f>
        <v/>
      </c>
      <c r="C245" s="46"/>
      <c r="D245" s="47"/>
      <c r="E245" s="47"/>
      <c r="F245" s="49"/>
      <c r="G245" s="50"/>
      <c r="H245" s="24"/>
      <c r="I245" s="24" t="str">
        <f aca="false">IF($H245="","",N($H245)*N($G245))</f>
        <v/>
      </c>
      <c r="J245" s="25" t="str">
        <f aca="false">IF($H245="","",N($H245)-N($I245))</f>
        <v/>
      </c>
      <c r="K245" s="25"/>
      <c r="L245" s="25" t="str">
        <f aca="false">IF($A245="","",SUMIF($A$4:$A245,$A245,$J$4:$J245)-SUMIF($A$4:$A245,$A245,$K$4:$K245))</f>
        <v/>
      </c>
      <c r="M245" s="26" t="str">
        <f aca="false">IF($H245="","",N($H245))</f>
        <v/>
      </c>
      <c r="N245" s="26"/>
      <c r="O245" s="26"/>
      <c r="P245" s="26" t="str">
        <f aca="false">IF($A245="","",SUMIF($A$4:$A245,$A245,$M$4:$M245)-SUMIF($A$4:$A245,$A245,$N$4:$N245)-SUMIF($A$4:$A245,$A245,$O$4:$O245))</f>
        <v/>
      </c>
      <c r="Q245" s="27"/>
      <c r="R245" s="28"/>
      <c r="S245" s="28"/>
      <c r="T245" s="28" t="str">
        <f aca="false">IF($A245="","",SUMIF($A$4:$A245,$A245,$Q$4:$Q245)-SUMIF($A$4:$A245,$A245,$R$4:$R245)-SUMIF($A$4:$A245,$A245,$S$4:$S245))</f>
        <v/>
      </c>
      <c r="U245" s="28"/>
      <c r="V245" s="29" t="str">
        <f aca="false">IF(AND($C245="",COUNTA($D245:$H245,$K245,$N245:$O245,$Q245:$S245,$U245)=0),"",IF($C245="","⚠ 没填项目名称",IF($A245="⚠目录里没有","⚠ 项目名称在目录里找不到（先加到目录）",IF($A245="","⚠ 目录里这个项目没填简称",IF(ISTEXT($G245)+ISTEXT($H245)+ISTEXT($K245)+ISTEXT($N245)+ISTEXT($O245)+ISTEXT($Q245)+ISTEXT($R245)+ISTEXT($S245)&gt;0,"⚠ 金额列里有文字，算不进合计",IF(N($G245)&gt;=1,"⚠ 管理费点要填百分比，如 10%",IF(AND($D245&lt;&gt;"",$B245=""),"△ 摘要开头没写日期（如 2026.9.21），月份取不到",IF(AND(N($H245)&lt;&gt;0,COUNTIFS($A$4:$A$1003,$A245,$H$4:$H$1003,$H245,$D$4:$D$1003,LEFT($D245,9)&amp;"*")&gt;1),"△ 同一天同项目有一样的销售金额，看看是不是录重了","✓"))))))))</f>
        <v/>
      </c>
      <c r="W245" s="8" t="str">
        <f aca="false">IF($A245="","",$A245&amp;"#"&amp;COUNTIF($A$4:$A245,$A245))</f>
        <v/>
      </c>
    </row>
    <row r="246" customFormat="false" ht="16.5" hidden="false" customHeight="false" outlineLevel="0" collapsed="false">
      <c r="A246" s="44" t="str">
        <f aca="false">IF($C246="","",IFERROR(VLOOKUP($C246,目录!$B:$C,2,0)&amp;"","⚠目录里没有"))</f>
        <v/>
      </c>
      <c r="B246" s="45" t="str">
        <f aca="false">IF($D246="","",IFERROR(MID($D246,FIND(".",$D246)+1,FIND(".",$D246,FIND(".",$D246)+1)-FIND(".",$D246)-1)&amp;"月",""))</f>
        <v/>
      </c>
      <c r="C246" s="46"/>
      <c r="D246" s="47"/>
      <c r="E246" s="47"/>
      <c r="F246" s="49"/>
      <c r="G246" s="50"/>
      <c r="H246" s="24"/>
      <c r="I246" s="24" t="str">
        <f aca="false">IF($H246="","",N($H246)*N($G246))</f>
        <v/>
      </c>
      <c r="J246" s="25" t="str">
        <f aca="false">IF($H246="","",N($H246)-N($I246))</f>
        <v/>
      </c>
      <c r="K246" s="25"/>
      <c r="L246" s="25" t="str">
        <f aca="false">IF($A246="","",SUMIF($A$4:$A246,$A246,$J$4:$J246)-SUMIF($A$4:$A246,$A246,$K$4:$K246))</f>
        <v/>
      </c>
      <c r="M246" s="26" t="str">
        <f aca="false">IF($H246="","",N($H246))</f>
        <v/>
      </c>
      <c r="N246" s="26"/>
      <c r="O246" s="26"/>
      <c r="P246" s="26" t="str">
        <f aca="false">IF($A246="","",SUMIF($A$4:$A246,$A246,$M$4:$M246)-SUMIF($A$4:$A246,$A246,$N$4:$N246)-SUMIF($A$4:$A246,$A246,$O$4:$O246))</f>
        <v/>
      </c>
      <c r="Q246" s="27"/>
      <c r="R246" s="28"/>
      <c r="S246" s="28"/>
      <c r="T246" s="28" t="str">
        <f aca="false">IF($A246="","",SUMIF($A$4:$A246,$A246,$Q$4:$Q246)-SUMIF($A$4:$A246,$A246,$R$4:$R246)-SUMIF($A$4:$A246,$A246,$S$4:$S246))</f>
        <v/>
      </c>
      <c r="U246" s="28"/>
      <c r="V246" s="29" t="str">
        <f aca="false">IF(AND($C246="",COUNTA($D246:$H246,$K246,$N246:$O246,$Q246:$S246,$U246)=0),"",IF($C246="","⚠ 没填项目名称",IF($A246="⚠目录里没有","⚠ 项目名称在目录里找不到（先加到目录）",IF($A246="","⚠ 目录里这个项目没填简称",IF(ISTEXT($G246)+ISTEXT($H246)+ISTEXT($K246)+ISTEXT($N246)+ISTEXT($O246)+ISTEXT($Q246)+ISTEXT($R246)+ISTEXT($S246)&gt;0,"⚠ 金额列里有文字，算不进合计",IF(N($G246)&gt;=1,"⚠ 管理费点要填百分比，如 10%",IF(AND($D246&lt;&gt;"",$B246=""),"△ 摘要开头没写日期（如 2026.9.21），月份取不到",IF(AND(N($H246)&lt;&gt;0,COUNTIFS($A$4:$A$1003,$A246,$H$4:$H$1003,$H246,$D$4:$D$1003,LEFT($D246,9)&amp;"*")&gt;1),"△ 同一天同项目有一样的销售金额，看看是不是录重了","✓"))))))))</f>
        <v/>
      </c>
      <c r="W246" s="8" t="str">
        <f aca="false">IF($A246="","",$A246&amp;"#"&amp;COUNTIF($A$4:$A246,$A246))</f>
        <v/>
      </c>
    </row>
    <row r="247" customFormat="false" ht="16.5" hidden="false" customHeight="false" outlineLevel="0" collapsed="false">
      <c r="A247" s="44" t="str">
        <f aca="false">IF($C247="","",IFERROR(VLOOKUP($C247,目录!$B:$C,2,0)&amp;"","⚠目录里没有"))</f>
        <v/>
      </c>
      <c r="B247" s="45" t="str">
        <f aca="false">IF($D247="","",IFERROR(MID($D247,FIND(".",$D247)+1,FIND(".",$D247,FIND(".",$D247)+1)-FIND(".",$D247)-1)&amp;"月",""))</f>
        <v/>
      </c>
      <c r="C247" s="46"/>
      <c r="D247" s="47"/>
      <c r="E247" s="47"/>
      <c r="F247" s="49"/>
      <c r="G247" s="50"/>
      <c r="H247" s="24"/>
      <c r="I247" s="24" t="str">
        <f aca="false">IF($H247="","",N($H247)*N($G247))</f>
        <v/>
      </c>
      <c r="J247" s="25" t="str">
        <f aca="false">IF($H247="","",N($H247)-N($I247))</f>
        <v/>
      </c>
      <c r="K247" s="25"/>
      <c r="L247" s="25" t="str">
        <f aca="false">IF($A247="","",SUMIF($A$4:$A247,$A247,$J$4:$J247)-SUMIF($A$4:$A247,$A247,$K$4:$K247))</f>
        <v/>
      </c>
      <c r="M247" s="26" t="str">
        <f aca="false">IF($H247="","",N($H247))</f>
        <v/>
      </c>
      <c r="N247" s="26"/>
      <c r="O247" s="26"/>
      <c r="P247" s="26" t="str">
        <f aca="false">IF($A247="","",SUMIF($A$4:$A247,$A247,$M$4:$M247)-SUMIF($A$4:$A247,$A247,$N$4:$N247)-SUMIF($A$4:$A247,$A247,$O$4:$O247))</f>
        <v/>
      </c>
      <c r="Q247" s="27"/>
      <c r="R247" s="28"/>
      <c r="S247" s="28"/>
      <c r="T247" s="28" t="str">
        <f aca="false">IF($A247="","",SUMIF($A$4:$A247,$A247,$Q$4:$Q247)-SUMIF($A$4:$A247,$A247,$R$4:$R247)-SUMIF($A$4:$A247,$A247,$S$4:$S247))</f>
        <v/>
      </c>
      <c r="U247" s="28"/>
      <c r="V247" s="29" t="str">
        <f aca="false">IF(AND($C247="",COUNTA($D247:$H247,$K247,$N247:$O247,$Q247:$S247,$U247)=0),"",IF($C247="","⚠ 没填项目名称",IF($A247="⚠目录里没有","⚠ 项目名称在目录里找不到（先加到目录）",IF($A247="","⚠ 目录里这个项目没填简称",IF(ISTEXT($G247)+ISTEXT($H247)+ISTEXT($K247)+ISTEXT($N247)+ISTEXT($O247)+ISTEXT($Q247)+ISTEXT($R247)+ISTEXT($S247)&gt;0,"⚠ 金额列里有文字，算不进合计",IF(N($G247)&gt;=1,"⚠ 管理费点要填百分比，如 10%",IF(AND($D247&lt;&gt;"",$B247=""),"△ 摘要开头没写日期（如 2026.9.21），月份取不到",IF(AND(N($H247)&lt;&gt;0,COUNTIFS($A$4:$A$1003,$A247,$H$4:$H$1003,$H247,$D$4:$D$1003,LEFT($D247,9)&amp;"*")&gt;1),"△ 同一天同项目有一样的销售金额，看看是不是录重了","✓"))))))))</f>
        <v/>
      </c>
      <c r="W247" s="8" t="str">
        <f aca="false">IF($A247="","",$A247&amp;"#"&amp;COUNTIF($A$4:$A247,$A247))</f>
        <v/>
      </c>
    </row>
    <row r="248" customFormat="false" ht="16.5" hidden="false" customHeight="false" outlineLevel="0" collapsed="false">
      <c r="A248" s="44" t="str">
        <f aca="false">IF($C248="","",IFERROR(VLOOKUP($C248,目录!$B:$C,2,0)&amp;"","⚠目录里没有"))</f>
        <v/>
      </c>
      <c r="B248" s="45" t="str">
        <f aca="false">IF($D248="","",IFERROR(MID($D248,FIND(".",$D248)+1,FIND(".",$D248,FIND(".",$D248)+1)-FIND(".",$D248)-1)&amp;"月",""))</f>
        <v/>
      </c>
      <c r="C248" s="46"/>
      <c r="D248" s="47"/>
      <c r="E248" s="47"/>
      <c r="F248" s="49"/>
      <c r="G248" s="50"/>
      <c r="H248" s="24"/>
      <c r="I248" s="24" t="str">
        <f aca="false">IF($H248="","",N($H248)*N($G248))</f>
        <v/>
      </c>
      <c r="J248" s="25" t="str">
        <f aca="false">IF($H248="","",N($H248)-N($I248))</f>
        <v/>
      </c>
      <c r="K248" s="25"/>
      <c r="L248" s="25" t="str">
        <f aca="false">IF($A248="","",SUMIF($A$4:$A248,$A248,$J$4:$J248)-SUMIF($A$4:$A248,$A248,$K$4:$K248))</f>
        <v/>
      </c>
      <c r="M248" s="26" t="str">
        <f aca="false">IF($H248="","",N($H248))</f>
        <v/>
      </c>
      <c r="N248" s="26"/>
      <c r="O248" s="26"/>
      <c r="P248" s="26" t="str">
        <f aca="false">IF($A248="","",SUMIF($A$4:$A248,$A248,$M$4:$M248)-SUMIF($A$4:$A248,$A248,$N$4:$N248)-SUMIF($A$4:$A248,$A248,$O$4:$O248))</f>
        <v/>
      </c>
      <c r="Q248" s="27"/>
      <c r="R248" s="28"/>
      <c r="S248" s="28"/>
      <c r="T248" s="28" t="str">
        <f aca="false">IF($A248="","",SUMIF($A$4:$A248,$A248,$Q$4:$Q248)-SUMIF($A$4:$A248,$A248,$R$4:$R248)-SUMIF($A$4:$A248,$A248,$S$4:$S248))</f>
        <v/>
      </c>
      <c r="U248" s="28"/>
      <c r="V248" s="29" t="str">
        <f aca="false">IF(AND($C248="",COUNTA($D248:$H248,$K248,$N248:$O248,$Q248:$S248,$U248)=0),"",IF($C248="","⚠ 没填项目名称",IF($A248="⚠目录里没有","⚠ 项目名称在目录里找不到（先加到目录）",IF($A248="","⚠ 目录里这个项目没填简称",IF(ISTEXT($G248)+ISTEXT($H248)+ISTEXT($K248)+ISTEXT($N248)+ISTEXT($O248)+ISTEXT($Q248)+ISTEXT($R248)+ISTEXT($S248)&gt;0,"⚠ 金额列里有文字，算不进合计",IF(N($G248)&gt;=1,"⚠ 管理费点要填百分比，如 10%",IF(AND($D248&lt;&gt;"",$B248=""),"△ 摘要开头没写日期（如 2026.9.21），月份取不到",IF(AND(N($H248)&lt;&gt;0,COUNTIFS($A$4:$A$1003,$A248,$H$4:$H$1003,$H248,$D$4:$D$1003,LEFT($D248,9)&amp;"*")&gt;1),"△ 同一天同项目有一样的销售金额，看看是不是录重了","✓"))))))))</f>
        <v/>
      </c>
      <c r="W248" s="8" t="str">
        <f aca="false">IF($A248="","",$A248&amp;"#"&amp;COUNTIF($A$4:$A248,$A248))</f>
        <v/>
      </c>
    </row>
    <row r="249" customFormat="false" ht="16.5" hidden="false" customHeight="false" outlineLevel="0" collapsed="false">
      <c r="A249" s="44" t="str">
        <f aca="false">IF($C249="","",IFERROR(VLOOKUP($C249,目录!$B:$C,2,0)&amp;"","⚠目录里没有"))</f>
        <v/>
      </c>
      <c r="B249" s="45" t="str">
        <f aca="false">IF($D249="","",IFERROR(MID($D249,FIND(".",$D249)+1,FIND(".",$D249,FIND(".",$D249)+1)-FIND(".",$D249)-1)&amp;"月",""))</f>
        <v/>
      </c>
      <c r="C249" s="46"/>
      <c r="D249" s="47"/>
      <c r="E249" s="47"/>
      <c r="F249" s="49"/>
      <c r="G249" s="50"/>
      <c r="H249" s="24"/>
      <c r="I249" s="24" t="str">
        <f aca="false">IF($H249="","",N($H249)*N($G249))</f>
        <v/>
      </c>
      <c r="J249" s="25" t="str">
        <f aca="false">IF($H249="","",N($H249)-N($I249))</f>
        <v/>
      </c>
      <c r="K249" s="25"/>
      <c r="L249" s="25" t="str">
        <f aca="false">IF($A249="","",SUMIF($A$4:$A249,$A249,$J$4:$J249)-SUMIF($A$4:$A249,$A249,$K$4:$K249))</f>
        <v/>
      </c>
      <c r="M249" s="26" t="str">
        <f aca="false">IF($H249="","",N($H249))</f>
        <v/>
      </c>
      <c r="N249" s="26"/>
      <c r="O249" s="26"/>
      <c r="P249" s="26" t="str">
        <f aca="false">IF($A249="","",SUMIF($A$4:$A249,$A249,$M$4:$M249)-SUMIF($A$4:$A249,$A249,$N$4:$N249)-SUMIF($A$4:$A249,$A249,$O$4:$O249))</f>
        <v/>
      </c>
      <c r="Q249" s="27"/>
      <c r="R249" s="28"/>
      <c r="S249" s="28"/>
      <c r="T249" s="28" t="str">
        <f aca="false">IF($A249="","",SUMIF($A$4:$A249,$A249,$Q$4:$Q249)-SUMIF($A$4:$A249,$A249,$R$4:$R249)-SUMIF($A$4:$A249,$A249,$S$4:$S249))</f>
        <v/>
      </c>
      <c r="U249" s="28"/>
      <c r="V249" s="29" t="str">
        <f aca="false">IF(AND($C249="",COUNTA($D249:$H249,$K249,$N249:$O249,$Q249:$S249,$U249)=0),"",IF($C249="","⚠ 没填项目名称",IF($A249="⚠目录里没有","⚠ 项目名称在目录里找不到（先加到目录）",IF($A249="","⚠ 目录里这个项目没填简称",IF(ISTEXT($G249)+ISTEXT($H249)+ISTEXT($K249)+ISTEXT($N249)+ISTEXT($O249)+ISTEXT($Q249)+ISTEXT($R249)+ISTEXT($S249)&gt;0,"⚠ 金额列里有文字，算不进合计",IF(N($G249)&gt;=1,"⚠ 管理费点要填百分比，如 10%",IF(AND($D249&lt;&gt;"",$B249=""),"△ 摘要开头没写日期（如 2026.9.21），月份取不到",IF(AND(N($H249)&lt;&gt;0,COUNTIFS($A$4:$A$1003,$A249,$H$4:$H$1003,$H249,$D$4:$D$1003,LEFT($D249,9)&amp;"*")&gt;1),"△ 同一天同项目有一样的销售金额，看看是不是录重了","✓"))))))))</f>
        <v/>
      </c>
      <c r="W249" s="8" t="str">
        <f aca="false">IF($A249="","",$A249&amp;"#"&amp;COUNTIF($A$4:$A249,$A249))</f>
        <v/>
      </c>
    </row>
    <row r="250" customFormat="false" ht="16.5" hidden="false" customHeight="false" outlineLevel="0" collapsed="false">
      <c r="A250" s="44" t="str">
        <f aca="false">IF($C250="","",IFERROR(VLOOKUP($C250,目录!$B:$C,2,0)&amp;"","⚠目录里没有"))</f>
        <v/>
      </c>
      <c r="B250" s="45" t="str">
        <f aca="false">IF($D250="","",IFERROR(MID($D250,FIND(".",$D250)+1,FIND(".",$D250,FIND(".",$D250)+1)-FIND(".",$D250)-1)&amp;"月",""))</f>
        <v/>
      </c>
      <c r="C250" s="46"/>
      <c r="D250" s="47"/>
      <c r="E250" s="47"/>
      <c r="F250" s="49"/>
      <c r="G250" s="50"/>
      <c r="H250" s="24"/>
      <c r="I250" s="24" t="str">
        <f aca="false">IF($H250="","",N($H250)*N($G250))</f>
        <v/>
      </c>
      <c r="J250" s="25" t="str">
        <f aca="false">IF($H250="","",N($H250)-N($I250))</f>
        <v/>
      </c>
      <c r="K250" s="25"/>
      <c r="L250" s="25" t="str">
        <f aca="false">IF($A250="","",SUMIF($A$4:$A250,$A250,$J$4:$J250)-SUMIF($A$4:$A250,$A250,$K$4:$K250))</f>
        <v/>
      </c>
      <c r="M250" s="26" t="str">
        <f aca="false">IF($H250="","",N($H250))</f>
        <v/>
      </c>
      <c r="N250" s="26"/>
      <c r="O250" s="26"/>
      <c r="P250" s="26" t="str">
        <f aca="false">IF($A250="","",SUMIF($A$4:$A250,$A250,$M$4:$M250)-SUMIF($A$4:$A250,$A250,$N$4:$N250)-SUMIF($A$4:$A250,$A250,$O$4:$O250))</f>
        <v/>
      </c>
      <c r="Q250" s="27"/>
      <c r="R250" s="28"/>
      <c r="S250" s="28"/>
      <c r="T250" s="28" t="str">
        <f aca="false">IF($A250="","",SUMIF($A$4:$A250,$A250,$Q$4:$Q250)-SUMIF($A$4:$A250,$A250,$R$4:$R250)-SUMIF($A$4:$A250,$A250,$S$4:$S250))</f>
        <v/>
      </c>
      <c r="U250" s="28"/>
      <c r="V250" s="29" t="str">
        <f aca="false">IF(AND($C250="",COUNTA($D250:$H250,$K250,$N250:$O250,$Q250:$S250,$U250)=0),"",IF($C250="","⚠ 没填项目名称",IF($A250="⚠目录里没有","⚠ 项目名称在目录里找不到（先加到目录）",IF($A250="","⚠ 目录里这个项目没填简称",IF(ISTEXT($G250)+ISTEXT($H250)+ISTEXT($K250)+ISTEXT($N250)+ISTEXT($O250)+ISTEXT($Q250)+ISTEXT($R250)+ISTEXT($S250)&gt;0,"⚠ 金额列里有文字，算不进合计",IF(N($G250)&gt;=1,"⚠ 管理费点要填百分比，如 10%",IF(AND($D250&lt;&gt;"",$B250=""),"△ 摘要开头没写日期（如 2026.9.21），月份取不到",IF(AND(N($H250)&lt;&gt;0,COUNTIFS($A$4:$A$1003,$A250,$H$4:$H$1003,$H250,$D$4:$D$1003,LEFT($D250,9)&amp;"*")&gt;1),"△ 同一天同项目有一样的销售金额，看看是不是录重了","✓"))))))))</f>
        <v/>
      </c>
      <c r="W250" s="8" t="str">
        <f aca="false">IF($A250="","",$A250&amp;"#"&amp;COUNTIF($A$4:$A250,$A250))</f>
        <v/>
      </c>
    </row>
    <row r="251" customFormat="false" ht="16.5" hidden="false" customHeight="false" outlineLevel="0" collapsed="false">
      <c r="A251" s="44" t="str">
        <f aca="false">IF($C251="","",IFERROR(VLOOKUP($C251,目录!$B:$C,2,0)&amp;"","⚠目录里没有"))</f>
        <v/>
      </c>
      <c r="B251" s="45" t="str">
        <f aca="false">IF($D251="","",IFERROR(MID($D251,FIND(".",$D251)+1,FIND(".",$D251,FIND(".",$D251)+1)-FIND(".",$D251)-1)&amp;"月",""))</f>
        <v/>
      </c>
      <c r="C251" s="46"/>
      <c r="D251" s="47"/>
      <c r="E251" s="47"/>
      <c r="F251" s="49"/>
      <c r="G251" s="50"/>
      <c r="H251" s="24"/>
      <c r="I251" s="24" t="str">
        <f aca="false">IF($H251="","",N($H251)*N($G251))</f>
        <v/>
      </c>
      <c r="J251" s="25" t="str">
        <f aca="false">IF($H251="","",N($H251)-N($I251))</f>
        <v/>
      </c>
      <c r="K251" s="25"/>
      <c r="L251" s="25" t="str">
        <f aca="false">IF($A251="","",SUMIF($A$4:$A251,$A251,$J$4:$J251)-SUMIF($A$4:$A251,$A251,$K$4:$K251))</f>
        <v/>
      </c>
      <c r="M251" s="26" t="str">
        <f aca="false">IF($H251="","",N($H251))</f>
        <v/>
      </c>
      <c r="N251" s="26"/>
      <c r="O251" s="26"/>
      <c r="P251" s="26" t="str">
        <f aca="false">IF($A251="","",SUMIF($A$4:$A251,$A251,$M$4:$M251)-SUMIF($A$4:$A251,$A251,$N$4:$N251)-SUMIF($A$4:$A251,$A251,$O$4:$O251))</f>
        <v/>
      </c>
      <c r="Q251" s="27"/>
      <c r="R251" s="28"/>
      <c r="S251" s="28"/>
      <c r="T251" s="28" t="str">
        <f aca="false">IF($A251="","",SUMIF($A$4:$A251,$A251,$Q$4:$Q251)-SUMIF($A$4:$A251,$A251,$R$4:$R251)-SUMIF($A$4:$A251,$A251,$S$4:$S251))</f>
        <v/>
      </c>
      <c r="U251" s="28"/>
      <c r="V251" s="29" t="str">
        <f aca="false">IF(AND($C251="",COUNTA($D251:$H251,$K251,$N251:$O251,$Q251:$S251,$U251)=0),"",IF($C251="","⚠ 没填项目名称",IF($A251="⚠目录里没有","⚠ 项目名称在目录里找不到（先加到目录）",IF($A251="","⚠ 目录里这个项目没填简称",IF(ISTEXT($G251)+ISTEXT($H251)+ISTEXT($K251)+ISTEXT($N251)+ISTEXT($O251)+ISTEXT($Q251)+ISTEXT($R251)+ISTEXT($S251)&gt;0,"⚠ 金额列里有文字，算不进合计",IF(N($G251)&gt;=1,"⚠ 管理费点要填百分比，如 10%",IF(AND($D251&lt;&gt;"",$B251=""),"△ 摘要开头没写日期（如 2026.9.21），月份取不到",IF(AND(N($H251)&lt;&gt;0,COUNTIFS($A$4:$A$1003,$A251,$H$4:$H$1003,$H251,$D$4:$D$1003,LEFT($D251,9)&amp;"*")&gt;1),"△ 同一天同项目有一样的销售金额，看看是不是录重了","✓"))))))))</f>
        <v/>
      </c>
      <c r="W251" s="8" t="str">
        <f aca="false">IF($A251="","",$A251&amp;"#"&amp;COUNTIF($A$4:$A251,$A251))</f>
        <v/>
      </c>
    </row>
    <row r="252" customFormat="false" ht="16.5" hidden="false" customHeight="false" outlineLevel="0" collapsed="false">
      <c r="A252" s="44" t="str">
        <f aca="false">IF($C252="","",IFERROR(VLOOKUP($C252,目录!$B:$C,2,0)&amp;"","⚠目录里没有"))</f>
        <v/>
      </c>
      <c r="B252" s="45" t="str">
        <f aca="false">IF($D252="","",IFERROR(MID($D252,FIND(".",$D252)+1,FIND(".",$D252,FIND(".",$D252)+1)-FIND(".",$D252)-1)&amp;"月",""))</f>
        <v/>
      </c>
      <c r="C252" s="46"/>
      <c r="D252" s="47"/>
      <c r="E252" s="47"/>
      <c r="F252" s="49"/>
      <c r="G252" s="50"/>
      <c r="H252" s="24"/>
      <c r="I252" s="24" t="str">
        <f aca="false">IF($H252="","",N($H252)*N($G252))</f>
        <v/>
      </c>
      <c r="J252" s="25" t="str">
        <f aca="false">IF($H252="","",N($H252)-N($I252))</f>
        <v/>
      </c>
      <c r="K252" s="25"/>
      <c r="L252" s="25" t="str">
        <f aca="false">IF($A252="","",SUMIF($A$4:$A252,$A252,$J$4:$J252)-SUMIF($A$4:$A252,$A252,$K$4:$K252))</f>
        <v/>
      </c>
      <c r="M252" s="26" t="str">
        <f aca="false">IF($H252="","",N($H252))</f>
        <v/>
      </c>
      <c r="N252" s="26"/>
      <c r="O252" s="26"/>
      <c r="P252" s="26" t="str">
        <f aca="false">IF($A252="","",SUMIF($A$4:$A252,$A252,$M$4:$M252)-SUMIF($A$4:$A252,$A252,$N$4:$N252)-SUMIF($A$4:$A252,$A252,$O$4:$O252))</f>
        <v/>
      </c>
      <c r="Q252" s="27"/>
      <c r="R252" s="28"/>
      <c r="S252" s="28"/>
      <c r="T252" s="28" t="str">
        <f aca="false">IF($A252="","",SUMIF($A$4:$A252,$A252,$Q$4:$Q252)-SUMIF($A$4:$A252,$A252,$R$4:$R252)-SUMIF($A$4:$A252,$A252,$S$4:$S252))</f>
        <v/>
      </c>
      <c r="U252" s="28"/>
      <c r="V252" s="29" t="str">
        <f aca="false">IF(AND($C252="",COUNTA($D252:$H252,$K252,$N252:$O252,$Q252:$S252,$U252)=0),"",IF($C252="","⚠ 没填项目名称",IF($A252="⚠目录里没有","⚠ 项目名称在目录里找不到（先加到目录）",IF($A252="","⚠ 目录里这个项目没填简称",IF(ISTEXT($G252)+ISTEXT($H252)+ISTEXT($K252)+ISTEXT($N252)+ISTEXT($O252)+ISTEXT($Q252)+ISTEXT($R252)+ISTEXT($S252)&gt;0,"⚠ 金额列里有文字，算不进合计",IF(N($G252)&gt;=1,"⚠ 管理费点要填百分比，如 10%",IF(AND($D252&lt;&gt;"",$B252=""),"△ 摘要开头没写日期（如 2026.9.21），月份取不到",IF(AND(N($H252)&lt;&gt;0,COUNTIFS($A$4:$A$1003,$A252,$H$4:$H$1003,$H252,$D$4:$D$1003,LEFT($D252,9)&amp;"*")&gt;1),"△ 同一天同项目有一样的销售金额，看看是不是录重了","✓"))))))))</f>
        <v/>
      </c>
      <c r="W252" s="8" t="str">
        <f aca="false">IF($A252="","",$A252&amp;"#"&amp;COUNTIF($A$4:$A252,$A252))</f>
        <v/>
      </c>
    </row>
    <row r="253" customFormat="false" ht="16.5" hidden="false" customHeight="false" outlineLevel="0" collapsed="false">
      <c r="A253" s="44" t="str">
        <f aca="false">IF($C253="","",IFERROR(VLOOKUP($C253,目录!$B:$C,2,0)&amp;"","⚠目录里没有"))</f>
        <v/>
      </c>
      <c r="B253" s="45" t="str">
        <f aca="false">IF($D253="","",IFERROR(MID($D253,FIND(".",$D253)+1,FIND(".",$D253,FIND(".",$D253)+1)-FIND(".",$D253)-1)&amp;"月",""))</f>
        <v/>
      </c>
      <c r="C253" s="46"/>
      <c r="D253" s="47"/>
      <c r="E253" s="47"/>
      <c r="F253" s="49"/>
      <c r="G253" s="50"/>
      <c r="H253" s="24"/>
      <c r="I253" s="24" t="str">
        <f aca="false">IF($H253="","",N($H253)*N($G253))</f>
        <v/>
      </c>
      <c r="J253" s="25" t="str">
        <f aca="false">IF($H253="","",N($H253)-N($I253))</f>
        <v/>
      </c>
      <c r="K253" s="25"/>
      <c r="L253" s="25" t="str">
        <f aca="false">IF($A253="","",SUMIF($A$4:$A253,$A253,$J$4:$J253)-SUMIF($A$4:$A253,$A253,$K$4:$K253))</f>
        <v/>
      </c>
      <c r="M253" s="26" t="str">
        <f aca="false">IF($H253="","",N($H253))</f>
        <v/>
      </c>
      <c r="N253" s="26"/>
      <c r="O253" s="26"/>
      <c r="P253" s="26" t="str">
        <f aca="false">IF($A253="","",SUMIF($A$4:$A253,$A253,$M$4:$M253)-SUMIF($A$4:$A253,$A253,$N$4:$N253)-SUMIF($A$4:$A253,$A253,$O$4:$O253))</f>
        <v/>
      </c>
      <c r="Q253" s="27"/>
      <c r="R253" s="28"/>
      <c r="S253" s="28"/>
      <c r="T253" s="28" t="str">
        <f aca="false">IF($A253="","",SUMIF($A$4:$A253,$A253,$Q$4:$Q253)-SUMIF($A$4:$A253,$A253,$R$4:$R253)-SUMIF($A$4:$A253,$A253,$S$4:$S253))</f>
        <v/>
      </c>
      <c r="U253" s="28"/>
      <c r="V253" s="29" t="str">
        <f aca="false">IF(AND($C253="",COUNTA($D253:$H253,$K253,$N253:$O253,$Q253:$S253,$U253)=0),"",IF($C253="","⚠ 没填项目名称",IF($A253="⚠目录里没有","⚠ 项目名称在目录里找不到（先加到目录）",IF($A253="","⚠ 目录里这个项目没填简称",IF(ISTEXT($G253)+ISTEXT($H253)+ISTEXT($K253)+ISTEXT($N253)+ISTEXT($O253)+ISTEXT($Q253)+ISTEXT($R253)+ISTEXT($S253)&gt;0,"⚠ 金额列里有文字，算不进合计",IF(N($G253)&gt;=1,"⚠ 管理费点要填百分比，如 10%",IF(AND($D253&lt;&gt;"",$B253=""),"△ 摘要开头没写日期（如 2026.9.21），月份取不到",IF(AND(N($H253)&lt;&gt;0,COUNTIFS($A$4:$A$1003,$A253,$H$4:$H$1003,$H253,$D$4:$D$1003,LEFT($D253,9)&amp;"*")&gt;1),"△ 同一天同项目有一样的销售金额，看看是不是录重了","✓"))))))))</f>
        <v/>
      </c>
      <c r="W253" s="8" t="str">
        <f aca="false">IF($A253="","",$A253&amp;"#"&amp;COUNTIF($A$4:$A253,$A253))</f>
        <v/>
      </c>
    </row>
    <row r="254" customFormat="false" ht="16.5" hidden="false" customHeight="false" outlineLevel="0" collapsed="false">
      <c r="A254" s="44" t="str">
        <f aca="false">IF($C254="","",IFERROR(VLOOKUP($C254,目录!$B:$C,2,0)&amp;"","⚠目录里没有"))</f>
        <v/>
      </c>
      <c r="B254" s="45" t="str">
        <f aca="false">IF($D254="","",IFERROR(MID($D254,FIND(".",$D254)+1,FIND(".",$D254,FIND(".",$D254)+1)-FIND(".",$D254)-1)&amp;"月",""))</f>
        <v/>
      </c>
      <c r="C254" s="46"/>
      <c r="D254" s="47"/>
      <c r="E254" s="47"/>
      <c r="F254" s="49"/>
      <c r="G254" s="50"/>
      <c r="H254" s="24"/>
      <c r="I254" s="24" t="str">
        <f aca="false">IF($H254="","",N($H254)*N($G254))</f>
        <v/>
      </c>
      <c r="J254" s="25" t="str">
        <f aca="false">IF($H254="","",N($H254)-N($I254))</f>
        <v/>
      </c>
      <c r="K254" s="25"/>
      <c r="L254" s="25" t="str">
        <f aca="false">IF($A254="","",SUMIF($A$4:$A254,$A254,$J$4:$J254)-SUMIF($A$4:$A254,$A254,$K$4:$K254))</f>
        <v/>
      </c>
      <c r="M254" s="26" t="str">
        <f aca="false">IF($H254="","",N($H254))</f>
        <v/>
      </c>
      <c r="N254" s="26"/>
      <c r="O254" s="26"/>
      <c r="P254" s="26" t="str">
        <f aca="false">IF($A254="","",SUMIF($A$4:$A254,$A254,$M$4:$M254)-SUMIF($A$4:$A254,$A254,$N$4:$N254)-SUMIF($A$4:$A254,$A254,$O$4:$O254))</f>
        <v/>
      </c>
      <c r="Q254" s="27"/>
      <c r="R254" s="28"/>
      <c r="S254" s="28"/>
      <c r="T254" s="28" t="str">
        <f aca="false">IF($A254="","",SUMIF($A$4:$A254,$A254,$Q$4:$Q254)-SUMIF($A$4:$A254,$A254,$R$4:$R254)-SUMIF($A$4:$A254,$A254,$S$4:$S254))</f>
        <v/>
      </c>
      <c r="U254" s="28"/>
      <c r="V254" s="29" t="str">
        <f aca="false">IF(AND($C254="",COUNTA($D254:$H254,$K254,$N254:$O254,$Q254:$S254,$U254)=0),"",IF($C254="","⚠ 没填项目名称",IF($A254="⚠目录里没有","⚠ 项目名称在目录里找不到（先加到目录）",IF($A254="","⚠ 目录里这个项目没填简称",IF(ISTEXT($G254)+ISTEXT($H254)+ISTEXT($K254)+ISTEXT($N254)+ISTEXT($O254)+ISTEXT($Q254)+ISTEXT($R254)+ISTEXT($S254)&gt;0,"⚠ 金额列里有文字，算不进合计",IF(N($G254)&gt;=1,"⚠ 管理费点要填百分比，如 10%",IF(AND($D254&lt;&gt;"",$B254=""),"△ 摘要开头没写日期（如 2026.9.21），月份取不到",IF(AND(N($H254)&lt;&gt;0,COUNTIFS($A$4:$A$1003,$A254,$H$4:$H$1003,$H254,$D$4:$D$1003,LEFT($D254,9)&amp;"*")&gt;1),"△ 同一天同项目有一样的销售金额，看看是不是录重了","✓"))))))))</f>
        <v/>
      </c>
      <c r="W254" s="8" t="str">
        <f aca="false">IF($A254="","",$A254&amp;"#"&amp;COUNTIF($A$4:$A254,$A254))</f>
        <v/>
      </c>
    </row>
    <row r="255" customFormat="false" ht="16.5" hidden="false" customHeight="false" outlineLevel="0" collapsed="false">
      <c r="A255" s="44" t="str">
        <f aca="false">IF($C255="","",IFERROR(VLOOKUP($C255,目录!$B:$C,2,0)&amp;"","⚠目录里没有"))</f>
        <v/>
      </c>
      <c r="B255" s="45" t="str">
        <f aca="false">IF($D255="","",IFERROR(MID($D255,FIND(".",$D255)+1,FIND(".",$D255,FIND(".",$D255)+1)-FIND(".",$D255)-1)&amp;"月",""))</f>
        <v/>
      </c>
      <c r="C255" s="46"/>
      <c r="D255" s="47"/>
      <c r="E255" s="47"/>
      <c r="F255" s="49"/>
      <c r="G255" s="50"/>
      <c r="H255" s="24"/>
      <c r="I255" s="24" t="str">
        <f aca="false">IF($H255="","",N($H255)*N($G255))</f>
        <v/>
      </c>
      <c r="J255" s="25" t="str">
        <f aca="false">IF($H255="","",N($H255)-N($I255))</f>
        <v/>
      </c>
      <c r="K255" s="25"/>
      <c r="L255" s="25" t="str">
        <f aca="false">IF($A255="","",SUMIF($A$4:$A255,$A255,$J$4:$J255)-SUMIF($A$4:$A255,$A255,$K$4:$K255))</f>
        <v/>
      </c>
      <c r="M255" s="26" t="str">
        <f aca="false">IF($H255="","",N($H255))</f>
        <v/>
      </c>
      <c r="N255" s="26"/>
      <c r="O255" s="26"/>
      <c r="P255" s="26" t="str">
        <f aca="false">IF($A255="","",SUMIF($A$4:$A255,$A255,$M$4:$M255)-SUMIF($A$4:$A255,$A255,$N$4:$N255)-SUMIF($A$4:$A255,$A255,$O$4:$O255))</f>
        <v/>
      </c>
      <c r="Q255" s="27"/>
      <c r="R255" s="28"/>
      <c r="S255" s="28"/>
      <c r="T255" s="28" t="str">
        <f aca="false">IF($A255="","",SUMIF($A$4:$A255,$A255,$Q$4:$Q255)-SUMIF($A$4:$A255,$A255,$R$4:$R255)-SUMIF($A$4:$A255,$A255,$S$4:$S255))</f>
        <v/>
      </c>
      <c r="U255" s="28"/>
      <c r="V255" s="29" t="str">
        <f aca="false">IF(AND($C255="",COUNTA($D255:$H255,$K255,$N255:$O255,$Q255:$S255,$U255)=0),"",IF($C255="","⚠ 没填项目名称",IF($A255="⚠目录里没有","⚠ 项目名称在目录里找不到（先加到目录）",IF($A255="","⚠ 目录里这个项目没填简称",IF(ISTEXT($G255)+ISTEXT($H255)+ISTEXT($K255)+ISTEXT($N255)+ISTEXT($O255)+ISTEXT($Q255)+ISTEXT($R255)+ISTEXT($S255)&gt;0,"⚠ 金额列里有文字，算不进合计",IF(N($G255)&gt;=1,"⚠ 管理费点要填百分比，如 10%",IF(AND($D255&lt;&gt;"",$B255=""),"△ 摘要开头没写日期（如 2026.9.21），月份取不到",IF(AND(N($H255)&lt;&gt;0,COUNTIFS($A$4:$A$1003,$A255,$H$4:$H$1003,$H255,$D$4:$D$1003,LEFT($D255,9)&amp;"*")&gt;1),"△ 同一天同项目有一样的销售金额，看看是不是录重了","✓"))))))))</f>
        <v/>
      </c>
      <c r="W255" s="8" t="str">
        <f aca="false">IF($A255="","",$A255&amp;"#"&amp;COUNTIF($A$4:$A255,$A255))</f>
        <v/>
      </c>
    </row>
    <row r="256" customFormat="false" ht="16.5" hidden="false" customHeight="false" outlineLevel="0" collapsed="false">
      <c r="A256" s="44" t="str">
        <f aca="false">IF($C256="","",IFERROR(VLOOKUP($C256,目录!$B:$C,2,0)&amp;"","⚠目录里没有"))</f>
        <v/>
      </c>
      <c r="B256" s="45" t="str">
        <f aca="false">IF($D256="","",IFERROR(MID($D256,FIND(".",$D256)+1,FIND(".",$D256,FIND(".",$D256)+1)-FIND(".",$D256)-1)&amp;"月",""))</f>
        <v/>
      </c>
      <c r="C256" s="46"/>
      <c r="D256" s="47"/>
      <c r="E256" s="47"/>
      <c r="F256" s="49"/>
      <c r="G256" s="50"/>
      <c r="H256" s="24"/>
      <c r="I256" s="24" t="str">
        <f aca="false">IF($H256="","",N($H256)*N($G256))</f>
        <v/>
      </c>
      <c r="J256" s="25" t="str">
        <f aca="false">IF($H256="","",N($H256)-N($I256))</f>
        <v/>
      </c>
      <c r="K256" s="25"/>
      <c r="L256" s="25" t="str">
        <f aca="false">IF($A256="","",SUMIF($A$4:$A256,$A256,$J$4:$J256)-SUMIF($A$4:$A256,$A256,$K$4:$K256))</f>
        <v/>
      </c>
      <c r="M256" s="26" t="str">
        <f aca="false">IF($H256="","",N($H256))</f>
        <v/>
      </c>
      <c r="N256" s="26"/>
      <c r="O256" s="26"/>
      <c r="P256" s="26" t="str">
        <f aca="false">IF($A256="","",SUMIF($A$4:$A256,$A256,$M$4:$M256)-SUMIF($A$4:$A256,$A256,$N$4:$N256)-SUMIF($A$4:$A256,$A256,$O$4:$O256))</f>
        <v/>
      </c>
      <c r="Q256" s="27"/>
      <c r="R256" s="28"/>
      <c r="S256" s="28"/>
      <c r="T256" s="28" t="str">
        <f aca="false">IF($A256="","",SUMIF($A$4:$A256,$A256,$Q$4:$Q256)-SUMIF($A$4:$A256,$A256,$R$4:$R256)-SUMIF($A$4:$A256,$A256,$S$4:$S256))</f>
        <v/>
      </c>
      <c r="U256" s="28"/>
      <c r="V256" s="29" t="str">
        <f aca="false">IF(AND($C256="",COUNTA($D256:$H256,$K256,$N256:$O256,$Q256:$S256,$U256)=0),"",IF($C256="","⚠ 没填项目名称",IF($A256="⚠目录里没有","⚠ 项目名称在目录里找不到（先加到目录）",IF($A256="","⚠ 目录里这个项目没填简称",IF(ISTEXT($G256)+ISTEXT($H256)+ISTEXT($K256)+ISTEXT($N256)+ISTEXT($O256)+ISTEXT($Q256)+ISTEXT($R256)+ISTEXT($S256)&gt;0,"⚠ 金额列里有文字，算不进合计",IF(N($G256)&gt;=1,"⚠ 管理费点要填百分比，如 10%",IF(AND($D256&lt;&gt;"",$B256=""),"△ 摘要开头没写日期（如 2026.9.21），月份取不到",IF(AND(N($H256)&lt;&gt;0,COUNTIFS($A$4:$A$1003,$A256,$H$4:$H$1003,$H256,$D$4:$D$1003,LEFT($D256,9)&amp;"*")&gt;1),"△ 同一天同项目有一样的销售金额，看看是不是录重了","✓"))))))))</f>
        <v/>
      </c>
      <c r="W256" s="8" t="str">
        <f aca="false">IF($A256="","",$A256&amp;"#"&amp;COUNTIF($A$4:$A256,$A256))</f>
        <v/>
      </c>
    </row>
    <row r="257" customFormat="false" ht="16.5" hidden="false" customHeight="false" outlineLevel="0" collapsed="false">
      <c r="A257" s="44" t="str">
        <f aca="false">IF($C257="","",IFERROR(VLOOKUP($C257,目录!$B:$C,2,0)&amp;"","⚠目录里没有"))</f>
        <v/>
      </c>
      <c r="B257" s="45" t="str">
        <f aca="false">IF($D257="","",IFERROR(MID($D257,FIND(".",$D257)+1,FIND(".",$D257,FIND(".",$D257)+1)-FIND(".",$D257)-1)&amp;"月",""))</f>
        <v/>
      </c>
      <c r="C257" s="46"/>
      <c r="D257" s="47"/>
      <c r="E257" s="47"/>
      <c r="F257" s="49"/>
      <c r="G257" s="50"/>
      <c r="H257" s="24"/>
      <c r="I257" s="24" t="str">
        <f aca="false">IF($H257="","",N($H257)*N($G257))</f>
        <v/>
      </c>
      <c r="J257" s="25" t="str">
        <f aca="false">IF($H257="","",N($H257)-N($I257))</f>
        <v/>
      </c>
      <c r="K257" s="25"/>
      <c r="L257" s="25" t="str">
        <f aca="false">IF($A257="","",SUMIF($A$4:$A257,$A257,$J$4:$J257)-SUMIF($A$4:$A257,$A257,$K$4:$K257))</f>
        <v/>
      </c>
      <c r="M257" s="26" t="str">
        <f aca="false">IF($H257="","",N($H257))</f>
        <v/>
      </c>
      <c r="N257" s="26"/>
      <c r="O257" s="26"/>
      <c r="P257" s="26" t="str">
        <f aca="false">IF($A257="","",SUMIF($A$4:$A257,$A257,$M$4:$M257)-SUMIF($A$4:$A257,$A257,$N$4:$N257)-SUMIF($A$4:$A257,$A257,$O$4:$O257))</f>
        <v/>
      </c>
      <c r="Q257" s="27"/>
      <c r="R257" s="28"/>
      <c r="S257" s="28"/>
      <c r="T257" s="28" t="str">
        <f aca="false">IF($A257="","",SUMIF($A$4:$A257,$A257,$Q$4:$Q257)-SUMIF($A$4:$A257,$A257,$R$4:$R257)-SUMIF($A$4:$A257,$A257,$S$4:$S257))</f>
        <v/>
      </c>
      <c r="U257" s="28"/>
      <c r="V257" s="29" t="str">
        <f aca="false">IF(AND($C257="",COUNTA($D257:$H257,$K257,$N257:$O257,$Q257:$S257,$U257)=0),"",IF($C257="","⚠ 没填项目名称",IF($A257="⚠目录里没有","⚠ 项目名称在目录里找不到（先加到目录）",IF($A257="","⚠ 目录里这个项目没填简称",IF(ISTEXT($G257)+ISTEXT($H257)+ISTEXT($K257)+ISTEXT($N257)+ISTEXT($O257)+ISTEXT($Q257)+ISTEXT($R257)+ISTEXT($S257)&gt;0,"⚠ 金额列里有文字，算不进合计",IF(N($G257)&gt;=1,"⚠ 管理费点要填百分比，如 10%",IF(AND($D257&lt;&gt;"",$B257=""),"△ 摘要开头没写日期（如 2026.9.21），月份取不到",IF(AND(N($H257)&lt;&gt;0,COUNTIFS($A$4:$A$1003,$A257,$H$4:$H$1003,$H257,$D$4:$D$1003,LEFT($D257,9)&amp;"*")&gt;1),"△ 同一天同项目有一样的销售金额，看看是不是录重了","✓"))))))))</f>
        <v/>
      </c>
      <c r="W257" s="8" t="str">
        <f aca="false">IF($A257="","",$A257&amp;"#"&amp;COUNTIF($A$4:$A257,$A257))</f>
        <v/>
      </c>
    </row>
    <row r="258" customFormat="false" ht="16.5" hidden="false" customHeight="false" outlineLevel="0" collapsed="false">
      <c r="A258" s="44" t="str">
        <f aca="false">IF($C258="","",IFERROR(VLOOKUP($C258,目录!$B:$C,2,0)&amp;"","⚠目录里没有"))</f>
        <v/>
      </c>
      <c r="B258" s="45" t="str">
        <f aca="false">IF($D258="","",IFERROR(MID($D258,FIND(".",$D258)+1,FIND(".",$D258,FIND(".",$D258)+1)-FIND(".",$D258)-1)&amp;"月",""))</f>
        <v/>
      </c>
      <c r="C258" s="46"/>
      <c r="D258" s="47"/>
      <c r="E258" s="47"/>
      <c r="F258" s="49"/>
      <c r="G258" s="50"/>
      <c r="H258" s="24"/>
      <c r="I258" s="24" t="str">
        <f aca="false">IF($H258="","",N($H258)*N($G258))</f>
        <v/>
      </c>
      <c r="J258" s="25" t="str">
        <f aca="false">IF($H258="","",N($H258)-N($I258))</f>
        <v/>
      </c>
      <c r="K258" s="25"/>
      <c r="L258" s="25" t="str">
        <f aca="false">IF($A258="","",SUMIF($A$4:$A258,$A258,$J$4:$J258)-SUMIF($A$4:$A258,$A258,$K$4:$K258))</f>
        <v/>
      </c>
      <c r="M258" s="26" t="str">
        <f aca="false">IF($H258="","",N($H258))</f>
        <v/>
      </c>
      <c r="N258" s="26"/>
      <c r="O258" s="26"/>
      <c r="P258" s="26" t="str">
        <f aca="false">IF($A258="","",SUMIF($A$4:$A258,$A258,$M$4:$M258)-SUMIF($A$4:$A258,$A258,$N$4:$N258)-SUMIF($A$4:$A258,$A258,$O$4:$O258))</f>
        <v/>
      </c>
      <c r="Q258" s="27"/>
      <c r="R258" s="28"/>
      <c r="S258" s="28"/>
      <c r="T258" s="28" t="str">
        <f aca="false">IF($A258="","",SUMIF($A$4:$A258,$A258,$Q$4:$Q258)-SUMIF($A$4:$A258,$A258,$R$4:$R258)-SUMIF($A$4:$A258,$A258,$S$4:$S258))</f>
        <v/>
      </c>
      <c r="U258" s="28"/>
      <c r="V258" s="29" t="str">
        <f aca="false">IF(AND($C258="",COUNTA($D258:$H258,$K258,$N258:$O258,$Q258:$S258,$U258)=0),"",IF($C258="","⚠ 没填项目名称",IF($A258="⚠目录里没有","⚠ 项目名称在目录里找不到（先加到目录）",IF($A258="","⚠ 目录里这个项目没填简称",IF(ISTEXT($G258)+ISTEXT($H258)+ISTEXT($K258)+ISTEXT($N258)+ISTEXT($O258)+ISTEXT($Q258)+ISTEXT($R258)+ISTEXT($S258)&gt;0,"⚠ 金额列里有文字，算不进合计",IF(N($G258)&gt;=1,"⚠ 管理费点要填百分比，如 10%",IF(AND($D258&lt;&gt;"",$B258=""),"△ 摘要开头没写日期（如 2026.9.21），月份取不到",IF(AND(N($H258)&lt;&gt;0,COUNTIFS($A$4:$A$1003,$A258,$H$4:$H$1003,$H258,$D$4:$D$1003,LEFT($D258,9)&amp;"*")&gt;1),"△ 同一天同项目有一样的销售金额，看看是不是录重了","✓"))))))))</f>
        <v/>
      </c>
      <c r="W258" s="8" t="str">
        <f aca="false">IF($A258="","",$A258&amp;"#"&amp;COUNTIF($A$4:$A258,$A258))</f>
        <v/>
      </c>
    </row>
    <row r="259" customFormat="false" ht="16.5" hidden="false" customHeight="false" outlineLevel="0" collapsed="false">
      <c r="A259" s="44" t="str">
        <f aca="false">IF($C259="","",IFERROR(VLOOKUP($C259,目录!$B:$C,2,0)&amp;"","⚠目录里没有"))</f>
        <v/>
      </c>
      <c r="B259" s="45" t="str">
        <f aca="false">IF($D259="","",IFERROR(MID($D259,FIND(".",$D259)+1,FIND(".",$D259,FIND(".",$D259)+1)-FIND(".",$D259)-1)&amp;"月",""))</f>
        <v/>
      </c>
      <c r="C259" s="46"/>
      <c r="D259" s="47"/>
      <c r="E259" s="47"/>
      <c r="F259" s="49"/>
      <c r="G259" s="50"/>
      <c r="H259" s="24"/>
      <c r="I259" s="24" t="str">
        <f aca="false">IF($H259="","",N($H259)*N($G259))</f>
        <v/>
      </c>
      <c r="J259" s="25" t="str">
        <f aca="false">IF($H259="","",N($H259)-N($I259))</f>
        <v/>
      </c>
      <c r="K259" s="25"/>
      <c r="L259" s="25" t="str">
        <f aca="false">IF($A259="","",SUMIF($A$4:$A259,$A259,$J$4:$J259)-SUMIF($A$4:$A259,$A259,$K$4:$K259))</f>
        <v/>
      </c>
      <c r="M259" s="26" t="str">
        <f aca="false">IF($H259="","",N($H259))</f>
        <v/>
      </c>
      <c r="N259" s="26"/>
      <c r="O259" s="26"/>
      <c r="P259" s="26" t="str">
        <f aca="false">IF($A259="","",SUMIF($A$4:$A259,$A259,$M$4:$M259)-SUMIF($A$4:$A259,$A259,$N$4:$N259)-SUMIF($A$4:$A259,$A259,$O$4:$O259))</f>
        <v/>
      </c>
      <c r="Q259" s="27"/>
      <c r="R259" s="28"/>
      <c r="S259" s="28"/>
      <c r="T259" s="28" t="str">
        <f aca="false">IF($A259="","",SUMIF($A$4:$A259,$A259,$Q$4:$Q259)-SUMIF($A$4:$A259,$A259,$R$4:$R259)-SUMIF($A$4:$A259,$A259,$S$4:$S259))</f>
        <v/>
      </c>
      <c r="U259" s="28"/>
      <c r="V259" s="29" t="str">
        <f aca="false">IF(AND($C259="",COUNTA($D259:$H259,$K259,$N259:$O259,$Q259:$S259,$U259)=0),"",IF($C259="","⚠ 没填项目名称",IF($A259="⚠目录里没有","⚠ 项目名称在目录里找不到（先加到目录）",IF($A259="","⚠ 目录里这个项目没填简称",IF(ISTEXT($G259)+ISTEXT($H259)+ISTEXT($K259)+ISTEXT($N259)+ISTEXT($O259)+ISTEXT($Q259)+ISTEXT($R259)+ISTEXT($S259)&gt;0,"⚠ 金额列里有文字，算不进合计",IF(N($G259)&gt;=1,"⚠ 管理费点要填百分比，如 10%",IF(AND($D259&lt;&gt;"",$B259=""),"△ 摘要开头没写日期（如 2026.9.21），月份取不到",IF(AND(N($H259)&lt;&gt;0,COUNTIFS($A$4:$A$1003,$A259,$H$4:$H$1003,$H259,$D$4:$D$1003,LEFT($D259,9)&amp;"*")&gt;1),"△ 同一天同项目有一样的销售金额，看看是不是录重了","✓"))))))))</f>
        <v/>
      </c>
      <c r="W259" s="8" t="str">
        <f aca="false">IF($A259="","",$A259&amp;"#"&amp;COUNTIF($A$4:$A259,$A259))</f>
        <v/>
      </c>
    </row>
    <row r="260" customFormat="false" ht="16.5" hidden="false" customHeight="false" outlineLevel="0" collapsed="false">
      <c r="A260" s="44" t="str">
        <f aca="false">IF($C260="","",IFERROR(VLOOKUP($C260,目录!$B:$C,2,0)&amp;"","⚠目录里没有"))</f>
        <v/>
      </c>
      <c r="B260" s="45" t="str">
        <f aca="false">IF($D260="","",IFERROR(MID($D260,FIND(".",$D260)+1,FIND(".",$D260,FIND(".",$D260)+1)-FIND(".",$D260)-1)&amp;"月",""))</f>
        <v/>
      </c>
      <c r="C260" s="46"/>
      <c r="D260" s="47"/>
      <c r="E260" s="47"/>
      <c r="F260" s="49"/>
      <c r="G260" s="50"/>
      <c r="H260" s="24"/>
      <c r="I260" s="24" t="str">
        <f aca="false">IF($H260="","",N($H260)*N($G260))</f>
        <v/>
      </c>
      <c r="J260" s="25" t="str">
        <f aca="false">IF($H260="","",N($H260)-N($I260))</f>
        <v/>
      </c>
      <c r="K260" s="25"/>
      <c r="L260" s="25" t="str">
        <f aca="false">IF($A260="","",SUMIF($A$4:$A260,$A260,$J$4:$J260)-SUMIF($A$4:$A260,$A260,$K$4:$K260))</f>
        <v/>
      </c>
      <c r="M260" s="26" t="str">
        <f aca="false">IF($H260="","",N($H260))</f>
        <v/>
      </c>
      <c r="N260" s="26"/>
      <c r="O260" s="26"/>
      <c r="P260" s="26" t="str">
        <f aca="false">IF($A260="","",SUMIF($A$4:$A260,$A260,$M$4:$M260)-SUMIF($A$4:$A260,$A260,$N$4:$N260)-SUMIF($A$4:$A260,$A260,$O$4:$O260))</f>
        <v/>
      </c>
      <c r="Q260" s="27"/>
      <c r="R260" s="28"/>
      <c r="S260" s="28"/>
      <c r="T260" s="28" t="str">
        <f aca="false">IF($A260="","",SUMIF($A$4:$A260,$A260,$Q$4:$Q260)-SUMIF($A$4:$A260,$A260,$R$4:$R260)-SUMIF($A$4:$A260,$A260,$S$4:$S260))</f>
        <v/>
      </c>
      <c r="U260" s="28"/>
      <c r="V260" s="29" t="str">
        <f aca="false">IF(AND($C260="",COUNTA($D260:$H260,$K260,$N260:$O260,$Q260:$S260,$U260)=0),"",IF($C260="","⚠ 没填项目名称",IF($A260="⚠目录里没有","⚠ 项目名称在目录里找不到（先加到目录）",IF($A260="","⚠ 目录里这个项目没填简称",IF(ISTEXT($G260)+ISTEXT($H260)+ISTEXT($K260)+ISTEXT($N260)+ISTEXT($O260)+ISTEXT($Q260)+ISTEXT($R260)+ISTEXT($S260)&gt;0,"⚠ 金额列里有文字，算不进合计",IF(N($G260)&gt;=1,"⚠ 管理费点要填百分比，如 10%",IF(AND($D260&lt;&gt;"",$B260=""),"△ 摘要开头没写日期（如 2026.9.21），月份取不到",IF(AND(N($H260)&lt;&gt;0,COUNTIFS($A$4:$A$1003,$A260,$H$4:$H$1003,$H260,$D$4:$D$1003,LEFT($D260,9)&amp;"*")&gt;1),"△ 同一天同项目有一样的销售金额，看看是不是录重了","✓"))))))))</f>
        <v/>
      </c>
      <c r="W260" s="8" t="str">
        <f aca="false">IF($A260="","",$A260&amp;"#"&amp;COUNTIF($A$4:$A260,$A260))</f>
        <v/>
      </c>
    </row>
    <row r="261" customFormat="false" ht="16.5" hidden="false" customHeight="false" outlineLevel="0" collapsed="false">
      <c r="A261" s="44" t="str">
        <f aca="false">IF($C261="","",IFERROR(VLOOKUP($C261,目录!$B:$C,2,0)&amp;"","⚠目录里没有"))</f>
        <v/>
      </c>
      <c r="B261" s="45" t="str">
        <f aca="false">IF($D261="","",IFERROR(MID($D261,FIND(".",$D261)+1,FIND(".",$D261,FIND(".",$D261)+1)-FIND(".",$D261)-1)&amp;"月",""))</f>
        <v/>
      </c>
      <c r="C261" s="46"/>
      <c r="D261" s="47"/>
      <c r="E261" s="47"/>
      <c r="F261" s="49"/>
      <c r="G261" s="50"/>
      <c r="H261" s="24"/>
      <c r="I261" s="24" t="str">
        <f aca="false">IF($H261="","",N($H261)*N($G261))</f>
        <v/>
      </c>
      <c r="J261" s="25" t="str">
        <f aca="false">IF($H261="","",N($H261)-N($I261))</f>
        <v/>
      </c>
      <c r="K261" s="25"/>
      <c r="L261" s="25" t="str">
        <f aca="false">IF($A261="","",SUMIF($A$4:$A261,$A261,$J$4:$J261)-SUMIF($A$4:$A261,$A261,$K$4:$K261))</f>
        <v/>
      </c>
      <c r="M261" s="26" t="str">
        <f aca="false">IF($H261="","",N($H261))</f>
        <v/>
      </c>
      <c r="N261" s="26"/>
      <c r="O261" s="26"/>
      <c r="P261" s="26" t="str">
        <f aca="false">IF($A261="","",SUMIF($A$4:$A261,$A261,$M$4:$M261)-SUMIF($A$4:$A261,$A261,$N$4:$N261)-SUMIF($A$4:$A261,$A261,$O$4:$O261))</f>
        <v/>
      </c>
      <c r="Q261" s="27"/>
      <c r="R261" s="28"/>
      <c r="S261" s="28"/>
      <c r="T261" s="28" t="str">
        <f aca="false">IF($A261="","",SUMIF($A$4:$A261,$A261,$Q$4:$Q261)-SUMIF($A$4:$A261,$A261,$R$4:$R261)-SUMIF($A$4:$A261,$A261,$S$4:$S261))</f>
        <v/>
      </c>
      <c r="U261" s="28"/>
      <c r="V261" s="29" t="str">
        <f aca="false">IF(AND($C261="",COUNTA($D261:$H261,$K261,$N261:$O261,$Q261:$S261,$U261)=0),"",IF($C261="","⚠ 没填项目名称",IF($A261="⚠目录里没有","⚠ 项目名称在目录里找不到（先加到目录）",IF($A261="","⚠ 目录里这个项目没填简称",IF(ISTEXT($G261)+ISTEXT($H261)+ISTEXT($K261)+ISTEXT($N261)+ISTEXT($O261)+ISTEXT($Q261)+ISTEXT($R261)+ISTEXT($S261)&gt;0,"⚠ 金额列里有文字，算不进合计",IF(N($G261)&gt;=1,"⚠ 管理费点要填百分比，如 10%",IF(AND($D261&lt;&gt;"",$B261=""),"△ 摘要开头没写日期（如 2026.9.21），月份取不到",IF(AND(N($H261)&lt;&gt;0,COUNTIFS($A$4:$A$1003,$A261,$H$4:$H$1003,$H261,$D$4:$D$1003,LEFT($D261,9)&amp;"*")&gt;1),"△ 同一天同项目有一样的销售金额，看看是不是录重了","✓"))))))))</f>
        <v/>
      </c>
      <c r="W261" s="8" t="str">
        <f aca="false">IF($A261="","",$A261&amp;"#"&amp;COUNTIF($A$4:$A261,$A261))</f>
        <v/>
      </c>
    </row>
    <row r="262" customFormat="false" ht="16.5" hidden="false" customHeight="false" outlineLevel="0" collapsed="false">
      <c r="A262" s="44" t="str">
        <f aca="false">IF($C262="","",IFERROR(VLOOKUP($C262,目录!$B:$C,2,0)&amp;"","⚠目录里没有"))</f>
        <v/>
      </c>
      <c r="B262" s="45" t="str">
        <f aca="false">IF($D262="","",IFERROR(MID($D262,FIND(".",$D262)+1,FIND(".",$D262,FIND(".",$D262)+1)-FIND(".",$D262)-1)&amp;"月",""))</f>
        <v/>
      </c>
      <c r="C262" s="46"/>
      <c r="D262" s="47"/>
      <c r="E262" s="47"/>
      <c r="F262" s="49"/>
      <c r="G262" s="50"/>
      <c r="H262" s="24"/>
      <c r="I262" s="24" t="str">
        <f aca="false">IF($H262="","",N($H262)*N($G262))</f>
        <v/>
      </c>
      <c r="J262" s="25" t="str">
        <f aca="false">IF($H262="","",N($H262)-N($I262))</f>
        <v/>
      </c>
      <c r="K262" s="25"/>
      <c r="L262" s="25" t="str">
        <f aca="false">IF($A262="","",SUMIF($A$4:$A262,$A262,$J$4:$J262)-SUMIF($A$4:$A262,$A262,$K$4:$K262))</f>
        <v/>
      </c>
      <c r="M262" s="26" t="str">
        <f aca="false">IF($H262="","",N($H262))</f>
        <v/>
      </c>
      <c r="N262" s="26"/>
      <c r="O262" s="26"/>
      <c r="P262" s="26" t="str">
        <f aca="false">IF($A262="","",SUMIF($A$4:$A262,$A262,$M$4:$M262)-SUMIF($A$4:$A262,$A262,$N$4:$N262)-SUMIF($A$4:$A262,$A262,$O$4:$O262))</f>
        <v/>
      </c>
      <c r="Q262" s="27"/>
      <c r="R262" s="28"/>
      <c r="S262" s="28"/>
      <c r="T262" s="28" t="str">
        <f aca="false">IF($A262="","",SUMIF($A$4:$A262,$A262,$Q$4:$Q262)-SUMIF($A$4:$A262,$A262,$R$4:$R262)-SUMIF($A$4:$A262,$A262,$S$4:$S262))</f>
        <v/>
      </c>
      <c r="U262" s="28"/>
      <c r="V262" s="29" t="str">
        <f aca="false">IF(AND($C262="",COUNTA($D262:$H262,$K262,$N262:$O262,$Q262:$S262,$U262)=0),"",IF($C262="","⚠ 没填项目名称",IF($A262="⚠目录里没有","⚠ 项目名称在目录里找不到（先加到目录）",IF($A262="","⚠ 目录里这个项目没填简称",IF(ISTEXT($G262)+ISTEXT($H262)+ISTEXT($K262)+ISTEXT($N262)+ISTEXT($O262)+ISTEXT($Q262)+ISTEXT($R262)+ISTEXT($S262)&gt;0,"⚠ 金额列里有文字，算不进合计",IF(N($G262)&gt;=1,"⚠ 管理费点要填百分比，如 10%",IF(AND($D262&lt;&gt;"",$B262=""),"△ 摘要开头没写日期（如 2026.9.21），月份取不到",IF(AND(N($H262)&lt;&gt;0,COUNTIFS($A$4:$A$1003,$A262,$H$4:$H$1003,$H262,$D$4:$D$1003,LEFT($D262,9)&amp;"*")&gt;1),"△ 同一天同项目有一样的销售金额，看看是不是录重了","✓"))))))))</f>
        <v/>
      </c>
      <c r="W262" s="8" t="str">
        <f aca="false">IF($A262="","",$A262&amp;"#"&amp;COUNTIF($A$4:$A262,$A262))</f>
        <v/>
      </c>
    </row>
    <row r="263" customFormat="false" ht="16.5" hidden="false" customHeight="false" outlineLevel="0" collapsed="false">
      <c r="A263" s="44" t="str">
        <f aca="false">IF($C263="","",IFERROR(VLOOKUP($C263,目录!$B:$C,2,0)&amp;"","⚠目录里没有"))</f>
        <v/>
      </c>
      <c r="B263" s="45" t="str">
        <f aca="false">IF($D263="","",IFERROR(MID($D263,FIND(".",$D263)+1,FIND(".",$D263,FIND(".",$D263)+1)-FIND(".",$D263)-1)&amp;"月",""))</f>
        <v/>
      </c>
      <c r="C263" s="46"/>
      <c r="D263" s="47"/>
      <c r="E263" s="47"/>
      <c r="F263" s="49"/>
      <c r="G263" s="50"/>
      <c r="H263" s="24"/>
      <c r="I263" s="24" t="str">
        <f aca="false">IF($H263="","",N($H263)*N($G263))</f>
        <v/>
      </c>
      <c r="J263" s="25" t="str">
        <f aca="false">IF($H263="","",N($H263)-N($I263))</f>
        <v/>
      </c>
      <c r="K263" s="25"/>
      <c r="L263" s="25" t="str">
        <f aca="false">IF($A263="","",SUMIF($A$4:$A263,$A263,$J$4:$J263)-SUMIF($A$4:$A263,$A263,$K$4:$K263))</f>
        <v/>
      </c>
      <c r="M263" s="26" t="str">
        <f aca="false">IF($H263="","",N($H263))</f>
        <v/>
      </c>
      <c r="N263" s="26"/>
      <c r="O263" s="26"/>
      <c r="P263" s="26" t="str">
        <f aca="false">IF($A263="","",SUMIF($A$4:$A263,$A263,$M$4:$M263)-SUMIF($A$4:$A263,$A263,$N$4:$N263)-SUMIF($A$4:$A263,$A263,$O$4:$O263))</f>
        <v/>
      </c>
      <c r="Q263" s="27"/>
      <c r="R263" s="28"/>
      <c r="S263" s="28"/>
      <c r="T263" s="28" t="str">
        <f aca="false">IF($A263="","",SUMIF($A$4:$A263,$A263,$Q$4:$Q263)-SUMIF($A$4:$A263,$A263,$R$4:$R263)-SUMIF($A$4:$A263,$A263,$S$4:$S263))</f>
        <v/>
      </c>
      <c r="U263" s="28"/>
      <c r="V263" s="29" t="str">
        <f aca="false">IF(AND($C263="",COUNTA($D263:$H263,$K263,$N263:$O263,$Q263:$S263,$U263)=0),"",IF($C263="","⚠ 没填项目名称",IF($A263="⚠目录里没有","⚠ 项目名称在目录里找不到（先加到目录）",IF($A263="","⚠ 目录里这个项目没填简称",IF(ISTEXT($G263)+ISTEXT($H263)+ISTEXT($K263)+ISTEXT($N263)+ISTEXT($O263)+ISTEXT($Q263)+ISTEXT($R263)+ISTEXT($S263)&gt;0,"⚠ 金额列里有文字，算不进合计",IF(N($G263)&gt;=1,"⚠ 管理费点要填百分比，如 10%",IF(AND($D263&lt;&gt;"",$B263=""),"△ 摘要开头没写日期（如 2026.9.21），月份取不到",IF(AND(N($H263)&lt;&gt;0,COUNTIFS($A$4:$A$1003,$A263,$H$4:$H$1003,$H263,$D$4:$D$1003,LEFT($D263,9)&amp;"*")&gt;1),"△ 同一天同项目有一样的销售金额，看看是不是录重了","✓"))))))))</f>
        <v/>
      </c>
      <c r="W263" s="8" t="str">
        <f aca="false">IF($A263="","",$A263&amp;"#"&amp;COUNTIF($A$4:$A263,$A263))</f>
        <v/>
      </c>
    </row>
    <row r="264" customFormat="false" ht="16.5" hidden="false" customHeight="false" outlineLevel="0" collapsed="false">
      <c r="A264" s="44" t="str">
        <f aca="false">IF($C264="","",IFERROR(VLOOKUP($C264,目录!$B:$C,2,0)&amp;"","⚠目录里没有"))</f>
        <v/>
      </c>
      <c r="B264" s="45" t="str">
        <f aca="false">IF($D264="","",IFERROR(MID($D264,FIND(".",$D264)+1,FIND(".",$D264,FIND(".",$D264)+1)-FIND(".",$D264)-1)&amp;"月",""))</f>
        <v/>
      </c>
      <c r="C264" s="46"/>
      <c r="D264" s="47"/>
      <c r="E264" s="47"/>
      <c r="F264" s="49"/>
      <c r="G264" s="50"/>
      <c r="H264" s="24"/>
      <c r="I264" s="24" t="str">
        <f aca="false">IF($H264="","",N($H264)*N($G264))</f>
        <v/>
      </c>
      <c r="J264" s="25" t="str">
        <f aca="false">IF($H264="","",N($H264)-N($I264))</f>
        <v/>
      </c>
      <c r="K264" s="25"/>
      <c r="L264" s="25" t="str">
        <f aca="false">IF($A264="","",SUMIF($A$4:$A264,$A264,$J$4:$J264)-SUMIF($A$4:$A264,$A264,$K$4:$K264))</f>
        <v/>
      </c>
      <c r="M264" s="26" t="str">
        <f aca="false">IF($H264="","",N($H264))</f>
        <v/>
      </c>
      <c r="N264" s="26"/>
      <c r="O264" s="26"/>
      <c r="P264" s="26" t="str">
        <f aca="false">IF($A264="","",SUMIF($A$4:$A264,$A264,$M$4:$M264)-SUMIF($A$4:$A264,$A264,$N$4:$N264)-SUMIF($A$4:$A264,$A264,$O$4:$O264))</f>
        <v/>
      </c>
      <c r="Q264" s="27"/>
      <c r="R264" s="28"/>
      <c r="S264" s="28"/>
      <c r="T264" s="28" t="str">
        <f aca="false">IF($A264="","",SUMIF($A$4:$A264,$A264,$Q$4:$Q264)-SUMIF($A$4:$A264,$A264,$R$4:$R264)-SUMIF($A$4:$A264,$A264,$S$4:$S264))</f>
        <v/>
      </c>
      <c r="U264" s="28"/>
      <c r="V264" s="29" t="str">
        <f aca="false">IF(AND($C264="",COUNTA($D264:$H264,$K264,$N264:$O264,$Q264:$S264,$U264)=0),"",IF($C264="","⚠ 没填项目名称",IF($A264="⚠目录里没有","⚠ 项目名称在目录里找不到（先加到目录）",IF($A264="","⚠ 目录里这个项目没填简称",IF(ISTEXT($G264)+ISTEXT($H264)+ISTEXT($K264)+ISTEXT($N264)+ISTEXT($O264)+ISTEXT($Q264)+ISTEXT($R264)+ISTEXT($S264)&gt;0,"⚠ 金额列里有文字，算不进合计",IF(N($G264)&gt;=1,"⚠ 管理费点要填百分比，如 10%",IF(AND($D264&lt;&gt;"",$B264=""),"△ 摘要开头没写日期（如 2026.9.21），月份取不到",IF(AND(N($H264)&lt;&gt;0,COUNTIFS($A$4:$A$1003,$A264,$H$4:$H$1003,$H264,$D$4:$D$1003,LEFT($D264,9)&amp;"*")&gt;1),"△ 同一天同项目有一样的销售金额，看看是不是录重了","✓"))))))))</f>
        <v/>
      </c>
      <c r="W264" s="8" t="str">
        <f aca="false">IF($A264="","",$A264&amp;"#"&amp;COUNTIF($A$4:$A264,$A264))</f>
        <v/>
      </c>
    </row>
    <row r="265" customFormat="false" ht="16.5" hidden="false" customHeight="false" outlineLevel="0" collapsed="false">
      <c r="A265" s="44" t="str">
        <f aca="false">IF($C265="","",IFERROR(VLOOKUP($C265,目录!$B:$C,2,0)&amp;"","⚠目录里没有"))</f>
        <v/>
      </c>
      <c r="B265" s="45" t="str">
        <f aca="false">IF($D265="","",IFERROR(MID($D265,FIND(".",$D265)+1,FIND(".",$D265,FIND(".",$D265)+1)-FIND(".",$D265)-1)&amp;"月",""))</f>
        <v/>
      </c>
      <c r="C265" s="46"/>
      <c r="D265" s="47"/>
      <c r="E265" s="47"/>
      <c r="F265" s="49"/>
      <c r="G265" s="50"/>
      <c r="H265" s="24"/>
      <c r="I265" s="24" t="str">
        <f aca="false">IF($H265="","",N($H265)*N($G265))</f>
        <v/>
      </c>
      <c r="J265" s="25" t="str">
        <f aca="false">IF($H265="","",N($H265)-N($I265))</f>
        <v/>
      </c>
      <c r="K265" s="25"/>
      <c r="L265" s="25" t="str">
        <f aca="false">IF($A265="","",SUMIF($A$4:$A265,$A265,$J$4:$J265)-SUMIF($A$4:$A265,$A265,$K$4:$K265))</f>
        <v/>
      </c>
      <c r="M265" s="26" t="str">
        <f aca="false">IF($H265="","",N($H265))</f>
        <v/>
      </c>
      <c r="N265" s="26"/>
      <c r="O265" s="26"/>
      <c r="P265" s="26" t="str">
        <f aca="false">IF($A265="","",SUMIF($A$4:$A265,$A265,$M$4:$M265)-SUMIF($A$4:$A265,$A265,$N$4:$N265)-SUMIF($A$4:$A265,$A265,$O$4:$O265))</f>
        <v/>
      </c>
      <c r="Q265" s="27"/>
      <c r="R265" s="28"/>
      <c r="S265" s="28"/>
      <c r="T265" s="28" t="str">
        <f aca="false">IF($A265="","",SUMIF($A$4:$A265,$A265,$Q$4:$Q265)-SUMIF($A$4:$A265,$A265,$R$4:$R265)-SUMIF($A$4:$A265,$A265,$S$4:$S265))</f>
        <v/>
      </c>
      <c r="U265" s="28"/>
      <c r="V265" s="29" t="str">
        <f aca="false">IF(AND($C265="",COUNTA($D265:$H265,$K265,$N265:$O265,$Q265:$S265,$U265)=0),"",IF($C265="","⚠ 没填项目名称",IF($A265="⚠目录里没有","⚠ 项目名称在目录里找不到（先加到目录）",IF($A265="","⚠ 目录里这个项目没填简称",IF(ISTEXT($G265)+ISTEXT($H265)+ISTEXT($K265)+ISTEXT($N265)+ISTEXT($O265)+ISTEXT($Q265)+ISTEXT($R265)+ISTEXT($S265)&gt;0,"⚠ 金额列里有文字，算不进合计",IF(N($G265)&gt;=1,"⚠ 管理费点要填百分比，如 10%",IF(AND($D265&lt;&gt;"",$B265=""),"△ 摘要开头没写日期（如 2026.9.21），月份取不到",IF(AND(N($H265)&lt;&gt;0,COUNTIFS($A$4:$A$1003,$A265,$H$4:$H$1003,$H265,$D$4:$D$1003,LEFT($D265,9)&amp;"*")&gt;1),"△ 同一天同项目有一样的销售金额，看看是不是录重了","✓"))))))))</f>
        <v/>
      </c>
      <c r="W265" s="8" t="str">
        <f aca="false">IF($A265="","",$A265&amp;"#"&amp;COUNTIF($A$4:$A265,$A265))</f>
        <v/>
      </c>
    </row>
    <row r="266" customFormat="false" ht="16.5" hidden="false" customHeight="false" outlineLevel="0" collapsed="false">
      <c r="A266" s="44" t="str">
        <f aca="false">IF($C266="","",IFERROR(VLOOKUP($C266,目录!$B:$C,2,0)&amp;"","⚠目录里没有"))</f>
        <v/>
      </c>
      <c r="B266" s="45" t="str">
        <f aca="false">IF($D266="","",IFERROR(MID($D266,FIND(".",$D266)+1,FIND(".",$D266,FIND(".",$D266)+1)-FIND(".",$D266)-1)&amp;"月",""))</f>
        <v/>
      </c>
      <c r="C266" s="46"/>
      <c r="D266" s="47"/>
      <c r="E266" s="47"/>
      <c r="F266" s="49"/>
      <c r="G266" s="50"/>
      <c r="H266" s="24"/>
      <c r="I266" s="24" t="str">
        <f aca="false">IF($H266="","",N($H266)*N($G266))</f>
        <v/>
      </c>
      <c r="J266" s="25" t="str">
        <f aca="false">IF($H266="","",N($H266)-N($I266))</f>
        <v/>
      </c>
      <c r="K266" s="25"/>
      <c r="L266" s="25" t="str">
        <f aca="false">IF($A266="","",SUMIF($A$4:$A266,$A266,$J$4:$J266)-SUMIF($A$4:$A266,$A266,$K$4:$K266))</f>
        <v/>
      </c>
      <c r="M266" s="26" t="str">
        <f aca="false">IF($H266="","",N($H266))</f>
        <v/>
      </c>
      <c r="N266" s="26"/>
      <c r="O266" s="26"/>
      <c r="P266" s="26" t="str">
        <f aca="false">IF($A266="","",SUMIF($A$4:$A266,$A266,$M$4:$M266)-SUMIF($A$4:$A266,$A266,$N$4:$N266)-SUMIF($A$4:$A266,$A266,$O$4:$O266))</f>
        <v/>
      </c>
      <c r="Q266" s="27"/>
      <c r="R266" s="28"/>
      <c r="S266" s="28"/>
      <c r="T266" s="28" t="str">
        <f aca="false">IF($A266="","",SUMIF($A$4:$A266,$A266,$Q$4:$Q266)-SUMIF($A$4:$A266,$A266,$R$4:$R266)-SUMIF($A$4:$A266,$A266,$S$4:$S266))</f>
        <v/>
      </c>
      <c r="U266" s="28"/>
      <c r="V266" s="29" t="str">
        <f aca="false">IF(AND($C266="",COUNTA($D266:$H266,$K266,$N266:$O266,$Q266:$S266,$U266)=0),"",IF($C266="","⚠ 没填项目名称",IF($A266="⚠目录里没有","⚠ 项目名称在目录里找不到（先加到目录）",IF($A266="","⚠ 目录里这个项目没填简称",IF(ISTEXT($G266)+ISTEXT($H266)+ISTEXT($K266)+ISTEXT($N266)+ISTEXT($O266)+ISTEXT($Q266)+ISTEXT($R266)+ISTEXT($S266)&gt;0,"⚠ 金额列里有文字，算不进合计",IF(N($G266)&gt;=1,"⚠ 管理费点要填百分比，如 10%",IF(AND($D266&lt;&gt;"",$B266=""),"△ 摘要开头没写日期（如 2026.9.21），月份取不到",IF(AND(N($H266)&lt;&gt;0,COUNTIFS($A$4:$A$1003,$A266,$H$4:$H$1003,$H266,$D$4:$D$1003,LEFT($D266,9)&amp;"*")&gt;1),"△ 同一天同项目有一样的销售金额，看看是不是录重了","✓"))))))))</f>
        <v/>
      </c>
      <c r="W266" s="8" t="str">
        <f aca="false">IF($A266="","",$A266&amp;"#"&amp;COUNTIF($A$4:$A266,$A266))</f>
        <v/>
      </c>
    </row>
    <row r="267" customFormat="false" ht="16.5" hidden="false" customHeight="false" outlineLevel="0" collapsed="false">
      <c r="A267" s="44" t="str">
        <f aca="false">IF($C267="","",IFERROR(VLOOKUP($C267,目录!$B:$C,2,0)&amp;"","⚠目录里没有"))</f>
        <v/>
      </c>
      <c r="B267" s="45" t="str">
        <f aca="false">IF($D267="","",IFERROR(MID($D267,FIND(".",$D267)+1,FIND(".",$D267,FIND(".",$D267)+1)-FIND(".",$D267)-1)&amp;"月",""))</f>
        <v/>
      </c>
      <c r="C267" s="46"/>
      <c r="D267" s="47"/>
      <c r="E267" s="47"/>
      <c r="F267" s="49"/>
      <c r="G267" s="50"/>
      <c r="H267" s="24"/>
      <c r="I267" s="24" t="str">
        <f aca="false">IF($H267="","",N($H267)*N($G267))</f>
        <v/>
      </c>
      <c r="J267" s="25" t="str">
        <f aca="false">IF($H267="","",N($H267)-N($I267))</f>
        <v/>
      </c>
      <c r="K267" s="25"/>
      <c r="L267" s="25" t="str">
        <f aca="false">IF($A267="","",SUMIF($A$4:$A267,$A267,$J$4:$J267)-SUMIF($A$4:$A267,$A267,$K$4:$K267))</f>
        <v/>
      </c>
      <c r="M267" s="26" t="str">
        <f aca="false">IF($H267="","",N($H267))</f>
        <v/>
      </c>
      <c r="N267" s="26"/>
      <c r="O267" s="26"/>
      <c r="P267" s="26" t="str">
        <f aca="false">IF($A267="","",SUMIF($A$4:$A267,$A267,$M$4:$M267)-SUMIF($A$4:$A267,$A267,$N$4:$N267)-SUMIF($A$4:$A267,$A267,$O$4:$O267))</f>
        <v/>
      </c>
      <c r="Q267" s="27"/>
      <c r="R267" s="28"/>
      <c r="S267" s="28"/>
      <c r="T267" s="28" t="str">
        <f aca="false">IF($A267="","",SUMIF($A$4:$A267,$A267,$Q$4:$Q267)-SUMIF($A$4:$A267,$A267,$R$4:$R267)-SUMIF($A$4:$A267,$A267,$S$4:$S267))</f>
        <v/>
      </c>
      <c r="U267" s="28"/>
      <c r="V267" s="29" t="str">
        <f aca="false">IF(AND($C267="",COUNTA($D267:$H267,$K267,$N267:$O267,$Q267:$S267,$U267)=0),"",IF($C267="","⚠ 没填项目名称",IF($A267="⚠目录里没有","⚠ 项目名称在目录里找不到（先加到目录）",IF($A267="","⚠ 目录里这个项目没填简称",IF(ISTEXT($G267)+ISTEXT($H267)+ISTEXT($K267)+ISTEXT($N267)+ISTEXT($O267)+ISTEXT($Q267)+ISTEXT($R267)+ISTEXT($S267)&gt;0,"⚠ 金额列里有文字，算不进合计",IF(N($G267)&gt;=1,"⚠ 管理费点要填百分比，如 10%",IF(AND($D267&lt;&gt;"",$B267=""),"△ 摘要开头没写日期（如 2026.9.21），月份取不到",IF(AND(N($H267)&lt;&gt;0,COUNTIFS($A$4:$A$1003,$A267,$H$4:$H$1003,$H267,$D$4:$D$1003,LEFT($D267,9)&amp;"*")&gt;1),"△ 同一天同项目有一样的销售金额，看看是不是录重了","✓"))))))))</f>
        <v/>
      </c>
      <c r="W267" s="8" t="str">
        <f aca="false">IF($A267="","",$A267&amp;"#"&amp;COUNTIF($A$4:$A267,$A267))</f>
        <v/>
      </c>
    </row>
    <row r="268" customFormat="false" ht="16.5" hidden="false" customHeight="false" outlineLevel="0" collapsed="false">
      <c r="A268" s="44" t="str">
        <f aca="false">IF($C268="","",IFERROR(VLOOKUP($C268,目录!$B:$C,2,0)&amp;"","⚠目录里没有"))</f>
        <v/>
      </c>
      <c r="B268" s="45" t="str">
        <f aca="false">IF($D268="","",IFERROR(MID($D268,FIND(".",$D268)+1,FIND(".",$D268,FIND(".",$D268)+1)-FIND(".",$D268)-1)&amp;"月",""))</f>
        <v/>
      </c>
      <c r="C268" s="46"/>
      <c r="D268" s="47"/>
      <c r="E268" s="47"/>
      <c r="F268" s="49"/>
      <c r="G268" s="50"/>
      <c r="H268" s="24"/>
      <c r="I268" s="24" t="str">
        <f aca="false">IF($H268="","",N($H268)*N($G268))</f>
        <v/>
      </c>
      <c r="J268" s="25" t="str">
        <f aca="false">IF($H268="","",N($H268)-N($I268))</f>
        <v/>
      </c>
      <c r="K268" s="25"/>
      <c r="L268" s="25" t="str">
        <f aca="false">IF($A268="","",SUMIF($A$4:$A268,$A268,$J$4:$J268)-SUMIF($A$4:$A268,$A268,$K$4:$K268))</f>
        <v/>
      </c>
      <c r="M268" s="26" t="str">
        <f aca="false">IF($H268="","",N($H268))</f>
        <v/>
      </c>
      <c r="N268" s="26"/>
      <c r="O268" s="26"/>
      <c r="P268" s="26" t="str">
        <f aca="false">IF($A268="","",SUMIF($A$4:$A268,$A268,$M$4:$M268)-SUMIF($A$4:$A268,$A268,$N$4:$N268)-SUMIF($A$4:$A268,$A268,$O$4:$O268))</f>
        <v/>
      </c>
      <c r="Q268" s="27"/>
      <c r="R268" s="28"/>
      <c r="S268" s="28"/>
      <c r="T268" s="28" t="str">
        <f aca="false">IF($A268="","",SUMIF($A$4:$A268,$A268,$Q$4:$Q268)-SUMIF($A$4:$A268,$A268,$R$4:$R268)-SUMIF($A$4:$A268,$A268,$S$4:$S268))</f>
        <v/>
      </c>
      <c r="U268" s="28"/>
      <c r="V268" s="29" t="str">
        <f aca="false">IF(AND($C268="",COUNTA($D268:$H268,$K268,$N268:$O268,$Q268:$S268,$U268)=0),"",IF($C268="","⚠ 没填项目名称",IF($A268="⚠目录里没有","⚠ 项目名称在目录里找不到（先加到目录）",IF($A268="","⚠ 目录里这个项目没填简称",IF(ISTEXT($G268)+ISTEXT($H268)+ISTEXT($K268)+ISTEXT($N268)+ISTEXT($O268)+ISTEXT($Q268)+ISTEXT($R268)+ISTEXT($S268)&gt;0,"⚠ 金额列里有文字，算不进合计",IF(N($G268)&gt;=1,"⚠ 管理费点要填百分比，如 10%",IF(AND($D268&lt;&gt;"",$B268=""),"△ 摘要开头没写日期（如 2026.9.21），月份取不到",IF(AND(N($H268)&lt;&gt;0,COUNTIFS($A$4:$A$1003,$A268,$H$4:$H$1003,$H268,$D$4:$D$1003,LEFT($D268,9)&amp;"*")&gt;1),"△ 同一天同项目有一样的销售金额，看看是不是录重了","✓"))))))))</f>
        <v/>
      </c>
      <c r="W268" s="8" t="str">
        <f aca="false">IF($A268="","",$A268&amp;"#"&amp;COUNTIF($A$4:$A268,$A268))</f>
        <v/>
      </c>
    </row>
    <row r="269" customFormat="false" ht="16.5" hidden="false" customHeight="false" outlineLevel="0" collapsed="false">
      <c r="A269" s="44" t="str">
        <f aca="false">IF($C269="","",IFERROR(VLOOKUP($C269,目录!$B:$C,2,0)&amp;"","⚠目录里没有"))</f>
        <v/>
      </c>
      <c r="B269" s="45" t="str">
        <f aca="false">IF($D269="","",IFERROR(MID($D269,FIND(".",$D269)+1,FIND(".",$D269,FIND(".",$D269)+1)-FIND(".",$D269)-1)&amp;"月",""))</f>
        <v/>
      </c>
      <c r="C269" s="46"/>
      <c r="D269" s="47"/>
      <c r="E269" s="47"/>
      <c r="F269" s="49"/>
      <c r="G269" s="50"/>
      <c r="H269" s="24"/>
      <c r="I269" s="24" t="str">
        <f aca="false">IF($H269="","",N($H269)*N($G269))</f>
        <v/>
      </c>
      <c r="J269" s="25" t="str">
        <f aca="false">IF($H269="","",N($H269)-N($I269))</f>
        <v/>
      </c>
      <c r="K269" s="25"/>
      <c r="L269" s="25" t="str">
        <f aca="false">IF($A269="","",SUMIF($A$4:$A269,$A269,$J$4:$J269)-SUMIF($A$4:$A269,$A269,$K$4:$K269))</f>
        <v/>
      </c>
      <c r="M269" s="26" t="str">
        <f aca="false">IF($H269="","",N($H269))</f>
        <v/>
      </c>
      <c r="N269" s="26"/>
      <c r="O269" s="26"/>
      <c r="P269" s="26" t="str">
        <f aca="false">IF($A269="","",SUMIF($A$4:$A269,$A269,$M$4:$M269)-SUMIF($A$4:$A269,$A269,$N$4:$N269)-SUMIF($A$4:$A269,$A269,$O$4:$O269))</f>
        <v/>
      </c>
      <c r="Q269" s="27"/>
      <c r="R269" s="28"/>
      <c r="S269" s="28"/>
      <c r="T269" s="28" t="str">
        <f aca="false">IF($A269="","",SUMIF($A$4:$A269,$A269,$Q$4:$Q269)-SUMIF($A$4:$A269,$A269,$R$4:$R269)-SUMIF($A$4:$A269,$A269,$S$4:$S269))</f>
        <v/>
      </c>
      <c r="U269" s="28"/>
      <c r="V269" s="29" t="str">
        <f aca="false">IF(AND($C269="",COUNTA($D269:$H269,$K269,$N269:$O269,$Q269:$S269,$U269)=0),"",IF($C269="","⚠ 没填项目名称",IF($A269="⚠目录里没有","⚠ 项目名称在目录里找不到（先加到目录）",IF($A269="","⚠ 目录里这个项目没填简称",IF(ISTEXT($G269)+ISTEXT($H269)+ISTEXT($K269)+ISTEXT($N269)+ISTEXT($O269)+ISTEXT($Q269)+ISTEXT($R269)+ISTEXT($S269)&gt;0,"⚠ 金额列里有文字，算不进合计",IF(N($G269)&gt;=1,"⚠ 管理费点要填百分比，如 10%",IF(AND($D269&lt;&gt;"",$B269=""),"△ 摘要开头没写日期（如 2026.9.21），月份取不到",IF(AND(N($H269)&lt;&gt;0,COUNTIFS($A$4:$A$1003,$A269,$H$4:$H$1003,$H269,$D$4:$D$1003,LEFT($D269,9)&amp;"*")&gt;1),"△ 同一天同项目有一样的销售金额，看看是不是录重了","✓"))))))))</f>
        <v/>
      </c>
      <c r="W269" s="8" t="str">
        <f aca="false">IF($A269="","",$A269&amp;"#"&amp;COUNTIF($A$4:$A269,$A269))</f>
        <v/>
      </c>
    </row>
    <row r="270" customFormat="false" ht="16.5" hidden="false" customHeight="false" outlineLevel="0" collapsed="false">
      <c r="A270" s="44" t="str">
        <f aca="false">IF($C270="","",IFERROR(VLOOKUP($C270,目录!$B:$C,2,0)&amp;"","⚠目录里没有"))</f>
        <v/>
      </c>
      <c r="B270" s="45" t="str">
        <f aca="false">IF($D270="","",IFERROR(MID($D270,FIND(".",$D270)+1,FIND(".",$D270,FIND(".",$D270)+1)-FIND(".",$D270)-1)&amp;"月",""))</f>
        <v/>
      </c>
      <c r="C270" s="46"/>
      <c r="D270" s="47"/>
      <c r="E270" s="47"/>
      <c r="F270" s="49"/>
      <c r="G270" s="50"/>
      <c r="H270" s="24"/>
      <c r="I270" s="24" t="str">
        <f aca="false">IF($H270="","",N($H270)*N($G270))</f>
        <v/>
      </c>
      <c r="J270" s="25" t="str">
        <f aca="false">IF($H270="","",N($H270)-N($I270))</f>
        <v/>
      </c>
      <c r="K270" s="25"/>
      <c r="L270" s="25" t="str">
        <f aca="false">IF($A270="","",SUMIF($A$4:$A270,$A270,$J$4:$J270)-SUMIF($A$4:$A270,$A270,$K$4:$K270))</f>
        <v/>
      </c>
      <c r="M270" s="26" t="str">
        <f aca="false">IF($H270="","",N($H270))</f>
        <v/>
      </c>
      <c r="N270" s="26"/>
      <c r="O270" s="26"/>
      <c r="P270" s="26" t="str">
        <f aca="false">IF($A270="","",SUMIF($A$4:$A270,$A270,$M$4:$M270)-SUMIF($A$4:$A270,$A270,$N$4:$N270)-SUMIF($A$4:$A270,$A270,$O$4:$O270))</f>
        <v/>
      </c>
      <c r="Q270" s="27"/>
      <c r="R270" s="28"/>
      <c r="S270" s="28"/>
      <c r="T270" s="28" t="str">
        <f aca="false">IF($A270="","",SUMIF($A$4:$A270,$A270,$Q$4:$Q270)-SUMIF($A$4:$A270,$A270,$R$4:$R270)-SUMIF($A$4:$A270,$A270,$S$4:$S270))</f>
        <v/>
      </c>
      <c r="U270" s="28"/>
      <c r="V270" s="29" t="str">
        <f aca="false">IF(AND($C270="",COUNTA($D270:$H270,$K270,$N270:$O270,$Q270:$S270,$U270)=0),"",IF($C270="","⚠ 没填项目名称",IF($A270="⚠目录里没有","⚠ 项目名称在目录里找不到（先加到目录）",IF($A270="","⚠ 目录里这个项目没填简称",IF(ISTEXT($G270)+ISTEXT($H270)+ISTEXT($K270)+ISTEXT($N270)+ISTEXT($O270)+ISTEXT($Q270)+ISTEXT($R270)+ISTEXT($S270)&gt;0,"⚠ 金额列里有文字，算不进合计",IF(N($G270)&gt;=1,"⚠ 管理费点要填百分比，如 10%",IF(AND($D270&lt;&gt;"",$B270=""),"△ 摘要开头没写日期（如 2026.9.21），月份取不到",IF(AND(N($H270)&lt;&gt;0,COUNTIFS($A$4:$A$1003,$A270,$H$4:$H$1003,$H270,$D$4:$D$1003,LEFT($D270,9)&amp;"*")&gt;1),"△ 同一天同项目有一样的销售金额，看看是不是录重了","✓"))))))))</f>
        <v/>
      </c>
      <c r="W270" s="8" t="str">
        <f aca="false">IF($A270="","",$A270&amp;"#"&amp;COUNTIF($A$4:$A270,$A270))</f>
        <v/>
      </c>
    </row>
    <row r="271" customFormat="false" ht="16.5" hidden="false" customHeight="false" outlineLevel="0" collapsed="false">
      <c r="A271" s="44" t="str">
        <f aca="false">IF($C271="","",IFERROR(VLOOKUP($C271,目录!$B:$C,2,0)&amp;"","⚠目录里没有"))</f>
        <v/>
      </c>
      <c r="B271" s="45" t="str">
        <f aca="false">IF($D271="","",IFERROR(MID($D271,FIND(".",$D271)+1,FIND(".",$D271,FIND(".",$D271)+1)-FIND(".",$D271)-1)&amp;"月",""))</f>
        <v/>
      </c>
      <c r="C271" s="46"/>
      <c r="D271" s="47"/>
      <c r="E271" s="47"/>
      <c r="F271" s="49"/>
      <c r="G271" s="50"/>
      <c r="H271" s="24"/>
      <c r="I271" s="24" t="str">
        <f aca="false">IF($H271="","",N($H271)*N($G271))</f>
        <v/>
      </c>
      <c r="J271" s="25" t="str">
        <f aca="false">IF($H271="","",N($H271)-N($I271))</f>
        <v/>
      </c>
      <c r="K271" s="25"/>
      <c r="L271" s="25" t="str">
        <f aca="false">IF($A271="","",SUMIF($A$4:$A271,$A271,$J$4:$J271)-SUMIF($A$4:$A271,$A271,$K$4:$K271))</f>
        <v/>
      </c>
      <c r="M271" s="26" t="str">
        <f aca="false">IF($H271="","",N($H271))</f>
        <v/>
      </c>
      <c r="N271" s="26"/>
      <c r="O271" s="26"/>
      <c r="P271" s="26" t="str">
        <f aca="false">IF($A271="","",SUMIF($A$4:$A271,$A271,$M$4:$M271)-SUMIF($A$4:$A271,$A271,$N$4:$N271)-SUMIF($A$4:$A271,$A271,$O$4:$O271))</f>
        <v/>
      </c>
      <c r="Q271" s="27"/>
      <c r="R271" s="28"/>
      <c r="S271" s="28"/>
      <c r="T271" s="28" t="str">
        <f aca="false">IF($A271="","",SUMIF($A$4:$A271,$A271,$Q$4:$Q271)-SUMIF($A$4:$A271,$A271,$R$4:$R271)-SUMIF($A$4:$A271,$A271,$S$4:$S271))</f>
        <v/>
      </c>
      <c r="U271" s="28"/>
      <c r="V271" s="29" t="str">
        <f aca="false">IF(AND($C271="",COUNTA($D271:$H271,$K271,$N271:$O271,$Q271:$S271,$U271)=0),"",IF($C271="","⚠ 没填项目名称",IF($A271="⚠目录里没有","⚠ 项目名称在目录里找不到（先加到目录）",IF($A271="","⚠ 目录里这个项目没填简称",IF(ISTEXT($G271)+ISTEXT($H271)+ISTEXT($K271)+ISTEXT($N271)+ISTEXT($O271)+ISTEXT($Q271)+ISTEXT($R271)+ISTEXT($S271)&gt;0,"⚠ 金额列里有文字，算不进合计",IF(N($G271)&gt;=1,"⚠ 管理费点要填百分比，如 10%",IF(AND($D271&lt;&gt;"",$B271=""),"△ 摘要开头没写日期（如 2026.9.21），月份取不到",IF(AND(N($H271)&lt;&gt;0,COUNTIFS($A$4:$A$1003,$A271,$H$4:$H$1003,$H271,$D$4:$D$1003,LEFT($D271,9)&amp;"*")&gt;1),"△ 同一天同项目有一样的销售金额，看看是不是录重了","✓"))))))))</f>
        <v/>
      </c>
      <c r="W271" s="8" t="str">
        <f aca="false">IF($A271="","",$A271&amp;"#"&amp;COUNTIF($A$4:$A271,$A271))</f>
        <v/>
      </c>
    </row>
    <row r="272" customFormat="false" ht="16.5" hidden="false" customHeight="false" outlineLevel="0" collapsed="false">
      <c r="A272" s="44" t="str">
        <f aca="false">IF($C272="","",IFERROR(VLOOKUP($C272,目录!$B:$C,2,0)&amp;"","⚠目录里没有"))</f>
        <v/>
      </c>
      <c r="B272" s="45" t="str">
        <f aca="false">IF($D272="","",IFERROR(MID($D272,FIND(".",$D272)+1,FIND(".",$D272,FIND(".",$D272)+1)-FIND(".",$D272)-1)&amp;"月",""))</f>
        <v/>
      </c>
      <c r="C272" s="46"/>
      <c r="D272" s="47"/>
      <c r="E272" s="47"/>
      <c r="F272" s="49"/>
      <c r="G272" s="50"/>
      <c r="H272" s="24"/>
      <c r="I272" s="24" t="str">
        <f aca="false">IF($H272="","",N($H272)*N($G272))</f>
        <v/>
      </c>
      <c r="J272" s="25" t="str">
        <f aca="false">IF($H272="","",N($H272)-N($I272))</f>
        <v/>
      </c>
      <c r="K272" s="25"/>
      <c r="L272" s="25" t="str">
        <f aca="false">IF($A272="","",SUMIF($A$4:$A272,$A272,$J$4:$J272)-SUMIF($A$4:$A272,$A272,$K$4:$K272))</f>
        <v/>
      </c>
      <c r="M272" s="26" t="str">
        <f aca="false">IF($H272="","",N($H272))</f>
        <v/>
      </c>
      <c r="N272" s="26"/>
      <c r="O272" s="26"/>
      <c r="P272" s="26" t="str">
        <f aca="false">IF($A272="","",SUMIF($A$4:$A272,$A272,$M$4:$M272)-SUMIF($A$4:$A272,$A272,$N$4:$N272)-SUMIF($A$4:$A272,$A272,$O$4:$O272))</f>
        <v/>
      </c>
      <c r="Q272" s="27"/>
      <c r="R272" s="28"/>
      <c r="S272" s="28"/>
      <c r="T272" s="28" t="str">
        <f aca="false">IF($A272="","",SUMIF($A$4:$A272,$A272,$Q$4:$Q272)-SUMIF($A$4:$A272,$A272,$R$4:$R272)-SUMIF($A$4:$A272,$A272,$S$4:$S272))</f>
        <v/>
      </c>
      <c r="U272" s="28"/>
      <c r="V272" s="29" t="str">
        <f aca="false">IF(AND($C272="",COUNTA($D272:$H272,$K272,$N272:$O272,$Q272:$S272,$U272)=0),"",IF($C272="","⚠ 没填项目名称",IF($A272="⚠目录里没有","⚠ 项目名称在目录里找不到（先加到目录）",IF($A272="","⚠ 目录里这个项目没填简称",IF(ISTEXT($G272)+ISTEXT($H272)+ISTEXT($K272)+ISTEXT($N272)+ISTEXT($O272)+ISTEXT($Q272)+ISTEXT($R272)+ISTEXT($S272)&gt;0,"⚠ 金额列里有文字，算不进合计",IF(N($G272)&gt;=1,"⚠ 管理费点要填百分比，如 10%",IF(AND($D272&lt;&gt;"",$B272=""),"△ 摘要开头没写日期（如 2026.9.21），月份取不到",IF(AND(N($H272)&lt;&gt;0,COUNTIFS($A$4:$A$1003,$A272,$H$4:$H$1003,$H272,$D$4:$D$1003,LEFT($D272,9)&amp;"*")&gt;1),"△ 同一天同项目有一样的销售金额，看看是不是录重了","✓"))))))))</f>
        <v/>
      </c>
      <c r="W272" s="8" t="str">
        <f aca="false">IF($A272="","",$A272&amp;"#"&amp;COUNTIF($A$4:$A272,$A272))</f>
        <v/>
      </c>
    </row>
    <row r="273" customFormat="false" ht="16.5" hidden="false" customHeight="false" outlineLevel="0" collapsed="false">
      <c r="A273" s="44" t="str">
        <f aca="false">IF($C273="","",IFERROR(VLOOKUP($C273,目录!$B:$C,2,0)&amp;"","⚠目录里没有"))</f>
        <v/>
      </c>
      <c r="B273" s="45" t="str">
        <f aca="false">IF($D273="","",IFERROR(MID($D273,FIND(".",$D273)+1,FIND(".",$D273,FIND(".",$D273)+1)-FIND(".",$D273)-1)&amp;"月",""))</f>
        <v/>
      </c>
      <c r="C273" s="46"/>
      <c r="D273" s="47"/>
      <c r="E273" s="47"/>
      <c r="F273" s="49"/>
      <c r="G273" s="50"/>
      <c r="H273" s="24"/>
      <c r="I273" s="24" t="str">
        <f aca="false">IF($H273="","",N($H273)*N($G273))</f>
        <v/>
      </c>
      <c r="J273" s="25" t="str">
        <f aca="false">IF($H273="","",N($H273)-N($I273))</f>
        <v/>
      </c>
      <c r="K273" s="25"/>
      <c r="L273" s="25" t="str">
        <f aca="false">IF($A273="","",SUMIF($A$4:$A273,$A273,$J$4:$J273)-SUMIF($A$4:$A273,$A273,$K$4:$K273))</f>
        <v/>
      </c>
      <c r="M273" s="26" t="str">
        <f aca="false">IF($H273="","",N($H273))</f>
        <v/>
      </c>
      <c r="N273" s="26"/>
      <c r="O273" s="26"/>
      <c r="P273" s="26" t="str">
        <f aca="false">IF($A273="","",SUMIF($A$4:$A273,$A273,$M$4:$M273)-SUMIF($A$4:$A273,$A273,$N$4:$N273)-SUMIF($A$4:$A273,$A273,$O$4:$O273))</f>
        <v/>
      </c>
      <c r="Q273" s="27"/>
      <c r="R273" s="28"/>
      <c r="S273" s="28"/>
      <c r="T273" s="28" t="str">
        <f aca="false">IF($A273="","",SUMIF($A$4:$A273,$A273,$Q$4:$Q273)-SUMIF($A$4:$A273,$A273,$R$4:$R273)-SUMIF($A$4:$A273,$A273,$S$4:$S273))</f>
        <v/>
      </c>
      <c r="U273" s="28"/>
      <c r="V273" s="29" t="str">
        <f aca="false">IF(AND($C273="",COUNTA($D273:$H273,$K273,$N273:$O273,$Q273:$S273,$U273)=0),"",IF($C273="","⚠ 没填项目名称",IF($A273="⚠目录里没有","⚠ 项目名称在目录里找不到（先加到目录）",IF($A273="","⚠ 目录里这个项目没填简称",IF(ISTEXT($G273)+ISTEXT($H273)+ISTEXT($K273)+ISTEXT($N273)+ISTEXT($O273)+ISTEXT($Q273)+ISTEXT($R273)+ISTEXT($S273)&gt;0,"⚠ 金额列里有文字，算不进合计",IF(N($G273)&gt;=1,"⚠ 管理费点要填百分比，如 10%",IF(AND($D273&lt;&gt;"",$B273=""),"△ 摘要开头没写日期（如 2026.9.21），月份取不到",IF(AND(N($H273)&lt;&gt;0,COUNTIFS($A$4:$A$1003,$A273,$H$4:$H$1003,$H273,$D$4:$D$1003,LEFT($D273,9)&amp;"*")&gt;1),"△ 同一天同项目有一样的销售金额，看看是不是录重了","✓"))))))))</f>
        <v/>
      </c>
      <c r="W273" s="8" t="str">
        <f aca="false">IF($A273="","",$A273&amp;"#"&amp;COUNTIF($A$4:$A273,$A273))</f>
        <v/>
      </c>
    </row>
    <row r="274" customFormat="false" ht="16.5" hidden="false" customHeight="false" outlineLevel="0" collapsed="false">
      <c r="A274" s="44" t="str">
        <f aca="false">IF($C274="","",IFERROR(VLOOKUP($C274,目录!$B:$C,2,0)&amp;"","⚠目录里没有"))</f>
        <v/>
      </c>
      <c r="B274" s="45" t="str">
        <f aca="false">IF($D274="","",IFERROR(MID($D274,FIND(".",$D274)+1,FIND(".",$D274,FIND(".",$D274)+1)-FIND(".",$D274)-1)&amp;"月",""))</f>
        <v/>
      </c>
      <c r="C274" s="46"/>
      <c r="D274" s="47"/>
      <c r="E274" s="47"/>
      <c r="F274" s="49"/>
      <c r="G274" s="50"/>
      <c r="H274" s="24"/>
      <c r="I274" s="24" t="str">
        <f aca="false">IF($H274="","",N($H274)*N($G274))</f>
        <v/>
      </c>
      <c r="J274" s="25" t="str">
        <f aca="false">IF($H274="","",N($H274)-N($I274))</f>
        <v/>
      </c>
      <c r="K274" s="25"/>
      <c r="L274" s="25" t="str">
        <f aca="false">IF($A274="","",SUMIF($A$4:$A274,$A274,$J$4:$J274)-SUMIF($A$4:$A274,$A274,$K$4:$K274))</f>
        <v/>
      </c>
      <c r="M274" s="26" t="str">
        <f aca="false">IF($H274="","",N($H274))</f>
        <v/>
      </c>
      <c r="N274" s="26"/>
      <c r="O274" s="26"/>
      <c r="P274" s="26" t="str">
        <f aca="false">IF($A274="","",SUMIF($A$4:$A274,$A274,$M$4:$M274)-SUMIF($A$4:$A274,$A274,$N$4:$N274)-SUMIF($A$4:$A274,$A274,$O$4:$O274))</f>
        <v/>
      </c>
      <c r="Q274" s="27"/>
      <c r="R274" s="28"/>
      <c r="S274" s="28"/>
      <c r="T274" s="28" t="str">
        <f aca="false">IF($A274="","",SUMIF($A$4:$A274,$A274,$Q$4:$Q274)-SUMIF($A$4:$A274,$A274,$R$4:$R274)-SUMIF($A$4:$A274,$A274,$S$4:$S274))</f>
        <v/>
      </c>
      <c r="U274" s="28"/>
      <c r="V274" s="29" t="str">
        <f aca="false">IF(AND($C274="",COUNTA($D274:$H274,$K274,$N274:$O274,$Q274:$S274,$U274)=0),"",IF($C274="","⚠ 没填项目名称",IF($A274="⚠目录里没有","⚠ 项目名称在目录里找不到（先加到目录）",IF($A274="","⚠ 目录里这个项目没填简称",IF(ISTEXT($G274)+ISTEXT($H274)+ISTEXT($K274)+ISTEXT($N274)+ISTEXT($O274)+ISTEXT($Q274)+ISTEXT($R274)+ISTEXT($S274)&gt;0,"⚠ 金额列里有文字，算不进合计",IF(N($G274)&gt;=1,"⚠ 管理费点要填百分比，如 10%",IF(AND($D274&lt;&gt;"",$B274=""),"△ 摘要开头没写日期（如 2026.9.21），月份取不到",IF(AND(N($H274)&lt;&gt;0,COUNTIFS($A$4:$A$1003,$A274,$H$4:$H$1003,$H274,$D$4:$D$1003,LEFT($D274,9)&amp;"*")&gt;1),"△ 同一天同项目有一样的销售金额，看看是不是录重了","✓"))))))))</f>
        <v/>
      </c>
      <c r="W274" s="8" t="str">
        <f aca="false">IF($A274="","",$A274&amp;"#"&amp;COUNTIF($A$4:$A274,$A274))</f>
        <v/>
      </c>
    </row>
    <row r="275" customFormat="false" ht="16.5" hidden="false" customHeight="false" outlineLevel="0" collapsed="false">
      <c r="A275" s="44" t="str">
        <f aca="false">IF($C275="","",IFERROR(VLOOKUP($C275,目录!$B:$C,2,0)&amp;"","⚠目录里没有"))</f>
        <v/>
      </c>
      <c r="B275" s="45" t="str">
        <f aca="false">IF($D275="","",IFERROR(MID($D275,FIND(".",$D275)+1,FIND(".",$D275,FIND(".",$D275)+1)-FIND(".",$D275)-1)&amp;"月",""))</f>
        <v/>
      </c>
      <c r="C275" s="46"/>
      <c r="D275" s="47"/>
      <c r="E275" s="47"/>
      <c r="F275" s="49"/>
      <c r="G275" s="50"/>
      <c r="H275" s="24"/>
      <c r="I275" s="24" t="str">
        <f aca="false">IF($H275="","",N($H275)*N($G275))</f>
        <v/>
      </c>
      <c r="J275" s="25" t="str">
        <f aca="false">IF($H275="","",N($H275)-N($I275))</f>
        <v/>
      </c>
      <c r="K275" s="25"/>
      <c r="L275" s="25" t="str">
        <f aca="false">IF($A275="","",SUMIF($A$4:$A275,$A275,$J$4:$J275)-SUMIF($A$4:$A275,$A275,$K$4:$K275))</f>
        <v/>
      </c>
      <c r="M275" s="26" t="str">
        <f aca="false">IF($H275="","",N($H275))</f>
        <v/>
      </c>
      <c r="N275" s="26"/>
      <c r="O275" s="26"/>
      <c r="P275" s="26" t="str">
        <f aca="false">IF($A275="","",SUMIF($A$4:$A275,$A275,$M$4:$M275)-SUMIF($A$4:$A275,$A275,$N$4:$N275)-SUMIF($A$4:$A275,$A275,$O$4:$O275))</f>
        <v/>
      </c>
      <c r="Q275" s="27"/>
      <c r="R275" s="28"/>
      <c r="S275" s="28"/>
      <c r="T275" s="28" t="str">
        <f aca="false">IF($A275="","",SUMIF($A$4:$A275,$A275,$Q$4:$Q275)-SUMIF($A$4:$A275,$A275,$R$4:$R275)-SUMIF($A$4:$A275,$A275,$S$4:$S275))</f>
        <v/>
      </c>
      <c r="U275" s="28"/>
      <c r="V275" s="29" t="str">
        <f aca="false">IF(AND($C275="",COUNTA($D275:$H275,$K275,$N275:$O275,$Q275:$S275,$U275)=0),"",IF($C275="","⚠ 没填项目名称",IF($A275="⚠目录里没有","⚠ 项目名称在目录里找不到（先加到目录）",IF($A275="","⚠ 目录里这个项目没填简称",IF(ISTEXT($G275)+ISTEXT($H275)+ISTEXT($K275)+ISTEXT($N275)+ISTEXT($O275)+ISTEXT($Q275)+ISTEXT($R275)+ISTEXT($S275)&gt;0,"⚠ 金额列里有文字，算不进合计",IF(N($G275)&gt;=1,"⚠ 管理费点要填百分比，如 10%",IF(AND($D275&lt;&gt;"",$B275=""),"△ 摘要开头没写日期（如 2026.9.21），月份取不到",IF(AND(N($H275)&lt;&gt;0,COUNTIFS($A$4:$A$1003,$A275,$H$4:$H$1003,$H275,$D$4:$D$1003,LEFT($D275,9)&amp;"*")&gt;1),"△ 同一天同项目有一样的销售金额，看看是不是录重了","✓"))))))))</f>
        <v/>
      </c>
      <c r="W275" s="8" t="str">
        <f aca="false">IF($A275="","",$A275&amp;"#"&amp;COUNTIF($A$4:$A275,$A275))</f>
        <v/>
      </c>
    </row>
    <row r="276" customFormat="false" ht="16.5" hidden="false" customHeight="false" outlineLevel="0" collapsed="false">
      <c r="A276" s="44" t="str">
        <f aca="false">IF($C276="","",IFERROR(VLOOKUP($C276,目录!$B:$C,2,0)&amp;"","⚠目录里没有"))</f>
        <v/>
      </c>
      <c r="B276" s="45" t="str">
        <f aca="false">IF($D276="","",IFERROR(MID($D276,FIND(".",$D276)+1,FIND(".",$D276,FIND(".",$D276)+1)-FIND(".",$D276)-1)&amp;"月",""))</f>
        <v/>
      </c>
      <c r="C276" s="46"/>
      <c r="D276" s="47"/>
      <c r="E276" s="47"/>
      <c r="F276" s="49"/>
      <c r="G276" s="50"/>
      <c r="H276" s="24"/>
      <c r="I276" s="24" t="str">
        <f aca="false">IF($H276="","",N($H276)*N($G276))</f>
        <v/>
      </c>
      <c r="J276" s="25" t="str">
        <f aca="false">IF($H276="","",N($H276)-N($I276))</f>
        <v/>
      </c>
      <c r="K276" s="25"/>
      <c r="L276" s="25" t="str">
        <f aca="false">IF($A276="","",SUMIF($A$4:$A276,$A276,$J$4:$J276)-SUMIF($A$4:$A276,$A276,$K$4:$K276))</f>
        <v/>
      </c>
      <c r="M276" s="26" t="str">
        <f aca="false">IF($H276="","",N($H276))</f>
        <v/>
      </c>
      <c r="N276" s="26"/>
      <c r="O276" s="26"/>
      <c r="P276" s="26" t="str">
        <f aca="false">IF($A276="","",SUMIF($A$4:$A276,$A276,$M$4:$M276)-SUMIF($A$4:$A276,$A276,$N$4:$N276)-SUMIF($A$4:$A276,$A276,$O$4:$O276))</f>
        <v/>
      </c>
      <c r="Q276" s="27"/>
      <c r="R276" s="28"/>
      <c r="S276" s="28"/>
      <c r="T276" s="28" t="str">
        <f aca="false">IF($A276="","",SUMIF($A$4:$A276,$A276,$Q$4:$Q276)-SUMIF($A$4:$A276,$A276,$R$4:$R276)-SUMIF($A$4:$A276,$A276,$S$4:$S276))</f>
        <v/>
      </c>
      <c r="U276" s="28"/>
      <c r="V276" s="29" t="str">
        <f aca="false">IF(AND($C276="",COUNTA($D276:$H276,$K276,$N276:$O276,$Q276:$S276,$U276)=0),"",IF($C276="","⚠ 没填项目名称",IF($A276="⚠目录里没有","⚠ 项目名称在目录里找不到（先加到目录）",IF($A276="","⚠ 目录里这个项目没填简称",IF(ISTEXT($G276)+ISTEXT($H276)+ISTEXT($K276)+ISTEXT($N276)+ISTEXT($O276)+ISTEXT($Q276)+ISTEXT($R276)+ISTEXT($S276)&gt;0,"⚠ 金额列里有文字，算不进合计",IF(N($G276)&gt;=1,"⚠ 管理费点要填百分比，如 10%",IF(AND($D276&lt;&gt;"",$B276=""),"△ 摘要开头没写日期（如 2026.9.21），月份取不到",IF(AND(N($H276)&lt;&gt;0,COUNTIFS($A$4:$A$1003,$A276,$H$4:$H$1003,$H276,$D$4:$D$1003,LEFT($D276,9)&amp;"*")&gt;1),"△ 同一天同项目有一样的销售金额，看看是不是录重了","✓"))))))))</f>
        <v/>
      </c>
      <c r="W276" s="8" t="str">
        <f aca="false">IF($A276="","",$A276&amp;"#"&amp;COUNTIF($A$4:$A276,$A276))</f>
        <v/>
      </c>
    </row>
    <row r="277" customFormat="false" ht="16.5" hidden="false" customHeight="false" outlineLevel="0" collapsed="false">
      <c r="A277" s="44" t="str">
        <f aca="false">IF($C277="","",IFERROR(VLOOKUP($C277,目录!$B:$C,2,0)&amp;"","⚠目录里没有"))</f>
        <v/>
      </c>
      <c r="B277" s="45" t="str">
        <f aca="false">IF($D277="","",IFERROR(MID($D277,FIND(".",$D277)+1,FIND(".",$D277,FIND(".",$D277)+1)-FIND(".",$D277)-1)&amp;"月",""))</f>
        <v/>
      </c>
      <c r="C277" s="46"/>
      <c r="D277" s="47"/>
      <c r="E277" s="47"/>
      <c r="F277" s="49"/>
      <c r="G277" s="50"/>
      <c r="H277" s="24"/>
      <c r="I277" s="24" t="str">
        <f aca="false">IF($H277="","",N($H277)*N($G277))</f>
        <v/>
      </c>
      <c r="J277" s="25" t="str">
        <f aca="false">IF($H277="","",N($H277)-N($I277))</f>
        <v/>
      </c>
      <c r="K277" s="25"/>
      <c r="L277" s="25" t="str">
        <f aca="false">IF($A277="","",SUMIF($A$4:$A277,$A277,$J$4:$J277)-SUMIF($A$4:$A277,$A277,$K$4:$K277))</f>
        <v/>
      </c>
      <c r="M277" s="26" t="str">
        <f aca="false">IF($H277="","",N($H277))</f>
        <v/>
      </c>
      <c r="N277" s="26"/>
      <c r="O277" s="26"/>
      <c r="P277" s="26" t="str">
        <f aca="false">IF($A277="","",SUMIF($A$4:$A277,$A277,$M$4:$M277)-SUMIF($A$4:$A277,$A277,$N$4:$N277)-SUMIF($A$4:$A277,$A277,$O$4:$O277))</f>
        <v/>
      </c>
      <c r="Q277" s="27"/>
      <c r="R277" s="28"/>
      <c r="S277" s="28"/>
      <c r="T277" s="28" t="str">
        <f aca="false">IF($A277="","",SUMIF($A$4:$A277,$A277,$Q$4:$Q277)-SUMIF($A$4:$A277,$A277,$R$4:$R277)-SUMIF($A$4:$A277,$A277,$S$4:$S277))</f>
        <v/>
      </c>
      <c r="U277" s="28"/>
      <c r="V277" s="29" t="str">
        <f aca="false">IF(AND($C277="",COUNTA($D277:$H277,$K277,$N277:$O277,$Q277:$S277,$U277)=0),"",IF($C277="","⚠ 没填项目名称",IF($A277="⚠目录里没有","⚠ 项目名称在目录里找不到（先加到目录）",IF($A277="","⚠ 目录里这个项目没填简称",IF(ISTEXT($G277)+ISTEXT($H277)+ISTEXT($K277)+ISTEXT($N277)+ISTEXT($O277)+ISTEXT($Q277)+ISTEXT($R277)+ISTEXT($S277)&gt;0,"⚠ 金额列里有文字，算不进合计",IF(N($G277)&gt;=1,"⚠ 管理费点要填百分比，如 10%",IF(AND($D277&lt;&gt;"",$B277=""),"△ 摘要开头没写日期（如 2026.9.21），月份取不到",IF(AND(N($H277)&lt;&gt;0,COUNTIFS($A$4:$A$1003,$A277,$H$4:$H$1003,$H277,$D$4:$D$1003,LEFT($D277,9)&amp;"*")&gt;1),"△ 同一天同项目有一样的销售金额，看看是不是录重了","✓"))))))))</f>
        <v/>
      </c>
      <c r="W277" s="8" t="str">
        <f aca="false">IF($A277="","",$A277&amp;"#"&amp;COUNTIF($A$4:$A277,$A277))</f>
        <v/>
      </c>
    </row>
    <row r="278" customFormat="false" ht="16.5" hidden="false" customHeight="false" outlineLevel="0" collapsed="false">
      <c r="A278" s="44" t="str">
        <f aca="false">IF($C278="","",IFERROR(VLOOKUP($C278,目录!$B:$C,2,0)&amp;"","⚠目录里没有"))</f>
        <v/>
      </c>
      <c r="B278" s="45" t="str">
        <f aca="false">IF($D278="","",IFERROR(MID($D278,FIND(".",$D278)+1,FIND(".",$D278,FIND(".",$D278)+1)-FIND(".",$D278)-1)&amp;"月",""))</f>
        <v/>
      </c>
      <c r="C278" s="46"/>
      <c r="D278" s="47"/>
      <c r="E278" s="47"/>
      <c r="F278" s="49"/>
      <c r="G278" s="50"/>
      <c r="H278" s="24"/>
      <c r="I278" s="24" t="str">
        <f aca="false">IF($H278="","",N($H278)*N($G278))</f>
        <v/>
      </c>
      <c r="J278" s="25" t="str">
        <f aca="false">IF($H278="","",N($H278)-N($I278))</f>
        <v/>
      </c>
      <c r="K278" s="25"/>
      <c r="L278" s="25" t="str">
        <f aca="false">IF($A278="","",SUMIF($A$4:$A278,$A278,$J$4:$J278)-SUMIF($A$4:$A278,$A278,$K$4:$K278))</f>
        <v/>
      </c>
      <c r="M278" s="26" t="str">
        <f aca="false">IF($H278="","",N($H278))</f>
        <v/>
      </c>
      <c r="N278" s="26"/>
      <c r="O278" s="26"/>
      <c r="P278" s="26" t="str">
        <f aca="false">IF($A278="","",SUMIF($A$4:$A278,$A278,$M$4:$M278)-SUMIF($A$4:$A278,$A278,$N$4:$N278)-SUMIF($A$4:$A278,$A278,$O$4:$O278))</f>
        <v/>
      </c>
      <c r="Q278" s="27"/>
      <c r="R278" s="28"/>
      <c r="S278" s="28"/>
      <c r="T278" s="28" t="str">
        <f aca="false">IF($A278="","",SUMIF($A$4:$A278,$A278,$Q$4:$Q278)-SUMIF($A$4:$A278,$A278,$R$4:$R278)-SUMIF($A$4:$A278,$A278,$S$4:$S278))</f>
        <v/>
      </c>
      <c r="U278" s="28"/>
      <c r="V278" s="29" t="str">
        <f aca="false">IF(AND($C278="",COUNTA($D278:$H278,$K278,$N278:$O278,$Q278:$S278,$U278)=0),"",IF($C278="","⚠ 没填项目名称",IF($A278="⚠目录里没有","⚠ 项目名称在目录里找不到（先加到目录）",IF($A278="","⚠ 目录里这个项目没填简称",IF(ISTEXT($G278)+ISTEXT($H278)+ISTEXT($K278)+ISTEXT($N278)+ISTEXT($O278)+ISTEXT($Q278)+ISTEXT($R278)+ISTEXT($S278)&gt;0,"⚠ 金额列里有文字，算不进合计",IF(N($G278)&gt;=1,"⚠ 管理费点要填百分比，如 10%",IF(AND($D278&lt;&gt;"",$B278=""),"△ 摘要开头没写日期（如 2026.9.21），月份取不到",IF(AND(N($H278)&lt;&gt;0,COUNTIFS($A$4:$A$1003,$A278,$H$4:$H$1003,$H278,$D$4:$D$1003,LEFT($D278,9)&amp;"*")&gt;1),"△ 同一天同项目有一样的销售金额，看看是不是录重了","✓"))))))))</f>
        <v/>
      </c>
      <c r="W278" s="8" t="str">
        <f aca="false">IF($A278="","",$A278&amp;"#"&amp;COUNTIF($A$4:$A278,$A278))</f>
        <v/>
      </c>
    </row>
    <row r="279" customFormat="false" ht="16.5" hidden="false" customHeight="false" outlineLevel="0" collapsed="false">
      <c r="A279" s="44" t="str">
        <f aca="false">IF($C279="","",IFERROR(VLOOKUP($C279,目录!$B:$C,2,0)&amp;"","⚠目录里没有"))</f>
        <v/>
      </c>
      <c r="B279" s="45" t="str">
        <f aca="false">IF($D279="","",IFERROR(MID($D279,FIND(".",$D279)+1,FIND(".",$D279,FIND(".",$D279)+1)-FIND(".",$D279)-1)&amp;"月",""))</f>
        <v/>
      </c>
      <c r="C279" s="46"/>
      <c r="D279" s="47"/>
      <c r="E279" s="47"/>
      <c r="F279" s="49"/>
      <c r="G279" s="50"/>
      <c r="H279" s="24"/>
      <c r="I279" s="24" t="str">
        <f aca="false">IF($H279="","",N($H279)*N($G279))</f>
        <v/>
      </c>
      <c r="J279" s="25" t="str">
        <f aca="false">IF($H279="","",N($H279)-N($I279))</f>
        <v/>
      </c>
      <c r="K279" s="25"/>
      <c r="L279" s="25" t="str">
        <f aca="false">IF($A279="","",SUMIF($A$4:$A279,$A279,$J$4:$J279)-SUMIF($A$4:$A279,$A279,$K$4:$K279))</f>
        <v/>
      </c>
      <c r="M279" s="26" t="str">
        <f aca="false">IF($H279="","",N($H279))</f>
        <v/>
      </c>
      <c r="N279" s="26"/>
      <c r="O279" s="26"/>
      <c r="P279" s="26" t="str">
        <f aca="false">IF($A279="","",SUMIF($A$4:$A279,$A279,$M$4:$M279)-SUMIF($A$4:$A279,$A279,$N$4:$N279)-SUMIF($A$4:$A279,$A279,$O$4:$O279))</f>
        <v/>
      </c>
      <c r="Q279" s="27"/>
      <c r="R279" s="28"/>
      <c r="S279" s="28"/>
      <c r="T279" s="28" t="str">
        <f aca="false">IF($A279="","",SUMIF($A$4:$A279,$A279,$Q$4:$Q279)-SUMIF($A$4:$A279,$A279,$R$4:$R279)-SUMIF($A$4:$A279,$A279,$S$4:$S279))</f>
        <v/>
      </c>
      <c r="U279" s="28"/>
      <c r="V279" s="29" t="str">
        <f aca="false">IF(AND($C279="",COUNTA($D279:$H279,$K279,$N279:$O279,$Q279:$S279,$U279)=0),"",IF($C279="","⚠ 没填项目名称",IF($A279="⚠目录里没有","⚠ 项目名称在目录里找不到（先加到目录）",IF($A279="","⚠ 目录里这个项目没填简称",IF(ISTEXT($G279)+ISTEXT($H279)+ISTEXT($K279)+ISTEXT($N279)+ISTEXT($O279)+ISTEXT($Q279)+ISTEXT($R279)+ISTEXT($S279)&gt;0,"⚠ 金额列里有文字，算不进合计",IF(N($G279)&gt;=1,"⚠ 管理费点要填百分比，如 10%",IF(AND($D279&lt;&gt;"",$B279=""),"△ 摘要开头没写日期（如 2026.9.21），月份取不到",IF(AND(N($H279)&lt;&gt;0,COUNTIFS($A$4:$A$1003,$A279,$H$4:$H$1003,$H279,$D$4:$D$1003,LEFT($D279,9)&amp;"*")&gt;1),"△ 同一天同项目有一样的销售金额，看看是不是录重了","✓"))))))))</f>
        <v/>
      </c>
      <c r="W279" s="8" t="str">
        <f aca="false">IF($A279="","",$A279&amp;"#"&amp;COUNTIF($A$4:$A279,$A279))</f>
        <v/>
      </c>
    </row>
    <row r="280" customFormat="false" ht="16.5" hidden="false" customHeight="false" outlineLevel="0" collapsed="false">
      <c r="A280" s="44" t="str">
        <f aca="false">IF($C280="","",IFERROR(VLOOKUP($C280,目录!$B:$C,2,0)&amp;"","⚠目录里没有"))</f>
        <v/>
      </c>
      <c r="B280" s="45" t="str">
        <f aca="false">IF($D280="","",IFERROR(MID($D280,FIND(".",$D280)+1,FIND(".",$D280,FIND(".",$D280)+1)-FIND(".",$D280)-1)&amp;"月",""))</f>
        <v/>
      </c>
      <c r="C280" s="46"/>
      <c r="D280" s="47"/>
      <c r="E280" s="47"/>
      <c r="F280" s="49"/>
      <c r="G280" s="50"/>
      <c r="H280" s="24"/>
      <c r="I280" s="24" t="str">
        <f aca="false">IF($H280="","",N($H280)*N($G280))</f>
        <v/>
      </c>
      <c r="J280" s="25" t="str">
        <f aca="false">IF($H280="","",N($H280)-N($I280))</f>
        <v/>
      </c>
      <c r="K280" s="25"/>
      <c r="L280" s="25" t="str">
        <f aca="false">IF($A280="","",SUMIF($A$4:$A280,$A280,$J$4:$J280)-SUMIF($A$4:$A280,$A280,$K$4:$K280))</f>
        <v/>
      </c>
      <c r="M280" s="26" t="str">
        <f aca="false">IF($H280="","",N($H280))</f>
        <v/>
      </c>
      <c r="N280" s="26"/>
      <c r="O280" s="26"/>
      <c r="P280" s="26" t="str">
        <f aca="false">IF($A280="","",SUMIF($A$4:$A280,$A280,$M$4:$M280)-SUMIF($A$4:$A280,$A280,$N$4:$N280)-SUMIF($A$4:$A280,$A280,$O$4:$O280))</f>
        <v/>
      </c>
      <c r="Q280" s="27"/>
      <c r="R280" s="28"/>
      <c r="S280" s="28"/>
      <c r="T280" s="28" t="str">
        <f aca="false">IF($A280="","",SUMIF($A$4:$A280,$A280,$Q$4:$Q280)-SUMIF($A$4:$A280,$A280,$R$4:$R280)-SUMIF($A$4:$A280,$A280,$S$4:$S280))</f>
        <v/>
      </c>
      <c r="U280" s="28"/>
      <c r="V280" s="29" t="str">
        <f aca="false">IF(AND($C280="",COUNTA($D280:$H280,$K280,$N280:$O280,$Q280:$S280,$U280)=0),"",IF($C280="","⚠ 没填项目名称",IF($A280="⚠目录里没有","⚠ 项目名称在目录里找不到（先加到目录）",IF($A280="","⚠ 目录里这个项目没填简称",IF(ISTEXT($G280)+ISTEXT($H280)+ISTEXT($K280)+ISTEXT($N280)+ISTEXT($O280)+ISTEXT($Q280)+ISTEXT($R280)+ISTEXT($S280)&gt;0,"⚠ 金额列里有文字，算不进合计",IF(N($G280)&gt;=1,"⚠ 管理费点要填百分比，如 10%",IF(AND($D280&lt;&gt;"",$B280=""),"△ 摘要开头没写日期（如 2026.9.21），月份取不到",IF(AND(N($H280)&lt;&gt;0,COUNTIFS($A$4:$A$1003,$A280,$H$4:$H$1003,$H280,$D$4:$D$1003,LEFT($D280,9)&amp;"*")&gt;1),"△ 同一天同项目有一样的销售金额，看看是不是录重了","✓"))))))))</f>
        <v/>
      </c>
      <c r="W280" s="8" t="str">
        <f aca="false">IF($A280="","",$A280&amp;"#"&amp;COUNTIF($A$4:$A280,$A280))</f>
        <v/>
      </c>
    </row>
    <row r="281" customFormat="false" ht="16.5" hidden="false" customHeight="false" outlineLevel="0" collapsed="false">
      <c r="A281" s="44" t="str">
        <f aca="false">IF($C281="","",IFERROR(VLOOKUP($C281,目录!$B:$C,2,0)&amp;"","⚠目录里没有"))</f>
        <v/>
      </c>
      <c r="B281" s="45" t="str">
        <f aca="false">IF($D281="","",IFERROR(MID($D281,FIND(".",$D281)+1,FIND(".",$D281,FIND(".",$D281)+1)-FIND(".",$D281)-1)&amp;"月",""))</f>
        <v/>
      </c>
      <c r="C281" s="46"/>
      <c r="D281" s="47"/>
      <c r="E281" s="47"/>
      <c r="F281" s="49"/>
      <c r="G281" s="50"/>
      <c r="H281" s="24"/>
      <c r="I281" s="24" t="str">
        <f aca="false">IF($H281="","",N($H281)*N($G281))</f>
        <v/>
      </c>
      <c r="J281" s="25" t="str">
        <f aca="false">IF($H281="","",N($H281)-N($I281))</f>
        <v/>
      </c>
      <c r="K281" s="25"/>
      <c r="L281" s="25" t="str">
        <f aca="false">IF($A281="","",SUMIF($A$4:$A281,$A281,$J$4:$J281)-SUMIF($A$4:$A281,$A281,$K$4:$K281))</f>
        <v/>
      </c>
      <c r="M281" s="26" t="str">
        <f aca="false">IF($H281="","",N($H281))</f>
        <v/>
      </c>
      <c r="N281" s="26"/>
      <c r="O281" s="26"/>
      <c r="P281" s="26" t="str">
        <f aca="false">IF($A281="","",SUMIF($A$4:$A281,$A281,$M$4:$M281)-SUMIF($A$4:$A281,$A281,$N$4:$N281)-SUMIF($A$4:$A281,$A281,$O$4:$O281))</f>
        <v/>
      </c>
      <c r="Q281" s="27"/>
      <c r="R281" s="28"/>
      <c r="S281" s="28"/>
      <c r="T281" s="28" t="str">
        <f aca="false">IF($A281="","",SUMIF($A$4:$A281,$A281,$Q$4:$Q281)-SUMIF($A$4:$A281,$A281,$R$4:$R281)-SUMIF($A$4:$A281,$A281,$S$4:$S281))</f>
        <v/>
      </c>
      <c r="U281" s="28"/>
      <c r="V281" s="29" t="str">
        <f aca="false">IF(AND($C281="",COUNTA($D281:$H281,$K281,$N281:$O281,$Q281:$S281,$U281)=0),"",IF($C281="","⚠ 没填项目名称",IF($A281="⚠目录里没有","⚠ 项目名称在目录里找不到（先加到目录）",IF($A281="","⚠ 目录里这个项目没填简称",IF(ISTEXT($G281)+ISTEXT($H281)+ISTEXT($K281)+ISTEXT($N281)+ISTEXT($O281)+ISTEXT($Q281)+ISTEXT($R281)+ISTEXT($S281)&gt;0,"⚠ 金额列里有文字，算不进合计",IF(N($G281)&gt;=1,"⚠ 管理费点要填百分比，如 10%",IF(AND($D281&lt;&gt;"",$B281=""),"△ 摘要开头没写日期（如 2026.9.21），月份取不到",IF(AND(N($H281)&lt;&gt;0,COUNTIFS($A$4:$A$1003,$A281,$H$4:$H$1003,$H281,$D$4:$D$1003,LEFT($D281,9)&amp;"*")&gt;1),"△ 同一天同项目有一样的销售金额，看看是不是录重了","✓"))))))))</f>
        <v/>
      </c>
      <c r="W281" s="8" t="str">
        <f aca="false">IF($A281="","",$A281&amp;"#"&amp;COUNTIF($A$4:$A281,$A281))</f>
        <v/>
      </c>
    </row>
    <row r="282" customFormat="false" ht="16.5" hidden="false" customHeight="false" outlineLevel="0" collapsed="false">
      <c r="A282" s="44" t="str">
        <f aca="false">IF($C282="","",IFERROR(VLOOKUP($C282,目录!$B:$C,2,0)&amp;"","⚠目录里没有"))</f>
        <v/>
      </c>
      <c r="B282" s="45" t="str">
        <f aca="false">IF($D282="","",IFERROR(MID($D282,FIND(".",$D282)+1,FIND(".",$D282,FIND(".",$D282)+1)-FIND(".",$D282)-1)&amp;"月",""))</f>
        <v/>
      </c>
      <c r="C282" s="46"/>
      <c r="D282" s="47"/>
      <c r="E282" s="47"/>
      <c r="F282" s="49"/>
      <c r="G282" s="50"/>
      <c r="H282" s="24"/>
      <c r="I282" s="24" t="str">
        <f aca="false">IF($H282="","",N($H282)*N($G282))</f>
        <v/>
      </c>
      <c r="J282" s="25" t="str">
        <f aca="false">IF($H282="","",N($H282)-N($I282))</f>
        <v/>
      </c>
      <c r="K282" s="25"/>
      <c r="L282" s="25" t="str">
        <f aca="false">IF($A282="","",SUMIF($A$4:$A282,$A282,$J$4:$J282)-SUMIF($A$4:$A282,$A282,$K$4:$K282))</f>
        <v/>
      </c>
      <c r="M282" s="26" t="str">
        <f aca="false">IF($H282="","",N($H282))</f>
        <v/>
      </c>
      <c r="N282" s="26"/>
      <c r="O282" s="26"/>
      <c r="P282" s="26" t="str">
        <f aca="false">IF($A282="","",SUMIF($A$4:$A282,$A282,$M$4:$M282)-SUMIF($A$4:$A282,$A282,$N$4:$N282)-SUMIF($A$4:$A282,$A282,$O$4:$O282))</f>
        <v/>
      </c>
      <c r="Q282" s="27"/>
      <c r="R282" s="28"/>
      <c r="S282" s="28"/>
      <c r="T282" s="28" t="str">
        <f aca="false">IF($A282="","",SUMIF($A$4:$A282,$A282,$Q$4:$Q282)-SUMIF($A$4:$A282,$A282,$R$4:$R282)-SUMIF($A$4:$A282,$A282,$S$4:$S282))</f>
        <v/>
      </c>
      <c r="U282" s="28"/>
      <c r="V282" s="29" t="str">
        <f aca="false">IF(AND($C282="",COUNTA($D282:$H282,$K282,$N282:$O282,$Q282:$S282,$U282)=0),"",IF($C282="","⚠ 没填项目名称",IF($A282="⚠目录里没有","⚠ 项目名称在目录里找不到（先加到目录）",IF($A282="","⚠ 目录里这个项目没填简称",IF(ISTEXT($G282)+ISTEXT($H282)+ISTEXT($K282)+ISTEXT($N282)+ISTEXT($O282)+ISTEXT($Q282)+ISTEXT($R282)+ISTEXT($S282)&gt;0,"⚠ 金额列里有文字，算不进合计",IF(N($G282)&gt;=1,"⚠ 管理费点要填百分比，如 10%",IF(AND($D282&lt;&gt;"",$B282=""),"△ 摘要开头没写日期（如 2026.9.21），月份取不到",IF(AND(N($H282)&lt;&gt;0,COUNTIFS($A$4:$A$1003,$A282,$H$4:$H$1003,$H282,$D$4:$D$1003,LEFT($D282,9)&amp;"*")&gt;1),"△ 同一天同项目有一样的销售金额，看看是不是录重了","✓"))))))))</f>
        <v/>
      </c>
      <c r="W282" s="8" t="str">
        <f aca="false">IF($A282="","",$A282&amp;"#"&amp;COUNTIF($A$4:$A282,$A282))</f>
        <v/>
      </c>
    </row>
    <row r="283" customFormat="false" ht="16.5" hidden="false" customHeight="false" outlineLevel="0" collapsed="false">
      <c r="A283" s="44" t="str">
        <f aca="false">IF($C283="","",IFERROR(VLOOKUP($C283,目录!$B:$C,2,0)&amp;"","⚠目录里没有"))</f>
        <v/>
      </c>
      <c r="B283" s="45" t="str">
        <f aca="false">IF($D283="","",IFERROR(MID($D283,FIND(".",$D283)+1,FIND(".",$D283,FIND(".",$D283)+1)-FIND(".",$D283)-1)&amp;"月",""))</f>
        <v/>
      </c>
      <c r="C283" s="46"/>
      <c r="D283" s="47"/>
      <c r="E283" s="47"/>
      <c r="F283" s="49"/>
      <c r="G283" s="50"/>
      <c r="H283" s="24"/>
      <c r="I283" s="24" t="str">
        <f aca="false">IF($H283="","",N($H283)*N($G283))</f>
        <v/>
      </c>
      <c r="J283" s="25" t="str">
        <f aca="false">IF($H283="","",N($H283)-N($I283))</f>
        <v/>
      </c>
      <c r="K283" s="25"/>
      <c r="L283" s="25" t="str">
        <f aca="false">IF($A283="","",SUMIF($A$4:$A283,$A283,$J$4:$J283)-SUMIF($A$4:$A283,$A283,$K$4:$K283))</f>
        <v/>
      </c>
      <c r="M283" s="26" t="str">
        <f aca="false">IF($H283="","",N($H283))</f>
        <v/>
      </c>
      <c r="N283" s="26"/>
      <c r="O283" s="26"/>
      <c r="P283" s="26" t="str">
        <f aca="false">IF($A283="","",SUMIF($A$4:$A283,$A283,$M$4:$M283)-SUMIF($A$4:$A283,$A283,$N$4:$N283)-SUMIF($A$4:$A283,$A283,$O$4:$O283))</f>
        <v/>
      </c>
      <c r="Q283" s="27"/>
      <c r="R283" s="28"/>
      <c r="S283" s="28"/>
      <c r="T283" s="28" t="str">
        <f aca="false">IF($A283="","",SUMIF($A$4:$A283,$A283,$Q$4:$Q283)-SUMIF($A$4:$A283,$A283,$R$4:$R283)-SUMIF($A$4:$A283,$A283,$S$4:$S283))</f>
        <v/>
      </c>
      <c r="U283" s="28"/>
      <c r="V283" s="29" t="str">
        <f aca="false">IF(AND($C283="",COUNTA($D283:$H283,$K283,$N283:$O283,$Q283:$S283,$U283)=0),"",IF($C283="","⚠ 没填项目名称",IF($A283="⚠目录里没有","⚠ 项目名称在目录里找不到（先加到目录）",IF($A283="","⚠ 目录里这个项目没填简称",IF(ISTEXT($G283)+ISTEXT($H283)+ISTEXT($K283)+ISTEXT($N283)+ISTEXT($O283)+ISTEXT($Q283)+ISTEXT($R283)+ISTEXT($S283)&gt;0,"⚠ 金额列里有文字，算不进合计",IF(N($G283)&gt;=1,"⚠ 管理费点要填百分比，如 10%",IF(AND($D283&lt;&gt;"",$B283=""),"△ 摘要开头没写日期（如 2026.9.21），月份取不到",IF(AND(N($H283)&lt;&gt;0,COUNTIFS($A$4:$A$1003,$A283,$H$4:$H$1003,$H283,$D$4:$D$1003,LEFT($D283,9)&amp;"*")&gt;1),"△ 同一天同项目有一样的销售金额，看看是不是录重了","✓"))))))))</f>
        <v/>
      </c>
      <c r="W283" s="8" t="str">
        <f aca="false">IF($A283="","",$A283&amp;"#"&amp;COUNTIF($A$4:$A283,$A283))</f>
        <v/>
      </c>
    </row>
    <row r="284" customFormat="false" ht="16.5" hidden="false" customHeight="false" outlineLevel="0" collapsed="false">
      <c r="A284" s="44" t="str">
        <f aca="false">IF($C284="","",IFERROR(VLOOKUP($C284,目录!$B:$C,2,0)&amp;"","⚠目录里没有"))</f>
        <v/>
      </c>
      <c r="B284" s="45" t="str">
        <f aca="false">IF($D284="","",IFERROR(MID($D284,FIND(".",$D284)+1,FIND(".",$D284,FIND(".",$D284)+1)-FIND(".",$D284)-1)&amp;"月",""))</f>
        <v/>
      </c>
      <c r="C284" s="46"/>
      <c r="D284" s="47"/>
      <c r="E284" s="47"/>
      <c r="F284" s="49"/>
      <c r="G284" s="50"/>
      <c r="H284" s="24"/>
      <c r="I284" s="24" t="str">
        <f aca="false">IF($H284="","",N($H284)*N($G284))</f>
        <v/>
      </c>
      <c r="J284" s="25" t="str">
        <f aca="false">IF($H284="","",N($H284)-N($I284))</f>
        <v/>
      </c>
      <c r="K284" s="25"/>
      <c r="L284" s="25" t="str">
        <f aca="false">IF($A284="","",SUMIF($A$4:$A284,$A284,$J$4:$J284)-SUMIF($A$4:$A284,$A284,$K$4:$K284))</f>
        <v/>
      </c>
      <c r="M284" s="26" t="str">
        <f aca="false">IF($H284="","",N($H284))</f>
        <v/>
      </c>
      <c r="N284" s="26"/>
      <c r="O284" s="26"/>
      <c r="P284" s="26" t="str">
        <f aca="false">IF($A284="","",SUMIF($A$4:$A284,$A284,$M$4:$M284)-SUMIF($A$4:$A284,$A284,$N$4:$N284)-SUMIF($A$4:$A284,$A284,$O$4:$O284))</f>
        <v/>
      </c>
      <c r="Q284" s="27"/>
      <c r="R284" s="28"/>
      <c r="S284" s="28"/>
      <c r="T284" s="28" t="str">
        <f aca="false">IF($A284="","",SUMIF($A$4:$A284,$A284,$Q$4:$Q284)-SUMIF($A$4:$A284,$A284,$R$4:$R284)-SUMIF($A$4:$A284,$A284,$S$4:$S284))</f>
        <v/>
      </c>
      <c r="U284" s="28"/>
      <c r="V284" s="29" t="str">
        <f aca="false">IF(AND($C284="",COUNTA($D284:$H284,$K284,$N284:$O284,$Q284:$S284,$U284)=0),"",IF($C284="","⚠ 没填项目名称",IF($A284="⚠目录里没有","⚠ 项目名称在目录里找不到（先加到目录）",IF($A284="","⚠ 目录里这个项目没填简称",IF(ISTEXT($G284)+ISTEXT($H284)+ISTEXT($K284)+ISTEXT($N284)+ISTEXT($O284)+ISTEXT($Q284)+ISTEXT($R284)+ISTEXT($S284)&gt;0,"⚠ 金额列里有文字，算不进合计",IF(N($G284)&gt;=1,"⚠ 管理费点要填百分比，如 10%",IF(AND($D284&lt;&gt;"",$B284=""),"△ 摘要开头没写日期（如 2026.9.21），月份取不到",IF(AND(N($H284)&lt;&gt;0,COUNTIFS($A$4:$A$1003,$A284,$H$4:$H$1003,$H284,$D$4:$D$1003,LEFT($D284,9)&amp;"*")&gt;1),"△ 同一天同项目有一样的销售金额，看看是不是录重了","✓"))))))))</f>
        <v/>
      </c>
      <c r="W284" s="8" t="str">
        <f aca="false">IF($A284="","",$A284&amp;"#"&amp;COUNTIF($A$4:$A284,$A284))</f>
        <v/>
      </c>
    </row>
    <row r="285" customFormat="false" ht="16.5" hidden="false" customHeight="false" outlineLevel="0" collapsed="false">
      <c r="A285" s="44" t="str">
        <f aca="false">IF($C285="","",IFERROR(VLOOKUP($C285,目录!$B:$C,2,0)&amp;"","⚠目录里没有"))</f>
        <v/>
      </c>
      <c r="B285" s="45" t="str">
        <f aca="false">IF($D285="","",IFERROR(MID($D285,FIND(".",$D285)+1,FIND(".",$D285,FIND(".",$D285)+1)-FIND(".",$D285)-1)&amp;"月",""))</f>
        <v/>
      </c>
      <c r="C285" s="46"/>
      <c r="D285" s="47"/>
      <c r="E285" s="47"/>
      <c r="F285" s="49"/>
      <c r="G285" s="50"/>
      <c r="H285" s="24"/>
      <c r="I285" s="24" t="str">
        <f aca="false">IF($H285="","",N($H285)*N($G285))</f>
        <v/>
      </c>
      <c r="J285" s="25" t="str">
        <f aca="false">IF($H285="","",N($H285)-N($I285))</f>
        <v/>
      </c>
      <c r="K285" s="25"/>
      <c r="L285" s="25" t="str">
        <f aca="false">IF($A285="","",SUMIF($A$4:$A285,$A285,$J$4:$J285)-SUMIF($A$4:$A285,$A285,$K$4:$K285))</f>
        <v/>
      </c>
      <c r="M285" s="26" t="str">
        <f aca="false">IF($H285="","",N($H285))</f>
        <v/>
      </c>
      <c r="N285" s="26"/>
      <c r="O285" s="26"/>
      <c r="P285" s="26" t="str">
        <f aca="false">IF($A285="","",SUMIF($A$4:$A285,$A285,$M$4:$M285)-SUMIF($A$4:$A285,$A285,$N$4:$N285)-SUMIF($A$4:$A285,$A285,$O$4:$O285))</f>
        <v/>
      </c>
      <c r="Q285" s="27"/>
      <c r="R285" s="28"/>
      <c r="S285" s="28"/>
      <c r="T285" s="28" t="str">
        <f aca="false">IF($A285="","",SUMIF($A$4:$A285,$A285,$Q$4:$Q285)-SUMIF($A$4:$A285,$A285,$R$4:$R285)-SUMIF($A$4:$A285,$A285,$S$4:$S285))</f>
        <v/>
      </c>
      <c r="U285" s="28"/>
      <c r="V285" s="29" t="str">
        <f aca="false">IF(AND($C285="",COUNTA($D285:$H285,$K285,$N285:$O285,$Q285:$S285,$U285)=0),"",IF($C285="","⚠ 没填项目名称",IF($A285="⚠目录里没有","⚠ 项目名称在目录里找不到（先加到目录）",IF($A285="","⚠ 目录里这个项目没填简称",IF(ISTEXT($G285)+ISTEXT($H285)+ISTEXT($K285)+ISTEXT($N285)+ISTEXT($O285)+ISTEXT($Q285)+ISTEXT($R285)+ISTEXT($S285)&gt;0,"⚠ 金额列里有文字，算不进合计",IF(N($G285)&gt;=1,"⚠ 管理费点要填百分比，如 10%",IF(AND($D285&lt;&gt;"",$B285=""),"△ 摘要开头没写日期（如 2026.9.21），月份取不到",IF(AND(N($H285)&lt;&gt;0,COUNTIFS($A$4:$A$1003,$A285,$H$4:$H$1003,$H285,$D$4:$D$1003,LEFT($D285,9)&amp;"*")&gt;1),"△ 同一天同项目有一样的销售金额，看看是不是录重了","✓"))))))))</f>
        <v/>
      </c>
      <c r="W285" s="8" t="str">
        <f aca="false">IF($A285="","",$A285&amp;"#"&amp;COUNTIF($A$4:$A285,$A285))</f>
        <v/>
      </c>
    </row>
    <row r="286" customFormat="false" ht="16.5" hidden="false" customHeight="false" outlineLevel="0" collapsed="false">
      <c r="A286" s="44" t="str">
        <f aca="false">IF($C286="","",IFERROR(VLOOKUP($C286,目录!$B:$C,2,0)&amp;"","⚠目录里没有"))</f>
        <v/>
      </c>
      <c r="B286" s="45" t="str">
        <f aca="false">IF($D286="","",IFERROR(MID($D286,FIND(".",$D286)+1,FIND(".",$D286,FIND(".",$D286)+1)-FIND(".",$D286)-1)&amp;"月",""))</f>
        <v/>
      </c>
      <c r="C286" s="46"/>
      <c r="D286" s="47"/>
      <c r="E286" s="47"/>
      <c r="F286" s="49"/>
      <c r="G286" s="50"/>
      <c r="H286" s="24"/>
      <c r="I286" s="24" t="str">
        <f aca="false">IF($H286="","",N($H286)*N($G286))</f>
        <v/>
      </c>
      <c r="J286" s="25" t="str">
        <f aca="false">IF($H286="","",N($H286)-N($I286))</f>
        <v/>
      </c>
      <c r="K286" s="25"/>
      <c r="L286" s="25" t="str">
        <f aca="false">IF($A286="","",SUMIF($A$4:$A286,$A286,$J$4:$J286)-SUMIF($A$4:$A286,$A286,$K$4:$K286))</f>
        <v/>
      </c>
      <c r="M286" s="26" t="str">
        <f aca="false">IF($H286="","",N($H286))</f>
        <v/>
      </c>
      <c r="N286" s="26"/>
      <c r="O286" s="26"/>
      <c r="P286" s="26" t="str">
        <f aca="false">IF($A286="","",SUMIF($A$4:$A286,$A286,$M$4:$M286)-SUMIF($A$4:$A286,$A286,$N$4:$N286)-SUMIF($A$4:$A286,$A286,$O$4:$O286))</f>
        <v/>
      </c>
      <c r="Q286" s="27"/>
      <c r="R286" s="28"/>
      <c r="S286" s="28"/>
      <c r="T286" s="28" t="str">
        <f aca="false">IF($A286="","",SUMIF($A$4:$A286,$A286,$Q$4:$Q286)-SUMIF($A$4:$A286,$A286,$R$4:$R286)-SUMIF($A$4:$A286,$A286,$S$4:$S286))</f>
        <v/>
      </c>
      <c r="U286" s="28"/>
      <c r="V286" s="29" t="str">
        <f aca="false">IF(AND($C286="",COUNTA($D286:$H286,$K286,$N286:$O286,$Q286:$S286,$U286)=0),"",IF($C286="","⚠ 没填项目名称",IF($A286="⚠目录里没有","⚠ 项目名称在目录里找不到（先加到目录）",IF($A286="","⚠ 目录里这个项目没填简称",IF(ISTEXT($G286)+ISTEXT($H286)+ISTEXT($K286)+ISTEXT($N286)+ISTEXT($O286)+ISTEXT($Q286)+ISTEXT($R286)+ISTEXT($S286)&gt;0,"⚠ 金额列里有文字，算不进合计",IF(N($G286)&gt;=1,"⚠ 管理费点要填百分比，如 10%",IF(AND($D286&lt;&gt;"",$B286=""),"△ 摘要开头没写日期（如 2026.9.21），月份取不到",IF(AND(N($H286)&lt;&gt;0,COUNTIFS($A$4:$A$1003,$A286,$H$4:$H$1003,$H286,$D$4:$D$1003,LEFT($D286,9)&amp;"*")&gt;1),"△ 同一天同项目有一样的销售金额，看看是不是录重了","✓"))))))))</f>
        <v/>
      </c>
      <c r="W286" s="8" t="str">
        <f aca="false">IF($A286="","",$A286&amp;"#"&amp;COUNTIF($A$4:$A286,$A286))</f>
        <v/>
      </c>
    </row>
    <row r="287" customFormat="false" ht="16.5" hidden="false" customHeight="false" outlineLevel="0" collapsed="false">
      <c r="A287" s="44" t="str">
        <f aca="false">IF($C287="","",IFERROR(VLOOKUP($C287,目录!$B:$C,2,0)&amp;"","⚠目录里没有"))</f>
        <v/>
      </c>
      <c r="B287" s="45" t="str">
        <f aca="false">IF($D287="","",IFERROR(MID($D287,FIND(".",$D287)+1,FIND(".",$D287,FIND(".",$D287)+1)-FIND(".",$D287)-1)&amp;"月",""))</f>
        <v/>
      </c>
      <c r="C287" s="46"/>
      <c r="D287" s="47"/>
      <c r="E287" s="47"/>
      <c r="F287" s="49"/>
      <c r="G287" s="50"/>
      <c r="H287" s="24"/>
      <c r="I287" s="24" t="str">
        <f aca="false">IF($H287="","",N($H287)*N($G287))</f>
        <v/>
      </c>
      <c r="J287" s="25" t="str">
        <f aca="false">IF($H287="","",N($H287)-N($I287))</f>
        <v/>
      </c>
      <c r="K287" s="25"/>
      <c r="L287" s="25" t="str">
        <f aca="false">IF($A287="","",SUMIF($A$4:$A287,$A287,$J$4:$J287)-SUMIF($A$4:$A287,$A287,$K$4:$K287))</f>
        <v/>
      </c>
      <c r="M287" s="26" t="str">
        <f aca="false">IF($H287="","",N($H287))</f>
        <v/>
      </c>
      <c r="N287" s="26"/>
      <c r="O287" s="26"/>
      <c r="P287" s="26" t="str">
        <f aca="false">IF($A287="","",SUMIF($A$4:$A287,$A287,$M$4:$M287)-SUMIF($A$4:$A287,$A287,$N$4:$N287)-SUMIF($A$4:$A287,$A287,$O$4:$O287))</f>
        <v/>
      </c>
      <c r="Q287" s="27"/>
      <c r="R287" s="28"/>
      <c r="S287" s="28"/>
      <c r="T287" s="28" t="str">
        <f aca="false">IF($A287="","",SUMIF($A$4:$A287,$A287,$Q$4:$Q287)-SUMIF($A$4:$A287,$A287,$R$4:$R287)-SUMIF($A$4:$A287,$A287,$S$4:$S287))</f>
        <v/>
      </c>
      <c r="U287" s="28"/>
      <c r="V287" s="29" t="str">
        <f aca="false">IF(AND($C287="",COUNTA($D287:$H287,$K287,$N287:$O287,$Q287:$S287,$U287)=0),"",IF($C287="","⚠ 没填项目名称",IF($A287="⚠目录里没有","⚠ 项目名称在目录里找不到（先加到目录）",IF($A287="","⚠ 目录里这个项目没填简称",IF(ISTEXT($G287)+ISTEXT($H287)+ISTEXT($K287)+ISTEXT($N287)+ISTEXT($O287)+ISTEXT($Q287)+ISTEXT($R287)+ISTEXT($S287)&gt;0,"⚠ 金额列里有文字，算不进合计",IF(N($G287)&gt;=1,"⚠ 管理费点要填百分比，如 10%",IF(AND($D287&lt;&gt;"",$B287=""),"△ 摘要开头没写日期（如 2026.9.21），月份取不到",IF(AND(N($H287)&lt;&gt;0,COUNTIFS($A$4:$A$1003,$A287,$H$4:$H$1003,$H287,$D$4:$D$1003,LEFT($D287,9)&amp;"*")&gt;1),"△ 同一天同项目有一样的销售金额，看看是不是录重了","✓"))))))))</f>
        <v/>
      </c>
      <c r="W287" s="8" t="str">
        <f aca="false">IF($A287="","",$A287&amp;"#"&amp;COUNTIF($A$4:$A287,$A287))</f>
        <v/>
      </c>
    </row>
    <row r="288" customFormat="false" ht="16.5" hidden="false" customHeight="false" outlineLevel="0" collapsed="false">
      <c r="A288" s="44" t="str">
        <f aca="false">IF($C288="","",IFERROR(VLOOKUP($C288,目录!$B:$C,2,0)&amp;"","⚠目录里没有"))</f>
        <v/>
      </c>
      <c r="B288" s="45" t="str">
        <f aca="false">IF($D288="","",IFERROR(MID($D288,FIND(".",$D288)+1,FIND(".",$D288,FIND(".",$D288)+1)-FIND(".",$D288)-1)&amp;"月",""))</f>
        <v/>
      </c>
      <c r="C288" s="46"/>
      <c r="D288" s="47"/>
      <c r="E288" s="47"/>
      <c r="F288" s="49"/>
      <c r="G288" s="50"/>
      <c r="H288" s="24"/>
      <c r="I288" s="24" t="str">
        <f aca="false">IF($H288="","",N($H288)*N($G288))</f>
        <v/>
      </c>
      <c r="J288" s="25" t="str">
        <f aca="false">IF($H288="","",N($H288)-N($I288))</f>
        <v/>
      </c>
      <c r="K288" s="25"/>
      <c r="L288" s="25" t="str">
        <f aca="false">IF($A288="","",SUMIF($A$4:$A288,$A288,$J$4:$J288)-SUMIF($A$4:$A288,$A288,$K$4:$K288))</f>
        <v/>
      </c>
      <c r="M288" s="26" t="str">
        <f aca="false">IF($H288="","",N($H288))</f>
        <v/>
      </c>
      <c r="N288" s="26"/>
      <c r="O288" s="26"/>
      <c r="P288" s="26" t="str">
        <f aca="false">IF($A288="","",SUMIF($A$4:$A288,$A288,$M$4:$M288)-SUMIF($A$4:$A288,$A288,$N$4:$N288)-SUMIF($A$4:$A288,$A288,$O$4:$O288))</f>
        <v/>
      </c>
      <c r="Q288" s="27"/>
      <c r="R288" s="28"/>
      <c r="S288" s="28"/>
      <c r="T288" s="28" t="str">
        <f aca="false">IF($A288="","",SUMIF($A$4:$A288,$A288,$Q$4:$Q288)-SUMIF($A$4:$A288,$A288,$R$4:$R288)-SUMIF($A$4:$A288,$A288,$S$4:$S288))</f>
        <v/>
      </c>
      <c r="U288" s="28"/>
      <c r="V288" s="29" t="str">
        <f aca="false">IF(AND($C288="",COUNTA($D288:$H288,$K288,$N288:$O288,$Q288:$S288,$U288)=0),"",IF($C288="","⚠ 没填项目名称",IF($A288="⚠目录里没有","⚠ 项目名称在目录里找不到（先加到目录）",IF($A288="","⚠ 目录里这个项目没填简称",IF(ISTEXT($G288)+ISTEXT($H288)+ISTEXT($K288)+ISTEXT($N288)+ISTEXT($O288)+ISTEXT($Q288)+ISTEXT($R288)+ISTEXT($S288)&gt;0,"⚠ 金额列里有文字，算不进合计",IF(N($G288)&gt;=1,"⚠ 管理费点要填百分比，如 10%",IF(AND($D288&lt;&gt;"",$B288=""),"△ 摘要开头没写日期（如 2026.9.21），月份取不到",IF(AND(N($H288)&lt;&gt;0,COUNTIFS($A$4:$A$1003,$A288,$H$4:$H$1003,$H288,$D$4:$D$1003,LEFT($D288,9)&amp;"*")&gt;1),"△ 同一天同项目有一样的销售金额，看看是不是录重了","✓"))))))))</f>
        <v/>
      </c>
      <c r="W288" s="8" t="str">
        <f aca="false">IF($A288="","",$A288&amp;"#"&amp;COUNTIF($A$4:$A288,$A288))</f>
        <v/>
      </c>
    </row>
    <row r="289" customFormat="false" ht="16.5" hidden="false" customHeight="false" outlineLevel="0" collapsed="false">
      <c r="A289" s="44" t="str">
        <f aca="false">IF($C289="","",IFERROR(VLOOKUP($C289,目录!$B:$C,2,0)&amp;"","⚠目录里没有"))</f>
        <v/>
      </c>
      <c r="B289" s="45" t="str">
        <f aca="false">IF($D289="","",IFERROR(MID($D289,FIND(".",$D289)+1,FIND(".",$D289,FIND(".",$D289)+1)-FIND(".",$D289)-1)&amp;"月",""))</f>
        <v/>
      </c>
      <c r="C289" s="46"/>
      <c r="D289" s="47"/>
      <c r="E289" s="47"/>
      <c r="F289" s="49"/>
      <c r="G289" s="50"/>
      <c r="H289" s="24"/>
      <c r="I289" s="24" t="str">
        <f aca="false">IF($H289="","",N($H289)*N($G289))</f>
        <v/>
      </c>
      <c r="J289" s="25" t="str">
        <f aca="false">IF($H289="","",N($H289)-N($I289))</f>
        <v/>
      </c>
      <c r="K289" s="25"/>
      <c r="L289" s="25" t="str">
        <f aca="false">IF($A289="","",SUMIF($A$4:$A289,$A289,$J$4:$J289)-SUMIF($A$4:$A289,$A289,$K$4:$K289))</f>
        <v/>
      </c>
      <c r="M289" s="26" t="str">
        <f aca="false">IF($H289="","",N($H289))</f>
        <v/>
      </c>
      <c r="N289" s="26"/>
      <c r="O289" s="26"/>
      <c r="P289" s="26" t="str">
        <f aca="false">IF($A289="","",SUMIF($A$4:$A289,$A289,$M$4:$M289)-SUMIF($A$4:$A289,$A289,$N$4:$N289)-SUMIF($A$4:$A289,$A289,$O$4:$O289))</f>
        <v/>
      </c>
      <c r="Q289" s="27"/>
      <c r="R289" s="28"/>
      <c r="S289" s="28"/>
      <c r="T289" s="28" t="str">
        <f aca="false">IF($A289="","",SUMIF($A$4:$A289,$A289,$Q$4:$Q289)-SUMIF($A$4:$A289,$A289,$R$4:$R289)-SUMIF($A$4:$A289,$A289,$S$4:$S289))</f>
        <v/>
      </c>
      <c r="U289" s="28"/>
      <c r="V289" s="29" t="str">
        <f aca="false">IF(AND($C289="",COUNTA($D289:$H289,$K289,$N289:$O289,$Q289:$S289,$U289)=0),"",IF($C289="","⚠ 没填项目名称",IF($A289="⚠目录里没有","⚠ 项目名称在目录里找不到（先加到目录）",IF($A289="","⚠ 目录里这个项目没填简称",IF(ISTEXT($G289)+ISTEXT($H289)+ISTEXT($K289)+ISTEXT($N289)+ISTEXT($O289)+ISTEXT($Q289)+ISTEXT($R289)+ISTEXT($S289)&gt;0,"⚠ 金额列里有文字，算不进合计",IF(N($G289)&gt;=1,"⚠ 管理费点要填百分比，如 10%",IF(AND($D289&lt;&gt;"",$B289=""),"△ 摘要开头没写日期（如 2026.9.21），月份取不到",IF(AND(N($H289)&lt;&gt;0,COUNTIFS($A$4:$A$1003,$A289,$H$4:$H$1003,$H289,$D$4:$D$1003,LEFT($D289,9)&amp;"*")&gt;1),"△ 同一天同项目有一样的销售金额，看看是不是录重了","✓"))))))))</f>
        <v/>
      </c>
      <c r="W289" s="8" t="str">
        <f aca="false">IF($A289="","",$A289&amp;"#"&amp;COUNTIF($A$4:$A289,$A289))</f>
        <v/>
      </c>
    </row>
    <row r="290" customFormat="false" ht="16.5" hidden="false" customHeight="false" outlineLevel="0" collapsed="false">
      <c r="A290" s="44" t="str">
        <f aca="false">IF($C290="","",IFERROR(VLOOKUP($C290,目录!$B:$C,2,0)&amp;"","⚠目录里没有"))</f>
        <v/>
      </c>
      <c r="B290" s="45" t="str">
        <f aca="false">IF($D290="","",IFERROR(MID($D290,FIND(".",$D290)+1,FIND(".",$D290,FIND(".",$D290)+1)-FIND(".",$D290)-1)&amp;"月",""))</f>
        <v/>
      </c>
      <c r="C290" s="46"/>
      <c r="D290" s="47"/>
      <c r="E290" s="47"/>
      <c r="F290" s="49"/>
      <c r="G290" s="50"/>
      <c r="H290" s="24"/>
      <c r="I290" s="24" t="str">
        <f aca="false">IF($H290="","",N($H290)*N($G290))</f>
        <v/>
      </c>
      <c r="J290" s="25" t="str">
        <f aca="false">IF($H290="","",N($H290)-N($I290))</f>
        <v/>
      </c>
      <c r="K290" s="25"/>
      <c r="L290" s="25" t="str">
        <f aca="false">IF($A290="","",SUMIF($A$4:$A290,$A290,$J$4:$J290)-SUMIF($A$4:$A290,$A290,$K$4:$K290))</f>
        <v/>
      </c>
      <c r="M290" s="26" t="str">
        <f aca="false">IF($H290="","",N($H290))</f>
        <v/>
      </c>
      <c r="N290" s="26"/>
      <c r="O290" s="26"/>
      <c r="P290" s="26" t="str">
        <f aca="false">IF($A290="","",SUMIF($A$4:$A290,$A290,$M$4:$M290)-SUMIF($A$4:$A290,$A290,$N$4:$N290)-SUMIF($A$4:$A290,$A290,$O$4:$O290))</f>
        <v/>
      </c>
      <c r="Q290" s="27"/>
      <c r="R290" s="28"/>
      <c r="S290" s="28"/>
      <c r="T290" s="28" t="str">
        <f aca="false">IF($A290="","",SUMIF($A$4:$A290,$A290,$Q$4:$Q290)-SUMIF($A$4:$A290,$A290,$R$4:$R290)-SUMIF($A$4:$A290,$A290,$S$4:$S290))</f>
        <v/>
      </c>
      <c r="U290" s="28"/>
      <c r="V290" s="29" t="str">
        <f aca="false">IF(AND($C290="",COUNTA($D290:$H290,$K290,$N290:$O290,$Q290:$S290,$U290)=0),"",IF($C290="","⚠ 没填项目名称",IF($A290="⚠目录里没有","⚠ 项目名称在目录里找不到（先加到目录）",IF($A290="","⚠ 目录里这个项目没填简称",IF(ISTEXT($G290)+ISTEXT($H290)+ISTEXT($K290)+ISTEXT($N290)+ISTEXT($O290)+ISTEXT($Q290)+ISTEXT($R290)+ISTEXT($S290)&gt;0,"⚠ 金额列里有文字，算不进合计",IF(N($G290)&gt;=1,"⚠ 管理费点要填百分比，如 10%",IF(AND($D290&lt;&gt;"",$B290=""),"△ 摘要开头没写日期（如 2026.9.21），月份取不到",IF(AND(N($H290)&lt;&gt;0,COUNTIFS($A$4:$A$1003,$A290,$H$4:$H$1003,$H290,$D$4:$D$1003,LEFT($D290,9)&amp;"*")&gt;1),"△ 同一天同项目有一样的销售金额，看看是不是录重了","✓"))))))))</f>
        <v/>
      </c>
      <c r="W290" s="8" t="str">
        <f aca="false">IF($A290="","",$A290&amp;"#"&amp;COUNTIF($A$4:$A290,$A290))</f>
        <v/>
      </c>
    </row>
    <row r="291" customFormat="false" ht="16.5" hidden="false" customHeight="false" outlineLevel="0" collapsed="false">
      <c r="A291" s="44" t="str">
        <f aca="false">IF($C291="","",IFERROR(VLOOKUP($C291,目录!$B:$C,2,0)&amp;"","⚠目录里没有"))</f>
        <v/>
      </c>
      <c r="B291" s="45" t="str">
        <f aca="false">IF($D291="","",IFERROR(MID($D291,FIND(".",$D291)+1,FIND(".",$D291,FIND(".",$D291)+1)-FIND(".",$D291)-1)&amp;"月",""))</f>
        <v/>
      </c>
      <c r="C291" s="46"/>
      <c r="D291" s="47"/>
      <c r="E291" s="47"/>
      <c r="F291" s="49"/>
      <c r="G291" s="50"/>
      <c r="H291" s="24"/>
      <c r="I291" s="24" t="str">
        <f aca="false">IF($H291="","",N($H291)*N($G291))</f>
        <v/>
      </c>
      <c r="J291" s="25" t="str">
        <f aca="false">IF($H291="","",N($H291)-N($I291))</f>
        <v/>
      </c>
      <c r="K291" s="25"/>
      <c r="L291" s="25" t="str">
        <f aca="false">IF($A291="","",SUMIF($A$4:$A291,$A291,$J$4:$J291)-SUMIF($A$4:$A291,$A291,$K$4:$K291))</f>
        <v/>
      </c>
      <c r="M291" s="26" t="str">
        <f aca="false">IF($H291="","",N($H291))</f>
        <v/>
      </c>
      <c r="N291" s="26"/>
      <c r="O291" s="26"/>
      <c r="P291" s="26" t="str">
        <f aca="false">IF($A291="","",SUMIF($A$4:$A291,$A291,$M$4:$M291)-SUMIF($A$4:$A291,$A291,$N$4:$N291)-SUMIF($A$4:$A291,$A291,$O$4:$O291))</f>
        <v/>
      </c>
      <c r="Q291" s="27"/>
      <c r="R291" s="28"/>
      <c r="S291" s="28"/>
      <c r="T291" s="28" t="str">
        <f aca="false">IF($A291="","",SUMIF($A$4:$A291,$A291,$Q$4:$Q291)-SUMIF($A$4:$A291,$A291,$R$4:$R291)-SUMIF($A$4:$A291,$A291,$S$4:$S291))</f>
        <v/>
      </c>
      <c r="U291" s="28"/>
      <c r="V291" s="29" t="str">
        <f aca="false">IF(AND($C291="",COUNTA($D291:$H291,$K291,$N291:$O291,$Q291:$S291,$U291)=0),"",IF($C291="","⚠ 没填项目名称",IF($A291="⚠目录里没有","⚠ 项目名称在目录里找不到（先加到目录）",IF($A291="","⚠ 目录里这个项目没填简称",IF(ISTEXT($G291)+ISTEXT($H291)+ISTEXT($K291)+ISTEXT($N291)+ISTEXT($O291)+ISTEXT($Q291)+ISTEXT($R291)+ISTEXT($S291)&gt;0,"⚠ 金额列里有文字，算不进合计",IF(N($G291)&gt;=1,"⚠ 管理费点要填百分比，如 10%",IF(AND($D291&lt;&gt;"",$B291=""),"△ 摘要开头没写日期（如 2026.9.21），月份取不到",IF(AND(N($H291)&lt;&gt;0,COUNTIFS($A$4:$A$1003,$A291,$H$4:$H$1003,$H291,$D$4:$D$1003,LEFT($D291,9)&amp;"*")&gt;1),"△ 同一天同项目有一样的销售金额，看看是不是录重了","✓"))))))))</f>
        <v/>
      </c>
      <c r="W291" s="8" t="str">
        <f aca="false">IF($A291="","",$A291&amp;"#"&amp;COUNTIF($A$4:$A291,$A291))</f>
        <v/>
      </c>
    </row>
    <row r="292" customFormat="false" ht="16.5" hidden="false" customHeight="false" outlineLevel="0" collapsed="false">
      <c r="A292" s="44" t="str">
        <f aca="false">IF($C292="","",IFERROR(VLOOKUP($C292,目录!$B:$C,2,0)&amp;"","⚠目录里没有"))</f>
        <v/>
      </c>
      <c r="B292" s="45" t="str">
        <f aca="false">IF($D292="","",IFERROR(MID($D292,FIND(".",$D292)+1,FIND(".",$D292,FIND(".",$D292)+1)-FIND(".",$D292)-1)&amp;"月",""))</f>
        <v/>
      </c>
      <c r="C292" s="46"/>
      <c r="D292" s="47"/>
      <c r="E292" s="47"/>
      <c r="F292" s="49"/>
      <c r="G292" s="50"/>
      <c r="H292" s="24"/>
      <c r="I292" s="24" t="str">
        <f aca="false">IF($H292="","",N($H292)*N($G292))</f>
        <v/>
      </c>
      <c r="J292" s="25" t="str">
        <f aca="false">IF($H292="","",N($H292)-N($I292))</f>
        <v/>
      </c>
      <c r="K292" s="25"/>
      <c r="L292" s="25" t="str">
        <f aca="false">IF($A292="","",SUMIF($A$4:$A292,$A292,$J$4:$J292)-SUMIF($A$4:$A292,$A292,$K$4:$K292))</f>
        <v/>
      </c>
      <c r="M292" s="26" t="str">
        <f aca="false">IF($H292="","",N($H292))</f>
        <v/>
      </c>
      <c r="N292" s="26"/>
      <c r="O292" s="26"/>
      <c r="P292" s="26" t="str">
        <f aca="false">IF($A292="","",SUMIF($A$4:$A292,$A292,$M$4:$M292)-SUMIF($A$4:$A292,$A292,$N$4:$N292)-SUMIF($A$4:$A292,$A292,$O$4:$O292))</f>
        <v/>
      </c>
      <c r="Q292" s="27"/>
      <c r="R292" s="28"/>
      <c r="S292" s="28"/>
      <c r="T292" s="28" t="str">
        <f aca="false">IF($A292="","",SUMIF($A$4:$A292,$A292,$Q$4:$Q292)-SUMIF($A$4:$A292,$A292,$R$4:$R292)-SUMIF($A$4:$A292,$A292,$S$4:$S292))</f>
        <v/>
      </c>
      <c r="U292" s="28"/>
      <c r="V292" s="29" t="str">
        <f aca="false">IF(AND($C292="",COUNTA($D292:$H292,$K292,$N292:$O292,$Q292:$S292,$U292)=0),"",IF($C292="","⚠ 没填项目名称",IF($A292="⚠目录里没有","⚠ 项目名称在目录里找不到（先加到目录）",IF($A292="","⚠ 目录里这个项目没填简称",IF(ISTEXT($G292)+ISTEXT($H292)+ISTEXT($K292)+ISTEXT($N292)+ISTEXT($O292)+ISTEXT($Q292)+ISTEXT($R292)+ISTEXT($S292)&gt;0,"⚠ 金额列里有文字，算不进合计",IF(N($G292)&gt;=1,"⚠ 管理费点要填百分比，如 10%",IF(AND($D292&lt;&gt;"",$B292=""),"△ 摘要开头没写日期（如 2026.9.21），月份取不到",IF(AND(N($H292)&lt;&gt;0,COUNTIFS($A$4:$A$1003,$A292,$H$4:$H$1003,$H292,$D$4:$D$1003,LEFT($D292,9)&amp;"*")&gt;1),"△ 同一天同项目有一样的销售金额，看看是不是录重了","✓"))))))))</f>
        <v/>
      </c>
      <c r="W292" s="8" t="str">
        <f aca="false">IF($A292="","",$A292&amp;"#"&amp;COUNTIF($A$4:$A292,$A292))</f>
        <v/>
      </c>
    </row>
    <row r="293" customFormat="false" ht="16.5" hidden="false" customHeight="false" outlineLevel="0" collapsed="false">
      <c r="A293" s="44" t="str">
        <f aca="false">IF($C293="","",IFERROR(VLOOKUP($C293,目录!$B:$C,2,0)&amp;"","⚠目录里没有"))</f>
        <v/>
      </c>
      <c r="B293" s="45" t="str">
        <f aca="false">IF($D293="","",IFERROR(MID($D293,FIND(".",$D293)+1,FIND(".",$D293,FIND(".",$D293)+1)-FIND(".",$D293)-1)&amp;"月",""))</f>
        <v/>
      </c>
      <c r="C293" s="46"/>
      <c r="D293" s="47"/>
      <c r="E293" s="47"/>
      <c r="F293" s="49"/>
      <c r="G293" s="50"/>
      <c r="H293" s="24"/>
      <c r="I293" s="24" t="str">
        <f aca="false">IF($H293="","",N($H293)*N($G293))</f>
        <v/>
      </c>
      <c r="J293" s="25" t="str">
        <f aca="false">IF($H293="","",N($H293)-N($I293))</f>
        <v/>
      </c>
      <c r="K293" s="25"/>
      <c r="L293" s="25" t="str">
        <f aca="false">IF($A293="","",SUMIF($A$4:$A293,$A293,$J$4:$J293)-SUMIF($A$4:$A293,$A293,$K$4:$K293))</f>
        <v/>
      </c>
      <c r="M293" s="26" t="str">
        <f aca="false">IF($H293="","",N($H293))</f>
        <v/>
      </c>
      <c r="N293" s="26"/>
      <c r="O293" s="26"/>
      <c r="P293" s="26" t="str">
        <f aca="false">IF($A293="","",SUMIF($A$4:$A293,$A293,$M$4:$M293)-SUMIF($A$4:$A293,$A293,$N$4:$N293)-SUMIF($A$4:$A293,$A293,$O$4:$O293))</f>
        <v/>
      </c>
      <c r="Q293" s="27"/>
      <c r="R293" s="28"/>
      <c r="S293" s="28"/>
      <c r="T293" s="28" t="str">
        <f aca="false">IF($A293="","",SUMIF($A$4:$A293,$A293,$Q$4:$Q293)-SUMIF($A$4:$A293,$A293,$R$4:$R293)-SUMIF($A$4:$A293,$A293,$S$4:$S293))</f>
        <v/>
      </c>
      <c r="U293" s="28"/>
      <c r="V293" s="29" t="str">
        <f aca="false">IF(AND($C293="",COUNTA($D293:$H293,$K293,$N293:$O293,$Q293:$S293,$U293)=0),"",IF($C293="","⚠ 没填项目名称",IF($A293="⚠目录里没有","⚠ 项目名称在目录里找不到（先加到目录）",IF($A293="","⚠ 目录里这个项目没填简称",IF(ISTEXT($G293)+ISTEXT($H293)+ISTEXT($K293)+ISTEXT($N293)+ISTEXT($O293)+ISTEXT($Q293)+ISTEXT($R293)+ISTEXT($S293)&gt;0,"⚠ 金额列里有文字，算不进合计",IF(N($G293)&gt;=1,"⚠ 管理费点要填百分比，如 10%",IF(AND($D293&lt;&gt;"",$B293=""),"△ 摘要开头没写日期（如 2026.9.21），月份取不到",IF(AND(N($H293)&lt;&gt;0,COUNTIFS($A$4:$A$1003,$A293,$H$4:$H$1003,$H293,$D$4:$D$1003,LEFT($D293,9)&amp;"*")&gt;1),"△ 同一天同项目有一样的销售金额，看看是不是录重了","✓"))))))))</f>
        <v/>
      </c>
      <c r="W293" s="8" t="str">
        <f aca="false">IF($A293="","",$A293&amp;"#"&amp;COUNTIF($A$4:$A293,$A293))</f>
        <v/>
      </c>
    </row>
    <row r="294" customFormat="false" ht="16.5" hidden="false" customHeight="false" outlineLevel="0" collapsed="false">
      <c r="A294" s="44" t="str">
        <f aca="false">IF($C294="","",IFERROR(VLOOKUP($C294,目录!$B:$C,2,0)&amp;"","⚠目录里没有"))</f>
        <v/>
      </c>
      <c r="B294" s="45" t="str">
        <f aca="false">IF($D294="","",IFERROR(MID($D294,FIND(".",$D294)+1,FIND(".",$D294,FIND(".",$D294)+1)-FIND(".",$D294)-1)&amp;"月",""))</f>
        <v/>
      </c>
      <c r="C294" s="46"/>
      <c r="D294" s="47"/>
      <c r="E294" s="47"/>
      <c r="F294" s="49"/>
      <c r="G294" s="50"/>
      <c r="H294" s="24"/>
      <c r="I294" s="24" t="str">
        <f aca="false">IF($H294="","",N($H294)*N($G294))</f>
        <v/>
      </c>
      <c r="J294" s="25" t="str">
        <f aca="false">IF($H294="","",N($H294)-N($I294))</f>
        <v/>
      </c>
      <c r="K294" s="25"/>
      <c r="L294" s="25" t="str">
        <f aca="false">IF($A294="","",SUMIF($A$4:$A294,$A294,$J$4:$J294)-SUMIF($A$4:$A294,$A294,$K$4:$K294))</f>
        <v/>
      </c>
      <c r="M294" s="26" t="str">
        <f aca="false">IF($H294="","",N($H294))</f>
        <v/>
      </c>
      <c r="N294" s="26"/>
      <c r="O294" s="26"/>
      <c r="P294" s="26" t="str">
        <f aca="false">IF($A294="","",SUMIF($A$4:$A294,$A294,$M$4:$M294)-SUMIF($A$4:$A294,$A294,$N$4:$N294)-SUMIF($A$4:$A294,$A294,$O$4:$O294))</f>
        <v/>
      </c>
      <c r="Q294" s="27"/>
      <c r="R294" s="28"/>
      <c r="S294" s="28"/>
      <c r="T294" s="28" t="str">
        <f aca="false">IF($A294="","",SUMIF($A$4:$A294,$A294,$Q$4:$Q294)-SUMIF($A$4:$A294,$A294,$R$4:$R294)-SUMIF($A$4:$A294,$A294,$S$4:$S294))</f>
        <v/>
      </c>
      <c r="U294" s="28"/>
      <c r="V294" s="29" t="str">
        <f aca="false">IF(AND($C294="",COUNTA($D294:$H294,$K294,$N294:$O294,$Q294:$S294,$U294)=0),"",IF($C294="","⚠ 没填项目名称",IF($A294="⚠目录里没有","⚠ 项目名称在目录里找不到（先加到目录）",IF($A294="","⚠ 目录里这个项目没填简称",IF(ISTEXT($G294)+ISTEXT($H294)+ISTEXT($K294)+ISTEXT($N294)+ISTEXT($O294)+ISTEXT($Q294)+ISTEXT($R294)+ISTEXT($S294)&gt;0,"⚠ 金额列里有文字，算不进合计",IF(N($G294)&gt;=1,"⚠ 管理费点要填百分比，如 10%",IF(AND($D294&lt;&gt;"",$B294=""),"△ 摘要开头没写日期（如 2026.9.21），月份取不到",IF(AND(N($H294)&lt;&gt;0,COUNTIFS($A$4:$A$1003,$A294,$H$4:$H$1003,$H294,$D$4:$D$1003,LEFT($D294,9)&amp;"*")&gt;1),"△ 同一天同项目有一样的销售金额，看看是不是录重了","✓"))))))))</f>
        <v/>
      </c>
      <c r="W294" s="8" t="str">
        <f aca="false">IF($A294="","",$A294&amp;"#"&amp;COUNTIF($A$4:$A294,$A294))</f>
        <v/>
      </c>
    </row>
    <row r="295" customFormat="false" ht="16.5" hidden="false" customHeight="false" outlineLevel="0" collapsed="false">
      <c r="A295" s="44" t="str">
        <f aca="false">IF($C295="","",IFERROR(VLOOKUP($C295,目录!$B:$C,2,0)&amp;"","⚠目录里没有"))</f>
        <v/>
      </c>
      <c r="B295" s="45" t="str">
        <f aca="false">IF($D295="","",IFERROR(MID($D295,FIND(".",$D295)+1,FIND(".",$D295,FIND(".",$D295)+1)-FIND(".",$D295)-1)&amp;"月",""))</f>
        <v/>
      </c>
      <c r="C295" s="46"/>
      <c r="D295" s="47"/>
      <c r="E295" s="47"/>
      <c r="F295" s="49"/>
      <c r="G295" s="50"/>
      <c r="H295" s="24"/>
      <c r="I295" s="24" t="str">
        <f aca="false">IF($H295="","",N($H295)*N($G295))</f>
        <v/>
      </c>
      <c r="J295" s="25" t="str">
        <f aca="false">IF($H295="","",N($H295)-N($I295))</f>
        <v/>
      </c>
      <c r="K295" s="25"/>
      <c r="L295" s="25" t="str">
        <f aca="false">IF($A295="","",SUMIF($A$4:$A295,$A295,$J$4:$J295)-SUMIF($A$4:$A295,$A295,$K$4:$K295))</f>
        <v/>
      </c>
      <c r="M295" s="26" t="str">
        <f aca="false">IF($H295="","",N($H295))</f>
        <v/>
      </c>
      <c r="N295" s="26"/>
      <c r="O295" s="26"/>
      <c r="P295" s="26" t="str">
        <f aca="false">IF($A295="","",SUMIF($A$4:$A295,$A295,$M$4:$M295)-SUMIF($A$4:$A295,$A295,$N$4:$N295)-SUMIF($A$4:$A295,$A295,$O$4:$O295))</f>
        <v/>
      </c>
      <c r="Q295" s="27"/>
      <c r="R295" s="28"/>
      <c r="S295" s="28"/>
      <c r="T295" s="28" t="str">
        <f aca="false">IF($A295="","",SUMIF($A$4:$A295,$A295,$Q$4:$Q295)-SUMIF($A$4:$A295,$A295,$R$4:$R295)-SUMIF($A$4:$A295,$A295,$S$4:$S295))</f>
        <v/>
      </c>
      <c r="U295" s="28"/>
      <c r="V295" s="29" t="str">
        <f aca="false">IF(AND($C295="",COUNTA($D295:$H295,$K295,$N295:$O295,$Q295:$S295,$U295)=0),"",IF($C295="","⚠ 没填项目名称",IF($A295="⚠目录里没有","⚠ 项目名称在目录里找不到（先加到目录）",IF($A295="","⚠ 目录里这个项目没填简称",IF(ISTEXT($G295)+ISTEXT($H295)+ISTEXT($K295)+ISTEXT($N295)+ISTEXT($O295)+ISTEXT($Q295)+ISTEXT($R295)+ISTEXT($S295)&gt;0,"⚠ 金额列里有文字，算不进合计",IF(N($G295)&gt;=1,"⚠ 管理费点要填百分比，如 10%",IF(AND($D295&lt;&gt;"",$B295=""),"△ 摘要开头没写日期（如 2026.9.21），月份取不到",IF(AND(N($H295)&lt;&gt;0,COUNTIFS($A$4:$A$1003,$A295,$H$4:$H$1003,$H295,$D$4:$D$1003,LEFT($D295,9)&amp;"*")&gt;1),"△ 同一天同项目有一样的销售金额，看看是不是录重了","✓"))))))))</f>
        <v/>
      </c>
      <c r="W295" s="8" t="str">
        <f aca="false">IF($A295="","",$A295&amp;"#"&amp;COUNTIF($A$4:$A295,$A295))</f>
        <v/>
      </c>
    </row>
    <row r="296" customFormat="false" ht="16.5" hidden="false" customHeight="false" outlineLevel="0" collapsed="false">
      <c r="A296" s="44" t="str">
        <f aca="false">IF($C296="","",IFERROR(VLOOKUP($C296,目录!$B:$C,2,0)&amp;"","⚠目录里没有"))</f>
        <v/>
      </c>
      <c r="B296" s="45" t="str">
        <f aca="false">IF($D296="","",IFERROR(MID($D296,FIND(".",$D296)+1,FIND(".",$D296,FIND(".",$D296)+1)-FIND(".",$D296)-1)&amp;"月",""))</f>
        <v/>
      </c>
      <c r="C296" s="46"/>
      <c r="D296" s="47"/>
      <c r="E296" s="47"/>
      <c r="F296" s="49"/>
      <c r="G296" s="50"/>
      <c r="H296" s="24"/>
      <c r="I296" s="24" t="str">
        <f aca="false">IF($H296="","",N($H296)*N($G296))</f>
        <v/>
      </c>
      <c r="J296" s="25" t="str">
        <f aca="false">IF($H296="","",N($H296)-N($I296))</f>
        <v/>
      </c>
      <c r="K296" s="25"/>
      <c r="L296" s="25" t="str">
        <f aca="false">IF($A296="","",SUMIF($A$4:$A296,$A296,$J$4:$J296)-SUMIF($A$4:$A296,$A296,$K$4:$K296))</f>
        <v/>
      </c>
      <c r="M296" s="26" t="str">
        <f aca="false">IF($H296="","",N($H296))</f>
        <v/>
      </c>
      <c r="N296" s="26"/>
      <c r="O296" s="26"/>
      <c r="P296" s="26" t="str">
        <f aca="false">IF($A296="","",SUMIF($A$4:$A296,$A296,$M$4:$M296)-SUMIF($A$4:$A296,$A296,$N$4:$N296)-SUMIF($A$4:$A296,$A296,$O$4:$O296))</f>
        <v/>
      </c>
      <c r="Q296" s="27"/>
      <c r="R296" s="28"/>
      <c r="S296" s="28"/>
      <c r="T296" s="28" t="str">
        <f aca="false">IF($A296="","",SUMIF($A$4:$A296,$A296,$Q$4:$Q296)-SUMIF($A$4:$A296,$A296,$R$4:$R296)-SUMIF($A$4:$A296,$A296,$S$4:$S296))</f>
        <v/>
      </c>
      <c r="U296" s="28"/>
      <c r="V296" s="29" t="str">
        <f aca="false">IF(AND($C296="",COUNTA($D296:$H296,$K296,$N296:$O296,$Q296:$S296,$U296)=0),"",IF($C296="","⚠ 没填项目名称",IF($A296="⚠目录里没有","⚠ 项目名称在目录里找不到（先加到目录）",IF($A296="","⚠ 目录里这个项目没填简称",IF(ISTEXT($G296)+ISTEXT($H296)+ISTEXT($K296)+ISTEXT($N296)+ISTEXT($O296)+ISTEXT($Q296)+ISTEXT($R296)+ISTEXT($S296)&gt;0,"⚠ 金额列里有文字，算不进合计",IF(N($G296)&gt;=1,"⚠ 管理费点要填百分比，如 10%",IF(AND($D296&lt;&gt;"",$B296=""),"△ 摘要开头没写日期（如 2026.9.21），月份取不到",IF(AND(N($H296)&lt;&gt;0,COUNTIFS($A$4:$A$1003,$A296,$H$4:$H$1003,$H296,$D$4:$D$1003,LEFT($D296,9)&amp;"*")&gt;1),"△ 同一天同项目有一样的销售金额，看看是不是录重了","✓"))))))))</f>
        <v/>
      </c>
      <c r="W296" s="8" t="str">
        <f aca="false">IF($A296="","",$A296&amp;"#"&amp;COUNTIF($A$4:$A296,$A296))</f>
        <v/>
      </c>
    </row>
    <row r="297" customFormat="false" ht="16.5" hidden="false" customHeight="false" outlineLevel="0" collapsed="false">
      <c r="A297" s="44" t="str">
        <f aca="false">IF($C297="","",IFERROR(VLOOKUP($C297,目录!$B:$C,2,0)&amp;"","⚠目录里没有"))</f>
        <v/>
      </c>
      <c r="B297" s="45" t="str">
        <f aca="false">IF($D297="","",IFERROR(MID($D297,FIND(".",$D297)+1,FIND(".",$D297,FIND(".",$D297)+1)-FIND(".",$D297)-1)&amp;"月",""))</f>
        <v/>
      </c>
      <c r="C297" s="46"/>
      <c r="D297" s="47"/>
      <c r="E297" s="47"/>
      <c r="F297" s="49"/>
      <c r="G297" s="50"/>
      <c r="H297" s="24"/>
      <c r="I297" s="24" t="str">
        <f aca="false">IF($H297="","",N($H297)*N($G297))</f>
        <v/>
      </c>
      <c r="J297" s="25" t="str">
        <f aca="false">IF($H297="","",N($H297)-N($I297))</f>
        <v/>
      </c>
      <c r="K297" s="25"/>
      <c r="L297" s="25" t="str">
        <f aca="false">IF($A297="","",SUMIF($A$4:$A297,$A297,$J$4:$J297)-SUMIF($A$4:$A297,$A297,$K$4:$K297))</f>
        <v/>
      </c>
      <c r="M297" s="26" t="str">
        <f aca="false">IF($H297="","",N($H297))</f>
        <v/>
      </c>
      <c r="N297" s="26"/>
      <c r="O297" s="26"/>
      <c r="P297" s="26" t="str">
        <f aca="false">IF($A297="","",SUMIF($A$4:$A297,$A297,$M$4:$M297)-SUMIF($A$4:$A297,$A297,$N$4:$N297)-SUMIF($A$4:$A297,$A297,$O$4:$O297))</f>
        <v/>
      </c>
      <c r="Q297" s="27"/>
      <c r="R297" s="28"/>
      <c r="S297" s="28"/>
      <c r="T297" s="28" t="str">
        <f aca="false">IF($A297="","",SUMIF($A$4:$A297,$A297,$Q$4:$Q297)-SUMIF($A$4:$A297,$A297,$R$4:$R297)-SUMIF($A$4:$A297,$A297,$S$4:$S297))</f>
        <v/>
      </c>
      <c r="U297" s="28"/>
      <c r="V297" s="29" t="str">
        <f aca="false">IF(AND($C297="",COUNTA($D297:$H297,$K297,$N297:$O297,$Q297:$S297,$U297)=0),"",IF($C297="","⚠ 没填项目名称",IF($A297="⚠目录里没有","⚠ 项目名称在目录里找不到（先加到目录）",IF($A297="","⚠ 目录里这个项目没填简称",IF(ISTEXT($G297)+ISTEXT($H297)+ISTEXT($K297)+ISTEXT($N297)+ISTEXT($O297)+ISTEXT($Q297)+ISTEXT($R297)+ISTEXT($S297)&gt;0,"⚠ 金额列里有文字，算不进合计",IF(N($G297)&gt;=1,"⚠ 管理费点要填百分比，如 10%",IF(AND($D297&lt;&gt;"",$B297=""),"△ 摘要开头没写日期（如 2026.9.21），月份取不到",IF(AND(N($H297)&lt;&gt;0,COUNTIFS($A$4:$A$1003,$A297,$H$4:$H$1003,$H297,$D$4:$D$1003,LEFT($D297,9)&amp;"*")&gt;1),"△ 同一天同项目有一样的销售金额，看看是不是录重了","✓"))))))))</f>
        <v/>
      </c>
      <c r="W297" s="8" t="str">
        <f aca="false">IF($A297="","",$A297&amp;"#"&amp;COUNTIF($A$4:$A297,$A297))</f>
        <v/>
      </c>
    </row>
    <row r="298" customFormat="false" ht="16.5" hidden="false" customHeight="false" outlineLevel="0" collapsed="false">
      <c r="A298" s="44" t="str">
        <f aca="false">IF($C298="","",IFERROR(VLOOKUP($C298,目录!$B:$C,2,0)&amp;"","⚠目录里没有"))</f>
        <v/>
      </c>
      <c r="B298" s="45" t="str">
        <f aca="false">IF($D298="","",IFERROR(MID($D298,FIND(".",$D298)+1,FIND(".",$D298,FIND(".",$D298)+1)-FIND(".",$D298)-1)&amp;"月",""))</f>
        <v/>
      </c>
      <c r="C298" s="46"/>
      <c r="D298" s="47"/>
      <c r="E298" s="47"/>
      <c r="F298" s="49"/>
      <c r="G298" s="50"/>
      <c r="H298" s="24"/>
      <c r="I298" s="24" t="str">
        <f aca="false">IF($H298="","",N($H298)*N($G298))</f>
        <v/>
      </c>
      <c r="J298" s="25" t="str">
        <f aca="false">IF($H298="","",N($H298)-N($I298))</f>
        <v/>
      </c>
      <c r="K298" s="25"/>
      <c r="L298" s="25" t="str">
        <f aca="false">IF($A298="","",SUMIF($A$4:$A298,$A298,$J$4:$J298)-SUMIF($A$4:$A298,$A298,$K$4:$K298))</f>
        <v/>
      </c>
      <c r="M298" s="26" t="str">
        <f aca="false">IF($H298="","",N($H298))</f>
        <v/>
      </c>
      <c r="N298" s="26"/>
      <c r="O298" s="26"/>
      <c r="P298" s="26" t="str">
        <f aca="false">IF($A298="","",SUMIF($A$4:$A298,$A298,$M$4:$M298)-SUMIF($A$4:$A298,$A298,$N$4:$N298)-SUMIF($A$4:$A298,$A298,$O$4:$O298))</f>
        <v/>
      </c>
      <c r="Q298" s="27"/>
      <c r="R298" s="28"/>
      <c r="S298" s="28"/>
      <c r="T298" s="28" t="str">
        <f aca="false">IF($A298="","",SUMIF($A$4:$A298,$A298,$Q$4:$Q298)-SUMIF($A$4:$A298,$A298,$R$4:$R298)-SUMIF($A$4:$A298,$A298,$S$4:$S298))</f>
        <v/>
      </c>
      <c r="U298" s="28"/>
      <c r="V298" s="29" t="str">
        <f aca="false">IF(AND($C298="",COUNTA($D298:$H298,$K298,$N298:$O298,$Q298:$S298,$U298)=0),"",IF($C298="","⚠ 没填项目名称",IF($A298="⚠目录里没有","⚠ 项目名称在目录里找不到（先加到目录）",IF($A298="","⚠ 目录里这个项目没填简称",IF(ISTEXT($G298)+ISTEXT($H298)+ISTEXT($K298)+ISTEXT($N298)+ISTEXT($O298)+ISTEXT($Q298)+ISTEXT($R298)+ISTEXT($S298)&gt;0,"⚠ 金额列里有文字，算不进合计",IF(N($G298)&gt;=1,"⚠ 管理费点要填百分比，如 10%",IF(AND($D298&lt;&gt;"",$B298=""),"△ 摘要开头没写日期（如 2026.9.21），月份取不到",IF(AND(N($H298)&lt;&gt;0,COUNTIFS($A$4:$A$1003,$A298,$H$4:$H$1003,$H298,$D$4:$D$1003,LEFT($D298,9)&amp;"*")&gt;1),"△ 同一天同项目有一样的销售金额，看看是不是录重了","✓"))))))))</f>
        <v/>
      </c>
      <c r="W298" s="8" t="str">
        <f aca="false">IF($A298="","",$A298&amp;"#"&amp;COUNTIF($A$4:$A298,$A298))</f>
        <v/>
      </c>
    </row>
    <row r="299" customFormat="false" ht="16.5" hidden="false" customHeight="false" outlineLevel="0" collapsed="false">
      <c r="A299" s="44" t="str">
        <f aca="false">IF($C299="","",IFERROR(VLOOKUP($C299,目录!$B:$C,2,0)&amp;"","⚠目录里没有"))</f>
        <v/>
      </c>
      <c r="B299" s="45" t="str">
        <f aca="false">IF($D299="","",IFERROR(MID($D299,FIND(".",$D299)+1,FIND(".",$D299,FIND(".",$D299)+1)-FIND(".",$D299)-1)&amp;"月",""))</f>
        <v/>
      </c>
      <c r="C299" s="46"/>
      <c r="D299" s="47"/>
      <c r="E299" s="47"/>
      <c r="F299" s="49"/>
      <c r="G299" s="50"/>
      <c r="H299" s="24"/>
      <c r="I299" s="24" t="str">
        <f aca="false">IF($H299="","",N($H299)*N($G299))</f>
        <v/>
      </c>
      <c r="J299" s="25" t="str">
        <f aca="false">IF($H299="","",N($H299)-N($I299))</f>
        <v/>
      </c>
      <c r="K299" s="25"/>
      <c r="L299" s="25" t="str">
        <f aca="false">IF($A299="","",SUMIF($A$4:$A299,$A299,$J$4:$J299)-SUMIF($A$4:$A299,$A299,$K$4:$K299))</f>
        <v/>
      </c>
      <c r="M299" s="26" t="str">
        <f aca="false">IF($H299="","",N($H299))</f>
        <v/>
      </c>
      <c r="N299" s="26"/>
      <c r="O299" s="26"/>
      <c r="P299" s="26" t="str">
        <f aca="false">IF($A299="","",SUMIF($A$4:$A299,$A299,$M$4:$M299)-SUMIF($A$4:$A299,$A299,$N$4:$N299)-SUMIF($A$4:$A299,$A299,$O$4:$O299))</f>
        <v/>
      </c>
      <c r="Q299" s="27"/>
      <c r="R299" s="28"/>
      <c r="S299" s="28"/>
      <c r="T299" s="28" t="str">
        <f aca="false">IF($A299="","",SUMIF($A$4:$A299,$A299,$Q$4:$Q299)-SUMIF($A$4:$A299,$A299,$R$4:$R299)-SUMIF($A$4:$A299,$A299,$S$4:$S299))</f>
        <v/>
      </c>
      <c r="U299" s="28"/>
      <c r="V299" s="29" t="str">
        <f aca="false">IF(AND($C299="",COUNTA($D299:$H299,$K299,$N299:$O299,$Q299:$S299,$U299)=0),"",IF($C299="","⚠ 没填项目名称",IF($A299="⚠目录里没有","⚠ 项目名称在目录里找不到（先加到目录）",IF($A299="","⚠ 目录里这个项目没填简称",IF(ISTEXT($G299)+ISTEXT($H299)+ISTEXT($K299)+ISTEXT($N299)+ISTEXT($O299)+ISTEXT($Q299)+ISTEXT($R299)+ISTEXT($S299)&gt;0,"⚠ 金额列里有文字，算不进合计",IF(N($G299)&gt;=1,"⚠ 管理费点要填百分比，如 10%",IF(AND($D299&lt;&gt;"",$B299=""),"△ 摘要开头没写日期（如 2026.9.21），月份取不到",IF(AND(N($H299)&lt;&gt;0,COUNTIFS($A$4:$A$1003,$A299,$H$4:$H$1003,$H299,$D$4:$D$1003,LEFT($D299,9)&amp;"*")&gt;1),"△ 同一天同项目有一样的销售金额，看看是不是录重了","✓"))))))))</f>
        <v/>
      </c>
      <c r="W299" s="8" t="str">
        <f aca="false">IF($A299="","",$A299&amp;"#"&amp;COUNTIF($A$4:$A299,$A299))</f>
        <v/>
      </c>
    </row>
    <row r="300" customFormat="false" ht="16.5" hidden="false" customHeight="false" outlineLevel="0" collapsed="false">
      <c r="A300" s="44" t="str">
        <f aca="false">IF($C300="","",IFERROR(VLOOKUP($C300,目录!$B:$C,2,0)&amp;"","⚠目录里没有"))</f>
        <v/>
      </c>
      <c r="B300" s="45" t="str">
        <f aca="false">IF($D300="","",IFERROR(MID($D300,FIND(".",$D300)+1,FIND(".",$D300,FIND(".",$D300)+1)-FIND(".",$D300)-1)&amp;"月",""))</f>
        <v/>
      </c>
      <c r="C300" s="46"/>
      <c r="D300" s="47"/>
      <c r="E300" s="47"/>
      <c r="F300" s="49"/>
      <c r="G300" s="50"/>
      <c r="H300" s="24"/>
      <c r="I300" s="24" t="str">
        <f aca="false">IF($H300="","",N($H300)*N($G300))</f>
        <v/>
      </c>
      <c r="J300" s="25" t="str">
        <f aca="false">IF($H300="","",N($H300)-N($I300))</f>
        <v/>
      </c>
      <c r="K300" s="25"/>
      <c r="L300" s="25" t="str">
        <f aca="false">IF($A300="","",SUMIF($A$4:$A300,$A300,$J$4:$J300)-SUMIF($A$4:$A300,$A300,$K$4:$K300))</f>
        <v/>
      </c>
      <c r="M300" s="26" t="str">
        <f aca="false">IF($H300="","",N($H300))</f>
        <v/>
      </c>
      <c r="N300" s="26"/>
      <c r="O300" s="26"/>
      <c r="P300" s="26" t="str">
        <f aca="false">IF($A300="","",SUMIF($A$4:$A300,$A300,$M$4:$M300)-SUMIF($A$4:$A300,$A300,$N$4:$N300)-SUMIF($A$4:$A300,$A300,$O$4:$O300))</f>
        <v/>
      </c>
      <c r="Q300" s="27"/>
      <c r="R300" s="28"/>
      <c r="S300" s="28"/>
      <c r="T300" s="28" t="str">
        <f aca="false">IF($A300="","",SUMIF($A$4:$A300,$A300,$Q$4:$Q300)-SUMIF($A$4:$A300,$A300,$R$4:$R300)-SUMIF($A$4:$A300,$A300,$S$4:$S300))</f>
        <v/>
      </c>
      <c r="U300" s="28"/>
      <c r="V300" s="29" t="str">
        <f aca="false">IF(AND($C300="",COUNTA($D300:$H300,$K300,$N300:$O300,$Q300:$S300,$U300)=0),"",IF($C300="","⚠ 没填项目名称",IF($A300="⚠目录里没有","⚠ 项目名称在目录里找不到（先加到目录）",IF($A300="","⚠ 目录里这个项目没填简称",IF(ISTEXT($G300)+ISTEXT($H300)+ISTEXT($K300)+ISTEXT($N300)+ISTEXT($O300)+ISTEXT($Q300)+ISTEXT($R300)+ISTEXT($S300)&gt;0,"⚠ 金额列里有文字，算不进合计",IF(N($G300)&gt;=1,"⚠ 管理费点要填百分比，如 10%",IF(AND($D300&lt;&gt;"",$B300=""),"△ 摘要开头没写日期（如 2026.9.21），月份取不到",IF(AND(N($H300)&lt;&gt;0,COUNTIFS($A$4:$A$1003,$A300,$H$4:$H$1003,$H300,$D$4:$D$1003,LEFT($D300,9)&amp;"*")&gt;1),"△ 同一天同项目有一样的销售金额，看看是不是录重了","✓"))))))))</f>
        <v/>
      </c>
      <c r="W300" s="8" t="str">
        <f aca="false">IF($A300="","",$A300&amp;"#"&amp;COUNTIF($A$4:$A300,$A300))</f>
        <v/>
      </c>
    </row>
    <row r="301" customFormat="false" ht="16.5" hidden="false" customHeight="false" outlineLevel="0" collapsed="false">
      <c r="A301" s="44" t="str">
        <f aca="false">IF($C301="","",IFERROR(VLOOKUP($C301,目录!$B:$C,2,0)&amp;"","⚠目录里没有"))</f>
        <v/>
      </c>
      <c r="B301" s="45" t="str">
        <f aca="false">IF($D301="","",IFERROR(MID($D301,FIND(".",$D301)+1,FIND(".",$D301,FIND(".",$D301)+1)-FIND(".",$D301)-1)&amp;"月",""))</f>
        <v/>
      </c>
      <c r="C301" s="46"/>
      <c r="D301" s="47"/>
      <c r="E301" s="47"/>
      <c r="F301" s="49"/>
      <c r="G301" s="50"/>
      <c r="H301" s="24"/>
      <c r="I301" s="24" t="str">
        <f aca="false">IF($H301="","",N($H301)*N($G301))</f>
        <v/>
      </c>
      <c r="J301" s="25" t="str">
        <f aca="false">IF($H301="","",N($H301)-N($I301))</f>
        <v/>
      </c>
      <c r="K301" s="25"/>
      <c r="L301" s="25" t="str">
        <f aca="false">IF($A301="","",SUMIF($A$4:$A301,$A301,$J$4:$J301)-SUMIF($A$4:$A301,$A301,$K$4:$K301))</f>
        <v/>
      </c>
      <c r="M301" s="26" t="str">
        <f aca="false">IF($H301="","",N($H301))</f>
        <v/>
      </c>
      <c r="N301" s="26"/>
      <c r="O301" s="26"/>
      <c r="P301" s="26" t="str">
        <f aca="false">IF($A301="","",SUMIF($A$4:$A301,$A301,$M$4:$M301)-SUMIF($A$4:$A301,$A301,$N$4:$N301)-SUMIF($A$4:$A301,$A301,$O$4:$O301))</f>
        <v/>
      </c>
      <c r="Q301" s="27"/>
      <c r="R301" s="28"/>
      <c r="S301" s="28"/>
      <c r="T301" s="28" t="str">
        <f aca="false">IF($A301="","",SUMIF($A$4:$A301,$A301,$Q$4:$Q301)-SUMIF($A$4:$A301,$A301,$R$4:$R301)-SUMIF($A$4:$A301,$A301,$S$4:$S301))</f>
        <v/>
      </c>
      <c r="U301" s="28"/>
      <c r="V301" s="29" t="str">
        <f aca="false">IF(AND($C301="",COUNTA($D301:$H301,$K301,$N301:$O301,$Q301:$S301,$U301)=0),"",IF($C301="","⚠ 没填项目名称",IF($A301="⚠目录里没有","⚠ 项目名称在目录里找不到（先加到目录）",IF($A301="","⚠ 目录里这个项目没填简称",IF(ISTEXT($G301)+ISTEXT($H301)+ISTEXT($K301)+ISTEXT($N301)+ISTEXT($O301)+ISTEXT($Q301)+ISTEXT($R301)+ISTEXT($S301)&gt;0,"⚠ 金额列里有文字，算不进合计",IF(N($G301)&gt;=1,"⚠ 管理费点要填百分比，如 10%",IF(AND($D301&lt;&gt;"",$B301=""),"△ 摘要开头没写日期（如 2026.9.21），月份取不到",IF(AND(N($H301)&lt;&gt;0,COUNTIFS($A$4:$A$1003,$A301,$H$4:$H$1003,$H301,$D$4:$D$1003,LEFT($D301,9)&amp;"*")&gt;1),"△ 同一天同项目有一样的销售金额，看看是不是录重了","✓"))))))))</f>
        <v/>
      </c>
      <c r="W301" s="8" t="str">
        <f aca="false">IF($A301="","",$A301&amp;"#"&amp;COUNTIF($A$4:$A301,$A301))</f>
        <v/>
      </c>
    </row>
    <row r="302" customFormat="false" ht="16.5" hidden="false" customHeight="false" outlineLevel="0" collapsed="false">
      <c r="A302" s="44" t="str">
        <f aca="false">IF($C302="","",IFERROR(VLOOKUP($C302,目录!$B:$C,2,0)&amp;"","⚠目录里没有"))</f>
        <v/>
      </c>
      <c r="B302" s="45" t="str">
        <f aca="false">IF($D302="","",IFERROR(MID($D302,FIND(".",$D302)+1,FIND(".",$D302,FIND(".",$D302)+1)-FIND(".",$D302)-1)&amp;"月",""))</f>
        <v/>
      </c>
      <c r="C302" s="46"/>
      <c r="D302" s="47"/>
      <c r="E302" s="47"/>
      <c r="F302" s="49"/>
      <c r="G302" s="50"/>
      <c r="H302" s="24"/>
      <c r="I302" s="24" t="str">
        <f aca="false">IF($H302="","",N($H302)*N($G302))</f>
        <v/>
      </c>
      <c r="J302" s="25" t="str">
        <f aca="false">IF($H302="","",N($H302)-N($I302))</f>
        <v/>
      </c>
      <c r="K302" s="25"/>
      <c r="L302" s="25" t="str">
        <f aca="false">IF($A302="","",SUMIF($A$4:$A302,$A302,$J$4:$J302)-SUMIF($A$4:$A302,$A302,$K$4:$K302))</f>
        <v/>
      </c>
      <c r="M302" s="26" t="str">
        <f aca="false">IF($H302="","",N($H302))</f>
        <v/>
      </c>
      <c r="N302" s="26"/>
      <c r="O302" s="26"/>
      <c r="P302" s="26" t="str">
        <f aca="false">IF($A302="","",SUMIF($A$4:$A302,$A302,$M$4:$M302)-SUMIF($A$4:$A302,$A302,$N$4:$N302)-SUMIF($A$4:$A302,$A302,$O$4:$O302))</f>
        <v/>
      </c>
      <c r="Q302" s="27"/>
      <c r="R302" s="28"/>
      <c r="S302" s="28"/>
      <c r="T302" s="28" t="str">
        <f aca="false">IF($A302="","",SUMIF($A$4:$A302,$A302,$Q$4:$Q302)-SUMIF($A$4:$A302,$A302,$R$4:$R302)-SUMIF($A$4:$A302,$A302,$S$4:$S302))</f>
        <v/>
      </c>
      <c r="U302" s="28"/>
      <c r="V302" s="29" t="str">
        <f aca="false">IF(AND($C302="",COUNTA($D302:$H302,$K302,$N302:$O302,$Q302:$S302,$U302)=0),"",IF($C302="","⚠ 没填项目名称",IF($A302="⚠目录里没有","⚠ 项目名称在目录里找不到（先加到目录）",IF($A302="","⚠ 目录里这个项目没填简称",IF(ISTEXT($G302)+ISTEXT($H302)+ISTEXT($K302)+ISTEXT($N302)+ISTEXT($O302)+ISTEXT($Q302)+ISTEXT($R302)+ISTEXT($S302)&gt;0,"⚠ 金额列里有文字，算不进合计",IF(N($G302)&gt;=1,"⚠ 管理费点要填百分比，如 10%",IF(AND($D302&lt;&gt;"",$B302=""),"△ 摘要开头没写日期（如 2026.9.21），月份取不到",IF(AND(N($H302)&lt;&gt;0,COUNTIFS($A$4:$A$1003,$A302,$H$4:$H$1003,$H302,$D$4:$D$1003,LEFT($D302,9)&amp;"*")&gt;1),"△ 同一天同项目有一样的销售金额，看看是不是录重了","✓"))))))))</f>
        <v/>
      </c>
      <c r="W302" s="8" t="str">
        <f aca="false">IF($A302="","",$A302&amp;"#"&amp;COUNTIF($A$4:$A302,$A302))</f>
        <v/>
      </c>
    </row>
    <row r="303" customFormat="false" ht="16.5" hidden="false" customHeight="false" outlineLevel="0" collapsed="false">
      <c r="A303" s="44" t="str">
        <f aca="false">IF($C303="","",IFERROR(VLOOKUP($C303,目录!$B:$C,2,0)&amp;"","⚠目录里没有"))</f>
        <v/>
      </c>
      <c r="B303" s="45" t="str">
        <f aca="false">IF($D303="","",IFERROR(MID($D303,FIND(".",$D303)+1,FIND(".",$D303,FIND(".",$D303)+1)-FIND(".",$D303)-1)&amp;"月",""))</f>
        <v/>
      </c>
      <c r="C303" s="46"/>
      <c r="D303" s="47"/>
      <c r="E303" s="47"/>
      <c r="F303" s="49"/>
      <c r="G303" s="50"/>
      <c r="H303" s="24"/>
      <c r="I303" s="24" t="str">
        <f aca="false">IF($H303="","",N($H303)*N($G303))</f>
        <v/>
      </c>
      <c r="J303" s="25" t="str">
        <f aca="false">IF($H303="","",N($H303)-N($I303))</f>
        <v/>
      </c>
      <c r="K303" s="25"/>
      <c r="L303" s="25" t="str">
        <f aca="false">IF($A303="","",SUMIF($A$4:$A303,$A303,$J$4:$J303)-SUMIF($A$4:$A303,$A303,$K$4:$K303))</f>
        <v/>
      </c>
      <c r="M303" s="26" t="str">
        <f aca="false">IF($H303="","",N($H303))</f>
        <v/>
      </c>
      <c r="N303" s="26"/>
      <c r="O303" s="26"/>
      <c r="P303" s="26" t="str">
        <f aca="false">IF($A303="","",SUMIF($A$4:$A303,$A303,$M$4:$M303)-SUMIF($A$4:$A303,$A303,$N$4:$N303)-SUMIF($A$4:$A303,$A303,$O$4:$O303))</f>
        <v/>
      </c>
      <c r="Q303" s="27"/>
      <c r="R303" s="28"/>
      <c r="S303" s="28"/>
      <c r="T303" s="28" t="str">
        <f aca="false">IF($A303="","",SUMIF($A$4:$A303,$A303,$Q$4:$Q303)-SUMIF($A$4:$A303,$A303,$R$4:$R303)-SUMIF($A$4:$A303,$A303,$S$4:$S303))</f>
        <v/>
      </c>
      <c r="U303" s="28"/>
      <c r="V303" s="29" t="str">
        <f aca="false">IF(AND($C303="",COUNTA($D303:$H303,$K303,$N303:$O303,$Q303:$S303,$U303)=0),"",IF($C303="","⚠ 没填项目名称",IF($A303="⚠目录里没有","⚠ 项目名称在目录里找不到（先加到目录）",IF($A303="","⚠ 目录里这个项目没填简称",IF(ISTEXT($G303)+ISTEXT($H303)+ISTEXT($K303)+ISTEXT($N303)+ISTEXT($O303)+ISTEXT($Q303)+ISTEXT($R303)+ISTEXT($S303)&gt;0,"⚠ 金额列里有文字，算不进合计",IF(N($G303)&gt;=1,"⚠ 管理费点要填百分比，如 10%",IF(AND($D303&lt;&gt;"",$B303=""),"△ 摘要开头没写日期（如 2026.9.21），月份取不到",IF(AND(N($H303)&lt;&gt;0,COUNTIFS($A$4:$A$1003,$A303,$H$4:$H$1003,$H303,$D$4:$D$1003,LEFT($D303,9)&amp;"*")&gt;1),"△ 同一天同项目有一样的销售金额，看看是不是录重了","✓"))))))))</f>
        <v/>
      </c>
      <c r="W303" s="8" t="str">
        <f aca="false">IF($A303="","",$A303&amp;"#"&amp;COUNTIF($A$4:$A303,$A303))</f>
        <v/>
      </c>
    </row>
    <row r="304" customFormat="false" ht="16.5" hidden="false" customHeight="false" outlineLevel="0" collapsed="false">
      <c r="A304" s="44" t="str">
        <f aca="false">IF($C304="","",IFERROR(VLOOKUP($C304,目录!$B:$C,2,0)&amp;"","⚠目录里没有"))</f>
        <v/>
      </c>
      <c r="B304" s="45" t="str">
        <f aca="false">IF($D304="","",IFERROR(MID($D304,FIND(".",$D304)+1,FIND(".",$D304,FIND(".",$D304)+1)-FIND(".",$D304)-1)&amp;"月",""))</f>
        <v/>
      </c>
      <c r="C304" s="46"/>
      <c r="D304" s="47"/>
      <c r="E304" s="47"/>
      <c r="F304" s="49"/>
      <c r="G304" s="50"/>
      <c r="H304" s="24"/>
      <c r="I304" s="24" t="str">
        <f aca="false">IF($H304="","",N($H304)*N($G304))</f>
        <v/>
      </c>
      <c r="J304" s="25" t="str">
        <f aca="false">IF($H304="","",N($H304)-N($I304))</f>
        <v/>
      </c>
      <c r="K304" s="25"/>
      <c r="L304" s="25" t="str">
        <f aca="false">IF($A304="","",SUMIF($A$4:$A304,$A304,$J$4:$J304)-SUMIF($A$4:$A304,$A304,$K$4:$K304))</f>
        <v/>
      </c>
      <c r="M304" s="26" t="str">
        <f aca="false">IF($H304="","",N($H304))</f>
        <v/>
      </c>
      <c r="N304" s="26"/>
      <c r="O304" s="26"/>
      <c r="P304" s="26" t="str">
        <f aca="false">IF($A304="","",SUMIF($A$4:$A304,$A304,$M$4:$M304)-SUMIF($A$4:$A304,$A304,$N$4:$N304)-SUMIF($A$4:$A304,$A304,$O$4:$O304))</f>
        <v/>
      </c>
      <c r="Q304" s="27"/>
      <c r="R304" s="28"/>
      <c r="S304" s="28"/>
      <c r="T304" s="28" t="str">
        <f aca="false">IF($A304="","",SUMIF($A$4:$A304,$A304,$Q$4:$Q304)-SUMIF($A$4:$A304,$A304,$R$4:$R304)-SUMIF($A$4:$A304,$A304,$S$4:$S304))</f>
        <v/>
      </c>
      <c r="U304" s="28"/>
      <c r="V304" s="29" t="str">
        <f aca="false">IF(AND($C304="",COUNTA($D304:$H304,$K304,$N304:$O304,$Q304:$S304,$U304)=0),"",IF($C304="","⚠ 没填项目名称",IF($A304="⚠目录里没有","⚠ 项目名称在目录里找不到（先加到目录）",IF($A304="","⚠ 目录里这个项目没填简称",IF(ISTEXT($G304)+ISTEXT($H304)+ISTEXT($K304)+ISTEXT($N304)+ISTEXT($O304)+ISTEXT($Q304)+ISTEXT($R304)+ISTEXT($S304)&gt;0,"⚠ 金额列里有文字，算不进合计",IF(N($G304)&gt;=1,"⚠ 管理费点要填百分比，如 10%",IF(AND($D304&lt;&gt;"",$B304=""),"△ 摘要开头没写日期（如 2026.9.21），月份取不到",IF(AND(N($H304)&lt;&gt;0,COUNTIFS($A$4:$A$1003,$A304,$H$4:$H$1003,$H304,$D$4:$D$1003,LEFT($D304,9)&amp;"*")&gt;1),"△ 同一天同项目有一样的销售金额，看看是不是录重了","✓"))))))))</f>
        <v/>
      </c>
      <c r="W304" s="8" t="str">
        <f aca="false">IF($A304="","",$A304&amp;"#"&amp;COUNTIF($A$4:$A304,$A304))</f>
        <v/>
      </c>
    </row>
    <row r="305" customFormat="false" ht="16.5" hidden="false" customHeight="false" outlineLevel="0" collapsed="false">
      <c r="A305" s="44" t="str">
        <f aca="false">IF($C305="","",IFERROR(VLOOKUP($C305,目录!$B:$C,2,0)&amp;"","⚠目录里没有"))</f>
        <v/>
      </c>
      <c r="B305" s="45" t="str">
        <f aca="false">IF($D305="","",IFERROR(MID($D305,FIND(".",$D305)+1,FIND(".",$D305,FIND(".",$D305)+1)-FIND(".",$D305)-1)&amp;"月",""))</f>
        <v/>
      </c>
      <c r="C305" s="46"/>
      <c r="D305" s="47"/>
      <c r="E305" s="47"/>
      <c r="F305" s="49"/>
      <c r="G305" s="50"/>
      <c r="H305" s="24"/>
      <c r="I305" s="24" t="str">
        <f aca="false">IF($H305="","",N($H305)*N($G305))</f>
        <v/>
      </c>
      <c r="J305" s="25" t="str">
        <f aca="false">IF($H305="","",N($H305)-N($I305))</f>
        <v/>
      </c>
      <c r="K305" s="25"/>
      <c r="L305" s="25" t="str">
        <f aca="false">IF($A305="","",SUMIF($A$4:$A305,$A305,$J$4:$J305)-SUMIF($A$4:$A305,$A305,$K$4:$K305))</f>
        <v/>
      </c>
      <c r="M305" s="26" t="str">
        <f aca="false">IF($H305="","",N($H305))</f>
        <v/>
      </c>
      <c r="N305" s="26"/>
      <c r="O305" s="26"/>
      <c r="P305" s="26" t="str">
        <f aca="false">IF($A305="","",SUMIF($A$4:$A305,$A305,$M$4:$M305)-SUMIF($A$4:$A305,$A305,$N$4:$N305)-SUMIF($A$4:$A305,$A305,$O$4:$O305))</f>
        <v/>
      </c>
      <c r="Q305" s="27"/>
      <c r="R305" s="28"/>
      <c r="S305" s="28"/>
      <c r="T305" s="28" t="str">
        <f aca="false">IF($A305="","",SUMIF($A$4:$A305,$A305,$Q$4:$Q305)-SUMIF($A$4:$A305,$A305,$R$4:$R305)-SUMIF($A$4:$A305,$A305,$S$4:$S305))</f>
        <v/>
      </c>
      <c r="U305" s="28"/>
      <c r="V305" s="29" t="str">
        <f aca="false">IF(AND($C305="",COUNTA($D305:$H305,$K305,$N305:$O305,$Q305:$S305,$U305)=0),"",IF($C305="","⚠ 没填项目名称",IF($A305="⚠目录里没有","⚠ 项目名称在目录里找不到（先加到目录）",IF($A305="","⚠ 目录里这个项目没填简称",IF(ISTEXT($G305)+ISTEXT($H305)+ISTEXT($K305)+ISTEXT($N305)+ISTEXT($O305)+ISTEXT($Q305)+ISTEXT($R305)+ISTEXT($S305)&gt;0,"⚠ 金额列里有文字，算不进合计",IF(N($G305)&gt;=1,"⚠ 管理费点要填百分比，如 10%",IF(AND($D305&lt;&gt;"",$B305=""),"△ 摘要开头没写日期（如 2026.9.21），月份取不到",IF(AND(N($H305)&lt;&gt;0,COUNTIFS($A$4:$A$1003,$A305,$H$4:$H$1003,$H305,$D$4:$D$1003,LEFT($D305,9)&amp;"*")&gt;1),"△ 同一天同项目有一样的销售金额，看看是不是录重了","✓"))))))))</f>
        <v/>
      </c>
      <c r="W305" s="8" t="str">
        <f aca="false">IF($A305="","",$A305&amp;"#"&amp;COUNTIF($A$4:$A305,$A305))</f>
        <v/>
      </c>
    </row>
    <row r="306" customFormat="false" ht="16.5" hidden="false" customHeight="false" outlineLevel="0" collapsed="false">
      <c r="A306" s="44" t="str">
        <f aca="false">IF($C306="","",IFERROR(VLOOKUP($C306,目录!$B:$C,2,0)&amp;"","⚠目录里没有"))</f>
        <v/>
      </c>
      <c r="B306" s="45" t="str">
        <f aca="false">IF($D306="","",IFERROR(MID($D306,FIND(".",$D306)+1,FIND(".",$D306,FIND(".",$D306)+1)-FIND(".",$D306)-1)&amp;"月",""))</f>
        <v/>
      </c>
      <c r="C306" s="46"/>
      <c r="D306" s="47"/>
      <c r="E306" s="47"/>
      <c r="F306" s="49"/>
      <c r="G306" s="50"/>
      <c r="H306" s="24"/>
      <c r="I306" s="24" t="str">
        <f aca="false">IF($H306="","",N($H306)*N($G306))</f>
        <v/>
      </c>
      <c r="J306" s="25" t="str">
        <f aca="false">IF($H306="","",N($H306)-N($I306))</f>
        <v/>
      </c>
      <c r="K306" s="25"/>
      <c r="L306" s="25" t="str">
        <f aca="false">IF($A306="","",SUMIF($A$4:$A306,$A306,$J$4:$J306)-SUMIF($A$4:$A306,$A306,$K$4:$K306))</f>
        <v/>
      </c>
      <c r="M306" s="26" t="str">
        <f aca="false">IF($H306="","",N($H306))</f>
        <v/>
      </c>
      <c r="N306" s="26"/>
      <c r="O306" s="26"/>
      <c r="P306" s="26" t="str">
        <f aca="false">IF($A306="","",SUMIF($A$4:$A306,$A306,$M$4:$M306)-SUMIF($A$4:$A306,$A306,$N$4:$N306)-SUMIF($A$4:$A306,$A306,$O$4:$O306))</f>
        <v/>
      </c>
      <c r="Q306" s="27"/>
      <c r="R306" s="28"/>
      <c r="S306" s="28"/>
      <c r="T306" s="28" t="str">
        <f aca="false">IF($A306="","",SUMIF($A$4:$A306,$A306,$Q$4:$Q306)-SUMIF($A$4:$A306,$A306,$R$4:$R306)-SUMIF($A$4:$A306,$A306,$S$4:$S306))</f>
        <v/>
      </c>
      <c r="U306" s="28"/>
      <c r="V306" s="29" t="str">
        <f aca="false">IF(AND($C306="",COUNTA($D306:$H306,$K306,$N306:$O306,$Q306:$S306,$U306)=0),"",IF($C306="","⚠ 没填项目名称",IF($A306="⚠目录里没有","⚠ 项目名称在目录里找不到（先加到目录）",IF($A306="","⚠ 目录里这个项目没填简称",IF(ISTEXT($G306)+ISTEXT($H306)+ISTEXT($K306)+ISTEXT($N306)+ISTEXT($O306)+ISTEXT($Q306)+ISTEXT($R306)+ISTEXT($S306)&gt;0,"⚠ 金额列里有文字，算不进合计",IF(N($G306)&gt;=1,"⚠ 管理费点要填百分比，如 10%",IF(AND($D306&lt;&gt;"",$B306=""),"△ 摘要开头没写日期（如 2026.9.21），月份取不到",IF(AND(N($H306)&lt;&gt;0,COUNTIFS($A$4:$A$1003,$A306,$H$4:$H$1003,$H306,$D$4:$D$1003,LEFT($D306,9)&amp;"*")&gt;1),"△ 同一天同项目有一样的销售金额，看看是不是录重了","✓"))))))))</f>
        <v/>
      </c>
      <c r="W306" s="8" t="str">
        <f aca="false">IF($A306="","",$A306&amp;"#"&amp;COUNTIF($A$4:$A306,$A306))</f>
        <v/>
      </c>
    </row>
    <row r="307" customFormat="false" ht="16.5" hidden="false" customHeight="false" outlineLevel="0" collapsed="false">
      <c r="A307" s="44" t="str">
        <f aca="false">IF($C307="","",IFERROR(VLOOKUP($C307,目录!$B:$C,2,0)&amp;"","⚠目录里没有"))</f>
        <v/>
      </c>
      <c r="B307" s="45" t="str">
        <f aca="false">IF($D307="","",IFERROR(MID($D307,FIND(".",$D307)+1,FIND(".",$D307,FIND(".",$D307)+1)-FIND(".",$D307)-1)&amp;"月",""))</f>
        <v/>
      </c>
      <c r="C307" s="46"/>
      <c r="D307" s="47"/>
      <c r="E307" s="47"/>
      <c r="F307" s="49"/>
      <c r="G307" s="50"/>
      <c r="H307" s="24"/>
      <c r="I307" s="24" t="str">
        <f aca="false">IF($H307="","",N($H307)*N($G307))</f>
        <v/>
      </c>
      <c r="J307" s="25" t="str">
        <f aca="false">IF($H307="","",N($H307)-N($I307))</f>
        <v/>
      </c>
      <c r="K307" s="25"/>
      <c r="L307" s="25" t="str">
        <f aca="false">IF($A307="","",SUMIF($A$4:$A307,$A307,$J$4:$J307)-SUMIF($A$4:$A307,$A307,$K$4:$K307))</f>
        <v/>
      </c>
      <c r="M307" s="26" t="str">
        <f aca="false">IF($H307="","",N($H307))</f>
        <v/>
      </c>
      <c r="N307" s="26"/>
      <c r="O307" s="26"/>
      <c r="P307" s="26" t="str">
        <f aca="false">IF($A307="","",SUMIF($A$4:$A307,$A307,$M$4:$M307)-SUMIF($A$4:$A307,$A307,$N$4:$N307)-SUMIF($A$4:$A307,$A307,$O$4:$O307))</f>
        <v/>
      </c>
      <c r="Q307" s="27"/>
      <c r="R307" s="28"/>
      <c r="S307" s="28"/>
      <c r="T307" s="28" t="str">
        <f aca="false">IF($A307="","",SUMIF($A$4:$A307,$A307,$Q$4:$Q307)-SUMIF($A$4:$A307,$A307,$R$4:$R307)-SUMIF($A$4:$A307,$A307,$S$4:$S307))</f>
        <v/>
      </c>
      <c r="U307" s="28"/>
      <c r="V307" s="29" t="str">
        <f aca="false">IF(AND($C307="",COUNTA($D307:$H307,$K307,$N307:$O307,$Q307:$S307,$U307)=0),"",IF($C307="","⚠ 没填项目名称",IF($A307="⚠目录里没有","⚠ 项目名称在目录里找不到（先加到目录）",IF($A307="","⚠ 目录里这个项目没填简称",IF(ISTEXT($G307)+ISTEXT($H307)+ISTEXT($K307)+ISTEXT($N307)+ISTEXT($O307)+ISTEXT($Q307)+ISTEXT($R307)+ISTEXT($S307)&gt;0,"⚠ 金额列里有文字，算不进合计",IF(N($G307)&gt;=1,"⚠ 管理费点要填百分比，如 10%",IF(AND($D307&lt;&gt;"",$B307=""),"△ 摘要开头没写日期（如 2026.9.21），月份取不到",IF(AND(N($H307)&lt;&gt;0,COUNTIFS($A$4:$A$1003,$A307,$H$4:$H$1003,$H307,$D$4:$D$1003,LEFT($D307,9)&amp;"*")&gt;1),"△ 同一天同项目有一样的销售金额，看看是不是录重了","✓"))))))))</f>
        <v/>
      </c>
      <c r="W307" s="8" t="str">
        <f aca="false">IF($A307="","",$A307&amp;"#"&amp;COUNTIF($A$4:$A307,$A307))</f>
        <v/>
      </c>
    </row>
    <row r="308" customFormat="false" ht="16.5" hidden="false" customHeight="false" outlineLevel="0" collapsed="false">
      <c r="A308" s="44" t="str">
        <f aca="false">IF($C308="","",IFERROR(VLOOKUP($C308,目录!$B:$C,2,0)&amp;"","⚠目录里没有"))</f>
        <v/>
      </c>
      <c r="B308" s="45" t="str">
        <f aca="false">IF($D308="","",IFERROR(MID($D308,FIND(".",$D308)+1,FIND(".",$D308,FIND(".",$D308)+1)-FIND(".",$D308)-1)&amp;"月",""))</f>
        <v/>
      </c>
      <c r="C308" s="46"/>
      <c r="D308" s="47"/>
      <c r="E308" s="47"/>
      <c r="F308" s="49"/>
      <c r="G308" s="50"/>
      <c r="H308" s="24"/>
      <c r="I308" s="24" t="str">
        <f aca="false">IF($H308="","",N($H308)*N($G308))</f>
        <v/>
      </c>
      <c r="J308" s="25" t="str">
        <f aca="false">IF($H308="","",N($H308)-N($I308))</f>
        <v/>
      </c>
      <c r="K308" s="25"/>
      <c r="L308" s="25" t="str">
        <f aca="false">IF($A308="","",SUMIF($A$4:$A308,$A308,$J$4:$J308)-SUMIF($A$4:$A308,$A308,$K$4:$K308))</f>
        <v/>
      </c>
      <c r="M308" s="26" t="str">
        <f aca="false">IF($H308="","",N($H308))</f>
        <v/>
      </c>
      <c r="N308" s="26"/>
      <c r="O308" s="26"/>
      <c r="P308" s="26" t="str">
        <f aca="false">IF($A308="","",SUMIF($A$4:$A308,$A308,$M$4:$M308)-SUMIF($A$4:$A308,$A308,$N$4:$N308)-SUMIF($A$4:$A308,$A308,$O$4:$O308))</f>
        <v/>
      </c>
      <c r="Q308" s="27"/>
      <c r="R308" s="28"/>
      <c r="S308" s="28"/>
      <c r="T308" s="28" t="str">
        <f aca="false">IF($A308="","",SUMIF($A$4:$A308,$A308,$Q$4:$Q308)-SUMIF($A$4:$A308,$A308,$R$4:$R308)-SUMIF($A$4:$A308,$A308,$S$4:$S308))</f>
        <v/>
      </c>
      <c r="U308" s="28"/>
      <c r="V308" s="29" t="str">
        <f aca="false">IF(AND($C308="",COUNTA($D308:$H308,$K308,$N308:$O308,$Q308:$S308,$U308)=0),"",IF($C308="","⚠ 没填项目名称",IF($A308="⚠目录里没有","⚠ 项目名称在目录里找不到（先加到目录）",IF($A308="","⚠ 目录里这个项目没填简称",IF(ISTEXT($G308)+ISTEXT($H308)+ISTEXT($K308)+ISTEXT($N308)+ISTEXT($O308)+ISTEXT($Q308)+ISTEXT($R308)+ISTEXT($S308)&gt;0,"⚠ 金额列里有文字，算不进合计",IF(N($G308)&gt;=1,"⚠ 管理费点要填百分比，如 10%",IF(AND($D308&lt;&gt;"",$B308=""),"△ 摘要开头没写日期（如 2026.9.21），月份取不到",IF(AND(N($H308)&lt;&gt;0,COUNTIFS($A$4:$A$1003,$A308,$H$4:$H$1003,$H308,$D$4:$D$1003,LEFT($D308,9)&amp;"*")&gt;1),"△ 同一天同项目有一样的销售金额，看看是不是录重了","✓"))))))))</f>
        <v/>
      </c>
      <c r="W308" s="8" t="str">
        <f aca="false">IF($A308="","",$A308&amp;"#"&amp;COUNTIF($A$4:$A308,$A308))</f>
        <v/>
      </c>
    </row>
    <row r="309" customFormat="false" ht="16.5" hidden="false" customHeight="false" outlineLevel="0" collapsed="false">
      <c r="A309" s="44" t="str">
        <f aca="false">IF($C309="","",IFERROR(VLOOKUP($C309,目录!$B:$C,2,0)&amp;"","⚠目录里没有"))</f>
        <v/>
      </c>
      <c r="B309" s="45" t="str">
        <f aca="false">IF($D309="","",IFERROR(MID($D309,FIND(".",$D309)+1,FIND(".",$D309,FIND(".",$D309)+1)-FIND(".",$D309)-1)&amp;"月",""))</f>
        <v/>
      </c>
      <c r="C309" s="46"/>
      <c r="D309" s="47"/>
      <c r="E309" s="47"/>
      <c r="F309" s="49"/>
      <c r="G309" s="50"/>
      <c r="H309" s="24"/>
      <c r="I309" s="24" t="str">
        <f aca="false">IF($H309="","",N($H309)*N($G309))</f>
        <v/>
      </c>
      <c r="J309" s="25" t="str">
        <f aca="false">IF($H309="","",N($H309)-N($I309))</f>
        <v/>
      </c>
      <c r="K309" s="25"/>
      <c r="L309" s="25" t="str">
        <f aca="false">IF($A309="","",SUMIF($A$4:$A309,$A309,$J$4:$J309)-SUMIF($A$4:$A309,$A309,$K$4:$K309))</f>
        <v/>
      </c>
      <c r="M309" s="26" t="str">
        <f aca="false">IF($H309="","",N($H309))</f>
        <v/>
      </c>
      <c r="N309" s="26"/>
      <c r="O309" s="26"/>
      <c r="P309" s="26" t="str">
        <f aca="false">IF($A309="","",SUMIF($A$4:$A309,$A309,$M$4:$M309)-SUMIF($A$4:$A309,$A309,$N$4:$N309)-SUMIF($A$4:$A309,$A309,$O$4:$O309))</f>
        <v/>
      </c>
      <c r="Q309" s="27"/>
      <c r="R309" s="28"/>
      <c r="S309" s="28"/>
      <c r="T309" s="28" t="str">
        <f aca="false">IF($A309="","",SUMIF($A$4:$A309,$A309,$Q$4:$Q309)-SUMIF($A$4:$A309,$A309,$R$4:$R309)-SUMIF($A$4:$A309,$A309,$S$4:$S309))</f>
        <v/>
      </c>
      <c r="U309" s="28"/>
      <c r="V309" s="29" t="str">
        <f aca="false">IF(AND($C309="",COUNTA($D309:$H309,$K309,$N309:$O309,$Q309:$S309,$U309)=0),"",IF($C309="","⚠ 没填项目名称",IF($A309="⚠目录里没有","⚠ 项目名称在目录里找不到（先加到目录）",IF($A309="","⚠ 目录里这个项目没填简称",IF(ISTEXT($G309)+ISTEXT($H309)+ISTEXT($K309)+ISTEXT($N309)+ISTEXT($O309)+ISTEXT($Q309)+ISTEXT($R309)+ISTEXT($S309)&gt;0,"⚠ 金额列里有文字，算不进合计",IF(N($G309)&gt;=1,"⚠ 管理费点要填百分比，如 10%",IF(AND($D309&lt;&gt;"",$B309=""),"△ 摘要开头没写日期（如 2026.9.21），月份取不到",IF(AND(N($H309)&lt;&gt;0,COUNTIFS($A$4:$A$1003,$A309,$H$4:$H$1003,$H309,$D$4:$D$1003,LEFT($D309,9)&amp;"*")&gt;1),"△ 同一天同项目有一样的销售金额，看看是不是录重了","✓"))))))))</f>
        <v/>
      </c>
      <c r="W309" s="8" t="str">
        <f aca="false">IF($A309="","",$A309&amp;"#"&amp;COUNTIF($A$4:$A309,$A309))</f>
        <v/>
      </c>
    </row>
    <row r="310" customFormat="false" ht="16.5" hidden="false" customHeight="false" outlineLevel="0" collapsed="false">
      <c r="A310" s="44" t="str">
        <f aca="false">IF($C310="","",IFERROR(VLOOKUP($C310,目录!$B:$C,2,0)&amp;"","⚠目录里没有"))</f>
        <v/>
      </c>
      <c r="B310" s="45" t="str">
        <f aca="false">IF($D310="","",IFERROR(MID($D310,FIND(".",$D310)+1,FIND(".",$D310,FIND(".",$D310)+1)-FIND(".",$D310)-1)&amp;"月",""))</f>
        <v/>
      </c>
      <c r="C310" s="46"/>
      <c r="D310" s="47"/>
      <c r="E310" s="47"/>
      <c r="F310" s="49"/>
      <c r="G310" s="50"/>
      <c r="H310" s="24"/>
      <c r="I310" s="24" t="str">
        <f aca="false">IF($H310="","",N($H310)*N($G310))</f>
        <v/>
      </c>
      <c r="J310" s="25" t="str">
        <f aca="false">IF($H310="","",N($H310)-N($I310))</f>
        <v/>
      </c>
      <c r="K310" s="25"/>
      <c r="L310" s="25" t="str">
        <f aca="false">IF($A310="","",SUMIF($A$4:$A310,$A310,$J$4:$J310)-SUMIF($A$4:$A310,$A310,$K$4:$K310))</f>
        <v/>
      </c>
      <c r="M310" s="26" t="str">
        <f aca="false">IF($H310="","",N($H310))</f>
        <v/>
      </c>
      <c r="N310" s="26"/>
      <c r="O310" s="26"/>
      <c r="P310" s="26" t="str">
        <f aca="false">IF($A310="","",SUMIF($A$4:$A310,$A310,$M$4:$M310)-SUMIF($A$4:$A310,$A310,$N$4:$N310)-SUMIF($A$4:$A310,$A310,$O$4:$O310))</f>
        <v/>
      </c>
      <c r="Q310" s="27"/>
      <c r="R310" s="28"/>
      <c r="S310" s="28"/>
      <c r="T310" s="28" t="str">
        <f aca="false">IF($A310="","",SUMIF($A$4:$A310,$A310,$Q$4:$Q310)-SUMIF($A$4:$A310,$A310,$R$4:$R310)-SUMIF($A$4:$A310,$A310,$S$4:$S310))</f>
        <v/>
      </c>
      <c r="U310" s="28"/>
      <c r="V310" s="29" t="str">
        <f aca="false">IF(AND($C310="",COUNTA($D310:$H310,$K310,$N310:$O310,$Q310:$S310,$U310)=0),"",IF($C310="","⚠ 没填项目名称",IF($A310="⚠目录里没有","⚠ 项目名称在目录里找不到（先加到目录）",IF($A310="","⚠ 目录里这个项目没填简称",IF(ISTEXT($G310)+ISTEXT($H310)+ISTEXT($K310)+ISTEXT($N310)+ISTEXT($O310)+ISTEXT($Q310)+ISTEXT($R310)+ISTEXT($S310)&gt;0,"⚠ 金额列里有文字，算不进合计",IF(N($G310)&gt;=1,"⚠ 管理费点要填百分比，如 10%",IF(AND($D310&lt;&gt;"",$B310=""),"△ 摘要开头没写日期（如 2026.9.21），月份取不到",IF(AND(N($H310)&lt;&gt;0,COUNTIFS($A$4:$A$1003,$A310,$H$4:$H$1003,$H310,$D$4:$D$1003,LEFT($D310,9)&amp;"*")&gt;1),"△ 同一天同项目有一样的销售金额，看看是不是录重了","✓"))))))))</f>
        <v/>
      </c>
      <c r="W310" s="8" t="str">
        <f aca="false">IF($A310="","",$A310&amp;"#"&amp;COUNTIF($A$4:$A310,$A310))</f>
        <v/>
      </c>
    </row>
    <row r="311" customFormat="false" ht="16.5" hidden="false" customHeight="false" outlineLevel="0" collapsed="false">
      <c r="A311" s="44" t="str">
        <f aca="false">IF($C311="","",IFERROR(VLOOKUP($C311,目录!$B:$C,2,0)&amp;"","⚠目录里没有"))</f>
        <v/>
      </c>
      <c r="B311" s="45" t="str">
        <f aca="false">IF($D311="","",IFERROR(MID($D311,FIND(".",$D311)+1,FIND(".",$D311,FIND(".",$D311)+1)-FIND(".",$D311)-1)&amp;"月",""))</f>
        <v/>
      </c>
      <c r="C311" s="46"/>
      <c r="D311" s="47"/>
      <c r="E311" s="47"/>
      <c r="F311" s="49"/>
      <c r="G311" s="50"/>
      <c r="H311" s="24"/>
      <c r="I311" s="24" t="str">
        <f aca="false">IF($H311="","",N($H311)*N($G311))</f>
        <v/>
      </c>
      <c r="J311" s="25" t="str">
        <f aca="false">IF($H311="","",N($H311)-N($I311))</f>
        <v/>
      </c>
      <c r="K311" s="25"/>
      <c r="L311" s="25" t="str">
        <f aca="false">IF($A311="","",SUMIF($A$4:$A311,$A311,$J$4:$J311)-SUMIF($A$4:$A311,$A311,$K$4:$K311))</f>
        <v/>
      </c>
      <c r="M311" s="26" t="str">
        <f aca="false">IF($H311="","",N($H311))</f>
        <v/>
      </c>
      <c r="N311" s="26"/>
      <c r="O311" s="26"/>
      <c r="P311" s="26" t="str">
        <f aca="false">IF($A311="","",SUMIF($A$4:$A311,$A311,$M$4:$M311)-SUMIF($A$4:$A311,$A311,$N$4:$N311)-SUMIF($A$4:$A311,$A311,$O$4:$O311))</f>
        <v/>
      </c>
      <c r="Q311" s="27"/>
      <c r="R311" s="28"/>
      <c r="S311" s="28"/>
      <c r="T311" s="28" t="str">
        <f aca="false">IF($A311="","",SUMIF($A$4:$A311,$A311,$Q$4:$Q311)-SUMIF($A$4:$A311,$A311,$R$4:$R311)-SUMIF($A$4:$A311,$A311,$S$4:$S311))</f>
        <v/>
      </c>
      <c r="U311" s="28"/>
      <c r="V311" s="29" t="str">
        <f aca="false">IF(AND($C311="",COUNTA($D311:$H311,$K311,$N311:$O311,$Q311:$S311,$U311)=0),"",IF($C311="","⚠ 没填项目名称",IF($A311="⚠目录里没有","⚠ 项目名称在目录里找不到（先加到目录）",IF($A311="","⚠ 目录里这个项目没填简称",IF(ISTEXT($G311)+ISTEXT($H311)+ISTEXT($K311)+ISTEXT($N311)+ISTEXT($O311)+ISTEXT($Q311)+ISTEXT($R311)+ISTEXT($S311)&gt;0,"⚠ 金额列里有文字，算不进合计",IF(N($G311)&gt;=1,"⚠ 管理费点要填百分比，如 10%",IF(AND($D311&lt;&gt;"",$B311=""),"△ 摘要开头没写日期（如 2026.9.21），月份取不到",IF(AND(N($H311)&lt;&gt;0,COUNTIFS($A$4:$A$1003,$A311,$H$4:$H$1003,$H311,$D$4:$D$1003,LEFT($D311,9)&amp;"*")&gt;1),"△ 同一天同项目有一样的销售金额，看看是不是录重了","✓"))))))))</f>
        <v/>
      </c>
      <c r="W311" s="8" t="str">
        <f aca="false">IF($A311="","",$A311&amp;"#"&amp;COUNTIF($A$4:$A311,$A311))</f>
        <v/>
      </c>
    </row>
    <row r="312" customFormat="false" ht="16.5" hidden="false" customHeight="false" outlineLevel="0" collapsed="false">
      <c r="A312" s="44" t="str">
        <f aca="false">IF($C312="","",IFERROR(VLOOKUP($C312,目录!$B:$C,2,0)&amp;"","⚠目录里没有"))</f>
        <v/>
      </c>
      <c r="B312" s="45" t="str">
        <f aca="false">IF($D312="","",IFERROR(MID($D312,FIND(".",$D312)+1,FIND(".",$D312,FIND(".",$D312)+1)-FIND(".",$D312)-1)&amp;"月",""))</f>
        <v/>
      </c>
      <c r="C312" s="46"/>
      <c r="D312" s="47"/>
      <c r="E312" s="47"/>
      <c r="F312" s="49"/>
      <c r="G312" s="50"/>
      <c r="H312" s="24"/>
      <c r="I312" s="24" t="str">
        <f aca="false">IF($H312="","",N($H312)*N($G312))</f>
        <v/>
      </c>
      <c r="J312" s="25" t="str">
        <f aca="false">IF($H312="","",N($H312)-N($I312))</f>
        <v/>
      </c>
      <c r="K312" s="25"/>
      <c r="L312" s="25" t="str">
        <f aca="false">IF($A312="","",SUMIF($A$4:$A312,$A312,$J$4:$J312)-SUMIF($A$4:$A312,$A312,$K$4:$K312))</f>
        <v/>
      </c>
      <c r="M312" s="26" t="str">
        <f aca="false">IF($H312="","",N($H312))</f>
        <v/>
      </c>
      <c r="N312" s="26"/>
      <c r="O312" s="26"/>
      <c r="P312" s="26" t="str">
        <f aca="false">IF($A312="","",SUMIF($A$4:$A312,$A312,$M$4:$M312)-SUMIF($A$4:$A312,$A312,$N$4:$N312)-SUMIF($A$4:$A312,$A312,$O$4:$O312))</f>
        <v/>
      </c>
      <c r="Q312" s="27"/>
      <c r="R312" s="28"/>
      <c r="S312" s="28"/>
      <c r="T312" s="28" t="str">
        <f aca="false">IF($A312="","",SUMIF($A$4:$A312,$A312,$Q$4:$Q312)-SUMIF($A$4:$A312,$A312,$R$4:$R312)-SUMIF($A$4:$A312,$A312,$S$4:$S312))</f>
        <v/>
      </c>
      <c r="U312" s="28"/>
      <c r="V312" s="29" t="str">
        <f aca="false">IF(AND($C312="",COUNTA($D312:$H312,$K312,$N312:$O312,$Q312:$S312,$U312)=0),"",IF($C312="","⚠ 没填项目名称",IF($A312="⚠目录里没有","⚠ 项目名称在目录里找不到（先加到目录）",IF($A312="","⚠ 目录里这个项目没填简称",IF(ISTEXT($G312)+ISTEXT($H312)+ISTEXT($K312)+ISTEXT($N312)+ISTEXT($O312)+ISTEXT($Q312)+ISTEXT($R312)+ISTEXT($S312)&gt;0,"⚠ 金额列里有文字，算不进合计",IF(N($G312)&gt;=1,"⚠ 管理费点要填百分比，如 10%",IF(AND($D312&lt;&gt;"",$B312=""),"△ 摘要开头没写日期（如 2026.9.21），月份取不到",IF(AND(N($H312)&lt;&gt;0,COUNTIFS($A$4:$A$1003,$A312,$H$4:$H$1003,$H312,$D$4:$D$1003,LEFT($D312,9)&amp;"*")&gt;1),"△ 同一天同项目有一样的销售金额，看看是不是录重了","✓"))))))))</f>
        <v/>
      </c>
      <c r="W312" s="8" t="str">
        <f aca="false">IF($A312="","",$A312&amp;"#"&amp;COUNTIF($A$4:$A312,$A312))</f>
        <v/>
      </c>
    </row>
    <row r="313" customFormat="false" ht="16.5" hidden="false" customHeight="false" outlineLevel="0" collapsed="false">
      <c r="A313" s="44" t="str">
        <f aca="false">IF($C313="","",IFERROR(VLOOKUP($C313,目录!$B:$C,2,0)&amp;"","⚠目录里没有"))</f>
        <v/>
      </c>
      <c r="B313" s="45" t="str">
        <f aca="false">IF($D313="","",IFERROR(MID($D313,FIND(".",$D313)+1,FIND(".",$D313,FIND(".",$D313)+1)-FIND(".",$D313)-1)&amp;"月",""))</f>
        <v/>
      </c>
      <c r="C313" s="46"/>
      <c r="D313" s="47"/>
      <c r="E313" s="47"/>
      <c r="F313" s="49"/>
      <c r="G313" s="50"/>
      <c r="H313" s="24"/>
      <c r="I313" s="24" t="str">
        <f aca="false">IF($H313="","",N($H313)*N($G313))</f>
        <v/>
      </c>
      <c r="J313" s="25" t="str">
        <f aca="false">IF($H313="","",N($H313)-N($I313))</f>
        <v/>
      </c>
      <c r="K313" s="25"/>
      <c r="L313" s="25" t="str">
        <f aca="false">IF($A313="","",SUMIF($A$4:$A313,$A313,$J$4:$J313)-SUMIF($A$4:$A313,$A313,$K$4:$K313))</f>
        <v/>
      </c>
      <c r="M313" s="26" t="str">
        <f aca="false">IF($H313="","",N($H313))</f>
        <v/>
      </c>
      <c r="N313" s="26"/>
      <c r="O313" s="26"/>
      <c r="P313" s="26" t="str">
        <f aca="false">IF($A313="","",SUMIF($A$4:$A313,$A313,$M$4:$M313)-SUMIF($A$4:$A313,$A313,$N$4:$N313)-SUMIF($A$4:$A313,$A313,$O$4:$O313))</f>
        <v/>
      </c>
      <c r="Q313" s="27"/>
      <c r="R313" s="28"/>
      <c r="S313" s="28"/>
      <c r="T313" s="28" t="str">
        <f aca="false">IF($A313="","",SUMIF($A$4:$A313,$A313,$Q$4:$Q313)-SUMIF($A$4:$A313,$A313,$R$4:$R313)-SUMIF($A$4:$A313,$A313,$S$4:$S313))</f>
        <v/>
      </c>
      <c r="U313" s="28"/>
      <c r="V313" s="29" t="str">
        <f aca="false">IF(AND($C313="",COUNTA($D313:$H313,$K313,$N313:$O313,$Q313:$S313,$U313)=0),"",IF($C313="","⚠ 没填项目名称",IF($A313="⚠目录里没有","⚠ 项目名称在目录里找不到（先加到目录）",IF($A313="","⚠ 目录里这个项目没填简称",IF(ISTEXT($G313)+ISTEXT($H313)+ISTEXT($K313)+ISTEXT($N313)+ISTEXT($O313)+ISTEXT($Q313)+ISTEXT($R313)+ISTEXT($S313)&gt;0,"⚠ 金额列里有文字，算不进合计",IF(N($G313)&gt;=1,"⚠ 管理费点要填百分比，如 10%",IF(AND($D313&lt;&gt;"",$B313=""),"△ 摘要开头没写日期（如 2026.9.21），月份取不到",IF(AND(N($H313)&lt;&gt;0,COUNTIFS($A$4:$A$1003,$A313,$H$4:$H$1003,$H313,$D$4:$D$1003,LEFT($D313,9)&amp;"*")&gt;1),"△ 同一天同项目有一样的销售金额，看看是不是录重了","✓"))))))))</f>
        <v/>
      </c>
      <c r="W313" s="8" t="str">
        <f aca="false">IF($A313="","",$A313&amp;"#"&amp;COUNTIF($A$4:$A313,$A313))</f>
        <v/>
      </c>
    </row>
    <row r="314" customFormat="false" ht="16.5" hidden="false" customHeight="false" outlineLevel="0" collapsed="false">
      <c r="A314" s="44" t="str">
        <f aca="false">IF($C314="","",IFERROR(VLOOKUP($C314,目录!$B:$C,2,0)&amp;"","⚠目录里没有"))</f>
        <v/>
      </c>
      <c r="B314" s="45" t="str">
        <f aca="false">IF($D314="","",IFERROR(MID($D314,FIND(".",$D314)+1,FIND(".",$D314,FIND(".",$D314)+1)-FIND(".",$D314)-1)&amp;"月",""))</f>
        <v/>
      </c>
      <c r="C314" s="46"/>
      <c r="D314" s="47"/>
      <c r="E314" s="47"/>
      <c r="F314" s="49"/>
      <c r="G314" s="50"/>
      <c r="H314" s="24"/>
      <c r="I314" s="24" t="str">
        <f aca="false">IF($H314="","",N($H314)*N($G314))</f>
        <v/>
      </c>
      <c r="J314" s="25" t="str">
        <f aca="false">IF($H314="","",N($H314)-N($I314))</f>
        <v/>
      </c>
      <c r="K314" s="25"/>
      <c r="L314" s="25" t="str">
        <f aca="false">IF($A314="","",SUMIF($A$4:$A314,$A314,$J$4:$J314)-SUMIF($A$4:$A314,$A314,$K$4:$K314))</f>
        <v/>
      </c>
      <c r="M314" s="26" t="str">
        <f aca="false">IF($H314="","",N($H314))</f>
        <v/>
      </c>
      <c r="N314" s="26"/>
      <c r="O314" s="26"/>
      <c r="P314" s="26" t="str">
        <f aca="false">IF($A314="","",SUMIF($A$4:$A314,$A314,$M$4:$M314)-SUMIF($A$4:$A314,$A314,$N$4:$N314)-SUMIF($A$4:$A314,$A314,$O$4:$O314))</f>
        <v/>
      </c>
      <c r="Q314" s="27"/>
      <c r="R314" s="28"/>
      <c r="S314" s="28"/>
      <c r="T314" s="28" t="str">
        <f aca="false">IF($A314="","",SUMIF($A$4:$A314,$A314,$Q$4:$Q314)-SUMIF($A$4:$A314,$A314,$R$4:$R314)-SUMIF($A$4:$A314,$A314,$S$4:$S314))</f>
        <v/>
      </c>
      <c r="U314" s="28"/>
      <c r="V314" s="29" t="str">
        <f aca="false">IF(AND($C314="",COUNTA($D314:$H314,$K314,$N314:$O314,$Q314:$S314,$U314)=0),"",IF($C314="","⚠ 没填项目名称",IF($A314="⚠目录里没有","⚠ 项目名称在目录里找不到（先加到目录）",IF($A314="","⚠ 目录里这个项目没填简称",IF(ISTEXT($G314)+ISTEXT($H314)+ISTEXT($K314)+ISTEXT($N314)+ISTEXT($O314)+ISTEXT($Q314)+ISTEXT($R314)+ISTEXT($S314)&gt;0,"⚠ 金额列里有文字，算不进合计",IF(N($G314)&gt;=1,"⚠ 管理费点要填百分比，如 10%",IF(AND($D314&lt;&gt;"",$B314=""),"△ 摘要开头没写日期（如 2026.9.21），月份取不到",IF(AND(N($H314)&lt;&gt;0,COUNTIFS($A$4:$A$1003,$A314,$H$4:$H$1003,$H314,$D$4:$D$1003,LEFT($D314,9)&amp;"*")&gt;1),"△ 同一天同项目有一样的销售金额，看看是不是录重了","✓"))))))))</f>
        <v/>
      </c>
      <c r="W314" s="8" t="str">
        <f aca="false">IF($A314="","",$A314&amp;"#"&amp;COUNTIF($A$4:$A314,$A314))</f>
        <v/>
      </c>
    </row>
    <row r="315" customFormat="false" ht="16.5" hidden="false" customHeight="false" outlineLevel="0" collapsed="false">
      <c r="A315" s="44" t="str">
        <f aca="false">IF($C315="","",IFERROR(VLOOKUP($C315,目录!$B:$C,2,0)&amp;"","⚠目录里没有"))</f>
        <v/>
      </c>
      <c r="B315" s="45" t="str">
        <f aca="false">IF($D315="","",IFERROR(MID($D315,FIND(".",$D315)+1,FIND(".",$D315,FIND(".",$D315)+1)-FIND(".",$D315)-1)&amp;"月",""))</f>
        <v/>
      </c>
      <c r="C315" s="46"/>
      <c r="D315" s="47"/>
      <c r="E315" s="47"/>
      <c r="F315" s="49"/>
      <c r="G315" s="50"/>
      <c r="H315" s="24"/>
      <c r="I315" s="24" t="str">
        <f aca="false">IF($H315="","",N($H315)*N($G315))</f>
        <v/>
      </c>
      <c r="J315" s="25" t="str">
        <f aca="false">IF($H315="","",N($H315)-N($I315))</f>
        <v/>
      </c>
      <c r="K315" s="25"/>
      <c r="L315" s="25" t="str">
        <f aca="false">IF($A315="","",SUMIF($A$4:$A315,$A315,$J$4:$J315)-SUMIF($A$4:$A315,$A315,$K$4:$K315))</f>
        <v/>
      </c>
      <c r="M315" s="26" t="str">
        <f aca="false">IF($H315="","",N($H315))</f>
        <v/>
      </c>
      <c r="N315" s="26"/>
      <c r="O315" s="26"/>
      <c r="P315" s="26" t="str">
        <f aca="false">IF($A315="","",SUMIF($A$4:$A315,$A315,$M$4:$M315)-SUMIF($A$4:$A315,$A315,$N$4:$N315)-SUMIF($A$4:$A315,$A315,$O$4:$O315))</f>
        <v/>
      </c>
      <c r="Q315" s="27"/>
      <c r="R315" s="28"/>
      <c r="S315" s="28"/>
      <c r="T315" s="28" t="str">
        <f aca="false">IF($A315="","",SUMIF($A$4:$A315,$A315,$Q$4:$Q315)-SUMIF($A$4:$A315,$A315,$R$4:$R315)-SUMIF($A$4:$A315,$A315,$S$4:$S315))</f>
        <v/>
      </c>
      <c r="U315" s="28"/>
      <c r="V315" s="29" t="str">
        <f aca="false">IF(AND($C315="",COUNTA($D315:$H315,$K315,$N315:$O315,$Q315:$S315,$U315)=0),"",IF($C315="","⚠ 没填项目名称",IF($A315="⚠目录里没有","⚠ 项目名称在目录里找不到（先加到目录）",IF($A315="","⚠ 目录里这个项目没填简称",IF(ISTEXT($G315)+ISTEXT($H315)+ISTEXT($K315)+ISTEXT($N315)+ISTEXT($O315)+ISTEXT($Q315)+ISTEXT($R315)+ISTEXT($S315)&gt;0,"⚠ 金额列里有文字，算不进合计",IF(N($G315)&gt;=1,"⚠ 管理费点要填百分比，如 10%",IF(AND($D315&lt;&gt;"",$B315=""),"△ 摘要开头没写日期（如 2026.9.21），月份取不到",IF(AND(N($H315)&lt;&gt;0,COUNTIFS($A$4:$A$1003,$A315,$H$4:$H$1003,$H315,$D$4:$D$1003,LEFT($D315,9)&amp;"*")&gt;1),"△ 同一天同项目有一样的销售金额，看看是不是录重了","✓"))))))))</f>
        <v/>
      </c>
      <c r="W315" s="8" t="str">
        <f aca="false">IF($A315="","",$A315&amp;"#"&amp;COUNTIF($A$4:$A315,$A315))</f>
        <v/>
      </c>
    </row>
    <row r="316" customFormat="false" ht="16.5" hidden="false" customHeight="false" outlineLevel="0" collapsed="false">
      <c r="A316" s="44" t="str">
        <f aca="false">IF($C316="","",IFERROR(VLOOKUP($C316,目录!$B:$C,2,0)&amp;"","⚠目录里没有"))</f>
        <v/>
      </c>
      <c r="B316" s="45" t="str">
        <f aca="false">IF($D316="","",IFERROR(MID($D316,FIND(".",$D316)+1,FIND(".",$D316,FIND(".",$D316)+1)-FIND(".",$D316)-1)&amp;"月",""))</f>
        <v/>
      </c>
      <c r="C316" s="46"/>
      <c r="D316" s="47"/>
      <c r="E316" s="47"/>
      <c r="F316" s="49"/>
      <c r="G316" s="50"/>
      <c r="H316" s="24"/>
      <c r="I316" s="24" t="str">
        <f aca="false">IF($H316="","",N($H316)*N($G316))</f>
        <v/>
      </c>
      <c r="J316" s="25" t="str">
        <f aca="false">IF($H316="","",N($H316)-N($I316))</f>
        <v/>
      </c>
      <c r="K316" s="25"/>
      <c r="L316" s="25" t="str">
        <f aca="false">IF($A316="","",SUMIF($A$4:$A316,$A316,$J$4:$J316)-SUMIF($A$4:$A316,$A316,$K$4:$K316))</f>
        <v/>
      </c>
      <c r="M316" s="26" t="str">
        <f aca="false">IF($H316="","",N($H316))</f>
        <v/>
      </c>
      <c r="N316" s="26"/>
      <c r="O316" s="26"/>
      <c r="P316" s="26" t="str">
        <f aca="false">IF($A316="","",SUMIF($A$4:$A316,$A316,$M$4:$M316)-SUMIF($A$4:$A316,$A316,$N$4:$N316)-SUMIF($A$4:$A316,$A316,$O$4:$O316))</f>
        <v/>
      </c>
      <c r="Q316" s="27"/>
      <c r="R316" s="28"/>
      <c r="S316" s="28"/>
      <c r="T316" s="28" t="str">
        <f aca="false">IF($A316="","",SUMIF($A$4:$A316,$A316,$Q$4:$Q316)-SUMIF($A$4:$A316,$A316,$R$4:$R316)-SUMIF($A$4:$A316,$A316,$S$4:$S316))</f>
        <v/>
      </c>
      <c r="U316" s="28"/>
      <c r="V316" s="29" t="str">
        <f aca="false">IF(AND($C316="",COUNTA($D316:$H316,$K316,$N316:$O316,$Q316:$S316,$U316)=0),"",IF($C316="","⚠ 没填项目名称",IF($A316="⚠目录里没有","⚠ 项目名称在目录里找不到（先加到目录）",IF($A316="","⚠ 目录里这个项目没填简称",IF(ISTEXT($G316)+ISTEXT($H316)+ISTEXT($K316)+ISTEXT($N316)+ISTEXT($O316)+ISTEXT($Q316)+ISTEXT($R316)+ISTEXT($S316)&gt;0,"⚠ 金额列里有文字，算不进合计",IF(N($G316)&gt;=1,"⚠ 管理费点要填百分比，如 10%",IF(AND($D316&lt;&gt;"",$B316=""),"△ 摘要开头没写日期（如 2026.9.21），月份取不到",IF(AND(N($H316)&lt;&gt;0,COUNTIFS($A$4:$A$1003,$A316,$H$4:$H$1003,$H316,$D$4:$D$1003,LEFT($D316,9)&amp;"*")&gt;1),"△ 同一天同项目有一样的销售金额，看看是不是录重了","✓"))))))))</f>
        <v/>
      </c>
      <c r="W316" s="8" t="str">
        <f aca="false">IF($A316="","",$A316&amp;"#"&amp;COUNTIF($A$4:$A316,$A316))</f>
        <v/>
      </c>
    </row>
    <row r="317" customFormat="false" ht="16.5" hidden="false" customHeight="false" outlineLevel="0" collapsed="false">
      <c r="A317" s="44" t="str">
        <f aca="false">IF($C317="","",IFERROR(VLOOKUP($C317,目录!$B:$C,2,0)&amp;"","⚠目录里没有"))</f>
        <v/>
      </c>
      <c r="B317" s="45" t="str">
        <f aca="false">IF($D317="","",IFERROR(MID($D317,FIND(".",$D317)+1,FIND(".",$D317,FIND(".",$D317)+1)-FIND(".",$D317)-1)&amp;"月",""))</f>
        <v/>
      </c>
      <c r="C317" s="46"/>
      <c r="D317" s="47"/>
      <c r="E317" s="47"/>
      <c r="F317" s="49"/>
      <c r="G317" s="50"/>
      <c r="H317" s="24"/>
      <c r="I317" s="24" t="str">
        <f aca="false">IF($H317="","",N($H317)*N($G317))</f>
        <v/>
      </c>
      <c r="J317" s="25" t="str">
        <f aca="false">IF($H317="","",N($H317)-N($I317))</f>
        <v/>
      </c>
      <c r="K317" s="25"/>
      <c r="L317" s="25" t="str">
        <f aca="false">IF($A317="","",SUMIF($A$4:$A317,$A317,$J$4:$J317)-SUMIF($A$4:$A317,$A317,$K$4:$K317))</f>
        <v/>
      </c>
      <c r="M317" s="26" t="str">
        <f aca="false">IF($H317="","",N($H317))</f>
        <v/>
      </c>
      <c r="N317" s="26"/>
      <c r="O317" s="26"/>
      <c r="P317" s="26" t="str">
        <f aca="false">IF($A317="","",SUMIF($A$4:$A317,$A317,$M$4:$M317)-SUMIF($A$4:$A317,$A317,$N$4:$N317)-SUMIF($A$4:$A317,$A317,$O$4:$O317))</f>
        <v/>
      </c>
      <c r="Q317" s="27"/>
      <c r="R317" s="28"/>
      <c r="S317" s="28"/>
      <c r="T317" s="28" t="str">
        <f aca="false">IF($A317="","",SUMIF($A$4:$A317,$A317,$Q$4:$Q317)-SUMIF($A$4:$A317,$A317,$R$4:$R317)-SUMIF($A$4:$A317,$A317,$S$4:$S317))</f>
        <v/>
      </c>
      <c r="U317" s="28"/>
      <c r="V317" s="29" t="str">
        <f aca="false">IF(AND($C317="",COUNTA($D317:$H317,$K317,$N317:$O317,$Q317:$S317,$U317)=0),"",IF($C317="","⚠ 没填项目名称",IF($A317="⚠目录里没有","⚠ 项目名称在目录里找不到（先加到目录）",IF($A317="","⚠ 目录里这个项目没填简称",IF(ISTEXT($G317)+ISTEXT($H317)+ISTEXT($K317)+ISTEXT($N317)+ISTEXT($O317)+ISTEXT($Q317)+ISTEXT($R317)+ISTEXT($S317)&gt;0,"⚠ 金额列里有文字，算不进合计",IF(N($G317)&gt;=1,"⚠ 管理费点要填百分比，如 10%",IF(AND($D317&lt;&gt;"",$B317=""),"△ 摘要开头没写日期（如 2026.9.21），月份取不到",IF(AND(N($H317)&lt;&gt;0,COUNTIFS($A$4:$A$1003,$A317,$H$4:$H$1003,$H317,$D$4:$D$1003,LEFT($D317,9)&amp;"*")&gt;1),"△ 同一天同项目有一样的销售金额，看看是不是录重了","✓"))))))))</f>
        <v/>
      </c>
      <c r="W317" s="8" t="str">
        <f aca="false">IF($A317="","",$A317&amp;"#"&amp;COUNTIF($A$4:$A317,$A317))</f>
        <v/>
      </c>
    </row>
    <row r="318" customFormat="false" ht="16.5" hidden="false" customHeight="false" outlineLevel="0" collapsed="false">
      <c r="A318" s="44" t="str">
        <f aca="false">IF($C318="","",IFERROR(VLOOKUP($C318,目录!$B:$C,2,0)&amp;"","⚠目录里没有"))</f>
        <v/>
      </c>
      <c r="B318" s="45" t="str">
        <f aca="false">IF($D318="","",IFERROR(MID($D318,FIND(".",$D318)+1,FIND(".",$D318,FIND(".",$D318)+1)-FIND(".",$D318)-1)&amp;"月",""))</f>
        <v/>
      </c>
      <c r="C318" s="46"/>
      <c r="D318" s="47"/>
      <c r="E318" s="47"/>
      <c r="F318" s="49"/>
      <c r="G318" s="50"/>
      <c r="H318" s="24"/>
      <c r="I318" s="24" t="str">
        <f aca="false">IF($H318="","",N($H318)*N($G318))</f>
        <v/>
      </c>
      <c r="J318" s="25" t="str">
        <f aca="false">IF($H318="","",N($H318)-N($I318))</f>
        <v/>
      </c>
      <c r="K318" s="25"/>
      <c r="L318" s="25" t="str">
        <f aca="false">IF($A318="","",SUMIF($A$4:$A318,$A318,$J$4:$J318)-SUMIF($A$4:$A318,$A318,$K$4:$K318))</f>
        <v/>
      </c>
      <c r="M318" s="26" t="str">
        <f aca="false">IF($H318="","",N($H318))</f>
        <v/>
      </c>
      <c r="N318" s="26"/>
      <c r="O318" s="26"/>
      <c r="P318" s="26" t="str">
        <f aca="false">IF($A318="","",SUMIF($A$4:$A318,$A318,$M$4:$M318)-SUMIF($A$4:$A318,$A318,$N$4:$N318)-SUMIF($A$4:$A318,$A318,$O$4:$O318))</f>
        <v/>
      </c>
      <c r="Q318" s="27"/>
      <c r="R318" s="28"/>
      <c r="S318" s="28"/>
      <c r="T318" s="28" t="str">
        <f aca="false">IF($A318="","",SUMIF($A$4:$A318,$A318,$Q$4:$Q318)-SUMIF($A$4:$A318,$A318,$R$4:$R318)-SUMIF($A$4:$A318,$A318,$S$4:$S318))</f>
        <v/>
      </c>
      <c r="U318" s="28"/>
      <c r="V318" s="29" t="str">
        <f aca="false">IF(AND($C318="",COUNTA($D318:$H318,$K318,$N318:$O318,$Q318:$S318,$U318)=0),"",IF($C318="","⚠ 没填项目名称",IF($A318="⚠目录里没有","⚠ 项目名称在目录里找不到（先加到目录）",IF($A318="","⚠ 目录里这个项目没填简称",IF(ISTEXT($G318)+ISTEXT($H318)+ISTEXT($K318)+ISTEXT($N318)+ISTEXT($O318)+ISTEXT($Q318)+ISTEXT($R318)+ISTEXT($S318)&gt;0,"⚠ 金额列里有文字，算不进合计",IF(N($G318)&gt;=1,"⚠ 管理费点要填百分比，如 10%",IF(AND($D318&lt;&gt;"",$B318=""),"△ 摘要开头没写日期（如 2026.9.21），月份取不到",IF(AND(N($H318)&lt;&gt;0,COUNTIFS($A$4:$A$1003,$A318,$H$4:$H$1003,$H318,$D$4:$D$1003,LEFT($D318,9)&amp;"*")&gt;1),"△ 同一天同项目有一样的销售金额，看看是不是录重了","✓"))))))))</f>
        <v/>
      </c>
      <c r="W318" s="8" t="str">
        <f aca="false">IF($A318="","",$A318&amp;"#"&amp;COUNTIF($A$4:$A318,$A318))</f>
        <v/>
      </c>
    </row>
    <row r="319" customFormat="false" ht="16.5" hidden="false" customHeight="false" outlineLevel="0" collapsed="false">
      <c r="A319" s="44" t="str">
        <f aca="false">IF($C319="","",IFERROR(VLOOKUP($C319,目录!$B:$C,2,0)&amp;"","⚠目录里没有"))</f>
        <v/>
      </c>
      <c r="B319" s="45" t="str">
        <f aca="false">IF($D319="","",IFERROR(MID($D319,FIND(".",$D319)+1,FIND(".",$D319,FIND(".",$D319)+1)-FIND(".",$D319)-1)&amp;"月",""))</f>
        <v/>
      </c>
      <c r="C319" s="46"/>
      <c r="D319" s="47"/>
      <c r="E319" s="47"/>
      <c r="F319" s="49"/>
      <c r="G319" s="50"/>
      <c r="H319" s="24"/>
      <c r="I319" s="24" t="str">
        <f aca="false">IF($H319="","",N($H319)*N($G319))</f>
        <v/>
      </c>
      <c r="J319" s="25" t="str">
        <f aca="false">IF($H319="","",N($H319)-N($I319))</f>
        <v/>
      </c>
      <c r="K319" s="25"/>
      <c r="L319" s="25" t="str">
        <f aca="false">IF($A319="","",SUMIF($A$4:$A319,$A319,$J$4:$J319)-SUMIF($A$4:$A319,$A319,$K$4:$K319))</f>
        <v/>
      </c>
      <c r="M319" s="26" t="str">
        <f aca="false">IF($H319="","",N($H319))</f>
        <v/>
      </c>
      <c r="N319" s="26"/>
      <c r="O319" s="26"/>
      <c r="P319" s="26" t="str">
        <f aca="false">IF($A319="","",SUMIF($A$4:$A319,$A319,$M$4:$M319)-SUMIF($A$4:$A319,$A319,$N$4:$N319)-SUMIF($A$4:$A319,$A319,$O$4:$O319))</f>
        <v/>
      </c>
      <c r="Q319" s="27"/>
      <c r="R319" s="28"/>
      <c r="S319" s="28"/>
      <c r="T319" s="28" t="str">
        <f aca="false">IF($A319="","",SUMIF($A$4:$A319,$A319,$Q$4:$Q319)-SUMIF($A$4:$A319,$A319,$R$4:$R319)-SUMIF($A$4:$A319,$A319,$S$4:$S319))</f>
        <v/>
      </c>
      <c r="U319" s="28"/>
      <c r="V319" s="29" t="str">
        <f aca="false">IF(AND($C319="",COUNTA($D319:$H319,$K319,$N319:$O319,$Q319:$S319,$U319)=0),"",IF($C319="","⚠ 没填项目名称",IF($A319="⚠目录里没有","⚠ 项目名称在目录里找不到（先加到目录）",IF($A319="","⚠ 目录里这个项目没填简称",IF(ISTEXT($G319)+ISTEXT($H319)+ISTEXT($K319)+ISTEXT($N319)+ISTEXT($O319)+ISTEXT($Q319)+ISTEXT($R319)+ISTEXT($S319)&gt;0,"⚠ 金额列里有文字，算不进合计",IF(N($G319)&gt;=1,"⚠ 管理费点要填百分比，如 10%",IF(AND($D319&lt;&gt;"",$B319=""),"△ 摘要开头没写日期（如 2026.9.21），月份取不到",IF(AND(N($H319)&lt;&gt;0,COUNTIFS($A$4:$A$1003,$A319,$H$4:$H$1003,$H319,$D$4:$D$1003,LEFT($D319,9)&amp;"*")&gt;1),"△ 同一天同项目有一样的销售金额，看看是不是录重了","✓"))))))))</f>
        <v/>
      </c>
      <c r="W319" s="8" t="str">
        <f aca="false">IF($A319="","",$A319&amp;"#"&amp;COUNTIF($A$4:$A319,$A319))</f>
        <v/>
      </c>
    </row>
    <row r="320" customFormat="false" ht="16.5" hidden="false" customHeight="false" outlineLevel="0" collapsed="false">
      <c r="A320" s="44" t="str">
        <f aca="false">IF($C320="","",IFERROR(VLOOKUP($C320,目录!$B:$C,2,0)&amp;"","⚠目录里没有"))</f>
        <v/>
      </c>
      <c r="B320" s="45" t="str">
        <f aca="false">IF($D320="","",IFERROR(MID($D320,FIND(".",$D320)+1,FIND(".",$D320,FIND(".",$D320)+1)-FIND(".",$D320)-1)&amp;"月",""))</f>
        <v/>
      </c>
      <c r="C320" s="46"/>
      <c r="D320" s="47"/>
      <c r="E320" s="47"/>
      <c r="F320" s="49"/>
      <c r="G320" s="50"/>
      <c r="H320" s="24"/>
      <c r="I320" s="24" t="str">
        <f aca="false">IF($H320="","",N($H320)*N($G320))</f>
        <v/>
      </c>
      <c r="J320" s="25" t="str">
        <f aca="false">IF($H320="","",N($H320)-N($I320))</f>
        <v/>
      </c>
      <c r="K320" s="25"/>
      <c r="L320" s="25" t="str">
        <f aca="false">IF($A320="","",SUMIF($A$4:$A320,$A320,$J$4:$J320)-SUMIF($A$4:$A320,$A320,$K$4:$K320))</f>
        <v/>
      </c>
      <c r="M320" s="26" t="str">
        <f aca="false">IF($H320="","",N($H320))</f>
        <v/>
      </c>
      <c r="N320" s="26"/>
      <c r="O320" s="26"/>
      <c r="P320" s="26" t="str">
        <f aca="false">IF($A320="","",SUMIF($A$4:$A320,$A320,$M$4:$M320)-SUMIF($A$4:$A320,$A320,$N$4:$N320)-SUMIF($A$4:$A320,$A320,$O$4:$O320))</f>
        <v/>
      </c>
      <c r="Q320" s="27"/>
      <c r="R320" s="28"/>
      <c r="S320" s="28"/>
      <c r="T320" s="28" t="str">
        <f aca="false">IF($A320="","",SUMIF($A$4:$A320,$A320,$Q$4:$Q320)-SUMIF($A$4:$A320,$A320,$R$4:$R320)-SUMIF($A$4:$A320,$A320,$S$4:$S320))</f>
        <v/>
      </c>
      <c r="U320" s="28"/>
      <c r="V320" s="29" t="str">
        <f aca="false">IF(AND($C320="",COUNTA($D320:$H320,$K320,$N320:$O320,$Q320:$S320,$U320)=0),"",IF($C320="","⚠ 没填项目名称",IF($A320="⚠目录里没有","⚠ 项目名称在目录里找不到（先加到目录）",IF($A320="","⚠ 目录里这个项目没填简称",IF(ISTEXT($G320)+ISTEXT($H320)+ISTEXT($K320)+ISTEXT($N320)+ISTEXT($O320)+ISTEXT($Q320)+ISTEXT($R320)+ISTEXT($S320)&gt;0,"⚠ 金额列里有文字，算不进合计",IF(N($G320)&gt;=1,"⚠ 管理费点要填百分比，如 10%",IF(AND($D320&lt;&gt;"",$B320=""),"△ 摘要开头没写日期（如 2026.9.21），月份取不到",IF(AND(N($H320)&lt;&gt;0,COUNTIFS($A$4:$A$1003,$A320,$H$4:$H$1003,$H320,$D$4:$D$1003,LEFT($D320,9)&amp;"*")&gt;1),"△ 同一天同项目有一样的销售金额，看看是不是录重了","✓"))))))))</f>
        <v/>
      </c>
      <c r="W320" s="8" t="str">
        <f aca="false">IF($A320="","",$A320&amp;"#"&amp;COUNTIF($A$4:$A320,$A320))</f>
        <v/>
      </c>
    </row>
    <row r="321" customFormat="false" ht="16.5" hidden="false" customHeight="false" outlineLevel="0" collapsed="false">
      <c r="A321" s="44" t="str">
        <f aca="false">IF($C321="","",IFERROR(VLOOKUP($C321,目录!$B:$C,2,0)&amp;"","⚠目录里没有"))</f>
        <v/>
      </c>
      <c r="B321" s="45" t="str">
        <f aca="false">IF($D321="","",IFERROR(MID($D321,FIND(".",$D321)+1,FIND(".",$D321,FIND(".",$D321)+1)-FIND(".",$D321)-1)&amp;"月",""))</f>
        <v/>
      </c>
      <c r="C321" s="46"/>
      <c r="D321" s="47"/>
      <c r="E321" s="47"/>
      <c r="F321" s="49"/>
      <c r="G321" s="50"/>
      <c r="H321" s="24"/>
      <c r="I321" s="24" t="str">
        <f aca="false">IF($H321="","",N($H321)*N($G321))</f>
        <v/>
      </c>
      <c r="J321" s="25" t="str">
        <f aca="false">IF($H321="","",N($H321)-N($I321))</f>
        <v/>
      </c>
      <c r="K321" s="25"/>
      <c r="L321" s="25" t="str">
        <f aca="false">IF($A321="","",SUMIF($A$4:$A321,$A321,$J$4:$J321)-SUMIF($A$4:$A321,$A321,$K$4:$K321))</f>
        <v/>
      </c>
      <c r="M321" s="26" t="str">
        <f aca="false">IF($H321="","",N($H321))</f>
        <v/>
      </c>
      <c r="N321" s="26"/>
      <c r="O321" s="26"/>
      <c r="P321" s="26" t="str">
        <f aca="false">IF($A321="","",SUMIF($A$4:$A321,$A321,$M$4:$M321)-SUMIF($A$4:$A321,$A321,$N$4:$N321)-SUMIF($A$4:$A321,$A321,$O$4:$O321))</f>
        <v/>
      </c>
      <c r="Q321" s="27"/>
      <c r="R321" s="28"/>
      <c r="S321" s="28"/>
      <c r="T321" s="28" t="str">
        <f aca="false">IF($A321="","",SUMIF($A$4:$A321,$A321,$Q$4:$Q321)-SUMIF($A$4:$A321,$A321,$R$4:$R321)-SUMIF($A$4:$A321,$A321,$S$4:$S321))</f>
        <v/>
      </c>
      <c r="U321" s="28"/>
      <c r="V321" s="29" t="str">
        <f aca="false">IF(AND($C321="",COUNTA($D321:$H321,$K321,$N321:$O321,$Q321:$S321,$U321)=0),"",IF($C321="","⚠ 没填项目名称",IF($A321="⚠目录里没有","⚠ 项目名称在目录里找不到（先加到目录）",IF($A321="","⚠ 目录里这个项目没填简称",IF(ISTEXT($G321)+ISTEXT($H321)+ISTEXT($K321)+ISTEXT($N321)+ISTEXT($O321)+ISTEXT($Q321)+ISTEXT($R321)+ISTEXT($S321)&gt;0,"⚠ 金额列里有文字，算不进合计",IF(N($G321)&gt;=1,"⚠ 管理费点要填百分比，如 10%",IF(AND($D321&lt;&gt;"",$B321=""),"△ 摘要开头没写日期（如 2026.9.21），月份取不到",IF(AND(N($H321)&lt;&gt;0,COUNTIFS($A$4:$A$1003,$A321,$H$4:$H$1003,$H321,$D$4:$D$1003,LEFT($D321,9)&amp;"*")&gt;1),"△ 同一天同项目有一样的销售金额，看看是不是录重了","✓"))))))))</f>
        <v/>
      </c>
      <c r="W321" s="8" t="str">
        <f aca="false">IF($A321="","",$A321&amp;"#"&amp;COUNTIF($A$4:$A321,$A321))</f>
        <v/>
      </c>
    </row>
    <row r="322" customFormat="false" ht="16.5" hidden="false" customHeight="false" outlineLevel="0" collapsed="false">
      <c r="A322" s="44" t="str">
        <f aca="false">IF($C322="","",IFERROR(VLOOKUP($C322,目录!$B:$C,2,0)&amp;"","⚠目录里没有"))</f>
        <v/>
      </c>
      <c r="B322" s="45" t="str">
        <f aca="false">IF($D322="","",IFERROR(MID($D322,FIND(".",$D322)+1,FIND(".",$D322,FIND(".",$D322)+1)-FIND(".",$D322)-1)&amp;"月",""))</f>
        <v/>
      </c>
      <c r="C322" s="46"/>
      <c r="D322" s="47"/>
      <c r="E322" s="47"/>
      <c r="F322" s="49"/>
      <c r="G322" s="50"/>
      <c r="H322" s="24"/>
      <c r="I322" s="24" t="str">
        <f aca="false">IF($H322="","",N($H322)*N($G322))</f>
        <v/>
      </c>
      <c r="J322" s="25" t="str">
        <f aca="false">IF($H322="","",N($H322)-N($I322))</f>
        <v/>
      </c>
      <c r="K322" s="25"/>
      <c r="L322" s="25" t="str">
        <f aca="false">IF($A322="","",SUMIF($A$4:$A322,$A322,$J$4:$J322)-SUMIF($A$4:$A322,$A322,$K$4:$K322))</f>
        <v/>
      </c>
      <c r="M322" s="26" t="str">
        <f aca="false">IF($H322="","",N($H322))</f>
        <v/>
      </c>
      <c r="N322" s="26"/>
      <c r="O322" s="26"/>
      <c r="P322" s="26" t="str">
        <f aca="false">IF($A322="","",SUMIF($A$4:$A322,$A322,$M$4:$M322)-SUMIF($A$4:$A322,$A322,$N$4:$N322)-SUMIF($A$4:$A322,$A322,$O$4:$O322))</f>
        <v/>
      </c>
      <c r="Q322" s="27"/>
      <c r="R322" s="28"/>
      <c r="S322" s="28"/>
      <c r="T322" s="28" t="str">
        <f aca="false">IF($A322="","",SUMIF($A$4:$A322,$A322,$Q$4:$Q322)-SUMIF($A$4:$A322,$A322,$R$4:$R322)-SUMIF($A$4:$A322,$A322,$S$4:$S322))</f>
        <v/>
      </c>
      <c r="U322" s="28"/>
      <c r="V322" s="29" t="str">
        <f aca="false">IF(AND($C322="",COUNTA($D322:$H322,$K322,$N322:$O322,$Q322:$S322,$U322)=0),"",IF($C322="","⚠ 没填项目名称",IF($A322="⚠目录里没有","⚠ 项目名称在目录里找不到（先加到目录）",IF($A322="","⚠ 目录里这个项目没填简称",IF(ISTEXT($G322)+ISTEXT($H322)+ISTEXT($K322)+ISTEXT($N322)+ISTEXT($O322)+ISTEXT($Q322)+ISTEXT($R322)+ISTEXT($S322)&gt;0,"⚠ 金额列里有文字，算不进合计",IF(N($G322)&gt;=1,"⚠ 管理费点要填百分比，如 10%",IF(AND($D322&lt;&gt;"",$B322=""),"△ 摘要开头没写日期（如 2026.9.21），月份取不到",IF(AND(N($H322)&lt;&gt;0,COUNTIFS($A$4:$A$1003,$A322,$H$4:$H$1003,$H322,$D$4:$D$1003,LEFT($D322,9)&amp;"*")&gt;1),"△ 同一天同项目有一样的销售金额，看看是不是录重了","✓"))))))))</f>
        <v/>
      </c>
      <c r="W322" s="8" t="str">
        <f aca="false">IF($A322="","",$A322&amp;"#"&amp;COUNTIF($A$4:$A322,$A322))</f>
        <v/>
      </c>
    </row>
    <row r="323" customFormat="false" ht="16.5" hidden="false" customHeight="false" outlineLevel="0" collapsed="false">
      <c r="A323" s="44" t="str">
        <f aca="false">IF($C323="","",IFERROR(VLOOKUP($C323,目录!$B:$C,2,0)&amp;"","⚠目录里没有"))</f>
        <v/>
      </c>
      <c r="B323" s="45" t="str">
        <f aca="false">IF($D323="","",IFERROR(MID($D323,FIND(".",$D323)+1,FIND(".",$D323,FIND(".",$D323)+1)-FIND(".",$D323)-1)&amp;"月",""))</f>
        <v/>
      </c>
      <c r="C323" s="46"/>
      <c r="D323" s="47"/>
      <c r="E323" s="47"/>
      <c r="F323" s="49"/>
      <c r="G323" s="50"/>
      <c r="H323" s="24"/>
      <c r="I323" s="24" t="str">
        <f aca="false">IF($H323="","",N($H323)*N($G323))</f>
        <v/>
      </c>
      <c r="J323" s="25" t="str">
        <f aca="false">IF($H323="","",N($H323)-N($I323))</f>
        <v/>
      </c>
      <c r="K323" s="25"/>
      <c r="L323" s="25" t="str">
        <f aca="false">IF($A323="","",SUMIF($A$4:$A323,$A323,$J$4:$J323)-SUMIF($A$4:$A323,$A323,$K$4:$K323))</f>
        <v/>
      </c>
      <c r="M323" s="26" t="str">
        <f aca="false">IF($H323="","",N($H323))</f>
        <v/>
      </c>
      <c r="N323" s="26"/>
      <c r="O323" s="26"/>
      <c r="P323" s="26" t="str">
        <f aca="false">IF($A323="","",SUMIF($A$4:$A323,$A323,$M$4:$M323)-SUMIF($A$4:$A323,$A323,$N$4:$N323)-SUMIF($A$4:$A323,$A323,$O$4:$O323))</f>
        <v/>
      </c>
      <c r="Q323" s="27"/>
      <c r="R323" s="28"/>
      <c r="S323" s="28"/>
      <c r="T323" s="28" t="str">
        <f aca="false">IF($A323="","",SUMIF($A$4:$A323,$A323,$Q$4:$Q323)-SUMIF($A$4:$A323,$A323,$R$4:$R323)-SUMIF($A$4:$A323,$A323,$S$4:$S323))</f>
        <v/>
      </c>
      <c r="U323" s="28"/>
      <c r="V323" s="29" t="str">
        <f aca="false">IF(AND($C323="",COUNTA($D323:$H323,$K323,$N323:$O323,$Q323:$S323,$U323)=0),"",IF($C323="","⚠ 没填项目名称",IF($A323="⚠目录里没有","⚠ 项目名称在目录里找不到（先加到目录）",IF($A323="","⚠ 目录里这个项目没填简称",IF(ISTEXT($G323)+ISTEXT($H323)+ISTEXT($K323)+ISTEXT($N323)+ISTEXT($O323)+ISTEXT($Q323)+ISTEXT($R323)+ISTEXT($S323)&gt;0,"⚠ 金额列里有文字，算不进合计",IF(N($G323)&gt;=1,"⚠ 管理费点要填百分比，如 10%",IF(AND($D323&lt;&gt;"",$B323=""),"△ 摘要开头没写日期（如 2026.9.21），月份取不到",IF(AND(N($H323)&lt;&gt;0,COUNTIFS($A$4:$A$1003,$A323,$H$4:$H$1003,$H323,$D$4:$D$1003,LEFT($D323,9)&amp;"*")&gt;1),"△ 同一天同项目有一样的销售金额，看看是不是录重了","✓"))))))))</f>
        <v/>
      </c>
      <c r="W323" s="8" t="str">
        <f aca="false">IF($A323="","",$A323&amp;"#"&amp;COUNTIF($A$4:$A323,$A323))</f>
        <v/>
      </c>
    </row>
    <row r="324" customFormat="false" ht="16.5" hidden="false" customHeight="false" outlineLevel="0" collapsed="false">
      <c r="A324" s="44" t="str">
        <f aca="false">IF($C324="","",IFERROR(VLOOKUP($C324,目录!$B:$C,2,0)&amp;"","⚠目录里没有"))</f>
        <v/>
      </c>
      <c r="B324" s="45" t="str">
        <f aca="false">IF($D324="","",IFERROR(MID($D324,FIND(".",$D324)+1,FIND(".",$D324,FIND(".",$D324)+1)-FIND(".",$D324)-1)&amp;"月",""))</f>
        <v/>
      </c>
      <c r="C324" s="46"/>
      <c r="D324" s="47"/>
      <c r="E324" s="47"/>
      <c r="F324" s="49"/>
      <c r="G324" s="50"/>
      <c r="H324" s="24"/>
      <c r="I324" s="24" t="str">
        <f aca="false">IF($H324="","",N($H324)*N($G324))</f>
        <v/>
      </c>
      <c r="J324" s="25" t="str">
        <f aca="false">IF($H324="","",N($H324)-N($I324))</f>
        <v/>
      </c>
      <c r="K324" s="25"/>
      <c r="L324" s="25" t="str">
        <f aca="false">IF($A324="","",SUMIF($A$4:$A324,$A324,$J$4:$J324)-SUMIF($A$4:$A324,$A324,$K$4:$K324))</f>
        <v/>
      </c>
      <c r="M324" s="26" t="str">
        <f aca="false">IF($H324="","",N($H324))</f>
        <v/>
      </c>
      <c r="N324" s="26"/>
      <c r="O324" s="26"/>
      <c r="P324" s="26" t="str">
        <f aca="false">IF($A324="","",SUMIF($A$4:$A324,$A324,$M$4:$M324)-SUMIF($A$4:$A324,$A324,$N$4:$N324)-SUMIF($A$4:$A324,$A324,$O$4:$O324))</f>
        <v/>
      </c>
      <c r="Q324" s="27"/>
      <c r="R324" s="28"/>
      <c r="S324" s="28"/>
      <c r="T324" s="28" t="str">
        <f aca="false">IF($A324="","",SUMIF($A$4:$A324,$A324,$Q$4:$Q324)-SUMIF($A$4:$A324,$A324,$R$4:$R324)-SUMIF($A$4:$A324,$A324,$S$4:$S324))</f>
        <v/>
      </c>
      <c r="U324" s="28"/>
      <c r="V324" s="29" t="str">
        <f aca="false">IF(AND($C324="",COUNTA($D324:$H324,$K324,$N324:$O324,$Q324:$S324,$U324)=0),"",IF($C324="","⚠ 没填项目名称",IF($A324="⚠目录里没有","⚠ 项目名称在目录里找不到（先加到目录）",IF($A324="","⚠ 目录里这个项目没填简称",IF(ISTEXT($G324)+ISTEXT($H324)+ISTEXT($K324)+ISTEXT($N324)+ISTEXT($O324)+ISTEXT($Q324)+ISTEXT($R324)+ISTEXT($S324)&gt;0,"⚠ 金额列里有文字，算不进合计",IF(N($G324)&gt;=1,"⚠ 管理费点要填百分比，如 10%",IF(AND($D324&lt;&gt;"",$B324=""),"△ 摘要开头没写日期（如 2026.9.21），月份取不到",IF(AND(N($H324)&lt;&gt;0,COUNTIFS($A$4:$A$1003,$A324,$H$4:$H$1003,$H324,$D$4:$D$1003,LEFT($D324,9)&amp;"*")&gt;1),"△ 同一天同项目有一样的销售金额，看看是不是录重了","✓"))))))))</f>
        <v/>
      </c>
      <c r="W324" s="8" t="str">
        <f aca="false">IF($A324="","",$A324&amp;"#"&amp;COUNTIF($A$4:$A324,$A324))</f>
        <v/>
      </c>
    </row>
    <row r="325" customFormat="false" ht="16.5" hidden="false" customHeight="false" outlineLevel="0" collapsed="false">
      <c r="A325" s="44" t="str">
        <f aca="false">IF($C325="","",IFERROR(VLOOKUP($C325,目录!$B:$C,2,0)&amp;"","⚠目录里没有"))</f>
        <v/>
      </c>
      <c r="B325" s="45" t="str">
        <f aca="false">IF($D325="","",IFERROR(MID($D325,FIND(".",$D325)+1,FIND(".",$D325,FIND(".",$D325)+1)-FIND(".",$D325)-1)&amp;"月",""))</f>
        <v/>
      </c>
      <c r="C325" s="46"/>
      <c r="D325" s="47"/>
      <c r="E325" s="47"/>
      <c r="F325" s="49"/>
      <c r="G325" s="50"/>
      <c r="H325" s="24"/>
      <c r="I325" s="24" t="str">
        <f aca="false">IF($H325="","",N($H325)*N($G325))</f>
        <v/>
      </c>
      <c r="J325" s="25" t="str">
        <f aca="false">IF($H325="","",N($H325)-N($I325))</f>
        <v/>
      </c>
      <c r="K325" s="25"/>
      <c r="L325" s="25" t="str">
        <f aca="false">IF($A325="","",SUMIF($A$4:$A325,$A325,$J$4:$J325)-SUMIF($A$4:$A325,$A325,$K$4:$K325))</f>
        <v/>
      </c>
      <c r="M325" s="26" t="str">
        <f aca="false">IF($H325="","",N($H325))</f>
        <v/>
      </c>
      <c r="N325" s="26"/>
      <c r="O325" s="26"/>
      <c r="P325" s="26" t="str">
        <f aca="false">IF($A325="","",SUMIF($A$4:$A325,$A325,$M$4:$M325)-SUMIF($A$4:$A325,$A325,$N$4:$N325)-SUMIF($A$4:$A325,$A325,$O$4:$O325))</f>
        <v/>
      </c>
      <c r="Q325" s="27"/>
      <c r="R325" s="28"/>
      <c r="S325" s="28"/>
      <c r="T325" s="28" t="str">
        <f aca="false">IF($A325="","",SUMIF($A$4:$A325,$A325,$Q$4:$Q325)-SUMIF($A$4:$A325,$A325,$R$4:$R325)-SUMIF($A$4:$A325,$A325,$S$4:$S325))</f>
        <v/>
      </c>
      <c r="U325" s="28"/>
      <c r="V325" s="29" t="str">
        <f aca="false">IF(AND($C325="",COUNTA($D325:$H325,$K325,$N325:$O325,$Q325:$S325,$U325)=0),"",IF($C325="","⚠ 没填项目名称",IF($A325="⚠目录里没有","⚠ 项目名称在目录里找不到（先加到目录）",IF($A325="","⚠ 目录里这个项目没填简称",IF(ISTEXT($G325)+ISTEXT($H325)+ISTEXT($K325)+ISTEXT($N325)+ISTEXT($O325)+ISTEXT($Q325)+ISTEXT($R325)+ISTEXT($S325)&gt;0,"⚠ 金额列里有文字，算不进合计",IF(N($G325)&gt;=1,"⚠ 管理费点要填百分比，如 10%",IF(AND($D325&lt;&gt;"",$B325=""),"△ 摘要开头没写日期（如 2026.9.21），月份取不到",IF(AND(N($H325)&lt;&gt;0,COUNTIFS($A$4:$A$1003,$A325,$H$4:$H$1003,$H325,$D$4:$D$1003,LEFT($D325,9)&amp;"*")&gt;1),"△ 同一天同项目有一样的销售金额，看看是不是录重了","✓"))))))))</f>
        <v/>
      </c>
      <c r="W325" s="8" t="str">
        <f aca="false">IF($A325="","",$A325&amp;"#"&amp;COUNTIF($A$4:$A325,$A325))</f>
        <v/>
      </c>
    </row>
    <row r="326" customFormat="false" ht="16.5" hidden="false" customHeight="false" outlineLevel="0" collapsed="false">
      <c r="A326" s="44" t="str">
        <f aca="false">IF($C326="","",IFERROR(VLOOKUP($C326,目录!$B:$C,2,0)&amp;"","⚠目录里没有"))</f>
        <v/>
      </c>
      <c r="B326" s="45" t="str">
        <f aca="false">IF($D326="","",IFERROR(MID($D326,FIND(".",$D326)+1,FIND(".",$D326,FIND(".",$D326)+1)-FIND(".",$D326)-1)&amp;"月",""))</f>
        <v/>
      </c>
      <c r="C326" s="46"/>
      <c r="D326" s="47"/>
      <c r="E326" s="47"/>
      <c r="F326" s="49"/>
      <c r="G326" s="50"/>
      <c r="H326" s="24"/>
      <c r="I326" s="24" t="str">
        <f aca="false">IF($H326="","",N($H326)*N($G326))</f>
        <v/>
      </c>
      <c r="J326" s="25" t="str">
        <f aca="false">IF($H326="","",N($H326)-N($I326))</f>
        <v/>
      </c>
      <c r="K326" s="25"/>
      <c r="L326" s="25" t="str">
        <f aca="false">IF($A326="","",SUMIF($A$4:$A326,$A326,$J$4:$J326)-SUMIF($A$4:$A326,$A326,$K$4:$K326))</f>
        <v/>
      </c>
      <c r="M326" s="26" t="str">
        <f aca="false">IF($H326="","",N($H326))</f>
        <v/>
      </c>
      <c r="N326" s="26"/>
      <c r="O326" s="26"/>
      <c r="P326" s="26" t="str">
        <f aca="false">IF($A326="","",SUMIF($A$4:$A326,$A326,$M$4:$M326)-SUMIF($A$4:$A326,$A326,$N$4:$N326)-SUMIF($A$4:$A326,$A326,$O$4:$O326))</f>
        <v/>
      </c>
      <c r="Q326" s="27"/>
      <c r="R326" s="28"/>
      <c r="S326" s="28"/>
      <c r="T326" s="28" t="str">
        <f aca="false">IF($A326="","",SUMIF($A$4:$A326,$A326,$Q$4:$Q326)-SUMIF($A$4:$A326,$A326,$R$4:$R326)-SUMIF($A$4:$A326,$A326,$S$4:$S326))</f>
        <v/>
      </c>
      <c r="U326" s="28"/>
      <c r="V326" s="29" t="str">
        <f aca="false">IF(AND($C326="",COUNTA($D326:$H326,$K326,$N326:$O326,$Q326:$S326,$U326)=0),"",IF($C326="","⚠ 没填项目名称",IF($A326="⚠目录里没有","⚠ 项目名称在目录里找不到（先加到目录）",IF($A326="","⚠ 目录里这个项目没填简称",IF(ISTEXT($G326)+ISTEXT($H326)+ISTEXT($K326)+ISTEXT($N326)+ISTEXT($O326)+ISTEXT($Q326)+ISTEXT($R326)+ISTEXT($S326)&gt;0,"⚠ 金额列里有文字，算不进合计",IF(N($G326)&gt;=1,"⚠ 管理费点要填百分比，如 10%",IF(AND($D326&lt;&gt;"",$B326=""),"△ 摘要开头没写日期（如 2026.9.21），月份取不到",IF(AND(N($H326)&lt;&gt;0,COUNTIFS($A$4:$A$1003,$A326,$H$4:$H$1003,$H326,$D$4:$D$1003,LEFT($D326,9)&amp;"*")&gt;1),"△ 同一天同项目有一样的销售金额，看看是不是录重了","✓"))))))))</f>
        <v/>
      </c>
      <c r="W326" s="8" t="str">
        <f aca="false">IF($A326="","",$A326&amp;"#"&amp;COUNTIF($A$4:$A326,$A326))</f>
        <v/>
      </c>
    </row>
    <row r="327" customFormat="false" ht="16.5" hidden="false" customHeight="false" outlineLevel="0" collapsed="false">
      <c r="A327" s="44" t="str">
        <f aca="false">IF($C327="","",IFERROR(VLOOKUP($C327,目录!$B:$C,2,0)&amp;"","⚠目录里没有"))</f>
        <v/>
      </c>
      <c r="B327" s="45" t="str">
        <f aca="false">IF($D327="","",IFERROR(MID($D327,FIND(".",$D327)+1,FIND(".",$D327,FIND(".",$D327)+1)-FIND(".",$D327)-1)&amp;"月",""))</f>
        <v/>
      </c>
      <c r="C327" s="46"/>
      <c r="D327" s="47"/>
      <c r="E327" s="47"/>
      <c r="F327" s="49"/>
      <c r="G327" s="50"/>
      <c r="H327" s="24"/>
      <c r="I327" s="24" t="str">
        <f aca="false">IF($H327="","",N($H327)*N($G327))</f>
        <v/>
      </c>
      <c r="J327" s="25" t="str">
        <f aca="false">IF($H327="","",N($H327)-N($I327))</f>
        <v/>
      </c>
      <c r="K327" s="25"/>
      <c r="L327" s="25" t="str">
        <f aca="false">IF($A327="","",SUMIF($A$4:$A327,$A327,$J$4:$J327)-SUMIF($A$4:$A327,$A327,$K$4:$K327))</f>
        <v/>
      </c>
      <c r="M327" s="26" t="str">
        <f aca="false">IF($H327="","",N($H327))</f>
        <v/>
      </c>
      <c r="N327" s="26"/>
      <c r="O327" s="26"/>
      <c r="P327" s="26" t="str">
        <f aca="false">IF($A327="","",SUMIF($A$4:$A327,$A327,$M$4:$M327)-SUMIF($A$4:$A327,$A327,$N$4:$N327)-SUMIF($A$4:$A327,$A327,$O$4:$O327))</f>
        <v/>
      </c>
      <c r="Q327" s="27"/>
      <c r="R327" s="28"/>
      <c r="S327" s="28"/>
      <c r="T327" s="28" t="str">
        <f aca="false">IF($A327="","",SUMIF($A$4:$A327,$A327,$Q$4:$Q327)-SUMIF($A$4:$A327,$A327,$R$4:$R327)-SUMIF($A$4:$A327,$A327,$S$4:$S327))</f>
        <v/>
      </c>
      <c r="U327" s="28"/>
      <c r="V327" s="29" t="str">
        <f aca="false">IF(AND($C327="",COUNTA($D327:$H327,$K327,$N327:$O327,$Q327:$S327,$U327)=0),"",IF($C327="","⚠ 没填项目名称",IF($A327="⚠目录里没有","⚠ 项目名称在目录里找不到（先加到目录）",IF($A327="","⚠ 目录里这个项目没填简称",IF(ISTEXT($G327)+ISTEXT($H327)+ISTEXT($K327)+ISTEXT($N327)+ISTEXT($O327)+ISTEXT($Q327)+ISTEXT($R327)+ISTEXT($S327)&gt;0,"⚠ 金额列里有文字，算不进合计",IF(N($G327)&gt;=1,"⚠ 管理费点要填百分比，如 10%",IF(AND($D327&lt;&gt;"",$B327=""),"△ 摘要开头没写日期（如 2026.9.21），月份取不到",IF(AND(N($H327)&lt;&gt;0,COUNTIFS($A$4:$A$1003,$A327,$H$4:$H$1003,$H327,$D$4:$D$1003,LEFT($D327,9)&amp;"*")&gt;1),"△ 同一天同项目有一样的销售金额，看看是不是录重了","✓"))))))))</f>
        <v/>
      </c>
      <c r="W327" s="8" t="str">
        <f aca="false">IF($A327="","",$A327&amp;"#"&amp;COUNTIF($A$4:$A327,$A327))</f>
        <v/>
      </c>
    </row>
    <row r="328" customFormat="false" ht="16.5" hidden="false" customHeight="false" outlineLevel="0" collapsed="false">
      <c r="A328" s="44" t="str">
        <f aca="false">IF($C328="","",IFERROR(VLOOKUP($C328,目录!$B:$C,2,0)&amp;"","⚠目录里没有"))</f>
        <v/>
      </c>
      <c r="B328" s="45" t="str">
        <f aca="false">IF($D328="","",IFERROR(MID($D328,FIND(".",$D328)+1,FIND(".",$D328,FIND(".",$D328)+1)-FIND(".",$D328)-1)&amp;"月",""))</f>
        <v/>
      </c>
      <c r="C328" s="46"/>
      <c r="D328" s="47"/>
      <c r="E328" s="47"/>
      <c r="F328" s="49"/>
      <c r="G328" s="50"/>
      <c r="H328" s="24"/>
      <c r="I328" s="24" t="str">
        <f aca="false">IF($H328="","",N($H328)*N($G328))</f>
        <v/>
      </c>
      <c r="J328" s="25" t="str">
        <f aca="false">IF($H328="","",N($H328)-N($I328))</f>
        <v/>
      </c>
      <c r="K328" s="25"/>
      <c r="L328" s="25" t="str">
        <f aca="false">IF($A328="","",SUMIF($A$4:$A328,$A328,$J$4:$J328)-SUMIF($A$4:$A328,$A328,$K$4:$K328))</f>
        <v/>
      </c>
      <c r="M328" s="26" t="str">
        <f aca="false">IF($H328="","",N($H328))</f>
        <v/>
      </c>
      <c r="N328" s="26"/>
      <c r="O328" s="26"/>
      <c r="P328" s="26" t="str">
        <f aca="false">IF($A328="","",SUMIF($A$4:$A328,$A328,$M$4:$M328)-SUMIF($A$4:$A328,$A328,$N$4:$N328)-SUMIF($A$4:$A328,$A328,$O$4:$O328))</f>
        <v/>
      </c>
      <c r="Q328" s="27"/>
      <c r="R328" s="28"/>
      <c r="S328" s="28"/>
      <c r="T328" s="28" t="str">
        <f aca="false">IF($A328="","",SUMIF($A$4:$A328,$A328,$Q$4:$Q328)-SUMIF($A$4:$A328,$A328,$R$4:$R328)-SUMIF($A$4:$A328,$A328,$S$4:$S328))</f>
        <v/>
      </c>
      <c r="U328" s="28"/>
      <c r="V328" s="29" t="str">
        <f aca="false">IF(AND($C328="",COUNTA($D328:$H328,$K328,$N328:$O328,$Q328:$S328,$U328)=0),"",IF($C328="","⚠ 没填项目名称",IF($A328="⚠目录里没有","⚠ 项目名称在目录里找不到（先加到目录）",IF($A328="","⚠ 目录里这个项目没填简称",IF(ISTEXT($G328)+ISTEXT($H328)+ISTEXT($K328)+ISTEXT($N328)+ISTEXT($O328)+ISTEXT($Q328)+ISTEXT($R328)+ISTEXT($S328)&gt;0,"⚠ 金额列里有文字，算不进合计",IF(N($G328)&gt;=1,"⚠ 管理费点要填百分比，如 10%",IF(AND($D328&lt;&gt;"",$B328=""),"△ 摘要开头没写日期（如 2026.9.21），月份取不到",IF(AND(N($H328)&lt;&gt;0,COUNTIFS($A$4:$A$1003,$A328,$H$4:$H$1003,$H328,$D$4:$D$1003,LEFT($D328,9)&amp;"*")&gt;1),"△ 同一天同项目有一样的销售金额，看看是不是录重了","✓"))))))))</f>
        <v/>
      </c>
      <c r="W328" s="8" t="str">
        <f aca="false">IF($A328="","",$A328&amp;"#"&amp;COUNTIF($A$4:$A328,$A328))</f>
        <v/>
      </c>
    </row>
    <row r="329" customFormat="false" ht="16.5" hidden="false" customHeight="false" outlineLevel="0" collapsed="false">
      <c r="A329" s="44" t="str">
        <f aca="false">IF($C329="","",IFERROR(VLOOKUP($C329,目录!$B:$C,2,0)&amp;"","⚠目录里没有"))</f>
        <v/>
      </c>
      <c r="B329" s="45" t="str">
        <f aca="false">IF($D329="","",IFERROR(MID($D329,FIND(".",$D329)+1,FIND(".",$D329,FIND(".",$D329)+1)-FIND(".",$D329)-1)&amp;"月",""))</f>
        <v/>
      </c>
      <c r="C329" s="46"/>
      <c r="D329" s="47"/>
      <c r="E329" s="47"/>
      <c r="F329" s="49"/>
      <c r="G329" s="50"/>
      <c r="H329" s="24"/>
      <c r="I329" s="24" t="str">
        <f aca="false">IF($H329="","",N($H329)*N($G329))</f>
        <v/>
      </c>
      <c r="J329" s="25" t="str">
        <f aca="false">IF($H329="","",N($H329)-N($I329))</f>
        <v/>
      </c>
      <c r="K329" s="25"/>
      <c r="L329" s="25" t="str">
        <f aca="false">IF($A329="","",SUMIF($A$4:$A329,$A329,$J$4:$J329)-SUMIF($A$4:$A329,$A329,$K$4:$K329))</f>
        <v/>
      </c>
      <c r="M329" s="26" t="str">
        <f aca="false">IF($H329="","",N($H329))</f>
        <v/>
      </c>
      <c r="N329" s="26"/>
      <c r="O329" s="26"/>
      <c r="P329" s="26" t="str">
        <f aca="false">IF($A329="","",SUMIF($A$4:$A329,$A329,$M$4:$M329)-SUMIF($A$4:$A329,$A329,$N$4:$N329)-SUMIF($A$4:$A329,$A329,$O$4:$O329))</f>
        <v/>
      </c>
      <c r="Q329" s="27"/>
      <c r="R329" s="28"/>
      <c r="S329" s="28"/>
      <c r="T329" s="28" t="str">
        <f aca="false">IF($A329="","",SUMIF($A$4:$A329,$A329,$Q$4:$Q329)-SUMIF($A$4:$A329,$A329,$R$4:$R329)-SUMIF($A$4:$A329,$A329,$S$4:$S329))</f>
        <v/>
      </c>
      <c r="U329" s="28"/>
      <c r="V329" s="29" t="str">
        <f aca="false">IF(AND($C329="",COUNTA($D329:$H329,$K329,$N329:$O329,$Q329:$S329,$U329)=0),"",IF($C329="","⚠ 没填项目名称",IF($A329="⚠目录里没有","⚠ 项目名称在目录里找不到（先加到目录）",IF($A329="","⚠ 目录里这个项目没填简称",IF(ISTEXT($G329)+ISTEXT($H329)+ISTEXT($K329)+ISTEXT($N329)+ISTEXT($O329)+ISTEXT($Q329)+ISTEXT($R329)+ISTEXT($S329)&gt;0,"⚠ 金额列里有文字，算不进合计",IF(N($G329)&gt;=1,"⚠ 管理费点要填百分比，如 10%",IF(AND($D329&lt;&gt;"",$B329=""),"△ 摘要开头没写日期（如 2026.9.21），月份取不到",IF(AND(N($H329)&lt;&gt;0,COUNTIFS($A$4:$A$1003,$A329,$H$4:$H$1003,$H329,$D$4:$D$1003,LEFT($D329,9)&amp;"*")&gt;1),"△ 同一天同项目有一样的销售金额，看看是不是录重了","✓"))))))))</f>
        <v/>
      </c>
      <c r="W329" s="8" t="str">
        <f aca="false">IF($A329="","",$A329&amp;"#"&amp;COUNTIF($A$4:$A329,$A329))</f>
        <v/>
      </c>
    </row>
    <row r="330" customFormat="false" ht="16.5" hidden="false" customHeight="false" outlineLevel="0" collapsed="false">
      <c r="A330" s="44" t="str">
        <f aca="false">IF($C330="","",IFERROR(VLOOKUP($C330,目录!$B:$C,2,0)&amp;"","⚠目录里没有"))</f>
        <v/>
      </c>
      <c r="B330" s="45" t="str">
        <f aca="false">IF($D330="","",IFERROR(MID($D330,FIND(".",$D330)+1,FIND(".",$D330,FIND(".",$D330)+1)-FIND(".",$D330)-1)&amp;"月",""))</f>
        <v/>
      </c>
      <c r="C330" s="46"/>
      <c r="D330" s="47"/>
      <c r="E330" s="47"/>
      <c r="F330" s="49"/>
      <c r="G330" s="50"/>
      <c r="H330" s="24"/>
      <c r="I330" s="24" t="str">
        <f aca="false">IF($H330="","",N($H330)*N($G330))</f>
        <v/>
      </c>
      <c r="J330" s="25" t="str">
        <f aca="false">IF($H330="","",N($H330)-N($I330))</f>
        <v/>
      </c>
      <c r="K330" s="25"/>
      <c r="L330" s="25" t="str">
        <f aca="false">IF($A330="","",SUMIF($A$4:$A330,$A330,$J$4:$J330)-SUMIF($A$4:$A330,$A330,$K$4:$K330))</f>
        <v/>
      </c>
      <c r="M330" s="26" t="str">
        <f aca="false">IF($H330="","",N($H330))</f>
        <v/>
      </c>
      <c r="N330" s="26"/>
      <c r="O330" s="26"/>
      <c r="P330" s="26" t="str">
        <f aca="false">IF($A330="","",SUMIF($A$4:$A330,$A330,$M$4:$M330)-SUMIF($A$4:$A330,$A330,$N$4:$N330)-SUMIF($A$4:$A330,$A330,$O$4:$O330))</f>
        <v/>
      </c>
      <c r="Q330" s="27"/>
      <c r="R330" s="28"/>
      <c r="S330" s="28"/>
      <c r="T330" s="28" t="str">
        <f aca="false">IF($A330="","",SUMIF($A$4:$A330,$A330,$Q$4:$Q330)-SUMIF($A$4:$A330,$A330,$R$4:$R330)-SUMIF($A$4:$A330,$A330,$S$4:$S330))</f>
        <v/>
      </c>
      <c r="U330" s="28"/>
      <c r="V330" s="29" t="str">
        <f aca="false">IF(AND($C330="",COUNTA($D330:$H330,$K330,$N330:$O330,$Q330:$S330,$U330)=0),"",IF($C330="","⚠ 没填项目名称",IF($A330="⚠目录里没有","⚠ 项目名称在目录里找不到（先加到目录）",IF($A330="","⚠ 目录里这个项目没填简称",IF(ISTEXT($G330)+ISTEXT($H330)+ISTEXT($K330)+ISTEXT($N330)+ISTEXT($O330)+ISTEXT($Q330)+ISTEXT($R330)+ISTEXT($S330)&gt;0,"⚠ 金额列里有文字，算不进合计",IF(N($G330)&gt;=1,"⚠ 管理费点要填百分比，如 10%",IF(AND($D330&lt;&gt;"",$B330=""),"△ 摘要开头没写日期（如 2026.9.21），月份取不到",IF(AND(N($H330)&lt;&gt;0,COUNTIFS($A$4:$A$1003,$A330,$H$4:$H$1003,$H330,$D$4:$D$1003,LEFT($D330,9)&amp;"*")&gt;1),"△ 同一天同项目有一样的销售金额，看看是不是录重了","✓"))))))))</f>
        <v/>
      </c>
      <c r="W330" s="8" t="str">
        <f aca="false">IF($A330="","",$A330&amp;"#"&amp;COUNTIF($A$4:$A330,$A330))</f>
        <v/>
      </c>
    </row>
    <row r="331" customFormat="false" ht="16.5" hidden="false" customHeight="false" outlineLevel="0" collapsed="false">
      <c r="A331" s="44" t="str">
        <f aca="false">IF($C331="","",IFERROR(VLOOKUP($C331,目录!$B:$C,2,0)&amp;"","⚠目录里没有"))</f>
        <v/>
      </c>
      <c r="B331" s="45" t="str">
        <f aca="false">IF($D331="","",IFERROR(MID($D331,FIND(".",$D331)+1,FIND(".",$D331,FIND(".",$D331)+1)-FIND(".",$D331)-1)&amp;"月",""))</f>
        <v/>
      </c>
      <c r="C331" s="46"/>
      <c r="D331" s="47"/>
      <c r="E331" s="47"/>
      <c r="F331" s="49"/>
      <c r="G331" s="50"/>
      <c r="H331" s="24"/>
      <c r="I331" s="24" t="str">
        <f aca="false">IF($H331="","",N($H331)*N($G331))</f>
        <v/>
      </c>
      <c r="J331" s="25" t="str">
        <f aca="false">IF($H331="","",N($H331)-N($I331))</f>
        <v/>
      </c>
      <c r="K331" s="25"/>
      <c r="L331" s="25" t="str">
        <f aca="false">IF($A331="","",SUMIF($A$4:$A331,$A331,$J$4:$J331)-SUMIF($A$4:$A331,$A331,$K$4:$K331))</f>
        <v/>
      </c>
      <c r="M331" s="26" t="str">
        <f aca="false">IF($H331="","",N($H331))</f>
        <v/>
      </c>
      <c r="N331" s="26"/>
      <c r="O331" s="26"/>
      <c r="P331" s="26" t="str">
        <f aca="false">IF($A331="","",SUMIF($A$4:$A331,$A331,$M$4:$M331)-SUMIF($A$4:$A331,$A331,$N$4:$N331)-SUMIF($A$4:$A331,$A331,$O$4:$O331))</f>
        <v/>
      </c>
      <c r="Q331" s="27"/>
      <c r="R331" s="28"/>
      <c r="S331" s="28"/>
      <c r="T331" s="28" t="str">
        <f aca="false">IF($A331="","",SUMIF($A$4:$A331,$A331,$Q$4:$Q331)-SUMIF($A$4:$A331,$A331,$R$4:$R331)-SUMIF($A$4:$A331,$A331,$S$4:$S331))</f>
        <v/>
      </c>
      <c r="U331" s="28"/>
      <c r="V331" s="29" t="str">
        <f aca="false">IF(AND($C331="",COUNTA($D331:$H331,$K331,$N331:$O331,$Q331:$S331,$U331)=0),"",IF($C331="","⚠ 没填项目名称",IF($A331="⚠目录里没有","⚠ 项目名称在目录里找不到（先加到目录）",IF($A331="","⚠ 目录里这个项目没填简称",IF(ISTEXT($G331)+ISTEXT($H331)+ISTEXT($K331)+ISTEXT($N331)+ISTEXT($O331)+ISTEXT($Q331)+ISTEXT($R331)+ISTEXT($S331)&gt;0,"⚠ 金额列里有文字，算不进合计",IF(N($G331)&gt;=1,"⚠ 管理费点要填百分比，如 10%",IF(AND($D331&lt;&gt;"",$B331=""),"△ 摘要开头没写日期（如 2026.9.21），月份取不到",IF(AND(N($H331)&lt;&gt;0,COUNTIFS($A$4:$A$1003,$A331,$H$4:$H$1003,$H331,$D$4:$D$1003,LEFT($D331,9)&amp;"*")&gt;1),"△ 同一天同项目有一样的销售金额，看看是不是录重了","✓"))))))))</f>
        <v/>
      </c>
      <c r="W331" s="8" t="str">
        <f aca="false">IF($A331="","",$A331&amp;"#"&amp;COUNTIF($A$4:$A331,$A331))</f>
        <v/>
      </c>
    </row>
    <row r="332" customFormat="false" ht="16.5" hidden="false" customHeight="false" outlineLevel="0" collapsed="false">
      <c r="A332" s="44" t="str">
        <f aca="false">IF($C332="","",IFERROR(VLOOKUP($C332,目录!$B:$C,2,0)&amp;"","⚠目录里没有"))</f>
        <v/>
      </c>
      <c r="B332" s="45" t="str">
        <f aca="false">IF($D332="","",IFERROR(MID($D332,FIND(".",$D332)+1,FIND(".",$D332,FIND(".",$D332)+1)-FIND(".",$D332)-1)&amp;"月",""))</f>
        <v/>
      </c>
      <c r="C332" s="46"/>
      <c r="D332" s="47"/>
      <c r="E332" s="47"/>
      <c r="F332" s="49"/>
      <c r="G332" s="50"/>
      <c r="H332" s="24"/>
      <c r="I332" s="24" t="str">
        <f aca="false">IF($H332="","",N($H332)*N($G332))</f>
        <v/>
      </c>
      <c r="J332" s="25" t="str">
        <f aca="false">IF($H332="","",N($H332)-N($I332))</f>
        <v/>
      </c>
      <c r="K332" s="25"/>
      <c r="L332" s="25" t="str">
        <f aca="false">IF($A332="","",SUMIF($A$4:$A332,$A332,$J$4:$J332)-SUMIF($A$4:$A332,$A332,$K$4:$K332))</f>
        <v/>
      </c>
      <c r="M332" s="26" t="str">
        <f aca="false">IF($H332="","",N($H332))</f>
        <v/>
      </c>
      <c r="N332" s="26"/>
      <c r="O332" s="26"/>
      <c r="P332" s="26" t="str">
        <f aca="false">IF($A332="","",SUMIF($A$4:$A332,$A332,$M$4:$M332)-SUMIF($A$4:$A332,$A332,$N$4:$N332)-SUMIF($A$4:$A332,$A332,$O$4:$O332))</f>
        <v/>
      </c>
      <c r="Q332" s="27"/>
      <c r="R332" s="28"/>
      <c r="S332" s="28"/>
      <c r="T332" s="28" t="str">
        <f aca="false">IF($A332="","",SUMIF($A$4:$A332,$A332,$Q$4:$Q332)-SUMIF($A$4:$A332,$A332,$R$4:$R332)-SUMIF($A$4:$A332,$A332,$S$4:$S332))</f>
        <v/>
      </c>
      <c r="U332" s="28"/>
      <c r="V332" s="29" t="str">
        <f aca="false">IF(AND($C332="",COUNTA($D332:$H332,$K332,$N332:$O332,$Q332:$S332,$U332)=0),"",IF($C332="","⚠ 没填项目名称",IF($A332="⚠目录里没有","⚠ 项目名称在目录里找不到（先加到目录）",IF($A332="","⚠ 目录里这个项目没填简称",IF(ISTEXT($G332)+ISTEXT($H332)+ISTEXT($K332)+ISTEXT($N332)+ISTEXT($O332)+ISTEXT($Q332)+ISTEXT($R332)+ISTEXT($S332)&gt;0,"⚠ 金额列里有文字，算不进合计",IF(N($G332)&gt;=1,"⚠ 管理费点要填百分比，如 10%",IF(AND($D332&lt;&gt;"",$B332=""),"△ 摘要开头没写日期（如 2026.9.21），月份取不到",IF(AND(N($H332)&lt;&gt;0,COUNTIFS($A$4:$A$1003,$A332,$H$4:$H$1003,$H332,$D$4:$D$1003,LEFT($D332,9)&amp;"*")&gt;1),"△ 同一天同项目有一样的销售金额，看看是不是录重了","✓"))))))))</f>
        <v/>
      </c>
      <c r="W332" s="8" t="str">
        <f aca="false">IF($A332="","",$A332&amp;"#"&amp;COUNTIF($A$4:$A332,$A332))</f>
        <v/>
      </c>
    </row>
    <row r="333" customFormat="false" ht="16.5" hidden="false" customHeight="false" outlineLevel="0" collapsed="false">
      <c r="A333" s="44" t="str">
        <f aca="false">IF($C333="","",IFERROR(VLOOKUP($C333,目录!$B:$C,2,0)&amp;"","⚠目录里没有"))</f>
        <v/>
      </c>
      <c r="B333" s="45" t="str">
        <f aca="false">IF($D333="","",IFERROR(MID($D333,FIND(".",$D333)+1,FIND(".",$D333,FIND(".",$D333)+1)-FIND(".",$D333)-1)&amp;"月",""))</f>
        <v/>
      </c>
      <c r="C333" s="46"/>
      <c r="D333" s="47"/>
      <c r="E333" s="47"/>
      <c r="F333" s="49"/>
      <c r="G333" s="50"/>
      <c r="H333" s="24"/>
      <c r="I333" s="24" t="str">
        <f aca="false">IF($H333="","",N($H333)*N($G333))</f>
        <v/>
      </c>
      <c r="J333" s="25" t="str">
        <f aca="false">IF($H333="","",N($H333)-N($I333))</f>
        <v/>
      </c>
      <c r="K333" s="25"/>
      <c r="L333" s="25" t="str">
        <f aca="false">IF($A333="","",SUMIF($A$4:$A333,$A333,$J$4:$J333)-SUMIF($A$4:$A333,$A333,$K$4:$K333))</f>
        <v/>
      </c>
      <c r="M333" s="26" t="str">
        <f aca="false">IF($H333="","",N($H333))</f>
        <v/>
      </c>
      <c r="N333" s="26"/>
      <c r="O333" s="26"/>
      <c r="P333" s="26" t="str">
        <f aca="false">IF($A333="","",SUMIF($A$4:$A333,$A333,$M$4:$M333)-SUMIF($A$4:$A333,$A333,$N$4:$N333)-SUMIF($A$4:$A333,$A333,$O$4:$O333))</f>
        <v/>
      </c>
      <c r="Q333" s="27"/>
      <c r="R333" s="28"/>
      <c r="S333" s="28"/>
      <c r="T333" s="28" t="str">
        <f aca="false">IF($A333="","",SUMIF($A$4:$A333,$A333,$Q$4:$Q333)-SUMIF($A$4:$A333,$A333,$R$4:$R333)-SUMIF($A$4:$A333,$A333,$S$4:$S333))</f>
        <v/>
      </c>
      <c r="U333" s="28"/>
      <c r="V333" s="29" t="str">
        <f aca="false">IF(AND($C333="",COUNTA($D333:$H333,$K333,$N333:$O333,$Q333:$S333,$U333)=0),"",IF($C333="","⚠ 没填项目名称",IF($A333="⚠目录里没有","⚠ 项目名称在目录里找不到（先加到目录）",IF($A333="","⚠ 目录里这个项目没填简称",IF(ISTEXT($G333)+ISTEXT($H333)+ISTEXT($K333)+ISTEXT($N333)+ISTEXT($O333)+ISTEXT($Q333)+ISTEXT($R333)+ISTEXT($S333)&gt;0,"⚠ 金额列里有文字，算不进合计",IF(N($G333)&gt;=1,"⚠ 管理费点要填百分比，如 10%",IF(AND($D333&lt;&gt;"",$B333=""),"△ 摘要开头没写日期（如 2026.9.21），月份取不到",IF(AND(N($H333)&lt;&gt;0,COUNTIFS($A$4:$A$1003,$A333,$H$4:$H$1003,$H333,$D$4:$D$1003,LEFT($D333,9)&amp;"*")&gt;1),"△ 同一天同项目有一样的销售金额，看看是不是录重了","✓"))))))))</f>
        <v/>
      </c>
      <c r="W333" s="8" t="str">
        <f aca="false">IF($A333="","",$A333&amp;"#"&amp;COUNTIF($A$4:$A333,$A333))</f>
        <v/>
      </c>
    </row>
    <row r="334" customFormat="false" ht="16.5" hidden="false" customHeight="false" outlineLevel="0" collapsed="false">
      <c r="A334" s="44" t="str">
        <f aca="false">IF($C334="","",IFERROR(VLOOKUP($C334,目录!$B:$C,2,0)&amp;"","⚠目录里没有"))</f>
        <v/>
      </c>
      <c r="B334" s="45" t="str">
        <f aca="false">IF($D334="","",IFERROR(MID($D334,FIND(".",$D334)+1,FIND(".",$D334,FIND(".",$D334)+1)-FIND(".",$D334)-1)&amp;"月",""))</f>
        <v/>
      </c>
      <c r="C334" s="46"/>
      <c r="D334" s="47"/>
      <c r="E334" s="47"/>
      <c r="F334" s="49"/>
      <c r="G334" s="50"/>
      <c r="H334" s="24"/>
      <c r="I334" s="24" t="str">
        <f aca="false">IF($H334="","",N($H334)*N($G334))</f>
        <v/>
      </c>
      <c r="J334" s="25" t="str">
        <f aca="false">IF($H334="","",N($H334)-N($I334))</f>
        <v/>
      </c>
      <c r="K334" s="25"/>
      <c r="L334" s="25" t="str">
        <f aca="false">IF($A334="","",SUMIF($A$4:$A334,$A334,$J$4:$J334)-SUMIF($A$4:$A334,$A334,$K$4:$K334))</f>
        <v/>
      </c>
      <c r="M334" s="26" t="str">
        <f aca="false">IF($H334="","",N($H334))</f>
        <v/>
      </c>
      <c r="N334" s="26"/>
      <c r="O334" s="26"/>
      <c r="P334" s="26" t="str">
        <f aca="false">IF($A334="","",SUMIF($A$4:$A334,$A334,$M$4:$M334)-SUMIF($A$4:$A334,$A334,$N$4:$N334)-SUMIF($A$4:$A334,$A334,$O$4:$O334))</f>
        <v/>
      </c>
      <c r="Q334" s="27"/>
      <c r="R334" s="28"/>
      <c r="S334" s="28"/>
      <c r="T334" s="28" t="str">
        <f aca="false">IF($A334="","",SUMIF($A$4:$A334,$A334,$Q$4:$Q334)-SUMIF($A$4:$A334,$A334,$R$4:$R334)-SUMIF($A$4:$A334,$A334,$S$4:$S334))</f>
        <v/>
      </c>
      <c r="U334" s="28"/>
      <c r="V334" s="29" t="str">
        <f aca="false">IF(AND($C334="",COUNTA($D334:$H334,$K334,$N334:$O334,$Q334:$S334,$U334)=0),"",IF($C334="","⚠ 没填项目名称",IF($A334="⚠目录里没有","⚠ 项目名称在目录里找不到（先加到目录）",IF($A334="","⚠ 目录里这个项目没填简称",IF(ISTEXT($G334)+ISTEXT($H334)+ISTEXT($K334)+ISTEXT($N334)+ISTEXT($O334)+ISTEXT($Q334)+ISTEXT($R334)+ISTEXT($S334)&gt;0,"⚠ 金额列里有文字，算不进合计",IF(N($G334)&gt;=1,"⚠ 管理费点要填百分比，如 10%",IF(AND($D334&lt;&gt;"",$B334=""),"△ 摘要开头没写日期（如 2026.9.21），月份取不到",IF(AND(N($H334)&lt;&gt;0,COUNTIFS($A$4:$A$1003,$A334,$H$4:$H$1003,$H334,$D$4:$D$1003,LEFT($D334,9)&amp;"*")&gt;1),"△ 同一天同项目有一样的销售金额，看看是不是录重了","✓"))))))))</f>
        <v/>
      </c>
      <c r="W334" s="8" t="str">
        <f aca="false">IF($A334="","",$A334&amp;"#"&amp;COUNTIF($A$4:$A334,$A334))</f>
        <v/>
      </c>
    </row>
    <row r="335" customFormat="false" ht="16.5" hidden="false" customHeight="false" outlineLevel="0" collapsed="false">
      <c r="A335" s="44" t="str">
        <f aca="false">IF($C335="","",IFERROR(VLOOKUP($C335,目录!$B:$C,2,0)&amp;"","⚠目录里没有"))</f>
        <v/>
      </c>
      <c r="B335" s="45" t="str">
        <f aca="false">IF($D335="","",IFERROR(MID($D335,FIND(".",$D335)+1,FIND(".",$D335,FIND(".",$D335)+1)-FIND(".",$D335)-1)&amp;"月",""))</f>
        <v/>
      </c>
      <c r="C335" s="46"/>
      <c r="D335" s="47"/>
      <c r="E335" s="47"/>
      <c r="F335" s="49"/>
      <c r="G335" s="50"/>
      <c r="H335" s="24"/>
      <c r="I335" s="24" t="str">
        <f aca="false">IF($H335="","",N($H335)*N($G335))</f>
        <v/>
      </c>
      <c r="J335" s="25" t="str">
        <f aca="false">IF($H335="","",N($H335)-N($I335))</f>
        <v/>
      </c>
      <c r="K335" s="25"/>
      <c r="L335" s="25" t="str">
        <f aca="false">IF($A335="","",SUMIF($A$4:$A335,$A335,$J$4:$J335)-SUMIF($A$4:$A335,$A335,$K$4:$K335))</f>
        <v/>
      </c>
      <c r="M335" s="26" t="str">
        <f aca="false">IF($H335="","",N($H335))</f>
        <v/>
      </c>
      <c r="N335" s="26"/>
      <c r="O335" s="26"/>
      <c r="P335" s="26" t="str">
        <f aca="false">IF($A335="","",SUMIF($A$4:$A335,$A335,$M$4:$M335)-SUMIF($A$4:$A335,$A335,$N$4:$N335)-SUMIF($A$4:$A335,$A335,$O$4:$O335))</f>
        <v/>
      </c>
      <c r="Q335" s="27"/>
      <c r="R335" s="28"/>
      <c r="S335" s="28"/>
      <c r="T335" s="28" t="str">
        <f aca="false">IF($A335="","",SUMIF($A$4:$A335,$A335,$Q$4:$Q335)-SUMIF($A$4:$A335,$A335,$R$4:$R335)-SUMIF($A$4:$A335,$A335,$S$4:$S335))</f>
        <v/>
      </c>
      <c r="U335" s="28"/>
      <c r="V335" s="29" t="str">
        <f aca="false">IF(AND($C335="",COUNTA($D335:$H335,$K335,$N335:$O335,$Q335:$S335,$U335)=0),"",IF($C335="","⚠ 没填项目名称",IF($A335="⚠目录里没有","⚠ 项目名称在目录里找不到（先加到目录）",IF($A335="","⚠ 目录里这个项目没填简称",IF(ISTEXT($G335)+ISTEXT($H335)+ISTEXT($K335)+ISTEXT($N335)+ISTEXT($O335)+ISTEXT($Q335)+ISTEXT($R335)+ISTEXT($S335)&gt;0,"⚠ 金额列里有文字，算不进合计",IF(N($G335)&gt;=1,"⚠ 管理费点要填百分比，如 10%",IF(AND($D335&lt;&gt;"",$B335=""),"△ 摘要开头没写日期（如 2026.9.21），月份取不到",IF(AND(N($H335)&lt;&gt;0,COUNTIFS($A$4:$A$1003,$A335,$H$4:$H$1003,$H335,$D$4:$D$1003,LEFT($D335,9)&amp;"*")&gt;1),"△ 同一天同项目有一样的销售金额，看看是不是录重了","✓"))))))))</f>
        <v/>
      </c>
      <c r="W335" s="8" t="str">
        <f aca="false">IF($A335="","",$A335&amp;"#"&amp;COUNTIF($A$4:$A335,$A335))</f>
        <v/>
      </c>
    </row>
    <row r="336" customFormat="false" ht="16.5" hidden="false" customHeight="false" outlineLevel="0" collapsed="false">
      <c r="A336" s="44" t="str">
        <f aca="false">IF($C336="","",IFERROR(VLOOKUP($C336,目录!$B:$C,2,0)&amp;"","⚠目录里没有"))</f>
        <v/>
      </c>
      <c r="B336" s="45" t="str">
        <f aca="false">IF($D336="","",IFERROR(MID($D336,FIND(".",$D336)+1,FIND(".",$D336,FIND(".",$D336)+1)-FIND(".",$D336)-1)&amp;"月",""))</f>
        <v/>
      </c>
      <c r="C336" s="46"/>
      <c r="D336" s="47"/>
      <c r="E336" s="47"/>
      <c r="F336" s="49"/>
      <c r="G336" s="50"/>
      <c r="H336" s="24"/>
      <c r="I336" s="24" t="str">
        <f aca="false">IF($H336="","",N($H336)*N($G336))</f>
        <v/>
      </c>
      <c r="J336" s="25" t="str">
        <f aca="false">IF($H336="","",N($H336)-N($I336))</f>
        <v/>
      </c>
      <c r="K336" s="25"/>
      <c r="L336" s="25" t="str">
        <f aca="false">IF($A336="","",SUMIF($A$4:$A336,$A336,$J$4:$J336)-SUMIF($A$4:$A336,$A336,$K$4:$K336))</f>
        <v/>
      </c>
      <c r="M336" s="26" t="str">
        <f aca="false">IF($H336="","",N($H336))</f>
        <v/>
      </c>
      <c r="N336" s="26"/>
      <c r="O336" s="26"/>
      <c r="P336" s="26" t="str">
        <f aca="false">IF($A336="","",SUMIF($A$4:$A336,$A336,$M$4:$M336)-SUMIF($A$4:$A336,$A336,$N$4:$N336)-SUMIF($A$4:$A336,$A336,$O$4:$O336))</f>
        <v/>
      </c>
      <c r="Q336" s="27"/>
      <c r="R336" s="28"/>
      <c r="S336" s="28"/>
      <c r="T336" s="28" t="str">
        <f aca="false">IF($A336="","",SUMIF($A$4:$A336,$A336,$Q$4:$Q336)-SUMIF($A$4:$A336,$A336,$R$4:$R336)-SUMIF($A$4:$A336,$A336,$S$4:$S336))</f>
        <v/>
      </c>
      <c r="U336" s="28"/>
      <c r="V336" s="29" t="str">
        <f aca="false">IF(AND($C336="",COUNTA($D336:$H336,$K336,$N336:$O336,$Q336:$S336,$U336)=0),"",IF($C336="","⚠ 没填项目名称",IF($A336="⚠目录里没有","⚠ 项目名称在目录里找不到（先加到目录）",IF($A336="","⚠ 目录里这个项目没填简称",IF(ISTEXT($G336)+ISTEXT($H336)+ISTEXT($K336)+ISTEXT($N336)+ISTEXT($O336)+ISTEXT($Q336)+ISTEXT($R336)+ISTEXT($S336)&gt;0,"⚠ 金额列里有文字，算不进合计",IF(N($G336)&gt;=1,"⚠ 管理费点要填百分比，如 10%",IF(AND($D336&lt;&gt;"",$B336=""),"△ 摘要开头没写日期（如 2026.9.21），月份取不到",IF(AND(N($H336)&lt;&gt;0,COUNTIFS($A$4:$A$1003,$A336,$H$4:$H$1003,$H336,$D$4:$D$1003,LEFT($D336,9)&amp;"*")&gt;1),"△ 同一天同项目有一样的销售金额，看看是不是录重了","✓"))))))))</f>
        <v/>
      </c>
      <c r="W336" s="8" t="str">
        <f aca="false">IF($A336="","",$A336&amp;"#"&amp;COUNTIF($A$4:$A336,$A336))</f>
        <v/>
      </c>
    </row>
    <row r="337" customFormat="false" ht="16.5" hidden="false" customHeight="false" outlineLevel="0" collapsed="false">
      <c r="A337" s="44" t="str">
        <f aca="false">IF($C337="","",IFERROR(VLOOKUP($C337,目录!$B:$C,2,0)&amp;"","⚠目录里没有"))</f>
        <v/>
      </c>
      <c r="B337" s="45" t="str">
        <f aca="false">IF($D337="","",IFERROR(MID($D337,FIND(".",$D337)+1,FIND(".",$D337,FIND(".",$D337)+1)-FIND(".",$D337)-1)&amp;"月",""))</f>
        <v/>
      </c>
      <c r="C337" s="46"/>
      <c r="D337" s="47"/>
      <c r="E337" s="47"/>
      <c r="F337" s="49"/>
      <c r="G337" s="50"/>
      <c r="H337" s="24"/>
      <c r="I337" s="24" t="str">
        <f aca="false">IF($H337="","",N($H337)*N($G337))</f>
        <v/>
      </c>
      <c r="J337" s="25" t="str">
        <f aca="false">IF($H337="","",N($H337)-N($I337))</f>
        <v/>
      </c>
      <c r="K337" s="25"/>
      <c r="L337" s="25" t="str">
        <f aca="false">IF($A337="","",SUMIF($A$4:$A337,$A337,$J$4:$J337)-SUMIF($A$4:$A337,$A337,$K$4:$K337))</f>
        <v/>
      </c>
      <c r="M337" s="26" t="str">
        <f aca="false">IF($H337="","",N($H337))</f>
        <v/>
      </c>
      <c r="N337" s="26"/>
      <c r="O337" s="26"/>
      <c r="P337" s="26" t="str">
        <f aca="false">IF($A337="","",SUMIF($A$4:$A337,$A337,$M$4:$M337)-SUMIF($A$4:$A337,$A337,$N$4:$N337)-SUMIF($A$4:$A337,$A337,$O$4:$O337))</f>
        <v/>
      </c>
      <c r="Q337" s="27"/>
      <c r="R337" s="28"/>
      <c r="S337" s="28"/>
      <c r="T337" s="28" t="str">
        <f aca="false">IF($A337="","",SUMIF($A$4:$A337,$A337,$Q$4:$Q337)-SUMIF($A$4:$A337,$A337,$R$4:$R337)-SUMIF($A$4:$A337,$A337,$S$4:$S337))</f>
        <v/>
      </c>
      <c r="U337" s="28"/>
      <c r="V337" s="29" t="str">
        <f aca="false">IF(AND($C337="",COUNTA($D337:$H337,$K337,$N337:$O337,$Q337:$S337,$U337)=0),"",IF($C337="","⚠ 没填项目名称",IF($A337="⚠目录里没有","⚠ 项目名称在目录里找不到（先加到目录）",IF($A337="","⚠ 目录里这个项目没填简称",IF(ISTEXT($G337)+ISTEXT($H337)+ISTEXT($K337)+ISTEXT($N337)+ISTEXT($O337)+ISTEXT($Q337)+ISTEXT($R337)+ISTEXT($S337)&gt;0,"⚠ 金额列里有文字，算不进合计",IF(N($G337)&gt;=1,"⚠ 管理费点要填百分比，如 10%",IF(AND($D337&lt;&gt;"",$B337=""),"△ 摘要开头没写日期（如 2026.9.21），月份取不到",IF(AND(N($H337)&lt;&gt;0,COUNTIFS($A$4:$A$1003,$A337,$H$4:$H$1003,$H337,$D$4:$D$1003,LEFT($D337,9)&amp;"*")&gt;1),"△ 同一天同项目有一样的销售金额，看看是不是录重了","✓"))))))))</f>
        <v/>
      </c>
      <c r="W337" s="8" t="str">
        <f aca="false">IF($A337="","",$A337&amp;"#"&amp;COUNTIF($A$4:$A337,$A337))</f>
        <v/>
      </c>
    </row>
    <row r="338" customFormat="false" ht="16.5" hidden="false" customHeight="false" outlineLevel="0" collapsed="false">
      <c r="A338" s="44" t="str">
        <f aca="false">IF($C338="","",IFERROR(VLOOKUP($C338,目录!$B:$C,2,0)&amp;"","⚠目录里没有"))</f>
        <v/>
      </c>
      <c r="B338" s="45" t="str">
        <f aca="false">IF($D338="","",IFERROR(MID($D338,FIND(".",$D338)+1,FIND(".",$D338,FIND(".",$D338)+1)-FIND(".",$D338)-1)&amp;"月",""))</f>
        <v/>
      </c>
      <c r="C338" s="46"/>
      <c r="D338" s="47"/>
      <c r="E338" s="47"/>
      <c r="F338" s="49"/>
      <c r="G338" s="50"/>
      <c r="H338" s="24"/>
      <c r="I338" s="24" t="str">
        <f aca="false">IF($H338="","",N($H338)*N($G338))</f>
        <v/>
      </c>
      <c r="J338" s="25" t="str">
        <f aca="false">IF($H338="","",N($H338)-N($I338))</f>
        <v/>
      </c>
      <c r="K338" s="25"/>
      <c r="L338" s="25" t="str">
        <f aca="false">IF($A338="","",SUMIF($A$4:$A338,$A338,$J$4:$J338)-SUMIF($A$4:$A338,$A338,$K$4:$K338))</f>
        <v/>
      </c>
      <c r="M338" s="26" t="str">
        <f aca="false">IF($H338="","",N($H338))</f>
        <v/>
      </c>
      <c r="N338" s="26"/>
      <c r="O338" s="26"/>
      <c r="P338" s="26" t="str">
        <f aca="false">IF($A338="","",SUMIF($A$4:$A338,$A338,$M$4:$M338)-SUMIF($A$4:$A338,$A338,$N$4:$N338)-SUMIF($A$4:$A338,$A338,$O$4:$O338))</f>
        <v/>
      </c>
      <c r="Q338" s="27"/>
      <c r="R338" s="28"/>
      <c r="S338" s="28"/>
      <c r="T338" s="28" t="str">
        <f aca="false">IF($A338="","",SUMIF($A$4:$A338,$A338,$Q$4:$Q338)-SUMIF($A$4:$A338,$A338,$R$4:$R338)-SUMIF($A$4:$A338,$A338,$S$4:$S338))</f>
        <v/>
      </c>
      <c r="U338" s="28"/>
      <c r="V338" s="29" t="str">
        <f aca="false">IF(AND($C338="",COUNTA($D338:$H338,$K338,$N338:$O338,$Q338:$S338,$U338)=0),"",IF($C338="","⚠ 没填项目名称",IF($A338="⚠目录里没有","⚠ 项目名称在目录里找不到（先加到目录）",IF($A338="","⚠ 目录里这个项目没填简称",IF(ISTEXT($G338)+ISTEXT($H338)+ISTEXT($K338)+ISTEXT($N338)+ISTEXT($O338)+ISTEXT($Q338)+ISTEXT($R338)+ISTEXT($S338)&gt;0,"⚠ 金额列里有文字，算不进合计",IF(N($G338)&gt;=1,"⚠ 管理费点要填百分比，如 10%",IF(AND($D338&lt;&gt;"",$B338=""),"△ 摘要开头没写日期（如 2026.9.21），月份取不到",IF(AND(N($H338)&lt;&gt;0,COUNTIFS($A$4:$A$1003,$A338,$H$4:$H$1003,$H338,$D$4:$D$1003,LEFT($D338,9)&amp;"*")&gt;1),"△ 同一天同项目有一样的销售金额，看看是不是录重了","✓"))))))))</f>
        <v/>
      </c>
      <c r="W338" s="8" t="str">
        <f aca="false">IF($A338="","",$A338&amp;"#"&amp;COUNTIF($A$4:$A338,$A338))</f>
        <v/>
      </c>
    </row>
    <row r="339" customFormat="false" ht="16.5" hidden="false" customHeight="false" outlineLevel="0" collapsed="false">
      <c r="A339" s="44" t="str">
        <f aca="false">IF($C339="","",IFERROR(VLOOKUP($C339,目录!$B:$C,2,0)&amp;"","⚠目录里没有"))</f>
        <v/>
      </c>
      <c r="B339" s="45" t="str">
        <f aca="false">IF($D339="","",IFERROR(MID($D339,FIND(".",$D339)+1,FIND(".",$D339,FIND(".",$D339)+1)-FIND(".",$D339)-1)&amp;"月",""))</f>
        <v/>
      </c>
      <c r="C339" s="46"/>
      <c r="D339" s="47"/>
      <c r="E339" s="47"/>
      <c r="F339" s="49"/>
      <c r="G339" s="50"/>
      <c r="H339" s="24"/>
      <c r="I339" s="24" t="str">
        <f aca="false">IF($H339="","",N($H339)*N($G339))</f>
        <v/>
      </c>
      <c r="J339" s="25" t="str">
        <f aca="false">IF($H339="","",N($H339)-N($I339))</f>
        <v/>
      </c>
      <c r="K339" s="25"/>
      <c r="L339" s="25" t="str">
        <f aca="false">IF($A339="","",SUMIF($A$4:$A339,$A339,$J$4:$J339)-SUMIF($A$4:$A339,$A339,$K$4:$K339))</f>
        <v/>
      </c>
      <c r="M339" s="26" t="str">
        <f aca="false">IF($H339="","",N($H339))</f>
        <v/>
      </c>
      <c r="N339" s="26"/>
      <c r="O339" s="26"/>
      <c r="P339" s="26" t="str">
        <f aca="false">IF($A339="","",SUMIF($A$4:$A339,$A339,$M$4:$M339)-SUMIF($A$4:$A339,$A339,$N$4:$N339)-SUMIF($A$4:$A339,$A339,$O$4:$O339))</f>
        <v/>
      </c>
      <c r="Q339" s="27"/>
      <c r="R339" s="28"/>
      <c r="S339" s="28"/>
      <c r="T339" s="28" t="str">
        <f aca="false">IF($A339="","",SUMIF($A$4:$A339,$A339,$Q$4:$Q339)-SUMIF($A$4:$A339,$A339,$R$4:$R339)-SUMIF($A$4:$A339,$A339,$S$4:$S339))</f>
        <v/>
      </c>
      <c r="U339" s="28"/>
      <c r="V339" s="29" t="str">
        <f aca="false">IF(AND($C339="",COUNTA($D339:$H339,$K339,$N339:$O339,$Q339:$S339,$U339)=0),"",IF($C339="","⚠ 没填项目名称",IF($A339="⚠目录里没有","⚠ 项目名称在目录里找不到（先加到目录）",IF($A339="","⚠ 目录里这个项目没填简称",IF(ISTEXT($G339)+ISTEXT($H339)+ISTEXT($K339)+ISTEXT($N339)+ISTEXT($O339)+ISTEXT($Q339)+ISTEXT($R339)+ISTEXT($S339)&gt;0,"⚠ 金额列里有文字，算不进合计",IF(N($G339)&gt;=1,"⚠ 管理费点要填百分比，如 10%",IF(AND($D339&lt;&gt;"",$B339=""),"△ 摘要开头没写日期（如 2026.9.21），月份取不到",IF(AND(N($H339)&lt;&gt;0,COUNTIFS($A$4:$A$1003,$A339,$H$4:$H$1003,$H339,$D$4:$D$1003,LEFT($D339,9)&amp;"*")&gt;1),"△ 同一天同项目有一样的销售金额，看看是不是录重了","✓"))))))))</f>
        <v/>
      </c>
      <c r="W339" s="8" t="str">
        <f aca="false">IF($A339="","",$A339&amp;"#"&amp;COUNTIF($A$4:$A339,$A339))</f>
        <v/>
      </c>
    </row>
    <row r="340" customFormat="false" ht="16.5" hidden="false" customHeight="false" outlineLevel="0" collapsed="false">
      <c r="A340" s="44" t="str">
        <f aca="false">IF($C340="","",IFERROR(VLOOKUP($C340,目录!$B:$C,2,0)&amp;"","⚠目录里没有"))</f>
        <v/>
      </c>
      <c r="B340" s="45" t="str">
        <f aca="false">IF($D340="","",IFERROR(MID($D340,FIND(".",$D340)+1,FIND(".",$D340,FIND(".",$D340)+1)-FIND(".",$D340)-1)&amp;"月",""))</f>
        <v/>
      </c>
      <c r="C340" s="46"/>
      <c r="D340" s="47"/>
      <c r="E340" s="47"/>
      <c r="F340" s="49"/>
      <c r="G340" s="50"/>
      <c r="H340" s="24"/>
      <c r="I340" s="24" t="str">
        <f aca="false">IF($H340="","",N($H340)*N($G340))</f>
        <v/>
      </c>
      <c r="J340" s="25" t="str">
        <f aca="false">IF($H340="","",N($H340)-N($I340))</f>
        <v/>
      </c>
      <c r="K340" s="25"/>
      <c r="L340" s="25" t="str">
        <f aca="false">IF($A340="","",SUMIF($A$4:$A340,$A340,$J$4:$J340)-SUMIF($A$4:$A340,$A340,$K$4:$K340))</f>
        <v/>
      </c>
      <c r="M340" s="26" t="str">
        <f aca="false">IF($H340="","",N($H340))</f>
        <v/>
      </c>
      <c r="N340" s="26"/>
      <c r="O340" s="26"/>
      <c r="P340" s="26" t="str">
        <f aca="false">IF($A340="","",SUMIF($A$4:$A340,$A340,$M$4:$M340)-SUMIF($A$4:$A340,$A340,$N$4:$N340)-SUMIF($A$4:$A340,$A340,$O$4:$O340))</f>
        <v/>
      </c>
      <c r="Q340" s="27"/>
      <c r="R340" s="28"/>
      <c r="S340" s="28"/>
      <c r="T340" s="28" t="str">
        <f aca="false">IF($A340="","",SUMIF($A$4:$A340,$A340,$Q$4:$Q340)-SUMIF($A$4:$A340,$A340,$R$4:$R340)-SUMIF($A$4:$A340,$A340,$S$4:$S340))</f>
        <v/>
      </c>
      <c r="U340" s="28"/>
      <c r="V340" s="29" t="str">
        <f aca="false">IF(AND($C340="",COUNTA($D340:$H340,$K340,$N340:$O340,$Q340:$S340,$U340)=0),"",IF($C340="","⚠ 没填项目名称",IF($A340="⚠目录里没有","⚠ 项目名称在目录里找不到（先加到目录）",IF($A340="","⚠ 目录里这个项目没填简称",IF(ISTEXT($G340)+ISTEXT($H340)+ISTEXT($K340)+ISTEXT($N340)+ISTEXT($O340)+ISTEXT($Q340)+ISTEXT($R340)+ISTEXT($S340)&gt;0,"⚠ 金额列里有文字，算不进合计",IF(N($G340)&gt;=1,"⚠ 管理费点要填百分比，如 10%",IF(AND($D340&lt;&gt;"",$B340=""),"△ 摘要开头没写日期（如 2026.9.21），月份取不到",IF(AND(N($H340)&lt;&gt;0,COUNTIFS($A$4:$A$1003,$A340,$H$4:$H$1003,$H340,$D$4:$D$1003,LEFT($D340,9)&amp;"*")&gt;1),"△ 同一天同项目有一样的销售金额，看看是不是录重了","✓"))))))))</f>
        <v/>
      </c>
      <c r="W340" s="8" t="str">
        <f aca="false">IF($A340="","",$A340&amp;"#"&amp;COUNTIF($A$4:$A340,$A340))</f>
        <v/>
      </c>
    </row>
    <row r="341" customFormat="false" ht="16.5" hidden="false" customHeight="false" outlineLevel="0" collapsed="false">
      <c r="A341" s="44" t="str">
        <f aca="false">IF($C341="","",IFERROR(VLOOKUP($C341,目录!$B:$C,2,0)&amp;"","⚠目录里没有"))</f>
        <v/>
      </c>
      <c r="B341" s="45" t="str">
        <f aca="false">IF($D341="","",IFERROR(MID($D341,FIND(".",$D341)+1,FIND(".",$D341,FIND(".",$D341)+1)-FIND(".",$D341)-1)&amp;"月",""))</f>
        <v/>
      </c>
      <c r="C341" s="46"/>
      <c r="D341" s="47"/>
      <c r="E341" s="47"/>
      <c r="F341" s="49"/>
      <c r="G341" s="50"/>
      <c r="H341" s="24"/>
      <c r="I341" s="24" t="str">
        <f aca="false">IF($H341="","",N($H341)*N($G341))</f>
        <v/>
      </c>
      <c r="J341" s="25" t="str">
        <f aca="false">IF($H341="","",N($H341)-N($I341))</f>
        <v/>
      </c>
      <c r="K341" s="25"/>
      <c r="L341" s="25" t="str">
        <f aca="false">IF($A341="","",SUMIF($A$4:$A341,$A341,$J$4:$J341)-SUMIF($A$4:$A341,$A341,$K$4:$K341))</f>
        <v/>
      </c>
      <c r="M341" s="26" t="str">
        <f aca="false">IF($H341="","",N($H341))</f>
        <v/>
      </c>
      <c r="N341" s="26"/>
      <c r="O341" s="26"/>
      <c r="P341" s="26" t="str">
        <f aca="false">IF($A341="","",SUMIF($A$4:$A341,$A341,$M$4:$M341)-SUMIF($A$4:$A341,$A341,$N$4:$N341)-SUMIF($A$4:$A341,$A341,$O$4:$O341))</f>
        <v/>
      </c>
      <c r="Q341" s="27"/>
      <c r="R341" s="28"/>
      <c r="S341" s="28"/>
      <c r="T341" s="28" t="str">
        <f aca="false">IF($A341="","",SUMIF($A$4:$A341,$A341,$Q$4:$Q341)-SUMIF($A$4:$A341,$A341,$R$4:$R341)-SUMIF($A$4:$A341,$A341,$S$4:$S341))</f>
        <v/>
      </c>
      <c r="U341" s="28"/>
      <c r="V341" s="29" t="str">
        <f aca="false">IF(AND($C341="",COUNTA($D341:$H341,$K341,$N341:$O341,$Q341:$S341,$U341)=0),"",IF($C341="","⚠ 没填项目名称",IF($A341="⚠目录里没有","⚠ 项目名称在目录里找不到（先加到目录）",IF($A341="","⚠ 目录里这个项目没填简称",IF(ISTEXT($G341)+ISTEXT($H341)+ISTEXT($K341)+ISTEXT($N341)+ISTEXT($O341)+ISTEXT($Q341)+ISTEXT($R341)+ISTEXT($S341)&gt;0,"⚠ 金额列里有文字，算不进合计",IF(N($G341)&gt;=1,"⚠ 管理费点要填百分比，如 10%",IF(AND($D341&lt;&gt;"",$B341=""),"△ 摘要开头没写日期（如 2026.9.21），月份取不到",IF(AND(N($H341)&lt;&gt;0,COUNTIFS($A$4:$A$1003,$A341,$H$4:$H$1003,$H341,$D$4:$D$1003,LEFT($D341,9)&amp;"*")&gt;1),"△ 同一天同项目有一样的销售金额，看看是不是录重了","✓"))))))))</f>
        <v/>
      </c>
      <c r="W341" s="8" t="str">
        <f aca="false">IF($A341="","",$A341&amp;"#"&amp;COUNTIF($A$4:$A341,$A341))</f>
        <v/>
      </c>
    </row>
    <row r="342" customFormat="false" ht="16.5" hidden="false" customHeight="false" outlineLevel="0" collapsed="false">
      <c r="A342" s="44" t="str">
        <f aca="false">IF($C342="","",IFERROR(VLOOKUP($C342,目录!$B:$C,2,0)&amp;"","⚠目录里没有"))</f>
        <v/>
      </c>
      <c r="B342" s="45" t="str">
        <f aca="false">IF($D342="","",IFERROR(MID($D342,FIND(".",$D342)+1,FIND(".",$D342,FIND(".",$D342)+1)-FIND(".",$D342)-1)&amp;"月",""))</f>
        <v/>
      </c>
      <c r="C342" s="46"/>
      <c r="D342" s="47"/>
      <c r="E342" s="47"/>
      <c r="F342" s="49"/>
      <c r="G342" s="50"/>
      <c r="H342" s="24"/>
      <c r="I342" s="24" t="str">
        <f aca="false">IF($H342="","",N($H342)*N($G342))</f>
        <v/>
      </c>
      <c r="J342" s="25" t="str">
        <f aca="false">IF($H342="","",N($H342)-N($I342))</f>
        <v/>
      </c>
      <c r="K342" s="25"/>
      <c r="L342" s="25" t="str">
        <f aca="false">IF($A342="","",SUMIF($A$4:$A342,$A342,$J$4:$J342)-SUMIF($A$4:$A342,$A342,$K$4:$K342))</f>
        <v/>
      </c>
      <c r="M342" s="26" t="str">
        <f aca="false">IF($H342="","",N($H342))</f>
        <v/>
      </c>
      <c r="N342" s="26"/>
      <c r="O342" s="26"/>
      <c r="P342" s="26" t="str">
        <f aca="false">IF($A342="","",SUMIF($A$4:$A342,$A342,$M$4:$M342)-SUMIF($A$4:$A342,$A342,$N$4:$N342)-SUMIF($A$4:$A342,$A342,$O$4:$O342))</f>
        <v/>
      </c>
      <c r="Q342" s="27"/>
      <c r="R342" s="28"/>
      <c r="S342" s="28"/>
      <c r="T342" s="28" t="str">
        <f aca="false">IF($A342="","",SUMIF($A$4:$A342,$A342,$Q$4:$Q342)-SUMIF($A$4:$A342,$A342,$R$4:$R342)-SUMIF($A$4:$A342,$A342,$S$4:$S342))</f>
        <v/>
      </c>
      <c r="U342" s="28"/>
      <c r="V342" s="29" t="str">
        <f aca="false">IF(AND($C342="",COUNTA($D342:$H342,$K342,$N342:$O342,$Q342:$S342,$U342)=0),"",IF($C342="","⚠ 没填项目名称",IF($A342="⚠目录里没有","⚠ 项目名称在目录里找不到（先加到目录）",IF($A342="","⚠ 目录里这个项目没填简称",IF(ISTEXT($G342)+ISTEXT($H342)+ISTEXT($K342)+ISTEXT($N342)+ISTEXT($O342)+ISTEXT($Q342)+ISTEXT($R342)+ISTEXT($S342)&gt;0,"⚠ 金额列里有文字，算不进合计",IF(N($G342)&gt;=1,"⚠ 管理费点要填百分比，如 10%",IF(AND($D342&lt;&gt;"",$B342=""),"△ 摘要开头没写日期（如 2026.9.21），月份取不到",IF(AND(N($H342)&lt;&gt;0,COUNTIFS($A$4:$A$1003,$A342,$H$4:$H$1003,$H342,$D$4:$D$1003,LEFT($D342,9)&amp;"*")&gt;1),"△ 同一天同项目有一样的销售金额，看看是不是录重了","✓"))))))))</f>
        <v/>
      </c>
      <c r="W342" s="8" t="str">
        <f aca="false">IF($A342="","",$A342&amp;"#"&amp;COUNTIF($A$4:$A342,$A342))</f>
        <v/>
      </c>
    </row>
    <row r="343" customFormat="false" ht="16.5" hidden="false" customHeight="false" outlineLevel="0" collapsed="false">
      <c r="A343" s="44" t="str">
        <f aca="false">IF($C343="","",IFERROR(VLOOKUP($C343,目录!$B:$C,2,0)&amp;"","⚠目录里没有"))</f>
        <v/>
      </c>
      <c r="B343" s="45" t="str">
        <f aca="false">IF($D343="","",IFERROR(MID($D343,FIND(".",$D343)+1,FIND(".",$D343,FIND(".",$D343)+1)-FIND(".",$D343)-1)&amp;"月",""))</f>
        <v/>
      </c>
      <c r="C343" s="46"/>
      <c r="D343" s="47"/>
      <c r="E343" s="47"/>
      <c r="F343" s="49"/>
      <c r="G343" s="50"/>
      <c r="H343" s="24"/>
      <c r="I343" s="24" t="str">
        <f aca="false">IF($H343="","",N($H343)*N($G343))</f>
        <v/>
      </c>
      <c r="J343" s="25" t="str">
        <f aca="false">IF($H343="","",N($H343)-N($I343))</f>
        <v/>
      </c>
      <c r="K343" s="25"/>
      <c r="L343" s="25" t="str">
        <f aca="false">IF($A343="","",SUMIF($A$4:$A343,$A343,$J$4:$J343)-SUMIF($A$4:$A343,$A343,$K$4:$K343))</f>
        <v/>
      </c>
      <c r="M343" s="26" t="str">
        <f aca="false">IF($H343="","",N($H343))</f>
        <v/>
      </c>
      <c r="N343" s="26"/>
      <c r="O343" s="26"/>
      <c r="P343" s="26" t="str">
        <f aca="false">IF($A343="","",SUMIF($A$4:$A343,$A343,$M$4:$M343)-SUMIF($A$4:$A343,$A343,$N$4:$N343)-SUMIF($A$4:$A343,$A343,$O$4:$O343))</f>
        <v/>
      </c>
      <c r="Q343" s="27"/>
      <c r="R343" s="28"/>
      <c r="S343" s="28"/>
      <c r="T343" s="28" t="str">
        <f aca="false">IF($A343="","",SUMIF($A$4:$A343,$A343,$Q$4:$Q343)-SUMIF($A$4:$A343,$A343,$R$4:$R343)-SUMIF($A$4:$A343,$A343,$S$4:$S343))</f>
        <v/>
      </c>
      <c r="U343" s="28"/>
      <c r="V343" s="29" t="str">
        <f aca="false">IF(AND($C343="",COUNTA($D343:$H343,$K343,$N343:$O343,$Q343:$S343,$U343)=0),"",IF($C343="","⚠ 没填项目名称",IF($A343="⚠目录里没有","⚠ 项目名称在目录里找不到（先加到目录）",IF($A343="","⚠ 目录里这个项目没填简称",IF(ISTEXT($G343)+ISTEXT($H343)+ISTEXT($K343)+ISTEXT($N343)+ISTEXT($O343)+ISTEXT($Q343)+ISTEXT($R343)+ISTEXT($S343)&gt;0,"⚠ 金额列里有文字，算不进合计",IF(N($G343)&gt;=1,"⚠ 管理费点要填百分比，如 10%",IF(AND($D343&lt;&gt;"",$B343=""),"△ 摘要开头没写日期（如 2026.9.21），月份取不到",IF(AND(N($H343)&lt;&gt;0,COUNTIFS($A$4:$A$1003,$A343,$H$4:$H$1003,$H343,$D$4:$D$1003,LEFT($D343,9)&amp;"*")&gt;1),"△ 同一天同项目有一样的销售金额，看看是不是录重了","✓"))))))))</f>
        <v/>
      </c>
      <c r="W343" s="8" t="str">
        <f aca="false">IF($A343="","",$A343&amp;"#"&amp;COUNTIF($A$4:$A343,$A343))</f>
        <v/>
      </c>
    </row>
    <row r="344" customFormat="false" ht="16.5" hidden="false" customHeight="false" outlineLevel="0" collapsed="false">
      <c r="A344" s="44" t="str">
        <f aca="false">IF($C344="","",IFERROR(VLOOKUP($C344,目录!$B:$C,2,0)&amp;"","⚠目录里没有"))</f>
        <v/>
      </c>
      <c r="B344" s="45" t="str">
        <f aca="false">IF($D344="","",IFERROR(MID($D344,FIND(".",$D344)+1,FIND(".",$D344,FIND(".",$D344)+1)-FIND(".",$D344)-1)&amp;"月",""))</f>
        <v/>
      </c>
      <c r="C344" s="46"/>
      <c r="D344" s="47"/>
      <c r="E344" s="47"/>
      <c r="F344" s="49"/>
      <c r="G344" s="50"/>
      <c r="H344" s="24"/>
      <c r="I344" s="24" t="str">
        <f aca="false">IF($H344="","",N($H344)*N($G344))</f>
        <v/>
      </c>
      <c r="J344" s="25" t="str">
        <f aca="false">IF($H344="","",N($H344)-N($I344))</f>
        <v/>
      </c>
      <c r="K344" s="25"/>
      <c r="L344" s="25" t="str">
        <f aca="false">IF($A344="","",SUMIF($A$4:$A344,$A344,$J$4:$J344)-SUMIF($A$4:$A344,$A344,$K$4:$K344))</f>
        <v/>
      </c>
      <c r="M344" s="26" t="str">
        <f aca="false">IF($H344="","",N($H344))</f>
        <v/>
      </c>
      <c r="N344" s="26"/>
      <c r="O344" s="26"/>
      <c r="P344" s="26" t="str">
        <f aca="false">IF($A344="","",SUMIF($A$4:$A344,$A344,$M$4:$M344)-SUMIF($A$4:$A344,$A344,$N$4:$N344)-SUMIF($A$4:$A344,$A344,$O$4:$O344))</f>
        <v/>
      </c>
      <c r="Q344" s="27"/>
      <c r="R344" s="28"/>
      <c r="S344" s="28"/>
      <c r="T344" s="28" t="str">
        <f aca="false">IF($A344="","",SUMIF($A$4:$A344,$A344,$Q$4:$Q344)-SUMIF($A$4:$A344,$A344,$R$4:$R344)-SUMIF($A$4:$A344,$A344,$S$4:$S344))</f>
        <v/>
      </c>
      <c r="U344" s="28"/>
      <c r="V344" s="29" t="str">
        <f aca="false">IF(AND($C344="",COUNTA($D344:$H344,$K344,$N344:$O344,$Q344:$S344,$U344)=0),"",IF($C344="","⚠ 没填项目名称",IF($A344="⚠目录里没有","⚠ 项目名称在目录里找不到（先加到目录）",IF($A344="","⚠ 目录里这个项目没填简称",IF(ISTEXT($G344)+ISTEXT($H344)+ISTEXT($K344)+ISTEXT($N344)+ISTEXT($O344)+ISTEXT($Q344)+ISTEXT($R344)+ISTEXT($S344)&gt;0,"⚠ 金额列里有文字，算不进合计",IF(N($G344)&gt;=1,"⚠ 管理费点要填百分比，如 10%",IF(AND($D344&lt;&gt;"",$B344=""),"△ 摘要开头没写日期（如 2026.9.21），月份取不到",IF(AND(N($H344)&lt;&gt;0,COUNTIFS($A$4:$A$1003,$A344,$H$4:$H$1003,$H344,$D$4:$D$1003,LEFT($D344,9)&amp;"*")&gt;1),"△ 同一天同项目有一样的销售金额，看看是不是录重了","✓"))))))))</f>
        <v/>
      </c>
      <c r="W344" s="8" t="str">
        <f aca="false">IF($A344="","",$A344&amp;"#"&amp;COUNTIF($A$4:$A344,$A344))</f>
        <v/>
      </c>
    </row>
    <row r="345" customFormat="false" ht="16.5" hidden="false" customHeight="false" outlineLevel="0" collapsed="false">
      <c r="A345" s="44" t="str">
        <f aca="false">IF($C345="","",IFERROR(VLOOKUP($C345,目录!$B:$C,2,0)&amp;"","⚠目录里没有"))</f>
        <v/>
      </c>
      <c r="B345" s="45" t="str">
        <f aca="false">IF($D345="","",IFERROR(MID($D345,FIND(".",$D345)+1,FIND(".",$D345,FIND(".",$D345)+1)-FIND(".",$D345)-1)&amp;"月",""))</f>
        <v/>
      </c>
      <c r="C345" s="46"/>
      <c r="D345" s="47"/>
      <c r="E345" s="47"/>
      <c r="F345" s="49"/>
      <c r="G345" s="50"/>
      <c r="H345" s="24"/>
      <c r="I345" s="24" t="str">
        <f aca="false">IF($H345="","",N($H345)*N($G345))</f>
        <v/>
      </c>
      <c r="J345" s="25" t="str">
        <f aca="false">IF($H345="","",N($H345)-N($I345))</f>
        <v/>
      </c>
      <c r="K345" s="25"/>
      <c r="L345" s="25" t="str">
        <f aca="false">IF($A345="","",SUMIF($A$4:$A345,$A345,$J$4:$J345)-SUMIF($A$4:$A345,$A345,$K$4:$K345))</f>
        <v/>
      </c>
      <c r="M345" s="26" t="str">
        <f aca="false">IF($H345="","",N($H345))</f>
        <v/>
      </c>
      <c r="N345" s="26"/>
      <c r="O345" s="26"/>
      <c r="P345" s="26" t="str">
        <f aca="false">IF($A345="","",SUMIF($A$4:$A345,$A345,$M$4:$M345)-SUMIF($A$4:$A345,$A345,$N$4:$N345)-SUMIF($A$4:$A345,$A345,$O$4:$O345))</f>
        <v/>
      </c>
      <c r="Q345" s="27"/>
      <c r="R345" s="28"/>
      <c r="S345" s="28"/>
      <c r="T345" s="28" t="str">
        <f aca="false">IF($A345="","",SUMIF($A$4:$A345,$A345,$Q$4:$Q345)-SUMIF($A$4:$A345,$A345,$R$4:$R345)-SUMIF($A$4:$A345,$A345,$S$4:$S345))</f>
        <v/>
      </c>
      <c r="U345" s="28"/>
      <c r="V345" s="29" t="str">
        <f aca="false">IF(AND($C345="",COUNTA($D345:$H345,$K345,$N345:$O345,$Q345:$S345,$U345)=0),"",IF($C345="","⚠ 没填项目名称",IF($A345="⚠目录里没有","⚠ 项目名称在目录里找不到（先加到目录）",IF($A345="","⚠ 目录里这个项目没填简称",IF(ISTEXT($G345)+ISTEXT($H345)+ISTEXT($K345)+ISTEXT($N345)+ISTEXT($O345)+ISTEXT($Q345)+ISTEXT($R345)+ISTEXT($S345)&gt;0,"⚠ 金额列里有文字，算不进合计",IF(N($G345)&gt;=1,"⚠ 管理费点要填百分比，如 10%",IF(AND($D345&lt;&gt;"",$B345=""),"△ 摘要开头没写日期（如 2026.9.21），月份取不到",IF(AND(N($H345)&lt;&gt;0,COUNTIFS($A$4:$A$1003,$A345,$H$4:$H$1003,$H345,$D$4:$D$1003,LEFT($D345,9)&amp;"*")&gt;1),"△ 同一天同项目有一样的销售金额，看看是不是录重了","✓"))))))))</f>
        <v/>
      </c>
      <c r="W345" s="8" t="str">
        <f aca="false">IF($A345="","",$A345&amp;"#"&amp;COUNTIF($A$4:$A345,$A345))</f>
        <v/>
      </c>
    </row>
    <row r="346" customFormat="false" ht="16.5" hidden="false" customHeight="false" outlineLevel="0" collapsed="false">
      <c r="A346" s="44" t="str">
        <f aca="false">IF($C346="","",IFERROR(VLOOKUP($C346,目录!$B:$C,2,0)&amp;"","⚠目录里没有"))</f>
        <v/>
      </c>
      <c r="B346" s="45" t="str">
        <f aca="false">IF($D346="","",IFERROR(MID($D346,FIND(".",$D346)+1,FIND(".",$D346,FIND(".",$D346)+1)-FIND(".",$D346)-1)&amp;"月",""))</f>
        <v/>
      </c>
      <c r="C346" s="46"/>
      <c r="D346" s="47"/>
      <c r="E346" s="47"/>
      <c r="F346" s="49"/>
      <c r="G346" s="50"/>
      <c r="H346" s="24"/>
      <c r="I346" s="24" t="str">
        <f aca="false">IF($H346="","",N($H346)*N($G346))</f>
        <v/>
      </c>
      <c r="J346" s="25" t="str">
        <f aca="false">IF($H346="","",N($H346)-N($I346))</f>
        <v/>
      </c>
      <c r="K346" s="25"/>
      <c r="L346" s="25" t="str">
        <f aca="false">IF($A346="","",SUMIF($A$4:$A346,$A346,$J$4:$J346)-SUMIF($A$4:$A346,$A346,$K$4:$K346))</f>
        <v/>
      </c>
      <c r="M346" s="26" t="str">
        <f aca="false">IF($H346="","",N($H346))</f>
        <v/>
      </c>
      <c r="N346" s="26"/>
      <c r="O346" s="26"/>
      <c r="P346" s="26" t="str">
        <f aca="false">IF($A346="","",SUMIF($A$4:$A346,$A346,$M$4:$M346)-SUMIF($A$4:$A346,$A346,$N$4:$N346)-SUMIF($A$4:$A346,$A346,$O$4:$O346))</f>
        <v/>
      </c>
      <c r="Q346" s="27"/>
      <c r="R346" s="28"/>
      <c r="S346" s="28"/>
      <c r="T346" s="28" t="str">
        <f aca="false">IF($A346="","",SUMIF($A$4:$A346,$A346,$Q$4:$Q346)-SUMIF($A$4:$A346,$A346,$R$4:$R346)-SUMIF($A$4:$A346,$A346,$S$4:$S346))</f>
        <v/>
      </c>
      <c r="U346" s="28"/>
      <c r="V346" s="29" t="str">
        <f aca="false">IF(AND($C346="",COUNTA($D346:$H346,$K346,$N346:$O346,$Q346:$S346,$U346)=0),"",IF($C346="","⚠ 没填项目名称",IF($A346="⚠目录里没有","⚠ 项目名称在目录里找不到（先加到目录）",IF($A346="","⚠ 目录里这个项目没填简称",IF(ISTEXT($G346)+ISTEXT($H346)+ISTEXT($K346)+ISTEXT($N346)+ISTEXT($O346)+ISTEXT($Q346)+ISTEXT($R346)+ISTEXT($S346)&gt;0,"⚠ 金额列里有文字，算不进合计",IF(N($G346)&gt;=1,"⚠ 管理费点要填百分比，如 10%",IF(AND($D346&lt;&gt;"",$B346=""),"△ 摘要开头没写日期（如 2026.9.21），月份取不到",IF(AND(N($H346)&lt;&gt;0,COUNTIFS($A$4:$A$1003,$A346,$H$4:$H$1003,$H346,$D$4:$D$1003,LEFT($D346,9)&amp;"*")&gt;1),"△ 同一天同项目有一样的销售金额，看看是不是录重了","✓"))))))))</f>
        <v/>
      </c>
      <c r="W346" s="8" t="str">
        <f aca="false">IF($A346="","",$A346&amp;"#"&amp;COUNTIF($A$4:$A346,$A346))</f>
        <v/>
      </c>
    </row>
    <row r="347" customFormat="false" ht="16.5" hidden="false" customHeight="false" outlineLevel="0" collapsed="false">
      <c r="A347" s="44" t="str">
        <f aca="false">IF($C347="","",IFERROR(VLOOKUP($C347,目录!$B:$C,2,0)&amp;"","⚠目录里没有"))</f>
        <v/>
      </c>
      <c r="B347" s="45" t="str">
        <f aca="false">IF($D347="","",IFERROR(MID($D347,FIND(".",$D347)+1,FIND(".",$D347,FIND(".",$D347)+1)-FIND(".",$D347)-1)&amp;"月",""))</f>
        <v/>
      </c>
      <c r="C347" s="46"/>
      <c r="D347" s="47"/>
      <c r="E347" s="47"/>
      <c r="F347" s="49"/>
      <c r="G347" s="50"/>
      <c r="H347" s="24"/>
      <c r="I347" s="24" t="str">
        <f aca="false">IF($H347="","",N($H347)*N($G347))</f>
        <v/>
      </c>
      <c r="J347" s="25" t="str">
        <f aca="false">IF($H347="","",N($H347)-N($I347))</f>
        <v/>
      </c>
      <c r="K347" s="25"/>
      <c r="L347" s="25" t="str">
        <f aca="false">IF($A347="","",SUMIF($A$4:$A347,$A347,$J$4:$J347)-SUMIF($A$4:$A347,$A347,$K$4:$K347))</f>
        <v/>
      </c>
      <c r="M347" s="26" t="str">
        <f aca="false">IF($H347="","",N($H347))</f>
        <v/>
      </c>
      <c r="N347" s="26"/>
      <c r="O347" s="26"/>
      <c r="P347" s="26" t="str">
        <f aca="false">IF($A347="","",SUMIF($A$4:$A347,$A347,$M$4:$M347)-SUMIF($A$4:$A347,$A347,$N$4:$N347)-SUMIF($A$4:$A347,$A347,$O$4:$O347))</f>
        <v/>
      </c>
      <c r="Q347" s="27"/>
      <c r="R347" s="28"/>
      <c r="S347" s="28"/>
      <c r="T347" s="28" t="str">
        <f aca="false">IF($A347="","",SUMIF($A$4:$A347,$A347,$Q$4:$Q347)-SUMIF($A$4:$A347,$A347,$R$4:$R347)-SUMIF($A$4:$A347,$A347,$S$4:$S347))</f>
        <v/>
      </c>
      <c r="U347" s="28"/>
      <c r="V347" s="29" t="str">
        <f aca="false">IF(AND($C347="",COUNTA($D347:$H347,$K347,$N347:$O347,$Q347:$S347,$U347)=0),"",IF($C347="","⚠ 没填项目名称",IF($A347="⚠目录里没有","⚠ 项目名称在目录里找不到（先加到目录）",IF($A347="","⚠ 目录里这个项目没填简称",IF(ISTEXT($G347)+ISTEXT($H347)+ISTEXT($K347)+ISTEXT($N347)+ISTEXT($O347)+ISTEXT($Q347)+ISTEXT($R347)+ISTEXT($S347)&gt;0,"⚠ 金额列里有文字，算不进合计",IF(N($G347)&gt;=1,"⚠ 管理费点要填百分比，如 10%",IF(AND($D347&lt;&gt;"",$B347=""),"△ 摘要开头没写日期（如 2026.9.21），月份取不到",IF(AND(N($H347)&lt;&gt;0,COUNTIFS($A$4:$A$1003,$A347,$H$4:$H$1003,$H347,$D$4:$D$1003,LEFT($D347,9)&amp;"*")&gt;1),"△ 同一天同项目有一样的销售金额，看看是不是录重了","✓"))))))))</f>
        <v/>
      </c>
      <c r="W347" s="8" t="str">
        <f aca="false">IF($A347="","",$A347&amp;"#"&amp;COUNTIF($A$4:$A347,$A347))</f>
        <v/>
      </c>
    </row>
    <row r="348" customFormat="false" ht="16.5" hidden="false" customHeight="false" outlineLevel="0" collapsed="false">
      <c r="A348" s="44" t="str">
        <f aca="false">IF($C348="","",IFERROR(VLOOKUP($C348,目录!$B:$C,2,0)&amp;"","⚠目录里没有"))</f>
        <v/>
      </c>
      <c r="B348" s="45" t="str">
        <f aca="false">IF($D348="","",IFERROR(MID($D348,FIND(".",$D348)+1,FIND(".",$D348,FIND(".",$D348)+1)-FIND(".",$D348)-1)&amp;"月",""))</f>
        <v/>
      </c>
      <c r="C348" s="46"/>
      <c r="D348" s="47"/>
      <c r="E348" s="47"/>
      <c r="F348" s="49"/>
      <c r="G348" s="50"/>
      <c r="H348" s="24"/>
      <c r="I348" s="24" t="str">
        <f aca="false">IF($H348="","",N($H348)*N($G348))</f>
        <v/>
      </c>
      <c r="J348" s="25" t="str">
        <f aca="false">IF($H348="","",N($H348)-N($I348))</f>
        <v/>
      </c>
      <c r="K348" s="25"/>
      <c r="L348" s="25" t="str">
        <f aca="false">IF($A348="","",SUMIF($A$4:$A348,$A348,$J$4:$J348)-SUMIF($A$4:$A348,$A348,$K$4:$K348))</f>
        <v/>
      </c>
      <c r="M348" s="26" t="str">
        <f aca="false">IF($H348="","",N($H348))</f>
        <v/>
      </c>
      <c r="N348" s="26"/>
      <c r="O348" s="26"/>
      <c r="P348" s="26" t="str">
        <f aca="false">IF($A348="","",SUMIF($A$4:$A348,$A348,$M$4:$M348)-SUMIF($A$4:$A348,$A348,$N$4:$N348)-SUMIF($A$4:$A348,$A348,$O$4:$O348))</f>
        <v/>
      </c>
      <c r="Q348" s="27"/>
      <c r="R348" s="28"/>
      <c r="S348" s="28"/>
      <c r="T348" s="28" t="str">
        <f aca="false">IF($A348="","",SUMIF($A$4:$A348,$A348,$Q$4:$Q348)-SUMIF($A$4:$A348,$A348,$R$4:$R348)-SUMIF($A$4:$A348,$A348,$S$4:$S348))</f>
        <v/>
      </c>
      <c r="U348" s="28"/>
      <c r="V348" s="29" t="str">
        <f aca="false">IF(AND($C348="",COUNTA($D348:$H348,$K348,$N348:$O348,$Q348:$S348,$U348)=0),"",IF($C348="","⚠ 没填项目名称",IF($A348="⚠目录里没有","⚠ 项目名称在目录里找不到（先加到目录）",IF($A348="","⚠ 目录里这个项目没填简称",IF(ISTEXT($G348)+ISTEXT($H348)+ISTEXT($K348)+ISTEXT($N348)+ISTEXT($O348)+ISTEXT($Q348)+ISTEXT($R348)+ISTEXT($S348)&gt;0,"⚠ 金额列里有文字，算不进合计",IF(N($G348)&gt;=1,"⚠ 管理费点要填百分比，如 10%",IF(AND($D348&lt;&gt;"",$B348=""),"△ 摘要开头没写日期（如 2026.9.21），月份取不到",IF(AND(N($H348)&lt;&gt;0,COUNTIFS($A$4:$A$1003,$A348,$H$4:$H$1003,$H348,$D$4:$D$1003,LEFT($D348,9)&amp;"*")&gt;1),"△ 同一天同项目有一样的销售金额，看看是不是录重了","✓"))))))))</f>
        <v/>
      </c>
      <c r="W348" s="8" t="str">
        <f aca="false">IF($A348="","",$A348&amp;"#"&amp;COUNTIF($A$4:$A348,$A348))</f>
        <v/>
      </c>
    </row>
    <row r="349" customFormat="false" ht="16.5" hidden="false" customHeight="false" outlineLevel="0" collapsed="false">
      <c r="A349" s="44" t="str">
        <f aca="false">IF($C349="","",IFERROR(VLOOKUP($C349,目录!$B:$C,2,0)&amp;"","⚠目录里没有"))</f>
        <v/>
      </c>
      <c r="B349" s="45" t="str">
        <f aca="false">IF($D349="","",IFERROR(MID($D349,FIND(".",$D349)+1,FIND(".",$D349,FIND(".",$D349)+1)-FIND(".",$D349)-1)&amp;"月",""))</f>
        <v/>
      </c>
      <c r="C349" s="46"/>
      <c r="D349" s="47"/>
      <c r="E349" s="47"/>
      <c r="F349" s="49"/>
      <c r="G349" s="50"/>
      <c r="H349" s="24"/>
      <c r="I349" s="24" t="str">
        <f aca="false">IF($H349="","",N($H349)*N($G349))</f>
        <v/>
      </c>
      <c r="J349" s="25" t="str">
        <f aca="false">IF($H349="","",N($H349)-N($I349))</f>
        <v/>
      </c>
      <c r="K349" s="25"/>
      <c r="L349" s="25" t="str">
        <f aca="false">IF($A349="","",SUMIF($A$4:$A349,$A349,$J$4:$J349)-SUMIF($A$4:$A349,$A349,$K$4:$K349))</f>
        <v/>
      </c>
      <c r="M349" s="26" t="str">
        <f aca="false">IF($H349="","",N($H349))</f>
        <v/>
      </c>
      <c r="N349" s="26"/>
      <c r="O349" s="26"/>
      <c r="P349" s="26" t="str">
        <f aca="false">IF($A349="","",SUMIF($A$4:$A349,$A349,$M$4:$M349)-SUMIF($A$4:$A349,$A349,$N$4:$N349)-SUMIF($A$4:$A349,$A349,$O$4:$O349))</f>
        <v/>
      </c>
      <c r="Q349" s="27"/>
      <c r="R349" s="28"/>
      <c r="S349" s="28"/>
      <c r="T349" s="28" t="str">
        <f aca="false">IF($A349="","",SUMIF($A$4:$A349,$A349,$Q$4:$Q349)-SUMIF($A$4:$A349,$A349,$R$4:$R349)-SUMIF($A$4:$A349,$A349,$S$4:$S349))</f>
        <v/>
      </c>
      <c r="U349" s="28"/>
      <c r="V349" s="29" t="str">
        <f aca="false">IF(AND($C349="",COUNTA($D349:$H349,$K349,$N349:$O349,$Q349:$S349,$U349)=0),"",IF($C349="","⚠ 没填项目名称",IF($A349="⚠目录里没有","⚠ 项目名称在目录里找不到（先加到目录）",IF($A349="","⚠ 目录里这个项目没填简称",IF(ISTEXT($G349)+ISTEXT($H349)+ISTEXT($K349)+ISTEXT($N349)+ISTEXT($O349)+ISTEXT($Q349)+ISTEXT($R349)+ISTEXT($S349)&gt;0,"⚠ 金额列里有文字，算不进合计",IF(N($G349)&gt;=1,"⚠ 管理费点要填百分比，如 10%",IF(AND($D349&lt;&gt;"",$B349=""),"△ 摘要开头没写日期（如 2026.9.21），月份取不到",IF(AND(N($H349)&lt;&gt;0,COUNTIFS($A$4:$A$1003,$A349,$H$4:$H$1003,$H349,$D$4:$D$1003,LEFT($D349,9)&amp;"*")&gt;1),"△ 同一天同项目有一样的销售金额，看看是不是录重了","✓"))))))))</f>
        <v/>
      </c>
      <c r="W349" s="8" t="str">
        <f aca="false">IF($A349="","",$A349&amp;"#"&amp;COUNTIF($A$4:$A349,$A349))</f>
        <v/>
      </c>
    </row>
    <row r="350" customFormat="false" ht="16.5" hidden="false" customHeight="false" outlineLevel="0" collapsed="false">
      <c r="A350" s="44" t="str">
        <f aca="false">IF($C350="","",IFERROR(VLOOKUP($C350,目录!$B:$C,2,0)&amp;"","⚠目录里没有"))</f>
        <v/>
      </c>
      <c r="B350" s="45" t="str">
        <f aca="false">IF($D350="","",IFERROR(MID($D350,FIND(".",$D350)+1,FIND(".",$D350,FIND(".",$D350)+1)-FIND(".",$D350)-1)&amp;"月",""))</f>
        <v/>
      </c>
      <c r="C350" s="46"/>
      <c r="D350" s="47"/>
      <c r="E350" s="47"/>
      <c r="F350" s="49"/>
      <c r="G350" s="50"/>
      <c r="H350" s="24"/>
      <c r="I350" s="24" t="str">
        <f aca="false">IF($H350="","",N($H350)*N($G350))</f>
        <v/>
      </c>
      <c r="J350" s="25" t="str">
        <f aca="false">IF($H350="","",N($H350)-N($I350))</f>
        <v/>
      </c>
      <c r="K350" s="25"/>
      <c r="L350" s="25" t="str">
        <f aca="false">IF($A350="","",SUMIF($A$4:$A350,$A350,$J$4:$J350)-SUMIF($A$4:$A350,$A350,$K$4:$K350))</f>
        <v/>
      </c>
      <c r="M350" s="26" t="str">
        <f aca="false">IF($H350="","",N($H350))</f>
        <v/>
      </c>
      <c r="N350" s="26"/>
      <c r="O350" s="26"/>
      <c r="P350" s="26" t="str">
        <f aca="false">IF($A350="","",SUMIF($A$4:$A350,$A350,$M$4:$M350)-SUMIF($A$4:$A350,$A350,$N$4:$N350)-SUMIF($A$4:$A350,$A350,$O$4:$O350))</f>
        <v/>
      </c>
      <c r="Q350" s="27"/>
      <c r="R350" s="28"/>
      <c r="S350" s="28"/>
      <c r="T350" s="28" t="str">
        <f aca="false">IF($A350="","",SUMIF($A$4:$A350,$A350,$Q$4:$Q350)-SUMIF($A$4:$A350,$A350,$R$4:$R350)-SUMIF($A$4:$A350,$A350,$S$4:$S350))</f>
        <v/>
      </c>
      <c r="U350" s="28"/>
      <c r="V350" s="29" t="str">
        <f aca="false">IF(AND($C350="",COUNTA($D350:$H350,$K350,$N350:$O350,$Q350:$S350,$U350)=0),"",IF($C350="","⚠ 没填项目名称",IF($A350="⚠目录里没有","⚠ 项目名称在目录里找不到（先加到目录）",IF($A350="","⚠ 目录里这个项目没填简称",IF(ISTEXT($G350)+ISTEXT($H350)+ISTEXT($K350)+ISTEXT($N350)+ISTEXT($O350)+ISTEXT($Q350)+ISTEXT($R350)+ISTEXT($S350)&gt;0,"⚠ 金额列里有文字，算不进合计",IF(N($G350)&gt;=1,"⚠ 管理费点要填百分比，如 10%",IF(AND($D350&lt;&gt;"",$B350=""),"△ 摘要开头没写日期（如 2026.9.21），月份取不到",IF(AND(N($H350)&lt;&gt;0,COUNTIFS($A$4:$A$1003,$A350,$H$4:$H$1003,$H350,$D$4:$D$1003,LEFT($D350,9)&amp;"*")&gt;1),"△ 同一天同项目有一样的销售金额，看看是不是录重了","✓"))))))))</f>
        <v/>
      </c>
      <c r="W350" s="8" t="str">
        <f aca="false">IF($A350="","",$A350&amp;"#"&amp;COUNTIF($A$4:$A350,$A350))</f>
        <v/>
      </c>
    </row>
    <row r="351" customFormat="false" ht="16.5" hidden="false" customHeight="false" outlineLevel="0" collapsed="false">
      <c r="A351" s="44" t="str">
        <f aca="false">IF($C351="","",IFERROR(VLOOKUP($C351,目录!$B:$C,2,0)&amp;"","⚠目录里没有"))</f>
        <v/>
      </c>
      <c r="B351" s="45" t="str">
        <f aca="false">IF($D351="","",IFERROR(MID($D351,FIND(".",$D351)+1,FIND(".",$D351,FIND(".",$D351)+1)-FIND(".",$D351)-1)&amp;"月",""))</f>
        <v/>
      </c>
      <c r="C351" s="46"/>
      <c r="D351" s="47"/>
      <c r="E351" s="47"/>
      <c r="F351" s="49"/>
      <c r="G351" s="50"/>
      <c r="H351" s="24"/>
      <c r="I351" s="24" t="str">
        <f aca="false">IF($H351="","",N($H351)*N($G351))</f>
        <v/>
      </c>
      <c r="J351" s="25" t="str">
        <f aca="false">IF($H351="","",N($H351)-N($I351))</f>
        <v/>
      </c>
      <c r="K351" s="25"/>
      <c r="L351" s="25" t="str">
        <f aca="false">IF($A351="","",SUMIF($A$4:$A351,$A351,$J$4:$J351)-SUMIF($A$4:$A351,$A351,$K$4:$K351))</f>
        <v/>
      </c>
      <c r="M351" s="26" t="str">
        <f aca="false">IF($H351="","",N($H351))</f>
        <v/>
      </c>
      <c r="N351" s="26"/>
      <c r="O351" s="26"/>
      <c r="P351" s="26" t="str">
        <f aca="false">IF($A351="","",SUMIF($A$4:$A351,$A351,$M$4:$M351)-SUMIF($A$4:$A351,$A351,$N$4:$N351)-SUMIF($A$4:$A351,$A351,$O$4:$O351))</f>
        <v/>
      </c>
      <c r="Q351" s="27"/>
      <c r="R351" s="28"/>
      <c r="S351" s="28"/>
      <c r="T351" s="28" t="str">
        <f aca="false">IF($A351="","",SUMIF($A$4:$A351,$A351,$Q$4:$Q351)-SUMIF($A$4:$A351,$A351,$R$4:$R351)-SUMIF($A$4:$A351,$A351,$S$4:$S351))</f>
        <v/>
      </c>
      <c r="U351" s="28"/>
      <c r="V351" s="29" t="str">
        <f aca="false">IF(AND($C351="",COUNTA($D351:$H351,$K351,$N351:$O351,$Q351:$S351,$U351)=0),"",IF($C351="","⚠ 没填项目名称",IF($A351="⚠目录里没有","⚠ 项目名称在目录里找不到（先加到目录）",IF($A351="","⚠ 目录里这个项目没填简称",IF(ISTEXT($G351)+ISTEXT($H351)+ISTEXT($K351)+ISTEXT($N351)+ISTEXT($O351)+ISTEXT($Q351)+ISTEXT($R351)+ISTEXT($S351)&gt;0,"⚠ 金额列里有文字，算不进合计",IF(N($G351)&gt;=1,"⚠ 管理费点要填百分比，如 10%",IF(AND($D351&lt;&gt;"",$B351=""),"△ 摘要开头没写日期（如 2026.9.21），月份取不到",IF(AND(N($H351)&lt;&gt;0,COUNTIFS($A$4:$A$1003,$A351,$H$4:$H$1003,$H351,$D$4:$D$1003,LEFT($D351,9)&amp;"*")&gt;1),"△ 同一天同项目有一样的销售金额，看看是不是录重了","✓"))))))))</f>
        <v/>
      </c>
      <c r="W351" s="8" t="str">
        <f aca="false">IF($A351="","",$A351&amp;"#"&amp;COUNTIF($A$4:$A351,$A351))</f>
        <v/>
      </c>
    </row>
    <row r="352" customFormat="false" ht="16.5" hidden="false" customHeight="false" outlineLevel="0" collapsed="false">
      <c r="A352" s="44" t="str">
        <f aca="false">IF($C352="","",IFERROR(VLOOKUP($C352,目录!$B:$C,2,0)&amp;"","⚠目录里没有"))</f>
        <v/>
      </c>
      <c r="B352" s="45" t="str">
        <f aca="false">IF($D352="","",IFERROR(MID($D352,FIND(".",$D352)+1,FIND(".",$D352,FIND(".",$D352)+1)-FIND(".",$D352)-1)&amp;"月",""))</f>
        <v/>
      </c>
      <c r="C352" s="46"/>
      <c r="D352" s="47"/>
      <c r="E352" s="47"/>
      <c r="F352" s="49"/>
      <c r="G352" s="50"/>
      <c r="H352" s="24"/>
      <c r="I352" s="24" t="str">
        <f aca="false">IF($H352="","",N($H352)*N($G352))</f>
        <v/>
      </c>
      <c r="J352" s="25" t="str">
        <f aca="false">IF($H352="","",N($H352)-N($I352))</f>
        <v/>
      </c>
      <c r="K352" s="25"/>
      <c r="L352" s="25" t="str">
        <f aca="false">IF($A352="","",SUMIF($A$4:$A352,$A352,$J$4:$J352)-SUMIF($A$4:$A352,$A352,$K$4:$K352))</f>
        <v/>
      </c>
      <c r="M352" s="26" t="str">
        <f aca="false">IF($H352="","",N($H352))</f>
        <v/>
      </c>
      <c r="N352" s="26"/>
      <c r="O352" s="26"/>
      <c r="P352" s="26" t="str">
        <f aca="false">IF($A352="","",SUMIF($A$4:$A352,$A352,$M$4:$M352)-SUMIF($A$4:$A352,$A352,$N$4:$N352)-SUMIF($A$4:$A352,$A352,$O$4:$O352))</f>
        <v/>
      </c>
      <c r="Q352" s="27"/>
      <c r="R352" s="28"/>
      <c r="S352" s="28"/>
      <c r="T352" s="28" t="str">
        <f aca="false">IF($A352="","",SUMIF($A$4:$A352,$A352,$Q$4:$Q352)-SUMIF($A$4:$A352,$A352,$R$4:$R352)-SUMIF($A$4:$A352,$A352,$S$4:$S352))</f>
        <v/>
      </c>
      <c r="U352" s="28"/>
      <c r="V352" s="29" t="str">
        <f aca="false">IF(AND($C352="",COUNTA($D352:$H352,$K352,$N352:$O352,$Q352:$S352,$U352)=0),"",IF($C352="","⚠ 没填项目名称",IF($A352="⚠目录里没有","⚠ 项目名称在目录里找不到（先加到目录）",IF($A352="","⚠ 目录里这个项目没填简称",IF(ISTEXT($G352)+ISTEXT($H352)+ISTEXT($K352)+ISTEXT($N352)+ISTEXT($O352)+ISTEXT($Q352)+ISTEXT($R352)+ISTEXT($S352)&gt;0,"⚠ 金额列里有文字，算不进合计",IF(N($G352)&gt;=1,"⚠ 管理费点要填百分比，如 10%",IF(AND($D352&lt;&gt;"",$B352=""),"△ 摘要开头没写日期（如 2026.9.21），月份取不到",IF(AND(N($H352)&lt;&gt;0,COUNTIFS($A$4:$A$1003,$A352,$H$4:$H$1003,$H352,$D$4:$D$1003,LEFT($D352,9)&amp;"*")&gt;1),"△ 同一天同项目有一样的销售金额，看看是不是录重了","✓"))))))))</f>
        <v/>
      </c>
      <c r="W352" s="8" t="str">
        <f aca="false">IF($A352="","",$A352&amp;"#"&amp;COUNTIF($A$4:$A352,$A352))</f>
        <v/>
      </c>
    </row>
    <row r="353" customFormat="false" ht="16.5" hidden="false" customHeight="false" outlineLevel="0" collapsed="false">
      <c r="A353" s="44" t="str">
        <f aca="false">IF($C353="","",IFERROR(VLOOKUP($C353,目录!$B:$C,2,0)&amp;"","⚠目录里没有"))</f>
        <v/>
      </c>
      <c r="B353" s="45" t="str">
        <f aca="false">IF($D353="","",IFERROR(MID($D353,FIND(".",$D353)+1,FIND(".",$D353,FIND(".",$D353)+1)-FIND(".",$D353)-1)&amp;"月",""))</f>
        <v/>
      </c>
      <c r="C353" s="46"/>
      <c r="D353" s="47"/>
      <c r="E353" s="47"/>
      <c r="F353" s="49"/>
      <c r="G353" s="50"/>
      <c r="H353" s="24"/>
      <c r="I353" s="24" t="str">
        <f aca="false">IF($H353="","",N($H353)*N($G353))</f>
        <v/>
      </c>
      <c r="J353" s="25" t="str">
        <f aca="false">IF($H353="","",N($H353)-N($I353))</f>
        <v/>
      </c>
      <c r="K353" s="25"/>
      <c r="L353" s="25" t="str">
        <f aca="false">IF($A353="","",SUMIF($A$4:$A353,$A353,$J$4:$J353)-SUMIF($A$4:$A353,$A353,$K$4:$K353))</f>
        <v/>
      </c>
      <c r="M353" s="26" t="str">
        <f aca="false">IF($H353="","",N($H353))</f>
        <v/>
      </c>
      <c r="N353" s="26"/>
      <c r="O353" s="26"/>
      <c r="P353" s="26" t="str">
        <f aca="false">IF($A353="","",SUMIF($A$4:$A353,$A353,$M$4:$M353)-SUMIF($A$4:$A353,$A353,$N$4:$N353)-SUMIF($A$4:$A353,$A353,$O$4:$O353))</f>
        <v/>
      </c>
      <c r="Q353" s="27"/>
      <c r="R353" s="28"/>
      <c r="S353" s="28"/>
      <c r="T353" s="28" t="str">
        <f aca="false">IF($A353="","",SUMIF($A$4:$A353,$A353,$Q$4:$Q353)-SUMIF($A$4:$A353,$A353,$R$4:$R353)-SUMIF($A$4:$A353,$A353,$S$4:$S353))</f>
        <v/>
      </c>
      <c r="U353" s="28"/>
      <c r="V353" s="29" t="str">
        <f aca="false">IF(AND($C353="",COUNTA($D353:$H353,$K353,$N353:$O353,$Q353:$S353,$U353)=0),"",IF($C353="","⚠ 没填项目名称",IF($A353="⚠目录里没有","⚠ 项目名称在目录里找不到（先加到目录）",IF($A353="","⚠ 目录里这个项目没填简称",IF(ISTEXT($G353)+ISTEXT($H353)+ISTEXT($K353)+ISTEXT($N353)+ISTEXT($O353)+ISTEXT($Q353)+ISTEXT($R353)+ISTEXT($S353)&gt;0,"⚠ 金额列里有文字，算不进合计",IF(N($G353)&gt;=1,"⚠ 管理费点要填百分比，如 10%",IF(AND($D353&lt;&gt;"",$B353=""),"△ 摘要开头没写日期（如 2026.9.21），月份取不到",IF(AND(N($H353)&lt;&gt;0,COUNTIFS($A$4:$A$1003,$A353,$H$4:$H$1003,$H353,$D$4:$D$1003,LEFT($D353,9)&amp;"*")&gt;1),"△ 同一天同项目有一样的销售金额，看看是不是录重了","✓"))))))))</f>
        <v/>
      </c>
      <c r="W353" s="8" t="str">
        <f aca="false">IF($A353="","",$A353&amp;"#"&amp;COUNTIF($A$4:$A353,$A353))</f>
        <v/>
      </c>
    </row>
    <row r="354" customFormat="false" ht="16.5" hidden="false" customHeight="false" outlineLevel="0" collapsed="false">
      <c r="A354" s="44" t="str">
        <f aca="false">IF($C354="","",IFERROR(VLOOKUP($C354,目录!$B:$C,2,0)&amp;"","⚠目录里没有"))</f>
        <v/>
      </c>
      <c r="B354" s="45" t="str">
        <f aca="false">IF($D354="","",IFERROR(MID($D354,FIND(".",$D354)+1,FIND(".",$D354,FIND(".",$D354)+1)-FIND(".",$D354)-1)&amp;"月",""))</f>
        <v/>
      </c>
      <c r="C354" s="46"/>
      <c r="D354" s="47"/>
      <c r="E354" s="47"/>
      <c r="F354" s="49"/>
      <c r="G354" s="50"/>
      <c r="H354" s="24"/>
      <c r="I354" s="24" t="str">
        <f aca="false">IF($H354="","",N($H354)*N($G354))</f>
        <v/>
      </c>
      <c r="J354" s="25" t="str">
        <f aca="false">IF($H354="","",N($H354)-N($I354))</f>
        <v/>
      </c>
      <c r="K354" s="25"/>
      <c r="L354" s="25" t="str">
        <f aca="false">IF($A354="","",SUMIF($A$4:$A354,$A354,$J$4:$J354)-SUMIF($A$4:$A354,$A354,$K$4:$K354))</f>
        <v/>
      </c>
      <c r="M354" s="26" t="str">
        <f aca="false">IF($H354="","",N($H354))</f>
        <v/>
      </c>
      <c r="N354" s="26"/>
      <c r="O354" s="26"/>
      <c r="P354" s="26" t="str">
        <f aca="false">IF($A354="","",SUMIF($A$4:$A354,$A354,$M$4:$M354)-SUMIF($A$4:$A354,$A354,$N$4:$N354)-SUMIF($A$4:$A354,$A354,$O$4:$O354))</f>
        <v/>
      </c>
      <c r="Q354" s="27"/>
      <c r="R354" s="28"/>
      <c r="S354" s="28"/>
      <c r="T354" s="28" t="str">
        <f aca="false">IF($A354="","",SUMIF($A$4:$A354,$A354,$Q$4:$Q354)-SUMIF($A$4:$A354,$A354,$R$4:$R354)-SUMIF($A$4:$A354,$A354,$S$4:$S354))</f>
        <v/>
      </c>
      <c r="U354" s="28"/>
      <c r="V354" s="29" t="str">
        <f aca="false">IF(AND($C354="",COUNTA($D354:$H354,$K354,$N354:$O354,$Q354:$S354,$U354)=0),"",IF($C354="","⚠ 没填项目名称",IF($A354="⚠目录里没有","⚠ 项目名称在目录里找不到（先加到目录）",IF($A354="","⚠ 目录里这个项目没填简称",IF(ISTEXT($G354)+ISTEXT($H354)+ISTEXT($K354)+ISTEXT($N354)+ISTEXT($O354)+ISTEXT($Q354)+ISTEXT($R354)+ISTEXT($S354)&gt;0,"⚠ 金额列里有文字，算不进合计",IF(N($G354)&gt;=1,"⚠ 管理费点要填百分比，如 10%",IF(AND($D354&lt;&gt;"",$B354=""),"△ 摘要开头没写日期（如 2026.9.21），月份取不到",IF(AND(N($H354)&lt;&gt;0,COUNTIFS($A$4:$A$1003,$A354,$H$4:$H$1003,$H354,$D$4:$D$1003,LEFT($D354,9)&amp;"*")&gt;1),"△ 同一天同项目有一样的销售金额，看看是不是录重了","✓"))))))))</f>
        <v/>
      </c>
      <c r="W354" s="8" t="str">
        <f aca="false">IF($A354="","",$A354&amp;"#"&amp;COUNTIF($A$4:$A354,$A354))</f>
        <v/>
      </c>
    </row>
    <row r="355" customFormat="false" ht="16.5" hidden="false" customHeight="false" outlineLevel="0" collapsed="false">
      <c r="A355" s="44" t="str">
        <f aca="false">IF($C355="","",IFERROR(VLOOKUP($C355,目录!$B:$C,2,0)&amp;"","⚠目录里没有"))</f>
        <v/>
      </c>
      <c r="B355" s="45" t="str">
        <f aca="false">IF($D355="","",IFERROR(MID($D355,FIND(".",$D355)+1,FIND(".",$D355,FIND(".",$D355)+1)-FIND(".",$D355)-1)&amp;"月",""))</f>
        <v/>
      </c>
      <c r="C355" s="46"/>
      <c r="D355" s="47"/>
      <c r="E355" s="47"/>
      <c r="F355" s="49"/>
      <c r="G355" s="50"/>
      <c r="H355" s="24"/>
      <c r="I355" s="24" t="str">
        <f aca="false">IF($H355="","",N($H355)*N($G355))</f>
        <v/>
      </c>
      <c r="J355" s="25" t="str">
        <f aca="false">IF($H355="","",N($H355)-N($I355))</f>
        <v/>
      </c>
      <c r="K355" s="25"/>
      <c r="L355" s="25" t="str">
        <f aca="false">IF($A355="","",SUMIF($A$4:$A355,$A355,$J$4:$J355)-SUMIF($A$4:$A355,$A355,$K$4:$K355))</f>
        <v/>
      </c>
      <c r="M355" s="26" t="str">
        <f aca="false">IF($H355="","",N($H355))</f>
        <v/>
      </c>
      <c r="N355" s="26"/>
      <c r="O355" s="26"/>
      <c r="P355" s="26" t="str">
        <f aca="false">IF($A355="","",SUMIF($A$4:$A355,$A355,$M$4:$M355)-SUMIF($A$4:$A355,$A355,$N$4:$N355)-SUMIF($A$4:$A355,$A355,$O$4:$O355))</f>
        <v/>
      </c>
      <c r="Q355" s="27"/>
      <c r="R355" s="28"/>
      <c r="S355" s="28"/>
      <c r="T355" s="28" t="str">
        <f aca="false">IF($A355="","",SUMIF($A$4:$A355,$A355,$Q$4:$Q355)-SUMIF($A$4:$A355,$A355,$R$4:$R355)-SUMIF($A$4:$A355,$A355,$S$4:$S355))</f>
        <v/>
      </c>
      <c r="U355" s="28"/>
      <c r="V355" s="29" t="str">
        <f aca="false">IF(AND($C355="",COUNTA($D355:$H355,$K355,$N355:$O355,$Q355:$S355,$U355)=0),"",IF($C355="","⚠ 没填项目名称",IF($A355="⚠目录里没有","⚠ 项目名称在目录里找不到（先加到目录）",IF($A355="","⚠ 目录里这个项目没填简称",IF(ISTEXT($G355)+ISTEXT($H355)+ISTEXT($K355)+ISTEXT($N355)+ISTEXT($O355)+ISTEXT($Q355)+ISTEXT($R355)+ISTEXT($S355)&gt;0,"⚠ 金额列里有文字，算不进合计",IF(N($G355)&gt;=1,"⚠ 管理费点要填百分比，如 10%",IF(AND($D355&lt;&gt;"",$B355=""),"△ 摘要开头没写日期（如 2026.9.21），月份取不到",IF(AND(N($H355)&lt;&gt;0,COUNTIFS($A$4:$A$1003,$A355,$H$4:$H$1003,$H355,$D$4:$D$1003,LEFT($D355,9)&amp;"*")&gt;1),"△ 同一天同项目有一样的销售金额，看看是不是录重了","✓"))))))))</f>
        <v/>
      </c>
      <c r="W355" s="8" t="str">
        <f aca="false">IF($A355="","",$A355&amp;"#"&amp;COUNTIF($A$4:$A355,$A355))</f>
        <v/>
      </c>
    </row>
    <row r="356" customFormat="false" ht="16.5" hidden="false" customHeight="false" outlineLevel="0" collapsed="false">
      <c r="A356" s="44" t="str">
        <f aca="false">IF($C356="","",IFERROR(VLOOKUP($C356,目录!$B:$C,2,0)&amp;"","⚠目录里没有"))</f>
        <v/>
      </c>
      <c r="B356" s="45" t="str">
        <f aca="false">IF($D356="","",IFERROR(MID($D356,FIND(".",$D356)+1,FIND(".",$D356,FIND(".",$D356)+1)-FIND(".",$D356)-1)&amp;"月",""))</f>
        <v/>
      </c>
      <c r="C356" s="46"/>
      <c r="D356" s="47"/>
      <c r="E356" s="47"/>
      <c r="F356" s="49"/>
      <c r="G356" s="50"/>
      <c r="H356" s="24"/>
      <c r="I356" s="24" t="str">
        <f aca="false">IF($H356="","",N($H356)*N($G356))</f>
        <v/>
      </c>
      <c r="J356" s="25" t="str">
        <f aca="false">IF($H356="","",N($H356)-N($I356))</f>
        <v/>
      </c>
      <c r="K356" s="25"/>
      <c r="L356" s="25" t="str">
        <f aca="false">IF($A356="","",SUMIF($A$4:$A356,$A356,$J$4:$J356)-SUMIF($A$4:$A356,$A356,$K$4:$K356))</f>
        <v/>
      </c>
      <c r="M356" s="26" t="str">
        <f aca="false">IF($H356="","",N($H356))</f>
        <v/>
      </c>
      <c r="N356" s="26"/>
      <c r="O356" s="26"/>
      <c r="P356" s="26" t="str">
        <f aca="false">IF($A356="","",SUMIF($A$4:$A356,$A356,$M$4:$M356)-SUMIF($A$4:$A356,$A356,$N$4:$N356)-SUMIF($A$4:$A356,$A356,$O$4:$O356))</f>
        <v/>
      </c>
      <c r="Q356" s="27"/>
      <c r="R356" s="28"/>
      <c r="S356" s="28"/>
      <c r="T356" s="28" t="str">
        <f aca="false">IF($A356="","",SUMIF($A$4:$A356,$A356,$Q$4:$Q356)-SUMIF($A$4:$A356,$A356,$R$4:$R356)-SUMIF($A$4:$A356,$A356,$S$4:$S356))</f>
        <v/>
      </c>
      <c r="U356" s="28"/>
      <c r="V356" s="29" t="str">
        <f aca="false">IF(AND($C356="",COUNTA($D356:$H356,$K356,$N356:$O356,$Q356:$S356,$U356)=0),"",IF($C356="","⚠ 没填项目名称",IF($A356="⚠目录里没有","⚠ 项目名称在目录里找不到（先加到目录）",IF($A356="","⚠ 目录里这个项目没填简称",IF(ISTEXT($G356)+ISTEXT($H356)+ISTEXT($K356)+ISTEXT($N356)+ISTEXT($O356)+ISTEXT($Q356)+ISTEXT($R356)+ISTEXT($S356)&gt;0,"⚠ 金额列里有文字，算不进合计",IF(N($G356)&gt;=1,"⚠ 管理费点要填百分比，如 10%",IF(AND($D356&lt;&gt;"",$B356=""),"△ 摘要开头没写日期（如 2026.9.21），月份取不到",IF(AND(N($H356)&lt;&gt;0,COUNTIFS($A$4:$A$1003,$A356,$H$4:$H$1003,$H356,$D$4:$D$1003,LEFT($D356,9)&amp;"*")&gt;1),"△ 同一天同项目有一样的销售金额，看看是不是录重了","✓"))))))))</f>
        <v/>
      </c>
      <c r="W356" s="8" t="str">
        <f aca="false">IF($A356="","",$A356&amp;"#"&amp;COUNTIF($A$4:$A356,$A356))</f>
        <v/>
      </c>
    </row>
    <row r="357" customFormat="false" ht="16.5" hidden="false" customHeight="false" outlineLevel="0" collapsed="false">
      <c r="A357" s="44" t="str">
        <f aca="false">IF($C357="","",IFERROR(VLOOKUP($C357,目录!$B:$C,2,0)&amp;"","⚠目录里没有"))</f>
        <v/>
      </c>
      <c r="B357" s="45" t="str">
        <f aca="false">IF($D357="","",IFERROR(MID($D357,FIND(".",$D357)+1,FIND(".",$D357,FIND(".",$D357)+1)-FIND(".",$D357)-1)&amp;"月",""))</f>
        <v/>
      </c>
      <c r="C357" s="46"/>
      <c r="D357" s="47"/>
      <c r="E357" s="47"/>
      <c r="F357" s="49"/>
      <c r="G357" s="50"/>
      <c r="H357" s="24"/>
      <c r="I357" s="24" t="str">
        <f aca="false">IF($H357="","",N($H357)*N($G357))</f>
        <v/>
      </c>
      <c r="J357" s="25" t="str">
        <f aca="false">IF($H357="","",N($H357)-N($I357))</f>
        <v/>
      </c>
      <c r="K357" s="25"/>
      <c r="L357" s="25" t="str">
        <f aca="false">IF($A357="","",SUMIF($A$4:$A357,$A357,$J$4:$J357)-SUMIF($A$4:$A357,$A357,$K$4:$K357))</f>
        <v/>
      </c>
      <c r="M357" s="26" t="str">
        <f aca="false">IF($H357="","",N($H357))</f>
        <v/>
      </c>
      <c r="N357" s="26"/>
      <c r="O357" s="26"/>
      <c r="P357" s="26" t="str">
        <f aca="false">IF($A357="","",SUMIF($A$4:$A357,$A357,$M$4:$M357)-SUMIF($A$4:$A357,$A357,$N$4:$N357)-SUMIF($A$4:$A357,$A357,$O$4:$O357))</f>
        <v/>
      </c>
      <c r="Q357" s="27"/>
      <c r="R357" s="28"/>
      <c r="S357" s="28"/>
      <c r="T357" s="28" t="str">
        <f aca="false">IF($A357="","",SUMIF($A$4:$A357,$A357,$Q$4:$Q357)-SUMIF($A$4:$A357,$A357,$R$4:$R357)-SUMIF($A$4:$A357,$A357,$S$4:$S357))</f>
        <v/>
      </c>
      <c r="U357" s="28"/>
      <c r="V357" s="29" t="str">
        <f aca="false">IF(AND($C357="",COUNTA($D357:$H357,$K357,$N357:$O357,$Q357:$S357,$U357)=0),"",IF($C357="","⚠ 没填项目名称",IF($A357="⚠目录里没有","⚠ 项目名称在目录里找不到（先加到目录）",IF($A357="","⚠ 目录里这个项目没填简称",IF(ISTEXT($G357)+ISTEXT($H357)+ISTEXT($K357)+ISTEXT($N357)+ISTEXT($O357)+ISTEXT($Q357)+ISTEXT($R357)+ISTEXT($S357)&gt;0,"⚠ 金额列里有文字，算不进合计",IF(N($G357)&gt;=1,"⚠ 管理费点要填百分比，如 10%",IF(AND($D357&lt;&gt;"",$B357=""),"△ 摘要开头没写日期（如 2026.9.21），月份取不到",IF(AND(N($H357)&lt;&gt;0,COUNTIFS($A$4:$A$1003,$A357,$H$4:$H$1003,$H357,$D$4:$D$1003,LEFT($D357,9)&amp;"*")&gt;1),"△ 同一天同项目有一样的销售金额，看看是不是录重了","✓"))))))))</f>
        <v/>
      </c>
      <c r="W357" s="8" t="str">
        <f aca="false">IF($A357="","",$A357&amp;"#"&amp;COUNTIF($A$4:$A357,$A357))</f>
        <v/>
      </c>
    </row>
    <row r="358" customFormat="false" ht="16.5" hidden="false" customHeight="false" outlineLevel="0" collapsed="false">
      <c r="A358" s="44" t="str">
        <f aca="false">IF($C358="","",IFERROR(VLOOKUP($C358,目录!$B:$C,2,0)&amp;"","⚠目录里没有"))</f>
        <v/>
      </c>
      <c r="B358" s="45" t="str">
        <f aca="false">IF($D358="","",IFERROR(MID($D358,FIND(".",$D358)+1,FIND(".",$D358,FIND(".",$D358)+1)-FIND(".",$D358)-1)&amp;"月",""))</f>
        <v/>
      </c>
      <c r="C358" s="46"/>
      <c r="D358" s="47"/>
      <c r="E358" s="47"/>
      <c r="F358" s="49"/>
      <c r="G358" s="50"/>
      <c r="H358" s="24"/>
      <c r="I358" s="24" t="str">
        <f aca="false">IF($H358="","",N($H358)*N($G358))</f>
        <v/>
      </c>
      <c r="J358" s="25" t="str">
        <f aca="false">IF($H358="","",N($H358)-N($I358))</f>
        <v/>
      </c>
      <c r="K358" s="25"/>
      <c r="L358" s="25" t="str">
        <f aca="false">IF($A358="","",SUMIF($A$4:$A358,$A358,$J$4:$J358)-SUMIF($A$4:$A358,$A358,$K$4:$K358))</f>
        <v/>
      </c>
      <c r="M358" s="26" t="str">
        <f aca="false">IF($H358="","",N($H358))</f>
        <v/>
      </c>
      <c r="N358" s="26"/>
      <c r="O358" s="26"/>
      <c r="P358" s="26" t="str">
        <f aca="false">IF($A358="","",SUMIF($A$4:$A358,$A358,$M$4:$M358)-SUMIF($A$4:$A358,$A358,$N$4:$N358)-SUMIF($A$4:$A358,$A358,$O$4:$O358))</f>
        <v/>
      </c>
      <c r="Q358" s="27"/>
      <c r="R358" s="28"/>
      <c r="S358" s="28"/>
      <c r="T358" s="28" t="str">
        <f aca="false">IF($A358="","",SUMIF($A$4:$A358,$A358,$Q$4:$Q358)-SUMIF($A$4:$A358,$A358,$R$4:$R358)-SUMIF($A$4:$A358,$A358,$S$4:$S358))</f>
        <v/>
      </c>
      <c r="U358" s="28"/>
      <c r="V358" s="29" t="str">
        <f aca="false">IF(AND($C358="",COUNTA($D358:$H358,$K358,$N358:$O358,$Q358:$S358,$U358)=0),"",IF($C358="","⚠ 没填项目名称",IF($A358="⚠目录里没有","⚠ 项目名称在目录里找不到（先加到目录）",IF($A358="","⚠ 目录里这个项目没填简称",IF(ISTEXT($G358)+ISTEXT($H358)+ISTEXT($K358)+ISTEXT($N358)+ISTEXT($O358)+ISTEXT($Q358)+ISTEXT($R358)+ISTEXT($S358)&gt;0,"⚠ 金额列里有文字，算不进合计",IF(N($G358)&gt;=1,"⚠ 管理费点要填百分比，如 10%",IF(AND($D358&lt;&gt;"",$B358=""),"△ 摘要开头没写日期（如 2026.9.21），月份取不到",IF(AND(N($H358)&lt;&gt;0,COUNTIFS($A$4:$A$1003,$A358,$H$4:$H$1003,$H358,$D$4:$D$1003,LEFT($D358,9)&amp;"*")&gt;1),"△ 同一天同项目有一样的销售金额，看看是不是录重了","✓"))))))))</f>
        <v/>
      </c>
      <c r="W358" s="8" t="str">
        <f aca="false">IF($A358="","",$A358&amp;"#"&amp;COUNTIF($A$4:$A358,$A358))</f>
        <v/>
      </c>
    </row>
    <row r="359" customFormat="false" ht="16.5" hidden="false" customHeight="false" outlineLevel="0" collapsed="false">
      <c r="A359" s="44" t="str">
        <f aca="false">IF($C359="","",IFERROR(VLOOKUP($C359,目录!$B:$C,2,0)&amp;"","⚠目录里没有"))</f>
        <v/>
      </c>
      <c r="B359" s="45" t="str">
        <f aca="false">IF($D359="","",IFERROR(MID($D359,FIND(".",$D359)+1,FIND(".",$D359,FIND(".",$D359)+1)-FIND(".",$D359)-1)&amp;"月",""))</f>
        <v/>
      </c>
      <c r="C359" s="46"/>
      <c r="D359" s="47"/>
      <c r="E359" s="47"/>
      <c r="F359" s="49"/>
      <c r="G359" s="50"/>
      <c r="H359" s="24"/>
      <c r="I359" s="24" t="str">
        <f aca="false">IF($H359="","",N($H359)*N($G359))</f>
        <v/>
      </c>
      <c r="J359" s="25" t="str">
        <f aca="false">IF($H359="","",N($H359)-N($I359))</f>
        <v/>
      </c>
      <c r="K359" s="25"/>
      <c r="L359" s="25" t="str">
        <f aca="false">IF($A359="","",SUMIF($A$4:$A359,$A359,$J$4:$J359)-SUMIF($A$4:$A359,$A359,$K$4:$K359))</f>
        <v/>
      </c>
      <c r="M359" s="26" t="str">
        <f aca="false">IF($H359="","",N($H359))</f>
        <v/>
      </c>
      <c r="N359" s="26"/>
      <c r="O359" s="26"/>
      <c r="P359" s="26" t="str">
        <f aca="false">IF($A359="","",SUMIF($A$4:$A359,$A359,$M$4:$M359)-SUMIF($A$4:$A359,$A359,$N$4:$N359)-SUMIF($A$4:$A359,$A359,$O$4:$O359))</f>
        <v/>
      </c>
      <c r="Q359" s="27"/>
      <c r="R359" s="28"/>
      <c r="S359" s="28"/>
      <c r="T359" s="28" t="str">
        <f aca="false">IF($A359="","",SUMIF($A$4:$A359,$A359,$Q$4:$Q359)-SUMIF($A$4:$A359,$A359,$R$4:$R359)-SUMIF($A$4:$A359,$A359,$S$4:$S359))</f>
        <v/>
      </c>
      <c r="U359" s="28"/>
      <c r="V359" s="29" t="str">
        <f aca="false">IF(AND($C359="",COUNTA($D359:$H359,$K359,$N359:$O359,$Q359:$S359,$U359)=0),"",IF($C359="","⚠ 没填项目名称",IF($A359="⚠目录里没有","⚠ 项目名称在目录里找不到（先加到目录）",IF($A359="","⚠ 目录里这个项目没填简称",IF(ISTEXT($G359)+ISTEXT($H359)+ISTEXT($K359)+ISTEXT($N359)+ISTEXT($O359)+ISTEXT($Q359)+ISTEXT($R359)+ISTEXT($S359)&gt;0,"⚠ 金额列里有文字，算不进合计",IF(N($G359)&gt;=1,"⚠ 管理费点要填百分比，如 10%",IF(AND($D359&lt;&gt;"",$B359=""),"△ 摘要开头没写日期（如 2026.9.21），月份取不到",IF(AND(N($H359)&lt;&gt;0,COUNTIFS($A$4:$A$1003,$A359,$H$4:$H$1003,$H359,$D$4:$D$1003,LEFT($D359,9)&amp;"*")&gt;1),"△ 同一天同项目有一样的销售金额，看看是不是录重了","✓"))))))))</f>
        <v/>
      </c>
      <c r="W359" s="8" t="str">
        <f aca="false">IF($A359="","",$A359&amp;"#"&amp;COUNTIF($A$4:$A359,$A359))</f>
        <v/>
      </c>
    </row>
    <row r="360" customFormat="false" ht="16.5" hidden="false" customHeight="false" outlineLevel="0" collapsed="false">
      <c r="A360" s="44" t="str">
        <f aca="false">IF($C360="","",IFERROR(VLOOKUP($C360,目录!$B:$C,2,0)&amp;"","⚠目录里没有"))</f>
        <v/>
      </c>
      <c r="B360" s="45" t="str">
        <f aca="false">IF($D360="","",IFERROR(MID($D360,FIND(".",$D360)+1,FIND(".",$D360,FIND(".",$D360)+1)-FIND(".",$D360)-1)&amp;"月",""))</f>
        <v/>
      </c>
      <c r="C360" s="46"/>
      <c r="D360" s="47"/>
      <c r="E360" s="47"/>
      <c r="F360" s="49"/>
      <c r="G360" s="50"/>
      <c r="H360" s="24"/>
      <c r="I360" s="24" t="str">
        <f aca="false">IF($H360="","",N($H360)*N($G360))</f>
        <v/>
      </c>
      <c r="J360" s="25" t="str">
        <f aca="false">IF($H360="","",N($H360)-N($I360))</f>
        <v/>
      </c>
      <c r="K360" s="25"/>
      <c r="L360" s="25" t="str">
        <f aca="false">IF($A360="","",SUMIF($A$4:$A360,$A360,$J$4:$J360)-SUMIF($A$4:$A360,$A360,$K$4:$K360))</f>
        <v/>
      </c>
      <c r="M360" s="26" t="str">
        <f aca="false">IF($H360="","",N($H360))</f>
        <v/>
      </c>
      <c r="N360" s="26"/>
      <c r="O360" s="26"/>
      <c r="P360" s="26" t="str">
        <f aca="false">IF($A360="","",SUMIF($A$4:$A360,$A360,$M$4:$M360)-SUMIF($A$4:$A360,$A360,$N$4:$N360)-SUMIF($A$4:$A360,$A360,$O$4:$O360))</f>
        <v/>
      </c>
      <c r="Q360" s="27"/>
      <c r="R360" s="28"/>
      <c r="S360" s="28"/>
      <c r="T360" s="28" t="str">
        <f aca="false">IF($A360="","",SUMIF($A$4:$A360,$A360,$Q$4:$Q360)-SUMIF($A$4:$A360,$A360,$R$4:$R360)-SUMIF($A$4:$A360,$A360,$S$4:$S360))</f>
        <v/>
      </c>
      <c r="U360" s="28"/>
      <c r="V360" s="29" t="str">
        <f aca="false">IF(AND($C360="",COUNTA($D360:$H360,$K360,$N360:$O360,$Q360:$S360,$U360)=0),"",IF($C360="","⚠ 没填项目名称",IF($A360="⚠目录里没有","⚠ 项目名称在目录里找不到（先加到目录）",IF($A360="","⚠ 目录里这个项目没填简称",IF(ISTEXT($G360)+ISTEXT($H360)+ISTEXT($K360)+ISTEXT($N360)+ISTEXT($O360)+ISTEXT($Q360)+ISTEXT($R360)+ISTEXT($S360)&gt;0,"⚠ 金额列里有文字，算不进合计",IF(N($G360)&gt;=1,"⚠ 管理费点要填百分比，如 10%",IF(AND($D360&lt;&gt;"",$B360=""),"△ 摘要开头没写日期（如 2026.9.21），月份取不到",IF(AND(N($H360)&lt;&gt;0,COUNTIFS($A$4:$A$1003,$A360,$H$4:$H$1003,$H360,$D$4:$D$1003,LEFT($D360,9)&amp;"*")&gt;1),"△ 同一天同项目有一样的销售金额，看看是不是录重了","✓"))))))))</f>
        <v/>
      </c>
      <c r="W360" s="8" t="str">
        <f aca="false">IF($A360="","",$A360&amp;"#"&amp;COUNTIF($A$4:$A360,$A360))</f>
        <v/>
      </c>
    </row>
    <row r="361" customFormat="false" ht="16.5" hidden="false" customHeight="false" outlineLevel="0" collapsed="false">
      <c r="A361" s="44" t="str">
        <f aca="false">IF($C361="","",IFERROR(VLOOKUP($C361,目录!$B:$C,2,0)&amp;"","⚠目录里没有"))</f>
        <v/>
      </c>
      <c r="B361" s="45" t="str">
        <f aca="false">IF($D361="","",IFERROR(MID($D361,FIND(".",$D361)+1,FIND(".",$D361,FIND(".",$D361)+1)-FIND(".",$D361)-1)&amp;"月",""))</f>
        <v/>
      </c>
      <c r="C361" s="46"/>
      <c r="D361" s="47"/>
      <c r="E361" s="47"/>
      <c r="F361" s="49"/>
      <c r="G361" s="50"/>
      <c r="H361" s="24"/>
      <c r="I361" s="24" t="str">
        <f aca="false">IF($H361="","",N($H361)*N($G361))</f>
        <v/>
      </c>
      <c r="J361" s="25" t="str">
        <f aca="false">IF($H361="","",N($H361)-N($I361))</f>
        <v/>
      </c>
      <c r="K361" s="25"/>
      <c r="L361" s="25" t="str">
        <f aca="false">IF($A361="","",SUMIF($A$4:$A361,$A361,$J$4:$J361)-SUMIF($A$4:$A361,$A361,$K$4:$K361))</f>
        <v/>
      </c>
      <c r="M361" s="26" t="str">
        <f aca="false">IF($H361="","",N($H361))</f>
        <v/>
      </c>
      <c r="N361" s="26"/>
      <c r="O361" s="26"/>
      <c r="P361" s="26" t="str">
        <f aca="false">IF($A361="","",SUMIF($A$4:$A361,$A361,$M$4:$M361)-SUMIF($A$4:$A361,$A361,$N$4:$N361)-SUMIF($A$4:$A361,$A361,$O$4:$O361))</f>
        <v/>
      </c>
      <c r="Q361" s="27"/>
      <c r="R361" s="28"/>
      <c r="S361" s="28"/>
      <c r="T361" s="28" t="str">
        <f aca="false">IF($A361="","",SUMIF($A$4:$A361,$A361,$Q$4:$Q361)-SUMIF($A$4:$A361,$A361,$R$4:$R361)-SUMIF($A$4:$A361,$A361,$S$4:$S361))</f>
        <v/>
      </c>
      <c r="U361" s="28"/>
      <c r="V361" s="29" t="str">
        <f aca="false">IF(AND($C361="",COUNTA($D361:$H361,$K361,$N361:$O361,$Q361:$S361,$U361)=0),"",IF($C361="","⚠ 没填项目名称",IF($A361="⚠目录里没有","⚠ 项目名称在目录里找不到（先加到目录）",IF($A361="","⚠ 目录里这个项目没填简称",IF(ISTEXT($G361)+ISTEXT($H361)+ISTEXT($K361)+ISTEXT($N361)+ISTEXT($O361)+ISTEXT($Q361)+ISTEXT($R361)+ISTEXT($S361)&gt;0,"⚠ 金额列里有文字，算不进合计",IF(N($G361)&gt;=1,"⚠ 管理费点要填百分比，如 10%",IF(AND($D361&lt;&gt;"",$B361=""),"△ 摘要开头没写日期（如 2026.9.21），月份取不到",IF(AND(N($H361)&lt;&gt;0,COUNTIFS($A$4:$A$1003,$A361,$H$4:$H$1003,$H361,$D$4:$D$1003,LEFT($D361,9)&amp;"*")&gt;1),"△ 同一天同项目有一样的销售金额，看看是不是录重了","✓"))))))))</f>
        <v/>
      </c>
      <c r="W361" s="8" t="str">
        <f aca="false">IF($A361="","",$A361&amp;"#"&amp;COUNTIF($A$4:$A361,$A361))</f>
        <v/>
      </c>
    </row>
    <row r="362" customFormat="false" ht="16.5" hidden="false" customHeight="false" outlineLevel="0" collapsed="false">
      <c r="A362" s="44" t="str">
        <f aca="false">IF($C362="","",IFERROR(VLOOKUP($C362,目录!$B:$C,2,0)&amp;"","⚠目录里没有"))</f>
        <v/>
      </c>
      <c r="B362" s="45" t="str">
        <f aca="false">IF($D362="","",IFERROR(MID($D362,FIND(".",$D362)+1,FIND(".",$D362,FIND(".",$D362)+1)-FIND(".",$D362)-1)&amp;"月",""))</f>
        <v/>
      </c>
      <c r="C362" s="46"/>
      <c r="D362" s="47"/>
      <c r="E362" s="47"/>
      <c r="F362" s="49"/>
      <c r="G362" s="50"/>
      <c r="H362" s="24"/>
      <c r="I362" s="24" t="str">
        <f aca="false">IF($H362="","",N($H362)*N($G362))</f>
        <v/>
      </c>
      <c r="J362" s="25" t="str">
        <f aca="false">IF($H362="","",N($H362)-N($I362))</f>
        <v/>
      </c>
      <c r="K362" s="25"/>
      <c r="L362" s="25" t="str">
        <f aca="false">IF($A362="","",SUMIF($A$4:$A362,$A362,$J$4:$J362)-SUMIF($A$4:$A362,$A362,$K$4:$K362))</f>
        <v/>
      </c>
      <c r="M362" s="26" t="str">
        <f aca="false">IF($H362="","",N($H362))</f>
        <v/>
      </c>
      <c r="N362" s="26"/>
      <c r="O362" s="26"/>
      <c r="P362" s="26" t="str">
        <f aca="false">IF($A362="","",SUMIF($A$4:$A362,$A362,$M$4:$M362)-SUMIF($A$4:$A362,$A362,$N$4:$N362)-SUMIF($A$4:$A362,$A362,$O$4:$O362))</f>
        <v/>
      </c>
      <c r="Q362" s="27"/>
      <c r="R362" s="28"/>
      <c r="S362" s="28"/>
      <c r="T362" s="28" t="str">
        <f aca="false">IF($A362="","",SUMIF($A$4:$A362,$A362,$Q$4:$Q362)-SUMIF($A$4:$A362,$A362,$R$4:$R362)-SUMIF($A$4:$A362,$A362,$S$4:$S362))</f>
        <v/>
      </c>
      <c r="U362" s="28"/>
      <c r="V362" s="29" t="str">
        <f aca="false">IF(AND($C362="",COUNTA($D362:$H362,$K362,$N362:$O362,$Q362:$S362,$U362)=0),"",IF($C362="","⚠ 没填项目名称",IF($A362="⚠目录里没有","⚠ 项目名称在目录里找不到（先加到目录）",IF($A362="","⚠ 目录里这个项目没填简称",IF(ISTEXT($G362)+ISTEXT($H362)+ISTEXT($K362)+ISTEXT($N362)+ISTEXT($O362)+ISTEXT($Q362)+ISTEXT($R362)+ISTEXT($S362)&gt;0,"⚠ 金额列里有文字，算不进合计",IF(N($G362)&gt;=1,"⚠ 管理费点要填百分比，如 10%",IF(AND($D362&lt;&gt;"",$B362=""),"△ 摘要开头没写日期（如 2026.9.21），月份取不到",IF(AND(N($H362)&lt;&gt;0,COUNTIFS($A$4:$A$1003,$A362,$H$4:$H$1003,$H362,$D$4:$D$1003,LEFT($D362,9)&amp;"*")&gt;1),"△ 同一天同项目有一样的销售金额，看看是不是录重了","✓"))))))))</f>
        <v/>
      </c>
      <c r="W362" s="8" t="str">
        <f aca="false">IF($A362="","",$A362&amp;"#"&amp;COUNTIF($A$4:$A362,$A362))</f>
        <v/>
      </c>
    </row>
    <row r="363" customFormat="false" ht="16.5" hidden="false" customHeight="false" outlineLevel="0" collapsed="false">
      <c r="A363" s="44" t="str">
        <f aca="false">IF($C363="","",IFERROR(VLOOKUP($C363,目录!$B:$C,2,0)&amp;"","⚠目录里没有"))</f>
        <v/>
      </c>
      <c r="B363" s="45" t="str">
        <f aca="false">IF($D363="","",IFERROR(MID($D363,FIND(".",$D363)+1,FIND(".",$D363,FIND(".",$D363)+1)-FIND(".",$D363)-1)&amp;"月",""))</f>
        <v/>
      </c>
      <c r="C363" s="46"/>
      <c r="D363" s="47"/>
      <c r="E363" s="47"/>
      <c r="F363" s="49"/>
      <c r="G363" s="50"/>
      <c r="H363" s="24"/>
      <c r="I363" s="24" t="str">
        <f aca="false">IF($H363="","",N($H363)*N($G363))</f>
        <v/>
      </c>
      <c r="J363" s="25" t="str">
        <f aca="false">IF($H363="","",N($H363)-N($I363))</f>
        <v/>
      </c>
      <c r="K363" s="25"/>
      <c r="L363" s="25" t="str">
        <f aca="false">IF($A363="","",SUMIF($A$4:$A363,$A363,$J$4:$J363)-SUMIF($A$4:$A363,$A363,$K$4:$K363))</f>
        <v/>
      </c>
      <c r="M363" s="26" t="str">
        <f aca="false">IF($H363="","",N($H363))</f>
        <v/>
      </c>
      <c r="N363" s="26"/>
      <c r="O363" s="26"/>
      <c r="P363" s="26" t="str">
        <f aca="false">IF($A363="","",SUMIF($A$4:$A363,$A363,$M$4:$M363)-SUMIF($A$4:$A363,$A363,$N$4:$N363)-SUMIF($A$4:$A363,$A363,$O$4:$O363))</f>
        <v/>
      </c>
      <c r="Q363" s="27"/>
      <c r="R363" s="28"/>
      <c r="S363" s="28"/>
      <c r="T363" s="28" t="str">
        <f aca="false">IF($A363="","",SUMIF($A$4:$A363,$A363,$Q$4:$Q363)-SUMIF($A$4:$A363,$A363,$R$4:$R363)-SUMIF($A$4:$A363,$A363,$S$4:$S363))</f>
        <v/>
      </c>
      <c r="U363" s="28"/>
      <c r="V363" s="29" t="str">
        <f aca="false">IF(AND($C363="",COUNTA($D363:$H363,$K363,$N363:$O363,$Q363:$S363,$U363)=0),"",IF($C363="","⚠ 没填项目名称",IF($A363="⚠目录里没有","⚠ 项目名称在目录里找不到（先加到目录）",IF($A363="","⚠ 目录里这个项目没填简称",IF(ISTEXT($G363)+ISTEXT($H363)+ISTEXT($K363)+ISTEXT($N363)+ISTEXT($O363)+ISTEXT($Q363)+ISTEXT($R363)+ISTEXT($S363)&gt;0,"⚠ 金额列里有文字，算不进合计",IF(N($G363)&gt;=1,"⚠ 管理费点要填百分比，如 10%",IF(AND($D363&lt;&gt;"",$B363=""),"△ 摘要开头没写日期（如 2026.9.21），月份取不到",IF(AND(N($H363)&lt;&gt;0,COUNTIFS($A$4:$A$1003,$A363,$H$4:$H$1003,$H363,$D$4:$D$1003,LEFT($D363,9)&amp;"*")&gt;1),"△ 同一天同项目有一样的销售金额，看看是不是录重了","✓"))))))))</f>
        <v/>
      </c>
      <c r="W363" s="8" t="str">
        <f aca="false">IF($A363="","",$A363&amp;"#"&amp;COUNTIF($A$4:$A363,$A363))</f>
        <v/>
      </c>
    </row>
    <row r="364" customFormat="false" ht="16.5" hidden="false" customHeight="false" outlineLevel="0" collapsed="false">
      <c r="A364" s="44" t="str">
        <f aca="false">IF($C364="","",IFERROR(VLOOKUP($C364,目录!$B:$C,2,0)&amp;"","⚠目录里没有"))</f>
        <v/>
      </c>
      <c r="B364" s="45" t="str">
        <f aca="false">IF($D364="","",IFERROR(MID($D364,FIND(".",$D364)+1,FIND(".",$D364,FIND(".",$D364)+1)-FIND(".",$D364)-1)&amp;"月",""))</f>
        <v/>
      </c>
      <c r="C364" s="46"/>
      <c r="D364" s="47"/>
      <c r="E364" s="47"/>
      <c r="F364" s="49"/>
      <c r="G364" s="50"/>
      <c r="H364" s="24"/>
      <c r="I364" s="24" t="str">
        <f aca="false">IF($H364="","",N($H364)*N($G364))</f>
        <v/>
      </c>
      <c r="J364" s="25" t="str">
        <f aca="false">IF($H364="","",N($H364)-N($I364))</f>
        <v/>
      </c>
      <c r="K364" s="25"/>
      <c r="L364" s="25" t="str">
        <f aca="false">IF($A364="","",SUMIF($A$4:$A364,$A364,$J$4:$J364)-SUMIF($A$4:$A364,$A364,$K$4:$K364))</f>
        <v/>
      </c>
      <c r="M364" s="26" t="str">
        <f aca="false">IF($H364="","",N($H364))</f>
        <v/>
      </c>
      <c r="N364" s="26"/>
      <c r="O364" s="26"/>
      <c r="P364" s="26" t="str">
        <f aca="false">IF($A364="","",SUMIF($A$4:$A364,$A364,$M$4:$M364)-SUMIF($A$4:$A364,$A364,$N$4:$N364)-SUMIF($A$4:$A364,$A364,$O$4:$O364))</f>
        <v/>
      </c>
      <c r="Q364" s="27"/>
      <c r="R364" s="28"/>
      <c r="S364" s="28"/>
      <c r="T364" s="28" t="str">
        <f aca="false">IF($A364="","",SUMIF($A$4:$A364,$A364,$Q$4:$Q364)-SUMIF($A$4:$A364,$A364,$R$4:$R364)-SUMIF($A$4:$A364,$A364,$S$4:$S364))</f>
        <v/>
      </c>
      <c r="U364" s="28"/>
      <c r="V364" s="29" t="str">
        <f aca="false">IF(AND($C364="",COUNTA($D364:$H364,$K364,$N364:$O364,$Q364:$S364,$U364)=0),"",IF($C364="","⚠ 没填项目名称",IF($A364="⚠目录里没有","⚠ 项目名称在目录里找不到（先加到目录）",IF($A364="","⚠ 目录里这个项目没填简称",IF(ISTEXT($G364)+ISTEXT($H364)+ISTEXT($K364)+ISTEXT($N364)+ISTEXT($O364)+ISTEXT($Q364)+ISTEXT($R364)+ISTEXT($S364)&gt;0,"⚠ 金额列里有文字，算不进合计",IF(N($G364)&gt;=1,"⚠ 管理费点要填百分比，如 10%",IF(AND($D364&lt;&gt;"",$B364=""),"△ 摘要开头没写日期（如 2026.9.21），月份取不到",IF(AND(N($H364)&lt;&gt;0,COUNTIFS($A$4:$A$1003,$A364,$H$4:$H$1003,$H364,$D$4:$D$1003,LEFT($D364,9)&amp;"*")&gt;1),"△ 同一天同项目有一样的销售金额，看看是不是录重了","✓"))))))))</f>
        <v/>
      </c>
      <c r="W364" s="8" t="str">
        <f aca="false">IF($A364="","",$A364&amp;"#"&amp;COUNTIF($A$4:$A364,$A364))</f>
        <v/>
      </c>
    </row>
    <row r="365" customFormat="false" ht="16.5" hidden="false" customHeight="false" outlineLevel="0" collapsed="false">
      <c r="A365" s="44" t="str">
        <f aca="false">IF($C365="","",IFERROR(VLOOKUP($C365,目录!$B:$C,2,0)&amp;"","⚠目录里没有"))</f>
        <v/>
      </c>
      <c r="B365" s="45" t="str">
        <f aca="false">IF($D365="","",IFERROR(MID($D365,FIND(".",$D365)+1,FIND(".",$D365,FIND(".",$D365)+1)-FIND(".",$D365)-1)&amp;"月",""))</f>
        <v/>
      </c>
      <c r="C365" s="46"/>
      <c r="D365" s="47"/>
      <c r="E365" s="47"/>
      <c r="F365" s="49"/>
      <c r="G365" s="50"/>
      <c r="H365" s="24"/>
      <c r="I365" s="24" t="str">
        <f aca="false">IF($H365="","",N($H365)*N($G365))</f>
        <v/>
      </c>
      <c r="J365" s="25" t="str">
        <f aca="false">IF($H365="","",N($H365)-N($I365))</f>
        <v/>
      </c>
      <c r="K365" s="25"/>
      <c r="L365" s="25" t="str">
        <f aca="false">IF($A365="","",SUMIF($A$4:$A365,$A365,$J$4:$J365)-SUMIF($A$4:$A365,$A365,$K$4:$K365))</f>
        <v/>
      </c>
      <c r="M365" s="26" t="str">
        <f aca="false">IF($H365="","",N($H365))</f>
        <v/>
      </c>
      <c r="N365" s="26"/>
      <c r="O365" s="26"/>
      <c r="P365" s="26" t="str">
        <f aca="false">IF($A365="","",SUMIF($A$4:$A365,$A365,$M$4:$M365)-SUMIF($A$4:$A365,$A365,$N$4:$N365)-SUMIF($A$4:$A365,$A365,$O$4:$O365))</f>
        <v/>
      </c>
      <c r="Q365" s="27"/>
      <c r="R365" s="28"/>
      <c r="S365" s="28"/>
      <c r="T365" s="28" t="str">
        <f aca="false">IF($A365="","",SUMIF($A$4:$A365,$A365,$Q$4:$Q365)-SUMIF($A$4:$A365,$A365,$R$4:$R365)-SUMIF($A$4:$A365,$A365,$S$4:$S365))</f>
        <v/>
      </c>
      <c r="U365" s="28"/>
      <c r="V365" s="29" t="str">
        <f aca="false">IF(AND($C365="",COUNTA($D365:$H365,$K365,$N365:$O365,$Q365:$S365,$U365)=0),"",IF($C365="","⚠ 没填项目名称",IF($A365="⚠目录里没有","⚠ 项目名称在目录里找不到（先加到目录）",IF($A365="","⚠ 目录里这个项目没填简称",IF(ISTEXT($G365)+ISTEXT($H365)+ISTEXT($K365)+ISTEXT($N365)+ISTEXT($O365)+ISTEXT($Q365)+ISTEXT($R365)+ISTEXT($S365)&gt;0,"⚠ 金额列里有文字，算不进合计",IF(N($G365)&gt;=1,"⚠ 管理费点要填百分比，如 10%",IF(AND($D365&lt;&gt;"",$B365=""),"△ 摘要开头没写日期（如 2026.9.21），月份取不到",IF(AND(N($H365)&lt;&gt;0,COUNTIFS($A$4:$A$1003,$A365,$H$4:$H$1003,$H365,$D$4:$D$1003,LEFT($D365,9)&amp;"*")&gt;1),"△ 同一天同项目有一样的销售金额，看看是不是录重了","✓"))))))))</f>
        <v/>
      </c>
      <c r="W365" s="8" t="str">
        <f aca="false">IF($A365="","",$A365&amp;"#"&amp;COUNTIF($A$4:$A365,$A365))</f>
        <v/>
      </c>
    </row>
    <row r="366" customFormat="false" ht="16.5" hidden="false" customHeight="false" outlineLevel="0" collapsed="false">
      <c r="A366" s="44" t="str">
        <f aca="false">IF($C366="","",IFERROR(VLOOKUP($C366,目录!$B:$C,2,0)&amp;"","⚠目录里没有"))</f>
        <v/>
      </c>
      <c r="B366" s="45" t="str">
        <f aca="false">IF($D366="","",IFERROR(MID($D366,FIND(".",$D366)+1,FIND(".",$D366,FIND(".",$D366)+1)-FIND(".",$D366)-1)&amp;"月",""))</f>
        <v/>
      </c>
      <c r="C366" s="46"/>
      <c r="D366" s="47"/>
      <c r="E366" s="47"/>
      <c r="F366" s="49"/>
      <c r="G366" s="50"/>
      <c r="H366" s="24"/>
      <c r="I366" s="24" t="str">
        <f aca="false">IF($H366="","",N($H366)*N($G366))</f>
        <v/>
      </c>
      <c r="J366" s="25" t="str">
        <f aca="false">IF($H366="","",N($H366)-N($I366))</f>
        <v/>
      </c>
      <c r="K366" s="25"/>
      <c r="L366" s="25" t="str">
        <f aca="false">IF($A366="","",SUMIF($A$4:$A366,$A366,$J$4:$J366)-SUMIF($A$4:$A366,$A366,$K$4:$K366))</f>
        <v/>
      </c>
      <c r="M366" s="26" t="str">
        <f aca="false">IF($H366="","",N($H366))</f>
        <v/>
      </c>
      <c r="N366" s="26"/>
      <c r="O366" s="26"/>
      <c r="P366" s="26" t="str">
        <f aca="false">IF($A366="","",SUMIF($A$4:$A366,$A366,$M$4:$M366)-SUMIF($A$4:$A366,$A366,$N$4:$N366)-SUMIF($A$4:$A366,$A366,$O$4:$O366))</f>
        <v/>
      </c>
      <c r="Q366" s="27"/>
      <c r="R366" s="28"/>
      <c r="S366" s="28"/>
      <c r="T366" s="28" t="str">
        <f aca="false">IF($A366="","",SUMIF($A$4:$A366,$A366,$Q$4:$Q366)-SUMIF($A$4:$A366,$A366,$R$4:$R366)-SUMIF($A$4:$A366,$A366,$S$4:$S366))</f>
        <v/>
      </c>
      <c r="U366" s="28"/>
      <c r="V366" s="29" t="str">
        <f aca="false">IF(AND($C366="",COUNTA($D366:$H366,$K366,$N366:$O366,$Q366:$S366,$U366)=0),"",IF($C366="","⚠ 没填项目名称",IF($A366="⚠目录里没有","⚠ 项目名称在目录里找不到（先加到目录）",IF($A366="","⚠ 目录里这个项目没填简称",IF(ISTEXT($G366)+ISTEXT($H366)+ISTEXT($K366)+ISTEXT($N366)+ISTEXT($O366)+ISTEXT($Q366)+ISTEXT($R366)+ISTEXT($S366)&gt;0,"⚠ 金额列里有文字，算不进合计",IF(N($G366)&gt;=1,"⚠ 管理费点要填百分比，如 10%",IF(AND($D366&lt;&gt;"",$B366=""),"△ 摘要开头没写日期（如 2026.9.21），月份取不到",IF(AND(N($H366)&lt;&gt;0,COUNTIFS($A$4:$A$1003,$A366,$H$4:$H$1003,$H366,$D$4:$D$1003,LEFT($D366,9)&amp;"*")&gt;1),"△ 同一天同项目有一样的销售金额，看看是不是录重了","✓"))))))))</f>
        <v/>
      </c>
      <c r="W366" s="8" t="str">
        <f aca="false">IF($A366="","",$A366&amp;"#"&amp;COUNTIF($A$4:$A366,$A366))</f>
        <v/>
      </c>
    </row>
    <row r="367" customFormat="false" ht="16.5" hidden="false" customHeight="false" outlineLevel="0" collapsed="false">
      <c r="A367" s="44" t="str">
        <f aca="false">IF($C367="","",IFERROR(VLOOKUP($C367,目录!$B:$C,2,0)&amp;"","⚠目录里没有"))</f>
        <v/>
      </c>
      <c r="B367" s="45" t="str">
        <f aca="false">IF($D367="","",IFERROR(MID($D367,FIND(".",$D367)+1,FIND(".",$D367,FIND(".",$D367)+1)-FIND(".",$D367)-1)&amp;"月",""))</f>
        <v/>
      </c>
      <c r="C367" s="46"/>
      <c r="D367" s="47"/>
      <c r="E367" s="47"/>
      <c r="F367" s="49"/>
      <c r="G367" s="50"/>
      <c r="H367" s="24"/>
      <c r="I367" s="24" t="str">
        <f aca="false">IF($H367="","",N($H367)*N($G367))</f>
        <v/>
      </c>
      <c r="J367" s="25" t="str">
        <f aca="false">IF($H367="","",N($H367)-N($I367))</f>
        <v/>
      </c>
      <c r="K367" s="25"/>
      <c r="L367" s="25" t="str">
        <f aca="false">IF($A367="","",SUMIF($A$4:$A367,$A367,$J$4:$J367)-SUMIF($A$4:$A367,$A367,$K$4:$K367))</f>
        <v/>
      </c>
      <c r="M367" s="26" t="str">
        <f aca="false">IF($H367="","",N($H367))</f>
        <v/>
      </c>
      <c r="N367" s="26"/>
      <c r="O367" s="26"/>
      <c r="P367" s="26" t="str">
        <f aca="false">IF($A367="","",SUMIF($A$4:$A367,$A367,$M$4:$M367)-SUMIF($A$4:$A367,$A367,$N$4:$N367)-SUMIF($A$4:$A367,$A367,$O$4:$O367))</f>
        <v/>
      </c>
      <c r="Q367" s="27"/>
      <c r="R367" s="28"/>
      <c r="S367" s="28"/>
      <c r="T367" s="28" t="str">
        <f aca="false">IF($A367="","",SUMIF($A$4:$A367,$A367,$Q$4:$Q367)-SUMIF($A$4:$A367,$A367,$R$4:$R367)-SUMIF($A$4:$A367,$A367,$S$4:$S367))</f>
        <v/>
      </c>
      <c r="U367" s="28"/>
      <c r="V367" s="29" t="str">
        <f aca="false">IF(AND($C367="",COUNTA($D367:$H367,$K367,$N367:$O367,$Q367:$S367,$U367)=0),"",IF($C367="","⚠ 没填项目名称",IF($A367="⚠目录里没有","⚠ 项目名称在目录里找不到（先加到目录）",IF($A367="","⚠ 目录里这个项目没填简称",IF(ISTEXT($G367)+ISTEXT($H367)+ISTEXT($K367)+ISTEXT($N367)+ISTEXT($O367)+ISTEXT($Q367)+ISTEXT($R367)+ISTEXT($S367)&gt;0,"⚠ 金额列里有文字，算不进合计",IF(N($G367)&gt;=1,"⚠ 管理费点要填百分比，如 10%",IF(AND($D367&lt;&gt;"",$B367=""),"△ 摘要开头没写日期（如 2026.9.21），月份取不到",IF(AND(N($H367)&lt;&gt;0,COUNTIFS($A$4:$A$1003,$A367,$H$4:$H$1003,$H367,$D$4:$D$1003,LEFT($D367,9)&amp;"*")&gt;1),"△ 同一天同项目有一样的销售金额，看看是不是录重了","✓"))))))))</f>
        <v/>
      </c>
      <c r="W367" s="8" t="str">
        <f aca="false">IF($A367="","",$A367&amp;"#"&amp;COUNTIF($A$4:$A367,$A367))</f>
        <v/>
      </c>
    </row>
    <row r="368" customFormat="false" ht="16.5" hidden="false" customHeight="false" outlineLevel="0" collapsed="false">
      <c r="A368" s="44" t="str">
        <f aca="false">IF($C368="","",IFERROR(VLOOKUP($C368,目录!$B:$C,2,0)&amp;"","⚠目录里没有"))</f>
        <v/>
      </c>
      <c r="B368" s="45" t="str">
        <f aca="false">IF($D368="","",IFERROR(MID($D368,FIND(".",$D368)+1,FIND(".",$D368,FIND(".",$D368)+1)-FIND(".",$D368)-1)&amp;"月",""))</f>
        <v/>
      </c>
      <c r="C368" s="46"/>
      <c r="D368" s="47"/>
      <c r="E368" s="47"/>
      <c r="F368" s="49"/>
      <c r="G368" s="50"/>
      <c r="H368" s="24"/>
      <c r="I368" s="24" t="str">
        <f aca="false">IF($H368="","",N($H368)*N($G368))</f>
        <v/>
      </c>
      <c r="J368" s="25" t="str">
        <f aca="false">IF($H368="","",N($H368)-N($I368))</f>
        <v/>
      </c>
      <c r="K368" s="25"/>
      <c r="L368" s="25" t="str">
        <f aca="false">IF($A368="","",SUMIF($A$4:$A368,$A368,$J$4:$J368)-SUMIF($A$4:$A368,$A368,$K$4:$K368))</f>
        <v/>
      </c>
      <c r="M368" s="26" t="str">
        <f aca="false">IF($H368="","",N($H368))</f>
        <v/>
      </c>
      <c r="N368" s="26"/>
      <c r="O368" s="26"/>
      <c r="P368" s="26" t="str">
        <f aca="false">IF($A368="","",SUMIF($A$4:$A368,$A368,$M$4:$M368)-SUMIF($A$4:$A368,$A368,$N$4:$N368)-SUMIF($A$4:$A368,$A368,$O$4:$O368))</f>
        <v/>
      </c>
      <c r="Q368" s="27"/>
      <c r="R368" s="28"/>
      <c r="S368" s="28"/>
      <c r="T368" s="28" t="str">
        <f aca="false">IF($A368="","",SUMIF($A$4:$A368,$A368,$Q$4:$Q368)-SUMIF($A$4:$A368,$A368,$R$4:$R368)-SUMIF($A$4:$A368,$A368,$S$4:$S368))</f>
        <v/>
      </c>
      <c r="U368" s="28"/>
      <c r="V368" s="29" t="str">
        <f aca="false">IF(AND($C368="",COUNTA($D368:$H368,$K368,$N368:$O368,$Q368:$S368,$U368)=0),"",IF($C368="","⚠ 没填项目名称",IF($A368="⚠目录里没有","⚠ 项目名称在目录里找不到（先加到目录）",IF($A368="","⚠ 目录里这个项目没填简称",IF(ISTEXT($G368)+ISTEXT($H368)+ISTEXT($K368)+ISTEXT($N368)+ISTEXT($O368)+ISTEXT($Q368)+ISTEXT($R368)+ISTEXT($S368)&gt;0,"⚠ 金额列里有文字，算不进合计",IF(N($G368)&gt;=1,"⚠ 管理费点要填百分比，如 10%",IF(AND($D368&lt;&gt;"",$B368=""),"△ 摘要开头没写日期（如 2026.9.21），月份取不到",IF(AND(N($H368)&lt;&gt;0,COUNTIFS($A$4:$A$1003,$A368,$H$4:$H$1003,$H368,$D$4:$D$1003,LEFT($D368,9)&amp;"*")&gt;1),"△ 同一天同项目有一样的销售金额，看看是不是录重了","✓"))))))))</f>
        <v/>
      </c>
      <c r="W368" s="8" t="str">
        <f aca="false">IF($A368="","",$A368&amp;"#"&amp;COUNTIF($A$4:$A368,$A368))</f>
        <v/>
      </c>
    </row>
    <row r="369" customFormat="false" ht="16.5" hidden="false" customHeight="false" outlineLevel="0" collapsed="false">
      <c r="A369" s="44" t="str">
        <f aca="false">IF($C369="","",IFERROR(VLOOKUP($C369,目录!$B:$C,2,0)&amp;"","⚠目录里没有"))</f>
        <v/>
      </c>
      <c r="B369" s="45" t="str">
        <f aca="false">IF($D369="","",IFERROR(MID($D369,FIND(".",$D369)+1,FIND(".",$D369,FIND(".",$D369)+1)-FIND(".",$D369)-1)&amp;"月",""))</f>
        <v/>
      </c>
      <c r="C369" s="46"/>
      <c r="D369" s="47"/>
      <c r="E369" s="47"/>
      <c r="F369" s="49"/>
      <c r="G369" s="50"/>
      <c r="H369" s="24"/>
      <c r="I369" s="24" t="str">
        <f aca="false">IF($H369="","",N($H369)*N($G369))</f>
        <v/>
      </c>
      <c r="J369" s="25" t="str">
        <f aca="false">IF($H369="","",N($H369)-N($I369))</f>
        <v/>
      </c>
      <c r="K369" s="25"/>
      <c r="L369" s="25" t="str">
        <f aca="false">IF($A369="","",SUMIF($A$4:$A369,$A369,$J$4:$J369)-SUMIF($A$4:$A369,$A369,$K$4:$K369))</f>
        <v/>
      </c>
      <c r="M369" s="26" t="str">
        <f aca="false">IF($H369="","",N($H369))</f>
        <v/>
      </c>
      <c r="N369" s="26"/>
      <c r="O369" s="26"/>
      <c r="P369" s="26" t="str">
        <f aca="false">IF($A369="","",SUMIF($A$4:$A369,$A369,$M$4:$M369)-SUMIF($A$4:$A369,$A369,$N$4:$N369)-SUMIF($A$4:$A369,$A369,$O$4:$O369))</f>
        <v/>
      </c>
      <c r="Q369" s="27"/>
      <c r="R369" s="28"/>
      <c r="S369" s="28"/>
      <c r="T369" s="28" t="str">
        <f aca="false">IF($A369="","",SUMIF($A$4:$A369,$A369,$Q$4:$Q369)-SUMIF($A$4:$A369,$A369,$R$4:$R369)-SUMIF($A$4:$A369,$A369,$S$4:$S369))</f>
        <v/>
      </c>
      <c r="U369" s="28"/>
      <c r="V369" s="29" t="str">
        <f aca="false">IF(AND($C369="",COUNTA($D369:$H369,$K369,$N369:$O369,$Q369:$S369,$U369)=0),"",IF($C369="","⚠ 没填项目名称",IF($A369="⚠目录里没有","⚠ 项目名称在目录里找不到（先加到目录）",IF($A369="","⚠ 目录里这个项目没填简称",IF(ISTEXT($G369)+ISTEXT($H369)+ISTEXT($K369)+ISTEXT($N369)+ISTEXT($O369)+ISTEXT($Q369)+ISTEXT($R369)+ISTEXT($S369)&gt;0,"⚠ 金额列里有文字，算不进合计",IF(N($G369)&gt;=1,"⚠ 管理费点要填百分比，如 10%",IF(AND($D369&lt;&gt;"",$B369=""),"△ 摘要开头没写日期（如 2026.9.21），月份取不到",IF(AND(N($H369)&lt;&gt;0,COUNTIFS($A$4:$A$1003,$A369,$H$4:$H$1003,$H369,$D$4:$D$1003,LEFT($D369,9)&amp;"*")&gt;1),"△ 同一天同项目有一样的销售金额，看看是不是录重了","✓"))))))))</f>
        <v/>
      </c>
      <c r="W369" s="8" t="str">
        <f aca="false">IF($A369="","",$A369&amp;"#"&amp;COUNTIF($A$4:$A369,$A369))</f>
        <v/>
      </c>
    </row>
    <row r="370" customFormat="false" ht="16.5" hidden="false" customHeight="false" outlineLevel="0" collapsed="false">
      <c r="A370" s="44" t="str">
        <f aca="false">IF($C370="","",IFERROR(VLOOKUP($C370,目录!$B:$C,2,0)&amp;"","⚠目录里没有"))</f>
        <v/>
      </c>
      <c r="B370" s="45" t="str">
        <f aca="false">IF($D370="","",IFERROR(MID($D370,FIND(".",$D370)+1,FIND(".",$D370,FIND(".",$D370)+1)-FIND(".",$D370)-1)&amp;"月",""))</f>
        <v/>
      </c>
      <c r="C370" s="46"/>
      <c r="D370" s="47"/>
      <c r="E370" s="47"/>
      <c r="F370" s="49"/>
      <c r="G370" s="50"/>
      <c r="H370" s="24"/>
      <c r="I370" s="24" t="str">
        <f aca="false">IF($H370="","",N($H370)*N($G370))</f>
        <v/>
      </c>
      <c r="J370" s="25" t="str">
        <f aca="false">IF($H370="","",N($H370)-N($I370))</f>
        <v/>
      </c>
      <c r="K370" s="25"/>
      <c r="L370" s="25" t="str">
        <f aca="false">IF($A370="","",SUMIF($A$4:$A370,$A370,$J$4:$J370)-SUMIF($A$4:$A370,$A370,$K$4:$K370))</f>
        <v/>
      </c>
      <c r="M370" s="26" t="str">
        <f aca="false">IF($H370="","",N($H370))</f>
        <v/>
      </c>
      <c r="N370" s="26"/>
      <c r="O370" s="26"/>
      <c r="P370" s="26" t="str">
        <f aca="false">IF($A370="","",SUMIF($A$4:$A370,$A370,$M$4:$M370)-SUMIF($A$4:$A370,$A370,$N$4:$N370)-SUMIF($A$4:$A370,$A370,$O$4:$O370))</f>
        <v/>
      </c>
      <c r="Q370" s="27"/>
      <c r="R370" s="28"/>
      <c r="S370" s="28"/>
      <c r="T370" s="28" t="str">
        <f aca="false">IF($A370="","",SUMIF($A$4:$A370,$A370,$Q$4:$Q370)-SUMIF($A$4:$A370,$A370,$R$4:$R370)-SUMIF($A$4:$A370,$A370,$S$4:$S370))</f>
        <v/>
      </c>
      <c r="U370" s="28"/>
      <c r="V370" s="29" t="str">
        <f aca="false">IF(AND($C370="",COUNTA($D370:$H370,$K370,$N370:$O370,$Q370:$S370,$U370)=0),"",IF($C370="","⚠ 没填项目名称",IF($A370="⚠目录里没有","⚠ 项目名称在目录里找不到（先加到目录）",IF($A370="","⚠ 目录里这个项目没填简称",IF(ISTEXT($G370)+ISTEXT($H370)+ISTEXT($K370)+ISTEXT($N370)+ISTEXT($O370)+ISTEXT($Q370)+ISTEXT($R370)+ISTEXT($S370)&gt;0,"⚠ 金额列里有文字，算不进合计",IF(N($G370)&gt;=1,"⚠ 管理费点要填百分比，如 10%",IF(AND($D370&lt;&gt;"",$B370=""),"△ 摘要开头没写日期（如 2026.9.21），月份取不到",IF(AND(N($H370)&lt;&gt;0,COUNTIFS($A$4:$A$1003,$A370,$H$4:$H$1003,$H370,$D$4:$D$1003,LEFT($D370,9)&amp;"*")&gt;1),"△ 同一天同项目有一样的销售金额，看看是不是录重了","✓"))))))))</f>
        <v/>
      </c>
      <c r="W370" s="8" t="str">
        <f aca="false">IF($A370="","",$A370&amp;"#"&amp;COUNTIF($A$4:$A370,$A370))</f>
        <v/>
      </c>
    </row>
    <row r="371" customFormat="false" ht="16.5" hidden="false" customHeight="false" outlineLevel="0" collapsed="false">
      <c r="A371" s="44" t="str">
        <f aca="false">IF($C371="","",IFERROR(VLOOKUP($C371,目录!$B:$C,2,0)&amp;"","⚠目录里没有"))</f>
        <v/>
      </c>
      <c r="B371" s="45" t="str">
        <f aca="false">IF($D371="","",IFERROR(MID($D371,FIND(".",$D371)+1,FIND(".",$D371,FIND(".",$D371)+1)-FIND(".",$D371)-1)&amp;"月",""))</f>
        <v/>
      </c>
      <c r="C371" s="46"/>
      <c r="D371" s="47"/>
      <c r="E371" s="47"/>
      <c r="F371" s="49"/>
      <c r="G371" s="50"/>
      <c r="H371" s="24"/>
      <c r="I371" s="24" t="str">
        <f aca="false">IF($H371="","",N($H371)*N($G371))</f>
        <v/>
      </c>
      <c r="J371" s="25" t="str">
        <f aca="false">IF($H371="","",N($H371)-N($I371))</f>
        <v/>
      </c>
      <c r="K371" s="25"/>
      <c r="L371" s="25" t="str">
        <f aca="false">IF($A371="","",SUMIF($A$4:$A371,$A371,$J$4:$J371)-SUMIF($A$4:$A371,$A371,$K$4:$K371))</f>
        <v/>
      </c>
      <c r="M371" s="26" t="str">
        <f aca="false">IF($H371="","",N($H371))</f>
        <v/>
      </c>
      <c r="N371" s="26"/>
      <c r="O371" s="26"/>
      <c r="P371" s="26" t="str">
        <f aca="false">IF($A371="","",SUMIF($A$4:$A371,$A371,$M$4:$M371)-SUMIF($A$4:$A371,$A371,$N$4:$N371)-SUMIF($A$4:$A371,$A371,$O$4:$O371))</f>
        <v/>
      </c>
      <c r="Q371" s="27"/>
      <c r="R371" s="28"/>
      <c r="S371" s="28"/>
      <c r="T371" s="28" t="str">
        <f aca="false">IF($A371="","",SUMIF($A$4:$A371,$A371,$Q$4:$Q371)-SUMIF($A$4:$A371,$A371,$R$4:$R371)-SUMIF($A$4:$A371,$A371,$S$4:$S371))</f>
        <v/>
      </c>
      <c r="U371" s="28"/>
      <c r="V371" s="29" t="str">
        <f aca="false">IF(AND($C371="",COUNTA($D371:$H371,$K371,$N371:$O371,$Q371:$S371,$U371)=0),"",IF($C371="","⚠ 没填项目名称",IF($A371="⚠目录里没有","⚠ 项目名称在目录里找不到（先加到目录）",IF($A371="","⚠ 目录里这个项目没填简称",IF(ISTEXT($G371)+ISTEXT($H371)+ISTEXT($K371)+ISTEXT($N371)+ISTEXT($O371)+ISTEXT($Q371)+ISTEXT($R371)+ISTEXT($S371)&gt;0,"⚠ 金额列里有文字，算不进合计",IF(N($G371)&gt;=1,"⚠ 管理费点要填百分比，如 10%",IF(AND($D371&lt;&gt;"",$B371=""),"△ 摘要开头没写日期（如 2026.9.21），月份取不到",IF(AND(N($H371)&lt;&gt;0,COUNTIFS($A$4:$A$1003,$A371,$H$4:$H$1003,$H371,$D$4:$D$1003,LEFT($D371,9)&amp;"*")&gt;1),"△ 同一天同项目有一样的销售金额，看看是不是录重了","✓"))))))))</f>
        <v/>
      </c>
      <c r="W371" s="8" t="str">
        <f aca="false">IF($A371="","",$A371&amp;"#"&amp;COUNTIF($A$4:$A371,$A371))</f>
        <v/>
      </c>
    </row>
    <row r="372" customFormat="false" ht="16.5" hidden="false" customHeight="false" outlineLevel="0" collapsed="false">
      <c r="A372" s="44" t="str">
        <f aca="false">IF($C372="","",IFERROR(VLOOKUP($C372,目录!$B:$C,2,0)&amp;"","⚠目录里没有"))</f>
        <v/>
      </c>
      <c r="B372" s="45" t="str">
        <f aca="false">IF($D372="","",IFERROR(MID($D372,FIND(".",$D372)+1,FIND(".",$D372,FIND(".",$D372)+1)-FIND(".",$D372)-1)&amp;"月",""))</f>
        <v/>
      </c>
      <c r="C372" s="46"/>
      <c r="D372" s="47"/>
      <c r="E372" s="47"/>
      <c r="F372" s="49"/>
      <c r="G372" s="50"/>
      <c r="H372" s="24"/>
      <c r="I372" s="24" t="str">
        <f aca="false">IF($H372="","",N($H372)*N($G372))</f>
        <v/>
      </c>
      <c r="J372" s="25" t="str">
        <f aca="false">IF($H372="","",N($H372)-N($I372))</f>
        <v/>
      </c>
      <c r="K372" s="25"/>
      <c r="L372" s="25" t="str">
        <f aca="false">IF($A372="","",SUMIF($A$4:$A372,$A372,$J$4:$J372)-SUMIF($A$4:$A372,$A372,$K$4:$K372))</f>
        <v/>
      </c>
      <c r="M372" s="26" t="str">
        <f aca="false">IF($H372="","",N($H372))</f>
        <v/>
      </c>
      <c r="N372" s="26"/>
      <c r="O372" s="26"/>
      <c r="P372" s="26" t="str">
        <f aca="false">IF($A372="","",SUMIF($A$4:$A372,$A372,$M$4:$M372)-SUMIF($A$4:$A372,$A372,$N$4:$N372)-SUMIF($A$4:$A372,$A372,$O$4:$O372))</f>
        <v/>
      </c>
      <c r="Q372" s="27"/>
      <c r="R372" s="28"/>
      <c r="S372" s="28"/>
      <c r="T372" s="28" t="str">
        <f aca="false">IF($A372="","",SUMIF($A$4:$A372,$A372,$Q$4:$Q372)-SUMIF($A$4:$A372,$A372,$R$4:$R372)-SUMIF($A$4:$A372,$A372,$S$4:$S372))</f>
        <v/>
      </c>
      <c r="U372" s="28"/>
      <c r="V372" s="29" t="str">
        <f aca="false">IF(AND($C372="",COUNTA($D372:$H372,$K372,$N372:$O372,$Q372:$S372,$U372)=0),"",IF($C372="","⚠ 没填项目名称",IF($A372="⚠目录里没有","⚠ 项目名称在目录里找不到（先加到目录）",IF($A372="","⚠ 目录里这个项目没填简称",IF(ISTEXT($G372)+ISTEXT($H372)+ISTEXT($K372)+ISTEXT($N372)+ISTEXT($O372)+ISTEXT($Q372)+ISTEXT($R372)+ISTEXT($S372)&gt;0,"⚠ 金额列里有文字，算不进合计",IF(N($G372)&gt;=1,"⚠ 管理费点要填百分比，如 10%",IF(AND($D372&lt;&gt;"",$B372=""),"△ 摘要开头没写日期（如 2026.9.21），月份取不到",IF(AND(N($H372)&lt;&gt;0,COUNTIFS($A$4:$A$1003,$A372,$H$4:$H$1003,$H372,$D$4:$D$1003,LEFT($D372,9)&amp;"*")&gt;1),"△ 同一天同项目有一样的销售金额，看看是不是录重了","✓"))))))))</f>
        <v/>
      </c>
      <c r="W372" s="8" t="str">
        <f aca="false">IF($A372="","",$A372&amp;"#"&amp;COUNTIF($A$4:$A372,$A372))</f>
        <v/>
      </c>
    </row>
    <row r="373" customFormat="false" ht="16.5" hidden="false" customHeight="false" outlineLevel="0" collapsed="false">
      <c r="A373" s="44" t="str">
        <f aca="false">IF($C373="","",IFERROR(VLOOKUP($C373,目录!$B:$C,2,0)&amp;"","⚠目录里没有"))</f>
        <v/>
      </c>
      <c r="B373" s="45" t="str">
        <f aca="false">IF($D373="","",IFERROR(MID($D373,FIND(".",$D373)+1,FIND(".",$D373,FIND(".",$D373)+1)-FIND(".",$D373)-1)&amp;"月",""))</f>
        <v/>
      </c>
      <c r="C373" s="46"/>
      <c r="D373" s="47"/>
      <c r="E373" s="47"/>
      <c r="F373" s="49"/>
      <c r="G373" s="50"/>
      <c r="H373" s="24"/>
      <c r="I373" s="24" t="str">
        <f aca="false">IF($H373="","",N($H373)*N($G373))</f>
        <v/>
      </c>
      <c r="J373" s="25" t="str">
        <f aca="false">IF($H373="","",N($H373)-N($I373))</f>
        <v/>
      </c>
      <c r="K373" s="25"/>
      <c r="L373" s="25" t="str">
        <f aca="false">IF($A373="","",SUMIF($A$4:$A373,$A373,$J$4:$J373)-SUMIF($A$4:$A373,$A373,$K$4:$K373))</f>
        <v/>
      </c>
      <c r="M373" s="26" t="str">
        <f aca="false">IF($H373="","",N($H373))</f>
        <v/>
      </c>
      <c r="N373" s="26"/>
      <c r="O373" s="26"/>
      <c r="P373" s="26" t="str">
        <f aca="false">IF($A373="","",SUMIF($A$4:$A373,$A373,$M$4:$M373)-SUMIF($A$4:$A373,$A373,$N$4:$N373)-SUMIF($A$4:$A373,$A373,$O$4:$O373))</f>
        <v/>
      </c>
      <c r="Q373" s="27"/>
      <c r="R373" s="28"/>
      <c r="S373" s="28"/>
      <c r="T373" s="28" t="str">
        <f aca="false">IF($A373="","",SUMIF($A$4:$A373,$A373,$Q$4:$Q373)-SUMIF($A$4:$A373,$A373,$R$4:$R373)-SUMIF($A$4:$A373,$A373,$S$4:$S373))</f>
        <v/>
      </c>
      <c r="U373" s="28"/>
      <c r="V373" s="29" t="str">
        <f aca="false">IF(AND($C373="",COUNTA($D373:$H373,$K373,$N373:$O373,$Q373:$S373,$U373)=0),"",IF($C373="","⚠ 没填项目名称",IF($A373="⚠目录里没有","⚠ 项目名称在目录里找不到（先加到目录）",IF($A373="","⚠ 目录里这个项目没填简称",IF(ISTEXT($G373)+ISTEXT($H373)+ISTEXT($K373)+ISTEXT($N373)+ISTEXT($O373)+ISTEXT($Q373)+ISTEXT($R373)+ISTEXT($S373)&gt;0,"⚠ 金额列里有文字，算不进合计",IF(N($G373)&gt;=1,"⚠ 管理费点要填百分比，如 10%",IF(AND($D373&lt;&gt;"",$B373=""),"△ 摘要开头没写日期（如 2026.9.21），月份取不到",IF(AND(N($H373)&lt;&gt;0,COUNTIFS($A$4:$A$1003,$A373,$H$4:$H$1003,$H373,$D$4:$D$1003,LEFT($D373,9)&amp;"*")&gt;1),"△ 同一天同项目有一样的销售金额，看看是不是录重了","✓"))))))))</f>
        <v/>
      </c>
      <c r="W373" s="8" t="str">
        <f aca="false">IF($A373="","",$A373&amp;"#"&amp;COUNTIF($A$4:$A373,$A373))</f>
        <v/>
      </c>
    </row>
    <row r="374" customFormat="false" ht="16.5" hidden="false" customHeight="false" outlineLevel="0" collapsed="false">
      <c r="A374" s="44" t="str">
        <f aca="false">IF($C374="","",IFERROR(VLOOKUP($C374,目录!$B:$C,2,0)&amp;"","⚠目录里没有"))</f>
        <v/>
      </c>
      <c r="B374" s="45" t="str">
        <f aca="false">IF($D374="","",IFERROR(MID($D374,FIND(".",$D374)+1,FIND(".",$D374,FIND(".",$D374)+1)-FIND(".",$D374)-1)&amp;"月",""))</f>
        <v/>
      </c>
      <c r="C374" s="46"/>
      <c r="D374" s="47"/>
      <c r="E374" s="47"/>
      <c r="F374" s="49"/>
      <c r="G374" s="50"/>
      <c r="H374" s="24"/>
      <c r="I374" s="24" t="str">
        <f aca="false">IF($H374="","",N($H374)*N($G374))</f>
        <v/>
      </c>
      <c r="J374" s="25" t="str">
        <f aca="false">IF($H374="","",N($H374)-N($I374))</f>
        <v/>
      </c>
      <c r="K374" s="25"/>
      <c r="L374" s="25" t="str">
        <f aca="false">IF($A374="","",SUMIF($A$4:$A374,$A374,$J$4:$J374)-SUMIF($A$4:$A374,$A374,$K$4:$K374))</f>
        <v/>
      </c>
      <c r="M374" s="26" t="str">
        <f aca="false">IF($H374="","",N($H374))</f>
        <v/>
      </c>
      <c r="N374" s="26"/>
      <c r="O374" s="26"/>
      <c r="P374" s="26" t="str">
        <f aca="false">IF($A374="","",SUMIF($A$4:$A374,$A374,$M$4:$M374)-SUMIF($A$4:$A374,$A374,$N$4:$N374)-SUMIF($A$4:$A374,$A374,$O$4:$O374))</f>
        <v/>
      </c>
      <c r="Q374" s="27"/>
      <c r="R374" s="28"/>
      <c r="S374" s="28"/>
      <c r="T374" s="28" t="str">
        <f aca="false">IF($A374="","",SUMIF($A$4:$A374,$A374,$Q$4:$Q374)-SUMIF($A$4:$A374,$A374,$R$4:$R374)-SUMIF($A$4:$A374,$A374,$S$4:$S374))</f>
        <v/>
      </c>
      <c r="U374" s="28"/>
      <c r="V374" s="29" t="str">
        <f aca="false">IF(AND($C374="",COUNTA($D374:$H374,$K374,$N374:$O374,$Q374:$S374,$U374)=0),"",IF($C374="","⚠ 没填项目名称",IF($A374="⚠目录里没有","⚠ 项目名称在目录里找不到（先加到目录）",IF($A374="","⚠ 目录里这个项目没填简称",IF(ISTEXT($G374)+ISTEXT($H374)+ISTEXT($K374)+ISTEXT($N374)+ISTEXT($O374)+ISTEXT($Q374)+ISTEXT($R374)+ISTEXT($S374)&gt;0,"⚠ 金额列里有文字，算不进合计",IF(N($G374)&gt;=1,"⚠ 管理费点要填百分比，如 10%",IF(AND($D374&lt;&gt;"",$B374=""),"△ 摘要开头没写日期（如 2026.9.21），月份取不到",IF(AND(N($H374)&lt;&gt;0,COUNTIFS($A$4:$A$1003,$A374,$H$4:$H$1003,$H374,$D$4:$D$1003,LEFT($D374,9)&amp;"*")&gt;1),"△ 同一天同项目有一样的销售金额，看看是不是录重了","✓"))))))))</f>
        <v/>
      </c>
      <c r="W374" s="8" t="str">
        <f aca="false">IF($A374="","",$A374&amp;"#"&amp;COUNTIF($A$4:$A374,$A374))</f>
        <v/>
      </c>
    </row>
    <row r="375" customFormat="false" ht="16.5" hidden="false" customHeight="false" outlineLevel="0" collapsed="false">
      <c r="A375" s="44" t="str">
        <f aca="false">IF($C375="","",IFERROR(VLOOKUP($C375,目录!$B:$C,2,0)&amp;"","⚠目录里没有"))</f>
        <v/>
      </c>
      <c r="B375" s="45" t="str">
        <f aca="false">IF($D375="","",IFERROR(MID($D375,FIND(".",$D375)+1,FIND(".",$D375,FIND(".",$D375)+1)-FIND(".",$D375)-1)&amp;"月",""))</f>
        <v/>
      </c>
      <c r="C375" s="46"/>
      <c r="D375" s="47"/>
      <c r="E375" s="47"/>
      <c r="F375" s="49"/>
      <c r="G375" s="50"/>
      <c r="H375" s="24"/>
      <c r="I375" s="24" t="str">
        <f aca="false">IF($H375="","",N($H375)*N($G375))</f>
        <v/>
      </c>
      <c r="J375" s="25" t="str">
        <f aca="false">IF($H375="","",N($H375)-N($I375))</f>
        <v/>
      </c>
      <c r="K375" s="25"/>
      <c r="L375" s="25" t="str">
        <f aca="false">IF($A375="","",SUMIF($A$4:$A375,$A375,$J$4:$J375)-SUMIF($A$4:$A375,$A375,$K$4:$K375))</f>
        <v/>
      </c>
      <c r="M375" s="26" t="str">
        <f aca="false">IF($H375="","",N($H375))</f>
        <v/>
      </c>
      <c r="N375" s="26"/>
      <c r="O375" s="26"/>
      <c r="P375" s="26" t="str">
        <f aca="false">IF($A375="","",SUMIF($A$4:$A375,$A375,$M$4:$M375)-SUMIF($A$4:$A375,$A375,$N$4:$N375)-SUMIF($A$4:$A375,$A375,$O$4:$O375))</f>
        <v/>
      </c>
      <c r="Q375" s="27"/>
      <c r="R375" s="28"/>
      <c r="S375" s="28"/>
      <c r="T375" s="28" t="str">
        <f aca="false">IF($A375="","",SUMIF($A$4:$A375,$A375,$Q$4:$Q375)-SUMIF($A$4:$A375,$A375,$R$4:$R375)-SUMIF($A$4:$A375,$A375,$S$4:$S375))</f>
        <v/>
      </c>
      <c r="U375" s="28"/>
      <c r="V375" s="29" t="str">
        <f aca="false">IF(AND($C375="",COUNTA($D375:$H375,$K375,$N375:$O375,$Q375:$S375,$U375)=0),"",IF($C375="","⚠ 没填项目名称",IF($A375="⚠目录里没有","⚠ 项目名称在目录里找不到（先加到目录）",IF($A375="","⚠ 目录里这个项目没填简称",IF(ISTEXT($G375)+ISTEXT($H375)+ISTEXT($K375)+ISTEXT($N375)+ISTEXT($O375)+ISTEXT($Q375)+ISTEXT($R375)+ISTEXT($S375)&gt;0,"⚠ 金额列里有文字，算不进合计",IF(N($G375)&gt;=1,"⚠ 管理费点要填百分比，如 10%",IF(AND($D375&lt;&gt;"",$B375=""),"△ 摘要开头没写日期（如 2026.9.21），月份取不到",IF(AND(N($H375)&lt;&gt;0,COUNTIFS($A$4:$A$1003,$A375,$H$4:$H$1003,$H375,$D$4:$D$1003,LEFT($D375,9)&amp;"*")&gt;1),"△ 同一天同项目有一样的销售金额，看看是不是录重了","✓"))))))))</f>
        <v/>
      </c>
      <c r="W375" s="8" t="str">
        <f aca="false">IF($A375="","",$A375&amp;"#"&amp;COUNTIF($A$4:$A375,$A375))</f>
        <v/>
      </c>
    </row>
    <row r="376" customFormat="false" ht="16.5" hidden="false" customHeight="false" outlineLevel="0" collapsed="false">
      <c r="A376" s="44" t="str">
        <f aca="false">IF($C376="","",IFERROR(VLOOKUP($C376,目录!$B:$C,2,0)&amp;"","⚠目录里没有"))</f>
        <v/>
      </c>
      <c r="B376" s="45" t="str">
        <f aca="false">IF($D376="","",IFERROR(MID($D376,FIND(".",$D376)+1,FIND(".",$D376,FIND(".",$D376)+1)-FIND(".",$D376)-1)&amp;"月",""))</f>
        <v/>
      </c>
      <c r="C376" s="46"/>
      <c r="D376" s="47"/>
      <c r="E376" s="47"/>
      <c r="F376" s="49"/>
      <c r="G376" s="50"/>
      <c r="H376" s="24"/>
      <c r="I376" s="24" t="str">
        <f aca="false">IF($H376="","",N($H376)*N($G376))</f>
        <v/>
      </c>
      <c r="J376" s="25" t="str">
        <f aca="false">IF($H376="","",N($H376)-N($I376))</f>
        <v/>
      </c>
      <c r="K376" s="25"/>
      <c r="L376" s="25" t="str">
        <f aca="false">IF($A376="","",SUMIF($A$4:$A376,$A376,$J$4:$J376)-SUMIF($A$4:$A376,$A376,$K$4:$K376))</f>
        <v/>
      </c>
      <c r="M376" s="26" t="str">
        <f aca="false">IF($H376="","",N($H376))</f>
        <v/>
      </c>
      <c r="N376" s="26"/>
      <c r="O376" s="26"/>
      <c r="P376" s="26" t="str">
        <f aca="false">IF($A376="","",SUMIF($A$4:$A376,$A376,$M$4:$M376)-SUMIF($A$4:$A376,$A376,$N$4:$N376)-SUMIF($A$4:$A376,$A376,$O$4:$O376))</f>
        <v/>
      </c>
      <c r="Q376" s="27"/>
      <c r="R376" s="28"/>
      <c r="S376" s="28"/>
      <c r="T376" s="28" t="str">
        <f aca="false">IF($A376="","",SUMIF($A$4:$A376,$A376,$Q$4:$Q376)-SUMIF($A$4:$A376,$A376,$R$4:$R376)-SUMIF($A$4:$A376,$A376,$S$4:$S376))</f>
        <v/>
      </c>
      <c r="U376" s="28"/>
      <c r="V376" s="29" t="str">
        <f aca="false">IF(AND($C376="",COUNTA($D376:$H376,$K376,$N376:$O376,$Q376:$S376,$U376)=0),"",IF($C376="","⚠ 没填项目名称",IF($A376="⚠目录里没有","⚠ 项目名称在目录里找不到（先加到目录）",IF($A376="","⚠ 目录里这个项目没填简称",IF(ISTEXT($G376)+ISTEXT($H376)+ISTEXT($K376)+ISTEXT($N376)+ISTEXT($O376)+ISTEXT($Q376)+ISTEXT($R376)+ISTEXT($S376)&gt;0,"⚠ 金额列里有文字，算不进合计",IF(N($G376)&gt;=1,"⚠ 管理费点要填百分比，如 10%",IF(AND($D376&lt;&gt;"",$B376=""),"△ 摘要开头没写日期（如 2026.9.21），月份取不到",IF(AND(N($H376)&lt;&gt;0,COUNTIFS($A$4:$A$1003,$A376,$H$4:$H$1003,$H376,$D$4:$D$1003,LEFT($D376,9)&amp;"*")&gt;1),"△ 同一天同项目有一样的销售金额，看看是不是录重了","✓"))))))))</f>
        <v/>
      </c>
      <c r="W376" s="8" t="str">
        <f aca="false">IF($A376="","",$A376&amp;"#"&amp;COUNTIF($A$4:$A376,$A376))</f>
        <v/>
      </c>
    </row>
    <row r="377" customFormat="false" ht="16.5" hidden="false" customHeight="false" outlineLevel="0" collapsed="false">
      <c r="A377" s="44" t="str">
        <f aca="false">IF($C377="","",IFERROR(VLOOKUP($C377,目录!$B:$C,2,0)&amp;"","⚠目录里没有"))</f>
        <v/>
      </c>
      <c r="B377" s="45" t="str">
        <f aca="false">IF($D377="","",IFERROR(MID($D377,FIND(".",$D377)+1,FIND(".",$D377,FIND(".",$D377)+1)-FIND(".",$D377)-1)&amp;"月",""))</f>
        <v/>
      </c>
      <c r="C377" s="46"/>
      <c r="D377" s="47"/>
      <c r="E377" s="47"/>
      <c r="F377" s="49"/>
      <c r="G377" s="50"/>
      <c r="H377" s="24"/>
      <c r="I377" s="24" t="str">
        <f aca="false">IF($H377="","",N($H377)*N($G377))</f>
        <v/>
      </c>
      <c r="J377" s="25" t="str">
        <f aca="false">IF($H377="","",N($H377)-N($I377))</f>
        <v/>
      </c>
      <c r="K377" s="25"/>
      <c r="L377" s="25" t="str">
        <f aca="false">IF($A377="","",SUMIF($A$4:$A377,$A377,$J$4:$J377)-SUMIF($A$4:$A377,$A377,$K$4:$K377))</f>
        <v/>
      </c>
      <c r="M377" s="26" t="str">
        <f aca="false">IF($H377="","",N($H377))</f>
        <v/>
      </c>
      <c r="N377" s="26"/>
      <c r="O377" s="26"/>
      <c r="P377" s="26" t="str">
        <f aca="false">IF($A377="","",SUMIF($A$4:$A377,$A377,$M$4:$M377)-SUMIF($A$4:$A377,$A377,$N$4:$N377)-SUMIF($A$4:$A377,$A377,$O$4:$O377))</f>
        <v/>
      </c>
      <c r="Q377" s="27"/>
      <c r="R377" s="28"/>
      <c r="S377" s="28"/>
      <c r="T377" s="28" t="str">
        <f aca="false">IF($A377="","",SUMIF($A$4:$A377,$A377,$Q$4:$Q377)-SUMIF($A$4:$A377,$A377,$R$4:$R377)-SUMIF($A$4:$A377,$A377,$S$4:$S377))</f>
        <v/>
      </c>
      <c r="U377" s="28"/>
      <c r="V377" s="29" t="str">
        <f aca="false">IF(AND($C377="",COUNTA($D377:$H377,$K377,$N377:$O377,$Q377:$S377,$U377)=0),"",IF($C377="","⚠ 没填项目名称",IF($A377="⚠目录里没有","⚠ 项目名称在目录里找不到（先加到目录）",IF($A377="","⚠ 目录里这个项目没填简称",IF(ISTEXT($G377)+ISTEXT($H377)+ISTEXT($K377)+ISTEXT($N377)+ISTEXT($O377)+ISTEXT($Q377)+ISTEXT($R377)+ISTEXT($S377)&gt;0,"⚠ 金额列里有文字，算不进合计",IF(N($G377)&gt;=1,"⚠ 管理费点要填百分比，如 10%",IF(AND($D377&lt;&gt;"",$B377=""),"△ 摘要开头没写日期（如 2026.9.21），月份取不到",IF(AND(N($H377)&lt;&gt;0,COUNTIFS($A$4:$A$1003,$A377,$H$4:$H$1003,$H377,$D$4:$D$1003,LEFT($D377,9)&amp;"*")&gt;1),"△ 同一天同项目有一样的销售金额，看看是不是录重了","✓"))))))))</f>
        <v/>
      </c>
      <c r="W377" s="8" t="str">
        <f aca="false">IF($A377="","",$A377&amp;"#"&amp;COUNTIF($A$4:$A377,$A377))</f>
        <v/>
      </c>
    </row>
    <row r="378" customFormat="false" ht="16.5" hidden="false" customHeight="false" outlineLevel="0" collapsed="false">
      <c r="A378" s="44" t="str">
        <f aca="false">IF($C378="","",IFERROR(VLOOKUP($C378,目录!$B:$C,2,0)&amp;"","⚠目录里没有"))</f>
        <v/>
      </c>
      <c r="B378" s="45" t="str">
        <f aca="false">IF($D378="","",IFERROR(MID($D378,FIND(".",$D378)+1,FIND(".",$D378,FIND(".",$D378)+1)-FIND(".",$D378)-1)&amp;"月",""))</f>
        <v/>
      </c>
      <c r="C378" s="46"/>
      <c r="D378" s="47"/>
      <c r="E378" s="47"/>
      <c r="F378" s="49"/>
      <c r="G378" s="50"/>
      <c r="H378" s="24"/>
      <c r="I378" s="24" t="str">
        <f aca="false">IF($H378="","",N($H378)*N($G378))</f>
        <v/>
      </c>
      <c r="J378" s="25" t="str">
        <f aca="false">IF($H378="","",N($H378)-N($I378))</f>
        <v/>
      </c>
      <c r="K378" s="25"/>
      <c r="L378" s="25" t="str">
        <f aca="false">IF($A378="","",SUMIF($A$4:$A378,$A378,$J$4:$J378)-SUMIF($A$4:$A378,$A378,$K$4:$K378))</f>
        <v/>
      </c>
      <c r="M378" s="26" t="str">
        <f aca="false">IF($H378="","",N($H378))</f>
        <v/>
      </c>
      <c r="N378" s="26"/>
      <c r="O378" s="26"/>
      <c r="P378" s="26" t="str">
        <f aca="false">IF($A378="","",SUMIF($A$4:$A378,$A378,$M$4:$M378)-SUMIF($A$4:$A378,$A378,$N$4:$N378)-SUMIF($A$4:$A378,$A378,$O$4:$O378))</f>
        <v/>
      </c>
      <c r="Q378" s="27"/>
      <c r="R378" s="28"/>
      <c r="S378" s="28"/>
      <c r="T378" s="28" t="str">
        <f aca="false">IF($A378="","",SUMIF($A$4:$A378,$A378,$Q$4:$Q378)-SUMIF($A$4:$A378,$A378,$R$4:$R378)-SUMIF($A$4:$A378,$A378,$S$4:$S378))</f>
        <v/>
      </c>
      <c r="U378" s="28"/>
      <c r="V378" s="29" t="str">
        <f aca="false">IF(AND($C378="",COUNTA($D378:$H378,$K378,$N378:$O378,$Q378:$S378,$U378)=0),"",IF($C378="","⚠ 没填项目名称",IF($A378="⚠目录里没有","⚠ 项目名称在目录里找不到（先加到目录）",IF($A378="","⚠ 目录里这个项目没填简称",IF(ISTEXT($G378)+ISTEXT($H378)+ISTEXT($K378)+ISTEXT($N378)+ISTEXT($O378)+ISTEXT($Q378)+ISTEXT($R378)+ISTEXT($S378)&gt;0,"⚠ 金额列里有文字，算不进合计",IF(N($G378)&gt;=1,"⚠ 管理费点要填百分比，如 10%",IF(AND($D378&lt;&gt;"",$B378=""),"△ 摘要开头没写日期（如 2026.9.21），月份取不到",IF(AND(N($H378)&lt;&gt;0,COUNTIFS($A$4:$A$1003,$A378,$H$4:$H$1003,$H378,$D$4:$D$1003,LEFT($D378,9)&amp;"*")&gt;1),"△ 同一天同项目有一样的销售金额，看看是不是录重了","✓"))))))))</f>
        <v/>
      </c>
      <c r="W378" s="8" t="str">
        <f aca="false">IF($A378="","",$A378&amp;"#"&amp;COUNTIF($A$4:$A378,$A378))</f>
        <v/>
      </c>
    </row>
    <row r="379" customFormat="false" ht="16.5" hidden="false" customHeight="false" outlineLevel="0" collapsed="false">
      <c r="A379" s="44" t="str">
        <f aca="false">IF($C379="","",IFERROR(VLOOKUP($C379,目录!$B:$C,2,0)&amp;"","⚠目录里没有"))</f>
        <v/>
      </c>
      <c r="B379" s="45" t="str">
        <f aca="false">IF($D379="","",IFERROR(MID($D379,FIND(".",$D379)+1,FIND(".",$D379,FIND(".",$D379)+1)-FIND(".",$D379)-1)&amp;"月",""))</f>
        <v/>
      </c>
      <c r="C379" s="46"/>
      <c r="D379" s="47"/>
      <c r="E379" s="47"/>
      <c r="F379" s="49"/>
      <c r="G379" s="50"/>
      <c r="H379" s="24"/>
      <c r="I379" s="24" t="str">
        <f aca="false">IF($H379="","",N($H379)*N($G379))</f>
        <v/>
      </c>
      <c r="J379" s="25" t="str">
        <f aca="false">IF($H379="","",N($H379)-N($I379))</f>
        <v/>
      </c>
      <c r="K379" s="25"/>
      <c r="L379" s="25" t="str">
        <f aca="false">IF($A379="","",SUMIF($A$4:$A379,$A379,$J$4:$J379)-SUMIF($A$4:$A379,$A379,$K$4:$K379))</f>
        <v/>
      </c>
      <c r="M379" s="26" t="str">
        <f aca="false">IF($H379="","",N($H379))</f>
        <v/>
      </c>
      <c r="N379" s="26"/>
      <c r="O379" s="26"/>
      <c r="P379" s="26" t="str">
        <f aca="false">IF($A379="","",SUMIF($A$4:$A379,$A379,$M$4:$M379)-SUMIF($A$4:$A379,$A379,$N$4:$N379)-SUMIF($A$4:$A379,$A379,$O$4:$O379))</f>
        <v/>
      </c>
      <c r="Q379" s="27"/>
      <c r="R379" s="28"/>
      <c r="S379" s="28"/>
      <c r="T379" s="28" t="str">
        <f aca="false">IF($A379="","",SUMIF($A$4:$A379,$A379,$Q$4:$Q379)-SUMIF($A$4:$A379,$A379,$R$4:$R379)-SUMIF($A$4:$A379,$A379,$S$4:$S379))</f>
        <v/>
      </c>
      <c r="U379" s="28"/>
      <c r="V379" s="29" t="str">
        <f aca="false">IF(AND($C379="",COUNTA($D379:$H379,$K379,$N379:$O379,$Q379:$S379,$U379)=0),"",IF($C379="","⚠ 没填项目名称",IF($A379="⚠目录里没有","⚠ 项目名称在目录里找不到（先加到目录）",IF($A379="","⚠ 目录里这个项目没填简称",IF(ISTEXT($G379)+ISTEXT($H379)+ISTEXT($K379)+ISTEXT($N379)+ISTEXT($O379)+ISTEXT($Q379)+ISTEXT($R379)+ISTEXT($S379)&gt;0,"⚠ 金额列里有文字，算不进合计",IF(N($G379)&gt;=1,"⚠ 管理费点要填百分比，如 10%",IF(AND($D379&lt;&gt;"",$B379=""),"△ 摘要开头没写日期（如 2026.9.21），月份取不到",IF(AND(N($H379)&lt;&gt;0,COUNTIFS($A$4:$A$1003,$A379,$H$4:$H$1003,$H379,$D$4:$D$1003,LEFT($D379,9)&amp;"*")&gt;1),"△ 同一天同项目有一样的销售金额，看看是不是录重了","✓"))))))))</f>
        <v/>
      </c>
      <c r="W379" s="8" t="str">
        <f aca="false">IF($A379="","",$A379&amp;"#"&amp;COUNTIF($A$4:$A379,$A379))</f>
        <v/>
      </c>
    </row>
    <row r="380" customFormat="false" ht="16.5" hidden="false" customHeight="false" outlineLevel="0" collapsed="false">
      <c r="A380" s="44" t="str">
        <f aca="false">IF($C380="","",IFERROR(VLOOKUP($C380,目录!$B:$C,2,0)&amp;"","⚠目录里没有"))</f>
        <v/>
      </c>
      <c r="B380" s="45" t="str">
        <f aca="false">IF($D380="","",IFERROR(MID($D380,FIND(".",$D380)+1,FIND(".",$D380,FIND(".",$D380)+1)-FIND(".",$D380)-1)&amp;"月",""))</f>
        <v/>
      </c>
      <c r="C380" s="46"/>
      <c r="D380" s="47"/>
      <c r="E380" s="47"/>
      <c r="F380" s="49"/>
      <c r="G380" s="50"/>
      <c r="H380" s="24"/>
      <c r="I380" s="24" t="str">
        <f aca="false">IF($H380="","",N($H380)*N($G380))</f>
        <v/>
      </c>
      <c r="J380" s="25" t="str">
        <f aca="false">IF($H380="","",N($H380)-N($I380))</f>
        <v/>
      </c>
      <c r="K380" s="25"/>
      <c r="L380" s="25" t="str">
        <f aca="false">IF($A380="","",SUMIF($A$4:$A380,$A380,$J$4:$J380)-SUMIF($A$4:$A380,$A380,$K$4:$K380))</f>
        <v/>
      </c>
      <c r="M380" s="26" t="str">
        <f aca="false">IF($H380="","",N($H380))</f>
        <v/>
      </c>
      <c r="N380" s="26"/>
      <c r="O380" s="26"/>
      <c r="P380" s="26" t="str">
        <f aca="false">IF($A380="","",SUMIF($A$4:$A380,$A380,$M$4:$M380)-SUMIF($A$4:$A380,$A380,$N$4:$N380)-SUMIF($A$4:$A380,$A380,$O$4:$O380))</f>
        <v/>
      </c>
      <c r="Q380" s="27"/>
      <c r="R380" s="28"/>
      <c r="S380" s="28"/>
      <c r="T380" s="28" t="str">
        <f aca="false">IF($A380="","",SUMIF($A$4:$A380,$A380,$Q$4:$Q380)-SUMIF($A$4:$A380,$A380,$R$4:$R380)-SUMIF($A$4:$A380,$A380,$S$4:$S380))</f>
        <v/>
      </c>
      <c r="U380" s="28"/>
      <c r="V380" s="29" t="str">
        <f aca="false">IF(AND($C380="",COUNTA($D380:$H380,$K380,$N380:$O380,$Q380:$S380,$U380)=0),"",IF($C380="","⚠ 没填项目名称",IF($A380="⚠目录里没有","⚠ 项目名称在目录里找不到（先加到目录）",IF($A380="","⚠ 目录里这个项目没填简称",IF(ISTEXT($G380)+ISTEXT($H380)+ISTEXT($K380)+ISTEXT($N380)+ISTEXT($O380)+ISTEXT($Q380)+ISTEXT($R380)+ISTEXT($S380)&gt;0,"⚠ 金额列里有文字，算不进合计",IF(N($G380)&gt;=1,"⚠ 管理费点要填百分比，如 10%",IF(AND($D380&lt;&gt;"",$B380=""),"△ 摘要开头没写日期（如 2026.9.21），月份取不到",IF(AND(N($H380)&lt;&gt;0,COUNTIFS($A$4:$A$1003,$A380,$H$4:$H$1003,$H380,$D$4:$D$1003,LEFT($D380,9)&amp;"*")&gt;1),"△ 同一天同项目有一样的销售金额，看看是不是录重了","✓"))))))))</f>
        <v/>
      </c>
      <c r="W380" s="8" t="str">
        <f aca="false">IF($A380="","",$A380&amp;"#"&amp;COUNTIF($A$4:$A380,$A380))</f>
        <v/>
      </c>
    </row>
    <row r="381" customFormat="false" ht="16.5" hidden="false" customHeight="false" outlineLevel="0" collapsed="false">
      <c r="A381" s="44" t="str">
        <f aca="false">IF($C381="","",IFERROR(VLOOKUP($C381,目录!$B:$C,2,0)&amp;"","⚠目录里没有"))</f>
        <v/>
      </c>
      <c r="B381" s="45" t="str">
        <f aca="false">IF($D381="","",IFERROR(MID($D381,FIND(".",$D381)+1,FIND(".",$D381,FIND(".",$D381)+1)-FIND(".",$D381)-1)&amp;"月",""))</f>
        <v/>
      </c>
      <c r="C381" s="46"/>
      <c r="D381" s="47"/>
      <c r="E381" s="47"/>
      <c r="F381" s="49"/>
      <c r="G381" s="50"/>
      <c r="H381" s="24"/>
      <c r="I381" s="24" t="str">
        <f aca="false">IF($H381="","",N($H381)*N($G381))</f>
        <v/>
      </c>
      <c r="J381" s="25" t="str">
        <f aca="false">IF($H381="","",N($H381)-N($I381))</f>
        <v/>
      </c>
      <c r="K381" s="25"/>
      <c r="L381" s="25" t="str">
        <f aca="false">IF($A381="","",SUMIF($A$4:$A381,$A381,$J$4:$J381)-SUMIF($A$4:$A381,$A381,$K$4:$K381))</f>
        <v/>
      </c>
      <c r="M381" s="26" t="str">
        <f aca="false">IF($H381="","",N($H381))</f>
        <v/>
      </c>
      <c r="N381" s="26"/>
      <c r="O381" s="26"/>
      <c r="P381" s="26" t="str">
        <f aca="false">IF($A381="","",SUMIF($A$4:$A381,$A381,$M$4:$M381)-SUMIF($A$4:$A381,$A381,$N$4:$N381)-SUMIF($A$4:$A381,$A381,$O$4:$O381))</f>
        <v/>
      </c>
      <c r="Q381" s="27"/>
      <c r="R381" s="28"/>
      <c r="S381" s="28"/>
      <c r="T381" s="28" t="str">
        <f aca="false">IF($A381="","",SUMIF($A$4:$A381,$A381,$Q$4:$Q381)-SUMIF($A$4:$A381,$A381,$R$4:$R381)-SUMIF($A$4:$A381,$A381,$S$4:$S381))</f>
        <v/>
      </c>
      <c r="U381" s="28"/>
      <c r="V381" s="29" t="str">
        <f aca="false">IF(AND($C381="",COUNTA($D381:$H381,$K381,$N381:$O381,$Q381:$S381,$U381)=0),"",IF($C381="","⚠ 没填项目名称",IF($A381="⚠目录里没有","⚠ 项目名称在目录里找不到（先加到目录）",IF($A381="","⚠ 目录里这个项目没填简称",IF(ISTEXT($G381)+ISTEXT($H381)+ISTEXT($K381)+ISTEXT($N381)+ISTEXT($O381)+ISTEXT($Q381)+ISTEXT($R381)+ISTEXT($S381)&gt;0,"⚠ 金额列里有文字，算不进合计",IF(N($G381)&gt;=1,"⚠ 管理费点要填百分比，如 10%",IF(AND($D381&lt;&gt;"",$B381=""),"△ 摘要开头没写日期（如 2026.9.21），月份取不到",IF(AND(N($H381)&lt;&gt;0,COUNTIFS($A$4:$A$1003,$A381,$H$4:$H$1003,$H381,$D$4:$D$1003,LEFT($D381,9)&amp;"*")&gt;1),"△ 同一天同项目有一样的销售金额，看看是不是录重了","✓"))))))))</f>
        <v/>
      </c>
      <c r="W381" s="8" t="str">
        <f aca="false">IF($A381="","",$A381&amp;"#"&amp;COUNTIF($A$4:$A381,$A381))</f>
        <v/>
      </c>
    </row>
    <row r="382" customFormat="false" ht="16.5" hidden="false" customHeight="false" outlineLevel="0" collapsed="false">
      <c r="A382" s="44" t="str">
        <f aca="false">IF($C382="","",IFERROR(VLOOKUP($C382,目录!$B:$C,2,0)&amp;"","⚠目录里没有"))</f>
        <v/>
      </c>
      <c r="B382" s="45" t="str">
        <f aca="false">IF($D382="","",IFERROR(MID($D382,FIND(".",$D382)+1,FIND(".",$D382,FIND(".",$D382)+1)-FIND(".",$D382)-1)&amp;"月",""))</f>
        <v/>
      </c>
      <c r="C382" s="46"/>
      <c r="D382" s="47"/>
      <c r="E382" s="47"/>
      <c r="F382" s="49"/>
      <c r="G382" s="50"/>
      <c r="H382" s="24"/>
      <c r="I382" s="24" t="str">
        <f aca="false">IF($H382="","",N($H382)*N($G382))</f>
        <v/>
      </c>
      <c r="J382" s="25" t="str">
        <f aca="false">IF($H382="","",N($H382)-N($I382))</f>
        <v/>
      </c>
      <c r="K382" s="25"/>
      <c r="L382" s="25" t="str">
        <f aca="false">IF($A382="","",SUMIF($A$4:$A382,$A382,$J$4:$J382)-SUMIF($A$4:$A382,$A382,$K$4:$K382))</f>
        <v/>
      </c>
      <c r="M382" s="26" t="str">
        <f aca="false">IF($H382="","",N($H382))</f>
        <v/>
      </c>
      <c r="N382" s="26"/>
      <c r="O382" s="26"/>
      <c r="P382" s="26" t="str">
        <f aca="false">IF($A382="","",SUMIF($A$4:$A382,$A382,$M$4:$M382)-SUMIF($A$4:$A382,$A382,$N$4:$N382)-SUMIF($A$4:$A382,$A382,$O$4:$O382))</f>
        <v/>
      </c>
      <c r="Q382" s="27"/>
      <c r="R382" s="28"/>
      <c r="S382" s="28"/>
      <c r="T382" s="28" t="str">
        <f aca="false">IF($A382="","",SUMIF($A$4:$A382,$A382,$Q$4:$Q382)-SUMIF($A$4:$A382,$A382,$R$4:$R382)-SUMIF($A$4:$A382,$A382,$S$4:$S382))</f>
        <v/>
      </c>
      <c r="U382" s="28"/>
      <c r="V382" s="29" t="str">
        <f aca="false">IF(AND($C382="",COUNTA($D382:$H382,$K382,$N382:$O382,$Q382:$S382,$U382)=0),"",IF($C382="","⚠ 没填项目名称",IF($A382="⚠目录里没有","⚠ 项目名称在目录里找不到（先加到目录）",IF($A382="","⚠ 目录里这个项目没填简称",IF(ISTEXT($G382)+ISTEXT($H382)+ISTEXT($K382)+ISTEXT($N382)+ISTEXT($O382)+ISTEXT($Q382)+ISTEXT($R382)+ISTEXT($S382)&gt;0,"⚠ 金额列里有文字，算不进合计",IF(N($G382)&gt;=1,"⚠ 管理费点要填百分比，如 10%",IF(AND($D382&lt;&gt;"",$B382=""),"△ 摘要开头没写日期（如 2026.9.21），月份取不到",IF(AND(N($H382)&lt;&gt;0,COUNTIFS($A$4:$A$1003,$A382,$H$4:$H$1003,$H382,$D$4:$D$1003,LEFT($D382,9)&amp;"*")&gt;1),"△ 同一天同项目有一样的销售金额，看看是不是录重了","✓"))))))))</f>
        <v/>
      </c>
      <c r="W382" s="8" t="str">
        <f aca="false">IF($A382="","",$A382&amp;"#"&amp;COUNTIF($A$4:$A382,$A382))</f>
        <v/>
      </c>
    </row>
    <row r="383" customFormat="false" ht="16.5" hidden="false" customHeight="false" outlineLevel="0" collapsed="false">
      <c r="A383" s="44" t="str">
        <f aca="false">IF($C383="","",IFERROR(VLOOKUP($C383,目录!$B:$C,2,0)&amp;"","⚠目录里没有"))</f>
        <v/>
      </c>
      <c r="B383" s="45" t="str">
        <f aca="false">IF($D383="","",IFERROR(MID($D383,FIND(".",$D383)+1,FIND(".",$D383,FIND(".",$D383)+1)-FIND(".",$D383)-1)&amp;"月",""))</f>
        <v/>
      </c>
      <c r="C383" s="46"/>
      <c r="D383" s="47"/>
      <c r="E383" s="47"/>
      <c r="F383" s="49"/>
      <c r="G383" s="50"/>
      <c r="H383" s="24"/>
      <c r="I383" s="24" t="str">
        <f aca="false">IF($H383="","",N($H383)*N($G383))</f>
        <v/>
      </c>
      <c r="J383" s="25" t="str">
        <f aca="false">IF($H383="","",N($H383)-N($I383))</f>
        <v/>
      </c>
      <c r="K383" s="25"/>
      <c r="L383" s="25" t="str">
        <f aca="false">IF($A383="","",SUMIF($A$4:$A383,$A383,$J$4:$J383)-SUMIF($A$4:$A383,$A383,$K$4:$K383))</f>
        <v/>
      </c>
      <c r="M383" s="26" t="str">
        <f aca="false">IF($H383="","",N($H383))</f>
        <v/>
      </c>
      <c r="N383" s="26"/>
      <c r="O383" s="26"/>
      <c r="P383" s="26" t="str">
        <f aca="false">IF($A383="","",SUMIF($A$4:$A383,$A383,$M$4:$M383)-SUMIF($A$4:$A383,$A383,$N$4:$N383)-SUMIF($A$4:$A383,$A383,$O$4:$O383))</f>
        <v/>
      </c>
      <c r="Q383" s="27"/>
      <c r="R383" s="28"/>
      <c r="S383" s="28"/>
      <c r="T383" s="28" t="str">
        <f aca="false">IF($A383="","",SUMIF($A$4:$A383,$A383,$Q$4:$Q383)-SUMIF($A$4:$A383,$A383,$R$4:$R383)-SUMIF($A$4:$A383,$A383,$S$4:$S383))</f>
        <v/>
      </c>
      <c r="U383" s="28"/>
      <c r="V383" s="29" t="str">
        <f aca="false">IF(AND($C383="",COUNTA($D383:$H383,$K383,$N383:$O383,$Q383:$S383,$U383)=0),"",IF($C383="","⚠ 没填项目名称",IF($A383="⚠目录里没有","⚠ 项目名称在目录里找不到（先加到目录）",IF($A383="","⚠ 目录里这个项目没填简称",IF(ISTEXT($G383)+ISTEXT($H383)+ISTEXT($K383)+ISTEXT($N383)+ISTEXT($O383)+ISTEXT($Q383)+ISTEXT($R383)+ISTEXT($S383)&gt;0,"⚠ 金额列里有文字，算不进合计",IF(N($G383)&gt;=1,"⚠ 管理费点要填百分比，如 10%",IF(AND($D383&lt;&gt;"",$B383=""),"△ 摘要开头没写日期（如 2026.9.21），月份取不到",IF(AND(N($H383)&lt;&gt;0,COUNTIFS($A$4:$A$1003,$A383,$H$4:$H$1003,$H383,$D$4:$D$1003,LEFT($D383,9)&amp;"*")&gt;1),"△ 同一天同项目有一样的销售金额，看看是不是录重了","✓"))))))))</f>
        <v/>
      </c>
      <c r="W383" s="8" t="str">
        <f aca="false">IF($A383="","",$A383&amp;"#"&amp;COUNTIF($A$4:$A383,$A383))</f>
        <v/>
      </c>
    </row>
    <row r="384" customFormat="false" ht="16.5" hidden="false" customHeight="false" outlineLevel="0" collapsed="false">
      <c r="A384" s="44" t="str">
        <f aca="false">IF($C384="","",IFERROR(VLOOKUP($C384,目录!$B:$C,2,0)&amp;"","⚠目录里没有"))</f>
        <v/>
      </c>
      <c r="B384" s="45" t="str">
        <f aca="false">IF($D384="","",IFERROR(MID($D384,FIND(".",$D384)+1,FIND(".",$D384,FIND(".",$D384)+1)-FIND(".",$D384)-1)&amp;"月",""))</f>
        <v/>
      </c>
      <c r="C384" s="46"/>
      <c r="D384" s="47"/>
      <c r="E384" s="47"/>
      <c r="F384" s="49"/>
      <c r="G384" s="50"/>
      <c r="H384" s="24"/>
      <c r="I384" s="24" t="str">
        <f aca="false">IF($H384="","",N($H384)*N($G384))</f>
        <v/>
      </c>
      <c r="J384" s="25" t="str">
        <f aca="false">IF($H384="","",N($H384)-N($I384))</f>
        <v/>
      </c>
      <c r="K384" s="25"/>
      <c r="L384" s="25" t="str">
        <f aca="false">IF($A384="","",SUMIF($A$4:$A384,$A384,$J$4:$J384)-SUMIF($A$4:$A384,$A384,$K$4:$K384))</f>
        <v/>
      </c>
      <c r="M384" s="26" t="str">
        <f aca="false">IF($H384="","",N($H384))</f>
        <v/>
      </c>
      <c r="N384" s="26"/>
      <c r="O384" s="26"/>
      <c r="P384" s="26" t="str">
        <f aca="false">IF($A384="","",SUMIF($A$4:$A384,$A384,$M$4:$M384)-SUMIF($A$4:$A384,$A384,$N$4:$N384)-SUMIF($A$4:$A384,$A384,$O$4:$O384))</f>
        <v/>
      </c>
      <c r="Q384" s="27"/>
      <c r="R384" s="28"/>
      <c r="S384" s="28"/>
      <c r="T384" s="28" t="str">
        <f aca="false">IF($A384="","",SUMIF($A$4:$A384,$A384,$Q$4:$Q384)-SUMIF($A$4:$A384,$A384,$R$4:$R384)-SUMIF($A$4:$A384,$A384,$S$4:$S384))</f>
        <v/>
      </c>
      <c r="U384" s="28"/>
      <c r="V384" s="29" t="str">
        <f aca="false">IF(AND($C384="",COUNTA($D384:$H384,$K384,$N384:$O384,$Q384:$S384,$U384)=0),"",IF($C384="","⚠ 没填项目名称",IF($A384="⚠目录里没有","⚠ 项目名称在目录里找不到（先加到目录）",IF($A384="","⚠ 目录里这个项目没填简称",IF(ISTEXT($G384)+ISTEXT($H384)+ISTEXT($K384)+ISTEXT($N384)+ISTEXT($O384)+ISTEXT($Q384)+ISTEXT($R384)+ISTEXT($S384)&gt;0,"⚠ 金额列里有文字，算不进合计",IF(N($G384)&gt;=1,"⚠ 管理费点要填百分比，如 10%",IF(AND($D384&lt;&gt;"",$B384=""),"△ 摘要开头没写日期（如 2026.9.21），月份取不到",IF(AND(N($H384)&lt;&gt;0,COUNTIFS($A$4:$A$1003,$A384,$H$4:$H$1003,$H384,$D$4:$D$1003,LEFT($D384,9)&amp;"*")&gt;1),"△ 同一天同项目有一样的销售金额，看看是不是录重了","✓"))))))))</f>
        <v/>
      </c>
      <c r="W384" s="8" t="str">
        <f aca="false">IF($A384="","",$A384&amp;"#"&amp;COUNTIF($A$4:$A384,$A384))</f>
        <v/>
      </c>
    </row>
    <row r="385" customFormat="false" ht="16.5" hidden="false" customHeight="false" outlineLevel="0" collapsed="false">
      <c r="A385" s="44" t="str">
        <f aca="false">IF($C385="","",IFERROR(VLOOKUP($C385,目录!$B:$C,2,0)&amp;"","⚠目录里没有"))</f>
        <v/>
      </c>
      <c r="B385" s="45" t="str">
        <f aca="false">IF($D385="","",IFERROR(MID($D385,FIND(".",$D385)+1,FIND(".",$D385,FIND(".",$D385)+1)-FIND(".",$D385)-1)&amp;"月",""))</f>
        <v/>
      </c>
      <c r="C385" s="46"/>
      <c r="D385" s="47"/>
      <c r="E385" s="47"/>
      <c r="F385" s="49"/>
      <c r="G385" s="50"/>
      <c r="H385" s="24"/>
      <c r="I385" s="24" t="str">
        <f aca="false">IF($H385="","",N($H385)*N($G385))</f>
        <v/>
      </c>
      <c r="J385" s="25" t="str">
        <f aca="false">IF($H385="","",N($H385)-N($I385))</f>
        <v/>
      </c>
      <c r="K385" s="25"/>
      <c r="L385" s="25" t="str">
        <f aca="false">IF($A385="","",SUMIF($A$4:$A385,$A385,$J$4:$J385)-SUMIF($A$4:$A385,$A385,$K$4:$K385))</f>
        <v/>
      </c>
      <c r="M385" s="26" t="str">
        <f aca="false">IF($H385="","",N($H385))</f>
        <v/>
      </c>
      <c r="N385" s="26"/>
      <c r="O385" s="26"/>
      <c r="P385" s="26" t="str">
        <f aca="false">IF($A385="","",SUMIF($A$4:$A385,$A385,$M$4:$M385)-SUMIF($A$4:$A385,$A385,$N$4:$N385)-SUMIF($A$4:$A385,$A385,$O$4:$O385))</f>
        <v/>
      </c>
      <c r="Q385" s="27"/>
      <c r="R385" s="28"/>
      <c r="S385" s="28"/>
      <c r="T385" s="28" t="str">
        <f aca="false">IF($A385="","",SUMIF($A$4:$A385,$A385,$Q$4:$Q385)-SUMIF($A$4:$A385,$A385,$R$4:$R385)-SUMIF($A$4:$A385,$A385,$S$4:$S385))</f>
        <v/>
      </c>
      <c r="U385" s="28"/>
      <c r="V385" s="29" t="str">
        <f aca="false">IF(AND($C385="",COUNTA($D385:$H385,$K385,$N385:$O385,$Q385:$S385,$U385)=0),"",IF($C385="","⚠ 没填项目名称",IF($A385="⚠目录里没有","⚠ 项目名称在目录里找不到（先加到目录）",IF($A385="","⚠ 目录里这个项目没填简称",IF(ISTEXT($G385)+ISTEXT($H385)+ISTEXT($K385)+ISTEXT($N385)+ISTEXT($O385)+ISTEXT($Q385)+ISTEXT($R385)+ISTEXT($S385)&gt;0,"⚠ 金额列里有文字，算不进合计",IF(N($G385)&gt;=1,"⚠ 管理费点要填百分比，如 10%",IF(AND($D385&lt;&gt;"",$B385=""),"△ 摘要开头没写日期（如 2026.9.21），月份取不到",IF(AND(N($H385)&lt;&gt;0,COUNTIFS($A$4:$A$1003,$A385,$H$4:$H$1003,$H385,$D$4:$D$1003,LEFT($D385,9)&amp;"*")&gt;1),"△ 同一天同项目有一样的销售金额，看看是不是录重了","✓"))))))))</f>
        <v/>
      </c>
      <c r="W385" s="8" t="str">
        <f aca="false">IF($A385="","",$A385&amp;"#"&amp;COUNTIF($A$4:$A385,$A385))</f>
        <v/>
      </c>
    </row>
    <row r="386" customFormat="false" ht="16.5" hidden="false" customHeight="false" outlineLevel="0" collapsed="false">
      <c r="A386" s="44" t="str">
        <f aca="false">IF($C386="","",IFERROR(VLOOKUP($C386,目录!$B:$C,2,0)&amp;"","⚠目录里没有"))</f>
        <v/>
      </c>
      <c r="B386" s="45" t="str">
        <f aca="false">IF($D386="","",IFERROR(MID($D386,FIND(".",$D386)+1,FIND(".",$D386,FIND(".",$D386)+1)-FIND(".",$D386)-1)&amp;"月",""))</f>
        <v/>
      </c>
      <c r="C386" s="46"/>
      <c r="D386" s="47"/>
      <c r="E386" s="47"/>
      <c r="F386" s="49"/>
      <c r="G386" s="50"/>
      <c r="H386" s="24"/>
      <c r="I386" s="24" t="str">
        <f aca="false">IF($H386="","",N($H386)*N($G386))</f>
        <v/>
      </c>
      <c r="J386" s="25" t="str">
        <f aca="false">IF($H386="","",N($H386)-N($I386))</f>
        <v/>
      </c>
      <c r="K386" s="25"/>
      <c r="L386" s="25" t="str">
        <f aca="false">IF($A386="","",SUMIF($A$4:$A386,$A386,$J$4:$J386)-SUMIF($A$4:$A386,$A386,$K$4:$K386))</f>
        <v/>
      </c>
      <c r="M386" s="26" t="str">
        <f aca="false">IF($H386="","",N($H386))</f>
        <v/>
      </c>
      <c r="N386" s="26"/>
      <c r="O386" s="26"/>
      <c r="P386" s="26" t="str">
        <f aca="false">IF($A386="","",SUMIF($A$4:$A386,$A386,$M$4:$M386)-SUMIF($A$4:$A386,$A386,$N$4:$N386)-SUMIF($A$4:$A386,$A386,$O$4:$O386))</f>
        <v/>
      </c>
      <c r="Q386" s="27"/>
      <c r="R386" s="28"/>
      <c r="S386" s="28"/>
      <c r="T386" s="28" t="str">
        <f aca="false">IF($A386="","",SUMIF($A$4:$A386,$A386,$Q$4:$Q386)-SUMIF($A$4:$A386,$A386,$R$4:$R386)-SUMIF($A$4:$A386,$A386,$S$4:$S386))</f>
        <v/>
      </c>
      <c r="U386" s="28"/>
      <c r="V386" s="29" t="str">
        <f aca="false">IF(AND($C386="",COUNTA($D386:$H386,$K386,$N386:$O386,$Q386:$S386,$U386)=0),"",IF($C386="","⚠ 没填项目名称",IF($A386="⚠目录里没有","⚠ 项目名称在目录里找不到（先加到目录）",IF($A386="","⚠ 目录里这个项目没填简称",IF(ISTEXT($G386)+ISTEXT($H386)+ISTEXT($K386)+ISTEXT($N386)+ISTEXT($O386)+ISTEXT($Q386)+ISTEXT($R386)+ISTEXT($S386)&gt;0,"⚠ 金额列里有文字，算不进合计",IF(N($G386)&gt;=1,"⚠ 管理费点要填百分比，如 10%",IF(AND($D386&lt;&gt;"",$B386=""),"△ 摘要开头没写日期（如 2026.9.21），月份取不到",IF(AND(N($H386)&lt;&gt;0,COUNTIFS($A$4:$A$1003,$A386,$H$4:$H$1003,$H386,$D$4:$D$1003,LEFT($D386,9)&amp;"*")&gt;1),"△ 同一天同项目有一样的销售金额，看看是不是录重了","✓"))))))))</f>
        <v/>
      </c>
      <c r="W386" s="8" t="str">
        <f aca="false">IF($A386="","",$A386&amp;"#"&amp;COUNTIF($A$4:$A386,$A386))</f>
        <v/>
      </c>
    </row>
    <row r="387" customFormat="false" ht="16.5" hidden="false" customHeight="false" outlineLevel="0" collapsed="false">
      <c r="A387" s="44" t="str">
        <f aca="false">IF($C387="","",IFERROR(VLOOKUP($C387,目录!$B:$C,2,0)&amp;"","⚠目录里没有"))</f>
        <v/>
      </c>
      <c r="B387" s="45" t="str">
        <f aca="false">IF($D387="","",IFERROR(MID($D387,FIND(".",$D387)+1,FIND(".",$D387,FIND(".",$D387)+1)-FIND(".",$D387)-1)&amp;"月",""))</f>
        <v/>
      </c>
      <c r="C387" s="46"/>
      <c r="D387" s="47"/>
      <c r="E387" s="47"/>
      <c r="F387" s="49"/>
      <c r="G387" s="50"/>
      <c r="H387" s="24"/>
      <c r="I387" s="24" t="str">
        <f aca="false">IF($H387="","",N($H387)*N($G387))</f>
        <v/>
      </c>
      <c r="J387" s="25" t="str">
        <f aca="false">IF($H387="","",N($H387)-N($I387))</f>
        <v/>
      </c>
      <c r="K387" s="25"/>
      <c r="L387" s="25" t="str">
        <f aca="false">IF($A387="","",SUMIF($A$4:$A387,$A387,$J$4:$J387)-SUMIF($A$4:$A387,$A387,$K$4:$K387))</f>
        <v/>
      </c>
      <c r="M387" s="26" t="str">
        <f aca="false">IF($H387="","",N($H387))</f>
        <v/>
      </c>
      <c r="N387" s="26"/>
      <c r="O387" s="26"/>
      <c r="P387" s="26" t="str">
        <f aca="false">IF($A387="","",SUMIF($A$4:$A387,$A387,$M$4:$M387)-SUMIF($A$4:$A387,$A387,$N$4:$N387)-SUMIF($A$4:$A387,$A387,$O$4:$O387))</f>
        <v/>
      </c>
      <c r="Q387" s="27"/>
      <c r="R387" s="28"/>
      <c r="S387" s="28"/>
      <c r="T387" s="28" t="str">
        <f aca="false">IF($A387="","",SUMIF($A$4:$A387,$A387,$Q$4:$Q387)-SUMIF($A$4:$A387,$A387,$R$4:$R387)-SUMIF($A$4:$A387,$A387,$S$4:$S387))</f>
        <v/>
      </c>
      <c r="U387" s="28"/>
      <c r="V387" s="29" t="str">
        <f aca="false">IF(AND($C387="",COUNTA($D387:$H387,$K387,$N387:$O387,$Q387:$S387,$U387)=0),"",IF($C387="","⚠ 没填项目名称",IF($A387="⚠目录里没有","⚠ 项目名称在目录里找不到（先加到目录）",IF($A387="","⚠ 目录里这个项目没填简称",IF(ISTEXT($G387)+ISTEXT($H387)+ISTEXT($K387)+ISTEXT($N387)+ISTEXT($O387)+ISTEXT($Q387)+ISTEXT($R387)+ISTEXT($S387)&gt;0,"⚠ 金额列里有文字，算不进合计",IF(N($G387)&gt;=1,"⚠ 管理费点要填百分比，如 10%",IF(AND($D387&lt;&gt;"",$B387=""),"△ 摘要开头没写日期（如 2026.9.21），月份取不到",IF(AND(N($H387)&lt;&gt;0,COUNTIFS($A$4:$A$1003,$A387,$H$4:$H$1003,$H387,$D$4:$D$1003,LEFT($D387,9)&amp;"*")&gt;1),"△ 同一天同项目有一样的销售金额，看看是不是录重了","✓"))))))))</f>
        <v/>
      </c>
      <c r="W387" s="8" t="str">
        <f aca="false">IF($A387="","",$A387&amp;"#"&amp;COUNTIF($A$4:$A387,$A387))</f>
        <v/>
      </c>
    </row>
    <row r="388" customFormat="false" ht="16.5" hidden="false" customHeight="false" outlineLevel="0" collapsed="false">
      <c r="A388" s="44" t="str">
        <f aca="false">IF($C388="","",IFERROR(VLOOKUP($C388,目录!$B:$C,2,0)&amp;"","⚠目录里没有"))</f>
        <v/>
      </c>
      <c r="B388" s="45" t="str">
        <f aca="false">IF($D388="","",IFERROR(MID($D388,FIND(".",$D388)+1,FIND(".",$D388,FIND(".",$D388)+1)-FIND(".",$D388)-1)&amp;"月",""))</f>
        <v/>
      </c>
      <c r="C388" s="46"/>
      <c r="D388" s="47"/>
      <c r="E388" s="47"/>
      <c r="F388" s="49"/>
      <c r="G388" s="50"/>
      <c r="H388" s="24"/>
      <c r="I388" s="24" t="str">
        <f aca="false">IF($H388="","",N($H388)*N($G388))</f>
        <v/>
      </c>
      <c r="J388" s="25" t="str">
        <f aca="false">IF($H388="","",N($H388)-N($I388))</f>
        <v/>
      </c>
      <c r="K388" s="25"/>
      <c r="L388" s="25" t="str">
        <f aca="false">IF($A388="","",SUMIF($A$4:$A388,$A388,$J$4:$J388)-SUMIF($A$4:$A388,$A388,$K$4:$K388))</f>
        <v/>
      </c>
      <c r="M388" s="26" t="str">
        <f aca="false">IF($H388="","",N($H388))</f>
        <v/>
      </c>
      <c r="N388" s="26"/>
      <c r="O388" s="26"/>
      <c r="P388" s="26" t="str">
        <f aca="false">IF($A388="","",SUMIF($A$4:$A388,$A388,$M$4:$M388)-SUMIF($A$4:$A388,$A388,$N$4:$N388)-SUMIF($A$4:$A388,$A388,$O$4:$O388))</f>
        <v/>
      </c>
      <c r="Q388" s="27"/>
      <c r="R388" s="28"/>
      <c r="S388" s="28"/>
      <c r="T388" s="28" t="str">
        <f aca="false">IF($A388="","",SUMIF($A$4:$A388,$A388,$Q$4:$Q388)-SUMIF($A$4:$A388,$A388,$R$4:$R388)-SUMIF($A$4:$A388,$A388,$S$4:$S388))</f>
        <v/>
      </c>
      <c r="U388" s="28"/>
      <c r="V388" s="29" t="str">
        <f aca="false">IF(AND($C388="",COUNTA($D388:$H388,$K388,$N388:$O388,$Q388:$S388,$U388)=0),"",IF($C388="","⚠ 没填项目名称",IF($A388="⚠目录里没有","⚠ 项目名称在目录里找不到（先加到目录）",IF($A388="","⚠ 目录里这个项目没填简称",IF(ISTEXT($G388)+ISTEXT($H388)+ISTEXT($K388)+ISTEXT($N388)+ISTEXT($O388)+ISTEXT($Q388)+ISTEXT($R388)+ISTEXT($S388)&gt;0,"⚠ 金额列里有文字，算不进合计",IF(N($G388)&gt;=1,"⚠ 管理费点要填百分比，如 10%",IF(AND($D388&lt;&gt;"",$B388=""),"△ 摘要开头没写日期（如 2026.9.21），月份取不到",IF(AND(N($H388)&lt;&gt;0,COUNTIFS($A$4:$A$1003,$A388,$H$4:$H$1003,$H388,$D$4:$D$1003,LEFT($D388,9)&amp;"*")&gt;1),"△ 同一天同项目有一样的销售金额，看看是不是录重了","✓"))))))))</f>
        <v/>
      </c>
      <c r="W388" s="8" t="str">
        <f aca="false">IF($A388="","",$A388&amp;"#"&amp;COUNTIF($A$4:$A388,$A388))</f>
        <v/>
      </c>
    </row>
    <row r="389" customFormat="false" ht="16.5" hidden="false" customHeight="false" outlineLevel="0" collapsed="false">
      <c r="A389" s="44" t="str">
        <f aca="false">IF($C389="","",IFERROR(VLOOKUP($C389,目录!$B:$C,2,0)&amp;"","⚠目录里没有"))</f>
        <v/>
      </c>
      <c r="B389" s="45" t="str">
        <f aca="false">IF($D389="","",IFERROR(MID($D389,FIND(".",$D389)+1,FIND(".",$D389,FIND(".",$D389)+1)-FIND(".",$D389)-1)&amp;"月",""))</f>
        <v/>
      </c>
      <c r="C389" s="46"/>
      <c r="D389" s="47"/>
      <c r="E389" s="47"/>
      <c r="F389" s="49"/>
      <c r="G389" s="50"/>
      <c r="H389" s="24"/>
      <c r="I389" s="24" t="str">
        <f aca="false">IF($H389="","",N($H389)*N($G389))</f>
        <v/>
      </c>
      <c r="J389" s="25" t="str">
        <f aca="false">IF($H389="","",N($H389)-N($I389))</f>
        <v/>
      </c>
      <c r="K389" s="25"/>
      <c r="L389" s="25" t="str">
        <f aca="false">IF($A389="","",SUMIF($A$4:$A389,$A389,$J$4:$J389)-SUMIF($A$4:$A389,$A389,$K$4:$K389))</f>
        <v/>
      </c>
      <c r="M389" s="26" t="str">
        <f aca="false">IF($H389="","",N($H389))</f>
        <v/>
      </c>
      <c r="N389" s="26"/>
      <c r="O389" s="26"/>
      <c r="P389" s="26" t="str">
        <f aca="false">IF($A389="","",SUMIF($A$4:$A389,$A389,$M$4:$M389)-SUMIF($A$4:$A389,$A389,$N$4:$N389)-SUMIF($A$4:$A389,$A389,$O$4:$O389))</f>
        <v/>
      </c>
      <c r="Q389" s="27"/>
      <c r="R389" s="28"/>
      <c r="S389" s="28"/>
      <c r="T389" s="28" t="str">
        <f aca="false">IF($A389="","",SUMIF($A$4:$A389,$A389,$Q$4:$Q389)-SUMIF($A$4:$A389,$A389,$R$4:$R389)-SUMIF($A$4:$A389,$A389,$S$4:$S389))</f>
        <v/>
      </c>
      <c r="U389" s="28"/>
      <c r="V389" s="29" t="str">
        <f aca="false">IF(AND($C389="",COUNTA($D389:$H389,$K389,$N389:$O389,$Q389:$S389,$U389)=0),"",IF($C389="","⚠ 没填项目名称",IF($A389="⚠目录里没有","⚠ 项目名称在目录里找不到（先加到目录）",IF($A389="","⚠ 目录里这个项目没填简称",IF(ISTEXT($G389)+ISTEXT($H389)+ISTEXT($K389)+ISTEXT($N389)+ISTEXT($O389)+ISTEXT($Q389)+ISTEXT($R389)+ISTEXT($S389)&gt;0,"⚠ 金额列里有文字，算不进合计",IF(N($G389)&gt;=1,"⚠ 管理费点要填百分比，如 10%",IF(AND($D389&lt;&gt;"",$B389=""),"△ 摘要开头没写日期（如 2026.9.21），月份取不到",IF(AND(N($H389)&lt;&gt;0,COUNTIFS($A$4:$A$1003,$A389,$H$4:$H$1003,$H389,$D$4:$D$1003,LEFT($D389,9)&amp;"*")&gt;1),"△ 同一天同项目有一样的销售金额，看看是不是录重了","✓"))))))))</f>
        <v/>
      </c>
      <c r="W389" s="8" t="str">
        <f aca="false">IF($A389="","",$A389&amp;"#"&amp;COUNTIF($A$4:$A389,$A389))</f>
        <v/>
      </c>
    </row>
    <row r="390" customFormat="false" ht="16.5" hidden="false" customHeight="false" outlineLevel="0" collapsed="false">
      <c r="A390" s="44" t="str">
        <f aca="false">IF($C390="","",IFERROR(VLOOKUP($C390,目录!$B:$C,2,0)&amp;"","⚠目录里没有"))</f>
        <v/>
      </c>
      <c r="B390" s="45" t="str">
        <f aca="false">IF($D390="","",IFERROR(MID($D390,FIND(".",$D390)+1,FIND(".",$D390,FIND(".",$D390)+1)-FIND(".",$D390)-1)&amp;"月",""))</f>
        <v/>
      </c>
      <c r="C390" s="46"/>
      <c r="D390" s="47"/>
      <c r="E390" s="47"/>
      <c r="F390" s="49"/>
      <c r="G390" s="50"/>
      <c r="H390" s="24"/>
      <c r="I390" s="24" t="str">
        <f aca="false">IF($H390="","",N($H390)*N($G390))</f>
        <v/>
      </c>
      <c r="J390" s="25" t="str">
        <f aca="false">IF($H390="","",N($H390)-N($I390))</f>
        <v/>
      </c>
      <c r="K390" s="25"/>
      <c r="L390" s="25" t="str">
        <f aca="false">IF($A390="","",SUMIF($A$4:$A390,$A390,$J$4:$J390)-SUMIF($A$4:$A390,$A390,$K$4:$K390))</f>
        <v/>
      </c>
      <c r="M390" s="26" t="str">
        <f aca="false">IF($H390="","",N($H390))</f>
        <v/>
      </c>
      <c r="N390" s="26"/>
      <c r="O390" s="26"/>
      <c r="P390" s="26" t="str">
        <f aca="false">IF($A390="","",SUMIF($A$4:$A390,$A390,$M$4:$M390)-SUMIF($A$4:$A390,$A390,$N$4:$N390)-SUMIF($A$4:$A390,$A390,$O$4:$O390))</f>
        <v/>
      </c>
      <c r="Q390" s="27"/>
      <c r="R390" s="28"/>
      <c r="S390" s="28"/>
      <c r="T390" s="28" t="str">
        <f aca="false">IF($A390="","",SUMIF($A$4:$A390,$A390,$Q$4:$Q390)-SUMIF($A$4:$A390,$A390,$R$4:$R390)-SUMIF($A$4:$A390,$A390,$S$4:$S390))</f>
        <v/>
      </c>
      <c r="U390" s="28"/>
      <c r="V390" s="29" t="str">
        <f aca="false">IF(AND($C390="",COUNTA($D390:$H390,$K390,$N390:$O390,$Q390:$S390,$U390)=0),"",IF($C390="","⚠ 没填项目名称",IF($A390="⚠目录里没有","⚠ 项目名称在目录里找不到（先加到目录）",IF($A390="","⚠ 目录里这个项目没填简称",IF(ISTEXT($G390)+ISTEXT($H390)+ISTEXT($K390)+ISTEXT($N390)+ISTEXT($O390)+ISTEXT($Q390)+ISTEXT($R390)+ISTEXT($S390)&gt;0,"⚠ 金额列里有文字，算不进合计",IF(N($G390)&gt;=1,"⚠ 管理费点要填百分比，如 10%",IF(AND($D390&lt;&gt;"",$B390=""),"△ 摘要开头没写日期（如 2026.9.21），月份取不到",IF(AND(N($H390)&lt;&gt;0,COUNTIFS($A$4:$A$1003,$A390,$H$4:$H$1003,$H390,$D$4:$D$1003,LEFT($D390,9)&amp;"*")&gt;1),"△ 同一天同项目有一样的销售金额，看看是不是录重了","✓"))))))))</f>
        <v/>
      </c>
      <c r="W390" s="8" t="str">
        <f aca="false">IF($A390="","",$A390&amp;"#"&amp;COUNTIF($A$4:$A390,$A390))</f>
        <v/>
      </c>
    </row>
    <row r="391" customFormat="false" ht="16.5" hidden="false" customHeight="false" outlineLevel="0" collapsed="false">
      <c r="A391" s="44" t="str">
        <f aca="false">IF($C391="","",IFERROR(VLOOKUP($C391,目录!$B:$C,2,0)&amp;"","⚠目录里没有"))</f>
        <v/>
      </c>
      <c r="B391" s="45" t="str">
        <f aca="false">IF($D391="","",IFERROR(MID($D391,FIND(".",$D391)+1,FIND(".",$D391,FIND(".",$D391)+1)-FIND(".",$D391)-1)&amp;"月",""))</f>
        <v/>
      </c>
      <c r="C391" s="46"/>
      <c r="D391" s="47"/>
      <c r="E391" s="47"/>
      <c r="F391" s="49"/>
      <c r="G391" s="50"/>
      <c r="H391" s="24"/>
      <c r="I391" s="24" t="str">
        <f aca="false">IF($H391="","",N($H391)*N($G391))</f>
        <v/>
      </c>
      <c r="J391" s="25" t="str">
        <f aca="false">IF($H391="","",N($H391)-N($I391))</f>
        <v/>
      </c>
      <c r="K391" s="25"/>
      <c r="L391" s="25" t="str">
        <f aca="false">IF($A391="","",SUMIF($A$4:$A391,$A391,$J$4:$J391)-SUMIF($A$4:$A391,$A391,$K$4:$K391))</f>
        <v/>
      </c>
      <c r="M391" s="26" t="str">
        <f aca="false">IF($H391="","",N($H391))</f>
        <v/>
      </c>
      <c r="N391" s="26"/>
      <c r="O391" s="26"/>
      <c r="P391" s="26" t="str">
        <f aca="false">IF($A391="","",SUMIF($A$4:$A391,$A391,$M$4:$M391)-SUMIF($A$4:$A391,$A391,$N$4:$N391)-SUMIF($A$4:$A391,$A391,$O$4:$O391))</f>
        <v/>
      </c>
      <c r="Q391" s="27"/>
      <c r="R391" s="28"/>
      <c r="S391" s="28"/>
      <c r="T391" s="28" t="str">
        <f aca="false">IF($A391="","",SUMIF($A$4:$A391,$A391,$Q$4:$Q391)-SUMIF($A$4:$A391,$A391,$R$4:$R391)-SUMIF($A$4:$A391,$A391,$S$4:$S391))</f>
        <v/>
      </c>
      <c r="U391" s="28"/>
      <c r="V391" s="29" t="str">
        <f aca="false">IF(AND($C391="",COUNTA($D391:$H391,$K391,$N391:$O391,$Q391:$S391,$U391)=0),"",IF($C391="","⚠ 没填项目名称",IF($A391="⚠目录里没有","⚠ 项目名称在目录里找不到（先加到目录）",IF($A391="","⚠ 目录里这个项目没填简称",IF(ISTEXT($G391)+ISTEXT($H391)+ISTEXT($K391)+ISTEXT($N391)+ISTEXT($O391)+ISTEXT($Q391)+ISTEXT($R391)+ISTEXT($S391)&gt;0,"⚠ 金额列里有文字，算不进合计",IF(N($G391)&gt;=1,"⚠ 管理费点要填百分比，如 10%",IF(AND($D391&lt;&gt;"",$B391=""),"△ 摘要开头没写日期（如 2026.9.21），月份取不到",IF(AND(N($H391)&lt;&gt;0,COUNTIFS($A$4:$A$1003,$A391,$H$4:$H$1003,$H391,$D$4:$D$1003,LEFT($D391,9)&amp;"*")&gt;1),"△ 同一天同项目有一样的销售金额，看看是不是录重了","✓"))))))))</f>
        <v/>
      </c>
      <c r="W391" s="8" t="str">
        <f aca="false">IF($A391="","",$A391&amp;"#"&amp;COUNTIF($A$4:$A391,$A391))</f>
        <v/>
      </c>
    </row>
    <row r="392" customFormat="false" ht="16.5" hidden="false" customHeight="false" outlineLevel="0" collapsed="false">
      <c r="A392" s="44" t="str">
        <f aca="false">IF($C392="","",IFERROR(VLOOKUP($C392,目录!$B:$C,2,0)&amp;"","⚠目录里没有"))</f>
        <v/>
      </c>
      <c r="B392" s="45" t="str">
        <f aca="false">IF($D392="","",IFERROR(MID($D392,FIND(".",$D392)+1,FIND(".",$D392,FIND(".",$D392)+1)-FIND(".",$D392)-1)&amp;"月",""))</f>
        <v/>
      </c>
      <c r="C392" s="46"/>
      <c r="D392" s="47"/>
      <c r="E392" s="47"/>
      <c r="F392" s="49"/>
      <c r="G392" s="50"/>
      <c r="H392" s="24"/>
      <c r="I392" s="24" t="str">
        <f aca="false">IF($H392="","",N($H392)*N($G392))</f>
        <v/>
      </c>
      <c r="J392" s="25" t="str">
        <f aca="false">IF($H392="","",N($H392)-N($I392))</f>
        <v/>
      </c>
      <c r="K392" s="25"/>
      <c r="L392" s="25" t="str">
        <f aca="false">IF($A392="","",SUMIF($A$4:$A392,$A392,$J$4:$J392)-SUMIF($A$4:$A392,$A392,$K$4:$K392))</f>
        <v/>
      </c>
      <c r="M392" s="26" t="str">
        <f aca="false">IF($H392="","",N($H392))</f>
        <v/>
      </c>
      <c r="N392" s="26"/>
      <c r="O392" s="26"/>
      <c r="P392" s="26" t="str">
        <f aca="false">IF($A392="","",SUMIF($A$4:$A392,$A392,$M$4:$M392)-SUMIF($A$4:$A392,$A392,$N$4:$N392)-SUMIF($A$4:$A392,$A392,$O$4:$O392))</f>
        <v/>
      </c>
      <c r="Q392" s="27"/>
      <c r="R392" s="28"/>
      <c r="S392" s="28"/>
      <c r="T392" s="28" t="str">
        <f aca="false">IF($A392="","",SUMIF($A$4:$A392,$A392,$Q$4:$Q392)-SUMIF($A$4:$A392,$A392,$R$4:$R392)-SUMIF($A$4:$A392,$A392,$S$4:$S392))</f>
        <v/>
      </c>
      <c r="U392" s="28"/>
      <c r="V392" s="29" t="str">
        <f aca="false">IF(AND($C392="",COUNTA($D392:$H392,$K392,$N392:$O392,$Q392:$S392,$U392)=0),"",IF($C392="","⚠ 没填项目名称",IF($A392="⚠目录里没有","⚠ 项目名称在目录里找不到（先加到目录）",IF($A392="","⚠ 目录里这个项目没填简称",IF(ISTEXT($G392)+ISTEXT($H392)+ISTEXT($K392)+ISTEXT($N392)+ISTEXT($O392)+ISTEXT($Q392)+ISTEXT($R392)+ISTEXT($S392)&gt;0,"⚠ 金额列里有文字，算不进合计",IF(N($G392)&gt;=1,"⚠ 管理费点要填百分比，如 10%",IF(AND($D392&lt;&gt;"",$B392=""),"△ 摘要开头没写日期（如 2026.9.21），月份取不到",IF(AND(N($H392)&lt;&gt;0,COUNTIFS($A$4:$A$1003,$A392,$H$4:$H$1003,$H392,$D$4:$D$1003,LEFT($D392,9)&amp;"*")&gt;1),"△ 同一天同项目有一样的销售金额，看看是不是录重了","✓"))))))))</f>
        <v/>
      </c>
      <c r="W392" s="8" t="str">
        <f aca="false">IF($A392="","",$A392&amp;"#"&amp;COUNTIF($A$4:$A392,$A392))</f>
        <v/>
      </c>
    </row>
    <row r="393" customFormat="false" ht="16.5" hidden="false" customHeight="false" outlineLevel="0" collapsed="false">
      <c r="A393" s="44" t="str">
        <f aca="false">IF($C393="","",IFERROR(VLOOKUP($C393,目录!$B:$C,2,0)&amp;"","⚠目录里没有"))</f>
        <v/>
      </c>
      <c r="B393" s="45" t="str">
        <f aca="false">IF($D393="","",IFERROR(MID($D393,FIND(".",$D393)+1,FIND(".",$D393,FIND(".",$D393)+1)-FIND(".",$D393)-1)&amp;"月",""))</f>
        <v/>
      </c>
      <c r="C393" s="46"/>
      <c r="D393" s="47"/>
      <c r="E393" s="47"/>
      <c r="F393" s="49"/>
      <c r="G393" s="50"/>
      <c r="H393" s="24"/>
      <c r="I393" s="24" t="str">
        <f aca="false">IF($H393="","",N($H393)*N($G393))</f>
        <v/>
      </c>
      <c r="J393" s="25" t="str">
        <f aca="false">IF($H393="","",N($H393)-N($I393))</f>
        <v/>
      </c>
      <c r="K393" s="25"/>
      <c r="L393" s="25" t="str">
        <f aca="false">IF($A393="","",SUMIF($A$4:$A393,$A393,$J$4:$J393)-SUMIF($A$4:$A393,$A393,$K$4:$K393))</f>
        <v/>
      </c>
      <c r="M393" s="26" t="str">
        <f aca="false">IF($H393="","",N($H393))</f>
        <v/>
      </c>
      <c r="N393" s="26"/>
      <c r="O393" s="26"/>
      <c r="P393" s="26" t="str">
        <f aca="false">IF($A393="","",SUMIF($A$4:$A393,$A393,$M$4:$M393)-SUMIF($A$4:$A393,$A393,$N$4:$N393)-SUMIF($A$4:$A393,$A393,$O$4:$O393))</f>
        <v/>
      </c>
      <c r="Q393" s="27"/>
      <c r="R393" s="28"/>
      <c r="S393" s="28"/>
      <c r="T393" s="28" t="str">
        <f aca="false">IF($A393="","",SUMIF($A$4:$A393,$A393,$Q$4:$Q393)-SUMIF($A$4:$A393,$A393,$R$4:$R393)-SUMIF($A$4:$A393,$A393,$S$4:$S393))</f>
        <v/>
      </c>
      <c r="U393" s="28"/>
      <c r="V393" s="29" t="str">
        <f aca="false">IF(AND($C393="",COUNTA($D393:$H393,$K393,$N393:$O393,$Q393:$S393,$U393)=0),"",IF($C393="","⚠ 没填项目名称",IF($A393="⚠目录里没有","⚠ 项目名称在目录里找不到（先加到目录）",IF($A393="","⚠ 目录里这个项目没填简称",IF(ISTEXT($G393)+ISTEXT($H393)+ISTEXT($K393)+ISTEXT($N393)+ISTEXT($O393)+ISTEXT($Q393)+ISTEXT($R393)+ISTEXT($S393)&gt;0,"⚠ 金额列里有文字，算不进合计",IF(N($G393)&gt;=1,"⚠ 管理费点要填百分比，如 10%",IF(AND($D393&lt;&gt;"",$B393=""),"△ 摘要开头没写日期（如 2026.9.21），月份取不到",IF(AND(N($H393)&lt;&gt;0,COUNTIFS($A$4:$A$1003,$A393,$H$4:$H$1003,$H393,$D$4:$D$1003,LEFT($D393,9)&amp;"*")&gt;1),"△ 同一天同项目有一样的销售金额，看看是不是录重了","✓"))))))))</f>
        <v/>
      </c>
      <c r="W393" s="8" t="str">
        <f aca="false">IF($A393="","",$A393&amp;"#"&amp;COUNTIF($A$4:$A393,$A393))</f>
        <v/>
      </c>
    </row>
    <row r="394" customFormat="false" ht="16.5" hidden="false" customHeight="false" outlineLevel="0" collapsed="false">
      <c r="A394" s="44" t="str">
        <f aca="false">IF($C394="","",IFERROR(VLOOKUP($C394,目录!$B:$C,2,0)&amp;"","⚠目录里没有"))</f>
        <v/>
      </c>
      <c r="B394" s="45" t="str">
        <f aca="false">IF($D394="","",IFERROR(MID($D394,FIND(".",$D394)+1,FIND(".",$D394,FIND(".",$D394)+1)-FIND(".",$D394)-1)&amp;"月",""))</f>
        <v/>
      </c>
      <c r="C394" s="46"/>
      <c r="D394" s="47"/>
      <c r="E394" s="47"/>
      <c r="F394" s="49"/>
      <c r="G394" s="50"/>
      <c r="H394" s="24"/>
      <c r="I394" s="24" t="str">
        <f aca="false">IF($H394="","",N($H394)*N($G394))</f>
        <v/>
      </c>
      <c r="J394" s="25" t="str">
        <f aca="false">IF($H394="","",N($H394)-N($I394))</f>
        <v/>
      </c>
      <c r="K394" s="25"/>
      <c r="L394" s="25" t="str">
        <f aca="false">IF($A394="","",SUMIF($A$4:$A394,$A394,$J$4:$J394)-SUMIF($A$4:$A394,$A394,$K$4:$K394))</f>
        <v/>
      </c>
      <c r="M394" s="26" t="str">
        <f aca="false">IF($H394="","",N($H394))</f>
        <v/>
      </c>
      <c r="N394" s="26"/>
      <c r="O394" s="26"/>
      <c r="P394" s="26" t="str">
        <f aca="false">IF($A394="","",SUMIF($A$4:$A394,$A394,$M$4:$M394)-SUMIF($A$4:$A394,$A394,$N$4:$N394)-SUMIF($A$4:$A394,$A394,$O$4:$O394))</f>
        <v/>
      </c>
      <c r="Q394" s="27"/>
      <c r="R394" s="28"/>
      <c r="S394" s="28"/>
      <c r="T394" s="28" t="str">
        <f aca="false">IF($A394="","",SUMIF($A$4:$A394,$A394,$Q$4:$Q394)-SUMIF($A$4:$A394,$A394,$R$4:$R394)-SUMIF($A$4:$A394,$A394,$S$4:$S394))</f>
        <v/>
      </c>
      <c r="U394" s="28"/>
      <c r="V394" s="29" t="str">
        <f aca="false">IF(AND($C394="",COUNTA($D394:$H394,$K394,$N394:$O394,$Q394:$S394,$U394)=0),"",IF($C394="","⚠ 没填项目名称",IF($A394="⚠目录里没有","⚠ 项目名称在目录里找不到（先加到目录）",IF($A394="","⚠ 目录里这个项目没填简称",IF(ISTEXT($G394)+ISTEXT($H394)+ISTEXT($K394)+ISTEXT($N394)+ISTEXT($O394)+ISTEXT($Q394)+ISTEXT($R394)+ISTEXT($S394)&gt;0,"⚠ 金额列里有文字，算不进合计",IF(N($G394)&gt;=1,"⚠ 管理费点要填百分比，如 10%",IF(AND($D394&lt;&gt;"",$B394=""),"△ 摘要开头没写日期（如 2026.9.21），月份取不到",IF(AND(N($H394)&lt;&gt;0,COUNTIFS($A$4:$A$1003,$A394,$H$4:$H$1003,$H394,$D$4:$D$1003,LEFT($D394,9)&amp;"*")&gt;1),"△ 同一天同项目有一样的销售金额，看看是不是录重了","✓"))))))))</f>
        <v/>
      </c>
      <c r="W394" s="8" t="str">
        <f aca="false">IF($A394="","",$A394&amp;"#"&amp;COUNTIF($A$4:$A394,$A394))</f>
        <v/>
      </c>
    </row>
    <row r="395" customFormat="false" ht="16.5" hidden="false" customHeight="false" outlineLevel="0" collapsed="false">
      <c r="A395" s="44" t="str">
        <f aca="false">IF($C395="","",IFERROR(VLOOKUP($C395,目录!$B:$C,2,0)&amp;"","⚠目录里没有"))</f>
        <v/>
      </c>
      <c r="B395" s="45" t="str">
        <f aca="false">IF($D395="","",IFERROR(MID($D395,FIND(".",$D395)+1,FIND(".",$D395,FIND(".",$D395)+1)-FIND(".",$D395)-1)&amp;"月",""))</f>
        <v/>
      </c>
      <c r="C395" s="46"/>
      <c r="D395" s="47"/>
      <c r="E395" s="47"/>
      <c r="F395" s="49"/>
      <c r="G395" s="50"/>
      <c r="H395" s="24"/>
      <c r="I395" s="24" t="str">
        <f aca="false">IF($H395="","",N($H395)*N($G395))</f>
        <v/>
      </c>
      <c r="J395" s="25" t="str">
        <f aca="false">IF($H395="","",N($H395)-N($I395))</f>
        <v/>
      </c>
      <c r="K395" s="25"/>
      <c r="L395" s="25" t="str">
        <f aca="false">IF($A395="","",SUMIF($A$4:$A395,$A395,$J$4:$J395)-SUMIF($A$4:$A395,$A395,$K$4:$K395))</f>
        <v/>
      </c>
      <c r="M395" s="26" t="str">
        <f aca="false">IF($H395="","",N($H395))</f>
        <v/>
      </c>
      <c r="N395" s="26"/>
      <c r="O395" s="26"/>
      <c r="P395" s="26" t="str">
        <f aca="false">IF($A395="","",SUMIF($A$4:$A395,$A395,$M$4:$M395)-SUMIF($A$4:$A395,$A395,$N$4:$N395)-SUMIF($A$4:$A395,$A395,$O$4:$O395))</f>
        <v/>
      </c>
      <c r="Q395" s="27"/>
      <c r="R395" s="28"/>
      <c r="S395" s="28"/>
      <c r="T395" s="28" t="str">
        <f aca="false">IF($A395="","",SUMIF($A$4:$A395,$A395,$Q$4:$Q395)-SUMIF($A$4:$A395,$A395,$R$4:$R395)-SUMIF($A$4:$A395,$A395,$S$4:$S395))</f>
        <v/>
      </c>
      <c r="U395" s="28"/>
      <c r="V395" s="29" t="str">
        <f aca="false">IF(AND($C395="",COUNTA($D395:$H395,$K395,$N395:$O395,$Q395:$S395,$U395)=0),"",IF($C395="","⚠ 没填项目名称",IF($A395="⚠目录里没有","⚠ 项目名称在目录里找不到（先加到目录）",IF($A395="","⚠ 目录里这个项目没填简称",IF(ISTEXT($G395)+ISTEXT($H395)+ISTEXT($K395)+ISTEXT($N395)+ISTEXT($O395)+ISTEXT($Q395)+ISTEXT($R395)+ISTEXT($S395)&gt;0,"⚠ 金额列里有文字，算不进合计",IF(N($G395)&gt;=1,"⚠ 管理费点要填百分比，如 10%",IF(AND($D395&lt;&gt;"",$B395=""),"△ 摘要开头没写日期（如 2026.9.21），月份取不到",IF(AND(N($H395)&lt;&gt;0,COUNTIFS($A$4:$A$1003,$A395,$H$4:$H$1003,$H395,$D$4:$D$1003,LEFT($D395,9)&amp;"*")&gt;1),"△ 同一天同项目有一样的销售金额，看看是不是录重了","✓"))))))))</f>
        <v/>
      </c>
      <c r="W395" s="8" t="str">
        <f aca="false">IF($A395="","",$A395&amp;"#"&amp;COUNTIF($A$4:$A395,$A395))</f>
        <v/>
      </c>
    </row>
    <row r="396" customFormat="false" ht="16.5" hidden="false" customHeight="false" outlineLevel="0" collapsed="false">
      <c r="A396" s="44" t="str">
        <f aca="false">IF($C396="","",IFERROR(VLOOKUP($C396,目录!$B:$C,2,0)&amp;"","⚠目录里没有"))</f>
        <v/>
      </c>
      <c r="B396" s="45" t="str">
        <f aca="false">IF($D396="","",IFERROR(MID($D396,FIND(".",$D396)+1,FIND(".",$D396,FIND(".",$D396)+1)-FIND(".",$D396)-1)&amp;"月",""))</f>
        <v/>
      </c>
      <c r="C396" s="46"/>
      <c r="D396" s="47"/>
      <c r="E396" s="47"/>
      <c r="F396" s="49"/>
      <c r="G396" s="50"/>
      <c r="H396" s="24"/>
      <c r="I396" s="24" t="str">
        <f aca="false">IF($H396="","",N($H396)*N($G396))</f>
        <v/>
      </c>
      <c r="J396" s="25" t="str">
        <f aca="false">IF($H396="","",N($H396)-N($I396))</f>
        <v/>
      </c>
      <c r="K396" s="25"/>
      <c r="L396" s="25" t="str">
        <f aca="false">IF($A396="","",SUMIF($A$4:$A396,$A396,$J$4:$J396)-SUMIF($A$4:$A396,$A396,$K$4:$K396))</f>
        <v/>
      </c>
      <c r="M396" s="26" t="str">
        <f aca="false">IF($H396="","",N($H396))</f>
        <v/>
      </c>
      <c r="N396" s="26"/>
      <c r="O396" s="26"/>
      <c r="P396" s="26" t="str">
        <f aca="false">IF($A396="","",SUMIF($A$4:$A396,$A396,$M$4:$M396)-SUMIF($A$4:$A396,$A396,$N$4:$N396)-SUMIF($A$4:$A396,$A396,$O$4:$O396))</f>
        <v/>
      </c>
      <c r="Q396" s="27"/>
      <c r="R396" s="28"/>
      <c r="S396" s="28"/>
      <c r="T396" s="28" t="str">
        <f aca="false">IF($A396="","",SUMIF($A$4:$A396,$A396,$Q$4:$Q396)-SUMIF($A$4:$A396,$A396,$R$4:$R396)-SUMIF($A$4:$A396,$A396,$S$4:$S396))</f>
        <v/>
      </c>
      <c r="U396" s="28"/>
      <c r="V396" s="29" t="str">
        <f aca="false">IF(AND($C396="",COUNTA($D396:$H396,$K396,$N396:$O396,$Q396:$S396,$U396)=0),"",IF($C396="","⚠ 没填项目名称",IF($A396="⚠目录里没有","⚠ 项目名称在目录里找不到（先加到目录）",IF($A396="","⚠ 目录里这个项目没填简称",IF(ISTEXT($G396)+ISTEXT($H396)+ISTEXT($K396)+ISTEXT($N396)+ISTEXT($O396)+ISTEXT($Q396)+ISTEXT($R396)+ISTEXT($S396)&gt;0,"⚠ 金额列里有文字，算不进合计",IF(N($G396)&gt;=1,"⚠ 管理费点要填百分比，如 10%",IF(AND($D396&lt;&gt;"",$B396=""),"△ 摘要开头没写日期（如 2026.9.21），月份取不到",IF(AND(N($H396)&lt;&gt;0,COUNTIFS($A$4:$A$1003,$A396,$H$4:$H$1003,$H396,$D$4:$D$1003,LEFT($D396,9)&amp;"*")&gt;1),"△ 同一天同项目有一样的销售金额，看看是不是录重了","✓"))))))))</f>
        <v/>
      </c>
      <c r="W396" s="8" t="str">
        <f aca="false">IF($A396="","",$A396&amp;"#"&amp;COUNTIF($A$4:$A396,$A396))</f>
        <v/>
      </c>
    </row>
    <row r="397" customFormat="false" ht="16.5" hidden="false" customHeight="false" outlineLevel="0" collapsed="false">
      <c r="A397" s="44" t="str">
        <f aca="false">IF($C397="","",IFERROR(VLOOKUP($C397,目录!$B:$C,2,0)&amp;"","⚠目录里没有"))</f>
        <v/>
      </c>
      <c r="B397" s="45" t="str">
        <f aca="false">IF($D397="","",IFERROR(MID($D397,FIND(".",$D397)+1,FIND(".",$D397,FIND(".",$D397)+1)-FIND(".",$D397)-1)&amp;"月",""))</f>
        <v/>
      </c>
      <c r="C397" s="46"/>
      <c r="D397" s="47"/>
      <c r="E397" s="47"/>
      <c r="F397" s="49"/>
      <c r="G397" s="50"/>
      <c r="H397" s="24"/>
      <c r="I397" s="24" t="str">
        <f aca="false">IF($H397="","",N($H397)*N($G397))</f>
        <v/>
      </c>
      <c r="J397" s="25" t="str">
        <f aca="false">IF($H397="","",N($H397)-N($I397))</f>
        <v/>
      </c>
      <c r="K397" s="25"/>
      <c r="L397" s="25" t="str">
        <f aca="false">IF($A397="","",SUMIF($A$4:$A397,$A397,$J$4:$J397)-SUMIF($A$4:$A397,$A397,$K$4:$K397))</f>
        <v/>
      </c>
      <c r="M397" s="26" t="str">
        <f aca="false">IF($H397="","",N($H397))</f>
        <v/>
      </c>
      <c r="N397" s="26"/>
      <c r="O397" s="26"/>
      <c r="P397" s="26" t="str">
        <f aca="false">IF($A397="","",SUMIF($A$4:$A397,$A397,$M$4:$M397)-SUMIF($A$4:$A397,$A397,$N$4:$N397)-SUMIF($A$4:$A397,$A397,$O$4:$O397))</f>
        <v/>
      </c>
      <c r="Q397" s="27"/>
      <c r="R397" s="28"/>
      <c r="S397" s="28"/>
      <c r="T397" s="28" t="str">
        <f aca="false">IF($A397="","",SUMIF($A$4:$A397,$A397,$Q$4:$Q397)-SUMIF($A$4:$A397,$A397,$R$4:$R397)-SUMIF($A$4:$A397,$A397,$S$4:$S397))</f>
        <v/>
      </c>
      <c r="U397" s="28"/>
      <c r="V397" s="29" t="str">
        <f aca="false">IF(AND($C397="",COUNTA($D397:$H397,$K397,$N397:$O397,$Q397:$S397,$U397)=0),"",IF($C397="","⚠ 没填项目名称",IF($A397="⚠目录里没有","⚠ 项目名称在目录里找不到（先加到目录）",IF($A397="","⚠ 目录里这个项目没填简称",IF(ISTEXT($G397)+ISTEXT($H397)+ISTEXT($K397)+ISTEXT($N397)+ISTEXT($O397)+ISTEXT($Q397)+ISTEXT($R397)+ISTEXT($S397)&gt;0,"⚠ 金额列里有文字，算不进合计",IF(N($G397)&gt;=1,"⚠ 管理费点要填百分比，如 10%",IF(AND($D397&lt;&gt;"",$B397=""),"△ 摘要开头没写日期（如 2026.9.21），月份取不到",IF(AND(N($H397)&lt;&gt;0,COUNTIFS($A$4:$A$1003,$A397,$H$4:$H$1003,$H397,$D$4:$D$1003,LEFT($D397,9)&amp;"*")&gt;1),"△ 同一天同项目有一样的销售金额，看看是不是录重了","✓"))))))))</f>
        <v/>
      </c>
      <c r="W397" s="8" t="str">
        <f aca="false">IF($A397="","",$A397&amp;"#"&amp;COUNTIF($A$4:$A397,$A397))</f>
        <v/>
      </c>
    </row>
    <row r="398" customFormat="false" ht="16.5" hidden="false" customHeight="false" outlineLevel="0" collapsed="false">
      <c r="A398" s="44" t="str">
        <f aca="false">IF($C398="","",IFERROR(VLOOKUP($C398,目录!$B:$C,2,0)&amp;"","⚠目录里没有"))</f>
        <v/>
      </c>
      <c r="B398" s="45" t="str">
        <f aca="false">IF($D398="","",IFERROR(MID($D398,FIND(".",$D398)+1,FIND(".",$D398,FIND(".",$D398)+1)-FIND(".",$D398)-1)&amp;"月",""))</f>
        <v/>
      </c>
      <c r="C398" s="46"/>
      <c r="D398" s="47"/>
      <c r="E398" s="47"/>
      <c r="F398" s="49"/>
      <c r="G398" s="50"/>
      <c r="H398" s="24"/>
      <c r="I398" s="24" t="str">
        <f aca="false">IF($H398="","",N($H398)*N($G398))</f>
        <v/>
      </c>
      <c r="J398" s="25" t="str">
        <f aca="false">IF($H398="","",N($H398)-N($I398))</f>
        <v/>
      </c>
      <c r="K398" s="25"/>
      <c r="L398" s="25" t="str">
        <f aca="false">IF($A398="","",SUMIF($A$4:$A398,$A398,$J$4:$J398)-SUMIF($A$4:$A398,$A398,$K$4:$K398))</f>
        <v/>
      </c>
      <c r="M398" s="26" t="str">
        <f aca="false">IF($H398="","",N($H398))</f>
        <v/>
      </c>
      <c r="N398" s="26"/>
      <c r="O398" s="26"/>
      <c r="P398" s="26" t="str">
        <f aca="false">IF($A398="","",SUMIF($A$4:$A398,$A398,$M$4:$M398)-SUMIF($A$4:$A398,$A398,$N$4:$N398)-SUMIF($A$4:$A398,$A398,$O$4:$O398))</f>
        <v/>
      </c>
      <c r="Q398" s="27"/>
      <c r="R398" s="28"/>
      <c r="S398" s="28"/>
      <c r="T398" s="28" t="str">
        <f aca="false">IF($A398="","",SUMIF($A$4:$A398,$A398,$Q$4:$Q398)-SUMIF($A$4:$A398,$A398,$R$4:$R398)-SUMIF($A$4:$A398,$A398,$S$4:$S398))</f>
        <v/>
      </c>
      <c r="U398" s="28"/>
      <c r="V398" s="29" t="str">
        <f aca="false">IF(AND($C398="",COUNTA($D398:$H398,$K398,$N398:$O398,$Q398:$S398,$U398)=0),"",IF($C398="","⚠ 没填项目名称",IF($A398="⚠目录里没有","⚠ 项目名称在目录里找不到（先加到目录）",IF($A398="","⚠ 目录里这个项目没填简称",IF(ISTEXT($G398)+ISTEXT($H398)+ISTEXT($K398)+ISTEXT($N398)+ISTEXT($O398)+ISTEXT($Q398)+ISTEXT($R398)+ISTEXT($S398)&gt;0,"⚠ 金额列里有文字，算不进合计",IF(N($G398)&gt;=1,"⚠ 管理费点要填百分比，如 10%",IF(AND($D398&lt;&gt;"",$B398=""),"△ 摘要开头没写日期（如 2026.9.21），月份取不到",IF(AND(N($H398)&lt;&gt;0,COUNTIFS($A$4:$A$1003,$A398,$H$4:$H$1003,$H398,$D$4:$D$1003,LEFT($D398,9)&amp;"*")&gt;1),"△ 同一天同项目有一样的销售金额，看看是不是录重了","✓"))))))))</f>
        <v/>
      </c>
      <c r="W398" s="8" t="str">
        <f aca="false">IF($A398="","",$A398&amp;"#"&amp;COUNTIF($A$4:$A398,$A398))</f>
        <v/>
      </c>
    </row>
    <row r="399" customFormat="false" ht="16.5" hidden="false" customHeight="false" outlineLevel="0" collapsed="false">
      <c r="A399" s="44" t="str">
        <f aca="false">IF($C399="","",IFERROR(VLOOKUP($C399,目录!$B:$C,2,0)&amp;"","⚠目录里没有"))</f>
        <v/>
      </c>
      <c r="B399" s="45" t="str">
        <f aca="false">IF($D399="","",IFERROR(MID($D399,FIND(".",$D399)+1,FIND(".",$D399,FIND(".",$D399)+1)-FIND(".",$D399)-1)&amp;"月",""))</f>
        <v/>
      </c>
      <c r="C399" s="46"/>
      <c r="D399" s="47"/>
      <c r="E399" s="47"/>
      <c r="F399" s="49"/>
      <c r="G399" s="50"/>
      <c r="H399" s="24"/>
      <c r="I399" s="24" t="str">
        <f aca="false">IF($H399="","",N($H399)*N($G399))</f>
        <v/>
      </c>
      <c r="J399" s="25" t="str">
        <f aca="false">IF($H399="","",N($H399)-N($I399))</f>
        <v/>
      </c>
      <c r="K399" s="25"/>
      <c r="L399" s="25" t="str">
        <f aca="false">IF($A399="","",SUMIF($A$4:$A399,$A399,$J$4:$J399)-SUMIF($A$4:$A399,$A399,$K$4:$K399))</f>
        <v/>
      </c>
      <c r="M399" s="26" t="str">
        <f aca="false">IF($H399="","",N($H399))</f>
        <v/>
      </c>
      <c r="N399" s="26"/>
      <c r="O399" s="26"/>
      <c r="P399" s="26" t="str">
        <f aca="false">IF($A399="","",SUMIF($A$4:$A399,$A399,$M$4:$M399)-SUMIF($A$4:$A399,$A399,$N$4:$N399)-SUMIF($A$4:$A399,$A399,$O$4:$O399))</f>
        <v/>
      </c>
      <c r="Q399" s="27"/>
      <c r="R399" s="28"/>
      <c r="S399" s="28"/>
      <c r="T399" s="28" t="str">
        <f aca="false">IF($A399="","",SUMIF($A$4:$A399,$A399,$Q$4:$Q399)-SUMIF($A$4:$A399,$A399,$R$4:$R399)-SUMIF($A$4:$A399,$A399,$S$4:$S399))</f>
        <v/>
      </c>
      <c r="U399" s="28"/>
      <c r="V399" s="29" t="str">
        <f aca="false">IF(AND($C399="",COUNTA($D399:$H399,$K399,$N399:$O399,$Q399:$S399,$U399)=0),"",IF($C399="","⚠ 没填项目名称",IF($A399="⚠目录里没有","⚠ 项目名称在目录里找不到（先加到目录）",IF($A399="","⚠ 目录里这个项目没填简称",IF(ISTEXT($G399)+ISTEXT($H399)+ISTEXT($K399)+ISTEXT($N399)+ISTEXT($O399)+ISTEXT($Q399)+ISTEXT($R399)+ISTEXT($S399)&gt;0,"⚠ 金额列里有文字，算不进合计",IF(N($G399)&gt;=1,"⚠ 管理费点要填百分比，如 10%",IF(AND($D399&lt;&gt;"",$B399=""),"△ 摘要开头没写日期（如 2026.9.21），月份取不到",IF(AND(N($H399)&lt;&gt;0,COUNTIFS($A$4:$A$1003,$A399,$H$4:$H$1003,$H399,$D$4:$D$1003,LEFT($D399,9)&amp;"*")&gt;1),"△ 同一天同项目有一样的销售金额，看看是不是录重了","✓"))))))))</f>
        <v/>
      </c>
      <c r="W399" s="8" t="str">
        <f aca="false">IF($A399="","",$A399&amp;"#"&amp;COUNTIF($A$4:$A399,$A399))</f>
        <v/>
      </c>
    </row>
    <row r="400" customFormat="false" ht="16.5" hidden="false" customHeight="false" outlineLevel="0" collapsed="false">
      <c r="A400" s="44" t="str">
        <f aca="false">IF($C400="","",IFERROR(VLOOKUP($C400,目录!$B:$C,2,0)&amp;"","⚠目录里没有"))</f>
        <v/>
      </c>
      <c r="B400" s="45" t="str">
        <f aca="false">IF($D400="","",IFERROR(MID($D400,FIND(".",$D400)+1,FIND(".",$D400,FIND(".",$D400)+1)-FIND(".",$D400)-1)&amp;"月",""))</f>
        <v/>
      </c>
      <c r="C400" s="46"/>
      <c r="D400" s="47"/>
      <c r="E400" s="47"/>
      <c r="F400" s="49"/>
      <c r="G400" s="50"/>
      <c r="H400" s="24"/>
      <c r="I400" s="24" t="str">
        <f aca="false">IF($H400="","",N($H400)*N($G400))</f>
        <v/>
      </c>
      <c r="J400" s="25" t="str">
        <f aca="false">IF($H400="","",N($H400)-N($I400))</f>
        <v/>
      </c>
      <c r="K400" s="25"/>
      <c r="L400" s="25" t="str">
        <f aca="false">IF($A400="","",SUMIF($A$4:$A400,$A400,$J$4:$J400)-SUMIF($A$4:$A400,$A400,$K$4:$K400))</f>
        <v/>
      </c>
      <c r="M400" s="26" t="str">
        <f aca="false">IF($H400="","",N($H400))</f>
        <v/>
      </c>
      <c r="N400" s="26"/>
      <c r="O400" s="26"/>
      <c r="P400" s="26" t="str">
        <f aca="false">IF($A400="","",SUMIF($A$4:$A400,$A400,$M$4:$M400)-SUMIF($A$4:$A400,$A400,$N$4:$N400)-SUMIF($A$4:$A400,$A400,$O$4:$O400))</f>
        <v/>
      </c>
      <c r="Q400" s="27"/>
      <c r="R400" s="28"/>
      <c r="S400" s="28"/>
      <c r="T400" s="28" t="str">
        <f aca="false">IF($A400="","",SUMIF($A$4:$A400,$A400,$Q$4:$Q400)-SUMIF($A$4:$A400,$A400,$R$4:$R400)-SUMIF($A$4:$A400,$A400,$S$4:$S400))</f>
        <v/>
      </c>
      <c r="U400" s="28"/>
      <c r="V400" s="29" t="str">
        <f aca="false">IF(AND($C400="",COUNTA($D400:$H400,$K400,$N400:$O400,$Q400:$S400,$U400)=0),"",IF($C400="","⚠ 没填项目名称",IF($A400="⚠目录里没有","⚠ 项目名称在目录里找不到（先加到目录）",IF($A400="","⚠ 目录里这个项目没填简称",IF(ISTEXT($G400)+ISTEXT($H400)+ISTEXT($K400)+ISTEXT($N400)+ISTEXT($O400)+ISTEXT($Q400)+ISTEXT($R400)+ISTEXT($S400)&gt;0,"⚠ 金额列里有文字，算不进合计",IF(N($G400)&gt;=1,"⚠ 管理费点要填百分比，如 10%",IF(AND($D400&lt;&gt;"",$B400=""),"△ 摘要开头没写日期（如 2026.9.21），月份取不到",IF(AND(N($H400)&lt;&gt;0,COUNTIFS($A$4:$A$1003,$A400,$H$4:$H$1003,$H400,$D$4:$D$1003,LEFT($D400,9)&amp;"*")&gt;1),"△ 同一天同项目有一样的销售金额，看看是不是录重了","✓"))))))))</f>
        <v/>
      </c>
      <c r="W400" s="8" t="str">
        <f aca="false">IF($A400="","",$A400&amp;"#"&amp;COUNTIF($A$4:$A400,$A400))</f>
        <v/>
      </c>
    </row>
    <row r="401" customFormat="false" ht="16.5" hidden="false" customHeight="false" outlineLevel="0" collapsed="false">
      <c r="A401" s="44" t="str">
        <f aca="false">IF($C401="","",IFERROR(VLOOKUP($C401,目录!$B:$C,2,0)&amp;"","⚠目录里没有"))</f>
        <v/>
      </c>
      <c r="B401" s="45" t="str">
        <f aca="false">IF($D401="","",IFERROR(MID($D401,FIND(".",$D401)+1,FIND(".",$D401,FIND(".",$D401)+1)-FIND(".",$D401)-1)&amp;"月",""))</f>
        <v/>
      </c>
      <c r="C401" s="46"/>
      <c r="D401" s="47"/>
      <c r="E401" s="47"/>
      <c r="F401" s="49"/>
      <c r="G401" s="50"/>
      <c r="H401" s="24"/>
      <c r="I401" s="24" t="str">
        <f aca="false">IF($H401="","",N($H401)*N($G401))</f>
        <v/>
      </c>
      <c r="J401" s="25" t="str">
        <f aca="false">IF($H401="","",N($H401)-N($I401))</f>
        <v/>
      </c>
      <c r="K401" s="25"/>
      <c r="L401" s="25" t="str">
        <f aca="false">IF($A401="","",SUMIF($A$4:$A401,$A401,$J$4:$J401)-SUMIF($A$4:$A401,$A401,$K$4:$K401))</f>
        <v/>
      </c>
      <c r="M401" s="26" t="str">
        <f aca="false">IF($H401="","",N($H401))</f>
        <v/>
      </c>
      <c r="N401" s="26"/>
      <c r="O401" s="26"/>
      <c r="P401" s="26" t="str">
        <f aca="false">IF($A401="","",SUMIF($A$4:$A401,$A401,$M$4:$M401)-SUMIF($A$4:$A401,$A401,$N$4:$N401)-SUMIF($A$4:$A401,$A401,$O$4:$O401))</f>
        <v/>
      </c>
      <c r="Q401" s="27"/>
      <c r="R401" s="28"/>
      <c r="S401" s="28"/>
      <c r="T401" s="28" t="str">
        <f aca="false">IF($A401="","",SUMIF($A$4:$A401,$A401,$Q$4:$Q401)-SUMIF($A$4:$A401,$A401,$R$4:$R401)-SUMIF($A$4:$A401,$A401,$S$4:$S401))</f>
        <v/>
      </c>
      <c r="U401" s="28"/>
      <c r="V401" s="29" t="str">
        <f aca="false">IF(AND($C401="",COUNTA($D401:$H401,$K401,$N401:$O401,$Q401:$S401,$U401)=0),"",IF($C401="","⚠ 没填项目名称",IF($A401="⚠目录里没有","⚠ 项目名称在目录里找不到（先加到目录）",IF($A401="","⚠ 目录里这个项目没填简称",IF(ISTEXT($G401)+ISTEXT($H401)+ISTEXT($K401)+ISTEXT($N401)+ISTEXT($O401)+ISTEXT($Q401)+ISTEXT($R401)+ISTEXT($S401)&gt;0,"⚠ 金额列里有文字，算不进合计",IF(N($G401)&gt;=1,"⚠ 管理费点要填百分比，如 10%",IF(AND($D401&lt;&gt;"",$B401=""),"△ 摘要开头没写日期（如 2026.9.21），月份取不到",IF(AND(N($H401)&lt;&gt;0,COUNTIFS($A$4:$A$1003,$A401,$H$4:$H$1003,$H401,$D$4:$D$1003,LEFT($D401,9)&amp;"*")&gt;1),"△ 同一天同项目有一样的销售金额，看看是不是录重了","✓"))))))))</f>
        <v/>
      </c>
      <c r="W401" s="8" t="str">
        <f aca="false">IF($A401="","",$A401&amp;"#"&amp;COUNTIF($A$4:$A401,$A401))</f>
        <v/>
      </c>
    </row>
    <row r="402" customFormat="false" ht="16.5" hidden="false" customHeight="false" outlineLevel="0" collapsed="false">
      <c r="A402" s="44" t="str">
        <f aca="false">IF($C402="","",IFERROR(VLOOKUP($C402,目录!$B:$C,2,0)&amp;"","⚠目录里没有"))</f>
        <v/>
      </c>
      <c r="B402" s="45" t="str">
        <f aca="false">IF($D402="","",IFERROR(MID($D402,FIND(".",$D402)+1,FIND(".",$D402,FIND(".",$D402)+1)-FIND(".",$D402)-1)&amp;"月",""))</f>
        <v/>
      </c>
      <c r="C402" s="46"/>
      <c r="D402" s="47"/>
      <c r="E402" s="47"/>
      <c r="F402" s="49"/>
      <c r="G402" s="50"/>
      <c r="H402" s="24"/>
      <c r="I402" s="24" t="str">
        <f aca="false">IF($H402="","",N($H402)*N($G402))</f>
        <v/>
      </c>
      <c r="J402" s="25" t="str">
        <f aca="false">IF($H402="","",N($H402)-N($I402))</f>
        <v/>
      </c>
      <c r="K402" s="25"/>
      <c r="L402" s="25" t="str">
        <f aca="false">IF($A402="","",SUMIF($A$4:$A402,$A402,$J$4:$J402)-SUMIF($A$4:$A402,$A402,$K$4:$K402))</f>
        <v/>
      </c>
      <c r="M402" s="26" t="str">
        <f aca="false">IF($H402="","",N($H402))</f>
        <v/>
      </c>
      <c r="N402" s="26"/>
      <c r="O402" s="26"/>
      <c r="P402" s="26" t="str">
        <f aca="false">IF($A402="","",SUMIF($A$4:$A402,$A402,$M$4:$M402)-SUMIF($A$4:$A402,$A402,$N$4:$N402)-SUMIF($A$4:$A402,$A402,$O$4:$O402))</f>
        <v/>
      </c>
      <c r="Q402" s="27"/>
      <c r="R402" s="28"/>
      <c r="S402" s="28"/>
      <c r="T402" s="28" t="str">
        <f aca="false">IF($A402="","",SUMIF($A$4:$A402,$A402,$Q$4:$Q402)-SUMIF($A$4:$A402,$A402,$R$4:$R402)-SUMIF($A$4:$A402,$A402,$S$4:$S402))</f>
        <v/>
      </c>
      <c r="U402" s="28"/>
      <c r="V402" s="29" t="str">
        <f aca="false">IF(AND($C402="",COUNTA($D402:$H402,$K402,$N402:$O402,$Q402:$S402,$U402)=0),"",IF($C402="","⚠ 没填项目名称",IF($A402="⚠目录里没有","⚠ 项目名称在目录里找不到（先加到目录）",IF($A402="","⚠ 目录里这个项目没填简称",IF(ISTEXT($G402)+ISTEXT($H402)+ISTEXT($K402)+ISTEXT($N402)+ISTEXT($O402)+ISTEXT($Q402)+ISTEXT($R402)+ISTEXT($S402)&gt;0,"⚠ 金额列里有文字，算不进合计",IF(N($G402)&gt;=1,"⚠ 管理费点要填百分比，如 10%",IF(AND($D402&lt;&gt;"",$B402=""),"△ 摘要开头没写日期（如 2026.9.21），月份取不到",IF(AND(N($H402)&lt;&gt;0,COUNTIFS($A$4:$A$1003,$A402,$H$4:$H$1003,$H402,$D$4:$D$1003,LEFT($D402,9)&amp;"*")&gt;1),"△ 同一天同项目有一样的销售金额，看看是不是录重了","✓"))))))))</f>
        <v/>
      </c>
      <c r="W402" s="8" t="str">
        <f aca="false">IF($A402="","",$A402&amp;"#"&amp;COUNTIF($A$4:$A402,$A402))</f>
        <v/>
      </c>
    </row>
    <row r="403" customFormat="false" ht="16.5" hidden="false" customHeight="false" outlineLevel="0" collapsed="false">
      <c r="A403" s="44" t="str">
        <f aca="false">IF($C403="","",IFERROR(VLOOKUP($C403,目录!$B:$C,2,0)&amp;"","⚠目录里没有"))</f>
        <v/>
      </c>
      <c r="B403" s="45" t="str">
        <f aca="false">IF($D403="","",IFERROR(MID($D403,FIND(".",$D403)+1,FIND(".",$D403,FIND(".",$D403)+1)-FIND(".",$D403)-1)&amp;"月",""))</f>
        <v/>
      </c>
      <c r="C403" s="46"/>
      <c r="D403" s="47"/>
      <c r="E403" s="47"/>
      <c r="F403" s="49"/>
      <c r="G403" s="50"/>
      <c r="H403" s="24"/>
      <c r="I403" s="24" t="str">
        <f aca="false">IF($H403="","",N($H403)*N($G403))</f>
        <v/>
      </c>
      <c r="J403" s="25" t="str">
        <f aca="false">IF($H403="","",N($H403)-N($I403))</f>
        <v/>
      </c>
      <c r="K403" s="25"/>
      <c r="L403" s="25" t="str">
        <f aca="false">IF($A403="","",SUMIF($A$4:$A403,$A403,$J$4:$J403)-SUMIF($A$4:$A403,$A403,$K$4:$K403))</f>
        <v/>
      </c>
      <c r="M403" s="26" t="str">
        <f aca="false">IF($H403="","",N($H403))</f>
        <v/>
      </c>
      <c r="N403" s="26"/>
      <c r="O403" s="26"/>
      <c r="P403" s="26" t="str">
        <f aca="false">IF($A403="","",SUMIF($A$4:$A403,$A403,$M$4:$M403)-SUMIF($A$4:$A403,$A403,$N$4:$N403)-SUMIF($A$4:$A403,$A403,$O$4:$O403))</f>
        <v/>
      </c>
      <c r="Q403" s="27"/>
      <c r="R403" s="28"/>
      <c r="S403" s="28"/>
      <c r="T403" s="28" t="str">
        <f aca="false">IF($A403="","",SUMIF($A$4:$A403,$A403,$Q$4:$Q403)-SUMIF($A$4:$A403,$A403,$R$4:$R403)-SUMIF($A$4:$A403,$A403,$S$4:$S403))</f>
        <v/>
      </c>
      <c r="U403" s="28"/>
      <c r="V403" s="29" t="str">
        <f aca="false">IF(AND($C403="",COUNTA($D403:$H403,$K403,$N403:$O403,$Q403:$S403,$U403)=0),"",IF($C403="","⚠ 没填项目名称",IF($A403="⚠目录里没有","⚠ 项目名称在目录里找不到（先加到目录）",IF($A403="","⚠ 目录里这个项目没填简称",IF(ISTEXT($G403)+ISTEXT($H403)+ISTEXT($K403)+ISTEXT($N403)+ISTEXT($O403)+ISTEXT($Q403)+ISTEXT($R403)+ISTEXT($S403)&gt;0,"⚠ 金额列里有文字，算不进合计",IF(N($G403)&gt;=1,"⚠ 管理费点要填百分比，如 10%",IF(AND($D403&lt;&gt;"",$B403=""),"△ 摘要开头没写日期（如 2026.9.21），月份取不到",IF(AND(N($H403)&lt;&gt;0,COUNTIFS($A$4:$A$1003,$A403,$H$4:$H$1003,$H403,$D$4:$D$1003,LEFT($D403,9)&amp;"*")&gt;1),"△ 同一天同项目有一样的销售金额，看看是不是录重了","✓"))))))))</f>
        <v/>
      </c>
      <c r="W403" s="8" t="str">
        <f aca="false">IF($A403="","",$A403&amp;"#"&amp;COUNTIF($A$4:$A403,$A403))</f>
        <v/>
      </c>
    </row>
    <row r="404" customFormat="false" ht="16.5" hidden="false" customHeight="false" outlineLevel="0" collapsed="false">
      <c r="A404" s="44" t="str">
        <f aca="false">IF($C404="","",IFERROR(VLOOKUP($C404,目录!$B:$C,2,0)&amp;"","⚠目录里没有"))</f>
        <v/>
      </c>
      <c r="B404" s="45" t="str">
        <f aca="false">IF($D404="","",IFERROR(MID($D404,FIND(".",$D404)+1,FIND(".",$D404,FIND(".",$D404)+1)-FIND(".",$D404)-1)&amp;"月",""))</f>
        <v/>
      </c>
      <c r="C404" s="46"/>
      <c r="D404" s="47"/>
      <c r="E404" s="47"/>
      <c r="F404" s="49"/>
      <c r="G404" s="50"/>
      <c r="H404" s="24"/>
      <c r="I404" s="24" t="str">
        <f aca="false">IF($H404="","",N($H404)*N($G404))</f>
        <v/>
      </c>
      <c r="J404" s="25" t="str">
        <f aca="false">IF($H404="","",N($H404)-N($I404))</f>
        <v/>
      </c>
      <c r="K404" s="25"/>
      <c r="L404" s="25" t="str">
        <f aca="false">IF($A404="","",SUMIF($A$4:$A404,$A404,$J$4:$J404)-SUMIF($A$4:$A404,$A404,$K$4:$K404))</f>
        <v/>
      </c>
      <c r="M404" s="26" t="str">
        <f aca="false">IF($H404="","",N($H404))</f>
        <v/>
      </c>
      <c r="N404" s="26"/>
      <c r="O404" s="26"/>
      <c r="P404" s="26" t="str">
        <f aca="false">IF($A404="","",SUMIF($A$4:$A404,$A404,$M$4:$M404)-SUMIF($A$4:$A404,$A404,$N$4:$N404)-SUMIF($A$4:$A404,$A404,$O$4:$O404))</f>
        <v/>
      </c>
      <c r="Q404" s="27"/>
      <c r="R404" s="28"/>
      <c r="S404" s="28"/>
      <c r="T404" s="28" t="str">
        <f aca="false">IF($A404="","",SUMIF($A$4:$A404,$A404,$Q$4:$Q404)-SUMIF($A$4:$A404,$A404,$R$4:$R404)-SUMIF($A$4:$A404,$A404,$S$4:$S404))</f>
        <v/>
      </c>
      <c r="U404" s="28"/>
      <c r="V404" s="29" t="str">
        <f aca="false">IF(AND($C404="",COUNTA($D404:$H404,$K404,$N404:$O404,$Q404:$S404,$U404)=0),"",IF($C404="","⚠ 没填项目名称",IF($A404="⚠目录里没有","⚠ 项目名称在目录里找不到（先加到目录）",IF($A404="","⚠ 目录里这个项目没填简称",IF(ISTEXT($G404)+ISTEXT($H404)+ISTEXT($K404)+ISTEXT($N404)+ISTEXT($O404)+ISTEXT($Q404)+ISTEXT($R404)+ISTEXT($S404)&gt;0,"⚠ 金额列里有文字，算不进合计",IF(N($G404)&gt;=1,"⚠ 管理费点要填百分比，如 10%",IF(AND($D404&lt;&gt;"",$B404=""),"△ 摘要开头没写日期（如 2026.9.21），月份取不到",IF(AND(N($H404)&lt;&gt;0,COUNTIFS($A$4:$A$1003,$A404,$H$4:$H$1003,$H404,$D$4:$D$1003,LEFT($D404,9)&amp;"*")&gt;1),"△ 同一天同项目有一样的销售金额，看看是不是录重了","✓"))))))))</f>
        <v/>
      </c>
      <c r="W404" s="8" t="str">
        <f aca="false">IF($A404="","",$A404&amp;"#"&amp;COUNTIF($A$4:$A404,$A404))</f>
        <v/>
      </c>
    </row>
    <row r="405" customFormat="false" ht="16.5" hidden="false" customHeight="false" outlineLevel="0" collapsed="false">
      <c r="A405" s="44" t="str">
        <f aca="false">IF($C405="","",IFERROR(VLOOKUP($C405,目录!$B:$C,2,0)&amp;"","⚠目录里没有"))</f>
        <v/>
      </c>
      <c r="B405" s="45" t="str">
        <f aca="false">IF($D405="","",IFERROR(MID($D405,FIND(".",$D405)+1,FIND(".",$D405,FIND(".",$D405)+1)-FIND(".",$D405)-1)&amp;"月",""))</f>
        <v/>
      </c>
      <c r="C405" s="46"/>
      <c r="D405" s="47"/>
      <c r="E405" s="47"/>
      <c r="F405" s="49"/>
      <c r="G405" s="50"/>
      <c r="H405" s="24"/>
      <c r="I405" s="24" t="str">
        <f aca="false">IF($H405="","",N($H405)*N($G405))</f>
        <v/>
      </c>
      <c r="J405" s="25" t="str">
        <f aca="false">IF($H405="","",N($H405)-N($I405))</f>
        <v/>
      </c>
      <c r="K405" s="25"/>
      <c r="L405" s="25" t="str">
        <f aca="false">IF($A405="","",SUMIF($A$4:$A405,$A405,$J$4:$J405)-SUMIF($A$4:$A405,$A405,$K$4:$K405))</f>
        <v/>
      </c>
      <c r="M405" s="26" t="str">
        <f aca="false">IF($H405="","",N($H405))</f>
        <v/>
      </c>
      <c r="N405" s="26"/>
      <c r="O405" s="26"/>
      <c r="P405" s="26" t="str">
        <f aca="false">IF($A405="","",SUMIF($A$4:$A405,$A405,$M$4:$M405)-SUMIF($A$4:$A405,$A405,$N$4:$N405)-SUMIF($A$4:$A405,$A405,$O$4:$O405))</f>
        <v/>
      </c>
      <c r="Q405" s="27"/>
      <c r="R405" s="28"/>
      <c r="S405" s="28"/>
      <c r="T405" s="28" t="str">
        <f aca="false">IF($A405="","",SUMIF($A$4:$A405,$A405,$Q$4:$Q405)-SUMIF($A$4:$A405,$A405,$R$4:$R405)-SUMIF($A$4:$A405,$A405,$S$4:$S405))</f>
        <v/>
      </c>
      <c r="U405" s="28"/>
      <c r="V405" s="29" t="str">
        <f aca="false">IF(AND($C405="",COUNTA($D405:$H405,$K405,$N405:$O405,$Q405:$S405,$U405)=0),"",IF($C405="","⚠ 没填项目名称",IF($A405="⚠目录里没有","⚠ 项目名称在目录里找不到（先加到目录）",IF($A405="","⚠ 目录里这个项目没填简称",IF(ISTEXT($G405)+ISTEXT($H405)+ISTEXT($K405)+ISTEXT($N405)+ISTEXT($O405)+ISTEXT($Q405)+ISTEXT($R405)+ISTEXT($S405)&gt;0,"⚠ 金额列里有文字，算不进合计",IF(N($G405)&gt;=1,"⚠ 管理费点要填百分比，如 10%",IF(AND($D405&lt;&gt;"",$B405=""),"△ 摘要开头没写日期（如 2026.9.21），月份取不到",IF(AND(N($H405)&lt;&gt;0,COUNTIFS($A$4:$A$1003,$A405,$H$4:$H$1003,$H405,$D$4:$D$1003,LEFT($D405,9)&amp;"*")&gt;1),"△ 同一天同项目有一样的销售金额，看看是不是录重了","✓"))))))))</f>
        <v/>
      </c>
      <c r="W405" s="8" t="str">
        <f aca="false">IF($A405="","",$A405&amp;"#"&amp;COUNTIF($A$4:$A405,$A405))</f>
        <v/>
      </c>
    </row>
    <row r="406" customFormat="false" ht="16.5" hidden="false" customHeight="false" outlineLevel="0" collapsed="false">
      <c r="A406" s="44" t="str">
        <f aca="false">IF($C406="","",IFERROR(VLOOKUP($C406,目录!$B:$C,2,0)&amp;"","⚠目录里没有"))</f>
        <v/>
      </c>
      <c r="B406" s="45" t="str">
        <f aca="false">IF($D406="","",IFERROR(MID($D406,FIND(".",$D406)+1,FIND(".",$D406,FIND(".",$D406)+1)-FIND(".",$D406)-1)&amp;"月",""))</f>
        <v/>
      </c>
      <c r="C406" s="46"/>
      <c r="D406" s="47"/>
      <c r="E406" s="47"/>
      <c r="F406" s="49"/>
      <c r="G406" s="50"/>
      <c r="H406" s="24"/>
      <c r="I406" s="24" t="str">
        <f aca="false">IF($H406="","",N($H406)*N($G406))</f>
        <v/>
      </c>
      <c r="J406" s="25" t="str">
        <f aca="false">IF($H406="","",N($H406)-N($I406))</f>
        <v/>
      </c>
      <c r="K406" s="25"/>
      <c r="L406" s="25" t="str">
        <f aca="false">IF($A406="","",SUMIF($A$4:$A406,$A406,$J$4:$J406)-SUMIF($A$4:$A406,$A406,$K$4:$K406))</f>
        <v/>
      </c>
      <c r="M406" s="26" t="str">
        <f aca="false">IF($H406="","",N($H406))</f>
        <v/>
      </c>
      <c r="N406" s="26"/>
      <c r="O406" s="26"/>
      <c r="P406" s="26" t="str">
        <f aca="false">IF($A406="","",SUMIF($A$4:$A406,$A406,$M$4:$M406)-SUMIF($A$4:$A406,$A406,$N$4:$N406)-SUMIF($A$4:$A406,$A406,$O$4:$O406))</f>
        <v/>
      </c>
      <c r="Q406" s="27"/>
      <c r="R406" s="28"/>
      <c r="S406" s="28"/>
      <c r="T406" s="28" t="str">
        <f aca="false">IF($A406="","",SUMIF($A$4:$A406,$A406,$Q$4:$Q406)-SUMIF($A$4:$A406,$A406,$R$4:$R406)-SUMIF($A$4:$A406,$A406,$S$4:$S406))</f>
        <v/>
      </c>
      <c r="U406" s="28"/>
      <c r="V406" s="29" t="str">
        <f aca="false">IF(AND($C406="",COUNTA($D406:$H406,$K406,$N406:$O406,$Q406:$S406,$U406)=0),"",IF($C406="","⚠ 没填项目名称",IF($A406="⚠目录里没有","⚠ 项目名称在目录里找不到（先加到目录）",IF($A406="","⚠ 目录里这个项目没填简称",IF(ISTEXT($G406)+ISTEXT($H406)+ISTEXT($K406)+ISTEXT($N406)+ISTEXT($O406)+ISTEXT($Q406)+ISTEXT($R406)+ISTEXT($S406)&gt;0,"⚠ 金额列里有文字，算不进合计",IF(N($G406)&gt;=1,"⚠ 管理费点要填百分比，如 10%",IF(AND($D406&lt;&gt;"",$B406=""),"△ 摘要开头没写日期（如 2026.9.21），月份取不到",IF(AND(N($H406)&lt;&gt;0,COUNTIFS($A$4:$A$1003,$A406,$H$4:$H$1003,$H406,$D$4:$D$1003,LEFT($D406,9)&amp;"*")&gt;1),"△ 同一天同项目有一样的销售金额，看看是不是录重了","✓"))))))))</f>
        <v/>
      </c>
      <c r="W406" s="8" t="str">
        <f aca="false">IF($A406="","",$A406&amp;"#"&amp;COUNTIF($A$4:$A406,$A406))</f>
        <v/>
      </c>
    </row>
    <row r="407" customFormat="false" ht="16.5" hidden="false" customHeight="false" outlineLevel="0" collapsed="false">
      <c r="A407" s="44" t="str">
        <f aca="false">IF($C407="","",IFERROR(VLOOKUP($C407,目录!$B:$C,2,0)&amp;"","⚠目录里没有"))</f>
        <v/>
      </c>
      <c r="B407" s="45" t="str">
        <f aca="false">IF($D407="","",IFERROR(MID($D407,FIND(".",$D407)+1,FIND(".",$D407,FIND(".",$D407)+1)-FIND(".",$D407)-1)&amp;"月",""))</f>
        <v/>
      </c>
      <c r="C407" s="46"/>
      <c r="D407" s="47"/>
      <c r="E407" s="47"/>
      <c r="F407" s="49"/>
      <c r="G407" s="50"/>
      <c r="H407" s="24"/>
      <c r="I407" s="24" t="str">
        <f aca="false">IF($H407="","",N($H407)*N($G407))</f>
        <v/>
      </c>
      <c r="J407" s="25" t="str">
        <f aca="false">IF($H407="","",N($H407)-N($I407))</f>
        <v/>
      </c>
      <c r="K407" s="25"/>
      <c r="L407" s="25" t="str">
        <f aca="false">IF($A407="","",SUMIF($A$4:$A407,$A407,$J$4:$J407)-SUMIF($A$4:$A407,$A407,$K$4:$K407))</f>
        <v/>
      </c>
      <c r="M407" s="26" t="str">
        <f aca="false">IF($H407="","",N($H407))</f>
        <v/>
      </c>
      <c r="N407" s="26"/>
      <c r="O407" s="26"/>
      <c r="P407" s="26" t="str">
        <f aca="false">IF($A407="","",SUMIF($A$4:$A407,$A407,$M$4:$M407)-SUMIF($A$4:$A407,$A407,$N$4:$N407)-SUMIF($A$4:$A407,$A407,$O$4:$O407))</f>
        <v/>
      </c>
      <c r="Q407" s="27"/>
      <c r="R407" s="28"/>
      <c r="S407" s="28"/>
      <c r="T407" s="28" t="str">
        <f aca="false">IF($A407="","",SUMIF($A$4:$A407,$A407,$Q$4:$Q407)-SUMIF($A$4:$A407,$A407,$R$4:$R407)-SUMIF($A$4:$A407,$A407,$S$4:$S407))</f>
        <v/>
      </c>
      <c r="U407" s="28"/>
      <c r="V407" s="29" t="str">
        <f aca="false">IF(AND($C407="",COUNTA($D407:$H407,$K407,$N407:$O407,$Q407:$S407,$U407)=0),"",IF($C407="","⚠ 没填项目名称",IF($A407="⚠目录里没有","⚠ 项目名称在目录里找不到（先加到目录）",IF($A407="","⚠ 目录里这个项目没填简称",IF(ISTEXT($G407)+ISTEXT($H407)+ISTEXT($K407)+ISTEXT($N407)+ISTEXT($O407)+ISTEXT($Q407)+ISTEXT($R407)+ISTEXT($S407)&gt;0,"⚠ 金额列里有文字，算不进合计",IF(N($G407)&gt;=1,"⚠ 管理费点要填百分比，如 10%",IF(AND($D407&lt;&gt;"",$B407=""),"△ 摘要开头没写日期（如 2026.9.21），月份取不到",IF(AND(N($H407)&lt;&gt;0,COUNTIFS($A$4:$A$1003,$A407,$H$4:$H$1003,$H407,$D$4:$D$1003,LEFT($D407,9)&amp;"*")&gt;1),"△ 同一天同项目有一样的销售金额，看看是不是录重了","✓"))))))))</f>
        <v/>
      </c>
      <c r="W407" s="8" t="str">
        <f aca="false">IF($A407="","",$A407&amp;"#"&amp;COUNTIF($A$4:$A407,$A407))</f>
        <v/>
      </c>
    </row>
    <row r="408" customFormat="false" ht="16.5" hidden="false" customHeight="false" outlineLevel="0" collapsed="false">
      <c r="A408" s="44" t="str">
        <f aca="false">IF($C408="","",IFERROR(VLOOKUP($C408,目录!$B:$C,2,0)&amp;"","⚠目录里没有"))</f>
        <v/>
      </c>
      <c r="B408" s="45" t="str">
        <f aca="false">IF($D408="","",IFERROR(MID($D408,FIND(".",$D408)+1,FIND(".",$D408,FIND(".",$D408)+1)-FIND(".",$D408)-1)&amp;"月",""))</f>
        <v/>
      </c>
      <c r="C408" s="46"/>
      <c r="D408" s="47"/>
      <c r="E408" s="47"/>
      <c r="F408" s="49"/>
      <c r="G408" s="50"/>
      <c r="H408" s="24"/>
      <c r="I408" s="24" t="str">
        <f aca="false">IF($H408="","",N($H408)*N($G408))</f>
        <v/>
      </c>
      <c r="J408" s="25" t="str">
        <f aca="false">IF($H408="","",N($H408)-N($I408))</f>
        <v/>
      </c>
      <c r="K408" s="25"/>
      <c r="L408" s="25" t="str">
        <f aca="false">IF($A408="","",SUMIF($A$4:$A408,$A408,$J$4:$J408)-SUMIF($A$4:$A408,$A408,$K$4:$K408))</f>
        <v/>
      </c>
      <c r="M408" s="26" t="str">
        <f aca="false">IF($H408="","",N($H408))</f>
        <v/>
      </c>
      <c r="N408" s="26"/>
      <c r="O408" s="26"/>
      <c r="P408" s="26" t="str">
        <f aca="false">IF($A408="","",SUMIF($A$4:$A408,$A408,$M$4:$M408)-SUMIF($A$4:$A408,$A408,$N$4:$N408)-SUMIF($A$4:$A408,$A408,$O$4:$O408))</f>
        <v/>
      </c>
      <c r="Q408" s="27"/>
      <c r="R408" s="28"/>
      <c r="S408" s="28"/>
      <c r="T408" s="28" t="str">
        <f aca="false">IF($A408="","",SUMIF($A$4:$A408,$A408,$Q$4:$Q408)-SUMIF($A$4:$A408,$A408,$R$4:$R408)-SUMIF($A$4:$A408,$A408,$S$4:$S408))</f>
        <v/>
      </c>
      <c r="U408" s="28"/>
      <c r="V408" s="29" t="str">
        <f aca="false">IF(AND($C408="",COUNTA($D408:$H408,$K408,$N408:$O408,$Q408:$S408,$U408)=0),"",IF($C408="","⚠ 没填项目名称",IF($A408="⚠目录里没有","⚠ 项目名称在目录里找不到（先加到目录）",IF($A408="","⚠ 目录里这个项目没填简称",IF(ISTEXT($G408)+ISTEXT($H408)+ISTEXT($K408)+ISTEXT($N408)+ISTEXT($O408)+ISTEXT($Q408)+ISTEXT($R408)+ISTEXT($S408)&gt;0,"⚠ 金额列里有文字，算不进合计",IF(N($G408)&gt;=1,"⚠ 管理费点要填百分比，如 10%",IF(AND($D408&lt;&gt;"",$B408=""),"△ 摘要开头没写日期（如 2026.9.21），月份取不到",IF(AND(N($H408)&lt;&gt;0,COUNTIFS($A$4:$A$1003,$A408,$H$4:$H$1003,$H408,$D$4:$D$1003,LEFT($D408,9)&amp;"*")&gt;1),"△ 同一天同项目有一样的销售金额，看看是不是录重了","✓"))))))))</f>
        <v/>
      </c>
      <c r="W408" s="8" t="str">
        <f aca="false">IF($A408="","",$A408&amp;"#"&amp;COUNTIF($A$4:$A408,$A408))</f>
        <v/>
      </c>
    </row>
    <row r="409" customFormat="false" ht="16.5" hidden="false" customHeight="false" outlineLevel="0" collapsed="false">
      <c r="A409" s="44" t="str">
        <f aca="false">IF($C409="","",IFERROR(VLOOKUP($C409,目录!$B:$C,2,0)&amp;"","⚠目录里没有"))</f>
        <v/>
      </c>
      <c r="B409" s="45" t="str">
        <f aca="false">IF($D409="","",IFERROR(MID($D409,FIND(".",$D409)+1,FIND(".",$D409,FIND(".",$D409)+1)-FIND(".",$D409)-1)&amp;"月",""))</f>
        <v/>
      </c>
      <c r="C409" s="46"/>
      <c r="D409" s="47"/>
      <c r="E409" s="47"/>
      <c r="F409" s="49"/>
      <c r="G409" s="50"/>
      <c r="H409" s="24"/>
      <c r="I409" s="24" t="str">
        <f aca="false">IF($H409="","",N($H409)*N($G409))</f>
        <v/>
      </c>
      <c r="J409" s="25" t="str">
        <f aca="false">IF($H409="","",N($H409)-N($I409))</f>
        <v/>
      </c>
      <c r="K409" s="25"/>
      <c r="L409" s="25" t="str">
        <f aca="false">IF($A409="","",SUMIF($A$4:$A409,$A409,$J$4:$J409)-SUMIF($A$4:$A409,$A409,$K$4:$K409))</f>
        <v/>
      </c>
      <c r="M409" s="26" t="str">
        <f aca="false">IF($H409="","",N($H409))</f>
        <v/>
      </c>
      <c r="N409" s="26"/>
      <c r="O409" s="26"/>
      <c r="P409" s="26" t="str">
        <f aca="false">IF($A409="","",SUMIF($A$4:$A409,$A409,$M$4:$M409)-SUMIF($A$4:$A409,$A409,$N$4:$N409)-SUMIF($A$4:$A409,$A409,$O$4:$O409))</f>
        <v/>
      </c>
      <c r="Q409" s="27"/>
      <c r="R409" s="28"/>
      <c r="S409" s="28"/>
      <c r="T409" s="28" t="str">
        <f aca="false">IF($A409="","",SUMIF($A$4:$A409,$A409,$Q$4:$Q409)-SUMIF($A$4:$A409,$A409,$R$4:$R409)-SUMIF($A$4:$A409,$A409,$S$4:$S409))</f>
        <v/>
      </c>
      <c r="U409" s="28"/>
      <c r="V409" s="29" t="str">
        <f aca="false">IF(AND($C409="",COUNTA($D409:$H409,$K409,$N409:$O409,$Q409:$S409,$U409)=0),"",IF($C409="","⚠ 没填项目名称",IF($A409="⚠目录里没有","⚠ 项目名称在目录里找不到（先加到目录）",IF($A409="","⚠ 目录里这个项目没填简称",IF(ISTEXT($G409)+ISTEXT($H409)+ISTEXT($K409)+ISTEXT($N409)+ISTEXT($O409)+ISTEXT($Q409)+ISTEXT($R409)+ISTEXT($S409)&gt;0,"⚠ 金额列里有文字，算不进合计",IF(N($G409)&gt;=1,"⚠ 管理费点要填百分比，如 10%",IF(AND($D409&lt;&gt;"",$B409=""),"△ 摘要开头没写日期（如 2026.9.21），月份取不到",IF(AND(N($H409)&lt;&gt;0,COUNTIFS($A$4:$A$1003,$A409,$H$4:$H$1003,$H409,$D$4:$D$1003,LEFT($D409,9)&amp;"*")&gt;1),"△ 同一天同项目有一样的销售金额，看看是不是录重了","✓"))))))))</f>
        <v/>
      </c>
      <c r="W409" s="8" t="str">
        <f aca="false">IF($A409="","",$A409&amp;"#"&amp;COUNTIF($A$4:$A409,$A409))</f>
        <v/>
      </c>
    </row>
    <row r="410" customFormat="false" ht="16.5" hidden="false" customHeight="false" outlineLevel="0" collapsed="false">
      <c r="A410" s="44" t="str">
        <f aca="false">IF($C410="","",IFERROR(VLOOKUP($C410,目录!$B:$C,2,0)&amp;"","⚠目录里没有"))</f>
        <v/>
      </c>
      <c r="B410" s="45" t="str">
        <f aca="false">IF($D410="","",IFERROR(MID($D410,FIND(".",$D410)+1,FIND(".",$D410,FIND(".",$D410)+1)-FIND(".",$D410)-1)&amp;"月",""))</f>
        <v/>
      </c>
      <c r="C410" s="46"/>
      <c r="D410" s="47"/>
      <c r="E410" s="47"/>
      <c r="F410" s="49"/>
      <c r="G410" s="50"/>
      <c r="H410" s="24"/>
      <c r="I410" s="24" t="str">
        <f aca="false">IF($H410="","",N($H410)*N($G410))</f>
        <v/>
      </c>
      <c r="J410" s="25" t="str">
        <f aca="false">IF($H410="","",N($H410)-N($I410))</f>
        <v/>
      </c>
      <c r="K410" s="25"/>
      <c r="L410" s="25" t="str">
        <f aca="false">IF($A410="","",SUMIF($A$4:$A410,$A410,$J$4:$J410)-SUMIF($A$4:$A410,$A410,$K$4:$K410))</f>
        <v/>
      </c>
      <c r="M410" s="26" t="str">
        <f aca="false">IF($H410="","",N($H410))</f>
        <v/>
      </c>
      <c r="N410" s="26"/>
      <c r="O410" s="26"/>
      <c r="P410" s="26" t="str">
        <f aca="false">IF($A410="","",SUMIF($A$4:$A410,$A410,$M$4:$M410)-SUMIF($A$4:$A410,$A410,$N$4:$N410)-SUMIF($A$4:$A410,$A410,$O$4:$O410))</f>
        <v/>
      </c>
      <c r="Q410" s="27"/>
      <c r="R410" s="28"/>
      <c r="S410" s="28"/>
      <c r="T410" s="28" t="str">
        <f aca="false">IF($A410="","",SUMIF($A$4:$A410,$A410,$Q$4:$Q410)-SUMIF($A$4:$A410,$A410,$R$4:$R410)-SUMIF($A$4:$A410,$A410,$S$4:$S410))</f>
        <v/>
      </c>
      <c r="U410" s="28"/>
      <c r="V410" s="29" t="str">
        <f aca="false">IF(AND($C410="",COUNTA($D410:$H410,$K410,$N410:$O410,$Q410:$S410,$U410)=0),"",IF($C410="","⚠ 没填项目名称",IF($A410="⚠目录里没有","⚠ 项目名称在目录里找不到（先加到目录）",IF($A410="","⚠ 目录里这个项目没填简称",IF(ISTEXT($G410)+ISTEXT($H410)+ISTEXT($K410)+ISTEXT($N410)+ISTEXT($O410)+ISTEXT($Q410)+ISTEXT($R410)+ISTEXT($S410)&gt;0,"⚠ 金额列里有文字，算不进合计",IF(N($G410)&gt;=1,"⚠ 管理费点要填百分比，如 10%",IF(AND($D410&lt;&gt;"",$B410=""),"△ 摘要开头没写日期（如 2026.9.21），月份取不到",IF(AND(N($H410)&lt;&gt;0,COUNTIFS($A$4:$A$1003,$A410,$H$4:$H$1003,$H410,$D$4:$D$1003,LEFT($D410,9)&amp;"*")&gt;1),"△ 同一天同项目有一样的销售金额，看看是不是录重了","✓"))))))))</f>
        <v/>
      </c>
      <c r="W410" s="8" t="str">
        <f aca="false">IF($A410="","",$A410&amp;"#"&amp;COUNTIF($A$4:$A410,$A410))</f>
        <v/>
      </c>
    </row>
    <row r="411" customFormat="false" ht="16.5" hidden="false" customHeight="false" outlineLevel="0" collapsed="false">
      <c r="A411" s="44" t="str">
        <f aca="false">IF($C411="","",IFERROR(VLOOKUP($C411,目录!$B:$C,2,0)&amp;"","⚠目录里没有"))</f>
        <v/>
      </c>
      <c r="B411" s="45" t="str">
        <f aca="false">IF($D411="","",IFERROR(MID($D411,FIND(".",$D411)+1,FIND(".",$D411,FIND(".",$D411)+1)-FIND(".",$D411)-1)&amp;"月",""))</f>
        <v/>
      </c>
      <c r="C411" s="46"/>
      <c r="D411" s="47"/>
      <c r="E411" s="47"/>
      <c r="F411" s="49"/>
      <c r="G411" s="50"/>
      <c r="H411" s="24"/>
      <c r="I411" s="24" t="str">
        <f aca="false">IF($H411="","",N($H411)*N($G411))</f>
        <v/>
      </c>
      <c r="J411" s="25" t="str">
        <f aca="false">IF($H411="","",N($H411)-N($I411))</f>
        <v/>
      </c>
      <c r="K411" s="25"/>
      <c r="L411" s="25" t="str">
        <f aca="false">IF($A411="","",SUMIF($A$4:$A411,$A411,$J$4:$J411)-SUMIF($A$4:$A411,$A411,$K$4:$K411))</f>
        <v/>
      </c>
      <c r="M411" s="26" t="str">
        <f aca="false">IF($H411="","",N($H411))</f>
        <v/>
      </c>
      <c r="N411" s="26"/>
      <c r="O411" s="26"/>
      <c r="P411" s="26" t="str">
        <f aca="false">IF($A411="","",SUMIF($A$4:$A411,$A411,$M$4:$M411)-SUMIF($A$4:$A411,$A411,$N$4:$N411)-SUMIF($A$4:$A411,$A411,$O$4:$O411))</f>
        <v/>
      </c>
      <c r="Q411" s="27"/>
      <c r="R411" s="28"/>
      <c r="S411" s="28"/>
      <c r="T411" s="28" t="str">
        <f aca="false">IF($A411="","",SUMIF($A$4:$A411,$A411,$Q$4:$Q411)-SUMIF($A$4:$A411,$A411,$R$4:$R411)-SUMIF($A$4:$A411,$A411,$S$4:$S411))</f>
        <v/>
      </c>
      <c r="U411" s="28"/>
      <c r="V411" s="29" t="str">
        <f aca="false">IF(AND($C411="",COUNTA($D411:$H411,$K411,$N411:$O411,$Q411:$S411,$U411)=0),"",IF($C411="","⚠ 没填项目名称",IF($A411="⚠目录里没有","⚠ 项目名称在目录里找不到（先加到目录）",IF($A411="","⚠ 目录里这个项目没填简称",IF(ISTEXT($G411)+ISTEXT($H411)+ISTEXT($K411)+ISTEXT($N411)+ISTEXT($O411)+ISTEXT($Q411)+ISTEXT($R411)+ISTEXT($S411)&gt;0,"⚠ 金额列里有文字，算不进合计",IF(N($G411)&gt;=1,"⚠ 管理费点要填百分比，如 10%",IF(AND($D411&lt;&gt;"",$B411=""),"△ 摘要开头没写日期（如 2026.9.21），月份取不到",IF(AND(N($H411)&lt;&gt;0,COUNTIFS($A$4:$A$1003,$A411,$H$4:$H$1003,$H411,$D$4:$D$1003,LEFT($D411,9)&amp;"*")&gt;1),"△ 同一天同项目有一样的销售金额，看看是不是录重了","✓"))))))))</f>
        <v/>
      </c>
      <c r="W411" s="8" t="str">
        <f aca="false">IF($A411="","",$A411&amp;"#"&amp;COUNTIF($A$4:$A411,$A411))</f>
        <v/>
      </c>
    </row>
    <row r="412" customFormat="false" ht="16.5" hidden="false" customHeight="false" outlineLevel="0" collapsed="false">
      <c r="A412" s="44" t="str">
        <f aca="false">IF($C412="","",IFERROR(VLOOKUP($C412,目录!$B:$C,2,0)&amp;"","⚠目录里没有"))</f>
        <v/>
      </c>
      <c r="B412" s="45" t="str">
        <f aca="false">IF($D412="","",IFERROR(MID($D412,FIND(".",$D412)+1,FIND(".",$D412,FIND(".",$D412)+1)-FIND(".",$D412)-1)&amp;"月",""))</f>
        <v/>
      </c>
      <c r="C412" s="46"/>
      <c r="D412" s="47"/>
      <c r="E412" s="47"/>
      <c r="F412" s="49"/>
      <c r="G412" s="50"/>
      <c r="H412" s="24"/>
      <c r="I412" s="24" t="str">
        <f aca="false">IF($H412="","",N($H412)*N($G412))</f>
        <v/>
      </c>
      <c r="J412" s="25" t="str">
        <f aca="false">IF($H412="","",N($H412)-N($I412))</f>
        <v/>
      </c>
      <c r="K412" s="25"/>
      <c r="L412" s="25" t="str">
        <f aca="false">IF($A412="","",SUMIF($A$4:$A412,$A412,$J$4:$J412)-SUMIF($A$4:$A412,$A412,$K$4:$K412))</f>
        <v/>
      </c>
      <c r="M412" s="26" t="str">
        <f aca="false">IF($H412="","",N($H412))</f>
        <v/>
      </c>
      <c r="N412" s="26"/>
      <c r="O412" s="26"/>
      <c r="P412" s="26" t="str">
        <f aca="false">IF($A412="","",SUMIF($A$4:$A412,$A412,$M$4:$M412)-SUMIF($A$4:$A412,$A412,$N$4:$N412)-SUMIF($A$4:$A412,$A412,$O$4:$O412))</f>
        <v/>
      </c>
      <c r="Q412" s="27"/>
      <c r="R412" s="28"/>
      <c r="S412" s="28"/>
      <c r="T412" s="28" t="str">
        <f aca="false">IF($A412="","",SUMIF($A$4:$A412,$A412,$Q$4:$Q412)-SUMIF($A$4:$A412,$A412,$R$4:$R412)-SUMIF($A$4:$A412,$A412,$S$4:$S412))</f>
        <v/>
      </c>
      <c r="U412" s="28"/>
      <c r="V412" s="29" t="str">
        <f aca="false">IF(AND($C412="",COUNTA($D412:$H412,$K412,$N412:$O412,$Q412:$S412,$U412)=0),"",IF($C412="","⚠ 没填项目名称",IF($A412="⚠目录里没有","⚠ 项目名称在目录里找不到（先加到目录）",IF($A412="","⚠ 目录里这个项目没填简称",IF(ISTEXT($G412)+ISTEXT($H412)+ISTEXT($K412)+ISTEXT($N412)+ISTEXT($O412)+ISTEXT($Q412)+ISTEXT($R412)+ISTEXT($S412)&gt;0,"⚠ 金额列里有文字，算不进合计",IF(N($G412)&gt;=1,"⚠ 管理费点要填百分比，如 10%",IF(AND($D412&lt;&gt;"",$B412=""),"△ 摘要开头没写日期（如 2026.9.21），月份取不到",IF(AND(N($H412)&lt;&gt;0,COUNTIFS($A$4:$A$1003,$A412,$H$4:$H$1003,$H412,$D$4:$D$1003,LEFT($D412,9)&amp;"*")&gt;1),"△ 同一天同项目有一样的销售金额，看看是不是录重了","✓"))))))))</f>
        <v/>
      </c>
      <c r="W412" s="8" t="str">
        <f aca="false">IF($A412="","",$A412&amp;"#"&amp;COUNTIF($A$4:$A412,$A412))</f>
        <v/>
      </c>
    </row>
    <row r="413" customFormat="false" ht="16.5" hidden="false" customHeight="false" outlineLevel="0" collapsed="false">
      <c r="A413" s="44" t="str">
        <f aca="false">IF($C413="","",IFERROR(VLOOKUP($C413,目录!$B:$C,2,0)&amp;"","⚠目录里没有"))</f>
        <v/>
      </c>
      <c r="B413" s="45" t="str">
        <f aca="false">IF($D413="","",IFERROR(MID($D413,FIND(".",$D413)+1,FIND(".",$D413,FIND(".",$D413)+1)-FIND(".",$D413)-1)&amp;"月",""))</f>
        <v/>
      </c>
      <c r="C413" s="46"/>
      <c r="D413" s="47"/>
      <c r="E413" s="47"/>
      <c r="F413" s="49"/>
      <c r="G413" s="50"/>
      <c r="H413" s="24"/>
      <c r="I413" s="24" t="str">
        <f aca="false">IF($H413="","",N($H413)*N($G413))</f>
        <v/>
      </c>
      <c r="J413" s="25" t="str">
        <f aca="false">IF($H413="","",N($H413)-N($I413))</f>
        <v/>
      </c>
      <c r="K413" s="25"/>
      <c r="L413" s="25" t="str">
        <f aca="false">IF($A413="","",SUMIF($A$4:$A413,$A413,$J$4:$J413)-SUMIF($A$4:$A413,$A413,$K$4:$K413))</f>
        <v/>
      </c>
      <c r="M413" s="26" t="str">
        <f aca="false">IF($H413="","",N($H413))</f>
        <v/>
      </c>
      <c r="N413" s="26"/>
      <c r="O413" s="26"/>
      <c r="P413" s="26" t="str">
        <f aca="false">IF($A413="","",SUMIF($A$4:$A413,$A413,$M$4:$M413)-SUMIF($A$4:$A413,$A413,$N$4:$N413)-SUMIF($A$4:$A413,$A413,$O$4:$O413))</f>
        <v/>
      </c>
      <c r="Q413" s="27"/>
      <c r="R413" s="28"/>
      <c r="S413" s="28"/>
      <c r="T413" s="28" t="str">
        <f aca="false">IF($A413="","",SUMIF($A$4:$A413,$A413,$Q$4:$Q413)-SUMIF($A$4:$A413,$A413,$R$4:$R413)-SUMIF($A$4:$A413,$A413,$S$4:$S413))</f>
        <v/>
      </c>
      <c r="U413" s="28"/>
      <c r="V413" s="29" t="str">
        <f aca="false">IF(AND($C413="",COUNTA($D413:$H413,$K413,$N413:$O413,$Q413:$S413,$U413)=0),"",IF($C413="","⚠ 没填项目名称",IF($A413="⚠目录里没有","⚠ 项目名称在目录里找不到（先加到目录）",IF($A413="","⚠ 目录里这个项目没填简称",IF(ISTEXT($G413)+ISTEXT($H413)+ISTEXT($K413)+ISTEXT($N413)+ISTEXT($O413)+ISTEXT($Q413)+ISTEXT($R413)+ISTEXT($S413)&gt;0,"⚠ 金额列里有文字，算不进合计",IF(N($G413)&gt;=1,"⚠ 管理费点要填百分比，如 10%",IF(AND($D413&lt;&gt;"",$B413=""),"△ 摘要开头没写日期（如 2026.9.21），月份取不到",IF(AND(N($H413)&lt;&gt;0,COUNTIFS($A$4:$A$1003,$A413,$H$4:$H$1003,$H413,$D$4:$D$1003,LEFT($D413,9)&amp;"*")&gt;1),"△ 同一天同项目有一样的销售金额，看看是不是录重了","✓"))))))))</f>
        <v/>
      </c>
      <c r="W413" s="8" t="str">
        <f aca="false">IF($A413="","",$A413&amp;"#"&amp;COUNTIF($A$4:$A413,$A413))</f>
        <v/>
      </c>
    </row>
    <row r="414" customFormat="false" ht="16.5" hidden="false" customHeight="false" outlineLevel="0" collapsed="false">
      <c r="A414" s="44" t="str">
        <f aca="false">IF($C414="","",IFERROR(VLOOKUP($C414,目录!$B:$C,2,0)&amp;"","⚠目录里没有"))</f>
        <v/>
      </c>
      <c r="B414" s="45" t="str">
        <f aca="false">IF($D414="","",IFERROR(MID($D414,FIND(".",$D414)+1,FIND(".",$D414,FIND(".",$D414)+1)-FIND(".",$D414)-1)&amp;"月",""))</f>
        <v/>
      </c>
      <c r="C414" s="46"/>
      <c r="D414" s="47"/>
      <c r="E414" s="47"/>
      <c r="F414" s="49"/>
      <c r="G414" s="50"/>
      <c r="H414" s="24"/>
      <c r="I414" s="24" t="str">
        <f aca="false">IF($H414="","",N($H414)*N($G414))</f>
        <v/>
      </c>
      <c r="J414" s="25" t="str">
        <f aca="false">IF($H414="","",N($H414)-N($I414))</f>
        <v/>
      </c>
      <c r="K414" s="25"/>
      <c r="L414" s="25" t="str">
        <f aca="false">IF($A414="","",SUMIF($A$4:$A414,$A414,$J$4:$J414)-SUMIF($A$4:$A414,$A414,$K$4:$K414))</f>
        <v/>
      </c>
      <c r="M414" s="26" t="str">
        <f aca="false">IF($H414="","",N($H414))</f>
        <v/>
      </c>
      <c r="N414" s="26"/>
      <c r="O414" s="26"/>
      <c r="P414" s="26" t="str">
        <f aca="false">IF($A414="","",SUMIF($A$4:$A414,$A414,$M$4:$M414)-SUMIF($A$4:$A414,$A414,$N$4:$N414)-SUMIF($A$4:$A414,$A414,$O$4:$O414))</f>
        <v/>
      </c>
      <c r="Q414" s="27"/>
      <c r="R414" s="28"/>
      <c r="S414" s="28"/>
      <c r="T414" s="28" t="str">
        <f aca="false">IF($A414="","",SUMIF($A$4:$A414,$A414,$Q$4:$Q414)-SUMIF($A$4:$A414,$A414,$R$4:$R414)-SUMIF($A$4:$A414,$A414,$S$4:$S414))</f>
        <v/>
      </c>
      <c r="U414" s="28"/>
      <c r="V414" s="29" t="str">
        <f aca="false">IF(AND($C414="",COUNTA($D414:$H414,$K414,$N414:$O414,$Q414:$S414,$U414)=0),"",IF($C414="","⚠ 没填项目名称",IF($A414="⚠目录里没有","⚠ 项目名称在目录里找不到（先加到目录）",IF($A414="","⚠ 目录里这个项目没填简称",IF(ISTEXT($G414)+ISTEXT($H414)+ISTEXT($K414)+ISTEXT($N414)+ISTEXT($O414)+ISTEXT($Q414)+ISTEXT($R414)+ISTEXT($S414)&gt;0,"⚠ 金额列里有文字，算不进合计",IF(N($G414)&gt;=1,"⚠ 管理费点要填百分比，如 10%",IF(AND($D414&lt;&gt;"",$B414=""),"△ 摘要开头没写日期（如 2026.9.21），月份取不到",IF(AND(N($H414)&lt;&gt;0,COUNTIFS($A$4:$A$1003,$A414,$H$4:$H$1003,$H414,$D$4:$D$1003,LEFT($D414,9)&amp;"*")&gt;1),"△ 同一天同项目有一样的销售金额，看看是不是录重了","✓"))))))))</f>
        <v/>
      </c>
      <c r="W414" s="8" t="str">
        <f aca="false">IF($A414="","",$A414&amp;"#"&amp;COUNTIF($A$4:$A414,$A414))</f>
        <v/>
      </c>
    </row>
    <row r="415" customFormat="false" ht="16.5" hidden="false" customHeight="false" outlineLevel="0" collapsed="false">
      <c r="A415" s="44" t="str">
        <f aca="false">IF($C415="","",IFERROR(VLOOKUP($C415,目录!$B:$C,2,0)&amp;"","⚠目录里没有"))</f>
        <v/>
      </c>
      <c r="B415" s="45" t="str">
        <f aca="false">IF($D415="","",IFERROR(MID($D415,FIND(".",$D415)+1,FIND(".",$D415,FIND(".",$D415)+1)-FIND(".",$D415)-1)&amp;"月",""))</f>
        <v/>
      </c>
      <c r="C415" s="46"/>
      <c r="D415" s="47"/>
      <c r="E415" s="47"/>
      <c r="F415" s="49"/>
      <c r="G415" s="50"/>
      <c r="H415" s="24"/>
      <c r="I415" s="24" t="str">
        <f aca="false">IF($H415="","",N($H415)*N($G415))</f>
        <v/>
      </c>
      <c r="J415" s="25" t="str">
        <f aca="false">IF($H415="","",N($H415)-N($I415))</f>
        <v/>
      </c>
      <c r="K415" s="25"/>
      <c r="L415" s="25" t="str">
        <f aca="false">IF($A415="","",SUMIF($A$4:$A415,$A415,$J$4:$J415)-SUMIF($A$4:$A415,$A415,$K$4:$K415))</f>
        <v/>
      </c>
      <c r="M415" s="26" t="str">
        <f aca="false">IF($H415="","",N($H415))</f>
        <v/>
      </c>
      <c r="N415" s="26"/>
      <c r="O415" s="26"/>
      <c r="P415" s="26" t="str">
        <f aca="false">IF($A415="","",SUMIF($A$4:$A415,$A415,$M$4:$M415)-SUMIF($A$4:$A415,$A415,$N$4:$N415)-SUMIF($A$4:$A415,$A415,$O$4:$O415))</f>
        <v/>
      </c>
      <c r="Q415" s="27"/>
      <c r="R415" s="28"/>
      <c r="S415" s="28"/>
      <c r="T415" s="28" t="str">
        <f aca="false">IF($A415="","",SUMIF($A$4:$A415,$A415,$Q$4:$Q415)-SUMIF($A$4:$A415,$A415,$R$4:$R415)-SUMIF($A$4:$A415,$A415,$S$4:$S415))</f>
        <v/>
      </c>
      <c r="U415" s="28"/>
      <c r="V415" s="29" t="str">
        <f aca="false">IF(AND($C415="",COUNTA($D415:$H415,$K415,$N415:$O415,$Q415:$S415,$U415)=0),"",IF($C415="","⚠ 没填项目名称",IF($A415="⚠目录里没有","⚠ 项目名称在目录里找不到（先加到目录）",IF($A415="","⚠ 目录里这个项目没填简称",IF(ISTEXT($G415)+ISTEXT($H415)+ISTEXT($K415)+ISTEXT($N415)+ISTEXT($O415)+ISTEXT($Q415)+ISTEXT($R415)+ISTEXT($S415)&gt;0,"⚠ 金额列里有文字，算不进合计",IF(N($G415)&gt;=1,"⚠ 管理费点要填百分比，如 10%",IF(AND($D415&lt;&gt;"",$B415=""),"△ 摘要开头没写日期（如 2026.9.21），月份取不到",IF(AND(N($H415)&lt;&gt;0,COUNTIFS($A$4:$A$1003,$A415,$H$4:$H$1003,$H415,$D$4:$D$1003,LEFT($D415,9)&amp;"*")&gt;1),"△ 同一天同项目有一样的销售金额，看看是不是录重了","✓"))))))))</f>
        <v/>
      </c>
      <c r="W415" s="8" t="str">
        <f aca="false">IF($A415="","",$A415&amp;"#"&amp;COUNTIF($A$4:$A415,$A415))</f>
        <v/>
      </c>
    </row>
    <row r="416" customFormat="false" ht="16.5" hidden="false" customHeight="false" outlineLevel="0" collapsed="false">
      <c r="A416" s="44" t="str">
        <f aca="false">IF($C416="","",IFERROR(VLOOKUP($C416,目录!$B:$C,2,0)&amp;"","⚠目录里没有"))</f>
        <v/>
      </c>
      <c r="B416" s="45" t="str">
        <f aca="false">IF($D416="","",IFERROR(MID($D416,FIND(".",$D416)+1,FIND(".",$D416,FIND(".",$D416)+1)-FIND(".",$D416)-1)&amp;"月",""))</f>
        <v/>
      </c>
      <c r="C416" s="46"/>
      <c r="D416" s="47"/>
      <c r="E416" s="47"/>
      <c r="F416" s="49"/>
      <c r="G416" s="50"/>
      <c r="H416" s="24"/>
      <c r="I416" s="24" t="str">
        <f aca="false">IF($H416="","",N($H416)*N($G416))</f>
        <v/>
      </c>
      <c r="J416" s="25" t="str">
        <f aca="false">IF($H416="","",N($H416)-N($I416))</f>
        <v/>
      </c>
      <c r="K416" s="25"/>
      <c r="L416" s="25" t="str">
        <f aca="false">IF($A416="","",SUMIF($A$4:$A416,$A416,$J$4:$J416)-SUMIF($A$4:$A416,$A416,$K$4:$K416))</f>
        <v/>
      </c>
      <c r="M416" s="26" t="str">
        <f aca="false">IF($H416="","",N($H416))</f>
        <v/>
      </c>
      <c r="N416" s="26"/>
      <c r="O416" s="26"/>
      <c r="P416" s="26" t="str">
        <f aca="false">IF($A416="","",SUMIF($A$4:$A416,$A416,$M$4:$M416)-SUMIF($A$4:$A416,$A416,$N$4:$N416)-SUMIF($A$4:$A416,$A416,$O$4:$O416))</f>
        <v/>
      </c>
      <c r="Q416" s="27"/>
      <c r="R416" s="28"/>
      <c r="S416" s="28"/>
      <c r="T416" s="28" t="str">
        <f aca="false">IF($A416="","",SUMIF($A$4:$A416,$A416,$Q$4:$Q416)-SUMIF($A$4:$A416,$A416,$R$4:$R416)-SUMIF($A$4:$A416,$A416,$S$4:$S416))</f>
        <v/>
      </c>
      <c r="U416" s="28"/>
      <c r="V416" s="29" t="str">
        <f aca="false">IF(AND($C416="",COUNTA($D416:$H416,$K416,$N416:$O416,$Q416:$S416,$U416)=0),"",IF($C416="","⚠ 没填项目名称",IF($A416="⚠目录里没有","⚠ 项目名称在目录里找不到（先加到目录）",IF($A416="","⚠ 目录里这个项目没填简称",IF(ISTEXT($G416)+ISTEXT($H416)+ISTEXT($K416)+ISTEXT($N416)+ISTEXT($O416)+ISTEXT($Q416)+ISTEXT($R416)+ISTEXT($S416)&gt;0,"⚠ 金额列里有文字，算不进合计",IF(N($G416)&gt;=1,"⚠ 管理费点要填百分比，如 10%",IF(AND($D416&lt;&gt;"",$B416=""),"△ 摘要开头没写日期（如 2026.9.21），月份取不到",IF(AND(N($H416)&lt;&gt;0,COUNTIFS($A$4:$A$1003,$A416,$H$4:$H$1003,$H416,$D$4:$D$1003,LEFT($D416,9)&amp;"*")&gt;1),"△ 同一天同项目有一样的销售金额，看看是不是录重了","✓"))))))))</f>
        <v/>
      </c>
      <c r="W416" s="8" t="str">
        <f aca="false">IF($A416="","",$A416&amp;"#"&amp;COUNTIF($A$4:$A416,$A416))</f>
        <v/>
      </c>
    </row>
    <row r="417" customFormat="false" ht="16.5" hidden="false" customHeight="false" outlineLevel="0" collapsed="false">
      <c r="A417" s="44" t="str">
        <f aca="false">IF($C417="","",IFERROR(VLOOKUP($C417,目录!$B:$C,2,0)&amp;"","⚠目录里没有"))</f>
        <v/>
      </c>
      <c r="B417" s="45" t="str">
        <f aca="false">IF($D417="","",IFERROR(MID($D417,FIND(".",$D417)+1,FIND(".",$D417,FIND(".",$D417)+1)-FIND(".",$D417)-1)&amp;"月",""))</f>
        <v/>
      </c>
      <c r="C417" s="46"/>
      <c r="D417" s="47"/>
      <c r="E417" s="47"/>
      <c r="F417" s="49"/>
      <c r="G417" s="50"/>
      <c r="H417" s="24"/>
      <c r="I417" s="24" t="str">
        <f aca="false">IF($H417="","",N($H417)*N($G417))</f>
        <v/>
      </c>
      <c r="J417" s="25" t="str">
        <f aca="false">IF($H417="","",N($H417)-N($I417))</f>
        <v/>
      </c>
      <c r="K417" s="25"/>
      <c r="L417" s="25" t="str">
        <f aca="false">IF($A417="","",SUMIF($A$4:$A417,$A417,$J$4:$J417)-SUMIF($A$4:$A417,$A417,$K$4:$K417))</f>
        <v/>
      </c>
      <c r="M417" s="26" t="str">
        <f aca="false">IF($H417="","",N($H417))</f>
        <v/>
      </c>
      <c r="N417" s="26"/>
      <c r="O417" s="26"/>
      <c r="P417" s="26" t="str">
        <f aca="false">IF($A417="","",SUMIF($A$4:$A417,$A417,$M$4:$M417)-SUMIF($A$4:$A417,$A417,$N$4:$N417)-SUMIF($A$4:$A417,$A417,$O$4:$O417))</f>
        <v/>
      </c>
      <c r="Q417" s="27"/>
      <c r="R417" s="28"/>
      <c r="S417" s="28"/>
      <c r="T417" s="28" t="str">
        <f aca="false">IF($A417="","",SUMIF($A$4:$A417,$A417,$Q$4:$Q417)-SUMIF($A$4:$A417,$A417,$R$4:$R417)-SUMIF($A$4:$A417,$A417,$S$4:$S417))</f>
        <v/>
      </c>
      <c r="U417" s="28"/>
      <c r="V417" s="29" t="str">
        <f aca="false">IF(AND($C417="",COUNTA($D417:$H417,$K417,$N417:$O417,$Q417:$S417,$U417)=0),"",IF($C417="","⚠ 没填项目名称",IF($A417="⚠目录里没有","⚠ 项目名称在目录里找不到（先加到目录）",IF($A417="","⚠ 目录里这个项目没填简称",IF(ISTEXT($G417)+ISTEXT($H417)+ISTEXT($K417)+ISTEXT($N417)+ISTEXT($O417)+ISTEXT($Q417)+ISTEXT($R417)+ISTEXT($S417)&gt;0,"⚠ 金额列里有文字，算不进合计",IF(N($G417)&gt;=1,"⚠ 管理费点要填百分比，如 10%",IF(AND($D417&lt;&gt;"",$B417=""),"△ 摘要开头没写日期（如 2026.9.21），月份取不到",IF(AND(N($H417)&lt;&gt;0,COUNTIFS($A$4:$A$1003,$A417,$H$4:$H$1003,$H417,$D$4:$D$1003,LEFT($D417,9)&amp;"*")&gt;1),"△ 同一天同项目有一样的销售金额，看看是不是录重了","✓"))))))))</f>
        <v/>
      </c>
      <c r="W417" s="8" t="str">
        <f aca="false">IF($A417="","",$A417&amp;"#"&amp;COUNTIF($A$4:$A417,$A417))</f>
        <v/>
      </c>
    </row>
    <row r="418" customFormat="false" ht="16.5" hidden="false" customHeight="false" outlineLevel="0" collapsed="false">
      <c r="A418" s="44" t="str">
        <f aca="false">IF($C418="","",IFERROR(VLOOKUP($C418,目录!$B:$C,2,0)&amp;"","⚠目录里没有"))</f>
        <v/>
      </c>
      <c r="B418" s="45" t="str">
        <f aca="false">IF($D418="","",IFERROR(MID($D418,FIND(".",$D418)+1,FIND(".",$D418,FIND(".",$D418)+1)-FIND(".",$D418)-1)&amp;"月",""))</f>
        <v/>
      </c>
      <c r="C418" s="46"/>
      <c r="D418" s="47"/>
      <c r="E418" s="47"/>
      <c r="F418" s="49"/>
      <c r="G418" s="50"/>
      <c r="H418" s="24"/>
      <c r="I418" s="24" t="str">
        <f aca="false">IF($H418="","",N($H418)*N($G418))</f>
        <v/>
      </c>
      <c r="J418" s="25" t="str">
        <f aca="false">IF($H418="","",N($H418)-N($I418))</f>
        <v/>
      </c>
      <c r="K418" s="25"/>
      <c r="L418" s="25" t="str">
        <f aca="false">IF($A418="","",SUMIF($A$4:$A418,$A418,$J$4:$J418)-SUMIF($A$4:$A418,$A418,$K$4:$K418))</f>
        <v/>
      </c>
      <c r="M418" s="26" t="str">
        <f aca="false">IF($H418="","",N($H418))</f>
        <v/>
      </c>
      <c r="N418" s="26"/>
      <c r="O418" s="26"/>
      <c r="P418" s="26" t="str">
        <f aca="false">IF($A418="","",SUMIF($A$4:$A418,$A418,$M$4:$M418)-SUMIF($A$4:$A418,$A418,$N$4:$N418)-SUMIF($A$4:$A418,$A418,$O$4:$O418))</f>
        <v/>
      </c>
      <c r="Q418" s="27"/>
      <c r="R418" s="28"/>
      <c r="S418" s="28"/>
      <c r="T418" s="28" t="str">
        <f aca="false">IF($A418="","",SUMIF($A$4:$A418,$A418,$Q$4:$Q418)-SUMIF($A$4:$A418,$A418,$R$4:$R418)-SUMIF($A$4:$A418,$A418,$S$4:$S418))</f>
        <v/>
      </c>
      <c r="U418" s="28"/>
      <c r="V418" s="29" t="str">
        <f aca="false">IF(AND($C418="",COUNTA($D418:$H418,$K418,$N418:$O418,$Q418:$S418,$U418)=0),"",IF($C418="","⚠ 没填项目名称",IF($A418="⚠目录里没有","⚠ 项目名称在目录里找不到（先加到目录）",IF($A418="","⚠ 目录里这个项目没填简称",IF(ISTEXT($G418)+ISTEXT($H418)+ISTEXT($K418)+ISTEXT($N418)+ISTEXT($O418)+ISTEXT($Q418)+ISTEXT($R418)+ISTEXT($S418)&gt;0,"⚠ 金额列里有文字，算不进合计",IF(N($G418)&gt;=1,"⚠ 管理费点要填百分比，如 10%",IF(AND($D418&lt;&gt;"",$B418=""),"△ 摘要开头没写日期（如 2026.9.21），月份取不到",IF(AND(N($H418)&lt;&gt;0,COUNTIFS($A$4:$A$1003,$A418,$H$4:$H$1003,$H418,$D$4:$D$1003,LEFT($D418,9)&amp;"*")&gt;1),"△ 同一天同项目有一样的销售金额，看看是不是录重了","✓"))))))))</f>
        <v/>
      </c>
      <c r="W418" s="8" t="str">
        <f aca="false">IF($A418="","",$A418&amp;"#"&amp;COUNTIF($A$4:$A418,$A418))</f>
        <v/>
      </c>
    </row>
    <row r="419" customFormat="false" ht="16.5" hidden="false" customHeight="false" outlineLevel="0" collapsed="false">
      <c r="A419" s="44" t="str">
        <f aca="false">IF($C419="","",IFERROR(VLOOKUP($C419,目录!$B:$C,2,0)&amp;"","⚠目录里没有"))</f>
        <v/>
      </c>
      <c r="B419" s="45" t="str">
        <f aca="false">IF($D419="","",IFERROR(MID($D419,FIND(".",$D419)+1,FIND(".",$D419,FIND(".",$D419)+1)-FIND(".",$D419)-1)&amp;"月",""))</f>
        <v/>
      </c>
      <c r="C419" s="46"/>
      <c r="D419" s="47"/>
      <c r="E419" s="47"/>
      <c r="F419" s="49"/>
      <c r="G419" s="50"/>
      <c r="H419" s="24"/>
      <c r="I419" s="24" t="str">
        <f aca="false">IF($H419="","",N($H419)*N($G419))</f>
        <v/>
      </c>
      <c r="J419" s="25" t="str">
        <f aca="false">IF($H419="","",N($H419)-N($I419))</f>
        <v/>
      </c>
      <c r="K419" s="25"/>
      <c r="L419" s="25" t="str">
        <f aca="false">IF($A419="","",SUMIF($A$4:$A419,$A419,$J$4:$J419)-SUMIF($A$4:$A419,$A419,$K$4:$K419))</f>
        <v/>
      </c>
      <c r="M419" s="26" t="str">
        <f aca="false">IF($H419="","",N($H419))</f>
        <v/>
      </c>
      <c r="N419" s="26"/>
      <c r="O419" s="26"/>
      <c r="P419" s="26" t="str">
        <f aca="false">IF($A419="","",SUMIF($A$4:$A419,$A419,$M$4:$M419)-SUMIF($A$4:$A419,$A419,$N$4:$N419)-SUMIF($A$4:$A419,$A419,$O$4:$O419))</f>
        <v/>
      </c>
      <c r="Q419" s="27"/>
      <c r="R419" s="28"/>
      <c r="S419" s="28"/>
      <c r="T419" s="28" t="str">
        <f aca="false">IF($A419="","",SUMIF($A$4:$A419,$A419,$Q$4:$Q419)-SUMIF($A$4:$A419,$A419,$R$4:$R419)-SUMIF($A$4:$A419,$A419,$S$4:$S419))</f>
        <v/>
      </c>
      <c r="U419" s="28"/>
      <c r="V419" s="29" t="str">
        <f aca="false">IF(AND($C419="",COUNTA($D419:$H419,$K419,$N419:$O419,$Q419:$S419,$U419)=0),"",IF($C419="","⚠ 没填项目名称",IF($A419="⚠目录里没有","⚠ 项目名称在目录里找不到（先加到目录）",IF($A419="","⚠ 目录里这个项目没填简称",IF(ISTEXT($G419)+ISTEXT($H419)+ISTEXT($K419)+ISTEXT($N419)+ISTEXT($O419)+ISTEXT($Q419)+ISTEXT($R419)+ISTEXT($S419)&gt;0,"⚠ 金额列里有文字，算不进合计",IF(N($G419)&gt;=1,"⚠ 管理费点要填百分比，如 10%",IF(AND($D419&lt;&gt;"",$B419=""),"△ 摘要开头没写日期（如 2026.9.21），月份取不到",IF(AND(N($H419)&lt;&gt;0,COUNTIFS($A$4:$A$1003,$A419,$H$4:$H$1003,$H419,$D$4:$D$1003,LEFT($D419,9)&amp;"*")&gt;1),"△ 同一天同项目有一样的销售金额，看看是不是录重了","✓"))))))))</f>
        <v/>
      </c>
      <c r="W419" s="8" t="str">
        <f aca="false">IF($A419="","",$A419&amp;"#"&amp;COUNTIF($A$4:$A419,$A419))</f>
        <v/>
      </c>
    </row>
    <row r="420" customFormat="false" ht="16.5" hidden="false" customHeight="false" outlineLevel="0" collapsed="false">
      <c r="A420" s="44" t="str">
        <f aca="false">IF($C420="","",IFERROR(VLOOKUP($C420,目录!$B:$C,2,0)&amp;"","⚠目录里没有"))</f>
        <v/>
      </c>
      <c r="B420" s="45" t="str">
        <f aca="false">IF($D420="","",IFERROR(MID($D420,FIND(".",$D420)+1,FIND(".",$D420,FIND(".",$D420)+1)-FIND(".",$D420)-1)&amp;"月",""))</f>
        <v/>
      </c>
      <c r="C420" s="46"/>
      <c r="D420" s="47"/>
      <c r="E420" s="47"/>
      <c r="F420" s="49"/>
      <c r="G420" s="50"/>
      <c r="H420" s="24"/>
      <c r="I420" s="24" t="str">
        <f aca="false">IF($H420="","",N($H420)*N($G420))</f>
        <v/>
      </c>
      <c r="J420" s="25" t="str">
        <f aca="false">IF($H420="","",N($H420)-N($I420))</f>
        <v/>
      </c>
      <c r="K420" s="25"/>
      <c r="L420" s="25" t="str">
        <f aca="false">IF($A420="","",SUMIF($A$4:$A420,$A420,$J$4:$J420)-SUMIF($A$4:$A420,$A420,$K$4:$K420))</f>
        <v/>
      </c>
      <c r="M420" s="26" t="str">
        <f aca="false">IF($H420="","",N($H420))</f>
        <v/>
      </c>
      <c r="N420" s="26"/>
      <c r="O420" s="26"/>
      <c r="P420" s="26" t="str">
        <f aca="false">IF($A420="","",SUMIF($A$4:$A420,$A420,$M$4:$M420)-SUMIF($A$4:$A420,$A420,$N$4:$N420)-SUMIF($A$4:$A420,$A420,$O$4:$O420))</f>
        <v/>
      </c>
      <c r="Q420" s="27"/>
      <c r="R420" s="28"/>
      <c r="S420" s="28"/>
      <c r="T420" s="28" t="str">
        <f aca="false">IF($A420="","",SUMIF($A$4:$A420,$A420,$Q$4:$Q420)-SUMIF($A$4:$A420,$A420,$R$4:$R420)-SUMIF($A$4:$A420,$A420,$S$4:$S420))</f>
        <v/>
      </c>
      <c r="U420" s="28"/>
      <c r="V420" s="29" t="str">
        <f aca="false">IF(AND($C420="",COUNTA($D420:$H420,$K420,$N420:$O420,$Q420:$S420,$U420)=0),"",IF($C420="","⚠ 没填项目名称",IF($A420="⚠目录里没有","⚠ 项目名称在目录里找不到（先加到目录）",IF($A420="","⚠ 目录里这个项目没填简称",IF(ISTEXT($G420)+ISTEXT($H420)+ISTEXT($K420)+ISTEXT($N420)+ISTEXT($O420)+ISTEXT($Q420)+ISTEXT($R420)+ISTEXT($S420)&gt;0,"⚠ 金额列里有文字，算不进合计",IF(N($G420)&gt;=1,"⚠ 管理费点要填百分比，如 10%",IF(AND($D420&lt;&gt;"",$B420=""),"△ 摘要开头没写日期（如 2026.9.21），月份取不到",IF(AND(N($H420)&lt;&gt;0,COUNTIFS($A$4:$A$1003,$A420,$H$4:$H$1003,$H420,$D$4:$D$1003,LEFT($D420,9)&amp;"*")&gt;1),"△ 同一天同项目有一样的销售金额，看看是不是录重了","✓"))))))))</f>
        <v/>
      </c>
      <c r="W420" s="8" t="str">
        <f aca="false">IF($A420="","",$A420&amp;"#"&amp;COUNTIF($A$4:$A420,$A420))</f>
        <v/>
      </c>
    </row>
    <row r="421" customFormat="false" ht="16.5" hidden="false" customHeight="false" outlineLevel="0" collapsed="false">
      <c r="A421" s="44" t="str">
        <f aca="false">IF($C421="","",IFERROR(VLOOKUP($C421,目录!$B:$C,2,0)&amp;"","⚠目录里没有"))</f>
        <v/>
      </c>
      <c r="B421" s="45" t="str">
        <f aca="false">IF($D421="","",IFERROR(MID($D421,FIND(".",$D421)+1,FIND(".",$D421,FIND(".",$D421)+1)-FIND(".",$D421)-1)&amp;"月",""))</f>
        <v/>
      </c>
      <c r="C421" s="46"/>
      <c r="D421" s="47"/>
      <c r="E421" s="47"/>
      <c r="F421" s="49"/>
      <c r="G421" s="50"/>
      <c r="H421" s="24"/>
      <c r="I421" s="24" t="str">
        <f aca="false">IF($H421="","",N($H421)*N($G421))</f>
        <v/>
      </c>
      <c r="J421" s="25" t="str">
        <f aca="false">IF($H421="","",N($H421)-N($I421))</f>
        <v/>
      </c>
      <c r="K421" s="25"/>
      <c r="L421" s="25" t="str">
        <f aca="false">IF($A421="","",SUMIF($A$4:$A421,$A421,$J$4:$J421)-SUMIF($A$4:$A421,$A421,$K$4:$K421))</f>
        <v/>
      </c>
      <c r="M421" s="26" t="str">
        <f aca="false">IF($H421="","",N($H421))</f>
        <v/>
      </c>
      <c r="N421" s="26"/>
      <c r="O421" s="26"/>
      <c r="P421" s="26" t="str">
        <f aca="false">IF($A421="","",SUMIF($A$4:$A421,$A421,$M$4:$M421)-SUMIF($A$4:$A421,$A421,$N$4:$N421)-SUMIF($A$4:$A421,$A421,$O$4:$O421))</f>
        <v/>
      </c>
      <c r="Q421" s="27"/>
      <c r="R421" s="28"/>
      <c r="S421" s="28"/>
      <c r="T421" s="28" t="str">
        <f aca="false">IF($A421="","",SUMIF($A$4:$A421,$A421,$Q$4:$Q421)-SUMIF($A$4:$A421,$A421,$R$4:$R421)-SUMIF($A$4:$A421,$A421,$S$4:$S421))</f>
        <v/>
      </c>
      <c r="U421" s="28"/>
      <c r="V421" s="29" t="str">
        <f aca="false">IF(AND($C421="",COUNTA($D421:$H421,$K421,$N421:$O421,$Q421:$S421,$U421)=0),"",IF($C421="","⚠ 没填项目名称",IF($A421="⚠目录里没有","⚠ 项目名称在目录里找不到（先加到目录）",IF($A421="","⚠ 目录里这个项目没填简称",IF(ISTEXT($G421)+ISTEXT($H421)+ISTEXT($K421)+ISTEXT($N421)+ISTEXT($O421)+ISTEXT($Q421)+ISTEXT($R421)+ISTEXT($S421)&gt;0,"⚠ 金额列里有文字，算不进合计",IF(N($G421)&gt;=1,"⚠ 管理费点要填百分比，如 10%",IF(AND($D421&lt;&gt;"",$B421=""),"△ 摘要开头没写日期（如 2026.9.21），月份取不到",IF(AND(N($H421)&lt;&gt;0,COUNTIFS($A$4:$A$1003,$A421,$H$4:$H$1003,$H421,$D$4:$D$1003,LEFT($D421,9)&amp;"*")&gt;1),"△ 同一天同项目有一样的销售金额，看看是不是录重了","✓"))))))))</f>
        <v/>
      </c>
      <c r="W421" s="8" t="str">
        <f aca="false">IF($A421="","",$A421&amp;"#"&amp;COUNTIF($A$4:$A421,$A421))</f>
        <v/>
      </c>
    </row>
    <row r="422" customFormat="false" ht="16.5" hidden="false" customHeight="false" outlineLevel="0" collapsed="false">
      <c r="A422" s="44" t="str">
        <f aca="false">IF($C422="","",IFERROR(VLOOKUP($C422,目录!$B:$C,2,0)&amp;"","⚠目录里没有"))</f>
        <v/>
      </c>
      <c r="B422" s="45" t="str">
        <f aca="false">IF($D422="","",IFERROR(MID($D422,FIND(".",$D422)+1,FIND(".",$D422,FIND(".",$D422)+1)-FIND(".",$D422)-1)&amp;"月",""))</f>
        <v/>
      </c>
      <c r="C422" s="46"/>
      <c r="D422" s="47"/>
      <c r="E422" s="47"/>
      <c r="F422" s="49"/>
      <c r="G422" s="50"/>
      <c r="H422" s="24"/>
      <c r="I422" s="24" t="str">
        <f aca="false">IF($H422="","",N($H422)*N($G422))</f>
        <v/>
      </c>
      <c r="J422" s="25" t="str">
        <f aca="false">IF($H422="","",N($H422)-N($I422))</f>
        <v/>
      </c>
      <c r="K422" s="25"/>
      <c r="L422" s="25" t="str">
        <f aca="false">IF($A422="","",SUMIF($A$4:$A422,$A422,$J$4:$J422)-SUMIF($A$4:$A422,$A422,$K$4:$K422))</f>
        <v/>
      </c>
      <c r="M422" s="26" t="str">
        <f aca="false">IF($H422="","",N($H422))</f>
        <v/>
      </c>
      <c r="N422" s="26"/>
      <c r="O422" s="26"/>
      <c r="P422" s="26" t="str">
        <f aca="false">IF($A422="","",SUMIF($A$4:$A422,$A422,$M$4:$M422)-SUMIF($A$4:$A422,$A422,$N$4:$N422)-SUMIF($A$4:$A422,$A422,$O$4:$O422))</f>
        <v/>
      </c>
      <c r="Q422" s="27"/>
      <c r="R422" s="28"/>
      <c r="S422" s="28"/>
      <c r="T422" s="28" t="str">
        <f aca="false">IF($A422="","",SUMIF($A$4:$A422,$A422,$Q$4:$Q422)-SUMIF($A$4:$A422,$A422,$R$4:$R422)-SUMIF($A$4:$A422,$A422,$S$4:$S422))</f>
        <v/>
      </c>
      <c r="U422" s="28"/>
      <c r="V422" s="29" t="str">
        <f aca="false">IF(AND($C422="",COUNTA($D422:$H422,$K422,$N422:$O422,$Q422:$S422,$U422)=0),"",IF($C422="","⚠ 没填项目名称",IF($A422="⚠目录里没有","⚠ 项目名称在目录里找不到（先加到目录）",IF($A422="","⚠ 目录里这个项目没填简称",IF(ISTEXT($G422)+ISTEXT($H422)+ISTEXT($K422)+ISTEXT($N422)+ISTEXT($O422)+ISTEXT($Q422)+ISTEXT($R422)+ISTEXT($S422)&gt;0,"⚠ 金额列里有文字，算不进合计",IF(N($G422)&gt;=1,"⚠ 管理费点要填百分比，如 10%",IF(AND($D422&lt;&gt;"",$B422=""),"△ 摘要开头没写日期（如 2026.9.21），月份取不到",IF(AND(N($H422)&lt;&gt;0,COUNTIFS($A$4:$A$1003,$A422,$H$4:$H$1003,$H422,$D$4:$D$1003,LEFT($D422,9)&amp;"*")&gt;1),"△ 同一天同项目有一样的销售金额，看看是不是录重了","✓"))))))))</f>
        <v/>
      </c>
      <c r="W422" s="8" t="str">
        <f aca="false">IF($A422="","",$A422&amp;"#"&amp;COUNTIF($A$4:$A422,$A422))</f>
        <v/>
      </c>
    </row>
    <row r="423" customFormat="false" ht="16.5" hidden="false" customHeight="false" outlineLevel="0" collapsed="false">
      <c r="A423" s="44" t="str">
        <f aca="false">IF($C423="","",IFERROR(VLOOKUP($C423,目录!$B:$C,2,0)&amp;"","⚠目录里没有"))</f>
        <v/>
      </c>
      <c r="B423" s="45" t="str">
        <f aca="false">IF($D423="","",IFERROR(MID($D423,FIND(".",$D423)+1,FIND(".",$D423,FIND(".",$D423)+1)-FIND(".",$D423)-1)&amp;"月",""))</f>
        <v/>
      </c>
      <c r="C423" s="46"/>
      <c r="D423" s="47"/>
      <c r="E423" s="47"/>
      <c r="F423" s="49"/>
      <c r="G423" s="50"/>
      <c r="H423" s="24"/>
      <c r="I423" s="24" t="str">
        <f aca="false">IF($H423="","",N($H423)*N($G423))</f>
        <v/>
      </c>
      <c r="J423" s="25" t="str">
        <f aca="false">IF($H423="","",N($H423)-N($I423))</f>
        <v/>
      </c>
      <c r="K423" s="25"/>
      <c r="L423" s="25" t="str">
        <f aca="false">IF($A423="","",SUMIF($A$4:$A423,$A423,$J$4:$J423)-SUMIF($A$4:$A423,$A423,$K$4:$K423))</f>
        <v/>
      </c>
      <c r="M423" s="26" t="str">
        <f aca="false">IF($H423="","",N($H423))</f>
        <v/>
      </c>
      <c r="N423" s="26"/>
      <c r="O423" s="26"/>
      <c r="P423" s="26" t="str">
        <f aca="false">IF($A423="","",SUMIF($A$4:$A423,$A423,$M$4:$M423)-SUMIF($A$4:$A423,$A423,$N$4:$N423)-SUMIF($A$4:$A423,$A423,$O$4:$O423))</f>
        <v/>
      </c>
      <c r="Q423" s="27"/>
      <c r="R423" s="28"/>
      <c r="S423" s="28"/>
      <c r="T423" s="28" t="str">
        <f aca="false">IF($A423="","",SUMIF($A$4:$A423,$A423,$Q$4:$Q423)-SUMIF($A$4:$A423,$A423,$R$4:$R423)-SUMIF($A$4:$A423,$A423,$S$4:$S423))</f>
        <v/>
      </c>
      <c r="U423" s="28"/>
      <c r="V423" s="29" t="str">
        <f aca="false">IF(AND($C423="",COUNTA($D423:$H423,$K423,$N423:$O423,$Q423:$S423,$U423)=0),"",IF($C423="","⚠ 没填项目名称",IF($A423="⚠目录里没有","⚠ 项目名称在目录里找不到（先加到目录）",IF($A423="","⚠ 目录里这个项目没填简称",IF(ISTEXT($G423)+ISTEXT($H423)+ISTEXT($K423)+ISTEXT($N423)+ISTEXT($O423)+ISTEXT($Q423)+ISTEXT($R423)+ISTEXT($S423)&gt;0,"⚠ 金额列里有文字，算不进合计",IF(N($G423)&gt;=1,"⚠ 管理费点要填百分比，如 10%",IF(AND($D423&lt;&gt;"",$B423=""),"△ 摘要开头没写日期（如 2026.9.21），月份取不到",IF(AND(N($H423)&lt;&gt;0,COUNTIFS($A$4:$A$1003,$A423,$H$4:$H$1003,$H423,$D$4:$D$1003,LEFT($D423,9)&amp;"*")&gt;1),"△ 同一天同项目有一样的销售金额，看看是不是录重了","✓"))))))))</f>
        <v/>
      </c>
      <c r="W423" s="8" t="str">
        <f aca="false">IF($A423="","",$A423&amp;"#"&amp;COUNTIF($A$4:$A423,$A423))</f>
        <v/>
      </c>
    </row>
    <row r="424" customFormat="false" ht="16.5" hidden="false" customHeight="false" outlineLevel="0" collapsed="false">
      <c r="A424" s="44" t="str">
        <f aca="false">IF($C424="","",IFERROR(VLOOKUP($C424,目录!$B:$C,2,0)&amp;"","⚠目录里没有"))</f>
        <v/>
      </c>
      <c r="B424" s="45" t="str">
        <f aca="false">IF($D424="","",IFERROR(MID($D424,FIND(".",$D424)+1,FIND(".",$D424,FIND(".",$D424)+1)-FIND(".",$D424)-1)&amp;"月",""))</f>
        <v/>
      </c>
      <c r="C424" s="46"/>
      <c r="D424" s="47"/>
      <c r="E424" s="47"/>
      <c r="F424" s="49"/>
      <c r="G424" s="50"/>
      <c r="H424" s="24"/>
      <c r="I424" s="24" t="str">
        <f aca="false">IF($H424="","",N($H424)*N($G424))</f>
        <v/>
      </c>
      <c r="J424" s="25" t="str">
        <f aca="false">IF($H424="","",N($H424)-N($I424))</f>
        <v/>
      </c>
      <c r="K424" s="25"/>
      <c r="L424" s="25" t="str">
        <f aca="false">IF($A424="","",SUMIF($A$4:$A424,$A424,$J$4:$J424)-SUMIF($A$4:$A424,$A424,$K$4:$K424))</f>
        <v/>
      </c>
      <c r="M424" s="26" t="str">
        <f aca="false">IF($H424="","",N($H424))</f>
        <v/>
      </c>
      <c r="N424" s="26"/>
      <c r="O424" s="26"/>
      <c r="P424" s="26" t="str">
        <f aca="false">IF($A424="","",SUMIF($A$4:$A424,$A424,$M$4:$M424)-SUMIF($A$4:$A424,$A424,$N$4:$N424)-SUMIF($A$4:$A424,$A424,$O$4:$O424))</f>
        <v/>
      </c>
      <c r="Q424" s="27"/>
      <c r="R424" s="28"/>
      <c r="S424" s="28"/>
      <c r="T424" s="28" t="str">
        <f aca="false">IF($A424="","",SUMIF($A$4:$A424,$A424,$Q$4:$Q424)-SUMIF($A$4:$A424,$A424,$R$4:$R424)-SUMIF($A$4:$A424,$A424,$S$4:$S424))</f>
        <v/>
      </c>
      <c r="U424" s="28"/>
      <c r="V424" s="29" t="str">
        <f aca="false">IF(AND($C424="",COUNTA($D424:$H424,$K424,$N424:$O424,$Q424:$S424,$U424)=0),"",IF($C424="","⚠ 没填项目名称",IF($A424="⚠目录里没有","⚠ 项目名称在目录里找不到（先加到目录）",IF($A424="","⚠ 目录里这个项目没填简称",IF(ISTEXT($G424)+ISTEXT($H424)+ISTEXT($K424)+ISTEXT($N424)+ISTEXT($O424)+ISTEXT($Q424)+ISTEXT($R424)+ISTEXT($S424)&gt;0,"⚠ 金额列里有文字，算不进合计",IF(N($G424)&gt;=1,"⚠ 管理费点要填百分比，如 10%",IF(AND($D424&lt;&gt;"",$B424=""),"△ 摘要开头没写日期（如 2026.9.21），月份取不到",IF(AND(N($H424)&lt;&gt;0,COUNTIFS($A$4:$A$1003,$A424,$H$4:$H$1003,$H424,$D$4:$D$1003,LEFT($D424,9)&amp;"*")&gt;1),"△ 同一天同项目有一样的销售金额，看看是不是录重了","✓"))))))))</f>
        <v/>
      </c>
      <c r="W424" s="8" t="str">
        <f aca="false">IF($A424="","",$A424&amp;"#"&amp;COUNTIF($A$4:$A424,$A424))</f>
        <v/>
      </c>
    </row>
    <row r="425" customFormat="false" ht="16.5" hidden="false" customHeight="false" outlineLevel="0" collapsed="false">
      <c r="A425" s="44" t="str">
        <f aca="false">IF($C425="","",IFERROR(VLOOKUP($C425,目录!$B:$C,2,0)&amp;"","⚠目录里没有"))</f>
        <v/>
      </c>
      <c r="B425" s="45" t="str">
        <f aca="false">IF($D425="","",IFERROR(MID($D425,FIND(".",$D425)+1,FIND(".",$D425,FIND(".",$D425)+1)-FIND(".",$D425)-1)&amp;"月",""))</f>
        <v/>
      </c>
      <c r="C425" s="46"/>
      <c r="D425" s="47"/>
      <c r="E425" s="47"/>
      <c r="F425" s="49"/>
      <c r="G425" s="50"/>
      <c r="H425" s="24"/>
      <c r="I425" s="24" t="str">
        <f aca="false">IF($H425="","",N($H425)*N($G425))</f>
        <v/>
      </c>
      <c r="J425" s="25" t="str">
        <f aca="false">IF($H425="","",N($H425)-N($I425))</f>
        <v/>
      </c>
      <c r="K425" s="25"/>
      <c r="L425" s="25" t="str">
        <f aca="false">IF($A425="","",SUMIF($A$4:$A425,$A425,$J$4:$J425)-SUMIF($A$4:$A425,$A425,$K$4:$K425))</f>
        <v/>
      </c>
      <c r="M425" s="26" t="str">
        <f aca="false">IF($H425="","",N($H425))</f>
        <v/>
      </c>
      <c r="N425" s="26"/>
      <c r="O425" s="26"/>
      <c r="P425" s="26" t="str">
        <f aca="false">IF($A425="","",SUMIF($A$4:$A425,$A425,$M$4:$M425)-SUMIF($A$4:$A425,$A425,$N$4:$N425)-SUMIF($A$4:$A425,$A425,$O$4:$O425))</f>
        <v/>
      </c>
      <c r="Q425" s="27"/>
      <c r="R425" s="28"/>
      <c r="S425" s="28"/>
      <c r="T425" s="28" t="str">
        <f aca="false">IF($A425="","",SUMIF($A$4:$A425,$A425,$Q$4:$Q425)-SUMIF($A$4:$A425,$A425,$R$4:$R425)-SUMIF($A$4:$A425,$A425,$S$4:$S425))</f>
        <v/>
      </c>
      <c r="U425" s="28"/>
      <c r="V425" s="29" t="str">
        <f aca="false">IF(AND($C425="",COUNTA($D425:$H425,$K425,$N425:$O425,$Q425:$S425,$U425)=0),"",IF($C425="","⚠ 没填项目名称",IF($A425="⚠目录里没有","⚠ 项目名称在目录里找不到（先加到目录）",IF($A425="","⚠ 目录里这个项目没填简称",IF(ISTEXT($G425)+ISTEXT($H425)+ISTEXT($K425)+ISTEXT($N425)+ISTEXT($O425)+ISTEXT($Q425)+ISTEXT($R425)+ISTEXT($S425)&gt;0,"⚠ 金额列里有文字，算不进合计",IF(N($G425)&gt;=1,"⚠ 管理费点要填百分比，如 10%",IF(AND($D425&lt;&gt;"",$B425=""),"△ 摘要开头没写日期（如 2026.9.21），月份取不到",IF(AND(N($H425)&lt;&gt;0,COUNTIFS($A$4:$A$1003,$A425,$H$4:$H$1003,$H425,$D$4:$D$1003,LEFT($D425,9)&amp;"*")&gt;1),"△ 同一天同项目有一样的销售金额，看看是不是录重了","✓"))))))))</f>
        <v/>
      </c>
      <c r="W425" s="8" t="str">
        <f aca="false">IF($A425="","",$A425&amp;"#"&amp;COUNTIF($A$4:$A425,$A425))</f>
        <v/>
      </c>
    </row>
    <row r="426" customFormat="false" ht="16.5" hidden="false" customHeight="false" outlineLevel="0" collapsed="false">
      <c r="A426" s="44" t="str">
        <f aca="false">IF($C426="","",IFERROR(VLOOKUP($C426,目录!$B:$C,2,0)&amp;"","⚠目录里没有"))</f>
        <v/>
      </c>
      <c r="B426" s="45" t="str">
        <f aca="false">IF($D426="","",IFERROR(MID($D426,FIND(".",$D426)+1,FIND(".",$D426,FIND(".",$D426)+1)-FIND(".",$D426)-1)&amp;"月",""))</f>
        <v/>
      </c>
      <c r="C426" s="46"/>
      <c r="D426" s="47"/>
      <c r="E426" s="47"/>
      <c r="F426" s="49"/>
      <c r="G426" s="50"/>
      <c r="H426" s="24"/>
      <c r="I426" s="24" t="str">
        <f aca="false">IF($H426="","",N($H426)*N($G426))</f>
        <v/>
      </c>
      <c r="J426" s="25" t="str">
        <f aca="false">IF($H426="","",N($H426)-N($I426))</f>
        <v/>
      </c>
      <c r="K426" s="25"/>
      <c r="L426" s="25" t="str">
        <f aca="false">IF($A426="","",SUMIF($A$4:$A426,$A426,$J$4:$J426)-SUMIF($A$4:$A426,$A426,$K$4:$K426))</f>
        <v/>
      </c>
      <c r="M426" s="26" t="str">
        <f aca="false">IF($H426="","",N($H426))</f>
        <v/>
      </c>
      <c r="N426" s="26"/>
      <c r="O426" s="26"/>
      <c r="P426" s="26" t="str">
        <f aca="false">IF($A426="","",SUMIF($A$4:$A426,$A426,$M$4:$M426)-SUMIF($A$4:$A426,$A426,$N$4:$N426)-SUMIF($A$4:$A426,$A426,$O$4:$O426))</f>
        <v/>
      </c>
      <c r="Q426" s="27"/>
      <c r="R426" s="28"/>
      <c r="S426" s="28"/>
      <c r="T426" s="28" t="str">
        <f aca="false">IF($A426="","",SUMIF($A$4:$A426,$A426,$Q$4:$Q426)-SUMIF($A$4:$A426,$A426,$R$4:$R426)-SUMIF($A$4:$A426,$A426,$S$4:$S426))</f>
        <v/>
      </c>
      <c r="U426" s="28"/>
      <c r="V426" s="29" t="str">
        <f aca="false">IF(AND($C426="",COUNTA($D426:$H426,$K426,$N426:$O426,$Q426:$S426,$U426)=0),"",IF($C426="","⚠ 没填项目名称",IF($A426="⚠目录里没有","⚠ 项目名称在目录里找不到（先加到目录）",IF($A426="","⚠ 目录里这个项目没填简称",IF(ISTEXT($G426)+ISTEXT($H426)+ISTEXT($K426)+ISTEXT($N426)+ISTEXT($O426)+ISTEXT($Q426)+ISTEXT($R426)+ISTEXT($S426)&gt;0,"⚠ 金额列里有文字，算不进合计",IF(N($G426)&gt;=1,"⚠ 管理费点要填百分比，如 10%",IF(AND($D426&lt;&gt;"",$B426=""),"△ 摘要开头没写日期（如 2026.9.21），月份取不到",IF(AND(N($H426)&lt;&gt;0,COUNTIFS($A$4:$A$1003,$A426,$H$4:$H$1003,$H426,$D$4:$D$1003,LEFT($D426,9)&amp;"*")&gt;1),"△ 同一天同项目有一样的销售金额，看看是不是录重了","✓"))))))))</f>
        <v/>
      </c>
      <c r="W426" s="8" t="str">
        <f aca="false">IF($A426="","",$A426&amp;"#"&amp;COUNTIF($A$4:$A426,$A426))</f>
        <v/>
      </c>
    </row>
    <row r="427" customFormat="false" ht="16.5" hidden="false" customHeight="false" outlineLevel="0" collapsed="false">
      <c r="A427" s="44" t="str">
        <f aca="false">IF($C427="","",IFERROR(VLOOKUP($C427,目录!$B:$C,2,0)&amp;"","⚠目录里没有"))</f>
        <v/>
      </c>
      <c r="B427" s="45" t="str">
        <f aca="false">IF($D427="","",IFERROR(MID($D427,FIND(".",$D427)+1,FIND(".",$D427,FIND(".",$D427)+1)-FIND(".",$D427)-1)&amp;"月",""))</f>
        <v/>
      </c>
      <c r="C427" s="46"/>
      <c r="D427" s="47"/>
      <c r="E427" s="47"/>
      <c r="F427" s="49"/>
      <c r="G427" s="50"/>
      <c r="H427" s="24"/>
      <c r="I427" s="24" t="str">
        <f aca="false">IF($H427="","",N($H427)*N($G427))</f>
        <v/>
      </c>
      <c r="J427" s="25" t="str">
        <f aca="false">IF($H427="","",N($H427)-N($I427))</f>
        <v/>
      </c>
      <c r="K427" s="25"/>
      <c r="L427" s="25" t="str">
        <f aca="false">IF($A427="","",SUMIF($A$4:$A427,$A427,$J$4:$J427)-SUMIF($A$4:$A427,$A427,$K$4:$K427))</f>
        <v/>
      </c>
      <c r="M427" s="26" t="str">
        <f aca="false">IF($H427="","",N($H427))</f>
        <v/>
      </c>
      <c r="N427" s="26"/>
      <c r="O427" s="26"/>
      <c r="P427" s="26" t="str">
        <f aca="false">IF($A427="","",SUMIF($A$4:$A427,$A427,$M$4:$M427)-SUMIF($A$4:$A427,$A427,$N$4:$N427)-SUMIF($A$4:$A427,$A427,$O$4:$O427))</f>
        <v/>
      </c>
      <c r="Q427" s="27"/>
      <c r="R427" s="28"/>
      <c r="S427" s="28"/>
      <c r="T427" s="28" t="str">
        <f aca="false">IF($A427="","",SUMIF($A$4:$A427,$A427,$Q$4:$Q427)-SUMIF($A$4:$A427,$A427,$R$4:$R427)-SUMIF($A$4:$A427,$A427,$S$4:$S427))</f>
        <v/>
      </c>
      <c r="U427" s="28"/>
      <c r="V427" s="29" t="str">
        <f aca="false">IF(AND($C427="",COUNTA($D427:$H427,$K427,$N427:$O427,$Q427:$S427,$U427)=0),"",IF($C427="","⚠ 没填项目名称",IF($A427="⚠目录里没有","⚠ 项目名称在目录里找不到（先加到目录）",IF($A427="","⚠ 目录里这个项目没填简称",IF(ISTEXT($G427)+ISTEXT($H427)+ISTEXT($K427)+ISTEXT($N427)+ISTEXT($O427)+ISTEXT($Q427)+ISTEXT($R427)+ISTEXT($S427)&gt;0,"⚠ 金额列里有文字，算不进合计",IF(N($G427)&gt;=1,"⚠ 管理费点要填百分比，如 10%",IF(AND($D427&lt;&gt;"",$B427=""),"△ 摘要开头没写日期（如 2026.9.21），月份取不到",IF(AND(N($H427)&lt;&gt;0,COUNTIFS($A$4:$A$1003,$A427,$H$4:$H$1003,$H427,$D$4:$D$1003,LEFT($D427,9)&amp;"*")&gt;1),"△ 同一天同项目有一样的销售金额，看看是不是录重了","✓"))))))))</f>
        <v/>
      </c>
      <c r="W427" s="8" t="str">
        <f aca="false">IF($A427="","",$A427&amp;"#"&amp;COUNTIF($A$4:$A427,$A427))</f>
        <v/>
      </c>
    </row>
    <row r="428" customFormat="false" ht="16.5" hidden="false" customHeight="false" outlineLevel="0" collapsed="false">
      <c r="A428" s="44" t="str">
        <f aca="false">IF($C428="","",IFERROR(VLOOKUP($C428,目录!$B:$C,2,0)&amp;"","⚠目录里没有"))</f>
        <v/>
      </c>
      <c r="B428" s="45" t="str">
        <f aca="false">IF($D428="","",IFERROR(MID($D428,FIND(".",$D428)+1,FIND(".",$D428,FIND(".",$D428)+1)-FIND(".",$D428)-1)&amp;"月",""))</f>
        <v/>
      </c>
      <c r="C428" s="46"/>
      <c r="D428" s="47"/>
      <c r="E428" s="47"/>
      <c r="F428" s="49"/>
      <c r="G428" s="50"/>
      <c r="H428" s="24"/>
      <c r="I428" s="24" t="str">
        <f aca="false">IF($H428="","",N($H428)*N($G428))</f>
        <v/>
      </c>
      <c r="J428" s="25" t="str">
        <f aca="false">IF($H428="","",N($H428)-N($I428))</f>
        <v/>
      </c>
      <c r="K428" s="25"/>
      <c r="L428" s="25" t="str">
        <f aca="false">IF($A428="","",SUMIF($A$4:$A428,$A428,$J$4:$J428)-SUMIF($A$4:$A428,$A428,$K$4:$K428))</f>
        <v/>
      </c>
      <c r="M428" s="26" t="str">
        <f aca="false">IF($H428="","",N($H428))</f>
        <v/>
      </c>
      <c r="N428" s="26"/>
      <c r="O428" s="26"/>
      <c r="P428" s="26" t="str">
        <f aca="false">IF($A428="","",SUMIF($A$4:$A428,$A428,$M$4:$M428)-SUMIF($A$4:$A428,$A428,$N$4:$N428)-SUMIF($A$4:$A428,$A428,$O$4:$O428))</f>
        <v/>
      </c>
      <c r="Q428" s="27"/>
      <c r="R428" s="28"/>
      <c r="S428" s="28"/>
      <c r="T428" s="28" t="str">
        <f aca="false">IF($A428="","",SUMIF($A$4:$A428,$A428,$Q$4:$Q428)-SUMIF($A$4:$A428,$A428,$R$4:$R428)-SUMIF($A$4:$A428,$A428,$S$4:$S428))</f>
        <v/>
      </c>
      <c r="U428" s="28"/>
      <c r="V428" s="29" t="str">
        <f aca="false">IF(AND($C428="",COUNTA($D428:$H428,$K428,$N428:$O428,$Q428:$S428,$U428)=0),"",IF($C428="","⚠ 没填项目名称",IF($A428="⚠目录里没有","⚠ 项目名称在目录里找不到（先加到目录）",IF($A428="","⚠ 目录里这个项目没填简称",IF(ISTEXT($G428)+ISTEXT($H428)+ISTEXT($K428)+ISTEXT($N428)+ISTEXT($O428)+ISTEXT($Q428)+ISTEXT($R428)+ISTEXT($S428)&gt;0,"⚠ 金额列里有文字，算不进合计",IF(N($G428)&gt;=1,"⚠ 管理费点要填百分比，如 10%",IF(AND($D428&lt;&gt;"",$B428=""),"△ 摘要开头没写日期（如 2026.9.21），月份取不到",IF(AND(N($H428)&lt;&gt;0,COUNTIFS($A$4:$A$1003,$A428,$H$4:$H$1003,$H428,$D$4:$D$1003,LEFT($D428,9)&amp;"*")&gt;1),"△ 同一天同项目有一样的销售金额，看看是不是录重了","✓"))))))))</f>
        <v/>
      </c>
      <c r="W428" s="8" t="str">
        <f aca="false">IF($A428="","",$A428&amp;"#"&amp;COUNTIF($A$4:$A428,$A428))</f>
        <v/>
      </c>
    </row>
    <row r="429" customFormat="false" ht="16.5" hidden="false" customHeight="false" outlineLevel="0" collapsed="false">
      <c r="A429" s="44" t="str">
        <f aca="false">IF($C429="","",IFERROR(VLOOKUP($C429,目录!$B:$C,2,0)&amp;"","⚠目录里没有"))</f>
        <v/>
      </c>
      <c r="B429" s="45" t="str">
        <f aca="false">IF($D429="","",IFERROR(MID($D429,FIND(".",$D429)+1,FIND(".",$D429,FIND(".",$D429)+1)-FIND(".",$D429)-1)&amp;"月",""))</f>
        <v/>
      </c>
      <c r="C429" s="46"/>
      <c r="D429" s="47"/>
      <c r="E429" s="47"/>
      <c r="F429" s="49"/>
      <c r="G429" s="50"/>
      <c r="H429" s="24"/>
      <c r="I429" s="24" t="str">
        <f aca="false">IF($H429="","",N($H429)*N($G429))</f>
        <v/>
      </c>
      <c r="J429" s="25" t="str">
        <f aca="false">IF($H429="","",N($H429)-N($I429))</f>
        <v/>
      </c>
      <c r="K429" s="25"/>
      <c r="L429" s="25" t="str">
        <f aca="false">IF($A429="","",SUMIF($A$4:$A429,$A429,$J$4:$J429)-SUMIF($A$4:$A429,$A429,$K$4:$K429))</f>
        <v/>
      </c>
      <c r="M429" s="26" t="str">
        <f aca="false">IF($H429="","",N($H429))</f>
        <v/>
      </c>
      <c r="N429" s="26"/>
      <c r="O429" s="26"/>
      <c r="P429" s="26" t="str">
        <f aca="false">IF($A429="","",SUMIF($A$4:$A429,$A429,$M$4:$M429)-SUMIF($A$4:$A429,$A429,$N$4:$N429)-SUMIF($A$4:$A429,$A429,$O$4:$O429))</f>
        <v/>
      </c>
      <c r="Q429" s="27"/>
      <c r="R429" s="28"/>
      <c r="S429" s="28"/>
      <c r="T429" s="28" t="str">
        <f aca="false">IF($A429="","",SUMIF($A$4:$A429,$A429,$Q$4:$Q429)-SUMIF($A$4:$A429,$A429,$R$4:$R429)-SUMIF($A$4:$A429,$A429,$S$4:$S429))</f>
        <v/>
      </c>
      <c r="U429" s="28"/>
      <c r="V429" s="29" t="str">
        <f aca="false">IF(AND($C429="",COUNTA($D429:$H429,$K429,$N429:$O429,$Q429:$S429,$U429)=0),"",IF($C429="","⚠ 没填项目名称",IF($A429="⚠目录里没有","⚠ 项目名称在目录里找不到（先加到目录）",IF($A429="","⚠ 目录里这个项目没填简称",IF(ISTEXT($G429)+ISTEXT($H429)+ISTEXT($K429)+ISTEXT($N429)+ISTEXT($O429)+ISTEXT($Q429)+ISTEXT($R429)+ISTEXT($S429)&gt;0,"⚠ 金额列里有文字，算不进合计",IF(N($G429)&gt;=1,"⚠ 管理费点要填百分比，如 10%",IF(AND($D429&lt;&gt;"",$B429=""),"△ 摘要开头没写日期（如 2026.9.21），月份取不到",IF(AND(N($H429)&lt;&gt;0,COUNTIFS($A$4:$A$1003,$A429,$H$4:$H$1003,$H429,$D$4:$D$1003,LEFT($D429,9)&amp;"*")&gt;1),"△ 同一天同项目有一样的销售金额，看看是不是录重了","✓"))))))))</f>
        <v/>
      </c>
      <c r="W429" s="8" t="str">
        <f aca="false">IF($A429="","",$A429&amp;"#"&amp;COUNTIF($A$4:$A429,$A429))</f>
        <v/>
      </c>
    </row>
    <row r="430" customFormat="false" ht="16.5" hidden="false" customHeight="false" outlineLevel="0" collapsed="false">
      <c r="A430" s="44" t="str">
        <f aca="false">IF($C430="","",IFERROR(VLOOKUP($C430,目录!$B:$C,2,0)&amp;"","⚠目录里没有"))</f>
        <v/>
      </c>
      <c r="B430" s="45" t="str">
        <f aca="false">IF($D430="","",IFERROR(MID($D430,FIND(".",$D430)+1,FIND(".",$D430,FIND(".",$D430)+1)-FIND(".",$D430)-1)&amp;"月",""))</f>
        <v/>
      </c>
      <c r="C430" s="46"/>
      <c r="D430" s="47"/>
      <c r="E430" s="47"/>
      <c r="F430" s="49"/>
      <c r="G430" s="50"/>
      <c r="H430" s="24"/>
      <c r="I430" s="24" t="str">
        <f aca="false">IF($H430="","",N($H430)*N($G430))</f>
        <v/>
      </c>
      <c r="J430" s="25" t="str">
        <f aca="false">IF($H430="","",N($H430)-N($I430))</f>
        <v/>
      </c>
      <c r="K430" s="25"/>
      <c r="L430" s="25" t="str">
        <f aca="false">IF($A430="","",SUMIF($A$4:$A430,$A430,$J$4:$J430)-SUMIF($A$4:$A430,$A430,$K$4:$K430))</f>
        <v/>
      </c>
      <c r="M430" s="26" t="str">
        <f aca="false">IF($H430="","",N($H430))</f>
        <v/>
      </c>
      <c r="N430" s="26"/>
      <c r="O430" s="26"/>
      <c r="P430" s="26" t="str">
        <f aca="false">IF($A430="","",SUMIF($A$4:$A430,$A430,$M$4:$M430)-SUMIF($A$4:$A430,$A430,$N$4:$N430)-SUMIF($A$4:$A430,$A430,$O$4:$O430))</f>
        <v/>
      </c>
      <c r="Q430" s="27"/>
      <c r="R430" s="28"/>
      <c r="S430" s="28"/>
      <c r="T430" s="28" t="str">
        <f aca="false">IF($A430="","",SUMIF($A$4:$A430,$A430,$Q$4:$Q430)-SUMIF($A$4:$A430,$A430,$R$4:$R430)-SUMIF($A$4:$A430,$A430,$S$4:$S430))</f>
        <v/>
      </c>
      <c r="U430" s="28"/>
      <c r="V430" s="29" t="str">
        <f aca="false">IF(AND($C430="",COUNTA($D430:$H430,$K430,$N430:$O430,$Q430:$S430,$U430)=0),"",IF($C430="","⚠ 没填项目名称",IF($A430="⚠目录里没有","⚠ 项目名称在目录里找不到（先加到目录）",IF($A430="","⚠ 目录里这个项目没填简称",IF(ISTEXT($G430)+ISTEXT($H430)+ISTEXT($K430)+ISTEXT($N430)+ISTEXT($O430)+ISTEXT($Q430)+ISTEXT($R430)+ISTEXT($S430)&gt;0,"⚠ 金额列里有文字，算不进合计",IF(N($G430)&gt;=1,"⚠ 管理费点要填百分比，如 10%",IF(AND($D430&lt;&gt;"",$B430=""),"△ 摘要开头没写日期（如 2026.9.21），月份取不到",IF(AND(N($H430)&lt;&gt;0,COUNTIFS($A$4:$A$1003,$A430,$H$4:$H$1003,$H430,$D$4:$D$1003,LEFT($D430,9)&amp;"*")&gt;1),"△ 同一天同项目有一样的销售金额，看看是不是录重了","✓"))))))))</f>
        <v/>
      </c>
      <c r="W430" s="8" t="str">
        <f aca="false">IF($A430="","",$A430&amp;"#"&amp;COUNTIF($A$4:$A430,$A430))</f>
        <v/>
      </c>
    </row>
    <row r="431" customFormat="false" ht="16.5" hidden="false" customHeight="false" outlineLevel="0" collapsed="false">
      <c r="A431" s="44" t="str">
        <f aca="false">IF($C431="","",IFERROR(VLOOKUP($C431,目录!$B:$C,2,0)&amp;"","⚠目录里没有"))</f>
        <v/>
      </c>
      <c r="B431" s="45" t="str">
        <f aca="false">IF($D431="","",IFERROR(MID($D431,FIND(".",$D431)+1,FIND(".",$D431,FIND(".",$D431)+1)-FIND(".",$D431)-1)&amp;"月",""))</f>
        <v/>
      </c>
      <c r="C431" s="46"/>
      <c r="D431" s="47"/>
      <c r="E431" s="47"/>
      <c r="F431" s="49"/>
      <c r="G431" s="50"/>
      <c r="H431" s="24"/>
      <c r="I431" s="24" t="str">
        <f aca="false">IF($H431="","",N($H431)*N($G431))</f>
        <v/>
      </c>
      <c r="J431" s="25" t="str">
        <f aca="false">IF($H431="","",N($H431)-N($I431))</f>
        <v/>
      </c>
      <c r="K431" s="25"/>
      <c r="L431" s="25" t="str">
        <f aca="false">IF($A431="","",SUMIF($A$4:$A431,$A431,$J$4:$J431)-SUMIF($A$4:$A431,$A431,$K$4:$K431))</f>
        <v/>
      </c>
      <c r="M431" s="26" t="str">
        <f aca="false">IF($H431="","",N($H431))</f>
        <v/>
      </c>
      <c r="N431" s="26"/>
      <c r="O431" s="26"/>
      <c r="P431" s="26" t="str">
        <f aca="false">IF($A431="","",SUMIF($A$4:$A431,$A431,$M$4:$M431)-SUMIF($A$4:$A431,$A431,$N$4:$N431)-SUMIF($A$4:$A431,$A431,$O$4:$O431))</f>
        <v/>
      </c>
      <c r="Q431" s="27"/>
      <c r="R431" s="28"/>
      <c r="S431" s="28"/>
      <c r="T431" s="28" t="str">
        <f aca="false">IF($A431="","",SUMIF($A$4:$A431,$A431,$Q$4:$Q431)-SUMIF($A$4:$A431,$A431,$R$4:$R431)-SUMIF($A$4:$A431,$A431,$S$4:$S431))</f>
        <v/>
      </c>
      <c r="U431" s="28"/>
      <c r="V431" s="29" t="str">
        <f aca="false">IF(AND($C431="",COUNTA($D431:$H431,$K431,$N431:$O431,$Q431:$S431,$U431)=0),"",IF($C431="","⚠ 没填项目名称",IF($A431="⚠目录里没有","⚠ 项目名称在目录里找不到（先加到目录）",IF($A431="","⚠ 目录里这个项目没填简称",IF(ISTEXT($G431)+ISTEXT($H431)+ISTEXT($K431)+ISTEXT($N431)+ISTEXT($O431)+ISTEXT($Q431)+ISTEXT($R431)+ISTEXT($S431)&gt;0,"⚠ 金额列里有文字，算不进合计",IF(N($G431)&gt;=1,"⚠ 管理费点要填百分比，如 10%",IF(AND($D431&lt;&gt;"",$B431=""),"△ 摘要开头没写日期（如 2026.9.21），月份取不到",IF(AND(N($H431)&lt;&gt;0,COUNTIFS($A$4:$A$1003,$A431,$H$4:$H$1003,$H431,$D$4:$D$1003,LEFT($D431,9)&amp;"*")&gt;1),"△ 同一天同项目有一样的销售金额，看看是不是录重了","✓"))))))))</f>
        <v/>
      </c>
      <c r="W431" s="8" t="str">
        <f aca="false">IF($A431="","",$A431&amp;"#"&amp;COUNTIF($A$4:$A431,$A431))</f>
        <v/>
      </c>
    </row>
    <row r="432" customFormat="false" ht="16.5" hidden="false" customHeight="false" outlineLevel="0" collapsed="false">
      <c r="A432" s="44" t="str">
        <f aca="false">IF($C432="","",IFERROR(VLOOKUP($C432,目录!$B:$C,2,0)&amp;"","⚠目录里没有"))</f>
        <v/>
      </c>
      <c r="B432" s="45" t="str">
        <f aca="false">IF($D432="","",IFERROR(MID($D432,FIND(".",$D432)+1,FIND(".",$D432,FIND(".",$D432)+1)-FIND(".",$D432)-1)&amp;"月",""))</f>
        <v/>
      </c>
      <c r="C432" s="46"/>
      <c r="D432" s="47"/>
      <c r="E432" s="47"/>
      <c r="F432" s="49"/>
      <c r="G432" s="50"/>
      <c r="H432" s="24"/>
      <c r="I432" s="24" t="str">
        <f aca="false">IF($H432="","",N($H432)*N($G432))</f>
        <v/>
      </c>
      <c r="J432" s="25" t="str">
        <f aca="false">IF($H432="","",N($H432)-N($I432))</f>
        <v/>
      </c>
      <c r="K432" s="25"/>
      <c r="L432" s="25" t="str">
        <f aca="false">IF($A432="","",SUMIF($A$4:$A432,$A432,$J$4:$J432)-SUMIF($A$4:$A432,$A432,$K$4:$K432))</f>
        <v/>
      </c>
      <c r="M432" s="26" t="str">
        <f aca="false">IF($H432="","",N($H432))</f>
        <v/>
      </c>
      <c r="N432" s="26"/>
      <c r="O432" s="26"/>
      <c r="P432" s="26" t="str">
        <f aca="false">IF($A432="","",SUMIF($A$4:$A432,$A432,$M$4:$M432)-SUMIF($A$4:$A432,$A432,$N$4:$N432)-SUMIF($A$4:$A432,$A432,$O$4:$O432))</f>
        <v/>
      </c>
      <c r="Q432" s="27"/>
      <c r="R432" s="28"/>
      <c r="S432" s="28"/>
      <c r="T432" s="28" t="str">
        <f aca="false">IF($A432="","",SUMIF($A$4:$A432,$A432,$Q$4:$Q432)-SUMIF($A$4:$A432,$A432,$R$4:$R432)-SUMIF($A$4:$A432,$A432,$S$4:$S432))</f>
        <v/>
      </c>
      <c r="U432" s="28"/>
      <c r="V432" s="29" t="str">
        <f aca="false">IF(AND($C432="",COUNTA($D432:$H432,$K432,$N432:$O432,$Q432:$S432,$U432)=0),"",IF($C432="","⚠ 没填项目名称",IF($A432="⚠目录里没有","⚠ 项目名称在目录里找不到（先加到目录）",IF($A432="","⚠ 目录里这个项目没填简称",IF(ISTEXT($G432)+ISTEXT($H432)+ISTEXT($K432)+ISTEXT($N432)+ISTEXT($O432)+ISTEXT($Q432)+ISTEXT($R432)+ISTEXT($S432)&gt;0,"⚠ 金额列里有文字，算不进合计",IF(N($G432)&gt;=1,"⚠ 管理费点要填百分比，如 10%",IF(AND($D432&lt;&gt;"",$B432=""),"△ 摘要开头没写日期（如 2026.9.21），月份取不到",IF(AND(N($H432)&lt;&gt;0,COUNTIFS($A$4:$A$1003,$A432,$H$4:$H$1003,$H432,$D$4:$D$1003,LEFT($D432,9)&amp;"*")&gt;1),"△ 同一天同项目有一样的销售金额，看看是不是录重了","✓"))))))))</f>
        <v/>
      </c>
      <c r="W432" s="8" t="str">
        <f aca="false">IF($A432="","",$A432&amp;"#"&amp;COUNTIF($A$4:$A432,$A432))</f>
        <v/>
      </c>
    </row>
    <row r="433" customFormat="false" ht="16.5" hidden="false" customHeight="false" outlineLevel="0" collapsed="false">
      <c r="A433" s="44" t="str">
        <f aca="false">IF($C433="","",IFERROR(VLOOKUP($C433,目录!$B:$C,2,0)&amp;"","⚠目录里没有"))</f>
        <v/>
      </c>
      <c r="B433" s="45" t="str">
        <f aca="false">IF($D433="","",IFERROR(MID($D433,FIND(".",$D433)+1,FIND(".",$D433,FIND(".",$D433)+1)-FIND(".",$D433)-1)&amp;"月",""))</f>
        <v/>
      </c>
      <c r="C433" s="46"/>
      <c r="D433" s="47"/>
      <c r="E433" s="47"/>
      <c r="F433" s="49"/>
      <c r="G433" s="50"/>
      <c r="H433" s="24"/>
      <c r="I433" s="24" t="str">
        <f aca="false">IF($H433="","",N($H433)*N($G433))</f>
        <v/>
      </c>
      <c r="J433" s="25" t="str">
        <f aca="false">IF($H433="","",N($H433)-N($I433))</f>
        <v/>
      </c>
      <c r="K433" s="25"/>
      <c r="L433" s="25" t="str">
        <f aca="false">IF($A433="","",SUMIF($A$4:$A433,$A433,$J$4:$J433)-SUMIF($A$4:$A433,$A433,$K$4:$K433))</f>
        <v/>
      </c>
      <c r="M433" s="26" t="str">
        <f aca="false">IF($H433="","",N($H433))</f>
        <v/>
      </c>
      <c r="N433" s="26"/>
      <c r="O433" s="26"/>
      <c r="P433" s="26" t="str">
        <f aca="false">IF($A433="","",SUMIF($A$4:$A433,$A433,$M$4:$M433)-SUMIF($A$4:$A433,$A433,$N$4:$N433)-SUMIF($A$4:$A433,$A433,$O$4:$O433))</f>
        <v/>
      </c>
      <c r="Q433" s="27"/>
      <c r="R433" s="28"/>
      <c r="S433" s="28"/>
      <c r="T433" s="28" t="str">
        <f aca="false">IF($A433="","",SUMIF($A$4:$A433,$A433,$Q$4:$Q433)-SUMIF($A$4:$A433,$A433,$R$4:$R433)-SUMIF($A$4:$A433,$A433,$S$4:$S433))</f>
        <v/>
      </c>
      <c r="U433" s="28"/>
      <c r="V433" s="29" t="str">
        <f aca="false">IF(AND($C433="",COUNTA($D433:$H433,$K433,$N433:$O433,$Q433:$S433,$U433)=0),"",IF($C433="","⚠ 没填项目名称",IF($A433="⚠目录里没有","⚠ 项目名称在目录里找不到（先加到目录）",IF($A433="","⚠ 目录里这个项目没填简称",IF(ISTEXT($G433)+ISTEXT($H433)+ISTEXT($K433)+ISTEXT($N433)+ISTEXT($O433)+ISTEXT($Q433)+ISTEXT($R433)+ISTEXT($S433)&gt;0,"⚠ 金额列里有文字，算不进合计",IF(N($G433)&gt;=1,"⚠ 管理费点要填百分比，如 10%",IF(AND($D433&lt;&gt;"",$B433=""),"△ 摘要开头没写日期（如 2026.9.21），月份取不到",IF(AND(N($H433)&lt;&gt;0,COUNTIFS($A$4:$A$1003,$A433,$H$4:$H$1003,$H433,$D$4:$D$1003,LEFT($D433,9)&amp;"*")&gt;1),"△ 同一天同项目有一样的销售金额，看看是不是录重了","✓"))))))))</f>
        <v/>
      </c>
      <c r="W433" s="8" t="str">
        <f aca="false">IF($A433="","",$A433&amp;"#"&amp;COUNTIF($A$4:$A433,$A433))</f>
        <v/>
      </c>
    </row>
    <row r="434" customFormat="false" ht="16.5" hidden="false" customHeight="false" outlineLevel="0" collapsed="false">
      <c r="A434" s="44" t="str">
        <f aca="false">IF($C434="","",IFERROR(VLOOKUP($C434,目录!$B:$C,2,0)&amp;"","⚠目录里没有"))</f>
        <v/>
      </c>
      <c r="B434" s="45" t="str">
        <f aca="false">IF($D434="","",IFERROR(MID($D434,FIND(".",$D434)+1,FIND(".",$D434,FIND(".",$D434)+1)-FIND(".",$D434)-1)&amp;"月",""))</f>
        <v/>
      </c>
      <c r="C434" s="46"/>
      <c r="D434" s="47"/>
      <c r="E434" s="47"/>
      <c r="F434" s="49"/>
      <c r="G434" s="50"/>
      <c r="H434" s="24"/>
      <c r="I434" s="24" t="str">
        <f aca="false">IF($H434="","",N($H434)*N($G434))</f>
        <v/>
      </c>
      <c r="J434" s="25" t="str">
        <f aca="false">IF($H434="","",N($H434)-N($I434))</f>
        <v/>
      </c>
      <c r="K434" s="25"/>
      <c r="L434" s="25" t="str">
        <f aca="false">IF($A434="","",SUMIF($A$4:$A434,$A434,$J$4:$J434)-SUMIF($A$4:$A434,$A434,$K$4:$K434))</f>
        <v/>
      </c>
      <c r="M434" s="26" t="str">
        <f aca="false">IF($H434="","",N($H434))</f>
        <v/>
      </c>
      <c r="N434" s="26"/>
      <c r="O434" s="26"/>
      <c r="P434" s="26" t="str">
        <f aca="false">IF($A434="","",SUMIF($A$4:$A434,$A434,$M$4:$M434)-SUMIF($A$4:$A434,$A434,$N$4:$N434)-SUMIF($A$4:$A434,$A434,$O$4:$O434))</f>
        <v/>
      </c>
      <c r="Q434" s="27"/>
      <c r="R434" s="28"/>
      <c r="S434" s="28"/>
      <c r="T434" s="28" t="str">
        <f aca="false">IF($A434="","",SUMIF($A$4:$A434,$A434,$Q$4:$Q434)-SUMIF($A$4:$A434,$A434,$R$4:$R434)-SUMIF($A$4:$A434,$A434,$S$4:$S434))</f>
        <v/>
      </c>
      <c r="U434" s="28"/>
      <c r="V434" s="29" t="str">
        <f aca="false">IF(AND($C434="",COUNTA($D434:$H434,$K434,$N434:$O434,$Q434:$S434,$U434)=0),"",IF($C434="","⚠ 没填项目名称",IF($A434="⚠目录里没有","⚠ 项目名称在目录里找不到（先加到目录）",IF($A434="","⚠ 目录里这个项目没填简称",IF(ISTEXT($G434)+ISTEXT($H434)+ISTEXT($K434)+ISTEXT($N434)+ISTEXT($O434)+ISTEXT($Q434)+ISTEXT($R434)+ISTEXT($S434)&gt;0,"⚠ 金额列里有文字，算不进合计",IF(N($G434)&gt;=1,"⚠ 管理费点要填百分比，如 10%",IF(AND($D434&lt;&gt;"",$B434=""),"△ 摘要开头没写日期（如 2026.9.21），月份取不到",IF(AND(N($H434)&lt;&gt;0,COUNTIFS($A$4:$A$1003,$A434,$H$4:$H$1003,$H434,$D$4:$D$1003,LEFT($D434,9)&amp;"*")&gt;1),"△ 同一天同项目有一样的销售金额，看看是不是录重了","✓"))))))))</f>
        <v/>
      </c>
      <c r="W434" s="8" t="str">
        <f aca="false">IF($A434="","",$A434&amp;"#"&amp;COUNTIF($A$4:$A434,$A434))</f>
        <v/>
      </c>
    </row>
    <row r="435" customFormat="false" ht="16.5" hidden="false" customHeight="false" outlineLevel="0" collapsed="false">
      <c r="A435" s="44" t="str">
        <f aca="false">IF($C435="","",IFERROR(VLOOKUP($C435,目录!$B:$C,2,0)&amp;"","⚠目录里没有"))</f>
        <v/>
      </c>
      <c r="B435" s="45" t="str">
        <f aca="false">IF($D435="","",IFERROR(MID($D435,FIND(".",$D435)+1,FIND(".",$D435,FIND(".",$D435)+1)-FIND(".",$D435)-1)&amp;"月",""))</f>
        <v/>
      </c>
      <c r="C435" s="46"/>
      <c r="D435" s="47"/>
      <c r="E435" s="47"/>
      <c r="F435" s="49"/>
      <c r="G435" s="50"/>
      <c r="H435" s="24"/>
      <c r="I435" s="24" t="str">
        <f aca="false">IF($H435="","",N($H435)*N($G435))</f>
        <v/>
      </c>
      <c r="J435" s="25" t="str">
        <f aca="false">IF($H435="","",N($H435)-N($I435))</f>
        <v/>
      </c>
      <c r="K435" s="25"/>
      <c r="L435" s="25" t="str">
        <f aca="false">IF($A435="","",SUMIF($A$4:$A435,$A435,$J$4:$J435)-SUMIF($A$4:$A435,$A435,$K$4:$K435))</f>
        <v/>
      </c>
      <c r="M435" s="26" t="str">
        <f aca="false">IF($H435="","",N($H435))</f>
        <v/>
      </c>
      <c r="N435" s="26"/>
      <c r="O435" s="26"/>
      <c r="P435" s="26" t="str">
        <f aca="false">IF($A435="","",SUMIF($A$4:$A435,$A435,$M$4:$M435)-SUMIF($A$4:$A435,$A435,$N$4:$N435)-SUMIF($A$4:$A435,$A435,$O$4:$O435))</f>
        <v/>
      </c>
      <c r="Q435" s="27"/>
      <c r="R435" s="28"/>
      <c r="S435" s="28"/>
      <c r="T435" s="28" t="str">
        <f aca="false">IF($A435="","",SUMIF($A$4:$A435,$A435,$Q$4:$Q435)-SUMIF($A$4:$A435,$A435,$R$4:$R435)-SUMIF($A$4:$A435,$A435,$S$4:$S435))</f>
        <v/>
      </c>
      <c r="U435" s="28"/>
      <c r="V435" s="29" t="str">
        <f aca="false">IF(AND($C435="",COUNTA($D435:$H435,$K435,$N435:$O435,$Q435:$S435,$U435)=0),"",IF($C435="","⚠ 没填项目名称",IF($A435="⚠目录里没有","⚠ 项目名称在目录里找不到（先加到目录）",IF($A435="","⚠ 目录里这个项目没填简称",IF(ISTEXT($G435)+ISTEXT($H435)+ISTEXT($K435)+ISTEXT($N435)+ISTEXT($O435)+ISTEXT($Q435)+ISTEXT($R435)+ISTEXT($S435)&gt;0,"⚠ 金额列里有文字，算不进合计",IF(N($G435)&gt;=1,"⚠ 管理费点要填百分比，如 10%",IF(AND($D435&lt;&gt;"",$B435=""),"△ 摘要开头没写日期（如 2026.9.21），月份取不到",IF(AND(N($H435)&lt;&gt;0,COUNTIFS($A$4:$A$1003,$A435,$H$4:$H$1003,$H435,$D$4:$D$1003,LEFT($D435,9)&amp;"*")&gt;1),"△ 同一天同项目有一样的销售金额，看看是不是录重了","✓"))))))))</f>
        <v/>
      </c>
      <c r="W435" s="8" t="str">
        <f aca="false">IF($A435="","",$A435&amp;"#"&amp;COUNTIF($A$4:$A435,$A435))</f>
        <v/>
      </c>
    </row>
    <row r="436" customFormat="false" ht="16.5" hidden="false" customHeight="false" outlineLevel="0" collapsed="false">
      <c r="A436" s="44" t="str">
        <f aca="false">IF($C436="","",IFERROR(VLOOKUP($C436,目录!$B:$C,2,0)&amp;"","⚠目录里没有"))</f>
        <v/>
      </c>
      <c r="B436" s="45" t="str">
        <f aca="false">IF($D436="","",IFERROR(MID($D436,FIND(".",$D436)+1,FIND(".",$D436,FIND(".",$D436)+1)-FIND(".",$D436)-1)&amp;"月",""))</f>
        <v/>
      </c>
      <c r="C436" s="46"/>
      <c r="D436" s="47"/>
      <c r="E436" s="47"/>
      <c r="F436" s="49"/>
      <c r="G436" s="50"/>
      <c r="H436" s="24"/>
      <c r="I436" s="24" t="str">
        <f aca="false">IF($H436="","",N($H436)*N($G436))</f>
        <v/>
      </c>
      <c r="J436" s="25" t="str">
        <f aca="false">IF($H436="","",N($H436)-N($I436))</f>
        <v/>
      </c>
      <c r="K436" s="25"/>
      <c r="L436" s="25" t="str">
        <f aca="false">IF($A436="","",SUMIF($A$4:$A436,$A436,$J$4:$J436)-SUMIF($A$4:$A436,$A436,$K$4:$K436))</f>
        <v/>
      </c>
      <c r="M436" s="26" t="str">
        <f aca="false">IF($H436="","",N($H436))</f>
        <v/>
      </c>
      <c r="N436" s="26"/>
      <c r="O436" s="26"/>
      <c r="P436" s="26" t="str">
        <f aca="false">IF($A436="","",SUMIF($A$4:$A436,$A436,$M$4:$M436)-SUMIF($A$4:$A436,$A436,$N$4:$N436)-SUMIF($A$4:$A436,$A436,$O$4:$O436))</f>
        <v/>
      </c>
      <c r="Q436" s="27"/>
      <c r="R436" s="28"/>
      <c r="S436" s="28"/>
      <c r="T436" s="28" t="str">
        <f aca="false">IF($A436="","",SUMIF($A$4:$A436,$A436,$Q$4:$Q436)-SUMIF($A$4:$A436,$A436,$R$4:$R436)-SUMIF($A$4:$A436,$A436,$S$4:$S436))</f>
        <v/>
      </c>
      <c r="U436" s="28"/>
      <c r="V436" s="29" t="str">
        <f aca="false">IF(AND($C436="",COUNTA($D436:$H436,$K436,$N436:$O436,$Q436:$S436,$U436)=0),"",IF($C436="","⚠ 没填项目名称",IF($A436="⚠目录里没有","⚠ 项目名称在目录里找不到（先加到目录）",IF($A436="","⚠ 目录里这个项目没填简称",IF(ISTEXT($G436)+ISTEXT($H436)+ISTEXT($K436)+ISTEXT($N436)+ISTEXT($O436)+ISTEXT($Q436)+ISTEXT($R436)+ISTEXT($S436)&gt;0,"⚠ 金额列里有文字，算不进合计",IF(N($G436)&gt;=1,"⚠ 管理费点要填百分比，如 10%",IF(AND($D436&lt;&gt;"",$B436=""),"△ 摘要开头没写日期（如 2026.9.21），月份取不到",IF(AND(N($H436)&lt;&gt;0,COUNTIFS($A$4:$A$1003,$A436,$H$4:$H$1003,$H436,$D$4:$D$1003,LEFT($D436,9)&amp;"*")&gt;1),"△ 同一天同项目有一样的销售金额，看看是不是录重了","✓"))))))))</f>
        <v/>
      </c>
      <c r="W436" s="8" t="str">
        <f aca="false">IF($A436="","",$A436&amp;"#"&amp;COUNTIF($A$4:$A436,$A436))</f>
        <v/>
      </c>
    </row>
    <row r="437" customFormat="false" ht="16.5" hidden="false" customHeight="false" outlineLevel="0" collapsed="false">
      <c r="A437" s="44" t="str">
        <f aca="false">IF($C437="","",IFERROR(VLOOKUP($C437,目录!$B:$C,2,0)&amp;"","⚠目录里没有"))</f>
        <v/>
      </c>
      <c r="B437" s="45" t="str">
        <f aca="false">IF($D437="","",IFERROR(MID($D437,FIND(".",$D437)+1,FIND(".",$D437,FIND(".",$D437)+1)-FIND(".",$D437)-1)&amp;"月",""))</f>
        <v/>
      </c>
      <c r="C437" s="46"/>
      <c r="D437" s="47"/>
      <c r="E437" s="47"/>
      <c r="F437" s="49"/>
      <c r="G437" s="50"/>
      <c r="H437" s="24"/>
      <c r="I437" s="24" t="str">
        <f aca="false">IF($H437="","",N($H437)*N($G437))</f>
        <v/>
      </c>
      <c r="J437" s="25" t="str">
        <f aca="false">IF($H437="","",N($H437)-N($I437))</f>
        <v/>
      </c>
      <c r="K437" s="25"/>
      <c r="L437" s="25" t="str">
        <f aca="false">IF($A437="","",SUMIF($A$4:$A437,$A437,$J$4:$J437)-SUMIF($A$4:$A437,$A437,$K$4:$K437))</f>
        <v/>
      </c>
      <c r="M437" s="26" t="str">
        <f aca="false">IF($H437="","",N($H437))</f>
        <v/>
      </c>
      <c r="N437" s="26"/>
      <c r="O437" s="26"/>
      <c r="P437" s="26" t="str">
        <f aca="false">IF($A437="","",SUMIF($A$4:$A437,$A437,$M$4:$M437)-SUMIF($A$4:$A437,$A437,$N$4:$N437)-SUMIF($A$4:$A437,$A437,$O$4:$O437))</f>
        <v/>
      </c>
      <c r="Q437" s="27"/>
      <c r="R437" s="28"/>
      <c r="S437" s="28"/>
      <c r="T437" s="28" t="str">
        <f aca="false">IF($A437="","",SUMIF($A$4:$A437,$A437,$Q$4:$Q437)-SUMIF($A$4:$A437,$A437,$R$4:$R437)-SUMIF($A$4:$A437,$A437,$S$4:$S437))</f>
        <v/>
      </c>
      <c r="U437" s="28"/>
      <c r="V437" s="29" t="str">
        <f aca="false">IF(AND($C437="",COUNTA($D437:$H437,$K437,$N437:$O437,$Q437:$S437,$U437)=0),"",IF($C437="","⚠ 没填项目名称",IF($A437="⚠目录里没有","⚠ 项目名称在目录里找不到（先加到目录）",IF($A437="","⚠ 目录里这个项目没填简称",IF(ISTEXT($G437)+ISTEXT($H437)+ISTEXT($K437)+ISTEXT($N437)+ISTEXT($O437)+ISTEXT($Q437)+ISTEXT($R437)+ISTEXT($S437)&gt;0,"⚠ 金额列里有文字，算不进合计",IF(N($G437)&gt;=1,"⚠ 管理费点要填百分比，如 10%",IF(AND($D437&lt;&gt;"",$B437=""),"△ 摘要开头没写日期（如 2026.9.21），月份取不到",IF(AND(N($H437)&lt;&gt;0,COUNTIFS($A$4:$A$1003,$A437,$H$4:$H$1003,$H437,$D$4:$D$1003,LEFT($D437,9)&amp;"*")&gt;1),"△ 同一天同项目有一样的销售金额，看看是不是录重了","✓"))))))))</f>
        <v/>
      </c>
      <c r="W437" s="8" t="str">
        <f aca="false">IF($A437="","",$A437&amp;"#"&amp;COUNTIF($A$4:$A437,$A437))</f>
        <v/>
      </c>
    </row>
    <row r="438" customFormat="false" ht="16.5" hidden="false" customHeight="false" outlineLevel="0" collapsed="false">
      <c r="A438" s="44" t="str">
        <f aca="false">IF($C438="","",IFERROR(VLOOKUP($C438,目录!$B:$C,2,0)&amp;"","⚠目录里没有"))</f>
        <v/>
      </c>
      <c r="B438" s="45" t="str">
        <f aca="false">IF($D438="","",IFERROR(MID($D438,FIND(".",$D438)+1,FIND(".",$D438,FIND(".",$D438)+1)-FIND(".",$D438)-1)&amp;"月",""))</f>
        <v/>
      </c>
      <c r="C438" s="46"/>
      <c r="D438" s="47"/>
      <c r="E438" s="47"/>
      <c r="F438" s="49"/>
      <c r="G438" s="50"/>
      <c r="H438" s="24"/>
      <c r="I438" s="24" t="str">
        <f aca="false">IF($H438="","",N($H438)*N($G438))</f>
        <v/>
      </c>
      <c r="J438" s="25" t="str">
        <f aca="false">IF($H438="","",N($H438)-N($I438))</f>
        <v/>
      </c>
      <c r="K438" s="25"/>
      <c r="L438" s="25" t="str">
        <f aca="false">IF($A438="","",SUMIF($A$4:$A438,$A438,$J$4:$J438)-SUMIF($A$4:$A438,$A438,$K$4:$K438))</f>
        <v/>
      </c>
      <c r="M438" s="26" t="str">
        <f aca="false">IF($H438="","",N($H438))</f>
        <v/>
      </c>
      <c r="N438" s="26"/>
      <c r="O438" s="26"/>
      <c r="P438" s="26" t="str">
        <f aca="false">IF($A438="","",SUMIF($A$4:$A438,$A438,$M$4:$M438)-SUMIF($A$4:$A438,$A438,$N$4:$N438)-SUMIF($A$4:$A438,$A438,$O$4:$O438))</f>
        <v/>
      </c>
      <c r="Q438" s="27"/>
      <c r="R438" s="28"/>
      <c r="S438" s="28"/>
      <c r="T438" s="28" t="str">
        <f aca="false">IF($A438="","",SUMIF($A$4:$A438,$A438,$Q$4:$Q438)-SUMIF($A$4:$A438,$A438,$R$4:$R438)-SUMIF($A$4:$A438,$A438,$S$4:$S438))</f>
        <v/>
      </c>
      <c r="U438" s="28"/>
      <c r="V438" s="29" t="str">
        <f aca="false">IF(AND($C438="",COUNTA($D438:$H438,$K438,$N438:$O438,$Q438:$S438,$U438)=0),"",IF($C438="","⚠ 没填项目名称",IF($A438="⚠目录里没有","⚠ 项目名称在目录里找不到（先加到目录）",IF($A438="","⚠ 目录里这个项目没填简称",IF(ISTEXT($G438)+ISTEXT($H438)+ISTEXT($K438)+ISTEXT($N438)+ISTEXT($O438)+ISTEXT($Q438)+ISTEXT($R438)+ISTEXT($S438)&gt;0,"⚠ 金额列里有文字，算不进合计",IF(N($G438)&gt;=1,"⚠ 管理费点要填百分比，如 10%",IF(AND($D438&lt;&gt;"",$B438=""),"△ 摘要开头没写日期（如 2026.9.21），月份取不到",IF(AND(N($H438)&lt;&gt;0,COUNTIFS($A$4:$A$1003,$A438,$H$4:$H$1003,$H438,$D$4:$D$1003,LEFT($D438,9)&amp;"*")&gt;1),"△ 同一天同项目有一样的销售金额，看看是不是录重了","✓"))))))))</f>
        <v/>
      </c>
      <c r="W438" s="8" t="str">
        <f aca="false">IF($A438="","",$A438&amp;"#"&amp;COUNTIF($A$4:$A438,$A438))</f>
        <v/>
      </c>
    </row>
    <row r="439" customFormat="false" ht="16.5" hidden="false" customHeight="false" outlineLevel="0" collapsed="false">
      <c r="A439" s="44" t="str">
        <f aca="false">IF($C439="","",IFERROR(VLOOKUP($C439,目录!$B:$C,2,0)&amp;"","⚠目录里没有"))</f>
        <v/>
      </c>
      <c r="B439" s="45" t="str">
        <f aca="false">IF($D439="","",IFERROR(MID($D439,FIND(".",$D439)+1,FIND(".",$D439,FIND(".",$D439)+1)-FIND(".",$D439)-1)&amp;"月",""))</f>
        <v/>
      </c>
      <c r="C439" s="46"/>
      <c r="D439" s="47"/>
      <c r="E439" s="47"/>
      <c r="F439" s="49"/>
      <c r="G439" s="50"/>
      <c r="H439" s="24"/>
      <c r="I439" s="24" t="str">
        <f aca="false">IF($H439="","",N($H439)*N($G439))</f>
        <v/>
      </c>
      <c r="J439" s="25" t="str">
        <f aca="false">IF($H439="","",N($H439)-N($I439))</f>
        <v/>
      </c>
      <c r="K439" s="25"/>
      <c r="L439" s="25" t="str">
        <f aca="false">IF($A439="","",SUMIF($A$4:$A439,$A439,$J$4:$J439)-SUMIF($A$4:$A439,$A439,$K$4:$K439))</f>
        <v/>
      </c>
      <c r="M439" s="26" t="str">
        <f aca="false">IF($H439="","",N($H439))</f>
        <v/>
      </c>
      <c r="N439" s="26"/>
      <c r="O439" s="26"/>
      <c r="P439" s="26" t="str">
        <f aca="false">IF($A439="","",SUMIF($A$4:$A439,$A439,$M$4:$M439)-SUMIF($A$4:$A439,$A439,$N$4:$N439)-SUMIF($A$4:$A439,$A439,$O$4:$O439))</f>
        <v/>
      </c>
      <c r="Q439" s="27"/>
      <c r="R439" s="28"/>
      <c r="S439" s="28"/>
      <c r="T439" s="28" t="str">
        <f aca="false">IF($A439="","",SUMIF($A$4:$A439,$A439,$Q$4:$Q439)-SUMIF($A$4:$A439,$A439,$R$4:$R439)-SUMIF($A$4:$A439,$A439,$S$4:$S439))</f>
        <v/>
      </c>
      <c r="U439" s="28"/>
      <c r="V439" s="29" t="str">
        <f aca="false">IF(AND($C439="",COUNTA($D439:$H439,$K439,$N439:$O439,$Q439:$S439,$U439)=0),"",IF($C439="","⚠ 没填项目名称",IF($A439="⚠目录里没有","⚠ 项目名称在目录里找不到（先加到目录）",IF($A439="","⚠ 目录里这个项目没填简称",IF(ISTEXT($G439)+ISTEXT($H439)+ISTEXT($K439)+ISTEXT($N439)+ISTEXT($O439)+ISTEXT($Q439)+ISTEXT($R439)+ISTEXT($S439)&gt;0,"⚠ 金额列里有文字，算不进合计",IF(N($G439)&gt;=1,"⚠ 管理费点要填百分比，如 10%",IF(AND($D439&lt;&gt;"",$B439=""),"△ 摘要开头没写日期（如 2026.9.21），月份取不到",IF(AND(N($H439)&lt;&gt;0,COUNTIFS($A$4:$A$1003,$A439,$H$4:$H$1003,$H439,$D$4:$D$1003,LEFT($D439,9)&amp;"*")&gt;1),"△ 同一天同项目有一样的销售金额，看看是不是录重了","✓"))))))))</f>
        <v/>
      </c>
      <c r="W439" s="8" t="str">
        <f aca="false">IF($A439="","",$A439&amp;"#"&amp;COUNTIF($A$4:$A439,$A439))</f>
        <v/>
      </c>
    </row>
    <row r="440" customFormat="false" ht="16.5" hidden="false" customHeight="false" outlineLevel="0" collapsed="false">
      <c r="A440" s="44" t="str">
        <f aca="false">IF($C440="","",IFERROR(VLOOKUP($C440,目录!$B:$C,2,0)&amp;"","⚠目录里没有"))</f>
        <v/>
      </c>
      <c r="B440" s="45" t="str">
        <f aca="false">IF($D440="","",IFERROR(MID($D440,FIND(".",$D440)+1,FIND(".",$D440,FIND(".",$D440)+1)-FIND(".",$D440)-1)&amp;"月",""))</f>
        <v/>
      </c>
      <c r="C440" s="46"/>
      <c r="D440" s="47"/>
      <c r="E440" s="47"/>
      <c r="F440" s="49"/>
      <c r="G440" s="50"/>
      <c r="H440" s="24"/>
      <c r="I440" s="24" t="str">
        <f aca="false">IF($H440="","",N($H440)*N($G440))</f>
        <v/>
      </c>
      <c r="J440" s="25" t="str">
        <f aca="false">IF($H440="","",N($H440)-N($I440))</f>
        <v/>
      </c>
      <c r="K440" s="25"/>
      <c r="L440" s="25" t="str">
        <f aca="false">IF($A440="","",SUMIF($A$4:$A440,$A440,$J$4:$J440)-SUMIF($A$4:$A440,$A440,$K$4:$K440))</f>
        <v/>
      </c>
      <c r="M440" s="26" t="str">
        <f aca="false">IF($H440="","",N($H440))</f>
        <v/>
      </c>
      <c r="N440" s="26"/>
      <c r="O440" s="26"/>
      <c r="P440" s="26" t="str">
        <f aca="false">IF($A440="","",SUMIF($A$4:$A440,$A440,$M$4:$M440)-SUMIF($A$4:$A440,$A440,$N$4:$N440)-SUMIF($A$4:$A440,$A440,$O$4:$O440))</f>
        <v/>
      </c>
      <c r="Q440" s="27"/>
      <c r="R440" s="28"/>
      <c r="S440" s="28"/>
      <c r="T440" s="28" t="str">
        <f aca="false">IF($A440="","",SUMIF($A$4:$A440,$A440,$Q$4:$Q440)-SUMIF($A$4:$A440,$A440,$R$4:$R440)-SUMIF($A$4:$A440,$A440,$S$4:$S440))</f>
        <v/>
      </c>
      <c r="U440" s="28"/>
      <c r="V440" s="29" t="str">
        <f aca="false">IF(AND($C440="",COUNTA($D440:$H440,$K440,$N440:$O440,$Q440:$S440,$U440)=0),"",IF($C440="","⚠ 没填项目名称",IF($A440="⚠目录里没有","⚠ 项目名称在目录里找不到（先加到目录）",IF($A440="","⚠ 目录里这个项目没填简称",IF(ISTEXT($G440)+ISTEXT($H440)+ISTEXT($K440)+ISTEXT($N440)+ISTEXT($O440)+ISTEXT($Q440)+ISTEXT($R440)+ISTEXT($S440)&gt;0,"⚠ 金额列里有文字，算不进合计",IF(N($G440)&gt;=1,"⚠ 管理费点要填百分比，如 10%",IF(AND($D440&lt;&gt;"",$B440=""),"△ 摘要开头没写日期（如 2026.9.21），月份取不到",IF(AND(N($H440)&lt;&gt;0,COUNTIFS($A$4:$A$1003,$A440,$H$4:$H$1003,$H440,$D$4:$D$1003,LEFT($D440,9)&amp;"*")&gt;1),"△ 同一天同项目有一样的销售金额，看看是不是录重了","✓"))))))))</f>
        <v/>
      </c>
      <c r="W440" s="8" t="str">
        <f aca="false">IF($A440="","",$A440&amp;"#"&amp;COUNTIF($A$4:$A440,$A440))</f>
        <v/>
      </c>
    </row>
    <row r="441" customFormat="false" ht="16.5" hidden="false" customHeight="false" outlineLevel="0" collapsed="false">
      <c r="A441" s="44" t="str">
        <f aca="false">IF($C441="","",IFERROR(VLOOKUP($C441,目录!$B:$C,2,0)&amp;"","⚠目录里没有"))</f>
        <v/>
      </c>
      <c r="B441" s="45" t="str">
        <f aca="false">IF($D441="","",IFERROR(MID($D441,FIND(".",$D441)+1,FIND(".",$D441,FIND(".",$D441)+1)-FIND(".",$D441)-1)&amp;"月",""))</f>
        <v/>
      </c>
      <c r="C441" s="46"/>
      <c r="D441" s="47"/>
      <c r="E441" s="47"/>
      <c r="F441" s="49"/>
      <c r="G441" s="50"/>
      <c r="H441" s="24"/>
      <c r="I441" s="24" t="str">
        <f aca="false">IF($H441="","",N($H441)*N($G441))</f>
        <v/>
      </c>
      <c r="J441" s="25" t="str">
        <f aca="false">IF($H441="","",N($H441)-N($I441))</f>
        <v/>
      </c>
      <c r="K441" s="25"/>
      <c r="L441" s="25" t="str">
        <f aca="false">IF($A441="","",SUMIF($A$4:$A441,$A441,$J$4:$J441)-SUMIF($A$4:$A441,$A441,$K$4:$K441))</f>
        <v/>
      </c>
      <c r="M441" s="26" t="str">
        <f aca="false">IF($H441="","",N($H441))</f>
        <v/>
      </c>
      <c r="N441" s="26"/>
      <c r="O441" s="26"/>
      <c r="P441" s="26" t="str">
        <f aca="false">IF($A441="","",SUMIF($A$4:$A441,$A441,$M$4:$M441)-SUMIF($A$4:$A441,$A441,$N$4:$N441)-SUMIF($A$4:$A441,$A441,$O$4:$O441))</f>
        <v/>
      </c>
      <c r="Q441" s="27"/>
      <c r="R441" s="28"/>
      <c r="S441" s="28"/>
      <c r="T441" s="28" t="str">
        <f aca="false">IF($A441="","",SUMIF($A$4:$A441,$A441,$Q$4:$Q441)-SUMIF($A$4:$A441,$A441,$R$4:$R441)-SUMIF($A$4:$A441,$A441,$S$4:$S441))</f>
        <v/>
      </c>
      <c r="U441" s="28"/>
      <c r="V441" s="29" t="str">
        <f aca="false">IF(AND($C441="",COUNTA($D441:$H441,$K441,$N441:$O441,$Q441:$S441,$U441)=0),"",IF($C441="","⚠ 没填项目名称",IF($A441="⚠目录里没有","⚠ 项目名称在目录里找不到（先加到目录）",IF($A441="","⚠ 目录里这个项目没填简称",IF(ISTEXT($G441)+ISTEXT($H441)+ISTEXT($K441)+ISTEXT($N441)+ISTEXT($O441)+ISTEXT($Q441)+ISTEXT($R441)+ISTEXT($S441)&gt;0,"⚠ 金额列里有文字，算不进合计",IF(N($G441)&gt;=1,"⚠ 管理费点要填百分比，如 10%",IF(AND($D441&lt;&gt;"",$B441=""),"△ 摘要开头没写日期（如 2026.9.21），月份取不到",IF(AND(N($H441)&lt;&gt;0,COUNTIFS($A$4:$A$1003,$A441,$H$4:$H$1003,$H441,$D$4:$D$1003,LEFT($D441,9)&amp;"*")&gt;1),"△ 同一天同项目有一样的销售金额，看看是不是录重了","✓"))))))))</f>
        <v/>
      </c>
      <c r="W441" s="8" t="str">
        <f aca="false">IF($A441="","",$A441&amp;"#"&amp;COUNTIF($A$4:$A441,$A441))</f>
        <v/>
      </c>
    </row>
    <row r="442" customFormat="false" ht="16.5" hidden="false" customHeight="false" outlineLevel="0" collapsed="false">
      <c r="A442" s="44" t="str">
        <f aca="false">IF($C442="","",IFERROR(VLOOKUP($C442,目录!$B:$C,2,0)&amp;"","⚠目录里没有"))</f>
        <v/>
      </c>
      <c r="B442" s="45" t="str">
        <f aca="false">IF($D442="","",IFERROR(MID($D442,FIND(".",$D442)+1,FIND(".",$D442,FIND(".",$D442)+1)-FIND(".",$D442)-1)&amp;"月",""))</f>
        <v/>
      </c>
      <c r="C442" s="46"/>
      <c r="D442" s="47"/>
      <c r="E442" s="47"/>
      <c r="F442" s="49"/>
      <c r="G442" s="50"/>
      <c r="H442" s="24"/>
      <c r="I442" s="24" t="str">
        <f aca="false">IF($H442="","",N($H442)*N($G442))</f>
        <v/>
      </c>
      <c r="J442" s="25" t="str">
        <f aca="false">IF($H442="","",N($H442)-N($I442))</f>
        <v/>
      </c>
      <c r="K442" s="25"/>
      <c r="L442" s="25" t="str">
        <f aca="false">IF($A442="","",SUMIF($A$4:$A442,$A442,$J$4:$J442)-SUMIF($A$4:$A442,$A442,$K$4:$K442))</f>
        <v/>
      </c>
      <c r="M442" s="26" t="str">
        <f aca="false">IF($H442="","",N($H442))</f>
        <v/>
      </c>
      <c r="N442" s="26"/>
      <c r="O442" s="26"/>
      <c r="P442" s="26" t="str">
        <f aca="false">IF($A442="","",SUMIF($A$4:$A442,$A442,$M$4:$M442)-SUMIF($A$4:$A442,$A442,$N$4:$N442)-SUMIF($A$4:$A442,$A442,$O$4:$O442))</f>
        <v/>
      </c>
      <c r="Q442" s="27"/>
      <c r="R442" s="28"/>
      <c r="S442" s="28"/>
      <c r="T442" s="28" t="str">
        <f aca="false">IF($A442="","",SUMIF($A$4:$A442,$A442,$Q$4:$Q442)-SUMIF($A$4:$A442,$A442,$R$4:$R442)-SUMIF($A$4:$A442,$A442,$S$4:$S442))</f>
        <v/>
      </c>
      <c r="U442" s="28"/>
      <c r="V442" s="29" t="str">
        <f aca="false">IF(AND($C442="",COUNTA($D442:$H442,$K442,$N442:$O442,$Q442:$S442,$U442)=0),"",IF($C442="","⚠ 没填项目名称",IF($A442="⚠目录里没有","⚠ 项目名称在目录里找不到（先加到目录）",IF($A442="","⚠ 目录里这个项目没填简称",IF(ISTEXT($G442)+ISTEXT($H442)+ISTEXT($K442)+ISTEXT($N442)+ISTEXT($O442)+ISTEXT($Q442)+ISTEXT($R442)+ISTEXT($S442)&gt;0,"⚠ 金额列里有文字，算不进合计",IF(N($G442)&gt;=1,"⚠ 管理费点要填百分比，如 10%",IF(AND($D442&lt;&gt;"",$B442=""),"△ 摘要开头没写日期（如 2026.9.21），月份取不到",IF(AND(N($H442)&lt;&gt;0,COUNTIFS($A$4:$A$1003,$A442,$H$4:$H$1003,$H442,$D$4:$D$1003,LEFT($D442,9)&amp;"*")&gt;1),"△ 同一天同项目有一样的销售金额，看看是不是录重了","✓"))))))))</f>
        <v/>
      </c>
      <c r="W442" s="8" t="str">
        <f aca="false">IF($A442="","",$A442&amp;"#"&amp;COUNTIF($A$4:$A442,$A442))</f>
        <v/>
      </c>
    </row>
    <row r="443" customFormat="false" ht="16.5" hidden="false" customHeight="false" outlineLevel="0" collapsed="false">
      <c r="A443" s="44" t="str">
        <f aca="false">IF($C443="","",IFERROR(VLOOKUP($C443,目录!$B:$C,2,0)&amp;"","⚠目录里没有"))</f>
        <v/>
      </c>
      <c r="B443" s="45" t="str">
        <f aca="false">IF($D443="","",IFERROR(MID($D443,FIND(".",$D443)+1,FIND(".",$D443,FIND(".",$D443)+1)-FIND(".",$D443)-1)&amp;"月",""))</f>
        <v/>
      </c>
      <c r="C443" s="46"/>
      <c r="D443" s="47"/>
      <c r="E443" s="47"/>
      <c r="F443" s="49"/>
      <c r="G443" s="50"/>
      <c r="H443" s="24"/>
      <c r="I443" s="24" t="str">
        <f aca="false">IF($H443="","",N($H443)*N($G443))</f>
        <v/>
      </c>
      <c r="J443" s="25" t="str">
        <f aca="false">IF($H443="","",N($H443)-N($I443))</f>
        <v/>
      </c>
      <c r="K443" s="25"/>
      <c r="L443" s="25" t="str">
        <f aca="false">IF($A443="","",SUMIF($A$4:$A443,$A443,$J$4:$J443)-SUMIF($A$4:$A443,$A443,$K$4:$K443))</f>
        <v/>
      </c>
      <c r="M443" s="26" t="str">
        <f aca="false">IF($H443="","",N($H443))</f>
        <v/>
      </c>
      <c r="N443" s="26"/>
      <c r="O443" s="26"/>
      <c r="P443" s="26" t="str">
        <f aca="false">IF($A443="","",SUMIF($A$4:$A443,$A443,$M$4:$M443)-SUMIF($A$4:$A443,$A443,$N$4:$N443)-SUMIF($A$4:$A443,$A443,$O$4:$O443))</f>
        <v/>
      </c>
      <c r="Q443" s="27"/>
      <c r="R443" s="28"/>
      <c r="S443" s="28"/>
      <c r="T443" s="28" t="str">
        <f aca="false">IF($A443="","",SUMIF($A$4:$A443,$A443,$Q$4:$Q443)-SUMIF($A$4:$A443,$A443,$R$4:$R443)-SUMIF($A$4:$A443,$A443,$S$4:$S443))</f>
        <v/>
      </c>
      <c r="U443" s="28"/>
      <c r="V443" s="29" t="str">
        <f aca="false">IF(AND($C443="",COUNTA($D443:$H443,$K443,$N443:$O443,$Q443:$S443,$U443)=0),"",IF($C443="","⚠ 没填项目名称",IF($A443="⚠目录里没有","⚠ 项目名称在目录里找不到（先加到目录）",IF($A443="","⚠ 目录里这个项目没填简称",IF(ISTEXT($G443)+ISTEXT($H443)+ISTEXT($K443)+ISTEXT($N443)+ISTEXT($O443)+ISTEXT($Q443)+ISTEXT($R443)+ISTEXT($S443)&gt;0,"⚠ 金额列里有文字，算不进合计",IF(N($G443)&gt;=1,"⚠ 管理费点要填百分比，如 10%",IF(AND($D443&lt;&gt;"",$B443=""),"△ 摘要开头没写日期（如 2026.9.21），月份取不到",IF(AND(N($H443)&lt;&gt;0,COUNTIFS($A$4:$A$1003,$A443,$H$4:$H$1003,$H443,$D$4:$D$1003,LEFT($D443,9)&amp;"*")&gt;1),"△ 同一天同项目有一样的销售金额，看看是不是录重了","✓"))))))))</f>
        <v/>
      </c>
      <c r="W443" s="8" t="str">
        <f aca="false">IF($A443="","",$A443&amp;"#"&amp;COUNTIF($A$4:$A443,$A443))</f>
        <v/>
      </c>
    </row>
    <row r="444" customFormat="false" ht="16.5" hidden="false" customHeight="false" outlineLevel="0" collapsed="false">
      <c r="A444" s="44" t="str">
        <f aca="false">IF($C444="","",IFERROR(VLOOKUP($C444,目录!$B:$C,2,0)&amp;"","⚠目录里没有"))</f>
        <v/>
      </c>
      <c r="B444" s="45" t="str">
        <f aca="false">IF($D444="","",IFERROR(MID($D444,FIND(".",$D444)+1,FIND(".",$D444,FIND(".",$D444)+1)-FIND(".",$D444)-1)&amp;"月",""))</f>
        <v/>
      </c>
      <c r="C444" s="46"/>
      <c r="D444" s="47"/>
      <c r="E444" s="47"/>
      <c r="F444" s="49"/>
      <c r="G444" s="50"/>
      <c r="H444" s="24"/>
      <c r="I444" s="24" t="str">
        <f aca="false">IF($H444="","",N($H444)*N($G444))</f>
        <v/>
      </c>
      <c r="J444" s="25" t="str">
        <f aca="false">IF($H444="","",N($H444)-N($I444))</f>
        <v/>
      </c>
      <c r="K444" s="25"/>
      <c r="L444" s="25" t="str">
        <f aca="false">IF($A444="","",SUMIF($A$4:$A444,$A444,$J$4:$J444)-SUMIF($A$4:$A444,$A444,$K$4:$K444))</f>
        <v/>
      </c>
      <c r="M444" s="26" t="str">
        <f aca="false">IF($H444="","",N($H444))</f>
        <v/>
      </c>
      <c r="N444" s="26"/>
      <c r="O444" s="26"/>
      <c r="P444" s="26" t="str">
        <f aca="false">IF($A444="","",SUMIF($A$4:$A444,$A444,$M$4:$M444)-SUMIF($A$4:$A444,$A444,$N$4:$N444)-SUMIF($A$4:$A444,$A444,$O$4:$O444))</f>
        <v/>
      </c>
      <c r="Q444" s="27"/>
      <c r="R444" s="28"/>
      <c r="S444" s="28"/>
      <c r="T444" s="28" t="str">
        <f aca="false">IF($A444="","",SUMIF($A$4:$A444,$A444,$Q$4:$Q444)-SUMIF($A$4:$A444,$A444,$R$4:$R444)-SUMIF($A$4:$A444,$A444,$S$4:$S444))</f>
        <v/>
      </c>
      <c r="U444" s="28"/>
      <c r="V444" s="29" t="str">
        <f aca="false">IF(AND($C444="",COUNTA($D444:$H444,$K444,$N444:$O444,$Q444:$S444,$U444)=0),"",IF($C444="","⚠ 没填项目名称",IF($A444="⚠目录里没有","⚠ 项目名称在目录里找不到（先加到目录）",IF($A444="","⚠ 目录里这个项目没填简称",IF(ISTEXT($G444)+ISTEXT($H444)+ISTEXT($K444)+ISTEXT($N444)+ISTEXT($O444)+ISTEXT($Q444)+ISTEXT($R444)+ISTEXT($S444)&gt;0,"⚠ 金额列里有文字，算不进合计",IF(N($G444)&gt;=1,"⚠ 管理费点要填百分比，如 10%",IF(AND($D444&lt;&gt;"",$B444=""),"△ 摘要开头没写日期（如 2026.9.21），月份取不到",IF(AND(N($H444)&lt;&gt;0,COUNTIFS($A$4:$A$1003,$A444,$H$4:$H$1003,$H444,$D$4:$D$1003,LEFT($D444,9)&amp;"*")&gt;1),"△ 同一天同项目有一样的销售金额，看看是不是录重了","✓"))))))))</f>
        <v/>
      </c>
      <c r="W444" s="8" t="str">
        <f aca="false">IF($A444="","",$A444&amp;"#"&amp;COUNTIF($A$4:$A444,$A444))</f>
        <v/>
      </c>
    </row>
    <row r="445" customFormat="false" ht="16.5" hidden="false" customHeight="false" outlineLevel="0" collapsed="false">
      <c r="A445" s="44" t="str">
        <f aca="false">IF($C445="","",IFERROR(VLOOKUP($C445,目录!$B:$C,2,0)&amp;"","⚠目录里没有"))</f>
        <v/>
      </c>
      <c r="B445" s="45" t="str">
        <f aca="false">IF($D445="","",IFERROR(MID($D445,FIND(".",$D445)+1,FIND(".",$D445,FIND(".",$D445)+1)-FIND(".",$D445)-1)&amp;"月",""))</f>
        <v/>
      </c>
      <c r="C445" s="46"/>
      <c r="D445" s="47"/>
      <c r="E445" s="47"/>
      <c r="F445" s="49"/>
      <c r="G445" s="50"/>
      <c r="H445" s="24"/>
      <c r="I445" s="24" t="str">
        <f aca="false">IF($H445="","",N($H445)*N($G445))</f>
        <v/>
      </c>
      <c r="J445" s="25" t="str">
        <f aca="false">IF($H445="","",N($H445)-N($I445))</f>
        <v/>
      </c>
      <c r="K445" s="25"/>
      <c r="L445" s="25" t="str">
        <f aca="false">IF($A445="","",SUMIF($A$4:$A445,$A445,$J$4:$J445)-SUMIF($A$4:$A445,$A445,$K$4:$K445))</f>
        <v/>
      </c>
      <c r="M445" s="26" t="str">
        <f aca="false">IF($H445="","",N($H445))</f>
        <v/>
      </c>
      <c r="N445" s="26"/>
      <c r="O445" s="26"/>
      <c r="P445" s="26" t="str">
        <f aca="false">IF($A445="","",SUMIF($A$4:$A445,$A445,$M$4:$M445)-SUMIF($A$4:$A445,$A445,$N$4:$N445)-SUMIF($A$4:$A445,$A445,$O$4:$O445))</f>
        <v/>
      </c>
      <c r="Q445" s="27"/>
      <c r="R445" s="28"/>
      <c r="S445" s="28"/>
      <c r="T445" s="28" t="str">
        <f aca="false">IF($A445="","",SUMIF($A$4:$A445,$A445,$Q$4:$Q445)-SUMIF($A$4:$A445,$A445,$R$4:$R445)-SUMIF($A$4:$A445,$A445,$S$4:$S445))</f>
        <v/>
      </c>
      <c r="U445" s="28"/>
      <c r="V445" s="29" t="str">
        <f aca="false">IF(AND($C445="",COUNTA($D445:$H445,$K445,$N445:$O445,$Q445:$S445,$U445)=0),"",IF($C445="","⚠ 没填项目名称",IF($A445="⚠目录里没有","⚠ 项目名称在目录里找不到（先加到目录）",IF($A445="","⚠ 目录里这个项目没填简称",IF(ISTEXT($G445)+ISTEXT($H445)+ISTEXT($K445)+ISTEXT($N445)+ISTEXT($O445)+ISTEXT($Q445)+ISTEXT($R445)+ISTEXT($S445)&gt;0,"⚠ 金额列里有文字，算不进合计",IF(N($G445)&gt;=1,"⚠ 管理费点要填百分比，如 10%",IF(AND($D445&lt;&gt;"",$B445=""),"△ 摘要开头没写日期（如 2026.9.21），月份取不到",IF(AND(N($H445)&lt;&gt;0,COUNTIFS($A$4:$A$1003,$A445,$H$4:$H$1003,$H445,$D$4:$D$1003,LEFT($D445,9)&amp;"*")&gt;1),"△ 同一天同项目有一样的销售金额，看看是不是录重了","✓"))))))))</f>
        <v/>
      </c>
      <c r="W445" s="8" t="str">
        <f aca="false">IF($A445="","",$A445&amp;"#"&amp;COUNTIF($A$4:$A445,$A445))</f>
        <v/>
      </c>
    </row>
    <row r="446" customFormat="false" ht="16.5" hidden="false" customHeight="false" outlineLevel="0" collapsed="false">
      <c r="A446" s="44" t="str">
        <f aca="false">IF($C446="","",IFERROR(VLOOKUP($C446,目录!$B:$C,2,0)&amp;"","⚠目录里没有"))</f>
        <v/>
      </c>
      <c r="B446" s="45" t="str">
        <f aca="false">IF($D446="","",IFERROR(MID($D446,FIND(".",$D446)+1,FIND(".",$D446,FIND(".",$D446)+1)-FIND(".",$D446)-1)&amp;"月",""))</f>
        <v/>
      </c>
      <c r="C446" s="46"/>
      <c r="D446" s="47"/>
      <c r="E446" s="47"/>
      <c r="F446" s="49"/>
      <c r="G446" s="50"/>
      <c r="H446" s="24"/>
      <c r="I446" s="24" t="str">
        <f aca="false">IF($H446="","",N($H446)*N($G446))</f>
        <v/>
      </c>
      <c r="J446" s="25" t="str">
        <f aca="false">IF($H446="","",N($H446)-N($I446))</f>
        <v/>
      </c>
      <c r="K446" s="25"/>
      <c r="L446" s="25" t="str">
        <f aca="false">IF($A446="","",SUMIF($A$4:$A446,$A446,$J$4:$J446)-SUMIF($A$4:$A446,$A446,$K$4:$K446))</f>
        <v/>
      </c>
      <c r="M446" s="26" t="str">
        <f aca="false">IF($H446="","",N($H446))</f>
        <v/>
      </c>
      <c r="N446" s="26"/>
      <c r="O446" s="26"/>
      <c r="P446" s="26" t="str">
        <f aca="false">IF($A446="","",SUMIF($A$4:$A446,$A446,$M$4:$M446)-SUMIF($A$4:$A446,$A446,$N$4:$N446)-SUMIF($A$4:$A446,$A446,$O$4:$O446))</f>
        <v/>
      </c>
      <c r="Q446" s="27"/>
      <c r="R446" s="28"/>
      <c r="S446" s="28"/>
      <c r="T446" s="28" t="str">
        <f aca="false">IF($A446="","",SUMIF($A$4:$A446,$A446,$Q$4:$Q446)-SUMIF($A$4:$A446,$A446,$R$4:$R446)-SUMIF($A$4:$A446,$A446,$S$4:$S446))</f>
        <v/>
      </c>
      <c r="U446" s="28"/>
      <c r="V446" s="29" t="str">
        <f aca="false">IF(AND($C446="",COUNTA($D446:$H446,$K446,$N446:$O446,$Q446:$S446,$U446)=0),"",IF($C446="","⚠ 没填项目名称",IF($A446="⚠目录里没有","⚠ 项目名称在目录里找不到（先加到目录）",IF($A446="","⚠ 目录里这个项目没填简称",IF(ISTEXT($G446)+ISTEXT($H446)+ISTEXT($K446)+ISTEXT($N446)+ISTEXT($O446)+ISTEXT($Q446)+ISTEXT($R446)+ISTEXT($S446)&gt;0,"⚠ 金额列里有文字，算不进合计",IF(N($G446)&gt;=1,"⚠ 管理费点要填百分比，如 10%",IF(AND($D446&lt;&gt;"",$B446=""),"△ 摘要开头没写日期（如 2026.9.21），月份取不到",IF(AND(N($H446)&lt;&gt;0,COUNTIFS($A$4:$A$1003,$A446,$H$4:$H$1003,$H446,$D$4:$D$1003,LEFT($D446,9)&amp;"*")&gt;1),"△ 同一天同项目有一样的销售金额，看看是不是录重了","✓"))))))))</f>
        <v/>
      </c>
      <c r="W446" s="8" t="str">
        <f aca="false">IF($A446="","",$A446&amp;"#"&amp;COUNTIF($A$4:$A446,$A446))</f>
        <v/>
      </c>
    </row>
    <row r="447" customFormat="false" ht="16.5" hidden="false" customHeight="false" outlineLevel="0" collapsed="false">
      <c r="A447" s="44" t="str">
        <f aca="false">IF($C447="","",IFERROR(VLOOKUP($C447,目录!$B:$C,2,0)&amp;"","⚠目录里没有"))</f>
        <v/>
      </c>
      <c r="B447" s="45" t="str">
        <f aca="false">IF($D447="","",IFERROR(MID($D447,FIND(".",$D447)+1,FIND(".",$D447,FIND(".",$D447)+1)-FIND(".",$D447)-1)&amp;"月",""))</f>
        <v/>
      </c>
      <c r="C447" s="46"/>
      <c r="D447" s="47"/>
      <c r="E447" s="47"/>
      <c r="F447" s="49"/>
      <c r="G447" s="50"/>
      <c r="H447" s="24"/>
      <c r="I447" s="24" t="str">
        <f aca="false">IF($H447="","",N($H447)*N($G447))</f>
        <v/>
      </c>
      <c r="J447" s="25" t="str">
        <f aca="false">IF($H447="","",N($H447)-N($I447))</f>
        <v/>
      </c>
      <c r="K447" s="25"/>
      <c r="L447" s="25" t="str">
        <f aca="false">IF($A447="","",SUMIF($A$4:$A447,$A447,$J$4:$J447)-SUMIF($A$4:$A447,$A447,$K$4:$K447))</f>
        <v/>
      </c>
      <c r="M447" s="26" t="str">
        <f aca="false">IF($H447="","",N($H447))</f>
        <v/>
      </c>
      <c r="N447" s="26"/>
      <c r="O447" s="26"/>
      <c r="P447" s="26" t="str">
        <f aca="false">IF($A447="","",SUMIF($A$4:$A447,$A447,$M$4:$M447)-SUMIF($A$4:$A447,$A447,$N$4:$N447)-SUMIF($A$4:$A447,$A447,$O$4:$O447))</f>
        <v/>
      </c>
      <c r="Q447" s="27"/>
      <c r="R447" s="28"/>
      <c r="S447" s="28"/>
      <c r="T447" s="28" t="str">
        <f aca="false">IF($A447="","",SUMIF($A$4:$A447,$A447,$Q$4:$Q447)-SUMIF($A$4:$A447,$A447,$R$4:$R447)-SUMIF($A$4:$A447,$A447,$S$4:$S447))</f>
        <v/>
      </c>
      <c r="U447" s="28"/>
      <c r="V447" s="29" t="str">
        <f aca="false">IF(AND($C447="",COUNTA($D447:$H447,$K447,$N447:$O447,$Q447:$S447,$U447)=0),"",IF($C447="","⚠ 没填项目名称",IF($A447="⚠目录里没有","⚠ 项目名称在目录里找不到（先加到目录）",IF($A447="","⚠ 目录里这个项目没填简称",IF(ISTEXT($G447)+ISTEXT($H447)+ISTEXT($K447)+ISTEXT($N447)+ISTEXT($O447)+ISTEXT($Q447)+ISTEXT($R447)+ISTEXT($S447)&gt;0,"⚠ 金额列里有文字，算不进合计",IF(N($G447)&gt;=1,"⚠ 管理费点要填百分比，如 10%",IF(AND($D447&lt;&gt;"",$B447=""),"△ 摘要开头没写日期（如 2026.9.21），月份取不到",IF(AND(N($H447)&lt;&gt;0,COUNTIFS($A$4:$A$1003,$A447,$H$4:$H$1003,$H447,$D$4:$D$1003,LEFT($D447,9)&amp;"*")&gt;1),"△ 同一天同项目有一样的销售金额，看看是不是录重了","✓"))))))))</f>
        <v/>
      </c>
      <c r="W447" s="8" t="str">
        <f aca="false">IF($A447="","",$A447&amp;"#"&amp;COUNTIF($A$4:$A447,$A447))</f>
        <v/>
      </c>
    </row>
    <row r="448" customFormat="false" ht="16.5" hidden="false" customHeight="false" outlineLevel="0" collapsed="false">
      <c r="A448" s="44" t="str">
        <f aca="false">IF($C448="","",IFERROR(VLOOKUP($C448,目录!$B:$C,2,0)&amp;"","⚠目录里没有"))</f>
        <v/>
      </c>
      <c r="B448" s="45" t="str">
        <f aca="false">IF($D448="","",IFERROR(MID($D448,FIND(".",$D448)+1,FIND(".",$D448,FIND(".",$D448)+1)-FIND(".",$D448)-1)&amp;"月",""))</f>
        <v/>
      </c>
      <c r="C448" s="46"/>
      <c r="D448" s="47"/>
      <c r="E448" s="47"/>
      <c r="F448" s="49"/>
      <c r="G448" s="50"/>
      <c r="H448" s="24"/>
      <c r="I448" s="24" t="str">
        <f aca="false">IF($H448="","",N($H448)*N($G448))</f>
        <v/>
      </c>
      <c r="J448" s="25" t="str">
        <f aca="false">IF($H448="","",N($H448)-N($I448))</f>
        <v/>
      </c>
      <c r="K448" s="25"/>
      <c r="L448" s="25" t="str">
        <f aca="false">IF($A448="","",SUMIF($A$4:$A448,$A448,$J$4:$J448)-SUMIF($A$4:$A448,$A448,$K$4:$K448))</f>
        <v/>
      </c>
      <c r="M448" s="26" t="str">
        <f aca="false">IF($H448="","",N($H448))</f>
        <v/>
      </c>
      <c r="N448" s="26"/>
      <c r="O448" s="26"/>
      <c r="P448" s="26" t="str">
        <f aca="false">IF($A448="","",SUMIF($A$4:$A448,$A448,$M$4:$M448)-SUMIF($A$4:$A448,$A448,$N$4:$N448)-SUMIF($A$4:$A448,$A448,$O$4:$O448))</f>
        <v/>
      </c>
      <c r="Q448" s="27"/>
      <c r="R448" s="28"/>
      <c r="S448" s="28"/>
      <c r="T448" s="28" t="str">
        <f aca="false">IF($A448="","",SUMIF($A$4:$A448,$A448,$Q$4:$Q448)-SUMIF($A$4:$A448,$A448,$R$4:$R448)-SUMIF($A$4:$A448,$A448,$S$4:$S448))</f>
        <v/>
      </c>
      <c r="U448" s="28"/>
      <c r="V448" s="29" t="str">
        <f aca="false">IF(AND($C448="",COUNTA($D448:$H448,$K448,$N448:$O448,$Q448:$S448,$U448)=0),"",IF($C448="","⚠ 没填项目名称",IF($A448="⚠目录里没有","⚠ 项目名称在目录里找不到（先加到目录）",IF($A448="","⚠ 目录里这个项目没填简称",IF(ISTEXT($G448)+ISTEXT($H448)+ISTEXT($K448)+ISTEXT($N448)+ISTEXT($O448)+ISTEXT($Q448)+ISTEXT($R448)+ISTEXT($S448)&gt;0,"⚠ 金额列里有文字，算不进合计",IF(N($G448)&gt;=1,"⚠ 管理费点要填百分比，如 10%",IF(AND($D448&lt;&gt;"",$B448=""),"△ 摘要开头没写日期（如 2026.9.21），月份取不到",IF(AND(N($H448)&lt;&gt;0,COUNTIFS($A$4:$A$1003,$A448,$H$4:$H$1003,$H448,$D$4:$D$1003,LEFT($D448,9)&amp;"*")&gt;1),"△ 同一天同项目有一样的销售金额，看看是不是录重了","✓"))))))))</f>
        <v/>
      </c>
      <c r="W448" s="8" t="str">
        <f aca="false">IF($A448="","",$A448&amp;"#"&amp;COUNTIF($A$4:$A448,$A448))</f>
        <v/>
      </c>
    </row>
    <row r="449" customFormat="false" ht="16.5" hidden="false" customHeight="false" outlineLevel="0" collapsed="false">
      <c r="A449" s="44" t="str">
        <f aca="false">IF($C449="","",IFERROR(VLOOKUP($C449,目录!$B:$C,2,0)&amp;"","⚠目录里没有"))</f>
        <v/>
      </c>
      <c r="B449" s="45" t="str">
        <f aca="false">IF($D449="","",IFERROR(MID($D449,FIND(".",$D449)+1,FIND(".",$D449,FIND(".",$D449)+1)-FIND(".",$D449)-1)&amp;"月",""))</f>
        <v/>
      </c>
      <c r="C449" s="46"/>
      <c r="D449" s="47"/>
      <c r="E449" s="47"/>
      <c r="F449" s="49"/>
      <c r="G449" s="50"/>
      <c r="H449" s="24"/>
      <c r="I449" s="24" t="str">
        <f aca="false">IF($H449="","",N($H449)*N($G449))</f>
        <v/>
      </c>
      <c r="J449" s="25" t="str">
        <f aca="false">IF($H449="","",N($H449)-N($I449))</f>
        <v/>
      </c>
      <c r="K449" s="25"/>
      <c r="L449" s="25" t="str">
        <f aca="false">IF($A449="","",SUMIF($A$4:$A449,$A449,$J$4:$J449)-SUMIF($A$4:$A449,$A449,$K$4:$K449))</f>
        <v/>
      </c>
      <c r="M449" s="26" t="str">
        <f aca="false">IF($H449="","",N($H449))</f>
        <v/>
      </c>
      <c r="N449" s="26"/>
      <c r="O449" s="26"/>
      <c r="P449" s="26" t="str">
        <f aca="false">IF($A449="","",SUMIF($A$4:$A449,$A449,$M$4:$M449)-SUMIF($A$4:$A449,$A449,$N$4:$N449)-SUMIF($A$4:$A449,$A449,$O$4:$O449))</f>
        <v/>
      </c>
      <c r="Q449" s="27"/>
      <c r="R449" s="28"/>
      <c r="S449" s="28"/>
      <c r="T449" s="28" t="str">
        <f aca="false">IF($A449="","",SUMIF($A$4:$A449,$A449,$Q$4:$Q449)-SUMIF($A$4:$A449,$A449,$R$4:$R449)-SUMIF($A$4:$A449,$A449,$S$4:$S449))</f>
        <v/>
      </c>
      <c r="U449" s="28"/>
      <c r="V449" s="29" t="str">
        <f aca="false">IF(AND($C449="",COUNTA($D449:$H449,$K449,$N449:$O449,$Q449:$S449,$U449)=0),"",IF($C449="","⚠ 没填项目名称",IF($A449="⚠目录里没有","⚠ 项目名称在目录里找不到（先加到目录）",IF($A449="","⚠ 目录里这个项目没填简称",IF(ISTEXT($G449)+ISTEXT($H449)+ISTEXT($K449)+ISTEXT($N449)+ISTEXT($O449)+ISTEXT($Q449)+ISTEXT($R449)+ISTEXT($S449)&gt;0,"⚠ 金额列里有文字，算不进合计",IF(N($G449)&gt;=1,"⚠ 管理费点要填百分比，如 10%",IF(AND($D449&lt;&gt;"",$B449=""),"△ 摘要开头没写日期（如 2026.9.21），月份取不到",IF(AND(N($H449)&lt;&gt;0,COUNTIFS($A$4:$A$1003,$A449,$H$4:$H$1003,$H449,$D$4:$D$1003,LEFT($D449,9)&amp;"*")&gt;1),"△ 同一天同项目有一样的销售金额，看看是不是录重了","✓"))))))))</f>
        <v/>
      </c>
      <c r="W449" s="8" t="str">
        <f aca="false">IF($A449="","",$A449&amp;"#"&amp;COUNTIF($A$4:$A449,$A449))</f>
        <v/>
      </c>
    </row>
    <row r="450" customFormat="false" ht="16.5" hidden="false" customHeight="false" outlineLevel="0" collapsed="false">
      <c r="A450" s="44" t="str">
        <f aca="false">IF($C450="","",IFERROR(VLOOKUP($C450,目录!$B:$C,2,0)&amp;"","⚠目录里没有"))</f>
        <v/>
      </c>
      <c r="B450" s="45" t="str">
        <f aca="false">IF($D450="","",IFERROR(MID($D450,FIND(".",$D450)+1,FIND(".",$D450,FIND(".",$D450)+1)-FIND(".",$D450)-1)&amp;"月",""))</f>
        <v/>
      </c>
      <c r="C450" s="46"/>
      <c r="D450" s="47"/>
      <c r="E450" s="47"/>
      <c r="F450" s="49"/>
      <c r="G450" s="50"/>
      <c r="H450" s="24"/>
      <c r="I450" s="24" t="str">
        <f aca="false">IF($H450="","",N($H450)*N($G450))</f>
        <v/>
      </c>
      <c r="J450" s="25" t="str">
        <f aca="false">IF($H450="","",N($H450)-N($I450))</f>
        <v/>
      </c>
      <c r="K450" s="25"/>
      <c r="L450" s="25" t="str">
        <f aca="false">IF($A450="","",SUMIF($A$4:$A450,$A450,$J$4:$J450)-SUMIF($A$4:$A450,$A450,$K$4:$K450))</f>
        <v/>
      </c>
      <c r="M450" s="26" t="str">
        <f aca="false">IF($H450="","",N($H450))</f>
        <v/>
      </c>
      <c r="N450" s="26"/>
      <c r="O450" s="26"/>
      <c r="P450" s="26" t="str">
        <f aca="false">IF($A450="","",SUMIF($A$4:$A450,$A450,$M$4:$M450)-SUMIF($A$4:$A450,$A450,$N$4:$N450)-SUMIF($A$4:$A450,$A450,$O$4:$O450))</f>
        <v/>
      </c>
      <c r="Q450" s="27"/>
      <c r="R450" s="28"/>
      <c r="S450" s="28"/>
      <c r="T450" s="28" t="str">
        <f aca="false">IF($A450="","",SUMIF($A$4:$A450,$A450,$Q$4:$Q450)-SUMIF($A$4:$A450,$A450,$R$4:$R450)-SUMIF($A$4:$A450,$A450,$S$4:$S450))</f>
        <v/>
      </c>
      <c r="U450" s="28"/>
      <c r="V450" s="29" t="str">
        <f aca="false">IF(AND($C450="",COUNTA($D450:$H450,$K450,$N450:$O450,$Q450:$S450,$U450)=0),"",IF($C450="","⚠ 没填项目名称",IF($A450="⚠目录里没有","⚠ 项目名称在目录里找不到（先加到目录）",IF($A450="","⚠ 目录里这个项目没填简称",IF(ISTEXT($G450)+ISTEXT($H450)+ISTEXT($K450)+ISTEXT($N450)+ISTEXT($O450)+ISTEXT($Q450)+ISTEXT($R450)+ISTEXT($S450)&gt;0,"⚠ 金额列里有文字，算不进合计",IF(N($G450)&gt;=1,"⚠ 管理费点要填百分比，如 10%",IF(AND($D450&lt;&gt;"",$B450=""),"△ 摘要开头没写日期（如 2026.9.21），月份取不到",IF(AND(N($H450)&lt;&gt;0,COUNTIFS($A$4:$A$1003,$A450,$H$4:$H$1003,$H450,$D$4:$D$1003,LEFT($D450,9)&amp;"*")&gt;1),"△ 同一天同项目有一样的销售金额，看看是不是录重了","✓"))))))))</f>
        <v/>
      </c>
      <c r="W450" s="8" t="str">
        <f aca="false">IF($A450="","",$A450&amp;"#"&amp;COUNTIF($A$4:$A450,$A450))</f>
        <v/>
      </c>
    </row>
    <row r="451" customFormat="false" ht="16.5" hidden="false" customHeight="false" outlineLevel="0" collapsed="false">
      <c r="A451" s="44" t="str">
        <f aca="false">IF($C451="","",IFERROR(VLOOKUP($C451,目录!$B:$C,2,0)&amp;"","⚠目录里没有"))</f>
        <v/>
      </c>
      <c r="B451" s="45" t="str">
        <f aca="false">IF($D451="","",IFERROR(MID($D451,FIND(".",$D451)+1,FIND(".",$D451,FIND(".",$D451)+1)-FIND(".",$D451)-1)&amp;"月",""))</f>
        <v/>
      </c>
      <c r="C451" s="46"/>
      <c r="D451" s="47"/>
      <c r="E451" s="47"/>
      <c r="F451" s="49"/>
      <c r="G451" s="50"/>
      <c r="H451" s="24"/>
      <c r="I451" s="24" t="str">
        <f aca="false">IF($H451="","",N($H451)*N($G451))</f>
        <v/>
      </c>
      <c r="J451" s="25" t="str">
        <f aca="false">IF($H451="","",N($H451)-N($I451))</f>
        <v/>
      </c>
      <c r="K451" s="25"/>
      <c r="L451" s="25" t="str">
        <f aca="false">IF($A451="","",SUMIF($A$4:$A451,$A451,$J$4:$J451)-SUMIF($A$4:$A451,$A451,$K$4:$K451))</f>
        <v/>
      </c>
      <c r="M451" s="26" t="str">
        <f aca="false">IF($H451="","",N($H451))</f>
        <v/>
      </c>
      <c r="N451" s="26"/>
      <c r="O451" s="26"/>
      <c r="P451" s="26" t="str">
        <f aca="false">IF($A451="","",SUMIF($A$4:$A451,$A451,$M$4:$M451)-SUMIF($A$4:$A451,$A451,$N$4:$N451)-SUMIF($A$4:$A451,$A451,$O$4:$O451))</f>
        <v/>
      </c>
      <c r="Q451" s="27"/>
      <c r="R451" s="28"/>
      <c r="S451" s="28"/>
      <c r="T451" s="28" t="str">
        <f aca="false">IF($A451="","",SUMIF($A$4:$A451,$A451,$Q$4:$Q451)-SUMIF($A$4:$A451,$A451,$R$4:$R451)-SUMIF($A$4:$A451,$A451,$S$4:$S451))</f>
        <v/>
      </c>
      <c r="U451" s="28"/>
      <c r="V451" s="29" t="str">
        <f aca="false">IF(AND($C451="",COUNTA($D451:$H451,$K451,$N451:$O451,$Q451:$S451,$U451)=0),"",IF($C451="","⚠ 没填项目名称",IF($A451="⚠目录里没有","⚠ 项目名称在目录里找不到（先加到目录）",IF($A451="","⚠ 目录里这个项目没填简称",IF(ISTEXT($G451)+ISTEXT($H451)+ISTEXT($K451)+ISTEXT($N451)+ISTEXT($O451)+ISTEXT($Q451)+ISTEXT($R451)+ISTEXT($S451)&gt;0,"⚠ 金额列里有文字，算不进合计",IF(N($G451)&gt;=1,"⚠ 管理费点要填百分比，如 10%",IF(AND($D451&lt;&gt;"",$B451=""),"△ 摘要开头没写日期（如 2026.9.21），月份取不到",IF(AND(N($H451)&lt;&gt;0,COUNTIFS($A$4:$A$1003,$A451,$H$4:$H$1003,$H451,$D$4:$D$1003,LEFT($D451,9)&amp;"*")&gt;1),"△ 同一天同项目有一样的销售金额，看看是不是录重了","✓"))))))))</f>
        <v/>
      </c>
      <c r="W451" s="8" t="str">
        <f aca="false">IF($A451="","",$A451&amp;"#"&amp;COUNTIF($A$4:$A451,$A451))</f>
        <v/>
      </c>
    </row>
    <row r="452" customFormat="false" ht="16.5" hidden="false" customHeight="false" outlineLevel="0" collapsed="false">
      <c r="A452" s="44" t="str">
        <f aca="false">IF($C452="","",IFERROR(VLOOKUP($C452,目录!$B:$C,2,0)&amp;"","⚠目录里没有"))</f>
        <v/>
      </c>
      <c r="B452" s="45" t="str">
        <f aca="false">IF($D452="","",IFERROR(MID($D452,FIND(".",$D452)+1,FIND(".",$D452,FIND(".",$D452)+1)-FIND(".",$D452)-1)&amp;"月",""))</f>
        <v/>
      </c>
      <c r="C452" s="46"/>
      <c r="D452" s="47"/>
      <c r="E452" s="47"/>
      <c r="F452" s="49"/>
      <c r="G452" s="50"/>
      <c r="H452" s="24"/>
      <c r="I452" s="24" t="str">
        <f aca="false">IF($H452="","",N($H452)*N($G452))</f>
        <v/>
      </c>
      <c r="J452" s="25" t="str">
        <f aca="false">IF($H452="","",N($H452)-N($I452))</f>
        <v/>
      </c>
      <c r="K452" s="25"/>
      <c r="L452" s="25" t="str">
        <f aca="false">IF($A452="","",SUMIF($A$4:$A452,$A452,$J$4:$J452)-SUMIF($A$4:$A452,$A452,$K$4:$K452))</f>
        <v/>
      </c>
      <c r="M452" s="26" t="str">
        <f aca="false">IF($H452="","",N($H452))</f>
        <v/>
      </c>
      <c r="N452" s="26"/>
      <c r="O452" s="26"/>
      <c r="P452" s="26" t="str">
        <f aca="false">IF($A452="","",SUMIF($A$4:$A452,$A452,$M$4:$M452)-SUMIF($A$4:$A452,$A452,$N$4:$N452)-SUMIF($A$4:$A452,$A452,$O$4:$O452))</f>
        <v/>
      </c>
      <c r="Q452" s="27"/>
      <c r="R452" s="28"/>
      <c r="S452" s="28"/>
      <c r="T452" s="28" t="str">
        <f aca="false">IF($A452="","",SUMIF($A$4:$A452,$A452,$Q$4:$Q452)-SUMIF($A$4:$A452,$A452,$R$4:$R452)-SUMIF($A$4:$A452,$A452,$S$4:$S452))</f>
        <v/>
      </c>
      <c r="U452" s="28"/>
      <c r="V452" s="29" t="str">
        <f aca="false">IF(AND($C452="",COUNTA($D452:$H452,$K452,$N452:$O452,$Q452:$S452,$U452)=0),"",IF($C452="","⚠ 没填项目名称",IF($A452="⚠目录里没有","⚠ 项目名称在目录里找不到（先加到目录）",IF($A452="","⚠ 目录里这个项目没填简称",IF(ISTEXT($G452)+ISTEXT($H452)+ISTEXT($K452)+ISTEXT($N452)+ISTEXT($O452)+ISTEXT($Q452)+ISTEXT($R452)+ISTEXT($S452)&gt;0,"⚠ 金额列里有文字，算不进合计",IF(N($G452)&gt;=1,"⚠ 管理费点要填百分比，如 10%",IF(AND($D452&lt;&gt;"",$B452=""),"△ 摘要开头没写日期（如 2026.9.21），月份取不到",IF(AND(N($H452)&lt;&gt;0,COUNTIFS($A$4:$A$1003,$A452,$H$4:$H$1003,$H452,$D$4:$D$1003,LEFT($D452,9)&amp;"*")&gt;1),"△ 同一天同项目有一样的销售金额，看看是不是录重了","✓"))))))))</f>
        <v/>
      </c>
      <c r="W452" s="8" t="str">
        <f aca="false">IF($A452="","",$A452&amp;"#"&amp;COUNTIF($A$4:$A452,$A452))</f>
        <v/>
      </c>
    </row>
    <row r="453" customFormat="false" ht="16.5" hidden="false" customHeight="false" outlineLevel="0" collapsed="false">
      <c r="A453" s="44" t="str">
        <f aca="false">IF($C453="","",IFERROR(VLOOKUP($C453,目录!$B:$C,2,0)&amp;"","⚠目录里没有"))</f>
        <v/>
      </c>
      <c r="B453" s="45" t="str">
        <f aca="false">IF($D453="","",IFERROR(MID($D453,FIND(".",$D453)+1,FIND(".",$D453,FIND(".",$D453)+1)-FIND(".",$D453)-1)&amp;"月",""))</f>
        <v/>
      </c>
      <c r="C453" s="46"/>
      <c r="D453" s="47"/>
      <c r="E453" s="47"/>
      <c r="F453" s="49"/>
      <c r="G453" s="50"/>
      <c r="H453" s="24"/>
      <c r="I453" s="24" t="str">
        <f aca="false">IF($H453="","",N($H453)*N($G453))</f>
        <v/>
      </c>
      <c r="J453" s="25" t="str">
        <f aca="false">IF($H453="","",N($H453)-N($I453))</f>
        <v/>
      </c>
      <c r="K453" s="25"/>
      <c r="L453" s="25" t="str">
        <f aca="false">IF($A453="","",SUMIF($A$4:$A453,$A453,$J$4:$J453)-SUMIF($A$4:$A453,$A453,$K$4:$K453))</f>
        <v/>
      </c>
      <c r="M453" s="26" t="str">
        <f aca="false">IF($H453="","",N($H453))</f>
        <v/>
      </c>
      <c r="N453" s="26"/>
      <c r="O453" s="26"/>
      <c r="P453" s="26" t="str">
        <f aca="false">IF($A453="","",SUMIF($A$4:$A453,$A453,$M$4:$M453)-SUMIF($A$4:$A453,$A453,$N$4:$N453)-SUMIF($A$4:$A453,$A453,$O$4:$O453))</f>
        <v/>
      </c>
      <c r="Q453" s="27"/>
      <c r="R453" s="28"/>
      <c r="S453" s="28"/>
      <c r="T453" s="28" t="str">
        <f aca="false">IF($A453="","",SUMIF($A$4:$A453,$A453,$Q$4:$Q453)-SUMIF($A$4:$A453,$A453,$R$4:$R453)-SUMIF($A$4:$A453,$A453,$S$4:$S453))</f>
        <v/>
      </c>
      <c r="U453" s="28"/>
      <c r="V453" s="29" t="str">
        <f aca="false">IF(AND($C453="",COUNTA($D453:$H453,$K453,$N453:$O453,$Q453:$S453,$U453)=0),"",IF($C453="","⚠ 没填项目名称",IF($A453="⚠目录里没有","⚠ 项目名称在目录里找不到（先加到目录）",IF($A453="","⚠ 目录里这个项目没填简称",IF(ISTEXT($G453)+ISTEXT($H453)+ISTEXT($K453)+ISTEXT($N453)+ISTEXT($O453)+ISTEXT($Q453)+ISTEXT($R453)+ISTEXT($S453)&gt;0,"⚠ 金额列里有文字，算不进合计",IF(N($G453)&gt;=1,"⚠ 管理费点要填百分比，如 10%",IF(AND($D453&lt;&gt;"",$B453=""),"△ 摘要开头没写日期（如 2026.9.21），月份取不到",IF(AND(N($H453)&lt;&gt;0,COUNTIFS($A$4:$A$1003,$A453,$H$4:$H$1003,$H453,$D$4:$D$1003,LEFT($D453,9)&amp;"*")&gt;1),"△ 同一天同项目有一样的销售金额，看看是不是录重了","✓"))))))))</f>
        <v/>
      </c>
      <c r="W453" s="8" t="str">
        <f aca="false">IF($A453="","",$A453&amp;"#"&amp;COUNTIF($A$4:$A453,$A453))</f>
        <v/>
      </c>
    </row>
    <row r="454" customFormat="false" ht="16.5" hidden="false" customHeight="false" outlineLevel="0" collapsed="false">
      <c r="A454" s="44" t="str">
        <f aca="false">IF($C454="","",IFERROR(VLOOKUP($C454,目录!$B:$C,2,0)&amp;"","⚠目录里没有"))</f>
        <v/>
      </c>
      <c r="B454" s="45" t="str">
        <f aca="false">IF($D454="","",IFERROR(MID($D454,FIND(".",$D454)+1,FIND(".",$D454,FIND(".",$D454)+1)-FIND(".",$D454)-1)&amp;"月",""))</f>
        <v/>
      </c>
      <c r="C454" s="46"/>
      <c r="D454" s="47"/>
      <c r="E454" s="47"/>
      <c r="F454" s="49"/>
      <c r="G454" s="50"/>
      <c r="H454" s="24"/>
      <c r="I454" s="24" t="str">
        <f aca="false">IF($H454="","",N($H454)*N($G454))</f>
        <v/>
      </c>
      <c r="J454" s="25" t="str">
        <f aca="false">IF($H454="","",N($H454)-N($I454))</f>
        <v/>
      </c>
      <c r="K454" s="25"/>
      <c r="L454" s="25" t="str">
        <f aca="false">IF($A454="","",SUMIF($A$4:$A454,$A454,$J$4:$J454)-SUMIF($A$4:$A454,$A454,$K$4:$K454))</f>
        <v/>
      </c>
      <c r="M454" s="26" t="str">
        <f aca="false">IF($H454="","",N($H454))</f>
        <v/>
      </c>
      <c r="N454" s="26"/>
      <c r="O454" s="26"/>
      <c r="P454" s="26" t="str">
        <f aca="false">IF($A454="","",SUMIF($A$4:$A454,$A454,$M$4:$M454)-SUMIF($A$4:$A454,$A454,$N$4:$N454)-SUMIF($A$4:$A454,$A454,$O$4:$O454))</f>
        <v/>
      </c>
      <c r="Q454" s="27"/>
      <c r="R454" s="28"/>
      <c r="S454" s="28"/>
      <c r="T454" s="28" t="str">
        <f aca="false">IF($A454="","",SUMIF($A$4:$A454,$A454,$Q$4:$Q454)-SUMIF($A$4:$A454,$A454,$R$4:$R454)-SUMIF($A$4:$A454,$A454,$S$4:$S454))</f>
        <v/>
      </c>
      <c r="U454" s="28"/>
      <c r="V454" s="29" t="str">
        <f aca="false">IF(AND($C454="",COUNTA($D454:$H454,$K454,$N454:$O454,$Q454:$S454,$U454)=0),"",IF($C454="","⚠ 没填项目名称",IF($A454="⚠目录里没有","⚠ 项目名称在目录里找不到（先加到目录）",IF($A454="","⚠ 目录里这个项目没填简称",IF(ISTEXT($G454)+ISTEXT($H454)+ISTEXT($K454)+ISTEXT($N454)+ISTEXT($O454)+ISTEXT($Q454)+ISTEXT($R454)+ISTEXT($S454)&gt;0,"⚠ 金额列里有文字，算不进合计",IF(N($G454)&gt;=1,"⚠ 管理费点要填百分比，如 10%",IF(AND($D454&lt;&gt;"",$B454=""),"△ 摘要开头没写日期（如 2026.9.21），月份取不到",IF(AND(N($H454)&lt;&gt;0,COUNTIFS($A$4:$A$1003,$A454,$H$4:$H$1003,$H454,$D$4:$D$1003,LEFT($D454,9)&amp;"*")&gt;1),"△ 同一天同项目有一样的销售金额，看看是不是录重了","✓"))))))))</f>
        <v/>
      </c>
      <c r="W454" s="8" t="str">
        <f aca="false">IF($A454="","",$A454&amp;"#"&amp;COUNTIF($A$4:$A454,$A454))</f>
        <v/>
      </c>
    </row>
    <row r="455" customFormat="false" ht="16.5" hidden="false" customHeight="false" outlineLevel="0" collapsed="false">
      <c r="A455" s="44" t="str">
        <f aca="false">IF($C455="","",IFERROR(VLOOKUP($C455,目录!$B:$C,2,0)&amp;"","⚠目录里没有"))</f>
        <v/>
      </c>
      <c r="B455" s="45" t="str">
        <f aca="false">IF($D455="","",IFERROR(MID($D455,FIND(".",$D455)+1,FIND(".",$D455,FIND(".",$D455)+1)-FIND(".",$D455)-1)&amp;"月",""))</f>
        <v/>
      </c>
      <c r="C455" s="46"/>
      <c r="D455" s="47"/>
      <c r="E455" s="47"/>
      <c r="F455" s="49"/>
      <c r="G455" s="50"/>
      <c r="H455" s="24"/>
      <c r="I455" s="24" t="str">
        <f aca="false">IF($H455="","",N($H455)*N($G455))</f>
        <v/>
      </c>
      <c r="J455" s="25" t="str">
        <f aca="false">IF($H455="","",N($H455)-N($I455))</f>
        <v/>
      </c>
      <c r="K455" s="25"/>
      <c r="L455" s="25" t="str">
        <f aca="false">IF($A455="","",SUMIF($A$4:$A455,$A455,$J$4:$J455)-SUMIF($A$4:$A455,$A455,$K$4:$K455))</f>
        <v/>
      </c>
      <c r="M455" s="26" t="str">
        <f aca="false">IF($H455="","",N($H455))</f>
        <v/>
      </c>
      <c r="N455" s="26"/>
      <c r="O455" s="26"/>
      <c r="P455" s="26" t="str">
        <f aca="false">IF($A455="","",SUMIF($A$4:$A455,$A455,$M$4:$M455)-SUMIF($A$4:$A455,$A455,$N$4:$N455)-SUMIF($A$4:$A455,$A455,$O$4:$O455))</f>
        <v/>
      </c>
      <c r="Q455" s="27"/>
      <c r="R455" s="28"/>
      <c r="S455" s="28"/>
      <c r="T455" s="28" t="str">
        <f aca="false">IF($A455="","",SUMIF($A$4:$A455,$A455,$Q$4:$Q455)-SUMIF($A$4:$A455,$A455,$R$4:$R455)-SUMIF($A$4:$A455,$A455,$S$4:$S455))</f>
        <v/>
      </c>
      <c r="U455" s="28"/>
      <c r="V455" s="29" t="str">
        <f aca="false">IF(AND($C455="",COUNTA($D455:$H455,$K455,$N455:$O455,$Q455:$S455,$U455)=0),"",IF($C455="","⚠ 没填项目名称",IF($A455="⚠目录里没有","⚠ 项目名称在目录里找不到（先加到目录）",IF($A455="","⚠ 目录里这个项目没填简称",IF(ISTEXT($G455)+ISTEXT($H455)+ISTEXT($K455)+ISTEXT($N455)+ISTEXT($O455)+ISTEXT($Q455)+ISTEXT($R455)+ISTEXT($S455)&gt;0,"⚠ 金额列里有文字，算不进合计",IF(N($G455)&gt;=1,"⚠ 管理费点要填百分比，如 10%",IF(AND($D455&lt;&gt;"",$B455=""),"△ 摘要开头没写日期（如 2026.9.21），月份取不到",IF(AND(N($H455)&lt;&gt;0,COUNTIFS($A$4:$A$1003,$A455,$H$4:$H$1003,$H455,$D$4:$D$1003,LEFT($D455,9)&amp;"*")&gt;1),"△ 同一天同项目有一样的销售金额，看看是不是录重了","✓"))))))))</f>
        <v/>
      </c>
      <c r="W455" s="8" t="str">
        <f aca="false">IF($A455="","",$A455&amp;"#"&amp;COUNTIF($A$4:$A455,$A455))</f>
        <v/>
      </c>
    </row>
    <row r="456" customFormat="false" ht="16.5" hidden="false" customHeight="false" outlineLevel="0" collapsed="false">
      <c r="A456" s="44" t="str">
        <f aca="false">IF($C456="","",IFERROR(VLOOKUP($C456,目录!$B:$C,2,0)&amp;"","⚠目录里没有"))</f>
        <v/>
      </c>
      <c r="B456" s="45" t="str">
        <f aca="false">IF($D456="","",IFERROR(MID($D456,FIND(".",$D456)+1,FIND(".",$D456,FIND(".",$D456)+1)-FIND(".",$D456)-1)&amp;"月",""))</f>
        <v/>
      </c>
      <c r="C456" s="46"/>
      <c r="D456" s="47"/>
      <c r="E456" s="47"/>
      <c r="F456" s="49"/>
      <c r="G456" s="50"/>
      <c r="H456" s="24"/>
      <c r="I456" s="24" t="str">
        <f aca="false">IF($H456="","",N($H456)*N($G456))</f>
        <v/>
      </c>
      <c r="J456" s="25" t="str">
        <f aca="false">IF($H456="","",N($H456)-N($I456))</f>
        <v/>
      </c>
      <c r="K456" s="25"/>
      <c r="L456" s="25" t="str">
        <f aca="false">IF($A456="","",SUMIF($A$4:$A456,$A456,$J$4:$J456)-SUMIF($A$4:$A456,$A456,$K$4:$K456))</f>
        <v/>
      </c>
      <c r="M456" s="26" t="str">
        <f aca="false">IF($H456="","",N($H456))</f>
        <v/>
      </c>
      <c r="N456" s="26"/>
      <c r="O456" s="26"/>
      <c r="P456" s="26" t="str">
        <f aca="false">IF($A456="","",SUMIF($A$4:$A456,$A456,$M$4:$M456)-SUMIF($A$4:$A456,$A456,$N$4:$N456)-SUMIF($A$4:$A456,$A456,$O$4:$O456))</f>
        <v/>
      </c>
      <c r="Q456" s="27"/>
      <c r="R456" s="28"/>
      <c r="S456" s="28"/>
      <c r="T456" s="28" t="str">
        <f aca="false">IF($A456="","",SUMIF($A$4:$A456,$A456,$Q$4:$Q456)-SUMIF($A$4:$A456,$A456,$R$4:$R456)-SUMIF($A$4:$A456,$A456,$S$4:$S456))</f>
        <v/>
      </c>
      <c r="U456" s="28"/>
      <c r="V456" s="29" t="str">
        <f aca="false">IF(AND($C456="",COUNTA($D456:$H456,$K456,$N456:$O456,$Q456:$S456,$U456)=0),"",IF($C456="","⚠ 没填项目名称",IF($A456="⚠目录里没有","⚠ 项目名称在目录里找不到（先加到目录）",IF($A456="","⚠ 目录里这个项目没填简称",IF(ISTEXT($G456)+ISTEXT($H456)+ISTEXT($K456)+ISTEXT($N456)+ISTEXT($O456)+ISTEXT($Q456)+ISTEXT($R456)+ISTEXT($S456)&gt;0,"⚠ 金额列里有文字，算不进合计",IF(N($G456)&gt;=1,"⚠ 管理费点要填百分比，如 10%",IF(AND($D456&lt;&gt;"",$B456=""),"△ 摘要开头没写日期（如 2026.9.21），月份取不到",IF(AND(N($H456)&lt;&gt;0,COUNTIFS($A$4:$A$1003,$A456,$H$4:$H$1003,$H456,$D$4:$D$1003,LEFT($D456,9)&amp;"*")&gt;1),"△ 同一天同项目有一样的销售金额，看看是不是录重了","✓"))))))))</f>
        <v/>
      </c>
      <c r="W456" s="8" t="str">
        <f aca="false">IF($A456="","",$A456&amp;"#"&amp;COUNTIF($A$4:$A456,$A456))</f>
        <v/>
      </c>
    </row>
    <row r="457" customFormat="false" ht="16.5" hidden="false" customHeight="false" outlineLevel="0" collapsed="false">
      <c r="A457" s="44" t="str">
        <f aca="false">IF($C457="","",IFERROR(VLOOKUP($C457,目录!$B:$C,2,0)&amp;"","⚠目录里没有"))</f>
        <v/>
      </c>
      <c r="B457" s="45" t="str">
        <f aca="false">IF($D457="","",IFERROR(MID($D457,FIND(".",$D457)+1,FIND(".",$D457,FIND(".",$D457)+1)-FIND(".",$D457)-1)&amp;"月",""))</f>
        <v/>
      </c>
      <c r="C457" s="46"/>
      <c r="D457" s="47"/>
      <c r="E457" s="47"/>
      <c r="F457" s="49"/>
      <c r="G457" s="50"/>
      <c r="H457" s="24"/>
      <c r="I457" s="24" t="str">
        <f aca="false">IF($H457="","",N($H457)*N($G457))</f>
        <v/>
      </c>
      <c r="J457" s="25" t="str">
        <f aca="false">IF($H457="","",N($H457)-N($I457))</f>
        <v/>
      </c>
      <c r="K457" s="25"/>
      <c r="L457" s="25" t="str">
        <f aca="false">IF($A457="","",SUMIF($A$4:$A457,$A457,$J$4:$J457)-SUMIF($A$4:$A457,$A457,$K$4:$K457))</f>
        <v/>
      </c>
      <c r="M457" s="26" t="str">
        <f aca="false">IF($H457="","",N($H457))</f>
        <v/>
      </c>
      <c r="N457" s="26"/>
      <c r="O457" s="26"/>
      <c r="P457" s="26" t="str">
        <f aca="false">IF($A457="","",SUMIF($A$4:$A457,$A457,$M$4:$M457)-SUMIF($A$4:$A457,$A457,$N$4:$N457)-SUMIF($A$4:$A457,$A457,$O$4:$O457))</f>
        <v/>
      </c>
      <c r="Q457" s="27"/>
      <c r="R457" s="28"/>
      <c r="S457" s="28"/>
      <c r="T457" s="28" t="str">
        <f aca="false">IF($A457="","",SUMIF($A$4:$A457,$A457,$Q$4:$Q457)-SUMIF($A$4:$A457,$A457,$R$4:$R457)-SUMIF($A$4:$A457,$A457,$S$4:$S457))</f>
        <v/>
      </c>
      <c r="U457" s="28"/>
      <c r="V457" s="29" t="str">
        <f aca="false">IF(AND($C457="",COUNTA($D457:$H457,$K457,$N457:$O457,$Q457:$S457,$U457)=0),"",IF($C457="","⚠ 没填项目名称",IF($A457="⚠目录里没有","⚠ 项目名称在目录里找不到（先加到目录）",IF($A457="","⚠ 目录里这个项目没填简称",IF(ISTEXT($G457)+ISTEXT($H457)+ISTEXT($K457)+ISTEXT($N457)+ISTEXT($O457)+ISTEXT($Q457)+ISTEXT($R457)+ISTEXT($S457)&gt;0,"⚠ 金额列里有文字，算不进合计",IF(N($G457)&gt;=1,"⚠ 管理费点要填百分比，如 10%",IF(AND($D457&lt;&gt;"",$B457=""),"△ 摘要开头没写日期（如 2026.9.21），月份取不到",IF(AND(N($H457)&lt;&gt;0,COUNTIFS($A$4:$A$1003,$A457,$H$4:$H$1003,$H457,$D$4:$D$1003,LEFT($D457,9)&amp;"*")&gt;1),"△ 同一天同项目有一样的销售金额，看看是不是录重了","✓"))))))))</f>
        <v/>
      </c>
      <c r="W457" s="8" t="str">
        <f aca="false">IF($A457="","",$A457&amp;"#"&amp;COUNTIF($A$4:$A457,$A457))</f>
        <v/>
      </c>
    </row>
    <row r="458" customFormat="false" ht="16.5" hidden="false" customHeight="false" outlineLevel="0" collapsed="false">
      <c r="A458" s="44" t="str">
        <f aca="false">IF($C458="","",IFERROR(VLOOKUP($C458,目录!$B:$C,2,0)&amp;"","⚠目录里没有"))</f>
        <v/>
      </c>
      <c r="B458" s="45" t="str">
        <f aca="false">IF($D458="","",IFERROR(MID($D458,FIND(".",$D458)+1,FIND(".",$D458,FIND(".",$D458)+1)-FIND(".",$D458)-1)&amp;"月",""))</f>
        <v/>
      </c>
      <c r="C458" s="46"/>
      <c r="D458" s="47"/>
      <c r="E458" s="47"/>
      <c r="F458" s="49"/>
      <c r="G458" s="50"/>
      <c r="H458" s="24"/>
      <c r="I458" s="24" t="str">
        <f aca="false">IF($H458="","",N($H458)*N($G458))</f>
        <v/>
      </c>
      <c r="J458" s="25" t="str">
        <f aca="false">IF($H458="","",N($H458)-N($I458))</f>
        <v/>
      </c>
      <c r="K458" s="25"/>
      <c r="L458" s="25" t="str">
        <f aca="false">IF($A458="","",SUMIF($A$4:$A458,$A458,$J$4:$J458)-SUMIF($A$4:$A458,$A458,$K$4:$K458))</f>
        <v/>
      </c>
      <c r="M458" s="26" t="str">
        <f aca="false">IF($H458="","",N($H458))</f>
        <v/>
      </c>
      <c r="N458" s="26"/>
      <c r="O458" s="26"/>
      <c r="P458" s="26" t="str">
        <f aca="false">IF($A458="","",SUMIF($A$4:$A458,$A458,$M$4:$M458)-SUMIF($A$4:$A458,$A458,$N$4:$N458)-SUMIF($A$4:$A458,$A458,$O$4:$O458))</f>
        <v/>
      </c>
      <c r="Q458" s="27"/>
      <c r="R458" s="28"/>
      <c r="S458" s="28"/>
      <c r="T458" s="28" t="str">
        <f aca="false">IF($A458="","",SUMIF($A$4:$A458,$A458,$Q$4:$Q458)-SUMIF($A$4:$A458,$A458,$R$4:$R458)-SUMIF($A$4:$A458,$A458,$S$4:$S458))</f>
        <v/>
      </c>
      <c r="U458" s="28"/>
      <c r="V458" s="29" t="str">
        <f aca="false">IF(AND($C458="",COUNTA($D458:$H458,$K458,$N458:$O458,$Q458:$S458,$U458)=0),"",IF($C458="","⚠ 没填项目名称",IF($A458="⚠目录里没有","⚠ 项目名称在目录里找不到（先加到目录）",IF($A458="","⚠ 目录里这个项目没填简称",IF(ISTEXT($G458)+ISTEXT($H458)+ISTEXT($K458)+ISTEXT($N458)+ISTEXT($O458)+ISTEXT($Q458)+ISTEXT($R458)+ISTEXT($S458)&gt;0,"⚠ 金额列里有文字，算不进合计",IF(N($G458)&gt;=1,"⚠ 管理费点要填百分比，如 10%",IF(AND($D458&lt;&gt;"",$B458=""),"△ 摘要开头没写日期（如 2026.9.21），月份取不到",IF(AND(N($H458)&lt;&gt;0,COUNTIFS($A$4:$A$1003,$A458,$H$4:$H$1003,$H458,$D$4:$D$1003,LEFT($D458,9)&amp;"*")&gt;1),"△ 同一天同项目有一样的销售金额，看看是不是录重了","✓"))))))))</f>
        <v/>
      </c>
      <c r="W458" s="8" t="str">
        <f aca="false">IF($A458="","",$A458&amp;"#"&amp;COUNTIF($A$4:$A458,$A458))</f>
        <v/>
      </c>
    </row>
    <row r="459" customFormat="false" ht="16.5" hidden="false" customHeight="false" outlineLevel="0" collapsed="false">
      <c r="A459" s="44" t="str">
        <f aca="false">IF($C459="","",IFERROR(VLOOKUP($C459,目录!$B:$C,2,0)&amp;"","⚠目录里没有"))</f>
        <v/>
      </c>
      <c r="B459" s="45" t="str">
        <f aca="false">IF($D459="","",IFERROR(MID($D459,FIND(".",$D459)+1,FIND(".",$D459,FIND(".",$D459)+1)-FIND(".",$D459)-1)&amp;"月",""))</f>
        <v/>
      </c>
      <c r="C459" s="46"/>
      <c r="D459" s="47"/>
      <c r="E459" s="47"/>
      <c r="F459" s="49"/>
      <c r="G459" s="50"/>
      <c r="H459" s="24"/>
      <c r="I459" s="24" t="str">
        <f aca="false">IF($H459="","",N($H459)*N($G459))</f>
        <v/>
      </c>
      <c r="J459" s="25" t="str">
        <f aca="false">IF($H459="","",N($H459)-N($I459))</f>
        <v/>
      </c>
      <c r="K459" s="25"/>
      <c r="L459" s="25" t="str">
        <f aca="false">IF($A459="","",SUMIF($A$4:$A459,$A459,$J$4:$J459)-SUMIF($A$4:$A459,$A459,$K$4:$K459))</f>
        <v/>
      </c>
      <c r="M459" s="26" t="str">
        <f aca="false">IF($H459="","",N($H459))</f>
        <v/>
      </c>
      <c r="N459" s="26"/>
      <c r="O459" s="26"/>
      <c r="P459" s="26" t="str">
        <f aca="false">IF($A459="","",SUMIF($A$4:$A459,$A459,$M$4:$M459)-SUMIF($A$4:$A459,$A459,$N$4:$N459)-SUMIF($A$4:$A459,$A459,$O$4:$O459))</f>
        <v/>
      </c>
      <c r="Q459" s="27"/>
      <c r="R459" s="28"/>
      <c r="S459" s="28"/>
      <c r="T459" s="28" t="str">
        <f aca="false">IF($A459="","",SUMIF($A$4:$A459,$A459,$Q$4:$Q459)-SUMIF($A$4:$A459,$A459,$R$4:$R459)-SUMIF($A$4:$A459,$A459,$S$4:$S459))</f>
        <v/>
      </c>
      <c r="U459" s="28"/>
      <c r="V459" s="29" t="str">
        <f aca="false">IF(AND($C459="",COUNTA($D459:$H459,$K459,$N459:$O459,$Q459:$S459,$U459)=0),"",IF($C459="","⚠ 没填项目名称",IF($A459="⚠目录里没有","⚠ 项目名称在目录里找不到（先加到目录）",IF($A459="","⚠ 目录里这个项目没填简称",IF(ISTEXT($G459)+ISTEXT($H459)+ISTEXT($K459)+ISTEXT($N459)+ISTEXT($O459)+ISTEXT($Q459)+ISTEXT($R459)+ISTEXT($S459)&gt;0,"⚠ 金额列里有文字，算不进合计",IF(N($G459)&gt;=1,"⚠ 管理费点要填百分比，如 10%",IF(AND($D459&lt;&gt;"",$B459=""),"△ 摘要开头没写日期（如 2026.9.21），月份取不到",IF(AND(N($H459)&lt;&gt;0,COUNTIFS($A$4:$A$1003,$A459,$H$4:$H$1003,$H459,$D$4:$D$1003,LEFT($D459,9)&amp;"*")&gt;1),"△ 同一天同项目有一样的销售金额，看看是不是录重了","✓"))))))))</f>
        <v/>
      </c>
      <c r="W459" s="8" t="str">
        <f aca="false">IF($A459="","",$A459&amp;"#"&amp;COUNTIF($A$4:$A459,$A459))</f>
        <v/>
      </c>
    </row>
    <row r="460" customFormat="false" ht="16.5" hidden="false" customHeight="false" outlineLevel="0" collapsed="false">
      <c r="A460" s="44" t="str">
        <f aca="false">IF($C460="","",IFERROR(VLOOKUP($C460,目录!$B:$C,2,0)&amp;"","⚠目录里没有"))</f>
        <v/>
      </c>
      <c r="B460" s="45" t="str">
        <f aca="false">IF($D460="","",IFERROR(MID($D460,FIND(".",$D460)+1,FIND(".",$D460,FIND(".",$D460)+1)-FIND(".",$D460)-1)&amp;"月",""))</f>
        <v/>
      </c>
      <c r="C460" s="46"/>
      <c r="D460" s="47"/>
      <c r="E460" s="47"/>
      <c r="F460" s="49"/>
      <c r="G460" s="50"/>
      <c r="H460" s="24"/>
      <c r="I460" s="24" t="str">
        <f aca="false">IF($H460="","",N($H460)*N($G460))</f>
        <v/>
      </c>
      <c r="J460" s="25" t="str">
        <f aca="false">IF($H460="","",N($H460)-N($I460))</f>
        <v/>
      </c>
      <c r="K460" s="25"/>
      <c r="L460" s="25" t="str">
        <f aca="false">IF($A460="","",SUMIF($A$4:$A460,$A460,$J$4:$J460)-SUMIF($A$4:$A460,$A460,$K$4:$K460))</f>
        <v/>
      </c>
      <c r="M460" s="26" t="str">
        <f aca="false">IF($H460="","",N($H460))</f>
        <v/>
      </c>
      <c r="N460" s="26"/>
      <c r="O460" s="26"/>
      <c r="P460" s="26" t="str">
        <f aca="false">IF($A460="","",SUMIF($A$4:$A460,$A460,$M$4:$M460)-SUMIF($A$4:$A460,$A460,$N$4:$N460)-SUMIF($A$4:$A460,$A460,$O$4:$O460))</f>
        <v/>
      </c>
      <c r="Q460" s="27"/>
      <c r="R460" s="28"/>
      <c r="S460" s="28"/>
      <c r="T460" s="28" t="str">
        <f aca="false">IF($A460="","",SUMIF($A$4:$A460,$A460,$Q$4:$Q460)-SUMIF($A$4:$A460,$A460,$R$4:$R460)-SUMIF($A$4:$A460,$A460,$S$4:$S460))</f>
        <v/>
      </c>
      <c r="U460" s="28"/>
      <c r="V460" s="29" t="str">
        <f aca="false">IF(AND($C460="",COUNTA($D460:$H460,$K460,$N460:$O460,$Q460:$S460,$U460)=0),"",IF($C460="","⚠ 没填项目名称",IF($A460="⚠目录里没有","⚠ 项目名称在目录里找不到（先加到目录）",IF($A460="","⚠ 目录里这个项目没填简称",IF(ISTEXT($G460)+ISTEXT($H460)+ISTEXT($K460)+ISTEXT($N460)+ISTEXT($O460)+ISTEXT($Q460)+ISTEXT($R460)+ISTEXT($S460)&gt;0,"⚠ 金额列里有文字，算不进合计",IF(N($G460)&gt;=1,"⚠ 管理费点要填百分比，如 10%",IF(AND($D460&lt;&gt;"",$B460=""),"△ 摘要开头没写日期（如 2026.9.21），月份取不到",IF(AND(N($H460)&lt;&gt;0,COUNTIFS($A$4:$A$1003,$A460,$H$4:$H$1003,$H460,$D$4:$D$1003,LEFT($D460,9)&amp;"*")&gt;1),"△ 同一天同项目有一样的销售金额，看看是不是录重了","✓"))))))))</f>
        <v/>
      </c>
      <c r="W460" s="8" t="str">
        <f aca="false">IF($A460="","",$A460&amp;"#"&amp;COUNTIF($A$4:$A460,$A460))</f>
        <v/>
      </c>
    </row>
    <row r="461" customFormat="false" ht="16.5" hidden="false" customHeight="false" outlineLevel="0" collapsed="false">
      <c r="A461" s="44" t="str">
        <f aca="false">IF($C461="","",IFERROR(VLOOKUP($C461,目录!$B:$C,2,0)&amp;"","⚠目录里没有"))</f>
        <v/>
      </c>
      <c r="B461" s="45" t="str">
        <f aca="false">IF($D461="","",IFERROR(MID($D461,FIND(".",$D461)+1,FIND(".",$D461,FIND(".",$D461)+1)-FIND(".",$D461)-1)&amp;"月",""))</f>
        <v/>
      </c>
      <c r="C461" s="46"/>
      <c r="D461" s="47"/>
      <c r="E461" s="47"/>
      <c r="F461" s="49"/>
      <c r="G461" s="50"/>
      <c r="H461" s="24"/>
      <c r="I461" s="24" t="str">
        <f aca="false">IF($H461="","",N($H461)*N($G461))</f>
        <v/>
      </c>
      <c r="J461" s="25" t="str">
        <f aca="false">IF($H461="","",N($H461)-N($I461))</f>
        <v/>
      </c>
      <c r="K461" s="25"/>
      <c r="L461" s="25" t="str">
        <f aca="false">IF($A461="","",SUMIF($A$4:$A461,$A461,$J$4:$J461)-SUMIF($A$4:$A461,$A461,$K$4:$K461))</f>
        <v/>
      </c>
      <c r="M461" s="26" t="str">
        <f aca="false">IF($H461="","",N($H461))</f>
        <v/>
      </c>
      <c r="N461" s="26"/>
      <c r="O461" s="26"/>
      <c r="P461" s="26" t="str">
        <f aca="false">IF($A461="","",SUMIF($A$4:$A461,$A461,$M$4:$M461)-SUMIF($A$4:$A461,$A461,$N$4:$N461)-SUMIF($A$4:$A461,$A461,$O$4:$O461))</f>
        <v/>
      </c>
      <c r="Q461" s="27"/>
      <c r="R461" s="28"/>
      <c r="S461" s="28"/>
      <c r="T461" s="28" t="str">
        <f aca="false">IF($A461="","",SUMIF($A$4:$A461,$A461,$Q$4:$Q461)-SUMIF($A$4:$A461,$A461,$R$4:$R461)-SUMIF($A$4:$A461,$A461,$S$4:$S461))</f>
        <v/>
      </c>
      <c r="U461" s="28"/>
      <c r="V461" s="29" t="str">
        <f aca="false">IF(AND($C461="",COUNTA($D461:$H461,$K461,$N461:$O461,$Q461:$S461,$U461)=0),"",IF($C461="","⚠ 没填项目名称",IF($A461="⚠目录里没有","⚠ 项目名称在目录里找不到（先加到目录）",IF($A461="","⚠ 目录里这个项目没填简称",IF(ISTEXT($G461)+ISTEXT($H461)+ISTEXT($K461)+ISTEXT($N461)+ISTEXT($O461)+ISTEXT($Q461)+ISTEXT($R461)+ISTEXT($S461)&gt;0,"⚠ 金额列里有文字，算不进合计",IF(N($G461)&gt;=1,"⚠ 管理费点要填百分比，如 10%",IF(AND($D461&lt;&gt;"",$B461=""),"△ 摘要开头没写日期（如 2026.9.21），月份取不到",IF(AND(N($H461)&lt;&gt;0,COUNTIFS($A$4:$A$1003,$A461,$H$4:$H$1003,$H461,$D$4:$D$1003,LEFT($D461,9)&amp;"*")&gt;1),"△ 同一天同项目有一样的销售金额，看看是不是录重了","✓"))))))))</f>
        <v/>
      </c>
      <c r="W461" s="8" t="str">
        <f aca="false">IF($A461="","",$A461&amp;"#"&amp;COUNTIF($A$4:$A461,$A461))</f>
        <v/>
      </c>
    </row>
    <row r="462" customFormat="false" ht="16.5" hidden="false" customHeight="false" outlineLevel="0" collapsed="false">
      <c r="A462" s="44" t="str">
        <f aca="false">IF($C462="","",IFERROR(VLOOKUP($C462,目录!$B:$C,2,0)&amp;"","⚠目录里没有"))</f>
        <v/>
      </c>
      <c r="B462" s="45" t="str">
        <f aca="false">IF($D462="","",IFERROR(MID($D462,FIND(".",$D462)+1,FIND(".",$D462,FIND(".",$D462)+1)-FIND(".",$D462)-1)&amp;"月",""))</f>
        <v/>
      </c>
      <c r="C462" s="46"/>
      <c r="D462" s="47"/>
      <c r="E462" s="47"/>
      <c r="F462" s="49"/>
      <c r="G462" s="50"/>
      <c r="H462" s="24"/>
      <c r="I462" s="24" t="str">
        <f aca="false">IF($H462="","",N($H462)*N($G462))</f>
        <v/>
      </c>
      <c r="J462" s="25" t="str">
        <f aca="false">IF($H462="","",N($H462)-N($I462))</f>
        <v/>
      </c>
      <c r="K462" s="25"/>
      <c r="L462" s="25" t="str">
        <f aca="false">IF($A462="","",SUMIF($A$4:$A462,$A462,$J$4:$J462)-SUMIF($A$4:$A462,$A462,$K$4:$K462))</f>
        <v/>
      </c>
      <c r="M462" s="26" t="str">
        <f aca="false">IF($H462="","",N($H462))</f>
        <v/>
      </c>
      <c r="N462" s="26"/>
      <c r="O462" s="26"/>
      <c r="P462" s="26" t="str">
        <f aca="false">IF($A462="","",SUMIF($A$4:$A462,$A462,$M$4:$M462)-SUMIF($A$4:$A462,$A462,$N$4:$N462)-SUMIF($A$4:$A462,$A462,$O$4:$O462))</f>
        <v/>
      </c>
      <c r="Q462" s="27"/>
      <c r="R462" s="28"/>
      <c r="S462" s="28"/>
      <c r="T462" s="28" t="str">
        <f aca="false">IF($A462="","",SUMIF($A$4:$A462,$A462,$Q$4:$Q462)-SUMIF($A$4:$A462,$A462,$R$4:$R462)-SUMIF($A$4:$A462,$A462,$S$4:$S462))</f>
        <v/>
      </c>
      <c r="U462" s="28"/>
      <c r="V462" s="29" t="str">
        <f aca="false">IF(AND($C462="",COUNTA($D462:$H462,$K462,$N462:$O462,$Q462:$S462,$U462)=0),"",IF($C462="","⚠ 没填项目名称",IF($A462="⚠目录里没有","⚠ 项目名称在目录里找不到（先加到目录）",IF($A462="","⚠ 目录里这个项目没填简称",IF(ISTEXT($G462)+ISTEXT($H462)+ISTEXT($K462)+ISTEXT($N462)+ISTEXT($O462)+ISTEXT($Q462)+ISTEXT($R462)+ISTEXT($S462)&gt;0,"⚠ 金额列里有文字，算不进合计",IF(N($G462)&gt;=1,"⚠ 管理费点要填百分比，如 10%",IF(AND($D462&lt;&gt;"",$B462=""),"△ 摘要开头没写日期（如 2026.9.21），月份取不到",IF(AND(N($H462)&lt;&gt;0,COUNTIFS($A$4:$A$1003,$A462,$H$4:$H$1003,$H462,$D$4:$D$1003,LEFT($D462,9)&amp;"*")&gt;1),"△ 同一天同项目有一样的销售金额，看看是不是录重了","✓"))))))))</f>
        <v/>
      </c>
      <c r="W462" s="8" t="str">
        <f aca="false">IF($A462="","",$A462&amp;"#"&amp;COUNTIF($A$4:$A462,$A462))</f>
        <v/>
      </c>
    </row>
    <row r="463" customFormat="false" ht="16.5" hidden="false" customHeight="false" outlineLevel="0" collapsed="false">
      <c r="A463" s="44" t="str">
        <f aca="false">IF($C463="","",IFERROR(VLOOKUP($C463,目录!$B:$C,2,0)&amp;"","⚠目录里没有"))</f>
        <v/>
      </c>
      <c r="B463" s="45" t="str">
        <f aca="false">IF($D463="","",IFERROR(MID($D463,FIND(".",$D463)+1,FIND(".",$D463,FIND(".",$D463)+1)-FIND(".",$D463)-1)&amp;"月",""))</f>
        <v/>
      </c>
      <c r="C463" s="46"/>
      <c r="D463" s="47"/>
      <c r="E463" s="47"/>
      <c r="F463" s="49"/>
      <c r="G463" s="50"/>
      <c r="H463" s="24"/>
      <c r="I463" s="24" t="str">
        <f aca="false">IF($H463="","",N($H463)*N($G463))</f>
        <v/>
      </c>
      <c r="J463" s="25" t="str">
        <f aca="false">IF($H463="","",N($H463)-N($I463))</f>
        <v/>
      </c>
      <c r="K463" s="25"/>
      <c r="L463" s="25" t="str">
        <f aca="false">IF($A463="","",SUMIF($A$4:$A463,$A463,$J$4:$J463)-SUMIF($A$4:$A463,$A463,$K$4:$K463))</f>
        <v/>
      </c>
      <c r="M463" s="26" t="str">
        <f aca="false">IF($H463="","",N($H463))</f>
        <v/>
      </c>
      <c r="N463" s="26"/>
      <c r="O463" s="26"/>
      <c r="P463" s="26" t="str">
        <f aca="false">IF($A463="","",SUMIF($A$4:$A463,$A463,$M$4:$M463)-SUMIF($A$4:$A463,$A463,$N$4:$N463)-SUMIF($A$4:$A463,$A463,$O$4:$O463))</f>
        <v/>
      </c>
      <c r="Q463" s="27"/>
      <c r="R463" s="28"/>
      <c r="S463" s="28"/>
      <c r="T463" s="28" t="str">
        <f aca="false">IF($A463="","",SUMIF($A$4:$A463,$A463,$Q$4:$Q463)-SUMIF($A$4:$A463,$A463,$R$4:$R463)-SUMIF($A$4:$A463,$A463,$S$4:$S463))</f>
        <v/>
      </c>
      <c r="U463" s="28"/>
      <c r="V463" s="29" t="str">
        <f aca="false">IF(AND($C463="",COUNTA($D463:$H463,$K463,$N463:$O463,$Q463:$S463,$U463)=0),"",IF($C463="","⚠ 没填项目名称",IF($A463="⚠目录里没有","⚠ 项目名称在目录里找不到（先加到目录）",IF($A463="","⚠ 目录里这个项目没填简称",IF(ISTEXT($G463)+ISTEXT($H463)+ISTEXT($K463)+ISTEXT($N463)+ISTEXT($O463)+ISTEXT($Q463)+ISTEXT($R463)+ISTEXT($S463)&gt;0,"⚠ 金额列里有文字，算不进合计",IF(N($G463)&gt;=1,"⚠ 管理费点要填百分比，如 10%",IF(AND($D463&lt;&gt;"",$B463=""),"△ 摘要开头没写日期（如 2026.9.21），月份取不到",IF(AND(N($H463)&lt;&gt;0,COUNTIFS($A$4:$A$1003,$A463,$H$4:$H$1003,$H463,$D$4:$D$1003,LEFT($D463,9)&amp;"*")&gt;1),"△ 同一天同项目有一样的销售金额，看看是不是录重了","✓"))))))))</f>
        <v/>
      </c>
      <c r="W463" s="8" t="str">
        <f aca="false">IF($A463="","",$A463&amp;"#"&amp;COUNTIF($A$4:$A463,$A463))</f>
        <v/>
      </c>
    </row>
    <row r="464" customFormat="false" ht="16.5" hidden="false" customHeight="false" outlineLevel="0" collapsed="false">
      <c r="A464" s="44" t="str">
        <f aca="false">IF($C464="","",IFERROR(VLOOKUP($C464,目录!$B:$C,2,0)&amp;"","⚠目录里没有"))</f>
        <v/>
      </c>
      <c r="B464" s="45" t="str">
        <f aca="false">IF($D464="","",IFERROR(MID($D464,FIND(".",$D464)+1,FIND(".",$D464,FIND(".",$D464)+1)-FIND(".",$D464)-1)&amp;"月",""))</f>
        <v/>
      </c>
      <c r="C464" s="46"/>
      <c r="D464" s="47"/>
      <c r="E464" s="47"/>
      <c r="F464" s="49"/>
      <c r="G464" s="50"/>
      <c r="H464" s="24"/>
      <c r="I464" s="24" t="str">
        <f aca="false">IF($H464="","",N($H464)*N($G464))</f>
        <v/>
      </c>
      <c r="J464" s="25" t="str">
        <f aca="false">IF($H464="","",N($H464)-N($I464))</f>
        <v/>
      </c>
      <c r="K464" s="25"/>
      <c r="L464" s="25" t="str">
        <f aca="false">IF($A464="","",SUMIF($A$4:$A464,$A464,$J$4:$J464)-SUMIF($A$4:$A464,$A464,$K$4:$K464))</f>
        <v/>
      </c>
      <c r="M464" s="26" t="str">
        <f aca="false">IF($H464="","",N($H464))</f>
        <v/>
      </c>
      <c r="N464" s="26"/>
      <c r="O464" s="26"/>
      <c r="P464" s="26" t="str">
        <f aca="false">IF($A464="","",SUMIF($A$4:$A464,$A464,$M$4:$M464)-SUMIF($A$4:$A464,$A464,$N$4:$N464)-SUMIF($A$4:$A464,$A464,$O$4:$O464))</f>
        <v/>
      </c>
      <c r="Q464" s="27"/>
      <c r="R464" s="28"/>
      <c r="S464" s="28"/>
      <c r="T464" s="28" t="str">
        <f aca="false">IF($A464="","",SUMIF($A$4:$A464,$A464,$Q$4:$Q464)-SUMIF($A$4:$A464,$A464,$R$4:$R464)-SUMIF($A$4:$A464,$A464,$S$4:$S464))</f>
        <v/>
      </c>
      <c r="U464" s="28"/>
      <c r="V464" s="29" t="str">
        <f aca="false">IF(AND($C464="",COUNTA($D464:$H464,$K464,$N464:$O464,$Q464:$S464,$U464)=0),"",IF($C464="","⚠ 没填项目名称",IF($A464="⚠目录里没有","⚠ 项目名称在目录里找不到（先加到目录）",IF($A464="","⚠ 目录里这个项目没填简称",IF(ISTEXT($G464)+ISTEXT($H464)+ISTEXT($K464)+ISTEXT($N464)+ISTEXT($O464)+ISTEXT($Q464)+ISTEXT($R464)+ISTEXT($S464)&gt;0,"⚠ 金额列里有文字，算不进合计",IF(N($G464)&gt;=1,"⚠ 管理费点要填百分比，如 10%",IF(AND($D464&lt;&gt;"",$B464=""),"△ 摘要开头没写日期（如 2026.9.21），月份取不到",IF(AND(N($H464)&lt;&gt;0,COUNTIFS($A$4:$A$1003,$A464,$H$4:$H$1003,$H464,$D$4:$D$1003,LEFT($D464,9)&amp;"*")&gt;1),"△ 同一天同项目有一样的销售金额，看看是不是录重了","✓"))))))))</f>
        <v/>
      </c>
      <c r="W464" s="8" t="str">
        <f aca="false">IF($A464="","",$A464&amp;"#"&amp;COUNTIF($A$4:$A464,$A464))</f>
        <v/>
      </c>
    </row>
    <row r="465" customFormat="false" ht="16.5" hidden="false" customHeight="false" outlineLevel="0" collapsed="false">
      <c r="A465" s="44" t="str">
        <f aca="false">IF($C465="","",IFERROR(VLOOKUP($C465,目录!$B:$C,2,0)&amp;"","⚠目录里没有"))</f>
        <v/>
      </c>
      <c r="B465" s="45" t="str">
        <f aca="false">IF($D465="","",IFERROR(MID($D465,FIND(".",$D465)+1,FIND(".",$D465,FIND(".",$D465)+1)-FIND(".",$D465)-1)&amp;"月",""))</f>
        <v/>
      </c>
      <c r="C465" s="46"/>
      <c r="D465" s="47"/>
      <c r="E465" s="47"/>
      <c r="F465" s="49"/>
      <c r="G465" s="50"/>
      <c r="H465" s="24"/>
      <c r="I465" s="24" t="str">
        <f aca="false">IF($H465="","",N($H465)*N($G465))</f>
        <v/>
      </c>
      <c r="J465" s="25" t="str">
        <f aca="false">IF($H465="","",N($H465)-N($I465))</f>
        <v/>
      </c>
      <c r="K465" s="25"/>
      <c r="L465" s="25" t="str">
        <f aca="false">IF($A465="","",SUMIF($A$4:$A465,$A465,$J$4:$J465)-SUMIF($A$4:$A465,$A465,$K$4:$K465))</f>
        <v/>
      </c>
      <c r="M465" s="26" t="str">
        <f aca="false">IF($H465="","",N($H465))</f>
        <v/>
      </c>
      <c r="N465" s="26"/>
      <c r="O465" s="26"/>
      <c r="P465" s="26" t="str">
        <f aca="false">IF($A465="","",SUMIF($A$4:$A465,$A465,$M$4:$M465)-SUMIF($A$4:$A465,$A465,$N$4:$N465)-SUMIF($A$4:$A465,$A465,$O$4:$O465))</f>
        <v/>
      </c>
      <c r="Q465" s="27"/>
      <c r="R465" s="28"/>
      <c r="S465" s="28"/>
      <c r="T465" s="28" t="str">
        <f aca="false">IF($A465="","",SUMIF($A$4:$A465,$A465,$Q$4:$Q465)-SUMIF($A$4:$A465,$A465,$R$4:$R465)-SUMIF($A$4:$A465,$A465,$S$4:$S465))</f>
        <v/>
      </c>
      <c r="U465" s="28"/>
      <c r="V465" s="29" t="str">
        <f aca="false">IF(AND($C465="",COUNTA($D465:$H465,$K465,$N465:$O465,$Q465:$S465,$U465)=0),"",IF($C465="","⚠ 没填项目名称",IF($A465="⚠目录里没有","⚠ 项目名称在目录里找不到（先加到目录）",IF($A465="","⚠ 目录里这个项目没填简称",IF(ISTEXT($G465)+ISTEXT($H465)+ISTEXT($K465)+ISTEXT($N465)+ISTEXT($O465)+ISTEXT($Q465)+ISTEXT($R465)+ISTEXT($S465)&gt;0,"⚠ 金额列里有文字，算不进合计",IF(N($G465)&gt;=1,"⚠ 管理费点要填百分比，如 10%",IF(AND($D465&lt;&gt;"",$B465=""),"△ 摘要开头没写日期（如 2026.9.21），月份取不到",IF(AND(N($H465)&lt;&gt;0,COUNTIFS($A$4:$A$1003,$A465,$H$4:$H$1003,$H465,$D$4:$D$1003,LEFT($D465,9)&amp;"*")&gt;1),"△ 同一天同项目有一样的销售金额，看看是不是录重了","✓"))))))))</f>
        <v/>
      </c>
      <c r="W465" s="8" t="str">
        <f aca="false">IF($A465="","",$A465&amp;"#"&amp;COUNTIF($A$4:$A465,$A465))</f>
        <v/>
      </c>
    </row>
    <row r="466" customFormat="false" ht="16.5" hidden="false" customHeight="false" outlineLevel="0" collapsed="false">
      <c r="A466" s="44" t="str">
        <f aca="false">IF($C466="","",IFERROR(VLOOKUP($C466,目录!$B:$C,2,0)&amp;"","⚠目录里没有"))</f>
        <v/>
      </c>
      <c r="B466" s="45" t="str">
        <f aca="false">IF($D466="","",IFERROR(MID($D466,FIND(".",$D466)+1,FIND(".",$D466,FIND(".",$D466)+1)-FIND(".",$D466)-1)&amp;"月",""))</f>
        <v/>
      </c>
      <c r="C466" s="46"/>
      <c r="D466" s="47"/>
      <c r="E466" s="47"/>
      <c r="F466" s="49"/>
      <c r="G466" s="50"/>
      <c r="H466" s="24"/>
      <c r="I466" s="24" t="str">
        <f aca="false">IF($H466="","",N($H466)*N($G466))</f>
        <v/>
      </c>
      <c r="J466" s="25" t="str">
        <f aca="false">IF($H466="","",N($H466)-N($I466))</f>
        <v/>
      </c>
      <c r="K466" s="25"/>
      <c r="L466" s="25" t="str">
        <f aca="false">IF($A466="","",SUMIF($A$4:$A466,$A466,$J$4:$J466)-SUMIF($A$4:$A466,$A466,$K$4:$K466))</f>
        <v/>
      </c>
      <c r="M466" s="26" t="str">
        <f aca="false">IF($H466="","",N($H466))</f>
        <v/>
      </c>
      <c r="N466" s="26"/>
      <c r="O466" s="26"/>
      <c r="P466" s="26" t="str">
        <f aca="false">IF($A466="","",SUMIF($A$4:$A466,$A466,$M$4:$M466)-SUMIF($A$4:$A466,$A466,$N$4:$N466)-SUMIF($A$4:$A466,$A466,$O$4:$O466))</f>
        <v/>
      </c>
      <c r="Q466" s="27"/>
      <c r="R466" s="28"/>
      <c r="S466" s="28"/>
      <c r="T466" s="28" t="str">
        <f aca="false">IF($A466="","",SUMIF($A$4:$A466,$A466,$Q$4:$Q466)-SUMIF($A$4:$A466,$A466,$R$4:$R466)-SUMIF($A$4:$A466,$A466,$S$4:$S466))</f>
        <v/>
      </c>
      <c r="U466" s="28"/>
      <c r="V466" s="29" t="str">
        <f aca="false">IF(AND($C466="",COUNTA($D466:$H466,$K466,$N466:$O466,$Q466:$S466,$U466)=0),"",IF($C466="","⚠ 没填项目名称",IF($A466="⚠目录里没有","⚠ 项目名称在目录里找不到（先加到目录）",IF($A466="","⚠ 目录里这个项目没填简称",IF(ISTEXT($G466)+ISTEXT($H466)+ISTEXT($K466)+ISTEXT($N466)+ISTEXT($O466)+ISTEXT($Q466)+ISTEXT($R466)+ISTEXT($S466)&gt;0,"⚠ 金额列里有文字，算不进合计",IF(N($G466)&gt;=1,"⚠ 管理费点要填百分比，如 10%",IF(AND($D466&lt;&gt;"",$B466=""),"△ 摘要开头没写日期（如 2026.9.21），月份取不到",IF(AND(N($H466)&lt;&gt;0,COUNTIFS($A$4:$A$1003,$A466,$H$4:$H$1003,$H466,$D$4:$D$1003,LEFT($D466,9)&amp;"*")&gt;1),"△ 同一天同项目有一样的销售金额，看看是不是录重了","✓"))))))))</f>
        <v/>
      </c>
      <c r="W466" s="8" t="str">
        <f aca="false">IF($A466="","",$A466&amp;"#"&amp;COUNTIF($A$4:$A466,$A466))</f>
        <v/>
      </c>
    </row>
    <row r="467" customFormat="false" ht="16.5" hidden="false" customHeight="false" outlineLevel="0" collapsed="false">
      <c r="A467" s="44" t="str">
        <f aca="false">IF($C467="","",IFERROR(VLOOKUP($C467,目录!$B:$C,2,0)&amp;"","⚠目录里没有"))</f>
        <v/>
      </c>
      <c r="B467" s="45" t="str">
        <f aca="false">IF($D467="","",IFERROR(MID($D467,FIND(".",$D467)+1,FIND(".",$D467,FIND(".",$D467)+1)-FIND(".",$D467)-1)&amp;"月",""))</f>
        <v/>
      </c>
      <c r="C467" s="46"/>
      <c r="D467" s="47"/>
      <c r="E467" s="47"/>
      <c r="F467" s="49"/>
      <c r="G467" s="50"/>
      <c r="H467" s="24"/>
      <c r="I467" s="24" t="str">
        <f aca="false">IF($H467="","",N($H467)*N($G467))</f>
        <v/>
      </c>
      <c r="J467" s="25" t="str">
        <f aca="false">IF($H467="","",N($H467)-N($I467))</f>
        <v/>
      </c>
      <c r="K467" s="25"/>
      <c r="L467" s="25" t="str">
        <f aca="false">IF($A467="","",SUMIF($A$4:$A467,$A467,$J$4:$J467)-SUMIF($A$4:$A467,$A467,$K$4:$K467))</f>
        <v/>
      </c>
      <c r="M467" s="26" t="str">
        <f aca="false">IF($H467="","",N($H467))</f>
        <v/>
      </c>
      <c r="N467" s="26"/>
      <c r="O467" s="26"/>
      <c r="P467" s="26" t="str">
        <f aca="false">IF($A467="","",SUMIF($A$4:$A467,$A467,$M$4:$M467)-SUMIF($A$4:$A467,$A467,$N$4:$N467)-SUMIF($A$4:$A467,$A467,$O$4:$O467))</f>
        <v/>
      </c>
      <c r="Q467" s="27"/>
      <c r="R467" s="28"/>
      <c r="S467" s="28"/>
      <c r="T467" s="28" t="str">
        <f aca="false">IF($A467="","",SUMIF($A$4:$A467,$A467,$Q$4:$Q467)-SUMIF($A$4:$A467,$A467,$R$4:$R467)-SUMIF($A$4:$A467,$A467,$S$4:$S467))</f>
        <v/>
      </c>
      <c r="U467" s="28"/>
      <c r="V467" s="29" t="str">
        <f aca="false">IF(AND($C467="",COUNTA($D467:$H467,$K467,$N467:$O467,$Q467:$S467,$U467)=0),"",IF($C467="","⚠ 没填项目名称",IF($A467="⚠目录里没有","⚠ 项目名称在目录里找不到（先加到目录）",IF($A467="","⚠ 目录里这个项目没填简称",IF(ISTEXT($G467)+ISTEXT($H467)+ISTEXT($K467)+ISTEXT($N467)+ISTEXT($O467)+ISTEXT($Q467)+ISTEXT($R467)+ISTEXT($S467)&gt;0,"⚠ 金额列里有文字，算不进合计",IF(N($G467)&gt;=1,"⚠ 管理费点要填百分比，如 10%",IF(AND($D467&lt;&gt;"",$B467=""),"△ 摘要开头没写日期（如 2026.9.21），月份取不到",IF(AND(N($H467)&lt;&gt;0,COUNTIFS($A$4:$A$1003,$A467,$H$4:$H$1003,$H467,$D$4:$D$1003,LEFT($D467,9)&amp;"*")&gt;1),"△ 同一天同项目有一样的销售金额，看看是不是录重了","✓"))))))))</f>
        <v/>
      </c>
      <c r="W467" s="8" t="str">
        <f aca="false">IF($A467="","",$A467&amp;"#"&amp;COUNTIF($A$4:$A467,$A467))</f>
        <v/>
      </c>
    </row>
    <row r="468" customFormat="false" ht="16.5" hidden="false" customHeight="false" outlineLevel="0" collapsed="false">
      <c r="A468" s="44" t="str">
        <f aca="false">IF($C468="","",IFERROR(VLOOKUP($C468,目录!$B:$C,2,0)&amp;"","⚠目录里没有"))</f>
        <v/>
      </c>
      <c r="B468" s="45" t="str">
        <f aca="false">IF($D468="","",IFERROR(MID($D468,FIND(".",$D468)+1,FIND(".",$D468,FIND(".",$D468)+1)-FIND(".",$D468)-1)&amp;"月",""))</f>
        <v/>
      </c>
      <c r="C468" s="46"/>
      <c r="D468" s="47"/>
      <c r="E468" s="47"/>
      <c r="F468" s="49"/>
      <c r="G468" s="50"/>
      <c r="H468" s="24"/>
      <c r="I468" s="24" t="str">
        <f aca="false">IF($H468="","",N($H468)*N($G468))</f>
        <v/>
      </c>
      <c r="J468" s="25" t="str">
        <f aca="false">IF($H468="","",N($H468)-N($I468))</f>
        <v/>
      </c>
      <c r="K468" s="25"/>
      <c r="L468" s="25" t="str">
        <f aca="false">IF($A468="","",SUMIF($A$4:$A468,$A468,$J$4:$J468)-SUMIF($A$4:$A468,$A468,$K$4:$K468))</f>
        <v/>
      </c>
      <c r="M468" s="26" t="str">
        <f aca="false">IF($H468="","",N($H468))</f>
        <v/>
      </c>
      <c r="N468" s="26"/>
      <c r="O468" s="26"/>
      <c r="P468" s="26" t="str">
        <f aca="false">IF($A468="","",SUMIF($A$4:$A468,$A468,$M$4:$M468)-SUMIF($A$4:$A468,$A468,$N$4:$N468)-SUMIF($A$4:$A468,$A468,$O$4:$O468))</f>
        <v/>
      </c>
      <c r="Q468" s="27"/>
      <c r="R468" s="28"/>
      <c r="S468" s="28"/>
      <c r="T468" s="28" t="str">
        <f aca="false">IF($A468="","",SUMIF($A$4:$A468,$A468,$Q$4:$Q468)-SUMIF($A$4:$A468,$A468,$R$4:$R468)-SUMIF($A$4:$A468,$A468,$S$4:$S468))</f>
        <v/>
      </c>
      <c r="U468" s="28"/>
      <c r="V468" s="29" t="str">
        <f aca="false">IF(AND($C468="",COUNTA($D468:$H468,$K468,$N468:$O468,$Q468:$S468,$U468)=0),"",IF($C468="","⚠ 没填项目名称",IF($A468="⚠目录里没有","⚠ 项目名称在目录里找不到（先加到目录）",IF($A468="","⚠ 目录里这个项目没填简称",IF(ISTEXT($G468)+ISTEXT($H468)+ISTEXT($K468)+ISTEXT($N468)+ISTEXT($O468)+ISTEXT($Q468)+ISTEXT($R468)+ISTEXT($S468)&gt;0,"⚠ 金额列里有文字，算不进合计",IF(N($G468)&gt;=1,"⚠ 管理费点要填百分比，如 10%",IF(AND($D468&lt;&gt;"",$B468=""),"△ 摘要开头没写日期（如 2026.9.21），月份取不到",IF(AND(N($H468)&lt;&gt;0,COUNTIFS($A$4:$A$1003,$A468,$H$4:$H$1003,$H468,$D$4:$D$1003,LEFT($D468,9)&amp;"*")&gt;1),"△ 同一天同项目有一样的销售金额，看看是不是录重了","✓"))))))))</f>
        <v/>
      </c>
      <c r="W468" s="8" t="str">
        <f aca="false">IF($A468="","",$A468&amp;"#"&amp;COUNTIF($A$4:$A468,$A468))</f>
        <v/>
      </c>
    </row>
    <row r="469" customFormat="false" ht="16.5" hidden="false" customHeight="false" outlineLevel="0" collapsed="false">
      <c r="A469" s="44" t="str">
        <f aca="false">IF($C469="","",IFERROR(VLOOKUP($C469,目录!$B:$C,2,0)&amp;"","⚠目录里没有"))</f>
        <v/>
      </c>
      <c r="B469" s="45" t="str">
        <f aca="false">IF($D469="","",IFERROR(MID($D469,FIND(".",$D469)+1,FIND(".",$D469,FIND(".",$D469)+1)-FIND(".",$D469)-1)&amp;"月",""))</f>
        <v/>
      </c>
      <c r="C469" s="46"/>
      <c r="D469" s="47"/>
      <c r="E469" s="47"/>
      <c r="F469" s="49"/>
      <c r="G469" s="50"/>
      <c r="H469" s="24"/>
      <c r="I469" s="24" t="str">
        <f aca="false">IF($H469="","",N($H469)*N($G469))</f>
        <v/>
      </c>
      <c r="J469" s="25" t="str">
        <f aca="false">IF($H469="","",N($H469)-N($I469))</f>
        <v/>
      </c>
      <c r="K469" s="25"/>
      <c r="L469" s="25" t="str">
        <f aca="false">IF($A469="","",SUMIF($A$4:$A469,$A469,$J$4:$J469)-SUMIF($A$4:$A469,$A469,$K$4:$K469))</f>
        <v/>
      </c>
      <c r="M469" s="26" t="str">
        <f aca="false">IF($H469="","",N($H469))</f>
        <v/>
      </c>
      <c r="N469" s="26"/>
      <c r="O469" s="26"/>
      <c r="P469" s="26" t="str">
        <f aca="false">IF($A469="","",SUMIF($A$4:$A469,$A469,$M$4:$M469)-SUMIF($A$4:$A469,$A469,$N$4:$N469)-SUMIF($A$4:$A469,$A469,$O$4:$O469))</f>
        <v/>
      </c>
      <c r="Q469" s="27"/>
      <c r="R469" s="28"/>
      <c r="S469" s="28"/>
      <c r="T469" s="28" t="str">
        <f aca="false">IF($A469="","",SUMIF($A$4:$A469,$A469,$Q$4:$Q469)-SUMIF($A$4:$A469,$A469,$R$4:$R469)-SUMIF($A$4:$A469,$A469,$S$4:$S469))</f>
        <v/>
      </c>
      <c r="U469" s="28"/>
      <c r="V469" s="29" t="str">
        <f aca="false">IF(AND($C469="",COUNTA($D469:$H469,$K469,$N469:$O469,$Q469:$S469,$U469)=0),"",IF($C469="","⚠ 没填项目名称",IF($A469="⚠目录里没有","⚠ 项目名称在目录里找不到（先加到目录）",IF($A469="","⚠ 目录里这个项目没填简称",IF(ISTEXT($G469)+ISTEXT($H469)+ISTEXT($K469)+ISTEXT($N469)+ISTEXT($O469)+ISTEXT($Q469)+ISTEXT($R469)+ISTEXT($S469)&gt;0,"⚠ 金额列里有文字，算不进合计",IF(N($G469)&gt;=1,"⚠ 管理费点要填百分比，如 10%",IF(AND($D469&lt;&gt;"",$B469=""),"△ 摘要开头没写日期（如 2026.9.21），月份取不到",IF(AND(N($H469)&lt;&gt;0,COUNTIFS($A$4:$A$1003,$A469,$H$4:$H$1003,$H469,$D$4:$D$1003,LEFT($D469,9)&amp;"*")&gt;1),"△ 同一天同项目有一样的销售金额，看看是不是录重了","✓"))))))))</f>
        <v/>
      </c>
      <c r="W469" s="8" t="str">
        <f aca="false">IF($A469="","",$A469&amp;"#"&amp;COUNTIF($A$4:$A469,$A469))</f>
        <v/>
      </c>
    </row>
    <row r="470" customFormat="false" ht="16.5" hidden="false" customHeight="false" outlineLevel="0" collapsed="false">
      <c r="A470" s="44" t="str">
        <f aca="false">IF($C470="","",IFERROR(VLOOKUP($C470,目录!$B:$C,2,0)&amp;"","⚠目录里没有"))</f>
        <v/>
      </c>
      <c r="B470" s="45" t="str">
        <f aca="false">IF($D470="","",IFERROR(MID($D470,FIND(".",$D470)+1,FIND(".",$D470,FIND(".",$D470)+1)-FIND(".",$D470)-1)&amp;"月",""))</f>
        <v/>
      </c>
      <c r="C470" s="46"/>
      <c r="D470" s="47"/>
      <c r="E470" s="47"/>
      <c r="F470" s="49"/>
      <c r="G470" s="50"/>
      <c r="H470" s="24"/>
      <c r="I470" s="24" t="str">
        <f aca="false">IF($H470="","",N($H470)*N($G470))</f>
        <v/>
      </c>
      <c r="J470" s="25" t="str">
        <f aca="false">IF($H470="","",N($H470)-N($I470))</f>
        <v/>
      </c>
      <c r="K470" s="25"/>
      <c r="L470" s="25" t="str">
        <f aca="false">IF($A470="","",SUMIF($A$4:$A470,$A470,$J$4:$J470)-SUMIF($A$4:$A470,$A470,$K$4:$K470))</f>
        <v/>
      </c>
      <c r="M470" s="26" t="str">
        <f aca="false">IF($H470="","",N($H470))</f>
        <v/>
      </c>
      <c r="N470" s="26"/>
      <c r="O470" s="26"/>
      <c r="P470" s="26" t="str">
        <f aca="false">IF($A470="","",SUMIF($A$4:$A470,$A470,$M$4:$M470)-SUMIF($A$4:$A470,$A470,$N$4:$N470)-SUMIF($A$4:$A470,$A470,$O$4:$O470))</f>
        <v/>
      </c>
      <c r="Q470" s="27"/>
      <c r="R470" s="28"/>
      <c r="S470" s="28"/>
      <c r="T470" s="28" t="str">
        <f aca="false">IF($A470="","",SUMIF($A$4:$A470,$A470,$Q$4:$Q470)-SUMIF($A$4:$A470,$A470,$R$4:$R470)-SUMIF($A$4:$A470,$A470,$S$4:$S470))</f>
        <v/>
      </c>
      <c r="U470" s="28"/>
      <c r="V470" s="29" t="str">
        <f aca="false">IF(AND($C470="",COUNTA($D470:$H470,$K470,$N470:$O470,$Q470:$S470,$U470)=0),"",IF($C470="","⚠ 没填项目名称",IF($A470="⚠目录里没有","⚠ 项目名称在目录里找不到（先加到目录）",IF($A470="","⚠ 目录里这个项目没填简称",IF(ISTEXT($G470)+ISTEXT($H470)+ISTEXT($K470)+ISTEXT($N470)+ISTEXT($O470)+ISTEXT($Q470)+ISTEXT($R470)+ISTEXT($S470)&gt;0,"⚠ 金额列里有文字，算不进合计",IF(N($G470)&gt;=1,"⚠ 管理费点要填百分比，如 10%",IF(AND($D470&lt;&gt;"",$B470=""),"△ 摘要开头没写日期（如 2026.9.21），月份取不到",IF(AND(N($H470)&lt;&gt;0,COUNTIFS($A$4:$A$1003,$A470,$H$4:$H$1003,$H470,$D$4:$D$1003,LEFT($D470,9)&amp;"*")&gt;1),"△ 同一天同项目有一样的销售金额，看看是不是录重了","✓"))))))))</f>
        <v/>
      </c>
      <c r="W470" s="8" t="str">
        <f aca="false">IF($A470="","",$A470&amp;"#"&amp;COUNTIF($A$4:$A470,$A470))</f>
        <v/>
      </c>
    </row>
    <row r="471" customFormat="false" ht="16.5" hidden="false" customHeight="false" outlineLevel="0" collapsed="false">
      <c r="A471" s="44" t="str">
        <f aca="false">IF($C471="","",IFERROR(VLOOKUP($C471,目录!$B:$C,2,0)&amp;"","⚠目录里没有"))</f>
        <v/>
      </c>
      <c r="B471" s="45" t="str">
        <f aca="false">IF($D471="","",IFERROR(MID($D471,FIND(".",$D471)+1,FIND(".",$D471,FIND(".",$D471)+1)-FIND(".",$D471)-1)&amp;"月",""))</f>
        <v/>
      </c>
      <c r="C471" s="46"/>
      <c r="D471" s="47"/>
      <c r="E471" s="47"/>
      <c r="F471" s="49"/>
      <c r="G471" s="50"/>
      <c r="H471" s="24"/>
      <c r="I471" s="24" t="str">
        <f aca="false">IF($H471="","",N($H471)*N($G471))</f>
        <v/>
      </c>
      <c r="J471" s="25" t="str">
        <f aca="false">IF($H471="","",N($H471)-N($I471))</f>
        <v/>
      </c>
      <c r="K471" s="25"/>
      <c r="L471" s="25" t="str">
        <f aca="false">IF($A471="","",SUMIF($A$4:$A471,$A471,$J$4:$J471)-SUMIF($A$4:$A471,$A471,$K$4:$K471))</f>
        <v/>
      </c>
      <c r="M471" s="26" t="str">
        <f aca="false">IF($H471="","",N($H471))</f>
        <v/>
      </c>
      <c r="N471" s="26"/>
      <c r="O471" s="26"/>
      <c r="P471" s="26" t="str">
        <f aca="false">IF($A471="","",SUMIF($A$4:$A471,$A471,$M$4:$M471)-SUMIF($A$4:$A471,$A471,$N$4:$N471)-SUMIF($A$4:$A471,$A471,$O$4:$O471))</f>
        <v/>
      </c>
      <c r="Q471" s="27"/>
      <c r="R471" s="28"/>
      <c r="S471" s="28"/>
      <c r="T471" s="28" t="str">
        <f aca="false">IF($A471="","",SUMIF($A$4:$A471,$A471,$Q$4:$Q471)-SUMIF($A$4:$A471,$A471,$R$4:$R471)-SUMIF($A$4:$A471,$A471,$S$4:$S471))</f>
        <v/>
      </c>
      <c r="U471" s="28"/>
      <c r="V471" s="29" t="str">
        <f aca="false">IF(AND($C471="",COUNTA($D471:$H471,$K471,$N471:$O471,$Q471:$S471,$U471)=0),"",IF($C471="","⚠ 没填项目名称",IF($A471="⚠目录里没有","⚠ 项目名称在目录里找不到（先加到目录）",IF($A471="","⚠ 目录里这个项目没填简称",IF(ISTEXT($G471)+ISTEXT($H471)+ISTEXT($K471)+ISTEXT($N471)+ISTEXT($O471)+ISTEXT($Q471)+ISTEXT($R471)+ISTEXT($S471)&gt;0,"⚠ 金额列里有文字，算不进合计",IF(N($G471)&gt;=1,"⚠ 管理费点要填百分比，如 10%",IF(AND($D471&lt;&gt;"",$B471=""),"△ 摘要开头没写日期（如 2026.9.21），月份取不到",IF(AND(N($H471)&lt;&gt;0,COUNTIFS($A$4:$A$1003,$A471,$H$4:$H$1003,$H471,$D$4:$D$1003,LEFT($D471,9)&amp;"*")&gt;1),"△ 同一天同项目有一样的销售金额，看看是不是录重了","✓"))))))))</f>
        <v/>
      </c>
      <c r="W471" s="8" t="str">
        <f aca="false">IF($A471="","",$A471&amp;"#"&amp;COUNTIF($A$4:$A471,$A471))</f>
        <v/>
      </c>
    </row>
    <row r="472" customFormat="false" ht="16.5" hidden="false" customHeight="false" outlineLevel="0" collapsed="false">
      <c r="A472" s="44" t="str">
        <f aca="false">IF($C472="","",IFERROR(VLOOKUP($C472,目录!$B:$C,2,0)&amp;"","⚠目录里没有"))</f>
        <v/>
      </c>
      <c r="B472" s="45" t="str">
        <f aca="false">IF($D472="","",IFERROR(MID($D472,FIND(".",$D472)+1,FIND(".",$D472,FIND(".",$D472)+1)-FIND(".",$D472)-1)&amp;"月",""))</f>
        <v/>
      </c>
      <c r="C472" s="46"/>
      <c r="D472" s="47"/>
      <c r="E472" s="47"/>
      <c r="F472" s="49"/>
      <c r="G472" s="50"/>
      <c r="H472" s="24"/>
      <c r="I472" s="24" t="str">
        <f aca="false">IF($H472="","",N($H472)*N($G472))</f>
        <v/>
      </c>
      <c r="J472" s="25" t="str">
        <f aca="false">IF($H472="","",N($H472)-N($I472))</f>
        <v/>
      </c>
      <c r="K472" s="25"/>
      <c r="L472" s="25" t="str">
        <f aca="false">IF($A472="","",SUMIF($A$4:$A472,$A472,$J$4:$J472)-SUMIF($A$4:$A472,$A472,$K$4:$K472))</f>
        <v/>
      </c>
      <c r="M472" s="26" t="str">
        <f aca="false">IF($H472="","",N($H472))</f>
        <v/>
      </c>
      <c r="N472" s="26"/>
      <c r="O472" s="26"/>
      <c r="P472" s="26" t="str">
        <f aca="false">IF($A472="","",SUMIF($A$4:$A472,$A472,$M$4:$M472)-SUMIF($A$4:$A472,$A472,$N$4:$N472)-SUMIF($A$4:$A472,$A472,$O$4:$O472))</f>
        <v/>
      </c>
      <c r="Q472" s="27"/>
      <c r="R472" s="28"/>
      <c r="S472" s="28"/>
      <c r="T472" s="28" t="str">
        <f aca="false">IF($A472="","",SUMIF($A$4:$A472,$A472,$Q$4:$Q472)-SUMIF($A$4:$A472,$A472,$R$4:$R472)-SUMIF($A$4:$A472,$A472,$S$4:$S472))</f>
        <v/>
      </c>
      <c r="U472" s="28"/>
      <c r="V472" s="29" t="str">
        <f aca="false">IF(AND($C472="",COUNTA($D472:$H472,$K472,$N472:$O472,$Q472:$S472,$U472)=0),"",IF($C472="","⚠ 没填项目名称",IF($A472="⚠目录里没有","⚠ 项目名称在目录里找不到（先加到目录）",IF($A472="","⚠ 目录里这个项目没填简称",IF(ISTEXT($G472)+ISTEXT($H472)+ISTEXT($K472)+ISTEXT($N472)+ISTEXT($O472)+ISTEXT($Q472)+ISTEXT($R472)+ISTEXT($S472)&gt;0,"⚠ 金额列里有文字，算不进合计",IF(N($G472)&gt;=1,"⚠ 管理费点要填百分比，如 10%",IF(AND($D472&lt;&gt;"",$B472=""),"△ 摘要开头没写日期（如 2026.9.21），月份取不到",IF(AND(N($H472)&lt;&gt;0,COUNTIFS($A$4:$A$1003,$A472,$H$4:$H$1003,$H472,$D$4:$D$1003,LEFT($D472,9)&amp;"*")&gt;1),"△ 同一天同项目有一样的销售金额，看看是不是录重了","✓"))))))))</f>
        <v/>
      </c>
      <c r="W472" s="8" t="str">
        <f aca="false">IF($A472="","",$A472&amp;"#"&amp;COUNTIF($A$4:$A472,$A472))</f>
        <v/>
      </c>
    </row>
    <row r="473" customFormat="false" ht="16.5" hidden="false" customHeight="false" outlineLevel="0" collapsed="false">
      <c r="A473" s="44" t="str">
        <f aca="false">IF($C473="","",IFERROR(VLOOKUP($C473,目录!$B:$C,2,0)&amp;"","⚠目录里没有"))</f>
        <v/>
      </c>
      <c r="B473" s="45" t="str">
        <f aca="false">IF($D473="","",IFERROR(MID($D473,FIND(".",$D473)+1,FIND(".",$D473,FIND(".",$D473)+1)-FIND(".",$D473)-1)&amp;"月",""))</f>
        <v/>
      </c>
      <c r="C473" s="46"/>
      <c r="D473" s="47"/>
      <c r="E473" s="47"/>
      <c r="F473" s="49"/>
      <c r="G473" s="50"/>
      <c r="H473" s="24"/>
      <c r="I473" s="24" t="str">
        <f aca="false">IF($H473="","",N($H473)*N($G473))</f>
        <v/>
      </c>
      <c r="J473" s="25" t="str">
        <f aca="false">IF($H473="","",N($H473)-N($I473))</f>
        <v/>
      </c>
      <c r="K473" s="25"/>
      <c r="L473" s="25" t="str">
        <f aca="false">IF($A473="","",SUMIF($A$4:$A473,$A473,$J$4:$J473)-SUMIF($A$4:$A473,$A473,$K$4:$K473))</f>
        <v/>
      </c>
      <c r="M473" s="26" t="str">
        <f aca="false">IF($H473="","",N($H473))</f>
        <v/>
      </c>
      <c r="N473" s="26"/>
      <c r="O473" s="26"/>
      <c r="P473" s="26" t="str">
        <f aca="false">IF($A473="","",SUMIF($A$4:$A473,$A473,$M$4:$M473)-SUMIF($A$4:$A473,$A473,$N$4:$N473)-SUMIF($A$4:$A473,$A473,$O$4:$O473))</f>
        <v/>
      </c>
      <c r="Q473" s="27"/>
      <c r="R473" s="28"/>
      <c r="S473" s="28"/>
      <c r="T473" s="28" t="str">
        <f aca="false">IF($A473="","",SUMIF($A$4:$A473,$A473,$Q$4:$Q473)-SUMIF($A$4:$A473,$A473,$R$4:$R473)-SUMIF($A$4:$A473,$A473,$S$4:$S473))</f>
        <v/>
      </c>
      <c r="U473" s="28"/>
      <c r="V473" s="29" t="str">
        <f aca="false">IF(AND($C473="",COUNTA($D473:$H473,$K473,$N473:$O473,$Q473:$S473,$U473)=0),"",IF($C473="","⚠ 没填项目名称",IF($A473="⚠目录里没有","⚠ 项目名称在目录里找不到（先加到目录）",IF($A473="","⚠ 目录里这个项目没填简称",IF(ISTEXT($G473)+ISTEXT($H473)+ISTEXT($K473)+ISTEXT($N473)+ISTEXT($O473)+ISTEXT($Q473)+ISTEXT($R473)+ISTEXT($S473)&gt;0,"⚠ 金额列里有文字，算不进合计",IF(N($G473)&gt;=1,"⚠ 管理费点要填百分比，如 10%",IF(AND($D473&lt;&gt;"",$B473=""),"△ 摘要开头没写日期（如 2026.9.21），月份取不到",IF(AND(N($H473)&lt;&gt;0,COUNTIFS($A$4:$A$1003,$A473,$H$4:$H$1003,$H473,$D$4:$D$1003,LEFT($D473,9)&amp;"*")&gt;1),"△ 同一天同项目有一样的销售金额，看看是不是录重了","✓"))))))))</f>
        <v/>
      </c>
      <c r="W473" s="8" t="str">
        <f aca="false">IF($A473="","",$A473&amp;"#"&amp;COUNTIF($A$4:$A473,$A473))</f>
        <v/>
      </c>
    </row>
    <row r="474" customFormat="false" ht="16.5" hidden="false" customHeight="false" outlineLevel="0" collapsed="false">
      <c r="A474" s="44" t="str">
        <f aca="false">IF($C474="","",IFERROR(VLOOKUP($C474,目录!$B:$C,2,0)&amp;"","⚠目录里没有"))</f>
        <v/>
      </c>
      <c r="B474" s="45" t="str">
        <f aca="false">IF($D474="","",IFERROR(MID($D474,FIND(".",$D474)+1,FIND(".",$D474,FIND(".",$D474)+1)-FIND(".",$D474)-1)&amp;"月",""))</f>
        <v/>
      </c>
      <c r="C474" s="46"/>
      <c r="D474" s="47"/>
      <c r="E474" s="47"/>
      <c r="F474" s="49"/>
      <c r="G474" s="50"/>
      <c r="H474" s="24"/>
      <c r="I474" s="24" t="str">
        <f aca="false">IF($H474="","",N($H474)*N($G474))</f>
        <v/>
      </c>
      <c r="J474" s="25" t="str">
        <f aca="false">IF($H474="","",N($H474)-N($I474))</f>
        <v/>
      </c>
      <c r="K474" s="25"/>
      <c r="L474" s="25" t="str">
        <f aca="false">IF($A474="","",SUMIF($A$4:$A474,$A474,$J$4:$J474)-SUMIF($A$4:$A474,$A474,$K$4:$K474))</f>
        <v/>
      </c>
      <c r="M474" s="26" t="str">
        <f aca="false">IF($H474="","",N($H474))</f>
        <v/>
      </c>
      <c r="N474" s="26"/>
      <c r="O474" s="26"/>
      <c r="P474" s="26" t="str">
        <f aca="false">IF($A474="","",SUMIF($A$4:$A474,$A474,$M$4:$M474)-SUMIF($A$4:$A474,$A474,$N$4:$N474)-SUMIF($A$4:$A474,$A474,$O$4:$O474))</f>
        <v/>
      </c>
      <c r="Q474" s="27"/>
      <c r="R474" s="28"/>
      <c r="S474" s="28"/>
      <c r="T474" s="28" t="str">
        <f aca="false">IF($A474="","",SUMIF($A$4:$A474,$A474,$Q$4:$Q474)-SUMIF($A$4:$A474,$A474,$R$4:$R474)-SUMIF($A$4:$A474,$A474,$S$4:$S474))</f>
        <v/>
      </c>
      <c r="U474" s="28"/>
      <c r="V474" s="29" t="str">
        <f aca="false">IF(AND($C474="",COUNTA($D474:$H474,$K474,$N474:$O474,$Q474:$S474,$U474)=0),"",IF($C474="","⚠ 没填项目名称",IF($A474="⚠目录里没有","⚠ 项目名称在目录里找不到（先加到目录）",IF($A474="","⚠ 目录里这个项目没填简称",IF(ISTEXT($G474)+ISTEXT($H474)+ISTEXT($K474)+ISTEXT($N474)+ISTEXT($O474)+ISTEXT($Q474)+ISTEXT($R474)+ISTEXT($S474)&gt;0,"⚠ 金额列里有文字，算不进合计",IF(N($G474)&gt;=1,"⚠ 管理费点要填百分比，如 10%",IF(AND($D474&lt;&gt;"",$B474=""),"△ 摘要开头没写日期（如 2026.9.21），月份取不到",IF(AND(N($H474)&lt;&gt;0,COUNTIFS($A$4:$A$1003,$A474,$H$4:$H$1003,$H474,$D$4:$D$1003,LEFT($D474,9)&amp;"*")&gt;1),"△ 同一天同项目有一样的销售金额，看看是不是录重了","✓"))))))))</f>
        <v/>
      </c>
      <c r="W474" s="8" t="str">
        <f aca="false">IF($A474="","",$A474&amp;"#"&amp;COUNTIF($A$4:$A474,$A474))</f>
        <v/>
      </c>
    </row>
    <row r="475" customFormat="false" ht="16.5" hidden="false" customHeight="false" outlineLevel="0" collapsed="false">
      <c r="A475" s="44" t="str">
        <f aca="false">IF($C475="","",IFERROR(VLOOKUP($C475,目录!$B:$C,2,0)&amp;"","⚠目录里没有"))</f>
        <v/>
      </c>
      <c r="B475" s="45" t="str">
        <f aca="false">IF($D475="","",IFERROR(MID($D475,FIND(".",$D475)+1,FIND(".",$D475,FIND(".",$D475)+1)-FIND(".",$D475)-1)&amp;"月",""))</f>
        <v/>
      </c>
      <c r="C475" s="46"/>
      <c r="D475" s="47"/>
      <c r="E475" s="47"/>
      <c r="F475" s="49"/>
      <c r="G475" s="50"/>
      <c r="H475" s="24"/>
      <c r="I475" s="24" t="str">
        <f aca="false">IF($H475="","",N($H475)*N($G475))</f>
        <v/>
      </c>
      <c r="J475" s="25" t="str">
        <f aca="false">IF($H475="","",N($H475)-N($I475))</f>
        <v/>
      </c>
      <c r="K475" s="25"/>
      <c r="L475" s="25" t="str">
        <f aca="false">IF($A475="","",SUMIF($A$4:$A475,$A475,$J$4:$J475)-SUMIF($A$4:$A475,$A475,$K$4:$K475))</f>
        <v/>
      </c>
      <c r="M475" s="26" t="str">
        <f aca="false">IF($H475="","",N($H475))</f>
        <v/>
      </c>
      <c r="N475" s="26"/>
      <c r="O475" s="26"/>
      <c r="P475" s="26" t="str">
        <f aca="false">IF($A475="","",SUMIF($A$4:$A475,$A475,$M$4:$M475)-SUMIF($A$4:$A475,$A475,$N$4:$N475)-SUMIF($A$4:$A475,$A475,$O$4:$O475))</f>
        <v/>
      </c>
      <c r="Q475" s="27"/>
      <c r="R475" s="28"/>
      <c r="S475" s="28"/>
      <c r="T475" s="28" t="str">
        <f aca="false">IF($A475="","",SUMIF($A$4:$A475,$A475,$Q$4:$Q475)-SUMIF($A$4:$A475,$A475,$R$4:$R475)-SUMIF($A$4:$A475,$A475,$S$4:$S475))</f>
        <v/>
      </c>
      <c r="U475" s="28"/>
      <c r="V475" s="29" t="str">
        <f aca="false">IF(AND($C475="",COUNTA($D475:$H475,$K475,$N475:$O475,$Q475:$S475,$U475)=0),"",IF($C475="","⚠ 没填项目名称",IF($A475="⚠目录里没有","⚠ 项目名称在目录里找不到（先加到目录）",IF($A475="","⚠ 目录里这个项目没填简称",IF(ISTEXT($G475)+ISTEXT($H475)+ISTEXT($K475)+ISTEXT($N475)+ISTEXT($O475)+ISTEXT($Q475)+ISTEXT($R475)+ISTEXT($S475)&gt;0,"⚠ 金额列里有文字，算不进合计",IF(N($G475)&gt;=1,"⚠ 管理费点要填百分比，如 10%",IF(AND($D475&lt;&gt;"",$B475=""),"△ 摘要开头没写日期（如 2026.9.21），月份取不到",IF(AND(N($H475)&lt;&gt;0,COUNTIFS($A$4:$A$1003,$A475,$H$4:$H$1003,$H475,$D$4:$D$1003,LEFT($D475,9)&amp;"*")&gt;1),"△ 同一天同项目有一样的销售金额，看看是不是录重了","✓"))))))))</f>
        <v/>
      </c>
      <c r="W475" s="8" t="str">
        <f aca="false">IF($A475="","",$A475&amp;"#"&amp;COUNTIF($A$4:$A475,$A475))</f>
        <v/>
      </c>
    </row>
    <row r="476" customFormat="false" ht="16.5" hidden="false" customHeight="false" outlineLevel="0" collapsed="false">
      <c r="A476" s="44" t="str">
        <f aca="false">IF($C476="","",IFERROR(VLOOKUP($C476,目录!$B:$C,2,0)&amp;"","⚠目录里没有"))</f>
        <v/>
      </c>
      <c r="B476" s="45" t="str">
        <f aca="false">IF($D476="","",IFERROR(MID($D476,FIND(".",$D476)+1,FIND(".",$D476,FIND(".",$D476)+1)-FIND(".",$D476)-1)&amp;"月",""))</f>
        <v/>
      </c>
      <c r="C476" s="46"/>
      <c r="D476" s="47"/>
      <c r="E476" s="47"/>
      <c r="F476" s="49"/>
      <c r="G476" s="50"/>
      <c r="H476" s="24"/>
      <c r="I476" s="24" t="str">
        <f aca="false">IF($H476="","",N($H476)*N($G476))</f>
        <v/>
      </c>
      <c r="J476" s="25" t="str">
        <f aca="false">IF($H476="","",N($H476)-N($I476))</f>
        <v/>
      </c>
      <c r="K476" s="25"/>
      <c r="L476" s="25" t="str">
        <f aca="false">IF($A476="","",SUMIF($A$4:$A476,$A476,$J$4:$J476)-SUMIF($A$4:$A476,$A476,$K$4:$K476))</f>
        <v/>
      </c>
      <c r="M476" s="26" t="str">
        <f aca="false">IF($H476="","",N($H476))</f>
        <v/>
      </c>
      <c r="N476" s="26"/>
      <c r="O476" s="26"/>
      <c r="P476" s="26" t="str">
        <f aca="false">IF($A476="","",SUMIF($A$4:$A476,$A476,$M$4:$M476)-SUMIF($A$4:$A476,$A476,$N$4:$N476)-SUMIF($A$4:$A476,$A476,$O$4:$O476))</f>
        <v/>
      </c>
      <c r="Q476" s="27"/>
      <c r="R476" s="28"/>
      <c r="S476" s="28"/>
      <c r="T476" s="28" t="str">
        <f aca="false">IF($A476="","",SUMIF($A$4:$A476,$A476,$Q$4:$Q476)-SUMIF($A$4:$A476,$A476,$R$4:$R476)-SUMIF($A$4:$A476,$A476,$S$4:$S476))</f>
        <v/>
      </c>
      <c r="U476" s="28"/>
      <c r="V476" s="29" t="str">
        <f aca="false">IF(AND($C476="",COUNTA($D476:$H476,$K476,$N476:$O476,$Q476:$S476,$U476)=0),"",IF($C476="","⚠ 没填项目名称",IF($A476="⚠目录里没有","⚠ 项目名称在目录里找不到（先加到目录）",IF($A476="","⚠ 目录里这个项目没填简称",IF(ISTEXT($G476)+ISTEXT($H476)+ISTEXT($K476)+ISTEXT($N476)+ISTEXT($O476)+ISTEXT($Q476)+ISTEXT($R476)+ISTEXT($S476)&gt;0,"⚠ 金额列里有文字，算不进合计",IF(N($G476)&gt;=1,"⚠ 管理费点要填百分比，如 10%",IF(AND($D476&lt;&gt;"",$B476=""),"△ 摘要开头没写日期（如 2026.9.21），月份取不到",IF(AND(N($H476)&lt;&gt;0,COUNTIFS($A$4:$A$1003,$A476,$H$4:$H$1003,$H476,$D$4:$D$1003,LEFT($D476,9)&amp;"*")&gt;1),"△ 同一天同项目有一样的销售金额，看看是不是录重了","✓"))))))))</f>
        <v/>
      </c>
      <c r="W476" s="8" t="str">
        <f aca="false">IF($A476="","",$A476&amp;"#"&amp;COUNTIF($A$4:$A476,$A476))</f>
        <v/>
      </c>
    </row>
    <row r="477" customFormat="false" ht="16.5" hidden="false" customHeight="false" outlineLevel="0" collapsed="false">
      <c r="A477" s="44" t="str">
        <f aca="false">IF($C477="","",IFERROR(VLOOKUP($C477,目录!$B:$C,2,0)&amp;"","⚠目录里没有"))</f>
        <v/>
      </c>
      <c r="B477" s="45" t="str">
        <f aca="false">IF($D477="","",IFERROR(MID($D477,FIND(".",$D477)+1,FIND(".",$D477,FIND(".",$D477)+1)-FIND(".",$D477)-1)&amp;"月",""))</f>
        <v/>
      </c>
      <c r="C477" s="46"/>
      <c r="D477" s="47"/>
      <c r="E477" s="47"/>
      <c r="F477" s="49"/>
      <c r="G477" s="50"/>
      <c r="H477" s="24"/>
      <c r="I477" s="24" t="str">
        <f aca="false">IF($H477="","",N($H477)*N($G477))</f>
        <v/>
      </c>
      <c r="J477" s="25" t="str">
        <f aca="false">IF($H477="","",N($H477)-N($I477))</f>
        <v/>
      </c>
      <c r="K477" s="25"/>
      <c r="L477" s="25" t="str">
        <f aca="false">IF($A477="","",SUMIF($A$4:$A477,$A477,$J$4:$J477)-SUMIF($A$4:$A477,$A477,$K$4:$K477))</f>
        <v/>
      </c>
      <c r="M477" s="26" t="str">
        <f aca="false">IF($H477="","",N($H477))</f>
        <v/>
      </c>
      <c r="N477" s="26"/>
      <c r="O477" s="26"/>
      <c r="P477" s="26" t="str">
        <f aca="false">IF($A477="","",SUMIF($A$4:$A477,$A477,$M$4:$M477)-SUMIF($A$4:$A477,$A477,$N$4:$N477)-SUMIF($A$4:$A477,$A477,$O$4:$O477))</f>
        <v/>
      </c>
      <c r="Q477" s="27"/>
      <c r="R477" s="28"/>
      <c r="S477" s="28"/>
      <c r="T477" s="28" t="str">
        <f aca="false">IF($A477="","",SUMIF($A$4:$A477,$A477,$Q$4:$Q477)-SUMIF($A$4:$A477,$A477,$R$4:$R477)-SUMIF($A$4:$A477,$A477,$S$4:$S477))</f>
        <v/>
      </c>
      <c r="U477" s="28"/>
      <c r="V477" s="29" t="str">
        <f aca="false">IF(AND($C477="",COUNTA($D477:$H477,$K477,$N477:$O477,$Q477:$S477,$U477)=0),"",IF($C477="","⚠ 没填项目名称",IF($A477="⚠目录里没有","⚠ 项目名称在目录里找不到（先加到目录）",IF($A477="","⚠ 目录里这个项目没填简称",IF(ISTEXT($G477)+ISTEXT($H477)+ISTEXT($K477)+ISTEXT($N477)+ISTEXT($O477)+ISTEXT($Q477)+ISTEXT($R477)+ISTEXT($S477)&gt;0,"⚠ 金额列里有文字，算不进合计",IF(N($G477)&gt;=1,"⚠ 管理费点要填百分比，如 10%",IF(AND($D477&lt;&gt;"",$B477=""),"△ 摘要开头没写日期（如 2026.9.21），月份取不到",IF(AND(N($H477)&lt;&gt;0,COUNTIFS($A$4:$A$1003,$A477,$H$4:$H$1003,$H477,$D$4:$D$1003,LEFT($D477,9)&amp;"*")&gt;1),"△ 同一天同项目有一样的销售金额，看看是不是录重了","✓"))))))))</f>
        <v/>
      </c>
      <c r="W477" s="8" t="str">
        <f aca="false">IF($A477="","",$A477&amp;"#"&amp;COUNTIF($A$4:$A477,$A477))</f>
        <v/>
      </c>
    </row>
    <row r="478" customFormat="false" ht="16.5" hidden="false" customHeight="false" outlineLevel="0" collapsed="false">
      <c r="A478" s="44" t="str">
        <f aca="false">IF($C478="","",IFERROR(VLOOKUP($C478,目录!$B:$C,2,0)&amp;"","⚠目录里没有"))</f>
        <v/>
      </c>
      <c r="B478" s="45" t="str">
        <f aca="false">IF($D478="","",IFERROR(MID($D478,FIND(".",$D478)+1,FIND(".",$D478,FIND(".",$D478)+1)-FIND(".",$D478)-1)&amp;"月",""))</f>
        <v/>
      </c>
      <c r="C478" s="46"/>
      <c r="D478" s="47"/>
      <c r="E478" s="47"/>
      <c r="F478" s="49"/>
      <c r="G478" s="50"/>
      <c r="H478" s="24"/>
      <c r="I478" s="24" t="str">
        <f aca="false">IF($H478="","",N($H478)*N($G478))</f>
        <v/>
      </c>
      <c r="J478" s="25" t="str">
        <f aca="false">IF($H478="","",N($H478)-N($I478))</f>
        <v/>
      </c>
      <c r="K478" s="25"/>
      <c r="L478" s="25" t="str">
        <f aca="false">IF($A478="","",SUMIF($A$4:$A478,$A478,$J$4:$J478)-SUMIF($A$4:$A478,$A478,$K$4:$K478))</f>
        <v/>
      </c>
      <c r="M478" s="26" t="str">
        <f aca="false">IF($H478="","",N($H478))</f>
        <v/>
      </c>
      <c r="N478" s="26"/>
      <c r="O478" s="26"/>
      <c r="P478" s="26" t="str">
        <f aca="false">IF($A478="","",SUMIF($A$4:$A478,$A478,$M$4:$M478)-SUMIF($A$4:$A478,$A478,$N$4:$N478)-SUMIF($A$4:$A478,$A478,$O$4:$O478))</f>
        <v/>
      </c>
      <c r="Q478" s="27"/>
      <c r="R478" s="28"/>
      <c r="S478" s="28"/>
      <c r="T478" s="28" t="str">
        <f aca="false">IF($A478="","",SUMIF($A$4:$A478,$A478,$Q$4:$Q478)-SUMIF($A$4:$A478,$A478,$R$4:$R478)-SUMIF($A$4:$A478,$A478,$S$4:$S478))</f>
        <v/>
      </c>
      <c r="U478" s="28"/>
      <c r="V478" s="29" t="str">
        <f aca="false">IF(AND($C478="",COUNTA($D478:$H478,$K478,$N478:$O478,$Q478:$S478,$U478)=0),"",IF($C478="","⚠ 没填项目名称",IF($A478="⚠目录里没有","⚠ 项目名称在目录里找不到（先加到目录）",IF($A478="","⚠ 目录里这个项目没填简称",IF(ISTEXT($G478)+ISTEXT($H478)+ISTEXT($K478)+ISTEXT($N478)+ISTEXT($O478)+ISTEXT($Q478)+ISTEXT($R478)+ISTEXT($S478)&gt;0,"⚠ 金额列里有文字，算不进合计",IF(N($G478)&gt;=1,"⚠ 管理费点要填百分比，如 10%",IF(AND($D478&lt;&gt;"",$B478=""),"△ 摘要开头没写日期（如 2026.9.21），月份取不到",IF(AND(N($H478)&lt;&gt;0,COUNTIFS($A$4:$A$1003,$A478,$H$4:$H$1003,$H478,$D$4:$D$1003,LEFT($D478,9)&amp;"*")&gt;1),"△ 同一天同项目有一样的销售金额，看看是不是录重了","✓"))))))))</f>
        <v/>
      </c>
      <c r="W478" s="8" t="str">
        <f aca="false">IF($A478="","",$A478&amp;"#"&amp;COUNTIF($A$4:$A478,$A478))</f>
        <v/>
      </c>
    </row>
    <row r="479" customFormat="false" ht="16.5" hidden="false" customHeight="false" outlineLevel="0" collapsed="false">
      <c r="A479" s="44" t="str">
        <f aca="false">IF($C479="","",IFERROR(VLOOKUP($C479,目录!$B:$C,2,0)&amp;"","⚠目录里没有"))</f>
        <v/>
      </c>
      <c r="B479" s="45" t="str">
        <f aca="false">IF($D479="","",IFERROR(MID($D479,FIND(".",$D479)+1,FIND(".",$D479,FIND(".",$D479)+1)-FIND(".",$D479)-1)&amp;"月",""))</f>
        <v/>
      </c>
      <c r="C479" s="46"/>
      <c r="D479" s="47"/>
      <c r="E479" s="47"/>
      <c r="F479" s="49"/>
      <c r="G479" s="50"/>
      <c r="H479" s="24"/>
      <c r="I479" s="24" t="str">
        <f aca="false">IF($H479="","",N($H479)*N($G479))</f>
        <v/>
      </c>
      <c r="J479" s="25" t="str">
        <f aca="false">IF($H479="","",N($H479)-N($I479))</f>
        <v/>
      </c>
      <c r="K479" s="25"/>
      <c r="L479" s="25" t="str">
        <f aca="false">IF($A479="","",SUMIF($A$4:$A479,$A479,$J$4:$J479)-SUMIF($A$4:$A479,$A479,$K$4:$K479))</f>
        <v/>
      </c>
      <c r="M479" s="26" t="str">
        <f aca="false">IF($H479="","",N($H479))</f>
        <v/>
      </c>
      <c r="N479" s="26"/>
      <c r="O479" s="26"/>
      <c r="P479" s="26" t="str">
        <f aca="false">IF($A479="","",SUMIF($A$4:$A479,$A479,$M$4:$M479)-SUMIF($A$4:$A479,$A479,$N$4:$N479)-SUMIF($A$4:$A479,$A479,$O$4:$O479))</f>
        <v/>
      </c>
      <c r="Q479" s="27"/>
      <c r="R479" s="28"/>
      <c r="S479" s="28"/>
      <c r="T479" s="28" t="str">
        <f aca="false">IF($A479="","",SUMIF($A$4:$A479,$A479,$Q$4:$Q479)-SUMIF($A$4:$A479,$A479,$R$4:$R479)-SUMIF($A$4:$A479,$A479,$S$4:$S479))</f>
        <v/>
      </c>
      <c r="U479" s="28"/>
      <c r="V479" s="29" t="str">
        <f aca="false">IF(AND($C479="",COUNTA($D479:$H479,$K479,$N479:$O479,$Q479:$S479,$U479)=0),"",IF($C479="","⚠ 没填项目名称",IF($A479="⚠目录里没有","⚠ 项目名称在目录里找不到（先加到目录）",IF($A479="","⚠ 目录里这个项目没填简称",IF(ISTEXT($G479)+ISTEXT($H479)+ISTEXT($K479)+ISTEXT($N479)+ISTEXT($O479)+ISTEXT($Q479)+ISTEXT($R479)+ISTEXT($S479)&gt;0,"⚠ 金额列里有文字，算不进合计",IF(N($G479)&gt;=1,"⚠ 管理费点要填百分比，如 10%",IF(AND($D479&lt;&gt;"",$B479=""),"△ 摘要开头没写日期（如 2026.9.21），月份取不到",IF(AND(N($H479)&lt;&gt;0,COUNTIFS($A$4:$A$1003,$A479,$H$4:$H$1003,$H479,$D$4:$D$1003,LEFT($D479,9)&amp;"*")&gt;1),"△ 同一天同项目有一样的销售金额，看看是不是录重了","✓"))))))))</f>
        <v/>
      </c>
      <c r="W479" s="8" t="str">
        <f aca="false">IF($A479="","",$A479&amp;"#"&amp;COUNTIF($A$4:$A479,$A479))</f>
        <v/>
      </c>
    </row>
    <row r="480" customFormat="false" ht="16.5" hidden="false" customHeight="false" outlineLevel="0" collapsed="false">
      <c r="A480" s="44" t="str">
        <f aca="false">IF($C480="","",IFERROR(VLOOKUP($C480,目录!$B:$C,2,0)&amp;"","⚠目录里没有"))</f>
        <v/>
      </c>
      <c r="B480" s="45" t="str">
        <f aca="false">IF($D480="","",IFERROR(MID($D480,FIND(".",$D480)+1,FIND(".",$D480,FIND(".",$D480)+1)-FIND(".",$D480)-1)&amp;"月",""))</f>
        <v/>
      </c>
      <c r="C480" s="46"/>
      <c r="D480" s="47"/>
      <c r="E480" s="47"/>
      <c r="F480" s="49"/>
      <c r="G480" s="50"/>
      <c r="H480" s="24"/>
      <c r="I480" s="24" t="str">
        <f aca="false">IF($H480="","",N($H480)*N($G480))</f>
        <v/>
      </c>
      <c r="J480" s="25" t="str">
        <f aca="false">IF($H480="","",N($H480)-N($I480))</f>
        <v/>
      </c>
      <c r="K480" s="25"/>
      <c r="L480" s="25" t="str">
        <f aca="false">IF($A480="","",SUMIF($A$4:$A480,$A480,$J$4:$J480)-SUMIF($A$4:$A480,$A480,$K$4:$K480))</f>
        <v/>
      </c>
      <c r="M480" s="26" t="str">
        <f aca="false">IF($H480="","",N($H480))</f>
        <v/>
      </c>
      <c r="N480" s="26"/>
      <c r="O480" s="26"/>
      <c r="P480" s="26" t="str">
        <f aca="false">IF($A480="","",SUMIF($A$4:$A480,$A480,$M$4:$M480)-SUMIF($A$4:$A480,$A480,$N$4:$N480)-SUMIF($A$4:$A480,$A480,$O$4:$O480))</f>
        <v/>
      </c>
      <c r="Q480" s="27"/>
      <c r="R480" s="28"/>
      <c r="S480" s="28"/>
      <c r="T480" s="28" t="str">
        <f aca="false">IF($A480="","",SUMIF($A$4:$A480,$A480,$Q$4:$Q480)-SUMIF($A$4:$A480,$A480,$R$4:$R480)-SUMIF($A$4:$A480,$A480,$S$4:$S480))</f>
        <v/>
      </c>
      <c r="U480" s="28"/>
      <c r="V480" s="29" t="str">
        <f aca="false">IF(AND($C480="",COUNTA($D480:$H480,$K480,$N480:$O480,$Q480:$S480,$U480)=0),"",IF($C480="","⚠ 没填项目名称",IF($A480="⚠目录里没有","⚠ 项目名称在目录里找不到（先加到目录）",IF($A480="","⚠ 目录里这个项目没填简称",IF(ISTEXT($G480)+ISTEXT($H480)+ISTEXT($K480)+ISTEXT($N480)+ISTEXT($O480)+ISTEXT($Q480)+ISTEXT($R480)+ISTEXT($S480)&gt;0,"⚠ 金额列里有文字，算不进合计",IF(N($G480)&gt;=1,"⚠ 管理费点要填百分比，如 10%",IF(AND($D480&lt;&gt;"",$B480=""),"△ 摘要开头没写日期（如 2026.9.21），月份取不到",IF(AND(N($H480)&lt;&gt;0,COUNTIFS($A$4:$A$1003,$A480,$H$4:$H$1003,$H480,$D$4:$D$1003,LEFT($D480,9)&amp;"*")&gt;1),"△ 同一天同项目有一样的销售金额，看看是不是录重了","✓"))))))))</f>
        <v/>
      </c>
      <c r="W480" s="8" t="str">
        <f aca="false">IF($A480="","",$A480&amp;"#"&amp;COUNTIF($A$4:$A480,$A480))</f>
        <v/>
      </c>
    </row>
    <row r="481" customFormat="false" ht="16.5" hidden="false" customHeight="false" outlineLevel="0" collapsed="false">
      <c r="A481" s="44" t="str">
        <f aca="false">IF($C481="","",IFERROR(VLOOKUP($C481,目录!$B:$C,2,0)&amp;"","⚠目录里没有"))</f>
        <v/>
      </c>
      <c r="B481" s="45" t="str">
        <f aca="false">IF($D481="","",IFERROR(MID($D481,FIND(".",$D481)+1,FIND(".",$D481,FIND(".",$D481)+1)-FIND(".",$D481)-1)&amp;"月",""))</f>
        <v/>
      </c>
      <c r="C481" s="46"/>
      <c r="D481" s="47"/>
      <c r="E481" s="47"/>
      <c r="F481" s="49"/>
      <c r="G481" s="50"/>
      <c r="H481" s="24"/>
      <c r="I481" s="24" t="str">
        <f aca="false">IF($H481="","",N($H481)*N($G481))</f>
        <v/>
      </c>
      <c r="J481" s="25" t="str">
        <f aca="false">IF($H481="","",N($H481)-N($I481))</f>
        <v/>
      </c>
      <c r="K481" s="25"/>
      <c r="L481" s="25" t="str">
        <f aca="false">IF($A481="","",SUMIF($A$4:$A481,$A481,$J$4:$J481)-SUMIF($A$4:$A481,$A481,$K$4:$K481))</f>
        <v/>
      </c>
      <c r="M481" s="26" t="str">
        <f aca="false">IF($H481="","",N($H481))</f>
        <v/>
      </c>
      <c r="N481" s="26"/>
      <c r="O481" s="26"/>
      <c r="P481" s="26" t="str">
        <f aca="false">IF($A481="","",SUMIF($A$4:$A481,$A481,$M$4:$M481)-SUMIF($A$4:$A481,$A481,$N$4:$N481)-SUMIF($A$4:$A481,$A481,$O$4:$O481))</f>
        <v/>
      </c>
      <c r="Q481" s="27"/>
      <c r="R481" s="28"/>
      <c r="S481" s="28"/>
      <c r="T481" s="28" t="str">
        <f aca="false">IF($A481="","",SUMIF($A$4:$A481,$A481,$Q$4:$Q481)-SUMIF($A$4:$A481,$A481,$R$4:$R481)-SUMIF($A$4:$A481,$A481,$S$4:$S481))</f>
        <v/>
      </c>
      <c r="U481" s="28"/>
      <c r="V481" s="29" t="str">
        <f aca="false">IF(AND($C481="",COUNTA($D481:$H481,$K481,$N481:$O481,$Q481:$S481,$U481)=0),"",IF($C481="","⚠ 没填项目名称",IF($A481="⚠目录里没有","⚠ 项目名称在目录里找不到（先加到目录）",IF($A481="","⚠ 目录里这个项目没填简称",IF(ISTEXT($G481)+ISTEXT($H481)+ISTEXT($K481)+ISTEXT($N481)+ISTEXT($O481)+ISTEXT($Q481)+ISTEXT($R481)+ISTEXT($S481)&gt;0,"⚠ 金额列里有文字，算不进合计",IF(N($G481)&gt;=1,"⚠ 管理费点要填百分比，如 10%",IF(AND($D481&lt;&gt;"",$B481=""),"△ 摘要开头没写日期（如 2026.9.21），月份取不到",IF(AND(N($H481)&lt;&gt;0,COUNTIFS($A$4:$A$1003,$A481,$H$4:$H$1003,$H481,$D$4:$D$1003,LEFT($D481,9)&amp;"*")&gt;1),"△ 同一天同项目有一样的销售金额，看看是不是录重了","✓"))))))))</f>
        <v/>
      </c>
      <c r="W481" s="8" t="str">
        <f aca="false">IF($A481="","",$A481&amp;"#"&amp;COUNTIF($A$4:$A481,$A481))</f>
        <v/>
      </c>
    </row>
    <row r="482" customFormat="false" ht="16.5" hidden="false" customHeight="false" outlineLevel="0" collapsed="false">
      <c r="A482" s="44" t="str">
        <f aca="false">IF($C482="","",IFERROR(VLOOKUP($C482,目录!$B:$C,2,0)&amp;"","⚠目录里没有"))</f>
        <v/>
      </c>
      <c r="B482" s="45" t="str">
        <f aca="false">IF($D482="","",IFERROR(MID($D482,FIND(".",$D482)+1,FIND(".",$D482,FIND(".",$D482)+1)-FIND(".",$D482)-1)&amp;"月",""))</f>
        <v/>
      </c>
      <c r="C482" s="46"/>
      <c r="D482" s="47"/>
      <c r="E482" s="47"/>
      <c r="F482" s="49"/>
      <c r="G482" s="50"/>
      <c r="H482" s="24"/>
      <c r="I482" s="24" t="str">
        <f aca="false">IF($H482="","",N($H482)*N($G482))</f>
        <v/>
      </c>
      <c r="J482" s="25" t="str">
        <f aca="false">IF($H482="","",N($H482)-N($I482))</f>
        <v/>
      </c>
      <c r="K482" s="25"/>
      <c r="L482" s="25" t="str">
        <f aca="false">IF($A482="","",SUMIF($A$4:$A482,$A482,$J$4:$J482)-SUMIF($A$4:$A482,$A482,$K$4:$K482))</f>
        <v/>
      </c>
      <c r="M482" s="26" t="str">
        <f aca="false">IF($H482="","",N($H482))</f>
        <v/>
      </c>
      <c r="N482" s="26"/>
      <c r="O482" s="26"/>
      <c r="P482" s="26" t="str">
        <f aca="false">IF($A482="","",SUMIF($A$4:$A482,$A482,$M$4:$M482)-SUMIF($A$4:$A482,$A482,$N$4:$N482)-SUMIF($A$4:$A482,$A482,$O$4:$O482))</f>
        <v/>
      </c>
      <c r="Q482" s="27"/>
      <c r="R482" s="28"/>
      <c r="S482" s="28"/>
      <c r="T482" s="28" t="str">
        <f aca="false">IF($A482="","",SUMIF($A$4:$A482,$A482,$Q$4:$Q482)-SUMIF($A$4:$A482,$A482,$R$4:$R482)-SUMIF($A$4:$A482,$A482,$S$4:$S482))</f>
        <v/>
      </c>
      <c r="U482" s="28"/>
      <c r="V482" s="29" t="str">
        <f aca="false">IF(AND($C482="",COUNTA($D482:$H482,$K482,$N482:$O482,$Q482:$S482,$U482)=0),"",IF($C482="","⚠ 没填项目名称",IF($A482="⚠目录里没有","⚠ 项目名称在目录里找不到（先加到目录）",IF($A482="","⚠ 目录里这个项目没填简称",IF(ISTEXT($G482)+ISTEXT($H482)+ISTEXT($K482)+ISTEXT($N482)+ISTEXT($O482)+ISTEXT($Q482)+ISTEXT($R482)+ISTEXT($S482)&gt;0,"⚠ 金额列里有文字，算不进合计",IF(N($G482)&gt;=1,"⚠ 管理费点要填百分比，如 10%",IF(AND($D482&lt;&gt;"",$B482=""),"△ 摘要开头没写日期（如 2026.9.21），月份取不到",IF(AND(N($H482)&lt;&gt;0,COUNTIFS($A$4:$A$1003,$A482,$H$4:$H$1003,$H482,$D$4:$D$1003,LEFT($D482,9)&amp;"*")&gt;1),"△ 同一天同项目有一样的销售金额，看看是不是录重了","✓"))))))))</f>
        <v/>
      </c>
      <c r="W482" s="8" t="str">
        <f aca="false">IF($A482="","",$A482&amp;"#"&amp;COUNTIF($A$4:$A482,$A482))</f>
        <v/>
      </c>
    </row>
    <row r="483" customFormat="false" ht="16.5" hidden="false" customHeight="false" outlineLevel="0" collapsed="false">
      <c r="A483" s="44" t="str">
        <f aca="false">IF($C483="","",IFERROR(VLOOKUP($C483,目录!$B:$C,2,0)&amp;"","⚠目录里没有"))</f>
        <v/>
      </c>
      <c r="B483" s="45" t="str">
        <f aca="false">IF($D483="","",IFERROR(MID($D483,FIND(".",$D483)+1,FIND(".",$D483,FIND(".",$D483)+1)-FIND(".",$D483)-1)&amp;"月",""))</f>
        <v/>
      </c>
      <c r="C483" s="46"/>
      <c r="D483" s="47"/>
      <c r="E483" s="47"/>
      <c r="F483" s="49"/>
      <c r="G483" s="50"/>
      <c r="H483" s="24"/>
      <c r="I483" s="24" t="str">
        <f aca="false">IF($H483="","",N($H483)*N($G483))</f>
        <v/>
      </c>
      <c r="J483" s="25" t="str">
        <f aca="false">IF($H483="","",N($H483)-N($I483))</f>
        <v/>
      </c>
      <c r="K483" s="25"/>
      <c r="L483" s="25" t="str">
        <f aca="false">IF($A483="","",SUMIF($A$4:$A483,$A483,$J$4:$J483)-SUMIF($A$4:$A483,$A483,$K$4:$K483))</f>
        <v/>
      </c>
      <c r="M483" s="26" t="str">
        <f aca="false">IF($H483="","",N($H483))</f>
        <v/>
      </c>
      <c r="N483" s="26"/>
      <c r="O483" s="26"/>
      <c r="P483" s="26" t="str">
        <f aca="false">IF($A483="","",SUMIF($A$4:$A483,$A483,$M$4:$M483)-SUMIF($A$4:$A483,$A483,$N$4:$N483)-SUMIF($A$4:$A483,$A483,$O$4:$O483))</f>
        <v/>
      </c>
      <c r="Q483" s="27"/>
      <c r="R483" s="28"/>
      <c r="S483" s="28"/>
      <c r="T483" s="28" t="str">
        <f aca="false">IF($A483="","",SUMIF($A$4:$A483,$A483,$Q$4:$Q483)-SUMIF($A$4:$A483,$A483,$R$4:$R483)-SUMIF($A$4:$A483,$A483,$S$4:$S483))</f>
        <v/>
      </c>
      <c r="U483" s="28"/>
      <c r="V483" s="29" t="str">
        <f aca="false">IF(AND($C483="",COUNTA($D483:$H483,$K483,$N483:$O483,$Q483:$S483,$U483)=0),"",IF($C483="","⚠ 没填项目名称",IF($A483="⚠目录里没有","⚠ 项目名称在目录里找不到（先加到目录）",IF($A483="","⚠ 目录里这个项目没填简称",IF(ISTEXT($G483)+ISTEXT($H483)+ISTEXT($K483)+ISTEXT($N483)+ISTEXT($O483)+ISTEXT($Q483)+ISTEXT($R483)+ISTEXT($S483)&gt;0,"⚠ 金额列里有文字，算不进合计",IF(N($G483)&gt;=1,"⚠ 管理费点要填百分比，如 10%",IF(AND($D483&lt;&gt;"",$B483=""),"△ 摘要开头没写日期（如 2026.9.21），月份取不到",IF(AND(N($H483)&lt;&gt;0,COUNTIFS($A$4:$A$1003,$A483,$H$4:$H$1003,$H483,$D$4:$D$1003,LEFT($D483,9)&amp;"*")&gt;1),"△ 同一天同项目有一样的销售金额，看看是不是录重了","✓"))))))))</f>
        <v/>
      </c>
      <c r="W483" s="8" t="str">
        <f aca="false">IF($A483="","",$A483&amp;"#"&amp;COUNTIF($A$4:$A483,$A483))</f>
        <v/>
      </c>
    </row>
    <row r="484" customFormat="false" ht="16.5" hidden="false" customHeight="false" outlineLevel="0" collapsed="false">
      <c r="A484" s="44" t="str">
        <f aca="false">IF($C484="","",IFERROR(VLOOKUP($C484,目录!$B:$C,2,0)&amp;"","⚠目录里没有"))</f>
        <v/>
      </c>
      <c r="B484" s="45" t="str">
        <f aca="false">IF($D484="","",IFERROR(MID($D484,FIND(".",$D484)+1,FIND(".",$D484,FIND(".",$D484)+1)-FIND(".",$D484)-1)&amp;"月",""))</f>
        <v/>
      </c>
      <c r="C484" s="46"/>
      <c r="D484" s="47"/>
      <c r="E484" s="47"/>
      <c r="F484" s="49"/>
      <c r="G484" s="50"/>
      <c r="H484" s="24"/>
      <c r="I484" s="24" t="str">
        <f aca="false">IF($H484="","",N($H484)*N($G484))</f>
        <v/>
      </c>
      <c r="J484" s="25" t="str">
        <f aca="false">IF($H484="","",N($H484)-N($I484))</f>
        <v/>
      </c>
      <c r="K484" s="25"/>
      <c r="L484" s="25" t="str">
        <f aca="false">IF($A484="","",SUMIF($A$4:$A484,$A484,$J$4:$J484)-SUMIF($A$4:$A484,$A484,$K$4:$K484))</f>
        <v/>
      </c>
      <c r="M484" s="26" t="str">
        <f aca="false">IF($H484="","",N($H484))</f>
        <v/>
      </c>
      <c r="N484" s="26"/>
      <c r="O484" s="26"/>
      <c r="P484" s="26" t="str">
        <f aca="false">IF($A484="","",SUMIF($A$4:$A484,$A484,$M$4:$M484)-SUMIF($A$4:$A484,$A484,$N$4:$N484)-SUMIF($A$4:$A484,$A484,$O$4:$O484))</f>
        <v/>
      </c>
      <c r="Q484" s="27"/>
      <c r="R484" s="28"/>
      <c r="S484" s="28"/>
      <c r="T484" s="28" t="str">
        <f aca="false">IF($A484="","",SUMIF($A$4:$A484,$A484,$Q$4:$Q484)-SUMIF($A$4:$A484,$A484,$R$4:$R484)-SUMIF($A$4:$A484,$A484,$S$4:$S484))</f>
        <v/>
      </c>
      <c r="U484" s="28"/>
      <c r="V484" s="29" t="str">
        <f aca="false">IF(AND($C484="",COUNTA($D484:$H484,$K484,$N484:$O484,$Q484:$S484,$U484)=0),"",IF($C484="","⚠ 没填项目名称",IF($A484="⚠目录里没有","⚠ 项目名称在目录里找不到（先加到目录）",IF($A484="","⚠ 目录里这个项目没填简称",IF(ISTEXT($G484)+ISTEXT($H484)+ISTEXT($K484)+ISTEXT($N484)+ISTEXT($O484)+ISTEXT($Q484)+ISTEXT($R484)+ISTEXT($S484)&gt;0,"⚠ 金额列里有文字，算不进合计",IF(N($G484)&gt;=1,"⚠ 管理费点要填百分比，如 10%",IF(AND($D484&lt;&gt;"",$B484=""),"△ 摘要开头没写日期（如 2026.9.21），月份取不到",IF(AND(N($H484)&lt;&gt;0,COUNTIFS($A$4:$A$1003,$A484,$H$4:$H$1003,$H484,$D$4:$D$1003,LEFT($D484,9)&amp;"*")&gt;1),"△ 同一天同项目有一样的销售金额，看看是不是录重了","✓"))))))))</f>
        <v/>
      </c>
      <c r="W484" s="8" t="str">
        <f aca="false">IF($A484="","",$A484&amp;"#"&amp;COUNTIF($A$4:$A484,$A484))</f>
        <v/>
      </c>
    </row>
    <row r="485" customFormat="false" ht="16.5" hidden="false" customHeight="false" outlineLevel="0" collapsed="false">
      <c r="A485" s="44" t="str">
        <f aca="false">IF($C485="","",IFERROR(VLOOKUP($C485,目录!$B:$C,2,0)&amp;"","⚠目录里没有"))</f>
        <v/>
      </c>
      <c r="B485" s="45" t="str">
        <f aca="false">IF($D485="","",IFERROR(MID($D485,FIND(".",$D485)+1,FIND(".",$D485,FIND(".",$D485)+1)-FIND(".",$D485)-1)&amp;"月",""))</f>
        <v/>
      </c>
      <c r="C485" s="46"/>
      <c r="D485" s="47"/>
      <c r="E485" s="47"/>
      <c r="F485" s="49"/>
      <c r="G485" s="50"/>
      <c r="H485" s="24"/>
      <c r="I485" s="24" t="str">
        <f aca="false">IF($H485="","",N($H485)*N($G485))</f>
        <v/>
      </c>
      <c r="J485" s="25" t="str">
        <f aca="false">IF($H485="","",N($H485)-N($I485))</f>
        <v/>
      </c>
      <c r="K485" s="25"/>
      <c r="L485" s="25" t="str">
        <f aca="false">IF($A485="","",SUMIF($A$4:$A485,$A485,$J$4:$J485)-SUMIF($A$4:$A485,$A485,$K$4:$K485))</f>
        <v/>
      </c>
      <c r="M485" s="26" t="str">
        <f aca="false">IF($H485="","",N($H485))</f>
        <v/>
      </c>
      <c r="N485" s="26"/>
      <c r="O485" s="26"/>
      <c r="P485" s="26" t="str">
        <f aca="false">IF($A485="","",SUMIF($A$4:$A485,$A485,$M$4:$M485)-SUMIF($A$4:$A485,$A485,$N$4:$N485)-SUMIF($A$4:$A485,$A485,$O$4:$O485))</f>
        <v/>
      </c>
      <c r="Q485" s="27"/>
      <c r="R485" s="28"/>
      <c r="S485" s="28"/>
      <c r="T485" s="28" t="str">
        <f aca="false">IF($A485="","",SUMIF($A$4:$A485,$A485,$Q$4:$Q485)-SUMIF($A$4:$A485,$A485,$R$4:$R485)-SUMIF($A$4:$A485,$A485,$S$4:$S485))</f>
        <v/>
      </c>
      <c r="U485" s="28"/>
      <c r="V485" s="29" t="str">
        <f aca="false">IF(AND($C485="",COUNTA($D485:$H485,$K485,$N485:$O485,$Q485:$S485,$U485)=0),"",IF($C485="","⚠ 没填项目名称",IF($A485="⚠目录里没有","⚠ 项目名称在目录里找不到（先加到目录）",IF($A485="","⚠ 目录里这个项目没填简称",IF(ISTEXT($G485)+ISTEXT($H485)+ISTEXT($K485)+ISTEXT($N485)+ISTEXT($O485)+ISTEXT($Q485)+ISTEXT($R485)+ISTEXT($S485)&gt;0,"⚠ 金额列里有文字，算不进合计",IF(N($G485)&gt;=1,"⚠ 管理费点要填百分比，如 10%",IF(AND($D485&lt;&gt;"",$B485=""),"△ 摘要开头没写日期（如 2026.9.21），月份取不到",IF(AND(N($H485)&lt;&gt;0,COUNTIFS($A$4:$A$1003,$A485,$H$4:$H$1003,$H485,$D$4:$D$1003,LEFT($D485,9)&amp;"*")&gt;1),"△ 同一天同项目有一样的销售金额，看看是不是录重了","✓"))))))))</f>
        <v/>
      </c>
      <c r="W485" s="8" t="str">
        <f aca="false">IF($A485="","",$A485&amp;"#"&amp;COUNTIF($A$4:$A485,$A485))</f>
        <v/>
      </c>
    </row>
    <row r="486" customFormat="false" ht="16.5" hidden="false" customHeight="false" outlineLevel="0" collapsed="false">
      <c r="A486" s="44" t="str">
        <f aca="false">IF($C486="","",IFERROR(VLOOKUP($C486,目录!$B:$C,2,0)&amp;"","⚠目录里没有"))</f>
        <v/>
      </c>
      <c r="B486" s="45" t="str">
        <f aca="false">IF($D486="","",IFERROR(MID($D486,FIND(".",$D486)+1,FIND(".",$D486,FIND(".",$D486)+1)-FIND(".",$D486)-1)&amp;"月",""))</f>
        <v/>
      </c>
      <c r="C486" s="46"/>
      <c r="D486" s="47"/>
      <c r="E486" s="47"/>
      <c r="F486" s="49"/>
      <c r="G486" s="50"/>
      <c r="H486" s="24"/>
      <c r="I486" s="24" t="str">
        <f aca="false">IF($H486="","",N($H486)*N($G486))</f>
        <v/>
      </c>
      <c r="J486" s="25" t="str">
        <f aca="false">IF($H486="","",N($H486)-N($I486))</f>
        <v/>
      </c>
      <c r="K486" s="25"/>
      <c r="L486" s="25" t="str">
        <f aca="false">IF($A486="","",SUMIF($A$4:$A486,$A486,$J$4:$J486)-SUMIF($A$4:$A486,$A486,$K$4:$K486))</f>
        <v/>
      </c>
      <c r="M486" s="26" t="str">
        <f aca="false">IF($H486="","",N($H486))</f>
        <v/>
      </c>
      <c r="N486" s="26"/>
      <c r="O486" s="26"/>
      <c r="P486" s="26" t="str">
        <f aca="false">IF($A486="","",SUMIF($A$4:$A486,$A486,$M$4:$M486)-SUMIF($A$4:$A486,$A486,$N$4:$N486)-SUMIF($A$4:$A486,$A486,$O$4:$O486))</f>
        <v/>
      </c>
      <c r="Q486" s="27"/>
      <c r="R486" s="28"/>
      <c r="S486" s="28"/>
      <c r="T486" s="28" t="str">
        <f aca="false">IF($A486="","",SUMIF($A$4:$A486,$A486,$Q$4:$Q486)-SUMIF($A$4:$A486,$A486,$R$4:$R486)-SUMIF($A$4:$A486,$A486,$S$4:$S486))</f>
        <v/>
      </c>
      <c r="U486" s="28"/>
      <c r="V486" s="29" t="str">
        <f aca="false">IF(AND($C486="",COUNTA($D486:$H486,$K486,$N486:$O486,$Q486:$S486,$U486)=0),"",IF($C486="","⚠ 没填项目名称",IF($A486="⚠目录里没有","⚠ 项目名称在目录里找不到（先加到目录）",IF($A486="","⚠ 目录里这个项目没填简称",IF(ISTEXT($G486)+ISTEXT($H486)+ISTEXT($K486)+ISTEXT($N486)+ISTEXT($O486)+ISTEXT($Q486)+ISTEXT($R486)+ISTEXT($S486)&gt;0,"⚠ 金额列里有文字，算不进合计",IF(N($G486)&gt;=1,"⚠ 管理费点要填百分比，如 10%",IF(AND($D486&lt;&gt;"",$B486=""),"△ 摘要开头没写日期（如 2026.9.21），月份取不到",IF(AND(N($H486)&lt;&gt;0,COUNTIFS($A$4:$A$1003,$A486,$H$4:$H$1003,$H486,$D$4:$D$1003,LEFT($D486,9)&amp;"*")&gt;1),"△ 同一天同项目有一样的销售金额，看看是不是录重了","✓"))))))))</f>
        <v/>
      </c>
      <c r="W486" s="8" t="str">
        <f aca="false">IF($A486="","",$A486&amp;"#"&amp;COUNTIF($A$4:$A486,$A486))</f>
        <v/>
      </c>
    </row>
    <row r="487" customFormat="false" ht="16.5" hidden="false" customHeight="false" outlineLevel="0" collapsed="false">
      <c r="A487" s="44" t="str">
        <f aca="false">IF($C487="","",IFERROR(VLOOKUP($C487,目录!$B:$C,2,0)&amp;"","⚠目录里没有"))</f>
        <v/>
      </c>
      <c r="B487" s="45" t="str">
        <f aca="false">IF($D487="","",IFERROR(MID($D487,FIND(".",$D487)+1,FIND(".",$D487,FIND(".",$D487)+1)-FIND(".",$D487)-1)&amp;"月",""))</f>
        <v/>
      </c>
      <c r="C487" s="46"/>
      <c r="D487" s="47"/>
      <c r="E487" s="47"/>
      <c r="F487" s="49"/>
      <c r="G487" s="50"/>
      <c r="H487" s="24"/>
      <c r="I487" s="24" t="str">
        <f aca="false">IF($H487="","",N($H487)*N($G487))</f>
        <v/>
      </c>
      <c r="J487" s="25" t="str">
        <f aca="false">IF($H487="","",N($H487)-N($I487))</f>
        <v/>
      </c>
      <c r="K487" s="25"/>
      <c r="L487" s="25" t="str">
        <f aca="false">IF($A487="","",SUMIF($A$4:$A487,$A487,$J$4:$J487)-SUMIF($A$4:$A487,$A487,$K$4:$K487))</f>
        <v/>
      </c>
      <c r="M487" s="26" t="str">
        <f aca="false">IF($H487="","",N($H487))</f>
        <v/>
      </c>
      <c r="N487" s="26"/>
      <c r="O487" s="26"/>
      <c r="P487" s="26" t="str">
        <f aca="false">IF($A487="","",SUMIF($A$4:$A487,$A487,$M$4:$M487)-SUMIF($A$4:$A487,$A487,$N$4:$N487)-SUMIF($A$4:$A487,$A487,$O$4:$O487))</f>
        <v/>
      </c>
      <c r="Q487" s="27"/>
      <c r="R487" s="28"/>
      <c r="S487" s="28"/>
      <c r="T487" s="28" t="str">
        <f aca="false">IF($A487="","",SUMIF($A$4:$A487,$A487,$Q$4:$Q487)-SUMIF($A$4:$A487,$A487,$R$4:$R487)-SUMIF($A$4:$A487,$A487,$S$4:$S487))</f>
        <v/>
      </c>
      <c r="U487" s="28"/>
      <c r="V487" s="29" t="str">
        <f aca="false">IF(AND($C487="",COUNTA($D487:$H487,$K487,$N487:$O487,$Q487:$S487,$U487)=0),"",IF($C487="","⚠ 没填项目名称",IF($A487="⚠目录里没有","⚠ 项目名称在目录里找不到（先加到目录）",IF($A487="","⚠ 目录里这个项目没填简称",IF(ISTEXT($G487)+ISTEXT($H487)+ISTEXT($K487)+ISTEXT($N487)+ISTEXT($O487)+ISTEXT($Q487)+ISTEXT($R487)+ISTEXT($S487)&gt;0,"⚠ 金额列里有文字，算不进合计",IF(N($G487)&gt;=1,"⚠ 管理费点要填百分比，如 10%",IF(AND($D487&lt;&gt;"",$B487=""),"△ 摘要开头没写日期（如 2026.9.21），月份取不到",IF(AND(N($H487)&lt;&gt;0,COUNTIFS($A$4:$A$1003,$A487,$H$4:$H$1003,$H487,$D$4:$D$1003,LEFT($D487,9)&amp;"*")&gt;1),"△ 同一天同项目有一样的销售金额，看看是不是录重了","✓"))))))))</f>
        <v/>
      </c>
      <c r="W487" s="8" t="str">
        <f aca="false">IF($A487="","",$A487&amp;"#"&amp;COUNTIF($A$4:$A487,$A487))</f>
        <v/>
      </c>
    </row>
    <row r="488" customFormat="false" ht="16.5" hidden="false" customHeight="false" outlineLevel="0" collapsed="false">
      <c r="A488" s="44" t="str">
        <f aca="false">IF($C488="","",IFERROR(VLOOKUP($C488,目录!$B:$C,2,0)&amp;"","⚠目录里没有"))</f>
        <v/>
      </c>
      <c r="B488" s="45" t="str">
        <f aca="false">IF($D488="","",IFERROR(MID($D488,FIND(".",$D488)+1,FIND(".",$D488,FIND(".",$D488)+1)-FIND(".",$D488)-1)&amp;"月",""))</f>
        <v/>
      </c>
      <c r="C488" s="46"/>
      <c r="D488" s="47"/>
      <c r="E488" s="47"/>
      <c r="F488" s="49"/>
      <c r="G488" s="50"/>
      <c r="H488" s="24"/>
      <c r="I488" s="24" t="str">
        <f aca="false">IF($H488="","",N($H488)*N($G488))</f>
        <v/>
      </c>
      <c r="J488" s="25" t="str">
        <f aca="false">IF($H488="","",N($H488)-N($I488))</f>
        <v/>
      </c>
      <c r="K488" s="25"/>
      <c r="L488" s="25" t="str">
        <f aca="false">IF($A488="","",SUMIF($A$4:$A488,$A488,$J$4:$J488)-SUMIF($A$4:$A488,$A488,$K$4:$K488))</f>
        <v/>
      </c>
      <c r="M488" s="26" t="str">
        <f aca="false">IF($H488="","",N($H488))</f>
        <v/>
      </c>
      <c r="N488" s="26"/>
      <c r="O488" s="26"/>
      <c r="P488" s="26" t="str">
        <f aca="false">IF($A488="","",SUMIF($A$4:$A488,$A488,$M$4:$M488)-SUMIF($A$4:$A488,$A488,$N$4:$N488)-SUMIF($A$4:$A488,$A488,$O$4:$O488))</f>
        <v/>
      </c>
      <c r="Q488" s="27"/>
      <c r="R488" s="28"/>
      <c r="S488" s="28"/>
      <c r="T488" s="28" t="str">
        <f aca="false">IF($A488="","",SUMIF($A$4:$A488,$A488,$Q$4:$Q488)-SUMIF($A$4:$A488,$A488,$R$4:$R488)-SUMIF($A$4:$A488,$A488,$S$4:$S488))</f>
        <v/>
      </c>
      <c r="U488" s="28"/>
      <c r="V488" s="29" t="str">
        <f aca="false">IF(AND($C488="",COUNTA($D488:$H488,$K488,$N488:$O488,$Q488:$S488,$U488)=0),"",IF($C488="","⚠ 没填项目名称",IF($A488="⚠目录里没有","⚠ 项目名称在目录里找不到（先加到目录）",IF($A488="","⚠ 目录里这个项目没填简称",IF(ISTEXT($G488)+ISTEXT($H488)+ISTEXT($K488)+ISTEXT($N488)+ISTEXT($O488)+ISTEXT($Q488)+ISTEXT($R488)+ISTEXT($S488)&gt;0,"⚠ 金额列里有文字，算不进合计",IF(N($G488)&gt;=1,"⚠ 管理费点要填百分比，如 10%",IF(AND($D488&lt;&gt;"",$B488=""),"△ 摘要开头没写日期（如 2026.9.21），月份取不到",IF(AND(N($H488)&lt;&gt;0,COUNTIFS($A$4:$A$1003,$A488,$H$4:$H$1003,$H488,$D$4:$D$1003,LEFT($D488,9)&amp;"*")&gt;1),"△ 同一天同项目有一样的销售金额，看看是不是录重了","✓"))))))))</f>
        <v/>
      </c>
      <c r="W488" s="8" t="str">
        <f aca="false">IF($A488="","",$A488&amp;"#"&amp;COUNTIF($A$4:$A488,$A488))</f>
        <v/>
      </c>
    </row>
    <row r="489" customFormat="false" ht="16.5" hidden="false" customHeight="false" outlineLevel="0" collapsed="false">
      <c r="A489" s="44" t="str">
        <f aca="false">IF($C489="","",IFERROR(VLOOKUP($C489,目录!$B:$C,2,0)&amp;"","⚠目录里没有"))</f>
        <v/>
      </c>
      <c r="B489" s="45" t="str">
        <f aca="false">IF($D489="","",IFERROR(MID($D489,FIND(".",$D489)+1,FIND(".",$D489,FIND(".",$D489)+1)-FIND(".",$D489)-1)&amp;"月",""))</f>
        <v/>
      </c>
      <c r="C489" s="46"/>
      <c r="D489" s="47"/>
      <c r="E489" s="47"/>
      <c r="F489" s="49"/>
      <c r="G489" s="50"/>
      <c r="H489" s="24"/>
      <c r="I489" s="24" t="str">
        <f aca="false">IF($H489="","",N($H489)*N($G489))</f>
        <v/>
      </c>
      <c r="J489" s="25" t="str">
        <f aca="false">IF($H489="","",N($H489)-N($I489))</f>
        <v/>
      </c>
      <c r="K489" s="25"/>
      <c r="L489" s="25" t="str">
        <f aca="false">IF($A489="","",SUMIF($A$4:$A489,$A489,$J$4:$J489)-SUMIF($A$4:$A489,$A489,$K$4:$K489))</f>
        <v/>
      </c>
      <c r="M489" s="26" t="str">
        <f aca="false">IF($H489="","",N($H489))</f>
        <v/>
      </c>
      <c r="N489" s="26"/>
      <c r="O489" s="26"/>
      <c r="P489" s="26" t="str">
        <f aca="false">IF($A489="","",SUMIF($A$4:$A489,$A489,$M$4:$M489)-SUMIF($A$4:$A489,$A489,$N$4:$N489)-SUMIF($A$4:$A489,$A489,$O$4:$O489))</f>
        <v/>
      </c>
      <c r="Q489" s="27"/>
      <c r="R489" s="28"/>
      <c r="S489" s="28"/>
      <c r="T489" s="28" t="str">
        <f aca="false">IF($A489="","",SUMIF($A$4:$A489,$A489,$Q$4:$Q489)-SUMIF($A$4:$A489,$A489,$R$4:$R489)-SUMIF($A$4:$A489,$A489,$S$4:$S489))</f>
        <v/>
      </c>
      <c r="U489" s="28"/>
      <c r="V489" s="29" t="str">
        <f aca="false">IF(AND($C489="",COUNTA($D489:$H489,$K489,$N489:$O489,$Q489:$S489,$U489)=0),"",IF($C489="","⚠ 没填项目名称",IF($A489="⚠目录里没有","⚠ 项目名称在目录里找不到（先加到目录）",IF($A489="","⚠ 目录里这个项目没填简称",IF(ISTEXT($G489)+ISTEXT($H489)+ISTEXT($K489)+ISTEXT($N489)+ISTEXT($O489)+ISTEXT($Q489)+ISTEXT($R489)+ISTEXT($S489)&gt;0,"⚠ 金额列里有文字，算不进合计",IF(N($G489)&gt;=1,"⚠ 管理费点要填百分比，如 10%",IF(AND($D489&lt;&gt;"",$B489=""),"△ 摘要开头没写日期（如 2026.9.21），月份取不到",IF(AND(N($H489)&lt;&gt;0,COUNTIFS($A$4:$A$1003,$A489,$H$4:$H$1003,$H489,$D$4:$D$1003,LEFT($D489,9)&amp;"*")&gt;1),"△ 同一天同项目有一样的销售金额，看看是不是录重了","✓"))))))))</f>
        <v/>
      </c>
      <c r="W489" s="8" t="str">
        <f aca="false">IF($A489="","",$A489&amp;"#"&amp;COUNTIF($A$4:$A489,$A489))</f>
        <v/>
      </c>
    </row>
    <row r="490" customFormat="false" ht="16.5" hidden="false" customHeight="false" outlineLevel="0" collapsed="false">
      <c r="A490" s="44" t="str">
        <f aca="false">IF($C490="","",IFERROR(VLOOKUP($C490,目录!$B:$C,2,0)&amp;"","⚠目录里没有"))</f>
        <v/>
      </c>
      <c r="B490" s="45" t="str">
        <f aca="false">IF($D490="","",IFERROR(MID($D490,FIND(".",$D490)+1,FIND(".",$D490,FIND(".",$D490)+1)-FIND(".",$D490)-1)&amp;"月",""))</f>
        <v/>
      </c>
      <c r="C490" s="46"/>
      <c r="D490" s="47"/>
      <c r="E490" s="47"/>
      <c r="F490" s="49"/>
      <c r="G490" s="50"/>
      <c r="H490" s="24"/>
      <c r="I490" s="24" t="str">
        <f aca="false">IF($H490="","",N($H490)*N($G490))</f>
        <v/>
      </c>
      <c r="J490" s="25" t="str">
        <f aca="false">IF($H490="","",N($H490)-N($I490))</f>
        <v/>
      </c>
      <c r="K490" s="25"/>
      <c r="L490" s="25" t="str">
        <f aca="false">IF($A490="","",SUMIF($A$4:$A490,$A490,$J$4:$J490)-SUMIF($A$4:$A490,$A490,$K$4:$K490))</f>
        <v/>
      </c>
      <c r="M490" s="26" t="str">
        <f aca="false">IF($H490="","",N($H490))</f>
        <v/>
      </c>
      <c r="N490" s="26"/>
      <c r="O490" s="26"/>
      <c r="P490" s="26" t="str">
        <f aca="false">IF($A490="","",SUMIF($A$4:$A490,$A490,$M$4:$M490)-SUMIF($A$4:$A490,$A490,$N$4:$N490)-SUMIF($A$4:$A490,$A490,$O$4:$O490))</f>
        <v/>
      </c>
      <c r="Q490" s="27"/>
      <c r="R490" s="28"/>
      <c r="S490" s="28"/>
      <c r="T490" s="28" t="str">
        <f aca="false">IF($A490="","",SUMIF($A$4:$A490,$A490,$Q$4:$Q490)-SUMIF($A$4:$A490,$A490,$R$4:$R490)-SUMIF($A$4:$A490,$A490,$S$4:$S490))</f>
        <v/>
      </c>
      <c r="U490" s="28"/>
      <c r="V490" s="29" t="str">
        <f aca="false">IF(AND($C490="",COUNTA($D490:$H490,$K490,$N490:$O490,$Q490:$S490,$U490)=0),"",IF($C490="","⚠ 没填项目名称",IF($A490="⚠目录里没有","⚠ 项目名称在目录里找不到（先加到目录）",IF($A490="","⚠ 目录里这个项目没填简称",IF(ISTEXT($G490)+ISTEXT($H490)+ISTEXT($K490)+ISTEXT($N490)+ISTEXT($O490)+ISTEXT($Q490)+ISTEXT($R490)+ISTEXT($S490)&gt;0,"⚠ 金额列里有文字，算不进合计",IF(N($G490)&gt;=1,"⚠ 管理费点要填百分比，如 10%",IF(AND($D490&lt;&gt;"",$B490=""),"△ 摘要开头没写日期（如 2026.9.21），月份取不到",IF(AND(N($H490)&lt;&gt;0,COUNTIFS($A$4:$A$1003,$A490,$H$4:$H$1003,$H490,$D$4:$D$1003,LEFT($D490,9)&amp;"*")&gt;1),"△ 同一天同项目有一样的销售金额，看看是不是录重了","✓"))))))))</f>
        <v/>
      </c>
      <c r="W490" s="8" t="str">
        <f aca="false">IF($A490="","",$A490&amp;"#"&amp;COUNTIF($A$4:$A490,$A490))</f>
        <v/>
      </c>
    </row>
    <row r="491" customFormat="false" ht="16.5" hidden="false" customHeight="false" outlineLevel="0" collapsed="false">
      <c r="A491" s="44" t="str">
        <f aca="false">IF($C491="","",IFERROR(VLOOKUP($C491,目录!$B:$C,2,0)&amp;"","⚠目录里没有"))</f>
        <v/>
      </c>
      <c r="B491" s="45" t="str">
        <f aca="false">IF($D491="","",IFERROR(MID($D491,FIND(".",$D491)+1,FIND(".",$D491,FIND(".",$D491)+1)-FIND(".",$D491)-1)&amp;"月",""))</f>
        <v/>
      </c>
      <c r="C491" s="46"/>
      <c r="D491" s="47"/>
      <c r="E491" s="47"/>
      <c r="F491" s="49"/>
      <c r="G491" s="50"/>
      <c r="H491" s="24"/>
      <c r="I491" s="24" t="str">
        <f aca="false">IF($H491="","",N($H491)*N($G491))</f>
        <v/>
      </c>
      <c r="J491" s="25" t="str">
        <f aca="false">IF($H491="","",N($H491)-N($I491))</f>
        <v/>
      </c>
      <c r="K491" s="25"/>
      <c r="L491" s="25" t="str">
        <f aca="false">IF($A491="","",SUMIF($A$4:$A491,$A491,$J$4:$J491)-SUMIF($A$4:$A491,$A491,$K$4:$K491))</f>
        <v/>
      </c>
      <c r="M491" s="26" t="str">
        <f aca="false">IF($H491="","",N($H491))</f>
        <v/>
      </c>
      <c r="N491" s="26"/>
      <c r="O491" s="26"/>
      <c r="P491" s="26" t="str">
        <f aca="false">IF($A491="","",SUMIF($A$4:$A491,$A491,$M$4:$M491)-SUMIF($A$4:$A491,$A491,$N$4:$N491)-SUMIF($A$4:$A491,$A491,$O$4:$O491))</f>
        <v/>
      </c>
      <c r="Q491" s="27"/>
      <c r="R491" s="28"/>
      <c r="S491" s="28"/>
      <c r="T491" s="28" t="str">
        <f aca="false">IF($A491="","",SUMIF($A$4:$A491,$A491,$Q$4:$Q491)-SUMIF($A$4:$A491,$A491,$R$4:$R491)-SUMIF($A$4:$A491,$A491,$S$4:$S491))</f>
        <v/>
      </c>
      <c r="U491" s="28"/>
      <c r="V491" s="29" t="str">
        <f aca="false">IF(AND($C491="",COUNTA($D491:$H491,$K491,$N491:$O491,$Q491:$S491,$U491)=0),"",IF($C491="","⚠ 没填项目名称",IF($A491="⚠目录里没有","⚠ 项目名称在目录里找不到（先加到目录）",IF($A491="","⚠ 目录里这个项目没填简称",IF(ISTEXT($G491)+ISTEXT($H491)+ISTEXT($K491)+ISTEXT($N491)+ISTEXT($O491)+ISTEXT($Q491)+ISTEXT($R491)+ISTEXT($S491)&gt;0,"⚠ 金额列里有文字，算不进合计",IF(N($G491)&gt;=1,"⚠ 管理费点要填百分比，如 10%",IF(AND($D491&lt;&gt;"",$B491=""),"△ 摘要开头没写日期（如 2026.9.21），月份取不到",IF(AND(N($H491)&lt;&gt;0,COUNTIFS($A$4:$A$1003,$A491,$H$4:$H$1003,$H491,$D$4:$D$1003,LEFT($D491,9)&amp;"*")&gt;1),"△ 同一天同项目有一样的销售金额，看看是不是录重了","✓"))))))))</f>
        <v/>
      </c>
      <c r="W491" s="8" t="str">
        <f aca="false">IF($A491="","",$A491&amp;"#"&amp;COUNTIF($A$4:$A491,$A491))</f>
        <v/>
      </c>
    </row>
    <row r="492" customFormat="false" ht="16.5" hidden="false" customHeight="false" outlineLevel="0" collapsed="false">
      <c r="A492" s="44" t="str">
        <f aca="false">IF($C492="","",IFERROR(VLOOKUP($C492,目录!$B:$C,2,0)&amp;"","⚠目录里没有"))</f>
        <v/>
      </c>
      <c r="B492" s="45" t="str">
        <f aca="false">IF($D492="","",IFERROR(MID($D492,FIND(".",$D492)+1,FIND(".",$D492,FIND(".",$D492)+1)-FIND(".",$D492)-1)&amp;"月",""))</f>
        <v/>
      </c>
      <c r="C492" s="46"/>
      <c r="D492" s="47"/>
      <c r="E492" s="47"/>
      <c r="F492" s="49"/>
      <c r="G492" s="50"/>
      <c r="H492" s="24"/>
      <c r="I492" s="24" t="str">
        <f aca="false">IF($H492="","",N($H492)*N($G492))</f>
        <v/>
      </c>
      <c r="J492" s="25" t="str">
        <f aca="false">IF($H492="","",N($H492)-N($I492))</f>
        <v/>
      </c>
      <c r="K492" s="25"/>
      <c r="L492" s="25" t="str">
        <f aca="false">IF($A492="","",SUMIF($A$4:$A492,$A492,$J$4:$J492)-SUMIF($A$4:$A492,$A492,$K$4:$K492))</f>
        <v/>
      </c>
      <c r="M492" s="26" t="str">
        <f aca="false">IF($H492="","",N($H492))</f>
        <v/>
      </c>
      <c r="N492" s="26"/>
      <c r="O492" s="26"/>
      <c r="P492" s="26" t="str">
        <f aca="false">IF($A492="","",SUMIF($A$4:$A492,$A492,$M$4:$M492)-SUMIF($A$4:$A492,$A492,$N$4:$N492)-SUMIF($A$4:$A492,$A492,$O$4:$O492))</f>
        <v/>
      </c>
      <c r="Q492" s="27"/>
      <c r="R492" s="28"/>
      <c r="S492" s="28"/>
      <c r="T492" s="28" t="str">
        <f aca="false">IF($A492="","",SUMIF($A$4:$A492,$A492,$Q$4:$Q492)-SUMIF($A$4:$A492,$A492,$R$4:$R492)-SUMIF($A$4:$A492,$A492,$S$4:$S492))</f>
        <v/>
      </c>
      <c r="U492" s="28"/>
      <c r="V492" s="29" t="str">
        <f aca="false">IF(AND($C492="",COUNTA($D492:$H492,$K492,$N492:$O492,$Q492:$S492,$U492)=0),"",IF($C492="","⚠ 没填项目名称",IF($A492="⚠目录里没有","⚠ 项目名称在目录里找不到（先加到目录）",IF($A492="","⚠ 目录里这个项目没填简称",IF(ISTEXT($G492)+ISTEXT($H492)+ISTEXT($K492)+ISTEXT($N492)+ISTEXT($O492)+ISTEXT($Q492)+ISTEXT($R492)+ISTEXT($S492)&gt;0,"⚠ 金额列里有文字，算不进合计",IF(N($G492)&gt;=1,"⚠ 管理费点要填百分比，如 10%",IF(AND($D492&lt;&gt;"",$B492=""),"△ 摘要开头没写日期（如 2026.9.21），月份取不到",IF(AND(N($H492)&lt;&gt;0,COUNTIFS($A$4:$A$1003,$A492,$H$4:$H$1003,$H492,$D$4:$D$1003,LEFT($D492,9)&amp;"*")&gt;1),"△ 同一天同项目有一样的销售金额，看看是不是录重了","✓"))))))))</f>
        <v/>
      </c>
      <c r="W492" s="8" t="str">
        <f aca="false">IF($A492="","",$A492&amp;"#"&amp;COUNTIF($A$4:$A492,$A492))</f>
        <v/>
      </c>
    </row>
    <row r="493" customFormat="false" ht="16.5" hidden="false" customHeight="false" outlineLevel="0" collapsed="false">
      <c r="A493" s="44" t="str">
        <f aca="false">IF($C493="","",IFERROR(VLOOKUP($C493,目录!$B:$C,2,0)&amp;"","⚠目录里没有"))</f>
        <v/>
      </c>
      <c r="B493" s="45" t="str">
        <f aca="false">IF($D493="","",IFERROR(MID($D493,FIND(".",$D493)+1,FIND(".",$D493,FIND(".",$D493)+1)-FIND(".",$D493)-1)&amp;"月",""))</f>
        <v/>
      </c>
      <c r="C493" s="46"/>
      <c r="D493" s="47"/>
      <c r="E493" s="47"/>
      <c r="F493" s="49"/>
      <c r="G493" s="50"/>
      <c r="H493" s="24"/>
      <c r="I493" s="24" t="str">
        <f aca="false">IF($H493="","",N($H493)*N($G493))</f>
        <v/>
      </c>
      <c r="J493" s="25" t="str">
        <f aca="false">IF($H493="","",N($H493)-N($I493))</f>
        <v/>
      </c>
      <c r="K493" s="25"/>
      <c r="L493" s="25" t="str">
        <f aca="false">IF($A493="","",SUMIF($A$4:$A493,$A493,$J$4:$J493)-SUMIF($A$4:$A493,$A493,$K$4:$K493))</f>
        <v/>
      </c>
      <c r="M493" s="26" t="str">
        <f aca="false">IF($H493="","",N($H493))</f>
        <v/>
      </c>
      <c r="N493" s="26"/>
      <c r="O493" s="26"/>
      <c r="P493" s="26" t="str">
        <f aca="false">IF($A493="","",SUMIF($A$4:$A493,$A493,$M$4:$M493)-SUMIF($A$4:$A493,$A493,$N$4:$N493)-SUMIF($A$4:$A493,$A493,$O$4:$O493))</f>
        <v/>
      </c>
      <c r="Q493" s="27"/>
      <c r="R493" s="28"/>
      <c r="S493" s="28"/>
      <c r="T493" s="28" t="str">
        <f aca="false">IF($A493="","",SUMIF($A$4:$A493,$A493,$Q$4:$Q493)-SUMIF($A$4:$A493,$A493,$R$4:$R493)-SUMIF($A$4:$A493,$A493,$S$4:$S493))</f>
        <v/>
      </c>
      <c r="U493" s="28"/>
      <c r="V493" s="29" t="str">
        <f aca="false">IF(AND($C493="",COUNTA($D493:$H493,$K493,$N493:$O493,$Q493:$S493,$U493)=0),"",IF($C493="","⚠ 没填项目名称",IF($A493="⚠目录里没有","⚠ 项目名称在目录里找不到（先加到目录）",IF($A493="","⚠ 目录里这个项目没填简称",IF(ISTEXT($G493)+ISTEXT($H493)+ISTEXT($K493)+ISTEXT($N493)+ISTEXT($O493)+ISTEXT($Q493)+ISTEXT($R493)+ISTEXT($S493)&gt;0,"⚠ 金额列里有文字，算不进合计",IF(N($G493)&gt;=1,"⚠ 管理费点要填百分比，如 10%",IF(AND($D493&lt;&gt;"",$B493=""),"△ 摘要开头没写日期（如 2026.9.21），月份取不到",IF(AND(N($H493)&lt;&gt;0,COUNTIFS($A$4:$A$1003,$A493,$H$4:$H$1003,$H493,$D$4:$D$1003,LEFT($D493,9)&amp;"*")&gt;1),"△ 同一天同项目有一样的销售金额，看看是不是录重了","✓"))))))))</f>
        <v/>
      </c>
      <c r="W493" s="8" t="str">
        <f aca="false">IF($A493="","",$A493&amp;"#"&amp;COUNTIF($A$4:$A493,$A493))</f>
        <v/>
      </c>
    </row>
    <row r="494" customFormat="false" ht="16.5" hidden="false" customHeight="false" outlineLevel="0" collapsed="false">
      <c r="A494" s="44" t="str">
        <f aca="false">IF($C494="","",IFERROR(VLOOKUP($C494,目录!$B:$C,2,0)&amp;"","⚠目录里没有"))</f>
        <v/>
      </c>
      <c r="B494" s="45" t="str">
        <f aca="false">IF($D494="","",IFERROR(MID($D494,FIND(".",$D494)+1,FIND(".",$D494,FIND(".",$D494)+1)-FIND(".",$D494)-1)&amp;"月",""))</f>
        <v/>
      </c>
      <c r="C494" s="46"/>
      <c r="D494" s="47"/>
      <c r="E494" s="47"/>
      <c r="F494" s="49"/>
      <c r="G494" s="50"/>
      <c r="H494" s="24"/>
      <c r="I494" s="24" t="str">
        <f aca="false">IF($H494="","",N($H494)*N($G494))</f>
        <v/>
      </c>
      <c r="J494" s="25" t="str">
        <f aca="false">IF($H494="","",N($H494)-N($I494))</f>
        <v/>
      </c>
      <c r="K494" s="25"/>
      <c r="L494" s="25" t="str">
        <f aca="false">IF($A494="","",SUMIF($A$4:$A494,$A494,$J$4:$J494)-SUMIF($A$4:$A494,$A494,$K$4:$K494))</f>
        <v/>
      </c>
      <c r="M494" s="26" t="str">
        <f aca="false">IF($H494="","",N($H494))</f>
        <v/>
      </c>
      <c r="N494" s="26"/>
      <c r="O494" s="26"/>
      <c r="P494" s="26" t="str">
        <f aca="false">IF($A494="","",SUMIF($A$4:$A494,$A494,$M$4:$M494)-SUMIF($A$4:$A494,$A494,$N$4:$N494)-SUMIF($A$4:$A494,$A494,$O$4:$O494))</f>
        <v/>
      </c>
      <c r="Q494" s="27"/>
      <c r="R494" s="28"/>
      <c r="S494" s="28"/>
      <c r="T494" s="28" t="str">
        <f aca="false">IF($A494="","",SUMIF($A$4:$A494,$A494,$Q$4:$Q494)-SUMIF($A$4:$A494,$A494,$R$4:$R494)-SUMIF($A$4:$A494,$A494,$S$4:$S494))</f>
        <v/>
      </c>
      <c r="U494" s="28"/>
      <c r="V494" s="29" t="str">
        <f aca="false">IF(AND($C494="",COUNTA($D494:$H494,$K494,$N494:$O494,$Q494:$S494,$U494)=0),"",IF($C494="","⚠ 没填项目名称",IF($A494="⚠目录里没有","⚠ 项目名称在目录里找不到（先加到目录）",IF($A494="","⚠ 目录里这个项目没填简称",IF(ISTEXT($G494)+ISTEXT($H494)+ISTEXT($K494)+ISTEXT($N494)+ISTEXT($O494)+ISTEXT($Q494)+ISTEXT($R494)+ISTEXT($S494)&gt;0,"⚠ 金额列里有文字，算不进合计",IF(N($G494)&gt;=1,"⚠ 管理费点要填百分比，如 10%",IF(AND($D494&lt;&gt;"",$B494=""),"△ 摘要开头没写日期（如 2026.9.21），月份取不到",IF(AND(N($H494)&lt;&gt;0,COUNTIFS($A$4:$A$1003,$A494,$H$4:$H$1003,$H494,$D$4:$D$1003,LEFT($D494,9)&amp;"*")&gt;1),"△ 同一天同项目有一样的销售金额，看看是不是录重了","✓"))))))))</f>
        <v/>
      </c>
      <c r="W494" s="8" t="str">
        <f aca="false">IF($A494="","",$A494&amp;"#"&amp;COUNTIF($A$4:$A494,$A494))</f>
        <v/>
      </c>
    </row>
    <row r="495" customFormat="false" ht="16.5" hidden="false" customHeight="false" outlineLevel="0" collapsed="false">
      <c r="A495" s="44" t="str">
        <f aca="false">IF($C495="","",IFERROR(VLOOKUP($C495,目录!$B:$C,2,0)&amp;"","⚠目录里没有"))</f>
        <v/>
      </c>
      <c r="B495" s="45" t="str">
        <f aca="false">IF($D495="","",IFERROR(MID($D495,FIND(".",$D495)+1,FIND(".",$D495,FIND(".",$D495)+1)-FIND(".",$D495)-1)&amp;"月",""))</f>
        <v/>
      </c>
      <c r="C495" s="46"/>
      <c r="D495" s="47"/>
      <c r="E495" s="47"/>
      <c r="F495" s="49"/>
      <c r="G495" s="50"/>
      <c r="H495" s="24"/>
      <c r="I495" s="24" t="str">
        <f aca="false">IF($H495="","",N($H495)*N($G495))</f>
        <v/>
      </c>
      <c r="J495" s="25" t="str">
        <f aca="false">IF($H495="","",N($H495)-N($I495))</f>
        <v/>
      </c>
      <c r="K495" s="25"/>
      <c r="L495" s="25" t="str">
        <f aca="false">IF($A495="","",SUMIF($A$4:$A495,$A495,$J$4:$J495)-SUMIF($A$4:$A495,$A495,$K$4:$K495))</f>
        <v/>
      </c>
      <c r="M495" s="26" t="str">
        <f aca="false">IF($H495="","",N($H495))</f>
        <v/>
      </c>
      <c r="N495" s="26"/>
      <c r="O495" s="26"/>
      <c r="P495" s="26" t="str">
        <f aca="false">IF($A495="","",SUMIF($A$4:$A495,$A495,$M$4:$M495)-SUMIF($A$4:$A495,$A495,$N$4:$N495)-SUMIF($A$4:$A495,$A495,$O$4:$O495))</f>
        <v/>
      </c>
      <c r="Q495" s="27"/>
      <c r="R495" s="28"/>
      <c r="S495" s="28"/>
      <c r="T495" s="28" t="str">
        <f aca="false">IF($A495="","",SUMIF($A$4:$A495,$A495,$Q$4:$Q495)-SUMIF($A$4:$A495,$A495,$R$4:$R495)-SUMIF($A$4:$A495,$A495,$S$4:$S495))</f>
        <v/>
      </c>
      <c r="U495" s="28"/>
      <c r="V495" s="29" t="str">
        <f aca="false">IF(AND($C495="",COUNTA($D495:$H495,$K495,$N495:$O495,$Q495:$S495,$U495)=0),"",IF($C495="","⚠ 没填项目名称",IF($A495="⚠目录里没有","⚠ 项目名称在目录里找不到（先加到目录）",IF($A495="","⚠ 目录里这个项目没填简称",IF(ISTEXT($G495)+ISTEXT($H495)+ISTEXT($K495)+ISTEXT($N495)+ISTEXT($O495)+ISTEXT($Q495)+ISTEXT($R495)+ISTEXT($S495)&gt;0,"⚠ 金额列里有文字，算不进合计",IF(N($G495)&gt;=1,"⚠ 管理费点要填百分比，如 10%",IF(AND($D495&lt;&gt;"",$B495=""),"△ 摘要开头没写日期（如 2026.9.21），月份取不到",IF(AND(N($H495)&lt;&gt;0,COUNTIFS($A$4:$A$1003,$A495,$H$4:$H$1003,$H495,$D$4:$D$1003,LEFT($D495,9)&amp;"*")&gt;1),"△ 同一天同项目有一样的销售金额，看看是不是录重了","✓"))))))))</f>
        <v/>
      </c>
      <c r="W495" s="8" t="str">
        <f aca="false">IF($A495="","",$A495&amp;"#"&amp;COUNTIF($A$4:$A495,$A495))</f>
        <v/>
      </c>
    </row>
    <row r="496" customFormat="false" ht="16.5" hidden="false" customHeight="false" outlineLevel="0" collapsed="false">
      <c r="A496" s="44" t="str">
        <f aca="false">IF($C496="","",IFERROR(VLOOKUP($C496,目录!$B:$C,2,0)&amp;"","⚠目录里没有"))</f>
        <v/>
      </c>
      <c r="B496" s="45" t="str">
        <f aca="false">IF($D496="","",IFERROR(MID($D496,FIND(".",$D496)+1,FIND(".",$D496,FIND(".",$D496)+1)-FIND(".",$D496)-1)&amp;"月",""))</f>
        <v/>
      </c>
      <c r="C496" s="46"/>
      <c r="D496" s="47"/>
      <c r="E496" s="47"/>
      <c r="F496" s="49"/>
      <c r="G496" s="50"/>
      <c r="H496" s="24"/>
      <c r="I496" s="24" t="str">
        <f aca="false">IF($H496="","",N($H496)*N($G496))</f>
        <v/>
      </c>
      <c r="J496" s="25" t="str">
        <f aca="false">IF($H496="","",N($H496)-N($I496))</f>
        <v/>
      </c>
      <c r="K496" s="25"/>
      <c r="L496" s="25" t="str">
        <f aca="false">IF($A496="","",SUMIF($A$4:$A496,$A496,$J$4:$J496)-SUMIF($A$4:$A496,$A496,$K$4:$K496))</f>
        <v/>
      </c>
      <c r="M496" s="26" t="str">
        <f aca="false">IF($H496="","",N($H496))</f>
        <v/>
      </c>
      <c r="N496" s="26"/>
      <c r="O496" s="26"/>
      <c r="P496" s="26" t="str">
        <f aca="false">IF($A496="","",SUMIF($A$4:$A496,$A496,$M$4:$M496)-SUMIF($A$4:$A496,$A496,$N$4:$N496)-SUMIF($A$4:$A496,$A496,$O$4:$O496))</f>
        <v/>
      </c>
      <c r="Q496" s="27"/>
      <c r="R496" s="28"/>
      <c r="S496" s="28"/>
      <c r="T496" s="28" t="str">
        <f aca="false">IF($A496="","",SUMIF($A$4:$A496,$A496,$Q$4:$Q496)-SUMIF($A$4:$A496,$A496,$R$4:$R496)-SUMIF($A$4:$A496,$A496,$S$4:$S496))</f>
        <v/>
      </c>
      <c r="U496" s="28"/>
      <c r="V496" s="29" t="str">
        <f aca="false">IF(AND($C496="",COUNTA($D496:$H496,$K496,$N496:$O496,$Q496:$S496,$U496)=0),"",IF($C496="","⚠ 没填项目名称",IF($A496="⚠目录里没有","⚠ 项目名称在目录里找不到（先加到目录）",IF($A496="","⚠ 目录里这个项目没填简称",IF(ISTEXT($G496)+ISTEXT($H496)+ISTEXT($K496)+ISTEXT($N496)+ISTEXT($O496)+ISTEXT($Q496)+ISTEXT($R496)+ISTEXT($S496)&gt;0,"⚠ 金额列里有文字，算不进合计",IF(N($G496)&gt;=1,"⚠ 管理费点要填百分比，如 10%",IF(AND($D496&lt;&gt;"",$B496=""),"△ 摘要开头没写日期（如 2026.9.21），月份取不到",IF(AND(N($H496)&lt;&gt;0,COUNTIFS($A$4:$A$1003,$A496,$H$4:$H$1003,$H496,$D$4:$D$1003,LEFT($D496,9)&amp;"*")&gt;1),"△ 同一天同项目有一样的销售金额，看看是不是录重了","✓"))))))))</f>
        <v/>
      </c>
      <c r="W496" s="8" t="str">
        <f aca="false">IF($A496="","",$A496&amp;"#"&amp;COUNTIF($A$4:$A496,$A496))</f>
        <v/>
      </c>
    </row>
    <row r="497" customFormat="false" ht="16.5" hidden="false" customHeight="false" outlineLevel="0" collapsed="false">
      <c r="A497" s="44" t="str">
        <f aca="false">IF($C497="","",IFERROR(VLOOKUP($C497,目录!$B:$C,2,0)&amp;"","⚠目录里没有"))</f>
        <v/>
      </c>
      <c r="B497" s="45" t="str">
        <f aca="false">IF($D497="","",IFERROR(MID($D497,FIND(".",$D497)+1,FIND(".",$D497,FIND(".",$D497)+1)-FIND(".",$D497)-1)&amp;"月",""))</f>
        <v/>
      </c>
      <c r="C497" s="46"/>
      <c r="D497" s="47"/>
      <c r="E497" s="47"/>
      <c r="F497" s="49"/>
      <c r="G497" s="50"/>
      <c r="H497" s="24"/>
      <c r="I497" s="24" t="str">
        <f aca="false">IF($H497="","",N($H497)*N($G497))</f>
        <v/>
      </c>
      <c r="J497" s="25" t="str">
        <f aca="false">IF($H497="","",N($H497)-N($I497))</f>
        <v/>
      </c>
      <c r="K497" s="25"/>
      <c r="L497" s="25" t="str">
        <f aca="false">IF($A497="","",SUMIF($A$4:$A497,$A497,$J$4:$J497)-SUMIF($A$4:$A497,$A497,$K$4:$K497))</f>
        <v/>
      </c>
      <c r="M497" s="26" t="str">
        <f aca="false">IF($H497="","",N($H497))</f>
        <v/>
      </c>
      <c r="N497" s="26"/>
      <c r="O497" s="26"/>
      <c r="P497" s="26" t="str">
        <f aca="false">IF($A497="","",SUMIF($A$4:$A497,$A497,$M$4:$M497)-SUMIF($A$4:$A497,$A497,$N$4:$N497)-SUMIF($A$4:$A497,$A497,$O$4:$O497))</f>
        <v/>
      </c>
      <c r="Q497" s="27"/>
      <c r="R497" s="28"/>
      <c r="S497" s="28"/>
      <c r="T497" s="28" t="str">
        <f aca="false">IF($A497="","",SUMIF($A$4:$A497,$A497,$Q$4:$Q497)-SUMIF($A$4:$A497,$A497,$R$4:$R497)-SUMIF($A$4:$A497,$A497,$S$4:$S497))</f>
        <v/>
      </c>
      <c r="U497" s="28"/>
      <c r="V497" s="29" t="str">
        <f aca="false">IF(AND($C497="",COUNTA($D497:$H497,$K497,$N497:$O497,$Q497:$S497,$U497)=0),"",IF($C497="","⚠ 没填项目名称",IF($A497="⚠目录里没有","⚠ 项目名称在目录里找不到（先加到目录）",IF($A497="","⚠ 目录里这个项目没填简称",IF(ISTEXT($G497)+ISTEXT($H497)+ISTEXT($K497)+ISTEXT($N497)+ISTEXT($O497)+ISTEXT($Q497)+ISTEXT($R497)+ISTEXT($S497)&gt;0,"⚠ 金额列里有文字，算不进合计",IF(N($G497)&gt;=1,"⚠ 管理费点要填百分比，如 10%",IF(AND($D497&lt;&gt;"",$B497=""),"△ 摘要开头没写日期（如 2026.9.21），月份取不到",IF(AND(N($H497)&lt;&gt;0,COUNTIFS($A$4:$A$1003,$A497,$H$4:$H$1003,$H497,$D$4:$D$1003,LEFT($D497,9)&amp;"*")&gt;1),"△ 同一天同项目有一样的销售金额，看看是不是录重了","✓"))))))))</f>
        <v/>
      </c>
      <c r="W497" s="8" t="str">
        <f aca="false">IF($A497="","",$A497&amp;"#"&amp;COUNTIF($A$4:$A497,$A497))</f>
        <v/>
      </c>
    </row>
    <row r="498" customFormat="false" ht="16.5" hidden="false" customHeight="false" outlineLevel="0" collapsed="false">
      <c r="A498" s="44" t="str">
        <f aca="false">IF($C498="","",IFERROR(VLOOKUP($C498,目录!$B:$C,2,0)&amp;"","⚠目录里没有"))</f>
        <v/>
      </c>
      <c r="B498" s="45" t="str">
        <f aca="false">IF($D498="","",IFERROR(MID($D498,FIND(".",$D498)+1,FIND(".",$D498,FIND(".",$D498)+1)-FIND(".",$D498)-1)&amp;"月",""))</f>
        <v/>
      </c>
      <c r="C498" s="46"/>
      <c r="D498" s="47"/>
      <c r="E498" s="47"/>
      <c r="F498" s="49"/>
      <c r="G498" s="50"/>
      <c r="H498" s="24"/>
      <c r="I498" s="24" t="str">
        <f aca="false">IF($H498="","",N($H498)*N($G498))</f>
        <v/>
      </c>
      <c r="J498" s="25" t="str">
        <f aca="false">IF($H498="","",N($H498)-N($I498))</f>
        <v/>
      </c>
      <c r="K498" s="25"/>
      <c r="L498" s="25" t="str">
        <f aca="false">IF($A498="","",SUMIF($A$4:$A498,$A498,$J$4:$J498)-SUMIF($A$4:$A498,$A498,$K$4:$K498))</f>
        <v/>
      </c>
      <c r="M498" s="26" t="str">
        <f aca="false">IF($H498="","",N($H498))</f>
        <v/>
      </c>
      <c r="N498" s="26"/>
      <c r="O498" s="26"/>
      <c r="P498" s="26" t="str">
        <f aca="false">IF($A498="","",SUMIF($A$4:$A498,$A498,$M$4:$M498)-SUMIF($A$4:$A498,$A498,$N$4:$N498)-SUMIF($A$4:$A498,$A498,$O$4:$O498))</f>
        <v/>
      </c>
      <c r="Q498" s="27"/>
      <c r="R498" s="28"/>
      <c r="S498" s="28"/>
      <c r="T498" s="28" t="str">
        <f aca="false">IF($A498="","",SUMIF($A$4:$A498,$A498,$Q$4:$Q498)-SUMIF($A$4:$A498,$A498,$R$4:$R498)-SUMIF($A$4:$A498,$A498,$S$4:$S498))</f>
        <v/>
      </c>
      <c r="U498" s="28"/>
      <c r="V498" s="29" t="str">
        <f aca="false">IF(AND($C498="",COUNTA($D498:$H498,$K498,$N498:$O498,$Q498:$S498,$U498)=0),"",IF($C498="","⚠ 没填项目名称",IF($A498="⚠目录里没有","⚠ 项目名称在目录里找不到（先加到目录）",IF($A498="","⚠ 目录里这个项目没填简称",IF(ISTEXT($G498)+ISTEXT($H498)+ISTEXT($K498)+ISTEXT($N498)+ISTEXT($O498)+ISTEXT($Q498)+ISTEXT($R498)+ISTEXT($S498)&gt;0,"⚠ 金额列里有文字，算不进合计",IF(N($G498)&gt;=1,"⚠ 管理费点要填百分比，如 10%",IF(AND($D498&lt;&gt;"",$B498=""),"△ 摘要开头没写日期（如 2026.9.21），月份取不到",IF(AND(N($H498)&lt;&gt;0,COUNTIFS($A$4:$A$1003,$A498,$H$4:$H$1003,$H498,$D$4:$D$1003,LEFT($D498,9)&amp;"*")&gt;1),"△ 同一天同项目有一样的销售金额，看看是不是录重了","✓"))))))))</f>
        <v/>
      </c>
      <c r="W498" s="8" t="str">
        <f aca="false">IF($A498="","",$A498&amp;"#"&amp;COUNTIF($A$4:$A498,$A498))</f>
        <v/>
      </c>
    </row>
    <row r="499" customFormat="false" ht="16.5" hidden="false" customHeight="false" outlineLevel="0" collapsed="false">
      <c r="A499" s="44" t="str">
        <f aca="false">IF($C499="","",IFERROR(VLOOKUP($C499,目录!$B:$C,2,0)&amp;"","⚠目录里没有"))</f>
        <v/>
      </c>
      <c r="B499" s="45" t="str">
        <f aca="false">IF($D499="","",IFERROR(MID($D499,FIND(".",$D499)+1,FIND(".",$D499,FIND(".",$D499)+1)-FIND(".",$D499)-1)&amp;"月",""))</f>
        <v/>
      </c>
      <c r="C499" s="46"/>
      <c r="D499" s="47"/>
      <c r="E499" s="47"/>
      <c r="F499" s="49"/>
      <c r="G499" s="50"/>
      <c r="H499" s="24"/>
      <c r="I499" s="24" t="str">
        <f aca="false">IF($H499="","",N($H499)*N($G499))</f>
        <v/>
      </c>
      <c r="J499" s="25" t="str">
        <f aca="false">IF($H499="","",N($H499)-N($I499))</f>
        <v/>
      </c>
      <c r="K499" s="25"/>
      <c r="L499" s="25" t="str">
        <f aca="false">IF($A499="","",SUMIF($A$4:$A499,$A499,$J$4:$J499)-SUMIF($A$4:$A499,$A499,$K$4:$K499))</f>
        <v/>
      </c>
      <c r="M499" s="26" t="str">
        <f aca="false">IF($H499="","",N($H499))</f>
        <v/>
      </c>
      <c r="N499" s="26"/>
      <c r="O499" s="26"/>
      <c r="P499" s="26" t="str">
        <f aca="false">IF($A499="","",SUMIF($A$4:$A499,$A499,$M$4:$M499)-SUMIF($A$4:$A499,$A499,$N$4:$N499)-SUMIF($A$4:$A499,$A499,$O$4:$O499))</f>
        <v/>
      </c>
      <c r="Q499" s="27"/>
      <c r="R499" s="28"/>
      <c r="S499" s="28"/>
      <c r="T499" s="28" t="str">
        <f aca="false">IF($A499="","",SUMIF($A$4:$A499,$A499,$Q$4:$Q499)-SUMIF($A$4:$A499,$A499,$R$4:$R499)-SUMIF($A$4:$A499,$A499,$S$4:$S499))</f>
        <v/>
      </c>
      <c r="U499" s="28"/>
      <c r="V499" s="29" t="str">
        <f aca="false">IF(AND($C499="",COUNTA($D499:$H499,$K499,$N499:$O499,$Q499:$S499,$U499)=0),"",IF($C499="","⚠ 没填项目名称",IF($A499="⚠目录里没有","⚠ 项目名称在目录里找不到（先加到目录）",IF($A499="","⚠ 目录里这个项目没填简称",IF(ISTEXT($G499)+ISTEXT($H499)+ISTEXT($K499)+ISTEXT($N499)+ISTEXT($O499)+ISTEXT($Q499)+ISTEXT($R499)+ISTEXT($S499)&gt;0,"⚠ 金额列里有文字，算不进合计",IF(N($G499)&gt;=1,"⚠ 管理费点要填百分比，如 10%",IF(AND($D499&lt;&gt;"",$B499=""),"△ 摘要开头没写日期（如 2026.9.21），月份取不到",IF(AND(N($H499)&lt;&gt;0,COUNTIFS($A$4:$A$1003,$A499,$H$4:$H$1003,$H499,$D$4:$D$1003,LEFT($D499,9)&amp;"*")&gt;1),"△ 同一天同项目有一样的销售金额，看看是不是录重了","✓"))))))))</f>
        <v/>
      </c>
      <c r="W499" s="8" t="str">
        <f aca="false">IF($A499="","",$A499&amp;"#"&amp;COUNTIF($A$4:$A499,$A499))</f>
        <v/>
      </c>
    </row>
    <row r="500" customFormat="false" ht="16.5" hidden="false" customHeight="false" outlineLevel="0" collapsed="false">
      <c r="A500" s="44" t="str">
        <f aca="false">IF($C500="","",IFERROR(VLOOKUP($C500,目录!$B:$C,2,0)&amp;"","⚠目录里没有"))</f>
        <v/>
      </c>
      <c r="B500" s="45" t="str">
        <f aca="false">IF($D500="","",IFERROR(MID($D500,FIND(".",$D500)+1,FIND(".",$D500,FIND(".",$D500)+1)-FIND(".",$D500)-1)&amp;"月",""))</f>
        <v/>
      </c>
      <c r="C500" s="46"/>
      <c r="D500" s="47"/>
      <c r="E500" s="47"/>
      <c r="F500" s="49"/>
      <c r="G500" s="50"/>
      <c r="H500" s="24"/>
      <c r="I500" s="24" t="str">
        <f aca="false">IF($H500="","",N($H500)*N($G500))</f>
        <v/>
      </c>
      <c r="J500" s="25" t="str">
        <f aca="false">IF($H500="","",N($H500)-N($I500))</f>
        <v/>
      </c>
      <c r="K500" s="25"/>
      <c r="L500" s="25" t="str">
        <f aca="false">IF($A500="","",SUMIF($A$4:$A500,$A500,$J$4:$J500)-SUMIF($A$4:$A500,$A500,$K$4:$K500))</f>
        <v/>
      </c>
      <c r="M500" s="26" t="str">
        <f aca="false">IF($H500="","",N($H500))</f>
        <v/>
      </c>
      <c r="N500" s="26"/>
      <c r="O500" s="26"/>
      <c r="P500" s="26" t="str">
        <f aca="false">IF($A500="","",SUMIF($A$4:$A500,$A500,$M$4:$M500)-SUMIF($A$4:$A500,$A500,$N$4:$N500)-SUMIF($A$4:$A500,$A500,$O$4:$O500))</f>
        <v/>
      </c>
      <c r="Q500" s="27"/>
      <c r="R500" s="28"/>
      <c r="S500" s="28"/>
      <c r="T500" s="28" t="str">
        <f aca="false">IF($A500="","",SUMIF($A$4:$A500,$A500,$Q$4:$Q500)-SUMIF($A$4:$A500,$A500,$R$4:$R500)-SUMIF($A$4:$A500,$A500,$S$4:$S500))</f>
        <v/>
      </c>
      <c r="U500" s="28"/>
      <c r="V500" s="29" t="str">
        <f aca="false">IF(AND($C500="",COUNTA($D500:$H500,$K500,$N500:$O500,$Q500:$S500,$U500)=0),"",IF($C500="","⚠ 没填项目名称",IF($A500="⚠目录里没有","⚠ 项目名称在目录里找不到（先加到目录）",IF($A500="","⚠ 目录里这个项目没填简称",IF(ISTEXT($G500)+ISTEXT($H500)+ISTEXT($K500)+ISTEXT($N500)+ISTEXT($O500)+ISTEXT($Q500)+ISTEXT($R500)+ISTEXT($S500)&gt;0,"⚠ 金额列里有文字，算不进合计",IF(N($G500)&gt;=1,"⚠ 管理费点要填百分比，如 10%",IF(AND($D500&lt;&gt;"",$B500=""),"△ 摘要开头没写日期（如 2026.9.21），月份取不到",IF(AND(N($H500)&lt;&gt;0,COUNTIFS($A$4:$A$1003,$A500,$H$4:$H$1003,$H500,$D$4:$D$1003,LEFT($D500,9)&amp;"*")&gt;1),"△ 同一天同项目有一样的销售金额，看看是不是录重了","✓"))))))))</f>
        <v/>
      </c>
      <c r="W500" s="8" t="str">
        <f aca="false">IF($A500="","",$A500&amp;"#"&amp;COUNTIF($A$4:$A500,$A500))</f>
        <v/>
      </c>
    </row>
    <row r="501" customFormat="false" ht="16.5" hidden="false" customHeight="false" outlineLevel="0" collapsed="false">
      <c r="A501" s="44" t="str">
        <f aca="false">IF($C501="","",IFERROR(VLOOKUP($C501,目录!$B:$C,2,0)&amp;"","⚠目录里没有"))</f>
        <v/>
      </c>
      <c r="B501" s="45" t="str">
        <f aca="false">IF($D501="","",IFERROR(MID($D501,FIND(".",$D501)+1,FIND(".",$D501,FIND(".",$D501)+1)-FIND(".",$D501)-1)&amp;"月",""))</f>
        <v/>
      </c>
      <c r="C501" s="46"/>
      <c r="D501" s="47"/>
      <c r="E501" s="47"/>
      <c r="F501" s="49"/>
      <c r="G501" s="50"/>
      <c r="H501" s="24"/>
      <c r="I501" s="24" t="str">
        <f aca="false">IF($H501="","",N($H501)*N($G501))</f>
        <v/>
      </c>
      <c r="J501" s="25" t="str">
        <f aca="false">IF($H501="","",N($H501)-N($I501))</f>
        <v/>
      </c>
      <c r="K501" s="25"/>
      <c r="L501" s="25" t="str">
        <f aca="false">IF($A501="","",SUMIF($A$4:$A501,$A501,$J$4:$J501)-SUMIF($A$4:$A501,$A501,$K$4:$K501))</f>
        <v/>
      </c>
      <c r="M501" s="26" t="str">
        <f aca="false">IF($H501="","",N($H501))</f>
        <v/>
      </c>
      <c r="N501" s="26"/>
      <c r="O501" s="26"/>
      <c r="P501" s="26" t="str">
        <f aca="false">IF($A501="","",SUMIF($A$4:$A501,$A501,$M$4:$M501)-SUMIF($A$4:$A501,$A501,$N$4:$N501)-SUMIF($A$4:$A501,$A501,$O$4:$O501))</f>
        <v/>
      </c>
      <c r="Q501" s="27"/>
      <c r="R501" s="28"/>
      <c r="S501" s="28"/>
      <c r="T501" s="28" t="str">
        <f aca="false">IF($A501="","",SUMIF($A$4:$A501,$A501,$Q$4:$Q501)-SUMIF($A$4:$A501,$A501,$R$4:$R501)-SUMIF($A$4:$A501,$A501,$S$4:$S501))</f>
        <v/>
      </c>
      <c r="U501" s="28"/>
      <c r="V501" s="29" t="str">
        <f aca="false">IF(AND($C501="",COUNTA($D501:$H501,$K501,$N501:$O501,$Q501:$S501,$U501)=0),"",IF($C501="","⚠ 没填项目名称",IF($A501="⚠目录里没有","⚠ 项目名称在目录里找不到（先加到目录）",IF($A501="","⚠ 目录里这个项目没填简称",IF(ISTEXT($G501)+ISTEXT($H501)+ISTEXT($K501)+ISTEXT($N501)+ISTEXT($O501)+ISTEXT($Q501)+ISTEXT($R501)+ISTEXT($S501)&gt;0,"⚠ 金额列里有文字，算不进合计",IF(N($G501)&gt;=1,"⚠ 管理费点要填百分比，如 10%",IF(AND($D501&lt;&gt;"",$B501=""),"△ 摘要开头没写日期（如 2026.9.21），月份取不到",IF(AND(N($H501)&lt;&gt;0,COUNTIFS($A$4:$A$1003,$A501,$H$4:$H$1003,$H501,$D$4:$D$1003,LEFT($D501,9)&amp;"*")&gt;1),"△ 同一天同项目有一样的销售金额，看看是不是录重了","✓"))))))))</f>
        <v/>
      </c>
      <c r="W501" s="8" t="str">
        <f aca="false">IF($A501="","",$A501&amp;"#"&amp;COUNTIF($A$4:$A501,$A501))</f>
        <v/>
      </c>
    </row>
    <row r="502" customFormat="false" ht="16.5" hidden="false" customHeight="false" outlineLevel="0" collapsed="false">
      <c r="A502" s="44" t="str">
        <f aca="false">IF($C502="","",IFERROR(VLOOKUP($C502,目录!$B:$C,2,0)&amp;"","⚠目录里没有"))</f>
        <v/>
      </c>
      <c r="B502" s="45" t="str">
        <f aca="false">IF($D502="","",IFERROR(MID($D502,FIND(".",$D502)+1,FIND(".",$D502,FIND(".",$D502)+1)-FIND(".",$D502)-1)&amp;"月",""))</f>
        <v/>
      </c>
      <c r="C502" s="46"/>
      <c r="D502" s="47"/>
      <c r="E502" s="47"/>
      <c r="F502" s="49"/>
      <c r="G502" s="50"/>
      <c r="H502" s="24"/>
      <c r="I502" s="24" t="str">
        <f aca="false">IF($H502="","",N($H502)*N($G502))</f>
        <v/>
      </c>
      <c r="J502" s="25" t="str">
        <f aca="false">IF($H502="","",N($H502)-N($I502))</f>
        <v/>
      </c>
      <c r="K502" s="25"/>
      <c r="L502" s="25" t="str">
        <f aca="false">IF($A502="","",SUMIF($A$4:$A502,$A502,$J$4:$J502)-SUMIF($A$4:$A502,$A502,$K$4:$K502))</f>
        <v/>
      </c>
      <c r="M502" s="26" t="str">
        <f aca="false">IF($H502="","",N($H502))</f>
        <v/>
      </c>
      <c r="N502" s="26"/>
      <c r="O502" s="26"/>
      <c r="P502" s="26" t="str">
        <f aca="false">IF($A502="","",SUMIF($A$4:$A502,$A502,$M$4:$M502)-SUMIF($A$4:$A502,$A502,$N$4:$N502)-SUMIF($A$4:$A502,$A502,$O$4:$O502))</f>
        <v/>
      </c>
      <c r="Q502" s="27"/>
      <c r="R502" s="28"/>
      <c r="S502" s="28"/>
      <c r="T502" s="28" t="str">
        <f aca="false">IF($A502="","",SUMIF($A$4:$A502,$A502,$Q$4:$Q502)-SUMIF($A$4:$A502,$A502,$R$4:$R502)-SUMIF($A$4:$A502,$A502,$S$4:$S502))</f>
        <v/>
      </c>
      <c r="U502" s="28"/>
      <c r="V502" s="29" t="str">
        <f aca="false">IF(AND($C502="",COUNTA($D502:$H502,$K502,$N502:$O502,$Q502:$S502,$U502)=0),"",IF($C502="","⚠ 没填项目名称",IF($A502="⚠目录里没有","⚠ 项目名称在目录里找不到（先加到目录）",IF($A502="","⚠ 目录里这个项目没填简称",IF(ISTEXT($G502)+ISTEXT($H502)+ISTEXT($K502)+ISTEXT($N502)+ISTEXT($O502)+ISTEXT($Q502)+ISTEXT($R502)+ISTEXT($S502)&gt;0,"⚠ 金额列里有文字，算不进合计",IF(N($G502)&gt;=1,"⚠ 管理费点要填百分比，如 10%",IF(AND($D502&lt;&gt;"",$B502=""),"△ 摘要开头没写日期（如 2026.9.21），月份取不到",IF(AND(N($H502)&lt;&gt;0,COUNTIFS($A$4:$A$1003,$A502,$H$4:$H$1003,$H502,$D$4:$D$1003,LEFT($D502,9)&amp;"*")&gt;1),"△ 同一天同项目有一样的销售金额，看看是不是录重了","✓"))))))))</f>
        <v/>
      </c>
      <c r="W502" s="8" t="str">
        <f aca="false">IF($A502="","",$A502&amp;"#"&amp;COUNTIF($A$4:$A502,$A502))</f>
        <v/>
      </c>
    </row>
    <row r="503" customFormat="false" ht="16.5" hidden="false" customHeight="false" outlineLevel="0" collapsed="false">
      <c r="A503" s="44" t="str">
        <f aca="false">IF($C503="","",IFERROR(VLOOKUP($C503,目录!$B:$C,2,0)&amp;"","⚠目录里没有"))</f>
        <v/>
      </c>
      <c r="B503" s="45" t="str">
        <f aca="false">IF($D503="","",IFERROR(MID($D503,FIND(".",$D503)+1,FIND(".",$D503,FIND(".",$D503)+1)-FIND(".",$D503)-1)&amp;"月",""))</f>
        <v/>
      </c>
      <c r="C503" s="46"/>
      <c r="D503" s="47"/>
      <c r="E503" s="47"/>
      <c r="F503" s="49"/>
      <c r="G503" s="50"/>
      <c r="H503" s="24"/>
      <c r="I503" s="24" t="str">
        <f aca="false">IF($H503="","",N($H503)*N($G503))</f>
        <v/>
      </c>
      <c r="J503" s="25" t="str">
        <f aca="false">IF($H503="","",N($H503)-N($I503))</f>
        <v/>
      </c>
      <c r="K503" s="25"/>
      <c r="L503" s="25" t="str">
        <f aca="false">IF($A503="","",SUMIF($A$4:$A503,$A503,$J$4:$J503)-SUMIF($A$4:$A503,$A503,$K$4:$K503))</f>
        <v/>
      </c>
      <c r="M503" s="26" t="str">
        <f aca="false">IF($H503="","",N($H503))</f>
        <v/>
      </c>
      <c r="N503" s="26"/>
      <c r="O503" s="26"/>
      <c r="P503" s="26" t="str">
        <f aca="false">IF($A503="","",SUMIF($A$4:$A503,$A503,$M$4:$M503)-SUMIF($A$4:$A503,$A503,$N$4:$N503)-SUMIF($A$4:$A503,$A503,$O$4:$O503))</f>
        <v/>
      </c>
      <c r="Q503" s="27"/>
      <c r="R503" s="28"/>
      <c r="S503" s="28"/>
      <c r="T503" s="28" t="str">
        <f aca="false">IF($A503="","",SUMIF($A$4:$A503,$A503,$Q$4:$Q503)-SUMIF($A$4:$A503,$A503,$R$4:$R503)-SUMIF($A$4:$A503,$A503,$S$4:$S503))</f>
        <v/>
      </c>
      <c r="U503" s="28"/>
      <c r="V503" s="29" t="str">
        <f aca="false">IF(AND($C503="",COUNTA($D503:$H503,$K503,$N503:$O503,$Q503:$S503,$U503)=0),"",IF($C503="","⚠ 没填项目名称",IF($A503="⚠目录里没有","⚠ 项目名称在目录里找不到（先加到目录）",IF($A503="","⚠ 目录里这个项目没填简称",IF(ISTEXT($G503)+ISTEXT($H503)+ISTEXT($K503)+ISTEXT($N503)+ISTEXT($O503)+ISTEXT($Q503)+ISTEXT($R503)+ISTEXT($S503)&gt;0,"⚠ 金额列里有文字，算不进合计",IF(N($G503)&gt;=1,"⚠ 管理费点要填百分比，如 10%",IF(AND($D503&lt;&gt;"",$B503=""),"△ 摘要开头没写日期（如 2026.9.21），月份取不到",IF(AND(N($H503)&lt;&gt;0,COUNTIFS($A$4:$A$1003,$A503,$H$4:$H$1003,$H503,$D$4:$D$1003,LEFT($D503,9)&amp;"*")&gt;1),"△ 同一天同项目有一样的销售金额，看看是不是录重了","✓"))))))))</f>
        <v/>
      </c>
      <c r="W503" s="8" t="str">
        <f aca="false">IF($A503="","",$A503&amp;"#"&amp;COUNTIF($A$4:$A503,$A503))</f>
        <v/>
      </c>
    </row>
    <row r="504" customFormat="false" ht="16.5" hidden="false" customHeight="false" outlineLevel="0" collapsed="false">
      <c r="A504" s="44" t="str">
        <f aca="false">IF($C504="","",IFERROR(VLOOKUP($C504,目录!$B:$C,2,0)&amp;"","⚠目录里没有"))</f>
        <v/>
      </c>
      <c r="B504" s="45" t="str">
        <f aca="false">IF($D504="","",IFERROR(MID($D504,FIND(".",$D504)+1,FIND(".",$D504,FIND(".",$D504)+1)-FIND(".",$D504)-1)&amp;"月",""))</f>
        <v/>
      </c>
      <c r="C504" s="46"/>
      <c r="D504" s="47"/>
      <c r="E504" s="47"/>
      <c r="F504" s="49"/>
      <c r="G504" s="50"/>
      <c r="H504" s="24"/>
      <c r="I504" s="24" t="str">
        <f aca="false">IF($H504="","",N($H504)*N($G504))</f>
        <v/>
      </c>
      <c r="J504" s="25" t="str">
        <f aca="false">IF($H504="","",N($H504)-N($I504))</f>
        <v/>
      </c>
      <c r="K504" s="25"/>
      <c r="L504" s="25" t="str">
        <f aca="false">IF($A504="","",SUMIF($A$4:$A504,$A504,$J$4:$J504)-SUMIF($A$4:$A504,$A504,$K$4:$K504))</f>
        <v/>
      </c>
      <c r="M504" s="26" t="str">
        <f aca="false">IF($H504="","",N($H504))</f>
        <v/>
      </c>
      <c r="N504" s="26"/>
      <c r="O504" s="26"/>
      <c r="P504" s="26" t="str">
        <f aca="false">IF($A504="","",SUMIF($A$4:$A504,$A504,$M$4:$M504)-SUMIF($A$4:$A504,$A504,$N$4:$N504)-SUMIF($A$4:$A504,$A504,$O$4:$O504))</f>
        <v/>
      </c>
      <c r="Q504" s="27"/>
      <c r="R504" s="28"/>
      <c r="S504" s="28"/>
      <c r="T504" s="28" t="str">
        <f aca="false">IF($A504="","",SUMIF($A$4:$A504,$A504,$Q$4:$Q504)-SUMIF($A$4:$A504,$A504,$R$4:$R504)-SUMIF($A$4:$A504,$A504,$S$4:$S504))</f>
        <v/>
      </c>
      <c r="U504" s="28"/>
      <c r="V504" s="29" t="str">
        <f aca="false">IF(AND($C504="",COUNTA($D504:$H504,$K504,$N504:$O504,$Q504:$S504,$U504)=0),"",IF($C504="","⚠ 没填项目名称",IF($A504="⚠目录里没有","⚠ 项目名称在目录里找不到（先加到目录）",IF($A504="","⚠ 目录里这个项目没填简称",IF(ISTEXT($G504)+ISTEXT($H504)+ISTEXT($K504)+ISTEXT($N504)+ISTEXT($O504)+ISTEXT($Q504)+ISTEXT($R504)+ISTEXT($S504)&gt;0,"⚠ 金额列里有文字，算不进合计",IF(N($G504)&gt;=1,"⚠ 管理费点要填百分比，如 10%",IF(AND($D504&lt;&gt;"",$B504=""),"△ 摘要开头没写日期（如 2026.9.21），月份取不到",IF(AND(N($H504)&lt;&gt;0,COUNTIFS($A$4:$A$1003,$A504,$H$4:$H$1003,$H504,$D$4:$D$1003,LEFT($D504,9)&amp;"*")&gt;1),"△ 同一天同项目有一样的销售金额，看看是不是录重了","✓"))))))))</f>
        <v/>
      </c>
      <c r="W504" s="8" t="str">
        <f aca="false">IF($A504="","",$A504&amp;"#"&amp;COUNTIF($A$4:$A504,$A504))</f>
        <v/>
      </c>
    </row>
    <row r="505" customFormat="false" ht="16.5" hidden="false" customHeight="false" outlineLevel="0" collapsed="false">
      <c r="A505" s="44" t="str">
        <f aca="false">IF($C505="","",IFERROR(VLOOKUP($C505,目录!$B:$C,2,0)&amp;"","⚠目录里没有"))</f>
        <v/>
      </c>
      <c r="B505" s="45" t="str">
        <f aca="false">IF($D505="","",IFERROR(MID($D505,FIND(".",$D505)+1,FIND(".",$D505,FIND(".",$D505)+1)-FIND(".",$D505)-1)&amp;"月",""))</f>
        <v/>
      </c>
      <c r="C505" s="46"/>
      <c r="D505" s="47"/>
      <c r="E505" s="47"/>
      <c r="F505" s="49"/>
      <c r="G505" s="50"/>
      <c r="H505" s="24"/>
      <c r="I505" s="24" t="str">
        <f aca="false">IF($H505="","",N($H505)*N($G505))</f>
        <v/>
      </c>
      <c r="J505" s="25" t="str">
        <f aca="false">IF($H505="","",N($H505)-N($I505))</f>
        <v/>
      </c>
      <c r="K505" s="25"/>
      <c r="L505" s="25" t="str">
        <f aca="false">IF($A505="","",SUMIF($A$4:$A505,$A505,$J$4:$J505)-SUMIF($A$4:$A505,$A505,$K$4:$K505))</f>
        <v/>
      </c>
      <c r="M505" s="26" t="str">
        <f aca="false">IF($H505="","",N($H505))</f>
        <v/>
      </c>
      <c r="N505" s="26"/>
      <c r="O505" s="26"/>
      <c r="P505" s="26" t="str">
        <f aca="false">IF($A505="","",SUMIF($A$4:$A505,$A505,$M$4:$M505)-SUMIF($A$4:$A505,$A505,$N$4:$N505)-SUMIF($A$4:$A505,$A505,$O$4:$O505))</f>
        <v/>
      </c>
      <c r="Q505" s="27"/>
      <c r="R505" s="28"/>
      <c r="S505" s="28"/>
      <c r="T505" s="28" t="str">
        <f aca="false">IF($A505="","",SUMIF($A$4:$A505,$A505,$Q$4:$Q505)-SUMIF($A$4:$A505,$A505,$R$4:$R505)-SUMIF($A$4:$A505,$A505,$S$4:$S505))</f>
        <v/>
      </c>
      <c r="U505" s="28"/>
      <c r="V505" s="29" t="str">
        <f aca="false">IF(AND($C505="",COUNTA($D505:$H505,$K505,$N505:$O505,$Q505:$S505,$U505)=0),"",IF($C505="","⚠ 没填项目名称",IF($A505="⚠目录里没有","⚠ 项目名称在目录里找不到（先加到目录）",IF($A505="","⚠ 目录里这个项目没填简称",IF(ISTEXT($G505)+ISTEXT($H505)+ISTEXT($K505)+ISTEXT($N505)+ISTEXT($O505)+ISTEXT($Q505)+ISTEXT($R505)+ISTEXT($S505)&gt;0,"⚠ 金额列里有文字，算不进合计",IF(N($G505)&gt;=1,"⚠ 管理费点要填百分比，如 10%",IF(AND($D505&lt;&gt;"",$B505=""),"△ 摘要开头没写日期（如 2026.9.21），月份取不到",IF(AND(N($H505)&lt;&gt;0,COUNTIFS($A$4:$A$1003,$A505,$H$4:$H$1003,$H505,$D$4:$D$1003,LEFT($D505,9)&amp;"*")&gt;1),"△ 同一天同项目有一样的销售金额，看看是不是录重了","✓"))))))))</f>
        <v/>
      </c>
      <c r="W505" s="8" t="str">
        <f aca="false">IF($A505="","",$A505&amp;"#"&amp;COUNTIF($A$4:$A505,$A505))</f>
        <v/>
      </c>
    </row>
    <row r="506" customFormat="false" ht="16.5" hidden="false" customHeight="false" outlineLevel="0" collapsed="false">
      <c r="A506" s="44" t="str">
        <f aca="false">IF($C506="","",IFERROR(VLOOKUP($C506,目录!$B:$C,2,0)&amp;"","⚠目录里没有"))</f>
        <v/>
      </c>
      <c r="B506" s="45" t="str">
        <f aca="false">IF($D506="","",IFERROR(MID($D506,FIND(".",$D506)+1,FIND(".",$D506,FIND(".",$D506)+1)-FIND(".",$D506)-1)&amp;"月",""))</f>
        <v/>
      </c>
      <c r="C506" s="46"/>
      <c r="D506" s="47"/>
      <c r="E506" s="47"/>
      <c r="F506" s="49"/>
      <c r="G506" s="50"/>
      <c r="H506" s="24"/>
      <c r="I506" s="24" t="str">
        <f aca="false">IF($H506="","",N($H506)*N($G506))</f>
        <v/>
      </c>
      <c r="J506" s="25" t="str">
        <f aca="false">IF($H506="","",N($H506)-N($I506))</f>
        <v/>
      </c>
      <c r="K506" s="25"/>
      <c r="L506" s="25" t="str">
        <f aca="false">IF($A506="","",SUMIF($A$4:$A506,$A506,$J$4:$J506)-SUMIF($A$4:$A506,$A506,$K$4:$K506))</f>
        <v/>
      </c>
      <c r="M506" s="26" t="str">
        <f aca="false">IF($H506="","",N($H506))</f>
        <v/>
      </c>
      <c r="N506" s="26"/>
      <c r="O506" s="26"/>
      <c r="P506" s="26" t="str">
        <f aca="false">IF($A506="","",SUMIF($A$4:$A506,$A506,$M$4:$M506)-SUMIF($A$4:$A506,$A506,$N$4:$N506)-SUMIF($A$4:$A506,$A506,$O$4:$O506))</f>
        <v/>
      </c>
      <c r="Q506" s="27"/>
      <c r="R506" s="28"/>
      <c r="S506" s="28"/>
      <c r="T506" s="28" t="str">
        <f aca="false">IF($A506="","",SUMIF($A$4:$A506,$A506,$Q$4:$Q506)-SUMIF($A$4:$A506,$A506,$R$4:$R506)-SUMIF($A$4:$A506,$A506,$S$4:$S506))</f>
        <v/>
      </c>
      <c r="U506" s="28"/>
      <c r="V506" s="29" t="str">
        <f aca="false">IF(AND($C506="",COUNTA($D506:$H506,$K506,$N506:$O506,$Q506:$S506,$U506)=0),"",IF($C506="","⚠ 没填项目名称",IF($A506="⚠目录里没有","⚠ 项目名称在目录里找不到（先加到目录）",IF($A506="","⚠ 目录里这个项目没填简称",IF(ISTEXT($G506)+ISTEXT($H506)+ISTEXT($K506)+ISTEXT($N506)+ISTEXT($O506)+ISTEXT($Q506)+ISTEXT($R506)+ISTEXT($S506)&gt;0,"⚠ 金额列里有文字，算不进合计",IF(N($G506)&gt;=1,"⚠ 管理费点要填百分比，如 10%",IF(AND($D506&lt;&gt;"",$B506=""),"△ 摘要开头没写日期（如 2026.9.21），月份取不到",IF(AND(N($H506)&lt;&gt;0,COUNTIFS($A$4:$A$1003,$A506,$H$4:$H$1003,$H506,$D$4:$D$1003,LEFT($D506,9)&amp;"*")&gt;1),"△ 同一天同项目有一样的销售金额，看看是不是录重了","✓"))))))))</f>
        <v/>
      </c>
      <c r="W506" s="8" t="str">
        <f aca="false">IF($A506="","",$A506&amp;"#"&amp;COUNTIF($A$4:$A506,$A506))</f>
        <v/>
      </c>
    </row>
    <row r="507" customFormat="false" ht="16.5" hidden="false" customHeight="false" outlineLevel="0" collapsed="false">
      <c r="A507" s="44" t="str">
        <f aca="false">IF($C507="","",IFERROR(VLOOKUP($C507,目录!$B:$C,2,0)&amp;"","⚠目录里没有"))</f>
        <v/>
      </c>
      <c r="B507" s="45" t="str">
        <f aca="false">IF($D507="","",IFERROR(MID($D507,FIND(".",$D507)+1,FIND(".",$D507,FIND(".",$D507)+1)-FIND(".",$D507)-1)&amp;"月",""))</f>
        <v/>
      </c>
      <c r="C507" s="46"/>
      <c r="D507" s="47"/>
      <c r="E507" s="47"/>
      <c r="F507" s="49"/>
      <c r="G507" s="50"/>
      <c r="H507" s="24"/>
      <c r="I507" s="24" t="str">
        <f aca="false">IF($H507="","",N($H507)*N($G507))</f>
        <v/>
      </c>
      <c r="J507" s="25" t="str">
        <f aca="false">IF($H507="","",N($H507)-N($I507))</f>
        <v/>
      </c>
      <c r="K507" s="25"/>
      <c r="L507" s="25" t="str">
        <f aca="false">IF($A507="","",SUMIF($A$4:$A507,$A507,$J$4:$J507)-SUMIF($A$4:$A507,$A507,$K$4:$K507))</f>
        <v/>
      </c>
      <c r="M507" s="26" t="str">
        <f aca="false">IF($H507="","",N($H507))</f>
        <v/>
      </c>
      <c r="N507" s="26"/>
      <c r="O507" s="26"/>
      <c r="P507" s="26" t="str">
        <f aca="false">IF($A507="","",SUMIF($A$4:$A507,$A507,$M$4:$M507)-SUMIF($A$4:$A507,$A507,$N$4:$N507)-SUMIF($A$4:$A507,$A507,$O$4:$O507))</f>
        <v/>
      </c>
      <c r="Q507" s="27"/>
      <c r="R507" s="28"/>
      <c r="S507" s="28"/>
      <c r="T507" s="28" t="str">
        <f aca="false">IF($A507="","",SUMIF($A$4:$A507,$A507,$Q$4:$Q507)-SUMIF($A$4:$A507,$A507,$R$4:$R507)-SUMIF($A$4:$A507,$A507,$S$4:$S507))</f>
        <v/>
      </c>
      <c r="U507" s="28"/>
      <c r="V507" s="29" t="str">
        <f aca="false">IF(AND($C507="",COUNTA($D507:$H507,$K507,$N507:$O507,$Q507:$S507,$U507)=0),"",IF($C507="","⚠ 没填项目名称",IF($A507="⚠目录里没有","⚠ 项目名称在目录里找不到（先加到目录）",IF($A507="","⚠ 目录里这个项目没填简称",IF(ISTEXT($G507)+ISTEXT($H507)+ISTEXT($K507)+ISTEXT($N507)+ISTEXT($O507)+ISTEXT($Q507)+ISTEXT($R507)+ISTEXT($S507)&gt;0,"⚠ 金额列里有文字，算不进合计",IF(N($G507)&gt;=1,"⚠ 管理费点要填百分比，如 10%",IF(AND($D507&lt;&gt;"",$B507=""),"△ 摘要开头没写日期（如 2026.9.21），月份取不到",IF(AND(N($H507)&lt;&gt;0,COUNTIFS($A$4:$A$1003,$A507,$H$4:$H$1003,$H507,$D$4:$D$1003,LEFT($D507,9)&amp;"*")&gt;1),"△ 同一天同项目有一样的销售金额，看看是不是录重了","✓"))))))))</f>
        <v/>
      </c>
      <c r="W507" s="8" t="str">
        <f aca="false">IF($A507="","",$A507&amp;"#"&amp;COUNTIF($A$4:$A507,$A507))</f>
        <v/>
      </c>
    </row>
    <row r="508" customFormat="false" ht="16.5" hidden="false" customHeight="false" outlineLevel="0" collapsed="false">
      <c r="A508" s="44" t="str">
        <f aca="false">IF($C508="","",IFERROR(VLOOKUP($C508,目录!$B:$C,2,0)&amp;"","⚠目录里没有"))</f>
        <v/>
      </c>
      <c r="B508" s="45" t="str">
        <f aca="false">IF($D508="","",IFERROR(MID($D508,FIND(".",$D508)+1,FIND(".",$D508,FIND(".",$D508)+1)-FIND(".",$D508)-1)&amp;"月",""))</f>
        <v/>
      </c>
      <c r="C508" s="46"/>
      <c r="D508" s="47"/>
      <c r="E508" s="47"/>
      <c r="F508" s="49"/>
      <c r="G508" s="50"/>
      <c r="H508" s="24"/>
      <c r="I508" s="24" t="str">
        <f aca="false">IF($H508="","",N($H508)*N($G508))</f>
        <v/>
      </c>
      <c r="J508" s="25" t="str">
        <f aca="false">IF($H508="","",N($H508)-N($I508))</f>
        <v/>
      </c>
      <c r="K508" s="25"/>
      <c r="L508" s="25" t="str">
        <f aca="false">IF($A508="","",SUMIF($A$4:$A508,$A508,$J$4:$J508)-SUMIF($A$4:$A508,$A508,$K$4:$K508))</f>
        <v/>
      </c>
      <c r="M508" s="26" t="str">
        <f aca="false">IF($H508="","",N($H508))</f>
        <v/>
      </c>
      <c r="N508" s="26"/>
      <c r="O508" s="26"/>
      <c r="P508" s="26" t="str">
        <f aca="false">IF($A508="","",SUMIF($A$4:$A508,$A508,$M$4:$M508)-SUMIF($A$4:$A508,$A508,$N$4:$N508)-SUMIF($A$4:$A508,$A508,$O$4:$O508))</f>
        <v/>
      </c>
      <c r="Q508" s="27"/>
      <c r="R508" s="28"/>
      <c r="S508" s="28"/>
      <c r="T508" s="28" t="str">
        <f aca="false">IF($A508="","",SUMIF($A$4:$A508,$A508,$Q$4:$Q508)-SUMIF($A$4:$A508,$A508,$R$4:$R508)-SUMIF($A$4:$A508,$A508,$S$4:$S508))</f>
        <v/>
      </c>
      <c r="U508" s="28"/>
      <c r="V508" s="29" t="str">
        <f aca="false">IF(AND($C508="",COUNTA($D508:$H508,$K508,$N508:$O508,$Q508:$S508,$U508)=0),"",IF($C508="","⚠ 没填项目名称",IF($A508="⚠目录里没有","⚠ 项目名称在目录里找不到（先加到目录）",IF($A508="","⚠ 目录里这个项目没填简称",IF(ISTEXT($G508)+ISTEXT($H508)+ISTEXT($K508)+ISTEXT($N508)+ISTEXT($O508)+ISTEXT($Q508)+ISTEXT($R508)+ISTEXT($S508)&gt;0,"⚠ 金额列里有文字，算不进合计",IF(N($G508)&gt;=1,"⚠ 管理费点要填百分比，如 10%",IF(AND($D508&lt;&gt;"",$B508=""),"△ 摘要开头没写日期（如 2026.9.21），月份取不到",IF(AND(N($H508)&lt;&gt;0,COUNTIFS($A$4:$A$1003,$A508,$H$4:$H$1003,$H508,$D$4:$D$1003,LEFT($D508,9)&amp;"*")&gt;1),"△ 同一天同项目有一样的销售金额，看看是不是录重了","✓"))))))))</f>
        <v/>
      </c>
      <c r="W508" s="8" t="str">
        <f aca="false">IF($A508="","",$A508&amp;"#"&amp;COUNTIF($A$4:$A508,$A508))</f>
        <v/>
      </c>
    </row>
    <row r="509" customFormat="false" ht="16.5" hidden="false" customHeight="false" outlineLevel="0" collapsed="false">
      <c r="A509" s="44" t="str">
        <f aca="false">IF($C509="","",IFERROR(VLOOKUP($C509,目录!$B:$C,2,0)&amp;"","⚠目录里没有"))</f>
        <v/>
      </c>
      <c r="B509" s="45" t="str">
        <f aca="false">IF($D509="","",IFERROR(MID($D509,FIND(".",$D509)+1,FIND(".",$D509,FIND(".",$D509)+1)-FIND(".",$D509)-1)&amp;"月",""))</f>
        <v/>
      </c>
      <c r="C509" s="46"/>
      <c r="D509" s="47"/>
      <c r="E509" s="47"/>
      <c r="F509" s="49"/>
      <c r="G509" s="50"/>
      <c r="H509" s="24"/>
      <c r="I509" s="24" t="str">
        <f aca="false">IF($H509="","",N($H509)*N($G509))</f>
        <v/>
      </c>
      <c r="J509" s="25" t="str">
        <f aca="false">IF($H509="","",N($H509)-N($I509))</f>
        <v/>
      </c>
      <c r="K509" s="25"/>
      <c r="L509" s="25" t="str">
        <f aca="false">IF($A509="","",SUMIF($A$4:$A509,$A509,$J$4:$J509)-SUMIF($A$4:$A509,$A509,$K$4:$K509))</f>
        <v/>
      </c>
      <c r="M509" s="26" t="str">
        <f aca="false">IF($H509="","",N($H509))</f>
        <v/>
      </c>
      <c r="N509" s="26"/>
      <c r="O509" s="26"/>
      <c r="P509" s="26" t="str">
        <f aca="false">IF($A509="","",SUMIF($A$4:$A509,$A509,$M$4:$M509)-SUMIF($A$4:$A509,$A509,$N$4:$N509)-SUMIF($A$4:$A509,$A509,$O$4:$O509))</f>
        <v/>
      </c>
      <c r="Q509" s="27"/>
      <c r="R509" s="28"/>
      <c r="S509" s="28"/>
      <c r="T509" s="28" t="str">
        <f aca="false">IF($A509="","",SUMIF($A$4:$A509,$A509,$Q$4:$Q509)-SUMIF($A$4:$A509,$A509,$R$4:$R509)-SUMIF($A$4:$A509,$A509,$S$4:$S509))</f>
        <v/>
      </c>
      <c r="U509" s="28"/>
      <c r="V509" s="29" t="str">
        <f aca="false">IF(AND($C509="",COUNTA($D509:$H509,$K509,$N509:$O509,$Q509:$S509,$U509)=0),"",IF($C509="","⚠ 没填项目名称",IF($A509="⚠目录里没有","⚠ 项目名称在目录里找不到（先加到目录）",IF($A509="","⚠ 目录里这个项目没填简称",IF(ISTEXT($G509)+ISTEXT($H509)+ISTEXT($K509)+ISTEXT($N509)+ISTEXT($O509)+ISTEXT($Q509)+ISTEXT($R509)+ISTEXT($S509)&gt;0,"⚠ 金额列里有文字，算不进合计",IF(N($G509)&gt;=1,"⚠ 管理费点要填百分比，如 10%",IF(AND($D509&lt;&gt;"",$B509=""),"△ 摘要开头没写日期（如 2026.9.21），月份取不到",IF(AND(N($H509)&lt;&gt;0,COUNTIFS($A$4:$A$1003,$A509,$H$4:$H$1003,$H509,$D$4:$D$1003,LEFT($D509,9)&amp;"*")&gt;1),"△ 同一天同项目有一样的销售金额，看看是不是录重了","✓"))))))))</f>
        <v/>
      </c>
      <c r="W509" s="8" t="str">
        <f aca="false">IF($A509="","",$A509&amp;"#"&amp;COUNTIF($A$4:$A509,$A509))</f>
        <v/>
      </c>
    </row>
    <row r="510" customFormat="false" ht="16.5" hidden="false" customHeight="false" outlineLevel="0" collapsed="false">
      <c r="A510" s="44" t="str">
        <f aca="false">IF($C510="","",IFERROR(VLOOKUP($C510,目录!$B:$C,2,0)&amp;"","⚠目录里没有"))</f>
        <v/>
      </c>
      <c r="B510" s="45" t="str">
        <f aca="false">IF($D510="","",IFERROR(MID($D510,FIND(".",$D510)+1,FIND(".",$D510,FIND(".",$D510)+1)-FIND(".",$D510)-1)&amp;"月",""))</f>
        <v/>
      </c>
      <c r="C510" s="46"/>
      <c r="D510" s="47"/>
      <c r="E510" s="47"/>
      <c r="F510" s="49"/>
      <c r="G510" s="50"/>
      <c r="H510" s="24"/>
      <c r="I510" s="24" t="str">
        <f aca="false">IF($H510="","",N($H510)*N($G510))</f>
        <v/>
      </c>
      <c r="J510" s="25" t="str">
        <f aca="false">IF($H510="","",N($H510)-N($I510))</f>
        <v/>
      </c>
      <c r="K510" s="25"/>
      <c r="L510" s="25" t="str">
        <f aca="false">IF($A510="","",SUMIF($A$4:$A510,$A510,$J$4:$J510)-SUMIF($A$4:$A510,$A510,$K$4:$K510))</f>
        <v/>
      </c>
      <c r="M510" s="26" t="str">
        <f aca="false">IF($H510="","",N($H510))</f>
        <v/>
      </c>
      <c r="N510" s="26"/>
      <c r="O510" s="26"/>
      <c r="P510" s="26" t="str">
        <f aca="false">IF($A510="","",SUMIF($A$4:$A510,$A510,$M$4:$M510)-SUMIF($A$4:$A510,$A510,$N$4:$N510)-SUMIF($A$4:$A510,$A510,$O$4:$O510))</f>
        <v/>
      </c>
      <c r="Q510" s="27"/>
      <c r="R510" s="28"/>
      <c r="S510" s="28"/>
      <c r="T510" s="28" t="str">
        <f aca="false">IF($A510="","",SUMIF($A$4:$A510,$A510,$Q$4:$Q510)-SUMIF($A$4:$A510,$A510,$R$4:$R510)-SUMIF($A$4:$A510,$A510,$S$4:$S510))</f>
        <v/>
      </c>
      <c r="U510" s="28"/>
      <c r="V510" s="29" t="str">
        <f aca="false">IF(AND($C510="",COUNTA($D510:$H510,$K510,$N510:$O510,$Q510:$S510,$U510)=0),"",IF($C510="","⚠ 没填项目名称",IF($A510="⚠目录里没有","⚠ 项目名称在目录里找不到（先加到目录）",IF($A510="","⚠ 目录里这个项目没填简称",IF(ISTEXT($G510)+ISTEXT($H510)+ISTEXT($K510)+ISTEXT($N510)+ISTEXT($O510)+ISTEXT($Q510)+ISTEXT($R510)+ISTEXT($S510)&gt;0,"⚠ 金额列里有文字，算不进合计",IF(N($G510)&gt;=1,"⚠ 管理费点要填百分比，如 10%",IF(AND($D510&lt;&gt;"",$B510=""),"△ 摘要开头没写日期（如 2026.9.21），月份取不到",IF(AND(N($H510)&lt;&gt;0,COUNTIFS($A$4:$A$1003,$A510,$H$4:$H$1003,$H510,$D$4:$D$1003,LEFT($D510,9)&amp;"*")&gt;1),"△ 同一天同项目有一样的销售金额，看看是不是录重了","✓"))))))))</f>
        <v/>
      </c>
      <c r="W510" s="8" t="str">
        <f aca="false">IF($A510="","",$A510&amp;"#"&amp;COUNTIF($A$4:$A510,$A510))</f>
        <v/>
      </c>
    </row>
    <row r="511" customFormat="false" ht="16.5" hidden="false" customHeight="false" outlineLevel="0" collapsed="false">
      <c r="A511" s="44" t="str">
        <f aca="false">IF($C511="","",IFERROR(VLOOKUP($C511,目录!$B:$C,2,0)&amp;"","⚠目录里没有"))</f>
        <v/>
      </c>
      <c r="B511" s="45" t="str">
        <f aca="false">IF($D511="","",IFERROR(MID($D511,FIND(".",$D511)+1,FIND(".",$D511,FIND(".",$D511)+1)-FIND(".",$D511)-1)&amp;"月",""))</f>
        <v/>
      </c>
      <c r="C511" s="46"/>
      <c r="D511" s="47"/>
      <c r="E511" s="47"/>
      <c r="F511" s="49"/>
      <c r="G511" s="50"/>
      <c r="H511" s="24"/>
      <c r="I511" s="24" t="str">
        <f aca="false">IF($H511="","",N($H511)*N($G511))</f>
        <v/>
      </c>
      <c r="J511" s="25" t="str">
        <f aca="false">IF($H511="","",N($H511)-N($I511))</f>
        <v/>
      </c>
      <c r="K511" s="25"/>
      <c r="L511" s="25" t="str">
        <f aca="false">IF($A511="","",SUMIF($A$4:$A511,$A511,$J$4:$J511)-SUMIF($A$4:$A511,$A511,$K$4:$K511))</f>
        <v/>
      </c>
      <c r="M511" s="26" t="str">
        <f aca="false">IF($H511="","",N($H511))</f>
        <v/>
      </c>
      <c r="N511" s="26"/>
      <c r="O511" s="26"/>
      <c r="P511" s="26" t="str">
        <f aca="false">IF($A511="","",SUMIF($A$4:$A511,$A511,$M$4:$M511)-SUMIF($A$4:$A511,$A511,$N$4:$N511)-SUMIF($A$4:$A511,$A511,$O$4:$O511))</f>
        <v/>
      </c>
      <c r="Q511" s="27"/>
      <c r="R511" s="28"/>
      <c r="S511" s="28"/>
      <c r="T511" s="28" t="str">
        <f aca="false">IF($A511="","",SUMIF($A$4:$A511,$A511,$Q$4:$Q511)-SUMIF($A$4:$A511,$A511,$R$4:$R511)-SUMIF($A$4:$A511,$A511,$S$4:$S511))</f>
        <v/>
      </c>
      <c r="U511" s="28"/>
      <c r="V511" s="29" t="str">
        <f aca="false">IF(AND($C511="",COUNTA($D511:$H511,$K511,$N511:$O511,$Q511:$S511,$U511)=0),"",IF($C511="","⚠ 没填项目名称",IF($A511="⚠目录里没有","⚠ 项目名称在目录里找不到（先加到目录）",IF($A511="","⚠ 目录里这个项目没填简称",IF(ISTEXT($G511)+ISTEXT($H511)+ISTEXT($K511)+ISTEXT($N511)+ISTEXT($O511)+ISTEXT($Q511)+ISTEXT($R511)+ISTEXT($S511)&gt;0,"⚠ 金额列里有文字，算不进合计",IF(N($G511)&gt;=1,"⚠ 管理费点要填百分比，如 10%",IF(AND($D511&lt;&gt;"",$B511=""),"△ 摘要开头没写日期（如 2026.9.21），月份取不到",IF(AND(N($H511)&lt;&gt;0,COUNTIFS($A$4:$A$1003,$A511,$H$4:$H$1003,$H511,$D$4:$D$1003,LEFT($D511,9)&amp;"*")&gt;1),"△ 同一天同项目有一样的销售金额，看看是不是录重了","✓"))))))))</f>
        <v/>
      </c>
      <c r="W511" s="8" t="str">
        <f aca="false">IF($A511="","",$A511&amp;"#"&amp;COUNTIF($A$4:$A511,$A511))</f>
        <v/>
      </c>
    </row>
    <row r="512" customFormat="false" ht="16.5" hidden="false" customHeight="false" outlineLevel="0" collapsed="false">
      <c r="A512" s="44" t="str">
        <f aca="false">IF($C512="","",IFERROR(VLOOKUP($C512,目录!$B:$C,2,0)&amp;"","⚠目录里没有"))</f>
        <v/>
      </c>
      <c r="B512" s="45" t="str">
        <f aca="false">IF($D512="","",IFERROR(MID($D512,FIND(".",$D512)+1,FIND(".",$D512,FIND(".",$D512)+1)-FIND(".",$D512)-1)&amp;"月",""))</f>
        <v/>
      </c>
      <c r="C512" s="46"/>
      <c r="D512" s="47"/>
      <c r="E512" s="47"/>
      <c r="F512" s="49"/>
      <c r="G512" s="50"/>
      <c r="H512" s="24"/>
      <c r="I512" s="24" t="str">
        <f aca="false">IF($H512="","",N($H512)*N($G512))</f>
        <v/>
      </c>
      <c r="J512" s="25" t="str">
        <f aca="false">IF($H512="","",N($H512)-N($I512))</f>
        <v/>
      </c>
      <c r="K512" s="25"/>
      <c r="L512" s="25" t="str">
        <f aca="false">IF($A512="","",SUMIF($A$4:$A512,$A512,$J$4:$J512)-SUMIF($A$4:$A512,$A512,$K$4:$K512))</f>
        <v/>
      </c>
      <c r="M512" s="26" t="str">
        <f aca="false">IF($H512="","",N($H512))</f>
        <v/>
      </c>
      <c r="N512" s="26"/>
      <c r="O512" s="26"/>
      <c r="P512" s="26" t="str">
        <f aca="false">IF($A512="","",SUMIF($A$4:$A512,$A512,$M$4:$M512)-SUMIF($A$4:$A512,$A512,$N$4:$N512)-SUMIF($A$4:$A512,$A512,$O$4:$O512))</f>
        <v/>
      </c>
      <c r="Q512" s="27"/>
      <c r="R512" s="28"/>
      <c r="S512" s="28"/>
      <c r="T512" s="28" t="str">
        <f aca="false">IF($A512="","",SUMIF($A$4:$A512,$A512,$Q$4:$Q512)-SUMIF($A$4:$A512,$A512,$R$4:$R512)-SUMIF($A$4:$A512,$A512,$S$4:$S512))</f>
        <v/>
      </c>
      <c r="U512" s="28"/>
      <c r="V512" s="29" t="str">
        <f aca="false">IF(AND($C512="",COUNTA($D512:$H512,$K512,$N512:$O512,$Q512:$S512,$U512)=0),"",IF($C512="","⚠ 没填项目名称",IF($A512="⚠目录里没有","⚠ 项目名称在目录里找不到（先加到目录）",IF($A512="","⚠ 目录里这个项目没填简称",IF(ISTEXT($G512)+ISTEXT($H512)+ISTEXT($K512)+ISTEXT($N512)+ISTEXT($O512)+ISTEXT($Q512)+ISTEXT($R512)+ISTEXT($S512)&gt;0,"⚠ 金额列里有文字，算不进合计",IF(N($G512)&gt;=1,"⚠ 管理费点要填百分比，如 10%",IF(AND($D512&lt;&gt;"",$B512=""),"△ 摘要开头没写日期（如 2026.9.21），月份取不到",IF(AND(N($H512)&lt;&gt;0,COUNTIFS($A$4:$A$1003,$A512,$H$4:$H$1003,$H512,$D$4:$D$1003,LEFT($D512,9)&amp;"*")&gt;1),"△ 同一天同项目有一样的销售金额，看看是不是录重了","✓"))))))))</f>
        <v/>
      </c>
      <c r="W512" s="8" t="str">
        <f aca="false">IF($A512="","",$A512&amp;"#"&amp;COUNTIF($A$4:$A512,$A512))</f>
        <v/>
      </c>
    </row>
    <row r="513" customFormat="false" ht="16.5" hidden="false" customHeight="false" outlineLevel="0" collapsed="false">
      <c r="A513" s="44" t="str">
        <f aca="false">IF($C513="","",IFERROR(VLOOKUP($C513,目录!$B:$C,2,0)&amp;"","⚠目录里没有"))</f>
        <v/>
      </c>
      <c r="B513" s="45" t="str">
        <f aca="false">IF($D513="","",IFERROR(MID($D513,FIND(".",$D513)+1,FIND(".",$D513,FIND(".",$D513)+1)-FIND(".",$D513)-1)&amp;"月",""))</f>
        <v/>
      </c>
      <c r="C513" s="46"/>
      <c r="D513" s="47"/>
      <c r="E513" s="47"/>
      <c r="F513" s="49"/>
      <c r="G513" s="50"/>
      <c r="H513" s="24"/>
      <c r="I513" s="24" t="str">
        <f aca="false">IF($H513="","",N($H513)*N($G513))</f>
        <v/>
      </c>
      <c r="J513" s="25" t="str">
        <f aca="false">IF($H513="","",N($H513)-N($I513))</f>
        <v/>
      </c>
      <c r="K513" s="25"/>
      <c r="L513" s="25" t="str">
        <f aca="false">IF($A513="","",SUMIF($A$4:$A513,$A513,$J$4:$J513)-SUMIF($A$4:$A513,$A513,$K$4:$K513))</f>
        <v/>
      </c>
      <c r="M513" s="26" t="str">
        <f aca="false">IF($H513="","",N($H513))</f>
        <v/>
      </c>
      <c r="N513" s="26"/>
      <c r="O513" s="26"/>
      <c r="P513" s="26" t="str">
        <f aca="false">IF($A513="","",SUMIF($A$4:$A513,$A513,$M$4:$M513)-SUMIF($A$4:$A513,$A513,$N$4:$N513)-SUMIF($A$4:$A513,$A513,$O$4:$O513))</f>
        <v/>
      </c>
      <c r="Q513" s="27"/>
      <c r="R513" s="28"/>
      <c r="S513" s="28"/>
      <c r="T513" s="28" t="str">
        <f aca="false">IF($A513="","",SUMIF($A$4:$A513,$A513,$Q$4:$Q513)-SUMIF($A$4:$A513,$A513,$R$4:$R513)-SUMIF($A$4:$A513,$A513,$S$4:$S513))</f>
        <v/>
      </c>
      <c r="U513" s="28"/>
      <c r="V513" s="29" t="str">
        <f aca="false">IF(AND($C513="",COUNTA($D513:$H513,$K513,$N513:$O513,$Q513:$S513,$U513)=0),"",IF($C513="","⚠ 没填项目名称",IF($A513="⚠目录里没有","⚠ 项目名称在目录里找不到（先加到目录）",IF($A513="","⚠ 目录里这个项目没填简称",IF(ISTEXT($G513)+ISTEXT($H513)+ISTEXT($K513)+ISTEXT($N513)+ISTEXT($O513)+ISTEXT($Q513)+ISTEXT($R513)+ISTEXT($S513)&gt;0,"⚠ 金额列里有文字，算不进合计",IF(N($G513)&gt;=1,"⚠ 管理费点要填百分比，如 10%",IF(AND($D513&lt;&gt;"",$B513=""),"△ 摘要开头没写日期（如 2026.9.21），月份取不到",IF(AND(N($H513)&lt;&gt;0,COUNTIFS($A$4:$A$1003,$A513,$H$4:$H$1003,$H513,$D$4:$D$1003,LEFT($D513,9)&amp;"*")&gt;1),"△ 同一天同项目有一样的销售金额，看看是不是录重了","✓"))))))))</f>
        <v/>
      </c>
      <c r="W513" s="8" t="str">
        <f aca="false">IF($A513="","",$A513&amp;"#"&amp;COUNTIF($A$4:$A513,$A513))</f>
        <v/>
      </c>
    </row>
    <row r="514" customFormat="false" ht="16.5" hidden="false" customHeight="false" outlineLevel="0" collapsed="false">
      <c r="A514" s="44" t="str">
        <f aca="false">IF($C514="","",IFERROR(VLOOKUP($C514,目录!$B:$C,2,0)&amp;"","⚠目录里没有"))</f>
        <v/>
      </c>
      <c r="B514" s="45" t="str">
        <f aca="false">IF($D514="","",IFERROR(MID($D514,FIND(".",$D514)+1,FIND(".",$D514,FIND(".",$D514)+1)-FIND(".",$D514)-1)&amp;"月",""))</f>
        <v/>
      </c>
      <c r="C514" s="46"/>
      <c r="D514" s="47"/>
      <c r="E514" s="47"/>
      <c r="F514" s="49"/>
      <c r="G514" s="50"/>
      <c r="H514" s="24"/>
      <c r="I514" s="24" t="str">
        <f aca="false">IF($H514="","",N($H514)*N($G514))</f>
        <v/>
      </c>
      <c r="J514" s="25" t="str">
        <f aca="false">IF($H514="","",N($H514)-N($I514))</f>
        <v/>
      </c>
      <c r="K514" s="25"/>
      <c r="L514" s="25" t="str">
        <f aca="false">IF($A514="","",SUMIF($A$4:$A514,$A514,$J$4:$J514)-SUMIF($A$4:$A514,$A514,$K$4:$K514))</f>
        <v/>
      </c>
      <c r="M514" s="26" t="str">
        <f aca="false">IF($H514="","",N($H514))</f>
        <v/>
      </c>
      <c r="N514" s="26"/>
      <c r="O514" s="26"/>
      <c r="P514" s="26" t="str">
        <f aca="false">IF($A514="","",SUMIF($A$4:$A514,$A514,$M$4:$M514)-SUMIF($A$4:$A514,$A514,$N$4:$N514)-SUMIF($A$4:$A514,$A514,$O$4:$O514))</f>
        <v/>
      </c>
      <c r="Q514" s="27"/>
      <c r="R514" s="28"/>
      <c r="S514" s="28"/>
      <c r="T514" s="28" t="str">
        <f aca="false">IF($A514="","",SUMIF($A$4:$A514,$A514,$Q$4:$Q514)-SUMIF($A$4:$A514,$A514,$R$4:$R514)-SUMIF($A$4:$A514,$A514,$S$4:$S514))</f>
        <v/>
      </c>
      <c r="U514" s="28"/>
      <c r="V514" s="29" t="str">
        <f aca="false">IF(AND($C514="",COUNTA($D514:$H514,$K514,$N514:$O514,$Q514:$S514,$U514)=0),"",IF($C514="","⚠ 没填项目名称",IF($A514="⚠目录里没有","⚠ 项目名称在目录里找不到（先加到目录）",IF($A514="","⚠ 目录里这个项目没填简称",IF(ISTEXT($G514)+ISTEXT($H514)+ISTEXT($K514)+ISTEXT($N514)+ISTEXT($O514)+ISTEXT($Q514)+ISTEXT($R514)+ISTEXT($S514)&gt;0,"⚠ 金额列里有文字，算不进合计",IF(N($G514)&gt;=1,"⚠ 管理费点要填百分比，如 10%",IF(AND($D514&lt;&gt;"",$B514=""),"△ 摘要开头没写日期（如 2026.9.21），月份取不到",IF(AND(N($H514)&lt;&gt;0,COUNTIFS($A$4:$A$1003,$A514,$H$4:$H$1003,$H514,$D$4:$D$1003,LEFT($D514,9)&amp;"*")&gt;1),"△ 同一天同项目有一样的销售金额，看看是不是录重了","✓"))))))))</f>
        <v/>
      </c>
      <c r="W514" s="8" t="str">
        <f aca="false">IF($A514="","",$A514&amp;"#"&amp;COUNTIF($A$4:$A514,$A514))</f>
        <v/>
      </c>
    </row>
    <row r="515" customFormat="false" ht="16.5" hidden="false" customHeight="false" outlineLevel="0" collapsed="false">
      <c r="A515" s="44" t="str">
        <f aca="false">IF($C515="","",IFERROR(VLOOKUP($C515,目录!$B:$C,2,0)&amp;"","⚠目录里没有"))</f>
        <v/>
      </c>
      <c r="B515" s="45" t="str">
        <f aca="false">IF($D515="","",IFERROR(MID($D515,FIND(".",$D515)+1,FIND(".",$D515,FIND(".",$D515)+1)-FIND(".",$D515)-1)&amp;"月",""))</f>
        <v/>
      </c>
      <c r="C515" s="46"/>
      <c r="D515" s="47"/>
      <c r="E515" s="47"/>
      <c r="F515" s="49"/>
      <c r="G515" s="50"/>
      <c r="H515" s="24"/>
      <c r="I515" s="24" t="str">
        <f aca="false">IF($H515="","",N($H515)*N($G515))</f>
        <v/>
      </c>
      <c r="J515" s="25" t="str">
        <f aca="false">IF($H515="","",N($H515)-N($I515))</f>
        <v/>
      </c>
      <c r="K515" s="25"/>
      <c r="L515" s="25" t="str">
        <f aca="false">IF($A515="","",SUMIF($A$4:$A515,$A515,$J$4:$J515)-SUMIF($A$4:$A515,$A515,$K$4:$K515))</f>
        <v/>
      </c>
      <c r="M515" s="26" t="str">
        <f aca="false">IF($H515="","",N($H515))</f>
        <v/>
      </c>
      <c r="N515" s="26"/>
      <c r="O515" s="26"/>
      <c r="P515" s="26" t="str">
        <f aca="false">IF($A515="","",SUMIF($A$4:$A515,$A515,$M$4:$M515)-SUMIF($A$4:$A515,$A515,$N$4:$N515)-SUMIF($A$4:$A515,$A515,$O$4:$O515))</f>
        <v/>
      </c>
      <c r="Q515" s="27"/>
      <c r="R515" s="28"/>
      <c r="S515" s="28"/>
      <c r="T515" s="28" t="str">
        <f aca="false">IF($A515="","",SUMIF($A$4:$A515,$A515,$Q$4:$Q515)-SUMIF($A$4:$A515,$A515,$R$4:$R515)-SUMIF($A$4:$A515,$A515,$S$4:$S515))</f>
        <v/>
      </c>
      <c r="U515" s="28"/>
      <c r="V515" s="29" t="str">
        <f aca="false">IF(AND($C515="",COUNTA($D515:$H515,$K515,$N515:$O515,$Q515:$S515,$U515)=0),"",IF($C515="","⚠ 没填项目名称",IF($A515="⚠目录里没有","⚠ 项目名称在目录里找不到（先加到目录）",IF($A515="","⚠ 目录里这个项目没填简称",IF(ISTEXT($G515)+ISTEXT($H515)+ISTEXT($K515)+ISTEXT($N515)+ISTEXT($O515)+ISTEXT($Q515)+ISTEXT($R515)+ISTEXT($S515)&gt;0,"⚠ 金额列里有文字，算不进合计",IF(N($G515)&gt;=1,"⚠ 管理费点要填百分比，如 10%",IF(AND($D515&lt;&gt;"",$B515=""),"△ 摘要开头没写日期（如 2026.9.21），月份取不到",IF(AND(N($H515)&lt;&gt;0,COUNTIFS($A$4:$A$1003,$A515,$H$4:$H$1003,$H515,$D$4:$D$1003,LEFT($D515,9)&amp;"*")&gt;1),"△ 同一天同项目有一样的销售金额，看看是不是录重了","✓"))))))))</f>
        <v/>
      </c>
      <c r="W515" s="8" t="str">
        <f aca="false">IF($A515="","",$A515&amp;"#"&amp;COUNTIF($A$4:$A515,$A515))</f>
        <v/>
      </c>
    </row>
    <row r="516" customFormat="false" ht="16.5" hidden="false" customHeight="false" outlineLevel="0" collapsed="false">
      <c r="A516" s="44" t="str">
        <f aca="false">IF($C516="","",IFERROR(VLOOKUP($C516,目录!$B:$C,2,0)&amp;"","⚠目录里没有"))</f>
        <v/>
      </c>
      <c r="B516" s="45" t="str">
        <f aca="false">IF($D516="","",IFERROR(MID($D516,FIND(".",$D516)+1,FIND(".",$D516,FIND(".",$D516)+1)-FIND(".",$D516)-1)&amp;"月",""))</f>
        <v/>
      </c>
      <c r="C516" s="46"/>
      <c r="D516" s="47"/>
      <c r="E516" s="47"/>
      <c r="F516" s="49"/>
      <c r="G516" s="50"/>
      <c r="H516" s="24"/>
      <c r="I516" s="24" t="str">
        <f aca="false">IF($H516="","",N($H516)*N($G516))</f>
        <v/>
      </c>
      <c r="J516" s="25" t="str">
        <f aca="false">IF($H516="","",N($H516)-N($I516))</f>
        <v/>
      </c>
      <c r="K516" s="25"/>
      <c r="L516" s="25" t="str">
        <f aca="false">IF($A516="","",SUMIF($A$4:$A516,$A516,$J$4:$J516)-SUMIF($A$4:$A516,$A516,$K$4:$K516))</f>
        <v/>
      </c>
      <c r="M516" s="26" t="str">
        <f aca="false">IF($H516="","",N($H516))</f>
        <v/>
      </c>
      <c r="N516" s="26"/>
      <c r="O516" s="26"/>
      <c r="P516" s="26" t="str">
        <f aca="false">IF($A516="","",SUMIF($A$4:$A516,$A516,$M$4:$M516)-SUMIF($A$4:$A516,$A516,$N$4:$N516)-SUMIF($A$4:$A516,$A516,$O$4:$O516))</f>
        <v/>
      </c>
      <c r="Q516" s="27"/>
      <c r="R516" s="28"/>
      <c r="S516" s="28"/>
      <c r="T516" s="28" t="str">
        <f aca="false">IF($A516="","",SUMIF($A$4:$A516,$A516,$Q$4:$Q516)-SUMIF($A$4:$A516,$A516,$R$4:$R516)-SUMIF($A$4:$A516,$A516,$S$4:$S516))</f>
        <v/>
      </c>
      <c r="U516" s="28"/>
      <c r="V516" s="29" t="str">
        <f aca="false">IF(AND($C516="",COUNTA($D516:$H516,$K516,$N516:$O516,$Q516:$S516,$U516)=0),"",IF($C516="","⚠ 没填项目名称",IF($A516="⚠目录里没有","⚠ 项目名称在目录里找不到（先加到目录）",IF($A516="","⚠ 目录里这个项目没填简称",IF(ISTEXT($G516)+ISTEXT($H516)+ISTEXT($K516)+ISTEXT($N516)+ISTEXT($O516)+ISTEXT($Q516)+ISTEXT($R516)+ISTEXT($S516)&gt;0,"⚠ 金额列里有文字，算不进合计",IF(N($G516)&gt;=1,"⚠ 管理费点要填百分比，如 10%",IF(AND($D516&lt;&gt;"",$B516=""),"△ 摘要开头没写日期（如 2026.9.21），月份取不到",IF(AND(N($H516)&lt;&gt;0,COUNTIFS($A$4:$A$1003,$A516,$H$4:$H$1003,$H516,$D$4:$D$1003,LEFT($D516,9)&amp;"*")&gt;1),"△ 同一天同项目有一样的销售金额，看看是不是录重了","✓"))))))))</f>
        <v/>
      </c>
      <c r="W516" s="8" t="str">
        <f aca="false">IF($A516="","",$A516&amp;"#"&amp;COUNTIF($A$4:$A516,$A516))</f>
        <v/>
      </c>
    </row>
    <row r="517" customFormat="false" ht="16.5" hidden="false" customHeight="false" outlineLevel="0" collapsed="false">
      <c r="A517" s="44" t="str">
        <f aca="false">IF($C517="","",IFERROR(VLOOKUP($C517,目录!$B:$C,2,0)&amp;"","⚠目录里没有"))</f>
        <v/>
      </c>
      <c r="B517" s="45" t="str">
        <f aca="false">IF($D517="","",IFERROR(MID($D517,FIND(".",$D517)+1,FIND(".",$D517,FIND(".",$D517)+1)-FIND(".",$D517)-1)&amp;"月",""))</f>
        <v/>
      </c>
      <c r="C517" s="46"/>
      <c r="D517" s="47"/>
      <c r="E517" s="47"/>
      <c r="F517" s="49"/>
      <c r="G517" s="50"/>
      <c r="H517" s="24"/>
      <c r="I517" s="24" t="str">
        <f aca="false">IF($H517="","",N($H517)*N($G517))</f>
        <v/>
      </c>
      <c r="J517" s="25" t="str">
        <f aca="false">IF($H517="","",N($H517)-N($I517))</f>
        <v/>
      </c>
      <c r="K517" s="25"/>
      <c r="L517" s="25" t="str">
        <f aca="false">IF($A517="","",SUMIF($A$4:$A517,$A517,$J$4:$J517)-SUMIF($A$4:$A517,$A517,$K$4:$K517))</f>
        <v/>
      </c>
      <c r="M517" s="26" t="str">
        <f aca="false">IF($H517="","",N($H517))</f>
        <v/>
      </c>
      <c r="N517" s="26"/>
      <c r="O517" s="26"/>
      <c r="P517" s="26" t="str">
        <f aca="false">IF($A517="","",SUMIF($A$4:$A517,$A517,$M$4:$M517)-SUMIF($A$4:$A517,$A517,$N$4:$N517)-SUMIF($A$4:$A517,$A517,$O$4:$O517))</f>
        <v/>
      </c>
      <c r="Q517" s="27"/>
      <c r="R517" s="28"/>
      <c r="S517" s="28"/>
      <c r="T517" s="28" t="str">
        <f aca="false">IF($A517="","",SUMIF($A$4:$A517,$A517,$Q$4:$Q517)-SUMIF($A$4:$A517,$A517,$R$4:$R517)-SUMIF($A$4:$A517,$A517,$S$4:$S517))</f>
        <v/>
      </c>
      <c r="U517" s="28"/>
      <c r="V517" s="29" t="str">
        <f aca="false">IF(AND($C517="",COUNTA($D517:$H517,$K517,$N517:$O517,$Q517:$S517,$U517)=0),"",IF($C517="","⚠ 没填项目名称",IF($A517="⚠目录里没有","⚠ 项目名称在目录里找不到（先加到目录）",IF($A517="","⚠ 目录里这个项目没填简称",IF(ISTEXT($G517)+ISTEXT($H517)+ISTEXT($K517)+ISTEXT($N517)+ISTEXT($O517)+ISTEXT($Q517)+ISTEXT($R517)+ISTEXT($S517)&gt;0,"⚠ 金额列里有文字，算不进合计",IF(N($G517)&gt;=1,"⚠ 管理费点要填百分比，如 10%",IF(AND($D517&lt;&gt;"",$B517=""),"△ 摘要开头没写日期（如 2026.9.21），月份取不到",IF(AND(N($H517)&lt;&gt;0,COUNTIFS($A$4:$A$1003,$A517,$H$4:$H$1003,$H517,$D$4:$D$1003,LEFT($D517,9)&amp;"*")&gt;1),"△ 同一天同项目有一样的销售金额，看看是不是录重了","✓"))))))))</f>
        <v/>
      </c>
      <c r="W517" s="8" t="str">
        <f aca="false">IF($A517="","",$A517&amp;"#"&amp;COUNTIF($A$4:$A517,$A517))</f>
        <v/>
      </c>
    </row>
    <row r="518" customFormat="false" ht="16.5" hidden="false" customHeight="false" outlineLevel="0" collapsed="false">
      <c r="A518" s="44" t="str">
        <f aca="false">IF($C518="","",IFERROR(VLOOKUP($C518,目录!$B:$C,2,0)&amp;"","⚠目录里没有"))</f>
        <v/>
      </c>
      <c r="B518" s="45" t="str">
        <f aca="false">IF($D518="","",IFERROR(MID($D518,FIND(".",$D518)+1,FIND(".",$D518,FIND(".",$D518)+1)-FIND(".",$D518)-1)&amp;"月",""))</f>
        <v/>
      </c>
      <c r="C518" s="46"/>
      <c r="D518" s="47"/>
      <c r="E518" s="47"/>
      <c r="F518" s="49"/>
      <c r="G518" s="50"/>
      <c r="H518" s="24"/>
      <c r="I518" s="24" t="str">
        <f aca="false">IF($H518="","",N($H518)*N($G518))</f>
        <v/>
      </c>
      <c r="J518" s="25" t="str">
        <f aca="false">IF($H518="","",N($H518)-N($I518))</f>
        <v/>
      </c>
      <c r="K518" s="25"/>
      <c r="L518" s="25" t="str">
        <f aca="false">IF($A518="","",SUMIF($A$4:$A518,$A518,$J$4:$J518)-SUMIF($A$4:$A518,$A518,$K$4:$K518))</f>
        <v/>
      </c>
      <c r="M518" s="26" t="str">
        <f aca="false">IF($H518="","",N($H518))</f>
        <v/>
      </c>
      <c r="N518" s="26"/>
      <c r="O518" s="26"/>
      <c r="P518" s="26" t="str">
        <f aca="false">IF($A518="","",SUMIF($A$4:$A518,$A518,$M$4:$M518)-SUMIF($A$4:$A518,$A518,$N$4:$N518)-SUMIF($A$4:$A518,$A518,$O$4:$O518))</f>
        <v/>
      </c>
      <c r="Q518" s="27"/>
      <c r="R518" s="28"/>
      <c r="S518" s="28"/>
      <c r="T518" s="28" t="str">
        <f aca="false">IF($A518="","",SUMIF($A$4:$A518,$A518,$Q$4:$Q518)-SUMIF($A$4:$A518,$A518,$R$4:$R518)-SUMIF($A$4:$A518,$A518,$S$4:$S518))</f>
        <v/>
      </c>
      <c r="U518" s="28"/>
      <c r="V518" s="29" t="str">
        <f aca="false">IF(AND($C518="",COUNTA($D518:$H518,$K518,$N518:$O518,$Q518:$S518,$U518)=0),"",IF($C518="","⚠ 没填项目名称",IF($A518="⚠目录里没有","⚠ 项目名称在目录里找不到（先加到目录）",IF($A518="","⚠ 目录里这个项目没填简称",IF(ISTEXT($G518)+ISTEXT($H518)+ISTEXT($K518)+ISTEXT($N518)+ISTEXT($O518)+ISTEXT($Q518)+ISTEXT($R518)+ISTEXT($S518)&gt;0,"⚠ 金额列里有文字，算不进合计",IF(N($G518)&gt;=1,"⚠ 管理费点要填百分比，如 10%",IF(AND($D518&lt;&gt;"",$B518=""),"△ 摘要开头没写日期（如 2026.9.21），月份取不到",IF(AND(N($H518)&lt;&gt;0,COUNTIFS($A$4:$A$1003,$A518,$H$4:$H$1003,$H518,$D$4:$D$1003,LEFT($D518,9)&amp;"*")&gt;1),"△ 同一天同项目有一样的销售金额，看看是不是录重了","✓"))))))))</f>
        <v/>
      </c>
      <c r="W518" s="8" t="str">
        <f aca="false">IF($A518="","",$A518&amp;"#"&amp;COUNTIF($A$4:$A518,$A518))</f>
        <v/>
      </c>
    </row>
    <row r="519" customFormat="false" ht="16.5" hidden="false" customHeight="false" outlineLevel="0" collapsed="false">
      <c r="A519" s="44" t="str">
        <f aca="false">IF($C519="","",IFERROR(VLOOKUP($C519,目录!$B:$C,2,0)&amp;"","⚠目录里没有"))</f>
        <v/>
      </c>
      <c r="B519" s="45" t="str">
        <f aca="false">IF($D519="","",IFERROR(MID($D519,FIND(".",$D519)+1,FIND(".",$D519,FIND(".",$D519)+1)-FIND(".",$D519)-1)&amp;"月",""))</f>
        <v/>
      </c>
      <c r="C519" s="46"/>
      <c r="D519" s="47"/>
      <c r="E519" s="47"/>
      <c r="F519" s="49"/>
      <c r="G519" s="50"/>
      <c r="H519" s="24"/>
      <c r="I519" s="24" t="str">
        <f aca="false">IF($H519="","",N($H519)*N($G519))</f>
        <v/>
      </c>
      <c r="J519" s="25" t="str">
        <f aca="false">IF($H519="","",N($H519)-N($I519))</f>
        <v/>
      </c>
      <c r="K519" s="25"/>
      <c r="L519" s="25" t="str">
        <f aca="false">IF($A519="","",SUMIF($A$4:$A519,$A519,$J$4:$J519)-SUMIF($A$4:$A519,$A519,$K$4:$K519))</f>
        <v/>
      </c>
      <c r="M519" s="26" t="str">
        <f aca="false">IF($H519="","",N($H519))</f>
        <v/>
      </c>
      <c r="N519" s="26"/>
      <c r="O519" s="26"/>
      <c r="P519" s="26" t="str">
        <f aca="false">IF($A519="","",SUMIF($A$4:$A519,$A519,$M$4:$M519)-SUMIF($A$4:$A519,$A519,$N$4:$N519)-SUMIF($A$4:$A519,$A519,$O$4:$O519))</f>
        <v/>
      </c>
      <c r="Q519" s="27"/>
      <c r="R519" s="28"/>
      <c r="S519" s="28"/>
      <c r="T519" s="28" t="str">
        <f aca="false">IF($A519="","",SUMIF($A$4:$A519,$A519,$Q$4:$Q519)-SUMIF($A$4:$A519,$A519,$R$4:$R519)-SUMIF($A$4:$A519,$A519,$S$4:$S519))</f>
        <v/>
      </c>
      <c r="U519" s="28"/>
      <c r="V519" s="29" t="str">
        <f aca="false">IF(AND($C519="",COUNTA($D519:$H519,$K519,$N519:$O519,$Q519:$S519,$U519)=0),"",IF($C519="","⚠ 没填项目名称",IF($A519="⚠目录里没有","⚠ 项目名称在目录里找不到（先加到目录）",IF($A519="","⚠ 目录里这个项目没填简称",IF(ISTEXT($G519)+ISTEXT($H519)+ISTEXT($K519)+ISTEXT($N519)+ISTEXT($O519)+ISTEXT($Q519)+ISTEXT($R519)+ISTEXT($S519)&gt;0,"⚠ 金额列里有文字，算不进合计",IF(N($G519)&gt;=1,"⚠ 管理费点要填百分比，如 10%",IF(AND($D519&lt;&gt;"",$B519=""),"△ 摘要开头没写日期（如 2026.9.21），月份取不到",IF(AND(N($H519)&lt;&gt;0,COUNTIFS($A$4:$A$1003,$A519,$H$4:$H$1003,$H519,$D$4:$D$1003,LEFT($D519,9)&amp;"*")&gt;1),"△ 同一天同项目有一样的销售金额，看看是不是录重了","✓"))))))))</f>
        <v/>
      </c>
      <c r="W519" s="8" t="str">
        <f aca="false">IF($A519="","",$A519&amp;"#"&amp;COUNTIF($A$4:$A519,$A519))</f>
        <v/>
      </c>
    </row>
    <row r="520" customFormat="false" ht="16.5" hidden="false" customHeight="false" outlineLevel="0" collapsed="false">
      <c r="A520" s="44" t="str">
        <f aca="false">IF($C520="","",IFERROR(VLOOKUP($C520,目录!$B:$C,2,0)&amp;"","⚠目录里没有"))</f>
        <v/>
      </c>
      <c r="B520" s="45" t="str">
        <f aca="false">IF($D520="","",IFERROR(MID($D520,FIND(".",$D520)+1,FIND(".",$D520,FIND(".",$D520)+1)-FIND(".",$D520)-1)&amp;"月",""))</f>
        <v/>
      </c>
      <c r="C520" s="46"/>
      <c r="D520" s="47"/>
      <c r="E520" s="47"/>
      <c r="F520" s="49"/>
      <c r="G520" s="50"/>
      <c r="H520" s="24"/>
      <c r="I520" s="24" t="str">
        <f aca="false">IF($H520="","",N($H520)*N($G520))</f>
        <v/>
      </c>
      <c r="J520" s="25" t="str">
        <f aca="false">IF($H520="","",N($H520)-N($I520))</f>
        <v/>
      </c>
      <c r="K520" s="25"/>
      <c r="L520" s="25" t="str">
        <f aca="false">IF($A520="","",SUMIF($A$4:$A520,$A520,$J$4:$J520)-SUMIF($A$4:$A520,$A520,$K$4:$K520))</f>
        <v/>
      </c>
      <c r="M520" s="26" t="str">
        <f aca="false">IF($H520="","",N($H520))</f>
        <v/>
      </c>
      <c r="N520" s="26"/>
      <c r="O520" s="26"/>
      <c r="P520" s="26" t="str">
        <f aca="false">IF($A520="","",SUMIF($A$4:$A520,$A520,$M$4:$M520)-SUMIF($A$4:$A520,$A520,$N$4:$N520)-SUMIF($A$4:$A520,$A520,$O$4:$O520))</f>
        <v/>
      </c>
      <c r="Q520" s="27"/>
      <c r="R520" s="28"/>
      <c r="S520" s="28"/>
      <c r="T520" s="28" t="str">
        <f aca="false">IF($A520="","",SUMIF($A$4:$A520,$A520,$Q$4:$Q520)-SUMIF($A$4:$A520,$A520,$R$4:$R520)-SUMIF($A$4:$A520,$A520,$S$4:$S520))</f>
        <v/>
      </c>
      <c r="U520" s="28"/>
      <c r="V520" s="29" t="str">
        <f aca="false">IF(AND($C520="",COUNTA($D520:$H520,$K520,$N520:$O520,$Q520:$S520,$U520)=0),"",IF($C520="","⚠ 没填项目名称",IF($A520="⚠目录里没有","⚠ 项目名称在目录里找不到（先加到目录）",IF($A520="","⚠ 目录里这个项目没填简称",IF(ISTEXT($G520)+ISTEXT($H520)+ISTEXT($K520)+ISTEXT($N520)+ISTEXT($O520)+ISTEXT($Q520)+ISTEXT($R520)+ISTEXT($S520)&gt;0,"⚠ 金额列里有文字，算不进合计",IF(N($G520)&gt;=1,"⚠ 管理费点要填百分比，如 10%",IF(AND($D520&lt;&gt;"",$B520=""),"△ 摘要开头没写日期（如 2026.9.21），月份取不到",IF(AND(N($H520)&lt;&gt;0,COUNTIFS($A$4:$A$1003,$A520,$H$4:$H$1003,$H520,$D$4:$D$1003,LEFT($D520,9)&amp;"*")&gt;1),"△ 同一天同项目有一样的销售金额，看看是不是录重了","✓"))))))))</f>
        <v/>
      </c>
      <c r="W520" s="8" t="str">
        <f aca="false">IF($A520="","",$A520&amp;"#"&amp;COUNTIF($A$4:$A520,$A520))</f>
        <v/>
      </c>
    </row>
    <row r="521" customFormat="false" ht="16.5" hidden="false" customHeight="false" outlineLevel="0" collapsed="false">
      <c r="A521" s="44" t="str">
        <f aca="false">IF($C521="","",IFERROR(VLOOKUP($C521,目录!$B:$C,2,0)&amp;"","⚠目录里没有"))</f>
        <v/>
      </c>
      <c r="B521" s="45" t="str">
        <f aca="false">IF($D521="","",IFERROR(MID($D521,FIND(".",$D521)+1,FIND(".",$D521,FIND(".",$D521)+1)-FIND(".",$D521)-1)&amp;"月",""))</f>
        <v/>
      </c>
      <c r="C521" s="46"/>
      <c r="D521" s="47"/>
      <c r="E521" s="47"/>
      <c r="F521" s="49"/>
      <c r="G521" s="50"/>
      <c r="H521" s="24"/>
      <c r="I521" s="24" t="str">
        <f aca="false">IF($H521="","",N($H521)*N($G521))</f>
        <v/>
      </c>
      <c r="J521" s="25" t="str">
        <f aca="false">IF($H521="","",N($H521)-N($I521))</f>
        <v/>
      </c>
      <c r="K521" s="25"/>
      <c r="L521" s="25" t="str">
        <f aca="false">IF($A521="","",SUMIF($A$4:$A521,$A521,$J$4:$J521)-SUMIF($A$4:$A521,$A521,$K$4:$K521))</f>
        <v/>
      </c>
      <c r="M521" s="26" t="str">
        <f aca="false">IF($H521="","",N($H521))</f>
        <v/>
      </c>
      <c r="N521" s="26"/>
      <c r="O521" s="26"/>
      <c r="P521" s="26" t="str">
        <f aca="false">IF($A521="","",SUMIF($A$4:$A521,$A521,$M$4:$M521)-SUMIF($A$4:$A521,$A521,$N$4:$N521)-SUMIF($A$4:$A521,$A521,$O$4:$O521))</f>
        <v/>
      </c>
      <c r="Q521" s="27"/>
      <c r="R521" s="28"/>
      <c r="S521" s="28"/>
      <c r="T521" s="28" t="str">
        <f aca="false">IF($A521="","",SUMIF($A$4:$A521,$A521,$Q$4:$Q521)-SUMIF($A$4:$A521,$A521,$R$4:$R521)-SUMIF($A$4:$A521,$A521,$S$4:$S521))</f>
        <v/>
      </c>
      <c r="U521" s="28"/>
      <c r="V521" s="29" t="str">
        <f aca="false">IF(AND($C521="",COUNTA($D521:$H521,$K521,$N521:$O521,$Q521:$S521,$U521)=0),"",IF($C521="","⚠ 没填项目名称",IF($A521="⚠目录里没有","⚠ 项目名称在目录里找不到（先加到目录）",IF($A521="","⚠ 目录里这个项目没填简称",IF(ISTEXT($G521)+ISTEXT($H521)+ISTEXT($K521)+ISTEXT($N521)+ISTEXT($O521)+ISTEXT($Q521)+ISTEXT($R521)+ISTEXT($S521)&gt;0,"⚠ 金额列里有文字，算不进合计",IF(N($G521)&gt;=1,"⚠ 管理费点要填百分比，如 10%",IF(AND($D521&lt;&gt;"",$B521=""),"△ 摘要开头没写日期（如 2026.9.21），月份取不到",IF(AND(N($H521)&lt;&gt;0,COUNTIFS($A$4:$A$1003,$A521,$H$4:$H$1003,$H521,$D$4:$D$1003,LEFT($D521,9)&amp;"*")&gt;1),"△ 同一天同项目有一样的销售金额，看看是不是录重了","✓"))))))))</f>
        <v/>
      </c>
      <c r="W521" s="8" t="str">
        <f aca="false">IF($A521="","",$A521&amp;"#"&amp;COUNTIF($A$4:$A521,$A521))</f>
        <v/>
      </c>
    </row>
    <row r="522" customFormat="false" ht="16.5" hidden="false" customHeight="false" outlineLevel="0" collapsed="false">
      <c r="A522" s="44" t="str">
        <f aca="false">IF($C522="","",IFERROR(VLOOKUP($C522,目录!$B:$C,2,0)&amp;"","⚠目录里没有"))</f>
        <v/>
      </c>
      <c r="B522" s="45" t="str">
        <f aca="false">IF($D522="","",IFERROR(MID($D522,FIND(".",$D522)+1,FIND(".",$D522,FIND(".",$D522)+1)-FIND(".",$D522)-1)&amp;"月",""))</f>
        <v/>
      </c>
      <c r="C522" s="46"/>
      <c r="D522" s="47"/>
      <c r="E522" s="47"/>
      <c r="F522" s="49"/>
      <c r="G522" s="50"/>
      <c r="H522" s="24"/>
      <c r="I522" s="24" t="str">
        <f aca="false">IF($H522="","",N($H522)*N($G522))</f>
        <v/>
      </c>
      <c r="J522" s="25" t="str">
        <f aca="false">IF($H522="","",N($H522)-N($I522))</f>
        <v/>
      </c>
      <c r="K522" s="25"/>
      <c r="L522" s="25" t="str">
        <f aca="false">IF($A522="","",SUMIF($A$4:$A522,$A522,$J$4:$J522)-SUMIF($A$4:$A522,$A522,$K$4:$K522))</f>
        <v/>
      </c>
      <c r="M522" s="26" t="str">
        <f aca="false">IF($H522="","",N($H522))</f>
        <v/>
      </c>
      <c r="N522" s="26"/>
      <c r="O522" s="26"/>
      <c r="P522" s="26" t="str">
        <f aca="false">IF($A522="","",SUMIF($A$4:$A522,$A522,$M$4:$M522)-SUMIF($A$4:$A522,$A522,$N$4:$N522)-SUMIF($A$4:$A522,$A522,$O$4:$O522))</f>
        <v/>
      </c>
      <c r="Q522" s="27"/>
      <c r="R522" s="28"/>
      <c r="S522" s="28"/>
      <c r="T522" s="28" t="str">
        <f aca="false">IF($A522="","",SUMIF($A$4:$A522,$A522,$Q$4:$Q522)-SUMIF($A$4:$A522,$A522,$R$4:$R522)-SUMIF($A$4:$A522,$A522,$S$4:$S522))</f>
        <v/>
      </c>
      <c r="U522" s="28"/>
      <c r="V522" s="29" t="str">
        <f aca="false">IF(AND($C522="",COUNTA($D522:$H522,$K522,$N522:$O522,$Q522:$S522,$U522)=0),"",IF($C522="","⚠ 没填项目名称",IF($A522="⚠目录里没有","⚠ 项目名称在目录里找不到（先加到目录）",IF($A522="","⚠ 目录里这个项目没填简称",IF(ISTEXT($G522)+ISTEXT($H522)+ISTEXT($K522)+ISTEXT($N522)+ISTEXT($O522)+ISTEXT($Q522)+ISTEXT($R522)+ISTEXT($S522)&gt;0,"⚠ 金额列里有文字，算不进合计",IF(N($G522)&gt;=1,"⚠ 管理费点要填百分比，如 10%",IF(AND($D522&lt;&gt;"",$B522=""),"△ 摘要开头没写日期（如 2026.9.21），月份取不到",IF(AND(N($H522)&lt;&gt;0,COUNTIFS($A$4:$A$1003,$A522,$H$4:$H$1003,$H522,$D$4:$D$1003,LEFT($D522,9)&amp;"*")&gt;1),"△ 同一天同项目有一样的销售金额，看看是不是录重了","✓"))))))))</f>
        <v/>
      </c>
      <c r="W522" s="8" t="str">
        <f aca="false">IF($A522="","",$A522&amp;"#"&amp;COUNTIF($A$4:$A522,$A522))</f>
        <v/>
      </c>
    </row>
    <row r="523" customFormat="false" ht="16.5" hidden="false" customHeight="false" outlineLevel="0" collapsed="false">
      <c r="A523" s="44" t="str">
        <f aca="false">IF($C523="","",IFERROR(VLOOKUP($C523,目录!$B:$C,2,0)&amp;"","⚠目录里没有"))</f>
        <v/>
      </c>
      <c r="B523" s="45" t="str">
        <f aca="false">IF($D523="","",IFERROR(MID($D523,FIND(".",$D523)+1,FIND(".",$D523,FIND(".",$D523)+1)-FIND(".",$D523)-1)&amp;"月",""))</f>
        <v/>
      </c>
      <c r="C523" s="46"/>
      <c r="D523" s="47"/>
      <c r="E523" s="47"/>
      <c r="F523" s="49"/>
      <c r="G523" s="50"/>
      <c r="H523" s="24"/>
      <c r="I523" s="24" t="str">
        <f aca="false">IF($H523="","",N($H523)*N($G523))</f>
        <v/>
      </c>
      <c r="J523" s="25" t="str">
        <f aca="false">IF($H523="","",N($H523)-N($I523))</f>
        <v/>
      </c>
      <c r="K523" s="25"/>
      <c r="L523" s="25" t="str">
        <f aca="false">IF($A523="","",SUMIF($A$4:$A523,$A523,$J$4:$J523)-SUMIF($A$4:$A523,$A523,$K$4:$K523))</f>
        <v/>
      </c>
      <c r="M523" s="26" t="str">
        <f aca="false">IF($H523="","",N($H523))</f>
        <v/>
      </c>
      <c r="N523" s="26"/>
      <c r="O523" s="26"/>
      <c r="P523" s="26" t="str">
        <f aca="false">IF($A523="","",SUMIF($A$4:$A523,$A523,$M$4:$M523)-SUMIF($A$4:$A523,$A523,$N$4:$N523)-SUMIF($A$4:$A523,$A523,$O$4:$O523))</f>
        <v/>
      </c>
      <c r="Q523" s="27"/>
      <c r="R523" s="28"/>
      <c r="S523" s="28"/>
      <c r="T523" s="28" t="str">
        <f aca="false">IF($A523="","",SUMIF($A$4:$A523,$A523,$Q$4:$Q523)-SUMIF($A$4:$A523,$A523,$R$4:$R523)-SUMIF($A$4:$A523,$A523,$S$4:$S523))</f>
        <v/>
      </c>
      <c r="U523" s="28"/>
      <c r="V523" s="29" t="str">
        <f aca="false">IF(AND($C523="",COUNTA($D523:$H523,$K523,$N523:$O523,$Q523:$S523,$U523)=0),"",IF($C523="","⚠ 没填项目名称",IF($A523="⚠目录里没有","⚠ 项目名称在目录里找不到（先加到目录）",IF($A523="","⚠ 目录里这个项目没填简称",IF(ISTEXT($G523)+ISTEXT($H523)+ISTEXT($K523)+ISTEXT($N523)+ISTEXT($O523)+ISTEXT($Q523)+ISTEXT($R523)+ISTEXT($S523)&gt;0,"⚠ 金额列里有文字，算不进合计",IF(N($G523)&gt;=1,"⚠ 管理费点要填百分比，如 10%",IF(AND($D523&lt;&gt;"",$B523=""),"△ 摘要开头没写日期（如 2026.9.21），月份取不到",IF(AND(N($H523)&lt;&gt;0,COUNTIFS($A$4:$A$1003,$A523,$H$4:$H$1003,$H523,$D$4:$D$1003,LEFT($D523,9)&amp;"*")&gt;1),"△ 同一天同项目有一样的销售金额，看看是不是录重了","✓"))))))))</f>
        <v/>
      </c>
      <c r="W523" s="8" t="str">
        <f aca="false">IF($A523="","",$A523&amp;"#"&amp;COUNTIF($A$4:$A523,$A523))</f>
        <v/>
      </c>
    </row>
    <row r="524" customFormat="false" ht="16.5" hidden="false" customHeight="false" outlineLevel="0" collapsed="false">
      <c r="A524" s="44" t="str">
        <f aca="false">IF($C524="","",IFERROR(VLOOKUP($C524,目录!$B:$C,2,0)&amp;"","⚠目录里没有"))</f>
        <v/>
      </c>
      <c r="B524" s="45" t="str">
        <f aca="false">IF($D524="","",IFERROR(MID($D524,FIND(".",$D524)+1,FIND(".",$D524,FIND(".",$D524)+1)-FIND(".",$D524)-1)&amp;"月",""))</f>
        <v/>
      </c>
      <c r="C524" s="46"/>
      <c r="D524" s="47"/>
      <c r="E524" s="47"/>
      <c r="F524" s="49"/>
      <c r="G524" s="50"/>
      <c r="H524" s="24"/>
      <c r="I524" s="24" t="str">
        <f aca="false">IF($H524="","",N($H524)*N($G524))</f>
        <v/>
      </c>
      <c r="J524" s="25" t="str">
        <f aca="false">IF($H524="","",N($H524)-N($I524))</f>
        <v/>
      </c>
      <c r="K524" s="25"/>
      <c r="L524" s="25" t="str">
        <f aca="false">IF($A524="","",SUMIF($A$4:$A524,$A524,$J$4:$J524)-SUMIF($A$4:$A524,$A524,$K$4:$K524))</f>
        <v/>
      </c>
      <c r="M524" s="26" t="str">
        <f aca="false">IF($H524="","",N($H524))</f>
        <v/>
      </c>
      <c r="N524" s="26"/>
      <c r="O524" s="26"/>
      <c r="P524" s="26" t="str">
        <f aca="false">IF($A524="","",SUMIF($A$4:$A524,$A524,$M$4:$M524)-SUMIF($A$4:$A524,$A524,$N$4:$N524)-SUMIF($A$4:$A524,$A524,$O$4:$O524))</f>
        <v/>
      </c>
      <c r="Q524" s="27"/>
      <c r="R524" s="28"/>
      <c r="S524" s="28"/>
      <c r="T524" s="28" t="str">
        <f aca="false">IF($A524="","",SUMIF($A$4:$A524,$A524,$Q$4:$Q524)-SUMIF($A$4:$A524,$A524,$R$4:$R524)-SUMIF($A$4:$A524,$A524,$S$4:$S524))</f>
        <v/>
      </c>
      <c r="U524" s="28"/>
      <c r="V524" s="29" t="str">
        <f aca="false">IF(AND($C524="",COUNTA($D524:$H524,$K524,$N524:$O524,$Q524:$S524,$U524)=0),"",IF($C524="","⚠ 没填项目名称",IF($A524="⚠目录里没有","⚠ 项目名称在目录里找不到（先加到目录）",IF($A524="","⚠ 目录里这个项目没填简称",IF(ISTEXT($G524)+ISTEXT($H524)+ISTEXT($K524)+ISTEXT($N524)+ISTEXT($O524)+ISTEXT($Q524)+ISTEXT($R524)+ISTEXT($S524)&gt;0,"⚠ 金额列里有文字，算不进合计",IF(N($G524)&gt;=1,"⚠ 管理费点要填百分比，如 10%",IF(AND($D524&lt;&gt;"",$B524=""),"△ 摘要开头没写日期（如 2026.9.21），月份取不到",IF(AND(N($H524)&lt;&gt;0,COUNTIFS($A$4:$A$1003,$A524,$H$4:$H$1003,$H524,$D$4:$D$1003,LEFT($D524,9)&amp;"*")&gt;1),"△ 同一天同项目有一样的销售金额，看看是不是录重了","✓"))))))))</f>
        <v/>
      </c>
      <c r="W524" s="8" t="str">
        <f aca="false">IF($A524="","",$A524&amp;"#"&amp;COUNTIF($A$4:$A524,$A524))</f>
        <v/>
      </c>
    </row>
    <row r="525" customFormat="false" ht="16.5" hidden="false" customHeight="false" outlineLevel="0" collapsed="false">
      <c r="A525" s="44" t="str">
        <f aca="false">IF($C525="","",IFERROR(VLOOKUP($C525,目录!$B:$C,2,0)&amp;"","⚠目录里没有"))</f>
        <v/>
      </c>
      <c r="B525" s="45" t="str">
        <f aca="false">IF($D525="","",IFERROR(MID($D525,FIND(".",$D525)+1,FIND(".",$D525,FIND(".",$D525)+1)-FIND(".",$D525)-1)&amp;"月",""))</f>
        <v/>
      </c>
      <c r="C525" s="46"/>
      <c r="D525" s="47"/>
      <c r="E525" s="47"/>
      <c r="F525" s="49"/>
      <c r="G525" s="50"/>
      <c r="H525" s="24"/>
      <c r="I525" s="24" t="str">
        <f aca="false">IF($H525="","",N($H525)*N($G525))</f>
        <v/>
      </c>
      <c r="J525" s="25" t="str">
        <f aca="false">IF($H525="","",N($H525)-N($I525))</f>
        <v/>
      </c>
      <c r="K525" s="25"/>
      <c r="L525" s="25" t="str">
        <f aca="false">IF($A525="","",SUMIF($A$4:$A525,$A525,$J$4:$J525)-SUMIF($A$4:$A525,$A525,$K$4:$K525))</f>
        <v/>
      </c>
      <c r="M525" s="26" t="str">
        <f aca="false">IF($H525="","",N($H525))</f>
        <v/>
      </c>
      <c r="N525" s="26"/>
      <c r="O525" s="26"/>
      <c r="P525" s="26" t="str">
        <f aca="false">IF($A525="","",SUMIF($A$4:$A525,$A525,$M$4:$M525)-SUMIF($A$4:$A525,$A525,$N$4:$N525)-SUMIF($A$4:$A525,$A525,$O$4:$O525))</f>
        <v/>
      </c>
      <c r="Q525" s="27"/>
      <c r="R525" s="28"/>
      <c r="S525" s="28"/>
      <c r="T525" s="28" t="str">
        <f aca="false">IF($A525="","",SUMIF($A$4:$A525,$A525,$Q$4:$Q525)-SUMIF($A$4:$A525,$A525,$R$4:$R525)-SUMIF($A$4:$A525,$A525,$S$4:$S525))</f>
        <v/>
      </c>
      <c r="U525" s="28"/>
      <c r="V525" s="29" t="str">
        <f aca="false">IF(AND($C525="",COUNTA($D525:$H525,$K525,$N525:$O525,$Q525:$S525,$U525)=0),"",IF($C525="","⚠ 没填项目名称",IF($A525="⚠目录里没有","⚠ 项目名称在目录里找不到（先加到目录）",IF($A525="","⚠ 目录里这个项目没填简称",IF(ISTEXT($G525)+ISTEXT($H525)+ISTEXT($K525)+ISTEXT($N525)+ISTEXT($O525)+ISTEXT($Q525)+ISTEXT($R525)+ISTEXT($S525)&gt;0,"⚠ 金额列里有文字，算不进合计",IF(N($G525)&gt;=1,"⚠ 管理费点要填百分比，如 10%",IF(AND($D525&lt;&gt;"",$B525=""),"△ 摘要开头没写日期（如 2026.9.21），月份取不到",IF(AND(N($H525)&lt;&gt;0,COUNTIFS($A$4:$A$1003,$A525,$H$4:$H$1003,$H525,$D$4:$D$1003,LEFT($D525,9)&amp;"*")&gt;1),"△ 同一天同项目有一样的销售金额，看看是不是录重了","✓"))))))))</f>
        <v/>
      </c>
      <c r="W525" s="8" t="str">
        <f aca="false">IF($A525="","",$A525&amp;"#"&amp;COUNTIF($A$4:$A525,$A525))</f>
        <v/>
      </c>
    </row>
    <row r="526" customFormat="false" ht="16.5" hidden="false" customHeight="false" outlineLevel="0" collapsed="false">
      <c r="A526" s="44" t="str">
        <f aca="false">IF($C526="","",IFERROR(VLOOKUP($C526,目录!$B:$C,2,0)&amp;"","⚠目录里没有"))</f>
        <v/>
      </c>
      <c r="B526" s="45" t="str">
        <f aca="false">IF($D526="","",IFERROR(MID($D526,FIND(".",$D526)+1,FIND(".",$D526,FIND(".",$D526)+1)-FIND(".",$D526)-1)&amp;"月",""))</f>
        <v/>
      </c>
      <c r="C526" s="46"/>
      <c r="D526" s="47"/>
      <c r="E526" s="47"/>
      <c r="F526" s="49"/>
      <c r="G526" s="50"/>
      <c r="H526" s="24"/>
      <c r="I526" s="24" t="str">
        <f aca="false">IF($H526="","",N($H526)*N($G526))</f>
        <v/>
      </c>
      <c r="J526" s="25" t="str">
        <f aca="false">IF($H526="","",N($H526)-N($I526))</f>
        <v/>
      </c>
      <c r="K526" s="25"/>
      <c r="L526" s="25" t="str">
        <f aca="false">IF($A526="","",SUMIF($A$4:$A526,$A526,$J$4:$J526)-SUMIF($A$4:$A526,$A526,$K$4:$K526))</f>
        <v/>
      </c>
      <c r="M526" s="26" t="str">
        <f aca="false">IF($H526="","",N($H526))</f>
        <v/>
      </c>
      <c r="N526" s="26"/>
      <c r="O526" s="26"/>
      <c r="P526" s="26" t="str">
        <f aca="false">IF($A526="","",SUMIF($A$4:$A526,$A526,$M$4:$M526)-SUMIF($A$4:$A526,$A526,$N$4:$N526)-SUMIF($A$4:$A526,$A526,$O$4:$O526))</f>
        <v/>
      </c>
      <c r="Q526" s="27"/>
      <c r="R526" s="28"/>
      <c r="S526" s="28"/>
      <c r="T526" s="28" t="str">
        <f aca="false">IF($A526="","",SUMIF($A$4:$A526,$A526,$Q$4:$Q526)-SUMIF($A$4:$A526,$A526,$R$4:$R526)-SUMIF($A$4:$A526,$A526,$S$4:$S526))</f>
        <v/>
      </c>
      <c r="U526" s="28"/>
      <c r="V526" s="29" t="str">
        <f aca="false">IF(AND($C526="",COUNTA($D526:$H526,$K526,$N526:$O526,$Q526:$S526,$U526)=0),"",IF($C526="","⚠ 没填项目名称",IF($A526="⚠目录里没有","⚠ 项目名称在目录里找不到（先加到目录）",IF($A526="","⚠ 目录里这个项目没填简称",IF(ISTEXT($G526)+ISTEXT($H526)+ISTEXT($K526)+ISTEXT($N526)+ISTEXT($O526)+ISTEXT($Q526)+ISTEXT($R526)+ISTEXT($S526)&gt;0,"⚠ 金额列里有文字，算不进合计",IF(N($G526)&gt;=1,"⚠ 管理费点要填百分比，如 10%",IF(AND($D526&lt;&gt;"",$B526=""),"△ 摘要开头没写日期（如 2026.9.21），月份取不到",IF(AND(N($H526)&lt;&gt;0,COUNTIFS($A$4:$A$1003,$A526,$H$4:$H$1003,$H526,$D$4:$D$1003,LEFT($D526,9)&amp;"*")&gt;1),"△ 同一天同项目有一样的销售金额，看看是不是录重了","✓"))))))))</f>
        <v/>
      </c>
      <c r="W526" s="8" t="str">
        <f aca="false">IF($A526="","",$A526&amp;"#"&amp;COUNTIF($A$4:$A526,$A526))</f>
        <v/>
      </c>
    </row>
    <row r="527" customFormat="false" ht="16.5" hidden="false" customHeight="false" outlineLevel="0" collapsed="false">
      <c r="A527" s="44" t="str">
        <f aca="false">IF($C527="","",IFERROR(VLOOKUP($C527,目录!$B:$C,2,0)&amp;"","⚠目录里没有"))</f>
        <v/>
      </c>
      <c r="B527" s="45" t="str">
        <f aca="false">IF($D527="","",IFERROR(MID($D527,FIND(".",$D527)+1,FIND(".",$D527,FIND(".",$D527)+1)-FIND(".",$D527)-1)&amp;"月",""))</f>
        <v/>
      </c>
      <c r="C527" s="46"/>
      <c r="D527" s="47"/>
      <c r="E527" s="47"/>
      <c r="F527" s="49"/>
      <c r="G527" s="50"/>
      <c r="H527" s="24"/>
      <c r="I527" s="24" t="str">
        <f aca="false">IF($H527="","",N($H527)*N($G527))</f>
        <v/>
      </c>
      <c r="J527" s="25" t="str">
        <f aca="false">IF($H527="","",N($H527)-N($I527))</f>
        <v/>
      </c>
      <c r="K527" s="25"/>
      <c r="L527" s="25" t="str">
        <f aca="false">IF($A527="","",SUMIF($A$4:$A527,$A527,$J$4:$J527)-SUMIF($A$4:$A527,$A527,$K$4:$K527))</f>
        <v/>
      </c>
      <c r="M527" s="26" t="str">
        <f aca="false">IF($H527="","",N($H527))</f>
        <v/>
      </c>
      <c r="N527" s="26"/>
      <c r="O527" s="26"/>
      <c r="P527" s="26" t="str">
        <f aca="false">IF($A527="","",SUMIF($A$4:$A527,$A527,$M$4:$M527)-SUMIF($A$4:$A527,$A527,$N$4:$N527)-SUMIF($A$4:$A527,$A527,$O$4:$O527))</f>
        <v/>
      </c>
      <c r="Q527" s="27"/>
      <c r="R527" s="28"/>
      <c r="S527" s="28"/>
      <c r="T527" s="28" t="str">
        <f aca="false">IF($A527="","",SUMIF($A$4:$A527,$A527,$Q$4:$Q527)-SUMIF($A$4:$A527,$A527,$R$4:$R527)-SUMIF($A$4:$A527,$A527,$S$4:$S527))</f>
        <v/>
      </c>
      <c r="U527" s="28"/>
      <c r="V527" s="29" t="str">
        <f aca="false">IF(AND($C527="",COUNTA($D527:$H527,$K527,$N527:$O527,$Q527:$S527,$U527)=0),"",IF($C527="","⚠ 没填项目名称",IF($A527="⚠目录里没有","⚠ 项目名称在目录里找不到（先加到目录）",IF($A527="","⚠ 目录里这个项目没填简称",IF(ISTEXT($G527)+ISTEXT($H527)+ISTEXT($K527)+ISTEXT($N527)+ISTEXT($O527)+ISTEXT($Q527)+ISTEXT($R527)+ISTEXT($S527)&gt;0,"⚠ 金额列里有文字，算不进合计",IF(N($G527)&gt;=1,"⚠ 管理费点要填百分比，如 10%",IF(AND($D527&lt;&gt;"",$B527=""),"△ 摘要开头没写日期（如 2026.9.21），月份取不到",IF(AND(N($H527)&lt;&gt;0,COUNTIFS($A$4:$A$1003,$A527,$H$4:$H$1003,$H527,$D$4:$D$1003,LEFT($D527,9)&amp;"*")&gt;1),"△ 同一天同项目有一样的销售金额，看看是不是录重了","✓"))))))))</f>
        <v/>
      </c>
      <c r="W527" s="8" t="str">
        <f aca="false">IF($A527="","",$A527&amp;"#"&amp;COUNTIF($A$4:$A527,$A527))</f>
        <v/>
      </c>
    </row>
    <row r="528" customFormat="false" ht="16.5" hidden="false" customHeight="false" outlineLevel="0" collapsed="false">
      <c r="A528" s="44" t="str">
        <f aca="false">IF($C528="","",IFERROR(VLOOKUP($C528,目录!$B:$C,2,0)&amp;"","⚠目录里没有"))</f>
        <v/>
      </c>
      <c r="B528" s="45" t="str">
        <f aca="false">IF($D528="","",IFERROR(MID($D528,FIND(".",$D528)+1,FIND(".",$D528,FIND(".",$D528)+1)-FIND(".",$D528)-1)&amp;"月",""))</f>
        <v/>
      </c>
      <c r="C528" s="46"/>
      <c r="D528" s="47"/>
      <c r="E528" s="47"/>
      <c r="F528" s="49"/>
      <c r="G528" s="50"/>
      <c r="H528" s="24"/>
      <c r="I528" s="24" t="str">
        <f aca="false">IF($H528="","",N($H528)*N($G528))</f>
        <v/>
      </c>
      <c r="J528" s="25" t="str">
        <f aca="false">IF($H528="","",N($H528)-N($I528))</f>
        <v/>
      </c>
      <c r="K528" s="25"/>
      <c r="L528" s="25" t="str">
        <f aca="false">IF($A528="","",SUMIF($A$4:$A528,$A528,$J$4:$J528)-SUMIF($A$4:$A528,$A528,$K$4:$K528))</f>
        <v/>
      </c>
      <c r="M528" s="26" t="str">
        <f aca="false">IF($H528="","",N($H528))</f>
        <v/>
      </c>
      <c r="N528" s="26"/>
      <c r="O528" s="26"/>
      <c r="P528" s="26" t="str">
        <f aca="false">IF($A528="","",SUMIF($A$4:$A528,$A528,$M$4:$M528)-SUMIF($A$4:$A528,$A528,$N$4:$N528)-SUMIF($A$4:$A528,$A528,$O$4:$O528))</f>
        <v/>
      </c>
      <c r="Q528" s="27"/>
      <c r="R528" s="28"/>
      <c r="S528" s="28"/>
      <c r="T528" s="28" t="str">
        <f aca="false">IF($A528="","",SUMIF($A$4:$A528,$A528,$Q$4:$Q528)-SUMIF($A$4:$A528,$A528,$R$4:$R528)-SUMIF($A$4:$A528,$A528,$S$4:$S528))</f>
        <v/>
      </c>
      <c r="U528" s="28"/>
      <c r="V528" s="29" t="str">
        <f aca="false">IF(AND($C528="",COUNTA($D528:$H528,$K528,$N528:$O528,$Q528:$S528,$U528)=0),"",IF($C528="","⚠ 没填项目名称",IF($A528="⚠目录里没有","⚠ 项目名称在目录里找不到（先加到目录）",IF($A528="","⚠ 目录里这个项目没填简称",IF(ISTEXT($G528)+ISTEXT($H528)+ISTEXT($K528)+ISTEXT($N528)+ISTEXT($O528)+ISTEXT($Q528)+ISTEXT($R528)+ISTEXT($S528)&gt;0,"⚠ 金额列里有文字，算不进合计",IF(N($G528)&gt;=1,"⚠ 管理费点要填百分比，如 10%",IF(AND($D528&lt;&gt;"",$B528=""),"△ 摘要开头没写日期（如 2026.9.21），月份取不到",IF(AND(N($H528)&lt;&gt;0,COUNTIFS($A$4:$A$1003,$A528,$H$4:$H$1003,$H528,$D$4:$D$1003,LEFT($D528,9)&amp;"*")&gt;1),"△ 同一天同项目有一样的销售金额，看看是不是录重了","✓"))))))))</f>
        <v/>
      </c>
      <c r="W528" s="8" t="str">
        <f aca="false">IF($A528="","",$A528&amp;"#"&amp;COUNTIF($A$4:$A528,$A528))</f>
        <v/>
      </c>
    </row>
    <row r="529" customFormat="false" ht="16.5" hidden="false" customHeight="false" outlineLevel="0" collapsed="false">
      <c r="A529" s="44" t="str">
        <f aca="false">IF($C529="","",IFERROR(VLOOKUP($C529,目录!$B:$C,2,0)&amp;"","⚠目录里没有"))</f>
        <v/>
      </c>
      <c r="B529" s="45" t="str">
        <f aca="false">IF($D529="","",IFERROR(MID($D529,FIND(".",$D529)+1,FIND(".",$D529,FIND(".",$D529)+1)-FIND(".",$D529)-1)&amp;"月",""))</f>
        <v/>
      </c>
      <c r="C529" s="46"/>
      <c r="D529" s="47"/>
      <c r="E529" s="47"/>
      <c r="F529" s="49"/>
      <c r="G529" s="50"/>
      <c r="H529" s="24"/>
      <c r="I529" s="24" t="str">
        <f aca="false">IF($H529="","",N($H529)*N($G529))</f>
        <v/>
      </c>
      <c r="J529" s="25" t="str">
        <f aca="false">IF($H529="","",N($H529)-N($I529))</f>
        <v/>
      </c>
      <c r="K529" s="25"/>
      <c r="L529" s="25" t="str">
        <f aca="false">IF($A529="","",SUMIF($A$4:$A529,$A529,$J$4:$J529)-SUMIF($A$4:$A529,$A529,$K$4:$K529))</f>
        <v/>
      </c>
      <c r="M529" s="26" t="str">
        <f aca="false">IF($H529="","",N($H529))</f>
        <v/>
      </c>
      <c r="N529" s="26"/>
      <c r="O529" s="26"/>
      <c r="P529" s="26" t="str">
        <f aca="false">IF($A529="","",SUMIF($A$4:$A529,$A529,$M$4:$M529)-SUMIF($A$4:$A529,$A529,$N$4:$N529)-SUMIF($A$4:$A529,$A529,$O$4:$O529))</f>
        <v/>
      </c>
      <c r="Q529" s="27"/>
      <c r="R529" s="28"/>
      <c r="S529" s="28"/>
      <c r="T529" s="28" t="str">
        <f aca="false">IF($A529="","",SUMIF($A$4:$A529,$A529,$Q$4:$Q529)-SUMIF($A$4:$A529,$A529,$R$4:$R529)-SUMIF($A$4:$A529,$A529,$S$4:$S529))</f>
        <v/>
      </c>
      <c r="U529" s="28"/>
      <c r="V529" s="29" t="str">
        <f aca="false">IF(AND($C529="",COUNTA($D529:$H529,$K529,$N529:$O529,$Q529:$S529,$U529)=0),"",IF($C529="","⚠ 没填项目名称",IF($A529="⚠目录里没有","⚠ 项目名称在目录里找不到（先加到目录）",IF($A529="","⚠ 目录里这个项目没填简称",IF(ISTEXT($G529)+ISTEXT($H529)+ISTEXT($K529)+ISTEXT($N529)+ISTEXT($O529)+ISTEXT($Q529)+ISTEXT($R529)+ISTEXT($S529)&gt;0,"⚠ 金额列里有文字，算不进合计",IF(N($G529)&gt;=1,"⚠ 管理费点要填百分比，如 10%",IF(AND($D529&lt;&gt;"",$B529=""),"△ 摘要开头没写日期（如 2026.9.21），月份取不到",IF(AND(N($H529)&lt;&gt;0,COUNTIFS($A$4:$A$1003,$A529,$H$4:$H$1003,$H529,$D$4:$D$1003,LEFT($D529,9)&amp;"*")&gt;1),"△ 同一天同项目有一样的销售金额，看看是不是录重了","✓"))))))))</f>
        <v/>
      </c>
      <c r="W529" s="8" t="str">
        <f aca="false">IF($A529="","",$A529&amp;"#"&amp;COUNTIF($A$4:$A529,$A529))</f>
        <v/>
      </c>
    </row>
    <row r="530" customFormat="false" ht="16.5" hidden="false" customHeight="false" outlineLevel="0" collapsed="false">
      <c r="A530" s="44" t="str">
        <f aca="false">IF($C530="","",IFERROR(VLOOKUP($C530,目录!$B:$C,2,0)&amp;"","⚠目录里没有"))</f>
        <v/>
      </c>
      <c r="B530" s="45" t="str">
        <f aca="false">IF($D530="","",IFERROR(MID($D530,FIND(".",$D530)+1,FIND(".",$D530,FIND(".",$D530)+1)-FIND(".",$D530)-1)&amp;"月",""))</f>
        <v/>
      </c>
      <c r="C530" s="46"/>
      <c r="D530" s="47"/>
      <c r="E530" s="47"/>
      <c r="F530" s="49"/>
      <c r="G530" s="50"/>
      <c r="H530" s="24"/>
      <c r="I530" s="24" t="str">
        <f aca="false">IF($H530="","",N($H530)*N($G530))</f>
        <v/>
      </c>
      <c r="J530" s="25" t="str">
        <f aca="false">IF($H530="","",N($H530)-N($I530))</f>
        <v/>
      </c>
      <c r="K530" s="25"/>
      <c r="L530" s="25" t="str">
        <f aca="false">IF($A530="","",SUMIF($A$4:$A530,$A530,$J$4:$J530)-SUMIF($A$4:$A530,$A530,$K$4:$K530))</f>
        <v/>
      </c>
      <c r="M530" s="26" t="str">
        <f aca="false">IF($H530="","",N($H530))</f>
        <v/>
      </c>
      <c r="N530" s="26"/>
      <c r="O530" s="26"/>
      <c r="P530" s="26" t="str">
        <f aca="false">IF($A530="","",SUMIF($A$4:$A530,$A530,$M$4:$M530)-SUMIF($A$4:$A530,$A530,$N$4:$N530)-SUMIF($A$4:$A530,$A530,$O$4:$O530))</f>
        <v/>
      </c>
      <c r="Q530" s="27"/>
      <c r="R530" s="28"/>
      <c r="S530" s="28"/>
      <c r="T530" s="28" t="str">
        <f aca="false">IF($A530="","",SUMIF($A$4:$A530,$A530,$Q$4:$Q530)-SUMIF($A$4:$A530,$A530,$R$4:$R530)-SUMIF($A$4:$A530,$A530,$S$4:$S530))</f>
        <v/>
      </c>
      <c r="U530" s="28"/>
      <c r="V530" s="29" t="str">
        <f aca="false">IF(AND($C530="",COUNTA($D530:$H530,$K530,$N530:$O530,$Q530:$S530,$U530)=0),"",IF($C530="","⚠ 没填项目名称",IF($A530="⚠目录里没有","⚠ 项目名称在目录里找不到（先加到目录）",IF($A530="","⚠ 目录里这个项目没填简称",IF(ISTEXT($G530)+ISTEXT($H530)+ISTEXT($K530)+ISTEXT($N530)+ISTEXT($O530)+ISTEXT($Q530)+ISTEXT($R530)+ISTEXT($S530)&gt;0,"⚠ 金额列里有文字，算不进合计",IF(N($G530)&gt;=1,"⚠ 管理费点要填百分比，如 10%",IF(AND($D530&lt;&gt;"",$B530=""),"△ 摘要开头没写日期（如 2026.9.21），月份取不到",IF(AND(N($H530)&lt;&gt;0,COUNTIFS($A$4:$A$1003,$A530,$H$4:$H$1003,$H530,$D$4:$D$1003,LEFT($D530,9)&amp;"*")&gt;1),"△ 同一天同项目有一样的销售金额，看看是不是录重了","✓"))))))))</f>
        <v/>
      </c>
      <c r="W530" s="8" t="str">
        <f aca="false">IF($A530="","",$A530&amp;"#"&amp;COUNTIF($A$4:$A530,$A530))</f>
        <v/>
      </c>
    </row>
    <row r="531" customFormat="false" ht="16.5" hidden="false" customHeight="false" outlineLevel="0" collapsed="false">
      <c r="A531" s="44" t="str">
        <f aca="false">IF($C531="","",IFERROR(VLOOKUP($C531,目录!$B:$C,2,0)&amp;"","⚠目录里没有"))</f>
        <v/>
      </c>
      <c r="B531" s="45" t="str">
        <f aca="false">IF($D531="","",IFERROR(MID($D531,FIND(".",$D531)+1,FIND(".",$D531,FIND(".",$D531)+1)-FIND(".",$D531)-1)&amp;"月",""))</f>
        <v/>
      </c>
      <c r="C531" s="46"/>
      <c r="D531" s="47"/>
      <c r="E531" s="47"/>
      <c r="F531" s="49"/>
      <c r="G531" s="50"/>
      <c r="H531" s="24"/>
      <c r="I531" s="24" t="str">
        <f aca="false">IF($H531="","",N($H531)*N($G531))</f>
        <v/>
      </c>
      <c r="J531" s="25" t="str">
        <f aca="false">IF($H531="","",N($H531)-N($I531))</f>
        <v/>
      </c>
      <c r="K531" s="25"/>
      <c r="L531" s="25" t="str">
        <f aca="false">IF($A531="","",SUMIF($A$4:$A531,$A531,$J$4:$J531)-SUMIF($A$4:$A531,$A531,$K$4:$K531))</f>
        <v/>
      </c>
      <c r="M531" s="26" t="str">
        <f aca="false">IF($H531="","",N($H531))</f>
        <v/>
      </c>
      <c r="N531" s="26"/>
      <c r="O531" s="26"/>
      <c r="P531" s="26" t="str">
        <f aca="false">IF($A531="","",SUMIF($A$4:$A531,$A531,$M$4:$M531)-SUMIF($A$4:$A531,$A531,$N$4:$N531)-SUMIF($A$4:$A531,$A531,$O$4:$O531))</f>
        <v/>
      </c>
      <c r="Q531" s="27"/>
      <c r="R531" s="28"/>
      <c r="S531" s="28"/>
      <c r="T531" s="28" t="str">
        <f aca="false">IF($A531="","",SUMIF($A$4:$A531,$A531,$Q$4:$Q531)-SUMIF($A$4:$A531,$A531,$R$4:$R531)-SUMIF($A$4:$A531,$A531,$S$4:$S531))</f>
        <v/>
      </c>
      <c r="U531" s="28"/>
      <c r="V531" s="29" t="str">
        <f aca="false">IF(AND($C531="",COUNTA($D531:$H531,$K531,$N531:$O531,$Q531:$S531,$U531)=0),"",IF($C531="","⚠ 没填项目名称",IF($A531="⚠目录里没有","⚠ 项目名称在目录里找不到（先加到目录）",IF($A531="","⚠ 目录里这个项目没填简称",IF(ISTEXT($G531)+ISTEXT($H531)+ISTEXT($K531)+ISTEXT($N531)+ISTEXT($O531)+ISTEXT($Q531)+ISTEXT($R531)+ISTEXT($S531)&gt;0,"⚠ 金额列里有文字，算不进合计",IF(N($G531)&gt;=1,"⚠ 管理费点要填百分比，如 10%",IF(AND($D531&lt;&gt;"",$B531=""),"△ 摘要开头没写日期（如 2026.9.21），月份取不到",IF(AND(N($H531)&lt;&gt;0,COUNTIFS($A$4:$A$1003,$A531,$H$4:$H$1003,$H531,$D$4:$D$1003,LEFT($D531,9)&amp;"*")&gt;1),"△ 同一天同项目有一样的销售金额，看看是不是录重了","✓"))))))))</f>
        <v/>
      </c>
      <c r="W531" s="8" t="str">
        <f aca="false">IF($A531="","",$A531&amp;"#"&amp;COUNTIF($A$4:$A531,$A531))</f>
        <v/>
      </c>
    </row>
    <row r="532" customFormat="false" ht="16.5" hidden="false" customHeight="false" outlineLevel="0" collapsed="false">
      <c r="A532" s="44" t="str">
        <f aca="false">IF($C532="","",IFERROR(VLOOKUP($C532,目录!$B:$C,2,0)&amp;"","⚠目录里没有"))</f>
        <v/>
      </c>
      <c r="B532" s="45" t="str">
        <f aca="false">IF($D532="","",IFERROR(MID($D532,FIND(".",$D532)+1,FIND(".",$D532,FIND(".",$D532)+1)-FIND(".",$D532)-1)&amp;"月",""))</f>
        <v/>
      </c>
      <c r="C532" s="46"/>
      <c r="D532" s="47"/>
      <c r="E532" s="47"/>
      <c r="F532" s="49"/>
      <c r="G532" s="50"/>
      <c r="H532" s="24"/>
      <c r="I532" s="24" t="str">
        <f aca="false">IF($H532="","",N($H532)*N($G532))</f>
        <v/>
      </c>
      <c r="J532" s="25" t="str">
        <f aca="false">IF($H532="","",N($H532)-N($I532))</f>
        <v/>
      </c>
      <c r="K532" s="25"/>
      <c r="L532" s="25" t="str">
        <f aca="false">IF($A532="","",SUMIF($A$4:$A532,$A532,$J$4:$J532)-SUMIF($A$4:$A532,$A532,$K$4:$K532))</f>
        <v/>
      </c>
      <c r="M532" s="26" t="str">
        <f aca="false">IF($H532="","",N($H532))</f>
        <v/>
      </c>
      <c r="N532" s="26"/>
      <c r="O532" s="26"/>
      <c r="P532" s="26" t="str">
        <f aca="false">IF($A532="","",SUMIF($A$4:$A532,$A532,$M$4:$M532)-SUMIF($A$4:$A532,$A532,$N$4:$N532)-SUMIF($A$4:$A532,$A532,$O$4:$O532))</f>
        <v/>
      </c>
      <c r="Q532" s="27"/>
      <c r="R532" s="28"/>
      <c r="S532" s="28"/>
      <c r="T532" s="28" t="str">
        <f aca="false">IF($A532="","",SUMIF($A$4:$A532,$A532,$Q$4:$Q532)-SUMIF($A$4:$A532,$A532,$R$4:$R532)-SUMIF($A$4:$A532,$A532,$S$4:$S532))</f>
        <v/>
      </c>
      <c r="U532" s="28"/>
      <c r="V532" s="29" t="str">
        <f aca="false">IF(AND($C532="",COUNTA($D532:$H532,$K532,$N532:$O532,$Q532:$S532,$U532)=0),"",IF($C532="","⚠ 没填项目名称",IF($A532="⚠目录里没有","⚠ 项目名称在目录里找不到（先加到目录）",IF($A532="","⚠ 目录里这个项目没填简称",IF(ISTEXT($G532)+ISTEXT($H532)+ISTEXT($K532)+ISTEXT($N532)+ISTEXT($O532)+ISTEXT($Q532)+ISTEXT($R532)+ISTEXT($S532)&gt;0,"⚠ 金额列里有文字，算不进合计",IF(N($G532)&gt;=1,"⚠ 管理费点要填百分比，如 10%",IF(AND($D532&lt;&gt;"",$B532=""),"△ 摘要开头没写日期（如 2026.9.21），月份取不到",IF(AND(N($H532)&lt;&gt;0,COUNTIFS($A$4:$A$1003,$A532,$H$4:$H$1003,$H532,$D$4:$D$1003,LEFT($D532,9)&amp;"*")&gt;1),"△ 同一天同项目有一样的销售金额，看看是不是录重了","✓"))))))))</f>
        <v/>
      </c>
      <c r="W532" s="8" t="str">
        <f aca="false">IF($A532="","",$A532&amp;"#"&amp;COUNTIF($A$4:$A532,$A532))</f>
        <v/>
      </c>
    </row>
    <row r="533" customFormat="false" ht="16.5" hidden="false" customHeight="false" outlineLevel="0" collapsed="false">
      <c r="A533" s="44" t="str">
        <f aca="false">IF($C533="","",IFERROR(VLOOKUP($C533,目录!$B:$C,2,0)&amp;"","⚠目录里没有"))</f>
        <v/>
      </c>
      <c r="B533" s="45" t="str">
        <f aca="false">IF($D533="","",IFERROR(MID($D533,FIND(".",$D533)+1,FIND(".",$D533,FIND(".",$D533)+1)-FIND(".",$D533)-1)&amp;"月",""))</f>
        <v/>
      </c>
      <c r="C533" s="46"/>
      <c r="D533" s="47"/>
      <c r="E533" s="47"/>
      <c r="F533" s="49"/>
      <c r="G533" s="50"/>
      <c r="H533" s="24"/>
      <c r="I533" s="24" t="str">
        <f aca="false">IF($H533="","",N($H533)*N($G533))</f>
        <v/>
      </c>
      <c r="J533" s="25" t="str">
        <f aca="false">IF($H533="","",N($H533)-N($I533))</f>
        <v/>
      </c>
      <c r="K533" s="25"/>
      <c r="L533" s="25" t="str">
        <f aca="false">IF($A533="","",SUMIF($A$4:$A533,$A533,$J$4:$J533)-SUMIF($A$4:$A533,$A533,$K$4:$K533))</f>
        <v/>
      </c>
      <c r="M533" s="26" t="str">
        <f aca="false">IF($H533="","",N($H533))</f>
        <v/>
      </c>
      <c r="N533" s="26"/>
      <c r="O533" s="26"/>
      <c r="P533" s="26" t="str">
        <f aca="false">IF($A533="","",SUMIF($A$4:$A533,$A533,$M$4:$M533)-SUMIF($A$4:$A533,$A533,$N$4:$N533)-SUMIF($A$4:$A533,$A533,$O$4:$O533))</f>
        <v/>
      </c>
      <c r="Q533" s="27"/>
      <c r="R533" s="28"/>
      <c r="S533" s="28"/>
      <c r="T533" s="28" t="str">
        <f aca="false">IF($A533="","",SUMIF($A$4:$A533,$A533,$Q$4:$Q533)-SUMIF($A$4:$A533,$A533,$R$4:$R533)-SUMIF($A$4:$A533,$A533,$S$4:$S533))</f>
        <v/>
      </c>
      <c r="U533" s="28"/>
      <c r="V533" s="29" t="str">
        <f aca="false">IF(AND($C533="",COUNTA($D533:$H533,$K533,$N533:$O533,$Q533:$S533,$U533)=0),"",IF($C533="","⚠ 没填项目名称",IF($A533="⚠目录里没有","⚠ 项目名称在目录里找不到（先加到目录）",IF($A533="","⚠ 目录里这个项目没填简称",IF(ISTEXT($G533)+ISTEXT($H533)+ISTEXT($K533)+ISTEXT($N533)+ISTEXT($O533)+ISTEXT($Q533)+ISTEXT($R533)+ISTEXT($S533)&gt;0,"⚠ 金额列里有文字，算不进合计",IF(N($G533)&gt;=1,"⚠ 管理费点要填百分比，如 10%",IF(AND($D533&lt;&gt;"",$B533=""),"△ 摘要开头没写日期（如 2026.9.21），月份取不到",IF(AND(N($H533)&lt;&gt;0,COUNTIFS($A$4:$A$1003,$A533,$H$4:$H$1003,$H533,$D$4:$D$1003,LEFT($D533,9)&amp;"*")&gt;1),"△ 同一天同项目有一样的销售金额，看看是不是录重了","✓"))))))))</f>
        <v/>
      </c>
      <c r="W533" s="8" t="str">
        <f aca="false">IF($A533="","",$A533&amp;"#"&amp;COUNTIF($A$4:$A533,$A533))</f>
        <v/>
      </c>
    </row>
    <row r="534" customFormat="false" ht="16.5" hidden="false" customHeight="false" outlineLevel="0" collapsed="false">
      <c r="A534" s="44" t="str">
        <f aca="false">IF($C534="","",IFERROR(VLOOKUP($C534,目录!$B:$C,2,0)&amp;"","⚠目录里没有"))</f>
        <v/>
      </c>
      <c r="B534" s="45" t="str">
        <f aca="false">IF($D534="","",IFERROR(MID($D534,FIND(".",$D534)+1,FIND(".",$D534,FIND(".",$D534)+1)-FIND(".",$D534)-1)&amp;"月",""))</f>
        <v/>
      </c>
      <c r="C534" s="46"/>
      <c r="D534" s="47"/>
      <c r="E534" s="47"/>
      <c r="F534" s="49"/>
      <c r="G534" s="50"/>
      <c r="H534" s="24"/>
      <c r="I534" s="24" t="str">
        <f aca="false">IF($H534="","",N($H534)*N($G534))</f>
        <v/>
      </c>
      <c r="J534" s="25" t="str">
        <f aca="false">IF($H534="","",N($H534)-N($I534))</f>
        <v/>
      </c>
      <c r="K534" s="25"/>
      <c r="L534" s="25" t="str">
        <f aca="false">IF($A534="","",SUMIF($A$4:$A534,$A534,$J$4:$J534)-SUMIF($A$4:$A534,$A534,$K$4:$K534))</f>
        <v/>
      </c>
      <c r="M534" s="26" t="str">
        <f aca="false">IF($H534="","",N($H534))</f>
        <v/>
      </c>
      <c r="N534" s="26"/>
      <c r="O534" s="26"/>
      <c r="P534" s="26" t="str">
        <f aca="false">IF($A534="","",SUMIF($A$4:$A534,$A534,$M$4:$M534)-SUMIF($A$4:$A534,$A534,$N$4:$N534)-SUMIF($A$4:$A534,$A534,$O$4:$O534))</f>
        <v/>
      </c>
      <c r="Q534" s="27"/>
      <c r="R534" s="28"/>
      <c r="S534" s="28"/>
      <c r="T534" s="28" t="str">
        <f aca="false">IF($A534="","",SUMIF($A$4:$A534,$A534,$Q$4:$Q534)-SUMIF($A$4:$A534,$A534,$R$4:$R534)-SUMIF($A$4:$A534,$A534,$S$4:$S534))</f>
        <v/>
      </c>
      <c r="U534" s="28"/>
      <c r="V534" s="29" t="str">
        <f aca="false">IF(AND($C534="",COUNTA($D534:$H534,$K534,$N534:$O534,$Q534:$S534,$U534)=0),"",IF($C534="","⚠ 没填项目名称",IF($A534="⚠目录里没有","⚠ 项目名称在目录里找不到（先加到目录）",IF($A534="","⚠ 目录里这个项目没填简称",IF(ISTEXT($G534)+ISTEXT($H534)+ISTEXT($K534)+ISTEXT($N534)+ISTEXT($O534)+ISTEXT($Q534)+ISTEXT($R534)+ISTEXT($S534)&gt;0,"⚠ 金额列里有文字，算不进合计",IF(N($G534)&gt;=1,"⚠ 管理费点要填百分比，如 10%",IF(AND($D534&lt;&gt;"",$B534=""),"△ 摘要开头没写日期（如 2026.9.21），月份取不到",IF(AND(N($H534)&lt;&gt;0,COUNTIFS($A$4:$A$1003,$A534,$H$4:$H$1003,$H534,$D$4:$D$1003,LEFT($D534,9)&amp;"*")&gt;1),"△ 同一天同项目有一样的销售金额，看看是不是录重了","✓"))))))))</f>
        <v/>
      </c>
      <c r="W534" s="8" t="str">
        <f aca="false">IF($A534="","",$A534&amp;"#"&amp;COUNTIF($A$4:$A534,$A534))</f>
        <v/>
      </c>
    </row>
    <row r="535" customFormat="false" ht="16.5" hidden="false" customHeight="false" outlineLevel="0" collapsed="false">
      <c r="A535" s="44" t="str">
        <f aca="false">IF($C535="","",IFERROR(VLOOKUP($C535,目录!$B:$C,2,0)&amp;"","⚠目录里没有"))</f>
        <v/>
      </c>
      <c r="B535" s="45" t="str">
        <f aca="false">IF($D535="","",IFERROR(MID($D535,FIND(".",$D535)+1,FIND(".",$D535,FIND(".",$D535)+1)-FIND(".",$D535)-1)&amp;"月",""))</f>
        <v/>
      </c>
      <c r="C535" s="46"/>
      <c r="D535" s="47"/>
      <c r="E535" s="47"/>
      <c r="F535" s="49"/>
      <c r="G535" s="50"/>
      <c r="H535" s="24"/>
      <c r="I535" s="24" t="str">
        <f aca="false">IF($H535="","",N($H535)*N($G535))</f>
        <v/>
      </c>
      <c r="J535" s="25" t="str">
        <f aca="false">IF($H535="","",N($H535)-N($I535))</f>
        <v/>
      </c>
      <c r="K535" s="25"/>
      <c r="L535" s="25" t="str">
        <f aca="false">IF($A535="","",SUMIF($A$4:$A535,$A535,$J$4:$J535)-SUMIF($A$4:$A535,$A535,$K$4:$K535))</f>
        <v/>
      </c>
      <c r="M535" s="26" t="str">
        <f aca="false">IF($H535="","",N($H535))</f>
        <v/>
      </c>
      <c r="N535" s="26"/>
      <c r="O535" s="26"/>
      <c r="P535" s="26" t="str">
        <f aca="false">IF($A535="","",SUMIF($A$4:$A535,$A535,$M$4:$M535)-SUMIF($A$4:$A535,$A535,$N$4:$N535)-SUMIF($A$4:$A535,$A535,$O$4:$O535))</f>
        <v/>
      </c>
      <c r="Q535" s="27"/>
      <c r="R535" s="28"/>
      <c r="S535" s="28"/>
      <c r="T535" s="28" t="str">
        <f aca="false">IF($A535="","",SUMIF($A$4:$A535,$A535,$Q$4:$Q535)-SUMIF($A$4:$A535,$A535,$R$4:$R535)-SUMIF($A$4:$A535,$A535,$S$4:$S535))</f>
        <v/>
      </c>
      <c r="U535" s="28"/>
      <c r="V535" s="29" t="str">
        <f aca="false">IF(AND($C535="",COUNTA($D535:$H535,$K535,$N535:$O535,$Q535:$S535,$U535)=0),"",IF($C535="","⚠ 没填项目名称",IF($A535="⚠目录里没有","⚠ 项目名称在目录里找不到（先加到目录）",IF($A535="","⚠ 目录里这个项目没填简称",IF(ISTEXT($G535)+ISTEXT($H535)+ISTEXT($K535)+ISTEXT($N535)+ISTEXT($O535)+ISTEXT($Q535)+ISTEXT($R535)+ISTEXT($S535)&gt;0,"⚠ 金额列里有文字，算不进合计",IF(N($G535)&gt;=1,"⚠ 管理费点要填百分比，如 10%",IF(AND($D535&lt;&gt;"",$B535=""),"△ 摘要开头没写日期（如 2026.9.21），月份取不到",IF(AND(N($H535)&lt;&gt;0,COUNTIFS($A$4:$A$1003,$A535,$H$4:$H$1003,$H535,$D$4:$D$1003,LEFT($D535,9)&amp;"*")&gt;1),"△ 同一天同项目有一样的销售金额，看看是不是录重了","✓"))))))))</f>
        <v/>
      </c>
      <c r="W535" s="8" t="str">
        <f aca="false">IF($A535="","",$A535&amp;"#"&amp;COUNTIF($A$4:$A535,$A535))</f>
        <v/>
      </c>
    </row>
    <row r="536" customFormat="false" ht="16.5" hidden="false" customHeight="false" outlineLevel="0" collapsed="false">
      <c r="A536" s="44" t="str">
        <f aca="false">IF($C536="","",IFERROR(VLOOKUP($C536,目录!$B:$C,2,0)&amp;"","⚠目录里没有"))</f>
        <v/>
      </c>
      <c r="B536" s="45" t="str">
        <f aca="false">IF($D536="","",IFERROR(MID($D536,FIND(".",$D536)+1,FIND(".",$D536,FIND(".",$D536)+1)-FIND(".",$D536)-1)&amp;"月",""))</f>
        <v/>
      </c>
      <c r="C536" s="46"/>
      <c r="D536" s="47"/>
      <c r="E536" s="47"/>
      <c r="F536" s="49"/>
      <c r="G536" s="50"/>
      <c r="H536" s="24"/>
      <c r="I536" s="24" t="str">
        <f aca="false">IF($H536="","",N($H536)*N($G536))</f>
        <v/>
      </c>
      <c r="J536" s="25" t="str">
        <f aca="false">IF($H536="","",N($H536)-N($I536))</f>
        <v/>
      </c>
      <c r="K536" s="25"/>
      <c r="L536" s="25" t="str">
        <f aca="false">IF($A536="","",SUMIF($A$4:$A536,$A536,$J$4:$J536)-SUMIF($A$4:$A536,$A536,$K$4:$K536))</f>
        <v/>
      </c>
      <c r="M536" s="26" t="str">
        <f aca="false">IF($H536="","",N($H536))</f>
        <v/>
      </c>
      <c r="N536" s="26"/>
      <c r="O536" s="26"/>
      <c r="P536" s="26" t="str">
        <f aca="false">IF($A536="","",SUMIF($A$4:$A536,$A536,$M$4:$M536)-SUMIF($A$4:$A536,$A536,$N$4:$N536)-SUMIF($A$4:$A536,$A536,$O$4:$O536))</f>
        <v/>
      </c>
      <c r="Q536" s="27"/>
      <c r="R536" s="28"/>
      <c r="S536" s="28"/>
      <c r="T536" s="28" t="str">
        <f aca="false">IF($A536="","",SUMIF($A$4:$A536,$A536,$Q$4:$Q536)-SUMIF($A$4:$A536,$A536,$R$4:$R536)-SUMIF($A$4:$A536,$A536,$S$4:$S536))</f>
        <v/>
      </c>
      <c r="U536" s="28"/>
      <c r="V536" s="29" t="str">
        <f aca="false">IF(AND($C536="",COUNTA($D536:$H536,$K536,$N536:$O536,$Q536:$S536,$U536)=0),"",IF($C536="","⚠ 没填项目名称",IF($A536="⚠目录里没有","⚠ 项目名称在目录里找不到（先加到目录）",IF($A536="","⚠ 目录里这个项目没填简称",IF(ISTEXT($G536)+ISTEXT($H536)+ISTEXT($K536)+ISTEXT($N536)+ISTEXT($O536)+ISTEXT($Q536)+ISTEXT($R536)+ISTEXT($S536)&gt;0,"⚠ 金额列里有文字，算不进合计",IF(N($G536)&gt;=1,"⚠ 管理费点要填百分比，如 10%",IF(AND($D536&lt;&gt;"",$B536=""),"△ 摘要开头没写日期（如 2026.9.21），月份取不到",IF(AND(N($H536)&lt;&gt;0,COUNTIFS($A$4:$A$1003,$A536,$H$4:$H$1003,$H536,$D$4:$D$1003,LEFT($D536,9)&amp;"*")&gt;1),"△ 同一天同项目有一样的销售金额，看看是不是录重了","✓"))))))))</f>
        <v/>
      </c>
      <c r="W536" s="8" t="str">
        <f aca="false">IF($A536="","",$A536&amp;"#"&amp;COUNTIF($A$4:$A536,$A536))</f>
        <v/>
      </c>
    </row>
    <row r="537" customFormat="false" ht="16.5" hidden="false" customHeight="false" outlineLevel="0" collapsed="false">
      <c r="A537" s="44" t="str">
        <f aca="false">IF($C537="","",IFERROR(VLOOKUP($C537,目录!$B:$C,2,0)&amp;"","⚠目录里没有"))</f>
        <v/>
      </c>
      <c r="B537" s="45" t="str">
        <f aca="false">IF($D537="","",IFERROR(MID($D537,FIND(".",$D537)+1,FIND(".",$D537,FIND(".",$D537)+1)-FIND(".",$D537)-1)&amp;"月",""))</f>
        <v/>
      </c>
      <c r="C537" s="46"/>
      <c r="D537" s="47"/>
      <c r="E537" s="47"/>
      <c r="F537" s="49"/>
      <c r="G537" s="50"/>
      <c r="H537" s="24"/>
      <c r="I537" s="24" t="str">
        <f aca="false">IF($H537="","",N($H537)*N($G537))</f>
        <v/>
      </c>
      <c r="J537" s="25" t="str">
        <f aca="false">IF($H537="","",N($H537)-N($I537))</f>
        <v/>
      </c>
      <c r="K537" s="25"/>
      <c r="L537" s="25" t="str">
        <f aca="false">IF($A537="","",SUMIF($A$4:$A537,$A537,$J$4:$J537)-SUMIF($A$4:$A537,$A537,$K$4:$K537))</f>
        <v/>
      </c>
      <c r="M537" s="26" t="str">
        <f aca="false">IF($H537="","",N($H537))</f>
        <v/>
      </c>
      <c r="N537" s="26"/>
      <c r="O537" s="26"/>
      <c r="P537" s="26" t="str">
        <f aca="false">IF($A537="","",SUMIF($A$4:$A537,$A537,$M$4:$M537)-SUMIF($A$4:$A537,$A537,$N$4:$N537)-SUMIF($A$4:$A537,$A537,$O$4:$O537))</f>
        <v/>
      </c>
      <c r="Q537" s="27"/>
      <c r="R537" s="28"/>
      <c r="S537" s="28"/>
      <c r="T537" s="28" t="str">
        <f aca="false">IF($A537="","",SUMIF($A$4:$A537,$A537,$Q$4:$Q537)-SUMIF($A$4:$A537,$A537,$R$4:$R537)-SUMIF($A$4:$A537,$A537,$S$4:$S537))</f>
        <v/>
      </c>
      <c r="U537" s="28"/>
      <c r="V537" s="29" t="str">
        <f aca="false">IF(AND($C537="",COUNTA($D537:$H537,$K537,$N537:$O537,$Q537:$S537,$U537)=0),"",IF($C537="","⚠ 没填项目名称",IF($A537="⚠目录里没有","⚠ 项目名称在目录里找不到（先加到目录）",IF($A537="","⚠ 目录里这个项目没填简称",IF(ISTEXT($G537)+ISTEXT($H537)+ISTEXT($K537)+ISTEXT($N537)+ISTEXT($O537)+ISTEXT($Q537)+ISTEXT($R537)+ISTEXT($S537)&gt;0,"⚠ 金额列里有文字，算不进合计",IF(N($G537)&gt;=1,"⚠ 管理费点要填百分比，如 10%",IF(AND($D537&lt;&gt;"",$B537=""),"△ 摘要开头没写日期（如 2026.9.21），月份取不到",IF(AND(N($H537)&lt;&gt;0,COUNTIFS($A$4:$A$1003,$A537,$H$4:$H$1003,$H537,$D$4:$D$1003,LEFT($D537,9)&amp;"*")&gt;1),"△ 同一天同项目有一样的销售金额，看看是不是录重了","✓"))))))))</f>
        <v/>
      </c>
      <c r="W537" s="8" t="str">
        <f aca="false">IF($A537="","",$A537&amp;"#"&amp;COUNTIF($A$4:$A537,$A537))</f>
        <v/>
      </c>
    </row>
    <row r="538" customFormat="false" ht="16.5" hidden="false" customHeight="false" outlineLevel="0" collapsed="false">
      <c r="A538" s="44" t="str">
        <f aca="false">IF($C538="","",IFERROR(VLOOKUP($C538,目录!$B:$C,2,0)&amp;"","⚠目录里没有"))</f>
        <v/>
      </c>
      <c r="B538" s="45" t="str">
        <f aca="false">IF($D538="","",IFERROR(MID($D538,FIND(".",$D538)+1,FIND(".",$D538,FIND(".",$D538)+1)-FIND(".",$D538)-1)&amp;"月",""))</f>
        <v/>
      </c>
      <c r="C538" s="46"/>
      <c r="D538" s="47"/>
      <c r="E538" s="47"/>
      <c r="F538" s="49"/>
      <c r="G538" s="50"/>
      <c r="H538" s="24"/>
      <c r="I538" s="24" t="str">
        <f aca="false">IF($H538="","",N($H538)*N($G538))</f>
        <v/>
      </c>
      <c r="J538" s="25" t="str">
        <f aca="false">IF($H538="","",N($H538)-N($I538))</f>
        <v/>
      </c>
      <c r="K538" s="25"/>
      <c r="L538" s="25" t="str">
        <f aca="false">IF($A538="","",SUMIF($A$4:$A538,$A538,$J$4:$J538)-SUMIF($A$4:$A538,$A538,$K$4:$K538))</f>
        <v/>
      </c>
      <c r="M538" s="26" t="str">
        <f aca="false">IF($H538="","",N($H538))</f>
        <v/>
      </c>
      <c r="N538" s="26"/>
      <c r="O538" s="26"/>
      <c r="P538" s="26" t="str">
        <f aca="false">IF($A538="","",SUMIF($A$4:$A538,$A538,$M$4:$M538)-SUMIF($A$4:$A538,$A538,$N$4:$N538)-SUMIF($A$4:$A538,$A538,$O$4:$O538))</f>
        <v/>
      </c>
      <c r="Q538" s="27"/>
      <c r="R538" s="28"/>
      <c r="S538" s="28"/>
      <c r="T538" s="28" t="str">
        <f aca="false">IF($A538="","",SUMIF($A$4:$A538,$A538,$Q$4:$Q538)-SUMIF($A$4:$A538,$A538,$R$4:$R538)-SUMIF($A$4:$A538,$A538,$S$4:$S538))</f>
        <v/>
      </c>
      <c r="U538" s="28"/>
      <c r="V538" s="29" t="str">
        <f aca="false">IF(AND($C538="",COUNTA($D538:$H538,$K538,$N538:$O538,$Q538:$S538,$U538)=0),"",IF($C538="","⚠ 没填项目名称",IF($A538="⚠目录里没有","⚠ 项目名称在目录里找不到（先加到目录）",IF($A538="","⚠ 目录里这个项目没填简称",IF(ISTEXT($G538)+ISTEXT($H538)+ISTEXT($K538)+ISTEXT($N538)+ISTEXT($O538)+ISTEXT($Q538)+ISTEXT($R538)+ISTEXT($S538)&gt;0,"⚠ 金额列里有文字，算不进合计",IF(N($G538)&gt;=1,"⚠ 管理费点要填百分比，如 10%",IF(AND($D538&lt;&gt;"",$B538=""),"△ 摘要开头没写日期（如 2026.9.21），月份取不到",IF(AND(N($H538)&lt;&gt;0,COUNTIFS($A$4:$A$1003,$A538,$H$4:$H$1003,$H538,$D$4:$D$1003,LEFT($D538,9)&amp;"*")&gt;1),"△ 同一天同项目有一样的销售金额，看看是不是录重了","✓"))))))))</f>
        <v/>
      </c>
      <c r="W538" s="8" t="str">
        <f aca="false">IF($A538="","",$A538&amp;"#"&amp;COUNTIF($A$4:$A538,$A538))</f>
        <v/>
      </c>
    </row>
    <row r="539" customFormat="false" ht="16.5" hidden="false" customHeight="false" outlineLevel="0" collapsed="false">
      <c r="A539" s="44" t="str">
        <f aca="false">IF($C539="","",IFERROR(VLOOKUP($C539,目录!$B:$C,2,0)&amp;"","⚠目录里没有"))</f>
        <v/>
      </c>
      <c r="B539" s="45" t="str">
        <f aca="false">IF($D539="","",IFERROR(MID($D539,FIND(".",$D539)+1,FIND(".",$D539,FIND(".",$D539)+1)-FIND(".",$D539)-1)&amp;"月",""))</f>
        <v/>
      </c>
      <c r="C539" s="46"/>
      <c r="D539" s="47"/>
      <c r="E539" s="47"/>
      <c r="F539" s="49"/>
      <c r="G539" s="50"/>
      <c r="H539" s="24"/>
      <c r="I539" s="24" t="str">
        <f aca="false">IF($H539="","",N($H539)*N($G539))</f>
        <v/>
      </c>
      <c r="J539" s="25" t="str">
        <f aca="false">IF($H539="","",N($H539)-N($I539))</f>
        <v/>
      </c>
      <c r="K539" s="25"/>
      <c r="L539" s="25" t="str">
        <f aca="false">IF($A539="","",SUMIF($A$4:$A539,$A539,$J$4:$J539)-SUMIF($A$4:$A539,$A539,$K$4:$K539))</f>
        <v/>
      </c>
      <c r="M539" s="26" t="str">
        <f aca="false">IF($H539="","",N($H539))</f>
        <v/>
      </c>
      <c r="N539" s="26"/>
      <c r="O539" s="26"/>
      <c r="P539" s="26" t="str">
        <f aca="false">IF($A539="","",SUMIF($A$4:$A539,$A539,$M$4:$M539)-SUMIF($A$4:$A539,$A539,$N$4:$N539)-SUMIF($A$4:$A539,$A539,$O$4:$O539))</f>
        <v/>
      </c>
      <c r="Q539" s="27"/>
      <c r="R539" s="28"/>
      <c r="S539" s="28"/>
      <c r="T539" s="28" t="str">
        <f aca="false">IF($A539="","",SUMIF($A$4:$A539,$A539,$Q$4:$Q539)-SUMIF($A$4:$A539,$A539,$R$4:$R539)-SUMIF($A$4:$A539,$A539,$S$4:$S539))</f>
        <v/>
      </c>
      <c r="U539" s="28"/>
      <c r="V539" s="29" t="str">
        <f aca="false">IF(AND($C539="",COUNTA($D539:$H539,$K539,$N539:$O539,$Q539:$S539,$U539)=0),"",IF($C539="","⚠ 没填项目名称",IF($A539="⚠目录里没有","⚠ 项目名称在目录里找不到（先加到目录）",IF($A539="","⚠ 目录里这个项目没填简称",IF(ISTEXT($G539)+ISTEXT($H539)+ISTEXT($K539)+ISTEXT($N539)+ISTEXT($O539)+ISTEXT($Q539)+ISTEXT($R539)+ISTEXT($S539)&gt;0,"⚠ 金额列里有文字，算不进合计",IF(N($G539)&gt;=1,"⚠ 管理费点要填百分比，如 10%",IF(AND($D539&lt;&gt;"",$B539=""),"△ 摘要开头没写日期（如 2026.9.21），月份取不到",IF(AND(N($H539)&lt;&gt;0,COUNTIFS($A$4:$A$1003,$A539,$H$4:$H$1003,$H539,$D$4:$D$1003,LEFT($D539,9)&amp;"*")&gt;1),"△ 同一天同项目有一样的销售金额，看看是不是录重了","✓"))))))))</f>
        <v/>
      </c>
      <c r="W539" s="8" t="str">
        <f aca="false">IF($A539="","",$A539&amp;"#"&amp;COUNTIF($A$4:$A539,$A539))</f>
        <v/>
      </c>
    </row>
    <row r="540" customFormat="false" ht="16.5" hidden="false" customHeight="false" outlineLevel="0" collapsed="false">
      <c r="A540" s="44" t="str">
        <f aca="false">IF($C540="","",IFERROR(VLOOKUP($C540,目录!$B:$C,2,0)&amp;"","⚠目录里没有"))</f>
        <v/>
      </c>
      <c r="B540" s="45" t="str">
        <f aca="false">IF($D540="","",IFERROR(MID($D540,FIND(".",$D540)+1,FIND(".",$D540,FIND(".",$D540)+1)-FIND(".",$D540)-1)&amp;"月",""))</f>
        <v/>
      </c>
      <c r="C540" s="46"/>
      <c r="D540" s="47"/>
      <c r="E540" s="47"/>
      <c r="F540" s="49"/>
      <c r="G540" s="50"/>
      <c r="H540" s="24"/>
      <c r="I540" s="24" t="str">
        <f aca="false">IF($H540="","",N($H540)*N($G540))</f>
        <v/>
      </c>
      <c r="J540" s="25" t="str">
        <f aca="false">IF($H540="","",N($H540)-N($I540))</f>
        <v/>
      </c>
      <c r="K540" s="25"/>
      <c r="L540" s="25" t="str">
        <f aca="false">IF($A540="","",SUMIF($A$4:$A540,$A540,$J$4:$J540)-SUMIF($A$4:$A540,$A540,$K$4:$K540))</f>
        <v/>
      </c>
      <c r="M540" s="26" t="str">
        <f aca="false">IF($H540="","",N($H540))</f>
        <v/>
      </c>
      <c r="N540" s="26"/>
      <c r="O540" s="26"/>
      <c r="P540" s="26" t="str">
        <f aca="false">IF($A540="","",SUMIF($A$4:$A540,$A540,$M$4:$M540)-SUMIF($A$4:$A540,$A540,$N$4:$N540)-SUMIF($A$4:$A540,$A540,$O$4:$O540))</f>
        <v/>
      </c>
      <c r="Q540" s="27"/>
      <c r="R540" s="28"/>
      <c r="S540" s="28"/>
      <c r="T540" s="28" t="str">
        <f aca="false">IF($A540="","",SUMIF($A$4:$A540,$A540,$Q$4:$Q540)-SUMIF($A$4:$A540,$A540,$R$4:$R540)-SUMIF($A$4:$A540,$A540,$S$4:$S540))</f>
        <v/>
      </c>
      <c r="U540" s="28"/>
      <c r="V540" s="29" t="str">
        <f aca="false">IF(AND($C540="",COUNTA($D540:$H540,$K540,$N540:$O540,$Q540:$S540,$U540)=0),"",IF($C540="","⚠ 没填项目名称",IF($A540="⚠目录里没有","⚠ 项目名称在目录里找不到（先加到目录）",IF($A540="","⚠ 目录里这个项目没填简称",IF(ISTEXT($G540)+ISTEXT($H540)+ISTEXT($K540)+ISTEXT($N540)+ISTEXT($O540)+ISTEXT($Q540)+ISTEXT($R540)+ISTEXT($S540)&gt;0,"⚠ 金额列里有文字，算不进合计",IF(N($G540)&gt;=1,"⚠ 管理费点要填百分比，如 10%",IF(AND($D540&lt;&gt;"",$B540=""),"△ 摘要开头没写日期（如 2026.9.21），月份取不到",IF(AND(N($H540)&lt;&gt;0,COUNTIFS($A$4:$A$1003,$A540,$H$4:$H$1003,$H540,$D$4:$D$1003,LEFT($D540,9)&amp;"*")&gt;1),"△ 同一天同项目有一样的销售金额，看看是不是录重了","✓"))))))))</f>
        <v/>
      </c>
      <c r="W540" s="8" t="str">
        <f aca="false">IF($A540="","",$A540&amp;"#"&amp;COUNTIF($A$4:$A540,$A540))</f>
        <v/>
      </c>
    </row>
    <row r="541" customFormat="false" ht="16.5" hidden="false" customHeight="false" outlineLevel="0" collapsed="false">
      <c r="A541" s="44" t="str">
        <f aca="false">IF($C541="","",IFERROR(VLOOKUP($C541,目录!$B:$C,2,0)&amp;"","⚠目录里没有"))</f>
        <v/>
      </c>
      <c r="B541" s="45" t="str">
        <f aca="false">IF($D541="","",IFERROR(MID($D541,FIND(".",$D541)+1,FIND(".",$D541,FIND(".",$D541)+1)-FIND(".",$D541)-1)&amp;"月",""))</f>
        <v/>
      </c>
      <c r="C541" s="46"/>
      <c r="D541" s="47"/>
      <c r="E541" s="47"/>
      <c r="F541" s="49"/>
      <c r="G541" s="50"/>
      <c r="H541" s="24"/>
      <c r="I541" s="24" t="str">
        <f aca="false">IF($H541="","",N($H541)*N($G541))</f>
        <v/>
      </c>
      <c r="J541" s="25" t="str">
        <f aca="false">IF($H541="","",N($H541)-N($I541))</f>
        <v/>
      </c>
      <c r="K541" s="25"/>
      <c r="L541" s="25" t="str">
        <f aca="false">IF($A541="","",SUMIF($A$4:$A541,$A541,$J$4:$J541)-SUMIF($A$4:$A541,$A541,$K$4:$K541))</f>
        <v/>
      </c>
      <c r="M541" s="26" t="str">
        <f aca="false">IF($H541="","",N($H541))</f>
        <v/>
      </c>
      <c r="N541" s="26"/>
      <c r="O541" s="26"/>
      <c r="P541" s="26" t="str">
        <f aca="false">IF($A541="","",SUMIF($A$4:$A541,$A541,$M$4:$M541)-SUMIF($A$4:$A541,$A541,$N$4:$N541)-SUMIF($A$4:$A541,$A541,$O$4:$O541))</f>
        <v/>
      </c>
      <c r="Q541" s="27"/>
      <c r="R541" s="28"/>
      <c r="S541" s="28"/>
      <c r="T541" s="28" t="str">
        <f aca="false">IF($A541="","",SUMIF($A$4:$A541,$A541,$Q$4:$Q541)-SUMIF($A$4:$A541,$A541,$R$4:$R541)-SUMIF($A$4:$A541,$A541,$S$4:$S541))</f>
        <v/>
      </c>
      <c r="U541" s="28"/>
      <c r="V541" s="29" t="str">
        <f aca="false">IF(AND($C541="",COUNTA($D541:$H541,$K541,$N541:$O541,$Q541:$S541,$U541)=0),"",IF($C541="","⚠ 没填项目名称",IF($A541="⚠目录里没有","⚠ 项目名称在目录里找不到（先加到目录）",IF($A541="","⚠ 目录里这个项目没填简称",IF(ISTEXT($G541)+ISTEXT($H541)+ISTEXT($K541)+ISTEXT($N541)+ISTEXT($O541)+ISTEXT($Q541)+ISTEXT($R541)+ISTEXT($S541)&gt;0,"⚠ 金额列里有文字，算不进合计",IF(N($G541)&gt;=1,"⚠ 管理费点要填百分比，如 10%",IF(AND($D541&lt;&gt;"",$B541=""),"△ 摘要开头没写日期（如 2026.9.21），月份取不到",IF(AND(N($H541)&lt;&gt;0,COUNTIFS($A$4:$A$1003,$A541,$H$4:$H$1003,$H541,$D$4:$D$1003,LEFT($D541,9)&amp;"*")&gt;1),"△ 同一天同项目有一样的销售金额，看看是不是录重了","✓"))))))))</f>
        <v/>
      </c>
      <c r="W541" s="8" t="str">
        <f aca="false">IF($A541="","",$A541&amp;"#"&amp;COUNTIF($A$4:$A541,$A541))</f>
        <v/>
      </c>
    </row>
    <row r="542" customFormat="false" ht="16.5" hidden="false" customHeight="false" outlineLevel="0" collapsed="false">
      <c r="A542" s="44" t="str">
        <f aca="false">IF($C542="","",IFERROR(VLOOKUP($C542,目录!$B:$C,2,0)&amp;"","⚠目录里没有"))</f>
        <v/>
      </c>
      <c r="B542" s="45" t="str">
        <f aca="false">IF($D542="","",IFERROR(MID($D542,FIND(".",$D542)+1,FIND(".",$D542,FIND(".",$D542)+1)-FIND(".",$D542)-1)&amp;"月",""))</f>
        <v/>
      </c>
      <c r="C542" s="46"/>
      <c r="D542" s="47"/>
      <c r="E542" s="47"/>
      <c r="F542" s="49"/>
      <c r="G542" s="50"/>
      <c r="H542" s="24"/>
      <c r="I542" s="24" t="str">
        <f aca="false">IF($H542="","",N($H542)*N($G542))</f>
        <v/>
      </c>
      <c r="J542" s="25" t="str">
        <f aca="false">IF($H542="","",N($H542)-N($I542))</f>
        <v/>
      </c>
      <c r="K542" s="25"/>
      <c r="L542" s="25" t="str">
        <f aca="false">IF($A542="","",SUMIF($A$4:$A542,$A542,$J$4:$J542)-SUMIF($A$4:$A542,$A542,$K$4:$K542))</f>
        <v/>
      </c>
      <c r="M542" s="26" t="str">
        <f aca="false">IF($H542="","",N($H542))</f>
        <v/>
      </c>
      <c r="N542" s="26"/>
      <c r="O542" s="26"/>
      <c r="P542" s="26" t="str">
        <f aca="false">IF($A542="","",SUMIF($A$4:$A542,$A542,$M$4:$M542)-SUMIF($A$4:$A542,$A542,$N$4:$N542)-SUMIF($A$4:$A542,$A542,$O$4:$O542))</f>
        <v/>
      </c>
      <c r="Q542" s="27"/>
      <c r="R542" s="28"/>
      <c r="S542" s="28"/>
      <c r="T542" s="28" t="str">
        <f aca="false">IF($A542="","",SUMIF($A$4:$A542,$A542,$Q$4:$Q542)-SUMIF($A$4:$A542,$A542,$R$4:$R542)-SUMIF($A$4:$A542,$A542,$S$4:$S542))</f>
        <v/>
      </c>
      <c r="U542" s="28"/>
      <c r="V542" s="29" t="str">
        <f aca="false">IF(AND($C542="",COUNTA($D542:$H542,$K542,$N542:$O542,$Q542:$S542,$U542)=0),"",IF($C542="","⚠ 没填项目名称",IF($A542="⚠目录里没有","⚠ 项目名称在目录里找不到（先加到目录）",IF($A542="","⚠ 目录里这个项目没填简称",IF(ISTEXT($G542)+ISTEXT($H542)+ISTEXT($K542)+ISTEXT($N542)+ISTEXT($O542)+ISTEXT($Q542)+ISTEXT($R542)+ISTEXT($S542)&gt;0,"⚠ 金额列里有文字，算不进合计",IF(N($G542)&gt;=1,"⚠ 管理费点要填百分比，如 10%",IF(AND($D542&lt;&gt;"",$B542=""),"△ 摘要开头没写日期（如 2026.9.21），月份取不到",IF(AND(N($H542)&lt;&gt;0,COUNTIFS($A$4:$A$1003,$A542,$H$4:$H$1003,$H542,$D$4:$D$1003,LEFT($D542,9)&amp;"*")&gt;1),"△ 同一天同项目有一样的销售金额，看看是不是录重了","✓"))))))))</f>
        <v/>
      </c>
      <c r="W542" s="8" t="str">
        <f aca="false">IF($A542="","",$A542&amp;"#"&amp;COUNTIF($A$4:$A542,$A542))</f>
        <v/>
      </c>
    </row>
    <row r="543" customFormat="false" ht="16.5" hidden="false" customHeight="false" outlineLevel="0" collapsed="false">
      <c r="A543" s="44" t="str">
        <f aca="false">IF($C543="","",IFERROR(VLOOKUP($C543,目录!$B:$C,2,0)&amp;"","⚠目录里没有"))</f>
        <v/>
      </c>
      <c r="B543" s="45" t="str">
        <f aca="false">IF($D543="","",IFERROR(MID($D543,FIND(".",$D543)+1,FIND(".",$D543,FIND(".",$D543)+1)-FIND(".",$D543)-1)&amp;"月",""))</f>
        <v/>
      </c>
      <c r="C543" s="46"/>
      <c r="D543" s="47"/>
      <c r="E543" s="47"/>
      <c r="F543" s="49"/>
      <c r="G543" s="50"/>
      <c r="H543" s="24"/>
      <c r="I543" s="24" t="str">
        <f aca="false">IF($H543="","",N($H543)*N($G543))</f>
        <v/>
      </c>
      <c r="J543" s="25" t="str">
        <f aca="false">IF($H543="","",N($H543)-N($I543))</f>
        <v/>
      </c>
      <c r="K543" s="25"/>
      <c r="L543" s="25" t="str">
        <f aca="false">IF($A543="","",SUMIF($A$4:$A543,$A543,$J$4:$J543)-SUMIF($A$4:$A543,$A543,$K$4:$K543))</f>
        <v/>
      </c>
      <c r="M543" s="26" t="str">
        <f aca="false">IF($H543="","",N($H543))</f>
        <v/>
      </c>
      <c r="N543" s="26"/>
      <c r="O543" s="26"/>
      <c r="P543" s="26" t="str">
        <f aca="false">IF($A543="","",SUMIF($A$4:$A543,$A543,$M$4:$M543)-SUMIF($A$4:$A543,$A543,$N$4:$N543)-SUMIF($A$4:$A543,$A543,$O$4:$O543))</f>
        <v/>
      </c>
      <c r="Q543" s="27"/>
      <c r="R543" s="28"/>
      <c r="S543" s="28"/>
      <c r="T543" s="28" t="str">
        <f aca="false">IF($A543="","",SUMIF($A$4:$A543,$A543,$Q$4:$Q543)-SUMIF($A$4:$A543,$A543,$R$4:$R543)-SUMIF($A$4:$A543,$A543,$S$4:$S543))</f>
        <v/>
      </c>
      <c r="U543" s="28"/>
      <c r="V543" s="29" t="str">
        <f aca="false">IF(AND($C543="",COUNTA($D543:$H543,$K543,$N543:$O543,$Q543:$S543,$U543)=0),"",IF($C543="","⚠ 没填项目名称",IF($A543="⚠目录里没有","⚠ 项目名称在目录里找不到（先加到目录）",IF($A543="","⚠ 目录里这个项目没填简称",IF(ISTEXT($G543)+ISTEXT($H543)+ISTEXT($K543)+ISTEXT($N543)+ISTEXT($O543)+ISTEXT($Q543)+ISTEXT($R543)+ISTEXT($S543)&gt;0,"⚠ 金额列里有文字，算不进合计",IF(N($G543)&gt;=1,"⚠ 管理费点要填百分比，如 10%",IF(AND($D543&lt;&gt;"",$B543=""),"△ 摘要开头没写日期（如 2026.9.21），月份取不到",IF(AND(N($H543)&lt;&gt;0,COUNTIFS($A$4:$A$1003,$A543,$H$4:$H$1003,$H543,$D$4:$D$1003,LEFT($D543,9)&amp;"*")&gt;1),"△ 同一天同项目有一样的销售金额，看看是不是录重了","✓"))))))))</f>
        <v/>
      </c>
      <c r="W543" s="8" t="str">
        <f aca="false">IF($A543="","",$A543&amp;"#"&amp;COUNTIF($A$4:$A543,$A543))</f>
        <v/>
      </c>
    </row>
    <row r="544" customFormat="false" ht="16.5" hidden="false" customHeight="false" outlineLevel="0" collapsed="false">
      <c r="A544" s="44" t="str">
        <f aca="false">IF($C544="","",IFERROR(VLOOKUP($C544,目录!$B:$C,2,0)&amp;"","⚠目录里没有"))</f>
        <v/>
      </c>
      <c r="B544" s="45" t="str">
        <f aca="false">IF($D544="","",IFERROR(MID($D544,FIND(".",$D544)+1,FIND(".",$D544,FIND(".",$D544)+1)-FIND(".",$D544)-1)&amp;"月",""))</f>
        <v/>
      </c>
      <c r="C544" s="46"/>
      <c r="D544" s="47"/>
      <c r="E544" s="47"/>
      <c r="F544" s="49"/>
      <c r="G544" s="50"/>
      <c r="H544" s="24"/>
      <c r="I544" s="24" t="str">
        <f aca="false">IF($H544="","",N($H544)*N($G544))</f>
        <v/>
      </c>
      <c r="J544" s="25" t="str">
        <f aca="false">IF($H544="","",N($H544)-N($I544))</f>
        <v/>
      </c>
      <c r="K544" s="25"/>
      <c r="L544" s="25" t="str">
        <f aca="false">IF($A544="","",SUMIF($A$4:$A544,$A544,$J$4:$J544)-SUMIF($A$4:$A544,$A544,$K$4:$K544))</f>
        <v/>
      </c>
      <c r="M544" s="26" t="str">
        <f aca="false">IF($H544="","",N($H544))</f>
        <v/>
      </c>
      <c r="N544" s="26"/>
      <c r="O544" s="26"/>
      <c r="P544" s="26" t="str">
        <f aca="false">IF($A544="","",SUMIF($A$4:$A544,$A544,$M$4:$M544)-SUMIF($A$4:$A544,$A544,$N$4:$N544)-SUMIF($A$4:$A544,$A544,$O$4:$O544))</f>
        <v/>
      </c>
      <c r="Q544" s="27"/>
      <c r="R544" s="28"/>
      <c r="S544" s="28"/>
      <c r="T544" s="28" t="str">
        <f aca="false">IF($A544="","",SUMIF($A$4:$A544,$A544,$Q$4:$Q544)-SUMIF($A$4:$A544,$A544,$R$4:$R544)-SUMIF($A$4:$A544,$A544,$S$4:$S544))</f>
        <v/>
      </c>
      <c r="U544" s="28"/>
      <c r="V544" s="29" t="str">
        <f aca="false">IF(AND($C544="",COUNTA($D544:$H544,$K544,$N544:$O544,$Q544:$S544,$U544)=0),"",IF($C544="","⚠ 没填项目名称",IF($A544="⚠目录里没有","⚠ 项目名称在目录里找不到（先加到目录）",IF($A544="","⚠ 目录里这个项目没填简称",IF(ISTEXT($G544)+ISTEXT($H544)+ISTEXT($K544)+ISTEXT($N544)+ISTEXT($O544)+ISTEXT($Q544)+ISTEXT($R544)+ISTEXT($S544)&gt;0,"⚠ 金额列里有文字，算不进合计",IF(N($G544)&gt;=1,"⚠ 管理费点要填百分比，如 10%",IF(AND($D544&lt;&gt;"",$B544=""),"△ 摘要开头没写日期（如 2026.9.21），月份取不到",IF(AND(N($H544)&lt;&gt;0,COUNTIFS($A$4:$A$1003,$A544,$H$4:$H$1003,$H544,$D$4:$D$1003,LEFT($D544,9)&amp;"*")&gt;1),"△ 同一天同项目有一样的销售金额，看看是不是录重了","✓"))))))))</f>
        <v/>
      </c>
      <c r="W544" s="8" t="str">
        <f aca="false">IF($A544="","",$A544&amp;"#"&amp;COUNTIF($A$4:$A544,$A544))</f>
        <v/>
      </c>
    </row>
    <row r="545" customFormat="false" ht="16.5" hidden="false" customHeight="false" outlineLevel="0" collapsed="false">
      <c r="A545" s="44" t="str">
        <f aca="false">IF($C545="","",IFERROR(VLOOKUP($C545,目录!$B:$C,2,0)&amp;"","⚠目录里没有"))</f>
        <v/>
      </c>
      <c r="B545" s="45" t="str">
        <f aca="false">IF($D545="","",IFERROR(MID($D545,FIND(".",$D545)+1,FIND(".",$D545,FIND(".",$D545)+1)-FIND(".",$D545)-1)&amp;"月",""))</f>
        <v/>
      </c>
      <c r="C545" s="46"/>
      <c r="D545" s="47"/>
      <c r="E545" s="47"/>
      <c r="F545" s="49"/>
      <c r="G545" s="50"/>
      <c r="H545" s="24"/>
      <c r="I545" s="24" t="str">
        <f aca="false">IF($H545="","",N($H545)*N($G545))</f>
        <v/>
      </c>
      <c r="J545" s="25" t="str">
        <f aca="false">IF($H545="","",N($H545)-N($I545))</f>
        <v/>
      </c>
      <c r="K545" s="25"/>
      <c r="L545" s="25" t="str">
        <f aca="false">IF($A545="","",SUMIF($A$4:$A545,$A545,$J$4:$J545)-SUMIF($A$4:$A545,$A545,$K$4:$K545))</f>
        <v/>
      </c>
      <c r="M545" s="26" t="str">
        <f aca="false">IF($H545="","",N($H545))</f>
        <v/>
      </c>
      <c r="N545" s="26"/>
      <c r="O545" s="26"/>
      <c r="P545" s="26" t="str">
        <f aca="false">IF($A545="","",SUMIF($A$4:$A545,$A545,$M$4:$M545)-SUMIF($A$4:$A545,$A545,$N$4:$N545)-SUMIF($A$4:$A545,$A545,$O$4:$O545))</f>
        <v/>
      </c>
      <c r="Q545" s="27"/>
      <c r="R545" s="28"/>
      <c r="S545" s="28"/>
      <c r="T545" s="28" t="str">
        <f aca="false">IF($A545="","",SUMIF($A$4:$A545,$A545,$Q$4:$Q545)-SUMIF($A$4:$A545,$A545,$R$4:$R545)-SUMIF($A$4:$A545,$A545,$S$4:$S545))</f>
        <v/>
      </c>
      <c r="U545" s="28"/>
      <c r="V545" s="29" t="str">
        <f aca="false">IF(AND($C545="",COUNTA($D545:$H545,$K545,$N545:$O545,$Q545:$S545,$U545)=0),"",IF($C545="","⚠ 没填项目名称",IF($A545="⚠目录里没有","⚠ 项目名称在目录里找不到（先加到目录）",IF($A545="","⚠ 目录里这个项目没填简称",IF(ISTEXT($G545)+ISTEXT($H545)+ISTEXT($K545)+ISTEXT($N545)+ISTEXT($O545)+ISTEXT($Q545)+ISTEXT($R545)+ISTEXT($S545)&gt;0,"⚠ 金额列里有文字，算不进合计",IF(N($G545)&gt;=1,"⚠ 管理费点要填百分比，如 10%",IF(AND($D545&lt;&gt;"",$B545=""),"△ 摘要开头没写日期（如 2026.9.21），月份取不到",IF(AND(N($H545)&lt;&gt;0,COUNTIFS($A$4:$A$1003,$A545,$H$4:$H$1003,$H545,$D$4:$D$1003,LEFT($D545,9)&amp;"*")&gt;1),"△ 同一天同项目有一样的销售金额，看看是不是录重了","✓"))))))))</f>
        <v/>
      </c>
      <c r="W545" s="8" t="str">
        <f aca="false">IF($A545="","",$A545&amp;"#"&amp;COUNTIF($A$4:$A545,$A545))</f>
        <v/>
      </c>
    </row>
    <row r="546" customFormat="false" ht="16.5" hidden="false" customHeight="false" outlineLevel="0" collapsed="false">
      <c r="A546" s="44" t="str">
        <f aca="false">IF($C546="","",IFERROR(VLOOKUP($C546,目录!$B:$C,2,0)&amp;"","⚠目录里没有"))</f>
        <v/>
      </c>
      <c r="B546" s="45" t="str">
        <f aca="false">IF($D546="","",IFERROR(MID($D546,FIND(".",$D546)+1,FIND(".",$D546,FIND(".",$D546)+1)-FIND(".",$D546)-1)&amp;"月",""))</f>
        <v/>
      </c>
      <c r="C546" s="46"/>
      <c r="D546" s="47"/>
      <c r="E546" s="47"/>
      <c r="F546" s="49"/>
      <c r="G546" s="50"/>
      <c r="H546" s="24"/>
      <c r="I546" s="24" t="str">
        <f aca="false">IF($H546="","",N($H546)*N($G546))</f>
        <v/>
      </c>
      <c r="J546" s="25" t="str">
        <f aca="false">IF($H546="","",N($H546)-N($I546))</f>
        <v/>
      </c>
      <c r="K546" s="25"/>
      <c r="L546" s="25" t="str">
        <f aca="false">IF($A546="","",SUMIF($A$4:$A546,$A546,$J$4:$J546)-SUMIF($A$4:$A546,$A546,$K$4:$K546))</f>
        <v/>
      </c>
      <c r="M546" s="26" t="str">
        <f aca="false">IF($H546="","",N($H546))</f>
        <v/>
      </c>
      <c r="N546" s="26"/>
      <c r="O546" s="26"/>
      <c r="P546" s="26" t="str">
        <f aca="false">IF($A546="","",SUMIF($A$4:$A546,$A546,$M$4:$M546)-SUMIF($A$4:$A546,$A546,$N$4:$N546)-SUMIF($A$4:$A546,$A546,$O$4:$O546))</f>
        <v/>
      </c>
      <c r="Q546" s="27"/>
      <c r="R546" s="28"/>
      <c r="S546" s="28"/>
      <c r="T546" s="28" t="str">
        <f aca="false">IF($A546="","",SUMIF($A$4:$A546,$A546,$Q$4:$Q546)-SUMIF($A$4:$A546,$A546,$R$4:$R546)-SUMIF($A$4:$A546,$A546,$S$4:$S546))</f>
        <v/>
      </c>
      <c r="U546" s="28"/>
      <c r="V546" s="29" t="str">
        <f aca="false">IF(AND($C546="",COUNTA($D546:$H546,$K546,$N546:$O546,$Q546:$S546,$U546)=0),"",IF($C546="","⚠ 没填项目名称",IF($A546="⚠目录里没有","⚠ 项目名称在目录里找不到（先加到目录）",IF($A546="","⚠ 目录里这个项目没填简称",IF(ISTEXT($G546)+ISTEXT($H546)+ISTEXT($K546)+ISTEXT($N546)+ISTEXT($O546)+ISTEXT($Q546)+ISTEXT($R546)+ISTEXT($S546)&gt;0,"⚠ 金额列里有文字，算不进合计",IF(N($G546)&gt;=1,"⚠ 管理费点要填百分比，如 10%",IF(AND($D546&lt;&gt;"",$B546=""),"△ 摘要开头没写日期（如 2026.9.21），月份取不到",IF(AND(N($H546)&lt;&gt;0,COUNTIFS($A$4:$A$1003,$A546,$H$4:$H$1003,$H546,$D$4:$D$1003,LEFT($D546,9)&amp;"*")&gt;1),"△ 同一天同项目有一样的销售金额，看看是不是录重了","✓"))))))))</f>
        <v/>
      </c>
      <c r="W546" s="8" t="str">
        <f aca="false">IF($A546="","",$A546&amp;"#"&amp;COUNTIF($A$4:$A546,$A546))</f>
        <v/>
      </c>
    </row>
    <row r="547" customFormat="false" ht="16.5" hidden="false" customHeight="false" outlineLevel="0" collapsed="false">
      <c r="A547" s="44" t="str">
        <f aca="false">IF($C547="","",IFERROR(VLOOKUP($C547,目录!$B:$C,2,0)&amp;"","⚠目录里没有"))</f>
        <v/>
      </c>
      <c r="B547" s="45" t="str">
        <f aca="false">IF($D547="","",IFERROR(MID($D547,FIND(".",$D547)+1,FIND(".",$D547,FIND(".",$D547)+1)-FIND(".",$D547)-1)&amp;"月",""))</f>
        <v/>
      </c>
      <c r="C547" s="46"/>
      <c r="D547" s="47"/>
      <c r="E547" s="47"/>
      <c r="F547" s="49"/>
      <c r="G547" s="50"/>
      <c r="H547" s="24"/>
      <c r="I547" s="24" t="str">
        <f aca="false">IF($H547="","",N($H547)*N($G547))</f>
        <v/>
      </c>
      <c r="J547" s="25" t="str">
        <f aca="false">IF($H547="","",N($H547)-N($I547))</f>
        <v/>
      </c>
      <c r="K547" s="25"/>
      <c r="L547" s="25" t="str">
        <f aca="false">IF($A547="","",SUMIF($A$4:$A547,$A547,$J$4:$J547)-SUMIF($A$4:$A547,$A547,$K$4:$K547))</f>
        <v/>
      </c>
      <c r="M547" s="26" t="str">
        <f aca="false">IF($H547="","",N($H547))</f>
        <v/>
      </c>
      <c r="N547" s="26"/>
      <c r="O547" s="26"/>
      <c r="P547" s="26" t="str">
        <f aca="false">IF($A547="","",SUMIF($A$4:$A547,$A547,$M$4:$M547)-SUMIF($A$4:$A547,$A547,$N$4:$N547)-SUMIF($A$4:$A547,$A547,$O$4:$O547))</f>
        <v/>
      </c>
      <c r="Q547" s="27"/>
      <c r="R547" s="28"/>
      <c r="S547" s="28"/>
      <c r="T547" s="28" t="str">
        <f aca="false">IF($A547="","",SUMIF($A$4:$A547,$A547,$Q$4:$Q547)-SUMIF($A$4:$A547,$A547,$R$4:$R547)-SUMIF($A$4:$A547,$A547,$S$4:$S547))</f>
        <v/>
      </c>
      <c r="U547" s="28"/>
      <c r="V547" s="29" t="str">
        <f aca="false">IF(AND($C547="",COUNTA($D547:$H547,$K547,$N547:$O547,$Q547:$S547,$U547)=0),"",IF($C547="","⚠ 没填项目名称",IF($A547="⚠目录里没有","⚠ 项目名称在目录里找不到（先加到目录）",IF($A547="","⚠ 目录里这个项目没填简称",IF(ISTEXT($G547)+ISTEXT($H547)+ISTEXT($K547)+ISTEXT($N547)+ISTEXT($O547)+ISTEXT($Q547)+ISTEXT($R547)+ISTEXT($S547)&gt;0,"⚠ 金额列里有文字，算不进合计",IF(N($G547)&gt;=1,"⚠ 管理费点要填百分比，如 10%",IF(AND($D547&lt;&gt;"",$B547=""),"△ 摘要开头没写日期（如 2026.9.21），月份取不到",IF(AND(N($H547)&lt;&gt;0,COUNTIFS($A$4:$A$1003,$A547,$H$4:$H$1003,$H547,$D$4:$D$1003,LEFT($D547,9)&amp;"*")&gt;1),"△ 同一天同项目有一样的销售金额，看看是不是录重了","✓"))))))))</f>
        <v/>
      </c>
      <c r="W547" s="8" t="str">
        <f aca="false">IF($A547="","",$A547&amp;"#"&amp;COUNTIF($A$4:$A547,$A547))</f>
        <v/>
      </c>
    </row>
    <row r="548" customFormat="false" ht="16.5" hidden="false" customHeight="false" outlineLevel="0" collapsed="false">
      <c r="A548" s="44" t="str">
        <f aca="false">IF($C548="","",IFERROR(VLOOKUP($C548,目录!$B:$C,2,0)&amp;"","⚠目录里没有"))</f>
        <v/>
      </c>
      <c r="B548" s="45" t="str">
        <f aca="false">IF($D548="","",IFERROR(MID($D548,FIND(".",$D548)+1,FIND(".",$D548,FIND(".",$D548)+1)-FIND(".",$D548)-1)&amp;"月",""))</f>
        <v/>
      </c>
      <c r="C548" s="46"/>
      <c r="D548" s="47"/>
      <c r="E548" s="47"/>
      <c r="F548" s="49"/>
      <c r="G548" s="50"/>
      <c r="H548" s="24"/>
      <c r="I548" s="24" t="str">
        <f aca="false">IF($H548="","",N($H548)*N($G548))</f>
        <v/>
      </c>
      <c r="J548" s="25" t="str">
        <f aca="false">IF($H548="","",N($H548)-N($I548))</f>
        <v/>
      </c>
      <c r="K548" s="25"/>
      <c r="L548" s="25" t="str">
        <f aca="false">IF($A548="","",SUMIF($A$4:$A548,$A548,$J$4:$J548)-SUMIF($A$4:$A548,$A548,$K$4:$K548))</f>
        <v/>
      </c>
      <c r="M548" s="26" t="str">
        <f aca="false">IF($H548="","",N($H548))</f>
        <v/>
      </c>
      <c r="N548" s="26"/>
      <c r="O548" s="26"/>
      <c r="P548" s="26" t="str">
        <f aca="false">IF($A548="","",SUMIF($A$4:$A548,$A548,$M$4:$M548)-SUMIF($A$4:$A548,$A548,$N$4:$N548)-SUMIF($A$4:$A548,$A548,$O$4:$O548))</f>
        <v/>
      </c>
      <c r="Q548" s="27"/>
      <c r="R548" s="28"/>
      <c r="S548" s="28"/>
      <c r="T548" s="28" t="str">
        <f aca="false">IF($A548="","",SUMIF($A$4:$A548,$A548,$Q$4:$Q548)-SUMIF($A$4:$A548,$A548,$R$4:$R548)-SUMIF($A$4:$A548,$A548,$S$4:$S548))</f>
        <v/>
      </c>
      <c r="U548" s="28"/>
      <c r="V548" s="29" t="str">
        <f aca="false">IF(AND($C548="",COUNTA($D548:$H548,$K548,$N548:$O548,$Q548:$S548,$U548)=0),"",IF($C548="","⚠ 没填项目名称",IF($A548="⚠目录里没有","⚠ 项目名称在目录里找不到（先加到目录）",IF($A548="","⚠ 目录里这个项目没填简称",IF(ISTEXT($G548)+ISTEXT($H548)+ISTEXT($K548)+ISTEXT($N548)+ISTEXT($O548)+ISTEXT($Q548)+ISTEXT($R548)+ISTEXT($S548)&gt;0,"⚠ 金额列里有文字，算不进合计",IF(N($G548)&gt;=1,"⚠ 管理费点要填百分比，如 10%",IF(AND($D548&lt;&gt;"",$B548=""),"△ 摘要开头没写日期（如 2026.9.21），月份取不到",IF(AND(N($H548)&lt;&gt;0,COUNTIFS($A$4:$A$1003,$A548,$H$4:$H$1003,$H548,$D$4:$D$1003,LEFT($D548,9)&amp;"*")&gt;1),"△ 同一天同项目有一样的销售金额，看看是不是录重了","✓"))))))))</f>
        <v/>
      </c>
      <c r="W548" s="8" t="str">
        <f aca="false">IF($A548="","",$A548&amp;"#"&amp;COUNTIF($A$4:$A548,$A548))</f>
        <v/>
      </c>
    </row>
    <row r="549" customFormat="false" ht="16.5" hidden="false" customHeight="false" outlineLevel="0" collapsed="false">
      <c r="A549" s="44" t="str">
        <f aca="false">IF($C549="","",IFERROR(VLOOKUP($C549,目录!$B:$C,2,0)&amp;"","⚠目录里没有"))</f>
        <v/>
      </c>
      <c r="B549" s="45" t="str">
        <f aca="false">IF($D549="","",IFERROR(MID($D549,FIND(".",$D549)+1,FIND(".",$D549,FIND(".",$D549)+1)-FIND(".",$D549)-1)&amp;"月",""))</f>
        <v/>
      </c>
      <c r="C549" s="46"/>
      <c r="D549" s="47"/>
      <c r="E549" s="47"/>
      <c r="F549" s="49"/>
      <c r="G549" s="50"/>
      <c r="H549" s="24"/>
      <c r="I549" s="24" t="str">
        <f aca="false">IF($H549="","",N($H549)*N($G549))</f>
        <v/>
      </c>
      <c r="J549" s="25" t="str">
        <f aca="false">IF($H549="","",N($H549)-N($I549))</f>
        <v/>
      </c>
      <c r="K549" s="25"/>
      <c r="L549" s="25" t="str">
        <f aca="false">IF($A549="","",SUMIF($A$4:$A549,$A549,$J$4:$J549)-SUMIF($A$4:$A549,$A549,$K$4:$K549))</f>
        <v/>
      </c>
      <c r="M549" s="26" t="str">
        <f aca="false">IF($H549="","",N($H549))</f>
        <v/>
      </c>
      <c r="N549" s="26"/>
      <c r="O549" s="26"/>
      <c r="P549" s="26" t="str">
        <f aca="false">IF($A549="","",SUMIF($A$4:$A549,$A549,$M$4:$M549)-SUMIF($A$4:$A549,$A549,$N$4:$N549)-SUMIF($A$4:$A549,$A549,$O$4:$O549))</f>
        <v/>
      </c>
      <c r="Q549" s="27"/>
      <c r="R549" s="28"/>
      <c r="S549" s="28"/>
      <c r="T549" s="28" t="str">
        <f aca="false">IF($A549="","",SUMIF($A$4:$A549,$A549,$Q$4:$Q549)-SUMIF($A$4:$A549,$A549,$R$4:$R549)-SUMIF($A$4:$A549,$A549,$S$4:$S549))</f>
        <v/>
      </c>
      <c r="U549" s="28"/>
      <c r="V549" s="29" t="str">
        <f aca="false">IF(AND($C549="",COUNTA($D549:$H549,$K549,$N549:$O549,$Q549:$S549,$U549)=0),"",IF($C549="","⚠ 没填项目名称",IF($A549="⚠目录里没有","⚠ 项目名称在目录里找不到（先加到目录）",IF($A549="","⚠ 目录里这个项目没填简称",IF(ISTEXT($G549)+ISTEXT($H549)+ISTEXT($K549)+ISTEXT($N549)+ISTEXT($O549)+ISTEXT($Q549)+ISTEXT($R549)+ISTEXT($S549)&gt;0,"⚠ 金额列里有文字，算不进合计",IF(N($G549)&gt;=1,"⚠ 管理费点要填百分比，如 10%",IF(AND($D549&lt;&gt;"",$B549=""),"△ 摘要开头没写日期（如 2026.9.21），月份取不到",IF(AND(N($H549)&lt;&gt;0,COUNTIFS($A$4:$A$1003,$A549,$H$4:$H$1003,$H549,$D$4:$D$1003,LEFT($D549,9)&amp;"*")&gt;1),"△ 同一天同项目有一样的销售金额，看看是不是录重了","✓"))))))))</f>
        <v/>
      </c>
      <c r="W549" s="8" t="str">
        <f aca="false">IF($A549="","",$A549&amp;"#"&amp;COUNTIF($A$4:$A549,$A549))</f>
        <v/>
      </c>
    </row>
    <row r="550" customFormat="false" ht="16.5" hidden="false" customHeight="false" outlineLevel="0" collapsed="false">
      <c r="A550" s="44" t="str">
        <f aca="false">IF($C550="","",IFERROR(VLOOKUP($C550,目录!$B:$C,2,0)&amp;"","⚠目录里没有"))</f>
        <v/>
      </c>
      <c r="B550" s="45" t="str">
        <f aca="false">IF($D550="","",IFERROR(MID($D550,FIND(".",$D550)+1,FIND(".",$D550,FIND(".",$D550)+1)-FIND(".",$D550)-1)&amp;"月",""))</f>
        <v/>
      </c>
      <c r="C550" s="46"/>
      <c r="D550" s="47"/>
      <c r="E550" s="47"/>
      <c r="F550" s="49"/>
      <c r="G550" s="50"/>
      <c r="H550" s="24"/>
      <c r="I550" s="24" t="str">
        <f aca="false">IF($H550="","",N($H550)*N($G550))</f>
        <v/>
      </c>
      <c r="J550" s="25" t="str">
        <f aca="false">IF($H550="","",N($H550)-N($I550))</f>
        <v/>
      </c>
      <c r="K550" s="25"/>
      <c r="L550" s="25" t="str">
        <f aca="false">IF($A550="","",SUMIF($A$4:$A550,$A550,$J$4:$J550)-SUMIF($A$4:$A550,$A550,$K$4:$K550))</f>
        <v/>
      </c>
      <c r="M550" s="26" t="str">
        <f aca="false">IF($H550="","",N($H550))</f>
        <v/>
      </c>
      <c r="N550" s="26"/>
      <c r="O550" s="26"/>
      <c r="P550" s="26" t="str">
        <f aca="false">IF($A550="","",SUMIF($A$4:$A550,$A550,$M$4:$M550)-SUMIF($A$4:$A550,$A550,$N$4:$N550)-SUMIF($A$4:$A550,$A550,$O$4:$O550))</f>
        <v/>
      </c>
      <c r="Q550" s="27"/>
      <c r="R550" s="28"/>
      <c r="S550" s="28"/>
      <c r="T550" s="28" t="str">
        <f aca="false">IF($A550="","",SUMIF($A$4:$A550,$A550,$Q$4:$Q550)-SUMIF($A$4:$A550,$A550,$R$4:$R550)-SUMIF($A$4:$A550,$A550,$S$4:$S550))</f>
        <v/>
      </c>
      <c r="U550" s="28"/>
      <c r="V550" s="29" t="str">
        <f aca="false">IF(AND($C550="",COUNTA($D550:$H550,$K550,$N550:$O550,$Q550:$S550,$U550)=0),"",IF($C550="","⚠ 没填项目名称",IF($A550="⚠目录里没有","⚠ 项目名称在目录里找不到（先加到目录）",IF($A550="","⚠ 目录里这个项目没填简称",IF(ISTEXT($G550)+ISTEXT($H550)+ISTEXT($K550)+ISTEXT($N550)+ISTEXT($O550)+ISTEXT($Q550)+ISTEXT($R550)+ISTEXT($S550)&gt;0,"⚠ 金额列里有文字，算不进合计",IF(N($G550)&gt;=1,"⚠ 管理费点要填百分比，如 10%",IF(AND($D550&lt;&gt;"",$B550=""),"△ 摘要开头没写日期（如 2026.9.21），月份取不到",IF(AND(N($H550)&lt;&gt;0,COUNTIFS($A$4:$A$1003,$A550,$H$4:$H$1003,$H550,$D$4:$D$1003,LEFT($D550,9)&amp;"*")&gt;1),"△ 同一天同项目有一样的销售金额，看看是不是录重了","✓"))))))))</f>
        <v/>
      </c>
      <c r="W550" s="8" t="str">
        <f aca="false">IF($A550="","",$A550&amp;"#"&amp;COUNTIF($A$4:$A550,$A550))</f>
        <v/>
      </c>
    </row>
    <row r="551" customFormat="false" ht="16.5" hidden="false" customHeight="false" outlineLevel="0" collapsed="false">
      <c r="A551" s="44" t="str">
        <f aca="false">IF($C551="","",IFERROR(VLOOKUP($C551,目录!$B:$C,2,0)&amp;"","⚠目录里没有"))</f>
        <v/>
      </c>
      <c r="B551" s="45" t="str">
        <f aca="false">IF($D551="","",IFERROR(MID($D551,FIND(".",$D551)+1,FIND(".",$D551,FIND(".",$D551)+1)-FIND(".",$D551)-1)&amp;"月",""))</f>
        <v/>
      </c>
      <c r="C551" s="46"/>
      <c r="D551" s="47"/>
      <c r="E551" s="47"/>
      <c r="F551" s="49"/>
      <c r="G551" s="50"/>
      <c r="H551" s="24"/>
      <c r="I551" s="24" t="str">
        <f aca="false">IF($H551="","",N($H551)*N($G551))</f>
        <v/>
      </c>
      <c r="J551" s="25" t="str">
        <f aca="false">IF($H551="","",N($H551)-N($I551))</f>
        <v/>
      </c>
      <c r="K551" s="25"/>
      <c r="L551" s="25" t="str">
        <f aca="false">IF($A551="","",SUMIF($A$4:$A551,$A551,$J$4:$J551)-SUMIF($A$4:$A551,$A551,$K$4:$K551))</f>
        <v/>
      </c>
      <c r="M551" s="26" t="str">
        <f aca="false">IF($H551="","",N($H551))</f>
        <v/>
      </c>
      <c r="N551" s="26"/>
      <c r="O551" s="26"/>
      <c r="P551" s="26" t="str">
        <f aca="false">IF($A551="","",SUMIF($A$4:$A551,$A551,$M$4:$M551)-SUMIF($A$4:$A551,$A551,$N$4:$N551)-SUMIF($A$4:$A551,$A551,$O$4:$O551))</f>
        <v/>
      </c>
      <c r="Q551" s="27"/>
      <c r="R551" s="28"/>
      <c r="S551" s="28"/>
      <c r="T551" s="28" t="str">
        <f aca="false">IF($A551="","",SUMIF($A$4:$A551,$A551,$Q$4:$Q551)-SUMIF($A$4:$A551,$A551,$R$4:$R551)-SUMIF($A$4:$A551,$A551,$S$4:$S551))</f>
        <v/>
      </c>
      <c r="U551" s="28"/>
      <c r="V551" s="29" t="str">
        <f aca="false">IF(AND($C551="",COUNTA($D551:$H551,$K551,$N551:$O551,$Q551:$S551,$U551)=0),"",IF($C551="","⚠ 没填项目名称",IF($A551="⚠目录里没有","⚠ 项目名称在目录里找不到（先加到目录）",IF($A551="","⚠ 目录里这个项目没填简称",IF(ISTEXT($G551)+ISTEXT($H551)+ISTEXT($K551)+ISTEXT($N551)+ISTEXT($O551)+ISTEXT($Q551)+ISTEXT($R551)+ISTEXT($S551)&gt;0,"⚠ 金额列里有文字，算不进合计",IF(N($G551)&gt;=1,"⚠ 管理费点要填百分比，如 10%",IF(AND($D551&lt;&gt;"",$B551=""),"△ 摘要开头没写日期（如 2026.9.21），月份取不到",IF(AND(N($H551)&lt;&gt;0,COUNTIFS($A$4:$A$1003,$A551,$H$4:$H$1003,$H551,$D$4:$D$1003,LEFT($D551,9)&amp;"*")&gt;1),"△ 同一天同项目有一样的销售金额，看看是不是录重了","✓"))))))))</f>
        <v/>
      </c>
      <c r="W551" s="8" t="str">
        <f aca="false">IF($A551="","",$A551&amp;"#"&amp;COUNTIF($A$4:$A551,$A551))</f>
        <v/>
      </c>
    </row>
    <row r="552" customFormat="false" ht="16.5" hidden="false" customHeight="false" outlineLevel="0" collapsed="false">
      <c r="A552" s="44" t="str">
        <f aca="false">IF($C552="","",IFERROR(VLOOKUP($C552,目录!$B:$C,2,0)&amp;"","⚠目录里没有"))</f>
        <v/>
      </c>
      <c r="B552" s="45" t="str">
        <f aca="false">IF($D552="","",IFERROR(MID($D552,FIND(".",$D552)+1,FIND(".",$D552,FIND(".",$D552)+1)-FIND(".",$D552)-1)&amp;"月",""))</f>
        <v/>
      </c>
      <c r="C552" s="46"/>
      <c r="D552" s="47"/>
      <c r="E552" s="47"/>
      <c r="F552" s="49"/>
      <c r="G552" s="50"/>
      <c r="H552" s="24"/>
      <c r="I552" s="24" t="str">
        <f aca="false">IF($H552="","",N($H552)*N($G552))</f>
        <v/>
      </c>
      <c r="J552" s="25" t="str">
        <f aca="false">IF($H552="","",N($H552)-N($I552))</f>
        <v/>
      </c>
      <c r="K552" s="25"/>
      <c r="L552" s="25" t="str">
        <f aca="false">IF($A552="","",SUMIF($A$4:$A552,$A552,$J$4:$J552)-SUMIF($A$4:$A552,$A552,$K$4:$K552))</f>
        <v/>
      </c>
      <c r="M552" s="26" t="str">
        <f aca="false">IF($H552="","",N($H552))</f>
        <v/>
      </c>
      <c r="N552" s="26"/>
      <c r="O552" s="26"/>
      <c r="P552" s="26" t="str">
        <f aca="false">IF($A552="","",SUMIF($A$4:$A552,$A552,$M$4:$M552)-SUMIF($A$4:$A552,$A552,$N$4:$N552)-SUMIF($A$4:$A552,$A552,$O$4:$O552))</f>
        <v/>
      </c>
      <c r="Q552" s="27"/>
      <c r="R552" s="28"/>
      <c r="S552" s="28"/>
      <c r="T552" s="28" t="str">
        <f aca="false">IF($A552="","",SUMIF($A$4:$A552,$A552,$Q$4:$Q552)-SUMIF($A$4:$A552,$A552,$R$4:$R552)-SUMIF($A$4:$A552,$A552,$S$4:$S552))</f>
        <v/>
      </c>
      <c r="U552" s="28"/>
      <c r="V552" s="29" t="str">
        <f aca="false">IF(AND($C552="",COUNTA($D552:$H552,$K552,$N552:$O552,$Q552:$S552,$U552)=0),"",IF($C552="","⚠ 没填项目名称",IF($A552="⚠目录里没有","⚠ 项目名称在目录里找不到（先加到目录）",IF($A552="","⚠ 目录里这个项目没填简称",IF(ISTEXT($G552)+ISTEXT($H552)+ISTEXT($K552)+ISTEXT($N552)+ISTEXT($O552)+ISTEXT($Q552)+ISTEXT($R552)+ISTEXT($S552)&gt;0,"⚠ 金额列里有文字，算不进合计",IF(N($G552)&gt;=1,"⚠ 管理费点要填百分比，如 10%",IF(AND($D552&lt;&gt;"",$B552=""),"△ 摘要开头没写日期（如 2026.9.21），月份取不到",IF(AND(N($H552)&lt;&gt;0,COUNTIFS($A$4:$A$1003,$A552,$H$4:$H$1003,$H552,$D$4:$D$1003,LEFT($D552,9)&amp;"*")&gt;1),"△ 同一天同项目有一样的销售金额，看看是不是录重了","✓"))))))))</f>
        <v/>
      </c>
      <c r="W552" s="8" t="str">
        <f aca="false">IF($A552="","",$A552&amp;"#"&amp;COUNTIF($A$4:$A552,$A552))</f>
        <v/>
      </c>
    </row>
    <row r="553" customFormat="false" ht="16.5" hidden="false" customHeight="false" outlineLevel="0" collapsed="false">
      <c r="A553" s="44" t="str">
        <f aca="false">IF($C553="","",IFERROR(VLOOKUP($C553,目录!$B:$C,2,0)&amp;"","⚠目录里没有"))</f>
        <v/>
      </c>
      <c r="B553" s="45" t="str">
        <f aca="false">IF($D553="","",IFERROR(MID($D553,FIND(".",$D553)+1,FIND(".",$D553,FIND(".",$D553)+1)-FIND(".",$D553)-1)&amp;"月",""))</f>
        <v/>
      </c>
      <c r="C553" s="46"/>
      <c r="D553" s="47"/>
      <c r="E553" s="47"/>
      <c r="F553" s="49"/>
      <c r="G553" s="50"/>
      <c r="H553" s="24"/>
      <c r="I553" s="24" t="str">
        <f aca="false">IF($H553="","",N($H553)*N($G553))</f>
        <v/>
      </c>
      <c r="J553" s="25" t="str">
        <f aca="false">IF($H553="","",N($H553)-N($I553))</f>
        <v/>
      </c>
      <c r="K553" s="25"/>
      <c r="L553" s="25" t="str">
        <f aca="false">IF($A553="","",SUMIF($A$4:$A553,$A553,$J$4:$J553)-SUMIF($A$4:$A553,$A553,$K$4:$K553))</f>
        <v/>
      </c>
      <c r="M553" s="26" t="str">
        <f aca="false">IF($H553="","",N($H553))</f>
        <v/>
      </c>
      <c r="N553" s="26"/>
      <c r="O553" s="26"/>
      <c r="P553" s="26" t="str">
        <f aca="false">IF($A553="","",SUMIF($A$4:$A553,$A553,$M$4:$M553)-SUMIF($A$4:$A553,$A553,$N$4:$N553)-SUMIF($A$4:$A553,$A553,$O$4:$O553))</f>
        <v/>
      </c>
      <c r="Q553" s="27"/>
      <c r="R553" s="28"/>
      <c r="S553" s="28"/>
      <c r="T553" s="28" t="str">
        <f aca="false">IF($A553="","",SUMIF($A$4:$A553,$A553,$Q$4:$Q553)-SUMIF($A$4:$A553,$A553,$R$4:$R553)-SUMIF($A$4:$A553,$A553,$S$4:$S553))</f>
        <v/>
      </c>
      <c r="U553" s="28"/>
      <c r="V553" s="29" t="str">
        <f aca="false">IF(AND($C553="",COUNTA($D553:$H553,$K553,$N553:$O553,$Q553:$S553,$U553)=0),"",IF($C553="","⚠ 没填项目名称",IF($A553="⚠目录里没有","⚠ 项目名称在目录里找不到（先加到目录）",IF($A553="","⚠ 目录里这个项目没填简称",IF(ISTEXT($G553)+ISTEXT($H553)+ISTEXT($K553)+ISTEXT($N553)+ISTEXT($O553)+ISTEXT($Q553)+ISTEXT($R553)+ISTEXT($S553)&gt;0,"⚠ 金额列里有文字，算不进合计",IF(N($G553)&gt;=1,"⚠ 管理费点要填百分比，如 10%",IF(AND($D553&lt;&gt;"",$B553=""),"△ 摘要开头没写日期（如 2026.9.21），月份取不到",IF(AND(N($H553)&lt;&gt;0,COUNTIFS($A$4:$A$1003,$A553,$H$4:$H$1003,$H553,$D$4:$D$1003,LEFT($D553,9)&amp;"*")&gt;1),"△ 同一天同项目有一样的销售金额，看看是不是录重了","✓"))))))))</f>
        <v/>
      </c>
      <c r="W553" s="8" t="str">
        <f aca="false">IF($A553="","",$A553&amp;"#"&amp;COUNTIF($A$4:$A553,$A553))</f>
        <v/>
      </c>
    </row>
    <row r="554" customFormat="false" ht="16.5" hidden="false" customHeight="false" outlineLevel="0" collapsed="false">
      <c r="A554" s="44" t="str">
        <f aca="false">IF($C554="","",IFERROR(VLOOKUP($C554,目录!$B:$C,2,0)&amp;"","⚠目录里没有"))</f>
        <v/>
      </c>
      <c r="B554" s="45" t="str">
        <f aca="false">IF($D554="","",IFERROR(MID($D554,FIND(".",$D554)+1,FIND(".",$D554,FIND(".",$D554)+1)-FIND(".",$D554)-1)&amp;"月",""))</f>
        <v/>
      </c>
      <c r="C554" s="46"/>
      <c r="D554" s="47"/>
      <c r="E554" s="47"/>
      <c r="F554" s="49"/>
      <c r="G554" s="50"/>
      <c r="H554" s="24"/>
      <c r="I554" s="24" t="str">
        <f aca="false">IF($H554="","",N($H554)*N($G554))</f>
        <v/>
      </c>
      <c r="J554" s="25" t="str">
        <f aca="false">IF($H554="","",N($H554)-N($I554))</f>
        <v/>
      </c>
      <c r="K554" s="25"/>
      <c r="L554" s="25" t="str">
        <f aca="false">IF($A554="","",SUMIF($A$4:$A554,$A554,$J$4:$J554)-SUMIF($A$4:$A554,$A554,$K$4:$K554))</f>
        <v/>
      </c>
      <c r="M554" s="26" t="str">
        <f aca="false">IF($H554="","",N($H554))</f>
        <v/>
      </c>
      <c r="N554" s="26"/>
      <c r="O554" s="26"/>
      <c r="P554" s="26" t="str">
        <f aca="false">IF($A554="","",SUMIF($A$4:$A554,$A554,$M$4:$M554)-SUMIF($A$4:$A554,$A554,$N$4:$N554)-SUMIF($A$4:$A554,$A554,$O$4:$O554))</f>
        <v/>
      </c>
      <c r="Q554" s="27"/>
      <c r="R554" s="28"/>
      <c r="S554" s="28"/>
      <c r="T554" s="28" t="str">
        <f aca="false">IF($A554="","",SUMIF($A$4:$A554,$A554,$Q$4:$Q554)-SUMIF($A$4:$A554,$A554,$R$4:$R554)-SUMIF($A$4:$A554,$A554,$S$4:$S554))</f>
        <v/>
      </c>
      <c r="U554" s="28"/>
      <c r="V554" s="29" t="str">
        <f aca="false">IF(AND($C554="",COUNTA($D554:$H554,$K554,$N554:$O554,$Q554:$S554,$U554)=0),"",IF($C554="","⚠ 没填项目名称",IF($A554="⚠目录里没有","⚠ 项目名称在目录里找不到（先加到目录）",IF($A554="","⚠ 目录里这个项目没填简称",IF(ISTEXT($G554)+ISTEXT($H554)+ISTEXT($K554)+ISTEXT($N554)+ISTEXT($O554)+ISTEXT($Q554)+ISTEXT($R554)+ISTEXT($S554)&gt;0,"⚠ 金额列里有文字，算不进合计",IF(N($G554)&gt;=1,"⚠ 管理费点要填百分比，如 10%",IF(AND($D554&lt;&gt;"",$B554=""),"△ 摘要开头没写日期（如 2026.9.21），月份取不到",IF(AND(N($H554)&lt;&gt;0,COUNTIFS($A$4:$A$1003,$A554,$H$4:$H$1003,$H554,$D$4:$D$1003,LEFT($D554,9)&amp;"*")&gt;1),"△ 同一天同项目有一样的销售金额，看看是不是录重了","✓"))))))))</f>
        <v/>
      </c>
      <c r="W554" s="8" t="str">
        <f aca="false">IF($A554="","",$A554&amp;"#"&amp;COUNTIF($A$4:$A554,$A554))</f>
        <v/>
      </c>
    </row>
    <row r="555" customFormat="false" ht="16.5" hidden="false" customHeight="false" outlineLevel="0" collapsed="false">
      <c r="A555" s="44" t="str">
        <f aca="false">IF($C555="","",IFERROR(VLOOKUP($C555,目录!$B:$C,2,0)&amp;"","⚠目录里没有"))</f>
        <v/>
      </c>
      <c r="B555" s="45" t="str">
        <f aca="false">IF($D555="","",IFERROR(MID($D555,FIND(".",$D555)+1,FIND(".",$D555,FIND(".",$D555)+1)-FIND(".",$D555)-1)&amp;"月",""))</f>
        <v/>
      </c>
      <c r="C555" s="46"/>
      <c r="D555" s="47"/>
      <c r="E555" s="47"/>
      <c r="F555" s="49"/>
      <c r="G555" s="50"/>
      <c r="H555" s="24"/>
      <c r="I555" s="24" t="str">
        <f aca="false">IF($H555="","",N($H555)*N($G555))</f>
        <v/>
      </c>
      <c r="J555" s="25" t="str">
        <f aca="false">IF($H555="","",N($H555)-N($I555))</f>
        <v/>
      </c>
      <c r="K555" s="25"/>
      <c r="L555" s="25" t="str">
        <f aca="false">IF($A555="","",SUMIF($A$4:$A555,$A555,$J$4:$J555)-SUMIF($A$4:$A555,$A555,$K$4:$K555))</f>
        <v/>
      </c>
      <c r="M555" s="26" t="str">
        <f aca="false">IF($H555="","",N($H555))</f>
        <v/>
      </c>
      <c r="N555" s="26"/>
      <c r="O555" s="26"/>
      <c r="P555" s="26" t="str">
        <f aca="false">IF($A555="","",SUMIF($A$4:$A555,$A555,$M$4:$M555)-SUMIF($A$4:$A555,$A555,$N$4:$N555)-SUMIF($A$4:$A555,$A555,$O$4:$O555))</f>
        <v/>
      </c>
      <c r="Q555" s="27"/>
      <c r="R555" s="28"/>
      <c r="S555" s="28"/>
      <c r="T555" s="28" t="str">
        <f aca="false">IF($A555="","",SUMIF($A$4:$A555,$A555,$Q$4:$Q555)-SUMIF($A$4:$A555,$A555,$R$4:$R555)-SUMIF($A$4:$A555,$A555,$S$4:$S555))</f>
        <v/>
      </c>
      <c r="U555" s="28"/>
      <c r="V555" s="29" t="str">
        <f aca="false">IF(AND($C555="",COUNTA($D555:$H555,$K555,$N555:$O555,$Q555:$S555,$U555)=0),"",IF($C555="","⚠ 没填项目名称",IF($A555="⚠目录里没有","⚠ 项目名称在目录里找不到（先加到目录）",IF($A555="","⚠ 目录里这个项目没填简称",IF(ISTEXT($G555)+ISTEXT($H555)+ISTEXT($K555)+ISTEXT($N555)+ISTEXT($O555)+ISTEXT($Q555)+ISTEXT($R555)+ISTEXT($S555)&gt;0,"⚠ 金额列里有文字，算不进合计",IF(N($G555)&gt;=1,"⚠ 管理费点要填百分比，如 10%",IF(AND($D555&lt;&gt;"",$B555=""),"△ 摘要开头没写日期（如 2026.9.21），月份取不到",IF(AND(N($H555)&lt;&gt;0,COUNTIFS($A$4:$A$1003,$A555,$H$4:$H$1003,$H555,$D$4:$D$1003,LEFT($D555,9)&amp;"*")&gt;1),"△ 同一天同项目有一样的销售金额，看看是不是录重了","✓"))))))))</f>
        <v/>
      </c>
      <c r="W555" s="8" t="str">
        <f aca="false">IF($A555="","",$A555&amp;"#"&amp;COUNTIF($A$4:$A555,$A555))</f>
        <v/>
      </c>
    </row>
    <row r="556" customFormat="false" ht="16.5" hidden="false" customHeight="false" outlineLevel="0" collapsed="false">
      <c r="A556" s="44" t="str">
        <f aca="false">IF($C556="","",IFERROR(VLOOKUP($C556,目录!$B:$C,2,0)&amp;"","⚠目录里没有"))</f>
        <v/>
      </c>
      <c r="B556" s="45" t="str">
        <f aca="false">IF($D556="","",IFERROR(MID($D556,FIND(".",$D556)+1,FIND(".",$D556,FIND(".",$D556)+1)-FIND(".",$D556)-1)&amp;"月",""))</f>
        <v/>
      </c>
      <c r="C556" s="46"/>
      <c r="D556" s="47"/>
      <c r="E556" s="47"/>
      <c r="F556" s="49"/>
      <c r="G556" s="50"/>
      <c r="H556" s="24"/>
      <c r="I556" s="24" t="str">
        <f aca="false">IF($H556="","",N($H556)*N($G556))</f>
        <v/>
      </c>
      <c r="J556" s="25" t="str">
        <f aca="false">IF($H556="","",N($H556)-N($I556))</f>
        <v/>
      </c>
      <c r="K556" s="25"/>
      <c r="L556" s="25" t="str">
        <f aca="false">IF($A556="","",SUMIF($A$4:$A556,$A556,$J$4:$J556)-SUMIF($A$4:$A556,$A556,$K$4:$K556))</f>
        <v/>
      </c>
      <c r="M556" s="26" t="str">
        <f aca="false">IF($H556="","",N($H556))</f>
        <v/>
      </c>
      <c r="N556" s="26"/>
      <c r="O556" s="26"/>
      <c r="P556" s="26" t="str">
        <f aca="false">IF($A556="","",SUMIF($A$4:$A556,$A556,$M$4:$M556)-SUMIF($A$4:$A556,$A556,$N$4:$N556)-SUMIF($A$4:$A556,$A556,$O$4:$O556))</f>
        <v/>
      </c>
      <c r="Q556" s="27"/>
      <c r="R556" s="28"/>
      <c r="S556" s="28"/>
      <c r="T556" s="28" t="str">
        <f aca="false">IF($A556="","",SUMIF($A$4:$A556,$A556,$Q$4:$Q556)-SUMIF($A$4:$A556,$A556,$R$4:$R556)-SUMIF($A$4:$A556,$A556,$S$4:$S556))</f>
        <v/>
      </c>
      <c r="U556" s="28"/>
      <c r="V556" s="29" t="str">
        <f aca="false">IF(AND($C556="",COUNTA($D556:$H556,$K556,$N556:$O556,$Q556:$S556,$U556)=0),"",IF($C556="","⚠ 没填项目名称",IF($A556="⚠目录里没有","⚠ 项目名称在目录里找不到（先加到目录）",IF($A556="","⚠ 目录里这个项目没填简称",IF(ISTEXT($G556)+ISTEXT($H556)+ISTEXT($K556)+ISTEXT($N556)+ISTEXT($O556)+ISTEXT($Q556)+ISTEXT($R556)+ISTEXT($S556)&gt;0,"⚠ 金额列里有文字，算不进合计",IF(N($G556)&gt;=1,"⚠ 管理费点要填百分比，如 10%",IF(AND($D556&lt;&gt;"",$B556=""),"△ 摘要开头没写日期（如 2026.9.21），月份取不到",IF(AND(N($H556)&lt;&gt;0,COUNTIFS($A$4:$A$1003,$A556,$H$4:$H$1003,$H556,$D$4:$D$1003,LEFT($D556,9)&amp;"*")&gt;1),"△ 同一天同项目有一样的销售金额，看看是不是录重了","✓"))))))))</f>
        <v/>
      </c>
      <c r="W556" s="8" t="str">
        <f aca="false">IF($A556="","",$A556&amp;"#"&amp;COUNTIF($A$4:$A556,$A556))</f>
        <v/>
      </c>
    </row>
    <row r="557" customFormat="false" ht="16.5" hidden="false" customHeight="false" outlineLevel="0" collapsed="false">
      <c r="A557" s="44" t="str">
        <f aca="false">IF($C557="","",IFERROR(VLOOKUP($C557,目录!$B:$C,2,0)&amp;"","⚠目录里没有"))</f>
        <v/>
      </c>
      <c r="B557" s="45" t="str">
        <f aca="false">IF($D557="","",IFERROR(MID($D557,FIND(".",$D557)+1,FIND(".",$D557,FIND(".",$D557)+1)-FIND(".",$D557)-1)&amp;"月",""))</f>
        <v/>
      </c>
      <c r="C557" s="46"/>
      <c r="D557" s="47"/>
      <c r="E557" s="47"/>
      <c r="F557" s="49"/>
      <c r="G557" s="50"/>
      <c r="H557" s="24"/>
      <c r="I557" s="24" t="str">
        <f aca="false">IF($H557="","",N($H557)*N($G557))</f>
        <v/>
      </c>
      <c r="J557" s="25" t="str">
        <f aca="false">IF($H557="","",N($H557)-N($I557))</f>
        <v/>
      </c>
      <c r="K557" s="25"/>
      <c r="L557" s="25" t="str">
        <f aca="false">IF($A557="","",SUMIF($A$4:$A557,$A557,$J$4:$J557)-SUMIF($A$4:$A557,$A557,$K$4:$K557))</f>
        <v/>
      </c>
      <c r="M557" s="26" t="str">
        <f aca="false">IF($H557="","",N($H557))</f>
        <v/>
      </c>
      <c r="N557" s="26"/>
      <c r="O557" s="26"/>
      <c r="P557" s="26" t="str">
        <f aca="false">IF($A557="","",SUMIF($A$4:$A557,$A557,$M$4:$M557)-SUMIF($A$4:$A557,$A557,$N$4:$N557)-SUMIF($A$4:$A557,$A557,$O$4:$O557))</f>
        <v/>
      </c>
      <c r="Q557" s="27"/>
      <c r="R557" s="28"/>
      <c r="S557" s="28"/>
      <c r="T557" s="28" t="str">
        <f aca="false">IF($A557="","",SUMIF($A$4:$A557,$A557,$Q$4:$Q557)-SUMIF($A$4:$A557,$A557,$R$4:$R557)-SUMIF($A$4:$A557,$A557,$S$4:$S557))</f>
        <v/>
      </c>
      <c r="U557" s="28"/>
      <c r="V557" s="29" t="str">
        <f aca="false">IF(AND($C557="",COUNTA($D557:$H557,$K557,$N557:$O557,$Q557:$S557,$U557)=0),"",IF($C557="","⚠ 没填项目名称",IF($A557="⚠目录里没有","⚠ 项目名称在目录里找不到（先加到目录）",IF($A557="","⚠ 目录里这个项目没填简称",IF(ISTEXT($G557)+ISTEXT($H557)+ISTEXT($K557)+ISTEXT($N557)+ISTEXT($O557)+ISTEXT($Q557)+ISTEXT($R557)+ISTEXT($S557)&gt;0,"⚠ 金额列里有文字，算不进合计",IF(N($G557)&gt;=1,"⚠ 管理费点要填百分比，如 10%",IF(AND($D557&lt;&gt;"",$B557=""),"△ 摘要开头没写日期（如 2026.9.21），月份取不到",IF(AND(N($H557)&lt;&gt;0,COUNTIFS($A$4:$A$1003,$A557,$H$4:$H$1003,$H557,$D$4:$D$1003,LEFT($D557,9)&amp;"*")&gt;1),"△ 同一天同项目有一样的销售金额，看看是不是录重了","✓"))))))))</f>
        <v/>
      </c>
      <c r="W557" s="8" t="str">
        <f aca="false">IF($A557="","",$A557&amp;"#"&amp;COUNTIF($A$4:$A557,$A557))</f>
        <v/>
      </c>
    </row>
    <row r="558" customFormat="false" ht="16.5" hidden="false" customHeight="false" outlineLevel="0" collapsed="false">
      <c r="A558" s="44" t="str">
        <f aca="false">IF($C558="","",IFERROR(VLOOKUP($C558,目录!$B:$C,2,0)&amp;"","⚠目录里没有"))</f>
        <v/>
      </c>
      <c r="B558" s="45" t="str">
        <f aca="false">IF($D558="","",IFERROR(MID($D558,FIND(".",$D558)+1,FIND(".",$D558,FIND(".",$D558)+1)-FIND(".",$D558)-1)&amp;"月",""))</f>
        <v/>
      </c>
      <c r="C558" s="46"/>
      <c r="D558" s="47"/>
      <c r="E558" s="47"/>
      <c r="F558" s="49"/>
      <c r="G558" s="50"/>
      <c r="H558" s="24"/>
      <c r="I558" s="24" t="str">
        <f aca="false">IF($H558="","",N($H558)*N($G558))</f>
        <v/>
      </c>
      <c r="J558" s="25" t="str">
        <f aca="false">IF($H558="","",N($H558)-N($I558))</f>
        <v/>
      </c>
      <c r="K558" s="25"/>
      <c r="L558" s="25" t="str">
        <f aca="false">IF($A558="","",SUMIF($A$4:$A558,$A558,$J$4:$J558)-SUMIF($A$4:$A558,$A558,$K$4:$K558))</f>
        <v/>
      </c>
      <c r="M558" s="26" t="str">
        <f aca="false">IF($H558="","",N($H558))</f>
        <v/>
      </c>
      <c r="N558" s="26"/>
      <c r="O558" s="26"/>
      <c r="P558" s="26" t="str">
        <f aca="false">IF($A558="","",SUMIF($A$4:$A558,$A558,$M$4:$M558)-SUMIF($A$4:$A558,$A558,$N$4:$N558)-SUMIF($A$4:$A558,$A558,$O$4:$O558))</f>
        <v/>
      </c>
      <c r="Q558" s="27"/>
      <c r="R558" s="28"/>
      <c r="S558" s="28"/>
      <c r="T558" s="28" t="str">
        <f aca="false">IF($A558="","",SUMIF($A$4:$A558,$A558,$Q$4:$Q558)-SUMIF($A$4:$A558,$A558,$R$4:$R558)-SUMIF($A$4:$A558,$A558,$S$4:$S558))</f>
        <v/>
      </c>
      <c r="U558" s="28"/>
      <c r="V558" s="29" t="str">
        <f aca="false">IF(AND($C558="",COUNTA($D558:$H558,$K558,$N558:$O558,$Q558:$S558,$U558)=0),"",IF($C558="","⚠ 没填项目名称",IF($A558="⚠目录里没有","⚠ 项目名称在目录里找不到（先加到目录）",IF($A558="","⚠ 目录里这个项目没填简称",IF(ISTEXT($G558)+ISTEXT($H558)+ISTEXT($K558)+ISTEXT($N558)+ISTEXT($O558)+ISTEXT($Q558)+ISTEXT($R558)+ISTEXT($S558)&gt;0,"⚠ 金额列里有文字，算不进合计",IF(N($G558)&gt;=1,"⚠ 管理费点要填百分比，如 10%",IF(AND($D558&lt;&gt;"",$B558=""),"△ 摘要开头没写日期（如 2026.9.21），月份取不到",IF(AND(N($H558)&lt;&gt;0,COUNTIFS($A$4:$A$1003,$A558,$H$4:$H$1003,$H558,$D$4:$D$1003,LEFT($D558,9)&amp;"*")&gt;1),"△ 同一天同项目有一样的销售金额，看看是不是录重了","✓"))))))))</f>
        <v/>
      </c>
      <c r="W558" s="8" t="str">
        <f aca="false">IF($A558="","",$A558&amp;"#"&amp;COUNTIF($A$4:$A558,$A558))</f>
        <v/>
      </c>
    </row>
    <row r="559" customFormat="false" ht="16.5" hidden="false" customHeight="false" outlineLevel="0" collapsed="false">
      <c r="A559" s="44" t="str">
        <f aca="false">IF($C559="","",IFERROR(VLOOKUP($C559,目录!$B:$C,2,0)&amp;"","⚠目录里没有"))</f>
        <v/>
      </c>
      <c r="B559" s="45" t="str">
        <f aca="false">IF($D559="","",IFERROR(MID($D559,FIND(".",$D559)+1,FIND(".",$D559,FIND(".",$D559)+1)-FIND(".",$D559)-1)&amp;"月",""))</f>
        <v/>
      </c>
      <c r="C559" s="46"/>
      <c r="D559" s="47"/>
      <c r="E559" s="47"/>
      <c r="F559" s="49"/>
      <c r="G559" s="50"/>
      <c r="H559" s="24"/>
      <c r="I559" s="24" t="str">
        <f aca="false">IF($H559="","",N($H559)*N($G559))</f>
        <v/>
      </c>
      <c r="J559" s="25" t="str">
        <f aca="false">IF($H559="","",N($H559)-N($I559))</f>
        <v/>
      </c>
      <c r="K559" s="25"/>
      <c r="L559" s="25" t="str">
        <f aca="false">IF($A559="","",SUMIF($A$4:$A559,$A559,$J$4:$J559)-SUMIF($A$4:$A559,$A559,$K$4:$K559))</f>
        <v/>
      </c>
      <c r="M559" s="26" t="str">
        <f aca="false">IF($H559="","",N($H559))</f>
        <v/>
      </c>
      <c r="N559" s="26"/>
      <c r="O559" s="26"/>
      <c r="P559" s="26" t="str">
        <f aca="false">IF($A559="","",SUMIF($A$4:$A559,$A559,$M$4:$M559)-SUMIF($A$4:$A559,$A559,$N$4:$N559)-SUMIF($A$4:$A559,$A559,$O$4:$O559))</f>
        <v/>
      </c>
      <c r="Q559" s="27"/>
      <c r="R559" s="28"/>
      <c r="S559" s="28"/>
      <c r="T559" s="28" t="str">
        <f aca="false">IF($A559="","",SUMIF($A$4:$A559,$A559,$Q$4:$Q559)-SUMIF($A$4:$A559,$A559,$R$4:$R559)-SUMIF($A$4:$A559,$A559,$S$4:$S559))</f>
        <v/>
      </c>
      <c r="U559" s="28"/>
      <c r="V559" s="29" t="str">
        <f aca="false">IF(AND($C559="",COUNTA($D559:$H559,$K559,$N559:$O559,$Q559:$S559,$U559)=0),"",IF($C559="","⚠ 没填项目名称",IF($A559="⚠目录里没有","⚠ 项目名称在目录里找不到（先加到目录）",IF($A559="","⚠ 目录里这个项目没填简称",IF(ISTEXT($G559)+ISTEXT($H559)+ISTEXT($K559)+ISTEXT($N559)+ISTEXT($O559)+ISTEXT($Q559)+ISTEXT($R559)+ISTEXT($S559)&gt;0,"⚠ 金额列里有文字，算不进合计",IF(N($G559)&gt;=1,"⚠ 管理费点要填百分比，如 10%",IF(AND($D559&lt;&gt;"",$B559=""),"△ 摘要开头没写日期（如 2026.9.21），月份取不到",IF(AND(N($H559)&lt;&gt;0,COUNTIFS($A$4:$A$1003,$A559,$H$4:$H$1003,$H559,$D$4:$D$1003,LEFT($D559,9)&amp;"*")&gt;1),"△ 同一天同项目有一样的销售金额，看看是不是录重了","✓"))))))))</f>
        <v/>
      </c>
      <c r="W559" s="8" t="str">
        <f aca="false">IF($A559="","",$A559&amp;"#"&amp;COUNTIF($A$4:$A559,$A559))</f>
        <v/>
      </c>
    </row>
    <row r="560" customFormat="false" ht="16.5" hidden="false" customHeight="false" outlineLevel="0" collapsed="false">
      <c r="A560" s="44" t="str">
        <f aca="false">IF($C560="","",IFERROR(VLOOKUP($C560,目录!$B:$C,2,0)&amp;"","⚠目录里没有"))</f>
        <v/>
      </c>
      <c r="B560" s="45" t="str">
        <f aca="false">IF($D560="","",IFERROR(MID($D560,FIND(".",$D560)+1,FIND(".",$D560,FIND(".",$D560)+1)-FIND(".",$D560)-1)&amp;"月",""))</f>
        <v/>
      </c>
      <c r="C560" s="46"/>
      <c r="D560" s="47"/>
      <c r="E560" s="47"/>
      <c r="F560" s="49"/>
      <c r="G560" s="50"/>
      <c r="H560" s="24"/>
      <c r="I560" s="24" t="str">
        <f aca="false">IF($H560="","",N($H560)*N($G560))</f>
        <v/>
      </c>
      <c r="J560" s="25" t="str">
        <f aca="false">IF($H560="","",N($H560)-N($I560))</f>
        <v/>
      </c>
      <c r="K560" s="25"/>
      <c r="L560" s="25" t="str">
        <f aca="false">IF($A560="","",SUMIF($A$4:$A560,$A560,$J$4:$J560)-SUMIF($A$4:$A560,$A560,$K$4:$K560))</f>
        <v/>
      </c>
      <c r="M560" s="26" t="str">
        <f aca="false">IF($H560="","",N($H560))</f>
        <v/>
      </c>
      <c r="N560" s="26"/>
      <c r="O560" s="26"/>
      <c r="P560" s="26" t="str">
        <f aca="false">IF($A560="","",SUMIF($A$4:$A560,$A560,$M$4:$M560)-SUMIF($A$4:$A560,$A560,$N$4:$N560)-SUMIF($A$4:$A560,$A560,$O$4:$O560))</f>
        <v/>
      </c>
      <c r="Q560" s="27"/>
      <c r="R560" s="28"/>
      <c r="S560" s="28"/>
      <c r="T560" s="28" t="str">
        <f aca="false">IF($A560="","",SUMIF($A$4:$A560,$A560,$Q$4:$Q560)-SUMIF($A$4:$A560,$A560,$R$4:$R560)-SUMIF($A$4:$A560,$A560,$S$4:$S560))</f>
        <v/>
      </c>
      <c r="U560" s="28"/>
      <c r="V560" s="29" t="str">
        <f aca="false">IF(AND($C560="",COUNTA($D560:$H560,$K560,$N560:$O560,$Q560:$S560,$U560)=0),"",IF($C560="","⚠ 没填项目名称",IF($A560="⚠目录里没有","⚠ 项目名称在目录里找不到（先加到目录）",IF($A560="","⚠ 目录里这个项目没填简称",IF(ISTEXT($G560)+ISTEXT($H560)+ISTEXT($K560)+ISTEXT($N560)+ISTEXT($O560)+ISTEXT($Q560)+ISTEXT($R560)+ISTEXT($S560)&gt;0,"⚠ 金额列里有文字，算不进合计",IF(N($G560)&gt;=1,"⚠ 管理费点要填百分比，如 10%",IF(AND($D560&lt;&gt;"",$B560=""),"△ 摘要开头没写日期（如 2026.9.21），月份取不到",IF(AND(N($H560)&lt;&gt;0,COUNTIFS($A$4:$A$1003,$A560,$H$4:$H$1003,$H560,$D$4:$D$1003,LEFT($D560,9)&amp;"*")&gt;1),"△ 同一天同项目有一样的销售金额，看看是不是录重了","✓"))))))))</f>
        <v/>
      </c>
      <c r="W560" s="8" t="str">
        <f aca="false">IF($A560="","",$A560&amp;"#"&amp;COUNTIF($A$4:$A560,$A560))</f>
        <v/>
      </c>
    </row>
    <row r="561" customFormat="false" ht="16.5" hidden="false" customHeight="false" outlineLevel="0" collapsed="false">
      <c r="A561" s="44" t="str">
        <f aca="false">IF($C561="","",IFERROR(VLOOKUP($C561,目录!$B:$C,2,0)&amp;"","⚠目录里没有"))</f>
        <v/>
      </c>
      <c r="B561" s="45" t="str">
        <f aca="false">IF($D561="","",IFERROR(MID($D561,FIND(".",$D561)+1,FIND(".",$D561,FIND(".",$D561)+1)-FIND(".",$D561)-1)&amp;"月",""))</f>
        <v/>
      </c>
      <c r="C561" s="46"/>
      <c r="D561" s="47"/>
      <c r="E561" s="47"/>
      <c r="F561" s="49"/>
      <c r="G561" s="50"/>
      <c r="H561" s="24"/>
      <c r="I561" s="24" t="str">
        <f aca="false">IF($H561="","",N($H561)*N($G561))</f>
        <v/>
      </c>
      <c r="J561" s="25" t="str">
        <f aca="false">IF($H561="","",N($H561)-N($I561))</f>
        <v/>
      </c>
      <c r="K561" s="25"/>
      <c r="L561" s="25" t="str">
        <f aca="false">IF($A561="","",SUMIF($A$4:$A561,$A561,$J$4:$J561)-SUMIF($A$4:$A561,$A561,$K$4:$K561))</f>
        <v/>
      </c>
      <c r="M561" s="26" t="str">
        <f aca="false">IF($H561="","",N($H561))</f>
        <v/>
      </c>
      <c r="N561" s="26"/>
      <c r="O561" s="26"/>
      <c r="P561" s="26" t="str">
        <f aca="false">IF($A561="","",SUMIF($A$4:$A561,$A561,$M$4:$M561)-SUMIF($A$4:$A561,$A561,$N$4:$N561)-SUMIF($A$4:$A561,$A561,$O$4:$O561))</f>
        <v/>
      </c>
      <c r="Q561" s="27"/>
      <c r="R561" s="28"/>
      <c r="S561" s="28"/>
      <c r="T561" s="28" t="str">
        <f aca="false">IF($A561="","",SUMIF($A$4:$A561,$A561,$Q$4:$Q561)-SUMIF($A$4:$A561,$A561,$R$4:$R561)-SUMIF($A$4:$A561,$A561,$S$4:$S561))</f>
        <v/>
      </c>
      <c r="U561" s="28"/>
      <c r="V561" s="29" t="str">
        <f aca="false">IF(AND($C561="",COUNTA($D561:$H561,$K561,$N561:$O561,$Q561:$S561,$U561)=0),"",IF($C561="","⚠ 没填项目名称",IF($A561="⚠目录里没有","⚠ 项目名称在目录里找不到（先加到目录）",IF($A561="","⚠ 目录里这个项目没填简称",IF(ISTEXT($G561)+ISTEXT($H561)+ISTEXT($K561)+ISTEXT($N561)+ISTEXT($O561)+ISTEXT($Q561)+ISTEXT($R561)+ISTEXT($S561)&gt;0,"⚠ 金额列里有文字，算不进合计",IF(N($G561)&gt;=1,"⚠ 管理费点要填百分比，如 10%",IF(AND($D561&lt;&gt;"",$B561=""),"△ 摘要开头没写日期（如 2026.9.21），月份取不到",IF(AND(N($H561)&lt;&gt;0,COUNTIFS($A$4:$A$1003,$A561,$H$4:$H$1003,$H561,$D$4:$D$1003,LEFT($D561,9)&amp;"*")&gt;1),"△ 同一天同项目有一样的销售金额，看看是不是录重了","✓"))))))))</f>
        <v/>
      </c>
      <c r="W561" s="8" t="str">
        <f aca="false">IF($A561="","",$A561&amp;"#"&amp;COUNTIF($A$4:$A561,$A561))</f>
        <v/>
      </c>
    </row>
    <row r="562" customFormat="false" ht="16.5" hidden="false" customHeight="false" outlineLevel="0" collapsed="false">
      <c r="A562" s="44" t="str">
        <f aca="false">IF($C562="","",IFERROR(VLOOKUP($C562,目录!$B:$C,2,0)&amp;"","⚠目录里没有"))</f>
        <v/>
      </c>
      <c r="B562" s="45" t="str">
        <f aca="false">IF($D562="","",IFERROR(MID($D562,FIND(".",$D562)+1,FIND(".",$D562,FIND(".",$D562)+1)-FIND(".",$D562)-1)&amp;"月",""))</f>
        <v/>
      </c>
      <c r="C562" s="46"/>
      <c r="D562" s="47"/>
      <c r="E562" s="47"/>
      <c r="F562" s="49"/>
      <c r="G562" s="50"/>
      <c r="H562" s="24"/>
      <c r="I562" s="24" t="str">
        <f aca="false">IF($H562="","",N($H562)*N($G562))</f>
        <v/>
      </c>
      <c r="J562" s="25" t="str">
        <f aca="false">IF($H562="","",N($H562)-N($I562))</f>
        <v/>
      </c>
      <c r="K562" s="25"/>
      <c r="L562" s="25" t="str">
        <f aca="false">IF($A562="","",SUMIF($A$4:$A562,$A562,$J$4:$J562)-SUMIF($A$4:$A562,$A562,$K$4:$K562))</f>
        <v/>
      </c>
      <c r="M562" s="26" t="str">
        <f aca="false">IF($H562="","",N($H562))</f>
        <v/>
      </c>
      <c r="N562" s="26"/>
      <c r="O562" s="26"/>
      <c r="P562" s="26" t="str">
        <f aca="false">IF($A562="","",SUMIF($A$4:$A562,$A562,$M$4:$M562)-SUMIF($A$4:$A562,$A562,$N$4:$N562)-SUMIF($A$4:$A562,$A562,$O$4:$O562))</f>
        <v/>
      </c>
      <c r="Q562" s="27"/>
      <c r="R562" s="28"/>
      <c r="S562" s="28"/>
      <c r="T562" s="28" t="str">
        <f aca="false">IF($A562="","",SUMIF($A$4:$A562,$A562,$Q$4:$Q562)-SUMIF($A$4:$A562,$A562,$R$4:$R562)-SUMIF($A$4:$A562,$A562,$S$4:$S562))</f>
        <v/>
      </c>
      <c r="U562" s="28"/>
      <c r="V562" s="29" t="str">
        <f aca="false">IF(AND($C562="",COUNTA($D562:$H562,$K562,$N562:$O562,$Q562:$S562,$U562)=0),"",IF($C562="","⚠ 没填项目名称",IF($A562="⚠目录里没有","⚠ 项目名称在目录里找不到（先加到目录）",IF($A562="","⚠ 目录里这个项目没填简称",IF(ISTEXT($G562)+ISTEXT($H562)+ISTEXT($K562)+ISTEXT($N562)+ISTEXT($O562)+ISTEXT($Q562)+ISTEXT($R562)+ISTEXT($S562)&gt;0,"⚠ 金额列里有文字，算不进合计",IF(N($G562)&gt;=1,"⚠ 管理费点要填百分比，如 10%",IF(AND($D562&lt;&gt;"",$B562=""),"△ 摘要开头没写日期（如 2026.9.21），月份取不到",IF(AND(N($H562)&lt;&gt;0,COUNTIFS($A$4:$A$1003,$A562,$H$4:$H$1003,$H562,$D$4:$D$1003,LEFT($D562,9)&amp;"*")&gt;1),"△ 同一天同项目有一样的销售金额，看看是不是录重了","✓"))))))))</f>
        <v/>
      </c>
      <c r="W562" s="8" t="str">
        <f aca="false">IF($A562="","",$A562&amp;"#"&amp;COUNTIF($A$4:$A562,$A562))</f>
        <v/>
      </c>
    </row>
    <row r="563" customFormat="false" ht="16.5" hidden="false" customHeight="false" outlineLevel="0" collapsed="false">
      <c r="A563" s="44" t="str">
        <f aca="false">IF($C563="","",IFERROR(VLOOKUP($C563,目录!$B:$C,2,0)&amp;"","⚠目录里没有"))</f>
        <v/>
      </c>
      <c r="B563" s="45" t="str">
        <f aca="false">IF($D563="","",IFERROR(MID($D563,FIND(".",$D563)+1,FIND(".",$D563,FIND(".",$D563)+1)-FIND(".",$D563)-1)&amp;"月",""))</f>
        <v/>
      </c>
      <c r="C563" s="46"/>
      <c r="D563" s="47"/>
      <c r="E563" s="47"/>
      <c r="F563" s="49"/>
      <c r="G563" s="50"/>
      <c r="H563" s="24"/>
      <c r="I563" s="24" t="str">
        <f aca="false">IF($H563="","",N($H563)*N($G563))</f>
        <v/>
      </c>
      <c r="J563" s="25" t="str">
        <f aca="false">IF($H563="","",N($H563)-N($I563))</f>
        <v/>
      </c>
      <c r="K563" s="25"/>
      <c r="L563" s="25" t="str">
        <f aca="false">IF($A563="","",SUMIF($A$4:$A563,$A563,$J$4:$J563)-SUMIF($A$4:$A563,$A563,$K$4:$K563))</f>
        <v/>
      </c>
      <c r="M563" s="26" t="str">
        <f aca="false">IF($H563="","",N($H563))</f>
        <v/>
      </c>
      <c r="N563" s="26"/>
      <c r="O563" s="26"/>
      <c r="P563" s="26" t="str">
        <f aca="false">IF($A563="","",SUMIF($A$4:$A563,$A563,$M$4:$M563)-SUMIF($A$4:$A563,$A563,$N$4:$N563)-SUMIF($A$4:$A563,$A563,$O$4:$O563))</f>
        <v/>
      </c>
      <c r="Q563" s="27"/>
      <c r="R563" s="28"/>
      <c r="S563" s="28"/>
      <c r="T563" s="28" t="str">
        <f aca="false">IF($A563="","",SUMIF($A$4:$A563,$A563,$Q$4:$Q563)-SUMIF($A$4:$A563,$A563,$R$4:$R563)-SUMIF($A$4:$A563,$A563,$S$4:$S563))</f>
        <v/>
      </c>
      <c r="U563" s="28"/>
      <c r="V563" s="29" t="str">
        <f aca="false">IF(AND($C563="",COUNTA($D563:$H563,$K563,$N563:$O563,$Q563:$S563,$U563)=0),"",IF($C563="","⚠ 没填项目名称",IF($A563="⚠目录里没有","⚠ 项目名称在目录里找不到（先加到目录）",IF($A563="","⚠ 目录里这个项目没填简称",IF(ISTEXT($G563)+ISTEXT($H563)+ISTEXT($K563)+ISTEXT($N563)+ISTEXT($O563)+ISTEXT($Q563)+ISTEXT($R563)+ISTEXT($S563)&gt;0,"⚠ 金额列里有文字，算不进合计",IF(N($G563)&gt;=1,"⚠ 管理费点要填百分比，如 10%",IF(AND($D563&lt;&gt;"",$B563=""),"△ 摘要开头没写日期（如 2026.9.21），月份取不到",IF(AND(N($H563)&lt;&gt;0,COUNTIFS($A$4:$A$1003,$A563,$H$4:$H$1003,$H563,$D$4:$D$1003,LEFT($D563,9)&amp;"*")&gt;1),"△ 同一天同项目有一样的销售金额，看看是不是录重了","✓"))))))))</f>
        <v/>
      </c>
      <c r="W563" s="8" t="str">
        <f aca="false">IF($A563="","",$A563&amp;"#"&amp;COUNTIF($A$4:$A563,$A563))</f>
        <v/>
      </c>
    </row>
    <row r="564" customFormat="false" ht="16.5" hidden="false" customHeight="false" outlineLevel="0" collapsed="false">
      <c r="A564" s="44" t="str">
        <f aca="false">IF($C564="","",IFERROR(VLOOKUP($C564,目录!$B:$C,2,0)&amp;"","⚠目录里没有"))</f>
        <v/>
      </c>
      <c r="B564" s="45" t="str">
        <f aca="false">IF($D564="","",IFERROR(MID($D564,FIND(".",$D564)+1,FIND(".",$D564,FIND(".",$D564)+1)-FIND(".",$D564)-1)&amp;"月",""))</f>
        <v/>
      </c>
      <c r="C564" s="46"/>
      <c r="D564" s="47"/>
      <c r="E564" s="47"/>
      <c r="F564" s="49"/>
      <c r="G564" s="50"/>
      <c r="H564" s="24"/>
      <c r="I564" s="24" t="str">
        <f aca="false">IF($H564="","",N($H564)*N($G564))</f>
        <v/>
      </c>
      <c r="J564" s="25" t="str">
        <f aca="false">IF($H564="","",N($H564)-N($I564))</f>
        <v/>
      </c>
      <c r="K564" s="25"/>
      <c r="L564" s="25" t="str">
        <f aca="false">IF($A564="","",SUMIF($A$4:$A564,$A564,$J$4:$J564)-SUMIF($A$4:$A564,$A564,$K$4:$K564))</f>
        <v/>
      </c>
      <c r="M564" s="26" t="str">
        <f aca="false">IF($H564="","",N($H564))</f>
        <v/>
      </c>
      <c r="N564" s="26"/>
      <c r="O564" s="26"/>
      <c r="P564" s="26" t="str">
        <f aca="false">IF($A564="","",SUMIF($A$4:$A564,$A564,$M$4:$M564)-SUMIF($A$4:$A564,$A564,$N$4:$N564)-SUMIF($A$4:$A564,$A564,$O$4:$O564))</f>
        <v/>
      </c>
      <c r="Q564" s="27"/>
      <c r="R564" s="28"/>
      <c r="S564" s="28"/>
      <c r="T564" s="28" t="str">
        <f aca="false">IF($A564="","",SUMIF($A$4:$A564,$A564,$Q$4:$Q564)-SUMIF($A$4:$A564,$A564,$R$4:$R564)-SUMIF($A$4:$A564,$A564,$S$4:$S564))</f>
        <v/>
      </c>
      <c r="U564" s="28"/>
      <c r="V564" s="29" t="str">
        <f aca="false">IF(AND($C564="",COUNTA($D564:$H564,$K564,$N564:$O564,$Q564:$S564,$U564)=0),"",IF($C564="","⚠ 没填项目名称",IF($A564="⚠目录里没有","⚠ 项目名称在目录里找不到（先加到目录）",IF($A564="","⚠ 目录里这个项目没填简称",IF(ISTEXT($G564)+ISTEXT($H564)+ISTEXT($K564)+ISTEXT($N564)+ISTEXT($O564)+ISTEXT($Q564)+ISTEXT($R564)+ISTEXT($S564)&gt;0,"⚠ 金额列里有文字，算不进合计",IF(N($G564)&gt;=1,"⚠ 管理费点要填百分比，如 10%",IF(AND($D564&lt;&gt;"",$B564=""),"△ 摘要开头没写日期（如 2026.9.21），月份取不到",IF(AND(N($H564)&lt;&gt;0,COUNTIFS($A$4:$A$1003,$A564,$H$4:$H$1003,$H564,$D$4:$D$1003,LEFT($D564,9)&amp;"*")&gt;1),"△ 同一天同项目有一样的销售金额，看看是不是录重了","✓"))))))))</f>
        <v/>
      </c>
      <c r="W564" s="8" t="str">
        <f aca="false">IF($A564="","",$A564&amp;"#"&amp;COUNTIF($A$4:$A564,$A564))</f>
        <v/>
      </c>
    </row>
    <row r="565" customFormat="false" ht="16.5" hidden="false" customHeight="false" outlineLevel="0" collapsed="false">
      <c r="A565" s="44" t="str">
        <f aca="false">IF($C565="","",IFERROR(VLOOKUP($C565,目录!$B:$C,2,0)&amp;"","⚠目录里没有"))</f>
        <v/>
      </c>
      <c r="B565" s="45" t="str">
        <f aca="false">IF($D565="","",IFERROR(MID($D565,FIND(".",$D565)+1,FIND(".",$D565,FIND(".",$D565)+1)-FIND(".",$D565)-1)&amp;"月",""))</f>
        <v/>
      </c>
      <c r="C565" s="46"/>
      <c r="D565" s="47"/>
      <c r="E565" s="47"/>
      <c r="F565" s="49"/>
      <c r="G565" s="50"/>
      <c r="H565" s="24"/>
      <c r="I565" s="24" t="str">
        <f aca="false">IF($H565="","",N($H565)*N($G565))</f>
        <v/>
      </c>
      <c r="J565" s="25" t="str">
        <f aca="false">IF($H565="","",N($H565)-N($I565))</f>
        <v/>
      </c>
      <c r="K565" s="25"/>
      <c r="L565" s="25" t="str">
        <f aca="false">IF($A565="","",SUMIF($A$4:$A565,$A565,$J$4:$J565)-SUMIF($A$4:$A565,$A565,$K$4:$K565))</f>
        <v/>
      </c>
      <c r="M565" s="26" t="str">
        <f aca="false">IF($H565="","",N($H565))</f>
        <v/>
      </c>
      <c r="N565" s="26"/>
      <c r="O565" s="26"/>
      <c r="P565" s="26" t="str">
        <f aca="false">IF($A565="","",SUMIF($A$4:$A565,$A565,$M$4:$M565)-SUMIF($A$4:$A565,$A565,$N$4:$N565)-SUMIF($A$4:$A565,$A565,$O$4:$O565))</f>
        <v/>
      </c>
      <c r="Q565" s="27"/>
      <c r="R565" s="28"/>
      <c r="S565" s="28"/>
      <c r="T565" s="28" t="str">
        <f aca="false">IF($A565="","",SUMIF($A$4:$A565,$A565,$Q$4:$Q565)-SUMIF($A$4:$A565,$A565,$R$4:$R565)-SUMIF($A$4:$A565,$A565,$S$4:$S565))</f>
        <v/>
      </c>
      <c r="U565" s="28"/>
      <c r="V565" s="29" t="str">
        <f aca="false">IF(AND($C565="",COUNTA($D565:$H565,$K565,$N565:$O565,$Q565:$S565,$U565)=0),"",IF($C565="","⚠ 没填项目名称",IF($A565="⚠目录里没有","⚠ 项目名称在目录里找不到（先加到目录）",IF($A565="","⚠ 目录里这个项目没填简称",IF(ISTEXT($G565)+ISTEXT($H565)+ISTEXT($K565)+ISTEXT($N565)+ISTEXT($O565)+ISTEXT($Q565)+ISTEXT($R565)+ISTEXT($S565)&gt;0,"⚠ 金额列里有文字，算不进合计",IF(N($G565)&gt;=1,"⚠ 管理费点要填百分比，如 10%",IF(AND($D565&lt;&gt;"",$B565=""),"△ 摘要开头没写日期（如 2026.9.21），月份取不到",IF(AND(N($H565)&lt;&gt;0,COUNTIFS($A$4:$A$1003,$A565,$H$4:$H$1003,$H565,$D$4:$D$1003,LEFT($D565,9)&amp;"*")&gt;1),"△ 同一天同项目有一样的销售金额，看看是不是录重了","✓"))))))))</f>
        <v/>
      </c>
      <c r="W565" s="8" t="str">
        <f aca="false">IF($A565="","",$A565&amp;"#"&amp;COUNTIF($A$4:$A565,$A565))</f>
        <v/>
      </c>
    </row>
    <row r="566" customFormat="false" ht="16.5" hidden="false" customHeight="false" outlineLevel="0" collapsed="false">
      <c r="A566" s="44" t="str">
        <f aca="false">IF($C566="","",IFERROR(VLOOKUP($C566,目录!$B:$C,2,0)&amp;"","⚠目录里没有"))</f>
        <v/>
      </c>
      <c r="B566" s="45" t="str">
        <f aca="false">IF($D566="","",IFERROR(MID($D566,FIND(".",$D566)+1,FIND(".",$D566,FIND(".",$D566)+1)-FIND(".",$D566)-1)&amp;"月",""))</f>
        <v/>
      </c>
      <c r="C566" s="46"/>
      <c r="D566" s="47"/>
      <c r="E566" s="47"/>
      <c r="F566" s="49"/>
      <c r="G566" s="50"/>
      <c r="H566" s="24"/>
      <c r="I566" s="24" t="str">
        <f aca="false">IF($H566="","",N($H566)*N($G566))</f>
        <v/>
      </c>
      <c r="J566" s="25" t="str">
        <f aca="false">IF($H566="","",N($H566)-N($I566))</f>
        <v/>
      </c>
      <c r="K566" s="25"/>
      <c r="L566" s="25" t="str">
        <f aca="false">IF($A566="","",SUMIF($A$4:$A566,$A566,$J$4:$J566)-SUMIF($A$4:$A566,$A566,$K$4:$K566))</f>
        <v/>
      </c>
      <c r="M566" s="26" t="str">
        <f aca="false">IF($H566="","",N($H566))</f>
        <v/>
      </c>
      <c r="N566" s="26"/>
      <c r="O566" s="26"/>
      <c r="P566" s="26" t="str">
        <f aca="false">IF($A566="","",SUMIF($A$4:$A566,$A566,$M$4:$M566)-SUMIF($A$4:$A566,$A566,$N$4:$N566)-SUMIF($A$4:$A566,$A566,$O$4:$O566))</f>
        <v/>
      </c>
      <c r="Q566" s="27"/>
      <c r="R566" s="28"/>
      <c r="S566" s="28"/>
      <c r="T566" s="28" t="str">
        <f aca="false">IF($A566="","",SUMIF($A$4:$A566,$A566,$Q$4:$Q566)-SUMIF($A$4:$A566,$A566,$R$4:$R566)-SUMIF($A$4:$A566,$A566,$S$4:$S566))</f>
        <v/>
      </c>
      <c r="U566" s="28"/>
      <c r="V566" s="29" t="str">
        <f aca="false">IF(AND($C566="",COUNTA($D566:$H566,$K566,$N566:$O566,$Q566:$S566,$U566)=0),"",IF($C566="","⚠ 没填项目名称",IF($A566="⚠目录里没有","⚠ 项目名称在目录里找不到（先加到目录）",IF($A566="","⚠ 目录里这个项目没填简称",IF(ISTEXT($G566)+ISTEXT($H566)+ISTEXT($K566)+ISTEXT($N566)+ISTEXT($O566)+ISTEXT($Q566)+ISTEXT($R566)+ISTEXT($S566)&gt;0,"⚠ 金额列里有文字，算不进合计",IF(N($G566)&gt;=1,"⚠ 管理费点要填百分比，如 10%",IF(AND($D566&lt;&gt;"",$B566=""),"△ 摘要开头没写日期（如 2026.9.21），月份取不到",IF(AND(N($H566)&lt;&gt;0,COUNTIFS($A$4:$A$1003,$A566,$H$4:$H$1003,$H566,$D$4:$D$1003,LEFT($D566,9)&amp;"*")&gt;1),"△ 同一天同项目有一样的销售金额，看看是不是录重了","✓"))))))))</f>
        <v/>
      </c>
      <c r="W566" s="8" t="str">
        <f aca="false">IF($A566="","",$A566&amp;"#"&amp;COUNTIF($A$4:$A566,$A566))</f>
        <v/>
      </c>
    </row>
    <row r="567" customFormat="false" ht="16.5" hidden="false" customHeight="false" outlineLevel="0" collapsed="false">
      <c r="A567" s="44" t="str">
        <f aca="false">IF($C567="","",IFERROR(VLOOKUP($C567,目录!$B:$C,2,0)&amp;"","⚠目录里没有"))</f>
        <v/>
      </c>
      <c r="B567" s="45" t="str">
        <f aca="false">IF($D567="","",IFERROR(MID($D567,FIND(".",$D567)+1,FIND(".",$D567,FIND(".",$D567)+1)-FIND(".",$D567)-1)&amp;"月",""))</f>
        <v/>
      </c>
      <c r="C567" s="46"/>
      <c r="D567" s="47"/>
      <c r="E567" s="47"/>
      <c r="F567" s="49"/>
      <c r="G567" s="50"/>
      <c r="H567" s="24"/>
      <c r="I567" s="24" t="str">
        <f aca="false">IF($H567="","",N($H567)*N($G567))</f>
        <v/>
      </c>
      <c r="J567" s="25" t="str">
        <f aca="false">IF($H567="","",N($H567)-N($I567))</f>
        <v/>
      </c>
      <c r="K567" s="25"/>
      <c r="L567" s="25" t="str">
        <f aca="false">IF($A567="","",SUMIF($A$4:$A567,$A567,$J$4:$J567)-SUMIF($A$4:$A567,$A567,$K$4:$K567))</f>
        <v/>
      </c>
      <c r="M567" s="26" t="str">
        <f aca="false">IF($H567="","",N($H567))</f>
        <v/>
      </c>
      <c r="N567" s="26"/>
      <c r="O567" s="26"/>
      <c r="P567" s="26" t="str">
        <f aca="false">IF($A567="","",SUMIF($A$4:$A567,$A567,$M$4:$M567)-SUMIF($A$4:$A567,$A567,$N$4:$N567)-SUMIF($A$4:$A567,$A567,$O$4:$O567))</f>
        <v/>
      </c>
      <c r="Q567" s="27"/>
      <c r="R567" s="28"/>
      <c r="S567" s="28"/>
      <c r="T567" s="28" t="str">
        <f aca="false">IF($A567="","",SUMIF($A$4:$A567,$A567,$Q$4:$Q567)-SUMIF($A$4:$A567,$A567,$R$4:$R567)-SUMIF($A$4:$A567,$A567,$S$4:$S567))</f>
        <v/>
      </c>
      <c r="U567" s="28"/>
      <c r="V567" s="29" t="str">
        <f aca="false">IF(AND($C567="",COUNTA($D567:$H567,$K567,$N567:$O567,$Q567:$S567,$U567)=0),"",IF($C567="","⚠ 没填项目名称",IF($A567="⚠目录里没有","⚠ 项目名称在目录里找不到（先加到目录）",IF($A567="","⚠ 目录里这个项目没填简称",IF(ISTEXT($G567)+ISTEXT($H567)+ISTEXT($K567)+ISTEXT($N567)+ISTEXT($O567)+ISTEXT($Q567)+ISTEXT($R567)+ISTEXT($S567)&gt;0,"⚠ 金额列里有文字，算不进合计",IF(N($G567)&gt;=1,"⚠ 管理费点要填百分比，如 10%",IF(AND($D567&lt;&gt;"",$B567=""),"△ 摘要开头没写日期（如 2026.9.21），月份取不到",IF(AND(N($H567)&lt;&gt;0,COUNTIFS($A$4:$A$1003,$A567,$H$4:$H$1003,$H567,$D$4:$D$1003,LEFT($D567,9)&amp;"*")&gt;1),"△ 同一天同项目有一样的销售金额，看看是不是录重了","✓"))))))))</f>
        <v/>
      </c>
      <c r="W567" s="8" t="str">
        <f aca="false">IF($A567="","",$A567&amp;"#"&amp;COUNTIF($A$4:$A567,$A567))</f>
        <v/>
      </c>
    </row>
    <row r="568" customFormat="false" ht="16.5" hidden="false" customHeight="false" outlineLevel="0" collapsed="false">
      <c r="A568" s="44" t="str">
        <f aca="false">IF($C568="","",IFERROR(VLOOKUP($C568,目录!$B:$C,2,0)&amp;"","⚠目录里没有"))</f>
        <v/>
      </c>
      <c r="B568" s="45" t="str">
        <f aca="false">IF($D568="","",IFERROR(MID($D568,FIND(".",$D568)+1,FIND(".",$D568,FIND(".",$D568)+1)-FIND(".",$D568)-1)&amp;"月",""))</f>
        <v/>
      </c>
      <c r="C568" s="46"/>
      <c r="D568" s="47"/>
      <c r="E568" s="47"/>
      <c r="F568" s="49"/>
      <c r="G568" s="50"/>
      <c r="H568" s="24"/>
      <c r="I568" s="24" t="str">
        <f aca="false">IF($H568="","",N($H568)*N($G568))</f>
        <v/>
      </c>
      <c r="J568" s="25" t="str">
        <f aca="false">IF($H568="","",N($H568)-N($I568))</f>
        <v/>
      </c>
      <c r="K568" s="25"/>
      <c r="L568" s="25" t="str">
        <f aca="false">IF($A568="","",SUMIF($A$4:$A568,$A568,$J$4:$J568)-SUMIF($A$4:$A568,$A568,$K$4:$K568))</f>
        <v/>
      </c>
      <c r="M568" s="26" t="str">
        <f aca="false">IF($H568="","",N($H568))</f>
        <v/>
      </c>
      <c r="N568" s="26"/>
      <c r="O568" s="26"/>
      <c r="P568" s="26" t="str">
        <f aca="false">IF($A568="","",SUMIF($A$4:$A568,$A568,$M$4:$M568)-SUMIF($A$4:$A568,$A568,$N$4:$N568)-SUMIF($A$4:$A568,$A568,$O$4:$O568))</f>
        <v/>
      </c>
      <c r="Q568" s="27"/>
      <c r="R568" s="28"/>
      <c r="S568" s="28"/>
      <c r="T568" s="28" t="str">
        <f aca="false">IF($A568="","",SUMIF($A$4:$A568,$A568,$Q$4:$Q568)-SUMIF($A$4:$A568,$A568,$R$4:$R568)-SUMIF($A$4:$A568,$A568,$S$4:$S568))</f>
        <v/>
      </c>
      <c r="U568" s="28"/>
      <c r="V568" s="29" t="str">
        <f aca="false">IF(AND($C568="",COUNTA($D568:$H568,$K568,$N568:$O568,$Q568:$S568,$U568)=0),"",IF($C568="","⚠ 没填项目名称",IF($A568="⚠目录里没有","⚠ 项目名称在目录里找不到（先加到目录）",IF($A568="","⚠ 目录里这个项目没填简称",IF(ISTEXT($G568)+ISTEXT($H568)+ISTEXT($K568)+ISTEXT($N568)+ISTEXT($O568)+ISTEXT($Q568)+ISTEXT($R568)+ISTEXT($S568)&gt;0,"⚠ 金额列里有文字，算不进合计",IF(N($G568)&gt;=1,"⚠ 管理费点要填百分比，如 10%",IF(AND($D568&lt;&gt;"",$B568=""),"△ 摘要开头没写日期（如 2026.9.21），月份取不到",IF(AND(N($H568)&lt;&gt;0,COUNTIFS($A$4:$A$1003,$A568,$H$4:$H$1003,$H568,$D$4:$D$1003,LEFT($D568,9)&amp;"*")&gt;1),"△ 同一天同项目有一样的销售金额，看看是不是录重了","✓"))))))))</f>
        <v/>
      </c>
      <c r="W568" s="8" t="str">
        <f aca="false">IF($A568="","",$A568&amp;"#"&amp;COUNTIF($A$4:$A568,$A568))</f>
        <v/>
      </c>
    </row>
    <row r="569" customFormat="false" ht="16.5" hidden="false" customHeight="false" outlineLevel="0" collapsed="false">
      <c r="A569" s="44" t="str">
        <f aca="false">IF($C569="","",IFERROR(VLOOKUP($C569,目录!$B:$C,2,0)&amp;"","⚠目录里没有"))</f>
        <v/>
      </c>
      <c r="B569" s="45" t="str">
        <f aca="false">IF($D569="","",IFERROR(MID($D569,FIND(".",$D569)+1,FIND(".",$D569,FIND(".",$D569)+1)-FIND(".",$D569)-1)&amp;"月",""))</f>
        <v/>
      </c>
      <c r="C569" s="46"/>
      <c r="D569" s="47"/>
      <c r="E569" s="47"/>
      <c r="F569" s="49"/>
      <c r="G569" s="50"/>
      <c r="H569" s="24"/>
      <c r="I569" s="24" t="str">
        <f aca="false">IF($H569="","",N($H569)*N($G569))</f>
        <v/>
      </c>
      <c r="J569" s="25" t="str">
        <f aca="false">IF($H569="","",N($H569)-N($I569))</f>
        <v/>
      </c>
      <c r="K569" s="25"/>
      <c r="L569" s="25" t="str">
        <f aca="false">IF($A569="","",SUMIF($A$4:$A569,$A569,$J$4:$J569)-SUMIF($A$4:$A569,$A569,$K$4:$K569))</f>
        <v/>
      </c>
      <c r="M569" s="26" t="str">
        <f aca="false">IF($H569="","",N($H569))</f>
        <v/>
      </c>
      <c r="N569" s="26"/>
      <c r="O569" s="26"/>
      <c r="P569" s="26" t="str">
        <f aca="false">IF($A569="","",SUMIF($A$4:$A569,$A569,$M$4:$M569)-SUMIF($A$4:$A569,$A569,$N$4:$N569)-SUMIF($A$4:$A569,$A569,$O$4:$O569))</f>
        <v/>
      </c>
      <c r="Q569" s="27"/>
      <c r="R569" s="28"/>
      <c r="S569" s="28"/>
      <c r="T569" s="28" t="str">
        <f aca="false">IF($A569="","",SUMIF($A$4:$A569,$A569,$Q$4:$Q569)-SUMIF($A$4:$A569,$A569,$R$4:$R569)-SUMIF($A$4:$A569,$A569,$S$4:$S569))</f>
        <v/>
      </c>
      <c r="U569" s="28"/>
      <c r="V569" s="29" t="str">
        <f aca="false">IF(AND($C569="",COUNTA($D569:$H569,$K569,$N569:$O569,$Q569:$S569,$U569)=0),"",IF($C569="","⚠ 没填项目名称",IF($A569="⚠目录里没有","⚠ 项目名称在目录里找不到（先加到目录）",IF($A569="","⚠ 目录里这个项目没填简称",IF(ISTEXT($G569)+ISTEXT($H569)+ISTEXT($K569)+ISTEXT($N569)+ISTEXT($O569)+ISTEXT($Q569)+ISTEXT($R569)+ISTEXT($S569)&gt;0,"⚠ 金额列里有文字，算不进合计",IF(N($G569)&gt;=1,"⚠ 管理费点要填百分比，如 10%",IF(AND($D569&lt;&gt;"",$B569=""),"△ 摘要开头没写日期（如 2026.9.21），月份取不到",IF(AND(N($H569)&lt;&gt;0,COUNTIFS($A$4:$A$1003,$A569,$H$4:$H$1003,$H569,$D$4:$D$1003,LEFT($D569,9)&amp;"*")&gt;1),"△ 同一天同项目有一样的销售金额，看看是不是录重了","✓"))))))))</f>
        <v/>
      </c>
      <c r="W569" s="8" t="str">
        <f aca="false">IF($A569="","",$A569&amp;"#"&amp;COUNTIF($A$4:$A569,$A569))</f>
        <v/>
      </c>
    </row>
    <row r="570" customFormat="false" ht="16.5" hidden="false" customHeight="false" outlineLevel="0" collapsed="false">
      <c r="A570" s="44" t="str">
        <f aca="false">IF($C570="","",IFERROR(VLOOKUP($C570,目录!$B:$C,2,0)&amp;"","⚠目录里没有"))</f>
        <v/>
      </c>
      <c r="B570" s="45" t="str">
        <f aca="false">IF($D570="","",IFERROR(MID($D570,FIND(".",$D570)+1,FIND(".",$D570,FIND(".",$D570)+1)-FIND(".",$D570)-1)&amp;"月",""))</f>
        <v/>
      </c>
      <c r="C570" s="46"/>
      <c r="D570" s="47"/>
      <c r="E570" s="47"/>
      <c r="F570" s="49"/>
      <c r="G570" s="50"/>
      <c r="H570" s="24"/>
      <c r="I570" s="24" t="str">
        <f aca="false">IF($H570="","",N($H570)*N($G570))</f>
        <v/>
      </c>
      <c r="J570" s="25" t="str">
        <f aca="false">IF($H570="","",N($H570)-N($I570))</f>
        <v/>
      </c>
      <c r="K570" s="25"/>
      <c r="L570" s="25" t="str">
        <f aca="false">IF($A570="","",SUMIF($A$4:$A570,$A570,$J$4:$J570)-SUMIF($A$4:$A570,$A570,$K$4:$K570))</f>
        <v/>
      </c>
      <c r="M570" s="26" t="str">
        <f aca="false">IF($H570="","",N($H570))</f>
        <v/>
      </c>
      <c r="N570" s="26"/>
      <c r="O570" s="26"/>
      <c r="P570" s="26" t="str">
        <f aca="false">IF($A570="","",SUMIF($A$4:$A570,$A570,$M$4:$M570)-SUMIF($A$4:$A570,$A570,$N$4:$N570)-SUMIF($A$4:$A570,$A570,$O$4:$O570))</f>
        <v/>
      </c>
      <c r="Q570" s="27"/>
      <c r="R570" s="28"/>
      <c r="S570" s="28"/>
      <c r="T570" s="28" t="str">
        <f aca="false">IF($A570="","",SUMIF($A$4:$A570,$A570,$Q$4:$Q570)-SUMIF($A$4:$A570,$A570,$R$4:$R570)-SUMIF($A$4:$A570,$A570,$S$4:$S570))</f>
        <v/>
      </c>
      <c r="U570" s="28"/>
      <c r="V570" s="29" t="str">
        <f aca="false">IF(AND($C570="",COUNTA($D570:$H570,$K570,$N570:$O570,$Q570:$S570,$U570)=0),"",IF($C570="","⚠ 没填项目名称",IF($A570="⚠目录里没有","⚠ 项目名称在目录里找不到（先加到目录）",IF($A570="","⚠ 目录里这个项目没填简称",IF(ISTEXT($G570)+ISTEXT($H570)+ISTEXT($K570)+ISTEXT($N570)+ISTEXT($O570)+ISTEXT($Q570)+ISTEXT($R570)+ISTEXT($S570)&gt;0,"⚠ 金额列里有文字，算不进合计",IF(N($G570)&gt;=1,"⚠ 管理费点要填百分比，如 10%",IF(AND($D570&lt;&gt;"",$B570=""),"△ 摘要开头没写日期（如 2026.9.21），月份取不到",IF(AND(N($H570)&lt;&gt;0,COUNTIFS($A$4:$A$1003,$A570,$H$4:$H$1003,$H570,$D$4:$D$1003,LEFT($D570,9)&amp;"*")&gt;1),"△ 同一天同项目有一样的销售金额，看看是不是录重了","✓"))))))))</f>
        <v/>
      </c>
      <c r="W570" s="8" t="str">
        <f aca="false">IF($A570="","",$A570&amp;"#"&amp;COUNTIF($A$4:$A570,$A570))</f>
        <v/>
      </c>
    </row>
    <row r="571" customFormat="false" ht="16.5" hidden="false" customHeight="false" outlineLevel="0" collapsed="false">
      <c r="A571" s="44" t="str">
        <f aca="false">IF($C571="","",IFERROR(VLOOKUP($C571,目录!$B:$C,2,0)&amp;"","⚠目录里没有"))</f>
        <v/>
      </c>
      <c r="B571" s="45" t="str">
        <f aca="false">IF($D571="","",IFERROR(MID($D571,FIND(".",$D571)+1,FIND(".",$D571,FIND(".",$D571)+1)-FIND(".",$D571)-1)&amp;"月",""))</f>
        <v/>
      </c>
      <c r="C571" s="46"/>
      <c r="D571" s="47"/>
      <c r="E571" s="47"/>
      <c r="F571" s="49"/>
      <c r="G571" s="50"/>
      <c r="H571" s="24"/>
      <c r="I571" s="24" t="str">
        <f aca="false">IF($H571="","",N($H571)*N($G571))</f>
        <v/>
      </c>
      <c r="J571" s="25" t="str">
        <f aca="false">IF($H571="","",N($H571)-N($I571))</f>
        <v/>
      </c>
      <c r="K571" s="25"/>
      <c r="L571" s="25" t="str">
        <f aca="false">IF($A571="","",SUMIF($A$4:$A571,$A571,$J$4:$J571)-SUMIF($A$4:$A571,$A571,$K$4:$K571))</f>
        <v/>
      </c>
      <c r="M571" s="26" t="str">
        <f aca="false">IF($H571="","",N($H571))</f>
        <v/>
      </c>
      <c r="N571" s="26"/>
      <c r="O571" s="26"/>
      <c r="P571" s="26" t="str">
        <f aca="false">IF($A571="","",SUMIF($A$4:$A571,$A571,$M$4:$M571)-SUMIF($A$4:$A571,$A571,$N$4:$N571)-SUMIF($A$4:$A571,$A571,$O$4:$O571))</f>
        <v/>
      </c>
      <c r="Q571" s="27"/>
      <c r="R571" s="28"/>
      <c r="S571" s="28"/>
      <c r="T571" s="28" t="str">
        <f aca="false">IF($A571="","",SUMIF($A$4:$A571,$A571,$Q$4:$Q571)-SUMIF($A$4:$A571,$A571,$R$4:$R571)-SUMIF($A$4:$A571,$A571,$S$4:$S571))</f>
        <v/>
      </c>
      <c r="U571" s="28"/>
      <c r="V571" s="29" t="str">
        <f aca="false">IF(AND($C571="",COUNTA($D571:$H571,$K571,$N571:$O571,$Q571:$S571,$U571)=0),"",IF($C571="","⚠ 没填项目名称",IF($A571="⚠目录里没有","⚠ 项目名称在目录里找不到（先加到目录）",IF($A571="","⚠ 目录里这个项目没填简称",IF(ISTEXT($G571)+ISTEXT($H571)+ISTEXT($K571)+ISTEXT($N571)+ISTEXT($O571)+ISTEXT($Q571)+ISTEXT($R571)+ISTEXT($S571)&gt;0,"⚠ 金额列里有文字，算不进合计",IF(N($G571)&gt;=1,"⚠ 管理费点要填百分比，如 10%",IF(AND($D571&lt;&gt;"",$B571=""),"△ 摘要开头没写日期（如 2026.9.21），月份取不到",IF(AND(N($H571)&lt;&gt;0,COUNTIFS($A$4:$A$1003,$A571,$H$4:$H$1003,$H571,$D$4:$D$1003,LEFT($D571,9)&amp;"*")&gt;1),"△ 同一天同项目有一样的销售金额，看看是不是录重了","✓"))))))))</f>
        <v/>
      </c>
      <c r="W571" s="8" t="str">
        <f aca="false">IF($A571="","",$A571&amp;"#"&amp;COUNTIF($A$4:$A571,$A571))</f>
        <v/>
      </c>
    </row>
    <row r="572" customFormat="false" ht="16.5" hidden="false" customHeight="false" outlineLevel="0" collapsed="false">
      <c r="A572" s="44" t="str">
        <f aca="false">IF($C572="","",IFERROR(VLOOKUP($C572,目录!$B:$C,2,0)&amp;"","⚠目录里没有"))</f>
        <v/>
      </c>
      <c r="B572" s="45" t="str">
        <f aca="false">IF($D572="","",IFERROR(MID($D572,FIND(".",$D572)+1,FIND(".",$D572,FIND(".",$D572)+1)-FIND(".",$D572)-1)&amp;"月",""))</f>
        <v/>
      </c>
      <c r="C572" s="46"/>
      <c r="D572" s="47"/>
      <c r="E572" s="47"/>
      <c r="F572" s="49"/>
      <c r="G572" s="50"/>
      <c r="H572" s="24"/>
      <c r="I572" s="24" t="str">
        <f aca="false">IF($H572="","",N($H572)*N($G572))</f>
        <v/>
      </c>
      <c r="J572" s="25" t="str">
        <f aca="false">IF($H572="","",N($H572)-N($I572))</f>
        <v/>
      </c>
      <c r="K572" s="25"/>
      <c r="L572" s="25" t="str">
        <f aca="false">IF($A572="","",SUMIF($A$4:$A572,$A572,$J$4:$J572)-SUMIF($A$4:$A572,$A572,$K$4:$K572))</f>
        <v/>
      </c>
      <c r="M572" s="26" t="str">
        <f aca="false">IF($H572="","",N($H572))</f>
        <v/>
      </c>
      <c r="N572" s="26"/>
      <c r="O572" s="26"/>
      <c r="P572" s="26" t="str">
        <f aca="false">IF($A572="","",SUMIF($A$4:$A572,$A572,$M$4:$M572)-SUMIF($A$4:$A572,$A572,$N$4:$N572)-SUMIF($A$4:$A572,$A572,$O$4:$O572))</f>
        <v/>
      </c>
      <c r="Q572" s="27"/>
      <c r="R572" s="28"/>
      <c r="S572" s="28"/>
      <c r="T572" s="28" t="str">
        <f aca="false">IF($A572="","",SUMIF($A$4:$A572,$A572,$Q$4:$Q572)-SUMIF($A$4:$A572,$A572,$R$4:$R572)-SUMIF($A$4:$A572,$A572,$S$4:$S572))</f>
        <v/>
      </c>
      <c r="U572" s="28"/>
      <c r="V572" s="29" t="str">
        <f aca="false">IF(AND($C572="",COUNTA($D572:$H572,$K572,$N572:$O572,$Q572:$S572,$U572)=0),"",IF($C572="","⚠ 没填项目名称",IF($A572="⚠目录里没有","⚠ 项目名称在目录里找不到（先加到目录）",IF($A572="","⚠ 目录里这个项目没填简称",IF(ISTEXT($G572)+ISTEXT($H572)+ISTEXT($K572)+ISTEXT($N572)+ISTEXT($O572)+ISTEXT($Q572)+ISTEXT($R572)+ISTEXT($S572)&gt;0,"⚠ 金额列里有文字，算不进合计",IF(N($G572)&gt;=1,"⚠ 管理费点要填百分比，如 10%",IF(AND($D572&lt;&gt;"",$B572=""),"△ 摘要开头没写日期（如 2026.9.21），月份取不到",IF(AND(N($H572)&lt;&gt;0,COUNTIFS($A$4:$A$1003,$A572,$H$4:$H$1003,$H572,$D$4:$D$1003,LEFT($D572,9)&amp;"*")&gt;1),"△ 同一天同项目有一样的销售金额，看看是不是录重了","✓"))))))))</f>
        <v/>
      </c>
      <c r="W572" s="8" t="str">
        <f aca="false">IF($A572="","",$A572&amp;"#"&amp;COUNTIF($A$4:$A572,$A572))</f>
        <v/>
      </c>
    </row>
    <row r="573" customFormat="false" ht="16.5" hidden="false" customHeight="false" outlineLevel="0" collapsed="false">
      <c r="A573" s="44" t="str">
        <f aca="false">IF($C573="","",IFERROR(VLOOKUP($C573,目录!$B:$C,2,0)&amp;"","⚠目录里没有"))</f>
        <v/>
      </c>
      <c r="B573" s="45" t="str">
        <f aca="false">IF($D573="","",IFERROR(MID($D573,FIND(".",$D573)+1,FIND(".",$D573,FIND(".",$D573)+1)-FIND(".",$D573)-1)&amp;"月",""))</f>
        <v/>
      </c>
      <c r="C573" s="46"/>
      <c r="D573" s="47"/>
      <c r="E573" s="47"/>
      <c r="F573" s="49"/>
      <c r="G573" s="50"/>
      <c r="H573" s="24"/>
      <c r="I573" s="24" t="str">
        <f aca="false">IF($H573="","",N($H573)*N($G573))</f>
        <v/>
      </c>
      <c r="J573" s="25" t="str">
        <f aca="false">IF($H573="","",N($H573)-N($I573))</f>
        <v/>
      </c>
      <c r="K573" s="25"/>
      <c r="L573" s="25" t="str">
        <f aca="false">IF($A573="","",SUMIF($A$4:$A573,$A573,$J$4:$J573)-SUMIF($A$4:$A573,$A573,$K$4:$K573))</f>
        <v/>
      </c>
      <c r="M573" s="26" t="str">
        <f aca="false">IF($H573="","",N($H573))</f>
        <v/>
      </c>
      <c r="N573" s="26"/>
      <c r="O573" s="26"/>
      <c r="P573" s="26" t="str">
        <f aca="false">IF($A573="","",SUMIF($A$4:$A573,$A573,$M$4:$M573)-SUMIF($A$4:$A573,$A573,$N$4:$N573)-SUMIF($A$4:$A573,$A573,$O$4:$O573))</f>
        <v/>
      </c>
      <c r="Q573" s="27"/>
      <c r="R573" s="28"/>
      <c r="S573" s="28"/>
      <c r="T573" s="28" t="str">
        <f aca="false">IF($A573="","",SUMIF($A$4:$A573,$A573,$Q$4:$Q573)-SUMIF($A$4:$A573,$A573,$R$4:$R573)-SUMIF($A$4:$A573,$A573,$S$4:$S573))</f>
        <v/>
      </c>
      <c r="U573" s="28"/>
      <c r="V573" s="29" t="str">
        <f aca="false">IF(AND($C573="",COUNTA($D573:$H573,$K573,$N573:$O573,$Q573:$S573,$U573)=0),"",IF($C573="","⚠ 没填项目名称",IF($A573="⚠目录里没有","⚠ 项目名称在目录里找不到（先加到目录）",IF($A573="","⚠ 目录里这个项目没填简称",IF(ISTEXT($G573)+ISTEXT($H573)+ISTEXT($K573)+ISTEXT($N573)+ISTEXT($O573)+ISTEXT($Q573)+ISTEXT($R573)+ISTEXT($S573)&gt;0,"⚠ 金额列里有文字，算不进合计",IF(N($G573)&gt;=1,"⚠ 管理费点要填百分比，如 10%",IF(AND($D573&lt;&gt;"",$B573=""),"△ 摘要开头没写日期（如 2026.9.21），月份取不到",IF(AND(N($H573)&lt;&gt;0,COUNTIFS($A$4:$A$1003,$A573,$H$4:$H$1003,$H573,$D$4:$D$1003,LEFT($D573,9)&amp;"*")&gt;1),"△ 同一天同项目有一样的销售金额，看看是不是录重了","✓"))))))))</f>
        <v/>
      </c>
      <c r="W573" s="8" t="str">
        <f aca="false">IF($A573="","",$A573&amp;"#"&amp;COUNTIF($A$4:$A573,$A573))</f>
        <v/>
      </c>
    </row>
    <row r="574" customFormat="false" ht="16.5" hidden="false" customHeight="false" outlineLevel="0" collapsed="false">
      <c r="A574" s="44" t="str">
        <f aca="false">IF($C574="","",IFERROR(VLOOKUP($C574,目录!$B:$C,2,0)&amp;"","⚠目录里没有"))</f>
        <v/>
      </c>
      <c r="B574" s="45" t="str">
        <f aca="false">IF($D574="","",IFERROR(MID($D574,FIND(".",$D574)+1,FIND(".",$D574,FIND(".",$D574)+1)-FIND(".",$D574)-1)&amp;"月",""))</f>
        <v/>
      </c>
      <c r="C574" s="46"/>
      <c r="D574" s="47"/>
      <c r="E574" s="47"/>
      <c r="F574" s="49"/>
      <c r="G574" s="50"/>
      <c r="H574" s="24"/>
      <c r="I574" s="24" t="str">
        <f aca="false">IF($H574="","",N($H574)*N($G574))</f>
        <v/>
      </c>
      <c r="J574" s="25" t="str">
        <f aca="false">IF($H574="","",N($H574)-N($I574))</f>
        <v/>
      </c>
      <c r="K574" s="25"/>
      <c r="L574" s="25" t="str">
        <f aca="false">IF($A574="","",SUMIF($A$4:$A574,$A574,$J$4:$J574)-SUMIF($A$4:$A574,$A574,$K$4:$K574))</f>
        <v/>
      </c>
      <c r="M574" s="26" t="str">
        <f aca="false">IF($H574="","",N($H574))</f>
        <v/>
      </c>
      <c r="N574" s="26"/>
      <c r="O574" s="26"/>
      <c r="P574" s="26" t="str">
        <f aca="false">IF($A574="","",SUMIF($A$4:$A574,$A574,$M$4:$M574)-SUMIF($A$4:$A574,$A574,$N$4:$N574)-SUMIF($A$4:$A574,$A574,$O$4:$O574))</f>
        <v/>
      </c>
      <c r="Q574" s="27"/>
      <c r="R574" s="28"/>
      <c r="S574" s="28"/>
      <c r="T574" s="28" t="str">
        <f aca="false">IF($A574="","",SUMIF($A$4:$A574,$A574,$Q$4:$Q574)-SUMIF($A$4:$A574,$A574,$R$4:$R574)-SUMIF($A$4:$A574,$A574,$S$4:$S574))</f>
        <v/>
      </c>
      <c r="U574" s="28"/>
      <c r="V574" s="29" t="str">
        <f aca="false">IF(AND($C574="",COUNTA($D574:$H574,$K574,$N574:$O574,$Q574:$S574,$U574)=0),"",IF($C574="","⚠ 没填项目名称",IF($A574="⚠目录里没有","⚠ 项目名称在目录里找不到（先加到目录）",IF($A574="","⚠ 目录里这个项目没填简称",IF(ISTEXT($G574)+ISTEXT($H574)+ISTEXT($K574)+ISTEXT($N574)+ISTEXT($O574)+ISTEXT($Q574)+ISTEXT($R574)+ISTEXT($S574)&gt;0,"⚠ 金额列里有文字，算不进合计",IF(N($G574)&gt;=1,"⚠ 管理费点要填百分比，如 10%",IF(AND($D574&lt;&gt;"",$B574=""),"△ 摘要开头没写日期（如 2026.9.21），月份取不到",IF(AND(N($H574)&lt;&gt;0,COUNTIFS($A$4:$A$1003,$A574,$H$4:$H$1003,$H574,$D$4:$D$1003,LEFT($D574,9)&amp;"*")&gt;1),"△ 同一天同项目有一样的销售金额，看看是不是录重了","✓"))))))))</f>
        <v/>
      </c>
      <c r="W574" s="8" t="str">
        <f aca="false">IF($A574="","",$A574&amp;"#"&amp;COUNTIF($A$4:$A574,$A574))</f>
        <v/>
      </c>
    </row>
    <row r="575" customFormat="false" ht="16.5" hidden="false" customHeight="false" outlineLevel="0" collapsed="false">
      <c r="A575" s="44" t="str">
        <f aca="false">IF($C575="","",IFERROR(VLOOKUP($C575,目录!$B:$C,2,0)&amp;"","⚠目录里没有"))</f>
        <v/>
      </c>
      <c r="B575" s="45" t="str">
        <f aca="false">IF($D575="","",IFERROR(MID($D575,FIND(".",$D575)+1,FIND(".",$D575,FIND(".",$D575)+1)-FIND(".",$D575)-1)&amp;"月",""))</f>
        <v/>
      </c>
      <c r="C575" s="46"/>
      <c r="D575" s="47"/>
      <c r="E575" s="47"/>
      <c r="F575" s="49"/>
      <c r="G575" s="50"/>
      <c r="H575" s="24"/>
      <c r="I575" s="24" t="str">
        <f aca="false">IF($H575="","",N($H575)*N($G575))</f>
        <v/>
      </c>
      <c r="J575" s="25" t="str">
        <f aca="false">IF($H575="","",N($H575)-N($I575))</f>
        <v/>
      </c>
      <c r="K575" s="25"/>
      <c r="L575" s="25" t="str">
        <f aca="false">IF($A575="","",SUMIF($A$4:$A575,$A575,$J$4:$J575)-SUMIF($A$4:$A575,$A575,$K$4:$K575))</f>
        <v/>
      </c>
      <c r="M575" s="26" t="str">
        <f aca="false">IF($H575="","",N($H575))</f>
        <v/>
      </c>
      <c r="N575" s="26"/>
      <c r="O575" s="26"/>
      <c r="P575" s="26" t="str">
        <f aca="false">IF($A575="","",SUMIF($A$4:$A575,$A575,$M$4:$M575)-SUMIF($A$4:$A575,$A575,$N$4:$N575)-SUMIF($A$4:$A575,$A575,$O$4:$O575))</f>
        <v/>
      </c>
      <c r="Q575" s="27"/>
      <c r="R575" s="28"/>
      <c r="S575" s="28"/>
      <c r="T575" s="28" t="str">
        <f aca="false">IF($A575="","",SUMIF($A$4:$A575,$A575,$Q$4:$Q575)-SUMIF($A$4:$A575,$A575,$R$4:$R575)-SUMIF($A$4:$A575,$A575,$S$4:$S575))</f>
        <v/>
      </c>
      <c r="U575" s="28"/>
      <c r="V575" s="29" t="str">
        <f aca="false">IF(AND($C575="",COUNTA($D575:$H575,$K575,$N575:$O575,$Q575:$S575,$U575)=0),"",IF($C575="","⚠ 没填项目名称",IF($A575="⚠目录里没有","⚠ 项目名称在目录里找不到（先加到目录）",IF($A575="","⚠ 目录里这个项目没填简称",IF(ISTEXT($G575)+ISTEXT($H575)+ISTEXT($K575)+ISTEXT($N575)+ISTEXT($O575)+ISTEXT($Q575)+ISTEXT($R575)+ISTEXT($S575)&gt;0,"⚠ 金额列里有文字，算不进合计",IF(N($G575)&gt;=1,"⚠ 管理费点要填百分比，如 10%",IF(AND($D575&lt;&gt;"",$B575=""),"△ 摘要开头没写日期（如 2026.9.21），月份取不到",IF(AND(N($H575)&lt;&gt;0,COUNTIFS($A$4:$A$1003,$A575,$H$4:$H$1003,$H575,$D$4:$D$1003,LEFT($D575,9)&amp;"*")&gt;1),"△ 同一天同项目有一样的销售金额，看看是不是录重了","✓"))))))))</f>
        <v/>
      </c>
      <c r="W575" s="8" t="str">
        <f aca="false">IF($A575="","",$A575&amp;"#"&amp;COUNTIF($A$4:$A575,$A575))</f>
        <v/>
      </c>
    </row>
    <row r="576" customFormat="false" ht="16.5" hidden="false" customHeight="false" outlineLevel="0" collapsed="false">
      <c r="A576" s="44" t="str">
        <f aca="false">IF($C576="","",IFERROR(VLOOKUP($C576,目录!$B:$C,2,0)&amp;"","⚠目录里没有"))</f>
        <v/>
      </c>
      <c r="B576" s="45" t="str">
        <f aca="false">IF($D576="","",IFERROR(MID($D576,FIND(".",$D576)+1,FIND(".",$D576,FIND(".",$D576)+1)-FIND(".",$D576)-1)&amp;"月",""))</f>
        <v/>
      </c>
      <c r="C576" s="46"/>
      <c r="D576" s="47"/>
      <c r="E576" s="47"/>
      <c r="F576" s="49"/>
      <c r="G576" s="50"/>
      <c r="H576" s="24"/>
      <c r="I576" s="24" t="str">
        <f aca="false">IF($H576="","",N($H576)*N($G576))</f>
        <v/>
      </c>
      <c r="J576" s="25" t="str">
        <f aca="false">IF($H576="","",N($H576)-N($I576))</f>
        <v/>
      </c>
      <c r="K576" s="25"/>
      <c r="L576" s="25" t="str">
        <f aca="false">IF($A576="","",SUMIF($A$4:$A576,$A576,$J$4:$J576)-SUMIF($A$4:$A576,$A576,$K$4:$K576))</f>
        <v/>
      </c>
      <c r="M576" s="26" t="str">
        <f aca="false">IF($H576="","",N($H576))</f>
        <v/>
      </c>
      <c r="N576" s="26"/>
      <c r="O576" s="26"/>
      <c r="P576" s="26" t="str">
        <f aca="false">IF($A576="","",SUMIF($A$4:$A576,$A576,$M$4:$M576)-SUMIF($A$4:$A576,$A576,$N$4:$N576)-SUMIF($A$4:$A576,$A576,$O$4:$O576))</f>
        <v/>
      </c>
      <c r="Q576" s="27"/>
      <c r="R576" s="28"/>
      <c r="S576" s="28"/>
      <c r="T576" s="28" t="str">
        <f aca="false">IF($A576="","",SUMIF($A$4:$A576,$A576,$Q$4:$Q576)-SUMIF($A$4:$A576,$A576,$R$4:$R576)-SUMIF($A$4:$A576,$A576,$S$4:$S576))</f>
        <v/>
      </c>
      <c r="U576" s="28"/>
      <c r="V576" s="29" t="str">
        <f aca="false">IF(AND($C576="",COUNTA($D576:$H576,$K576,$N576:$O576,$Q576:$S576,$U576)=0),"",IF($C576="","⚠ 没填项目名称",IF($A576="⚠目录里没有","⚠ 项目名称在目录里找不到（先加到目录）",IF($A576="","⚠ 目录里这个项目没填简称",IF(ISTEXT($G576)+ISTEXT($H576)+ISTEXT($K576)+ISTEXT($N576)+ISTEXT($O576)+ISTEXT($Q576)+ISTEXT($R576)+ISTEXT($S576)&gt;0,"⚠ 金额列里有文字，算不进合计",IF(N($G576)&gt;=1,"⚠ 管理费点要填百分比，如 10%",IF(AND($D576&lt;&gt;"",$B576=""),"△ 摘要开头没写日期（如 2026.9.21），月份取不到",IF(AND(N($H576)&lt;&gt;0,COUNTIFS($A$4:$A$1003,$A576,$H$4:$H$1003,$H576,$D$4:$D$1003,LEFT($D576,9)&amp;"*")&gt;1),"△ 同一天同项目有一样的销售金额，看看是不是录重了","✓"))))))))</f>
        <v/>
      </c>
      <c r="W576" s="8" t="str">
        <f aca="false">IF($A576="","",$A576&amp;"#"&amp;COUNTIF($A$4:$A576,$A576))</f>
        <v/>
      </c>
    </row>
    <row r="577" customFormat="false" ht="16.5" hidden="false" customHeight="false" outlineLevel="0" collapsed="false">
      <c r="A577" s="44" t="str">
        <f aca="false">IF($C577="","",IFERROR(VLOOKUP($C577,目录!$B:$C,2,0)&amp;"","⚠目录里没有"))</f>
        <v/>
      </c>
      <c r="B577" s="45" t="str">
        <f aca="false">IF($D577="","",IFERROR(MID($D577,FIND(".",$D577)+1,FIND(".",$D577,FIND(".",$D577)+1)-FIND(".",$D577)-1)&amp;"月",""))</f>
        <v/>
      </c>
      <c r="C577" s="46"/>
      <c r="D577" s="47"/>
      <c r="E577" s="47"/>
      <c r="F577" s="49"/>
      <c r="G577" s="50"/>
      <c r="H577" s="24"/>
      <c r="I577" s="24" t="str">
        <f aca="false">IF($H577="","",N($H577)*N($G577))</f>
        <v/>
      </c>
      <c r="J577" s="25" t="str">
        <f aca="false">IF($H577="","",N($H577)-N($I577))</f>
        <v/>
      </c>
      <c r="K577" s="25"/>
      <c r="L577" s="25" t="str">
        <f aca="false">IF($A577="","",SUMIF($A$4:$A577,$A577,$J$4:$J577)-SUMIF($A$4:$A577,$A577,$K$4:$K577))</f>
        <v/>
      </c>
      <c r="M577" s="26" t="str">
        <f aca="false">IF($H577="","",N($H577))</f>
        <v/>
      </c>
      <c r="N577" s="26"/>
      <c r="O577" s="26"/>
      <c r="P577" s="26" t="str">
        <f aca="false">IF($A577="","",SUMIF($A$4:$A577,$A577,$M$4:$M577)-SUMIF($A$4:$A577,$A577,$N$4:$N577)-SUMIF($A$4:$A577,$A577,$O$4:$O577))</f>
        <v/>
      </c>
      <c r="Q577" s="27"/>
      <c r="R577" s="28"/>
      <c r="S577" s="28"/>
      <c r="T577" s="28" t="str">
        <f aca="false">IF($A577="","",SUMIF($A$4:$A577,$A577,$Q$4:$Q577)-SUMIF($A$4:$A577,$A577,$R$4:$R577)-SUMIF($A$4:$A577,$A577,$S$4:$S577))</f>
        <v/>
      </c>
      <c r="U577" s="28"/>
      <c r="V577" s="29" t="str">
        <f aca="false">IF(AND($C577="",COUNTA($D577:$H577,$K577,$N577:$O577,$Q577:$S577,$U577)=0),"",IF($C577="","⚠ 没填项目名称",IF($A577="⚠目录里没有","⚠ 项目名称在目录里找不到（先加到目录）",IF($A577="","⚠ 目录里这个项目没填简称",IF(ISTEXT($G577)+ISTEXT($H577)+ISTEXT($K577)+ISTEXT($N577)+ISTEXT($O577)+ISTEXT($Q577)+ISTEXT($R577)+ISTEXT($S577)&gt;0,"⚠ 金额列里有文字，算不进合计",IF(N($G577)&gt;=1,"⚠ 管理费点要填百分比，如 10%",IF(AND($D577&lt;&gt;"",$B577=""),"△ 摘要开头没写日期（如 2026.9.21），月份取不到",IF(AND(N($H577)&lt;&gt;0,COUNTIFS($A$4:$A$1003,$A577,$H$4:$H$1003,$H577,$D$4:$D$1003,LEFT($D577,9)&amp;"*")&gt;1),"△ 同一天同项目有一样的销售金额，看看是不是录重了","✓"))))))))</f>
        <v/>
      </c>
      <c r="W577" s="8" t="str">
        <f aca="false">IF($A577="","",$A577&amp;"#"&amp;COUNTIF($A$4:$A577,$A577))</f>
        <v/>
      </c>
    </row>
    <row r="578" customFormat="false" ht="16.5" hidden="false" customHeight="false" outlineLevel="0" collapsed="false">
      <c r="A578" s="44" t="str">
        <f aca="false">IF($C578="","",IFERROR(VLOOKUP($C578,目录!$B:$C,2,0)&amp;"","⚠目录里没有"))</f>
        <v/>
      </c>
      <c r="B578" s="45" t="str">
        <f aca="false">IF($D578="","",IFERROR(MID($D578,FIND(".",$D578)+1,FIND(".",$D578,FIND(".",$D578)+1)-FIND(".",$D578)-1)&amp;"月",""))</f>
        <v/>
      </c>
      <c r="C578" s="46"/>
      <c r="D578" s="47"/>
      <c r="E578" s="47"/>
      <c r="F578" s="49"/>
      <c r="G578" s="50"/>
      <c r="H578" s="24"/>
      <c r="I578" s="24" t="str">
        <f aca="false">IF($H578="","",N($H578)*N($G578))</f>
        <v/>
      </c>
      <c r="J578" s="25" t="str">
        <f aca="false">IF($H578="","",N($H578)-N($I578))</f>
        <v/>
      </c>
      <c r="K578" s="25"/>
      <c r="L578" s="25" t="str">
        <f aca="false">IF($A578="","",SUMIF($A$4:$A578,$A578,$J$4:$J578)-SUMIF($A$4:$A578,$A578,$K$4:$K578))</f>
        <v/>
      </c>
      <c r="M578" s="26" t="str">
        <f aca="false">IF($H578="","",N($H578))</f>
        <v/>
      </c>
      <c r="N578" s="26"/>
      <c r="O578" s="26"/>
      <c r="P578" s="26" t="str">
        <f aca="false">IF($A578="","",SUMIF($A$4:$A578,$A578,$M$4:$M578)-SUMIF($A$4:$A578,$A578,$N$4:$N578)-SUMIF($A$4:$A578,$A578,$O$4:$O578))</f>
        <v/>
      </c>
      <c r="Q578" s="27"/>
      <c r="R578" s="28"/>
      <c r="S578" s="28"/>
      <c r="T578" s="28" t="str">
        <f aca="false">IF($A578="","",SUMIF($A$4:$A578,$A578,$Q$4:$Q578)-SUMIF($A$4:$A578,$A578,$R$4:$R578)-SUMIF($A$4:$A578,$A578,$S$4:$S578))</f>
        <v/>
      </c>
      <c r="U578" s="28"/>
      <c r="V578" s="29" t="str">
        <f aca="false">IF(AND($C578="",COUNTA($D578:$H578,$K578,$N578:$O578,$Q578:$S578,$U578)=0),"",IF($C578="","⚠ 没填项目名称",IF($A578="⚠目录里没有","⚠ 项目名称在目录里找不到（先加到目录）",IF($A578="","⚠ 目录里这个项目没填简称",IF(ISTEXT($G578)+ISTEXT($H578)+ISTEXT($K578)+ISTEXT($N578)+ISTEXT($O578)+ISTEXT($Q578)+ISTEXT($R578)+ISTEXT($S578)&gt;0,"⚠ 金额列里有文字，算不进合计",IF(N($G578)&gt;=1,"⚠ 管理费点要填百分比，如 10%",IF(AND($D578&lt;&gt;"",$B578=""),"△ 摘要开头没写日期（如 2026.9.21），月份取不到",IF(AND(N($H578)&lt;&gt;0,COUNTIFS($A$4:$A$1003,$A578,$H$4:$H$1003,$H578,$D$4:$D$1003,LEFT($D578,9)&amp;"*")&gt;1),"△ 同一天同项目有一样的销售金额，看看是不是录重了","✓"))))))))</f>
        <v/>
      </c>
      <c r="W578" s="8" t="str">
        <f aca="false">IF($A578="","",$A578&amp;"#"&amp;COUNTIF($A$4:$A578,$A578))</f>
        <v/>
      </c>
    </row>
    <row r="579" customFormat="false" ht="16.5" hidden="false" customHeight="false" outlineLevel="0" collapsed="false">
      <c r="A579" s="44" t="str">
        <f aca="false">IF($C579="","",IFERROR(VLOOKUP($C579,目录!$B:$C,2,0)&amp;"","⚠目录里没有"))</f>
        <v/>
      </c>
      <c r="B579" s="45" t="str">
        <f aca="false">IF($D579="","",IFERROR(MID($D579,FIND(".",$D579)+1,FIND(".",$D579,FIND(".",$D579)+1)-FIND(".",$D579)-1)&amp;"月",""))</f>
        <v/>
      </c>
      <c r="C579" s="46"/>
      <c r="D579" s="47"/>
      <c r="E579" s="47"/>
      <c r="F579" s="49"/>
      <c r="G579" s="50"/>
      <c r="H579" s="24"/>
      <c r="I579" s="24" t="str">
        <f aca="false">IF($H579="","",N($H579)*N($G579))</f>
        <v/>
      </c>
      <c r="J579" s="25" t="str">
        <f aca="false">IF($H579="","",N($H579)-N($I579))</f>
        <v/>
      </c>
      <c r="K579" s="25"/>
      <c r="L579" s="25" t="str">
        <f aca="false">IF($A579="","",SUMIF($A$4:$A579,$A579,$J$4:$J579)-SUMIF($A$4:$A579,$A579,$K$4:$K579))</f>
        <v/>
      </c>
      <c r="M579" s="26" t="str">
        <f aca="false">IF($H579="","",N($H579))</f>
        <v/>
      </c>
      <c r="N579" s="26"/>
      <c r="O579" s="26"/>
      <c r="P579" s="26" t="str">
        <f aca="false">IF($A579="","",SUMIF($A$4:$A579,$A579,$M$4:$M579)-SUMIF($A$4:$A579,$A579,$N$4:$N579)-SUMIF($A$4:$A579,$A579,$O$4:$O579))</f>
        <v/>
      </c>
      <c r="Q579" s="27"/>
      <c r="R579" s="28"/>
      <c r="S579" s="28"/>
      <c r="T579" s="28" t="str">
        <f aca="false">IF($A579="","",SUMIF($A$4:$A579,$A579,$Q$4:$Q579)-SUMIF($A$4:$A579,$A579,$R$4:$R579)-SUMIF($A$4:$A579,$A579,$S$4:$S579))</f>
        <v/>
      </c>
      <c r="U579" s="28"/>
      <c r="V579" s="29" t="str">
        <f aca="false">IF(AND($C579="",COUNTA($D579:$H579,$K579,$N579:$O579,$Q579:$S579,$U579)=0),"",IF($C579="","⚠ 没填项目名称",IF($A579="⚠目录里没有","⚠ 项目名称在目录里找不到（先加到目录）",IF($A579="","⚠ 目录里这个项目没填简称",IF(ISTEXT($G579)+ISTEXT($H579)+ISTEXT($K579)+ISTEXT($N579)+ISTEXT($O579)+ISTEXT($Q579)+ISTEXT($R579)+ISTEXT($S579)&gt;0,"⚠ 金额列里有文字，算不进合计",IF(N($G579)&gt;=1,"⚠ 管理费点要填百分比，如 10%",IF(AND($D579&lt;&gt;"",$B579=""),"△ 摘要开头没写日期（如 2026.9.21），月份取不到",IF(AND(N($H579)&lt;&gt;0,COUNTIFS($A$4:$A$1003,$A579,$H$4:$H$1003,$H579,$D$4:$D$1003,LEFT($D579,9)&amp;"*")&gt;1),"△ 同一天同项目有一样的销售金额，看看是不是录重了","✓"))))))))</f>
        <v/>
      </c>
      <c r="W579" s="8" t="str">
        <f aca="false">IF($A579="","",$A579&amp;"#"&amp;COUNTIF($A$4:$A579,$A579))</f>
        <v/>
      </c>
    </row>
    <row r="580" customFormat="false" ht="16.5" hidden="false" customHeight="false" outlineLevel="0" collapsed="false">
      <c r="A580" s="44" t="str">
        <f aca="false">IF($C580="","",IFERROR(VLOOKUP($C580,目录!$B:$C,2,0)&amp;"","⚠目录里没有"))</f>
        <v/>
      </c>
      <c r="B580" s="45" t="str">
        <f aca="false">IF($D580="","",IFERROR(MID($D580,FIND(".",$D580)+1,FIND(".",$D580,FIND(".",$D580)+1)-FIND(".",$D580)-1)&amp;"月",""))</f>
        <v/>
      </c>
      <c r="C580" s="46"/>
      <c r="D580" s="47"/>
      <c r="E580" s="47"/>
      <c r="F580" s="49"/>
      <c r="G580" s="50"/>
      <c r="H580" s="24"/>
      <c r="I580" s="24" t="str">
        <f aca="false">IF($H580="","",N($H580)*N($G580))</f>
        <v/>
      </c>
      <c r="J580" s="25" t="str">
        <f aca="false">IF($H580="","",N($H580)-N($I580))</f>
        <v/>
      </c>
      <c r="K580" s="25"/>
      <c r="L580" s="25" t="str">
        <f aca="false">IF($A580="","",SUMIF($A$4:$A580,$A580,$J$4:$J580)-SUMIF($A$4:$A580,$A580,$K$4:$K580))</f>
        <v/>
      </c>
      <c r="M580" s="26" t="str">
        <f aca="false">IF($H580="","",N($H580))</f>
        <v/>
      </c>
      <c r="N580" s="26"/>
      <c r="O580" s="26"/>
      <c r="P580" s="26" t="str">
        <f aca="false">IF($A580="","",SUMIF($A$4:$A580,$A580,$M$4:$M580)-SUMIF($A$4:$A580,$A580,$N$4:$N580)-SUMIF($A$4:$A580,$A580,$O$4:$O580))</f>
        <v/>
      </c>
      <c r="Q580" s="27"/>
      <c r="R580" s="28"/>
      <c r="S580" s="28"/>
      <c r="T580" s="28" t="str">
        <f aca="false">IF($A580="","",SUMIF($A$4:$A580,$A580,$Q$4:$Q580)-SUMIF($A$4:$A580,$A580,$R$4:$R580)-SUMIF($A$4:$A580,$A580,$S$4:$S580))</f>
        <v/>
      </c>
      <c r="U580" s="28"/>
      <c r="V580" s="29" t="str">
        <f aca="false">IF(AND($C580="",COUNTA($D580:$H580,$K580,$N580:$O580,$Q580:$S580,$U580)=0),"",IF($C580="","⚠ 没填项目名称",IF($A580="⚠目录里没有","⚠ 项目名称在目录里找不到（先加到目录）",IF($A580="","⚠ 目录里这个项目没填简称",IF(ISTEXT($G580)+ISTEXT($H580)+ISTEXT($K580)+ISTEXT($N580)+ISTEXT($O580)+ISTEXT($Q580)+ISTEXT($R580)+ISTEXT($S580)&gt;0,"⚠ 金额列里有文字，算不进合计",IF(N($G580)&gt;=1,"⚠ 管理费点要填百分比，如 10%",IF(AND($D580&lt;&gt;"",$B580=""),"△ 摘要开头没写日期（如 2026.9.21），月份取不到",IF(AND(N($H580)&lt;&gt;0,COUNTIFS($A$4:$A$1003,$A580,$H$4:$H$1003,$H580,$D$4:$D$1003,LEFT($D580,9)&amp;"*")&gt;1),"△ 同一天同项目有一样的销售金额，看看是不是录重了","✓"))))))))</f>
        <v/>
      </c>
      <c r="W580" s="8" t="str">
        <f aca="false">IF($A580="","",$A580&amp;"#"&amp;COUNTIF($A$4:$A580,$A580))</f>
        <v/>
      </c>
    </row>
    <row r="581" customFormat="false" ht="16.5" hidden="false" customHeight="false" outlineLevel="0" collapsed="false">
      <c r="A581" s="44" t="str">
        <f aca="false">IF($C581="","",IFERROR(VLOOKUP($C581,目录!$B:$C,2,0)&amp;"","⚠目录里没有"))</f>
        <v/>
      </c>
      <c r="B581" s="45" t="str">
        <f aca="false">IF($D581="","",IFERROR(MID($D581,FIND(".",$D581)+1,FIND(".",$D581,FIND(".",$D581)+1)-FIND(".",$D581)-1)&amp;"月",""))</f>
        <v/>
      </c>
      <c r="C581" s="46"/>
      <c r="D581" s="47"/>
      <c r="E581" s="47"/>
      <c r="F581" s="49"/>
      <c r="G581" s="50"/>
      <c r="H581" s="24"/>
      <c r="I581" s="24" t="str">
        <f aca="false">IF($H581="","",N($H581)*N($G581))</f>
        <v/>
      </c>
      <c r="J581" s="25" t="str">
        <f aca="false">IF($H581="","",N($H581)-N($I581))</f>
        <v/>
      </c>
      <c r="K581" s="25"/>
      <c r="L581" s="25" t="str">
        <f aca="false">IF($A581="","",SUMIF($A$4:$A581,$A581,$J$4:$J581)-SUMIF($A$4:$A581,$A581,$K$4:$K581))</f>
        <v/>
      </c>
      <c r="M581" s="26" t="str">
        <f aca="false">IF($H581="","",N($H581))</f>
        <v/>
      </c>
      <c r="N581" s="26"/>
      <c r="O581" s="26"/>
      <c r="P581" s="26" t="str">
        <f aca="false">IF($A581="","",SUMIF($A$4:$A581,$A581,$M$4:$M581)-SUMIF($A$4:$A581,$A581,$N$4:$N581)-SUMIF($A$4:$A581,$A581,$O$4:$O581))</f>
        <v/>
      </c>
      <c r="Q581" s="27"/>
      <c r="R581" s="28"/>
      <c r="S581" s="28"/>
      <c r="T581" s="28" t="str">
        <f aca="false">IF($A581="","",SUMIF($A$4:$A581,$A581,$Q$4:$Q581)-SUMIF($A$4:$A581,$A581,$R$4:$R581)-SUMIF($A$4:$A581,$A581,$S$4:$S581))</f>
        <v/>
      </c>
      <c r="U581" s="28"/>
      <c r="V581" s="29" t="str">
        <f aca="false">IF(AND($C581="",COUNTA($D581:$H581,$K581,$N581:$O581,$Q581:$S581,$U581)=0),"",IF($C581="","⚠ 没填项目名称",IF($A581="⚠目录里没有","⚠ 项目名称在目录里找不到（先加到目录）",IF($A581="","⚠ 目录里这个项目没填简称",IF(ISTEXT($G581)+ISTEXT($H581)+ISTEXT($K581)+ISTEXT($N581)+ISTEXT($O581)+ISTEXT($Q581)+ISTEXT($R581)+ISTEXT($S581)&gt;0,"⚠ 金额列里有文字，算不进合计",IF(N($G581)&gt;=1,"⚠ 管理费点要填百分比，如 10%",IF(AND($D581&lt;&gt;"",$B581=""),"△ 摘要开头没写日期（如 2026.9.21），月份取不到",IF(AND(N($H581)&lt;&gt;0,COUNTIFS($A$4:$A$1003,$A581,$H$4:$H$1003,$H581,$D$4:$D$1003,LEFT($D581,9)&amp;"*")&gt;1),"△ 同一天同项目有一样的销售金额，看看是不是录重了","✓"))))))))</f>
        <v/>
      </c>
      <c r="W581" s="8" t="str">
        <f aca="false">IF($A581="","",$A581&amp;"#"&amp;COUNTIF($A$4:$A581,$A581))</f>
        <v/>
      </c>
    </row>
    <row r="582" customFormat="false" ht="16.5" hidden="false" customHeight="false" outlineLevel="0" collapsed="false">
      <c r="A582" s="44" t="str">
        <f aca="false">IF($C582="","",IFERROR(VLOOKUP($C582,目录!$B:$C,2,0)&amp;"","⚠目录里没有"))</f>
        <v/>
      </c>
      <c r="B582" s="45" t="str">
        <f aca="false">IF($D582="","",IFERROR(MID($D582,FIND(".",$D582)+1,FIND(".",$D582,FIND(".",$D582)+1)-FIND(".",$D582)-1)&amp;"月",""))</f>
        <v/>
      </c>
      <c r="C582" s="46"/>
      <c r="D582" s="47"/>
      <c r="E582" s="47"/>
      <c r="F582" s="49"/>
      <c r="G582" s="50"/>
      <c r="H582" s="24"/>
      <c r="I582" s="24" t="str">
        <f aca="false">IF($H582="","",N($H582)*N($G582))</f>
        <v/>
      </c>
      <c r="J582" s="25" t="str">
        <f aca="false">IF($H582="","",N($H582)-N($I582))</f>
        <v/>
      </c>
      <c r="K582" s="25"/>
      <c r="L582" s="25" t="str">
        <f aca="false">IF($A582="","",SUMIF($A$4:$A582,$A582,$J$4:$J582)-SUMIF($A$4:$A582,$A582,$K$4:$K582))</f>
        <v/>
      </c>
      <c r="M582" s="26" t="str">
        <f aca="false">IF($H582="","",N($H582))</f>
        <v/>
      </c>
      <c r="N582" s="26"/>
      <c r="O582" s="26"/>
      <c r="P582" s="26" t="str">
        <f aca="false">IF($A582="","",SUMIF($A$4:$A582,$A582,$M$4:$M582)-SUMIF($A$4:$A582,$A582,$N$4:$N582)-SUMIF($A$4:$A582,$A582,$O$4:$O582))</f>
        <v/>
      </c>
      <c r="Q582" s="27"/>
      <c r="R582" s="28"/>
      <c r="S582" s="28"/>
      <c r="T582" s="28" t="str">
        <f aca="false">IF($A582="","",SUMIF($A$4:$A582,$A582,$Q$4:$Q582)-SUMIF($A$4:$A582,$A582,$R$4:$R582)-SUMIF($A$4:$A582,$A582,$S$4:$S582))</f>
        <v/>
      </c>
      <c r="U582" s="28"/>
      <c r="V582" s="29" t="str">
        <f aca="false">IF(AND($C582="",COUNTA($D582:$H582,$K582,$N582:$O582,$Q582:$S582,$U582)=0),"",IF($C582="","⚠ 没填项目名称",IF($A582="⚠目录里没有","⚠ 项目名称在目录里找不到（先加到目录）",IF($A582="","⚠ 目录里这个项目没填简称",IF(ISTEXT($G582)+ISTEXT($H582)+ISTEXT($K582)+ISTEXT($N582)+ISTEXT($O582)+ISTEXT($Q582)+ISTEXT($R582)+ISTEXT($S582)&gt;0,"⚠ 金额列里有文字，算不进合计",IF(N($G582)&gt;=1,"⚠ 管理费点要填百分比，如 10%",IF(AND($D582&lt;&gt;"",$B582=""),"△ 摘要开头没写日期（如 2026.9.21），月份取不到",IF(AND(N($H582)&lt;&gt;0,COUNTIFS($A$4:$A$1003,$A582,$H$4:$H$1003,$H582,$D$4:$D$1003,LEFT($D582,9)&amp;"*")&gt;1),"△ 同一天同项目有一样的销售金额，看看是不是录重了","✓"))))))))</f>
        <v/>
      </c>
      <c r="W582" s="8" t="str">
        <f aca="false">IF($A582="","",$A582&amp;"#"&amp;COUNTIF($A$4:$A582,$A582))</f>
        <v/>
      </c>
    </row>
    <row r="583" customFormat="false" ht="16.5" hidden="false" customHeight="false" outlineLevel="0" collapsed="false">
      <c r="A583" s="44" t="str">
        <f aca="false">IF($C583="","",IFERROR(VLOOKUP($C583,目录!$B:$C,2,0)&amp;"","⚠目录里没有"))</f>
        <v/>
      </c>
      <c r="B583" s="45" t="str">
        <f aca="false">IF($D583="","",IFERROR(MID($D583,FIND(".",$D583)+1,FIND(".",$D583,FIND(".",$D583)+1)-FIND(".",$D583)-1)&amp;"月",""))</f>
        <v/>
      </c>
      <c r="C583" s="46"/>
      <c r="D583" s="47"/>
      <c r="E583" s="47"/>
      <c r="F583" s="49"/>
      <c r="G583" s="50"/>
      <c r="H583" s="24"/>
      <c r="I583" s="24" t="str">
        <f aca="false">IF($H583="","",N($H583)*N($G583))</f>
        <v/>
      </c>
      <c r="J583" s="25" t="str">
        <f aca="false">IF($H583="","",N($H583)-N($I583))</f>
        <v/>
      </c>
      <c r="K583" s="25"/>
      <c r="L583" s="25" t="str">
        <f aca="false">IF($A583="","",SUMIF($A$4:$A583,$A583,$J$4:$J583)-SUMIF($A$4:$A583,$A583,$K$4:$K583))</f>
        <v/>
      </c>
      <c r="M583" s="26" t="str">
        <f aca="false">IF($H583="","",N($H583))</f>
        <v/>
      </c>
      <c r="N583" s="26"/>
      <c r="O583" s="26"/>
      <c r="P583" s="26" t="str">
        <f aca="false">IF($A583="","",SUMIF($A$4:$A583,$A583,$M$4:$M583)-SUMIF($A$4:$A583,$A583,$N$4:$N583)-SUMIF($A$4:$A583,$A583,$O$4:$O583))</f>
        <v/>
      </c>
      <c r="Q583" s="27"/>
      <c r="R583" s="28"/>
      <c r="S583" s="28"/>
      <c r="T583" s="28" t="str">
        <f aca="false">IF($A583="","",SUMIF($A$4:$A583,$A583,$Q$4:$Q583)-SUMIF($A$4:$A583,$A583,$R$4:$R583)-SUMIF($A$4:$A583,$A583,$S$4:$S583))</f>
        <v/>
      </c>
      <c r="U583" s="28"/>
      <c r="V583" s="29" t="str">
        <f aca="false">IF(AND($C583="",COUNTA($D583:$H583,$K583,$N583:$O583,$Q583:$S583,$U583)=0),"",IF($C583="","⚠ 没填项目名称",IF($A583="⚠目录里没有","⚠ 项目名称在目录里找不到（先加到目录）",IF($A583="","⚠ 目录里这个项目没填简称",IF(ISTEXT($G583)+ISTEXT($H583)+ISTEXT($K583)+ISTEXT($N583)+ISTEXT($O583)+ISTEXT($Q583)+ISTEXT($R583)+ISTEXT($S583)&gt;0,"⚠ 金额列里有文字，算不进合计",IF(N($G583)&gt;=1,"⚠ 管理费点要填百分比，如 10%",IF(AND($D583&lt;&gt;"",$B583=""),"△ 摘要开头没写日期（如 2026.9.21），月份取不到",IF(AND(N($H583)&lt;&gt;0,COUNTIFS($A$4:$A$1003,$A583,$H$4:$H$1003,$H583,$D$4:$D$1003,LEFT($D583,9)&amp;"*")&gt;1),"△ 同一天同项目有一样的销售金额，看看是不是录重了","✓"))))))))</f>
        <v/>
      </c>
      <c r="W583" s="8" t="str">
        <f aca="false">IF($A583="","",$A583&amp;"#"&amp;COUNTIF($A$4:$A583,$A583))</f>
        <v/>
      </c>
    </row>
    <row r="584" customFormat="false" ht="16.5" hidden="false" customHeight="false" outlineLevel="0" collapsed="false">
      <c r="A584" s="44" t="str">
        <f aca="false">IF($C584="","",IFERROR(VLOOKUP($C584,目录!$B:$C,2,0)&amp;"","⚠目录里没有"))</f>
        <v/>
      </c>
      <c r="B584" s="45" t="str">
        <f aca="false">IF($D584="","",IFERROR(MID($D584,FIND(".",$D584)+1,FIND(".",$D584,FIND(".",$D584)+1)-FIND(".",$D584)-1)&amp;"月",""))</f>
        <v/>
      </c>
      <c r="C584" s="46"/>
      <c r="D584" s="47"/>
      <c r="E584" s="47"/>
      <c r="F584" s="49"/>
      <c r="G584" s="50"/>
      <c r="H584" s="24"/>
      <c r="I584" s="24" t="str">
        <f aca="false">IF($H584="","",N($H584)*N($G584))</f>
        <v/>
      </c>
      <c r="J584" s="25" t="str">
        <f aca="false">IF($H584="","",N($H584)-N($I584))</f>
        <v/>
      </c>
      <c r="K584" s="25"/>
      <c r="L584" s="25" t="str">
        <f aca="false">IF($A584="","",SUMIF($A$4:$A584,$A584,$J$4:$J584)-SUMIF($A$4:$A584,$A584,$K$4:$K584))</f>
        <v/>
      </c>
      <c r="M584" s="26" t="str">
        <f aca="false">IF($H584="","",N($H584))</f>
        <v/>
      </c>
      <c r="N584" s="26"/>
      <c r="O584" s="26"/>
      <c r="P584" s="26" t="str">
        <f aca="false">IF($A584="","",SUMIF($A$4:$A584,$A584,$M$4:$M584)-SUMIF($A$4:$A584,$A584,$N$4:$N584)-SUMIF($A$4:$A584,$A584,$O$4:$O584))</f>
        <v/>
      </c>
      <c r="Q584" s="27"/>
      <c r="R584" s="28"/>
      <c r="S584" s="28"/>
      <c r="T584" s="28" t="str">
        <f aca="false">IF($A584="","",SUMIF($A$4:$A584,$A584,$Q$4:$Q584)-SUMIF($A$4:$A584,$A584,$R$4:$R584)-SUMIF($A$4:$A584,$A584,$S$4:$S584))</f>
        <v/>
      </c>
      <c r="U584" s="28"/>
      <c r="V584" s="29" t="str">
        <f aca="false">IF(AND($C584="",COUNTA($D584:$H584,$K584,$N584:$O584,$Q584:$S584,$U584)=0),"",IF($C584="","⚠ 没填项目名称",IF($A584="⚠目录里没有","⚠ 项目名称在目录里找不到（先加到目录）",IF($A584="","⚠ 目录里这个项目没填简称",IF(ISTEXT($G584)+ISTEXT($H584)+ISTEXT($K584)+ISTEXT($N584)+ISTEXT($O584)+ISTEXT($Q584)+ISTEXT($R584)+ISTEXT($S584)&gt;0,"⚠ 金额列里有文字，算不进合计",IF(N($G584)&gt;=1,"⚠ 管理费点要填百分比，如 10%",IF(AND($D584&lt;&gt;"",$B584=""),"△ 摘要开头没写日期（如 2026.9.21），月份取不到",IF(AND(N($H584)&lt;&gt;0,COUNTIFS($A$4:$A$1003,$A584,$H$4:$H$1003,$H584,$D$4:$D$1003,LEFT($D584,9)&amp;"*")&gt;1),"△ 同一天同项目有一样的销售金额，看看是不是录重了","✓"))))))))</f>
        <v/>
      </c>
      <c r="W584" s="8" t="str">
        <f aca="false">IF($A584="","",$A584&amp;"#"&amp;COUNTIF($A$4:$A584,$A584))</f>
        <v/>
      </c>
    </row>
    <row r="585" customFormat="false" ht="16.5" hidden="false" customHeight="false" outlineLevel="0" collapsed="false">
      <c r="A585" s="44" t="str">
        <f aca="false">IF($C585="","",IFERROR(VLOOKUP($C585,目录!$B:$C,2,0)&amp;"","⚠目录里没有"))</f>
        <v/>
      </c>
      <c r="B585" s="45" t="str">
        <f aca="false">IF($D585="","",IFERROR(MID($D585,FIND(".",$D585)+1,FIND(".",$D585,FIND(".",$D585)+1)-FIND(".",$D585)-1)&amp;"月",""))</f>
        <v/>
      </c>
      <c r="C585" s="46"/>
      <c r="D585" s="47"/>
      <c r="E585" s="47"/>
      <c r="F585" s="49"/>
      <c r="G585" s="50"/>
      <c r="H585" s="24"/>
      <c r="I585" s="24" t="str">
        <f aca="false">IF($H585="","",N($H585)*N($G585))</f>
        <v/>
      </c>
      <c r="J585" s="25" t="str">
        <f aca="false">IF($H585="","",N($H585)-N($I585))</f>
        <v/>
      </c>
      <c r="K585" s="25"/>
      <c r="L585" s="25" t="str">
        <f aca="false">IF($A585="","",SUMIF($A$4:$A585,$A585,$J$4:$J585)-SUMIF($A$4:$A585,$A585,$K$4:$K585))</f>
        <v/>
      </c>
      <c r="M585" s="26" t="str">
        <f aca="false">IF($H585="","",N($H585))</f>
        <v/>
      </c>
      <c r="N585" s="26"/>
      <c r="O585" s="26"/>
      <c r="P585" s="26" t="str">
        <f aca="false">IF($A585="","",SUMIF($A$4:$A585,$A585,$M$4:$M585)-SUMIF($A$4:$A585,$A585,$N$4:$N585)-SUMIF($A$4:$A585,$A585,$O$4:$O585))</f>
        <v/>
      </c>
      <c r="Q585" s="27"/>
      <c r="R585" s="28"/>
      <c r="S585" s="28"/>
      <c r="T585" s="28" t="str">
        <f aca="false">IF($A585="","",SUMIF($A$4:$A585,$A585,$Q$4:$Q585)-SUMIF($A$4:$A585,$A585,$R$4:$R585)-SUMIF($A$4:$A585,$A585,$S$4:$S585))</f>
        <v/>
      </c>
      <c r="U585" s="28"/>
      <c r="V585" s="29" t="str">
        <f aca="false">IF(AND($C585="",COUNTA($D585:$H585,$K585,$N585:$O585,$Q585:$S585,$U585)=0),"",IF($C585="","⚠ 没填项目名称",IF($A585="⚠目录里没有","⚠ 项目名称在目录里找不到（先加到目录）",IF($A585="","⚠ 目录里这个项目没填简称",IF(ISTEXT($G585)+ISTEXT($H585)+ISTEXT($K585)+ISTEXT($N585)+ISTEXT($O585)+ISTEXT($Q585)+ISTEXT($R585)+ISTEXT($S585)&gt;0,"⚠ 金额列里有文字，算不进合计",IF(N($G585)&gt;=1,"⚠ 管理费点要填百分比，如 10%",IF(AND($D585&lt;&gt;"",$B585=""),"△ 摘要开头没写日期（如 2026.9.21），月份取不到",IF(AND(N($H585)&lt;&gt;0,COUNTIFS($A$4:$A$1003,$A585,$H$4:$H$1003,$H585,$D$4:$D$1003,LEFT($D585,9)&amp;"*")&gt;1),"△ 同一天同项目有一样的销售金额，看看是不是录重了","✓"))))))))</f>
        <v/>
      </c>
      <c r="W585" s="8" t="str">
        <f aca="false">IF($A585="","",$A585&amp;"#"&amp;COUNTIF($A$4:$A585,$A585))</f>
        <v/>
      </c>
    </row>
    <row r="586" customFormat="false" ht="16.5" hidden="false" customHeight="false" outlineLevel="0" collapsed="false">
      <c r="A586" s="44" t="str">
        <f aca="false">IF($C586="","",IFERROR(VLOOKUP($C586,目录!$B:$C,2,0)&amp;"","⚠目录里没有"))</f>
        <v/>
      </c>
      <c r="B586" s="45" t="str">
        <f aca="false">IF($D586="","",IFERROR(MID($D586,FIND(".",$D586)+1,FIND(".",$D586,FIND(".",$D586)+1)-FIND(".",$D586)-1)&amp;"月",""))</f>
        <v/>
      </c>
      <c r="C586" s="46"/>
      <c r="D586" s="47"/>
      <c r="E586" s="47"/>
      <c r="F586" s="49"/>
      <c r="G586" s="50"/>
      <c r="H586" s="24"/>
      <c r="I586" s="24" t="str">
        <f aca="false">IF($H586="","",N($H586)*N($G586))</f>
        <v/>
      </c>
      <c r="J586" s="25" t="str">
        <f aca="false">IF($H586="","",N($H586)-N($I586))</f>
        <v/>
      </c>
      <c r="K586" s="25"/>
      <c r="L586" s="25" t="str">
        <f aca="false">IF($A586="","",SUMIF($A$4:$A586,$A586,$J$4:$J586)-SUMIF($A$4:$A586,$A586,$K$4:$K586))</f>
        <v/>
      </c>
      <c r="M586" s="26" t="str">
        <f aca="false">IF($H586="","",N($H586))</f>
        <v/>
      </c>
      <c r="N586" s="26"/>
      <c r="O586" s="26"/>
      <c r="P586" s="26" t="str">
        <f aca="false">IF($A586="","",SUMIF($A$4:$A586,$A586,$M$4:$M586)-SUMIF($A$4:$A586,$A586,$N$4:$N586)-SUMIF($A$4:$A586,$A586,$O$4:$O586))</f>
        <v/>
      </c>
      <c r="Q586" s="27"/>
      <c r="R586" s="28"/>
      <c r="S586" s="28"/>
      <c r="T586" s="28" t="str">
        <f aca="false">IF($A586="","",SUMIF($A$4:$A586,$A586,$Q$4:$Q586)-SUMIF($A$4:$A586,$A586,$R$4:$R586)-SUMIF($A$4:$A586,$A586,$S$4:$S586))</f>
        <v/>
      </c>
      <c r="U586" s="28"/>
      <c r="V586" s="29" t="str">
        <f aca="false">IF(AND($C586="",COUNTA($D586:$H586,$K586,$N586:$O586,$Q586:$S586,$U586)=0),"",IF($C586="","⚠ 没填项目名称",IF($A586="⚠目录里没有","⚠ 项目名称在目录里找不到（先加到目录）",IF($A586="","⚠ 目录里这个项目没填简称",IF(ISTEXT($G586)+ISTEXT($H586)+ISTEXT($K586)+ISTEXT($N586)+ISTEXT($O586)+ISTEXT($Q586)+ISTEXT($R586)+ISTEXT($S586)&gt;0,"⚠ 金额列里有文字，算不进合计",IF(N($G586)&gt;=1,"⚠ 管理费点要填百分比，如 10%",IF(AND($D586&lt;&gt;"",$B586=""),"△ 摘要开头没写日期（如 2026.9.21），月份取不到",IF(AND(N($H586)&lt;&gt;0,COUNTIFS($A$4:$A$1003,$A586,$H$4:$H$1003,$H586,$D$4:$D$1003,LEFT($D586,9)&amp;"*")&gt;1),"△ 同一天同项目有一样的销售金额，看看是不是录重了","✓"))))))))</f>
        <v/>
      </c>
      <c r="W586" s="8" t="str">
        <f aca="false">IF($A586="","",$A586&amp;"#"&amp;COUNTIF($A$4:$A586,$A586))</f>
        <v/>
      </c>
    </row>
    <row r="587" customFormat="false" ht="16.5" hidden="false" customHeight="false" outlineLevel="0" collapsed="false">
      <c r="A587" s="44" t="str">
        <f aca="false">IF($C587="","",IFERROR(VLOOKUP($C587,目录!$B:$C,2,0)&amp;"","⚠目录里没有"))</f>
        <v/>
      </c>
      <c r="B587" s="45" t="str">
        <f aca="false">IF($D587="","",IFERROR(MID($D587,FIND(".",$D587)+1,FIND(".",$D587,FIND(".",$D587)+1)-FIND(".",$D587)-1)&amp;"月",""))</f>
        <v/>
      </c>
      <c r="C587" s="46"/>
      <c r="D587" s="47"/>
      <c r="E587" s="47"/>
      <c r="F587" s="49"/>
      <c r="G587" s="50"/>
      <c r="H587" s="24"/>
      <c r="I587" s="24" t="str">
        <f aca="false">IF($H587="","",N($H587)*N($G587))</f>
        <v/>
      </c>
      <c r="J587" s="25" t="str">
        <f aca="false">IF($H587="","",N($H587)-N($I587))</f>
        <v/>
      </c>
      <c r="K587" s="25"/>
      <c r="L587" s="25" t="str">
        <f aca="false">IF($A587="","",SUMIF($A$4:$A587,$A587,$J$4:$J587)-SUMIF($A$4:$A587,$A587,$K$4:$K587))</f>
        <v/>
      </c>
      <c r="M587" s="26" t="str">
        <f aca="false">IF($H587="","",N($H587))</f>
        <v/>
      </c>
      <c r="N587" s="26"/>
      <c r="O587" s="26"/>
      <c r="P587" s="26" t="str">
        <f aca="false">IF($A587="","",SUMIF($A$4:$A587,$A587,$M$4:$M587)-SUMIF($A$4:$A587,$A587,$N$4:$N587)-SUMIF($A$4:$A587,$A587,$O$4:$O587))</f>
        <v/>
      </c>
      <c r="Q587" s="27"/>
      <c r="R587" s="28"/>
      <c r="S587" s="28"/>
      <c r="T587" s="28" t="str">
        <f aca="false">IF($A587="","",SUMIF($A$4:$A587,$A587,$Q$4:$Q587)-SUMIF($A$4:$A587,$A587,$R$4:$R587)-SUMIF($A$4:$A587,$A587,$S$4:$S587))</f>
        <v/>
      </c>
      <c r="U587" s="28"/>
      <c r="V587" s="29" t="str">
        <f aca="false">IF(AND($C587="",COUNTA($D587:$H587,$K587,$N587:$O587,$Q587:$S587,$U587)=0),"",IF($C587="","⚠ 没填项目名称",IF($A587="⚠目录里没有","⚠ 项目名称在目录里找不到（先加到目录）",IF($A587="","⚠ 目录里这个项目没填简称",IF(ISTEXT($G587)+ISTEXT($H587)+ISTEXT($K587)+ISTEXT($N587)+ISTEXT($O587)+ISTEXT($Q587)+ISTEXT($R587)+ISTEXT($S587)&gt;0,"⚠ 金额列里有文字，算不进合计",IF(N($G587)&gt;=1,"⚠ 管理费点要填百分比，如 10%",IF(AND($D587&lt;&gt;"",$B587=""),"△ 摘要开头没写日期（如 2026.9.21），月份取不到",IF(AND(N($H587)&lt;&gt;0,COUNTIFS($A$4:$A$1003,$A587,$H$4:$H$1003,$H587,$D$4:$D$1003,LEFT($D587,9)&amp;"*")&gt;1),"△ 同一天同项目有一样的销售金额，看看是不是录重了","✓"))))))))</f>
        <v/>
      </c>
      <c r="W587" s="8" t="str">
        <f aca="false">IF($A587="","",$A587&amp;"#"&amp;COUNTIF($A$4:$A587,$A587))</f>
        <v/>
      </c>
    </row>
    <row r="588" customFormat="false" ht="16.5" hidden="false" customHeight="false" outlineLevel="0" collapsed="false">
      <c r="A588" s="44" t="str">
        <f aca="false">IF($C588="","",IFERROR(VLOOKUP($C588,目录!$B:$C,2,0)&amp;"","⚠目录里没有"))</f>
        <v/>
      </c>
      <c r="B588" s="45" t="str">
        <f aca="false">IF($D588="","",IFERROR(MID($D588,FIND(".",$D588)+1,FIND(".",$D588,FIND(".",$D588)+1)-FIND(".",$D588)-1)&amp;"月",""))</f>
        <v/>
      </c>
      <c r="C588" s="46"/>
      <c r="D588" s="47"/>
      <c r="E588" s="47"/>
      <c r="F588" s="49"/>
      <c r="G588" s="50"/>
      <c r="H588" s="24"/>
      <c r="I588" s="24" t="str">
        <f aca="false">IF($H588="","",N($H588)*N($G588))</f>
        <v/>
      </c>
      <c r="J588" s="25" t="str">
        <f aca="false">IF($H588="","",N($H588)-N($I588))</f>
        <v/>
      </c>
      <c r="K588" s="25"/>
      <c r="L588" s="25" t="str">
        <f aca="false">IF($A588="","",SUMIF($A$4:$A588,$A588,$J$4:$J588)-SUMIF($A$4:$A588,$A588,$K$4:$K588))</f>
        <v/>
      </c>
      <c r="M588" s="26" t="str">
        <f aca="false">IF($H588="","",N($H588))</f>
        <v/>
      </c>
      <c r="N588" s="26"/>
      <c r="O588" s="26"/>
      <c r="P588" s="26" t="str">
        <f aca="false">IF($A588="","",SUMIF($A$4:$A588,$A588,$M$4:$M588)-SUMIF($A$4:$A588,$A588,$N$4:$N588)-SUMIF($A$4:$A588,$A588,$O$4:$O588))</f>
        <v/>
      </c>
      <c r="Q588" s="27"/>
      <c r="R588" s="28"/>
      <c r="S588" s="28"/>
      <c r="T588" s="28" t="str">
        <f aca="false">IF($A588="","",SUMIF($A$4:$A588,$A588,$Q$4:$Q588)-SUMIF($A$4:$A588,$A588,$R$4:$R588)-SUMIF($A$4:$A588,$A588,$S$4:$S588))</f>
        <v/>
      </c>
      <c r="U588" s="28"/>
      <c r="V588" s="29" t="str">
        <f aca="false">IF(AND($C588="",COUNTA($D588:$H588,$K588,$N588:$O588,$Q588:$S588,$U588)=0),"",IF($C588="","⚠ 没填项目名称",IF($A588="⚠目录里没有","⚠ 项目名称在目录里找不到（先加到目录）",IF($A588="","⚠ 目录里这个项目没填简称",IF(ISTEXT($G588)+ISTEXT($H588)+ISTEXT($K588)+ISTEXT($N588)+ISTEXT($O588)+ISTEXT($Q588)+ISTEXT($R588)+ISTEXT($S588)&gt;0,"⚠ 金额列里有文字，算不进合计",IF(N($G588)&gt;=1,"⚠ 管理费点要填百分比，如 10%",IF(AND($D588&lt;&gt;"",$B588=""),"△ 摘要开头没写日期（如 2026.9.21），月份取不到",IF(AND(N($H588)&lt;&gt;0,COUNTIFS($A$4:$A$1003,$A588,$H$4:$H$1003,$H588,$D$4:$D$1003,LEFT($D588,9)&amp;"*")&gt;1),"△ 同一天同项目有一样的销售金额，看看是不是录重了","✓"))))))))</f>
        <v/>
      </c>
      <c r="W588" s="8" t="str">
        <f aca="false">IF($A588="","",$A588&amp;"#"&amp;COUNTIF($A$4:$A588,$A588))</f>
        <v/>
      </c>
    </row>
    <row r="589" customFormat="false" ht="16.5" hidden="false" customHeight="false" outlineLevel="0" collapsed="false">
      <c r="A589" s="44" t="str">
        <f aca="false">IF($C589="","",IFERROR(VLOOKUP($C589,目录!$B:$C,2,0)&amp;"","⚠目录里没有"))</f>
        <v/>
      </c>
      <c r="B589" s="45" t="str">
        <f aca="false">IF($D589="","",IFERROR(MID($D589,FIND(".",$D589)+1,FIND(".",$D589,FIND(".",$D589)+1)-FIND(".",$D589)-1)&amp;"月",""))</f>
        <v/>
      </c>
      <c r="C589" s="46"/>
      <c r="D589" s="47"/>
      <c r="E589" s="47"/>
      <c r="F589" s="49"/>
      <c r="G589" s="50"/>
      <c r="H589" s="24"/>
      <c r="I589" s="24" t="str">
        <f aca="false">IF($H589="","",N($H589)*N($G589))</f>
        <v/>
      </c>
      <c r="J589" s="25" t="str">
        <f aca="false">IF($H589="","",N($H589)-N($I589))</f>
        <v/>
      </c>
      <c r="K589" s="25"/>
      <c r="L589" s="25" t="str">
        <f aca="false">IF($A589="","",SUMIF($A$4:$A589,$A589,$J$4:$J589)-SUMIF($A$4:$A589,$A589,$K$4:$K589))</f>
        <v/>
      </c>
      <c r="M589" s="26" t="str">
        <f aca="false">IF($H589="","",N($H589))</f>
        <v/>
      </c>
      <c r="N589" s="26"/>
      <c r="O589" s="26"/>
      <c r="P589" s="26" t="str">
        <f aca="false">IF($A589="","",SUMIF($A$4:$A589,$A589,$M$4:$M589)-SUMIF($A$4:$A589,$A589,$N$4:$N589)-SUMIF($A$4:$A589,$A589,$O$4:$O589))</f>
        <v/>
      </c>
      <c r="Q589" s="27"/>
      <c r="R589" s="28"/>
      <c r="S589" s="28"/>
      <c r="T589" s="28" t="str">
        <f aca="false">IF($A589="","",SUMIF($A$4:$A589,$A589,$Q$4:$Q589)-SUMIF($A$4:$A589,$A589,$R$4:$R589)-SUMIF($A$4:$A589,$A589,$S$4:$S589))</f>
        <v/>
      </c>
      <c r="U589" s="28"/>
      <c r="V589" s="29" t="str">
        <f aca="false">IF(AND($C589="",COUNTA($D589:$H589,$K589,$N589:$O589,$Q589:$S589,$U589)=0),"",IF($C589="","⚠ 没填项目名称",IF($A589="⚠目录里没有","⚠ 项目名称在目录里找不到（先加到目录）",IF($A589="","⚠ 目录里这个项目没填简称",IF(ISTEXT($G589)+ISTEXT($H589)+ISTEXT($K589)+ISTEXT($N589)+ISTEXT($O589)+ISTEXT($Q589)+ISTEXT($R589)+ISTEXT($S589)&gt;0,"⚠ 金额列里有文字，算不进合计",IF(N($G589)&gt;=1,"⚠ 管理费点要填百分比，如 10%",IF(AND($D589&lt;&gt;"",$B589=""),"△ 摘要开头没写日期（如 2026.9.21），月份取不到",IF(AND(N($H589)&lt;&gt;0,COUNTIFS($A$4:$A$1003,$A589,$H$4:$H$1003,$H589,$D$4:$D$1003,LEFT($D589,9)&amp;"*")&gt;1),"△ 同一天同项目有一样的销售金额，看看是不是录重了","✓"))))))))</f>
        <v/>
      </c>
      <c r="W589" s="8" t="str">
        <f aca="false">IF($A589="","",$A589&amp;"#"&amp;COUNTIF($A$4:$A589,$A589))</f>
        <v/>
      </c>
    </row>
    <row r="590" customFormat="false" ht="16.5" hidden="false" customHeight="false" outlineLevel="0" collapsed="false">
      <c r="A590" s="44" t="str">
        <f aca="false">IF($C590="","",IFERROR(VLOOKUP($C590,目录!$B:$C,2,0)&amp;"","⚠目录里没有"))</f>
        <v/>
      </c>
      <c r="B590" s="45" t="str">
        <f aca="false">IF($D590="","",IFERROR(MID($D590,FIND(".",$D590)+1,FIND(".",$D590,FIND(".",$D590)+1)-FIND(".",$D590)-1)&amp;"月",""))</f>
        <v/>
      </c>
      <c r="C590" s="46"/>
      <c r="D590" s="47"/>
      <c r="E590" s="47"/>
      <c r="F590" s="49"/>
      <c r="G590" s="50"/>
      <c r="H590" s="24"/>
      <c r="I590" s="24" t="str">
        <f aca="false">IF($H590="","",N($H590)*N($G590))</f>
        <v/>
      </c>
      <c r="J590" s="25" t="str">
        <f aca="false">IF($H590="","",N($H590)-N($I590))</f>
        <v/>
      </c>
      <c r="K590" s="25"/>
      <c r="L590" s="25" t="str">
        <f aca="false">IF($A590="","",SUMIF($A$4:$A590,$A590,$J$4:$J590)-SUMIF($A$4:$A590,$A590,$K$4:$K590))</f>
        <v/>
      </c>
      <c r="M590" s="26" t="str">
        <f aca="false">IF($H590="","",N($H590))</f>
        <v/>
      </c>
      <c r="N590" s="26"/>
      <c r="O590" s="26"/>
      <c r="P590" s="26" t="str">
        <f aca="false">IF($A590="","",SUMIF($A$4:$A590,$A590,$M$4:$M590)-SUMIF($A$4:$A590,$A590,$N$4:$N590)-SUMIF($A$4:$A590,$A590,$O$4:$O590))</f>
        <v/>
      </c>
      <c r="Q590" s="27"/>
      <c r="R590" s="28"/>
      <c r="S590" s="28"/>
      <c r="T590" s="28" t="str">
        <f aca="false">IF($A590="","",SUMIF($A$4:$A590,$A590,$Q$4:$Q590)-SUMIF($A$4:$A590,$A590,$R$4:$R590)-SUMIF($A$4:$A590,$A590,$S$4:$S590))</f>
        <v/>
      </c>
      <c r="U590" s="28"/>
      <c r="V590" s="29" t="str">
        <f aca="false">IF(AND($C590="",COUNTA($D590:$H590,$K590,$N590:$O590,$Q590:$S590,$U590)=0),"",IF($C590="","⚠ 没填项目名称",IF($A590="⚠目录里没有","⚠ 项目名称在目录里找不到（先加到目录）",IF($A590="","⚠ 目录里这个项目没填简称",IF(ISTEXT($G590)+ISTEXT($H590)+ISTEXT($K590)+ISTEXT($N590)+ISTEXT($O590)+ISTEXT($Q590)+ISTEXT($R590)+ISTEXT($S590)&gt;0,"⚠ 金额列里有文字，算不进合计",IF(N($G590)&gt;=1,"⚠ 管理费点要填百分比，如 10%",IF(AND($D590&lt;&gt;"",$B590=""),"△ 摘要开头没写日期（如 2026.9.21），月份取不到",IF(AND(N($H590)&lt;&gt;0,COUNTIFS($A$4:$A$1003,$A590,$H$4:$H$1003,$H590,$D$4:$D$1003,LEFT($D590,9)&amp;"*")&gt;1),"△ 同一天同项目有一样的销售金额，看看是不是录重了","✓"))))))))</f>
        <v/>
      </c>
      <c r="W590" s="8" t="str">
        <f aca="false">IF($A590="","",$A590&amp;"#"&amp;COUNTIF($A$4:$A590,$A590))</f>
        <v/>
      </c>
    </row>
    <row r="591" customFormat="false" ht="16.5" hidden="false" customHeight="false" outlineLevel="0" collapsed="false">
      <c r="A591" s="44" t="str">
        <f aca="false">IF($C591="","",IFERROR(VLOOKUP($C591,目录!$B:$C,2,0)&amp;"","⚠目录里没有"))</f>
        <v/>
      </c>
      <c r="B591" s="45" t="str">
        <f aca="false">IF($D591="","",IFERROR(MID($D591,FIND(".",$D591)+1,FIND(".",$D591,FIND(".",$D591)+1)-FIND(".",$D591)-1)&amp;"月",""))</f>
        <v/>
      </c>
      <c r="C591" s="46"/>
      <c r="D591" s="47"/>
      <c r="E591" s="47"/>
      <c r="F591" s="49"/>
      <c r="G591" s="50"/>
      <c r="H591" s="24"/>
      <c r="I591" s="24" t="str">
        <f aca="false">IF($H591="","",N($H591)*N($G591))</f>
        <v/>
      </c>
      <c r="J591" s="25" t="str">
        <f aca="false">IF($H591="","",N($H591)-N($I591))</f>
        <v/>
      </c>
      <c r="K591" s="25"/>
      <c r="L591" s="25" t="str">
        <f aca="false">IF($A591="","",SUMIF($A$4:$A591,$A591,$J$4:$J591)-SUMIF($A$4:$A591,$A591,$K$4:$K591))</f>
        <v/>
      </c>
      <c r="M591" s="26" t="str">
        <f aca="false">IF($H591="","",N($H591))</f>
        <v/>
      </c>
      <c r="N591" s="26"/>
      <c r="O591" s="26"/>
      <c r="P591" s="26" t="str">
        <f aca="false">IF($A591="","",SUMIF($A$4:$A591,$A591,$M$4:$M591)-SUMIF($A$4:$A591,$A591,$N$4:$N591)-SUMIF($A$4:$A591,$A591,$O$4:$O591))</f>
        <v/>
      </c>
      <c r="Q591" s="27"/>
      <c r="R591" s="28"/>
      <c r="S591" s="28"/>
      <c r="T591" s="28" t="str">
        <f aca="false">IF($A591="","",SUMIF($A$4:$A591,$A591,$Q$4:$Q591)-SUMIF($A$4:$A591,$A591,$R$4:$R591)-SUMIF($A$4:$A591,$A591,$S$4:$S591))</f>
        <v/>
      </c>
      <c r="U591" s="28"/>
      <c r="V591" s="29" t="str">
        <f aca="false">IF(AND($C591="",COUNTA($D591:$H591,$K591,$N591:$O591,$Q591:$S591,$U591)=0),"",IF($C591="","⚠ 没填项目名称",IF($A591="⚠目录里没有","⚠ 项目名称在目录里找不到（先加到目录）",IF($A591="","⚠ 目录里这个项目没填简称",IF(ISTEXT($G591)+ISTEXT($H591)+ISTEXT($K591)+ISTEXT($N591)+ISTEXT($O591)+ISTEXT($Q591)+ISTEXT($R591)+ISTEXT($S591)&gt;0,"⚠ 金额列里有文字，算不进合计",IF(N($G591)&gt;=1,"⚠ 管理费点要填百分比，如 10%",IF(AND($D591&lt;&gt;"",$B591=""),"△ 摘要开头没写日期（如 2026.9.21），月份取不到",IF(AND(N($H591)&lt;&gt;0,COUNTIFS($A$4:$A$1003,$A591,$H$4:$H$1003,$H591,$D$4:$D$1003,LEFT($D591,9)&amp;"*")&gt;1),"△ 同一天同项目有一样的销售金额，看看是不是录重了","✓"))))))))</f>
        <v/>
      </c>
      <c r="W591" s="8" t="str">
        <f aca="false">IF($A591="","",$A591&amp;"#"&amp;COUNTIF($A$4:$A591,$A591))</f>
        <v/>
      </c>
    </row>
    <row r="592" customFormat="false" ht="16.5" hidden="false" customHeight="false" outlineLevel="0" collapsed="false">
      <c r="A592" s="44" t="str">
        <f aca="false">IF($C592="","",IFERROR(VLOOKUP($C592,目录!$B:$C,2,0)&amp;"","⚠目录里没有"))</f>
        <v/>
      </c>
      <c r="B592" s="45" t="str">
        <f aca="false">IF($D592="","",IFERROR(MID($D592,FIND(".",$D592)+1,FIND(".",$D592,FIND(".",$D592)+1)-FIND(".",$D592)-1)&amp;"月",""))</f>
        <v/>
      </c>
      <c r="C592" s="46"/>
      <c r="D592" s="47"/>
      <c r="E592" s="47"/>
      <c r="F592" s="49"/>
      <c r="G592" s="50"/>
      <c r="H592" s="24"/>
      <c r="I592" s="24" t="str">
        <f aca="false">IF($H592="","",N($H592)*N($G592))</f>
        <v/>
      </c>
      <c r="J592" s="25" t="str">
        <f aca="false">IF($H592="","",N($H592)-N($I592))</f>
        <v/>
      </c>
      <c r="K592" s="25"/>
      <c r="L592" s="25" t="str">
        <f aca="false">IF($A592="","",SUMIF($A$4:$A592,$A592,$J$4:$J592)-SUMIF($A$4:$A592,$A592,$K$4:$K592))</f>
        <v/>
      </c>
      <c r="M592" s="26" t="str">
        <f aca="false">IF($H592="","",N($H592))</f>
        <v/>
      </c>
      <c r="N592" s="26"/>
      <c r="O592" s="26"/>
      <c r="P592" s="26" t="str">
        <f aca="false">IF($A592="","",SUMIF($A$4:$A592,$A592,$M$4:$M592)-SUMIF($A$4:$A592,$A592,$N$4:$N592)-SUMIF($A$4:$A592,$A592,$O$4:$O592))</f>
        <v/>
      </c>
      <c r="Q592" s="27"/>
      <c r="R592" s="28"/>
      <c r="S592" s="28"/>
      <c r="T592" s="28" t="str">
        <f aca="false">IF($A592="","",SUMIF($A$4:$A592,$A592,$Q$4:$Q592)-SUMIF($A$4:$A592,$A592,$R$4:$R592)-SUMIF($A$4:$A592,$A592,$S$4:$S592))</f>
        <v/>
      </c>
      <c r="U592" s="28"/>
      <c r="V592" s="29" t="str">
        <f aca="false">IF(AND($C592="",COUNTA($D592:$H592,$K592,$N592:$O592,$Q592:$S592,$U592)=0),"",IF($C592="","⚠ 没填项目名称",IF($A592="⚠目录里没有","⚠ 项目名称在目录里找不到（先加到目录）",IF($A592="","⚠ 目录里这个项目没填简称",IF(ISTEXT($G592)+ISTEXT($H592)+ISTEXT($K592)+ISTEXT($N592)+ISTEXT($O592)+ISTEXT($Q592)+ISTEXT($R592)+ISTEXT($S592)&gt;0,"⚠ 金额列里有文字，算不进合计",IF(N($G592)&gt;=1,"⚠ 管理费点要填百分比，如 10%",IF(AND($D592&lt;&gt;"",$B592=""),"△ 摘要开头没写日期（如 2026.9.21），月份取不到",IF(AND(N($H592)&lt;&gt;0,COUNTIFS($A$4:$A$1003,$A592,$H$4:$H$1003,$H592,$D$4:$D$1003,LEFT($D592,9)&amp;"*")&gt;1),"△ 同一天同项目有一样的销售金额，看看是不是录重了","✓"))))))))</f>
        <v/>
      </c>
      <c r="W592" s="8" t="str">
        <f aca="false">IF($A592="","",$A592&amp;"#"&amp;COUNTIF($A$4:$A592,$A592))</f>
        <v/>
      </c>
    </row>
    <row r="593" customFormat="false" ht="16.5" hidden="false" customHeight="false" outlineLevel="0" collapsed="false">
      <c r="A593" s="44" t="str">
        <f aca="false">IF($C593="","",IFERROR(VLOOKUP($C593,目录!$B:$C,2,0)&amp;"","⚠目录里没有"))</f>
        <v/>
      </c>
      <c r="B593" s="45" t="str">
        <f aca="false">IF($D593="","",IFERROR(MID($D593,FIND(".",$D593)+1,FIND(".",$D593,FIND(".",$D593)+1)-FIND(".",$D593)-1)&amp;"月",""))</f>
        <v/>
      </c>
      <c r="C593" s="46"/>
      <c r="D593" s="47"/>
      <c r="E593" s="47"/>
      <c r="F593" s="49"/>
      <c r="G593" s="50"/>
      <c r="H593" s="24"/>
      <c r="I593" s="24" t="str">
        <f aca="false">IF($H593="","",N($H593)*N($G593))</f>
        <v/>
      </c>
      <c r="J593" s="25" t="str">
        <f aca="false">IF($H593="","",N($H593)-N($I593))</f>
        <v/>
      </c>
      <c r="K593" s="25"/>
      <c r="L593" s="25" t="str">
        <f aca="false">IF($A593="","",SUMIF($A$4:$A593,$A593,$J$4:$J593)-SUMIF($A$4:$A593,$A593,$K$4:$K593))</f>
        <v/>
      </c>
      <c r="M593" s="26" t="str">
        <f aca="false">IF($H593="","",N($H593))</f>
        <v/>
      </c>
      <c r="N593" s="26"/>
      <c r="O593" s="26"/>
      <c r="P593" s="26" t="str">
        <f aca="false">IF($A593="","",SUMIF($A$4:$A593,$A593,$M$4:$M593)-SUMIF($A$4:$A593,$A593,$N$4:$N593)-SUMIF($A$4:$A593,$A593,$O$4:$O593))</f>
        <v/>
      </c>
      <c r="Q593" s="27"/>
      <c r="R593" s="28"/>
      <c r="S593" s="28"/>
      <c r="T593" s="28" t="str">
        <f aca="false">IF($A593="","",SUMIF($A$4:$A593,$A593,$Q$4:$Q593)-SUMIF($A$4:$A593,$A593,$R$4:$R593)-SUMIF($A$4:$A593,$A593,$S$4:$S593))</f>
        <v/>
      </c>
      <c r="U593" s="28"/>
      <c r="V593" s="29" t="str">
        <f aca="false">IF(AND($C593="",COUNTA($D593:$H593,$K593,$N593:$O593,$Q593:$S593,$U593)=0),"",IF($C593="","⚠ 没填项目名称",IF($A593="⚠目录里没有","⚠ 项目名称在目录里找不到（先加到目录）",IF($A593="","⚠ 目录里这个项目没填简称",IF(ISTEXT($G593)+ISTEXT($H593)+ISTEXT($K593)+ISTEXT($N593)+ISTEXT($O593)+ISTEXT($Q593)+ISTEXT($R593)+ISTEXT($S593)&gt;0,"⚠ 金额列里有文字，算不进合计",IF(N($G593)&gt;=1,"⚠ 管理费点要填百分比，如 10%",IF(AND($D593&lt;&gt;"",$B593=""),"△ 摘要开头没写日期（如 2026.9.21），月份取不到",IF(AND(N($H593)&lt;&gt;0,COUNTIFS($A$4:$A$1003,$A593,$H$4:$H$1003,$H593,$D$4:$D$1003,LEFT($D593,9)&amp;"*")&gt;1),"△ 同一天同项目有一样的销售金额，看看是不是录重了","✓"))))))))</f>
        <v/>
      </c>
      <c r="W593" s="8" t="str">
        <f aca="false">IF($A593="","",$A593&amp;"#"&amp;COUNTIF($A$4:$A593,$A593))</f>
        <v/>
      </c>
    </row>
    <row r="594" customFormat="false" ht="16.5" hidden="false" customHeight="false" outlineLevel="0" collapsed="false">
      <c r="A594" s="44" t="str">
        <f aca="false">IF($C594="","",IFERROR(VLOOKUP($C594,目录!$B:$C,2,0)&amp;"","⚠目录里没有"))</f>
        <v/>
      </c>
      <c r="B594" s="45" t="str">
        <f aca="false">IF($D594="","",IFERROR(MID($D594,FIND(".",$D594)+1,FIND(".",$D594,FIND(".",$D594)+1)-FIND(".",$D594)-1)&amp;"月",""))</f>
        <v/>
      </c>
      <c r="C594" s="46"/>
      <c r="D594" s="47"/>
      <c r="E594" s="47"/>
      <c r="F594" s="49"/>
      <c r="G594" s="50"/>
      <c r="H594" s="24"/>
      <c r="I594" s="24" t="str">
        <f aca="false">IF($H594="","",N($H594)*N($G594))</f>
        <v/>
      </c>
      <c r="J594" s="25" t="str">
        <f aca="false">IF($H594="","",N($H594)-N($I594))</f>
        <v/>
      </c>
      <c r="K594" s="25"/>
      <c r="L594" s="25" t="str">
        <f aca="false">IF($A594="","",SUMIF($A$4:$A594,$A594,$J$4:$J594)-SUMIF($A$4:$A594,$A594,$K$4:$K594))</f>
        <v/>
      </c>
      <c r="M594" s="26" t="str">
        <f aca="false">IF($H594="","",N($H594))</f>
        <v/>
      </c>
      <c r="N594" s="26"/>
      <c r="O594" s="26"/>
      <c r="P594" s="26" t="str">
        <f aca="false">IF($A594="","",SUMIF($A$4:$A594,$A594,$M$4:$M594)-SUMIF($A$4:$A594,$A594,$N$4:$N594)-SUMIF($A$4:$A594,$A594,$O$4:$O594))</f>
        <v/>
      </c>
      <c r="Q594" s="27"/>
      <c r="R594" s="28"/>
      <c r="S594" s="28"/>
      <c r="T594" s="28" t="str">
        <f aca="false">IF($A594="","",SUMIF($A$4:$A594,$A594,$Q$4:$Q594)-SUMIF($A$4:$A594,$A594,$R$4:$R594)-SUMIF($A$4:$A594,$A594,$S$4:$S594))</f>
        <v/>
      </c>
      <c r="U594" s="28"/>
      <c r="V594" s="29" t="str">
        <f aca="false">IF(AND($C594="",COUNTA($D594:$H594,$K594,$N594:$O594,$Q594:$S594,$U594)=0),"",IF($C594="","⚠ 没填项目名称",IF($A594="⚠目录里没有","⚠ 项目名称在目录里找不到（先加到目录）",IF($A594="","⚠ 目录里这个项目没填简称",IF(ISTEXT($G594)+ISTEXT($H594)+ISTEXT($K594)+ISTEXT($N594)+ISTEXT($O594)+ISTEXT($Q594)+ISTEXT($R594)+ISTEXT($S594)&gt;0,"⚠ 金额列里有文字，算不进合计",IF(N($G594)&gt;=1,"⚠ 管理费点要填百分比，如 10%",IF(AND($D594&lt;&gt;"",$B594=""),"△ 摘要开头没写日期（如 2026.9.21），月份取不到",IF(AND(N($H594)&lt;&gt;0,COUNTIFS($A$4:$A$1003,$A594,$H$4:$H$1003,$H594,$D$4:$D$1003,LEFT($D594,9)&amp;"*")&gt;1),"△ 同一天同项目有一样的销售金额，看看是不是录重了","✓"))))))))</f>
        <v/>
      </c>
      <c r="W594" s="8" t="str">
        <f aca="false">IF($A594="","",$A594&amp;"#"&amp;COUNTIF($A$4:$A594,$A594))</f>
        <v/>
      </c>
    </row>
    <row r="595" customFormat="false" ht="16.5" hidden="false" customHeight="false" outlineLevel="0" collapsed="false">
      <c r="A595" s="44" t="str">
        <f aca="false">IF($C595="","",IFERROR(VLOOKUP($C595,目录!$B:$C,2,0)&amp;"","⚠目录里没有"))</f>
        <v/>
      </c>
      <c r="B595" s="45" t="str">
        <f aca="false">IF($D595="","",IFERROR(MID($D595,FIND(".",$D595)+1,FIND(".",$D595,FIND(".",$D595)+1)-FIND(".",$D595)-1)&amp;"月",""))</f>
        <v/>
      </c>
      <c r="C595" s="46"/>
      <c r="D595" s="47"/>
      <c r="E595" s="47"/>
      <c r="F595" s="49"/>
      <c r="G595" s="50"/>
      <c r="H595" s="24"/>
      <c r="I595" s="24" t="str">
        <f aca="false">IF($H595="","",N($H595)*N($G595))</f>
        <v/>
      </c>
      <c r="J595" s="25" t="str">
        <f aca="false">IF($H595="","",N($H595)-N($I595))</f>
        <v/>
      </c>
      <c r="K595" s="25"/>
      <c r="L595" s="25" t="str">
        <f aca="false">IF($A595="","",SUMIF($A$4:$A595,$A595,$J$4:$J595)-SUMIF($A$4:$A595,$A595,$K$4:$K595))</f>
        <v/>
      </c>
      <c r="M595" s="26" t="str">
        <f aca="false">IF($H595="","",N($H595))</f>
        <v/>
      </c>
      <c r="N595" s="26"/>
      <c r="O595" s="26"/>
      <c r="P595" s="26" t="str">
        <f aca="false">IF($A595="","",SUMIF($A$4:$A595,$A595,$M$4:$M595)-SUMIF($A$4:$A595,$A595,$N$4:$N595)-SUMIF($A$4:$A595,$A595,$O$4:$O595))</f>
        <v/>
      </c>
      <c r="Q595" s="27"/>
      <c r="R595" s="28"/>
      <c r="S595" s="28"/>
      <c r="T595" s="28" t="str">
        <f aca="false">IF($A595="","",SUMIF($A$4:$A595,$A595,$Q$4:$Q595)-SUMIF($A$4:$A595,$A595,$R$4:$R595)-SUMIF($A$4:$A595,$A595,$S$4:$S595))</f>
        <v/>
      </c>
      <c r="U595" s="28"/>
      <c r="V595" s="29" t="str">
        <f aca="false">IF(AND($C595="",COUNTA($D595:$H595,$K595,$N595:$O595,$Q595:$S595,$U595)=0),"",IF($C595="","⚠ 没填项目名称",IF($A595="⚠目录里没有","⚠ 项目名称在目录里找不到（先加到目录）",IF($A595="","⚠ 目录里这个项目没填简称",IF(ISTEXT($G595)+ISTEXT($H595)+ISTEXT($K595)+ISTEXT($N595)+ISTEXT($O595)+ISTEXT($Q595)+ISTEXT($R595)+ISTEXT($S595)&gt;0,"⚠ 金额列里有文字，算不进合计",IF(N($G595)&gt;=1,"⚠ 管理费点要填百分比，如 10%",IF(AND($D595&lt;&gt;"",$B595=""),"△ 摘要开头没写日期（如 2026.9.21），月份取不到",IF(AND(N($H595)&lt;&gt;0,COUNTIFS($A$4:$A$1003,$A595,$H$4:$H$1003,$H595,$D$4:$D$1003,LEFT($D595,9)&amp;"*")&gt;1),"△ 同一天同项目有一样的销售金额，看看是不是录重了","✓"))))))))</f>
        <v/>
      </c>
      <c r="W595" s="8" t="str">
        <f aca="false">IF($A595="","",$A595&amp;"#"&amp;COUNTIF($A$4:$A595,$A595))</f>
        <v/>
      </c>
    </row>
    <row r="596" customFormat="false" ht="16.5" hidden="false" customHeight="false" outlineLevel="0" collapsed="false">
      <c r="A596" s="44" t="str">
        <f aca="false">IF($C596="","",IFERROR(VLOOKUP($C596,目录!$B:$C,2,0)&amp;"","⚠目录里没有"))</f>
        <v/>
      </c>
      <c r="B596" s="45" t="str">
        <f aca="false">IF($D596="","",IFERROR(MID($D596,FIND(".",$D596)+1,FIND(".",$D596,FIND(".",$D596)+1)-FIND(".",$D596)-1)&amp;"月",""))</f>
        <v/>
      </c>
      <c r="C596" s="46"/>
      <c r="D596" s="47"/>
      <c r="E596" s="47"/>
      <c r="F596" s="49"/>
      <c r="G596" s="50"/>
      <c r="H596" s="24"/>
      <c r="I596" s="24" t="str">
        <f aca="false">IF($H596="","",N($H596)*N($G596))</f>
        <v/>
      </c>
      <c r="J596" s="25" t="str">
        <f aca="false">IF($H596="","",N($H596)-N($I596))</f>
        <v/>
      </c>
      <c r="K596" s="25"/>
      <c r="L596" s="25" t="str">
        <f aca="false">IF($A596="","",SUMIF($A$4:$A596,$A596,$J$4:$J596)-SUMIF($A$4:$A596,$A596,$K$4:$K596))</f>
        <v/>
      </c>
      <c r="M596" s="26" t="str">
        <f aca="false">IF($H596="","",N($H596))</f>
        <v/>
      </c>
      <c r="N596" s="26"/>
      <c r="O596" s="26"/>
      <c r="P596" s="26" t="str">
        <f aca="false">IF($A596="","",SUMIF($A$4:$A596,$A596,$M$4:$M596)-SUMIF($A$4:$A596,$A596,$N$4:$N596)-SUMIF($A$4:$A596,$A596,$O$4:$O596))</f>
        <v/>
      </c>
      <c r="Q596" s="27"/>
      <c r="R596" s="28"/>
      <c r="S596" s="28"/>
      <c r="T596" s="28" t="str">
        <f aca="false">IF($A596="","",SUMIF($A$4:$A596,$A596,$Q$4:$Q596)-SUMIF($A$4:$A596,$A596,$R$4:$R596)-SUMIF($A$4:$A596,$A596,$S$4:$S596))</f>
        <v/>
      </c>
      <c r="U596" s="28"/>
      <c r="V596" s="29" t="str">
        <f aca="false">IF(AND($C596="",COUNTA($D596:$H596,$K596,$N596:$O596,$Q596:$S596,$U596)=0),"",IF($C596="","⚠ 没填项目名称",IF($A596="⚠目录里没有","⚠ 项目名称在目录里找不到（先加到目录）",IF($A596="","⚠ 目录里这个项目没填简称",IF(ISTEXT($G596)+ISTEXT($H596)+ISTEXT($K596)+ISTEXT($N596)+ISTEXT($O596)+ISTEXT($Q596)+ISTEXT($R596)+ISTEXT($S596)&gt;0,"⚠ 金额列里有文字，算不进合计",IF(N($G596)&gt;=1,"⚠ 管理费点要填百分比，如 10%",IF(AND($D596&lt;&gt;"",$B596=""),"△ 摘要开头没写日期（如 2026.9.21），月份取不到",IF(AND(N($H596)&lt;&gt;0,COUNTIFS($A$4:$A$1003,$A596,$H$4:$H$1003,$H596,$D$4:$D$1003,LEFT($D596,9)&amp;"*")&gt;1),"△ 同一天同项目有一样的销售金额，看看是不是录重了","✓"))))))))</f>
        <v/>
      </c>
      <c r="W596" s="8" t="str">
        <f aca="false">IF($A596="","",$A596&amp;"#"&amp;COUNTIF($A$4:$A596,$A596))</f>
        <v/>
      </c>
    </row>
    <row r="597" customFormat="false" ht="16.5" hidden="false" customHeight="false" outlineLevel="0" collapsed="false">
      <c r="A597" s="44" t="str">
        <f aca="false">IF($C597="","",IFERROR(VLOOKUP($C597,目录!$B:$C,2,0)&amp;"","⚠目录里没有"))</f>
        <v/>
      </c>
      <c r="B597" s="45" t="str">
        <f aca="false">IF($D597="","",IFERROR(MID($D597,FIND(".",$D597)+1,FIND(".",$D597,FIND(".",$D597)+1)-FIND(".",$D597)-1)&amp;"月",""))</f>
        <v/>
      </c>
      <c r="C597" s="46"/>
      <c r="D597" s="47"/>
      <c r="E597" s="47"/>
      <c r="F597" s="49"/>
      <c r="G597" s="50"/>
      <c r="H597" s="24"/>
      <c r="I597" s="24" t="str">
        <f aca="false">IF($H597="","",N($H597)*N($G597))</f>
        <v/>
      </c>
      <c r="J597" s="25" t="str">
        <f aca="false">IF($H597="","",N($H597)-N($I597))</f>
        <v/>
      </c>
      <c r="K597" s="25"/>
      <c r="L597" s="25" t="str">
        <f aca="false">IF($A597="","",SUMIF($A$4:$A597,$A597,$J$4:$J597)-SUMIF($A$4:$A597,$A597,$K$4:$K597))</f>
        <v/>
      </c>
      <c r="M597" s="26" t="str">
        <f aca="false">IF($H597="","",N($H597))</f>
        <v/>
      </c>
      <c r="N597" s="26"/>
      <c r="O597" s="26"/>
      <c r="P597" s="26" t="str">
        <f aca="false">IF($A597="","",SUMIF($A$4:$A597,$A597,$M$4:$M597)-SUMIF($A$4:$A597,$A597,$N$4:$N597)-SUMIF($A$4:$A597,$A597,$O$4:$O597))</f>
        <v/>
      </c>
      <c r="Q597" s="27"/>
      <c r="R597" s="28"/>
      <c r="S597" s="28"/>
      <c r="T597" s="28" t="str">
        <f aca="false">IF($A597="","",SUMIF($A$4:$A597,$A597,$Q$4:$Q597)-SUMIF($A$4:$A597,$A597,$R$4:$R597)-SUMIF($A$4:$A597,$A597,$S$4:$S597))</f>
        <v/>
      </c>
      <c r="U597" s="28"/>
      <c r="V597" s="29" t="str">
        <f aca="false">IF(AND($C597="",COUNTA($D597:$H597,$K597,$N597:$O597,$Q597:$S597,$U597)=0),"",IF($C597="","⚠ 没填项目名称",IF($A597="⚠目录里没有","⚠ 项目名称在目录里找不到（先加到目录）",IF($A597="","⚠ 目录里这个项目没填简称",IF(ISTEXT($G597)+ISTEXT($H597)+ISTEXT($K597)+ISTEXT($N597)+ISTEXT($O597)+ISTEXT($Q597)+ISTEXT($R597)+ISTEXT($S597)&gt;0,"⚠ 金额列里有文字，算不进合计",IF(N($G597)&gt;=1,"⚠ 管理费点要填百分比，如 10%",IF(AND($D597&lt;&gt;"",$B597=""),"△ 摘要开头没写日期（如 2026.9.21），月份取不到",IF(AND(N($H597)&lt;&gt;0,COUNTIFS($A$4:$A$1003,$A597,$H$4:$H$1003,$H597,$D$4:$D$1003,LEFT($D597,9)&amp;"*")&gt;1),"△ 同一天同项目有一样的销售金额，看看是不是录重了","✓"))))))))</f>
        <v/>
      </c>
      <c r="W597" s="8" t="str">
        <f aca="false">IF($A597="","",$A597&amp;"#"&amp;COUNTIF($A$4:$A597,$A597))</f>
        <v/>
      </c>
    </row>
    <row r="598" customFormat="false" ht="16.5" hidden="false" customHeight="false" outlineLevel="0" collapsed="false">
      <c r="A598" s="44" t="str">
        <f aca="false">IF($C598="","",IFERROR(VLOOKUP($C598,目录!$B:$C,2,0)&amp;"","⚠目录里没有"))</f>
        <v/>
      </c>
      <c r="B598" s="45" t="str">
        <f aca="false">IF($D598="","",IFERROR(MID($D598,FIND(".",$D598)+1,FIND(".",$D598,FIND(".",$D598)+1)-FIND(".",$D598)-1)&amp;"月",""))</f>
        <v/>
      </c>
      <c r="C598" s="46"/>
      <c r="D598" s="47"/>
      <c r="E598" s="47"/>
      <c r="F598" s="49"/>
      <c r="G598" s="50"/>
      <c r="H598" s="24"/>
      <c r="I598" s="24" t="str">
        <f aca="false">IF($H598="","",N($H598)*N($G598))</f>
        <v/>
      </c>
      <c r="J598" s="25" t="str">
        <f aca="false">IF($H598="","",N($H598)-N($I598))</f>
        <v/>
      </c>
      <c r="K598" s="25"/>
      <c r="L598" s="25" t="str">
        <f aca="false">IF($A598="","",SUMIF($A$4:$A598,$A598,$J$4:$J598)-SUMIF($A$4:$A598,$A598,$K$4:$K598))</f>
        <v/>
      </c>
      <c r="M598" s="26" t="str">
        <f aca="false">IF($H598="","",N($H598))</f>
        <v/>
      </c>
      <c r="N598" s="26"/>
      <c r="O598" s="26"/>
      <c r="P598" s="26" t="str">
        <f aca="false">IF($A598="","",SUMIF($A$4:$A598,$A598,$M$4:$M598)-SUMIF($A$4:$A598,$A598,$N$4:$N598)-SUMIF($A$4:$A598,$A598,$O$4:$O598))</f>
        <v/>
      </c>
      <c r="Q598" s="27"/>
      <c r="R598" s="28"/>
      <c r="S598" s="28"/>
      <c r="T598" s="28" t="str">
        <f aca="false">IF($A598="","",SUMIF($A$4:$A598,$A598,$Q$4:$Q598)-SUMIF($A$4:$A598,$A598,$R$4:$R598)-SUMIF($A$4:$A598,$A598,$S$4:$S598))</f>
        <v/>
      </c>
      <c r="U598" s="28"/>
      <c r="V598" s="29" t="str">
        <f aca="false">IF(AND($C598="",COUNTA($D598:$H598,$K598,$N598:$O598,$Q598:$S598,$U598)=0),"",IF($C598="","⚠ 没填项目名称",IF($A598="⚠目录里没有","⚠ 项目名称在目录里找不到（先加到目录）",IF($A598="","⚠ 目录里这个项目没填简称",IF(ISTEXT($G598)+ISTEXT($H598)+ISTEXT($K598)+ISTEXT($N598)+ISTEXT($O598)+ISTEXT($Q598)+ISTEXT($R598)+ISTEXT($S598)&gt;0,"⚠ 金额列里有文字，算不进合计",IF(N($G598)&gt;=1,"⚠ 管理费点要填百分比，如 10%",IF(AND($D598&lt;&gt;"",$B598=""),"△ 摘要开头没写日期（如 2026.9.21），月份取不到",IF(AND(N($H598)&lt;&gt;0,COUNTIFS($A$4:$A$1003,$A598,$H$4:$H$1003,$H598,$D$4:$D$1003,LEFT($D598,9)&amp;"*")&gt;1),"△ 同一天同项目有一样的销售金额，看看是不是录重了","✓"))))))))</f>
        <v/>
      </c>
      <c r="W598" s="8" t="str">
        <f aca="false">IF($A598="","",$A598&amp;"#"&amp;COUNTIF($A$4:$A598,$A598))</f>
        <v/>
      </c>
    </row>
    <row r="599" customFormat="false" ht="16.5" hidden="false" customHeight="false" outlineLevel="0" collapsed="false">
      <c r="A599" s="44" t="str">
        <f aca="false">IF($C599="","",IFERROR(VLOOKUP($C599,目录!$B:$C,2,0)&amp;"","⚠目录里没有"))</f>
        <v/>
      </c>
      <c r="B599" s="45" t="str">
        <f aca="false">IF($D599="","",IFERROR(MID($D599,FIND(".",$D599)+1,FIND(".",$D599,FIND(".",$D599)+1)-FIND(".",$D599)-1)&amp;"月",""))</f>
        <v/>
      </c>
      <c r="C599" s="46"/>
      <c r="D599" s="47"/>
      <c r="E599" s="47"/>
      <c r="F599" s="49"/>
      <c r="G599" s="50"/>
      <c r="H599" s="24"/>
      <c r="I599" s="24" t="str">
        <f aca="false">IF($H599="","",N($H599)*N($G599))</f>
        <v/>
      </c>
      <c r="J599" s="25" t="str">
        <f aca="false">IF($H599="","",N($H599)-N($I599))</f>
        <v/>
      </c>
      <c r="K599" s="25"/>
      <c r="L599" s="25" t="str">
        <f aca="false">IF($A599="","",SUMIF($A$4:$A599,$A599,$J$4:$J599)-SUMIF($A$4:$A599,$A599,$K$4:$K599))</f>
        <v/>
      </c>
      <c r="M599" s="26" t="str">
        <f aca="false">IF($H599="","",N($H599))</f>
        <v/>
      </c>
      <c r="N599" s="26"/>
      <c r="O599" s="26"/>
      <c r="P599" s="26" t="str">
        <f aca="false">IF($A599="","",SUMIF($A$4:$A599,$A599,$M$4:$M599)-SUMIF($A$4:$A599,$A599,$N$4:$N599)-SUMIF($A$4:$A599,$A599,$O$4:$O599))</f>
        <v/>
      </c>
      <c r="Q599" s="27"/>
      <c r="R599" s="28"/>
      <c r="S599" s="28"/>
      <c r="T599" s="28" t="str">
        <f aca="false">IF($A599="","",SUMIF($A$4:$A599,$A599,$Q$4:$Q599)-SUMIF($A$4:$A599,$A599,$R$4:$R599)-SUMIF($A$4:$A599,$A599,$S$4:$S599))</f>
        <v/>
      </c>
      <c r="U599" s="28"/>
      <c r="V599" s="29" t="str">
        <f aca="false">IF(AND($C599="",COUNTA($D599:$H599,$K599,$N599:$O599,$Q599:$S599,$U599)=0),"",IF($C599="","⚠ 没填项目名称",IF($A599="⚠目录里没有","⚠ 项目名称在目录里找不到（先加到目录）",IF($A599="","⚠ 目录里这个项目没填简称",IF(ISTEXT($G599)+ISTEXT($H599)+ISTEXT($K599)+ISTEXT($N599)+ISTEXT($O599)+ISTEXT($Q599)+ISTEXT($R599)+ISTEXT($S599)&gt;0,"⚠ 金额列里有文字，算不进合计",IF(N($G599)&gt;=1,"⚠ 管理费点要填百分比，如 10%",IF(AND($D599&lt;&gt;"",$B599=""),"△ 摘要开头没写日期（如 2026.9.21），月份取不到",IF(AND(N($H599)&lt;&gt;0,COUNTIFS($A$4:$A$1003,$A599,$H$4:$H$1003,$H599,$D$4:$D$1003,LEFT($D599,9)&amp;"*")&gt;1),"△ 同一天同项目有一样的销售金额，看看是不是录重了","✓"))))))))</f>
        <v/>
      </c>
      <c r="W599" s="8" t="str">
        <f aca="false">IF($A599="","",$A599&amp;"#"&amp;COUNTIF($A$4:$A599,$A599))</f>
        <v/>
      </c>
    </row>
    <row r="600" customFormat="false" ht="16.5" hidden="false" customHeight="false" outlineLevel="0" collapsed="false">
      <c r="A600" s="44" t="str">
        <f aca="false">IF($C600="","",IFERROR(VLOOKUP($C600,目录!$B:$C,2,0)&amp;"","⚠目录里没有"))</f>
        <v/>
      </c>
      <c r="B600" s="45" t="str">
        <f aca="false">IF($D600="","",IFERROR(MID($D600,FIND(".",$D600)+1,FIND(".",$D600,FIND(".",$D600)+1)-FIND(".",$D600)-1)&amp;"月",""))</f>
        <v/>
      </c>
      <c r="C600" s="46"/>
      <c r="D600" s="47"/>
      <c r="E600" s="47"/>
      <c r="F600" s="49"/>
      <c r="G600" s="50"/>
      <c r="H600" s="24"/>
      <c r="I600" s="24" t="str">
        <f aca="false">IF($H600="","",N($H600)*N($G600))</f>
        <v/>
      </c>
      <c r="J600" s="25" t="str">
        <f aca="false">IF($H600="","",N($H600)-N($I600))</f>
        <v/>
      </c>
      <c r="K600" s="25"/>
      <c r="L600" s="25" t="str">
        <f aca="false">IF($A600="","",SUMIF($A$4:$A600,$A600,$J$4:$J600)-SUMIF($A$4:$A600,$A600,$K$4:$K600))</f>
        <v/>
      </c>
      <c r="M600" s="26" t="str">
        <f aca="false">IF($H600="","",N($H600))</f>
        <v/>
      </c>
      <c r="N600" s="26"/>
      <c r="O600" s="26"/>
      <c r="P600" s="26" t="str">
        <f aca="false">IF($A600="","",SUMIF($A$4:$A600,$A600,$M$4:$M600)-SUMIF($A$4:$A600,$A600,$N$4:$N600)-SUMIF($A$4:$A600,$A600,$O$4:$O600))</f>
        <v/>
      </c>
      <c r="Q600" s="27"/>
      <c r="R600" s="28"/>
      <c r="S600" s="28"/>
      <c r="T600" s="28" t="str">
        <f aca="false">IF($A600="","",SUMIF($A$4:$A600,$A600,$Q$4:$Q600)-SUMIF($A$4:$A600,$A600,$R$4:$R600)-SUMIF($A$4:$A600,$A600,$S$4:$S600))</f>
        <v/>
      </c>
      <c r="U600" s="28"/>
      <c r="V600" s="29" t="str">
        <f aca="false">IF(AND($C600="",COUNTA($D600:$H600,$K600,$N600:$O600,$Q600:$S600,$U600)=0),"",IF($C600="","⚠ 没填项目名称",IF($A600="⚠目录里没有","⚠ 项目名称在目录里找不到（先加到目录）",IF($A600="","⚠ 目录里这个项目没填简称",IF(ISTEXT($G600)+ISTEXT($H600)+ISTEXT($K600)+ISTEXT($N600)+ISTEXT($O600)+ISTEXT($Q600)+ISTEXT($R600)+ISTEXT($S600)&gt;0,"⚠ 金额列里有文字，算不进合计",IF(N($G600)&gt;=1,"⚠ 管理费点要填百分比，如 10%",IF(AND($D600&lt;&gt;"",$B600=""),"△ 摘要开头没写日期（如 2026.9.21），月份取不到",IF(AND(N($H600)&lt;&gt;0,COUNTIFS($A$4:$A$1003,$A600,$H$4:$H$1003,$H600,$D$4:$D$1003,LEFT($D600,9)&amp;"*")&gt;1),"△ 同一天同项目有一样的销售金额，看看是不是录重了","✓"))))))))</f>
        <v/>
      </c>
      <c r="W600" s="8" t="str">
        <f aca="false">IF($A600="","",$A600&amp;"#"&amp;COUNTIF($A$4:$A600,$A600))</f>
        <v/>
      </c>
    </row>
    <row r="601" customFormat="false" ht="16.5" hidden="false" customHeight="false" outlineLevel="0" collapsed="false">
      <c r="A601" s="44" t="str">
        <f aca="false">IF($C601="","",IFERROR(VLOOKUP($C601,目录!$B:$C,2,0)&amp;"","⚠目录里没有"))</f>
        <v/>
      </c>
      <c r="B601" s="45" t="str">
        <f aca="false">IF($D601="","",IFERROR(MID($D601,FIND(".",$D601)+1,FIND(".",$D601,FIND(".",$D601)+1)-FIND(".",$D601)-1)&amp;"月",""))</f>
        <v/>
      </c>
      <c r="C601" s="46"/>
      <c r="D601" s="47"/>
      <c r="E601" s="47"/>
      <c r="F601" s="49"/>
      <c r="G601" s="50"/>
      <c r="H601" s="24"/>
      <c r="I601" s="24" t="str">
        <f aca="false">IF($H601="","",N($H601)*N($G601))</f>
        <v/>
      </c>
      <c r="J601" s="25" t="str">
        <f aca="false">IF($H601="","",N($H601)-N($I601))</f>
        <v/>
      </c>
      <c r="K601" s="25"/>
      <c r="L601" s="25" t="str">
        <f aca="false">IF($A601="","",SUMIF($A$4:$A601,$A601,$J$4:$J601)-SUMIF($A$4:$A601,$A601,$K$4:$K601))</f>
        <v/>
      </c>
      <c r="M601" s="26" t="str">
        <f aca="false">IF($H601="","",N($H601))</f>
        <v/>
      </c>
      <c r="N601" s="26"/>
      <c r="O601" s="26"/>
      <c r="P601" s="26" t="str">
        <f aca="false">IF($A601="","",SUMIF($A$4:$A601,$A601,$M$4:$M601)-SUMIF($A$4:$A601,$A601,$N$4:$N601)-SUMIF($A$4:$A601,$A601,$O$4:$O601))</f>
        <v/>
      </c>
      <c r="Q601" s="27"/>
      <c r="R601" s="28"/>
      <c r="S601" s="28"/>
      <c r="T601" s="28" t="str">
        <f aca="false">IF($A601="","",SUMIF($A$4:$A601,$A601,$Q$4:$Q601)-SUMIF($A$4:$A601,$A601,$R$4:$R601)-SUMIF($A$4:$A601,$A601,$S$4:$S601))</f>
        <v/>
      </c>
      <c r="U601" s="28"/>
      <c r="V601" s="29" t="str">
        <f aca="false">IF(AND($C601="",COUNTA($D601:$H601,$K601,$N601:$O601,$Q601:$S601,$U601)=0),"",IF($C601="","⚠ 没填项目名称",IF($A601="⚠目录里没有","⚠ 项目名称在目录里找不到（先加到目录）",IF($A601="","⚠ 目录里这个项目没填简称",IF(ISTEXT($G601)+ISTEXT($H601)+ISTEXT($K601)+ISTEXT($N601)+ISTEXT($O601)+ISTEXT($Q601)+ISTEXT($R601)+ISTEXT($S601)&gt;0,"⚠ 金额列里有文字，算不进合计",IF(N($G601)&gt;=1,"⚠ 管理费点要填百分比，如 10%",IF(AND($D601&lt;&gt;"",$B601=""),"△ 摘要开头没写日期（如 2026.9.21），月份取不到",IF(AND(N($H601)&lt;&gt;0,COUNTIFS($A$4:$A$1003,$A601,$H$4:$H$1003,$H601,$D$4:$D$1003,LEFT($D601,9)&amp;"*")&gt;1),"△ 同一天同项目有一样的销售金额，看看是不是录重了","✓"))))))))</f>
        <v/>
      </c>
      <c r="W601" s="8" t="str">
        <f aca="false">IF($A601="","",$A601&amp;"#"&amp;COUNTIF($A$4:$A601,$A601))</f>
        <v/>
      </c>
    </row>
    <row r="602" customFormat="false" ht="16.5" hidden="false" customHeight="false" outlineLevel="0" collapsed="false">
      <c r="A602" s="44" t="str">
        <f aca="false">IF($C602="","",IFERROR(VLOOKUP($C602,目录!$B:$C,2,0)&amp;"","⚠目录里没有"))</f>
        <v/>
      </c>
      <c r="B602" s="45" t="str">
        <f aca="false">IF($D602="","",IFERROR(MID($D602,FIND(".",$D602)+1,FIND(".",$D602,FIND(".",$D602)+1)-FIND(".",$D602)-1)&amp;"月",""))</f>
        <v/>
      </c>
      <c r="C602" s="46"/>
      <c r="D602" s="47"/>
      <c r="E602" s="47"/>
      <c r="F602" s="49"/>
      <c r="G602" s="50"/>
      <c r="H602" s="24"/>
      <c r="I602" s="24" t="str">
        <f aca="false">IF($H602="","",N($H602)*N($G602))</f>
        <v/>
      </c>
      <c r="J602" s="25" t="str">
        <f aca="false">IF($H602="","",N($H602)-N($I602))</f>
        <v/>
      </c>
      <c r="K602" s="25"/>
      <c r="L602" s="25" t="str">
        <f aca="false">IF($A602="","",SUMIF($A$4:$A602,$A602,$J$4:$J602)-SUMIF($A$4:$A602,$A602,$K$4:$K602))</f>
        <v/>
      </c>
      <c r="M602" s="26" t="str">
        <f aca="false">IF($H602="","",N($H602))</f>
        <v/>
      </c>
      <c r="N602" s="26"/>
      <c r="O602" s="26"/>
      <c r="P602" s="26" t="str">
        <f aca="false">IF($A602="","",SUMIF($A$4:$A602,$A602,$M$4:$M602)-SUMIF($A$4:$A602,$A602,$N$4:$N602)-SUMIF($A$4:$A602,$A602,$O$4:$O602))</f>
        <v/>
      </c>
      <c r="Q602" s="27"/>
      <c r="R602" s="28"/>
      <c r="S602" s="28"/>
      <c r="T602" s="28" t="str">
        <f aca="false">IF($A602="","",SUMIF($A$4:$A602,$A602,$Q$4:$Q602)-SUMIF($A$4:$A602,$A602,$R$4:$R602)-SUMIF($A$4:$A602,$A602,$S$4:$S602))</f>
        <v/>
      </c>
      <c r="U602" s="28"/>
      <c r="V602" s="29" t="str">
        <f aca="false">IF(AND($C602="",COUNTA($D602:$H602,$K602,$N602:$O602,$Q602:$S602,$U602)=0),"",IF($C602="","⚠ 没填项目名称",IF($A602="⚠目录里没有","⚠ 项目名称在目录里找不到（先加到目录）",IF($A602="","⚠ 目录里这个项目没填简称",IF(ISTEXT($G602)+ISTEXT($H602)+ISTEXT($K602)+ISTEXT($N602)+ISTEXT($O602)+ISTEXT($Q602)+ISTEXT($R602)+ISTEXT($S602)&gt;0,"⚠ 金额列里有文字，算不进合计",IF(N($G602)&gt;=1,"⚠ 管理费点要填百分比，如 10%",IF(AND($D602&lt;&gt;"",$B602=""),"△ 摘要开头没写日期（如 2026.9.21），月份取不到",IF(AND(N($H602)&lt;&gt;0,COUNTIFS($A$4:$A$1003,$A602,$H$4:$H$1003,$H602,$D$4:$D$1003,LEFT($D602,9)&amp;"*")&gt;1),"△ 同一天同项目有一样的销售金额，看看是不是录重了","✓"))))))))</f>
        <v/>
      </c>
      <c r="W602" s="8" t="str">
        <f aca="false">IF($A602="","",$A602&amp;"#"&amp;COUNTIF($A$4:$A602,$A602))</f>
        <v/>
      </c>
    </row>
    <row r="603" customFormat="false" ht="16.5" hidden="false" customHeight="false" outlineLevel="0" collapsed="false">
      <c r="A603" s="44" t="str">
        <f aca="false">IF($C603="","",IFERROR(VLOOKUP($C603,目录!$B:$C,2,0)&amp;"","⚠目录里没有"))</f>
        <v/>
      </c>
      <c r="B603" s="45" t="str">
        <f aca="false">IF($D603="","",IFERROR(MID($D603,FIND(".",$D603)+1,FIND(".",$D603,FIND(".",$D603)+1)-FIND(".",$D603)-1)&amp;"月",""))</f>
        <v/>
      </c>
      <c r="C603" s="46"/>
      <c r="D603" s="47"/>
      <c r="E603" s="47"/>
      <c r="F603" s="49"/>
      <c r="G603" s="50"/>
      <c r="H603" s="24"/>
      <c r="I603" s="24" t="str">
        <f aca="false">IF($H603="","",N($H603)*N($G603))</f>
        <v/>
      </c>
      <c r="J603" s="25" t="str">
        <f aca="false">IF($H603="","",N($H603)-N($I603))</f>
        <v/>
      </c>
      <c r="K603" s="25"/>
      <c r="L603" s="25" t="str">
        <f aca="false">IF($A603="","",SUMIF($A$4:$A603,$A603,$J$4:$J603)-SUMIF($A$4:$A603,$A603,$K$4:$K603))</f>
        <v/>
      </c>
      <c r="M603" s="26" t="str">
        <f aca="false">IF($H603="","",N($H603))</f>
        <v/>
      </c>
      <c r="N603" s="26"/>
      <c r="O603" s="26"/>
      <c r="P603" s="26" t="str">
        <f aca="false">IF($A603="","",SUMIF($A$4:$A603,$A603,$M$4:$M603)-SUMIF($A$4:$A603,$A603,$N$4:$N603)-SUMIF($A$4:$A603,$A603,$O$4:$O603))</f>
        <v/>
      </c>
      <c r="Q603" s="27"/>
      <c r="R603" s="28"/>
      <c r="S603" s="28"/>
      <c r="T603" s="28" t="str">
        <f aca="false">IF($A603="","",SUMIF($A$4:$A603,$A603,$Q$4:$Q603)-SUMIF($A$4:$A603,$A603,$R$4:$R603)-SUMIF($A$4:$A603,$A603,$S$4:$S603))</f>
        <v/>
      </c>
      <c r="U603" s="28"/>
      <c r="V603" s="29" t="str">
        <f aca="false">IF(AND($C603="",COUNTA($D603:$H603,$K603,$N603:$O603,$Q603:$S603,$U603)=0),"",IF($C603="","⚠ 没填项目名称",IF($A603="⚠目录里没有","⚠ 项目名称在目录里找不到（先加到目录）",IF($A603="","⚠ 目录里这个项目没填简称",IF(ISTEXT($G603)+ISTEXT($H603)+ISTEXT($K603)+ISTEXT($N603)+ISTEXT($O603)+ISTEXT($Q603)+ISTEXT($R603)+ISTEXT($S603)&gt;0,"⚠ 金额列里有文字，算不进合计",IF(N($G603)&gt;=1,"⚠ 管理费点要填百分比，如 10%",IF(AND($D603&lt;&gt;"",$B603=""),"△ 摘要开头没写日期（如 2026.9.21），月份取不到",IF(AND(N($H603)&lt;&gt;0,COUNTIFS($A$4:$A$1003,$A603,$H$4:$H$1003,$H603,$D$4:$D$1003,LEFT($D603,9)&amp;"*")&gt;1),"△ 同一天同项目有一样的销售金额，看看是不是录重了","✓"))))))))</f>
        <v/>
      </c>
      <c r="W603" s="8" t="str">
        <f aca="false">IF($A603="","",$A603&amp;"#"&amp;COUNTIF($A$4:$A603,$A603))</f>
        <v/>
      </c>
    </row>
    <row r="604" customFormat="false" ht="16.5" hidden="false" customHeight="false" outlineLevel="0" collapsed="false">
      <c r="A604" s="44" t="str">
        <f aca="false">IF($C604="","",IFERROR(VLOOKUP($C604,目录!$B:$C,2,0)&amp;"","⚠目录里没有"))</f>
        <v/>
      </c>
      <c r="B604" s="45" t="str">
        <f aca="false">IF($D604="","",IFERROR(MID($D604,FIND(".",$D604)+1,FIND(".",$D604,FIND(".",$D604)+1)-FIND(".",$D604)-1)&amp;"月",""))</f>
        <v/>
      </c>
      <c r="C604" s="46"/>
      <c r="D604" s="47"/>
      <c r="E604" s="47"/>
      <c r="F604" s="49"/>
      <c r="G604" s="50"/>
      <c r="H604" s="24"/>
      <c r="I604" s="24" t="str">
        <f aca="false">IF($H604="","",N($H604)*N($G604))</f>
        <v/>
      </c>
      <c r="J604" s="25" t="str">
        <f aca="false">IF($H604="","",N($H604)-N($I604))</f>
        <v/>
      </c>
      <c r="K604" s="25"/>
      <c r="L604" s="25" t="str">
        <f aca="false">IF($A604="","",SUMIF($A$4:$A604,$A604,$J$4:$J604)-SUMIF($A$4:$A604,$A604,$K$4:$K604))</f>
        <v/>
      </c>
      <c r="M604" s="26" t="str">
        <f aca="false">IF($H604="","",N($H604))</f>
        <v/>
      </c>
      <c r="N604" s="26"/>
      <c r="O604" s="26"/>
      <c r="P604" s="26" t="str">
        <f aca="false">IF($A604="","",SUMIF($A$4:$A604,$A604,$M$4:$M604)-SUMIF($A$4:$A604,$A604,$N$4:$N604)-SUMIF($A$4:$A604,$A604,$O$4:$O604))</f>
        <v/>
      </c>
      <c r="Q604" s="27"/>
      <c r="R604" s="28"/>
      <c r="S604" s="28"/>
      <c r="T604" s="28" t="str">
        <f aca="false">IF($A604="","",SUMIF($A$4:$A604,$A604,$Q$4:$Q604)-SUMIF($A$4:$A604,$A604,$R$4:$R604)-SUMIF($A$4:$A604,$A604,$S$4:$S604))</f>
        <v/>
      </c>
      <c r="U604" s="28"/>
      <c r="V604" s="29" t="str">
        <f aca="false">IF(AND($C604="",COUNTA($D604:$H604,$K604,$N604:$O604,$Q604:$S604,$U604)=0),"",IF($C604="","⚠ 没填项目名称",IF($A604="⚠目录里没有","⚠ 项目名称在目录里找不到（先加到目录）",IF($A604="","⚠ 目录里这个项目没填简称",IF(ISTEXT($G604)+ISTEXT($H604)+ISTEXT($K604)+ISTEXT($N604)+ISTEXT($O604)+ISTEXT($Q604)+ISTEXT($R604)+ISTEXT($S604)&gt;0,"⚠ 金额列里有文字，算不进合计",IF(N($G604)&gt;=1,"⚠ 管理费点要填百分比，如 10%",IF(AND($D604&lt;&gt;"",$B604=""),"△ 摘要开头没写日期（如 2026.9.21），月份取不到",IF(AND(N($H604)&lt;&gt;0,COUNTIFS($A$4:$A$1003,$A604,$H$4:$H$1003,$H604,$D$4:$D$1003,LEFT($D604,9)&amp;"*")&gt;1),"△ 同一天同项目有一样的销售金额，看看是不是录重了","✓"))))))))</f>
        <v/>
      </c>
      <c r="W604" s="8" t="str">
        <f aca="false">IF($A604="","",$A604&amp;"#"&amp;COUNTIF($A$4:$A604,$A604))</f>
        <v/>
      </c>
    </row>
    <row r="605" customFormat="false" ht="16.5" hidden="false" customHeight="false" outlineLevel="0" collapsed="false">
      <c r="A605" s="44" t="str">
        <f aca="false">IF($C605="","",IFERROR(VLOOKUP($C605,目录!$B:$C,2,0)&amp;"","⚠目录里没有"))</f>
        <v/>
      </c>
      <c r="B605" s="45" t="str">
        <f aca="false">IF($D605="","",IFERROR(MID($D605,FIND(".",$D605)+1,FIND(".",$D605,FIND(".",$D605)+1)-FIND(".",$D605)-1)&amp;"月",""))</f>
        <v/>
      </c>
      <c r="C605" s="46"/>
      <c r="D605" s="47"/>
      <c r="E605" s="47"/>
      <c r="F605" s="49"/>
      <c r="G605" s="50"/>
      <c r="H605" s="24"/>
      <c r="I605" s="24" t="str">
        <f aca="false">IF($H605="","",N($H605)*N($G605))</f>
        <v/>
      </c>
      <c r="J605" s="25" t="str">
        <f aca="false">IF($H605="","",N($H605)-N($I605))</f>
        <v/>
      </c>
      <c r="K605" s="25"/>
      <c r="L605" s="25" t="str">
        <f aca="false">IF($A605="","",SUMIF($A$4:$A605,$A605,$J$4:$J605)-SUMIF($A$4:$A605,$A605,$K$4:$K605))</f>
        <v/>
      </c>
      <c r="M605" s="26" t="str">
        <f aca="false">IF($H605="","",N($H605))</f>
        <v/>
      </c>
      <c r="N605" s="26"/>
      <c r="O605" s="26"/>
      <c r="P605" s="26" t="str">
        <f aca="false">IF($A605="","",SUMIF($A$4:$A605,$A605,$M$4:$M605)-SUMIF($A$4:$A605,$A605,$N$4:$N605)-SUMIF($A$4:$A605,$A605,$O$4:$O605))</f>
        <v/>
      </c>
      <c r="Q605" s="27"/>
      <c r="R605" s="28"/>
      <c r="S605" s="28"/>
      <c r="T605" s="28" t="str">
        <f aca="false">IF($A605="","",SUMIF($A$4:$A605,$A605,$Q$4:$Q605)-SUMIF($A$4:$A605,$A605,$R$4:$R605)-SUMIF($A$4:$A605,$A605,$S$4:$S605))</f>
        <v/>
      </c>
      <c r="U605" s="28"/>
      <c r="V605" s="29" t="str">
        <f aca="false">IF(AND($C605="",COUNTA($D605:$H605,$K605,$N605:$O605,$Q605:$S605,$U605)=0),"",IF($C605="","⚠ 没填项目名称",IF($A605="⚠目录里没有","⚠ 项目名称在目录里找不到（先加到目录）",IF($A605="","⚠ 目录里这个项目没填简称",IF(ISTEXT($G605)+ISTEXT($H605)+ISTEXT($K605)+ISTEXT($N605)+ISTEXT($O605)+ISTEXT($Q605)+ISTEXT($R605)+ISTEXT($S605)&gt;0,"⚠ 金额列里有文字，算不进合计",IF(N($G605)&gt;=1,"⚠ 管理费点要填百分比，如 10%",IF(AND($D605&lt;&gt;"",$B605=""),"△ 摘要开头没写日期（如 2026.9.21），月份取不到",IF(AND(N($H605)&lt;&gt;0,COUNTIFS($A$4:$A$1003,$A605,$H$4:$H$1003,$H605,$D$4:$D$1003,LEFT($D605,9)&amp;"*")&gt;1),"△ 同一天同项目有一样的销售金额，看看是不是录重了","✓"))))))))</f>
        <v/>
      </c>
      <c r="W605" s="8" t="str">
        <f aca="false">IF($A605="","",$A605&amp;"#"&amp;COUNTIF($A$4:$A605,$A605))</f>
        <v/>
      </c>
    </row>
    <row r="606" customFormat="false" ht="16.5" hidden="false" customHeight="false" outlineLevel="0" collapsed="false">
      <c r="A606" s="44" t="str">
        <f aca="false">IF($C606="","",IFERROR(VLOOKUP($C606,目录!$B:$C,2,0)&amp;"","⚠目录里没有"))</f>
        <v/>
      </c>
      <c r="B606" s="45" t="str">
        <f aca="false">IF($D606="","",IFERROR(MID($D606,FIND(".",$D606)+1,FIND(".",$D606,FIND(".",$D606)+1)-FIND(".",$D606)-1)&amp;"月",""))</f>
        <v/>
      </c>
      <c r="C606" s="46"/>
      <c r="D606" s="47"/>
      <c r="E606" s="47"/>
      <c r="F606" s="49"/>
      <c r="G606" s="50"/>
      <c r="H606" s="24"/>
      <c r="I606" s="24" t="str">
        <f aca="false">IF($H606="","",N($H606)*N($G606))</f>
        <v/>
      </c>
      <c r="J606" s="25" t="str">
        <f aca="false">IF($H606="","",N($H606)-N($I606))</f>
        <v/>
      </c>
      <c r="K606" s="25"/>
      <c r="L606" s="25" t="str">
        <f aca="false">IF($A606="","",SUMIF($A$4:$A606,$A606,$J$4:$J606)-SUMIF($A$4:$A606,$A606,$K$4:$K606))</f>
        <v/>
      </c>
      <c r="M606" s="26" t="str">
        <f aca="false">IF($H606="","",N($H606))</f>
        <v/>
      </c>
      <c r="N606" s="26"/>
      <c r="O606" s="26"/>
      <c r="P606" s="26" t="str">
        <f aca="false">IF($A606="","",SUMIF($A$4:$A606,$A606,$M$4:$M606)-SUMIF($A$4:$A606,$A606,$N$4:$N606)-SUMIF($A$4:$A606,$A606,$O$4:$O606))</f>
        <v/>
      </c>
      <c r="Q606" s="27"/>
      <c r="R606" s="28"/>
      <c r="S606" s="28"/>
      <c r="T606" s="28" t="str">
        <f aca="false">IF($A606="","",SUMIF($A$4:$A606,$A606,$Q$4:$Q606)-SUMIF($A$4:$A606,$A606,$R$4:$R606)-SUMIF($A$4:$A606,$A606,$S$4:$S606))</f>
        <v/>
      </c>
      <c r="U606" s="28"/>
      <c r="V606" s="29" t="str">
        <f aca="false">IF(AND($C606="",COUNTA($D606:$H606,$K606,$N606:$O606,$Q606:$S606,$U606)=0),"",IF($C606="","⚠ 没填项目名称",IF($A606="⚠目录里没有","⚠ 项目名称在目录里找不到（先加到目录）",IF($A606="","⚠ 目录里这个项目没填简称",IF(ISTEXT($G606)+ISTEXT($H606)+ISTEXT($K606)+ISTEXT($N606)+ISTEXT($O606)+ISTEXT($Q606)+ISTEXT($R606)+ISTEXT($S606)&gt;0,"⚠ 金额列里有文字，算不进合计",IF(N($G606)&gt;=1,"⚠ 管理费点要填百分比，如 10%",IF(AND($D606&lt;&gt;"",$B606=""),"△ 摘要开头没写日期（如 2026.9.21），月份取不到",IF(AND(N($H606)&lt;&gt;0,COUNTIFS($A$4:$A$1003,$A606,$H$4:$H$1003,$H606,$D$4:$D$1003,LEFT($D606,9)&amp;"*")&gt;1),"△ 同一天同项目有一样的销售金额，看看是不是录重了","✓"))))))))</f>
        <v/>
      </c>
      <c r="W606" s="8" t="str">
        <f aca="false">IF($A606="","",$A606&amp;"#"&amp;COUNTIF($A$4:$A606,$A606))</f>
        <v/>
      </c>
    </row>
    <row r="607" customFormat="false" ht="16.5" hidden="false" customHeight="false" outlineLevel="0" collapsed="false">
      <c r="A607" s="44" t="str">
        <f aca="false">IF($C607="","",IFERROR(VLOOKUP($C607,目录!$B:$C,2,0)&amp;"","⚠目录里没有"))</f>
        <v/>
      </c>
      <c r="B607" s="45" t="str">
        <f aca="false">IF($D607="","",IFERROR(MID($D607,FIND(".",$D607)+1,FIND(".",$D607,FIND(".",$D607)+1)-FIND(".",$D607)-1)&amp;"月",""))</f>
        <v/>
      </c>
      <c r="C607" s="46"/>
      <c r="D607" s="47"/>
      <c r="E607" s="47"/>
      <c r="F607" s="49"/>
      <c r="G607" s="50"/>
      <c r="H607" s="24"/>
      <c r="I607" s="24" t="str">
        <f aca="false">IF($H607="","",N($H607)*N($G607))</f>
        <v/>
      </c>
      <c r="J607" s="25" t="str">
        <f aca="false">IF($H607="","",N($H607)-N($I607))</f>
        <v/>
      </c>
      <c r="K607" s="25"/>
      <c r="L607" s="25" t="str">
        <f aca="false">IF($A607="","",SUMIF($A$4:$A607,$A607,$J$4:$J607)-SUMIF($A$4:$A607,$A607,$K$4:$K607))</f>
        <v/>
      </c>
      <c r="M607" s="26" t="str">
        <f aca="false">IF($H607="","",N($H607))</f>
        <v/>
      </c>
      <c r="N607" s="26"/>
      <c r="O607" s="26"/>
      <c r="P607" s="26" t="str">
        <f aca="false">IF($A607="","",SUMIF($A$4:$A607,$A607,$M$4:$M607)-SUMIF($A$4:$A607,$A607,$N$4:$N607)-SUMIF($A$4:$A607,$A607,$O$4:$O607))</f>
        <v/>
      </c>
      <c r="Q607" s="27"/>
      <c r="R607" s="28"/>
      <c r="S607" s="28"/>
      <c r="T607" s="28" t="str">
        <f aca="false">IF($A607="","",SUMIF($A$4:$A607,$A607,$Q$4:$Q607)-SUMIF($A$4:$A607,$A607,$R$4:$R607)-SUMIF($A$4:$A607,$A607,$S$4:$S607))</f>
        <v/>
      </c>
      <c r="U607" s="28"/>
      <c r="V607" s="29" t="str">
        <f aca="false">IF(AND($C607="",COUNTA($D607:$H607,$K607,$N607:$O607,$Q607:$S607,$U607)=0),"",IF($C607="","⚠ 没填项目名称",IF($A607="⚠目录里没有","⚠ 项目名称在目录里找不到（先加到目录）",IF($A607="","⚠ 目录里这个项目没填简称",IF(ISTEXT($G607)+ISTEXT($H607)+ISTEXT($K607)+ISTEXT($N607)+ISTEXT($O607)+ISTEXT($Q607)+ISTEXT($R607)+ISTEXT($S607)&gt;0,"⚠ 金额列里有文字，算不进合计",IF(N($G607)&gt;=1,"⚠ 管理费点要填百分比，如 10%",IF(AND($D607&lt;&gt;"",$B607=""),"△ 摘要开头没写日期（如 2026.9.21），月份取不到",IF(AND(N($H607)&lt;&gt;0,COUNTIFS($A$4:$A$1003,$A607,$H$4:$H$1003,$H607,$D$4:$D$1003,LEFT($D607,9)&amp;"*")&gt;1),"△ 同一天同项目有一样的销售金额，看看是不是录重了","✓"))))))))</f>
        <v/>
      </c>
      <c r="W607" s="8" t="str">
        <f aca="false">IF($A607="","",$A607&amp;"#"&amp;COUNTIF($A$4:$A607,$A607))</f>
        <v/>
      </c>
    </row>
    <row r="608" customFormat="false" ht="16.5" hidden="false" customHeight="false" outlineLevel="0" collapsed="false">
      <c r="A608" s="44" t="str">
        <f aca="false">IF($C608="","",IFERROR(VLOOKUP($C608,目录!$B:$C,2,0)&amp;"","⚠目录里没有"))</f>
        <v/>
      </c>
      <c r="B608" s="45" t="str">
        <f aca="false">IF($D608="","",IFERROR(MID($D608,FIND(".",$D608)+1,FIND(".",$D608,FIND(".",$D608)+1)-FIND(".",$D608)-1)&amp;"月",""))</f>
        <v/>
      </c>
      <c r="C608" s="46"/>
      <c r="D608" s="47"/>
      <c r="E608" s="47"/>
      <c r="F608" s="49"/>
      <c r="G608" s="50"/>
      <c r="H608" s="24"/>
      <c r="I608" s="24" t="str">
        <f aca="false">IF($H608="","",N($H608)*N($G608))</f>
        <v/>
      </c>
      <c r="J608" s="25" t="str">
        <f aca="false">IF($H608="","",N($H608)-N($I608))</f>
        <v/>
      </c>
      <c r="K608" s="25"/>
      <c r="L608" s="25" t="str">
        <f aca="false">IF($A608="","",SUMIF($A$4:$A608,$A608,$J$4:$J608)-SUMIF($A$4:$A608,$A608,$K$4:$K608))</f>
        <v/>
      </c>
      <c r="M608" s="26" t="str">
        <f aca="false">IF($H608="","",N($H608))</f>
        <v/>
      </c>
      <c r="N608" s="26"/>
      <c r="O608" s="26"/>
      <c r="P608" s="26" t="str">
        <f aca="false">IF($A608="","",SUMIF($A$4:$A608,$A608,$M$4:$M608)-SUMIF($A$4:$A608,$A608,$N$4:$N608)-SUMIF($A$4:$A608,$A608,$O$4:$O608))</f>
        <v/>
      </c>
      <c r="Q608" s="27"/>
      <c r="R608" s="28"/>
      <c r="S608" s="28"/>
      <c r="T608" s="28" t="str">
        <f aca="false">IF($A608="","",SUMIF($A$4:$A608,$A608,$Q$4:$Q608)-SUMIF($A$4:$A608,$A608,$R$4:$R608)-SUMIF($A$4:$A608,$A608,$S$4:$S608))</f>
        <v/>
      </c>
      <c r="U608" s="28"/>
      <c r="V608" s="29" t="str">
        <f aca="false">IF(AND($C608="",COUNTA($D608:$H608,$K608,$N608:$O608,$Q608:$S608,$U608)=0),"",IF($C608="","⚠ 没填项目名称",IF($A608="⚠目录里没有","⚠ 项目名称在目录里找不到（先加到目录）",IF($A608="","⚠ 目录里这个项目没填简称",IF(ISTEXT($G608)+ISTEXT($H608)+ISTEXT($K608)+ISTEXT($N608)+ISTEXT($O608)+ISTEXT($Q608)+ISTEXT($R608)+ISTEXT($S608)&gt;0,"⚠ 金额列里有文字，算不进合计",IF(N($G608)&gt;=1,"⚠ 管理费点要填百分比，如 10%",IF(AND($D608&lt;&gt;"",$B608=""),"△ 摘要开头没写日期（如 2026.9.21），月份取不到",IF(AND(N($H608)&lt;&gt;0,COUNTIFS($A$4:$A$1003,$A608,$H$4:$H$1003,$H608,$D$4:$D$1003,LEFT($D608,9)&amp;"*")&gt;1),"△ 同一天同项目有一样的销售金额，看看是不是录重了","✓"))))))))</f>
        <v/>
      </c>
      <c r="W608" s="8" t="str">
        <f aca="false">IF($A608="","",$A608&amp;"#"&amp;COUNTIF($A$4:$A608,$A608))</f>
        <v/>
      </c>
    </row>
    <row r="609" customFormat="false" ht="16.5" hidden="false" customHeight="false" outlineLevel="0" collapsed="false">
      <c r="A609" s="44" t="str">
        <f aca="false">IF($C609="","",IFERROR(VLOOKUP($C609,目录!$B:$C,2,0)&amp;"","⚠目录里没有"))</f>
        <v/>
      </c>
      <c r="B609" s="45" t="str">
        <f aca="false">IF($D609="","",IFERROR(MID($D609,FIND(".",$D609)+1,FIND(".",$D609,FIND(".",$D609)+1)-FIND(".",$D609)-1)&amp;"月",""))</f>
        <v/>
      </c>
      <c r="C609" s="46"/>
      <c r="D609" s="47"/>
      <c r="E609" s="47"/>
      <c r="F609" s="49"/>
      <c r="G609" s="50"/>
      <c r="H609" s="24"/>
      <c r="I609" s="24" t="str">
        <f aca="false">IF($H609="","",N($H609)*N($G609))</f>
        <v/>
      </c>
      <c r="J609" s="25" t="str">
        <f aca="false">IF($H609="","",N($H609)-N($I609))</f>
        <v/>
      </c>
      <c r="K609" s="25"/>
      <c r="L609" s="25" t="str">
        <f aca="false">IF($A609="","",SUMIF($A$4:$A609,$A609,$J$4:$J609)-SUMIF($A$4:$A609,$A609,$K$4:$K609))</f>
        <v/>
      </c>
      <c r="M609" s="26" t="str">
        <f aca="false">IF($H609="","",N($H609))</f>
        <v/>
      </c>
      <c r="N609" s="26"/>
      <c r="O609" s="26"/>
      <c r="P609" s="26" t="str">
        <f aca="false">IF($A609="","",SUMIF($A$4:$A609,$A609,$M$4:$M609)-SUMIF($A$4:$A609,$A609,$N$4:$N609)-SUMIF($A$4:$A609,$A609,$O$4:$O609))</f>
        <v/>
      </c>
      <c r="Q609" s="27"/>
      <c r="R609" s="28"/>
      <c r="S609" s="28"/>
      <c r="T609" s="28" t="str">
        <f aca="false">IF($A609="","",SUMIF($A$4:$A609,$A609,$Q$4:$Q609)-SUMIF($A$4:$A609,$A609,$R$4:$R609)-SUMIF($A$4:$A609,$A609,$S$4:$S609))</f>
        <v/>
      </c>
      <c r="U609" s="28"/>
      <c r="V609" s="29" t="str">
        <f aca="false">IF(AND($C609="",COUNTA($D609:$H609,$K609,$N609:$O609,$Q609:$S609,$U609)=0),"",IF($C609="","⚠ 没填项目名称",IF($A609="⚠目录里没有","⚠ 项目名称在目录里找不到（先加到目录）",IF($A609="","⚠ 目录里这个项目没填简称",IF(ISTEXT($G609)+ISTEXT($H609)+ISTEXT($K609)+ISTEXT($N609)+ISTEXT($O609)+ISTEXT($Q609)+ISTEXT($R609)+ISTEXT($S609)&gt;0,"⚠ 金额列里有文字，算不进合计",IF(N($G609)&gt;=1,"⚠ 管理费点要填百分比，如 10%",IF(AND($D609&lt;&gt;"",$B609=""),"△ 摘要开头没写日期（如 2026.9.21），月份取不到",IF(AND(N($H609)&lt;&gt;0,COUNTIFS($A$4:$A$1003,$A609,$H$4:$H$1003,$H609,$D$4:$D$1003,LEFT($D609,9)&amp;"*")&gt;1),"△ 同一天同项目有一样的销售金额，看看是不是录重了","✓"))))))))</f>
        <v/>
      </c>
      <c r="W609" s="8" t="str">
        <f aca="false">IF($A609="","",$A609&amp;"#"&amp;COUNTIF($A$4:$A609,$A609))</f>
        <v/>
      </c>
    </row>
    <row r="610" customFormat="false" ht="16.5" hidden="false" customHeight="false" outlineLevel="0" collapsed="false">
      <c r="A610" s="44" t="str">
        <f aca="false">IF($C610="","",IFERROR(VLOOKUP($C610,目录!$B:$C,2,0)&amp;"","⚠目录里没有"))</f>
        <v/>
      </c>
      <c r="B610" s="45" t="str">
        <f aca="false">IF($D610="","",IFERROR(MID($D610,FIND(".",$D610)+1,FIND(".",$D610,FIND(".",$D610)+1)-FIND(".",$D610)-1)&amp;"月",""))</f>
        <v/>
      </c>
      <c r="C610" s="46"/>
      <c r="D610" s="47"/>
      <c r="E610" s="47"/>
      <c r="F610" s="49"/>
      <c r="G610" s="50"/>
      <c r="H610" s="24"/>
      <c r="I610" s="24" t="str">
        <f aca="false">IF($H610="","",N($H610)*N($G610))</f>
        <v/>
      </c>
      <c r="J610" s="25" t="str">
        <f aca="false">IF($H610="","",N($H610)-N($I610))</f>
        <v/>
      </c>
      <c r="K610" s="25"/>
      <c r="L610" s="25" t="str">
        <f aca="false">IF($A610="","",SUMIF($A$4:$A610,$A610,$J$4:$J610)-SUMIF($A$4:$A610,$A610,$K$4:$K610))</f>
        <v/>
      </c>
      <c r="M610" s="26" t="str">
        <f aca="false">IF($H610="","",N($H610))</f>
        <v/>
      </c>
      <c r="N610" s="26"/>
      <c r="O610" s="26"/>
      <c r="P610" s="26" t="str">
        <f aca="false">IF($A610="","",SUMIF($A$4:$A610,$A610,$M$4:$M610)-SUMIF($A$4:$A610,$A610,$N$4:$N610)-SUMIF($A$4:$A610,$A610,$O$4:$O610))</f>
        <v/>
      </c>
      <c r="Q610" s="27"/>
      <c r="R610" s="28"/>
      <c r="S610" s="28"/>
      <c r="T610" s="28" t="str">
        <f aca="false">IF($A610="","",SUMIF($A$4:$A610,$A610,$Q$4:$Q610)-SUMIF($A$4:$A610,$A610,$R$4:$R610)-SUMIF($A$4:$A610,$A610,$S$4:$S610))</f>
        <v/>
      </c>
      <c r="U610" s="28"/>
      <c r="V610" s="29" t="str">
        <f aca="false">IF(AND($C610="",COUNTA($D610:$H610,$K610,$N610:$O610,$Q610:$S610,$U610)=0),"",IF($C610="","⚠ 没填项目名称",IF($A610="⚠目录里没有","⚠ 项目名称在目录里找不到（先加到目录）",IF($A610="","⚠ 目录里这个项目没填简称",IF(ISTEXT($G610)+ISTEXT($H610)+ISTEXT($K610)+ISTEXT($N610)+ISTEXT($O610)+ISTEXT($Q610)+ISTEXT($R610)+ISTEXT($S610)&gt;0,"⚠ 金额列里有文字，算不进合计",IF(N($G610)&gt;=1,"⚠ 管理费点要填百分比，如 10%",IF(AND($D610&lt;&gt;"",$B610=""),"△ 摘要开头没写日期（如 2026.9.21），月份取不到",IF(AND(N($H610)&lt;&gt;0,COUNTIFS($A$4:$A$1003,$A610,$H$4:$H$1003,$H610,$D$4:$D$1003,LEFT($D610,9)&amp;"*")&gt;1),"△ 同一天同项目有一样的销售金额，看看是不是录重了","✓"))))))))</f>
        <v/>
      </c>
      <c r="W610" s="8" t="str">
        <f aca="false">IF($A610="","",$A610&amp;"#"&amp;COUNTIF($A$4:$A610,$A610))</f>
        <v/>
      </c>
    </row>
    <row r="611" customFormat="false" ht="16.5" hidden="false" customHeight="false" outlineLevel="0" collapsed="false">
      <c r="A611" s="44" t="str">
        <f aca="false">IF($C611="","",IFERROR(VLOOKUP($C611,目录!$B:$C,2,0)&amp;"","⚠目录里没有"))</f>
        <v/>
      </c>
      <c r="B611" s="45" t="str">
        <f aca="false">IF($D611="","",IFERROR(MID($D611,FIND(".",$D611)+1,FIND(".",$D611,FIND(".",$D611)+1)-FIND(".",$D611)-1)&amp;"月",""))</f>
        <v/>
      </c>
      <c r="C611" s="46"/>
      <c r="D611" s="47"/>
      <c r="E611" s="47"/>
      <c r="F611" s="49"/>
      <c r="G611" s="50"/>
      <c r="H611" s="24"/>
      <c r="I611" s="24" t="str">
        <f aca="false">IF($H611="","",N($H611)*N($G611))</f>
        <v/>
      </c>
      <c r="J611" s="25" t="str">
        <f aca="false">IF($H611="","",N($H611)-N($I611))</f>
        <v/>
      </c>
      <c r="K611" s="25"/>
      <c r="L611" s="25" t="str">
        <f aca="false">IF($A611="","",SUMIF($A$4:$A611,$A611,$J$4:$J611)-SUMIF($A$4:$A611,$A611,$K$4:$K611))</f>
        <v/>
      </c>
      <c r="M611" s="26" t="str">
        <f aca="false">IF($H611="","",N($H611))</f>
        <v/>
      </c>
      <c r="N611" s="26"/>
      <c r="O611" s="26"/>
      <c r="P611" s="26" t="str">
        <f aca="false">IF($A611="","",SUMIF($A$4:$A611,$A611,$M$4:$M611)-SUMIF($A$4:$A611,$A611,$N$4:$N611)-SUMIF($A$4:$A611,$A611,$O$4:$O611))</f>
        <v/>
      </c>
      <c r="Q611" s="27"/>
      <c r="R611" s="28"/>
      <c r="S611" s="28"/>
      <c r="T611" s="28" t="str">
        <f aca="false">IF($A611="","",SUMIF($A$4:$A611,$A611,$Q$4:$Q611)-SUMIF($A$4:$A611,$A611,$R$4:$R611)-SUMIF($A$4:$A611,$A611,$S$4:$S611))</f>
        <v/>
      </c>
      <c r="U611" s="28"/>
      <c r="V611" s="29" t="str">
        <f aca="false">IF(AND($C611="",COUNTA($D611:$H611,$K611,$N611:$O611,$Q611:$S611,$U611)=0),"",IF($C611="","⚠ 没填项目名称",IF($A611="⚠目录里没有","⚠ 项目名称在目录里找不到（先加到目录）",IF($A611="","⚠ 目录里这个项目没填简称",IF(ISTEXT($G611)+ISTEXT($H611)+ISTEXT($K611)+ISTEXT($N611)+ISTEXT($O611)+ISTEXT($Q611)+ISTEXT($R611)+ISTEXT($S611)&gt;0,"⚠ 金额列里有文字，算不进合计",IF(N($G611)&gt;=1,"⚠ 管理费点要填百分比，如 10%",IF(AND($D611&lt;&gt;"",$B611=""),"△ 摘要开头没写日期（如 2026.9.21），月份取不到",IF(AND(N($H611)&lt;&gt;0,COUNTIFS($A$4:$A$1003,$A611,$H$4:$H$1003,$H611,$D$4:$D$1003,LEFT($D611,9)&amp;"*")&gt;1),"△ 同一天同项目有一样的销售金额，看看是不是录重了","✓"))))))))</f>
        <v/>
      </c>
      <c r="W611" s="8" t="str">
        <f aca="false">IF($A611="","",$A611&amp;"#"&amp;COUNTIF($A$4:$A611,$A611))</f>
        <v/>
      </c>
    </row>
    <row r="612" customFormat="false" ht="16.5" hidden="false" customHeight="false" outlineLevel="0" collapsed="false">
      <c r="A612" s="44" t="str">
        <f aca="false">IF($C612="","",IFERROR(VLOOKUP($C612,目录!$B:$C,2,0)&amp;"","⚠目录里没有"))</f>
        <v/>
      </c>
      <c r="B612" s="45" t="str">
        <f aca="false">IF($D612="","",IFERROR(MID($D612,FIND(".",$D612)+1,FIND(".",$D612,FIND(".",$D612)+1)-FIND(".",$D612)-1)&amp;"月",""))</f>
        <v/>
      </c>
      <c r="C612" s="46"/>
      <c r="D612" s="47"/>
      <c r="E612" s="47"/>
      <c r="F612" s="49"/>
      <c r="G612" s="50"/>
      <c r="H612" s="24"/>
      <c r="I612" s="24" t="str">
        <f aca="false">IF($H612="","",N($H612)*N($G612))</f>
        <v/>
      </c>
      <c r="J612" s="25" t="str">
        <f aca="false">IF($H612="","",N($H612)-N($I612))</f>
        <v/>
      </c>
      <c r="K612" s="25"/>
      <c r="L612" s="25" t="str">
        <f aca="false">IF($A612="","",SUMIF($A$4:$A612,$A612,$J$4:$J612)-SUMIF($A$4:$A612,$A612,$K$4:$K612))</f>
        <v/>
      </c>
      <c r="M612" s="26" t="str">
        <f aca="false">IF($H612="","",N($H612))</f>
        <v/>
      </c>
      <c r="N612" s="26"/>
      <c r="O612" s="26"/>
      <c r="P612" s="26" t="str">
        <f aca="false">IF($A612="","",SUMIF($A$4:$A612,$A612,$M$4:$M612)-SUMIF($A$4:$A612,$A612,$N$4:$N612)-SUMIF($A$4:$A612,$A612,$O$4:$O612))</f>
        <v/>
      </c>
      <c r="Q612" s="27"/>
      <c r="R612" s="28"/>
      <c r="S612" s="28"/>
      <c r="T612" s="28" t="str">
        <f aca="false">IF($A612="","",SUMIF($A$4:$A612,$A612,$Q$4:$Q612)-SUMIF($A$4:$A612,$A612,$R$4:$R612)-SUMIF($A$4:$A612,$A612,$S$4:$S612))</f>
        <v/>
      </c>
      <c r="U612" s="28"/>
      <c r="V612" s="29" t="str">
        <f aca="false">IF(AND($C612="",COUNTA($D612:$H612,$K612,$N612:$O612,$Q612:$S612,$U612)=0),"",IF($C612="","⚠ 没填项目名称",IF($A612="⚠目录里没有","⚠ 项目名称在目录里找不到（先加到目录）",IF($A612="","⚠ 目录里这个项目没填简称",IF(ISTEXT($G612)+ISTEXT($H612)+ISTEXT($K612)+ISTEXT($N612)+ISTEXT($O612)+ISTEXT($Q612)+ISTEXT($R612)+ISTEXT($S612)&gt;0,"⚠ 金额列里有文字，算不进合计",IF(N($G612)&gt;=1,"⚠ 管理费点要填百分比，如 10%",IF(AND($D612&lt;&gt;"",$B612=""),"△ 摘要开头没写日期（如 2026.9.21），月份取不到",IF(AND(N($H612)&lt;&gt;0,COUNTIFS($A$4:$A$1003,$A612,$H$4:$H$1003,$H612,$D$4:$D$1003,LEFT($D612,9)&amp;"*")&gt;1),"△ 同一天同项目有一样的销售金额，看看是不是录重了","✓"))))))))</f>
        <v/>
      </c>
      <c r="W612" s="8" t="str">
        <f aca="false">IF($A612="","",$A612&amp;"#"&amp;COUNTIF($A$4:$A612,$A612))</f>
        <v/>
      </c>
    </row>
    <row r="613" customFormat="false" ht="16.5" hidden="false" customHeight="false" outlineLevel="0" collapsed="false">
      <c r="A613" s="44" t="str">
        <f aca="false">IF($C613="","",IFERROR(VLOOKUP($C613,目录!$B:$C,2,0)&amp;"","⚠目录里没有"))</f>
        <v/>
      </c>
      <c r="B613" s="45" t="str">
        <f aca="false">IF($D613="","",IFERROR(MID($D613,FIND(".",$D613)+1,FIND(".",$D613,FIND(".",$D613)+1)-FIND(".",$D613)-1)&amp;"月",""))</f>
        <v/>
      </c>
      <c r="C613" s="46"/>
      <c r="D613" s="47"/>
      <c r="E613" s="47"/>
      <c r="F613" s="49"/>
      <c r="G613" s="50"/>
      <c r="H613" s="24"/>
      <c r="I613" s="24" t="str">
        <f aca="false">IF($H613="","",N($H613)*N($G613))</f>
        <v/>
      </c>
      <c r="J613" s="25" t="str">
        <f aca="false">IF($H613="","",N($H613)-N($I613))</f>
        <v/>
      </c>
      <c r="K613" s="25"/>
      <c r="L613" s="25" t="str">
        <f aca="false">IF($A613="","",SUMIF($A$4:$A613,$A613,$J$4:$J613)-SUMIF($A$4:$A613,$A613,$K$4:$K613))</f>
        <v/>
      </c>
      <c r="M613" s="26" t="str">
        <f aca="false">IF($H613="","",N($H613))</f>
        <v/>
      </c>
      <c r="N613" s="26"/>
      <c r="O613" s="26"/>
      <c r="P613" s="26" t="str">
        <f aca="false">IF($A613="","",SUMIF($A$4:$A613,$A613,$M$4:$M613)-SUMIF($A$4:$A613,$A613,$N$4:$N613)-SUMIF($A$4:$A613,$A613,$O$4:$O613))</f>
        <v/>
      </c>
      <c r="Q613" s="27"/>
      <c r="R613" s="28"/>
      <c r="S613" s="28"/>
      <c r="T613" s="28" t="str">
        <f aca="false">IF($A613="","",SUMIF($A$4:$A613,$A613,$Q$4:$Q613)-SUMIF($A$4:$A613,$A613,$R$4:$R613)-SUMIF($A$4:$A613,$A613,$S$4:$S613))</f>
        <v/>
      </c>
      <c r="U613" s="28"/>
      <c r="V613" s="29" t="str">
        <f aca="false">IF(AND($C613="",COUNTA($D613:$H613,$K613,$N613:$O613,$Q613:$S613,$U613)=0),"",IF($C613="","⚠ 没填项目名称",IF($A613="⚠目录里没有","⚠ 项目名称在目录里找不到（先加到目录）",IF($A613="","⚠ 目录里这个项目没填简称",IF(ISTEXT($G613)+ISTEXT($H613)+ISTEXT($K613)+ISTEXT($N613)+ISTEXT($O613)+ISTEXT($Q613)+ISTEXT($R613)+ISTEXT($S613)&gt;0,"⚠ 金额列里有文字，算不进合计",IF(N($G613)&gt;=1,"⚠ 管理费点要填百分比，如 10%",IF(AND($D613&lt;&gt;"",$B613=""),"△ 摘要开头没写日期（如 2026.9.21），月份取不到",IF(AND(N($H613)&lt;&gt;0,COUNTIFS($A$4:$A$1003,$A613,$H$4:$H$1003,$H613,$D$4:$D$1003,LEFT($D613,9)&amp;"*")&gt;1),"△ 同一天同项目有一样的销售金额，看看是不是录重了","✓"))))))))</f>
        <v/>
      </c>
      <c r="W613" s="8" t="str">
        <f aca="false">IF($A613="","",$A613&amp;"#"&amp;COUNTIF($A$4:$A613,$A613))</f>
        <v/>
      </c>
    </row>
    <row r="614" customFormat="false" ht="16.5" hidden="false" customHeight="false" outlineLevel="0" collapsed="false">
      <c r="A614" s="44" t="str">
        <f aca="false">IF($C614="","",IFERROR(VLOOKUP($C614,目录!$B:$C,2,0)&amp;"","⚠目录里没有"))</f>
        <v/>
      </c>
      <c r="B614" s="45" t="str">
        <f aca="false">IF($D614="","",IFERROR(MID($D614,FIND(".",$D614)+1,FIND(".",$D614,FIND(".",$D614)+1)-FIND(".",$D614)-1)&amp;"月",""))</f>
        <v/>
      </c>
      <c r="C614" s="46"/>
      <c r="D614" s="47"/>
      <c r="E614" s="47"/>
      <c r="F614" s="49"/>
      <c r="G614" s="50"/>
      <c r="H614" s="24"/>
      <c r="I614" s="24" t="str">
        <f aca="false">IF($H614="","",N($H614)*N($G614))</f>
        <v/>
      </c>
      <c r="J614" s="25" t="str">
        <f aca="false">IF($H614="","",N($H614)-N($I614))</f>
        <v/>
      </c>
      <c r="K614" s="25"/>
      <c r="L614" s="25" t="str">
        <f aca="false">IF($A614="","",SUMIF($A$4:$A614,$A614,$J$4:$J614)-SUMIF($A$4:$A614,$A614,$K$4:$K614))</f>
        <v/>
      </c>
      <c r="M614" s="26" t="str">
        <f aca="false">IF($H614="","",N($H614))</f>
        <v/>
      </c>
      <c r="N614" s="26"/>
      <c r="O614" s="26"/>
      <c r="P614" s="26" t="str">
        <f aca="false">IF($A614="","",SUMIF($A$4:$A614,$A614,$M$4:$M614)-SUMIF($A$4:$A614,$A614,$N$4:$N614)-SUMIF($A$4:$A614,$A614,$O$4:$O614))</f>
        <v/>
      </c>
      <c r="Q614" s="27"/>
      <c r="R614" s="28"/>
      <c r="S614" s="28"/>
      <c r="T614" s="28" t="str">
        <f aca="false">IF($A614="","",SUMIF($A$4:$A614,$A614,$Q$4:$Q614)-SUMIF($A$4:$A614,$A614,$R$4:$R614)-SUMIF($A$4:$A614,$A614,$S$4:$S614))</f>
        <v/>
      </c>
      <c r="U614" s="28"/>
      <c r="V614" s="29" t="str">
        <f aca="false">IF(AND($C614="",COUNTA($D614:$H614,$K614,$N614:$O614,$Q614:$S614,$U614)=0),"",IF($C614="","⚠ 没填项目名称",IF($A614="⚠目录里没有","⚠ 项目名称在目录里找不到（先加到目录）",IF($A614="","⚠ 目录里这个项目没填简称",IF(ISTEXT($G614)+ISTEXT($H614)+ISTEXT($K614)+ISTEXT($N614)+ISTEXT($O614)+ISTEXT($Q614)+ISTEXT($R614)+ISTEXT($S614)&gt;0,"⚠ 金额列里有文字，算不进合计",IF(N($G614)&gt;=1,"⚠ 管理费点要填百分比，如 10%",IF(AND($D614&lt;&gt;"",$B614=""),"△ 摘要开头没写日期（如 2026.9.21），月份取不到",IF(AND(N($H614)&lt;&gt;0,COUNTIFS($A$4:$A$1003,$A614,$H$4:$H$1003,$H614,$D$4:$D$1003,LEFT($D614,9)&amp;"*")&gt;1),"△ 同一天同项目有一样的销售金额，看看是不是录重了","✓"))))))))</f>
        <v/>
      </c>
      <c r="W614" s="8" t="str">
        <f aca="false">IF($A614="","",$A614&amp;"#"&amp;COUNTIF($A$4:$A614,$A614))</f>
        <v/>
      </c>
    </row>
    <row r="615" customFormat="false" ht="16.5" hidden="false" customHeight="false" outlineLevel="0" collapsed="false">
      <c r="A615" s="44" t="str">
        <f aca="false">IF($C615="","",IFERROR(VLOOKUP($C615,目录!$B:$C,2,0)&amp;"","⚠目录里没有"))</f>
        <v/>
      </c>
      <c r="B615" s="45" t="str">
        <f aca="false">IF($D615="","",IFERROR(MID($D615,FIND(".",$D615)+1,FIND(".",$D615,FIND(".",$D615)+1)-FIND(".",$D615)-1)&amp;"月",""))</f>
        <v/>
      </c>
      <c r="C615" s="46"/>
      <c r="D615" s="47"/>
      <c r="E615" s="47"/>
      <c r="F615" s="49"/>
      <c r="G615" s="50"/>
      <c r="H615" s="24"/>
      <c r="I615" s="24" t="str">
        <f aca="false">IF($H615="","",N($H615)*N($G615))</f>
        <v/>
      </c>
      <c r="J615" s="25" t="str">
        <f aca="false">IF($H615="","",N($H615)-N($I615))</f>
        <v/>
      </c>
      <c r="K615" s="25"/>
      <c r="L615" s="25" t="str">
        <f aca="false">IF($A615="","",SUMIF($A$4:$A615,$A615,$J$4:$J615)-SUMIF($A$4:$A615,$A615,$K$4:$K615))</f>
        <v/>
      </c>
      <c r="M615" s="26" t="str">
        <f aca="false">IF($H615="","",N($H615))</f>
        <v/>
      </c>
      <c r="N615" s="26"/>
      <c r="O615" s="26"/>
      <c r="P615" s="26" t="str">
        <f aca="false">IF($A615="","",SUMIF($A$4:$A615,$A615,$M$4:$M615)-SUMIF($A$4:$A615,$A615,$N$4:$N615)-SUMIF($A$4:$A615,$A615,$O$4:$O615))</f>
        <v/>
      </c>
      <c r="Q615" s="27"/>
      <c r="R615" s="28"/>
      <c r="S615" s="28"/>
      <c r="T615" s="28" t="str">
        <f aca="false">IF($A615="","",SUMIF($A$4:$A615,$A615,$Q$4:$Q615)-SUMIF($A$4:$A615,$A615,$R$4:$R615)-SUMIF($A$4:$A615,$A615,$S$4:$S615))</f>
        <v/>
      </c>
      <c r="U615" s="28"/>
      <c r="V615" s="29" t="str">
        <f aca="false">IF(AND($C615="",COUNTA($D615:$H615,$K615,$N615:$O615,$Q615:$S615,$U615)=0),"",IF($C615="","⚠ 没填项目名称",IF($A615="⚠目录里没有","⚠ 项目名称在目录里找不到（先加到目录）",IF($A615="","⚠ 目录里这个项目没填简称",IF(ISTEXT($G615)+ISTEXT($H615)+ISTEXT($K615)+ISTEXT($N615)+ISTEXT($O615)+ISTEXT($Q615)+ISTEXT($R615)+ISTEXT($S615)&gt;0,"⚠ 金额列里有文字，算不进合计",IF(N($G615)&gt;=1,"⚠ 管理费点要填百分比，如 10%",IF(AND($D615&lt;&gt;"",$B615=""),"△ 摘要开头没写日期（如 2026.9.21），月份取不到",IF(AND(N($H615)&lt;&gt;0,COUNTIFS($A$4:$A$1003,$A615,$H$4:$H$1003,$H615,$D$4:$D$1003,LEFT($D615,9)&amp;"*")&gt;1),"△ 同一天同项目有一样的销售金额，看看是不是录重了","✓"))))))))</f>
        <v/>
      </c>
      <c r="W615" s="8" t="str">
        <f aca="false">IF($A615="","",$A615&amp;"#"&amp;COUNTIF($A$4:$A615,$A615))</f>
        <v/>
      </c>
    </row>
    <row r="616" customFormat="false" ht="16.5" hidden="false" customHeight="false" outlineLevel="0" collapsed="false">
      <c r="A616" s="44" t="str">
        <f aca="false">IF($C616="","",IFERROR(VLOOKUP($C616,目录!$B:$C,2,0)&amp;"","⚠目录里没有"))</f>
        <v/>
      </c>
      <c r="B616" s="45" t="str">
        <f aca="false">IF($D616="","",IFERROR(MID($D616,FIND(".",$D616)+1,FIND(".",$D616,FIND(".",$D616)+1)-FIND(".",$D616)-1)&amp;"月",""))</f>
        <v/>
      </c>
      <c r="C616" s="46"/>
      <c r="D616" s="47"/>
      <c r="E616" s="47"/>
      <c r="F616" s="49"/>
      <c r="G616" s="50"/>
      <c r="H616" s="24"/>
      <c r="I616" s="24" t="str">
        <f aca="false">IF($H616="","",N($H616)*N($G616))</f>
        <v/>
      </c>
      <c r="J616" s="25" t="str">
        <f aca="false">IF($H616="","",N($H616)-N($I616))</f>
        <v/>
      </c>
      <c r="K616" s="25"/>
      <c r="L616" s="25" t="str">
        <f aca="false">IF($A616="","",SUMIF($A$4:$A616,$A616,$J$4:$J616)-SUMIF($A$4:$A616,$A616,$K$4:$K616))</f>
        <v/>
      </c>
      <c r="M616" s="26" t="str">
        <f aca="false">IF($H616="","",N($H616))</f>
        <v/>
      </c>
      <c r="N616" s="26"/>
      <c r="O616" s="26"/>
      <c r="P616" s="26" t="str">
        <f aca="false">IF($A616="","",SUMIF($A$4:$A616,$A616,$M$4:$M616)-SUMIF($A$4:$A616,$A616,$N$4:$N616)-SUMIF($A$4:$A616,$A616,$O$4:$O616))</f>
        <v/>
      </c>
      <c r="Q616" s="27"/>
      <c r="R616" s="28"/>
      <c r="S616" s="28"/>
      <c r="T616" s="28" t="str">
        <f aca="false">IF($A616="","",SUMIF($A$4:$A616,$A616,$Q$4:$Q616)-SUMIF($A$4:$A616,$A616,$R$4:$R616)-SUMIF($A$4:$A616,$A616,$S$4:$S616))</f>
        <v/>
      </c>
      <c r="U616" s="28"/>
      <c r="V616" s="29" t="str">
        <f aca="false">IF(AND($C616="",COUNTA($D616:$H616,$K616,$N616:$O616,$Q616:$S616,$U616)=0),"",IF($C616="","⚠ 没填项目名称",IF($A616="⚠目录里没有","⚠ 项目名称在目录里找不到（先加到目录）",IF($A616="","⚠ 目录里这个项目没填简称",IF(ISTEXT($G616)+ISTEXT($H616)+ISTEXT($K616)+ISTEXT($N616)+ISTEXT($O616)+ISTEXT($Q616)+ISTEXT($R616)+ISTEXT($S616)&gt;0,"⚠ 金额列里有文字，算不进合计",IF(N($G616)&gt;=1,"⚠ 管理费点要填百分比，如 10%",IF(AND($D616&lt;&gt;"",$B616=""),"△ 摘要开头没写日期（如 2026.9.21），月份取不到",IF(AND(N($H616)&lt;&gt;0,COUNTIFS($A$4:$A$1003,$A616,$H$4:$H$1003,$H616,$D$4:$D$1003,LEFT($D616,9)&amp;"*")&gt;1),"△ 同一天同项目有一样的销售金额，看看是不是录重了","✓"))))))))</f>
        <v/>
      </c>
      <c r="W616" s="8" t="str">
        <f aca="false">IF($A616="","",$A616&amp;"#"&amp;COUNTIF($A$4:$A616,$A616))</f>
        <v/>
      </c>
    </row>
    <row r="617" customFormat="false" ht="16.5" hidden="false" customHeight="false" outlineLevel="0" collapsed="false">
      <c r="A617" s="44" t="str">
        <f aca="false">IF($C617="","",IFERROR(VLOOKUP($C617,目录!$B:$C,2,0)&amp;"","⚠目录里没有"))</f>
        <v/>
      </c>
      <c r="B617" s="45" t="str">
        <f aca="false">IF($D617="","",IFERROR(MID($D617,FIND(".",$D617)+1,FIND(".",$D617,FIND(".",$D617)+1)-FIND(".",$D617)-1)&amp;"月",""))</f>
        <v/>
      </c>
      <c r="C617" s="46"/>
      <c r="D617" s="47"/>
      <c r="E617" s="47"/>
      <c r="F617" s="49"/>
      <c r="G617" s="50"/>
      <c r="H617" s="24"/>
      <c r="I617" s="24" t="str">
        <f aca="false">IF($H617="","",N($H617)*N($G617))</f>
        <v/>
      </c>
      <c r="J617" s="25" t="str">
        <f aca="false">IF($H617="","",N($H617)-N($I617))</f>
        <v/>
      </c>
      <c r="K617" s="25"/>
      <c r="L617" s="25" t="str">
        <f aca="false">IF($A617="","",SUMIF($A$4:$A617,$A617,$J$4:$J617)-SUMIF($A$4:$A617,$A617,$K$4:$K617))</f>
        <v/>
      </c>
      <c r="M617" s="26" t="str">
        <f aca="false">IF($H617="","",N($H617))</f>
        <v/>
      </c>
      <c r="N617" s="26"/>
      <c r="O617" s="26"/>
      <c r="P617" s="26" t="str">
        <f aca="false">IF($A617="","",SUMIF($A$4:$A617,$A617,$M$4:$M617)-SUMIF($A$4:$A617,$A617,$N$4:$N617)-SUMIF($A$4:$A617,$A617,$O$4:$O617))</f>
        <v/>
      </c>
      <c r="Q617" s="27"/>
      <c r="R617" s="28"/>
      <c r="S617" s="28"/>
      <c r="T617" s="28" t="str">
        <f aca="false">IF($A617="","",SUMIF($A$4:$A617,$A617,$Q$4:$Q617)-SUMIF($A$4:$A617,$A617,$R$4:$R617)-SUMIF($A$4:$A617,$A617,$S$4:$S617))</f>
        <v/>
      </c>
      <c r="U617" s="28"/>
      <c r="V617" s="29" t="str">
        <f aca="false">IF(AND($C617="",COUNTA($D617:$H617,$K617,$N617:$O617,$Q617:$S617,$U617)=0),"",IF($C617="","⚠ 没填项目名称",IF($A617="⚠目录里没有","⚠ 项目名称在目录里找不到（先加到目录）",IF($A617="","⚠ 目录里这个项目没填简称",IF(ISTEXT($G617)+ISTEXT($H617)+ISTEXT($K617)+ISTEXT($N617)+ISTEXT($O617)+ISTEXT($Q617)+ISTEXT($R617)+ISTEXT($S617)&gt;0,"⚠ 金额列里有文字，算不进合计",IF(N($G617)&gt;=1,"⚠ 管理费点要填百分比，如 10%",IF(AND($D617&lt;&gt;"",$B617=""),"△ 摘要开头没写日期（如 2026.9.21），月份取不到",IF(AND(N($H617)&lt;&gt;0,COUNTIFS($A$4:$A$1003,$A617,$H$4:$H$1003,$H617,$D$4:$D$1003,LEFT($D617,9)&amp;"*")&gt;1),"△ 同一天同项目有一样的销售金额，看看是不是录重了","✓"))))))))</f>
        <v/>
      </c>
      <c r="W617" s="8" t="str">
        <f aca="false">IF($A617="","",$A617&amp;"#"&amp;COUNTIF($A$4:$A617,$A617))</f>
        <v/>
      </c>
    </row>
    <row r="618" customFormat="false" ht="16.5" hidden="false" customHeight="false" outlineLevel="0" collapsed="false">
      <c r="A618" s="44" t="str">
        <f aca="false">IF($C618="","",IFERROR(VLOOKUP($C618,目录!$B:$C,2,0)&amp;"","⚠目录里没有"))</f>
        <v/>
      </c>
      <c r="B618" s="45" t="str">
        <f aca="false">IF($D618="","",IFERROR(MID($D618,FIND(".",$D618)+1,FIND(".",$D618,FIND(".",$D618)+1)-FIND(".",$D618)-1)&amp;"月",""))</f>
        <v/>
      </c>
      <c r="C618" s="46"/>
      <c r="D618" s="47"/>
      <c r="E618" s="47"/>
      <c r="F618" s="49"/>
      <c r="G618" s="50"/>
      <c r="H618" s="24"/>
      <c r="I618" s="24" t="str">
        <f aca="false">IF($H618="","",N($H618)*N($G618))</f>
        <v/>
      </c>
      <c r="J618" s="25" t="str">
        <f aca="false">IF($H618="","",N($H618)-N($I618))</f>
        <v/>
      </c>
      <c r="K618" s="25"/>
      <c r="L618" s="25" t="str">
        <f aca="false">IF($A618="","",SUMIF($A$4:$A618,$A618,$J$4:$J618)-SUMIF($A$4:$A618,$A618,$K$4:$K618))</f>
        <v/>
      </c>
      <c r="M618" s="26" t="str">
        <f aca="false">IF($H618="","",N($H618))</f>
        <v/>
      </c>
      <c r="N618" s="26"/>
      <c r="O618" s="26"/>
      <c r="P618" s="26" t="str">
        <f aca="false">IF($A618="","",SUMIF($A$4:$A618,$A618,$M$4:$M618)-SUMIF($A$4:$A618,$A618,$N$4:$N618)-SUMIF($A$4:$A618,$A618,$O$4:$O618))</f>
        <v/>
      </c>
      <c r="Q618" s="27"/>
      <c r="R618" s="28"/>
      <c r="S618" s="28"/>
      <c r="T618" s="28" t="str">
        <f aca="false">IF($A618="","",SUMIF($A$4:$A618,$A618,$Q$4:$Q618)-SUMIF($A$4:$A618,$A618,$R$4:$R618)-SUMIF($A$4:$A618,$A618,$S$4:$S618))</f>
        <v/>
      </c>
      <c r="U618" s="28"/>
      <c r="V618" s="29" t="str">
        <f aca="false">IF(AND($C618="",COUNTA($D618:$H618,$K618,$N618:$O618,$Q618:$S618,$U618)=0),"",IF($C618="","⚠ 没填项目名称",IF($A618="⚠目录里没有","⚠ 项目名称在目录里找不到（先加到目录）",IF($A618="","⚠ 目录里这个项目没填简称",IF(ISTEXT($G618)+ISTEXT($H618)+ISTEXT($K618)+ISTEXT($N618)+ISTEXT($O618)+ISTEXT($Q618)+ISTEXT($R618)+ISTEXT($S618)&gt;0,"⚠ 金额列里有文字，算不进合计",IF(N($G618)&gt;=1,"⚠ 管理费点要填百分比，如 10%",IF(AND($D618&lt;&gt;"",$B618=""),"△ 摘要开头没写日期（如 2026.9.21），月份取不到",IF(AND(N($H618)&lt;&gt;0,COUNTIFS($A$4:$A$1003,$A618,$H$4:$H$1003,$H618,$D$4:$D$1003,LEFT($D618,9)&amp;"*")&gt;1),"△ 同一天同项目有一样的销售金额，看看是不是录重了","✓"))))))))</f>
        <v/>
      </c>
      <c r="W618" s="8" t="str">
        <f aca="false">IF($A618="","",$A618&amp;"#"&amp;COUNTIF($A$4:$A618,$A618))</f>
        <v/>
      </c>
    </row>
    <row r="619" customFormat="false" ht="16.5" hidden="false" customHeight="false" outlineLevel="0" collapsed="false">
      <c r="A619" s="44" t="str">
        <f aca="false">IF($C619="","",IFERROR(VLOOKUP($C619,目录!$B:$C,2,0)&amp;"","⚠目录里没有"))</f>
        <v/>
      </c>
      <c r="B619" s="45" t="str">
        <f aca="false">IF($D619="","",IFERROR(MID($D619,FIND(".",$D619)+1,FIND(".",$D619,FIND(".",$D619)+1)-FIND(".",$D619)-1)&amp;"月",""))</f>
        <v/>
      </c>
      <c r="C619" s="46"/>
      <c r="D619" s="47"/>
      <c r="E619" s="47"/>
      <c r="F619" s="49"/>
      <c r="G619" s="50"/>
      <c r="H619" s="24"/>
      <c r="I619" s="24" t="str">
        <f aca="false">IF($H619="","",N($H619)*N($G619))</f>
        <v/>
      </c>
      <c r="J619" s="25" t="str">
        <f aca="false">IF($H619="","",N($H619)-N($I619))</f>
        <v/>
      </c>
      <c r="K619" s="25"/>
      <c r="L619" s="25" t="str">
        <f aca="false">IF($A619="","",SUMIF($A$4:$A619,$A619,$J$4:$J619)-SUMIF($A$4:$A619,$A619,$K$4:$K619))</f>
        <v/>
      </c>
      <c r="M619" s="26" t="str">
        <f aca="false">IF($H619="","",N($H619))</f>
        <v/>
      </c>
      <c r="N619" s="26"/>
      <c r="O619" s="26"/>
      <c r="P619" s="26" t="str">
        <f aca="false">IF($A619="","",SUMIF($A$4:$A619,$A619,$M$4:$M619)-SUMIF($A$4:$A619,$A619,$N$4:$N619)-SUMIF($A$4:$A619,$A619,$O$4:$O619))</f>
        <v/>
      </c>
      <c r="Q619" s="27"/>
      <c r="R619" s="28"/>
      <c r="S619" s="28"/>
      <c r="T619" s="28" t="str">
        <f aca="false">IF($A619="","",SUMIF($A$4:$A619,$A619,$Q$4:$Q619)-SUMIF($A$4:$A619,$A619,$R$4:$R619)-SUMIF($A$4:$A619,$A619,$S$4:$S619))</f>
        <v/>
      </c>
      <c r="U619" s="28"/>
      <c r="V619" s="29" t="str">
        <f aca="false">IF(AND($C619="",COUNTA($D619:$H619,$K619,$N619:$O619,$Q619:$S619,$U619)=0),"",IF($C619="","⚠ 没填项目名称",IF($A619="⚠目录里没有","⚠ 项目名称在目录里找不到（先加到目录）",IF($A619="","⚠ 目录里这个项目没填简称",IF(ISTEXT($G619)+ISTEXT($H619)+ISTEXT($K619)+ISTEXT($N619)+ISTEXT($O619)+ISTEXT($Q619)+ISTEXT($R619)+ISTEXT($S619)&gt;0,"⚠ 金额列里有文字，算不进合计",IF(N($G619)&gt;=1,"⚠ 管理费点要填百分比，如 10%",IF(AND($D619&lt;&gt;"",$B619=""),"△ 摘要开头没写日期（如 2026.9.21），月份取不到",IF(AND(N($H619)&lt;&gt;0,COUNTIFS($A$4:$A$1003,$A619,$H$4:$H$1003,$H619,$D$4:$D$1003,LEFT($D619,9)&amp;"*")&gt;1),"△ 同一天同项目有一样的销售金额，看看是不是录重了","✓"))))))))</f>
        <v/>
      </c>
      <c r="W619" s="8" t="str">
        <f aca="false">IF($A619="","",$A619&amp;"#"&amp;COUNTIF($A$4:$A619,$A619))</f>
        <v/>
      </c>
    </row>
    <row r="620" customFormat="false" ht="16.5" hidden="false" customHeight="false" outlineLevel="0" collapsed="false">
      <c r="A620" s="44" t="str">
        <f aca="false">IF($C620="","",IFERROR(VLOOKUP($C620,目录!$B:$C,2,0)&amp;"","⚠目录里没有"))</f>
        <v/>
      </c>
      <c r="B620" s="45" t="str">
        <f aca="false">IF($D620="","",IFERROR(MID($D620,FIND(".",$D620)+1,FIND(".",$D620,FIND(".",$D620)+1)-FIND(".",$D620)-1)&amp;"月",""))</f>
        <v/>
      </c>
      <c r="C620" s="46"/>
      <c r="D620" s="47"/>
      <c r="E620" s="47"/>
      <c r="F620" s="49"/>
      <c r="G620" s="50"/>
      <c r="H620" s="24"/>
      <c r="I620" s="24" t="str">
        <f aca="false">IF($H620="","",N($H620)*N($G620))</f>
        <v/>
      </c>
      <c r="J620" s="25" t="str">
        <f aca="false">IF($H620="","",N($H620)-N($I620))</f>
        <v/>
      </c>
      <c r="K620" s="25"/>
      <c r="L620" s="25" t="str">
        <f aca="false">IF($A620="","",SUMIF($A$4:$A620,$A620,$J$4:$J620)-SUMIF($A$4:$A620,$A620,$K$4:$K620))</f>
        <v/>
      </c>
      <c r="M620" s="26" t="str">
        <f aca="false">IF($H620="","",N($H620))</f>
        <v/>
      </c>
      <c r="N620" s="26"/>
      <c r="O620" s="26"/>
      <c r="P620" s="26" t="str">
        <f aca="false">IF($A620="","",SUMIF($A$4:$A620,$A620,$M$4:$M620)-SUMIF($A$4:$A620,$A620,$N$4:$N620)-SUMIF($A$4:$A620,$A620,$O$4:$O620))</f>
        <v/>
      </c>
      <c r="Q620" s="27"/>
      <c r="R620" s="28"/>
      <c r="S620" s="28"/>
      <c r="T620" s="28" t="str">
        <f aca="false">IF($A620="","",SUMIF($A$4:$A620,$A620,$Q$4:$Q620)-SUMIF($A$4:$A620,$A620,$R$4:$R620)-SUMIF($A$4:$A620,$A620,$S$4:$S620))</f>
        <v/>
      </c>
      <c r="U620" s="28"/>
      <c r="V620" s="29" t="str">
        <f aca="false">IF(AND($C620="",COUNTA($D620:$H620,$K620,$N620:$O620,$Q620:$S620,$U620)=0),"",IF($C620="","⚠ 没填项目名称",IF($A620="⚠目录里没有","⚠ 项目名称在目录里找不到（先加到目录）",IF($A620="","⚠ 目录里这个项目没填简称",IF(ISTEXT($G620)+ISTEXT($H620)+ISTEXT($K620)+ISTEXT($N620)+ISTEXT($O620)+ISTEXT($Q620)+ISTEXT($R620)+ISTEXT($S620)&gt;0,"⚠ 金额列里有文字，算不进合计",IF(N($G620)&gt;=1,"⚠ 管理费点要填百分比，如 10%",IF(AND($D620&lt;&gt;"",$B620=""),"△ 摘要开头没写日期（如 2026.9.21），月份取不到",IF(AND(N($H620)&lt;&gt;0,COUNTIFS($A$4:$A$1003,$A620,$H$4:$H$1003,$H620,$D$4:$D$1003,LEFT($D620,9)&amp;"*")&gt;1),"△ 同一天同项目有一样的销售金额，看看是不是录重了","✓"))))))))</f>
        <v/>
      </c>
      <c r="W620" s="8" t="str">
        <f aca="false">IF($A620="","",$A620&amp;"#"&amp;COUNTIF($A$4:$A620,$A620))</f>
        <v/>
      </c>
    </row>
    <row r="621" customFormat="false" ht="16.5" hidden="false" customHeight="false" outlineLevel="0" collapsed="false">
      <c r="A621" s="44" t="str">
        <f aca="false">IF($C621="","",IFERROR(VLOOKUP($C621,目录!$B:$C,2,0)&amp;"","⚠目录里没有"))</f>
        <v/>
      </c>
      <c r="B621" s="45" t="str">
        <f aca="false">IF($D621="","",IFERROR(MID($D621,FIND(".",$D621)+1,FIND(".",$D621,FIND(".",$D621)+1)-FIND(".",$D621)-1)&amp;"月",""))</f>
        <v/>
      </c>
      <c r="C621" s="46"/>
      <c r="D621" s="47"/>
      <c r="E621" s="47"/>
      <c r="F621" s="49"/>
      <c r="G621" s="50"/>
      <c r="H621" s="24"/>
      <c r="I621" s="24" t="str">
        <f aca="false">IF($H621="","",N($H621)*N($G621))</f>
        <v/>
      </c>
      <c r="J621" s="25" t="str">
        <f aca="false">IF($H621="","",N($H621)-N($I621))</f>
        <v/>
      </c>
      <c r="K621" s="25"/>
      <c r="L621" s="25" t="str">
        <f aca="false">IF($A621="","",SUMIF($A$4:$A621,$A621,$J$4:$J621)-SUMIF($A$4:$A621,$A621,$K$4:$K621))</f>
        <v/>
      </c>
      <c r="M621" s="26" t="str">
        <f aca="false">IF($H621="","",N($H621))</f>
        <v/>
      </c>
      <c r="N621" s="26"/>
      <c r="O621" s="26"/>
      <c r="P621" s="26" t="str">
        <f aca="false">IF($A621="","",SUMIF($A$4:$A621,$A621,$M$4:$M621)-SUMIF($A$4:$A621,$A621,$N$4:$N621)-SUMIF($A$4:$A621,$A621,$O$4:$O621))</f>
        <v/>
      </c>
      <c r="Q621" s="27"/>
      <c r="R621" s="28"/>
      <c r="S621" s="28"/>
      <c r="T621" s="28" t="str">
        <f aca="false">IF($A621="","",SUMIF($A$4:$A621,$A621,$Q$4:$Q621)-SUMIF($A$4:$A621,$A621,$R$4:$R621)-SUMIF($A$4:$A621,$A621,$S$4:$S621))</f>
        <v/>
      </c>
      <c r="U621" s="28"/>
      <c r="V621" s="29" t="str">
        <f aca="false">IF(AND($C621="",COUNTA($D621:$H621,$K621,$N621:$O621,$Q621:$S621,$U621)=0),"",IF($C621="","⚠ 没填项目名称",IF($A621="⚠目录里没有","⚠ 项目名称在目录里找不到（先加到目录）",IF($A621="","⚠ 目录里这个项目没填简称",IF(ISTEXT($G621)+ISTEXT($H621)+ISTEXT($K621)+ISTEXT($N621)+ISTEXT($O621)+ISTEXT($Q621)+ISTEXT($R621)+ISTEXT($S621)&gt;0,"⚠ 金额列里有文字，算不进合计",IF(N($G621)&gt;=1,"⚠ 管理费点要填百分比，如 10%",IF(AND($D621&lt;&gt;"",$B621=""),"△ 摘要开头没写日期（如 2026.9.21），月份取不到",IF(AND(N($H621)&lt;&gt;0,COUNTIFS($A$4:$A$1003,$A621,$H$4:$H$1003,$H621,$D$4:$D$1003,LEFT($D621,9)&amp;"*")&gt;1),"△ 同一天同项目有一样的销售金额，看看是不是录重了","✓"))))))))</f>
        <v/>
      </c>
      <c r="W621" s="8" t="str">
        <f aca="false">IF($A621="","",$A621&amp;"#"&amp;COUNTIF($A$4:$A621,$A621))</f>
        <v/>
      </c>
    </row>
    <row r="622" customFormat="false" ht="16.5" hidden="false" customHeight="false" outlineLevel="0" collapsed="false">
      <c r="A622" s="44" t="str">
        <f aca="false">IF($C622="","",IFERROR(VLOOKUP($C622,目录!$B:$C,2,0)&amp;"","⚠目录里没有"))</f>
        <v/>
      </c>
      <c r="B622" s="45" t="str">
        <f aca="false">IF($D622="","",IFERROR(MID($D622,FIND(".",$D622)+1,FIND(".",$D622,FIND(".",$D622)+1)-FIND(".",$D622)-1)&amp;"月",""))</f>
        <v/>
      </c>
      <c r="C622" s="46"/>
      <c r="D622" s="47"/>
      <c r="E622" s="47"/>
      <c r="F622" s="49"/>
      <c r="G622" s="50"/>
      <c r="H622" s="24"/>
      <c r="I622" s="24" t="str">
        <f aca="false">IF($H622="","",N($H622)*N($G622))</f>
        <v/>
      </c>
      <c r="J622" s="25" t="str">
        <f aca="false">IF($H622="","",N($H622)-N($I622))</f>
        <v/>
      </c>
      <c r="K622" s="25"/>
      <c r="L622" s="25" t="str">
        <f aca="false">IF($A622="","",SUMIF($A$4:$A622,$A622,$J$4:$J622)-SUMIF($A$4:$A622,$A622,$K$4:$K622))</f>
        <v/>
      </c>
      <c r="M622" s="26" t="str">
        <f aca="false">IF($H622="","",N($H622))</f>
        <v/>
      </c>
      <c r="N622" s="26"/>
      <c r="O622" s="26"/>
      <c r="P622" s="26" t="str">
        <f aca="false">IF($A622="","",SUMIF($A$4:$A622,$A622,$M$4:$M622)-SUMIF($A$4:$A622,$A622,$N$4:$N622)-SUMIF($A$4:$A622,$A622,$O$4:$O622))</f>
        <v/>
      </c>
      <c r="Q622" s="27"/>
      <c r="R622" s="28"/>
      <c r="S622" s="28"/>
      <c r="T622" s="28" t="str">
        <f aca="false">IF($A622="","",SUMIF($A$4:$A622,$A622,$Q$4:$Q622)-SUMIF($A$4:$A622,$A622,$R$4:$R622)-SUMIF($A$4:$A622,$A622,$S$4:$S622))</f>
        <v/>
      </c>
      <c r="U622" s="28"/>
      <c r="V622" s="29" t="str">
        <f aca="false">IF(AND($C622="",COUNTA($D622:$H622,$K622,$N622:$O622,$Q622:$S622,$U622)=0),"",IF($C622="","⚠ 没填项目名称",IF($A622="⚠目录里没有","⚠ 项目名称在目录里找不到（先加到目录）",IF($A622="","⚠ 目录里这个项目没填简称",IF(ISTEXT($G622)+ISTEXT($H622)+ISTEXT($K622)+ISTEXT($N622)+ISTEXT($O622)+ISTEXT($Q622)+ISTEXT($R622)+ISTEXT($S622)&gt;0,"⚠ 金额列里有文字，算不进合计",IF(N($G622)&gt;=1,"⚠ 管理费点要填百分比，如 10%",IF(AND($D622&lt;&gt;"",$B622=""),"△ 摘要开头没写日期（如 2026.9.21），月份取不到",IF(AND(N($H622)&lt;&gt;0,COUNTIFS($A$4:$A$1003,$A622,$H$4:$H$1003,$H622,$D$4:$D$1003,LEFT($D622,9)&amp;"*")&gt;1),"△ 同一天同项目有一样的销售金额，看看是不是录重了","✓"))))))))</f>
        <v/>
      </c>
      <c r="W622" s="8" t="str">
        <f aca="false">IF($A622="","",$A622&amp;"#"&amp;COUNTIF($A$4:$A622,$A622))</f>
        <v/>
      </c>
    </row>
    <row r="623" customFormat="false" ht="16.5" hidden="false" customHeight="false" outlineLevel="0" collapsed="false">
      <c r="A623" s="44" t="str">
        <f aca="false">IF($C623="","",IFERROR(VLOOKUP($C623,目录!$B:$C,2,0)&amp;"","⚠目录里没有"))</f>
        <v/>
      </c>
      <c r="B623" s="45" t="str">
        <f aca="false">IF($D623="","",IFERROR(MID($D623,FIND(".",$D623)+1,FIND(".",$D623,FIND(".",$D623)+1)-FIND(".",$D623)-1)&amp;"月",""))</f>
        <v/>
      </c>
      <c r="C623" s="46"/>
      <c r="D623" s="47"/>
      <c r="E623" s="47"/>
      <c r="F623" s="49"/>
      <c r="G623" s="50"/>
      <c r="H623" s="24"/>
      <c r="I623" s="24" t="str">
        <f aca="false">IF($H623="","",N($H623)*N($G623))</f>
        <v/>
      </c>
      <c r="J623" s="25" t="str">
        <f aca="false">IF($H623="","",N($H623)-N($I623))</f>
        <v/>
      </c>
      <c r="K623" s="25"/>
      <c r="L623" s="25" t="str">
        <f aca="false">IF($A623="","",SUMIF($A$4:$A623,$A623,$J$4:$J623)-SUMIF($A$4:$A623,$A623,$K$4:$K623))</f>
        <v/>
      </c>
      <c r="M623" s="26" t="str">
        <f aca="false">IF($H623="","",N($H623))</f>
        <v/>
      </c>
      <c r="N623" s="26"/>
      <c r="O623" s="26"/>
      <c r="P623" s="26" t="str">
        <f aca="false">IF($A623="","",SUMIF($A$4:$A623,$A623,$M$4:$M623)-SUMIF($A$4:$A623,$A623,$N$4:$N623)-SUMIF($A$4:$A623,$A623,$O$4:$O623))</f>
        <v/>
      </c>
      <c r="Q623" s="27"/>
      <c r="R623" s="28"/>
      <c r="S623" s="28"/>
      <c r="T623" s="28" t="str">
        <f aca="false">IF($A623="","",SUMIF($A$4:$A623,$A623,$Q$4:$Q623)-SUMIF($A$4:$A623,$A623,$R$4:$R623)-SUMIF($A$4:$A623,$A623,$S$4:$S623))</f>
        <v/>
      </c>
      <c r="U623" s="28"/>
      <c r="V623" s="29" t="str">
        <f aca="false">IF(AND($C623="",COUNTA($D623:$H623,$K623,$N623:$O623,$Q623:$S623,$U623)=0),"",IF($C623="","⚠ 没填项目名称",IF($A623="⚠目录里没有","⚠ 项目名称在目录里找不到（先加到目录）",IF($A623="","⚠ 目录里这个项目没填简称",IF(ISTEXT($G623)+ISTEXT($H623)+ISTEXT($K623)+ISTEXT($N623)+ISTEXT($O623)+ISTEXT($Q623)+ISTEXT($R623)+ISTEXT($S623)&gt;0,"⚠ 金额列里有文字，算不进合计",IF(N($G623)&gt;=1,"⚠ 管理费点要填百分比，如 10%",IF(AND($D623&lt;&gt;"",$B623=""),"△ 摘要开头没写日期（如 2026.9.21），月份取不到",IF(AND(N($H623)&lt;&gt;0,COUNTIFS($A$4:$A$1003,$A623,$H$4:$H$1003,$H623,$D$4:$D$1003,LEFT($D623,9)&amp;"*")&gt;1),"△ 同一天同项目有一样的销售金额，看看是不是录重了","✓"))))))))</f>
        <v/>
      </c>
      <c r="W623" s="8" t="str">
        <f aca="false">IF($A623="","",$A623&amp;"#"&amp;COUNTIF($A$4:$A623,$A623))</f>
        <v/>
      </c>
    </row>
    <row r="624" customFormat="false" ht="16.5" hidden="false" customHeight="false" outlineLevel="0" collapsed="false">
      <c r="A624" s="44" t="str">
        <f aca="false">IF($C624="","",IFERROR(VLOOKUP($C624,目录!$B:$C,2,0)&amp;"","⚠目录里没有"))</f>
        <v/>
      </c>
      <c r="B624" s="45" t="str">
        <f aca="false">IF($D624="","",IFERROR(MID($D624,FIND(".",$D624)+1,FIND(".",$D624,FIND(".",$D624)+1)-FIND(".",$D624)-1)&amp;"月",""))</f>
        <v/>
      </c>
      <c r="C624" s="46"/>
      <c r="D624" s="47"/>
      <c r="E624" s="47"/>
      <c r="F624" s="49"/>
      <c r="G624" s="50"/>
      <c r="H624" s="24"/>
      <c r="I624" s="24" t="str">
        <f aca="false">IF($H624="","",N($H624)*N($G624))</f>
        <v/>
      </c>
      <c r="J624" s="25" t="str">
        <f aca="false">IF($H624="","",N($H624)-N($I624))</f>
        <v/>
      </c>
      <c r="K624" s="25"/>
      <c r="L624" s="25" t="str">
        <f aca="false">IF($A624="","",SUMIF($A$4:$A624,$A624,$J$4:$J624)-SUMIF($A$4:$A624,$A624,$K$4:$K624))</f>
        <v/>
      </c>
      <c r="M624" s="26" t="str">
        <f aca="false">IF($H624="","",N($H624))</f>
        <v/>
      </c>
      <c r="N624" s="26"/>
      <c r="O624" s="26"/>
      <c r="P624" s="26" t="str">
        <f aca="false">IF($A624="","",SUMIF($A$4:$A624,$A624,$M$4:$M624)-SUMIF($A$4:$A624,$A624,$N$4:$N624)-SUMIF($A$4:$A624,$A624,$O$4:$O624))</f>
        <v/>
      </c>
      <c r="Q624" s="27"/>
      <c r="R624" s="28"/>
      <c r="S624" s="28"/>
      <c r="T624" s="28" t="str">
        <f aca="false">IF($A624="","",SUMIF($A$4:$A624,$A624,$Q$4:$Q624)-SUMIF($A$4:$A624,$A624,$R$4:$R624)-SUMIF($A$4:$A624,$A624,$S$4:$S624))</f>
        <v/>
      </c>
      <c r="U624" s="28"/>
      <c r="V624" s="29" t="str">
        <f aca="false">IF(AND($C624="",COUNTA($D624:$H624,$K624,$N624:$O624,$Q624:$S624,$U624)=0),"",IF($C624="","⚠ 没填项目名称",IF($A624="⚠目录里没有","⚠ 项目名称在目录里找不到（先加到目录）",IF($A624="","⚠ 目录里这个项目没填简称",IF(ISTEXT($G624)+ISTEXT($H624)+ISTEXT($K624)+ISTEXT($N624)+ISTEXT($O624)+ISTEXT($Q624)+ISTEXT($R624)+ISTEXT($S624)&gt;0,"⚠ 金额列里有文字，算不进合计",IF(N($G624)&gt;=1,"⚠ 管理费点要填百分比，如 10%",IF(AND($D624&lt;&gt;"",$B624=""),"△ 摘要开头没写日期（如 2026.9.21），月份取不到",IF(AND(N($H624)&lt;&gt;0,COUNTIFS($A$4:$A$1003,$A624,$H$4:$H$1003,$H624,$D$4:$D$1003,LEFT($D624,9)&amp;"*")&gt;1),"△ 同一天同项目有一样的销售金额，看看是不是录重了","✓"))))))))</f>
        <v/>
      </c>
      <c r="W624" s="8" t="str">
        <f aca="false">IF($A624="","",$A624&amp;"#"&amp;COUNTIF($A$4:$A624,$A624))</f>
        <v/>
      </c>
    </row>
    <row r="625" customFormat="false" ht="16.5" hidden="false" customHeight="false" outlineLevel="0" collapsed="false">
      <c r="A625" s="44" t="str">
        <f aca="false">IF($C625="","",IFERROR(VLOOKUP($C625,目录!$B:$C,2,0)&amp;"","⚠目录里没有"))</f>
        <v/>
      </c>
      <c r="B625" s="45" t="str">
        <f aca="false">IF($D625="","",IFERROR(MID($D625,FIND(".",$D625)+1,FIND(".",$D625,FIND(".",$D625)+1)-FIND(".",$D625)-1)&amp;"月",""))</f>
        <v/>
      </c>
      <c r="C625" s="46"/>
      <c r="D625" s="47"/>
      <c r="E625" s="47"/>
      <c r="F625" s="49"/>
      <c r="G625" s="50"/>
      <c r="H625" s="24"/>
      <c r="I625" s="24" t="str">
        <f aca="false">IF($H625="","",N($H625)*N($G625))</f>
        <v/>
      </c>
      <c r="J625" s="25" t="str">
        <f aca="false">IF($H625="","",N($H625)-N($I625))</f>
        <v/>
      </c>
      <c r="K625" s="25"/>
      <c r="L625" s="25" t="str">
        <f aca="false">IF($A625="","",SUMIF($A$4:$A625,$A625,$J$4:$J625)-SUMIF($A$4:$A625,$A625,$K$4:$K625))</f>
        <v/>
      </c>
      <c r="M625" s="26" t="str">
        <f aca="false">IF($H625="","",N($H625))</f>
        <v/>
      </c>
      <c r="N625" s="26"/>
      <c r="O625" s="26"/>
      <c r="P625" s="26" t="str">
        <f aca="false">IF($A625="","",SUMIF($A$4:$A625,$A625,$M$4:$M625)-SUMIF($A$4:$A625,$A625,$N$4:$N625)-SUMIF($A$4:$A625,$A625,$O$4:$O625))</f>
        <v/>
      </c>
      <c r="Q625" s="27"/>
      <c r="R625" s="28"/>
      <c r="S625" s="28"/>
      <c r="T625" s="28" t="str">
        <f aca="false">IF($A625="","",SUMIF($A$4:$A625,$A625,$Q$4:$Q625)-SUMIF($A$4:$A625,$A625,$R$4:$R625)-SUMIF($A$4:$A625,$A625,$S$4:$S625))</f>
        <v/>
      </c>
      <c r="U625" s="28"/>
      <c r="V625" s="29" t="str">
        <f aca="false">IF(AND($C625="",COUNTA($D625:$H625,$K625,$N625:$O625,$Q625:$S625,$U625)=0),"",IF($C625="","⚠ 没填项目名称",IF($A625="⚠目录里没有","⚠ 项目名称在目录里找不到（先加到目录）",IF($A625="","⚠ 目录里这个项目没填简称",IF(ISTEXT($G625)+ISTEXT($H625)+ISTEXT($K625)+ISTEXT($N625)+ISTEXT($O625)+ISTEXT($Q625)+ISTEXT($R625)+ISTEXT($S625)&gt;0,"⚠ 金额列里有文字，算不进合计",IF(N($G625)&gt;=1,"⚠ 管理费点要填百分比，如 10%",IF(AND($D625&lt;&gt;"",$B625=""),"△ 摘要开头没写日期（如 2026.9.21），月份取不到",IF(AND(N($H625)&lt;&gt;0,COUNTIFS($A$4:$A$1003,$A625,$H$4:$H$1003,$H625,$D$4:$D$1003,LEFT($D625,9)&amp;"*")&gt;1),"△ 同一天同项目有一样的销售金额，看看是不是录重了","✓"))))))))</f>
        <v/>
      </c>
      <c r="W625" s="8" t="str">
        <f aca="false">IF($A625="","",$A625&amp;"#"&amp;COUNTIF($A$4:$A625,$A625))</f>
        <v/>
      </c>
    </row>
    <row r="626" customFormat="false" ht="16.5" hidden="false" customHeight="false" outlineLevel="0" collapsed="false">
      <c r="A626" s="44" t="str">
        <f aca="false">IF($C626="","",IFERROR(VLOOKUP($C626,目录!$B:$C,2,0)&amp;"","⚠目录里没有"))</f>
        <v/>
      </c>
      <c r="B626" s="45" t="str">
        <f aca="false">IF($D626="","",IFERROR(MID($D626,FIND(".",$D626)+1,FIND(".",$D626,FIND(".",$D626)+1)-FIND(".",$D626)-1)&amp;"月",""))</f>
        <v/>
      </c>
      <c r="C626" s="46"/>
      <c r="D626" s="47"/>
      <c r="E626" s="47"/>
      <c r="F626" s="49"/>
      <c r="G626" s="50"/>
      <c r="H626" s="24"/>
      <c r="I626" s="24" t="str">
        <f aca="false">IF($H626="","",N($H626)*N($G626))</f>
        <v/>
      </c>
      <c r="J626" s="25" t="str">
        <f aca="false">IF($H626="","",N($H626)-N($I626))</f>
        <v/>
      </c>
      <c r="K626" s="25"/>
      <c r="L626" s="25" t="str">
        <f aca="false">IF($A626="","",SUMIF($A$4:$A626,$A626,$J$4:$J626)-SUMIF($A$4:$A626,$A626,$K$4:$K626))</f>
        <v/>
      </c>
      <c r="M626" s="26" t="str">
        <f aca="false">IF($H626="","",N($H626))</f>
        <v/>
      </c>
      <c r="N626" s="26"/>
      <c r="O626" s="26"/>
      <c r="P626" s="26" t="str">
        <f aca="false">IF($A626="","",SUMIF($A$4:$A626,$A626,$M$4:$M626)-SUMIF($A$4:$A626,$A626,$N$4:$N626)-SUMIF($A$4:$A626,$A626,$O$4:$O626))</f>
        <v/>
      </c>
      <c r="Q626" s="27"/>
      <c r="R626" s="28"/>
      <c r="S626" s="28"/>
      <c r="T626" s="28" t="str">
        <f aca="false">IF($A626="","",SUMIF($A$4:$A626,$A626,$Q$4:$Q626)-SUMIF($A$4:$A626,$A626,$R$4:$R626)-SUMIF($A$4:$A626,$A626,$S$4:$S626))</f>
        <v/>
      </c>
      <c r="U626" s="28"/>
      <c r="V626" s="29" t="str">
        <f aca="false">IF(AND($C626="",COUNTA($D626:$H626,$K626,$N626:$O626,$Q626:$S626,$U626)=0),"",IF($C626="","⚠ 没填项目名称",IF($A626="⚠目录里没有","⚠ 项目名称在目录里找不到（先加到目录）",IF($A626="","⚠ 目录里这个项目没填简称",IF(ISTEXT($G626)+ISTEXT($H626)+ISTEXT($K626)+ISTEXT($N626)+ISTEXT($O626)+ISTEXT($Q626)+ISTEXT($R626)+ISTEXT($S626)&gt;0,"⚠ 金额列里有文字，算不进合计",IF(N($G626)&gt;=1,"⚠ 管理费点要填百分比，如 10%",IF(AND($D626&lt;&gt;"",$B626=""),"△ 摘要开头没写日期（如 2026.9.21），月份取不到",IF(AND(N($H626)&lt;&gt;0,COUNTIFS($A$4:$A$1003,$A626,$H$4:$H$1003,$H626,$D$4:$D$1003,LEFT($D626,9)&amp;"*")&gt;1),"△ 同一天同项目有一样的销售金额，看看是不是录重了","✓"))))))))</f>
        <v/>
      </c>
      <c r="W626" s="8" t="str">
        <f aca="false">IF($A626="","",$A626&amp;"#"&amp;COUNTIF($A$4:$A626,$A626))</f>
        <v/>
      </c>
    </row>
    <row r="627" customFormat="false" ht="16.5" hidden="false" customHeight="false" outlineLevel="0" collapsed="false">
      <c r="A627" s="44" t="str">
        <f aca="false">IF($C627="","",IFERROR(VLOOKUP($C627,目录!$B:$C,2,0)&amp;"","⚠目录里没有"))</f>
        <v/>
      </c>
      <c r="B627" s="45" t="str">
        <f aca="false">IF($D627="","",IFERROR(MID($D627,FIND(".",$D627)+1,FIND(".",$D627,FIND(".",$D627)+1)-FIND(".",$D627)-1)&amp;"月",""))</f>
        <v/>
      </c>
      <c r="C627" s="46"/>
      <c r="D627" s="47"/>
      <c r="E627" s="47"/>
      <c r="F627" s="49"/>
      <c r="G627" s="50"/>
      <c r="H627" s="24"/>
      <c r="I627" s="24" t="str">
        <f aca="false">IF($H627="","",N($H627)*N($G627))</f>
        <v/>
      </c>
      <c r="J627" s="25" t="str">
        <f aca="false">IF($H627="","",N($H627)-N($I627))</f>
        <v/>
      </c>
      <c r="K627" s="25"/>
      <c r="L627" s="25" t="str">
        <f aca="false">IF($A627="","",SUMIF($A$4:$A627,$A627,$J$4:$J627)-SUMIF($A$4:$A627,$A627,$K$4:$K627))</f>
        <v/>
      </c>
      <c r="M627" s="26" t="str">
        <f aca="false">IF($H627="","",N($H627))</f>
        <v/>
      </c>
      <c r="N627" s="26"/>
      <c r="O627" s="26"/>
      <c r="P627" s="26" t="str">
        <f aca="false">IF($A627="","",SUMIF($A$4:$A627,$A627,$M$4:$M627)-SUMIF($A$4:$A627,$A627,$N$4:$N627)-SUMIF($A$4:$A627,$A627,$O$4:$O627))</f>
        <v/>
      </c>
      <c r="Q627" s="27"/>
      <c r="R627" s="28"/>
      <c r="S627" s="28"/>
      <c r="T627" s="28" t="str">
        <f aca="false">IF($A627="","",SUMIF($A$4:$A627,$A627,$Q$4:$Q627)-SUMIF($A$4:$A627,$A627,$R$4:$R627)-SUMIF($A$4:$A627,$A627,$S$4:$S627))</f>
        <v/>
      </c>
      <c r="U627" s="28"/>
      <c r="V627" s="29" t="str">
        <f aca="false">IF(AND($C627="",COUNTA($D627:$H627,$K627,$N627:$O627,$Q627:$S627,$U627)=0),"",IF($C627="","⚠ 没填项目名称",IF($A627="⚠目录里没有","⚠ 项目名称在目录里找不到（先加到目录）",IF($A627="","⚠ 目录里这个项目没填简称",IF(ISTEXT($G627)+ISTEXT($H627)+ISTEXT($K627)+ISTEXT($N627)+ISTEXT($O627)+ISTEXT($Q627)+ISTEXT($R627)+ISTEXT($S627)&gt;0,"⚠ 金额列里有文字，算不进合计",IF(N($G627)&gt;=1,"⚠ 管理费点要填百分比，如 10%",IF(AND($D627&lt;&gt;"",$B627=""),"△ 摘要开头没写日期（如 2026.9.21），月份取不到",IF(AND(N($H627)&lt;&gt;0,COUNTIFS($A$4:$A$1003,$A627,$H$4:$H$1003,$H627,$D$4:$D$1003,LEFT($D627,9)&amp;"*")&gt;1),"△ 同一天同项目有一样的销售金额，看看是不是录重了","✓"))))))))</f>
        <v/>
      </c>
      <c r="W627" s="8" t="str">
        <f aca="false">IF($A627="","",$A627&amp;"#"&amp;COUNTIF($A$4:$A627,$A627))</f>
        <v/>
      </c>
    </row>
    <row r="628" customFormat="false" ht="16.5" hidden="false" customHeight="false" outlineLevel="0" collapsed="false">
      <c r="A628" s="44" t="str">
        <f aca="false">IF($C628="","",IFERROR(VLOOKUP($C628,目录!$B:$C,2,0)&amp;"","⚠目录里没有"))</f>
        <v/>
      </c>
      <c r="B628" s="45" t="str">
        <f aca="false">IF($D628="","",IFERROR(MID($D628,FIND(".",$D628)+1,FIND(".",$D628,FIND(".",$D628)+1)-FIND(".",$D628)-1)&amp;"月",""))</f>
        <v/>
      </c>
      <c r="C628" s="46"/>
      <c r="D628" s="47"/>
      <c r="E628" s="47"/>
      <c r="F628" s="49"/>
      <c r="G628" s="50"/>
      <c r="H628" s="24"/>
      <c r="I628" s="24" t="str">
        <f aca="false">IF($H628="","",N($H628)*N($G628))</f>
        <v/>
      </c>
      <c r="J628" s="25" t="str">
        <f aca="false">IF($H628="","",N($H628)-N($I628))</f>
        <v/>
      </c>
      <c r="K628" s="25"/>
      <c r="L628" s="25" t="str">
        <f aca="false">IF($A628="","",SUMIF($A$4:$A628,$A628,$J$4:$J628)-SUMIF($A$4:$A628,$A628,$K$4:$K628))</f>
        <v/>
      </c>
      <c r="M628" s="26" t="str">
        <f aca="false">IF($H628="","",N($H628))</f>
        <v/>
      </c>
      <c r="N628" s="26"/>
      <c r="O628" s="26"/>
      <c r="P628" s="26" t="str">
        <f aca="false">IF($A628="","",SUMIF($A$4:$A628,$A628,$M$4:$M628)-SUMIF($A$4:$A628,$A628,$N$4:$N628)-SUMIF($A$4:$A628,$A628,$O$4:$O628))</f>
        <v/>
      </c>
      <c r="Q628" s="27"/>
      <c r="R628" s="28"/>
      <c r="S628" s="28"/>
      <c r="T628" s="28" t="str">
        <f aca="false">IF($A628="","",SUMIF($A$4:$A628,$A628,$Q$4:$Q628)-SUMIF($A$4:$A628,$A628,$R$4:$R628)-SUMIF($A$4:$A628,$A628,$S$4:$S628))</f>
        <v/>
      </c>
      <c r="U628" s="28"/>
      <c r="V628" s="29" t="str">
        <f aca="false">IF(AND($C628="",COUNTA($D628:$H628,$K628,$N628:$O628,$Q628:$S628,$U628)=0),"",IF($C628="","⚠ 没填项目名称",IF($A628="⚠目录里没有","⚠ 项目名称在目录里找不到（先加到目录）",IF($A628="","⚠ 目录里这个项目没填简称",IF(ISTEXT($G628)+ISTEXT($H628)+ISTEXT($K628)+ISTEXT($N628)+ISTEXT($O628)+ISTEXT($Q628)+ISTEXT($R628)+ISTEXT($S628)&gt;0,"⚠ 金额列里有文字，算不进合计",IF(N($G628)&gt;=1,"⚠ 管理费点要填百分比，如 10%",IF(AND($D628&lt;&gt;"",$B628=""),"△ 摘要开头没写日期（如 2026.9.21），月份取不到",IF(AND(N($H628)&lt;&gt;0,COUNTIFS($A$4:$A$1003,$A628,$H$4:$H$1003,$H628,$D$4:$D$1003,LEFT($D628,9)&amp;"*")&gt;1),"△ 同一天同项目有一样的销售金额，看看是不是录重了","✓"))))))))</f>
        <v/>
      </c>
      <c r="W628" s="8" t="str">
        <f aca="false">IF($A628="","",$A628&amp;"#"&amp;COUNTIF($A$4:$A628,$A628))</f>
        <v/>
      </c>
    </row>
    <row r="629" customFormat="false" ht="16.5" hidden="false" customHeight="false" outlineLevel="0" collapsed="false">
      <c r="A629" s="44" t="str">
        <f aca="false">IF($C629="","",IFERROR(VLOOKUP($C629,目录!$B:$C,2,0)&amp;"","⚠目录里没有"))</f>
        <v/>
      </c>
      <c r="B629" s="45" t="str">
        <f aca="false">IF($D629="","",IFERROR(MID($D629,FIND(".",$D629)+1,FIND(".",$D629,FIND(".",$D629)+1)-FIND(".",$D629)-1)&amp;"月",""))</f>
        <v/>
      </c>
      <c r="C629" s="46"/>
      <c r="D629" s="47"/>
      <c r="E629" s="47"/>
      <c r="F629" s="49"/>
      <c r="G629" s="50"/>
      <c r="H629" s="24"/>
      <c r="I629" s="24" t="str">
        <f aca="false">IF($H629="","",N($H629)*N($G629))</f>
        <v/>
      </c>
      <c r="J629" s="25" t="str">
        <f aca="false">IF($H629="","",N($H629)-N($I629))</f>
        <v/>
      </c>
      <c r="K629" s="25"/>
      <c r="L629" s="25" t="str">
        <f aca="false">IF($A629="","",SUMIF($A$4:$A629,$A629,$J$4:$J629)-SUMIF($A$4:$A629,$A629,$K$4:$K629))</f>
        <v/>
      </c>
      <c r="M629" s="26" t="str">
        <f aca="false">IF($H629="","",N($H629))</f>
        <v/>
      </c>
      <c r="N629" s="26"/>
      <c r="O629" s="26"/>
      <c r="P629" s="26" t="str">
        <f aca="false">IF($A629="","",SUMIF($A$4:$A629,$A629,$M$4:$M629)-SUMIF($A$4:$A629,$A629,$N$4:$N629)-SUMIF($A$4:$A629,$A629,$O$4:$O629))</f>
        <v/>
      </c>
      <c r="Q629" s="27"/>
      <c r="R629" s="28"/>
      <c r="S629" s="28"/>
      <c r="T629" s="28" t="str">
        <f aca="false">IF($A629="","",SUMIF($A$4:$A629,$A629,$Q$4:$Q629)-SUMIF($A$4:$A629,$A629,$R$4:$R629)-SUMIF($A$4:$A629,$A629,$S$4:$S629))</f>
        <v/>
      </c>
      <c r="U629" s="28"/>
      <c r="V629" s="29" t="str">
        <f aca="false">IF(AND($C629="",COUNTA($D629:$H629,$K629,$N629:$O629,$Q629:$S629,$U629)=0),"",IF($C629="","⚠ 没填项目名称",IF($A629="⚠目录里没有","⚠ 项目名称在目录里找不到（先加到目录）",IF($A629="","⚠ 目录里这个项目没填简称",IF(ISTEXT($G629)+ISTEXT($H629)+ISTEXT($K629)+ISTEXT($N629)+ISTEXT($O629)+ISTEXT($Q629)+ISTEXT($R629)+ISTEXT($S629)&gt;0,"⚠ 金额列里有文字，算不进合计",IF(N($G629)&gt;=1,"⚠ 管理费点要填百分比，如 10%",IF(AND($D629&lt;&gt;"",$B629=""),"△ 摘要开头没写日期（如 2026.9.21），月份取不到",IF(AND(N($H629)&lt;&gt;0,COUNTIFS($A$4:$A$1003,$A629,$H$4:$H$1003,$H629,$D$4:$D$1003,LEFT($D629,9)&amp;"*")&gt;1),"△ 同一天同项目有一样的销售金额，看看是不是录重了","✓"))))))))</f>
        <v/>
      </c>
      <c r="W629" s="8" t="str">
        <f aca="false">IF($A629="","",$A629&amp;"#"&amp;COUNTIF($A$4:$A629,$A629))</f>
        <v/>
      </c>
    </row>
    <row r="630" customFormat="false" ht="16.5" hidden="false" customHeight="false" outlineLevel="0" collapsed="false">
      <c r="A630" s="44" t="str">
        <f aca="false">IF($C630="","",IFERROR(VLOOKUP($C630,目录!$B:$C,2,0)&amp;"","⚠目录里没有"))</f>
        <v/>
      </c>
      <c r="B630" s="45" t="str">
        <f aca="false">IF($D630="","",IFERROR(MID($D630,FIND(".",$D630)+1,FIND(".",$D630,FIND(".",$D630)+1)-FIND(".",$D630)-1)&amp;"月",""))</f>
        <v/>
      </c>
      <c r="C630" s="46"/>
      <c r="D630" s="47"/>
      <c r="E630" s="47"/>
      <c r="F630" s="49"/>
      <c r="G630" s="50"/>
      <c r="H630" s="24"/>
      <c r="I630" s="24" t="str">
        <f aca="false">IF($H630="","",N($H630)*N($G630))</f>
        <v/>
      </c>
      <c r="J630" s="25" t="str">
        <f aca="false">IF($H630="","",N($H630)-N($I630))</f>
        <v/>
      </c>
      <c r="K630" s="25"/>
      <c r="L630" s="25" t="str">
        <f aca="false">IF($A630="","",SUMIF($A$4:$A630,$A630,$J$4:$J630)-SUMIF($A$4:$A630,$A630,$K$4:$K630))</f>
        <v/>
      </c>
      <c r="M630" s="26" t="str">
        <f aca="false">IF($H630="","",N($H630))</f>
        <v/>
      </c>
      <c r="N630" s="26"/>
      <c r="O630" s="26"/>
      <c r="P630" s="26" t="str">
        <f aca="false">IF($A630="","",SUMIF($A$4:$A630,$A630,$M$4:$M630)-SUMIF($A$4:$A630,$A630,$N$4:$N630)-SUMIF($A$4:$A630,$A630,$O$4:$O630))</f>
        <v/>
      </c>
      <c r="Q630" s="27"/>
      <c r="R630" s="28"/>
      <c r="S630" s="28"/>
      <c r="T630" s="28" t="str">
        <f aca="false">IF($A630="","",SUMIF($A$4:$A630,$A630,$Q$4:$Q630)-SUMIF($A$4:$A630,$A630,$R$4:$R630)-SUMIF($A$4:$A630,$A630,$S$4:$S630))</f>
        <v/>
      </c>
      <c r="U630" s="28"/>
      <c r="V630" s="29" t="str">
        <f aca="false">IF(AND($C630="",COUNTA($D630:$H630,$K630,$N630:$O630,$Q630:$S630,$U630)=0),"",IF($C630="","⚠ 没填项目名称",IF($A630="⚠目录里没有","⚠ 项目名称在目录里找不到（先加到目录）",IF($A630="","⚠ 目录里这个项目没填简称",IF(ISTEXT($G630)+ISTEXT($H630)+ISTEXT($K630)+ISTEXT($N630)+ISTEXT($O630)+ISTEXT($Q630)+ISTEXT($R630)+ISTEXT($S630)&gt;0,"⚠ 金额列里有文字，算不进合计",IF(N($G630)&gt;=1,"⚠ 管理费点要填百分比，如 10%",IF(AND($D630&lt;&gt;"",$B630=""),"△ 摘要开头没写日期（如 2026.9.21），月份取不到",IF(AND(N($H630)&lt;&gt;0,COUNTIFS($A$4:$A$1003,$A630,$H$4:$H$1003,$H630,$D$4:$D$1003,LEFT($D630,9)&amp;"*")&gt;1),"△ 同一天同项目有一样的销售金额，看看是不是录重了","✓"))))))))</f>
        <v/>
      </c>
      <c r="W630" s="8" t="str">
        <f aca="false">IF($A630="","",$A630&amp;"#"&amp;COUNTIF($A$4:$A630,$A630))</f>
        <v/>
      </c>
    </row>
    <row r="631" customFormat="false" ht="16.5" hidden="false" customHeight="false" outlineLevel="0" collapsed="false">
      <c r="A631" s="44" t="str">
        <f aca="false">IF($C631="","",IFERROR(VLOOKUP($C631,目录!$B:$C,2,0)&amp;"","⚠目录里没有"))</f>
        <v/>
      </c>
      <c r="B631" s="45" t="str">
        <f aca="false">IF($D631="","",IFERROR(MID($D631,FIND(".",$D631)+1,FIND(".",$D631,FIND(".",$D631)+1)-FIND(".",$D631)-1)&amp;"月",""))</f>
        <v/>
      </c>
      <c r="C631" s="46"/>
      <c r="D631" s="47"/>
      <c r="E631" s="47"/>
      <c r="F631" s="49"/>
      <c r="G631" s="50"/>
      <c r="H631" s="24"/>
      <c r="I631" s="24" t="str">
        <f aca="false">IF($H631="","",N($H631)*N($G631))</f>
        <v/>
      </c>
      <c r="J631" s="25" t="str">
        <f aca="false">IF($H631="","",N($H631)-N($I631))</f>
        <v/>
      </c>
      <c r="K631" s="25"/>
      <c r="L631" s="25" t="str">
        <f aca="false">IF($A631="","",SUMIF($A$4:$A631,$A631,$J$4:$J631)-SUMIF($A$4:$A631,$A631,$K$4:$K631))</f>
        <v/>
      </c>
      <c r="M631" s="26" t="str">
        <f aca="false">IF($H631="","",N($H631))</f>
        <v/>
      </c>
      <c r="N631" s="26"/>
      <c r="O631" s="26"/>
      <c r="P631" s="26" t="str">
        <f aca="false">IF($A631="","",SUMIF($A$4:$A631,$A631,$M$4:$M631)-SUMIF($A$4:$A631,$A631,$N$4:$N631)-SUMIF($A$4:$A631,$A631,$O$4:$O631))</f>
        <v/>
      </c>
      <c r="Q631" s="27"/>
      <c r="R631" s="28"/>
      <c r="S631" s="28"/>
      <c r="T631" s="28" t="str">
        <f aca="false">IF($A631="","",SUMIF($A$4:$A631,$A631,$Q$4:$Q631)-SUMIF($A$4:$A631,$A631,$R$4:$R631)-SUMIF($A$4:$A631,$A631,$S$4:$S631))</f>
        <v/>
      </c>
      <c r="U631" s="28"/>
      <c r="V631" s="29" t="str">
        <f aca="false">IF(AND($C631="",COUNTA($D631:$H631,$K631,$N631:$O631,$Q631:$S631,$U631)=0),"",IF($C631="","⚠ 没填项目名称",IF($A631="⚠目录里没有","⚠ 项目名称在目录里找不到（先加到目录）",IF($A631="","⚠ 目录里这个项目没填简称",IF(ISTEXT($G631)+ISTEXT($H631)+ISTEXT($K631)+ISTEXT($N631)+ISTEXT($O631)+ISTEXT($Q631)+ISTEXT($R631)+ISTEXT($S631)&gt;0,"⚠ 金额列里有文字，算不进合计",IF(N($G631)&gt;=1,"⚠ 管理费点要填百分比，如 10%",IF(AND($D631&lt;&gt;"",$B631=""),"△ 摘要开头没写日期（如 2026.9.21），月份取不到",IF(AND(N($H631)&lt;&gt;0,COUNTIFS($A$4:$A$1003,$A631,$H$4:$H$1003,$H631,$D$4:$D$1003,LEFT($D631,9)&amp;"*")&gt;1),"△ 同一天同项目有一样的销售金额，看看是不是录重了","✓"))))))))</f>
        <v/>
      </c>
      <c r="W631" s="8" t="str">
        <f aca="false">IF($A631="","",$A631&amp;"#"&amp;COUNTIF($A$4:$A631,$A631))</f>
        <v/>
      </c>
    </row>
    <row r="632" customFormat="false" ht="16.5" hidden="false" customHeight="false" outlineLevel="0" collapsed="false">
      <c r="A632" s="44" t="str">
        <f aca="false">IF($C632="","",IFERROR(VLOOKUP($C632,目录!$B:$C,2,0)&amp;"","⚠目录里没有"))</f>
        <v/>
      </c>
      <c r="B632" s="45" t="str">
        <f aca="false">IF($D632="","",IFERROR(MID($D632,FIND(".",$D632)+1,FIND(".",$D632,FIND(".",$D632)+1)-FIND(".",$D632)-1)&amp;"月",""))</f>
        <v/>
      </c>
      <c r="C632" s="46"/>
      <c r="D632" s="47"/>
      <c r="E632" s="47"/>
      <c r="F632" s="49"/>
      <c r="G632" s="50"/>
      <c r="H632" s="24"/>
      <c r="I632" s="24" t="str">
        <f aca="false">IF($H632="","",N($H632)*N($G632))</f>
        <v/>
      </c>
      <c r="J632" s="25" t="str">
        <f aca="false">IF($H632="","",N($H632)-N($I632))</f>
        <v/>
      </c>
      <c r="K632" s="25"/>
      <c r="L632" s="25" t="str">
        <f aca="false">IF($A632="","",SUMIF($A$4:$A632,$A632,$J$4:$J632)-SUMIF($A$4:$A632,$A632,$K$4:$K632))</f>
        <v/>
      </c>
      <c r="M632" s="26" t="str">
        <f aca="false">IF($H632="","",N($H632))</f>
        <v/>
      </c>
      <c r="N632" s="26"/>
      <c r="O632" s="26"/>
      <c r="P632" s="26" t="str">
        <f aca="false">IF($A632="","",SUMIF($A$4:$A632,$A632,$M$4:$M632)-SUMIF($A$4:$A632,$A632,$N$4:$N632)-SUMIF($A$4:$A632,$A632,$O$4:$O632))</f>
        <v/>
      </c>
      <c r="Q632" s="27"/>
      <c r="R632" s="28"/>
      <c r="S632" s="28"/>
      <c r="T632" s="28" t="str">
        <f aca="false">IF($A632="","",SUMIF($A$4:$A632,$A632,$Q$4:$Q632)-SUMIF($A$4:$A632,$A632,$R$4:$R632)-SUMIF($A$4:$A632,$A632,$S$4:$S632))</f>
        <v/>
      </c>
      <c r="U632" s="28"/>
      <c r="V632" s="29" t="str">
        <f aca="false">IF(AND($C632="",COUNTA($D632:$H632,$K632,$N632:$O632,$Q632:$S632,$U632)=0),"",IF($C632="","⚠ 没填项目名称",IF($A632="⚠目录里没有","⚠ 项目名称在目录里找不到（先加到目录）",IF($A632="","⚠ 目录里这个项目没填简称",IF(ISTEXT($G632)+ISTEXT($H632)+ISTEXT($K632)+ISTEXT($N632)+ISTEXT($O632)+ISTEXT($Q632)+ISTEXT($R632)+ISTEXT($S632)&gt;0,"⚠ 金额列里有文字，算不进合计",IF(N($G632)&gt;=1,"⚠ 管理费点要填百分比，如 10%",IF(AND($D632&lt;&gt;"",$B632=""),"△ 摘要开头没写日期（如 2026.9.21），月份取不到",IF(AND(N($H632)&lt;&gt;0,COUNTIFS($A$4:$A$1003,$A632,$H$4:$H$1003,$H632,$D$4:$D$1003,LEFT($D632,9)&amp;"*")&gt;1),"△ 同一天同项目有一样的销售金额，看看是不是录重了","✓"))))))))</f>
        <v/>
      </c>
      <c r="W632" s="8" t="str">
        <f aca="false">IF($A632="","",$A632&amp;"#"&amp;COUNTIF($A$4:$A632,$A632))</f>
        <v/>
      </c>
    </row>
    <row r="633" customFormat="false" ht="16.5" hidden="false" customHeight="false" outlineLevel="0" collapsed="false">
      <c r="A633" s="44" t="str">
        <f aca="false">IF($C633="","",IFERROR(VLOOKUP($C633,目录!$B:$C,2,0)&amp;"","⚠目录里没有"))</f>
        <v/>
      </c>
      <c r="B633" s="45" t="str">
        <f aca="false">IF($D633="","",IFERROR(MID($D633,FIND(".",$D633)+1,FIND(".",$D633,FIND(".",$D633)+1)-FIND(".",$D633)-1)&amp;"月",""))</f>
        <v/>
      </c>
      <c r="C633" s="46"/>
      <c r="D633" s="47"/>
      <c r="E633" s="47"/>
      <c r="F633" s="49"/>
      <c r="G633" s="50"/>
      <c r="H633" s="24"/>
      <c r="I633" s="24" t="str">
        <f aca="false">IF($H633="","",N($H633)*N($G633))</f>
        <v/>
      </c>
      <c r="J633" s="25" t="str">
        <f aca="false">IF($H633="","",N($H633)-N($I633))</f>
        <v/>
      </c>
      <c r="K633" s="25"/>
      <c r="L633" s="25" t="str">
        <f aca="false">IF($A633="","",SUMIF($A$4:$A633,$A633,$J$4:$J633)-SUMIF($A$4:$A633,$A633,$K$4:$K633))</f>
        <v/>
      </c>
      <c r="M633" s="26" t="str">
        <f aca="false">IF($H633="","",N($H633))</f>
        <v/>
      </c>
      <c r="N633" s="26"/>
      <c r="O633" s="26"/>
      <c r="P633" s="26" t="str">
        <f aca="false">IF($A633="","",SUMIF($A$4:$A633,$A633,$M$4:$M633)-SUMIF($A$4:$A633,$A633,$N$4:$N633)-SUMIF($A$4:$A633,$A633,$O$4:$O633))</f>
        <v/>
      </c>
      <c r="Q633" s="27"/>
      <c r="R633" s="28"/>
      <c r="S633" s="28"/>
      <c r="T633" s="28" t="str">
        <f aca="false">IF($A633="","",SUMIF($A$4:$A633,$A633,$Q$4:$Q633)-SUMIF($A$4:$A633,$A633,$R$4:$R633)-SUMIF($A$4:$A633,$A633,$S$4:$S633))</f>
        <v/>
      </c>
      <c r="U633" s="28"/>
      <c r="V633" s="29" t="str">
        <f aca="false">IF(AND($C633="",COUNTA($D633:$H633,$K633,$N633:$O633,$Q633:$S633,$U633)=0),"",IF($C633="","⚠ 没填项目名称",IF($A633="⚠目录里没有","⚠ 项目名称在目录里找不到（先加到目录）",IF($A633="","⚠ 目录里这个项目没填简称",IF(ISTEXT($G633)+ISTEXT($H633)+ISTEXT($K633)+ISTEXT($N633)+ISTEXT($O633)+ISTEXT($Q633)+ISTEXT($R633)+ISTEXT($S633)&gt;0,"⚠ 金额列里有文字，算不进合计",IF(N($G633)&gt;=1,"⚠ 管理费点要填百分比，如 10%",IF(AND($D633&lt;&gt;"",$B633=""),"△ 摘要开头没写日期（如 2026.9.21），月份取不到",IF(AND(N($H633)&lt;&gt;0,COUNTIFS($A$4:$A$1003,$A633,$H$4:$H$1003,$H633,$D$4:$D$1003,LEFT($D633,9)&amp;"*")&gt;1),"△ 同一天同项目有一样的销售金额，看看是不是录重了","✓"))))))))</f>
        <v/>
      </c>
      <c r="W633" s="8" t="str">
        <f aca="false">IF($A633="","",$A633&amp;"#"&amp;COUNTIF($A$4:$A633,$A633))</f>
        <v/>
      </c>
    </row>
    <row r="634" customFormat="false" ht="16.5" hidden="false" customHeight="false" outlineLevel="0" collapsed="false">
      <c r="A634" s="44" t="str">
        <f aca="false">IF($C634="","",IFERROR(VLOOKUP($C634,目录!$B:$C,2,0)&amp;"","⚠目录里没有"))</f>
        <v/>
      </c>
      <c r="B634" s="45" t="str">
        <f aca="false">IF($D634="","",IFERROR(MID($D634,FIND(".",$D634)+1,FIND(".",$D634,FIND(".",$D634)+1)-FIND(".",$D634)-1)&amp;"月",""))</f>
        <v/>
      </c>
      <c r="C634" s="46"/>
      <c r="D634" s="47"/>
      <c r="E634" s="47"/>
      <c r="F634" s="49"/>
      <c r="G634" s="50"/>
      <c r="H634" s="24"/>
      <c r="I634" s="24" t="str">
        <f aca="false">IF($H634="","",N($H634)*N($G634))</f>
        <v/>
      </c>
      <c r="J634" s="25" t="str">
        <f aca="false">IF($H634="","",N($H634)-N($I634))</f>
        <v/>
      </c>
      <c r="K634" s="25"/>
      <c r="L634" s="25" t="str">
        <f aca="false">IF($A634="","",SUMIF($A$4:$A634,$A634,$J$4:$J634)-SUMIF($A$4:$A634,$A634,$K$4:$K634))</f>
        <v/>
      </c>
      <c r="M634" s="26" t="str">
        <f aca="false">IF($H634="","",N($H634))</f>
        <v/>
      </c>
      <c r="N634" s="26"/>
      <c r="O634" s="26"/>
      <c r="P634" s="26" t="str">
        <f aca="false">IF($A634="","",SUMIF($A$4:$A634,$A634,$M$4:$M634)-SUMIF($A$4:$A634,$A634,$N$4:$N634)-SUMIF($A$4:$A634,$A634,$O$4:$O634))</f>
        <v/>
      </c>
      <c r="Q634" s="27"/>
      <c r="R634" s="28"/>
      <c r="S634" s="28"/>
      <c r="T634" s="28" t="str">
        <f aca="false">IF($A634="","",SUMIF($A$4:$A634,$A634,$Q$4:$Q634)-SUMIF($A$4:$A634,$A634,$R$4:$R634)-SUMIF($A$4:$A634,$A634,$S$4:$S634))</f>
        <v/>
      </c>
      <c r="U634" s="28"/>
      <c r="V634" s="29" t="str">
        <f aca="false">IF(AND($C634="",COUNTA($D634:$H634,$K634,$N634:$O634,$Q634:$S634,$U634)=0),"",IF($C634="","⚠ 没填项目名称",IF($A634="⚠目录里没有","⚠ 项目名称在目录里找不到（先加到目录）",IF($A634="","⚠ 目录里这个项目没填简称",IF(ISTEXT($G634)+ISTEXT($H634)+ISTEXT($K634)+ISTEXT($N634)+ISTEXT($O634)+ISTEXT($Q634)+ISTEXT($R634)+ISTEXT($S634)&gt;0,"⚠ 金额列里有文字，算不进合计",IF(N($G634)&gt;=1,"⚠ 管理费点要填百分比，如 10%",IF(AND($D634&lt;&gt;"",$B634=""),"△ 摘要开头没写日期（如 2026.9.21），月份取不到",IF(AND(N($H634)&lt;&gt;0,COUNTIFS($A$4:$A$1003,$A634,$H$4:$H$1003,$H634,$D$4:$D$1003,LEFT($D634,9)&amp;"*")&gt;1),"△ 同一天同项目有一样的销售金额，看看是不是录重了","✓"))))))))</f>
        <v/>
      </c>
      <c r="W634" s="8" t="str">
        <f aca="false">IF($A634="","",$A634&amp;"#"&amp;COUNTIF($A$4:$A634,$A634))</f>
        <v/>
      </c>
    </row>
    <row r="635" customFormat="false" ht="16.5" hidden="false" customHeight="false" outlineLevel="0" collapsed="false">
      <c r="A635" s="44" t="str">
        <f aca="false">IF($C635="","",IFERROR(VLOOKUP($C635,目录!$B:$C,2,0)&amp;"","⚠目录里没有"))</f>
        <v/>
      </c>
      <c r="B635" s="45" t="str">
        <f aca="false">IF($D635="","",IFERROR(MID($D635,FIND(".",$D635)+1,FIND(".",$D635,FIND(".",$D635)+1)-FIND(".",$D635)-1)&amp;"月",""))</f>
        <v/>
      </c>
      <c r="C635" s="46"/>
      <c r="D635" s="47"/>
      <c r="E635" s="47"/>
      <c r="F635" s="49"/>
      <c r="G635" s="50"/>
      <c r="H635" s="24"/>
      <c r="I635" s="24" t="str">
        <f aca="false">IF($H635="","",N($H635)*N($G635))</f>
        <v/>
      </c>
      <c r="J635" s="25" t="str">
        <f aca="false">IF($H635="","",N($H635)-N($I635))</f>
        <v/>
      </c>
      <c r="K635" s="25"/>
      <c r="L635" s="25" t="str">
        <f aca="false">IF($A635="","",SUMIF($A$4:$A635,$A635,$J$4:$J635)-SUMIF($A$4:$A635,$A635,$K$4:$K635))</f>
        <v/>
      </c>
      <c r="M635" s="26" t="str">
        <f aca="false">IF($H635="","",N($H635))</f>
        <v/>
      </c>
      <c r="N635" s="26"/>
      <c r="O635" s="26"/>
      <c r="P635" s="26" t="str">
        <f aca="false">IF($A635="","",SUMIF($A$4:$A635,$A635,$M$4:$M635)-SUMIF($A$4:$A635,$A635,$N$4:$N635)-SUMIF($A$4:$A635,$A635,$O$4:$O635))</f>
        <v/>
      </c>
      <c r="Q635" s="27"/>
      <c r="R635" s="28"/>
      <c r="S635" s="28"/>
      <c r="T635" s="28" t="str">
        <f aca="false">IF($A635="","",SUMIF($A$4:$A635,$A635,$Q$4:$Q635)-SUMIF($A$4:$A635,$A635,$R$4:$R635)-SUMIF($A$4:$A635,$A635,$S$4:$S635))</f>
        <v/>
      </c>
      <c r="U635" s="28"/>
      <c r="V635" s="29" t="str">
        <f aca="false">IF(AND($C635="",COUNTA($D635:$H635,$K635,$N635:$O635,$Q635:$S635,$U635)=0),"",IF($C635="","⚠ 没填项目名称",IF($A635="⚠目录里没有","⚠ 项目名称在目录里找不到（先加到目录）",IF($A635="","⚠ 目录里这个项目没填简称",IF(ISTEXT($G635)+ISTEXT($H635)+ISTEXT($K635)+ISTEXT($N635)+ISTEXT($O635)+ISTEXT($Q635)+ISTEXT($R635)+ISTEXT($S635)&gt;0,"⚠ 金额列里有文字，算不进合计",IF(N($G635)&gt;=1,"⚠ 管理费点要填百分比，如 10%",IF(AND($D635&lt;&gt;"",$B635=""),"△ 摘要开头没写日期（如 2026.9.21），月份取不到",IF(AND(N($H635)&lt;&gt;0,COUNTIFS($A$4:$A$1003,$A635,$H$4:$H$1003,$H635,$D$4:$D$1003,LEFT($D635,9)&amp;"*")&gt;1),"△ 同一天同项目有一样的销售金额，看看是不是录重了","✓"))))))))</f>
        <v/>
      </c>
      <c r="W635" s="8" t="str">
        <f aca="false">IF($A635="","",$A635&amp;"#"&amp;COUNTIF($A$4:$A635,$A635))</f>
        <v/>
      </c>
    </row>
    <row r="636" customFormat="false" ht="16.5" hidden="false" customHeight="false" outlineLevel="0" collapsed="false">
      <c r="A636" s="44" t="str">
        <f aca="false">IF($C636="","",IFERROR(VLOOKUP($C636,目录!$B:$C,2,0)&amp;"","⚠目录里没有"))</f>
        <v/>
      </c>
      <c r="B636" s="45" t="str">
        <f aca="false">IF($D636="","",IFERROR(MID($D636,FIND(".",$D636)+1,FIND(".",$D636,FIND(".",$D636)+1)-FIND(".",$D636)-1)&amp;"月",""))</f>
        <v/>
      </c>
      <c r="C636" s="46"/>
      <c r="D636" s="47"/>
      <c r="E636" s="47"/>
      <c r="F636" s="49"/>
      <c r="G636" s="50"/>
      <c r="H636" s="24"/>
      <c r="I636" s="24" t="str">
        <f aca="false">IF($H636="","",N($H636)*N($G636))</f>
        <v/>
      </c>
      <c r="J636" s="25" t="str">
        <f aca="false">IF($H636="","",N($H636)-N($I636))</f>
        <v/>
      </c>
      <c r="K636" s="25"/>
      <c r="L636" s="25" t="str">
        <f aca="false">IF($A636="","",SUMIF($A$4:$A636,$A636,$J$4:$J636)-SUMIF($A$4:$A636,$A636,$K$4:$K636))</f>
        <v/>
      </c>
      <c r="M636" s="26" t="str">
        <f aca="false">IF($H636="","",N($H636))</f>
        <v/>
      </c>
      <c r="N636" s="26"/>
      <c r="O636" s="26"/>
      <c r="P636" s="26" t="str">
        <f aca="false">IF($A636="","",SUMIF($A$4:$A636,$A636,$M$4:$M636)-SUMIF($A$4:$A636,$A636,$N$4:$N636)-SUMIF($A$4:$A636,$A636,$O$4:$O636))</f>
        <v/>
      </c>
      <c r="Q636" s="27"/>
      <c r="R636" s="28"/>
      <c r="S636" s="28"/>
      <c r="T636" s="28" t="str">
        <f aca="false">IF($A636="","",SUMIF($A$4:$A636,$A636,$Q$4:$Q636)-SUMIF($A$4:$A636,$A636,$R$4:$R636)-SUMIF($A$4:$A636,$A636,$S$4:$S636))</f>
        <v/>
      </c>
      <c r="U636" s="28"/>
      <c r="V636" s="29" t="str">
        <f aca="false">IF(AND($C636="",COUNTA($D636:$H636,$K636,$N636:$O636,$Q636:$S636,$U636)=0),"",IF($C636="","⚠ 没填项目名称",IF($A636="⚠目录里没有","⚠ 项目名称在目录里找不到（先加到目录）",IF($A636="","⚠ 目录里这个项目没填简称",IF(ISTEXT($G636)+ISTEXT($H636)+ISTEXT($K636)+ISTEXT($N636)+ISTEXT($O636)+ISTEXT($Q636)+ISTEXT($R636)+ISTEXT($S636)&gt;0,"⚠ 金额列里有文字，算不进合计",IF(N($G636)&gt;=1,"⚠ 管理费点要填百分比，如 10%",IF(AND($D636&lt;&gt;"",$B636=""),"△ 摘要开头没写日期（如 2026.9.21），月份取不到",IF(AND(N($H636)&lt;&gt;0,COUNTIFS($A$4:$A$1003,$A636,$H$4:$H$1003,$H636,$D$4:$D$1003,LEFT($D636,9)&amp;"*")&gt;1),"△ 同一天同项目有一样的销售金额，看看是不是录重了","✓"))))))))</f>
        <v/>
      </c>
      <c r="W636" s="8" t="str">
        <f aca="false">IF($A636="","",$A636&amp;"#"&amp;COUNTIF($A$4:$A636,$A636))</f>
        <v/>
      </c>
    </row>
    <row r="637" customFormat="false" ht="16.5" hidden="false" customHeight="false" outlineLevel="0" collapsed="false">
      <c r="A637" s="44" t="str">
        <f aca="false">IF($C637="","",IFERROR(VLOOKUP($C637,目录!$B:$C,2,0)&amp;"","⚠目录里没有"))</f>
        <v/>
      </c>
      <c r="B637" s="45" t="str">
        <f aca="false">IF($D637="","",IFERROR(MID($D637,FIND(".",$D637)+1,FIND(".",$D637,FIND(".",$D637)+1)-FIND(".",$D637)-1)&amp;"月",""))</f>
        <v/>
      </c>
      <c r="C637" s="46"/>
      <c r="D637" s="47"/>
      <c r="E637" s="47"/>
      <c r="F637" s="49"/>
      <c r="G637" s="50"/>
      <c r="H637" s="24"/>
      <c r="I637" s="24" t="str">
        <f aca="false">IF($H637="","",N($H637)*N($G637))</f>
        <v/>
      </c>
      <c r="J637" s="25" t="str">
        <f aca="false">IF($H637="","",N($H637)-N($I637))</f>
        <v/>
      </c>
      <c r="K637" s="25"/>
      <c r="L637" s="25" t="str">
        <f aca="false">IF($A637="","",SUMIF($A$4:$A637,$A637,$J$4:$J637)-SUMIF($A$4:$A637,$A637,$K$4:$K637))</f>
        <v/>
      </c>
      <c r="M637" s="26" t="str">
        <f aca="false">IF($H637="","",N($H637))</f>
        <v/>
      </c>
      <c r="N637" s="26"/>
      <c r="O637" s="26"/>
      <c r="P637" s="26" t="str">
        <f aca="false">IF($A637="","",SUMIF($A$4:$A637,$A637,$M$4:$M637)-SUMIF($A$4:$A637,$A637,$N$4:$N637)-SUMIF($A$4:$A637,$A637,$O$4:$O637))</f>
        <v/>
      </c>
      <c r="Q637" s="27"/>
      <c r="R637" s="28"/>
      <c r="S637" s="28"/>
      <c r="T637" s="28" t="str">
        <f aca="false">IF($A637="","",SUMIF($A$4:$A637,$A637,$Q$4:$Q637)-SUMIF($A$4:$A637,$A637,$R$4:$R637)-SUMIF($A$4:$A637,$A637,$S$4:$S637))</f>
        <v/>
      </c>
      <c r="U637" s="28"/>
      <c r="V637" s="29" t="str">
        <f aca="false">IF(AND($C637="",COUNTA($D637:$H637,$K637,$N637:$O637,$Q637:$S637,$U637)=0),"",IF($C637="","⚠ 没填项目名称",IF($A637="⚠目录里没有","⚠ 项目名称在目录里找不到（先加到目录）",IF($A637="","⚠ 目录里这个项目没填简称",IF(ISTEXT($G637)+ISTEXT($H637)+ISTEXT($K637)+ISTEXT($N637)+ISTEXT($O637)+ISTEXT($Q637)+ISTEXT($R637)+ISTEXT($S637)&gt;0,"⚠ 金额列里有文字，算不进合计",IF(N($G637)&gt;=1,"⚠ 管理费点要填百分比，如 10%",IF(AND($D637&lt;&gt;"",$B637=""),"△ 摘要开头没写日期（如 2026.9.21），月份取不到",IF(AND(N($H637)&lt;&gt;0,COUNTIFS($A$4:$A$1003,$A637,$H$4:$H$1003,$H637,$D$4:$D$1003,LEFT($D637,9)&amp;"*")&gt;1),"△ 同一天同项目有一样的销售金额，看看是不是录重了","✓"))))))))</f>
        <v/>
      </c>
      <c r="W637" s="8" t="str">
        <f aca="false">IF($A637="","",$A637&amp;"#"&amp;COUNTIF($A$4:$A637,$A637))</f>
        <v/>
      </c>
    </row>
    <row r="638" customFormat="false" ht="16.5" hidden="false" customHeight="false" outlineLevel="0" collapsed="false">
      <c r="A638" s="44" t="str">
        <f aca="false">IF($C638="","",IFERROR(VLOOKUP($C638,目录!$B:$C,2,0)&amp;"","⚠目录里没有"))</f>
        <v/>
      </c>
      <c r="B638" s="45" t="str">
        <f aca="false">IF($D638="","",IFERROR(MID($D638,FIND(".",$D638)+1,FIND(".",$D638,FIND(".",$D638)+1)-FIND(".",$D638)-1)&amp;"月",""))</f>
        <v/>
      </c>
      <c r="C638" s="46"/>
      <c r="D638" s="47"/>
      <c r="E638" s="47"/>
      <c r="F638" s="49"/>
      <c r="G638" s="50"/>
      <c r="H638" s="24"/>
      <c r="I638" s="24" t="str">
        <f aca="false">IF($H638="","",N($H638)*N($G638))</f>
        <v/>
      </c>
      <c r="J638" s="25" t="str">
        <f aca="false">IF($H638="","",N($H638)-N($I638))</f>
        <v/>
      </c>
      <c r="K638" s="25"/>
      <c r="L638" s="25" t="str">
        <f aca="false">IF($A638="","",SUMIF($A$4:$A638,$A638,$J$4:$J638)-SUMIF($A$4:$A638,$A638,$K$4:$K638))</f>
        <v/>
      </c>
      <c r="M638" s="26" t="str">
        <f aca="false">IF($H638="","",N($H638))</f>
        <v/>
      </c>
      <c r="N638" s="26"/>
      <c r="O638" s="26"/>
      <c r="P638" s="26" t="str">
        <f aca="false">IF($A638="","",SUMIF($A$4:$A638,$A638,$M$4:$M638)-SUMIF($A$4:$A638,$A638,$N$4:$N638)-SUMIF($A$4:$A638,$A638,$O$4:$O638))</f>
        <v/>
      </c>
      <c r="Q638" s="27"/>
      <c r="R638" s="28"/>
      <c r="S638" s="28"/>
      <c r="T638" s="28" t="str">
        <f aca="false">IF($A638="","",SUMIF($A$4:$A638,$A638,$Q$4:$Q638)-SUMIF($A$4:$A638,$A638,$R$4:$R638)-SUMIF($A$4:$A638,$A638,$S$4:$S638))</f>
        <v/>
      </c>
      <c r="U638" s="28"/>
      <c r="V638" s="29" t="str">
        <f aca="false">IF(AND($C638="",COUNTA($D638:$H638,$K638,$N638:$O638,$Q638:$S638,$U638)=0),"",IF($C638="","⚠ 没填项目名称",IF($A638="⚠目录里没有","⚠ 项目名称在目录里找不到（先加到目录）",IF($A638="","⚠ 目录里这个项目没填简称",IF(ISTEXT($G638)+ISTEXT($H638)+ISTEXT($K638)+ISTEXT($N638)+ISTEXT($O638)+ISTEXT($Q638)+ISTEXT($R638)+ISTEXT($S638)&gt;0,"⚠ 金额列里有文字，算不进合计",IF(N($G638)&gt;=1,"⚠ 管理费点要填百分比，如 10%",IF(AND($D638&lt;&gt;"",$B638=""),"△ 摘要开头没写日期（如 2026.9.21），月份取不到",IF(AND(N($H638)&lt;&gt;0,COUNTIFS($A$4:$A$1003,$A638,$H$4:$H$1003,$H638,$D$4:$D$1003,LEFT($D638,9)&amp;"*")&gt;1),"△ 同一天同项目有一样的销售金额，看看是不是录重了","✓"))))))))</f>
        <v/>
      </c>
      <c r="W638" s="8" t="str">
        <f aca="false">IF($A638="","",$A638&amp;"#"&amp;COUNTIF($A$4:$A638,$A638))</f>
        <v/>
      </c>
    </row>
    <row r="639" customFormat="false" ht="16.5" hidden="false" customHeight="false" outlineLevel="0" collapsed="false">
      <c r="A639" s="44" t="str">
        <f aca="false">IF($C639="","",IFERROR(VLOOKUP($C639,目录!$B:$C,2,0)&amp;"","⚠目录里没有"))</f>
        <v/>
      </c>
      <c r="B639" s="45" t="str">
        <f aca="false">IF($D639="","",IFERROR(MID($D639,FIND(".",$D639)+1,FIND(".",$D639,FIND(".",$D639)+1)-FIND(".",$D639)-1)&amp;"月",""))</f>
        <v/>
      </c>
      <c r="C639" s="46"/>
      <c r="D639" s="47"/>
      <c r="E639" s="47"/>
      <c r="F639" s="49"/>
      <c r="G639" s="50"/>
      <c r="H639" s="24"/>
      <c r="I639" s="24" t="str">
        <f aca="false">IF($H639="","",N($H639)*N($G639))</f>
        <v/>
      </c>
      <c r="J639" s="25" t="str">
        <f aca="false">IF($H639="","",N($H639)-N($I639))</f>
        <v/>
      </c>
      <c r="K639" s="25"/>
      <c r="L639" s="25" t="str">
        <f aca="false">IF($A639="","",SUMIF($A$4:$A639,$A639,$J$4:$J639)-SUMIF($A$4:$A639,$A639,$K$4:$K639))</f>
        <v/>
      </c>
      <c r="M639" s="26" t="str">
        <f aca="false">IF($H639="","",N($H639))</f>
        <v/>
      </c>
      <c r="N639" s="26"/>
      <c r="O639" s="26"/>
      <c r="P639" s="26" t="str">
        <f aca="false">IF($A639="","",SUMIF($A$4:$A639,$A639,$M$4:$M639)-SUMIF($A$4:$A639,$A639,$N$4:$N639)-SUMIF($A$4:$A639,$A639,$O$4:$O639))</f>
        <v/>
      </c>
      <c r="Q639" s="27"/>
      <c r="R639" s="28"/>
      <c r="S639" s="28"/>
      <c r="T639" s="28" t="str">
        <f aca="false">IF($A639="","",SUMIF($A$4:$A639,$A639,$Q$4:$Q639)-SUMIF($A$4:$A639,$A639,$R$4:$R639)-SUMIF($A$4:$A639,$A639,$S$4:$S639))</f>
        <v/>
      </c>
      <c r="U639" s="28"/>
      <c r="V639" s="29" t="str">
        <f aca="false">IF(AND($C639="",COUNTA($D639:$H639,$K639,$N639:$O639,$Q639:$S639,$U639)=0),"",IF($C639="","⚠ 没填项目名称",IF($A639="⚠目录里没有","⚠ 项目名称在目录里找不到（先加到目录）",IF($A639="","⚠ 目录里这个项目没填简称",IF(ISTEXT($G639)+ISTEXT($H639)+ISTEXT($K639)+ISTEXT($N639)+ISTEXT($O639)+ISTEXT($Q639)+ISTEXT($R639)+ISTEXT($S639)&gt;0,"⚠ 金额列里有文字，算不进合计",IF(N($G639)&gt;=1,"⚠ 管理费点要填百分比，如 10%",IF(AND($D639&lt;&gt;"",$B639=""),"△ 摘要开头没写日期（如 2026.9.21），月份取不到",IF(AND(N($H639)&lt;&gt;0,COUNTIFS($A$4:$A$1003,$A639,$H$4:$H$1003,$H639,$D$4:$D$1003,LEFT($D639,9)&amp;"*")&gt;1),"△ 同一天同项目有一样的销售金额，看看是不是录重了","✓"))))))))</f>
        <v/>
      </c>
      <c r="W639" s="8" t="str">
        <f aca="false">IF($A639="","",$A639&amp;"#"&amp;COUNTIF($A$4:$A639,$A639))</f>
        <v/>
      </c>
    </row>
    <row r="640" customFormat="false" ht="16.5" hidden="false" customHeight="false" outlineLevel="0" collapsed="false">
      <c r="A640" s="44" t="str">
        <f aca="false">IF($C640="","",IFERROR(VLOOKUP($C640,目录!$B:$C,2,0)&amp;"","⚠目录里没有"))</f>
        <v/>
      </c>
      <c r="B640" s="45" t="str">
        <f aca="false">IF($D640="","",IFERROR(MID($D640,FIND(".",$D640)+1,FIND(".",$D640,FIND(".",$D640)+1)-FIND(".",$D640)-1)&amp;"月",""))</f>
        <v/>
      </c>
      <c r="C640" s="46"/>
      <c r="D640" s="47"/>
      <c r="E640" s="47"/>
      <c r="F640" s="49"/>
      <c r="G640" s="50"/>
      <c r="H640" s="24"/>
      <c r="I640" s="24" t="str">
        <f aca="false">IF($H640="","",N($H640)*N($G640))</f>
        <v/>
      </c>
      <c r="J640" s="25" t="str">
        <f aca="false">IF($H640="","",N($H640)-N($I640))</f>
        <v/>
      </c>
      <c r="K640" s="25"/>
      <c r="L640" s="25" t="str">
        <f aca="false">IF($A640="","",SUMIF($A$4:$A640,$A640,$J$4:$J640)-SUMIF($A$4:$A640,$A640,$K$4:$K640))</f>
        <v/>
      </c>
      <c r="M640" s="26" t="str">
        <f aca="false">IF($H640="","",N($H640))</f>
        <v/>
      </c>
      <c r="N640" s="26"/>
      <c r="O640" s="26"/>
      <c r="P640" s="26" t="str">
        <f aca="false">IF($A640="","",SUMIF($A$4:$A640,$A640,$M$4:$M640)-SUMIF($A$4:$A640,$A640,$N$4:$N640)-SUMIF($A$4:$A640,$A640,$O$4:$O640))</f>
        <v/>
      </c>
      <c r="Q640" s="27"/>
      <c r="R640" s="28"/>
      <c r="S640" s="28"/>
      <c r="T640" s="28" t="str">
        <f aca="false">IF($A640="","",SUMIF($A$4:$A640,$A640,$Q$4:$Q640)-SUMIF($A$4:$A640,$A640,$R$4:$R640)-SUMIF($A$4:$A640,$A640,$S$4:$S640))</f>
        <v/>
      </c>
      <c r="U640" s="28"/>
      <c r="V640" s="29" t="str">
        <f aca="false">IF(AND($C640="",COUNTA($D640:$H640,$K640,$N640:$O640,$Q640:$S640,$U640)=0),"",IF($C640="","⚠ 没填项目名称",IF($A640="⚠目录里没有","⚠ 项目名称在目录里找不到（先加到目录）",IF($A640="","⚠ 目录里这个项目没填简称",IF(ISTEXT($G640)+ISTEXT($H640)+ISTEXT($K640)+ISTEXT($N640)+ISTEXT($O640)+ISTEXT($Q640)+ISTEXT($R640)+ISTEXT($S640)&gt;0,"⚠ 金额列里有文字，算不进合计",IF(N($G640)&gt;=1,"⚠ 管理费点要填百分比，如 10%",IF(AND($D640&lt;&gt;"",$B640=""),"△ 摘要开头没写日期（如 2026.9.21），月份取不到",IF(AND(N($H640)&lt;&gt;0,COUNTIFS($A$4:$A$1003,$A640,$H$4:$H$1003,$H640,$D$4:$D$1003,LEFT($D640,9)&amp;"*")&gt;1),"△ 同一天同项目有一样的销售金额，看看是不是录重了","✓"))))))))</f>
        <v/>
      </c>
      <c r="W640" s="8" t="str">
        <f aca="false">IF($A640="","",$A640&amp;"#"&amp;COUNTIF($A$4:$A640,$A640))</f>
        <v/>
      </c>
    </row>
    <row r="641" customFormat="false" ht="16.5" hidden="false" customHeight="false" outlineLevel="0" collapsed="false">
      <c r="A641" s="44" t="str">
        <f aca="false">IF($C641="","",IFERROR(VLOOKUP($C641,目录!$B:$C,2,0)&amp;"","⚠目录里没有"))</f>
        <v/>
      </c>
      <c r="B641" s="45" t="str">
        <f aca="false">IF($D641="","",IFERROR(MID($D641,FIND(".",$D641)+1,FIND(".",$D641,FIND(".",$D641)+1)-FIND(".",$D641)-1)&amp;"月",""))</f>
        <v/>
      </c>
      <c r="C641" s="46"/>
      <c r="D641" s="47"/>
      <c r="E641" s="47"/>
      <c r="F641" s="49"/>
      <c r="G641" s="50"/>
      <c r="H641" s="24"/>
      <c r="I641" s="24" t="str">
        <f aca="false">IF($H641="","",N($H641)*N($G641))</f>
        <v/>
      </c>
      <c r="J641" s="25" t="str">
        <f aca="false">IF($H641="","",N($H641)-N($I641))</f>
        <v/>
      </c>
      <c r="K641" s="25"/>
      <c r="L641" s="25" t="str">
        <f aca="false">IF($A641="","",SUMIF($A$4:$A641,$A641,$J$4:$J641)-SUMIF($A$4:$A641,$A641,$K$4:$K641))</f>
        <v/>
      </c>
      <c r="M641" s="26" t="str">
        <f aca="false">IF($H641="","",N($H641))</f>
        <v/>
      </c>
      <c r="N641" s="26"/>
      <c r="O641" s="26"/>
      <c r="P641" s="26" t="str">
        <f aca="false">IF($A641="","",SUMIF($A$4:$A641,$A641,$M$4:$M641)-SUMIF($A$4:$A641,$A641,$N$4:$N641)-SUMIF($A$4:$A641,$A641,$O$4:$O641))</f>
        <v/>
      </c>
      <c r="Q641" s="27"/>
      <c r="R641" s="28"/>
      <c r="S641" s="28"/>
      <c r="T641" s="28" t="str">
        <f aca="false">IF($A641="","",SUMIF($A$4:$A641,$A641,$Q$4:$Q641)-SUMIF($A$4:$A641,$A641,$R$4:$R641)-SUMIF($A$4:$A641,$A641,$S$4:$S641))</f>
        <v/>
      </c>
      <c r="U641" s="28"/>
      <c r="V641" s="29" t="str">
        <f aca="false">IF(AND($C641="",COUNTA($D641:$H641,$K641,$N641:$O641,$Q641:$S641,$U641)=0),"",IF($C641="","⚠ 没填项目名称",IF($A641="⚠目录里没有","⚠ 项目名称在目录里找不到（先加到目录）",IF($A641="","⚠ 目录里这个项目没填简称",IF(ISTEXT($G641)+ISTEXT($H641)+ISTEXT($K641)+ISTEXT($N641)+ISTEXT($O641)+ISTEXT($Q641)+ISTEXT($R641)+ISTEXT($S641)&gt;0,"⚠ 金额列里有文字，算不进合计",IF(N($G641)&gt;=1,"⚠ 管理费点要填百分比，如 10%",IF(AND($D641&lt;&gt;"",$B641=""),"△ 摘要开头没写日期（如 2026.9.21），月份取不到",IF(AND(N($H641)&lt;&gt;0,COUNTIFS($A$4:$A$1003,$A641,$H$4:$H$1003,$H641,$D$4:$D$1003,LEFT($D641,9)&amp;"*")&gt;1),"△ 同一天同项目有一样的销售金额，看看是不是录重了","✓"))))))))</f>
        <v/>
      </c>
      <c r="W641" s="8" t="str">
        <f aca="false">IF($A641="","",$A641&amp;"#"&amp;COUNTIF($A$4:$A641,$A641))</f>
        <v/>
      </c>
    </row>
    <row r="642" customFormat="false" ht="16.5" hidden="false" customHeight="false" outlineLevel="0" collapsed="false">
      <c r="A642" s="44" t="str">
        <f aca="false">IF($C642="","",IFERROR(VLOOKUP($C642,目录!$B:$C,2,0)&amp;"","⚠目录里没有"))</f>
        <v/>
      </c>
      <c r="B642" s="45" t="str">
        <f aca="false">IF($D642="","",IFERROR(MID($D642,FIND(".",$D642)+1,FIND(".",$D642,FIND(".",$D642)+1)-FIND(".",$D642)-1)&amp;"月",""))</f>
        <v/>
      </c>
      <c r="C642" s="46"/>
      <c r="D642" s="47"/>
      <c r="E642" s="47"/>
      <c r="F642" s="49"/>
      <c r="G642" s="50"/>
      <c r="H642" s="24"/>
      <c r="I642" s="24" t="str">
        <f aca="false">IF($H642="","",N($H642)*N($G642))</f>
        <v/>
      </c>
      <c r="J642" s="25" t="str">
        <f aca="false">IF($H642="","",N($H642)-N($I642))</f>
        <v/>
      </c>
      <c r="K642" s="25"/>
      <c r="L642" s="25" t="str">
        <f aca="false">IF($A642="","",SUMIF($A$4:$A642,$A642,$J$4:$J642)-SUMIF($A$4:$A642,$A642,$K$4:$K642))</f>
        <v/>
      </c>
      <c r="M642" s="26" t="str">
        <f aca="false">IF($H642="","",N($H642))</f>
        <v/>
      </c>
      <c r="N642" s="26"/>
      <c r="O642" s="26"/>
      <c r="P642" s="26" t="str">
        <f aca="false">IF($A642="","",SUMIF($A$4:$A642,$A642,$M$4:$M642)-SUMIF($A$4:$A642,$A642,$N$4:$N642)-SUMIF($A$4:$A642,$A642,$O$4:$O642))</f>
        <v/>
      </c>
      <c r="Q642" s="27"/>
      <c r="R642" s="28"/>
      <c r="S642" s="28"/>
      <c r="T642" s="28" t="str">
        <f aca="false">IF($A642="","",SUMIF($A$4:$A642,$A642,$Q$4:$Q642)-SUMIF($A$4:$A642,$A642,$R$4:$R642)-SUMIF($A$4:$A642,$A642,$S$4:$S642))</f>
        <v/>
      </c>
      <c r="U642" s="28"/>
      <c r="V642" s="29" t="str">
        <f aca="false">IF(AND($C642="",COUNTA($D642:$H642,$K642,$N642:$O642,$Q642:$S642,$U642)=0),"",IF($C642="","⚠ 没填项目名称",IF($A642="⚠目录里没有","⚠ 项目名称在目录里找不到（先加到目录）",IF($A642="","⚠ 目录里这个项目没填简称",IF(ISTEXT($G642)+ISTEXT($H642)+ISTEXT($K642)+ISTEXT($N642)+ISTEXT($O642)+ISTEXT($Q642)+ISTEXT($R642)+ISTEXT($S642)&gt;0,"⚠ 金额列里有文字，算不进合计",IF(N($G642)&gt;=1,"⚠ 管理费点要填百分比，如 10%",IF(AND($D642&lt;&gt;"",$B642=""),"△ 摘要开头没写日期（如 2026.9.21），月份取不到",IF(AND(N($H642)&lt;&gt;0,COUNTIFS($A$4:$A$1003,$A642,$H$4:$H$1003,$H642,$D$4:$D$1003,LEFT($D642,9)&amp;"*")&gt;1),"△ 同一天同项目有一样的销售金额，看看是不是录重了","✓"))))))))</f>
        <v/>
      </c>
      <c r="W642" s="8" t="str">
        <f aca="false">IF($A642="","",$A642&amp;"#"&amp;COUNTIF($A$4:$A642,$A642))</f>
        <v/>
      </c>
    </row>
    <row r="643" customFormat="false" ht="16.5" hidden="false" customHeight="false" outlineLevel="0" collapsed="false">
      <c r="A643" s="44" t="str">
        <f aca="false">IF($C643="","",IFERROR(VLOOKUP($C643,目录!$B:$C,2,0)&amp;"","⚠目录里没有"))</f>
        <v/>
      </c>
      <c r="B643" s="45" t="str">
        <f aca="false">IF($D643="","",IFERROR(MID($D643,FIND(".",$D643)+1,FIND(".",$D643,FIND(".",$D643)+1)-FIND(".",$D643)-1)&amp;"月",""))</f>
        <v/>
      </c>
      <c r="C643" s="46"/>
      <c r="D643" s="47"/>
      <c r="E643" s="47"/>
      <c r="F643" s="49"/>
      <c r="G643" s="50"/>
      <c r="H643" s="24"/>
      <c r="I643" s="24" t="str">
        <f aca="false">IF($H643="","",N($H643)*N($G643))</f>
        <v/>
      </c>
      <c r="J643" s="25" t="str">
        <f aca="false">IF($H643="","",N($H643)-N($I643))</f>
        <v/>
      </c>
      <c r="K643" s="25"/>
      <c r="L643" s="25" t="str">
        <f aca="false">IF($A643="","",SUMIF($A$4:$A643,$A643,$J$4:$J643)-SUMIF($A$4:$A643,$A643,$K$4:$K643))</f>
        <v/>
      </c>
      <c r="M643" s="26" t="str">
        <f aca="false">IF($H643="","",N($H643))</f>
        <v/>
      </c>
      <c r="N643" s="26"/>
      <c r="O643" s="26"/>
      <c r="P643" s="26" t="str">
        <f aca="false">IF($A643="","",SUMIF($A$4:$A643,$A643,$M$4:$M643)-SUMIF($A$4:$A643,$A643,$N$4:$N643)-SUMIF($A$4:$A643,$A643,$O$4:$O643))</f>
        <v/>
      </c>
      <c r="Q643" s="27"/>
      <c r="R643" s="28"/>
      <c r="S643" s="28"/>
      <c r="T643" s="28" t="str">
        <f aca="false">IF($A643="","",SUMIF($A$4:$A643,$A643,$Q$4:$Q643)-SUMIF($A$4:$A643,$A643,$R$4:$R643)-SUMIF($A$4:$A643,$A643,$S$4:$S643))</f>
        <v/>
      </c>
      <c r="U643" s="28"/>
      <c r="V643" s="29" t="str">
        <f aca="false">IF(AND($C643="",COUNTA($D643:$H643,$K643,$N643:$O643,$Q643:$S643,$U643)=0),"",IF($C643="","⚠ 没填项目名称",IF($A643="⚠目录里没有","⚠ 项目名称在目录里找不到（先加到目录）",IF($A643="","⚠ 目录里这个项目没填简称",IF(ISTEXT($G643)+ISTEXT($H643)+ISTEXT($K643)+ISTEXT($N643)+ISTEXT($O643)+ISTEXT($Q643)+ISTEXT($R643)+ISTEXT($S643)&gt;0,"⚠ 金额列里有文字，算不进合计",IF(N($G643)&gt;=1,"⚠ 管理费点要填百分比，如 10%",IF(AND($D643&lt;&gt;"",$B643=""),"△ 摘要开头没写日期（如 2026.9.21），月份取不到",IF(AND(N($H643)&lt;&gt;0,COUNTIFS($A$4:$A$1003,$A643,$H$4:$H$1003,$H643,$D$4:$D$1003,LEFT($D643,9)&amp;"*")&gt;1),"△ 同一天同项目有一样的销售金额，看看是不是录重了","✓"))))))))</f>
        <v/>
      </c>
      <c r="W643" s="8" t="str">
        <f aca="false">IF($A643="","",$A643&amp;"#"&amp;COUNTIF($A$4:$A643,$A643))</f>
        <v/>
      </c>
    </row>
    <row r="644" customFormat="false" ht="16.5" hidden="false" customHeight="false" outlineLevel="0" collapsed="false">
      <c r="A644" s="44" t="str">
        <f aca="false">IF($C644="","",IFERROR(VLOOKUP($C644,目录!$B:$C,2,0)&amp;"","⚠目录里没有"))</f>
        <v/>
      </c>
      <c r="B644" s="45" t="str">
        <f aca="false">IF($D644="","",IFERROR(MID($D644,FIND(".",$D644)+1,FIND(".",$D644,FIND(".",$D644)+1)-FIND(".",$D644)-1)&amp;"月",""))</f>
        <v/>
      </c>
      <c r="C644" s="46"/>
      <c r="D644" s="47"/>
      <c r="E644" s="47"/>
      <c r="F644" s="49"/>
      <c r="G644" s="50"/>
      <c r="H644" s="24"/>
      <c r="I644" s="24" t="str">
        <f aca="false">IF($H644="","",N($H644)*N($G644))</f>
        <v/>
      </c>
      <c r="J644" s="25" t="str">
        <f aca="false">IF($H644="","",N($H644)-N($I644))</f>
        <v/>
      </c>
      <c r="K644" s="25"/>
      <c r="L644" s="25" t="str">
        <f aca="false">IF($A644="","",SUMIF($A$4:$A644,$A644,$J$4:$J644)-SUMIF($A$4:$A644,$A644,$K$4:$K644))</f>
        <v/>
      </c>
      <c r="M644" s="26" t="str">
        <f aca="false">IF($H644="","",N($H644))</f>
        <v/>
      </c>
      <c r="N644" s="26"/>
      <c r="O644" s="26"/>
      <c r="P644" s="26" t="str">
        <f aca="false">IF($A644="","",SUMIF($A$4:$A644,$A644,$M$4:$M644)-SUMIF($A$4:$A644,$A644,$N$4:$N644)-SUMIF($A$4:$A644,$A644,$O$4:$O644))</f>
        <v/>
      </c>
      <c r="Q644" s="27"/>
      <c r="R644" s="28"/>
      <c r="S644" s="28"/>
      <c r="T644" s="28" t="str">
        <f aca="false">IF($A644="","",SUMIF($A$4:$A644,$A644,$Q$4:$Q644)-SUMIF($A$4:$A644,$A644,$R$4:$R644)-SUMIF($A$4:$A644,$A644,$S$4:$S644))</f>
        <v/>
      </c>
      <c r="U644" s="28"/>
      <c r="V644" s="29" t="str">
        <f aca="false">IF(AND($C644="",COUNTA($D644:$H644,$K644,$N644:$O644,$Q644:$S644,$U644)=0),"",IF($C644="","⚠ 没填项目名称",IF($A644="⚠目录里没有","⚠ 项目名称在目录里找不到（先加到目录）",IF($A644="","⚠ 目录里这个项目没填简称",IF(ISTEXT($G644)+ISTEXT($H644)+ISTEXT($K644)+ISTEXT($N644)+ISTEXT($O644)+ISTEXT($Q644)+ISTEXT($R644)+ISTEXT($S644)&gt;0,"⚠ 金额列里有文字，算不进合计",IF(N($G644)&gt;=1,"⚠ 管理费点要填百分比，如 10%",IF(AND($D644&lt;&gt;"",$B644=""),"△ 摘要开头没写日期（如 2026.9.21），月份取不到",IF(AND(N($H644)&lt;&gt;0,COUNTIFS($A$4:$A$1003,$A644,$H$4:$H$1003,$H644,$D$4:$D$1003,LEFT($D644,9)&amp;"*")&gt;1),"△ 同一天同项目有一样的销售金额，看看是不是录重了","✓"))))))))</f>
        <v/>
      </c>
      <c r="W644" s="8" t="str">
        <f aca="false">IF($A644="","",$A644&amp;"#"&amp;COUNTIF($A$4:$A644,$A644))</f>
        <v/>
      </c>
    </row>
    <row r="645" customFormat="false" ht="16.5" hidden="false" customHeight="false" outlineLevel="0" collapsed="false">
      <c r="A645" s="44" t="str">
        <f aca="false">IF($C645="","",IFERROR(VLOOKUP($C645,目录!$B:$C,2,0)&amp;"","⚠目录里没有"))</f>
        <v/>
      </c>
      <c r="B645" s="45" t="str">
        <f aca="false">IF($D645="","",IFERROR(MID($D645,FIND(".",$D645)+1,FIND(".",$D645,FIND(".",$D645)+1)-FIND(".",$D645)-1)&amp;"月",""))</f>
        <v/>
      </c>
      <c r="C645" s="46"/>
      <c r="D645" s="47"/>
      <c r="E645" s="47"/>
      <c r="F645" s="49"/>
      <c r="G645" s="50"/>
      <c r="H645" s="24"/>
      <c r="I645" s="24" t="str">
        <f aca="false">IF($H645="","",N($H645)*N($G645))</f>
        <v/>
      </c>
      <c r="J645" s="25" t="str">
        <f aca="false">IF($H645="","",N($H645)-N($I645))</f>
        <v/>
      </c>
      <c r="K645" s="25"/>
      <c r="L645" s="25" t="str">
        <f aca="false">IF($A645="","",SUMIF($A$4:$A645,$A645,$J$4:$J645)-SUMIF($A$4:$A645,$A645,$K$4:$K645))</f>
        <v/>
      </c>
      <c r="M645" s="26" t="str">
        <f aca="false">IF($H645="","",N($H645))</f>
        <v/>
      </c>
      <c r="N645" s="26"/>
      <c r="O645" s="26"/>
      <c r="P645" s="26" t="str">
        <f aca="false">IF($A645="","",SUMIF($A$4:$A645,$A645,$M$4:$M645)-SUMIF($A$4:$A645,$A645,$N$4:$N645)-SUMIF($A$4:$A645,$A645,$O$4:$O645))</f>
        <v/>
      </c>
      <c r="Q645" s="27"/>
      <c r="R645" s="28"/>
      <c r="S645" s="28"/>
      <c r="T645" s="28" t="str">
        <f aca="false">IF($A645="","",SUMIF($A$4:$A645,$A645,$Q$4:$Q645)-SUMIF($A$4:$A645,$A645,$R$4:$R645)-SUMIF($A$4:$A645,$A645,$S$4:$S645))</f>
        <v/>
      </c>
      <c r="U645" s="28"/>
      <c r="V645" s="29" t="str">
        <f aca="false">IF(AND($C645="",COUNTA($D645:$H645,$K645,$N645:$O645,$Q645:$S645,$U645)=0),"",IF($C645="","⚠ 没填项目名称",IF($A645="⚠目录里没有","⚠ 项目名称在目录里找不到（先加到目录）",IF($A645="","⚠ 目录里这个项目没填简称",IF(ISTEXT($G645)+ISTEXT($H645)+ISTEXT($K645)+ISTEXT($N645)+ISTEXT($O645)+ISTEXT($Q645)+ISTEXT($R645)+ISTEXT($S645)&gt;0,"⚠ 金额列里有文字，算不进合计",IF(N($G645)&gt;=1,"⚠ 管理费点要填百分比，如 10%",IF(AND($D645&lt;&gt;"",$B645=""),"△ 摘要开头没写日期（如 2026.9.21），月份取不到",IF(AND(N($H645)&lt;&gt;0,COUNTIFS($A$4:$A$1003,$A645,$H$4:$H$1003,$H645,$D$4:$D$1003,LEFT($D645,9)&amp;"*")&gt;1),"△ 同一天同项目有一样的销售金额，看看是不是录重了","✓"))))))))</f>
        <v/>
      </c>
      <c r="W645" s="8" t="str">
        <f aca="false">IF($A645="","",$A645&amp;"#"&amp;COUNTIF($A$4:$A645,$A645))</f>
        <v/>
      </c>
    </row>
    <row r="646" customFormat="false" ht="16.5" hidden="false" customHeight="false" outlineLevel="0" collapsed="false">
      <c r="A646" s="44" t="str">
        <f aca="false">IF($C646="","",IFERROR(VLOOKUP($C646,目录!$B:$C,2,0)&amp;"","⚠目录里没有"))</f>
        <v/>
      </c>
      <c r="B646" s="45" t="str">
        <f aca="false">IF($D646="","",IFERROR(MID($D646,FIND(".",$D646)+1,FIND(".",$D646,FIND(".",$D646)+1)-FIND(".",$D646)-1)&amp;"月",""))</f>
        <v/>
      </c>
      <c r="C646" s="46"/>
      <c r="D646" s="47"/>
      <c r="E646" s="47"/>
      <c r="F646" s="49"/>
      <c r="G646" s="50"/>
      <c r="H646" s="24"/>
      <c r="I646" s="24" t="str">
        <f aca="false">IF($H646="","",N($H646)*N($G646))</f>
        <v/>
      </c>
      <c r="J646" s="25" t="str">
        <f aca="false">IF($H646="","",N($H646)-N($I646))</f>
        <v/>
      </c>
      <c r="K646" s="25"/>
      <c r="L646" s="25" t="str">
        <f aca="false">IF($A646="","",SUMIF($A$4:$A646,$A646,$J$4:$J646)-SUMIF($A$4:$A646,$A646,$K$4:$K646))</f>
        <v/>
      </c>
      <c r="M646" s="26" t="str">
        <f aca="false">IF($H646="","",N($H646))</f>
        <v/>
      </c>
      <c r="N646" s="26"/>
      <c r="O646" s="26"/>
      <c r="P646" s="26" t="str">
        <f aca="false">IF($A646="","",SUMIF($A$4:$A646,$A646,$M$4:$M646)-SUMIF($A$4:$A646,$A646,$N$4:$N646)-SUMIF($A$4:$A646,$A646,$O$4:$O646))</f>
        <v/>
      </c>
      <c r="Q646" s="27"/>
      <c r="R646" s="28"/>
      <c r="S646" s="28"/>
      <c r="T646" s="28" t="str">
        <f aca="false">IF($A646="","",SUMIF($A$4:$A646,$A646,$Q$4:$Q646)-SUMIF($A$4:$A646,$A646,$R$4:$R646)-SUMIF($A$4:$A646,$A646,$S$4:$S646))</f>
        <v/>
      </c>
      <c r="U646" s="28"/>
      <c r="V646" s="29" t="str">
        <f aca="false">IF(AND($C646="",COUNTA($D646:$H646,$K646,$N646:$O646,$Q646:$S646,$U646)=0),"",IF($C646="","⚠ 没填项目名称",IF($A646="⚠目录里没有","⚠ 项目名称在目录里找不到（先加到目录）",IF($A646="","⚠ 目录里这个项目没填简称",IF(ISTEXT($G646)+ISTEXT($H646)+ISTEXT($K646)+ISTEXT($N646)+ISTEXT($O646)+ISTEXT($Q646)+ISTEXT($R646)+ISTEXT($S646)&gt;0,"⚠ 金额列里有文字，算不进合计",IF(N($G646)&gt;=1,"⚠ 管理费点要填百分比，如 10%",IF(AND($D646&lt;&gt;"",$B646=""),"△ 摘要开头没写日期（如 2026.9.21），月份取不到",IF(AND(N($H646)&lt;&gt;0,COUNTIFS($A$4:$A$1003,$A646,$H$4:$H$1003,$H646,$D$4:$D$1003,LEFT($D646,9)&amp;"*")&gt;1),"△ 同一天同项目有一样的销售金额，看看是不是录重了","✓"))))))))</f>
        <v/>
      </c>
      <c r="W646" s="8" t="str">
        <f aca="false">IF($A646="","",$A646&amp;"#"&amp;COUNTIF($A$4:$A646,$A646))</f>
        <v/>
      </c>
    </row>
    <row r="647" customFormat="false" ht="16.5" hidden="false" customHeight="false" outlineLevel="0" collapsed="false">
      <c r="A647" s="44" t="str">
        <f aca="false">IF($C647="","",IFERROR(VLOOKUP($C647,目录!$B:$C,2,0)&amp;"","⚠目录里没有"))</f>
        <v/>
      </c>
      <c r="B647" s="45" t="str">
        <f aca="false">IF($D647="","",IFERROR(MID($D647,FIND(".",$D647)+1,FIND(".",$D647,FIND(".",$D647)+1)-FIND(".",$D647)-1)&amp;"月",""))</f>
        <v/>
      </c>
      <c r="C647" s="46"/>
      <c r="D647" s="47"/>
      <c r="E647" s="47"/>
      <c r="F647" s="49"/>
      <c r="G647" s="50"/>
      <c r="H647" s="24"/>
      <c r="I647" s="24" t="str">
        <f aca="false">IF($H647="","",N($H647)*N($G647))</f>
        <v/>
      </c>
      <c r="J647" s="25" t="str">
        <f aca="false">IF($H647="","",N($H647)-N($I647))</f>
        <v/>
      </c>
      <c r="K647" s="25"/>
      <c r="L647" s="25" t="str">
        <f aca="false">IF($A647="","",SUMIF($A$4:$A647,$A647,$J$4:$J647)-SUMIF($A$4:$A647,$A647,$K$4:$K647))</f>
        <v/>
      </c>
      <c r="M647" s="26" t="str">
        <f aca="false">IF($H647="","",N($H647))</f>
        <v/>
      </c>
      <c r="N647" s="26"/>
      <c r="O647" s="26"/>
      <c r="P647" s="26" t="str">
        <f aca="false">IF($A647="","",SUMIF($A$4:$A647,$A647,$M$4:$M647)-SUMIF($A$4:$A647,$A647,$N$4:$N647)-SUMIF($A$4:$A647,$A647,$O$4:$O647))</f>
        <v/>
      </c>
      <c r="Q647" s="27"/>
      <c r="R647" s="28"/>
      <c r="S647" s="28"/>
      <c r="T647" s="28" t="str">
        <f aca="false">IF($A647="","",SUMIF($A$4:$A647,$A647,$Q$4:$Q647)-SUMIF($A$4:$A647,$A647,$R$4:$R647)-SUMIF($A$4:$A647,$A647,$S$4:$S647))</f>
        <v/>
      </c>
      <c r="U647" s="28"/>
      <c r="V647" s="29" t="str">
        <f aca="false">IF(AND($C647="",COUNTA($D647:$H647,$K647,$N647:$O647,$Q647:$S647,$U647)=0),"",IF($C647="","⚠ 没填项目名称",IF($A647="⚠目录里没有","⚠ 项目名称在目录里找不到（先加到目录）",IF($A647="","⚠ 目录里这个项目没填简称",IF(ISTEXT($G647)+ISTEXT($H647)+ISTEXT($K647)+ISTEXT($N647)+ISTEXT($O647)+ISTEXT($Q647)+ISTEXT($R647)+ISTEXT($S647)&gt;0,"⚠ 金额列里有文字，算不进合计",IF(N($G647)&gt;=1,"⚠ 管理费点要填百分比，如 10%",IF(AND($D647&lt;&gt;"",$B647=""),"△ 摘要开头没写日期（如 2026.9.21），月份取不到",IF(AND(N($H647)&lt;&gt;0,COUNTIFS($A$4:$A$1003,$A647,$H$4:$H$1003,$H647,$D$4:$D$1003,LEFT($D647,9)&amp;"*")&gt;1),"△ 同一天同项目有一样的销售金额，看看是不是录重了","✓"))))))))</f>
        <v/>
      </c>
      <c r="W647" s="8" t="str">
        <f aca="false">IF($A647="","",$A647&amp;"#"&amp;COUNTIF($A$4:$A647,$A647))</f>
        <v/>
      </c>
    </row>
    <row r="648" customFormat="false" ht="16.5" hidden="false" customHeight="false" outlineLevel="0" collapsed="false">
      <c r="A648" s="44" t="str">
        <f aca="false">IF($C648="","",IFERROR(VLOOKUP($C648,目录!$B:$C,2,0)&amp;"","⚠目录里没有"))</f>
        <v/>
      </c>
      <c r="B648" s="45" t="str">
        <f aca="false">IF($D648="","",IFERROR(MID($D648,FIND(".",$D648)+1,FIND(".",$D648,FIND(".",$D648)+1)-FIND(".",$D648)-1)&amp;"月",""))</f>
        <v/>
      </c>
      <c r="C648" s="46"/>
      <c r="D648" s="47"/>
      <c r="E648" s="47"/>
      <c r="F648" s="49"/>
      <c r="G648" s="50"/>
      <c r="H648" s="24"/>
      <c r="I648" s="24" t="str">
        <f aca="false">IF($H648="","",N($H648)*N($G648))</f>
        <v/>
      </c>
      <c r="J648" s="25" t="str">
        <f aca="false">IF($H648="","",N($H648)-N($I648))</f>
        <v/>
      </c>
      <c r="K648" s="25"/>
      <c r="L648" s="25" t="str">
        <f aca="false">IF($A648="","",SUMIF($A$4:$A648,$A648,$J$4:$J648)-SUMIF($A$4:$A648,$A648,$K$4:$K648))</f>
        <v/>
      </c>
      <c r="M648" s="26" t="str">
        <f aca="false">IF($H648="","",N($H648))</f>
        <v/>
      </c>
      <c r="N648" s="26"/>
      <c r="O648" s="26"/>
      <c r="P648" s="26" t="str">
        <f aca="false">IF($A648="","",SUMIF($A$4:$A648,$A648,$M$4:$M648)-SUMIF($A$4:$A648,$A648,$N$4:$N648)-SUMIF($A$4:$A648,$A648,$O$4:$O648))</f>
        <v/>
      </c>
      <c r="Q648" s="27"/>
      <c r="R648" s="28"/>
      <c r="S648" s="28"/>
      <c r="T648" s="28" t="str">
        <f aca="false">IF($A648="","",SUMIF($A$4:$A648,$A648,$Q$4:$Q648)-SUMIF($A$4:$A648,$A648,$R$4:$R648)-SUMIF($A$4:$A648,$A648,$S$4:$S648))</f>
        <v/>
      </c>
      <c r="U648" s="28"/>
      <c r="V648" s="29" t="str">
        <f aca="false">IF(AND($C648="",COUNTA($D648:$H648,$K648,$N648:$O648,$Q648:$S648,$U648)=0),"",IF($C648="","⚠ 没填项目名称",IF($A648="⚠目录里没有","⚠ 项目名称在目录里找不到（先加到目录）",IF($A648="","⚠ 目录里这个项目没填简称",IF(ISTEXT($G648)+ISTEXT($H648)+ISTEXT($K648)+ISTEXT($N648)+ISTEXT($O648)+ISTEXT($Q648)+ISTEXT($R648)+ISTEXT($S648)&gt;0,"⚠ 金额列里有文字，算不进合计",IF(N($G648)&gt;=1,"⚠ 管理费点要填百分比，如 10%",IF(AND($D648&lt;&gt;"",$B648=""),"△ 摘要开头没写日期（如 2026.9.21），月份取不到",IF(AND(N($H648)&lt;&gt;0,COUNTIFS($A$4:$A$1003,$A648,$H$4:$H$1003,$H648,$D$4:$D$1003,LEFT($D648,9)&amp;"*")&gt;1),"△ 同一天同项目有一样的销售金额，看看是不是录重了","✓"))))))))</f>
        <v/>
      </c>
      <c r="W648" s="8" t="str">
        <f aca="false">IF($A648="","",$A648&amp;"#"&amp;COUNTIF($A$4:$A648,$A648))</f>
        <v/>
      </c>
    </row>
    <row r="649" customFormat="false" ht="16.5" hidden="false" customHeight="false" outlineLevel="0" collapsed="false">
      <c r="A649" s="44" t="str">
        <f aca="false">IF($C649="","",IFERROR(VLOOKUP($C649,目录!$B:$C,2,0)&amp;"","⚠目录里没有"))</f>
        <v/>
      </c>
      <c r="B649" s="45" t="str">
        <f aca="false">IF($D649="","",IFERROR(MID($D649,FIND(".",$D649)+1,FIND(".",$D649,FIND(".",$D649)+1)-FIND(".",$D649)-1)&amp;"月",""))</f>
        <v/>
      </c>
      <c r="C649" s="46"/>
      <c r="D649" s="47"/>
      <c r="E649" s="47"/>
      <c r="F649" s="49"/>
      <c r="G649" s="50"/>
      <c r="H649" s="24"/>
      <c r="I649" s="24" t="str">
        <f aca="false">IF($H649="","",N($H649)*N($G649))</f>
        <v/>
      </c>
      <c r="J649" s="25" t="str">
        <f aca="false">IF($H649="","",N($H649)-N($I649))</f>
        <v/>
      </c>
      <c r="K649" s="25"/>
      <c r="L649" s="25" t="str">
        <f aca="false">IF($A649="","",SUMIF($A$4:$A649,$A649,$J$4:$J649)-SUMIF($A$4:$A649,$A649,$K$4:$K649))</f>
        <v/>
      </c>
      <c r="M649" s="26" t="str">
        <f aca="false">IF($H649="","",N($H649))</f>
        <v/>
      </c>
      <c r="N649" s="26"/>
      <c r="O649" s="26"/>
      <c r="P649" s="26" t="str">
        <f aca="false">IF($A649="","",SUMIF($A$4:$A649,$A649,$M$4:$M649)-SUMIF($A$4:$A649,$A649,$N$4:$N649)-SUMIF($A$4:$A649,$A649,$O$4:$O649))</f>
        <v/>
      </c>
      <c r="Q649" s="27"/>
      <c r="R649" s="28"/>
      <c r="S649" s="28"/>
      <c r="T649" s="28" t="str">
        <f aca="false">IF($A649="","",SUMIF($A$4:$A649,$A649,$Q$4:$Q649)-SUMIF($A$4:$A649,$A649,$R$4:$R649)-SUMIF($A$4:$A649,$A649,$S$4:$S649))</f>
        <v/>
      </c>
      <c r="U649" s="28"/>
      <c r="V649" s="29" t="str">
        <f aca="false">IF(AND($C649="",COUNTA($D649:$H649,$K649,$N649:$O649,$Q649:$S649,$U649)=0),"",IF($C649="","⚠ 没填项目名称",IF($A649="⚠目录里没有","⚠ 项目名称在目录里找不到（先加到目录）",IF($A649="","⚠ 目录里这个项目没填简称",IF(ISTEXT($G649)+ISTEXT($H649)+ISTEXT($K649)+ISTEXT($N649)+ISTEXT($O649)+ISTEXT($Q649)+ISTEXT($R649)+ISTEXT($S649)&gt;0,"⚠ 金额列里有文字，算不进合计",IF(N($G649)&gt;=1,"⚠ 管理费点要填百分比，如 10%",IF(AND($D649&lt;&gt;"",$B649=""),"△ 摘要开头没写日期（如 2026.9.21），月份取不到",IF(AND(N($H649)&lt;&gt;0,COUNTIFS($A$4:$A$1003,$A649,$H$4:$H$1003,$H649,$D$4:$D$1003,LEFT($D649,9)&amp;"*")&gt;1),"△ 同一天同项目有一样的销售金额，看看是不是录重了","✓"))))))))</f>
        <v/>
      </c>
      <c r="W649" s="8" t="str">
        <f aca="false">IF($A649="","",$A649&amp;"#"&amp;COUNTIF($A$4:$A649,$A649))</f>
        <v/>
      </c>
    </row>
    <row r="650" customFormat="false" ht="16.5" hidden="false" customHeight="false" outlineLevel="0" collapsed="false">
      <c r="A650" s="44" t="str">
        <f aca="false">IF($C650="","",IFERROR(VLOOKUP($C650,目录!$B:$C,2,0)&amp;"","⚠目录里没有"))</f>
        <v/>
      </c>
      <c r="B650" s="45" t="str">
        <f aca="false">IF($D650="","",IFERROR(MID($D650,FIND(".",$D650)+1,FIND(".",$D650,FIND(".",$D650)+1)-FIND(".",$D650)-1)&amp;"月",""))</f>
        <v/>
      </c>
      <c r="C650" s="46"/>
      <c r="D650" s="47"/>
      <c r="E650" s="47"/>
      <c r="F650" s="49"/>
      <c r="G650" s="50"/>
      <c r="H650" s="24"/>
      <c r="I650" s="24" t="str">
        <f aca="false">IF($H650="","",N($H650)*N($G650))</f>
        <v/>
      </c>
      <c r="J650" s="25" t="str">
        <f aca="false">IF($H650="","",N($H650)-N($I650))</f>
        <v/>
      </c>
      <c r="K650" s="25"/>
      <c r="L650" s="25" t="str">
        <f aca="false">IF($A650="","",SUMIF($A$4:$A650,$A650,$J$4:$J650)-SUMIF($A$4:$A650,$A650,$K$4:$K650))</f>
        <v/>
      </c>
      <c r="M650" s="26" t="str">
        <f aca="false">IF($H650="","",N($H650))</f>
        <v/>
      </c>
      <c r="N650" s="26"/>
      <c r="O650" s="26"/>
      <c r="P650" s="26" t="str">
        <f aca="false">IF($A650="","",SUMIF($A$4:$A650,$A650,$M$4:$M650)-SUMIF($A$4:$A650,$A650,$N$4:$N650)-SUMIF($A$4:$A650,$A650,$O$4:$O650))</f>
        <v/>
      </c>
      <c r="Q650" s="27"/>
      <c r="R650" s="28"/>
      <c r="S650" s="28"/>
      <c r="T650" s="28" t="str">
        <f aca="false">IF($A650="","",SUMIF($A$4:$A650,$A650,$Q$4:$Q650)-SUMIF($A$4:$A650,$A650,$R$4:$R650)-SUMIF($A$4:$A650,$A650,$S$4:$S650))</f>
        <v/>
      </c>
      <c r="U650" s="28"/>
      <c r="V650" s="29" t="str">
        <f aca="false">IF(AND($C650="",COUNTA($D650:$H650,$K650,$N650:$O650,$Q650:$S650,$U650)=0),"",IF($C650="","⚠ 没填项目名称",IF($A650="⚠目录里没有","⚠ 项目名称在目录里找不到（先加到目录）",IF($A650="","⚠ 目录里这个项目没填简称",IF(ISTEXT($G650)+ISTEXT($H650)+ISTEXT($K650)+ISTEXT($N650)+ISTEXT($O650)+ISTEXT($Q650)+ISTEXT($R650)+ISTEXT($S650)&gt;0,"⚠ 金额列里有文字，算不进合计",IF(N($G650)&gt;=1,"⚠ 管理费点要填百分比，如 10%",IF(AND($D650&lt;&gt;"",$B650=""),"△ 摘要开头没写日期（如 2026.9.21），月份取不到",IF(AND(N($H650)&lt;&gt;0,COUNTIFS($A$4:$A$1003,$A650,$H$4:$H$1003,$H650,$D$4:$D$1003,LEFT($D650,9)&amp;"*")&gt;1),"△ 同一天同项目有一样的销售金额，看看是不是录重了","✓"))))))))</f>
        <v/>
      </c>
      <c r="W650" s="8" t="str">
        <f aca="false">IF($A650="","",$A650&amp;"#"&amp;COUNTIF($A$4:$A650,$A650))</f>
        <v/>
      </c>
    </row>
    <row r="651" customFormat="false" ht="16.5" hidden="false" customHeight="false" outlineLevel="0" collapsed="false">
      <c r="A651" s="44" t="str">
        <f aca="false">IF($C651="","",IFERROR(VLOOKUP($C651,目录!$B:$C,2,0)&amp;"","⚠目录里没有"))</f>
        <v/>
      </c>
      <c r="B651" s="45" t="str">
        <f aca="false">IF($D651="","",IFERROR(MID($D651,FIND(".",$D651)+1,FIND(".",$D651,FIND(".",$D651)+1)-FIND(".",$D651)-1)&amp;"月",""))</f>
        <v/>
      </c>
      <c r="C651" s="46"/>
      <c r="D651" s="47"/>
      <c r="E651" s="47"/>
      <c r="F651" s="49"/>
      <c r="G651" s="50"/>
      <c r="H651" s="24"/>
      <c r="I651" s="24" t="str">
        <f aca="false">IF($H651="","",N($H651)*N($G651))</f>
        <v/>
      </c>
      <c r="J651" s="25" t="str">
        <f aca="false">IF($H651="","",N($H651)-N($I651))</f>
        <v/>
      </c>
      <c r="K651" s="25"/>
      <c r="L651" s="25" t="str">
        <f aca="false">IF($A651="","",SUMIF($A$4:$A651,$A651,$J$4:$J651)-SUMIF($A$4:$A651,$A651,$K$4:$K651))</f>
        <v/>
      </c>
      <c r="M651" s="26" t="str">
        <f aca="false">IF($H651="","",N($H651))</f>
        <v/>
      </c>
      <c r="N651" s="26"/>
      <c r="O651" s="26"/>
      <c r="P651" s="26" t="str">
        <f aca="false">IF($A651="","",SUMIF($A$4:$A651,$A651,$M$4:$M651)-SUMIF($A$4:$A651,$A651,$N$4:$N651)-SUMIF($A$4:$A651,$A651,$O$4:$O651))</f>
        <v/>
      </c>
      <c r="Q651" s="27"/>
      <c r="R651" s="28"/>
      <c r="S651" s="28"/>
      <c r="T651" s="28" t="str">
        <f aca="false">IF($A651="","",SUMIF($A$4:$A651,$A651,$Q$4:$Q651)-SUMIF($A$4:$A651,$A651,$R$4:$R651)-SUMIF($A$4:$A651,$A651,$S$4:$S651))</f>
        <v/>
      </c>
      <c r="U651" s="28"/>
      <c r="V651" s="29" t="str">
        <f aca="false">IF(AND($C651="",COUNTA($D651:$H651,$K651,$N651:$O651,$Q651:$S651,$U651)=0),"",IF($C651="","⚠ 没填项目名称",IF($A651="⚠目录里没有","⚠ 项目名称在目录里找不到（先加到目录）",IF($A651="","⚠ 目录里这个项目没填简称",IF(ISTEXT($G651)+ISTEXT($H651)+ISTEXT($K651)+ISTEXT($N651)+ISTEXT($O651)+ISTEXT($Q651)+ISTEXT($R651)+ISTEXT($S651)&gt;0,"⚠ 金额列里有文字，算不进合计",IF(N($G651)&gt;=1,"⚠ 管理费点要填百分比，如 10%",IF(AND($D651&lt;&gt;"",$B651=""),"△ 摘要开头没写日期（如 2026.9.21），月份取不到",IF(AND(N($H651)&lt;&gt;0,COUNTIFS($A$4:$A$1003,$A651,$H$4:$H$1003,$H651,$D$4:$D$1003,LEFT($D651,9)&amp;"*")&gt;1),"△ 同一天同项目有一样的销售金额，看看是不是录重了","✓"))))))))</f>
        <v/>
      </c>
      <c r="W651" s="8" t="str">
        <f aca="false">IF($A651="","",$A651&amp;"#"&amp;COUNTIF($A$4:$A651,$A651))</f>
        <v/>
      </c>
    </row>
    <row r="652" customFormat="false" ht="16.5" hidden="false" customHeight="false" outlineLevel="0" collapsed="false">
      <c r="A652" s="44" t="str">
        <f aca="false">IF($C652="","",IFERROR(VLOOKUP($C652,目录!$B:$C,2,0)&amp;"","⚠目录里没有"))</f>
        <v/>
      </c>
      <c r="B652" s="45" t="str">
        <f aca="false">IF($D652="","",IFERROR(MID($D652,FIND(".",$D652)+1,FIND(".",$D652,FIND(".",$D652)+1)-FIND(".",$D652)-1)&amp;"月",""))</f>
        <v/>
      </c>
      <c r="C652" s="46"/>
      <c r="D652" s="47"/>
      <c r="E652" s="47"/>
      <c r="F652" s="49"/>
      <c r="G652" s="50"/>
      <c r="H652" s="24"/>
      <c r="I652" s="24" t="str">
        <f aca="false">IF($H652="","",N($H652)*N($G652))</f>
        <v/>
      </c>
      <c r="J652" s="25" t="str">
        <f aca="false">IF($H652="","",N($H652)-N($I652))</f>
        <v/>
      </c>
      <c r="K652" s="25"/>
      <c r="L652" s="25" t="str">
        <f aca="false">IF($A652="","",SUMIF($A$4:$A652,$A652,$J$4:$J652)-SUMIF($A$4:$A652,$A652,$K$4:$K652))</f>
        <v/>
      </c>
      <c r="M652" s="26" t="str">
        <f aca="false">IF($H652="","",N($H652))</f>
        <v/>
      </c>
      <c r="N652" s="26"/>
      <c r="O652" s="26"/>
      <c r="P652" s="26" t="str">
        <f aca="false">IF($A652="","",SUMIF($A$4:$A652,$A652,$M$4:$M652)-SUMIF($A$4:$A652,$A652,$N$4:$N652)-SUMIF($A$4:$A652,$A652,$O$4:$O652))</f>
        <v/>
      </c>
      <c r="Q652" s="27"/>
      <c r="R652" s="28"/>
      <c r="S652" s="28"/>
      <c r="T652" s="28" t="str">
        <f aca="false">IF($A652="","",SUMIF($A$4:$A652,$A652,$Q$4:$Q652)-SUMIF($A$4:$A652,$A652,$R$4:$R652)-SUMIF($A$4:$A652,$A652,$S$4:$S652))</f>
        <v/>
      </c>
      <c r="U652" s="28"/>
      <c r="V652" s="29" t="str">
        <f aca="false">IF(AND($C652="",COUNTA($D652:$H652,$K652,$N652:$O652,$Q652:$S652,$U652)=0),"",IF($C652="","⚠ 没填项目名称",IF($A652="⚠目录里没有","⚠ 项目名称在目录里找不到（先加到目录）",IF($A652="","⚠ 目录里这个项目没填简称",IF(ISTEXT($G652)+ISTEXT($H652)+ISTEXT($K652)+ISTEXT($N652)+ISTEXT($O652)+ISTEXT($Q652)+ISTEXT($R652)+ISTEXT($S652)&gt;0,"⚠ 金额列里有文字，算不进合计",IF(N($G652)&gt;=1,"⚠ 管理费点要填百分比，如 10%",IF(AND($D652&lt;&gt;"",$B652=""),"△ 摘要开头没写日期（如 2026.9.21），月份取不到",IF(AND(N($H652)&lt;&gt;0,COUNTIFS($A$4:$A$1003,$A652,$H$4:$H$1003,$H652,$D$4:$D$1003,LEFT($D652,9)&amp;"*")&gt;1),"△ 同一天同项目有一样的销售金额，看看是不是录重了","✓"))))))))</f>
        <v/>
      </c>
      <c r="W652" s="8" t="str">
        <f aca="false">IF($A652="","",$A652&amp;"#"&amp;COUNTIF($A$4:$A652,$A652))</f>
        <v/>
      </c>
    </row>
    <row r="653" customFormat="false" ht="16.5" hidden="false" customHeight="false" outlineLevel="0" collapsed="false">
      <c r="A653" s="44" t="str">
        <f aca="false">IF($C653="","",IFERROR(VLOOKUP($C653,目录!$B:$C,2,0)&amp;"","⚠目录里没有"))</f>
        <v/>
      </c>
      <c r="B653" s="45" t="str">
        <f aca="false">IF($D653="","",IFERROR(MID($D653,FIND(".",$D653)+1,FIND(".",$D653,FIND(".",$D653)+1)-FIND(".",$D653)-1)&amp;"月",""))</f>
        <v/>
      </c>
      <c r="C653" s="46"/>
      <c r="D653" s="47"/>
      <c r="E653" s="47"/>
      <c r="F653" s="49"/>
      <c r="G653" s="50"/>
      <c r="H653" s="24"/>
      <c r="I653" s="24" t="str">
        <f aca="false">IF($H653="","",N($H653)*N($G653))</f>
        <v/>
      </c>
      <c r="J653" s="25" t="str">
        <f aca="false">IF($H653="","",N($H653)-N($I653))</f>
        <v/>
      </c>
      <c r="K653" s="25"/>
      <c r="L653" s="25" t="str">
        <f aca="false">IF($A653="","",SUMIF($A$4:$A653,$A653,$J$4:$J653)-SUMIF($A$4:$A653,$A653,$K$4:$K653))</f>
        <v/>
      </c>
      <c r="M653" s="26" t="str">
        <f aca="false">IF($H653="","",N($H653))</f>
        <v/>
      </c>
      <c r="N653" s="26"/>
      <c r="O653" s="26"/>
      <c r="P653" s="26" t="str">
        <f aca="false">IF($A653="","",SUMIF($A$4:$A653,$A653,$M$4:$M653)-SUMIF($A$4:$A653,$A653,$N$4:$N653)-SUMIF($A$4:$A653,$A653,$O$4:$O653))</f>
        <v/>
      </c>
      <c r="Q653" s="27"/>
      <c r="R653" s="28"/>
      <c r="S653" s="28"/>
      <c r="T653" s="28" t="str">
        <f aca="false">IF($A653="","",SUMIF($A$4:$A653,$A653,$Q$4:$Q653)-SUMIF($A$4:$A653,$A653,$R$4:$R653)-SUMIF($A$4:$A653,$A653,$S$4:$S653))</f>
        <v/>
      </c>
      <c r="U653" s="28"/>
      <c r="V653" s="29" t="str">
        <f aca="false">IF(AND($C653="",COUNTA($D653:$H653,$K653,$N653:$O653,$Q653:$S653,$U653)=0),"",IF($C653="","⚠ 没填项目名称",IF($A653="⚠目录里没有","⚠ 项目名称在目录里找不到（先加到目录）",IF($A653="","⚠ 目录里这个项目没填简称",IF(ISTEXT($G653)+ISTEXT($H653)+ISTEXT($K653)+ISTEXT($N653)+ISTEXT($O653)+ISTEXT($Q653)+ISTEXT($R653)+ISTEXT($S653)&gt;0,"⚠ 金额列里有文字，算不进合计",IF(N($G653)&gt;=1,"⚠ 管理费点要填百分比，如 10%",IF(AND($D653&lt;&gt;"",$B653=""),"△ 摘要开头没写日期（如 2026.9.21），月份取不到",IF(AND(N($H653)&lt;&gt;0,COUNTIFS($A$4:$A$1003,$A653,$H$4:$H$1003,$H653,$D$4:$D$1003,LEFT($D653,9)&amp;"*")&gt;1),"△ 同一天同项目有一样的销售金额，看看是不是录重了","✓"))))))))</f>
        <v/>
      </c>
      <c r="W653" s="8" t="str">
        <f aca="false">IF($A653="","",$A653&amp;"#"&amp;COUNTIF($A$4:$A653,$A653))</f>
        <v/>
      </c>
    </row>
    <row r="654" customFormat="false" ht="16.5" hidden="false" customHeight="false" outlineLevel="0" collapsed="false">
      <c r="A654" s="44" t="str">
        <f aca="false">IF($C654="","",IFERROR(VLOOKUP($C654,目录!$B:$C,2,0)&amp;"","⚠目录里没有"))</f>
        <v/>
      </c>
      <c r="B654" s="45" t="str">
        <f aca="false">IF($D654="","",IFERROR(MID($D654,FIND(".",$D654)+1,FIND(".",$D654,FIND(".",$D654)+1)-FIND(".",$D654)-1)&amp;"月",""))</f>
        <v/>
      </c>
      <c r="C654" s="46"/>
      <c r="D654" s="47"/>
      <c r="E654" s="47"/>
      <c r="F654" s="49"/>
      <c r="G654" s="50"/>
      <c r="H654" s="24"/>
      <c r="I654" s="24" t="str">
        <f aca="false">IF($H654="","",N($H654)*N($G654))</f>
        <v/>
      </c>
      <c r="J654" s="25" t="str">
        <f aca="false">IF($H654="","",N($H654)-N($I654))</f>
        <v/>
      </c>
      <c r="K654" s="25"/>
      <c r="L654" s="25" t="str">
        <f aca="false">IF($A654="","",SUMIF($A$4:$A654,$A654,$J$4:$J654)-SUMIF($A$4:$A654,$A654,$K$4:$K654))</f>
        <v/>
      </c>
      <c r="M654" s="26" t="str">
        <f aca="false">IF($H654="","",N($H654))</f>
        <v/>
      </c>
      <c r="N654" s="26"/>
      <c r="O654" s="26"/>
      <c r="P654" s="26" t="str">
        <f aca="false">IF($A654="","",SUMIF($A$4:$A654,$A654,$M$4:$M654)-SUMIF($A$4:$A654,$A654,$N$4:$N654)-SUMIF($A$4:$A654,$A654,$O$4:$O654))</f>
        <v/>
      </c>
      <c r="Q654" s="27"/>
      <c r="R654" s="28"/>
      <c r="S654" s="28"/>
      <c r="T654" s="28" t="str">
        <f aca="false">IF($A654="","",SUMIF($A$4:$A654,$A654,$Q$4:$Q654)-SUMIF($A$4:$A654,$A654,$R$4:$R654)-SUMIF($A$4:$A654,$A654,$S$4:$S654))</f>
        <v/>
      </c>
      <c r="U654" s="28"/>
      <c r="V654" s="29" t="str">
        <f aca="false">IF(AND($C654="",COUNTA($D654:$H654,$K654,$N654:$O654,$Q654:$S654,$U654)=0),"",IF($C654="","⚠ 没填项目名称",IF($A654="⚠目录里没有","⚠ 项目名称在目录里找不到（先加到目录）",IF($A654="","⚠ 目录里这个项目没填简称",IF(ISTEXT($G654)+ISTEXT($H654)+ISTEXT($K654)+ISTEXT($N654)+ISTEXT($O654)+ISTEXT($Q654)+ISTEXT($R654)+ISTEXT($S654)&gt;0,"⚠ 金额列里有文字，算不进合计",IF(N($G654)&gt;=1,"⚠ 管理费点要填百分比，如 10%",IF(AND($D654&lt;&gt;"",$B654=""),"△ 摘要开头没写日期（如 2026.9.21），月份取不到",IF(AND(N($H654)&lt;&gt;0,COUNTIFS($A$4:$A$1003,$A654,$H$4:$H$1003,$H654,$D$4:$D$1003,LEFT($D654,9)&amp;"*")&gt;1),"△ 同一天同项目有一样的销售金额，看看是不是录重了","✓"))))))))</f>
        <v/>
      </c>
      <c r="W654" s="8" t="str">
        <f aca="false">IF($A654="","",$A654&amp;"#"&amp;COUNTIF($A$4:$A654,$A654))</f>
        <v/>
      </c>
    </row>
    <row r="655" customFormat="false" ht="16.5" hidden="false" customHeight="false" outlineLevel="0" collapsed="false">
      <c r="A655" s="44" t="str">
        <f aca="false">IF($C655="","",IFERROR(VLOOKUP($C655,目录!$B:$C,2,0)&amp;"","⚠目录里没有"))</f>
        <v/>
      </c>
      <c r="B655" s="45" t="str">
        <f aca="false">IF($D655="","",IFERROR(MID($D655,FIND(".",$D655)+1,FIND(".",$D655,FIND(".",$D655)+1)-FIND(".",$D655)-1)&amp;"月",""))</f>
        <v/>
      </c>
      <c r="C655" s="46"/>
      <c r="D655" s="47"/>
      <c r="E655" s="47"/>
      <c r="F655" s="49"/>
      <c r="G655" s="50"/>
      <c r="H655" s="24"/>
      <c r="I655" s="24" t="str">
        <f aca="false">IF($H655="","",N($H655)*N($G655))</f>
        <v/>
      </c>
      <c r="J655" s="25" t="str">
        <f aca="false">IF($H655="","",N($H655)-N($I655))</f>
        <v/>
      </c>
      <c r="K655" s="25"/>
      <c r="L655" s="25" t="str">
        <f aca="false">IF($A655="","",SUMIF($A$4:$A655,$A655,$J$4:$J655)-SUMIF($A$4:$A655,$A655,$K$4:$K655))</f>
        <v/>
      </c>
      <c r="M655" s="26" t="str">
        <f aca="false">IF($H655="","",N($H655))</f>
        <v/>
      </c>
      <c r="N655" s="26"/>
      <c r="O655" s="26"/>
      <c r="P655" s="26" t="str">
        <f aca="false">IF($A655="","",SUMIF($A$4:$A655,$A655,$M$4:$M655)-SUMIF($A$4:$A655,$A655,$N$4:$N655)-SUMIF($A$4:$A655,$A655,$O$4:$O655))</f>
        <v/>
      </c>
      <c r="Q655" s="27"/>
      <c r="R655" s="28"/>
      <c r="S655" s="28"/>
      <c r="T655" s="28" t="str">
        <f aca="false">IF($A655="","",SUMIF($A$4:$A655,$A655,$Q$4:$Q655)-SUMIF($A$4:$A655,$A655,$R$4:$R655)-SUMIF($A$4:$A655,$A655,$S$4:$S655))</f>
        <v/>
      </c>
      <c r="U655" s="28"/>
      <c r="V655" s="29" t="str">
        <f aca="false">IF(AND($C655="",COUNTA($D655:$H655,$K655,$N655:$O655,$Q655:$S655,$U655)=0),"",IF($C655="","⚠ 没填项目名称",IF($A655="⚠目录里没有","⚠ 项目名称在目录里找不到（先加到目录）",IF($A655="","⚠ 目录里这个项目没填简称",IF(ISTEXT($G655)+ISTEXT($H655)+ISTEXT($K655)+ISTEXT($N655)+ISTEXT($O655)+ISTEXT($Q655)+ISTEXT($R655)+ISTEXT($S655)&gt;0,"⚠ 金额列里有文字，算不进合计",IF(N($G655)&gt;=1,"⚠ 管理费点要填百分比，如 10%",IF(AND($D655&lt;&gt;"",$B655=""),"△ 摘要开头没写日期（如 2026.9.21），月份取不到",IF(AND(N($H655)&lt;&gt;0,COUNTIFS($A$4:$A$1003,$A655,$H$4:$H$1003,$H655,$D$4:$D$1003,LEFT($D655,9)&amp;"*")&gt;1),"△ 同一天同项目有一样的销售金额，看看是不是录重了","✓"))))))))</f>
        <v/>
      </c>
      <c r="W655" s="8" t="str">
        <f aca="false">IF($A655="","",$A655&amp;"#"&amp;COUNTIF($A$4:$A655,$A655))</f>
        <v/>
      </c>
    </row>
    <row r="656" customFormat="false" ht="16.5" hidden="false" customHeight="false" outlineLevel="0" collapsed="false">
      <c r="A656" s="44" t="str">
        <f aca="false">IF($C656="","",IFERROR(VLOOKUP($C656,目录!$B:$C,2,0)&amp;"","⚠目录里没有"))</f>
        <v/>
      </c>
      <c r="B656" s="45" t="str">
        <f aca="false">IF($D656="","",IFERROR(MID($D656,FIND(".",$D656)+1,FIND(".",$D656,FIND(".",$D656)+1)-FIND(".",$D656)-1)&amp;"月",""))</f>
        <v/>
      </c>
      <c r="C656" s="46"/>
      <c r="D656" s="47"/>
      <c r="E656" s="47"/>
      <c r="F656" s="49"/>
      <c r="G656" s="50"/>
      <c r="H656" s="24"/>
      <c r="I656" s="24" t="str">
        <f aca="false">IF($H656="","",N($H656)*N($G656))</f>
        <v/>
      </c>
      <c r="J656" s="25" t="str">
        <f aca="false">IF($H656="","",N($H656)-N($I656))</f>
        <v/>
      </c>
      <c r="K656" s="25"/>
      <c r="L656" s="25" t="str">
        <f aca="false">IF($A656="","",SUMIF($A$4:$A656,$A656,$J$4:$J656)-SUMIF($A$4:$A656,$A656,$K$4:$K656))</f>
        <v/>
      </c>
      <c r="M656" s="26" t="str">
        <f aca="false">IF($H656="","",N($H656))</f>
        <v/>
      </c>
      <c r="N656" s="26"/>
      <c r="O656" s="26"/>
      <c r="P656" s="26" t="str">
        <f aca="false">IF($A656="","",SUMIF($A$4:$A656,$A656,$M$4:$M656)-SUMIF($A$4:$A656,$A656,$N$4:$N656)-SUMIF($A$4:$A656,$A656,$O$4:$O656))</f>
        <v/>
      </c>
      <c r="Q656" s="27"/>
      <c r="R656" s="28"/>
      <c r="S656" s="28"/>
      <c r="T656" s="28" t="str">
        <f aca="false">IF($A656="","",SUMIF($A$4:$A656,$A656,$Q$4:$Q656)-SUMIF($A$4:$A656,$A656,$R$4:$R656)-SUMIF($A$4:$A656,$A656,$S$4:$S656))</f>
        <v/>
      </c>
      <c r="U656" s="28"/>
      <c r="V656" s="29" t="str">
        <f aca="false">IF(AND($C656="",COUNTA($D656:$H656,$K656,$N656:$O656,$Q656:$S656,$U656)=0),"",IF($C656="","⚠ 没填项目名称",IF($A656="⚠目录里没有","⚠ 项目名称在目录里找不到（先加到目录）",IF($A656="","⚠ 目录里这个项目没填简称",IF(ISTEXT($G656)+ISTEXT($H656)+ISTEXT($K656)+ISTEXT($N656)+ISTEXT($O656)+ISTEXT($Q656)+ISTEXT($R656)+ISTEXT($S656)&gt;0,"⚠ 金额列里有文字，算不进合计",IF(N($G656)&gt;=1,"⚠ 管理费点要填百分比，如 10%",IF(AND($D656&lt;&gt;"",$B656=""),"△ 摘要开头没写日期（如 2026.9.21），月份取不到",IF(AND(N($H656)&lt;&gt;0,COUNTIFS($A$4:$A$1003,$A656,$H$4:$H$1003,$H656,$D$4:$D$1003,LEFT($D656,9)&amp;"*")&gt;1),"△ 同一天同项目有一样的销售金额，看看是不是录重了","✓"))))))))</f>
        <v/>
      </c>
      <c r="W656" s="8" t="str">
        <f aca="false">IF($A656="","",$A656&amp;"#"&amp;COUNTIF($A$4:$A656,$A656))</f>
        <v/>
      </c>
    </row>
    <row r="657" customFormat="false" ht="16.5" hidden="false" customHeight="false" outlineLevel="0" collapsed="false">
      <c r="A657" s="44" t="str">
        <f aca="false">IF($C657="","",IFERROR(VLOOKUP($C657,目录!$B:$C,2,0)&amp;"","⚠目录里没有"))</f>
        <v/>
      </c>
      <c r="B657" s="45" t="str">
        <f aca="false">IF($D657="","",IFERROR(MID($D657,FIND(".",$D657)+1,FIND(".",$D657,FIND(".",$D657)+1)-FIND(".",$D657)-1)&amp;"月",""))</f>
        <v/>
      </c>
      <c r="C657" s="46"/>
      <c r="D657" s="47"/>
      <c r="E657" s="47"/>
      <c r="F657" s="49"/>
      <c r="G657" s="50"/>
      <c r="H657" s="24"/>
      <c r="I657" s="24" t="str">
        <f aca="false">IF($H657="","",N($H657)*N($G657))</f>
        <v/>
      </c>
      <c r="J657" s="25" t="str">
        <f aca="false">IF($H657="","",N($H657)-N($I657))</f>
        <v/>
      </c>
      <c r="K657" s="25"/>
      <c r="L657" s="25" t="str">
        <f aca="false">IF($A657="","",SUMIF($A$4:$A657,$A657,$J$4:$J657)-SUMIF($A$4:$A657,$A657,$K$4:$K657))</f>
        <v/>
      </c>
      <c r="M657" s="26" t="str">
        <f aca="false">IF($H657="","",N($H657))</f>
        <v/>
      </c>
      <c r="N657" s="26"/>
      <c r="O657" s="26"/>
      <c r="P657" s="26" t="str">
        <f aca="false">IF($A657="","",SUMIF($A$4:$A657,$A657,$M$4:$M657)-SUMIF($A$4:$A657,$A657,$N$4:$N657)-SUMIF($A$4:$A657,$A657,$O$4:$O657))</f>
        <v/>
      </c>
      <c r="Q657" s="27"/>
      <c r="R657" s="28"/>
      <c r="S657" s="28"/>
      <c r="T657" s="28" t="str">
        <f aca="false">IF($A657="","",SUMIF($A$4:$A657,$A657,$Q$4:$Q657)-SUMIF($A$4:$A657,$A657,$R$4:$R657)-SUMIF($A$4:$A657,$A657,$S$4:$S657))</f>
        <v/>
      </c>
      <c r="U657" s="28"/>
      <c r="V657" s="29" t="str">
        <f aca="false">IF(AND($C657="",COUNTA($D657:$H657,$K657,$N657:$O657,$Q657:$S657,$U657)=0),"",IF($C657="","⚠ 没填项目名称",IF($A657="⚠目录里没有","⚠ 项目名称在目录里找不到（先加到目录）",IF($A657="","⚠ 目录里这个项目没填简称",IF(ISTEXT($G657)+ISTEXT($H657)+ISTEXT($K657)+ISTEXT($N657)+ISTEXT($O657)+ISTEXT($Q657)+ISTEXT($R657)+ISTEXT($S657)&gt;0,"⚠ 金额列里有文字，算不进合计",IF(N($G657)&gt;=1,"⚠ 管理费点要填百分比，如 10%",IF(AND($D657&lt;&gt;"",$B657=""),"△ 摘要开头没写日期（如 2026.9.21），月份取不到",IF(AND(N($H657)&lt;&gt;0,COUNTIFS($A$4:$A$1003,$A657,$H$4:$H$1003,$H657,$D$4:$D$1003,LEFT($D657,9)&amp;"*")&gt;1),"△ 同一天同项目有一样的销售金额，看看是不是录重了","✓"))))))))</f>
        <v/>
      </c>
      <c r="W657" s="8" t="str">
        <f aca="false">IF($A657="","",$A657&amp;"#"&amp;COUNTIF($A$4:$A657,$A657))</f>
        <v/>
      </c>
    </row>
    <row r="658" customFormat="false" ht="16.5" hidden="false" customHeight="false" outlineLevel="0" collapsed="false">
      <c r="A658" s="44" t="str">
        <f aca="false">IF($C658="","",IFERROR(VLOOKUP($C658,目录!$B:$C,2,0)&amp;"","⚠目录里没有"))</f>
        <v/>
      </c>
      <c r="B658" s="45" t="str">
        <f aca="false">IF($D658="","",IFERROR(MID($D658,FIND(".",$D658)+1,FIND(".",$D658,FIND(".",$D658)+1)-FIND(".",$D658)-1)&amp;"月",""))</f>
        <v/>
      </c>
      <c r="C658" s="46"/>
      <c r="D658" s="47"/>
      <c r="E658" s="47"/>
      <c r="F658" s="49"/>
      <c r="G658" s="50"/>
      <c r="H658" s="24"/>
      <c r="I658" s="24" t="str">
        <f aca="false">IF($H658="","",N($H658)*N($G658))</f>
        <v/>
      </c>
      <c r="J658" s="25" t="str">
        <f aca="false">IF($H658="","",N($H658)-N($I658))</f>
        <v/>
      </c>
      <c r="K658" s="25"/>
      <c r="L658" s="25" t="str">
        <f aca="false">IF($A658="","",SUMIF($A$4:$A658,$A658,$J$4:$J658)-SUMIF($A$4:$A658,$A658,$K$4:$K658))</f>
        <v/>
      </c>
      <c r="M658" s="26" t="str">
        <f aca="false">IF($H658="","",N($H658))</f>
        <v/>
      </c>
      <c r="N658" s="26"/>
      <c r="O658" s="26"/>
      <c r="P658" s="26" t="str">
        <f aca="false">IF($A658="","",SUMIF($A$4:$A658,$A658,$M$4:$M658)-SUMIF($A$4:$A658,$A658,$N$4:$N658)-SUMIF($A$4:$A658,$A658,$O$4:$O658))</f>
        <v/>
      </c>
      <c r="Q658" s="27"/>
      <c r="R658" s="28"/>
      <c r="S658" s="28"/>
      <c r="T658" s="28" t="str">
        <f aca="false">IF($A658="","",SUMIF($A$4:$A658,$A658,$Q$4:$Q658)-SUMIF($A$4:$A658,$A658,$R$4:$R658)-SUMIF($A$4:$A658,$A658,$S$4:$S658))</f>
        <v/>
      </c>
      <c r="U658" s="28"/>
      <c r="V658" s="29" t="str">
        <f aca="false">IF(AND($C658="",COUNTA($D658:$H658,$K658,$N658:$O658,$Q658:$S658,$U658)=0),"",IF($C658="","⚠ 没填项目名称",IF($A658="⚠目录里没有","⚠ 项目名称在目录里找不到（先加到目录）",IF($A658="","⚠ 目录里这个项目没填简称",IF(ISTEXT($G658)+ISTEXT($H658)+ISTEXT($K658)+ISTEXT($N658)+ISTEXT($O658)+ISTEXT($Q658)+ISTEXT($R658)+ISTEXT($S658)&gt;0,"⚠ 金额列里有文字，算不进合计",IF(N($G658)&gt;=1,"⚠ 管理费点要填百分比，如 10%",IF(AND($D658&lt;&gt;"",$B658=""),"△ 摘要开头没写日期（如 2026.9.21），月份取不到",IF(AND(N($H658)&lt;&gt;0,COUNTIFS($A$4:$A$1003,$A658,$H$4:$H$1003,$H658,$D$4:$D$1003,LEFT($D658,9)&amp;"*")&gt;1),"△ 同一天同项目有一样的销售金额，看看是不是录重了","✓"))))))))</f>
        <v/>
      </c>
      <c r="W658" s="8" t="str">
        <f aca="false">IF($A658="","",$A658&amp;"#"&amp;COUNTIF($A$4:$A658,$A658))</f>
        <v/>
      </c>
    </row>
    <row r="659" customFormat="false" ht="16.5" hidden="false" customHeight="false" outlineLevel="0" collapsed="false">
      <c r="A659" s="44" t="str">
        <f aca="false">IF($C659="","",IFERROR(VLOOKUP($C659,目录!$B:$C,2,0)&amp;"","⚠目录里没有"))</f>
        <v/>
      </c>
      <c r="B659" s="45" t="str">
        <f aca="false">IF($D659="","",IFERROR(MID($D659,FIND(".",$D659)+1,FIND(".",$D659,FIND(".",$D659)+1)-FIND(".",$D659)-1)&amp;"月",""))</f>
        <v/>
      </c>
      <c r="C659" s="46"/>
      <c r="D659" s="47"/>
      <c r="E659" s="47"/>
      <c r="F659" s="49"/>
      <c r="G659" s="50"/>
      <c r="H659" s="24"/>
      <c r="I659" s="24" t="str">
        <f aca="false">IF($H659="","",N($H659)*N($G659))</f>
        <v/>
      </c>
      <c r="J659" s="25" t="str">
        <f aca="false">IF($H659="","",N($H659)-N($I659))</f>
        <v/>
      </c>
      <c r="K659" s="25"/>
      <c r="L659" s="25" t="str">
        <f aca="false">IF($A659="","",SUMIF($A$4:$A659,$A659,$J$4:$J659)-SUMIF($A$4:$A659,$A659,$K$4:$K659))</f>
        <v/>
      </c>
      <c r="M659" s="26" t="str">
        <f aca="false">IF($H659="","",N($H659))</f>
        <v/>
      </c>
      <c r="N659" s="26"/>
      <c r="O659" s="26"/>
      <c r="P659" s="26" t="str">
        <f aca="false">IF($A659="","",SUMIF($A$4:$A659,$A659,$M$4:$M659)-SUMIF($A$4:$A659,$A659,$N$4:$N659)-SUMIF($A$4:$A659,$A659,$O$4:$O659))</f>
        <v/>
      </c>
      <c r="Q659" s="27"/>
      <c r="R659" s="28"/>
      <c r="S659" s="28"/>
      <c r="T659" s="28" t="str">
        <f aca="false">IF($A659="","",SUMIF($A$4:$A659,$A659,$Q$4:$Q659)-SUMIF($A$4:$A659,$A659,$R$4:$R659)-SUMIF($A$4:$A659,$A659,$S$4:$S659))</f>
        <v/>
      </c>
      <c r="U659" s="28"/>
      <c r="V659" s="29" t="str">
        <f aca="false">IF(AND($C659="",COUNTA($D659:$H659,$K659,$N659:$O659,$Q659:$S659,$U659)=0),"",IF($C659="","⚠ 没填项目名称",IF($A659="⚠目录里没有","⚠ 项目名称在目录里找不到（先加到目录）",IF($A659="","⚠ 目录里这个项目没填简称",IF(ISTEXT($G659)+ISTEXT($H659)+ISTEXT($K659)+ISTEXT($N659)+ISTEXT($O659)+ISTEXT($Q659)+ISTEXT($R659)+ISTEXT($S659)&gt;0,"⚠ 金额列里有文字，算不进合计",IF(N($G659)&gt;=1,"⚠ 管理费点要填百分比，如 10%",IF(AND($D659&lt;&gt;"",$B659=""),"△ 摘要开头没写日期（如 2026.9.21），月份取不到",IF(AND(N($H659)&lt;&gt;0,COUNTIFS($A$4:$A$1003,$A659,$H$4:$H$1003,$H659,$D$4:$D$1003,LEFT($D659,9)&amp;"*")&gt;1),"△ 同一天同项目有一样的销售金额，看看是不是录重了","✓"))))))))</f>
        <v/>
      </c>
      <c r="W659" s="8" t="str">
        <f aca="false">IF($A659="","",$A659&amp;"#"&amp;COUNTIF($A$4:$A659,$A659))</f>
        <v/>
      </c>
    </row>
    <row r="660" customFormat="false" ht="16.5" hidden="false" customHeight="false" outlineLevel="0" collapsed="false">
      <c r="A660" s="44" t="str">
        <f aca="false">IF($C660="","",IFERROR(VLOOKUP($C660,目录!$B:$C,2,0)&amp;"","⚠目录里没有"))</f>
        <v/>
      </c>
      <c r="B660" s="45" t="str">
        <f aca="false">IF($D660="","",IFERROR(MID($D660,FIND(".",$D660)+1,FIND(".",$D660,FIND(".",$D660)+1)-FIND(".",$D660)-1)&amp;"月",""))</f>
        <v/>
      </c>
      <c r="C660" s="46"/>
      <c r="D660" s="47"/>
      <c r="E660" s="47"/>
      <c r="F660" s="49"/>
      <c r="G660" s="50"/>
      <c r="H660" s="24"/>
      <c r="I660" s="24" t="str">
        <f aca="false">IF($H660="","",N($H660)*N($G660))</f>
        <v/>
      </c>
      <c r="J660" s="25" t="str">
        <f aca="false">IF($H660="","",N($H660)-N($I660))</f>
        <v/>
      </c>
      <c r="K660" s="25"/>
      <c r="L660" s="25" t="str">
        <f aca="false">IF($A660="","",SUMIF($A$4:$A660,$A660,$J$4:$J660)-SUMIF($A$4:$A660,$A660,$K$4:$K660))</f>
        <v/>
      </c>
      <c r="M660" s="26" t="str">
        <f aca="false">IF($H660="","",N($H660))</f>
        <v/>
      </c>
      <c r="N660" s="26"/>
      <c r="O660" s="26"/>
      <c r="P660" s="26" t="str">
        <f aca="false">IF($A660="","",SUMIF($A$4:$A660,$A660,$M$4:$M660)-SUMIF($A$4:$A660,$A660,$N$4:$N660)-SUMIF($A$4:$A660,$A660,$O$4:$O660))</f>
        <v/>
      </c>
      <c r="Q660" s="27"/>
      <c r="R660" s="28"/>
      <c r="S660" s="28"/>
      <c r="T660" s="28" t="str">
        <f aca="false">IF($A660="","",SUMIF($A$4:$A660,$A660,$Q$4:$Q660)-SUMIF($A$4:$A660,$A660,$R$4:$R660)-SUMIF($A$4:$A660,$A660,$S$4:$S660))</f>
        <v/>
      </c>
      <c r="U660" s="28"/>
      <c r="V660" s="29" t="str">
        <f aca="false">IF(AND($C660="",COUNTA($D660:$H660,$K660,$N660:$O660,$Q660:$S660,$U660)=0),"",IF($C660="","⚠ 没填项目名称",IF($A660="⚠目录里没有","⚠ 项目名称在目录里找不到（先加到目录）",IF($A660="","⚠ 目录里这个项目没填简称",IF(ISTEXT($G660)+ISTEXT($H660)+ISTEXT($K660)+ISTEXT($N660)+ISTEXT($O660)+ISTEXT($Q660)+ISTEXT($R660)+ISTEXT($S660)&gt;0,"⚠ 金额列里有文字，算不进合计",IF(N($G660)&gt;=1,"⚠ 管理费点要填百分比，如 10%",IF(AND($D660&lt;&gt;"",$B660=""),"△ 摘要开头没写日期（如 2026.9.21），月份取不到",IF(AND(N($H660)&lt;&gt;0,COUNTIFS($A$4:$A$1003,$A660,$H$4:$H$1003,$H660,$D$4:$D$1003,LEFT($D660,9)&amp;"*")&gt;1),"△ 同一天同项目有一样的销售金额，看看是不是录重了","✓"))))))))</f>
        <v/>
      </c>
      <c r="W660" s="8" t="str">
        <f aca="false">IF($A660="","",$A660&amp;"#"&amp;COUNTIF($A$4:$A660,$A660))</f>
        <v/>
      </c>
    </row>
    <row r="661" customFormat="false" ht="16.5" hidden="false" customHeight="false" outlineLevel="0" collapsed="false">
      <c r="A661" s="44" t="str">
        <f aca="false">IF($C661="","",IFERROR(VLOOKUP($C661,目录!$B:$C,2,0)&amp;"","⚠目录里没有"))</f>
        <v/>
      </c>
      <c r="B661" s="45" t="str">
        <f aca="false">IF($D661="","",IFERROR(MID($D661,FIND(".",$D661)+1,FIND(".",$D661,FIND(".",$D661)+1)-FIND(".",$D661)-1)&amp;"月",""))</f>
        <v/>
      </c>
      <c r="C661" s="46"/>
      <c r="D661" s="47"/>
      <c r="E661" s="47"/>
      <c r="F661" s="49"/>
      <c r="G661" s="50"/>
      <c r="H661" s="24"/>
      <c r="I661" s="24" t="str">
        <f aca="false">IF($H661="","",N($H661)*N($G661))</f>
        <v/>
      </c>
      <c r="J661" s="25" t="str">
        <f aca="false">IF($H661="","",N($H661)-N($I661))</f>
        <v/>
      </c>
      <c r="K661" s="25"/>
      <c r="L661" s="25" t="str">
        <f aca="false">IF($A661="","",SUMIF($A$4:$A661,$A661,$J$4:$J661)-SUMIF($A$4:$A661,$A661,$K$4:$K661))</f>
        <v/>
      </c>
      <c r="M661" s="26" t="str">
        <f aca="false">IF($H661="","",N($H661))</f>
        <v/>
      </c>
      <c r="N661" s="26"/>
      <c r="O661" s="26"/>
      <c r="P661" s="26" t="str">
        <f aca="false">IF($A661="","",SUMIF($A$4:$A661,$A661,$M$4:$M661)-SUMIF($A$4:$A661,$A661,$N$4:$N661)-SUMIF($A$4:$A661,$A661,$O$4:$O661))</f>
        <v/>
      </c>
      <c r="Q661" s="27"/>
      <c r="R661" s="28"/>
      <c r="S661" s="28"/>
      <c r="T661" s="28" t="str">
        <f aca="false">IF($A661="","",SUMIF($A$4:$A661,$A661,$Q$4:$Q661)-SUMIF($A$4:$A661,$A661,$R$4:$R661)-SUMIF($A$4:$A661,$A661,$S$4:$S661))</f>
        <v/>
      </c>
      <c r="U661" s="28"/>
      <c r="V661" s="29" t="str">
        <f aca="false">IF(AND($C661="",COUNTA($D661:$H661,$K661,$N661:$O661,$Q661:$S661,$U661)=0),"",IF($C661="","⚠ 没填项目名称",IF($A661="⚠目录里没有","⚠ 项目名称在目录里找不到（先加到目录）",IF($A661="","⚠ 目录里这个项目没填简称",IF(ISTEXT($G661)+ISTEXT($H661)+ISTEXT($K661)+ISTEXT($N661)+ISTEXT($O661)+ISTEXT($Q661)+ISTEXT($R661)+ISTEXT($S661)&gt;0,"⚠ 金额列里有文字，算不进合计",IF(N($G661)&gt;=1,"⚠ 管理费点要填百分比，如 10%",IF(AND($D661&lt;&gt;"",$B661=""),"△ 摘要开头没写日期（如 2026.9.21），月份取不到",IF(AND(N($H661)&lt;&gt;0,COUNTIFS($A$4:$A$1003,$A661,$H$4:$H$1003,$H661,$D$4:$D$1003,LEFT($D661,9)&amp;"*")&gt;1),"△ 同一天同项目有一样的销售金额，看看是不是录重了","✓"))))))))</f>
        <v/>
      </c>
      <c r="W661" s="8" t="str">
        <f aca="false">IF($A661="","",$A661&amp;"#"&amp;COUNTIF($A$4:$A661,$A661))</f>
        <v/>
      </c>
    </row>
    <row r="662" customFormat="false" ht="16.5" hidden="false" customHeight="false" outlineLevel="0" collapsed="false">
      <c r="A662" s="44" t="str">
        <f aca="false">IF($C662="","",IFERROR(VLOOKUP($C662,目录!$B:$C,2,0)&amp;"","⚠目录里没有"))</f>
        <v/>
      </c>
      <c r="B662" s="45" t="str">
        <f aca="false">IF($D662="","",IFERROR(MID($D662,FIND(".",$D662)+1,FIND(".",$D662,FIND(".",$D662)+1)-FIND(".",$D662)-1)&amp;"月",""))</f>
        <v/>
      </c>
      <c r="C662" s="46"/>
      <c r="D662" s="47"/>
      <c r="E662" s="47"/>
      <c r="F662" s="49"/>
      <c r="G662" s="50"/>
      <c r="H662" s="24"/>
      <c r="I662" s="24" t="str">
        <f aca="false">IF($H662="","",N($H662)*N($G662))</f>
        <v/>
      </c>
      <c r="J662" s="25" t="str">
        <f aca="false">IF($H662="","",N($H662)-N($I662))</f>
        <v/>
      </c>
      <c r="K662" s="25"/>
      <c r="L662" s="25" t="str">
        <f aca="false">IF($A662="","",SUMIF($A$4:$A662,$A662,$J$4:$J662)-SUMIF($A$4:$A662,$A662,$K$4:$K662))</f>
        <v/>
      </c>
      <c r="M662" s="26" t="str">
        <f aca="false">IF($H662="","",N($H662))</f>
        <v/>
      </c>
      <c r="N662" s="26"/>
      <c r="O662" s="26"/>
      <c r="P662" s="26" t="str">
        <f aca="false">IF($A662="","",SUMIF($A$4:$A662,$A662,$M$4:$M662)-SUMIF($A$4:$A662,$A662,$N$4:$N662)-SUMIF($A$4:$A662,$A662,$O$4:$O662))</f>
        <v/>
      </c>
      <c r="Q662" s="27"/>
      <c r="R662" s="28"/>
      <c r="S662" s="28"/>
      <c r="T662" s="28" t="str">
        <f aca="false">IF($A662="","",SUMIF($A$4:$A662,$A662,$Q$4:$Q662)-SUMIF($A$4:$A662,$A662,$R$4:$R662)-SUMIF($A$4:$A662,$A662,$S$4:$S662))</f>
        <v/>
      </c>
      <c r="U662" s="28"/>
      <c r="V662" s="29" t="str">
        <f aca="false">IF(AND($C662="",COUNTA($D662:$H662,$K662,$N662:$O662,$Q662:$S662,$U662)=0),"",IF($C662="","⚠ 没填项目名称",IF($A662="⚠目录里没有","⚠ 项目名称在目录里找不到（先加到目录）",IF($A662="","⚠ 目录里这个项目没填简称",IF(ISTEXT($G662)+ISTEXT($H662)+ISTEXT($K662)+ISTEXT($N662)+ISTEXT($O662)+ISTEXT($Q662)+ISTEXT($R662)+ISTEXT($S662)&gt;0,"⚠ 金额列里有文字，算不进合计",IF(N($G662)&gt;=1,"⚠ 管理费点要填百分比，如 10%",IF(AND($D662&lt;&gt;"",$B662=""),"△ 摘要开头没写日期（如 2026.9.21），月份取不到",IF(AND(N($H662)&lt;&gt;0,COUNTIFS($A$4:$A$1003,$A662,$H$4:$H$1003,$H662,$D$4:$D$1003,LEFT($D662,9)&amp;"*")&gt;1),"△ 同一天同项目有一样的销售金额，看看是不是录重了","✓"))))))))</f>
        <v/>
      </c>
      <c r="W662" s="8" t="str">
        <f aca="false">IF($A662="","",$A662&amp;"#"&amp;COUNTIF($A$4:$A662,$A662))</f>
        <v/>
      </c>
    </row>
    <row r="663" customFormat="false" ht="16.5" hidden="false" customHeight="false" outlineLevel="0" collapsed="false">
      <c r="A663" s="44" t="str">
        <f aca="false">IF($C663="","",IFERROR(VLOOKUP($C663,目录!$B:$C,2,0)&amp;"","⚠目录里没有"))</f>
        <v/>
      </c>
      <c r="B663" s="45" t="str">
        <f aca="false">IF($D663="","",IFERROR(MID($D663,FIND(".",$D663)+1,FIND(".",$D663,FIND(".",$D663)+1)-FIND(".",$D663)-1)&amp;"月",""))</f>
        <v/>
      </c>
      <c r="C663" s="46"/>
      <c r="D663" s="47"/>
      <c r="E663" s="47"/>
      <c r="F663" s="49"/>
      <c r="G663" s="50"/>
      <c r="H663" s="24"/>
      <c r="I663" s="24" t="str">
        <f aca="false">IF($H663="","",N($H663)*N($G663))</f>
        <v/>
      </c>
      <c r="J663" s="25" t="str">
        <f aca="false">IF($H663="","",N($H663)-N($I663))</f>
        <v/>
      </c>
      <c r="K663" s="25"/>
      <c r="L663" s="25" t="str">
        <f aca="false">IF($A663="","",SUMIF($A$4:$A663,$A663,$J$4:$J663)-SUMIF($A$4:$A663,$A663,$K$4:$K663))</f>
        <v/>
      </c>
      <c r="M663" s="26" t="str">
        <f aca="false">IF($H663="","",N($H663))</f>
        <v/>
      </c>
      <c r="N663" s="26"/>
      <c r="O663" s="26"/>
      <c r="P663" s="26" t="str">
        <f aca="false">IF($A663="","",SUMIF($A$4:$A663,$A663,$M$4:$M663)-SUMIF($A$4:$A663,$A663,$N$4:$N663)-SUMIF($A$4:$A663,$A663,$O$4:$O663))</f>
        <v/>
      </c>
      <c r="Q663" s="27"/>
      <c r="R663" s="28"/>
      <c r="S663" s="28"/>
      <c r="T663" s="28" t="str">
        <f aca="false">IF($A663="","",SUMIF($A$4:$A663,$A663,$Q$4:$Q663)-SUMIF($A$4:$A663,$A663,$R$4:$R663)-SUMIF($A$4:$A663,$A663,$S$4:$S663))</f>
        <v/>
      </c>
      <c r="U663" s="28"/>
      <c r="V663" s="29" t="str">
        <f aca="false">IF(AND($C663="",COUNTA($D663:$H663,$K663,$N663:$O663,$Q663:$S663,$U663)=0),"",IF($C663="","⚠ 没填项目名称",IF($A663="⚠目录里没有","⚠ 项目名称在目录里找不到（先加到目录）",IF($A663="","⚠ 目录里这个项目没填简称",IF(ISTEXT($G663)+ISTEXT($H663)+ISTEXT($K663)+ISTEXT($N663)+ISTEXT($O663)+ISTEXT($Q663)+ISTEXT($R663)+ISTEXT($S663)&gt;0,"⚠ 金额列里有文字，算不进合计",IF(N($G663)&gt;=1,"⚠ 管理费点要填百分比，如 10%",IF(AND($D663&lt;&gt;"",$B663=""),"△ 摘要开头没写日期（如 2026.9.21），月份取不到",IF(AND(N($H663)&lt;&gt;0,COUNTIFS($A$4:$A$1003,$A663,$H$4:$H$1003,$H663,$D$4:$D$1003,LEFT($D663,9)&amp;"*")&gt;1),"△ 同一天同项目有一样的销售金额，看看是不是录重了","✓"))))))))</f>
        <v/>
      </c>
      <c r="W663" s="8" t="str">
        <f aca="false">IF($A663="","",$A663&amp;"#"&amp;COUNTIF($A$4:$A663,$A663))</f>
        <v/>
      </c>
    </row>
    <row r="664" customFormat="false" ht="16.5" hidden="false" customHeight="false" outlineLevel="0" collapsed="false">
      <c r="A664" s="44" t="str">
        <f aca="false">IF($C664="","",IFERROR(VLOOKUP($C664,目录!$B:$C,2,0)&amp;"","⚠目录里没有"))</f>
        <v/>
      </c>
      <c r="B664" s="45" t="str">
        <f aca="false">IF($D664="","",IFERROR(MID($D664,FIND(".",$D664)+1,FIND(".",$D664,FIND(".",$D664)+1)-FIND(".",$D664)-1)&amp;"月",""))</f>
        <v/>
      </c>
      <c r="C664" s="46"/>
      <c r="D664" s="47"/>
      <c r="E664" s="47"/>
      <c r="F664" s="49"/>
      <c r="G664" s="50"/>
      <c r="H664" s="24"/>
      <c r="I664" s="24" t="str">
        <f aca="false">IF($H664="","",N($H664)*N($G664))</f>
        <v/>
      </c>
      <c r="J664" s="25" t="str">
        <f aca="false">IF($H664="","",N($H664)-N($I664))</f>
        <v/>
      </c>
      <c r="K664" s="25"/>
      <c r="L664" s="25" t="str">
        <f aca="false">IF($A664="","",SUMIF($A$4:$A664,$A664,$J$4:$J664)-SUMIF($A$4:$A664,$A664,$K$4:$K664))</f>
        <v/>
      </c>
      <c r="M664" s="26" t="str">
        <f aca="false">IF($H664="","",N($H664))</f>
        <v/>
      </c>
      <c r="N664" s="26"/>
      <c r="O664" s="26"/>
      <c r="P664" s="26" t="str">
        <f aca="false">IF($A664="","",SUMIF($A$4:$A664,$A664,$M$4:$M664)-SUMIF($A$4:$A664,$A664,$N$4:$N664)-SUMIF($A$4:$A664,$A664,$O$4:$O664))</f>
        <v/>
      </c>
      <c r="Q664" s="27"/>
      <c r="R664" s="28"/>
      <c r="S664" s="28"/>
      <c r="T664" s="28" t="str">
        <f aca="false">IF($A664="","",SUMIF($A$4:$A664,$A664,$Q$4:$Q664)-SUMIF($A$4:$A664,$A664,$R$4:$R664)-SUMIF($A$4:$A664,$A664,$S$4:$S664))</f>
        <v/>
      </c>
      <c r="U664" s="28"/>
      <c r="V664" s="29" t="str">
        <f aca="false">IF(AND($C664="",COUNTA($D664:$H664,$K664,$N664:$O664,$Q664:$S664,$U664)=0),"",IF($C664="","⚠ 没填项目名称",IF($A664="⚠目录里没有","⚠ 项目名称在目录里找不到（先加到目录）",IF($A664="","⚠ 目录里这个项目没填简称",IF(ISTEXT($G664)+ISTEXT($H664)+ISTEXT($K664)+ISTEXT($N664)+ISTEXT($O664)+ISTEXT($Q664)+ISTEXT($R664)+ISTEXT($S664)&gt;0,"⚠ 金额列里有文字，算不进合计",IF(N($G664)&gt;=1,"⚠ 管理费点要填百分比，如 10%",IF(AND($D664&lt;&gt;"",$B664=""),"△ 摘要开头没写日期（如 2026.9.21），月份取不到",IF(AND(N($H664)&lt;&gt;0,COUNTIFS($A$4:$A$1003,$A664,$H$4:$H$1003,$H664,$D$4:$D$1003,LEFT($D664,9)&amp;"*")&gt;1),"△ 同一天同项目有一样的销售金额，看看是不是录重了","✓"))))))))</f>
        <v/>
      </c>
      <c r="W664" s="8" t="str">
        <f aca="false">IF($A664="","",$A664&amp;"#"&amp;COUNTIF($A$4:$A664,$A664))</f>
        <v/>
      </c>
    </row>
    <row r="665" customFormat="false" ht="16.5" hidden="false" customHeight="false" outlineLevel="0" collapsed="false">
      <c r="A665" s="44" t="str">
        <f aca="false">IF($C665="","",IFERROR(VLOOKUP($C665,目录!$B:$C,2,0)&amp;"","⚠目录里没有"))</f>
        <v/>
      </c>
      <c r="B665" s="45" t="str">
        <f aca="false">IF($D665="","",IFERROR(MID($D665,FIND(".",$D665)+1,FIND(".",$D665,FIND(".",$D665)+1)-FIND(".",$D665)-1)&amp;"月",""))</f>
        <v/>
      </c>
      <c r="C665" s="46"/>
      <c r="D665" s="47"/>
      <c r="E665" s="47"/>
      <c r="F665" s="49"/>
      <c r="G665" s="50"/>
      <c r="H665" s="24"/>
      <c r="I665" s="24" t="str">
        <f aca="false">IF($H665="","",N($H665)*N($G665))</f>
        <v/>
      </c>
      <c r="J665" s="25" t="str">
        <f aca="false">IF($H665="","",N($H665)-N($I665))</f>
        <v/>
      </c>
      <c r="K665" s="25"/>
      <c r="L665" s="25" t="str">
        <f aca="false">IF($A665="","",SUMIF($A$4:$A665,$A665,$J$4:$J665)-SUMIF($A$4:$A665,$A665,$K$4:$K665))</f>
        <v/>
      </c>
      <c r="M665" s="26" t="str">
        <f aca="false">IF($H665="","",N($H665))</f>
        <v/>
      </c>
      <c r="N665" s="26"/>
      <c r="O665" s="26"/>
      <c r="P665" s="26" t="str">
        <f aca="false">IF($A665="","",SUMIF($A$4:$A665,$A665,$M$4:$M665)-SUMIF($A$4:$A665,$A665,$N$4:$N665)-SUMIF($A$4:$A665,$A665,$O$4:$O665))</f>
        <v/>
      </c>
      <c r="Q665" s="27"/>
      <c r="R665" s="28"/>
      <c r="S665" s="28"/>
      <c r="T665" s="28" t="str">
        <f aca="false">IF($A665="","",SUMIF($A$4:$A665,$A665,$Q$4:$Q665)-SUMIF($A$4:$A665,$A665,$R$4:$R665)-SUMIF($A$4:$A665,$A665,$S$4:$S665))</f>
        <v/>
      </c>
      <c r="U665" s="28"/>
      <c r="V665" s="29" t="str">
        <f aca="false">IF(AND($C665="",COUNTA($D665:$H665,$K665,$N665:$O665,$Q665:$S665,$U665)=0),"",IF($C665="","⚠ 没填项目名称",IF($A665="⚠目录里没有","⚠ 项目名称在目录里找不到（先加到目录）",IF($A665="","⚠ 目录里这个项目没填简称",IF(ISTEXT($G665)+ISTEXT($H665)+ISTEXT($K665)+ISTEXT($N665)+ISTEXT($O665)+ISTEXT($Q665)+ISTEXT($R665)+ISTEXT($S665)&gt;0,"⚠ 金额列里有文字，算不进合计",IF(N($G665)&gt;=1,"⚠ 管理费点要填百分比，如 10%",IF(AND($D665&lt;&gt;"",$B665=""),"△ 摘要开头没写日期（如 2026.9.21），月份取不到",IF(AND(N($H665)&lt;&gt;0,COUNTIFS($A$4:$A$1003,$A665,$H$4:$H$1003,$H665,$D$4:$D$1003,LEFT($D665,9)&amp;"*")&gt;1),"△ 同一天同项目有一样的销售金额，看看是不是录重了","✓"))))))))</f>
        <v/>
      </c>
      <c r="W665" s="8" t="str">
        <f aca="false">IF($A665="","",$A665&amp;"#"&amp;COUNTIF($A$4:$A665,$A665))</f>
        <v/>
      </c>
    </row>
    <row r="666" customFormat="false" ht="16.5" hidden="false" customHeight="false" outlineLevel="0" collapsed="false">
      <c r="A666" s="44" t="str">
        <f aca="false">IF($C666="","",IFERROR(VLOOKUP($C666,目录!$B:$C,2,0)&amp;"","⚠目录里没有"))</f>
        <v/>
      </c>
      <c r="B666" s="45" t="str">
        <f aca="false">IF($D666="","",IFERROR(MID($D666,FIND(".",$D666)+1,FIND(".",$D666,FIND(".",$D666)+1)-FIND(".",$D666)-1)&amp;"月",""))</f>
        <v/>
      </c>
      <c r="C666" s="46"/>
      <c r="D666" s="47"/>
      <c r="E666" s="47"/>
      <c r="F666" s="49"/>
      <c r="G666" s="50"/>
      <c r="H666" s="24"/>
      <c r="I666" s="24" t="str">
        <f aca="false">IF($H666="","",N($H666)*N($G666))</f>
        <v/>
      </c>
      <c r="J666" s="25" t="str">
        <f aca="false">IF($H666="","",N($H666)-N($I666))</f>
        <v/>
      </c>
      <c r="K666" s="25"/>
      <c r="L666" s="25" t="str">
        <f aca="false">IF($A666="","",SUMIF($A$4:$A666,$A666,$J$4:$J666)-SUMIF($A$4:$A666,$A666,$K$4:$K666))</f>
        <v/>
      </c>
      <c r="M666" s="26" t="str">
        <f aca="false">IF($H666="","",N($H666))</f>
        <v/>
      </c>
      <c r="N666" s="26"/>
      <c r="O666" s="26"/>
      <c r="P666" s="26" t="str">
        <f aca="false">IF($A666="","",SUMIF($A$4:$A666,$A666,$M$4:$M666)-SUMIF($A$4:$A666,$A666,$N$4:$N666)-SUMIF($A$4:$A666,$A666,$O$4:$O666))</f>
        <v/>
      </c>
      <c r="Q666" s="27"/>
      <c r="R666" s="28"/>
      <c r="S666" s="28"/>
      <c r="T666" s="28" t="str">
        <f aca="false">IF($A666="","",SUMIF($A$4:$A666,$A666,$Q$4:$Q666)-SUMIF($A$4:$A666,$A666,$R$4:$R666)-SUMIF($A$4:$A666,$A666,$S$4:$S666))</f>
        <v/>
      </c>
      <c r="U666" s="28"/>
      <c r="V666" s="29" t="str">
        <f aca="false">IF(AND($C666="",COUNTA($D666:$H666,$K666,$N666:$O666,$Q666:$S666,$U666)=0),"",IF($C666="","⚠ 没填项目名称",IF($A666="⚠目录里没有","⚠ 项目名称在目录里找不到（先加到目录）",IF($A666="","⚠ 目录里这个项目没填简称",IF(ISTEXT($G666)+ISTEXT($H666)+ISTEXT($K666)+ISTEXT($N666)+ISTEXT($O666)+ISTEXT($Q666)+ISTEXT($R666)+ISTEXT($S666)&gt;0,"⚠ 金额列里有文字，算不进合计",IF(N($G666)&gt;=1,"⚠ 管理费点要填百分比，如 10%",IF(AND($D666&lt;&gt;"",$B666=""),"△ 摘要开头没写日期（如 2026.9.21），月份取不到",IF(AND(N($H666)&lt;&gt;0,COUNTIFS($A$4:$A$1003,$A666,$H$4:$H$1003,$H666,$D$4:$D$1003,LEFT($D666,9)&amp;"*")&gt;1),"△ 同一天同项目有一样的销售金额，看看是不是录重了","✓"))))))))</f>
        <v/>
      </c>
      <c r="W666" s="8" t="str">
        <f aca="false">IF($A666="","",$A666&amp;"#"&amp;COUNTIF($A$4:$A666,$A666))</f>
        <v/>
      </c>
    </row>
    <row r="667" customFormat="false" ht="16.5" hidden="false" customHeight="false" outlineLevel="0" collapsed="false">
      <c r="A667" s="44" t="str">
        <f aca="false">IF($C667="","",IFERROR(VLOOKUP($C667,目录!$B:$C,2,0)&amp;"","⚠目录里没有"))</f>
        <v/>
      </c>
      <c r="B667" s="45" t="str">
        <f aca="false">IF($D667="","",IFERROR(MID($D667,FIND(".",$D667)+1,FIND(".",$D667,FIND(".",$D667)+1)-FIND(".",$D667)-1)&amp;"月",""))</f>
        <v/>
      </c>
      <c r="C667" s="46"/>
      <c r="D667" s="47"/>
      <c r="E667" s="47"/>
      <c r="F667" s="49"/>
      <c r="G667" s="50"/>
      <c r="H667" s="24"/>
      <c r="I667" s="24" t="str">
        <f aca="false">IF($H667="","",N($H667)*N($G667))</f>
        <v/>
      </c>
      <c r="J667" s="25" t="str">
        <f aca="false">IF($H667="","",N($H667)-N($I667))</f>
        <v/>
      </c>
      <c r="K667" s="25"/>
      <c r="L667" s="25" t="str">
        <f aca="false">IF($A667="","",SUMIF($A$4:$A667,$A667,$J$4:$J667)-SUMIF($A$4:$A667,$A667,$K$4:$K667))</f>
        <v/>
      </c>
      <c r="M667" s="26" t="str">
        <f aca="false">IF($H667="","",N($H667))</f>
        <v/>
      </c>
      <c r="N667" s="26"/>
      <c r="O667" s="26"/>
      <c r="P667" s="26" t="str">
        <f aca="false">IF($A667="","",SUMIF($A$4:$A667,$A667,$M$4:$M667)-SUMIF($A$4:$A667,$A667,$N$4:$N667)-SUMIF($A$4:$A667,$A667,$O$4:$O667))</f>
        <v/>
      </c>
      <c r="Q667" s="27"/>
      <c r="R667" s="28"/>
      <c r="S667" s="28"/>
      <c r="T667" s="28" t="str">
        <f aca="false">IF($A667="","",SUMIF($A$4:$A667,$A667,$Q$4:$Q667)-SUMIF($A$4:$A667,$A667,$R$4:$R667)-SUMIF($A$4:$A667,$A667,$S$4:$S667))</f>
        <v/>
      </c>
      <c r="U667" s="28"/>
      <c r="V667" s="29" t="str">
        <f aca="false">IF(AND($C667="",COUNTA($D667:$H667,$K667,$N667:$O667,$Q667:$S667,$U667)=0),"",IF($C667="","⚠ 没填项目名称",IF($A667="⚠目录里没有","⚠ 项目名称在目录里找不到（先加到目录）",IF($A667="","⚠ 目录里这个项目没填简称",IF(ISTEXT($G667)+ISTEXT($H667)+ISTEXT($K667)+ISTEXT($N667)+ISTEXT($O667)+ISTEXT($Q667)+ISTEXT($R667)+ISTEXT($S667)&gt;0,"⚠ 金额列里有文字，算不进合计",IF(N($G667)&gt;=1,"⚠ 管理费点要填百分比，如 10%",IF(AND($D667&lt;&gt;"",$B667=""),"△ 摘要开头没写日期（如 2026.9.21），月份取不到",IF(AND(N($H667)&lt;&gt;0,COUNTIFS($A$4:$A$1003,$A667,$H$4:$H$1003,$H667,$D$4:$D$1003,LEFT($D667,9)&amp;"*")&gt;1),"△ 同一天同项目有一样的销售金额，看看是不是录重了","✓"))))))))</f>
        <v/>
      </c>
      <c r="W667" s="8" t="str">
        <f aca="false">IF($A667="","",$A667&amp;"#"&amp;COUNTIF($A$4:$A667,$A667))</f>
        <v/>
      </c>
    </row>
    <row r="668" customFormat="false" ht="16.5" hidden="false" customHeight="false" outlineLevel="0" collapsed="false">
      <c r="A668" s="44" t="str">
        <f aca="false">IF($C668="","",IFERROR(VLOOKUP($C668,目录!$B:$C,2,0)&amp;"","⚠目录里没有"))</f>
        <v/>
      </c>
      <c r="B668" s="45" t="str">
        <f aca="false">IF($D668="","",IFERROR(MID($D668,FIND(".",$D668)+1,FIND(".",$D668,FIND(".",$D668)+1)-FIND(".",$D668)-1)&amp;"月",""))</f>
        <v/>
      </c>
      <c r="C668" s="46"/>
      <c r="D668" s="47"/>
      <c r="E668" s="47"/>
      <c r="F668" s="49"/>
      <c r="G668" s="50"/>
      <c r="H668" s="24"/>
      <c r="I668" s="24" t="str">
        <f aca="false">IF($H668="","",N($H668)*N($G668))</f>
        <v/>
      </c>
      <c r="J668" s="25" t="str">
        <f aca="false">IF($H668="","",N($H668)-N($I668))</f>
        <v/>
      </c>
      <c r="K668" s="25"/>
      <c r="L668" s="25" t="str">
        <f aca="false">IF($A668="","",SUMIF($A$4:$A668,$A668,$J$4:$J668)-SUMIF($A$4:$A668,$A668,$K$4:$K668))</f>
        <v/>
      </c>
      <c r="M668" s="26" t="str">
        <f aca="false">IF($H668="","",N($H668))</f>
        <v/>
      </c>
      <c r="N668" s="26"/>
      <c r="O668" s="26"/>
      <c r="P668" s="26" t="str">
        <f aca="false">IF($A668="","",SUMIF($A$4:$A668,$A668,$M$4:$M668)-SUMIF($A$4:$A668,$A668,$N$4:$N668)-SUMIF($A$4:$A668,$A668,$O$4:$O668))</f>
        <v/>
      </c>
      <c r="Q668" s="27"/>
      <c r="R668" s="28"/>
      <c r="S668" s="28"/>
      <c r="T668" s="28" t="str">
        <f aca="false">IF($A668="","",SUMIF($A$4:$A668,$A668,$Q$4:$Q668)-SUMIF($A$4:$A668,$A668,$R$4:$R668)-SUMIF($A$4:$A668,$A668,$S$4:$S668))</f>
        <v/>
      </c>
      <c r="U668" s="28"/>
      <c r="V668" s="29" t="str">
        <f aca="false">IF(AND($C668="",COUNTA($D668:$H668,$K668,$N668:$O668,$Q668:$S668,$U668)=0),"",IF($C668="","⚠ 没填项目名称",IF($A668="⚠目录里没有","⚠ 项目名称在目录里找不到（先加到目录）",IF($A668="","⚠ 目录里这个项目没填简称",IF(ISTEXT($G668)+ISTEXT($H668)+ISTEXT($K668)+ISTEXT($N668)+ISTEXT($O668)+ISTEXT($Q668)+ISTEXT($R668)+ISTEXT($S668)&gt;0,"⚠ 金额列里有文字，算不进合计",IF(N($G668)&gt;=1,"⚠ 管理费点要填百分比，如 10%",IF(AND($D668&lt;&gt;"",$B668=""),"△ 摘要开头没写日期（如 2026.9.21），月份取不到",IF(AND(N($H668)&lt;&gt;0,COUNTIFS($A$4:$A$1003,$A668,$H$4:$H$1003,$H668,$D$4:$D$1003,LEFT($D668,9)&amp;"*")&gt;1),"△ 同一天同项目有一样的销售金额，看看是不是录重了","✓"))))))))</f>
        <v/>
      </c>
      <c r="W668" s="8" t="str">
        <f aca="false">IF($A668="","",$A668&amp;"#"&amp;COUNTIF($A$4:$A668,$A668))</f>
        <v/>
      </c>
    </row>
    <row r="669" customFormat="false" ht="16.5" hidden="false" customHeight="false" outlineLevel="0" collapsed="false">
      <c r="A669" s="44" t="str">
        <f aca="false">IF($C669="","",IFERROR(VLOOKUP($C669,目录!$B:$C,2,0)&amp;"","⚠目录里没有"))</f>
        <v/>
      </c>
      <c r="B669" s="45" t="str">
        <f aca="false">IF($D669="","",IFERROR(MID($D669,FIND(".",$D669)+1,FIND(".",$D669,FIND(".",$D669)+1)-FIND(".",$D669)-1)&amp;"月",""))</f>
        <v/>
      </c>
      <c r="C669" s="46"/>
      <c r="D669" s="47"/>
      <c r="E669" s="47"/>
      <c r="F669" s="49"/>
      <c r="G669" s="50"/>
      <c r="H669" s="24"/>
      <c r="I669" s="24" t="str">
        <f aca="false">IF($H669="","",N($H669)*N($G669))</f>
        <v/>
      </c>
      <c r="J669" s="25" t="str">
        <f aca="false">IF($H669="","",N($H669)-N($I669))</f>
        <v/>
      </c>
      <c r="K669" s="25"/>
      <c r="L669" s="25" t="str">
        <f aca="false">IF($A669="","",SUMIF($A$4:$A669,$A669,$J$4:$J669)-SUMIF($A$4:$A669,$A669,$K$4:$K669))</f>
        <v/>
      </c>
      <c r="M669" s="26" t="str">
        <f aca="false">IF($H669="","",N($H669))</f>
        <v/>
      </c>
      <c r="N669" s="26"/>
      <c r="O669" s="26"/>
      <c r="P669" s="26" t="str">
        <f aca="false">IF($A669="","",SUMIF($A$4:$A669,$A669,$M$4:$M669)-SUMIF($A$4:$A669,$A669,$N$4:$N669)-SUMIF($A$4:$A669,$A669,$O$4:$O669))</f>
        <v/>
      </c>
      <c r="Q669" s="27"/>
      <c r="R669" s="28"/>
      <c r="S669" s="28"/>
      <c r="T669" s="28" t="str">
        <f aca="false">IF($A669="","",SUMIF($A$4:$A669,$A669,$Q$4:$Q669)-SUMIF($A$4:$A669,$A669,$R$4:$R669)-SUMIF($A$4:$A669,$A669,$S$4:$S669))</f>
        <v/>
      </c>
      <c r="U669" s="28"/>
      <c r="V669" s="29" t="str">
        <f aca="false">IF(AND($C669="",COUNTA($D669:$H669,$K669,$N669:$O669,$Q669:$S669,$U669)=0),"",IF($C669="","⚠ 没填项目名称",IF($A669="⚠目录里没有","⚠ 项目名称在目录里找不到（先加到目录）",IF($A669="","⚠ 目录里这个项目没填简称",IF(ISTEXT($G669)+ISTEXT($H669)+ISTEXT($K669)+ISTEXT($N669)+ISTEXT($O669)+ISTEXT($Q669)+ISTEXT($R669)+ISTEXT($S669)&gt;0,"⚠ 金额列里有文字，算不进合计",IF(N($G669)&gt;=1,"⚠ 管理费点要填百分比，如 10%",IF(AND($D669&lt;&gt;"",$B669=""),"△ 摘要开头没写日期（如 2026.9.21），月份取不到",IF(AND(N($H669)&lt;&gt;0,COUNTIFS($A$4:$A$1003,$A669,$H$4:$H$1003,$H669,$D$4:$D$1003,LEFT($D669,9)&amp;"*")&gt;1),"△ 同一天同项目有一样的销售金额，看看是不是录重了","✓"))))))))</f>
        <v/>
      </c>
      <c r="W669" s="8" t="str">
        <f aca="false">IF($A669="","",$A669&amp;"#"&amp;COUNTIF($A$4:$A669,$A669))</f>
        <v/>
      </c>
    </row>
    <row r="670" customFormat="false" ht="16.5" hidden="false" customHeight="false" outlineLevel="0" collapsed="false">
      <c r="A670" s="44" t="str">
        <f aca="false">IF($C670="","",IFERROR(VLOOKUP($C670,目录!$B:$C,2,0)&amp;"","⚠目录里没有"))</f>
        <v/>
      </c>
      <c r="B670" s="45" t="str">
        <f aca="false">IF($D670="","",IFERROR(MID($D670,FIND(".",$D670)+1,FIND(".",$D670,FIND(".",$D670)+1)-FIND(".",$D670)-1)&amp;"月",""))</f>
        <v/>
      </c>
      <c r="C670" s="46"/>
      <c r="D670" s="47"/>
      <c r="E670" s="47"/>
      <c r="F670" s="49"/>
      <c r="G670" s="50"/>
      <c r="H670" s="24"/>
      <c r="I670" s="24" t="str">
        <f aca="false">IF($H670="","",N($H670)*N($G670))</f>
        <v/>
      </c>
      <c r="J670" s="25" t="str">
        <f aca="false">IF($H670="","",N($H670)-N($I670))</f>
        <v/>
      </c>
      <c r="K670" s="25"/>
      <c r="L670" s="25" t="str">
        <f aca="false">IF($A670="","",SUMIF($A$4:$A670,$A670,$J$4:$J670)-SUMIF($A$4:$A670,$A670,$K$4:$K670))</f>
        <v/>
      </c>
      <c r="M670" s="26" t="str">
        <f aca="false">IF($H670="","",N($H670))</f>
        <v/>
      </c>
      <c r="N670" s="26"/>
      <c r="O670" s="26"/>
      <c r="P670" s="26" t="str">
        <f aca="false">IF($A670="","",SUMIF($A$4:$A670,$A670,$M$4:$M670)-SUMIF($A$4:$A670,$A670,$N$4:$N670)-SUMIF($A$4:$A670,$A670,$O$4:$O670))</f>
        <v/>
      </c>
      <c r="Q670" s="27"/>
      <c r="R670" s="28"/>
      <c r="S670" s="28"/>
      <c r="T670" s="28" t="str">
        <f aca="false">IF($A670="","",SUMIF($A$4:$A670,$A670,$Q$4:$Q670)-SUMIF($A$4:$A670,$A670,$R$4:$R670)-SUMIF($A$4:$A670,$A670,$S$4:$S670))</f>
        <v/>
      </c>
      <c r="U670" s="28"/>
      <c r="V670" s="29" t="str">
        <f aca="false">IF(AND($C670="",COUNTA($D670:$H670,$K670,$N670:$O670,$Q670:$S670,$U670)=0),"",IF($C670="","⚠ 没填项目名称",IF($A670="⚠目录里没有","⚠ 项目名称在目录里找不到（先加到目录）",IF($A670="","⚠ 目录里这个项目没填简称",IF(ISTEXT($G670)+ISTEXT($H670)+ISTEXT($K670)+ISTEXT($N670)+ISTEXT($O670)+ISTEXT($Q670)+ISTEXT($R670)+ISTEXT($S670)&gt;0,"⚠ 金额列里有文字，算不进合计",IF(N($G670)&gt;=1,"⚠ 管理费点要填百分比，如 10%",IF(AND($D670&lt;&gt;"",$B670=""),"△ 摘要开头没写日期（如 2026.9.21），月份取不到",IF(AND(N($H670)&lt;&gt;0,COUNTIFS($A$4:$A$1003,$A670,$H$4:$H$1003,$H670,$D$4:$D$1003,LEFT($D670,9)&amp;"*")&gt;1),"△ 同一天同项目有一样的销售金额，看看是不是录重了","✓"))))))))</f>
        <v/>
      </c>
      <c r="W670" s="8" t="str">
        <f aca="false">IF($A670="","",$A670&amp;"#"&amp;COUNTIF($A$4:$A670,$A670))</f>
        <v/>
      </c>
    </row>
    <row r="671" customFormat="false" ht="16.5" hidden="false" customHeight="false" outlineLevel="0" collapsed="false">
      <c r="A671" s="44" t="str">
        <f aca="false">IF($C671="","",IFERROR(VLOOKUP($C671,目录!$B:$C,2,0)&amp;"","⚠目录里没有"))</f>
        <v/>
      </c>
      <c r="B671" s="45" t="str">
        <f aca="false">IF($D671="","",IFERROR(MID($D671,FIND(".",$D671)+1,FIND(".",$D671,FIND(".",$D671)+1)-FIND(".",$D671)-1)&amp;"月",""))</f>
        <v/>
      </c>
      <c r="C671" s="46"/>
      <c r="D671" s="47"/>
      <c r="E671" s="47"/>
      <c r="F671" s="49"/>
      <c r="G671" s="50"/>
      <c r="H671" s="24"/>
      <c r="I671" s="24" t="str">
        <f aca="false">IF($H671="","",N($H671)*N($G671))</f>
        <v/>
      </c>
      <c r="J671" s="25" t="str">
        <f aca="false">IF($H671="","",N($H671)-N($I671))</f>
        <v/>
      </c>
      <c r="K671" s="25"/>
      <c r="L671" s="25" t="str">
        <f aca="false">IF($A671="","",SUMIF($A$4:$A671,$A671,$J$4:$J671)-SUMIF($A$4:$A671,$A671,$K$4:$K671))</f>
        <v/>
      </c>
      <c r="M671" s="26" t="str">
        <f aca="false">IF($H671="","",N($H671))</f>
        <v/>
      </c>
      <c r="N671" s="26"/>
      <c r="O671" s="26"/>
      <c r="P671" s="26" t="str">
        <f aca="false">IF($A671="","",SUMIF($A$4:$A671,$A671,$M$4:$M671)-SUMIF($A$4:$A671,$A671,$N$4:$N671)-SUMIF($A$4:$A671,$A671,$O$4:$O671))</f>
        <v/>
      </c>
      <c r="Q671" s="27"/>
      <c r="R671" s="28"/>
      <c r="S671" s="28"/>
      <c r="T671" s="28" t="str">
        <f aca="false">IF($A671="","",SUMIF($A$4:$A671,$A671,$Q$4:$Q671)-SUMIF($A$4:$A671,$A671,$R$4:$R671)-SUMIF($A$4:$A671,$A671,$S$4:$S671))</f>
        <v/>
      </c>
      <c r="U671" s="28"/>
      <c r="V671" s="29" t="str">
        <f aca="false">IF(AND($C671="",COUNTA($D671:$H671,$K671,$N671:$O671,$Q671:$S671,$U671)=0),"",IF($C671="","⚠ 没填项目名称",IF($A671="⚠目录里没有","⚠ 项目名称在目录里找不到（先加到目录）",IF($A671="","⚠ 目录里这个项目没填简称",IF(ISTEXT($G671)+ISTEXT($H671)+ISTEXT($K671)+ISTEXT($N671)+ISTEXT($O671)+ISTEXT($Q671)+ISTEXT($R671)+ISTEXT($S671)&gt;0,"⚠ 金额列里有文字，算不进合计",IF(N($G671)&gt;=1,"⚠ 管理费点要填百分比，如 10%",IF(AND($D671&lt;&gt;"",$B671=""),"△ 摘要开头没写日期（如 2026.9.21），月份取不到",IF(AND(N($H671)&lt;&gt;0,COUNTIFS($A$4:$A$1003,$A671,$H$4:$H$1003,$H671,$D$4:$D$1003,LEFT($D671,9)&amp;"*")&gt;1),"△ 同一天同项目有一样的销售金额，看看是不是录重了","✓"))))))))</f>
        <v/>
      </c>
      <c r="W671" s="8" t="str">
        <f aca="false">IF($A671="","",$A671&amp;"#"&amp;COUNTIF($A$4:$A671,$A671))</f>
        <v/>
      </c>
    </row>
    <row r="672" customFormat="false" ht="16.5" hidden="false" customHeight="false" outlineLevel="0" collapsed="false">
      <c r="A672" s="44" t="str">
        <f aca="false">IF($C672="","",IFERROR(VLOOKUP($C672,目录!$B:$C,2,0)&amp;"","⚠目录里没有"))</f>
        <v/>
      </c>
      <c r="B672" s="45" t="str">
        <f aca="false">IF($D672="","",IFERROR(MID($D672,FIND(".",$D672)+1,FIND(".",$D672,FIND(".",$D672)+1)-FIND(".",$D672)-1)&amp;"月",""))</f>
        <v/>
      </c>
      <c r="C672" s="46"/>
      <c r="D672" s="47"/>
      <c r="E672" s="47"/>
      <c r="F672" s="49"/>
      <c r="G672" s="50"/>
      <c r="H672" s="24"/>
      <c r="I672" s="24" t="str">
        <f aca="false">IF($H672="","",N($H672)*N($G672))</f>
        <v/>
      </c>
      <c r="J672" s="25" t="str">
        <f aca="false">IF($H672="","",N($H672)-N($I672))</f>
        <v/>
      </c>
      <c r="K672" s="25"/>
      <c r="L672" s="25" t="str">
        <f aca="false">IF($A672="","",SUMIF($A$4:$A672,$A672,$J$4:$J672)-SUMIF($A$4:$A672,$A672,$K$4:$K672))</f>
        <v/>
      </c>
      <c r="M672" s="26" t="str">
        <f aca="false">IF($H672="","",N($H672))</f>
        <v/>
      </c>
      <c r="N672" s="26"/>
      <c r="O672" s="26"/>
      <c r="P672" s="26" t="str">
        <f aca="false">IF($A672="","",SUMIF($A$4:$A672,$A672,$M$4:$M672)-SUMIF($A$4:$A672,$A672,$N$4:$N672)-SUMIF($A$4:$A672,$A672,$O$4:$O672))</f>
        <v/>
      </c>
      <c r="Q672" s="27"/>
      <c r="R672" s="28"/>
      <c r="S672" s="28"/>
      <c r="T672" s="28" t="str">
        <f aca="false">IF($A672="","",SUMIF($A$4:$A672,$A672,$Q$4:$Q672)-SUMIF($A$4:$A672,$A672,$R$4:$R672)-SUMIF($A$4:$A672,$A672,$S$4:$S672))</f>
        <v/>
      </c>
      <c r="U672" s="28"/>
      <c r="V672" s="29" t="str">
        <f aca="false">IF(AND($C672="",COUNTA($D672:$H672,$K672,$N672:$O672,$Q672:$S672,$U672)=0),"",IF($C672="","⚠ 没填项目名称",IF($A672="⚠目录里没有","⚠ 项目名称在目录里找不到（先加到目录）",IF($A672="","⚠ 目录里这个项目没填简称",IF(ISTEXT($G672)+ISTEXT($H672)+ISTEXT($K672)+ISTEXT($N672)+ISTEXT($O672)+ISTEXT($Q672)+ISTEXT($R672)+ISTEXT($S672)&gt;0,"⚠ 金额列里有文字，算不进合计",IF(N($G672)&gt;=1,"⚠ 管理费点要填百分比，如 10%",IF(AND($D672&lt;&gt;"",$B672=""),"△ 摘要开头没写日期（如 2026.9.21），月份取不到",IF(AND(N($H672)&lt;&gt;0,COUNTIFS($A$4:$A$1003,$A672,$H$4:$H$1003,$H672,$D$4:$D$1003,LEFT($D672,9)&amp;"*")&gt;1),"△ 同一天同项目有一样的销售金额，看看是不是录重了","✓"))))))))</f>
        <v/>
      </c>
      <c r="W672" s="8" t="str">
        <f aca="false">IF($A672="","",$A672&amp;"#"&amp;COUNTIF($A$4:$A672,$A672))</f>
        <v/>
      </c>
    </row>
    <row r="673" customFormat="false" ht="16.5" hidden="false" customHeight="false" outlineLevel="0" collapsed="false">
      <c r="A673" s="44" t="str">
        <f aca="false">IF($C673="","",IFERROR(VLOOKUP($C673,目录!$B:$C,2,0)&amp;"","⚠目录里没有"))</f>
        <v/>
      </c>
      <c r="B673" s="45" t="str">
        <f aca="false">IF($D673="","",IFERROR(MID($D673,FIND(".",$D673)+1,FIND(".",$D673,FIND(".",$D673)+1)-FIND(".",$D673)-1)&amp;"月",""))</f>
        <v/>
      </c>
      <c r="C673" s="46"/>
      <c r="D673" s="47"/>
      <c r="E673" s="47"/>
      <c r="F673" s="49"/>
      <c r="G673" s="50"/>
      <c r="H673" s="24"/>
      <c r="I673" s="24" t="str">
        <f aca="false">IF($H673="","",N($H673)*N($G673))</f>
        <v/>
      </c>
      <c r="J673" s="25" t="str">
        <f aca="false">IF($H673="","",N($H673)-N($I673))</f>
        <v/>
      </c>
      <c r="K673" s="25"/>
      <c r="L673" s="25" t="str">
        <f aca="false">IF($A673="","",SUMIF($A$4:$A673,$A673,$J$4:$J673)-SUMIF($A$4:$A673,$A673,$K$4:$K673))</f>
        <v/>
      </c>
      <c r="M673" s="26" t="str">
        <f aca="false">IF($H673="","",N($H673))</f>
        <v/>
      </c>
      <c r="N673" s="26"/>
      <c r="O673" s="26"/>
      <c r="P673" s="26" t="str">
        <f aca="false">IF($A673="","",SUMIF($A$4:$A673,$A673,$M$4:$M673)-SUMIF($A$4:$A673,$A673,$N$4:$N673)-SUMIF($A$4:$A673,$A673,$O$4:$O673))</f>
        <v/>
      </c>
      <c r="Q673" s="27"/>
      <c r="R673" s="28"/>
      <c r="S673" s="28"/>
      <c r="T673" s="28" t="str">
        <f aca="false">IF($A673="","",SUMIF($A$4:$A673,$A673,$Q$4:$Q673)-SUMIF($A$4:$A673,$A673,$R$4:$R673)-SUMIF($A$4:$A673,$A673,$S$4:$S673))</f>
        <v/>
      </c>
      <c r="U673" s="28"/>
      <c r="V673" s="29" t="str">
        <f aca="false">IF(AND($C673="",COUNTA($D673:$H673,$K673,$N673:$O673,$Q673:$S673,$U673)=0),"",IF($C673="","⚠ 没填项目名称",IF($A673="⚠目录里没有","⚠ 项目名称在目录里找不到（先加到目录）",IF($A673="","⚠ 目录里这个项目没填简称",IF(ISTEXT($G673)+ISTEXT($H673)+ISTEXT($K673)+ISTEXT($N673)+ISTEXT($O673)+ISTEXT($Q673)+ISTEXT($R673)+ISTEXT($S673)&gt;0,"⚠ 金额列里有文字，算不进合计",IF(N($G673)&gt;=1,"⚠ 管理费点要填百分比，如 10%",IF(AND($D673&lt;&gt;"",$B673=""),"△ 摘要开头没写日期（如 2026.9.21），月份取不到",IF(AND(N($H673)&lt;&gt;0,COUNTIFS($A$4:$A$1003,$A673,$H$4:$H$1003,$H673,$D$4:$D$1003,LEFT($D673,9)&amp;"*")&gt;1),"△ 同一天同项目有一样的销售金额，看看是不是录重了","✓"))))))))</f>
        <v/>
      </c>
      <c r="W673" s="8" t="str">
        <f aca="false">IF($A673="","",$A673&amp;"#"&amp;COUNTIF($A$4:$A673,$A673))</f>
        <v/>
      </c>
    </row>
    <row r="674" customFormat="false" ht="16.5" hidden="false" customHeight="false" outlineLevel="0" collapsed="false">
      <c r="A674" s="44" t="str">
        <f aca="false">IF($C674="","",IFERROR(VLOOKUP($C674,目录!$B:$C,2,0)&amp;"","⚠目录里没有"))</f>
        <v/>
      </c>
      <c r="B674" s="45" t="str">
        <f aca="false">IF($D674="","",IFERROR(MID($D674,FIND(".",$D674)+1,FIND(".",$D674,FIND(".",$D674)+1)-FIND(".",$D674)-1)&amp;"月",""))</f>
        <v/>
      </c>
      <c r="C674" s="46"/>
      <c r="D674" s="47"/>
      <c r="E674" s="47"/>
      <c r="F674" s="49"/>
      <c r="G674" s="50"/>
      <c r="H674" s="24"/>
      <c r="I674" s="24" t="str">
        <f aca="false">IF($H674="","",N($H674)*N($G674))</f>
        <v/>
      </c>
      <c r="J674" s="25" t="str">
        <f aca="false">IF($H674="","",N($H674)-N($I674))</f>
        <v/>
      </c>
      <c r="K674" s="25"/>
      <c r="L674" s="25" t="str">
        <f aca="false">IF($A674="","",SUMIF($A$4:$A674,$A674,$J$4:$J674)-SUMIF($A$4:$A674,$A674,$K$4:$K674))</f>
        <v/>
      </c>
      <c r="M674" s="26" t="str">
        <f aca="false">IF($H674="","",N($H674))</f>
        <v/>
      </c>
      <c r="N674" s="26"/>
      <c r="O674" s="26"/>
      <c r="P674" s="26" t="str">
        <f aca="false">IF($A674="","",SUMIF($A$4:$A674,$A674,$M$4:$M674)-SUMIF($A$4:$A674,$A674,$N$4:$N674)-SUMIF($A$4:$A674,$A674,$O$4:$O674))</f>
        <v/>
      </c>
      <c r="Q674" s="27"/>
      <c r="R674" s="28"/>
      <c r="S674" s="28"/>
      <c r="T674" s="28" t="str">
        <f aca="false">IF($A674="","",SUMIF($A$4:$A674,$A674,$Q$4:$Q674)-SUMIF($A$4:$A674,$A674,$R$4:$R674)-SUMIF($A$4:$A674,$A674,$S$4:$S674))</f>
        <v/>
      </c>
      <c r="U674" s="28"/>
      <c r="V674" s="29" t="str">
        <f aca="false">IF(AND($C674="",COUNTA($D674:$H674,$K674,$N674:$O674,$Q674:$S674,$U674)=0),"",IF($C674="","⚠ 没填项目名称",IF($A674="⚠目录里没有","⚠ 项目名称在目录里找不到（先加到目录）",IF($A674="","⚠ 目录里这个项目没填简称",IF(ISTEXT($G674)+ISTEXT($H674)+ISTEXT($K674)+ISTEXT($N674)+ISTEXT($O674)+ISTEXT($Q674)+ISTEXT($R674)+ISTEXT($S674)&gt;0,"⚠ 金额列里有文字，算不进合计",IF(N($G674)&gt;=1,"⚠ 管理费点要填百分比，如 10%",IF(AND($D674&lt;&gt;"",$B674=""),"△ 摘要开头没写日期（如 2026.9.21），月份取不到",IF(AND(N($H674)&lt;&gt;0,COUNTIFS($A$4:$A$1003,$A674,$H$4:$H$1003,$H674,$D$4:$D$1003,LEFT($D674,9)&amp;"*")&gt;1),"△ 同一天同项目有一样的销售金额，看看是不是录重了","✓"))))))))</f>
        <v/>
      </c>
      <c r="W674" s="8" t="str">
        <f aca="false">IF($A674="","",$A674&amp;"#"&amp;COUNTIF($A$4:$A674,$A674))</f>
        <v/>
      </c>
    </row>
    <row r="675" customFormat="false" ht="16.5" hidden="false" customHeight="false" outlineLevel="0" collapsed="false">
      <c r="A675" s="44" t="str">
        <f aca="false">IF($C675="","",IFERROR(VLOOKUP($C675,目录!$B:$C,2,0)&amp;"","⚠目录里没有"))</f>
        <v/>
      </c>
      <c r="B675" s="45" t="str">
        <f aca="false">IF($D675="","",IFERROR(MID($D675,FIND(".",$D675)+1,FIND(".",$D675,FIND(".",$D675)+1)-FIND(".",$D675)-1)&amp;"月",""))</f>
        <v/>
      </c>
      <c r="C675" s="46"/>
      <c r="D675" s="47"/>
      <c r="E675" s="47"/>
      <c r="F675" s="49"/>
      <c r="G675" s="50"/>
      <c r="H675" s="24"/>
      <c r="I675" s="24" t="str">
        <f aca="false">IF($H675="","",N($H675)*N($G675))</f>
        <v/>
      </c>
      <c r="J675" s="25" t="str">
        <f aca="false">IF($H675="","",N($H675)-N($I675))</f>
        <v/>
      </c>
      <c r="K675" s="25"/>
      <c r="L675" s="25" t="str">
        <f aca="false">IF($A675="","",SUMIF($A$4:$A675,$A675,$J$4:$J675)-SUMIF($A$4:$A675,$A675,$K$4:$K675))</f>
        <v/>
      </c>
      <c r="M675" s="26" t="str">
        <f aca="false">IF($H675="","",N($H675))</f>
        <v/>
      </c>
      <c r="N675" s="26"/>
      <c r="O675" s="26"/>
      <c r="P675" s="26" t="str">
        <f aca="false">IF($A675="","",SUMIF($A$4:$A675,$A675,$M$4:$M675)-SUMIF($A$4:$A675,$A675,$N$4:$N675)-SUMIF($A$4:$A675,$A675,$O$4:$O675))</f>
        <v/>
      </c>
      <c r="Q675" s="27"/>
      <c r="R675" s="28"/>
      <c r="S675" s="28"/>
      <c r="T675" s="28" t="str">
        <f aca="false">IF($A675="","",SUMIF($A$4:$A675,$A675,$Q$4:$Q675)-SUMIF($A$4:$A675,$A675,$R$4:$R675)-SUMIF($A$4:$A675,$A675,$S$4:$S675))</f>
        <v/>
      </c>
      <c r="U675" s="28"/>
      <c r="V675" s="29" t="str">
        <f aca="false">IF(AND($C675="",COUNTA($D675:$H675,$K675,$N675:$O675,$Q675:$S675,$U675)=0),"",IF($C675="","⚠ 没填项目名称",IF($A675="⚠目录里没有","⚠ 项目名称在目录里找不到（先加到目录）",IF($A675="","⚠ 目录里这个项目没填简称",IF(ISTEXT($G675)+ISTEXT($H675)+ISTEXT($K675)+ISTEXT($N675)+ISTEXT($O675)+ISTEXT($Q675)+ISTEXT($R675)+ISTEXT($S675)&gt;0,"⚠ 金额列里有文字，算不进合计",IF(N($G675)&gt;=1,"⚠ 管理费点要填百分比，如 10%",IF(AND($D675&lt;&gt;"",$B675=""),"△ 摘要开头没写日期（如 2026.9.21），月份取不到",IF(AND(N($H675)&lt;&gt;0,COUNTIFS($A$4:$A$1003,$A675,$H$4:$H$1003,$H675,$D$4:$D$1003,LEFT($D675,9)&amp;"*")&gt;1),"△ 同一天同项目有一样的销售金额，看看是不是录重了","✓"))))))))</f>
        <v/>
      </c>
      <c r="W675" s="8" t="str">
        <f aca="false">IF($A675="","",$A675&amp;"#"&amp;COUNTIF($A$4:$A675,$A675))</f>
        <v/>
      </c>
    </row>
    <row r="676" customFormat="false" ht="16.5" hidden="false" customHeight="false" outlineLevel="0" collapsed="false">
      <c r="A676" s="44" t="str">
        <f aca="false">IF($C676="","",IFERROR(VLOOKUP($C676,目录!$B:$C,2,0)&amp;"","⚠目录里没有"))</f>
        <v/>
      </c>
      <c r="B676" s="45" t="str">
        <f aca="false">IF($D676="","",IFERROR(MID($D676,FIND(".",$D676)+1,FIND(".",$D676,FIND(".",$D676)+1)-FIND(".",$D676)-1)&amp;"月",""))</f>
        <v/>
      </c>
      <c r="C676" s="46"/>
      <c r="D676" s="47"/>
      <c r="E676" s="47"/>
      <c r="F676" s="49"/>
      <c r="G676" s="50"/>
      <c r="H676" s="24"/>
      <c r="I676" s="24" t="str">
        <f aca="false">IF($H676="","",N($H676)*N($G676))</f>
        <v/>
      </c>
      <c r="J676" s="25" t="str">
        <f aca="false">IF($H676="","",N($H676)-N($I676))</f>
        <v/>
      </c>
      <c r="K676" s="25"/>
      <c r="L676" s="25" t="str">
        <f aca="false">IF($A676="","",SUMIF($A$4:$A676,$A676,$J$4:$J676)-SUMIF($A$4:$A676,$A676,$K$4:$K676))</f>
        <v/>
      </c>
      <c r="M676" s="26" t="str">
        <f aca="false">IF($H676="","",N($H676))</f>
        <v/>
      </c>
      <c r="N676" s="26"/>
      <c r="O676" s="26"/>
      <c r="P676" s="26" t="str">
        <f aca="false">IF($A676="","",SUMIF($A$4:$A676,$A676,$M$4:$M676)-SUMIF($A$4:$A676,$A676,$N$4:$N676)-SUMIF($A$4:$A676,$A676,$O$4:$O676))</f>
        <v/>
      </c>
      <c r="Q676" s="27"/>
      <c r="R676" s="28"/>
      <c r="S676" s="28"/>
      <c r="T676" s="28" t="str">
        <f aca="false">IF($A676="","",SUMIF($A$4:$A676,$A676,$Q$4:$Q676)-SUMIF($A$4:$A676,$A676,$R$4:$R676)-SUMIF($A$4:$A676,$A676,$S$4:$S676))</f>
        <v/>
      </c>
      <c r="U676" s="28"/>
      <c r="V676" s="29" t="str">
        <f aca="false">IF(AND($C676="",COUNTA($D676:$H676,$K676,$N676:$O676,$Q676:$S676,$U676)=0),"",IF($C676="","⚠ 没填项目名称",IF($A676="⚠目录里没有","⚠ 项目名称在目录里找不到（先加到目录）",IF($A676="","⚠ 目录里这个项目没填简称",IF(ISTEXT($G676)+ISTEXT($H676)+ISTEXT($K676)+ISTEXT($N676)+ISTEXT($O676)+ISTEXT($Q676)+ISTEXT($R676)+ISTEXT($S676)&gt;0,"⚠ 金额列里有文字，算不进合计",IF(N($G676)&gt;=1,"⚠ 管理费点要填百分比，如 10%",IF(AND($D676&lt;&gt;"",$B676=""),"△ 摘要开头没写日期（如 2026.9.21），月份取不到",IF(AND(N($H676)&lt;&gt;0,COUNTIFS($A$4:$A$1003,$A676,$H$4:$H$1003,$H676,$D$4:$D$1003,LEFT($D676,9)&amp;"*")&gt;1),"△ 同一天同项目有一样的销售金额，看看是不是录重了","✓"))))))))</f>
        <v/>
      </c>
      <c r="W676" s="8" t="str">
        <f aca="false">IF($A676="","",$A676&amp;"#"&amp;COUNTIF($A$4:$A676,$A676))</f>
        <v/>
      </c>
    </row>
    <row r="677" customFormat="false" ht="16.5" hidden="false" customHeight="false" outlineLevel="0" collapsed="false">
      <c r="A677" s="44" t="str">
        <f aca="false">IF($C677="","",IFERROR(VLOOKUP($C677,目录!$B:$C,2,0)&amp;"","⚠目录里没有"))</f>
        <v/>
      </c>
      <c r="B677" s="45" t="str">
        <f aca="false">IF($D677="","",IFERROR(MID($D677,FIND(".",$D677)+1,FIND(".",$D677,FIND(".",$D677)+1)-FIND(".",$D677)-1)&amp;"月",""))</f>
        <v/>
      </c>
      <c r="C677" s="46"/>
      <c r="D677" s="47"/>
      <c r="E677" s="47"/>
      <c r="F677" s="49"/>
      <c r="G677" s="50"/>
      <c r="H677" s="24"/>
      <c r="I677" s="24" t="str">
        <f aca="false">IF($H677="","",N($H677)*N($G677))</f>
        <v/>
      </c>
      <c r="J677" s="25" t="str">
        <f aca="false">IF($H677="","",N($H677)-N($I677))</f>
        <v/>
      </c>
      <c r="K677" s="25"/>
      <c r="L677" s="25" t="str">
        <f aca="false">IF($A677="","",SUMIF($A$4:$A677,$A677,$J$4:$J677)-SUMIF($A$4:$A677,$A677,$K$4:$K677))</f>
        <v/>
      </c>
      <c r="M677" s="26" t="str">
        <f aca="false">IF($H677="","",N($H677))</f>
        <v/>
      </c>
      <c r="N677" s="26"/>
      <c r="O677" s="26"/>
      <c r="P677" s="26" t="str">
        <f aca="false">IF($A677="","",SUMIF($A$4:$A677,$A677,$M$4:$M677)-SUMIF($A$4:$A677,$A677,$N$4:$N677)-SUMIF($A$4:$A677,$A677,$O$4:$O677))</f>
        <v/>
      </c>
      <c r="Q677" s="27"/>
      <c r="R677" s="28"/>
      <c r="S677" s="28"/>
      <c r="T677" s="28" t="str">
        <f aca="false">IF($A677="","",SUMIF($A$4:$A677,$A677,$Q$4:$Q677)-SUMIF($A$4:$A677,$A677,$R$4:$R677)-SUMIF($A$4:$A677,$A677,$S$4:$S677))</f>
        <v/>
      </c>
      <c r="U677" s="28"/>
      <c r="V677" s="29" t="str">
        <f aca="false">IF(AND($C677="",COUNTA($D677:$H677,$K677,$N677:$O677,$Q677:$S677,$U677)=0),"",IF($C677="","⚠ 没填项目名称",IF($A677="⚠目录里没有","⚠ 项目名称在目录里找不到（先加到目录）",IF($A677="","⚠ 目录里这个项目没填简称",IF(ISTEXT($G677)+ISTEXT($H677)+ISTEXT($K677)+ISTEXT($N677)+ISTEXT($O677)+ISTEXT($Q677)+ISTEXT($R677)+ISTEXT($S677)&gt;0,"⚠ 金额列里有文字，算不进合计",IF(N($G677)&gt;=1,"⚠ 管理费点要填百分比，如 10%",IF(AND($D677&lt;&gt;"",$B677=""),"△ 摘要开头没写日期（如 2026.9.21），月份取不到",IF(AND(N($H677)&lt;&gt;0,COUNTIFS($A$4:$A$1003,$A677,$H$4:$H$1003,$H677,$D$4:$D$1003,LEFT($D677,9)&amp;"*")&gt;1),"△ 同一天同项目有一样的销售金额，看看是不是录重了","✓"))))))))</f>
        <v/>
      </c>
      <c r="W677" s="8" t="str">
        <f aca="false">IF($A677="","",$A677&amp;"#"&amp;COUNTIF($A$4:$A677,$A677))</f>
        <v/>
      </c>
    </row>
    <row r="678" customFormat="false" ht="16.5" hidden="false" customHeight="false" outlineLevel="0" collapsed="false">
      <c r="A678" s="44" t="str">
        <f aca="false">IF($C678="","",IFERROR(VLOOKUP($C678,目录!$B:$C,2,0)&amp;"","⚠目录里没有"))</f>
        <v/>
      </c>
      <c r="B678" s="45" t="str">
        <f aca="false">IF($D678="","",IFERROR(MID($D678,FIND(".",$D678)+1,FIND(".",$D678,FIND(".",$D678)+1)-FIND(".",$D678)-1)&amp;"月",""))</f>
        <v/>
      </c>
      <c r="C678" s="46"/>
      <c r="D678" s="47"/>
      <c r="E678" s="47"/>
      <c r="F678" s="49"/>
      <c r="G678" s="50"/>
      <c r="H678" s="24"/>
      <c r="I678" s="24" t="str">
        <f aca="false">IF($H678="","",N($H678)*N($G678))</f>
        <v/>
      </c>
      <c r="J678" s="25" t="str">
        <f aca="false">IF($H678="","",N($H678)-N($I678))</f>
        <v/>
      </c>
      <c r="K678" s="25"/>
      <c r="L678" s="25" t="str">
        <f aca="false">IF($A678="","",SUMIF($A$4:$A678,$A678,$J$4:$J678)-SUMIF($A$4:$A678,$A678,$K$4:$K678))</f>
        <v/>
      </c>
      <c r="M678" s="26" t="str">
        <f aca="false">IF($H678="","",N($H678))</f>
        <v/>
      </c>
      <c r="N678" s="26"/>
      <c r="O678" s="26"/>
      <c r="P678" s="26" t="str">
        <f aca="false">IF($A678="","",SUMIF($A$4:$A678,$A678,$M$4:$M678)-SUMIF($A$4:$A678,$A678,$N$4:$N678)-SUMIF($A$4:$A678,$A678,$O$4:$O678))</f>
        <v/>
      </c>
      <c r="Q678" s="27"/>
      <c r="R678" s="28"/>
      <c r="S678" s="28"/>
      <c r="T678" s="28" t="str">
        <f aca="false">IF($A678="","",SUMIF($A$4:$A678,$A678,$Q$4:$Q678)-SUMIF($A$4:$A678,$A678,$R$4:$R678)-SUMIF($A$4:$A678,$A678,$S$4:$S678))</f>
        <v/>
      </c>
      <c r="U678" s="28"/>
      <c r="V678" s="29" t="str">
        <f aca="false">IF(AND($C678="",COUNTA($D678:$H678,$K678,$N678:$O678,$Q678:$S678,$U678)=0),"",IF($C678="","⚠ 没填项目名称",IF($A678="⚠目录里没有","⚠ 项目名称在目录里找不到（先加到目录）",IF($A678="","⚠ 目录里这个项目没填简称",IF(ISTEXT($G678)+ISTEXT($H678)+ISTEXT($K678)+ISTEXT($N678)+ISTEXT($O678)+ISTEXT($Q678)+ISTEXT($R678)+ISTEXT($S678)&gt;0,"⚠ 金额列里有文字，算不进合计",IF(N($G678)&gt;=1,"⚠ 管理费点要填百分比，如 10%",IF(AND($D678&lt;&gt;"",$B678=""),"△ 摘要开头没写日期（如 2026.9.21），月份取不到",IF(AND(N($H678)&lt;&gt;0,COUNTIFS($A$4:$A$1003,$A678,$H$4:$H$1003,$H678,$D$4:$D$1003,LEFT($D678,9)&amp;"*")&gt;1),"△ 同一天同项目有一样的销售金额，看看是不是录重了","✓"))))))))</f>
        <v/>
      </c>
      <c r="W678" s="8" t="str">
        <f aca="false">IF($A678="","",$A678&amp;"#"&amp;COUNTIF($A$4:$A678,$A678))</f>
        <v/>
      </c>
    </row>
    <row r="679" customFormat="false" ht="16.5" hidden="false" customHeight="false" outlineLevel="0" collapsed="false">
      <c r="A679" s="44" t="str">
        <f aca="false">IF($C679="","",IFERROR(VLOOKUP($C679,目录!$B:$C,2,0)&amp;"","⚠目录里没有"))</f>
        <v/>
      </c>
      <c r="B679" s="45" t="str">
        <f aca="false">IF($D679="","",IFERROR(MID($D679,FIND(".",$D679)+1,FIND(".",$D679,FIND(".",$D679)+1)-FIND(".",$D679)-1)&amp;"月",""))</f>
        <v/>
      </c>
      <c r="C679" s="46"/>
      <c r="D679" s="47"/>
      <c r="E679" s="47"/>
      <c r="F679" s="49"/>
      <c r="G679" s="50"/>
      <c r="H679" s="24"/>
      <c r="I679" s="24" t="str">
        <f aca="false">IF($H679="","",N($H679)*N($G679))</f>
        <v/>
      </c>
      <c r="J679" s="25" t="str">
        <f aca="false">IF($H679="","",N($H679)-N($I679))</f>
        <v/>
      </c>
      <c r="K679" s="25"/>
      <c r="L679" s="25" t="str">
        <f aca="false">IF($A679="","",SUMIF($A$4:$A679,$A679,$J$4:$J679)-SUMIF($A$4:$A679,$A679,$K$4:$K679))</f>
        <v/>
      </c>
      <c r="M679" s="26" t="str">
        <f aca="false">IF($H679="","",N($H679))</f>
        <v/>
      </c>
      <c r="N679" s="26"/>
      <c r="O679" s="26"/>
      <c r="P679" s="26" t="str">
        <f aca="false">IF($A679="","",SUMIF($A$4:$A679,$A679,$M$4:$M679)-SUMIF($A$4:$A679,$A679,$N$4:$N679)-SUMIF($A$4:$A679,$A679,$O$4:$O679))</f>
        <v/>
      </c>
      <c r="Q679" s="27"/>
      <c r="R679" s="28"/>
      <c r="S679" s="28"/>
      <c r="T679" s="28" t="str">
        <f aca="false">IF($A679="","",SUMIF($A$4:$A679,$A679,$Q$4:$Q679)-SUMIF($A$4:$A679,$A679,$R$4:$R679)-SUMIF($A$4:$A679,$A679,$S$4:$S679))</f>
        <v/>
      </c>
      <c r="U679" s="28"/>
      <c r="V679" s="29" t="str">
        <f aca="false">IF(AND($C679="",COUNTA($D679:$H679,$K679,$N679:$O679,$Q679:$S679,$U679)=0),"",IF($C679="","⚠ 没填项目名称",IF($A679="⚠目录里没有","⚠ 项目名称在目录里找不到（先加到目录）",IF($A679="","⚠ 目录里这个项目没填简称",IF(ISTEXT($G679)+ISTEXT($H679)+ISTEXT($K679)+ISTEXT($N679)+ISTEXT($O679)+ISTEXT($Q679)+ISTEXT($R679)+ISTEXT($S679)&gt;0,"⚠ 金额列里有文字，算不进合计",IF(N($G679)&gt;=1,"⚠ 管理费点要填百分比，如 10%",IF(AND($D679&lt;&gt;"",$B679=""),"△ 摘要开头没写日期（如 2026.9.21），月份取不到",IF(AND(N($H679)&lt;&gt;0,COUNTIFS($A$4:$A$1003,$A679,$H$4:$H$1003,$H679,$D$4:$D$1003,LEFT($D679,9)&amp;"*")&gt;1),"△ 同一天同项目有一样的销售金额，看看是不是录重了","✓"))))))))</f>
        <v/>
      </c>
      <c r="W679" s="8" t="str">
        <f aca="false">IF($A679="","",$A679&amp;"#"&amp;COUNTIF($A$4:$A679,$A679))</f>
        <v/>
      </c>
    </row>
    <row r="680" customFormat="false" ht="16.5" hidden="false" customHeight="false" outlineLevel="0" collapsed="false">
      <c r="A680" s="44" t="str">
        <f aca="false">IF($C680="","",IFERROR(VLOOKUP($C680,目录!$B:$C,2,0)&amp;"","⚠目录里没有"))</f>
        <v/>
      </c>
      <c r="B680" s="45" t="str">
        <f aca="false">IF($D680="","",IFERROR(MID($D680,FIND(".",$D680)+1,FIND(".",$D680,FIND(".",$D680)+1)-FIND(".",$D680)-1)&amp;"月",""))</f>
        <v/>
      </c>
      <c r="C680" s="46"/>
      <c r="D680" s="47"/>
      <c r="E680" s="47"/>
      <c r="F680" s="49"/>
      <c r="G680" s="50"/>
      <c r="H680" s="24"/>
      <c r="I680" s="24" t="str">
        <f aca="false">IF($H680="","",N($H680)*N($G680))</f>
        <v/>
      </c>
      <c r="J680" s="25" t="str">
        <f aca="false">IF($H680="","",N($H680)-N($I680))</f>
        <v/>
      </c>
      <c r="K680" s="25"/>
      <c r="L680" s="25" t="str">
        <f aca="false">IF($A680="","",SUMIF($A$4:$A680,$A680,$J$4:$J680)-SUMIF($A$4:$A680,$A680,$K$4:$K680))</f>
        <v/>
      </c>
      <c r="M680" s="26" t="str">
        <f aca="false">IF($H680="","",N($H680))</f>
        <v/>
      </c>
      <c r="N680" s="26"/>
      <c r="O680" s="26"/>
      <c r="P680" s="26" t="str">
        <f aca="false">IF($A680="","",SUMIF($A$4:$A680,$A680,$M$4:$M680)-SUMIF($A$4:$A680,$A680,$N$4:$N680)-SUMIF($A$4:$A680,$A680,$O$4:$O680))</f>
        <v/>
      </c>
      <c r="Q680" s="27"/>
      <c r="R680" s="28"/>
      <c r="S680" s="28"/>
      <c r="T680" s="28" t="str">
        <f aca="false">IF($A680="","",SUMIF($A$4:$A680,$A680,$Q$4:$Q680)-SUMIF($A$4:$A680,$A680,$R$4:$R680)-SUMIF($A$4:$A680,$A680,$S$4:$S680))</f>
        <v/>
      </c>
      <c r="U680" s="28"/>
      <c r="V680" s="29" t="str">
        <f aca="false">IF(AND($C680="",COUNTA($D680:$H680,$K680,$N680:$O680,$Q680:$S680,$U680)=0),"",IF($C680="","⚠ 没填项目名称",IF($A680="⚠目录里没有","⚠ 项目名称在目录里找不到（先加到目录）",IF($A680="","⚠ 目录里这个项目没填简称",IF(ISTEXT($G680)+ISTEXT($H680)+ISTEXT($K680)+ISTEXT($N680)+ISTEXT($O680)+ISTEXT($Q680)+ISTEXT($R680)+ISTEXT($S680)&gt;0,"⚠ 金额列里有文字，算不进合计",IF(N($G680)&gt;=1,"⚠ 管理费点要填百分比，如 10%",IF(AND($D680&lt;&gt;"",$B680=""),"△ 摘要开头没写日期（如 2026.9.21），月份取不到",IF(AND(N($H680)&lt;&gt;0,COUNTIFS($A$4:$A$1003,$A680,$H$4:$H$1003,$H680,$D$4:$D$1003,LEFT($D680,9)&amp;"*")&gt;1),"△ 同一天同项目有一样的销售金额，看看是不是录重了","✓"))))))))</f>
        <v/>
      </c>
      <c r="W680" s="8" t="str">
        <f aca="false">IF($A680="","",$A680&amp;"#"&amp;COUNTIF($A$4:$A680,$A680))</f>
        <v/>
      </c>
    </row>
    <row r="681" customFormat="false" ht="16.5" hidden="false" customHeight="false" outlineLevel="0" collapsed="false">
      <c r="A681" s="44" t="str">
        <f aca="false">IF($C681="","",IFERROR(VLOOKUP($C681,目录!$B:$C,2,0)&amp;"","⚠目录里没有"))</f>
        <v/>
      </c>
      <c r="B681" s="45" t="str">
        <f aca="false">IF($D681="","",IFERROR(MID($D681,FIND(".",$D681)+1,FIND(".",$D681,FIND(".",$D681)+1)-FIND(".",$D681)-1)&amp;"月",""))</f>
        <v/>
      </c>
      <c r="C681" s="46"/>
      <c r="D681" s="47"/>
      <c r="E681" s="47"/>
      <c r="F681" s="49"/>
      <c r="G681" s="50"/>
      <c r="H681" s="24"/>
      <c r="I681" s="24" t="str">
        <f aca="false">IF($H681="","",N($H681)*N($G681))</f>
        <v/>
      </c>
      <c r="J681" s="25" t="str">
        <f aca="false">IF($H681="","",N($H681)-N($I681))</f>
        <v/>
      </c>
      <c r="K681" s="25"/>
      <c r="L681" s="25" t="str">
        <f aca="false">IF($A681="","",SUMIF($A$4:$A681,$A681,$J$4:$J681)-SUMIF($A$4:$A681,$A681,$K$4:$K681))</f>
        <v/>
      </c>
      <c r="M681" s="26" t="str">
        <f aca="false">IF($H681="","",N($H681))</f>
        <v/>
      </c>
      <c r="N681" s="26"/>
      <c r="O681" s="26"/>
      <c r="P681" s="26" t="str">
        <f aca="false">IF($A681="","",SUMIF($A$4:$A681,$A681,$M$4:$M681)-SUMIF($A$4:$A681,$A681,$N$4:$N681)-SUMIF($A$4:$A681,$A681,$O$4:$O681))</f>
        <v/>
      </c>
      <c r="Q681" s="27"/>
      <c r="R681" s="28"/>
      <c r="S681" s="28"/>
      <c r="T681" s="28" t="str">
        <f aca="false">IF($A681="","",SUMIF($A$4:$A681,$A681,$Q$4:$Q681)-SUMIF($A$4:$A681,$A681,$R$4:$R681)-SUMIF($A$4:$A681,$A681,$S$4:$S681))</f>
        <v/>
      </c>
      <c r="U681" s="28"/>
      <c r="V681" s="29" t="str">
        <f aca="false">IF(AND($C681="",COUNTA($D681:$H681,$K681,$N681:$O681,$Q681:$S681,$U681)=0),"",IF($C681="","⚠ 没填项目名称",IF($A681="⚠目录里没有","⚠ 项目名称在目录里找不到（先加到目录）",IF($A681="","⚠ 目录里这个项目没填简称",IF(ISTEXT($G681)+ISTEXT($H681)+ISTEXT($K681)+ISTEXT($N681)+ISTEXT($O681)+ISTEXT($Q681)+ISTEXT($R681)+ISTEXT($S681)&gt;0,"⚠ 金额列里有文字，算不进合计",IF(N($G681)&gt;=1,"⚠ 管理费点要填百分比，如 10%",IF(AND($D681&lt;&gt;"",$B681=""),"△ 摘要开头没写日期（如 2026.9.21），月份取不到",IF(AND(N($H681)&lt;&gt;0,COUNTIFS($A$4:$A$1003,$A681,$H$4:$H$1003,$H681,$D$4:$D$1003,LEFT($D681,9)&amp;"*")&gt;1),"△ 同一天同项目有一样的销售金额，看看是不是录重了","✓"))))))))</f>
        <v/>
      </c>
      <c r="W681" s="8" t="str">
        <f aca="false">IF($A681="","",$A681&amp;"#"&amp;COUNTIF($A$4:$A681,$A681))</f>
        <v/>
      </c>
    </row>
    <row r="682" customFormat="false" ht="16.5" hidden="false" customHeight="false" outlineLevel="0" collapsed="false">
      <c r="A682" s="44" t="str">
        <f aca="false">IF($C682="","",IFERROR(VLOOKUP($C682,目录!$B:$C,2,0)&amp;"","⚠目录里没有"))</f>
        <v/>
      </c>
      <c r="B682" s="45" t="str">
        <f aca="false">IF($D682="","",IFERROR(MID($D682,FIND(".",$D682)+1,FIND(".",$D682,FIND(".",$D682)+1)-FIND(".",$D682)-1)&amp;"月",""))</f>
        <v/>
      </c>
      <c r="C682" s="46"/>
      <c r="D682" s="47"/>
      <c r="E682" s="47"/>
      <c r="F682" s="49"/>
      <c r="G682" s="50"/>
      <c r="H682" s="24"/>
      <c r="I682" s="24" t="str">
        <f aca="false">IF($H682="","",N($H682)*N($G682))</f>
        <v/>
      </c>
      <c r="J682" s="25" t="str">
        <f aca="false">IF($H682="","",N($H682)-N($I682))</f>
        <v/>
      </c>
      <c r="K682" s="25"/>
      <c r="L682" s="25" t="str">
        <f aca="false">IF($A682="","",SUMIF($A$4:$A682,$A682,$J$4:$J682)-SUMIF($A$4:$A682,$A682,$K$4:$K682))</f>
        <v/>
      </c>
      <c r="M682" s="26" t="str">
        <f aca="false">IF($H682="","",N($H682))</f>
        <v/>
      </c>
      <c r="N682" s="26"/>
      <c r="O682" s="26"/>
      <c r="P682" s="26" t="str">
        <f aca="false">IF($A682="","",SUMIF($A$4:$A682,$A682,$M$4:$M682)-SUMIF($A$4:$A682,$A682,$N$4:$N682)-SUMIF($A$4:$A682,$A682,$O$4:$O682))</f>
        <v/>
      </c>
      <c r="Q682" s="27"/>
      <c r="R682" s="28"/>
      <c r="S682" s="28"/>
      <c r="T682" s="28" t="str">
        <f aca="false">IF($A682="","",SUMIF($A$4:$A682,$A682,$Q$4:$Q682)-SUMIF($A$4:$A682,$A682,$R$4:$R682)-SUMIF($A$4:$A682,$A682,$S$4:$S682))</f>
        <v/>
      </c>
      <c r="U682" s="28"/>
      <c r="V682" s="29" t="str">
        <f aca="false">IF(AND($C682="",COUNTA($D682:$H682,$K682,$N682:$O682,$Q682:$S682,$U682)=0),"",IF($C682="","⚠ 没填项目名称",IF($A682="⚠目录里没有","⚠ 项目名称在目录里找不到（先加到目录）",IF($A682="","⚠ 目录里这个项目没填简称",IF(ISTEXT($G682)+ISTEXT($H682)+ISTEXT($K682)+ISTEXT($N682)+ISTEXT($O682)+ISTEXT($Q682)+ISTEXT($R682)+ISTEXT($S682)&gt;0,"⚠ 金额列里有文字，算不进合计",IF(N($G682)&gt;=1,"⚠ 管理费点要填百分比，如 10%",IF(AND($D682&lt;&gt;"",$B682=""),"△ 摘要开头没写日期（如 2026.9.21），月份取不到",IF(AND(N($H682)&lt;&gt;0,COUNTIFS($A$4:$A$1003,$A682,$H$4:$H$1003,$H682,$D$4:$D$1003,LEFT($D682,9)&amp;"*")&gt;1),"△ 同一天同项目有一样的销售金额，看看是不是录重了","✓"))))))))</f>
        <v/>
      </c>
      <c r="W682" s="8" t="str">
        <f aca="false">IF($A682="","",$A682&amp;"#"&amp;COUNTIF($A$4:$A682,$A682))</f>
        <v/>
      </c>
    </row>
    <row r="683" customFormat="false" ht="16.5" hidden="false" customHeight="false" outlineLevel="0" collapsed="false">
      <c r="A683" s="44" t="str">
        <f aca="false">IF($C683="","",IFERROR(VLOOKUP($C683,目录!$B:$C,2,0)&amp;"","⚠目录里没有"))</f>
        <v/>
      </c>
      <c r="B683" s="45" t="str">
        <f aca="false">IF($D683="","",IFERROR(MID($D683,FIND(".",$D683)+1,FIND(".",$D683,FIND(".",$D683)+1)-FIND(".",$D683)-1)&amp;"月",""))</f>
        <v/>
      </c>
      <c r="C683" s="46"/>
      <c r="D683" s="47"/>
      <c r="E683" s="47"/>
      <c r="F683" s="49"/>
      <c r="G683" s="50"/>
      <c r="H683" s="24"/>
      <c r="I683" s="24" t="str">
        <f aca="false">IF($H683="","",N($H683)*N($G683))</f>
        <v/>
      </c>
      <c r="J683" s="25" t="str">
        <f aca="false">IF($H683="","",N($H683)-N($I683))</f>
        <v/>
      </c>
      <c r="K683" s="25"/>
      <c r="L683" s="25" t="str">
        <f aca="false">IF($A683="","",SUMIF($A$4:$A683,$A683,$J$4:$J683)-SUMIF($A$4:$A683,$A683,$K$4:$K683))</f>
        <v/>
      </c>
      <c r="M683" s="26" t="str">
        <f aca="false">IF($H683="","",N($H683))</f>
        <v/>
      </c>
      <c r="N683" s="26"/>
      <c r="O683" s="26"/>
      <c r="P683" s="26" t="str">
        <f aca="false">IF($A683="","",SUMIF($A$4:$A683,$A683,$M$4:$M683)-SUMIF($A$4:$A683,$A683,$N$4:$N683)-SUMIF($A$4:$A683,$A683,$O$4:$O683))</f>
        <v/>
      </c>
      <c r="Q683" s="27"/>
      <c r="R683" s="28"/>
      <c r="S683" s="28"/>
      <c r="T683" s="28" t="str">
        <f aca="false">IF($A683="","",SUMIF($A$4:$A683,$A683,$Q$4:$Q683)-SUMIF($A$4:$A683,$A683,$R$4:$R683)-SUMIF($A$4:$A683,$A683,$S$4:$S683))</f>
        <v/>
      </c>
      <c r="U683" s="28"/>
      <c r="V683" s="29" t="str">
        <f aca="false">IF(AND($C683="",COUNTA($D683:$H683,$K683,$N683:$O683,$Q683:$S683,$U683)=0),"",IF($C683="","⚠ 没填项目名称",IF($A683="⚠目录里没有","⚠ 项目名称在目录里找不到（先加到目录）",IF($A683="","⚠ 目录里这个项目没填简称",IF(ISTEXT($G683)+ISTEXT($H683)+ISTEXT($K683)+ISTEXT($N683)+ISTEXT($O683)+ISTEXT($Q683)+ISTEXT($R683)+ISTEXT($S683)&gt;0,"⚠ 金额列里有文字，算不进合计",IF(N($G683)&gt;=1,"⚠ 管理费点要填百分比，如 10%",IF(AND($D683&lt;&gt;"",$B683=""),"△ 摘要开头没写日期（如 2026.9.21），月份取不到",IF(AND(N($H683)&lt;&gt;0,COUNTIFS($A$4:$A$1003,$A683,$H$4:$H$1003,$H683,$D$4:$D$1003,LEFT($D683,9)&amp;"*")&gt;1),"△ 同一天同项目有一样的销售金额，看看是不是录重了","✓"))))))))</f>
        <v/>
      </c>
      <c r="W683" s="8" t="str">
        <f aca="false">IF($A683="","",$A683&amp;"#"&amp;COUNTIF($A$4:$A683,$A683))</f>
        <v/>
      </c>
    </row>
    <row r="684" customFormat="false" ht="16.5" hidden="false" customHeight="false" outlineLevel="0" collapsed="false">
      <c r="A684" s="44" t="str">
        <f aca="false">IF($C684="","",IFERROR(VLOOKUP($C684,目录!$B:$C,2,0)&amp;"","⚠目录里没有"))</f>
        <v/>
      </c>
      <c r="B684" s="45" t="str">
        <f aca="false">IF($D684="","",IFERROR(MID($D684,FIND(".",$D684)+1,FIND(".",$D684,FIND(".",$D684)+1)-FIND(".",$D684)-1)&amp;"月",""))</f>
        <v/>
      </c>
      <c r="C684" s="46"/>
      <c r="D684" s="47"/>
      <c r="E684" s="47"/>
      <c r="F684" s="49"/>
      <c r="G684" s="50"/>
      <c r="H684" s="24"/>
      <c r="I684" s="24" t="str">
        <f aca="false">IF($H684="","",N($H684)*N($G684))</f>
        <v/>
      </c>
      <c r="J684" s="25" t="str">
        <f aca="false">IF($H684="","",N($H684)-N($I684))</f>
        <v/>
      </c>
      <c r="K684" s="25"/>
      <c r="L684" s="25" t="str">
        <f aca="false">IF($A684="","",SUMIF($A$4:$A684,$A684,$J$4:$J684)-SUMIF($A$4:$A684,$A684,$K$4:$K684))</f>
        <v/>
      </c>
      <c r="M684" s="26" t="str">
        <f aca="false">IF($H684="","",N($H684))</f>
        <v/>
      </c>
      <c r="N684" s="26"/>
      <c r="O684" s="26"/>
      <c r="P684" s="26" t="str">
        <f aca="false">IF($A684="","",SUMIF($A$4:$A684,$A684,$M$4:$M684)-SUMIF($A$4:$A684,$A684,$N$4:$N684)-SUMIF($A$4:$A684,$A684,$O$4:$O684))</f>
        <v/>
      </c>
      <c r="Q684" s="27"/>
      <c r="R684" s="28"/>
      <c r="S684" s="28"/>
      <c r="T684" s="28" t="str">
        <f aca="false">IF($A684="","",SUMIF($A$4:$A684,$A684,$Q$4:$Q684)-SUMIF($A$4:$A684,$A684,$R$4:$R684)-SUMIF($A$4:$A684,$A684,$S$4:$S684))</f>
        <v/>
      </c>
      <c r="U684" s="28"/>
      <c r="V684" s="29" t="str">
        <f aca="false">IF(AND($C684="",COUNTA($D684:$H684,$K684,$N684:$O684,$Q684:$S684,$U684)=0),"",IF($C684="","⚠ 没填项目名称",IF($A684="⚠目录里没有","⚠ 项目名称在目录里找不到（先加到目录）",IF($A684="","⚠ 目录里这个项目没填简称",IF(ISTEXT($G684)+ISTEXT($H684)+ISTEXT($K684)+ISTEXT($N684)+ISTEXT($O684)+ISTEXT($Q684)+ISTEXT($R684)+ISTEXT($S684)&gt;0,"⚠ 金额列里有文字，算不进合计",IF(N($G684)&gt;=1,"⚠ 管理费点要填百分比，如 10%",IF(AND($D684&lt;&gt;"",$B684=""),"△ 摘要开头没写日期（如 2026.9.21），月份取不到",IF(AND(N($H684)&lt;&gt;0,COUNTIFS($A$4:$A$1003,$A684,$H$4:$H$1003,$H684,$D$4:$D$1003,LEFT($D684,9)&amp;"*")&gt;1),"△ 同一天同项目有一样的销售金额，看看是不是录重了","✓"))))))))</f>
        <v/>
      </c>
      <c r="W684" s="8" t="str">
        <f aca="false">IF($A684="","",$A684&amp;"#"&amp;COUNTIF($A$4:$A684,$A684))</f>
        <v/>
      </c>
    </row>
    <row r="685" customFormat="false" ht="16.5" hidden="false" customHeight="false" outlineLevel="0" collapsed="false">
      <c r="A685" s="44" t="str">
        <f aca="false">IF($C685="","",IFERROR(VLOOKUP($C685,目录!$B:$C,2,0)&amp;"","⚠目录里没有"))</f>
        <v/>
      </c>
      <c r="B685" s="45" t="str">
        <f aca="false">IF($D685="","",IFERROR(MID($D685,FIND(".",$D685)+1,FIND(".",$D685,FIND(".",$D685)+1)-FIND(".",$D685)-1)&amp;"月",""))</f>
        <v/>
      </c>
      <c r="C685" s="46"/>
      <c r="D685" s="47"/>
      <c r="E685" s="47"/>
      <c r="F685" s="49"/>
      <c r="G685" s="50"/>
      <c r="H685" s="24"/>
      <c r="I685" s="24" t="str">
        <f aca="false">IF($H685="","",N($H685)*N($G685))</f>
        <v/>
      </c>
      <c r="J685" s="25" t="str">
        <f aca="false">IF($H685="","",N($H685)-N($I685))</f>
        <v/>
      </c>
      <c r="K685" s="25"/>
      <c r="L685" s="25" t="str">
        <f aca="false">IF($A685="","",SUMIF($A$4:$A685,$A685,$J$4:$J685)-SUMIF($A$4:$A685,$A685,$K$4:$K685))</f>
        <v/>
      </c>
      <c r="M685" s="26" t="str">
        <f aca="false">IF($H685="","",N($H685))</f>
        <v/>
      </c>
      <c r="N685" s="26"/>
      <c r="O685" s="26"/>
      <c r="P685" s="26" t="str">
        <f aca="false">IF($A685="","",SUMIF($A$4:$A685,$A685,$M$4:$M685)-SUMIF($A$4:$A685,$A685,$N$4:$N685)-SUMIF($A$4:$A685,$A685,$O$4:$O685))</f>
        <v/>
      </c>
      <c r="Q685" s="27"/>
      <c r="R685" s="28"/>
      <c r="S685" s="28"/>
      <c r="T685" s="28" t="str">
        <f aca="false">IF($A685="","",SUMIF($A$4:$A685,$A685,$Q$4:$Q685)-SUMIF($A$4:$A685,$A685,$R$4:$R685)-SUMIF($A$4:$A685,$A685,$S$4:$S685))</f>
        <v/>
      </c>
      <c r="U685" s="28"/>
      <c r="V685" s="29" t="str">
        <f aca="false">IF(AND($C685="",COUNTA($D685:$H685,$K685,$N685:$O685,$Q685:$S685,$U685)=0),"",IF($C685="","⚠ 没填项目名称",IF($A685="⚠目录里没有","⚠ 项目名称在目录里找不到（先加到目录）",IF($A685="","⚠ 目录里这个项目没填简称",IF(ISTEXT($G685)+ISTEXT($H685)+ISTEXT($K685)+ISTEXT($N685)+ISTEXT($O685)+ISTEXT($Q685)+ISTEXT($R685)+ISTEXT($S685)&gt;0,"⚠ 金额列里有文字，算不进合计",IF(N($G685)&gt;=1,"⚠ 管理费点要填百分比，如 10%",IF(AND($D685&lt;&gt;"",$B685=""),"△ 摘要开头没写日期（如 2026.9.21），月份取不到",IF(AND(N($H685)&lt;&gt;0,COUNTIFS($A$4:$A$1003,$A685,$H$4:$H$1003,$H685,$D$4:$D$1003,LEFT($D685,9)&amp;"*")&gt;1),"△ 同一天同项目有一样的销售金额，看看是不是录重了","✓"))))))))</f>
        <v/>
      </c>
      <c r="W685" s="8" t="str">
        <f aca="false">IF($A685="","",$A685&amp;"#"&amp;COUNTIF($A$4:$A685,$A685))</f>
        <v/>
      </c>
    </row>
    <row r="686" customFormat="false" ht="16.5" hidden="false" customHeight="false" outlineLevel="0" collapsed="false">
      <c r="A686" s="44" t="str">
        <f aca="false">IF($C686="","",IFERROR(VLOOKUP($C686,目录!$B:$C,2,0)&amp;"","⚠目录里没有"))</f>
        <v/>
      </c>
      <c r="B686" s="45" t="str">
        <f aca="false">IF($D686="","",IFERROR(MID($D686,FIND(".",$D686)+1,FIND(".",$D686,FIND(".",$D686)+1)-FIND(".",$D686)-1)&amp;"月",""))</f>
        <v/>
      </c>
      <c r="C686" s="46"/>
      <c r="D686" s="47"/>
      <c r="E686" s="47"/>
      <c r="F686" s="49"/>
      <c r="G686" s="50"/>
      <c r="H686" s="24"/>
      <c r="I686" s="24" t="str">
        <f aca="false">IF($H686="","",N($H686)*N($G686))</f>
        <v/>
      </c>
      <c r="J686" s="25" t="str">
        <f aca="false">IF($H686="","",N($H686)-N($I686))</f>
        <v/>
      </c>
      <c r="K686" s="25"/>
      <c r="L686" s="25" t="str">
        <f aca="false">IF($A686="","",SUMIF($A$4:$A686,$A686,$J$4:$J686)-SUMIF($A$4:$A686,$A686,$K$4:$K686))</f>
        <v/>
      </c>
      <c r="M686" s="26" t="str">
        <f aca="false">IF($H686="","",N($H686))</f>
        <v/>
      </c>
      <c r="N686" s="26"/>
      <c r="O686" s="26"/>
      <c r="P686" s="26" t="str">
        <f aca="false">IF($A686="","",SUMIF($A$4:$A686,$A686,$M$4:$M686)-SUMIF($A$4:$A686,$A686,$N$4:$N686)-SUMIF($A$4:$A686,$A686,$O$4:$O686))</f>
        <v/>
      </c>
      <c r="Q686" s="27"/>
      <c r="R686" s="28"/>
      <c r="S686" s="28"/>
      <c r="T686" s="28" t="str">
        <f aca="false">IF($A686="","",SUMIF($A$4:$A686,$A686,$Q$4:$Q686)-SUMIF($A$4:$A686,$A686,$R$4:$R686)-SUMIF($A$4:$A686,$A686,$S$4:$S686))</f>
        <v/>
      </c>
      <c r="U686" s="28"/>
      <c r="V686" s="29" t="str">
        <f aca="false">IF(AND($C686="",COUNTA($D686:$H686,$K686,$N686:$O686,$Q686:$S686,$U686)=0),"",IF($C686="","⚠ 没填项目名称",IF($A686="⚠目录里没有","⚠ 项目名称在目录里找不到（先加到目录）",IF($A686="","⚠ 目录里这个项目没填简称",IF(ISTEXT($G686)+ISTEXT($H686)+ISTEXT($K686)+ISTEXT($N686)+ISTEXT($O686)+ISTEXT($Q686)+ISTEXT($R686)+ISTEXT($S686)&gt;0,"⚠ 金额列里有文字，算不进合计",IF(N($G686)&gt;=1,"⚠ 管理费点要填百分比，如 10%",IF(AND($D686&lt;&gt;"",$B686=""),"△ 摘要开头没写日期（如 2026.9.21），月份取不到",IF(AND(N($H686)&lt;&gt;0,COUNTIFS($A$4:$A$1003,$A686,$H$4:$H$1003,$H686,$D$4:$D$1003,LEFT($D686,9)&amp;"*")&gt;1),"△ 同一天同项目有一样的销售金额，看看是不是录重了","✓"))))))))</f>
        <v/>
      </c>
      <c r="W686" s="8" t="str">
        <f aca="false">IF($A686="","",$A686&amp;"#"&amp;COUNTIF($A$4:$A686,$A686))</f>
        <v/>
      </c>
    </row>
    <row r="687" customFormat="false" ht="16.5" hidden="false" customHeight="false" outlineLevel="0" collapsed="false">
      <c r="A687" s="44" t="str">
        <f aca="false">IF($C687="","",IFERROR(VLOOKUP($C687,目录!$B:$C,2,0)&amp;"","⚠目录里没有"))</f>
        <v/>
      </c>
      <c r="B687" s="45" t="str">
        <f aca="false">IF($D687="","",IFERROR(MID($D687,FIND(".",$D687)+1,FIND(".",$D687,FIND(".",$D687)+1)-FIND(".",$D687)-1)&amp;"月",""))</f>
        <v/>
      </c>
      <c r="C687" s="46"/>
      <c r="D687" s="47"/>
      <c r="E687" s="47"/>
      <c r="F687" s="49"/>
      <c r="G687" s="50"/>
      <c r="H687" s="24"/>
      <c r="I687" s="24" t="str">
        <f aca="false">IF($H687="","",N($H687)*N($G687))</f>
        <v/>
      </c>
      <c r="J687" s="25" t="str">
        <f aca="false">IF($H687="","",N($H687)-N($I687))</f>
        <v/>
      </c>
      <c r="K687" s="25"/>
      <c r="L687" s="25" t="str">
        <f aca="false">IF($A687="","",SUMIF($A$4:$A687,$A687,$J$4:$J687)-SUMIF($A$4:$A687,$A687,$K$4:$K687))</f>
        <v/>
      </c>
      <c r="M687" s="26" t="str">
        <f aca="false">IF($H687="","",N($H687))</f>
        <v/>
      </c>
      <c r="N687" s="26"/>
      <c r="O687" s="26"/>
      <c r="P687" s="26" t="str">
        <f aca="false">IF($A687="","",SUMIF($A$4:$A687,$A687,$M$4:$M687)-SUMIF($A$4:$A687,$A687,$N$4:$N687)-SUMIF($A$4:$A687,$A687,$O$4:$O687))</f>
        <v/>
      </c>
      <c r="Q687" s="27"/>
      <c r="R687" s="28"/>
      <c r="S687" s="28"/>
      <c r="T687" s="28" t="str">
        <f aca="false">IF($A687="","",SUMIF($A$4:$A687,$A687,$Q$4:$Q687)-SUMIF($A$4:$A687,$A687,$R$4:$R687)-SUMIF($A$4:$A687,$A687,$S$4:$S687))</f>
        <v/>
      </c>
      <c r="U687" s="28"/>
      <c r="V687" s="29" t="str">
        <f aca="false">IF(AND($C687="",COUNTA($D687:$H687,$K687,$N687:$O687,$Q687:$S687,$U687)=0),"",IF($C687="","⚠ 没填项目名称",IF($A687="⚠目录里没有","⚠ 项目名称在目录里找不到（先加到目录）",IF($A687="","⚠ 目录里这个项目没填简称",IF(ISTEXT($G687)+ISTEXT($H687)+ISTEXT($K687)+ISTEXT($N687)+ISTEXT($O687)+ISTEXT($Q687)+ISTEXT($R687)+ISTEXT($S687)&gt;0,"⚠ 金额列里有文字，算不进合计",IF(N($G687)&gt;=1,"⚠ 管理费点要填百分比，如 10%",IF(AND($D687&lt;&gt;"",$B687=""),"△ 摘要开头没写日期（如 2026.9.21），月份取不到",IF(AND(N($H687)&lt;&gt;0,COUNTIFS($A$4:$A$1003,$A687,$H$4:$H$1003,$H687,$D$4:$D$1003,LEFT($D687,9)&amp;"*")&gt;1),"△ 同一天同项目有一样的销售金额，看看是不是录重了","✓"))))))))</f>
        <v/>
      </c>
      <c r="W687" s="8" t="str">
        <f aca="false">IF($A687="","",$A687&amp;"#"&amp;COUNTIF($A$4:$A687,$A687))</f>
        <v/>
      </c>
    </row>
    <row r="688" customFormat="false" ht="16.5" hidden="false" customHeight="false" outlineLevel="0" collapsed="false">
      <c r="A688" s="44" t="str">
        <f aca="false">IF($C688="","",IFERROR(VLOOKUP($C688,目录!$B:$C,2,0)&amp;"","⚠目录里没有"))</f>
        <v/>
      </c>
      <c r="B688" s="45" t="str">
        <f aca="false">IF($D688="","",IFERROR(MID($D688,FIND(".",$D688)+1,FIND(".",$D688,FIND(".",$D688)+1)-FIND(".",$D688)-1)&amp;"月",""))</f>
        <v/>
      </c>
      <c r="C688" s="46"/>
      <c r="D688" s="47"/>
      <c r="E688" s="47"/>
      <c r="F688" s="49"/>
      <c r="G688" s="50"/>
      <c r="H688" s="24"/>
      <c r="I688" s="24" t="str">
        <f aca="false">IF($H688="","",N($H688)*N($G688))</f>
        <v/>
      </c>
      <c r="J688" s="25" t="str">
        <f aca="false">IF($H688="","",N($H688)-N($I688))</f>
        <v/>
      </c>
      <c r="K688" s="25"/>
      <c r="L688" s="25" t="str">
        <f aca="false">IF($A688="","",SUMIF($A$4:$A688,$A688,$J$4:$J688)-SUMIF($A$4:$A688,$A688,$K$4:$K688))</f>
        <v/>
      </c>
      <c r="M688" s="26" t="str">
        <f aca="false">IF($H688="","",N($H688))</f>
        <v/>
      </c>
      <c r="N688" s="26"/>
      <c r="O688" s="26"/>
      <c r="P688" s="26" t="str">
        <f aca="false">IF($A688="","",SUMIF($A$4:$A688,$A688,$M$4:$M688)-SUMIF($A$4:$A688,$A688,$N$4:$N688)-SUMIF($A$4:$A688,$A688,$O$4:$O688))</f>
        <v/>
      </c>
      <c r="Q688" s="27"/>
      <c r="R688" s="28"/>
      <c r="S688" s="28"/>
      <c r="T688" s="28" t="str">
        <f aca="false">IF($A688="","",SUMIF($A$4:$A688,$A688,$Q$4:$Q688)-SUMIF($A$4:$A688,$A688,$R$4:$R688)-SUMIF($A$4:$A688,$A688,$S$4:$S688))</f>
        <v/>
      </c>
      <c r="U688" s="28"/>
      <c r="V688" s="29" t="str">
        <f aca="false">IF(AND($C688="",COUNTA($D688:$H688,$K688,$N688:$O688,$Q688:$S688,$U688)=0),"",IF($C688="","⚠ 没填项目名称",IF($A688="⚠目录里没有","⚠ 项目名称在目录里找不到（先加到目录）",IF($A688="","⚠ 目录里这个项目没填简称",IF(ISTEXT($G688)+ISTEXT($H688)+ISTEXT($K688)+ISTEXT($N688)+ISTEXT($O688)+ISTEXT($Q688)+ISTEXT($R688)+ISTEXT($S688)&gt;0,"⚠ 金额列里有文字，算不进合计",IF(N($G688)&gt;=1,"⚠ 管理费点要填百分比，如 10%",IF(AND($D688&lt;&gt;"",$B688=""),"△ 摘要开头没写日期（如 2026.9.21），月份取不到",IF(AND(N($H688)&lt;&gt;0,COUNTIFS($A$4:$A$1003,$A688,$H$4:$H$1003,$H688,$D$4:$D$1003,LEFT($D688,9)&amp;"*")&gt;1),"△ 同一天同项目有一样的销售金额，看看是不是录重了","✓"))))))))</f>
        <v/>
      </c>
      <c r="W688" s="8" t="str">
        <f aca="false">IF($A688="","",$A688&amp;"#"&amp;COUNTIF($A$4:$A688,$A688))</f>
        <v/>
      </c>
    </row>
    <row r="689" customFormat="false" ht="16.5" hidden="false" customHeight="false" outlineLevel="0" collapsed="false">
      <c r="A689" s="44" t="str">
        <f aca="false">IF($C689="","",IFERROR(VLOOKUP($C689,目录!$B:$C,2,0)&amp;"","⚠目录里没有"))</f>
        <v/>
      </c>
      <c r="B689" s="45" t="str">
        <f aca="false">IF($D689="","",IFERROR(MID($D689,FIND(".",$D689)+1,FIND(".",$D689,FIND(".",$D689)+1)-FIND(".",$D689)-1)&amp;"月",""))</f>
        <v/>
      </c>
      <c r="C689" s="46"/>
      <c r="D689" s="47"/>
      <c r="E689" s="47"/>
      <c r="F689" s="49"/>
      <c r="G689" s="50"/>
      <c r="H689" s="24"/>
      <c r="I689" s="24" t="str">
        <f aca="false">IF($H689="","",N($H689)*N($G689))</f>
        <v/>
      </c>
      <c r="J689" s="25" t="str">
        <f aca="false">IF($H689="","",N($H689)-N($I689))</f>
        <v/>
      </c>
      <c r="K689" s="25"/>
      <c r="L689" s="25" t="str">
        <f aca="false">IF($A689="","",SUMIF($A$4:$A689,$A689,$J$4:$J689)-SUMIF($A$4:$A689,$A689,$K$4:$K689))</f>
        <v/>
      </c>
      <c r="M689" s="26" t="str">
        <f aca="false">IF($H689="","",N($H689))</f>
        <v/>
      </c>
      <c r="N689" s="26"/>
      <c r="O689" s="26"/>
      <c r="P689" s="26" t="str">
        <f aca="false">IF($A689="","",SUMIF($A$4:$A689,$A689,$M$4:$M689)-SUMIF($A$4:$A689,$A689,$N$4:$N689)-SUMIF($A$4:$A689,$A689,$O$4:$O689))</f>
        <v/>
      </c>
      <c r="Q689" s="27"/>
      <c r="R689" s="28"/>
      <c r="S689" s="28"/>
      <c r="T689" s="28" t="str">
        <f aca="false">IF($A689="","",SUMIF($A$4:$A689,$A689,$Q$4:$Q689)-SUMIF($A$4:$A689,$A689,$R$4:$R689)-SUMIF($A$4:$A689,$A689,$S$4:$S689))</f>
        <v/>
      </c>
      <c r="U689" s="28"/>
      <c r="V689" s="29" t="str">
        <f aca="false">IF(AND($C689="",COUNTA($D689:$H689,$K689,$N689:$O689,$Q689:$S689,$U689)=0),"",IF($C689="","⚠ 没填项目名称",IF($A689="⚠目录里没有","⚠ 项目名称在目录里找不到（先加到目录）",IF($A689="","⚠ 目录里这个项目没填简称",IF(ISTEXT($G689)+ISTEXT($H689)+ISTEXT($K689)+ISTEXT($N689)+ISTEXT($O689)+ISTEXT($Q689)+ISTEXT($R689)+ISTEXT($S689)&gt;0,"⚠ 金额列里有文字，算不进合计",IF(N($G689)&gt;=1,"⚠ 管理费点要填百分比，如 10%",IF(AND($D689&lt;&gt;"",$B689=""),"△ 摘要开头没写日期（如 2026.9.21），月份取不到",IF(AND(N($H689)&lt;&gt;0,COUNTIFS($A$4:$A$1003,$A689,$H$4:$H$1003,$H689,$D$4:$D$1003,LEFT($D689,9)&amp;"*")&gt;1),"△ 同一天同项目有一样的销售金额，看看是不是录重了","✓"))))))))</f>
        <v/>
      </c>
      <c r="W689" s="8" t="str">
        <f aca="false">IF($A689="","",$A689&amp;"#"&amp;COUNTIF($A$4:$A689,$A689))</f>
        <v/>
      </c>
    </row>
    <row r="690" customFormat="false" ht="16.5" hidden="false" customHeight="false" outlineLevel="0" collapsed="false">
      <c r="A690" s="44" t="str">
        <f aca="false">IF($C690="","",IFERROR(VLOOKUP($C690,目录!$B:$C,2,0)&amp;"","⚠目录里没有"))</f>
        <v/>
      </c>
      <c r="B690" s="45" t="str">
        <f aca="false">IF($D690="","",IFERROR(MID($D690,FIND(".",$D690)+1,FIND(".",$D690,FIND(".",$D690)+1)-FIND(".",$D690)-1)&amp;"月",""))</f>
        <v/>
      </c>
      <c r="C690" s="46"/>
      <c r="D690" s="47"/>
      <c r="E690" s="47"/>
      <c r="F690" s="49"/>
      <c r="G690" s="50"/>
      <c r="H690" s="24"/>
      <c r="I690" s="24" t="str">
        <f aca="false">IF($H690="","",N($H690)*N($G690))</f>
        <v/>
      </c>
      <c r="J690" s="25" t="str">
        <f aca="false">IF($H690="","",N($H690)-N($I690))</f>
        <v/>
      </c>
      <c r="K690" s="25"/>
      <c r="L690" s="25" t="str">
        <f aca="false">IF($A690="","",SUMIF($A$4:$A690,$A690,$J$4:$J690)-SUMIF($A$4:$A690,$A690,$K$4:$K690))</f>
        <v/>
      </c>
      <c r="M690" s="26" t="str">
        <f aca="false">IF($H690="","",N($H690))</f>
        <v/>
      </c>
      <c r="N690" s="26"/>
      <c r="O690" s="26"/>
      <c r="P690" s="26" t="str">
        <f aca="false">IF($A690="","",SUMIF($A$4:$A690,$A690,$M$4:$M690)-SUMIF($A$4:$A690,$A690,$N$4:$N690)-SUMIF($A$4:$A690,$A690,$O$4:$O690))</f>
        <v/>
      </c>
      <c r="Q690" s="27"/>
      <c r="R690" s="28"/>
      <c r="S690" s="28"/>
      <c r="T690" s="28" t="str">
        <f aca="false">IF($A690="","",SUMIF($A$4:$A690,$A690,$Q$4:$Q690)-SUMIF($A$4:$A690,$A690,$R$4:$R690)-SUMIF($A$4:$A690,$A690,$S$4:$S690))</f>
        <v/>
      </c>
      <c r="U690" s="28"/>
      <c r="V690" s="29" t="str">
        <f aca="false">IF(AND($C690="",COUNTA($D690:$H690,$K690,$N690:$O690,$Q690:$S690,$U690)=0),"",IF($C690="","⚠ 没填项目名称",IF($A690="⚠目录里没有","⚠ 项目名称在目录里找不到（先加到目录）",IF($A690="","⚠ 目录里这个项目没填简称",IF(ISTEXT($G690)+ISTEXT($H690)+ISTEXT($K690)+ISTEXT($N690)+ISTEXT($O690)+ISTEXT($Q690)+ISTEXT($R690)+ISTEXT($S690)&gt;0,"⚠ 金额列里有文字，算不进合计",IF(N($G690)&gt;=1,"⚠ 管理费点要填百分比，如 10%",IF(AND($D690&lt;&gt;"",$B690=""),"△ 摘要开头没写日期（如 2026.9.21），月份取不到",IF(AND(N($H690)&lt;&gt;0,COUNTIFS($A$4:$A$1003,$A690,$H$4:$H$1003,$H690,$D$4:$D$1003,LEFT($D690,9)&amp;"*")&gt;1),"△ 同一天同项目有一样的销售金额，看看是不是录重了","✓"))))))))</f>
        <v/>
      </c>
      <c r="W690" s="8" t="str">
        <f aca="false">IF($A690="","",$A690&amp;"#"&amp;COUNTIF($A$4:$A690,$A690))</f>
        <v/>
      </c>
    </row>
    <row r="691" customFormat="false" ht="16.5" hidden="false" customHeight="false" outlineLevel="0" collapsed="false">
      <c r="A691" s="44" t="str">
        <f aca="false">IF($C691="","",IFERROR(VLOOKUP($C691,目录!$B:$C,2,0)&amp;"","⚠目录里没有"))</f>
        <v/>
      </c>
      <c r="B691" s="45" t="str">
        <f aca="false">IF($D691="","",IFERROR(MID($D691,FIND(".",$D691)+1,FIND(".",$D691,FIND(".",$D691)+1)-FIND(".",$D691)-1)&amp;"月",""))</f>
        <v/>
      </c>
      <c r="C691" s="46"/>
      <c r="D691" s="47"/>
      <c r="E691" s="47"/>
      <c r="F691" s="49"/>
      <c r="G691" s="50"/>
      <c r="H691" s="24"/>
      <c r="I691" s="24" t="str">
        <f aca="false">IF($H691="","",N($H691)*N($G691))</f>
        <v/>
      </c>
      <c r="J691" s="25" t="str">
        <f aca="false">IF($H691="","",N($H691)-N($I691))</f>
        <v/>
      </c>
      <c r="K691" s="25"/>
      <c r="L691" s="25" t="str">
        <f aca="false">IF($A691="","",SUMIF($A$4:$A691,$A691,$J$4:$J691)-SUMIF($A$4:$A691,$A691,$K$4:$K691))</f>
        <v/>
      </c>
      <c r="M691" s="26" t="str">
        <f aca="false">IF($H691="","",N($H691))</f>
        <v/>
      </c>
      <c r="N691" s="26"/>
      <c r="O691" s="26"/>
      <c r="P691" s="26" t="str">
        <f aca="false">IF($A691="","",SUMIF($A$4:$A691,$A691,$M$4:$M691)-SUMIF($A$4:$A691,$A691,$N$4:$N691)-SUMIF($A$4:$A691,$A691,$O$4:$O691))</f>
        <v/>
      </c>
      <c r="Q691" s="27"/>
      <c r="R691" s="28"/>
      <c r="S691" s="28"/>
      <c r="T691" s="28" t="str">
        <f aca="false">IF($A691="","",SUMIF($A$4:$A691,$A691,$Q$4:$Q691)-SUMIF($A$4:$A691,$A691,$R$4:$R691)-SUMIF($A$4:$A691,$A691,$S$4:$S691))</f>
        <v/>
      </c>
      <c r="U691" s="28"/>
      <c r="V691" s="29" t="str">
        <f aca="false">IF(AND($C691="",COUNTA($D691:$H691,$K691,$N691:$O691,$Q691:$S691,$U691)=0),"",IF($C691="","⚠ 没填项目名称",IF($A691="⚠目录里没有","⚠ 项目名称在目录里找不到（先加到目录）",IF($A691="","⚠ 目录里这个项目没填简称",IF(ISTEXT($G691)+ISTEXT($H691)+ISTEXT($K691)+ISTEXT($N691)+ISTEXT($O691)+ISTEXT($Q691)+ISTEXT($R691)+ISTEXT($S691)&gt;0,"⚠ 金额列里有文字，算不进合计",IF(N($G691)&gt;=1,"⚠ 管理费点要填百分比，如 10%",IF(AND($D691&lt;&gt;"",$B691=""),"△ 摘要开头没写日期（如 2026.9.21），月份取不到",IF(AND(N($H691)&lt;&gt;0,COUNTIFS($A$4:$A$1003,$A691,$H$4:$H$1003,$H691,$D$4:$D$1003,LEFT($D691,9)&amp;"*")&gt;1),"△ 同一天同项目有一样的销售金额，看看是不是录重了","✓"))))))))</f>
        <v/>
      </c>
      <c r="W691" s="8" t="str">
        <f aca="false">IF($A691="","",$A691&amp;"#"&amp;COUNTIF($A$4:$A691,$A691))</f>
        <v/>
      </c>
    </row>
    <row r="692" customFormat="false" ht="16.5" hidden="false" customHeight="false" outlineLevel="0" collapsed="false">
      <c r="A692" s="44" t="str">
        <f aca="false">IF($C692="","",IFERROR(VLOOKUP($C692,目录!$B:$C,2,0)&amp;"","⚠目录里没有"))</f>
        <v/>
      </c>
      <c r="B692" s="45" t="str">
        <f aca="false">IF($D692="","",IFERROR(MID($D692,FIND(".",$D692)+1,FIND(".",$D692,FIND(".",$D692)+1)-FIND(".",$D692)-1)&amp;"月",""))</f>
        <v/>
      </c>
      <c r="C692" s="46"/>
      <c r="D692" s="47"/>
      <c r="E692" s="47"/>
      <c r="F692" s="49"/>
      <c r="G692" s="50"/>
      <c r="H692" s="24"/>
      <c r="I692" s="24" t="str">
        <f aca="false">IF($H692="","",N($H692)*N($G692))</f>
        <v/>
      </c>
      <c r="J692" s="25" t="str">
        <f aca="false">IF($H692="","",N($H692)-N($I692))</f>
        <v/>
      </c>
      <c r="K692" s="25"/>
      <c r="L692" s="25" t="str">
        <f aca="false">IF($A692="","",SUMIF($A$4:$A692,$A692,$J$4:$J692)-SUMIF($A$4:$A692,$A692,$K$4:$K692))</f>
        <v/>
      </c>
      <c r="M692" s="26" t="str">
        <f aca="false">IF($H692="","",N($H692))</f>
        <v/>
      </c>
      <c r="N692" s="26"/>
      <c r="O692" s="26"/>
      <c r="P692" s="26" t="str">
        <f aca="false">IF($A692="","",SUMIF($A$4:$A692,$A692,$M$4:$M692)-SUMIF($A$4:$A692,$A692,$N$4:$N692)-SUMIF($A$4:$A692,$A692,$O$4:$O692))</f>
        <v/>
      </c>
      <c r="Q692" s="27"/>
      <c r="R692" s="28"/>
      <c r="S692" s="28"/>
      <c r="T692" s="28" t="str">
        <f aca="false">IF($A692="","",SUMIF($A$4:$A692,$A692,$Q$4:$Q692)-SUMIF($A$4:$A692,$A692,$R$4:$R692)-SUMIF($A$4:$A692,$A692,$S$4:$S692))</f>
        <v/>
      </c>
      <c r="U692" s="28"/>
      <c r="V692" s="29" t="str">
        <f aca="false">IF(AND($C692="",COUNTA($D692:$H692,$K692,$N692:$O692,$Q692:$S692,$U692)=0),"",IF($C692="","⚠ 没填项目名称",IF($A692="⚠目录里没有","⚠ 项目名称在目录里找不到（先加到目录）",IF($A692="","⚠ 目录里这个项目没填简称",IF(ISTEXT($G692)+ISTEXT($H692)+ISTEXT($K692)+ISTEXT($N692)+ISTEXT($O692)+ISTEXT($Q692)+ISTEXT($R692)+ISTEXT($S692)&gt;0,"⚠ 金额列里有文字，算不进合计",IF(N($G692)&gt;=1,"⚠ 管理费点要填百分比，如 10%",IF(AND($D692&lt;&gt;"",$B692=""),"△ 摘要开头没写日期（如 2026.9.21），月份取不到",IF(AND(N($H692)&lt;&gt;0,COUNTIFS($A$4:$A$1003,$A692,$H$4:$H$1003,$H692,$D$4:$D$1003,LEFT($D692,9)&amp;"*")&gt;1),"△ 同一天同项目有一样的销售金额，看看是不是录重了","✓"))))))))</f>
        <v/>
      </c>
      <c r="W692" s="8" t="str">
        <f aca="false">IF($A692="","",$A692&amp;"#"&amp;COUNTIF($A$4:$A692,$A692))</f>
        <v/>
      </c>
    </row>
    <row r="693" customFormat="false" ht="16.5" hidden="false" customHeight="false" outlineLevel="0" collapsed="false">
      <c r="A693" s="44" t="str">
        <f aca="false">IF($C693="","",IFERROR(VLOOKUP($C693,目录!$B:$C,2,0)&amp;"","⚠目录里没有"))</f>
        <v/>
      </c>
      <c r="B693" s="45" t="str">
        <f aca="false">IF($D693="","",IFERROR(MID($D693,FIND(".",$D693)+1,FIND(".",$D693,FIND(".",$D693)+1)-FIND(".",$D693)-1)&amp;"月",""))</f>
        <v/>
      </c>
      <c r="C693" s="46"/>
      <c r="D693" s="47"/>
      <c r="E693" s="47"/>
      <c r="F693" s="49"/>
      <c r="G693" s="50"/>
      <c r="H693" s="24"/>
      <c r="I693" s="24" t="str">
        <f aca="false">IF($H693="","",N($H693)*N($G693))</f>
        <v/>
      </c>
      <c r="J693" s="25" t="str">
        <f aca="false">IF($H693="","",N($H693)-N($I693))</f>
        <v/>
      </c>
      <c r="K693" s="25"/>
      <c r="L693" s="25" t="str">
        <f aca="false">IF($A693="","",SUMIF($A$4:$A693,$A693,$J$4:$J693)-SUMIF($A$4:$A693,$A693,$K$4:$K693))</f>
        <v/>
      </c>
      <c r="M693" s="26" t="str">
        <f aca="false">IF($H693="","",N($H693))</f>
        <v/>
      </c>
      <c r="N693" s="26"/>
      <c r="O693" s="26"/>
      <c r="P693" s="26" t="str">
        <f aca="false">IF($A693="","",SUMIF($A$4:$A693,$A693,$M$4:$M693)-SUMIF($A$4:$A693,$A693,$N$4:$N693)-SUMIF($A$4:$A693,$A693,$O$4:$O693))</f>
        <v/>
      </c>
      <c r="Q693" s="27"/>
      <c r="R693" s="28"/>
      <c r="S693" s="28"/>
      <c r="T693" s="28" t="str">
        <f aca="false">IF($A693="","",SUMIF($A$4:$A693,$A693,$Q$4:$Q693)-SUMIF($A$4:$A693,$A693,$R$4:$R693)-SUMIF($A$4:$A693,$A693,$S$4:$S693))</f>
        <v/>
      </c>
      <c r="U693" s="28"/>
      <c r="V693" s="29" t="str">
        <f aca="false">IF(AND($C693="",COUNTA($D693:$H693,$K693,$N693:$O693,$Q693:$S693,$U693)=0),"",IF($C693="","⚠ 没填项目名称",IF($A693="⚠目录里没有","⚠ 项目名称在目录里找不到（先加到目录）",IF($A693="","⚠ 目录里这个项目没填简称",IF(ISTEXT($G693)+ISTEXT($H693)+ISTEXT($K693)+ISTEXT($N693)+ISTEXT($O693)+ISTEXT($Q693)+ISTEXT($R693)+ISTEXT($S693)&gt;0,"⚠ 金额列里有文字，算不进合计",IF(N($G693)&gt;=1,"⚠ 管理费点要填百分比，如 10%",IF(AND($D693&lt;&gt;"",$B693=""),"△ 摘要开头没写日期（如 2026.9.21），月份取不到",IF(AND(N($H693)&lt;&gt;0,COUNTIFS($A$4:$A$1003,$A693,$H$4:$H$1003,$H693,$D$4:$D$1003,LEFT($D693,9)&amp;"*")&gt;1),"△ 同一天同项目有一样的销售金额，看看是不是录重了","✓"))))))))</f>
        <v/>
      </c>
      <c r="W693" s="8" t="str">
        <f aca="false">IF($A693="","",$A693&amp;"#"&amp;COUNTIF($A$4:$A693,$A693))</f>
        <v/>
      </c>
    </row>
    <row r="694" customFormat="false" ht="16.5" hidden="false" customHeight="false" outlineLevel="0" collapsed="false">
      <c r="A694" s="44" t="str">
        <f aca="false">IF($C694="","",IFERROR(VLOOKUP($C694,目录!$B:$C,2,0)&amp;"","⚠目录里没有"))</f>
        <v/>
      </c>
      <c r="B694" s="45" t="str">
        <f aca="false">IF($D694="","",IFERROR(MID($D694,FIND(".",$D694)+1,FIND(".",$D694,FIND(".",$D694)+1)-FIND(".",$D694)-1)&amp;"月",""))</f>
        <v/>
      </c>
      <c r="C694" s="46"/>
      <c r="D694" s="47"/>
      <c r="E694" s="47"/>
      <c r="F694" s="49"/>
      <c r="G694" s="50"/>
      <c r="H694" s="24"/>
      <c r="I694" s="24" t="str">
        <f aca="false">IF($H694="","",N($H694)*N($G694))</f>
        <v/>
      </c>
      <c r="J694" s="25" t="str">
        <f aca="false">IF($H694="","",N($H694)-N($I694))</f>
        <v/>
      </c>
      <c r="K694" s="25"/>
      <c r="L694" s="25" t="str">
        <f aca="false">IF($A694="","",SUMIF($A$4:$A694,$A694,$J$4:$J694)-SUMIF($A$4:$A694,$A694,$K$4:$K694))</f>
        <v/>
      </c>
      <c r="M694" s="26" t="str">
        <f aca="false">IF($H694="","",N($H694))</f>
        <v/>
      </c>
      <c r="N694" s="26"/>
      <c r="O694" s="26"/>
      <c r="P694" s="26" t="str">
        <f aca="false">IF($A694="","",SUMIF($A$4:$A694,$A694,$M$4:$M694)-SUMIF($A$4:$A694,$A694,$N$4:$N694)-SUMIF($A$4:$A694,$A694,$O$4:$O694))</f>
        <v/>
      </c>
      <c r="Q694" s="27"/>
      <c r="R694" s="28"/>
      <c r="S694" s="28"/>
      <c r="T694" s="28" t="str">
        <f aca="false">IF($A694="","",SUMIF($A$4:$A694,$A694,$Q$4:$Q694)-SUMIF($A$4:$A694,$A694,$R$4:$R694)-SUMIF($A$4:$A694,$A694,$S$4:$S694))</f>
        <v/>
      </c>
      <c r="U694" s="28"/>
      <c r="V694" s="29" t="str">
        <f aca="false">IF(AND($C694="",COUNTA($D694:$H694,$K694,$N694:$O694,$Q694:$S694,$U694)=0),"",IF($C694="","⚠ 没填项目名称",IF($A694="⚠目录里没有","⚠ 项目名称在目录里找不到（先加到目录）",IF($A694="","⚠ 目录里这个项目没填简称",IF(ISTEXT($G694)+ISTEXT($H694)+ISTEXT($K694)+ISTEXT($N694)+ISTEXT($O694)+ISTEXT($Q694)+ISTEXT($R694)+ISTEXT($S694)&gt;0,"⚠ 金额列里有文字，算不进合计",IF(N($G694)&gt;=1,"⚠ 管理费点要填百分比，如 10%",IF(AND($D694&lt;&gt;"",$B694=""),"△ 摘要开头没写日期（如 2026.9.21），月份取不到",IF(AND(N($H694)&lt;&gt;0,COUNTIFS($A$4:$A$1003,$A694,$H$4:$H$1003,$H694,$D$4:$D$1003,LEFT($D694,9)&amp;"*")&gt;1),"△ 同一天同项目有一样的销售金额，看看是不是录重了","✓"))))))))</f>
        <v/>
      </c>
      <c r="W694" s="8" t="str">
        <f aca="false">IF($A694="","",$A694&amp;"#"&amp;COUNTIF($A$4:$A694,$A694))</f>
        <v/>
      </c>
    </row>
    <row r="695" customFormat="false" ht="16.5" hidden="false" customHeight="false" outlineLevel="0" collapsed="false">
      <c r="A695" s="44" t="str">
        <f aca="false">IF($C695="","",IFERROR(VLOOKUP($C695,目录!$B:$C,2,0)&amp;"","⚠目录里没有"))</f>
        <v/>
      </c>
      <c r="B695" s="45" t="str">
        <f aca="false">IF($D695="","",IFERROR(MID($D695,FIND(".",$D695)+1,FIND(".",$D695,FIND(".",$D695)+1)-FIND(".",$D695)-1)&amp;"月",""))</f>
        <v/>
      </c>
      <c r="C695" s="46"/>
      <c r="D695" s="47"/>
      <c r="E695" s="47"/>
      <c r="F695" s="49"/>
      <c r="G695" s="50"/>
      <c r="H695" s="24"/>
      <c r="I695" s="24" t="str">
        <f aca="false">IF($H695="","",N($H695)*N($G695))</f>
        <v/>
      </c>
      <c r="J695" s="25" t="str">
        <f aca="false">IF($H695="","",N($H695)-N($I695))</f>
        <v/>
      </c>
      <c r="K695" s="25"/>
      <c r="L695" s="25" t="str">
        <f aca="false">IF($A695="","",SUMIF($A$4:$A695,$A695,$J$4:$J695)-SUMIF($A$4:$A695,$A695,$K$4:$K695))</f>
        <v/>
      </c>
      <c r="M695" s="26" t="str">
        <f aca="false">IF($H695="","",N($H695))</f>
        <v/>
      </c>
      <c r="N695" s="26"/>
      <c r="O695" s="26"/>
      <c r="P695" s="26" t="str">
        <f aca="false">IF($A695="","",SUMIF($A$4:$A695,$A695,$M$4:$M695)-SUMIF($A$4:$A695,$A695,$N$4:$N695)-SUMIF($A$4:$A695,$A695,$O$4:$O695))</f>
        <v/>
      </c>
      <c r="Q695" s="27"/>
      <c r="R695" s="28"/>
      <c r="S695" s="28"/>
      <c r="T695" s="28" t="str">
        <f aca="false">IF($A695="","",SUMIF($A$4:$A695,$A695,$Q$4:$Q695)-SUMIF($A$4:$A695,$A695,$R$4:$R695)-SUMIF($A$4:$A695,$A695,$S$4:$S695))</f>
        <v/>
      </c>
      <c r="U695" s="28"/>
      <c r="V695" s="29" t="str">
        <f aca="false">IF(AND($C695="",COUNTA($D695:$H695,$K695,$N695:$O695,$Q695:$S695,$U695)=0),"",IF($C695="","⚠ 没填项目名称",IF($A695="⚠目录里没有","⚠ 项目名称在目录里找不到（先加到目录）",IF($A695="","⚠ 目录里这个项目没填简称",IF(ISTEXT($G695)+ISTEXT($H695)+ISTEXT($K695)+ISTEXT($N695)+ISTEXT($O695)+ISTEXT($Q695)+ISTEXT($R695)+ISTEXT($S695)&gt;0,"⚠ 金额列里有文字，算不进合计",IF(N($G695)&gt;=1,"⚠ 管理费点要填百分比，如 10%",IF(AND($D695&lt;&gt;"",$B695=""),"△ 摘要开头没写日期（如 2026.9.21），月份取不到",IF(AND(N($H695)&lt;&gt;0,COUNTIFS($A$4:$A$1003,$A695,$H$4:$H$1003,$H695,$D$4:$D$1003,LEFT($D695,9)&amp;"*")&gt;1),"△ 同一天同项目有一样的销售金额，看看是不是录重了","✓"))))))))</f>
        <v/>
      </c>
      <c r="W695" s="8" t="str">
        <f aca="false">IF($A695="","",$A695&amp;"#"&amp;COUNTIF($A$4:$A695,$A695))</f>
        <v/>
      </c>
    </row>
    <row r="696" customFormat="false" ht="16.5" hidden="false" customHeight="false" outlineLevel="0" collapsed="false">
      <c r="A696" s="44" t="str">
        <f aca="false">IF($C696="","",IFERROR(VLOOKUP($C696,目录!$B:$C,2,0)&amp;"","⚠目录里没有"))</f>
        <v/>
      </c>
      <c r="B696" s="45" t="str">
        <f aca="false">IF($D696="","",IFERROR(MID($D696,FIND(".",$D696)+1,FIND(".",$D696,FIND(".",$D696)+1)-FIND(".",$D696)-1)&amp;"月",""))</f>
        <v/>
      </c>
      <c r="C696" s="46"/>
      <c r="D696" s="47"/>
      <c r="E696" s="47"/>
      <c r="F696" s="49"/>
      <c r="G696" s="50"/>
      <c r="H696" s="24"/>
      <c r="I696" s="24" t="str">
        <f aca="false">IF($H696="","",N($H696)*N($G696))</f>
        <v/>
      </c>
      <c r="J696" s="25" t="str">
        <f aca="false">IF($H696="","",N($H696)-N($I696))</f>
        <v/>
      </c>
      <c r="K696" s="25"/>
      <c r="L696" s="25" t="str">
        <f aca="false">IF($A696="","",SUMIF($A$4:$A696,$A696,$J$4:$J696)-SUMIF($A$4:$A696,$A696,$K$4:$K696))</f>
        <v/>
      </c>
      <c r="M696" s="26" t="str">
        <f aca="false">IF($H696="","",N($H696))</f>
        <v/>
      </c>
      <c r="N696" s="26"/>
      <c r="O696" s="26"/>
      <c r="P696" s="26" t="str">
        <f aca="false">IF($A696="","",SUMIF($A$4:$A696,$A696,$M$4:$M696)-SUMIF($A$4:$A696,$A696,$N$4:$N696)-SUMIF($A$4:$A696,$A696,$O$4:$O696))</f>
        <v/>
      </c>
      <c r="Q696" s="27"/>
      <c r="R696" s="28"/>
      <c r="S696" s="28"/>
      <c r="T696" s="28" t="str">
        <f aca="false">IF($A696="","",SUMIF($A$4:$A696,$A696,$Q$4:$Q696)-SUMIF($A$4:$A696,$A696,$R$4:$R696)-SUMIF($A$4:$A696,$A696,$S$4:$S696))</f>
        <v/>
      </c>
      <c r="U696" s="28"/>
      <c r="V696" s="29" t="str">
        <f aca="false">IF(AND($C696="",COUNTA($D696:$H696,$K696,$N696:$O696,$Q696:$S696,$U696)=0),"",IF($C696="","⚠ 没填项目名称",IF($A696="⚠目录里没有","⚠ 项目名称在目录里找不到（先加到目录）",IF($A696="","⚠ 目录里这个项目没填简称",IF(ISTEXT($G696)+ISTEXT($H696)+ISTEXT($K696)+ISTEXT($N696)+ISTEXT($O696)+ISTEXT($Q696)+ISTEXT($R696)+ISTEXT($S696)&gt;0,"⚠ 金额列里有文字，算不进合计",IF(N($G696)&gt;=1,"⚠ 管理费点要填百分比，如 10%",IF(AND($D696&lt;&gt;"",$B696=""),"△ 摘要开头没写日期（如 2026.9.21），月份取不到",IF(AND(N($H696)&lt;&gt;0,COUNTIFS($A$4:$A$1003,$A696,$H$4:$H$1003,$H696,$D$4:$D$1003,LEFT($D696,9)&amp;"*")&gt;1),"△ 同一天同项目有一样的销售金额，看看是不是录重了","✓"))))))))</f>
        <v/>
      </c>
      <c r="W696" s="8" t="str">
        <f aca="false">IF($A696="","",$A696&amp;"#"&amp;COUNTIF($A$4:$A696,$A696))</f>
        <v/>
      </c>
    </row>
    <row r="697" customFormat="false" ht="16.5" hidden="false" customHeight="false" outlineLevel="0" collapsed="false">
      <c r="A697" s="44" t="str">
        <f aca="false">IF($C697="","",IFERROR(VLOOKUP($C697,目录!$B:$C,2,0)&amp;"","⚠目录里没有"))</f>
        <v/>
      </c>
      <c r="B697" s="45" t="str">
        <f aca="false">IF($D697="","",IFERROR(MID($D697,FIND(".",$D697)+1,FIND(".",$D697,FIND(".",$D697)+1)-FIND(".",$D697)-1)&amp;"月",""))</f>
        <v/>
      </c>
      <c r="C697" s="46"/>
      <c r="D697" s="47"/>
      <c r="E697" s="47"/>
      <c r="F697" s="49"/>
      <c r="G697" s="50"/>
      <c r="H697" s="24"/>
      <c r="I697" s="24" t="str">
        <f aca="false">IF($H697="","",N($H697)*N($G697))</f>
        <v/>
      </c>
      <c r="J697" s="25" t="str">
        <f aca="false">IF($H697="","",N($H697)-N($I697))</f>
        <v/>
      </c>
      <c r="K697" s="25"/>
      <c r="L697" s="25" t="str">
        <f aca="false">IF($A697="","",SUMIF($A$4:$A697,$A697,$J$4:$J697)-SUMIF($A$4:$A697,$A697,$K$4:$K697))</f>
        <v/>
      </c>
      <c r="M697" s="26" t="str">
        <f aca="false">IF($H697="","",N($H697))</f>
        <v/>
      </c>
      <c r="N697" s="26"/>
      <c r="O697" s="26"/>
      <c r="P697" s="26" t="str">
        <f aca="false">IF($A697="","",SUMIF($A$4:$A697,$A697,$M$4:$M697)-SUMIF($A$4:$A697,$A697,$N$4:$N697)-SUMIF($A$4:$A697,$A697,$O$4:$O697))</f>
        <v/>
      </c>
      <c r="Q697" s="27"/>
      <c r="R697" s="28"/>
      <c r="S697" s="28"/>
      <c r="T697" s="28" t="str">
        <f aca="false">IF($A697="","",SUMIF($A$4:$A697,$A697,$Q$4:$Q697)-SUMIF($A$4:$A697,$A697,$R$4:$R697)-SUMIF($A$4:$A697,$A697,$S$4:$S697))</f>
        <v/>
      </c>
      <c r="U697" s="28"/>
      <c r="V697" s="29" t="str">
        <f aca="false">IF(AND($C697="",COUNTA($D697:$H697,$K697,$N697:$O697,$Q697:$S697,$U697)=0),"",IF($C697="","⚠ 没填项目名称",IF($A697="⚠目录里没有","⚠ 项目名称在目录里找不到（先加到目录）",IF($A697="","⚠ 目录里这个项目没填简称",IF(ISTEXT($G697)+ISTEXT($H697)+ISTEXT($K697)+ISTEXT($N697)+ISTEXT($O697)+ISTEXT($Q697)+ISTEXT($R697)+ISTEXT($S697)&gt;0,"⚠ 金额列里有文字，算不进合计",IF(N($G697)&gt;=1,"⚠ 管理费点要填百分比，如 10%",IF(AND($D697&lt;&gt;"",$B697=""),"△ 摘要开头没写日期（如 2026.9.21），月份取不到",IF(AND(N($H697)&lt;&gt;0,COUNTIFS($A$4:$A$1003,$A697,$H$4:$H$1003,$H697,$D$4:$D$1003,LEFT($D697,9)&amp;"*")&gt;1),"△ 同一天同项目有一样的销售金额，看看是不是录重了","✓"))))))))</f>
        <v/>
      </c>
      <c r="W697" s="8" t="str">
        <f aca="false">IF($A697="","",$A697&amp;"#"&amp;COUNTIF($A$4:$A697,$A697))</f>
        <v/>
      </c>
    </row>
    <row r="698" customFormat="false" ht="16.5" hidden="false" customHeight="false" outlineLevel="0" collapsed="false">
      <c r="A698" s="44" t="str">
        <f aca="false">IF($C698="","",IFERROR(VLOOKUP($C698,目录!$B:$C,2,0)&amp;"","⚠目录里没有"))</f>
        <v/>
      </c>
      <c r="B698" s="45" t="str">
        <f aca="false">IF($D698="","",IFERROR(MID($D698,FIND(".",$D698)+1,FIND(".",$D698,FIND(".",$D698)+1)-FIND(".",$D698)-1)&amp;"月",""))</f>
        <v/>
      </c>
      <c r="C698" s="46"/>
      <c r="D698" s="47"/>
      <c r="E698" s="47"/>
      <c r="F698" s="49"/>
      <c r="G698" s="50"/>
      <c r="H698" s="24"/>
      <c r="I698" s="24" t="str">
        <f aca="false">IF($H698="","",N($H698)*N($G698))</f>
        <v/>
      </c>
      <c r="J698" s="25" t="str">
        <f aca="false">IF($H698="","",N($H698)-N($I698))</f>
        <v/>
      </c>
      <c r="K698" s="25"/>
      <c r="L698" s="25" t="str">
        <f aca="false">IF($A698="","",SUMIF($A$4:$A698,$A698,$J$4:$J698)-SUMIF($A$4:$A698,$A698,$K$4:$K698))</f>
        <v/>
      </c>
      <c r="M698" s="26" t="str">
        <f aca="false">IF($H698="","",N($H698))</f>
        <v/>
      </c>
      <c r="N698" s="26"/>
      <c r="O698" s="26"/>
      <c r="P698" s="26" t="str">
        <f aca="false">IF($A698="","",SUMIF($A$4:$A698,$A698,$M$4:$M698)-SUMIF($A$4:$A698,$A698,$N$4:$N698)-SUMIF($A$4:$A698,$A698,$O$4:$O698))</f>
        <v/>
      </c>
      <c r="Q698" s="27"/>
      <c r="R698" s="28"/>
      <c r="S698" s="28"/>
      <c r="T698" s="28" t="str">
        <f aca="false">IF($A698="","",SUMIF($A$4:$A698,$A698,$Q$4:$Q698)-SUMIF($A$4:$A698,$A698,$R$4:$R698)-SUMIF($A$4:$A698,$A698,$S$4:$S698))</f>
        <v/>
      </c>
      <c r="U698" s="28"/>
      <c r="V698" s="29" t="str">
        <f aca="false">IF(AND($C698="",COUNTA($D698:$H698,$K698,$N698:$O698,$Q698:$S698,$U698)=0),"",IF($C698="","⚠ 没填项目名称",IF($A698="⚠目录里没有","⚠ 项目名称在目录里找不到（先加到目录）",IF($A698="","⚠ 目录里这个项目没填简称",IF(ISTEXT($G698)+ISTEXT($H698)+ISTEXT($K698)+ISTEXT($N698)+ISTEXT($O698)+ISTEXT($Q698)+ISTEXT($R698)+ISTEXT($S698)&gt;0,"⚠ 金额列里有文字，算不进合计",IF(N($G698)&gt;=1,"⚠ 管理费点要填百分比，如 10%",IF(AND($D698&lt;&gt;"",$B698=""),"△ 摘要开头没写日期（如 2026.9.21），月份取不到",IF(AND(N($H698)&lt;&gt;0,COUNTIFS($A$4:$A$1003,$A698,$H$4:$H$1003,$H698,$D$4:$D$1003,LEFT($D698,9)&amp;"*")&gt;1),"△ 同一天同项目有一样的销售金额，看看是不是录重了","✓"))))))))</f>
        <v/>
      </c>
      <c r="W698" s="8" t="str">
        <f aca="false">IF($A698="","",$A698&amp;"#"&amp;COUNTIF($A$4:$A698,$A698))</f>
        <v/>
      </c>
    </row>
    <row r="699" customFormat="false" ht="16.5" hidden="false" customHeight="false" outlineLevel="0" collapsed="false">
      <c r="A699" s="44" t="str">
        <f aca="false">IF($C699="","",IFERROR(VLOOKUP($C699,目录!$B:$C,2,0)&amp;"","⚠目录里没有"))</f>
        <v/>
      </c>
      <c r="B699" s="45" t="str">
        <f aca="false">IF($D699="","",IFERROR(MID($D699,FIND(".",$D699)+1,FIND(".",$D699,FIND(".",$D699)+1)-FIND(".",$D699)-1)&amp;"月",""))</f>
        <v/>
      </c>
      <c r="C699" s="46"/>
      <c r="D699" s="47"/>
      <c r="E699" s="47"/>
      <c r="F699" s="49"/>
      <c r="G699" s="50"/>
      <c r="H699" s="24"/>
      <c r="I699" s="24" t="str">
        <f aca="false">IF($H699="","",N($H699)*N($G699))</f>
        <v/>
      </c>
      <c r="J699" s="25" t="str">
        <f aca="false">IF($H699="","",N($H699)-N($I699))</f>
        <v/>
      </c>
      <c r="K699" s="25"/>
      <c r="L699" s="25" t="str">
        <f aca="false">IF($A699="","",SUMIF($A$4:$A699,$A699,$J$4:$J699)-SUMIF($A$4:$A699,$A699,$K$4:$K699))</f>
        <v/>
      </c>
      <c r="M699" s="26" t="str">
        <f aca="false">IF($H699="","",N($H699))</f>
        <v/>
      </c>
      <c r="N699" s="26"/>
      <c r="O699" s="26"/>
      <c r="P699" s="26" t="str">
        <f aca="false">IF($A699="","",SUMIF($A$4:$A699,$A699,$M$4:$M699)-SUMIF($A$4:$A699,$A699,$N$4:$N699)-SUMIF($A$4:$A699,$A699,$O$4:$O699))</f>
        <v/>
      </c>
      <c r="Q699" s="27"/>
      <c r="R699" s="28"/>
      <c r="S699" s="28"/>
      <c r="T699" s="28" t="str">
        <f aca="false">IF($A699="","",SUMIF($A$4:$A699,$A699,$Q$4:$Q699)-SUMIF($A$4:$A699,$A699,$R$4:$R699)-SUMIF($A$4:$A699,$A699,$S$4:$S699))</f>
        <v/>
      </c>
      <c r="U699" s="28"/>
      <c r="V699" s="29" t="str">
        <f aca="false">IF(AND($C699="",COUNTA($D699:$H699,$K699,$N699:$O699,$Q699:$S699,$U699)=0),"",IF($C699="","⚠ 没填项目名称",IF($A699="⚠目录里没有","⚠ 项目名称在目录里找不到（先加到目录）",IF($A699="","⚠ 目录里这个项目没填简称",IF(ISTEXT($G699)+ISTEXT($H699)+ISTEXT($K699)+ISTEXT($N699)+ISTEXT($O699)+ISTEXT($Q699)+ISTEXT($R699)+ISTEXT($S699)&gt;0,"⚠ 金额列里有文字，算不进合计",IF(N($G699)&gt;=1,"⚠ 管理费点要填百分比，如 10%",IF(AND($D699&lt;&gt;"",$B699=""),"△ 摘要开头没写日期（如 2026.9.21），月份取不到",IF(AND(N($H699)&lt;&gt;0,COUNTIFS($A$4:$A$1003,$A699,$H$4:$H$1003,$H699,$D$4:$D$1003,LEFT($D699,9)&amp;"*")&gt;1),"△ 同一天同项目有一样的销售金额，看看是不是录重了","✓"))))))))</f>
        <v/>
      </c>
      <c r="W699" s="8" t="str">
        <f aca="false">IF($A699="","",$A699&amp;"#"&amp;COUNTIF($A$4:$A699,$A699))</f>
        <v/>
      </c>
    </row>
    <row r="700" customFormat="false" ht="16.5" hidden="false" customHeight="false" outlineLevel="0" collapsed="false">
      <c r="A700" s="44" t="str">
        <f aca="false">IF($C700="","",IFERROR(VLOOKUP($C700,目录!$B:$C,2,0)&amp;"","⚠目录里没有"))</f>
        <v/>
      </c>
      <c r="B700" s="45" t="str">
        <f aca="false">IF($D700="","",IFERROR(MID($D700,FIND(".",$D700)+1,FIND(".",$D700,FIND(".",$D700)+1)-FIND(".",$D700)-1)&amp;"月",""))</f>
        <v/>
      </c>
      <c r="C700" s="46"/>
      <c r="D700" s="47"/>
      <c r="E700" s="47"/>
      <c r="F700" s="49"/>
      <c r="G700" s="50"/>
      <c r="H700" s="24"/>
      <c r="I700" s="24" t="str">
        <f aca="false">IF($H700="","",N($H700)*N($G700))</f>
        <v/>
      </c>
      <c r="J700" s="25" t="str">
        <f aca="false">IF($H700="","",N($H700)-N($I700))</f>
        <v/>
      </c>
      <c r="K700" s="25"/>
      <c r="L700" s="25" t="str">
        <f aca="false">IF($A700="","",SUMIF($A$4:$A700,$A700,$J$4:$J700)-SUMIF($A$4:$A700,$A700,$K$4:$K700))</f>
        <v/>
      </c>
      <c r="M700" s="26" t="str">
        <f aca="false">IF($H700="","",N($H700))</f>
        <v/>
      </c>
      <c r="N700" s="26"/>
      <c r="O700" s="26"/>
      <c r="P700" s="26" t="str">
        <f aca="false">IF($A700="","",SUMIF($A$4:$A700,$A700,$M$4:$M700)-SUMIF($A$4:$A700,$A700,$N$4:$N700)-SUMIF($A$4:$A700,$A700,$O$4:$O700))</f>
        <v/>
      </c>
      <c r="Q700" s="27"/>
      <c r="R700" s="28"/>
      <c r="S700" s="28"/>
      <c r="T700" s="28" t="str">
        <f aca="false">IF($A700="","",SUMIF($A$4:$A700,$A700,$Q$4:$Q700)-SUMIF($A$4:$A700,$A700,$R$4:$R700)-SUMIF($A$4:$A700,$A700,$S$4:$S700))</f>
        <v/>
      </c>
      <c r="U700" s="28"/>
      <c r="V700" s="29" t="str">
        <f aca="false">IF(AND($C700="",COUNTA($D700:$H700,$K700,$N700:$O700,$Q700:$S700,$U700)=0),"",IF($C700="","⚠ 没填项目名称",IF($A700="⚠目录里没有","⚠ 项目名称在目录里找不到（先加到目录）",IF($A700="","⚠ 目录里这个项目没填简称",IF(ISTEXT($G700)+ISTEXT($H700)+ISTEXT($K700)+ISTEXT($N700)+ISTEXT($O700)+ISTEXT($Q700)+ISTEXT($R700)+ISTEXT($S700)&gt;0,"⚠ 金额列里有文字，算不进合计",IF(N($G700)&gt;=1,"⚠ 管理费点要填百分比，如 10%",IF(AND($D700&lt;&gt;"",$B700=""),"△ 摘要开头没写日期（如 2026.9.21），月份取不到",IF(AND(N($H700)&lt;&gt;0,COUNTIFS($A$4:$A$1003,$A700,$H$4:$H$1003,$H700,$D$4:$D$1003,LEFT($D700,9)&amp;"*")&gt;1),"△ 同一天同项目有一样的销售金额，看看是不是录重了","✓"))))))))</f>
        <v/>
      </c>
      <c r="W700" s="8" t="str">
        <f aca="false">IF($A700="","",$A700&amp;"#"&amp;COUNTIF($A$4:$A700,$A700))</f>
        <v/>
      </c>
    </row>
    <row r="701" customFormat="false" ht="16.5" hidden="false" customHeight="false" outlineLevel="0" collapsed="false">
      <c r="A701" s="44" t="str">
        <f aca="false">IF($C701="","",IFERROR(VLOOKUP($C701,目录!$B:$C,2,0)&amp;"","⚠目录里没有"))</f>
        <v/>
      </c>
      <c r="B701" s="45" t="str">
        <f aca="false">IF($D701="","",IFERROR(MID($D701,FIND(".",$D701)+1,FIND(".",$D701,FIND(".",$D701)+1)-FIND(".",$D701)-1)&amp;"月",""))</f>
        <v/>
      </c>
      <c r="C701" s="46"/>
      <c r="D701" s="47"/>
      <c r="E701" s="47"/>
      <c r="F701" s="49"/>
      <c r="G701" s="50"/>
      <c r="H701" s="24"/>
      <c r="I701" s="24" t="str">
        <f aca="false">IF($H701="","",N($H701)*N($G701))</f>
        <v/>
      </c>
      <c r="J701" s="25" t="str">
        <f aca="false">IF($H701="","",N($H701)-N($I701))</f>
        <v/>
      </c>
      <c r="K701" s="25"/>
      <c r="L701" s="25" t="str">
        <f aca="false">IF($A701="","",SUMIF($A$4:$A701,$A701,$J$4:$J701)-SUMIF($A$4:$A701,$A701,$K$4:$K701))</f>
        <v/>
      </c>
      <c r="M701" s="26" t="str">
        <f aca="false">IF($H701="","",N($H701))</f>
        <v/>
      </c>
      <c r="N701" s="26"/>
      <c r="O701" s="26"/>
      <c r="P701" s="26" t="str">
        <f aca="false">IF($A701="","",SUMIF($A$4:$A701,$A701,$M$4:$M701)-SUMIF($A$4:$A701,$A701,$N$4:$N701)-SUMIF($A$4:$A701,$A701,$O$4:$O701))</f>
        <v/>
      </c>
      <c r="Q701" s="27"/>
      <c r="R701" s="28"/>
      <c r="S701" s="28"/>
      <c r="T701" s="28" t="str">
        <f aca="false">IF($A701="","",SUMIF($A$4:$A701,$A701,$Q$4:$Q701)-SUMIF($A$4:$A701,$A701,$R$4:$R701)-SUMIF($A$4:$A701,$A701,$S$4:$S701))</f>
        <v/>
      </c>
      <c r="U701" s="28"/>
      <c r="V701" s="29" t="str">
        <f aca="false">IF(AND($C701="",COUNTA($D701:$H701,$K701,$N701:$O701,$Q701:$S701,$U701)=0),"",IF($C701="","⚠ 没填项目名称",IF($A701="⚠目录里没有","⚠ 项目名称在目录里找不到（先加到目录）",IF($A701="","⚠ 目录里这个项目没填简称",IF(ISTEXT($G701)+ISTEXT($H701)+ISTEXT($K701)+ISTEXT($N701)+ISTEXT($O701)+ISTEXT($Q701)+ISTEXT($R701)+ISTEXT($S701)&gt;0,"⚠ 金额列里有文字，算不进合计",IF(N($G701)&gt;=1,"⚠ 管理费点要填百分比，如 10%",IF(AND($D701&lt;&gt;"",$B701=""),"△ 摘要开头没写日期（如 2026.9.21），月份取不到",IF(AND(N($H701)&lt;&gt;0,COUNTIFS($A$4:$A$1003,$A701,$H$4:$H$1003,$H701,$D$4:$D$1003,LEFT($D701,9)&amp;"*")&gt;1),"△ 同一天同项目有一样的销售金额，看看是不是录重了","✓"))))))))</f>
        <v/>
      </c>
      <c r="W701" s="8" t="str">
        <f aca="false">IF($A701="","",$A701&amp;"#"&amp;COUNTIF($A$4:$A701,$A701))</f>
        <v/>
      </c>
    </row>
    <row r="702" customFormat="false" ht="16.5" hidden="false" customHeight="false" outlineLevel="0" collapsed="false">
      <c r="A702" s="44" t="str">
        <f aca="false">IF($C702="","",IFERROR(VLOOKUP($C702,目录!$B:$C,2,0)&amp;"","⚠目录里没有"))</f>
        <v/>
      </c>
      <c r="B702" s="45" t="str">
        <f aca="false">IF($D702="","",IFERROR(MID($D702,FIND(".",$D702)+1,FIND(".",$D702,FIND(".",$D702)+1)-FIND(".",$D702)-1)&amp;"月",""))</f>
        <v/>
      </c>
      <c r="C702" s="46"/>
      <c r="D702" s="47"/>
      <c r="E702" s="47"/>
      <c r="F702" s="49"/>
      <c r="G702" s="50"/>
      <c r="H702" s="24"/>
      <c r="I702" s="24" t="str">
        <f aca="false">IF($H702="","",N($H702)*N($G702))</f>
        <v/>
      </c>
      <c r="J702" s="25" t="str">
        <f aca="false">IF($H702="","",N($H702)-N($I702))</f>
        <v/>
      </c>
      <c r="K702" s="25"/>
      <c r="L702" s="25" t="str">
        <f aca="false">IF($A702="","",SUMIF($A$4:$A702,$A702,$J$4:$J702)-SUMIF($A$4:$A702,$A702,$K$4:$K702))</f>
        <v/>
      </c>
      <c r="M702" s="26" t="str">
        <f aca="false">IF($H702="","",N($H702))</f>
        <v/>
      </c>
      <c r="N702" s="26"/>
      <c r="O702" s="26"/>
      <c r="P702" s="26" t="str">
        <f aca="false">IF($A702="","",SUMIF($A$4:$A702,$A702,$M$4:$M702)-SUMIF($A$4:$A702,$A702,$N$4:$N702)-SUMIF($A$4:$A702,$A702,$O$4:$O702))</f>
        <v/>
      </c>
      <c r="Q702" s="27"/>
      <c r="R702" s="28"/>
      <c r="S702" s="28"/>
      <c r="T702" s="28" t="str">
        <f aca="false">IF($A702="","",SUMIF($A$4:$A702,$A702,$Q$4:$Q702)-SUMIF($A$4:$A702,$A702,$R$4:$R702)-SUMIF($A$4:$A702,$A702,$S$4:$S702))</f>
        <v/>
      </c>
      <c r="U702" s="28"/>
      <c r="V702" s="29" t="str">
        <f aca="false">IF(AND($C702="",COUNTA($D702:$H702,$K702,$N702:$O702,$Q702:$S702,$U702)=0),"",IF($C702="","⚠ 没填项目名称",IF($A702="⚠目录里没有","⚠ 项目名称在目录里找不到（先加到目录）",IF($A702="","⚠ 目录里这个项目没填简称",IF(ISTEXT($G702)+ISTEXT($H702)+ISTEXT($K702)+ISTEXT($N702)+ISTEXT($O702)+ISTEXT($Q702)+ISTEXT($R702)+ISTEXT($S702)&gt;0,"⚠ 金额列里有文字，算不进合计",IF(N($G702)&gt;=1,"⚠ 管理费点要填百分比，如 10%",IF(AND($D702&lt;&gt;"",$B702=""),"△ 摘要开头没写日期（如 2026.9.21），月份取不到",IF(AND(N($H702)&lt;&gt;0,COUNTIFS($A$4:$A$1003,$A702,$H$4:$H$1003,$H702,$D$4:$D$1003,LEFT($D702,9)&amp;"*")&gt;1),"△ 同一天同项目有一样的销售金额，看看是不是录重了","✓"))))))))</f>
        <v/>
      </c>
      <c r="W702" s="8" t="str">
        <f aca="false">IF($A702="","",$A702&amp;"#"&amp;COUNTIF($A$4:$A702,$A702))</f>
        <v/>
      </c>
    </row>
    <row r="703" customFormat="false" ht="16.5" hidden="false" customHeight="false" outlineLevel="0" collapsed="false">
      <c r="A703" s="44" t="str">
        <f aca="false">IF($C703="","",IFERROR(VLOOKUP($C703,目录!$B:$C,2,0)&amp;"","⚠目录里没有"))</f>
        <v/>
      </c>
      <c r="B703" s="45" t="str">
        <f aca="false">IF($D703="","",IFERROR(MID($D703,FIND(".",$D703)+1,FIND(".",$D703,FIND(".",$D703)+1)-FIND(".",$D703)-1)&amp;"月",""))</f>
        <v/>
      </c>
      <c r="C703" s="46"/>
      <c r="D703" s="47"/>
      <c r="E703" s="47"/>
      <c r="F703" s="49"/>
      <c r="G703" s="50"/>
      <c r="H703" s="24"/>
      <c r="I703" s="24" t="str">
        <f aca="false">IF($H703="","",N($H703)*N($G703))</f>
        <v/>
      </c>
      <c r="J703" s="25" t="str">
        <f aca="false">IF($H703="","",N($H703)-N($I703))</f>
        <v/>
      </c>
      <c r="K703" s="25"/>
      <c r="L703" s="25" t="str">
        <f aca="false">IF($A703="","",SUMIF($A$4:$A703,$A703,$J$4:$J703)-SUMIF($A$4:$A703,$A703,$K$4:$K703))</f>
        <v/>
      </c>
      <c r="M703" s="26" t="str">
        <f aca="false">IF($H703="","",N($H703))</f>
        <v/>
      </c>
      <c r="N703" s="26"/>
      <c r="O703" s="26"/>
      <c r="P703" s="26" t="str">
        <f aca="false">IF($A703="","",SUMIF($A$4:$A703,$A703,$M$4:$M703)-SUMIF($A$4:$A703,$A703,$N$4:$N703)-SUMIF($A$4:$A703,$A703,$O$4:$O703))</f>
        <v/>
      </c>
      <c r="Q703" s="27"/>
      <c r="R703" s="28"/>
      <c r="S703" s="28"/>
      <c r="T703" s="28" t="str">
        <f aca="false">IF($A703="","",SUMIF($A$4:$A703,$A703,$Q$4:$Q703)-SUMIF($A$4:$A703,$A703,$R$4:$R703)-SUMIF($A$4:$A703,$A703,$S$4:$S703))</f>
        <v/>
      </c>
      <c r="U703" s="28"/>
      <c r="V703" s="29" t="str">
        <f aca="false">IF(AND($C703="",COUNTA($D703:$H703,$K703,$N703:$O703,$Q703:$S703,$U703)=0),"",IF($C703="","⚠ 没填项目名称",IF($A703="⚠目录里没有","⚠ 项目名称在目录里找不到（先加到目录）",IF($A703="","⚠ 目录里这个项目没填简称",IF(ISTEXT($G703)+ISTEXT($H703)+ISTEXT($K703)+ISTEXT($N703)+ISTEXT($O703)+ISTEXT($Q703)+ISTEXT($R703)+ISTEXT($S703)&gt;0,"⚠ 金额列里有文字，算不进合计",IF(N($G703)&gt;=1,"⚠ 管理费点要填百分比，如 10%",IF(AND($D703&lt;&gt;"",$B703=""),"△ 摘要开头没写日期（如 2026.9.21），月份取不到",IF(AND(N($H703)&lt;&gt;0,COUNTIFS($A$4:$A$1003,$A703,$H$4:$H$1003,$H703,$D$4:$D$1003,LEFT($D703,9)&amp;"*")&gt;1),"△ 同一天同项目有一样的销售金额，看看是不是录重了","✓"))))))))</f>
        <v/>
      </c>
      <c r="W703" s="8" t="str">
        <f aca="false">IF($A703="","",$A703&amp;"#"&amp;COUNTIF($A$4:$A703,$A703))</f>
        <v/>
      </c>
    </row>
    <row r="704" customFormat="false" ht="16.5" hidden="false" customHeight="false" outlineLevel="0" collapsed="false">
      <c r="A704" s="44" t="str">
        <f aca="false">IF($C704="","",IFERROR(VLOOKUP($C704,目录!$B:$C,2,0)&amp;"","⚠目录里没有"))</f>
        <v/>
      </c>
      <c r="B704" s="45" t="str">
        <f aca="false">IF($D704="","",IFERROR(MID($D704,FIND(".",$D704)+1,FIND(".",$D704,FIND(".",$D704)+1)-FIND(".",$D704)-1)&amp;"月",""))</f>
        <v/>
      </c>
      <c r="C704" s="46"/>
      <c r="D704" s="47"/>
      <c r="E704" s="47"/>
      <c r="F704" s="49"/>
      <c r="G704" s="50"/>
      <c r="H704" s="24"/>
      <c r="I704" s="24" t="str">
        <f aca="false">IF($H704="","",N($H704)*N($G704))</f>
        <v/>
      </c>
      <c r="J704" s="25" t="str">
        <f aca="false">IF($H704="","",N($H704)-N($I704))</f>
        <v/>
      </c>
      <c r="K704" s="25"/>
      <c r="L704" s="25" t="str">
        <f aca="false">IF($A704="","",SUMIF($A$4:$A704,$A704,$J$4:$J704)-SUMIF($A$4:$A704,$A704,$K$4:$K704))</f>
        <v/>
      </c>
      <c r="M704" s="26" t="str">
        <f aca="false">IF($H704="","",N($H704))</f>
        <v/>
      </c>
      <c r="N704" s="26"/>
      <c r="O704" s="26"/>
      <c r="P704" s="26" t="str">
        <f aca="false">IF($A704="","",SUMIF($A$4:$A704,$A704,$M$4:$M704)-SUMIF($A$4:$A704,$A704,$N$4:$N704)-SUMIF($A$4:$A704,$A704,$O$4:$O704))</f>
        <v/>
      </c>
      <c r="Q704" s="27"/>
      <c r="R704" s="28"/>
      <c r="S704" s="28"/>
      <c r="T704" s="28" t="str">
        <f aca="false">IF($A704="","",SUMIF($A$4:$A704,$A704,$Q$4:$Q704)-SUMIF($A$4:$A704,$A704,$R$4:$R704)-SUMIF($A$4:$A704,$A704,$S$4:$S704))</f>
        <v/>
      </c>
      <c r="U704" s="28"/>
      <c r="V704" s="29" t="str">
        <f aca="false">IF(AND($C704="",COUNTA($D704:$H704,$K704,$N704:$O704,$Q704:$S704,$U704)=0),"",IF($C704="","⚠ 没填项目名称",IF($A704="⚠目录里没有","⚠ 项目名称在目录里找不到（先加到目录）",IF($A704="","⚠ 目录里这个项目没填简称",IF(ISTEXT($G704)+ISTEXT($H704)+ISTEXT($K704)+ISTEXT($N704)+ISTEXT($O704)+ISTEXT($Q704)+ISTEXT($R704)+ISTEXT($S704)&gt;0,"⚠ 金额列里有文字，算不进合计",IF(N($G704)&gt;=1,"⚠ 管理费点要填百分比，如 10%",IF(AND($D704&lt;&gt;"",$B704=""),"△ 摘要开头没写日期（如 2026.9.21），月份取不到",IF(AND(N($H704)&lt;&gt;0,COUNTIFS($A$4:$A$1003,$A704,$H$4:$H$1003,$H704,$D$4:$D$1003,LEFT($D704,9)&amp;"*")&gt;1),"△ 同一天同项目有一样的销售金额，看看是不是录重了","✓"))))))))</f>
        <v/>
      </c>
      <c r="W704" s="8" t="str">
        <f aca="false">IF($A704="","",$A704&amp;"#"&amp;COUNTIF($A$4:$A704,$A704))</f>
        <v/>
      </c>
    </row>
    <row r="705" customFormat="false" ht="16.5" hidden="false" customHeight="false" outlineLevel="0" collapsed="false">
      <c r="A705" s="44" t="str">
        <f aca="false">IF($C705="","",IFERROR(VLOOKUP($C705,目录!$B:$C,2,0)&amp;"","⚠目录里没有"))</f>
        <v/>
      </c>
      <c r="B705" s="45" t="str">
        <f aca="false">IF($D705="","",IFERROR(MID($D705,FIND(".",$D705)+1,FIND(".",$D705,FIND(".",$D705)+1)-FIND(".",$D705)-1)&amp;"月",""))</f>
        <v/>
      </c>
      <c r="C705" s="46"/>
      <c r="D705" s="47"/>
      <c r="E705" s="47"/>
      <c r="F705" s="49"/>
      <c r="G705" s="50"/>
      <c r="H705" s="24"/>
      <c r="I705" s="24" t="str">
        <f aca="false">IF($H705="","",N($H705)*N($G705))</f>
        <v/>
      </c>
      <c r="J705" s="25" t="str">
        <f aca="false">IF($H705="","",N($H705)-N($I705))</f>
        <v/>
      </c>
      <c r="K705" s="25"/>
      <c r="L705" s="25" t="str">
        <f aca="false">IF($A705="","",SUMIF($A$4:$A705,$A705,$J$4:$J705)-SUMIF($A$4:$A705,$A705,$K$4:$K705))</f>
        <v/>
      </c>
      <c r="M705" s="26" t="str">
        <f aca="false">IF($H705="","",N($H705))</f>
        <v/>
      </c>
      <c r="N705" s="26"/>
      <c r="O705" s="26"/>
      <c r="P705" s="26" t="str">
        <f aca="false">IF($A705="","",SUMIF($A$4:$A705,$A705,$M$4:$M705)-SUMIF($A$4:$A705,$A705,$N$4:$N705)-SUMIF($A$4:$A705,$A705,$O$4:$O705))</f>
        <v/>
      </c>
      <c r="Q705" s="27"/>
      <c r="R705" s="28"/>
      <c r="S705" s="28"/>
      <c r="T705" s="28" t="str">
        <f aca="false">IF($A705="","",SUMIF($A$4:$A705,$A705,$Q$4:$Q705)-SUMIF($A$4:$A705,$A705,$R$4:$R705)-SUMIF($A$4:$A705,$A705,$S$4:$S705))</f>
        <v/>
      </c>
      <c r="U705" s="28"/>
      <c r="V705" s="29" t="str">
        <f aca="false">IF(AND($C705="",COUNTA($D705:$H705,$K705,$N705:$O705,$Q705:$S705,$U705)=0),"",IF($C705="","⚠ 没填项目名称",IF($A705="⚠目录里没有","⚠ 项目名称在目录里找不到（先加到目录）",IF($A705="","⚠ 目录里这个项目没填简称",IF(ISTEXT($G705)+ISTEXT($H705)+ISTEXT($K705)+ISTEXT($N705)+ISTEXT($O705)+ISTEXT($Q705)+ISTEXT($R705)+ISTEXT($S705)&gt;0,"⚠ 金额列里有文字，算不进合计",IF(N($G705)&gt;=1,"⚠ 管理费点要填百分比，如 10%",IF(AND($D705&lt;&gt;"",$B705=""),"△ 摘要开头没写日期（如 2026.9.21），月份取不到",IF(AND(N($H705)&lt;&gt;0,COUNTIFS($A$4:$A$1003,$A705,$H$4:$H$1003,$H705,$D$4:$D$1003,LEFT($D705,9)&amp;"*")&gt;1),"△ 同一天同项目有一样的销售金额，看看是不是录重了","✓"))))))))</f>
        <v/>
      </c>
      <c r="W705" s="8" t="str">
        <f aca="false">IF($A705="","",$A705&amp;"#"&amp;COUNTIF($A$4:$A705,$A705))</f>
        <v/>
      </c>
    </row>
    <row r="706" customFormat="false" ht="16.5" hidden="false" customHeight="false" outlineLevel="0" collapsed="false">
      <c r="A706" s="44" t="str">
        <f aca="false">IF($C706="","",IFERROR(VLOOKUP($C706,目录!$B:$C,2,0)&amp;"","⚠目录里没有"))</f>
        <v/>
      </c>
      <c r="B706" s="45" t="str">
        <f aca="false">IF($D706="","",IFERROR(MID($D706,FIND(".",$D706)+1,FIND(".",$D706,FIND(".",$D706)+1)-FIND(".",$D706)-1)&amp;"月",""))</f>
        <v/>
      </c>
      <c r="C706" s="46"/>
      <c r="D706" s="47"/>
      <c r="E706" s="47"/>
      <c r="F706" s="49"/>
      <c r="G706" s="50"/>
      <c r="H706" s="24"/>
      <c r="I706" s="24" t="str">
        <f aca="false">IF($H706="","",N($H706)*N($G706))</f>
        <v/>
      </c>
      <c r="J706" s="25" t="str">
        <f aca="false">IF($H706="","",N($H706)-N($I706))</f>
        <v/>
      </c>
      <c r="K706" s="25"/>
      <c r="L706" s="25" t="str">
        <f aca="false">IF($A706="","",SUMIF($A$4:$A706,$A706,$J$4:$J706)-SUMIF($A$4:$A706,$A706,$K$4:$K706))</f>
        <v/>
      </c>
      <c r="M706" s="26" t="str">
        <f aca="false">IF($H706="","",N($H706))</f>
        <v/>
      </c>
      <c r="N706" s="26"/>
      <c r="O706" s="26"/>
      <c r="P706" s="26" t="str">
        <f aca="false">IF($A706="","",SUMIF($A$4:$A706,$A706,$M$4:$M706)-SUMIF($A$4:$A706,$A706,$N$4:$N706)-SUMIF($A$4:$A706,$A706,$O$4:$O706))</f>
        <v/>
      </c>
      <c r="Q706" s="27"/>
      <c r="R706" s="28"/>
      <c r="S706" s="28"/>
      <c r="T706" s="28" t="str">
        <f aca="false">IF($A706="","",SUMIF($A$4:$A706,$A706,$Q$4:$Q706)-SUMIF($A$4:$A706,$A706,$R$4:$R706)-SUMIF($A$4:$A706,$A706,$S$4:$S706))</f>
        <v/>
      </c>
      <c r="U706" s="28"/>
      <c r="V706" s="29" t="str">
        <f aca="false">IF(AND($C706="",COUNTA($D706:$H706,$K706,$N706:$O706,$Q706:$S706,$U706)=0),"",IF($C706="","⚠ 没填项目名称",IF($A706="⚠目录里没有","⚠ 项目名称在目录里找不到（先加到目录）",IF($A706="","⚠ 目录里这个项目没填简称",IF(ISTEXT($G706)+ISTEXT($H706)+ISTEXT($K706)+ISTEXT($N706)+ISTEXT($O706)+ISTEXT($Q706)+ISTEXT($R706)+ISTEXT($S706)&gt;0,"⚠ 金额列里有文字，算不进合计",IF(N($G706)&gt;=1,"⚠ 管理费点要填百分比，如 10%",IF(AND($D706&lt;&gt;"",$B706=""),"△ 摘要开头没写日期（如 2026.9.21），月份取不到",IF(AND(N($H706)&lt;&gt;0,COUNTIFS($A$4:$A$1003,$A706,$H$4:$H$1003,$H706,$D$4:$D$1003,LEFT($D706,9)&amp;"*")&gt;1),"△ 同一天同项目有一样的销售金额，看看是不是录重了","✓"))))))))</f>
        <v/>
      </c>
      <c r="W706" s="8" t="str">
        <f aca="false">IF($A706="","",$A706&amp;"#"&amp;COUNTIF($A$4:$A706,$A706))</f>
        <v/>
      </c>
    </row>
    <row r="707" customFormat="false" ht="16.5" hidden="false" customHeight="false" outlineLevel="0" collapsed="false">
      <c r="A707" s="44" t="str">
        <f aca="false">IF($C707="","",IFERROR(VLOOKUP($C707,目录!$B:$C,2,0)&amp;"","⚠目录里没有"))</f>
        <v/>
      </c>
      <c r="B707" s="45" t="str">
        <f aca="false">IF($D707="","",IFERROR(MID($D707,FIND(".",$D707)+1,FIND(".",$D707,FIND(".",$D707)+1)-FIND(".",$D707)-1)&amp;"月",""))</f>
        <v/>
      </c>
      <c r="C707" s="46"/>
      <c r="D707" s="47"/>
      <c r="E707" s="47"/>
      <c r="F707" s="49"/>
      <c r="G707" s="50"/>
      <c r="H707" s="24"/>
      <c r="I707" s="24" t="str">
        <f aca="false">IF($H707="","",N($H707)*N($G707))</f>
        <v/>
      </c>
      <c r="J707" s="25" t="str">
        <f aca="false">IF($H707="","",N($H707)-N($I707))</f>
        <v/>
      </c>
      <c r="K707" s="25"/>
      <c r="L707" s="25" t="str">
        <f aca="false">IF($A707="","",SUMIF($A$4:$A707,$A707,$J$4:$J707)-SUMIF($A$4:$A707,$A707,$K$4:$K707))</f>
        <v/>
      </c>
      <c r="M707" s="26" t="str">
        <f aca="false">IF($H707="","",N($H707))</f>
        <v/>
      </c>
      <c r="N707" s="26"/>
      <c r="O707" s="26"/>
      <c r="P707" s="26" t="str">
        <f aca="false">IF($A707="","",SUMIF($A$4:$A707,$A707,$M$4:$M707)-SUMIF($A$4:$A707,$A707,$N$4:$N707)-SUMIF($A$4:$A707,$A707,$O$4:$O707))</f>
        <v/>
      </c>
      <c r="Q707" s="27"/>
      <c r="R707" s="28"/>
      <c r="S707" s="28"/>
      <c r="T707" s="28" t="str">
        <f aca="false">IF($A707="","",SUMIF($A$4:$A707,$A707,$Q$4:$Q707)-SUMIF($A$4:$A707,$A707,$R$4:$R707)-SUMIF($A$4:$A707,$A707,$S$4:$S707))</f>
        <v/>
      </c>
      <c r="U707" s="28"/>
      <c r="V707" s="29" t="str">
        <f aca="false">IF(AND($C707="",COUNTA($D707:$H707,$K707,$N707:$O707,$Q707:$S707,$U707)=0),"",IF($C707="","⚠ 没填项目名称",IF($A707="⚠目录里没有","⚠ 项目名称在目录里找不到（先加到目录）",IF($A707="","⚠ 目录里这个项目没填简称",IF(ISTEXT($G707)+ISTEXT($H707)+ISTEXT($K707)+ISTEXT($N707)+ISTEXT($O707)+ISTEXT($Q707)+ISTEXT($R707)+ISTEXT($S707)&gt;0,"⚠ 金额列里有文字，算不进合计",IF(N($G707)&gt;=1,"⚠ 管理费点要填百分比，如 10%",IF(AND($D707&lt;&gt;"",$B707=""),"△ 摘要开头没写日期（如 2026.9.21），月份取不到",IF(AND(N($H707)&lt;&gt;0,COUNTIFS($A$4:$A$1003,$A707,$H$4:$H$1003,$H707,$D$4:$D$1003,LEFT($D707,9)&amp;"*")&gt;1),"△ 同一天同项目有一样的销售金额，看看是不是录重了","✓"))))))))</f>
        <v/>
      </c>
      <c r="W707" s="8" t="str">
        <f aca="false">IF($A707="","",$A707&amp;"#"&amp;COUNTIF($A$4:$A707,$A707))</f>
        <v/>
      </c>
    </row>
    <row r="708" customFormat="false" ht="16.5" hidden="false" customHeight="false" outlineLevel="0" collapsed="false">
      <c r="A708" s="44" t="str">
        <f aca="false">IF($C708="","",IFERROR(VLOOKUP($C708,目录!$B:$C,2,0)&amp;"","⚠目录里没有"))</f>
        <v/>
      </c>
      <c r="B708" s="45" t="str">
        <f aca="false">IF($D708="","",IFERROR(MID($D708,FIND(".",$D708)+1,FIND(".",$D708,FIND(".",$D708)+1)-FIND(".",$D708)-1)&amp;"月",""))</f>
        <v/>
      </c>
      <c r="C708" s="46"/>
      <c r="D708" s="47"/>
      <c r="E708" s="47"/>
      <c r="F708" s="49"/>
      <c r="G708" s="50"/>
      <c r="H708" s="24"/>
      <c r="I708" s="24" t="str">
        <f aca="false">IF($H708="","",N($H708)*N($G708))</f>
        <v/>
      </c>
      <c r="J708" s="25" t="str">
        <f aca="false">IF($H708="","",N($H708)-N($I708))</f>
        <v/>
      </c>
      <c r="K708" s="25"/>
      <c r="L708" s="25" t="str">
        <f aca="false">IF($A708="","",SUMIF($A$4:$A708,$A708,$J$4:$J708)-SUMIF($A$4:$A708,$A708,$K$4:$K708))</f>
        <v/>
      </c>
      <c r="M708" s="26" t="str">
        <f aca="false">IF($H708="","",N($H708))</f>
        <v/>
      </c>
      <c r="N708" s="26"/>
      <c r="O708" s="26"/>
      <c r="P708" s="26" t="str">
        <f aca="false">IF($A708="","",SUMIF($A$4:$A708,$A708,$M$4:$M708)-SUMIF($A$4:$A708,$A708,$N$4:$N708)-SUMIF($A$4:$A708,$A708,$O$4:$O708))</f>
        <v/>
      </c>
      <c r="Q708" s="27"/>
      <c r="R708" s="28"/>
      <c r="S708" s="28"/>
      <c r="T708" s="28" t="str">
        <f aca="false">IF($A708="","",SUMIF($A$4:$A708,$A708,$Q$4:$Q708)-SUMIF($A$4:$A708,$A708,$R$4:$R708)-SUMIF($A$4:$A708,$A708,$S$4:$S708))</f>
        <v/>
      </c>
      <c r="U708" s="28"/>
      <c r="V708" s="29" t="str">
        <f aca="false">IF(AND($C708="",COUNTA($D708:$H708,$K708,$N708:$O708,$Q708:$S708,$U708)=0),"",IF($C708="","⚠ 没填项目名称",IF($A708="⚠目录里没有","⚠ 项目名称在目录里找不到（先加到目录）",IF($A708="","⚠ 目录里这个项目没填简称",IF(ISTEXT($G708)+ISTEXT($H708)+ISTEXT($K708)+ISTEXT($N708)+ISTEXT($O708)+ISTEXT($Q708)+ISTEXT($R708)+ISTEXT($S708)&gt;0,"⚠ 金额列里有文字，算不进合计",IF(N($G708)&gt;=1,"⚠ 管理费点要填百分比，如 10%",IF(AND($D708&lt;&gt;"",$B708=""),"△ 摘要开头没写日期（如 2026.9.21），月份取不到",IF(AND(N($H708)&lt;&gt;0,COUNTIFS($A$4:$A$1003,$A708,$H$4:$H$1003,$H708,$D$4:$D$1003,LEFT($D708,9)&amp;"*")&gt;1),"△ 同一天同项目有一样的销售金额，看看是不是录重了","✓"))))))))</f>
        <v/>
      </c>
      <c r="W708" s="8" t="str">
        <f aca="false">IF($A708="","",$A708&amp;"#"&amp;COUNTIF($A$4:$A708,$A708))</f>
        <v/>
      </c>
    </row>
    <row r="709" customFormat="false" ht="16.5" hidden="false" customHeight="false" outlineLevel="0" collapsed="false">
      <c r="A709" s="44" t="str">
        <f aca="false">IF($C709="","",IFERROR(VLOOKUP($C709,目录!$B:$C,2,0)&amp;"","⚠目录里没有"))</f>
        <v/>
      </c>
      <c r="B709" s="45" t="str">
        <f aca="false">IF($D709="","",IFERROR(MID($D709,FIND(".",$D709)+1,FIND(".",$D709,FIND(".",$D709)+1)-FIND(".",$D709)-1)&amp;"月",""))</f>
        <v/>
      </c>
      <c r="C709" s="46"/>
      <c r="D709" s="47"/>
      <c r="E709" s="47"/>
      <c r="F709" s="49"/>
      <c r="G709" s="50"/>
      <c r="H709" s="24"/>
      <c r="I709" s="24" t="str">
        <f aca="false">IF($H709="","",N($H709)*N($G709))</f>
        <v/>
      </c>
      <c r="J709" s="25" t="str">
        <f aca="false">IF($H709="","",N($H709)-N($I709))</f>
        <v/>
      </c>
      <c r="K709" s="25"/>
      <c r="L709" s="25" t="str">
        <f aca="false">IF($A709="","",SUMIF($A$4:$A709,$A709,$J$4:$J709)-SUMIF($A$4:$A709,$A709,$K$4:$K709))</f>
        <v/>
      </c>
      <c r="M709" s="26" t="str">
        <f aca="false">IF($H709="","",N($H709))</f>
        <v/>
      </c>
      <c r="N709" s="26"/>
      <c r="O709" s="26"/>
      <c r="P709" s="26" t="str">
        <f aca="false">IF($A709="","",SUMIF($A$4:$A709,$A709,$M$4:$M709)-SUMIF($A$4:$A709,$A709,$N$4:$N709)-SUMIF($A$4:$A709,$A709,$O$4:$O709))</f>
        <v/>
      </c>
      <c r="Q709" s="27"/>
      <c r="R709" s="28"/>
      <c r="S709" s="28"/>
      <c r="T709" s="28" t="str">
        <f aca="false">IF($A709="","",SUMIF($A$4:$A709,$A709,$Q$4:$Q709)-SUMIF($A$4:$A709,$A709,$R$4:$R709)-SUMIF($A$4:$A709,$A709,$S$4:$S709))</f>
        <v/>
      </c>
      <c r="U709" s="28"/>
      <c r="V709" s="29" t="str">
        <f aca="false">IF(AND($C709="",COUNTA($D709:$H709,$K709,$N709:$O709,$Q709:$S709,$U709)=0),"",IF($C709="","⚠ 没填项目名称",IF($A709="⚠目录里没有","⚠ 项目名称在目录里找不到（先加到目录）",IF($A709="","⚠ 目录里这个项目没填简称",IF(ISTEXT($G709)+ISTEXT($H709)+ISTEXT($K709)+ISTEXT($N709)+ISTEXT($O709)+ISTEXT($Q709)+ISTEXT($R709)+ISTEXT($S709)&gt;0,"⚠ 金额列里有文字，算不进合计",IF(N($G709)&gt;=1,"⚠ 管理费点要填百分比，如 10%",IF(AND($D709&lt;&gt;"",$B709=""),"△ 摘要开头没写日期（如 2026.9.21），月份取不到",IF(AND(N($H709)&lt;&gt;0,COUNTIFS($A$4:$A$1003,$A709,$H$4:$H$1003,$H709,$D$4:$D$1003,LEFT($D709,9)&amp;"*")&gt;1),"△ 同一天同项目有一样的销售金额，看看是不是录重了","✓"))))))))</f>
        <v/>
      </c>
      <c r="W709" s="8" t="str">
        <f aca="false">IF($A709="","",$A709&amp;"#"&amp;COUNTIF($A$4:$A709,$A709))</f>
        <v/>
      </c>
    </row>
    <row r="710" customFormat="false" ht="16.5" hidden="false" customHeight="false" outlineLevel="0" collapsed="false">
      <c r="A710" s="44" t="str">
        <f aca="false">IF($C710="","",IFERROR(VLOOKUP($C710,目录!$B:$C,2,0)&amp;"","⚠目录里没有"))</f>
        <v/>
      </c>
      <c r="B710" s="45" t="str">
        <f aca="false">IF($D710="","",IFERROR(MID($D710,FIND(".",$D710)+1,FIND(".",$D710,FIND(".",$D710)+1)-FIND(".",$D710)-1)&amp;"月",""))</f>
        <v/>
      </c>
      <c r="C710" s="46"/>
      <c r="D710" s="47"/>
      <c r="E710" s="47"/>
      <c r="F710" s="49"/>
      <c r="G710" s="50"/>
      <c r="H710" s="24"/>
      <c r="I710" s="24" t="str">
        <f aca="false">IF($H710="","",N($H710)*N($G710))</f>
        <v/>
      </c>
      <c r="J710" s="25" t="str">
        <f aca="false">IF($H710="","",N($H710)-N($I710))</f>
        <v/>
      </c>
      <c r="K710" s="25"/>
      <c r="L710" s="25" t="str">
        <f aca="false">IF($A710="","",SUMIF($A$4:$A710,$A710,$J$4:$J710)-SUMIF($A$4:$A710,$A710,$K$4:$K710))</f>
        <v/>
      </c>
      <c r="M710" s="26" t="str">
        <f aca="false">IF($H710="","",N($H710))</f>
        <v/>
      </c>
      <c r="N710" s="26"/>
      <c r="O710" s="26"/>
      <c r="P710" s="26" t="str">
        <f aca="false">IF($A710="","",SUMIF($A$4:$A710,$A710,$M$4:$M710)-SUMIF($A$4:$A710,$A710,$N$4:$N710)-SUMIF($A$4:$A710,$A710,$O$4:$O710))</f>
        <v/>
      </c>
      <c r="Q710" s="27"/>
      <c r="R710" s="28"/>
      <c r="S710" s="28"/>
      <c r="T710" s="28" t="str">
        <f aca="false">IF($A710="","",SUMIF($A$4:$A710,$A710,$Q$4:$Q710)-SUMIF($A$4:$A710,$A710,$R$4:$R710)-SUMIF($A$4:$A710,$A710,$S$4:$S710))</f>
        <v/>
      </c>
      <c r="U710" s="28"/>
      <c r="V710" s="29" t="str">
        <f aca="false">IF(AND($C710="",COUNTA($D710:$H710,$K710,$N710:$O710,$Q710:$S710,$U710)=0),"",IF($C710="","⚠ 没填项目名称",IF($A710="⚠目录里没有","⚠ 项目名称在目录里找不到（先加到目录）",IF($A710="","⚠ 目录里这个项目没填简称",IF(ISTEXT($G710)+ISTEXT($H710)+ISTEXT($K710)+ISTEXT($N710)+ISTEXT($O710)+ISTEXT($Q710)+ISTEXT($R710)+ISTEXT($S710)&gt;0,"⚠ 金额列里有文字，算不进合计",IF(N($G710)&gt;=1,"⚠ 管理费点要填百分比，如 10%",IF(AND($D710&lt;&gt;"",$B710=""),"△ 摘要开头没写日期（如 2026.9.21），月份取不到",IF(AND(N($H710)&lt;&gt;0,COUNTIFS($A$4:$A$1003,$A710,$H$4:$H$1003,$H710,$D$4:$D$1003,LEFT($D710,9)&amp;"*")&gt;1),"△ 同一天同项目有一样的销售金额，看看是不是录重了","✓"))))))))</f>
        <v/>
      </c>
      <c r="W710" s="8" t="str">
        <f aca="false">IF($A710="","",$A710&amp;"#"&amp;COUNTIF($A$4:$A710,$A710))</f>
        <v/>
      </c>
    </row>
    <row r="711" customFormat="false" ht="16.5" hidden="false" customHeight="false" outlineLevel="0" collapsed="false">
      <c r="A711" s="44" t="str">
        <f aca="false">IF($C711="","",IFERROR(VLOOKUP($C711,目录!$B:$C,2,0)&amp;"","⚠目录里没有"))</f>
        <v/>
      </c>
      <c r="B711" s="45" t="str">
        <f aca="false">IF($D711="","",IFERROR(MID($D711,FIND(".",$D711)+1,FIND(".",$D711,FIND(".",$D711)+1)-FIND(".",$D711)-1)&amp;"月",""))</f>
        <v/>
      </c>
      <c r="C711" s="46"/>
      <c r="D711" s="47"/>
      <c r="E711" s="47"/>
      <c r="F711" s="49"/>
      <c r="G711" s="50"/>
      <c r="H711" s="24"/>
      <c r="I711" s="24" t="str">
        <f aca="false">IF($H711="","",N($H711)*N($G711))</f>
        <v/>
      </c>
      <c r="J711" s="25" t="str">
        <f aca="false">IF($H711="","",N($H711)-N($I711))</f>
        <v/>
      </c>
      <c r="K711" s="25"/>
      <c r="L711" s="25" t="str">
        <f aca="false">IF($A711="","",SUMIF($A$4:$A711,$A711,$J$4:$J711)-SUMIF($A$4:$A711,$A711,$K$4:$K711))</f>
        <v/>
      </c>
      <c r="M711" s="26" t="str">
        <f aca="false">IF($H711="","",N($H711))</f>
        <v/>
      </c>
      <c r="N711" s="26"/>
      <c r="O711" s="26"/>
      <c r="P711" s="26" t="str">
        <f aca="false">IF($A711="","",SUMIF($A$4:$A711,$A711,$M$4:$M711)-SUMIF($A$4:$A711,$A711,$N$4:$N711)-SUMIF($A$4:$A711,$A711,$O$4:$O711))</f>
        <v/>
      </c>
      <c r="Q711" s="27"/>
      <c r="R711" s="28"/>
      <c r="S711" s="28"/>
      <c r="T711" s="28" t="str">
        <f aca="false">IF($A711="","",SUMIF($A$4:$A711,$A711,$Q$4:$Q711)-SUMIF($A$4:$A711,$A711,$R$4:$R711)-SUMIF($A$4:$A711,$A711,$S$4:$S711))</f>
        <v/>
      </c>
      <c r="U711" s="28"/>
      <c r="V711" s="29" t="str">
        <f aca="false">IF(AND($C711="",COUNTA($D711:$H711,$K711,$N711:$O711,$Q711:$S711,$U711)=0),"",IF($C711="","⚠ 没填项目名称",IF($A711="⚠目录里没有","⚠ 项目名称在目录里找不到（先加到目录）",IF($A711="","⚠ 目录里这个项目没填简称",IF(ISTEXT($G711)+ISTEXT($H711)+ISTEXT($K711)+ISTEXT($N711)+ISTEXT($O711)+ISTEXT($Q711)+ISTEXT($R711)+ISTEXT($S711)&gt;0,"⚠ 金额列里有文字，算不进合计",IF(N($G711)&gt;=1,"⚠ 管理费点要填百分比，如 10%",IF(AND($D711&lt;&gt;"",$B711=""),"△ 摘要开头没写日期（如 2026.9.21），月份取不到",IF(AND(N($H711)&lt;&gt;0,COUNTIFS($A$4:$A$1003,$A711,$H$4:$H$1003,$H711,$D$4:$D$1003,LEFT($D711,9)&amp;"*")&gt;1),"△ 同一天同项目有一样的销售金额，看看是不是录重了","✓"))))))))</f>
        <v/>
      </c>
      <c r="W711" s="8" t="str">
        <f aca="false">IF($A711="","",$A711&amp;"#"&amp;COUNTIF($A$4:$A711,$A711))</f>
        <v/>
      </c>
    </row>
    <row r="712" customFormat="false" ht="16.5" hidden="false" customHeight="false" outlineLevel="0" collapsed="false">
      <c r="A712" s="44" t="str">
        <f aca="false">IF($C712="","",IFERROR(VLOOKUP($C712,目录!$B:$C,2,0)&amp;"","⚠目录里没有"))</f>
        <v/>
      </c>
      <c r="B712" s="45" t="str">
        <f aca="false">IF($D712="","",IFERROR(MID($D712,FIND(".",$D712)+1,FIND(".",$D712,FIND(".",$D712)+1)-FIND(".",$D712)-1)&amp;"月",""))</f>
        <v/>
      </c>
      <c r="C712" s="46"/>
      <c r="D712" s="47"/>
      <c r="E712" s="47"/>
      <c r="F712" s="49"/>
      <c r="G712" s="50"/>
      <c r="H712" s="24"/>
      <c r="I712" s="24" t="str">
        <f aca="false">IF($H712="","",N($H712)*N($G712))</f>
        <v/>
      </c>
      <c r="J712" s="25" t="str">
        <f aca="false">IF($H712="","",N($H712)-N($I712))</f>
        <v/>
      </c>
      <c r="K712" s="25"/>
      <c r="L712" s="25" t="str">
        <f aca="false">IF($A712="","",SUMIF($A$4:$A712,$A712,$J$4:$J712)-SUMIF($A$4:$A712,$A712,$K$4:$K712))</f>
        <v/>
      </c>
      <c r="M712" s="26" t="str">
        <f aca="false">IF($H712="","",N($H712))</f>
        <v/>
      </c>
      <c r="N712" s="26"/>
      <c r="O712" s="26"/>
      <c r="P712" s="26" t="str">
        <f aca="false">IF($A712="","",SUMIF($A$4:$A712,$A712,$M$4:$M712)-SUMIF($A$4:$A712,$A712,$N$4:$N712)-SUMIF($A$4:$A712,$A712,$O$4:$O712))</f>
        <v/>
      </c>
      <c r="Q712" s="27"/>
      <c r="R712" s="28"/>
      <c r="S712" s="28"/>
      <c r="T712" s="28" t="str">
        <f aca="false">IF($A712="","",SUMIF($A$4:$A712,$A712,$Q$4:$Q712)-SUMIF($A$4:$A712,$A712,$R$4:$R712)-SUMIF($A$4:$A712,$A712,$S$4:$S712))</f>
        <v/>
      </c>
      <c r="U712" s="28"/>
      <c r="V712" s="29" t="str">
        <f aca="false">IF(AND($C712="",COUNTA($D712:$H712,$K712,$N712:$O712,$Q712:$S712,$U712)=0),"",IF($C712="","⚠ 没填项目名称",IF($A712="⚠目录里没有","⚠ 项目名称在目录里找不到（先加到目录）",IF($A712="","⚠ 目录里这个项目没填简称",IF(ISTEXT($G712)+ISTEXT($H712)+ISTEXT($K712)+ISTEXT($N712)+ISTEXT($O712)+ISTEXT($Q712)+ISTEXT($R712)+ISTEXT($S712)&gt;0,"⚠ 金额列里有文字，算不进合计",IF(N($G712)&gt;=1,"⚠ 管理费点要填百分比，如 10%",IF(AND($D712&lt;&gt;"",$B712=""),"△ 摘要开头没写日期（如 2026.9.21），月份取不到",IF(AND(N($H712)&lt;&gt;0,COUNTIFS($A$4:$A$1003,$A712,$H$4:$H$1003,$H712,$D$4:$D$1003,LEFT($D712,9)&amp;"*")&gt;1),"△ 同一天同项目有一样的销售金额，看看是不是录重了","✓"))))))))</f>
        <v/>
      </c>
      <c r="W712" s="8" t="str">
        <f aca="false">IF($A712="","",$A712&amp;"#"&amp;COUNTIF($A$4:$A712,$A712))</f>
        <v/>
      </c>
    </row>
    <row r="713" customFormat="false" ht="16.5" hidden="false" customHeight="false" outlineLevel="0" collapsed="false">
      <c r="A713" s="44" t="str">
        <f aca="false">IF($C713="","",IFERROR(VLOOKUP($C713,目录!$B:$C,2,0)&amp;"","⚠目录里没有"))</f>
        <v/>
      </c>
      <c r="B713" s="45" t="str">
        <f aca="false">IF($D713="","",IFERROR(MID($D713,FIND(".",$D713)+1,FIND(".",$D713,FIND(".",$D713)+1)-FIND(".",$D713)-1)&amp;"月",""))</f>
        <v/>
      </c>
      <c r="C713" s="46"/>
      <c r="D713" s="47"/>
      <c r="E713" s="47"/>
      <c r="F713" s="49"/>
      <c r="G713" s="50"/>
      <c r="H713" s="24"/>
      <c r="I713" s="24" t="str">
        <f aca="false">IF($H713="","",N($H713)*N($G713))</f>
        <v/>
      </c>
      <c r="J713" s="25" t="str">
        <f aca="false">IF($H713="","",N($H713)-N($I713))</f>
        <v/>
      </c>
      <c r="K713" s="25"/>
      <c r="L713" s="25" t="str">
        <f aca="false">IF($A713="","",SUMIF($A$4:$A713,$A713,$J$4:$J713)-SUMIF($A$4:$A713,$A713,$K$4:$K713))</f>
        <v/>
      </c>
      <c r="M713" s="26" t="str">
        <f aca="false">IF($H713="","",N($H713))</f>
        <v/>
      </c>
      <c r="N713" s="26"/>
      <c r="O713" s="26"/>
      <c r="P713" s="26" t="str">
        <f aca="false">IF($A713="","",SUMIF($A$4:$A713,$A713,$M$4:$M713)-SUMIF($A$4:$A713,$A713,$N$4:$N713)-SUMIF($A$4:$A713,$A713,$O$4:$O713))</f>
        <v/>
      </c>
      <c r="Q713" s="27"/>
      <c r="R713" s="28"/>
      <c r="S713" s="28"/>
      <c r="T713" s="28" t="str">
        <f aca="false">IF($A713="","",SUMIF($A$4:$A713,$A713,$Q$4:$Q713)-SUMIF($A$4:$A713,$A713,$R$4:$R713)-SUMIF($A$4:$A713,$A713,$S$4:$S713))</f>
        <v/>
      </c>
      <c r="U713" s="28"/>
      <c r="V713" s="29" t="str">
        <f aca="false">IF(AND($C713="",COUNTA($D713:$H713,$K713,$N713:$O713,$Q713:$S713,$U713)=0),"",IF($C713="","⚠ 没填项目名称",IF($A713="⚠目录里没有","⚠ 项目名称在目录里找不到（先加到目录）",IF($A713="","⚠ 目录里这个项目没填简称",IF(ISTEXT($G713)+ISTEXT($H713)+ISTEXT($K713)+ISTEXT($N713)+ISTEXT($O713)+ISTEXT($Q713)+ISTEXT($R713)+ISTEXT($S713)&gt;0,"⚠ 金额列里有文字，算不进合计",IF(N($G713)&gt;=1,"⚠ 管理费点要填百分比，如 10%",IF(AND($D713&lt;&gt;"",$B713=""),"△ 摘要开头没写日期（如 2026.9.21），月份取不到",IF(AND(N($H713)&lt;&gt;0,COUNTIFS($A$4:$A$1003,$A713,$H$4:$H$1003,$H713,$D$4:$D$1003,LEFT($D713,9)&amp;"*")&gt;1),"△ 同一天同项目有一样的销售金额，看看是不是录重了","✓"))))))))</f>
        <v/>
      </c>
      <c r="W713" s="8" t="str">
        <f aca="false">IF($A713="","",$A713&amp;"#"&amp;COUNTIF($A$4:$A713,$A713))</f>
        <v/>
      </c>
    </row>
    <row r="714" customFormat="false" ht="16.5" hidden="false" customHeight="false" outlineLevel="0" collapsed="false">
      <c r="A714" s="44" t="str">
        <f aca="false">IF($C714="","",IFERROR(VLOOKUP($C714,目录!$B:$C,2,0)&amp;"","⚠目录里没有"))</f>
        <v/>
      </c>
      <c r="B714" s="45" t="str">
        <f aca="false">IF($D714="","",IFERROR(MID($D714,FIND(".",$D714)+1,FIND(".",$D714,FIND(".",$D714)+1)-FIND(".",$D714)-1)&amp;"月",""))</f>
        <v/>
      </c>
      <c r="C714" s="46"/>
      <c r="D714" s="47"/>
      <c r="E714" s="47"/>
      <c r="F714" s="49"/>
      <c r="G714" s="50"/>
      <c r="H714" s="24"/>
      <c r="I714" s="24" t="str">
        <f aca="false">IF($H714="","",N($H714)*N($G714))</f>
        <v/>
      </c>
      <c r="J714" s="25" t="str">
        <f aca="false">IF($H714="","",N($H714)-N($I714))</f>
        <v/>
      </c>
      <c r="K714" s="25"/>
      <c r="L714" s="25" t="str">
        <f aca="false">IF($A714="","",SUMIF($A$4:$A714,$A714,$J$4:$J714)-SUMIF($A$4:$A714,$A714,$K$4:$K714))</f>
        <v/>
      </c>
      <c r="M714" s="26" t="str">
        <f aca="false">IF($H714="","",N($H714))</f>
        <v/>
      </c>
      <c r="N714" s="26"/>
      <c r="O714" s="26"/>
      <c r="P714" s="26" t="str">
        <f aca="false">IF($A714="","",SUMIF($A$4:$A714,$A714,$M$4:$M714)-SUMIF($A$4:$A714,$A714,$N$4:$N714)-SUMIF($A$4:$A714,$A714,$O$4:$O714))</f>
        <v/>
      </c>
      <c r="Q714" s="27"/>
      <c r="R714" s="28"/>
      <c r="S714" s="28"/>
      <c r="T714" s="28" t="str">
        <f aca="false">IF($A714="","",SUMIF($A$4:$A714,$A714,$Q$4:$Q714)-SUMIF($A$4:$A714,$A714,$R$4:$R714)-SUMIF($A$4:$A714,$A714,$S$4:$S714))</f>
        <v/>
      </c>
      <c r="U714" s="28"/>
      <c r="V714" s="29" t="str">
        <f aca="false">IF(AND($C714="",COUNTA($D714:$H714,$K714,$N714:$O714,$Q714:$S714,$U714)=0),"",IF($C714="","⚠ 没填项目名称",IF($A714="⚠目录里没有","⚠ 项目名称在目录里找不到（先加到目录）",IF($A714="","⚠ 目录里这个项目没填简称",IF(ISTEXT($G714)+ISTEXT($H714)+ISTEXT($K714)+ISTEXT($N714)+ISTEXT($O714)+ISTEXT($Q714)+ISTEXT($R714)+ISTEXT($S714)&gt;0,"⚠ 金额列里有文字，算不进合计",IF(N($G714)&gt;=1,"⚠ 管理费点要填百分比，如 10%",IF(AND($D714&lt;&gt;"",$B714=""),"△ 摘要开头没写日期（如 2026.9.21），月份取不到",IF(AND(N($H714)&lt;&gt;0,COUNTIFS($A$4:$A$1003,$A714,$H$4:$H$1003,$H714,$D$4:$D$1003,LEFT($D714,9)&amp;"*")&gt;1),"△ 同一天同项目有一样的销售金额，看看是不是录重了","✓"))))))))</f>
        <v/>
      </c>
      <c r="W714" s="8" t="str">
        <f aca="false">IF($A714="","",$A714&amp;"#"&amp;COUNTIF($A$4:$A714,$A714))</f>
        <v/>
      </c>
    </row>
    <row r="715" customFormat="false" ht="16.5" hidden="false" customHeight="false" outlineLevel="0" collapsed="false">
      <c r="A715" s="44" t="str">
        <f aca="false">IF($C715="","",IFERROR(VLOOKUP($C715,目录!$B:$C,2,0)&amp;"","⚠目录里没有"))</f>
        <v/>
      </c>
      <c r="B715" s="45" t="str">
        <f aca="false">IF($D715="","",IFERROR(MID($D715,FIND(".",$D715)+1,FIND(".",$D715,FIND(".",$D715)+1)-FIND(".",$D715)-1)&amp;"月",""))</f>
        <v/>
      </c>
      <c r="C715" s="46"/>
      <c r="D715" s="47"/>
      <c r="E715" s="47"/>
      <c r="F715" s="49"/>
      <c r="G715" s="50"/>
      <c r="H715" s="24"/>
      <c r="I715" s="24" t="str">
        <f aca="false">IF($H715="","",N($H715)*N($G715))</f>
        <v/>
      </c>
      <c r="J715" s="25" t="str">
        <f aca="false">IF($H715="","",N($H715)-N($I715))</f>
        <v/>
      </c>
      <c r="K715" s="25"/>
      <c r="L715" s="25" t="str">
        <f aca="false">IF($A715="","",SUMIF($A$4:$A715,$A715,$J$4:$J715)-SUMIF($A$4:$A715,$A715,$K$4:$K715))</f>
        <v/>
      </c>
      <c r="M715" s="26" t="str">
        <f aca="false">IF($H715="","",N($H715))</f>
        <v/>
      </c>
      <c r="N715" s="26"/>
      <c r="O715" s="26"/>
      <c r="P715" s="26" t="str">
        <f aca="false">IF($A715="","",SUMIF($A$4:$A715,$A715,$M$4:$M715)-SUMIF($A$4:$A715,$A715,$N$4:$N715)-SUMIF($A$4:$A715,$A715,$O$4:$O715))</f>
        <v/>
      </c>
      <c r="Q715" s="27"/>
      <c r="R715" s="28"/>
      <c r="S715" s="28"/>
      <c r="T715" s="28" t="str">
        <f aca="false">IF($A715="","",SUMIF($A$4:$A715,$A715,$Q$4:$Q715)-SUMIF($A$4:$A715,$A715,$R$4:$R715)-SUMIF($A$4:$A715,$A715,$S$4:$S715))</f>
        <v/>
      </c>
      <c r="U715" s="28"/>
      <c r="V715" s="29" t="str">
        <f aca="false">IF(AND($C715="",COUNTA($D715:$H715,$K715,$N715:$O715,$Q715:$S715,$U715)=0),"",IF($C715="","⚠ 没填项目名称",IF($A715="⚠目录里没有","⚠ 项目名称在目录里找不到（先加到目录）",IF($A715="","⚠ 目录里这个项目没填简称",IF(ISTEXT($G715)+ISTEXT($H715)+ISTEXT($K715)+ISTEXT($N715)+ISTEXT($O715)+ISTEXT($Q715)+ISTEXT($R715)+ISTEXT($S715)&gt;0,"⚠ 金额列里有文字，算不进合计",IF(N($G715)&gt;=1,"⚠ 管理费点要填百分比，如 10%",IF(AND($D715&lt;&gt;"",$B715=""),"△ 摘要开头没写日期（如 2026.9.21），月份取不到",IF(AND(N($H715)&lt;&gt;0,COUNTIFS($A$4:$A$1003,$A715,$H$4:$H$1003,$H715,$D$4:$D$1003,LEFT($D715,9)&amp;"*")&gt;1),"△ 同一天同项目有一样的销售金额，看看是不是录重了","✓"))))))))</f>
        <v/>
      </c>
      <c r="W715" s="8" t="str">
        <f aca="false">IF($A715="","",$A715&amp;"#"&amp;COUNTIF($A$4:$A715,$A715))</f>
        <v/>
      </c>
    </row>
    <row r="716" customFormat="false" ht="16.5" hidden="false" customHeight="false" outlineLevel="0" collapsed="false">
      <c r="A716" s="44" t="str">
        <f aca="false">IF($C716="","",IFERROR(VLOOKUP($C716,目录!$B:$C,2,0)&amp;"","⚠目录里没有"))</f>
        <v/>
      </c>
      <c r="B716" s="45" t="str">
        <f aca="false">IF($D716="","",IFERROR(MID($D716,FIND(".",$D716)+1,FIND(".",$D716,FIND(".",$D716)+1)-FIND(".",$D716)-1)&amp;"月",""))</f>
        <v/>
      </c>
      <c r="C716" s="46"/>
      <c r="D716" s="47"/>
      <c r="E716" s="47"/>
      <c r="F716" s="49"/>
      <c r="G716" s="50"/>
      <c r="H716" s="24"/>
      <c r="I716" s="24" t="str">
        <f aca="false">IF($H716="","",N($H716)*N($G716))</f>
        <v/>
      </c>
      <c r="J716" s="25" t="str">
        <f aca="false">IF($H716="","",N($H716)-N($I716))</f>
        <v/>
      </c>
      <c r="K716" s="25"/>
      <c r="L716" s="25" t="str">
        <f aca="false">IF($A716="","",SUMIF($A$4:$A716,$A716,$J$4:$J716)-SUMIF($A$4:$A716,$A716,$K$4:$K716))</f>
        <v/>
      </c>
      <c r="M716" s="26" t="str">
        <f aca="false">IF($H716="","",N($H716))</f>
        <v/>
      </c>
      <c r="N716" s="26"/>
      <c r="O716" s="26"/>
      <c r="P716" s="26" t="str">
        <f aca="false">IF($A716="","",SUMIF($A$4:$A716,$A716,$M$4:$M716)-SUMIF($A$4:$A716,$A716,$N$4:$N716)-SUMIF($A$4:$A716,$A716,$O$4:$O716))</f>
        <v/>
      </c>
      <c r="Q716" s="27"/>
      <c r="R716" s="28"/>
      <c r="S716" s="28"/>
      <c r="T716" s="28" t="str">
        <f aca="false">IF($A716="","",SUMIF($A$4:$A716,$A716,$Q$4:$Q716)-SUMIF($A$4:$A716,$A716,$R$4:$R716)-SUMIF($A$4:$A716,$A716,$S$4:$S716))</f>
        <v/>
      </c>
      <c r="U716" s="28"/>
      <c r="V716" s="29" t="str">
        <f aca="false">IF(AND($C716="",COUNTA($D716:$H716,$K716,$N716:$O716,$Q716:$S716,$U716)=0),"",IF($C716="","⚠ 没填项目名称",IF($A716="⚠目录里没有","⚠ 项目名称在目录里找不到（先加到目录）",IF($A716="","⚠ 目录里这个项目没填简称",IF(ISTEXT($G716)+ISTEXT($H716)+ISTEXT($K716)+ISTEXT($N716)+ISTEXT($O716)+ISTEXT($Q716)+ISTEXT($R716)+ISTEXT($S716)&gt;0,"⚠ 金额列里有文字，算不进合计",IF(N($G716)&gt;=1,"⚠ 管理费点要填百分比，如 10%",IF(AND($D716&lt;&gt;"",$B716=""),"△ 摘要开头没写日期（如 2026.9.21），月份取不到",IF(AND(N($H716)&lt;&gt;0,COUNTIFS($A$4:$A$1003,$A716,$H$4:$H$1003,$H716,$D$4:$D$1003,LEFT($D716,9)&amp;"*")&gt;1),"△ 同一天同项目有一样的销售金额，看看是不是录重了","✓"))))))))</f>
        <v/>
      </c>
      <c r="W716" s="8" t="str">
        <f aca="false">IF($A716="","",$A716&amp;"#"&amp;COUNTIF($A$4:$A716,$A716))</f>
        <v/>
      </c>
    </row>
    <row r="717" customFormat="false" ht="16.5" hidden="false" customHeight="false" outlineLevel="0" collapsed="false">
      <c r="A717" s="44" t="str">
        <f aca="false">IF($C717="","",IFERROR(VLOOKUP($C717,目录!$B:$C,2,0)&amp;"","⚠目录里没有"))</f>
        <v/>
      </c>
      <c r="B717" s="45" t="str">
        <f aca="false">IF($D717="","",IFERROR(MID($D717,FIND(".",$D717)+1,FIND(".",$D717,FIND(".",$D717)+1)-FIND(".",$D717)-1)&amp;"月",""))</f>
        <v/>
      </c>
      <c r="C717" s="46"/>
      <c r="D717" s="47"/>
      <c r="E717" s="47"/>
      <c r="F717" s="49"/>
      <c r="G717" s="50"/>
      <c r="H717" s="24"/>
      <c r="I717" s="24" t="str">
        <f aca="false">IF($H717="","",N($H717)*N($G717))</f>
        <v/>
      </c>
      <c r="J717" s="25" t="str">
        <f aca="false">IF($H717="","",N($H717)-N($I717))</f>
        <v/>
      </c>
      <c r="K717" s="25"/>
      <c r="L717" s="25" t="str">
        <f aca="false">IF($A717="","",SUMIF($A$4:$A717,$A717,$J$4:$J717)-SUMIF($A$4:$A717,$A717,$K$4:$K717))</f>
        <v/>
      </c>
      <c r="M717" s="26" t="str">
        <f aca="false">IF($H717="","",N($H717))</f>
        <v/>
      </c>
      <c r="N717" s="26"/>
      <c r="O717" s="26"/>
      <c r="P717" s="26" t="str">
        <f aca="false">IF($A717="","",SUMIF($A$4:$A717,$A717,$M$4:$M717)-SUMIF($A$4:$A717,$A717,$N$4:$N717)-SUMIF($A$4:$A717,$A717,$O$4:$O717))</f>
        <v/>
      </c>
      <c r="Q717" s="27"/>
      <c r="R717" s="28"/>
      <c r="S717" s="28"/>
      <c r="T717" s="28" t="str">
        <f aca="false">IF($A717="","",SUMIF($A$4:$A717,$A717,$Q$4:$Q717)-SUMIF($A$4:$A717,$A717,$R$4:$R717)-SUMIF($A$4:$A717,$A717,$S$4:$S717))</f>
        <v/>
      </c>
      <c r="U717" s="28"/>
      <c r="V717" s="29" t="str">
        <f aca="false">IF(AND($C717="",COUNTA($D717:$H717,$K717,$N717:$O717,$Q717:$S717,$U717)=0),"",IF($C717="","⚠ 没填项目名称",IF($A717="⚠目录里没有","⚠ 项目名称在目录里找不到（先加到目录）",IF($A717="","⚠ 目录里这个项目没填简称",IF(ISTEXT($G717)+ISTEXT($H717)+ISTEXT($K717)+ISTEXT($N717)+ISTEXT($O717)+ISTEXT($Q717)+ISTEXT($R717)+ISTEXT($S717)&gt;0,"⚠ 金额列里有文字，算不进合计",IF(N($G717)&gt;=1,"⚠ 管理费点要填百分比，如 10%",IF(AND($D717&lt;&gt;"",$B717=""),"△ 摘要开头没写日期（如 2026.9.21），月份取不到",IF(AND(N($H717)&lt;&gt;0,COUNTIFS($A$4:$A$1003,$A717,$H$4:$H$1003,$H717,$D$4:$D$1003,LEFT($D717,9)&amp;"*")&gt;1),"△ 同一天同项目有一样的销售金额，看看是不是录重了","✓"))))))))</f>
        <v/>
      </c>
      <c r="W717" s="8" t="str">
        <f aca="false">IF($A717="","",$A717&amp;"#"&amp;COUNTIF($A$4:$A717,$A717))</f>
        <v/>
      </c>
    </row>
    <row r="718" customFormat="false" ht="16.5" hidden="false" customHeight="false" outlineLevel="0" collapsed="false">
      <c r="A718" s="44" t="str">
        <f aca="false">IF($C718="","",IFERROR(VLOOKUP($C718,目录!$B:$C,2,0)&amp;"","⚠目录里没有"))</f>
        <v/>
      </c>
      <c r="B718" s="45" t="str">
        <f aca="false">IF($D718="","",IFERROR(MID($D718,FIND(".",$D718)+1,FIND(".",$D718,FIND(".",$D718)+1)-FIND(".",$D718)-1)&amp;"月",""))</f>
        <v/>
      </c>
      <c r="C718" s="46"/>
      <c r="D718" s="47"/>
      <c r="E718" s="47"/>
      <c r="F718" s="49"/>
      <c r="G718" s="50"/>
      <c r="H718" s="24"/>
      <c r="I718" s="24" t="str">
        <f aca="false">IF($H718="","",N($H718)*N($G718))</f>
        <v/>
      </c>
      <c r="J718" s="25" t="str">
        <f aca="false">IF($H718="","",N($H718)-N($I718))</f>
        <v/>
      </c>
      <c r="K718" s="25"/>
      <c r="L718" s="25" t="str">
        <f aca="false">IF($A718="","",SUMIF($A$4:$A718,$A718,$J$4:$J718)-SUMIF($A$4:$A718,$A718,$K$4:$K718))</f>
        <v/>
      </c>
      <c r="M718" s="26" t="str">
        <f aca="false">IF($H718="","",N($H718))</f>
        <v/>
      </c>
      <c r="N718" s="26"/>
      <c r="O718" s="26"/>
      <c r="P718" s="26" t="str">
        <f aca="false">IF($A718="","",SUMIF($A$4:$A718,$A718,$M$4:$M718)-SUMIF($A$4:$A718,$A718,$N$4:$N718)-SUMIF($A$4:$A718,$A718,$O$4:$O718))</f>
        <v/>
      </c>
      <c r="Q718" s="27"/>
      <c r="R718" s="28"/>
      <c r="S718" s="28"/>
      <c r="T718" s="28" t="str">
        <f aca="false">IF($A718="","",SUMIF($A$4:$A718,$A718,$Q$4:$Q718)-SUMIF($A$4:$A718,$A718,$R$4:$R718)-SUMIF($A$4:$A718,$A718,$S$4:$S718))</f>
        <v/>
      </c>
      <c r="U718" s="28"/>
      <c r="V718" s="29" t="str">
        <f aca="false">IF(AND($C718="",COUNTA($D718:$H718,$K718,$N718:$O718,$Q718:$S718,$U718)=0),"",IF($C718="","⚠ 没填项目名称",IF($A718="⚠目录里没有","⚠ 项目名称在目录里找不到（先加到目录）",IF($A718="","⚠ 目录里这个项目没填简称",IF(ISTEXT($G718)+ISTEXT($H718)+ISTEXT($K718)+ISTEXT($N718)+ISTEXT($O718)+ISTEXT($Q718)+ISTEXT($R718)+ISTEXT($S718)&gt;0,"⚠ 金额列里有文字，算不进合计",IF(N($G718)&gt;=1,"⚠ 管理费点要填百分比，如 10%",IF(AND($D718&lt;&gt;"",$B718=""),"△ 摘要开头没写日期（如 2026.9.21），月份取不到",IF(AND(N($H718)&lt;&gt;0,COUNTIFS($A$4:$A$1003,$A718,$H$4:$H$1003,$H718,$D$4:$D$1003,LEFT($D718,9)&amp;"*")&gt;1),"△ 同一天同项目有一样的销售金额，看看是不是录重了","✓"))))))))</f>
        <v/>
      </c>
      <c r="W718" s="8" t="str">
        <f aca="false">IF($A718="","",$A718&amp;"#"&amp;COUNTIF($A$4:$A718,$A718))</f>
        <v/>
      </c>
    </row>
    <row r="719" customFormat="false" ht="16.5" hidden="false" customHeight="false" outlineLevel="0" collapsed="false">
      <c r="A719" s="44" t="str">
        <f aca="false">IF($C719="","",IFERROR(VLOOKUP($C719,目录!$B:$C,2,0)&amp;"","⚠目录里没有"))</f>
        <v/>
      </c>
      <c r="B719" s="45" t="str">
        <f aca="false">IF($D719="","",IFERROR(MID($D719,FIND(".",$D719)+1,FIND(".",$D719,FIND(".",$D719)+1)-FIND(".",$D719)-1)&amp;"月",""))</f>
        <v/>
      </c>
      <c r="C719" s="46"/>
      <c r="D719" s="47"/>
      <c r="E719" s="47"/>
      <c r="F719" s="49"/>
      <c r="G719" s="50"/>
      <c r="H719" s="24"/>
      <c r="I719" s="24" t="str">
        <f aca="false">IF($H719="","",N($H719)*N($G719))</f>
        <v/>
      </c>
      <c r="J719" s="25" t="str">
        <f aca="false">IF($H719="","",N($H719)-N($I719))</f>
        <v/>
      </c>
      <c r="K719" s="25"/>
      <c r="L719" s="25" t="str">
        <f aca="false">IF($A719="","",SUMIF($A$4:$A719,$A719,$J$4:$J719)-SUMIF($A$4:$A719,$A719,$K$4:$K719))</f>
        <v/>
      </c>
      <c r="M719" s="26" t="str">
        <f aca="false">IF($H719="","",N($H719))</f>
        <v/>
      </c>
      <c r="N719" s="26"/>
      <c r="O719" s="26"/>
      <c r="P719" s="26" t="str">
        <f aca="false">IF($A719="","",SUMIF($A$4:$A719,$A719,$M$4:$M719)-SUMIF($A$4:$A719,$A719,$N$4:$N719)-SUMIF($A$4:$A719,$A719,$O$4:$O719))</f>
        <v/>
      </c>
      <c r="Q719" s="27"/>
      <c r="R719" s="28"/>
      <c r="S719" s="28"/>
      <c r="T719" s="28" t="str">
        <f aca="false">IF($A719="","",SUMIF($A$4:$A719,$A719,$Q$4:$Q719)-SUMIF($A$4:$A719,$A719,$R$4:$R719)-SUMIF($A$4:$A719,$A719,$S$4:$S719))</f>
        <v/>
      </c>
      <c r="U719" s="28"/>
      <c r="V719" s="29" t="str">
        <f aca="false">IF(AND($C719="",COUNTA($D719:$H719,$K719,$N719:$O719,$Q719:$S719,$U719)=0),"",IF($C719="","⚠ 没填项目名称",IF($A719="⚠目录里没有","⚠ 项目名称在目录里找不到（先加到目录）",IF($A719="","⚠ 目录里这个项目没填简称",IF(ISTEXT($G719)+ISTEXT($H719)+ISTEXT($K719)+ISTEXT($N719)+ISTEXT($O719)+ISTEXT($Q719)+ISTEXT($R719)+ISTEXT($S719)&gt;0,"⚠ 金额列里有文字，算不进合计",IF(N($G719)&gt;=1,"⚠ 管理费点要填百分比，如 10%",IF(AND($D719&lt;&gt;"",$B719=""),"△ 摘要开头没写日期（如 2026.9.21），月份取不到",IF(AND(N($H719)&lt;&gt;0,COUNTIFS($A$4:$A$1003,$A719,$H$4:$H$1003,$H719,$D$4:$D$1003,LEFT($D719,9)&amp;"*")&gt;1),"△ 同一天同项目有一样的销售金额，看看是不是录重了","✓"))))))))</f>
        <v/>
      </c>
      <c r="W719" s="8" t="str">
        <f aca="false">IF($A719="","",$A719&amp;"#"&amp;COUNTIF($A$4:$A719,$A719))</f>
        <v/>
      </c>
    </row>
    <row r="720" customFormat="false" ht="16.5" hidden="false" customHeight="false" outlineLevel="0" collapsed="false">
      <c r="A720" s="44" t="str">
        <f aca="false">IF($C720="","",IFERROR(VLOOKUP($C720,目录!$B:$C,2,0)&amp;"","⚠目录里没有"))</f>
        <v/>
      </c>
      <c r="B720" s="45" t="str">
        <f aca="false">IF($D720="","",IFERROR(MID($D720,FIND(".",$D720)+1,FIND(".",$D720,FIND(".",$D720)+1)-FIND(".",$D720)-1)&amp;"月",""))</f>
        <v/>
      </c>
      <c r="C720" s="46"/>
      <c r="D720" s="47"/>
      <c r="E720" s="47"/>
      <c r="F720" s="49"/>
      <c r="G720" s="50"/>
      <c r="H720" s="24"/>
      <c r="I720" s="24" t="str">
        <f aca="false">IF($H720="","",N($H720)*N($G720))</f>
        <v/>
      </c>
      <c r="J720" s="25" t="str">
        <f aca="false">IF($H720="","",N($H720)-N($I720))</f>
        <v/>
      </c>
      <c r="K720" s="25"/>
      <c r="L720" s="25" t="str">
        <f aca="false">IF($A720="","",SUMIF($A$4:$A720,$A720,$J$4:$J720)-SUMIF($A$4:$A720,$A720,$K$4:$K720))</f>
        <v/>
      </c>
      <c r="M720" s="26" t="str">
        <f aca="false">IF($H720="","",N($H720))</f>
        <v/>
      </c>
      <c r="N720" s="26"/>
      <c r="O720" s="26"/>
      <c r="P720" s="26" t="str">
        <f aca="false">IF($A720="","",SUMIF($A$4:$A720,$A720,$M$4:$M720)-SUMIF($A$4:$A720,$A720,$N$4:$N720)-SUMIF($A$4:$A720,$A720,$O$4:$O720))</f>
        <v/>
      </c>
      <c r="Q720" s="27"/>
      <c r="R720" s="28"/>
      <c r="S720" s="28"/>
      <c r="T720" s="28" t="str">
        <f aca="false">IF($A720="","",SUMIF($A$4:$A720,$A720,$Q$4:$Q720)-SUMIF($A$4:$A720,$A720,$R$4:$R720)-SUMIF($A$4:$A720,$A720,$S$4:$S720))</f>
        <v/>
      </c>
      <c r="U720" s="28"/>
      <c r="V720" s="29" t="str">
        <f aca="false">IF(AND($C720="",COUNTA($D720:$H720,$K720,$N720:$O720,$Q720:$S720,$U720)=0),"",IF($C720="","⚠ 没填项目名称",IF($A720="⚠目录里没有","⚠ 项目名称在目录里找不到（先加到目录）",IF($A720="","⚠ 目录里这个项目没填简称",IF(ISTEXT($G720)+ISTEXT($H720)+ISTEXT($K720)+ISTEXT($N720)+ISTEXT($O720)+ISTEXT($Q720)+ISTEXT($R720)+ISTEXT($S720)&gt;0,"⚠ 金额列里有文字，算不进合计",IF(N($G720)&gt;=1,"⚠ 管理费点要填百分比，如 10%",IF(AND($D720&lt;&gt;"",$B720=""),"△ 摘要开头没写日期（如 2026.9.21），月份取不到",IF(AND(N($H720)&lt;&gt;0,COUNTIFS($A$4:$A$1003,$A720,$H$4:$H$1003,$H720,$D$4:$D$1003,LEFT($D720,9)&amp;"*")&gt;1),"△ 同一天同项目有一样的销售金额，看看是不是录重了","✓"))))))))</f>
        <v/>
      </c>
      <c r="W720" s="8" t="str">
        <f aca="false">IF($A720="","",$A720&amp;"#"&amp;COUNTIF($A$4:$A720,$A720))</f>
        <v/>
      </c>
    </row>
    <row r="721" customFormat="false" ht="16.5" hidden="false" customHeight="false" outlineLevel="0" collapsed="false">
      <c r="A721" s="44" t="str">
        <f aca="false">IF($C721="","",IFERROR(VLOOKUP($C721,目录!$B:$C,2,0)&amp;"","⚠目录里没有"))</f>
        <v/>
      </c>
      <c r="B721" s="45" t="str">
        <f aca="false">IF($D721="","",IFERROR(MID($D721,FIND(".",$D721)+1,FIND(".",$D721,FIND(".",$D721)+1)-FIND(".",$D721)-1)&amp;"月",""))</f>
        <v/>
      </c>
      <c r="C721" s="46"/>
      <c r="D721" s="47"/>
      <c r="E721" s="47"/>
      <c r="F721" s="49"/>
      <c r="G721" s="50"/>
      <c r="H721" s="24"/>
      <c r="I721" s="24" t="str">
        <f aca="false">IF($H721="","",N($H721)*N($G721))</f>
        <v/>
      </c>
      <c r="J721" s="25" t="str">
        <f aca="false">IF($H721="","",N($H721)-N($I721))</f>
        <v/>
      </c>
      <c r="K721" s="25"/>
      <c r="L721" s="25" t="str">
        <f aca="false">IF($A721="","",SUMIF($A$4:$A721,$A721,$J$4:$J721)-SUMIF($A$4:$A721,$A721,$K$4:$K721))</f>
        <v/>
      </c>
      <c r="M721" s="26" t="str">
        <f aca="false">IF($H721="","",N($H721))</f>
        <v/>
      </c>
      <c r="N721" s="26"/>
      <c r="O721" s="26"/>
      <c r="P721" s="26" t="str">
        <f aca="false">IF($A721="","",SUMIF($A$4:$A721,$A721,$M$4:$M721)-SUMIF($A$4:$A721,$A721,$N$4:$N721)-SUMIF($A$4:$A721,$A721,$O$4:$O721))</f>
        <v/>
      </c>
      <c r="Q721" s="27"/>
      <c r="R721" s="28"/>
      <c r="S721" s="28"/>
      <c r="T721" s="28" t="str">
        <f aca="false">IF($A721="","",SUMIF($A$4:$A721,$A721,$Q$4:$Q721)-SUMIF($A$4:$A721,$A721,$R$4:$R721)-SUMIF($A$4:$A721,$A721,$S$4:$S721))</f>
        <v/>
      </c>
      <c r="U721" s="28"/>
      <c r="V721" s="29" t="str">
        <f aca="false">IF(AND($C721="",COUNTA($D721:$H721,$K721,$N721:$O721,$Q721:$S721,$U721)=0),"",IF($C721="","⚠ 没填项目名称",IF($A721="⚠目录里没有","⚠ 项目名称在目录里找不到（先加到目录）",IF($A721="","⚠ 目录里这个项目没填简称",IF(ISTEXT($G721)+ISTEXT($H721)+ISTEXT($K721)+ISTEXT($N721)+ISTEXT($O721)+ISTEXT($Q721)+ISTEXT($R721)+ISTEXT($S721)&gt;0,"⚠ 金额列里有文字，算不进合计",IF(N($G721)&gt;=1,"⚠ 管理费点要填百分比，如 10%",IF(AND($D721&lt;&gt;"",$B721=""),"△ 摘要开头没写日期（如 2026.9.21），月份取不到",IF(AND(N($H721)&lt;&gt;0,COUNTIFS($A$4:$A$1003,$A721,$H$4:$H$1003,$H721,$D$4:$D$1003,LEFT($D721,9)&amp;"*")&gt;1),"△ 同一天同项目有一样的销售金额，看看是不是录重了","✓"))))))))</f>
        <v/>
      </c>
      <c r="W721" s="8" t="str">
        <f aca="false">IF($A721="","",$A721&amp;"#"&amp;COUNTIF($A$4:$A721,$A721))</f>
        <v/>
      </c>
    </row>
    <row r="722" customFormat="false" ht="16.5" hidden="false" customHeight="false" outlineLevel="0" collapsed="false">
      <c r="A722" s="44" t="str">
        <f aca="false">IF($C722="","",IFERROR(VLOOKUP($C722,目录!$B:$C,2,0)&amp;"","⚠目录里没有"))</f>
        <v/>
      </c>
      <c r="B722" s="45" t="str">
        <f aca="false">IF($D722="","",IFERROR(MID($D722,FIND(".",$D722)+1,FIND(".",$D722,FIND(".",$D722)+1)-FIND(".",$D722)-1)&amp;"月",""))</f>
        <v/>
      </c>
      <c r="C722" s="46"/>
      <c r="D722" s="47"/>
      <c r="E722" s="47"/>
      <c r="F722" s="49"/>
      <c r="G722" s="50"/>
      <c r="H722" s="24"/>
      <c r="I722" s="24" t="str">
        <f aca="false">IF($H722="","",N($H722)*N($G722))</f>
        <v/>
      </c>
      <c r="J722" s="25" t="str">
        <f aca="false">IF($H722="","",N($H722)-N($I722))</f>
        <v/>
      </c>
      <c r="K722" s="25"/>
      <c r="L722" s="25" t="str">
        <f aca="false">IF($A722="","",SUMIF($A$4:$A722,$A722,$J$4:$J722)-SUMIF($A$4:$A722,$A722,$K$4:$K722))</f>
        <v/>
      </c>
      <c r="M722" s="26" t="str">
        <f aca="false">IF($H722="","",N($H722))</f>
        <v/>
      </c>
      <c r="N722" s="26"/>
      <c r="O722" s="26"/>
      <c r="P722" s="26" t="str">
        <f aca="false">IF($A722="","",SUMIF($A$4:$A722,$A722,$M$4:$M722)-SUMIF($A$4:$A722,$A722,$N$4:$N722)-SUMIF($A$4:$A722,$A722,$O$4:$O722))</f>
        <v/>
      </c>
      <c r="Q722" s="27"/>
      <c r="R722" s="28"/>
      <c r="S722" s="28"/>
      <c r="T722" s="28" t="str">
        <f aca="false">IF($A722="","",SUMIF($A$4:$A722,$A722,$Q$4:$Q722)-SUMIF($A$4:$A722,$A722,$R$4:$R722)-SUMIF($A$4:$A722,$A722,$S$4:$S722))</f>
        <v/>
      </c>
      <c r="U722" s="28"/>
      <c r="V722" s="29" t="str">
        <f aca="false">IF(AND($C722="",COUNTA($D722:$H722,$K722,$N722:$O722,$Q722:$S722,$U722)=0),"",IF($C722="","⚠ 没填项目名称",IF($A722="⚠目录里没有","⚠ 项目名称在目录里找不到（先加到目录）",IF($A722="","⚠ 目录里这个项目没填简称",IF(ISTEXT($G722)+ISTEXT($H722)+ISTEXT($K722)+ISTEXT($N722)+ISTEXT($O722)+ISTEXT($Q722)+ISTEXT($R722)+ISTEXT($S722)&gt;0,"⚠ 金额列里有文字，算不进合计",IF(N($G722)&gt;=1,"⚠ 管理费点要填百分比，如 10%",IF(AND($D722&lt;&gt;"",$B722=""),"△ 摘要开头没写日期（如 2026.9.21），月份取不到",IF(AND(N($H722)&lt;&gt;0,COUNTIFS($A$4:$A$1003,$A722,$H$4:$H$1003,$H722,$D$4:$D$1003,LEFT($D722,9)&amp;"*")&gt;1),"△ 同一天同项目有一样的销售金额，看看是不是录重了","✓"))))))))</f>
        <v/>
      </c>
      <c r="W722" s="8" t="str">
        <f aca="false">IF($A722="","",$A722&amp;"#"&amp;COUNTIF($A$4:$A722,$A722))</f>
        <v/>
      </c>
    </row>
    <row r="723" customFormat="false" ht="16.5" hidden="false" customHeight="false" outlineLevel="0" collapsed="false">
      <c r="A723" s="44" t="str">
        <f aca="false">IF($C723="","",IFERROR(VLOOKUP($C723,目录!$B:$C,2,0)&amp;"","⚠目录里没有"))</f>
        <v/>
      </c>
      <c r="B723" s="45" t="str">
        <f aca="false">IF($D723="","",IFERROR(MID($D723,FIND(".",$D723)+1,FIND(".",$D723,FIND(".",$D723)+1)-FIND(".",$D723)-1)&amp;"月",""))</f>
        <v/>
      </c>
      <c r="C723" s="46"/>
      <c r="D723" s="47"/>
      <c r="E723" s="47"/>
      <c r="F723" s="49"/>
      <c r="G723" s="50"/>
      <c r="H723" s="24"/>
      <c r="I723" s="24" t="str">
        <f aca="false">IF($H723="","",N($H723)*N($G723))</f>
        <v/>
      </c>
      <c r="J723" s="25" t="str">
        <f aca="false">IF($H723="","",N($H723)-N($I723))</f>
        <v/>
      </c>
      <c r="K723" s="25"/>
      <c r="L723" s="25" t="str">
        <f aca="false">IF($A723="","",SUMIF($A$4:$A723,$A723,$J$4:$J723)-SUMIF($A$4:$A723,$A723,$K$4:$K723))</f>
        <v/>
      </c>
      <c r="M723" s="26" t="str">
        <f aca="false">IF($H723="","",N($H723))</f>
        <v/>
      </c>
      <c r="N723" s="26"/>
      <c r="O723" s="26"/>
      <c r="P723" s="26" t="str">
        <f aca="false">IF($A723="","",SUMIF($A$4:$A723,$A723,$M$4:$M723)-SUMIF($A$4:$A723,$A723,$N$4:$N723)-SUMIF($A$4:$A723,$A723,$O$4:$O723))</f>
        <v/>
      </c>
      <c r="Q723" s="27"/>
      <c r="R723" s="28"/>
      <c r="S723" s="28"/>
      <c r="T723" s="28" t="str">
        <f aca="false">IF($A723="","",SUMIF($A$4:$A723,$A723,$Q$4:$Q723)-SUMIF($A$4:$A723,$A723,$R$4:$R723)-SUMIF($A$4:$A723,$A723,$S$4:$S723))</f>
        <v/>
      </c>
      <c r="U723" s="28"/>
      <c r="V723" s="29" t="str">
        <f aca="false">IF(AND($C723="",COUNTA($D723:$H723,$K723,$N723:$O723,$Q723:$S723,$U723)=0),"",IF($C723="","⚠ 没填项目名称",IF($A723="⚠目录里没有","⚠ 项目名称在目录里找不到（先加到目录）",IF($A723="","⚠ 目录里这个项目没填简称",IF(ISTEXT($G723)+ISTEXT($H723)+ISTEXT($K723)+ISTEXT($N723)+ISTEXT($O723)+ISTEXT($Q723)+ISTEXT($R723)+ISTEXT($S723)&gt;0,"⚠ 金额列里有文字，算不进合计",IF(N($G723)&gt;=1,"⚠ 管理费点要填百分比，如 10%",IF(AND($D723&lt;&gt;"",$B723=""),"△ 摘要开头没写日期（如 2026.9.21），月份取不到",IF(AND(N($H723)&lt;&gt;0,COUNTIFS($A$4:$A$1003,$A723,$H$4:$H$1003,$H723,$D$4:$D$1003,LEFT($D723,9)&amp;"*")&gt;1),"△ 同一天同项目有一样的销售金额，看看是不是录重了","✓"))))))))</f>
        <v/>
      </c>
      <c r="W723" s="8" t="str">
        <f aca="false">IF($A723="","",$A723&amp;"#"&amp;COUNTIF($A$4:$A723,$A723))</f>
        <v/>
      </c>
    </row>
    <row r="724" customFormat="false" ht="16.5" hidden="false" customHeight="false" outlineLevel="0" collapsed="false">
      <c r="A724" s="44" t="str">
        <f aca="false">IF($C724="","",IFERROR(VLOOKUP($C724,目录!$B:$C,2,0)&amp;"","⚠目录里没有"))</f>
        <v/>
      </c>
      <c r="B724" s="45" t="str">
        <f aca="false">IF($D724="","",IFERROR(MID($D724,FIND(".",$D724)+1,FIND(".",$D724,FIND(".",$D724)+1)-FIND(".",$D724)-1)&amp;"月",""))</f>
        <v/>
      </c>
      <c r="C724" s="46"/>
      <c r="D724" s="47"/>
      <c r="E724" s="47"/>
      <c r="F724" s="49"/>
      <c r="G724" s="50"/>
      <c r="H724" s="24"/>
      <c r="I724" s="24" t="str">
        <f aca="false">IF($H724="","",N($H724)*N($G724))</f>
        <v/>
      </c>
      <c r="J724" s="25" t="str">
        <f aca="false">IF($H724="","",N($H724)-N($I724))</f>
        <v/>
      </c>
      <c r="K724" s="25"/>
      <c r="L724" s="25" t="str">
        <f aca="false">IF($A724="","",SUMIF($A$4:$A724,$A724,$J$4:$J724)-SUMIF($A$4:$A724,$A724,$K$4:$K724))</f>
        <v/>
      </c>
      <c r="M724" s="26" t="str">
        <f aca="false">IF($H724="","",N($H724))</f>
        <v/>
      </c>
      <c r="N724" s="26"/>
      <c r="O724" s="26"/>
      <c r="P724" s="26" t="str">
        <f aca="false">IF($A724="","",SUMIF($A$4:$A724,$A724,$M$4:$M724)-SUMIF($A$4:$A724,$A724,$N$4:$N724)-SUMIF($A$4:$A724,$A724,$O$4:$O724))</f>
        <v/>
      </c>
      <c r="Q724" s="27"/>
      <c r="R724" s="28"/>
      <c r="S724" s="28"/>
      <c r="T724" s="28" t="str">
        <f aca="false">IF($A724="","",SUMIF($A$4:$A724,$A724,$Q$4:$Q724)-SUMIF($A$4:$A724,$A724,$R$4:$R724)-SUMIF($A$4:$A724,$A724,$S$4:$S724))</f>
        <v/>
      </c>
      <c r="U724" s="28"/>
      <c r="V724" s="29" t="str">
        <f aca="false">IF(AND($C724="",COUNTA($D724:$H724,$K724,$N724:$O724,$Q724:$S724,$U724)=0),"",IF($C724="","⚠ 没填项目名称",IF($A724="⚠目录里没有","⚠ 项目名称在目录里找不到（先加到目录）",IF($A724="","⚠ 目录里这个项目没填简称",IF(ISTEXT($G724)+ISTEXT($H724)+ISTEXT($K724)+ISTEXT($N724)+ISTEXT($O724)+ISTEXT($Q724)+ISTEXT($R724)+ISTEXT($S724)&gt;0,"⚠ 金额列里有文字，算不进合计",IF(N($G724)&gt;=1,"⚠ 管理费点要填百分比，如 10%",IF(AND($D724&lt;&gt;"",$B724=""),"△ 摘要开头没写日期（如 2026.9.21），月份取不到",IF(AND(N($H724)&lt;&gt;0,COUNTIFS($A$4:$A$1003,$A724,$H$4:$H$1003,$H724,$D$4:$D$1003,LEFT($D724,9)&amp;"*")&gt;1),"△ 同一天同项目有一样的销售金额，看看是不是录重了","✓"))))))))</f>
        <v/>
      </c>
      <c r="W724" s="8" t="str">
        <f aca="false">IF($A724="","",$A724&amp;"#"&amp;COUNTIF($A$4:$A724,$A724))</f>
        <v/>
      </c>
    </row>
    <row r="725" customFormat="false" ht="16.5" hidden="false" customHeight="false" outlineLevel="0" collapsed="false">
      <c r="A725" s="44" t="str">
        <f aca="false">IF($C725="","",IFERROR(VLOOKUP($C725,目录!$B:$C,2,0)&amp;"","⚠目录里没有"))</f>
        <v/>
      </c>
      <c r="B725" s="45" t="str">
        <f aca="false">IF($D725="","",IFERROR(MID($D725,FIND(".",$D725)+1,FIND(".",$D725,FIND(".",$D725)+1)-FIND(".",$D725)-1)&amp;"月",""))</f>
        <v/>
      </c>
      <c r="C725" s="46"/>
      <c r="D725" s="47"/>
      <c r="E725" s="47"/>
      <c r="F725" s="49"/>
      <c r="G725" s="50"/>
      <c r="H725" s="24"/>
      <c r="I725" s="24" t="str">
        <f aca="false">IF($H725="","",N($H725)*N($G725))</f>
        <v/>
      </c>
      <c r="J725" s="25" t="str">
        <f aca="false">IF($H725="","",N($H725)-N($I725))</f>
        <v/>
      </c>
      <c r="K725" s="25"/>
      <c r="L725" s="25" t="str">
        <f aca="false">IF($A725="","",SUMIF($A$4:$A725,$A725,$J$4:$J725)-SUMIF($A$4:$A725,$A725,$K$4:$K725))</f>
        <v/>
      </c>
      <c r="M725" s="26" t="str">
        <f aca="false">IF($H725="","",N($H725))</f>
        <v/>
      </c>
      <c r="N725" s="26"/>
      <c r="O725" s="26"/>
      <c r="P725" s="26" t="str">
        <f aca="false">IF($A725="","",SUMIF($A$4:$A725,$A725,$M$4:$M725)-SUMIF($A$4:$A725,$A725,$N$4:$N725)-SUMIF($A$4:$A725,$A725,$O$4:$O725))</f>
        <v/>
      </c>
      <c r="Q725" s="27"/>
      <c r="R725" s="28"/>
      <c r="S725" s="28"/>
      <c r="T725" s="28" t="str">
        <f aca="false">IF($A725="","",SUMIF($A$4:$A725,$A725,$Q$4:$Q725)-SUMIF($A$4:$A725,$A725,$R$4:$R725)-SUMIF($A$4:$A725,$A725,$S$4:$S725))</f>
        <v/>
      </c>
      <c r="U725" s="28"/>
      <c r="V725" s="29" t="str">
        <f aca="false">IF(AND($C725="",COUNTA($D725:$H725,$K725,$N725:$O725,$Q725:$S725,$U725)=0),"",IF($C725="","⚠ 没填项目名称",IF($A725="⚠目录里没有","⚠ 项目名称在目录里找不到（先加到目录）",IF($A725="","⚠ 目录里这个项目没填简称",IF(ISTEXT($G725)+ISTEXT($H725)+ISTEXT($K725)+ISTEXT($N725)+ISTEXT($O725)+ISTEXT($Q725)+ISTEXT($R725)+ISTEXT($S725)&gt;0,"⚠ 金额列里有文字，算不进合计",IF(N($G725)&gt;=1,"⚠ 管理费点要填百分比，如 10%",IF(AND($D725&lt;&gt;"",$B725=""),"△ 摘要开头没写日期（如 2026.9.21），月份取不到",IF(AND(N($H725)&lt;&gt;0,COUNTIFS($A$4:$A$1003,$A725,$H$4:$H$1003,$H725,$D$4:$D$1003,LEFT($D725,9)&amp;"*")&gt;1),"△ 同一天同项目有一样的销售金额，看看是不是录重了","✓"))))))))</f>
        <v/>
      </c>
      <c r="W725" s="8" t="str">
        <f aca="false">IF($A725="","",$A725&amp;"#"&amp;COUNTIF($A$4:$A725,$A725))</f>
        <v/>
      </c>
    </row>
    <row r="726" customFormat="false" ht="16.5" hidden="false" customHeight="false" outlineLevel="0" collapsed="false">
      <c r="A726" s="44" t="str">
        <f aca="false">IF($C726="","",IFERROR(VLOOKUP($C726,目录!$B:$C,2,0)&amp;"","⚠目录里没有"))</f>
        <v/>
      </c>
      <c r="B726" s="45" t="str">
        <f aca="false">IF($D726="","",IFERROR(MID($D726,FIND(".",$D726)+1,FIND(".",$D726,FIND(".",$D726)+1)-FIND(".",$D726)-1)&amp;"月",""))</f>
        <v/>
      </c>
      <c r="C726" s="46"/>
      <c r="D726" s="47"/>
      <c r="E726" s="47"/>
      <c r="F726" s="49"/>
      <c r="G726" s="50"/>
      <c r="H726" s="24"/>
      <c r="I726" s="24" t="str">
        <f aca="false">IF($H726="","",N($H726)*N($G726))</f>
        <v/>
      </c>
      <c r="J726" s="25" t="str">
        <f aca="false">IF($H726="","",N($H726)-N($I726))</f>
        <v/>
      </c>
      <c r="K726" s="25"/>
      <c r="L726" s="25" t="str">
        <f aca="false">IF($A726="","",SUMIF($A$4:$A726,$A726,$J$4:$J726)-SUMIF($A$4:$A726,$A726,$K$4:$K726))</f>
        <v/>
      </c>
      <c r="M726" s="26" t="str">
        <f aca="false">IF($H726="","",N($H726))</f>
        <v/>
      </c>
      <c r="N726" s="26"/>
      <c r="O726" s="26"/>
      <c r="P726" s="26" t="str">
        <f aca="false">IF($A726="","",SUMIF($A$4:$A726,$A726,$M$4:$M726)-SUMIF($A$4:$A726,$A726,$N$4:$N726)-SUMIF($A$4:$A726,$A726,$O$4:$O726))</f>
        <v/>
      </c>
      <c r="Q726" s="27"/>
      <c r="R726" s="28"/>
      <c r="S726" s="28"/>
      <c r="T726" s="28" t="str">
        <f aca="false">IF($A726="","",SUMIF($A$4:$A726,$A726,$Q$4:$Q726)-SUMIF($A$4:$A726,$A726,$R$4:$R726)-SUMIF($A$4:$A726,$A726,$S$4:$S726))</f>
        <v/>
      </c>
      <c r="U726" s="28"/>
      <c r="V726" s="29" t="str">
        <f aca="false">IF(AND($C726="",COUNTA($D726:$H726,$K726,$N726:$O726,$Q726:$S726,$U726)=0),"",IF($C726="","⚠ 没填项目名称",IF($A726="⚠目录里没有","⚠ 项目名称在目录里找不到（先加到目录）",IF($A726="","⚠ 目录里这个项目没填简称",IF(ISTEXT($G726)+ISTEXT($H726)+ISTEXT($K726)+ISTEXT($N726)+ISTEXT($O726)+ISTEXT($Q726)+ISTEXT($R726)+ISTEXT($S726)&gt;0,"⚠ 金额列里有文字，算不进合计",IF(N($G726)&gt;=1,"⚠ 管理费点要填百分比，如 10%",IF(AND($D726&lt;&gt;"",$B726=""),"△ 摘要开头没写日期（如 2026.9.21），月份取不到",IF(AND(N($H726)&lt;&gt;0,COUNTIFS($A$4:$A$1003,$A726,$H$4:$H$1003,$H726,$D$4:$D$1003,LEFT($D726,9)&amp;"*")&gt;1),"△ 同一天同项目有一样的销售金额，看看是不是录重了","✓"))))))))</f>
        <v/>
      </c>
      <c r="W726" s="8" t="str">
        <f aca="false">IF($A726="","",$A726&amp;"#"&amp;COUNTIF($A$4:$A726,$A726))</f>
        <v/>
      </c>
    </row>
    <row r="727" customFormat="false" ht="16.5" hidden="false" customHeight="false" outlineLevel="0" collapsed="false">
      <c r="A727" s="44" t="str">
        <f aca="false">IF($C727="","",IFERROR(VLOOKUP($C727,目录!$B:$C,2,0)&amp;"","⚠目录里没有"))</f>
        <v/>
      </c>
      <c r="B727" s="45" t="str">
        <f aca="false">IF($D727="","",IFERROR(MID($D727,FIND(".",$D727)+1,FIND(".",$D727,FIND(".",$D727)+1)-FIND(".",$D727)-1)&amp;"月",""))</f>
        <v/>
      </c>
      <c r="C727" s="46"/>
      <c r="D727" s="47"/>
      <c r="E727" s="47"/>
      <c r="F727" s="49"/>
      <c r="G727" s="50"/>
      <c r="H727" s="24"/>
      <c r="I727" s="24" t="str">
        <f aca="false">IF($H727="","",N($H727)*N($G727))</f>
        <v/>
      </c>
      <c r="J727" s="25" t="str">
        <f aca="false">IF($H727="","",N($H727)-N($I727))</f>
        <v/>
      </c>
      <c r="K727" s="25"/>
      <c r="L727" s="25" t="str">
        <f aca="false">IF($A727="","",SUMIF($A$4:$A727,$A727,$J$4:$J727)-SUMIF($A$4:$A727,$A727,$K$4:$K727))</f>
        <v/>
      </c>
      <c r="M727" s="26" t="str">
        <f aca="false">IF($H727="","",N($H727))</f>
        <v/>
      </c>
      <c r="N727" s="26"/>
      <c r="O727" s="26"/>
      <c r="P727" s="26" t="str">
        <f aca="false">IF($A727="","",SUMIF($A$4:$A727,$A727,$M$4:$M727)-SUMIF($A$4:$A727,$A727,$N$4:$N727)-SUMIF($A$4:$A727,$A727,$O$4:$O727))</f>
        <v/>
      </c>
      <c r="Q727" s="27"/>
      <c r="R727" s="28"/>
      <c r="S727" s="28"/>
      <c r="T727" s="28" t="str">
        <f aca="false">IF($A727="","",SUMIF($A$4:$A727,$A727,$Q$4:$Q727)-SUMIF($A$4:$A727,$A727,$R$4:$R727)-SUMIF($A$4:$A727,$A727,$S$4:$S727))</f>
        <v/>
      </c>
      <c r="U727" s="28"/>
      <c r="V727" s="29" t="str">
        <f aca="false">IF(AND($C727="",COUNTA($D727:$H727,$K727,$N727:$O727,$Q727:$S727,$U727)=0),"",IF($C727="","⚠ 没填项目名称",IF($A727="⚠目录里没有","⚠ 项目名称在目录里找不到（先加到目录）",IF($A727="","⚠ 目录里这个项目没填简称",IF(ISTEXT($G727)+ISTEXT($H727)+ISTEXT($K727)+ISTEXT($N727)+ISTEXT($O727)+ISTEXT($Q727)+ISTEXT($R727)+ISTEXT($S727)&gt;0,"⚠ 金额列里有文字，算不进合计",IF(N($G727)&gt;=1,"⚠ 管理费点要填百分比，如 10%",IF(AND($D727&lt;&gt;"",$B727=""),"△ 摘要开头没写日期（如 2026.9.21），月份取不到",IF(AND(N($H727)&lt;&gt;0,COUNTIFS($A$4:$A$1003,$A727,$H$4:$H$1003,$H727,$D$4:$D$1003,LEFT($D727,9)&amp;"*")&gt;1),"△ 同一天同项目有一样的销售金额，看看是不是录重了","✓"))))))))</f>
        <v/>
      </c>
      <c r="W727" s="8" t="str">
        <f aca="false">IF($A727="","",$A727&amp;"#"&amp;COUNTIF($A$4:$A727,$A727))</f>
        <v/>
      </c>
    </row>
    <row r="728" customFormat="false" ht="16.5" hidden="false" customHeight="false" outlineLevel="0" collapsed="false">
      <c r="A728" s="44" t="str">
        <f aca="false">IF($C728="","",IFERROR(VLOOKUP($C728,目录!$B:$C,2,0)&amp;"","⚠目录里没有"))</f>
        <v/>
      </c>
      <c r="B728" s="45" t="str">
        <f aca="false">IF($D728="","",IFERROR(MID($D728,FIND(".",$D728)+1,FIND(".",$D728,FIND(".",$D728)+1)-FIND(".",$D728)-1)&amp;"月",""))</f>
        <v/>
      </c>
      <c r="C728" s="46"/>
      <c r="D728" s="47"/>
      <c r="E728" s="47"/>
      <c r="F728" s="49"/>
      <c r="G728" s="50"/>
      <c r="H728" s="24"/>
      <c r="I728" s="24" t="str">
        <f aca="false">IF($H728="","",N($H728)*N($G728))</f>
        <v/>
      </c>
      <c r="J728" s="25" t="str">
        <f aca="false">IF($H728="","",N($H728)-N($I728))</f>
        <v/>
      </c>
      <c r="K728" s="25"/>
      <c r="L728" s="25" t="str">
        <f aca="false">IF($A728="","",SUMIF($A$4:$A728,$A728,$J$4:$J728)-SUMIF($A$4:$A728,$A728,$K$4:$K728))</f>
        <v/>
      </c>
      <c r="M728" s="26" t="str">
        <f aca="false">IF($H728="","",N($H728))</f>
        <v/>
      </c>
      <c r="N728" s="26"/>
      <c r="O728" s="26"/>
      <c r="P728" s="26" t="str">
        <f aca="false">IF($A728="","",SUMIF($A$4:$A728,$A728,$M$4:$M728)-SUMIF($A$4:$A728,$A728,$N$4:$N728)-SUMIF($A$4:$A728,$A728,$O$4:$O728))</f>
        <v/>
      </c>
      <c r="Q728" s="27"/>
      <c r="R728" s="28"/>
      <c r="S728" s="28"/>
      <c r="T728" s="28" t="str">
        <f aca="false">IF($A728="","",SUMIF($A$4:$A728,$A728,$Q$4:$Q728)-SUMIF($A$4:$A728,$A728,$R$4:$R728)-SUMIF($A$4:$A728,$A728,$S$4:$S728))</f>
        <v/>
      </c>
      <c r="U728" s="28"/>
      <c r="V728" s="29" t="str">
        <f aca="false">IF(AND($C728="",COUNTA($D728:$H728,$K728,$N728:$O728,$Q728:$S728,$U728)=0),"",IF($C728="","⚠ 没填项目名称",IF($A728="⚠目录里没有","⚠ 项目名称在目录里找不到（先加到目录）",IF($A728="","⚠ 目录里这个项目没填简称",IF(ISTEXT($G728)+ISTEXT($H728)+ISTEXT($K728)+ISTEXT($N728)+ISTEXT($O728)+ISTEXT($Q728)+ISTEXT($R728)+ISTEXT($S728)&gt;0,"⚠ 金额列里有文字，算不进合计",IF(N($G728)&gt;=1,"⚠ 管理费点要填百分比，如 10%",IF(AND($D728&lt;&gt;"",$B728=""),"△ 摘要开头没写日期（如 2026.9.21），月份取不到",IF(AND(N($H728)&lt;&gt;0,COUNTIFS($A$4:$A$1003,$A728,$H$4:$H$1003,$H728,$D$4:$D$1003,LEFT($D728,9)&amp;"*")&gt;1),"△ 同一天同项目有一样的销售金额，看看是不是录重了","✓"))))))))</f>
        <v/>
      </c>
      <c r="W728" s="8" t="str">
        <f aca="false">IF($A728="","",$A728&amp;"#"&amp;COUNTIF($A$4:$A728,$A728))</f>
        <v/>
      </c>
    </row>
    <row r="729" customFormat="false" ht="16.5" hidden="false" customHeight="false" outlineLevel="0" collapsed="false">
      <c r="A729" s="44" t="str">
        <f aca="false">IF($C729="","",IFERROR(VLOOKUP($C729,目录!$B:$C,2,0)&amp;"","⚠目录里没有"))</f>
        <v/>
      </c>
      <c r="B729" s="45" t="str">
        <f aca="false">IF($D729="","",IFERROR(MID($D729,FIND(".",$D729)+1,FIND(".",$D729,FIND(".",$D729)+1)-FIND(".",$D729)-1)&amp;"月",""))</f>
        <v/>
      </c>
      <c r="C729" s="46"/>
      <c r="D729" s="47"/>
      <c r="E729" s="47"/>
      <c r="F729" s="49"/>
      <c r="G729" s="50"/>
      <c r="H729" s="24"/>
      <c r="I729" s="24" t="str">
        <f aca="false">IF($H729="","",N($H729)*N($G729))</f>
        <v/>
      </c>
      <c r="J729" s="25" t="str">
        <f aca="false">IF($H729="","",N($H729)-N($I729))</f>
        <v/>
      </c>
      <c r="K729" s="25"/>
      <c r="L729" s="25" t="str">
        <f aca="false">IF($A729="","",SUMIF($A$4:$A729,$A729,$J$4:$J729)-SUMIF($A$4:$A729,$A729,$K$4:$K729))</f>
        <v/>
      </c>
      <c r="M729" s="26" t="str">
        <f aca="false">IF($H729="","",N($H729))</f>
        <v/>
      </c>
      <c r="N729" s="26"/>
      <c r="O729" s="26"/>
      <c r="P729" s="26" t="str">
        <f aca="false">IF($A729="","",SUMIF($A$4:$A729,$A729,$M$4:$M729)-SUMIF($A$4:$A729,$A729,$N$4:$N729)-SUMIF($A$4:$A729,$A729,$O$4:$O729))</f>
        <v/>
      </c>
      <c r="Q729" s="27"/>
      <c r="R729" s="28"/>
      <c r="S729" s="28"/>
      <c r="T729" s="28" t="str">
        <f aca="false">IF($A729="","",SUMIF($A$4:$A729,$A729,$Q$4:$Q729)-SUMIF($A$4:$A729,$A729,$R$4:$R729)-SUMIF($A$4:$A729,$A729,$S$4:$S729))</f>
        <v/>
      </c>
      <c r="U729" s="28"/>
      <c r="V729" s="29" t="str">
        <f aca="false">IF(AND($C729="",COUNTA($D729:$H729,$K729,$N729:$O729,$Q729:$S729,$U729)=0),"",IF($C729="","⚠ 没填项目名称",IF($A729="⚠目录里没有","⚠ 项目名称在目录里找不到（先加到目录）",IF($A729="","⚠ 目录里这个项目没填简称",IF(ISTEXT($G729)+ISTEXT($H729)+ISTEXT($K729)+ISTEXT($N729)+ISTEXT($O729)+ISTEXT($Q729)+ISTEXT($R729)+ISTEXT($S729)&gt;0,"⚠ 金额列里有文字，算不进合计",IF(N($G729)&gt;=1,"⚠ 管理费点要填百分比，如 10%",IF(AND($D729&lt;&gt;"",$B729=""),"△ 摘要开头没写日期（如 2026.9.21），月份取不到",IF(AND(N($H729)&lt;&gt;0,COUNTIFS($A$4:$A$1003,$A729,$H$4:$H$1003,$H729,$D$4:$D$1003,LEFT($D729,9)&amp;"*")&gt;1),"△ 同一天同项目有一样的销售金额，看看是不是录重了","✓"))))))))</f>
        <v/>
      </c>
      <c r="W729" s="8" t="str">
        <f aca="false">IF($A729="","",$A729&amp;"#"&amp;COUNTIF($A$4:$A729,$A729))</f>
        <v/>
      </c>
    </row>
    <row r="730" customFormat="false" ht="16.5" hidden="false" customHeight="false" outlineLevel="0" collapsed="false">
      <c r="A730" s="44" t="str">
        <f aca="false">IF($C730="","",IFERROR(VLOOKUP($C730,目录!$B:$C,2,0)&amp;"","⚠目录里没有"))</f>
        <v/>
      </c>
      <c r="B730" s="45" t="str">
        <f aca="false">IF($D730="","",IFERROR(MID($D730,FIND(".",$D730)+1,FIND(".",$D730,FIND(".",$D730)+1)-FIND(".",$D730)-1)&amp;"月",""))</f>
        <v/>
      </c>
      <c r="C730" s="46"/>
      <c r="D730" s="47"/>
      <c r="E730" s="47"/>
      <c r="F730" s="49"/>
      <c r="G730" s="50"/>
      <c r="H730" s="24"/>
      <c r="I730" s="24" t="str">
        <f aca="false">IF($H730="","",N($H730)*N($G730))</f>
        <v/>
      </c>
      <c r="J730" s="25" t="str">
        <f aca="false">IF($H730="","",N($H730)-N($I730))</f>
        <v/>
      </c>
      <c r="K730" s="25"/>
      <c r="L730" s="25" t="str">
        <f aca="false">IF($A730="","",SUMIF($A$4:$A730,$A730,$J$4:$J730)-SUMIF($A$4:$A730,$A730,$K$4:$K730))</f>
        <v/>
      </c>
      <c r="M730" s="26" t="str">
        <f aca="false">IF($H730="","",N($H730))</f>
        <v/>
      </c>
      <c r="N730" s="26"/>
      <c r="O730" s="26"/>
      <c r="P730" s="26" t="str">
        <f aca="false">IF($A730="","",SUMIF($A$4:$A730,$A730,$M$4:$M730)-SUMIF($A$4:$A730,$A730,$N$4:$N730)-SUMIF($A$4:$A730,$A730,$O$4:$O730))</f>
        <v/>
      </c>
      <c r="Q730" s="27"/>
      <c r="R730" s="28"/>
      <c r="S730" s="28"/>
      <c r="T730" s="28" t="str">
        <f aca="false">IF($A730="","",SUMIF($A$4:$A730,$A730,$Q$4:$Q730)-SUMIF($A$4:$A730,$A730,$R$4:$R730)-SUMIF($A$4:$A730,$A730,$S$4:$S730))</f>
        <v/>
      </c>
      <c r="U730" s="28"/>
      <c r="V730" s="29" t="str">
        <f aca="false">IF(AND($C730="",COUNTA($D730:$H730,$K730,$N730:$O730,$Q730:$S730,$U730)=0),"",IF($C730="","⚠ 没填项目名称",IF($A730="⚠目录里没有","⚠ 项目名称在目录里找不到（先加到目录）",IF($A730="","⚠ 目录里这个项目没填简称",IF(ISTEXT($G730)+ISTEXT($H730)+ISTEXT($K730)+ISTEXT($N730)+ISTEXT($O730)+ISTEXT($Q730)+ISTEXT($R730)+ISTEXT($S730)&gt;0,"⚠ 金额列里有文字，算不进合计",IF(N($G730)&gt;=1,"⚠ 管理费点要填百分比，如 10%",IF(AND($D730&lt;&gt;"",$B730=""),"△ 摘要开头没写日期（如 2026.9.21），月份取不到",IF(AND(N($H730)&lt;&gt;0,COUNTIFS($A$4:$A$1003,$A730,$H$4:$H$1003,$H730,$D$4:$D$1003,LEFT($D730,9)&amp;"*")&gt;1),"△ 同一天同项目有一样的销售金额，看看是不是录重了","✓"))))))))</f>
        <v/>
      </c>
      <c r="W730" s="8" t="str">
        <f aca="false">IF($A730="","",$A730&amp;"#"&amp;COUNTIF($A$4:$A730,$A730))</f>
        <v/>
      </c>
    </row>
    <row r="731" customFormat="false" ht="16.5" hidden="false" customHeight="false" outlineLevel="0" collapsed="false">
      <c r="A731" s="44" t="str">
        <f aca="false">IF($C731="","",IFERROR(VLOOKUP($C731,目录!$B:$C,2,0)&amp;"","⚠目录里没有"))</f>
        <v/>
      </c>
      <c r="B731" s="45" t="str">
        <f aca="false">IF($D731="","",IFERROR(MID($D731,FIND(".",$D731)+1,FIND(".",$D731,FIND(".",$D731)+1)-FIND(".",$D731)-1)&amp;"月",""))</f>
        <v/>
      </c>
      <c r="C731" s="46"/>
      <c r="D731" s="47"/>
      <c r="E731" s="47"/>
      <c r="F731" s="49"/>
      <c r="G731" s="50"/>
      <c r="H731" s="24"/>
      <c r="I731" s="24" t="str">
        <f aca="false">IF($H731="","",N($H731)*N($G731))</f>
        <v/>
      </c>
      <c r="J731" s="25" t="str">
        <f aca="false">IF($H731="","",N($H731)-N($I731))</f>
        <v/>
      </c>
      <c r="K731" s="25"/>
      <c r="L731" s="25" t="str">
        <f aca="false">IF($A731="","",SUMIF($A$4:$A731,$A731,$J$4:$J731)-SUMIF($A$4:$A731,$A731,$K$4:$K731))</f>
        <v/>
      </c>
      <c r="M731" s="26" t="str">
        <f aca="false">IF($H731="","",N($H731))</f>
        <v/>
      </c>
      <c r="N731" s="26"/>
      <c r="O731" s="26"/>
      <c r="P731" s="26" t="str">
        <f aca="false">IF($A731="","",SUMIF($A$4:$A731,$A731,$M$4:$M731)-SUMIF($A$4:$A731,$A731,$N$4:$N731)-SUMIF($A$4:$A731,$A731,$O$4:$O731))</f>
        <v/>
      </c>
      <c r="Q731" s="27"/>
      <c r="R731" s="28"/>
      <c r="S731" s="28"/>
      <c r="T731" s="28" t="str">
        <f aca="false">IF($A731="","",SUMIF($A$4:$A731,$A731,$Q$4:$Q731)-SUMIF($A$4:$A731,$A731,$R$4:$R731)-SUMIF($A$4:$A731,$A731,$S$4:$S731))</f>
        <v/>
      </c>
      <c r="U731" s="28"/>
      <c r="V731" s="29" t="str">
        <f aca="false">IF(AND($C731="",COUNTA($D731:$H731,$K731,$N731:$O731,$Q731:$S731,$U731)=0),"",IF($C731="","⚠ 没填项目名称",IF($A731="⚠目录里没有","⚠ 项目名称在目录里找不到（先加到目录）",IF($A731="","⚠ 目录里这个项目没填简称",IF(ISTEXT($G731)+ISTEXT($H731)+ISTEXT($K731)+ISTEXT($N731)+ISTEXT($O731)+ISTEXT($Q731)+ISTEXT($R731)+ISTEXT($S731)&gt;0,"⚠ 金额列里有文字，算不进合计",IF(N($G731)&gt;=1,"⚠ 管理费点要填百分比，如 10%",IF(AND($D731&lt;&gt;"",$B731=""),"△ 摘要开头没写日期（如 2026.9.21），月份取不到",IF(AND(N($H731)&lt;&gt;0,COUNTIFS($A$4:$A$1003,$A731,$H$4:$H$1003,$H731,$D$4:$D$1003,LEFT($D731,9)&amp;"*")&gt;1),"△ 同一天同项目有一样的销售金额，看看是不是录重了","✓"))))))))</f>
        <v/>
      </c>
      <c r="W731" s="8" t="str">
        <f aca="false">IF($A731="","",$A731&amp;"#"&amp;COUNTIF($A$4:$A731,$A731))</f>
        <v/>
      </c>
    </row>
    <row r="732" customFormat="false" ht="16.5" hidden="false" customHeight="false" outlineLevel="0" collapsed="false">
      <c r="A732" s="44" t="str">
        <f aca="false">IF($C732="","",IFERROR(VLOOKUP($C732,目录!$B:$C,2,0)&amp;"","⚠目录里没有"))</f>
        <v/>
      </c>
      <c r="B732" s="45" t="str">
        <f aca="false">IF($D732="","",IFERROR(MID($D732,FIND(".",$D732)+1,FIND(".",$D732,FIND(".",$D732)+1)-FIND(".",$D732)-1)&amp;"月",""))</f>
        <v/>
      </c>
      <c r="C732" s="46"/>
      <c r="D732" s="47"/>
      <c r="E732" s="47"/>
      <c r="F732" s="49"/>
      <c r="G732" s="50"/>
      <c r="H732" s="24"/>
      <c r="I732" s="24" t="str">
        <f aca="false">IF($H732="","",N($H732)*N($G732))</f>
        <v/>
      </c>
      <c r="J732" s="25" t="str">
        <f aca="false">IF($H732="","",N($H732)-N($I732))</f>
        <v/>
      </c>
      <c r="K732" s="25"/>
      <c r="L732" s="25" t="str">
        <f aca="false">IF($A732="","",SUMIF($A$4:$A732,$A732,$J$4:$J732)-SUMIF($A$4:$A732,$A732,$K$4:$K732))</f>
        <v/>
      </c>
      <c r="M732" s="26" t="str">
        <f aca="false">IF($H732="","",N($H732))</f>
        <v/>
      </c>
      <c r="N732" s="26"/>
      <c r="O732" s="26"/>
      <c r="P732" s="26" t="str">
        <f aca="false">IF($A732="","",SUMIF($A$4:$A732,$A732,$M$4:$M732)-SUMIF($A$4:$A732,$A732,$N$4:$N732)-SUMIF($A$4:$A732,$A732,$O$4:$O732))</f>
        <v/>
      </c>
      <c r="Q732" s="27"/>
      <c r="R732" s="28"/>
      <c r="S732" s="28"/>
      <c r="T732" s="28" t="str">
        <f aca="false">IF($A732="","",SUMIF($A$4:$A732,$A732,$Q$4:$Q732)-SUMIF($A$4:$A732,$A732,$R$4:$R732)-SUMIF($A$4:$A732,$A732,$S$4:$S732))</f>
        <v/>
      </c>
      <c r="U732" s="28"/>
      <c r="V732" s="29" t="str">
        <f aca="false">IF(AND($C732="",COUNTA($D732:$H732,$K732,$N732:$O732,$Q732:$S732,$U732)=0),"",IF($C732="","⚠ 没填项目名称",IF($A732="⚠目录里没有","⚠ 项目名称在目录里找不到（先加到目录）",IF($A732="","⚠ 目录里这个项目没填简称",IF(ISTEXT($G732)+ISTEXT($H732)+ISTEXT($K732)+ISTEXT($N732)+ISTEXT($O732)+ISTEXT($Q732)+ISTEXT($R732)+ISTEXT($S732)&gt;0,"⚠ 金额列里有文字，算不进合计",IF(N($G732)&gt;=1,"⚠ 管理费点要填百分比，如 10%",IF(AND($D732&lt;&gt;"",$B732=""),"△ 摘要开头没写日期（如 2026.9.21），月份取不到",IF(AND(N($H732)&lt;&gt;0,COUNTIFS($A$4:$A$1003,$A732,$H$4:$H$1003,$H732,$D$4:$D$1003,LEFT($D732,9)&amp;"*")&gt;1),"△ 同一天同项目有一样的销售金额，看看是不是录重了","✓"))))))))</f>
        <v/>
      </c>
      <c r="W732" s="8" t="str">
        <f aca="false">IF($A732="","",$A732&amp;"#"&amp;COUNTIF($A$4:$A732,$A732))</f>
        <v/>
      </c>
    </row>
    <row r="733" customFormat="false" ht="16.5" hidden="false" customHeight="false" outlineLevel="0" collapsed="false">
      <c r="A733" s="44" t="str">
        <f aca="false">IF($C733="","",IFERROR(VLOOKUP($C733,目录!$B:$C,2,0)&amp;"","⚠目录里没有"))</f>
        <v/>
      </c>
      <c r="B733" s="45" t="str">
        <f aca="false">IF($D733="","",IFERROR(MID($D733,FIND(".",$D733)+1,FIND(".",$D733,FIND(".",$D733)+1)-FIND(".",$D733)-1)&amp;"月",""))</f>
        <v/>
      </c>
      <c r="C733" s="46"/>
      <c r="D733" s="47"/>
      <c r="E733" s="47"/>
      <c r="F733" s="49"/>
      <c r="G733" s="50"/>
      <c r="H733" s="24"/>
      <c r="I733" s="24" t="str">
        <f aca="false">IF($H733="","",N($H733)*N($G733))</f>
        <v/>
      </c>
      <c r="J733" s="25" t="str">
        <f aca="false">IF($H733="","",N($H733)-N($I733))</f>
        <v/>
      </c>
      <c r="K733" s="25"/>
      <c r="L733" s="25" t="str">
        <f aca="false">IF($A733="","",SUMIF($A$4:$A733,$A733,$J$4:$J733)-SUMIF($A$4:$A733,$A733,$K$4:$K733))</f>
        <v/>
      </c>
      <c r="M733" s="26" t="str">
        <f aca="false">IF($H733="","",N($H733))</f>
        <v/>
      </c>
      <c r="N733" s="26"/>
      <c r="O733" s="26"/>
      <c r="P733" s="26" t="str">
        <f aca="false">IF($A733="","",SUMIF($A$4:$A733,$A733,$M$4:$M733)-SUMIF($A$4:$A733,$A733,$N$4:$N733)-SUMIF($A$4:$A733,$A733,$O$4:$O733))</f>
        <v/>
      </c>
      <c r="Q733" s="27"/>
      <c r="R733" s="28"/>
      <c r="S733" s="28"/>
      <c r="T733" s="28" t="str">
        <f aca="false">IF($A733="","",SUMIF($A$4:$A733,$A733,$Q$4:$Q733)-SUMIF($A$4:$A733,$A733,$R$4:$R733)-SUMIF($A$4:$A733,$A733,$S$4:$S733))</f>
        <v/>
      </c>
      <c r="U733" s="28"/>
      <c r="V733" s="29" t="str">
        <f aca="false">IF(AND($C733="",COUNTA($D733:$H733,$K733,$N733:$O733,$Q733:$S733,$U733)=0),"",IF($C733="","⚠ 没填项目名称",IF($A733="⚠目录里没有","⚠ 项目名称在目录里找不到（先加到目录）",IF($A733="","⚠ 目录里这个项目没填简称",IF(ISTEXT($G733)+ISTEXT($H733)+ISTEXT($K733)+ISTEXT($N733)+ISTEXT($O733)+ISTEXT($Q733)+ISTEXT($R733)+ISTEXT($S733)&gt;0,"⚠ 金额列里有文字，算不进合计",IF(N($G733)&gt;=1,"⚠ 管理费点要填百分比，如 10%",IF(AND($D733&lt;&gt;"",$B733=""),"△ 摘要开头没写日期（如 2026.9.21），月份取不到",IF(AND(N($H733)&lt;&gt;0,COUNTIFS($A$4:$A$1003,$A733,$H$4:$H$1003,$H733,$D$4:$D$1003,LEFT($D733,9)&amp;"*")&gt;1),"△ 同一天同项目有一样的销售金额，看看是不是录重了","✓"))))))))</f>
        <v/>
      </c>
      <c r="W733" s="8" t="str">
        <f aca="false">IF($A733="","",$A733&amp;"#"&amp;COUNTIF($A$4:$A733,$A733))</f>
        <v/>
      </c>
    </row>
    <row r="734" customFormat="false" ht="16.5" hidden="false" customHeight="false" outlineLevel="0" collapsed="false">
      <c r="A734" s="44" t="str">
        <f aca="false">IF($C734="","",IFERROR(VLOOKUP($C734,目录!$B:$C,2,0)&amp;"","⚠目录里没有"))</f>
        <v/>
      </c>
      <c r="B734" s="45" t="str">
        <f aca="false">IF($D734="","",IFERROR(MID($D734,FIND(".",$D734)+1,FIND(".",$D734,FIND(".",$D734)+1)-FIND(".",$D734)-1)&amp;"月",""))</f>
        <v/>
      </c>
      <c r="C734" s="46"/>
      <c r="D734" s="47"/>
      <c r="E734" s="47"/>
      <c r="F734" s="49"/>
      <c r="G734" s="50"/>
      <c r="H734" s="24"/>
      <c r="I734" s="24" t="str">
        <f aca="false">IF($H734="","",N($H734)*N($G734))</f>
        <v/>
      </c>
      <c r="J734" s="25" t="str">
        <f aca="false">IF($H734="","",N($H734)-N($I734))</f>
        <v/>
      </c>
      <c r="K734" s="25"/>
      <c r="L734" s="25" t="str">
        <f aca="false">IF($A734="","",SUMIF($A$4:$A734,$A734,$J$4:$J734)-SUMIF($A$4:$A734,$A734,$K$4:$K734))</f>
        <v/>
      </c>
      <c r="M734" s="26" t="str">
        <f aca="false">IF($H734="","",N($H734))</f>
        <v/>
      </c>
      <c r="N734" s="26"/>
      <c r="O734" s="26"/>
      <c r="P734" s="26" t="str">
        <f aca="false">IF($A734="","",SUMIF($A$4:$A734,$A734,$M$4:$M734)-SUMIF($A$4:$A734,$A734,$N$4:$N734)-SUMIF($A$4:$A734,$A734,$O$4:$O734))</f>
        <v/>
      </c>
      <c r="Q734" s="27"/>
      <c r="R734" s="28"/>
      <c r="S734" s="28"/>
      <c r="T734" s="28" t="str">
        <f aca="false">IF($A734="","",SUMIF($A$4:$A734,$A734,$Q$4:$Q734)-SUMIF($A$4:$A734,$A734,$R$4:$R734)-SUMIF($A$4:$A734,$A734,$S$4:$S734))</f>
        <v/>
      </c>
      <c r="U734" s="28"/>
      <c r="V734" s="29" t="str">
        <f aca="false">IF(AND($C734="",COUNTA($D734:$H734,$K734,$N734:$O734,$Q734:$S734,$U734)=0),"",IF($C734="","⚠ 没填项目名称",IF($A734="⚠目录里没有","⚠ 项目名称在目录里找不到（先加到目录）",IF($A734="","⚠ 目录里这个项目没填简称",IF(ISTEXT($G734)+ISTEXT($H734)+ISTEXT($K734)+ISTEXT($N734)+ISTEXT($O734)+ISTEXT($Q734)+ISTEXT($R734)+ISTEXT($S734)&gt;0,"⚠ 金额列里有文字，算不进合计",IF(N($G734)&gt;=1,"⚠ 管理费点要填百分比，如 10%",IF(AND($D734&lt;&gt;"",$B734=""),"△ 摘要开头没写日期（如 2026.9.21），月份取不到",IF(AND(N($H734)&lt;&gt;0,COUNTIFS($A$4:$A$1003,$A734,$H$4:$H$1003,$H734,$D$4:$D$1003,LEFT($D734,9)&amp;"*")&gt;1),"△ 同一天同项目有一样的销售金额，看看是不是录重了","✓"))))))))</f>
        <v/>
      </c>
      <c r="W734" s="8" t="str">
        <f aca="false">IF($A734="","",$A734&amp;"#"&amp;COUNTIF($A$4:$A734,$A734))</f>
        <v/>
      </c>
    </row>
    <row r="735" customFormat="false" ht="16.5" hidden="false" customHeight="false" outlineLevel="0" collapsed="false">
      <c r="A735" s="44" t="str">
        <f aca="false">IF($C735="","",IFERROR(VLOOKUP($C735,目录!$B:$C,2,0)&amp;"","⚠目录里没有"))</f>
        <v/>
      </c>
      <c r="B735" s="45" t="str">
        <f aca="false">IF($D735="","",IFERROR(MID($D735,FIND(".",$D735)+1,FIND(".",$D735,FIND(".",$D735)+1)-FIND(".",$D735)-1)&amp;"月",""))</f>
        <v/>
      </c>
      <c r="C735" s="46"/>
      <c r="D735" s="47"/>
      <c r="E735" s="47"/>
      <c r="F735" s="49"/>
      <c r="G735" s="50"/>
      <c r="H735" s="24"/>
      <c r="I735" s="24" t="str">
        <f aca="false">IF($H735="","",N($H735)*N($G735))</f>
        <v/>
      </c>
      <c r="J735" s="25" t="str">
        <f aca="false">IF($H735="","",N($H735)-N($I735))</f>
        <v/>
      </c>
      <c r="K735" s="25"/>
      <c r="L735" s="25" t="str">
        <f aca="false">IF($A735="","",SUMIF($A$4:$A735,$A735,$J$4:$J735)-SUMIF($A$4:$A735,$A735,$K$4:$K735))</f>
        <v/>
      </c>
      <c r="M735" s="26" t="str">
        <f aca="false">IF($H735="","",N($H735))</f>
        <v/>
      </c>
      <c r="N735" s="26"/>
      <c r="O735" s="26"/>
      <c r="P735" s="26" t="str">
        <f aca="false">IF($A735="","",SUMIF($A$4:$A735,$A735,$M$4:$M735)-SUMIF($A$4:$A735,$A735,$N$4:$N735)-SUMIF($A$4:$A735,$A735,$O$4:$O735))</f>
        <v/>
      </c>
      <c r="Q735" s="27"/>
      <c r="R735" s="28"/>
      <c r="S735" s="28"/>
      <c r="T735" s="28" t="str">
        <f aca="false">IF($A735="","",SUMIF($A$4:$A735,$A735,$Q$4:$Q735)-SUMIF($A$4:$A735,$A735,$R$4:$R735)-SUMIF($A$4:$A735,$A735,$S$4:$S735))</f>
        <v/>
      </c>
      <c r="U735" s="28"/>
      <c r="V735" s="29" t="str">
        <f aca="false">IF(AND($C735="",COUNTA($D735:$H735,$K735,$N735:$O735,$Q735:$S735,$U735)=0),"",IF($C735="","⚠ 没填项目名称",IF($A735="⚠目录里没有","⚠ 项目名称在目录里找不到（先加到目录）",IF($A735="","⚠ 目录里这个项目没填简称",IF(ISTEXT($G735)+ISTEXT($H735)+ISTEXT($K735)+ISTEXT($N735)+ISTEXT($O735)+ISTEXT($Q735)+ISTEXT($R735)+ISTEXT($S735)&gt;0,"⚠ 金额列里有文字，算不进合计",IF(N($G735)&gt;=1,"⚠ 管理费点要填百分比，如 10%",IF(AND($D735&lt;&gt;"",$B735=""),"△ 摘要开头没写日期（如 2026.9.21），月份取不到",IF(AND(N($H735)&lt;&gt;0,COUNTIFS($A$4:$A$1003,$A735,$H$4:$H$1003,$H735,$D$4:$D$1003,LEFT($D735,9)&amp;"*")&gt;1),"△ 同一天同项目有一样的销售金额，看看是不是录重了","✓"))))))))</f>
        <v/>
      </c>
      <c r="W735" s="8" t="str">
        <f aca="false">IF($A735="","",$A735&amp;"#"&amp;COUNTIF($A$4:$A735,$A735))</f>
        <v/>
      </c>
    </row>
    <row r="736" customFormat="false" ht="16.5" hidden="false" customHeight="false" outlineLevel="0" collapsed="false">
      <c r="A736" s="44" t="str">
        <f aca="false">IF($C736="","",IFERROR(VLOOKUP($C736,目录!$B:$C,2,0)&amp;"","⚠目录里没有"))</f>
        <v/>
      </c>
      <c r="B736" s="45" t="str">
        <f aca="false">IF($D736="","",IFERROR(MID($D736,FIND(".",$D736)+1,FIND(".",$D736,FIND(".",$D736)+1)-FIND(".",$D736)-1)&amp;"月",""))</f>
        <v/>
      </c>
      <c r="C736" s="46"/>
      <c r="D736" s="47"/>
      <c r="E736" s="47"/>
      <c r="F736" s="49"/>
      <c r="G736" s="50"/>
      <c r="H736" s="24"/>
      <c r="I736" s="24" t="str">
        <f aca="false">IF($H736="","",N($H736)*N($G736))</f>
        <v/>
      </c>
      <c r="J736" s="25" t="str">
        <f aca="false">IF($H736="","",N($H736)-N($I736))</f>
        <v/>
      </c>
      <c r="K736" s="25"/>
      <c r="L736" s="25" t="str">
        <f aca="false">IF($A736="","",SUMIF($A$4:$A736,$A736,$J$4:$J736)-SUMIF($A$4:$A736,$A736,$K$4:$K736))</f>
        <v/>
      </c>
      <c r="M736" s="26" t="str">
        <f aca="false">IF($H736="","",N($H736))</f>
        <v/>
      </c>
      <c r="N736" s="26"/>
      <c r="O736" s="26"/>
      <c r="P736" s="26" t="str">
        <f aca="false">IF($A736="","",SUMIF($A$4:$A736,$A736,$M$4:$M736)-SUMIF($A$4:$A736,$A736,$N$4:$N736)-SUMIF($A$4:$A736,$A736,$O$4:$O736))</f>
        <v/>
      </c>
      <c r="Q736" s="27"/>
      <c r="R736" s="28"/>
      <c r="S736" s="28"/>
      <c r="T736" s="28" t="str">
        <f aca="false">IF($A736="","",SUMIF($A$4:$A736,$A736,$Q$4:$Q736)-SUMIF($A$4:$A736,$A736,$R$4:$R736)-SUMIF($A$4:$A736,$A736,$S$4:$S736))</f>
        <v/>
      </c>
      <c r="U736" s="28"/>
      <c r="V736" s="29" t="str">
        <f aca="false">IF(AND($C736="",COUNTA($D736:$H736,$K736,$N736:$O736,$Q736:$S736,$U736)=0),"",IF($C736="","⚠ 没填项目名称",IF($A736="⚠目录里没有","⚠ 项目名称在目录里找不到（先加到目录）",IF($A736="","⚠ 目录里这个项目没填简称",IF(ISTEXT($G736)+ISTEXT($H736)+ISTEXT($K736)+ISTEXT($N736)+ISTEXT($O736)+ISTEXT($Q736)+ISTEXT($R736)+ISTEXT($S736)&gt;0,"⚠ 金额列里有文字，算不进合计",IF(N($G736)&gt;=1,"⚠ 管理费点要填百分比，如 10%",IF(AND($D736&lt;&gt;"",$B736=""),"△ 摘要开头没写日期（如 2026.9.21），月份取不到",IF(AND(N($H736)&lt;&gt;0,COUNTIFS($A$4:$A$1003,$A736,$H$4:$H$1003,$H736,$D$4:$D$1003,LEFT($D736,9)&amp;"*")&gt;1),"△ 同一天同项目有一样的销售金额，看看是不是录重了","✓"))))))))</f>
        <v/>
      </c>
      <c r="W736" s="8" t="str">
        <f aca="false">IF($A736="","",$A736&amp;"#"&amp;COUNTIF($A$4:$A736,$A736))</f>
        <v/>
      </c>
    </row>
    <row r="737" customFormat="false" ht="16.5" hidden="false" customHeight="false" outlineLevel="0" collapsed="false">
      <c r="A737" s="44" t="str">
        <f aca="false">IF($C737="","",IFERROR(VLOOKUP($C737,目录!$B:$C,2,0)&amp;"","⚠目录里没有"))</f>
        <v/>
      </c>
      <c r="B737" s="45" t="str">
        <f aca="false">IF($D737="","",IFERROR(MID($D737,FIND(".",$D737)+1,FIND(".",$D737,FIND(".",$D737)+1)-FIND(".",$D737)-1)&amp;"月",""))</f>
        <v/>
      </c>
      <c r="C737" s="46"/>
      <c r="D737" s="47"/>
      <c r="E737" s="47"/>
      <c r="F737" s="49"/>
      <c r="G737" s="50"/>
      <c r="H737" s="24"/>
      <c r="I737" s="24" t="str">
        <f aca="false">IF($H737="","",N($H737)*N($G737))</f>
        <v/>
      </c>
      <c r="J737" s="25" t="str">
        <f aca="false">IF($H737="","",N($H737)-N($I737))</f>
        <v/>
      </c>
      <c r="K737" s="25"/>
      <c r="L737" s="25" t="str">
        <f aca="false">IF($A737="","",SUMIF($A$4:$A737,$A737,$J$4:$J737)-SUMIF($A$4:$A737,$A737,$K$4:$K737))</f>
        <v/>
      </c>
      <c r="M737" s="26" t="str">
        <f aca="false">IF($H737="","",N($H737))</f>
        <v/>
      </c>
      <c r="N737" s="26"/>
      <c r="O737" s="26"/>
      <c r="P737" s="26" t="str">
        <f aca="false">IF($A737="","",SUMIF($A$4:$A737,$A737,$M$4:$M737)-SUMIF($A$4:$A737,$A737,$N$4:$N737)-SUMIF($A$4:$A737,$A737,$O$4:$O737))</f>
        <v/>
      </c>
      <c r="Q737" s="27"/>
      <c r="R737" s="28"/>
      <c r="S737" s="28"/>
      <c r="T737" s="28" t="str">
        <f aca="false">IF($A737="","",SUMIF($A$4:$A737,$A737,$Q$4:$Q737)-SUMIF($A$4:$A737,$A737,$R$4:$R737)-SUMIF($A$4:$A737,$A737,$S$4:$S737))</f>
        <v/>
      </c>
      <c r="U737" s="28"/>
      <c r="V737" s="29" t="str">
        <f aca="false">IF(AND($C737="",COUNTA($D737:$H737,$K737,$N737:$O737,$Q737:$S737,$U737)=0),"",IF($C737="","⚠ 没填项目名称",IF($A737="⚠目录里没有","⚠ 项目名称在目录里找不到（先加到目录）",IF($A737="","⚠ 目录里这个项目没填简称",IF(ISTEXT($G737)+ISTEXT($H737)+ISTEXT($K737)+ISTEXT($N737)+ISTEXT($O737)+ISTEXT($Q737)+ISTEXT($R737)+ISTEXT($S737)&gt;0,"⚠ 金额列里有文字，算不进合计",IF(N($G737)&gt;=1,"⚠ 管理费点要填百分比，如 10%",IF(AND($D737&lt;&gt;"",$B737=""),"△ 摘要开头没写日期（如 2026.9.21），月份取不到",IF(AND(N($H737)&lt;&gt;0,COUNTIFS($A$4:$A$1003,$A737,$H$4:$H$1003,$H737,$D$4:$D$1003,LEFT($D737,9)&amp;"*")&gt;1),"△ 同一天同项目有一样的销售金额，看看是不是录重了","✓"))))))))</f>
        <v/>
      </c>
      <c r="W737" s="8" t="str">
        <f aca="false">IF($A737="","",$A737&amp;"#"&amp;COUNTIF($A$4:$A737,$A737))</f>
        <v/>
      </c>
    </row>
    <row r="738" customFormat="false" ht="16.5" hidden="false" customHeight="false" outlineLevel="0" collapsed="false">
      <c r="A738" s="44" t="str">
        <f aca="false">IF($C738="","",IFERROR(VLOOKUP($C738,目录!$B:$C,2,0)&amp;"","⚠目录里没有"))</f>
        <v/>
      </c>
      <c r="B738" s="45" t="str">
        <f aca="false">IF($D738="","",IFERROR(MID($D738,FIND(".",$D738)+1,FIND(".",$D738,FIND(".",$D738)+1)-FIND(".",$D738)-1)&amp;"月",""))</f>
        <v/>
      </c>
      <c r="C738" s="46"/>
      <c r="D738" s="47"/>
      <c r="E738" s="47"/>
      <c r="F738" s="49"/>
      <c r="G738" s="50"/>
      <c r="H738" s="24"/>
      <c r="I738" s="24" t="str">
        <f aca="false">IF($H738="","",N($H738)*N($G738))</f>
        <v/>
      </c>
      <c r="J738" s="25" t="str">
        <f aca="false">IF($H738="","",N($H738)-N($I738))</f>
        <v/>
      </c>
      <c r="K738" s="25"/>
      <c r="L738" s="25" t="str">
        <f aca="false">IF($A738="","",SUMIF($A$4:$A738,$A738,$J$4:$J738)-SUMIF($A$4:$A738,$A738,$K$4:$K738))</f>
        <v/>
      </c>
      <c r="M738" s="26" t="str">
        <f aca="false">IF($H738="","",N($H738))</f>
        <v/>
      </c>
      <c r="N738" s="26"/>
      <c r="O738" s="26"/>
      <c r="P738" s="26" t="str">
        <f aca="false">IF($A738="","",SUMIF($A$4:$A738,$A738,$M$4:$M738)-SUMIF($A$4:$A738,$A738,$N$4:$N738)-SUMIF($A$4:$A738,$A738,$O$4:$O738))</f>
        <v/>
      </c>
      <c r="Q738" s="27"/>
      <c r="R738" s="28"/>
      <c r="S738" s="28"/>
      <c r="T738" s="28" t="str">
        <f aca="false">IF($A738="","",SUMIF($A$4:$A738,$A738,$Q$4:$Q738)-SUMIF($A$4:$A738,$A738,$R$4:$R738)-SUMIF($A$4:$A738,$A738,$S$4:$S738))</f>
        <v/>
      </c>
      <c r="U738" s="28"/>
      <c r="V738" s="29" t="str">
        <f aca="false">IF(AND($C738="",COUNTA($D738:$H738,$K738,$N738:$O738,$Q738:$S738,$U738)=0),"",IF($C738="","⚠ 没填项目名称",IF($A738="⚠目录里没有","⚠ 项目名称在目录里找不到（先加到目录）",IF($A738="","⚠ 目录里这个项目没填简称",IF(ISTEXT($G738)+ISTEXT($H738)+ISTEXT($K738)+ISTEXT($N738)+ISTEXT($O738)+ISTEXT($Q738)+ISTEXT($R738)+ISTEXT($S738)&gt;0,"⚠ 金额列里有文字，算不进合计",IF(N($G738)&gt;=1,"⚠ 管理费点要填百分比，如 10%",IF(AND($D738&lt;&gt;"",$B738=""),"△ 摘要开头没写日期（如 2026.9.21），月份取不到",IF(AND(N($H738)&lt;&gt;0,COUNTIFS($A$4:$A$1003,$A738,$H$4:$H$1003,$H738,$D$4:$D$1003,LEFT($D738,9)&amp;"*")&gt;1),"△ 同一天同项目有一样的销售金额，看看是不是录重了","✓"))))))))</f>
        <v/>
      </c>
      <c r="W738" s="8" t="str">
        <f aca="false">IF($A738="","",$A738&amp;"#"&amp;COUNTIF($A$4:$A738,$A738))</f>
        <v/>
      </c>
    </row>
    <row r="739" customFormat="false" ht="16.5" hidden="false" customHeight="false" outlineLevel="0" collapsed="false">
      <c r="A739" s="44" t="str">
        <f aca="false">IF($C739="","",IFERROR(VLOOKUP($C739,目录!$B:$C,2,0)&amp;"","⚠目录里没有"))</f>
        <v/>
      </c>
      <c r="B739" s="45" t="str">
        <f aca="false">IF($D739="","",IFERROR(MID($D739,FIND(".",$D739)+1,FIND(".",$D739,FIND(".",$D739)+1)-FIND(".",$D739)-1)&amp;"月",""))</f>
        <v/>
      </c>
      <c r="C739" s="46"/>
      <c r="D739" s="47"/>
      <c r="E739" s="47"/>
      <c r="F739" s="49"/>
      <c r="G739" s="50"/>
      <c r="H739" s="24"/>
      <c r="I739" s="24" t="str">
        <f aca="false">IF($H739="","",N($H739)*N($G739))</f>
        <v/>
      </c>
      <c r="J739" s="25" t="str">
        <f aca="false">IF($H739="","",N($H739)-N($I739))</f>
        <v/>
      </c>
      <c r="K739" s="25"/>
      <c r="L739" s="25" t="str">
        <f aca="false">IF($A739="","",SUMIF($A$4:$A739,$A739,$J$4:$J739)-SUMIF($A$4:$A739,$A739,$K$4:$K739))</f>
        <v/>
      </c>
      <c r="M739" s="26" t="str">
        <f aca="false">IF($H739="","",N($H739))</f>
        <v/>
      </c>
      <c r="N739" s="26"/>
      <c r="O739" s="26"/>
      <c r="P739" s="26" t="str">
        <f aca="false">IF($A739="","",SUMIF($A$4:$A739,$A739,$M$4:$M739)-SUMIF($A$4:$A739,$A739,$N$4:$N739)-SUMIF($A$4:$A739,$A739,$O$4:$O739))</f>
        <v/>
      </c>
      <c r="Q739" s="27"/>
      <c r="R739" s="28"/>
      <c r="S739" s="28"/>
      <c r="T739" s="28" t="str">
        <f aca="false">IF($A739="","",SUMIF($A$4:$A739,$A739,$Q$4:$Q739)-SUMIF($A$4:$A739,$A739,$R$4:$R739)-SUMIF($A$4:$A739,$A739,$S$4:$S739))</f>
        <v/>
      </c>
      <c r="U739" s="28"/>
      <c r="V739" s="29" t="str">
        <f aca="false">IF(AND($C739="",COUNTA($D739:$H739,$K739,$N739:$O739,$Q739:$S739,$U739)=0),"",IF($C739="","⚠ 没填项目名称",IF($A739="⚠目录里没有","⚠ 项目名称在目录里找不到（先加到目录）",IF($A739="","⚠ 目录里这个项目没填简称",IF(ISTEXT($G739)+ISTEXT($H739)+ISTEXT($K739)+ISTEXT($N739)+ISTEXT($O739)+ISTEXT($Q739)+ISTEXT($R739)+ISTEXT($S739)&gt;0,"⚠ 金额列里有文字，算不进合计",IF(N($G739)&gt;=1,"⚠ 管理费点要填百分比，如 10%",IF(AND($D739&lt;&gt;"",$B739=""),"△ 摘要开头没写日期（如 2026.9.21），月份取不到",IF(AND(N($H739)&lt;&gt;0,COUNTIFS($A$4:$A$1003,$A739,$H$4:$H$1003,$H739,$D$4:$D$1003,LEFT($D739,9)&amp;"*")&gt;1),"△ 同一天同项目有一样的销售金额，看看是不是录重了","✓"))))))))</f>
        <v/>
      </c>
      <c r="W739" s="8" t="str">
        <f aca="false">IF($A739="","",$A739&amp;"#"&amp;COUNTIF($A$4:$A739,$A739))</f>
        <v/>
      </c>
    </row>
    <row r="740" customFormat="false" ht="16.5" hidden="false" customHeight="false" outlineLevel="0" collapsed="false">
      <c r="A740" s="44" t="str">
        <f aca="false">IF($C740="","",IFERROR(VLOOKUP($C740,目录!$B:$C,2,0)&amp;"","⚠目录里没有"))</f>
        <v/>
      </c>
      <c r="B740" s="45" t="str">
        <f aca="false">IF($D740="","",IFERROR(MID($D740,FIND(".",$D740)+1,FIND(".",$D740,FIND(".",$D740)+1)-FIND(".",$D740)-1)&amp;"月",""))</f>
        <v/>
      </c>
      <c r="C740" s="46"/>
      <c r="D740" s="47"/>
      <c r="E740" s="47"/>
      <c r="F740" s="49"/>
      <c r="G740" s="50"/>
      <c r="H740" s="24"/>
      <c r="I740" s="24" t="str">
        <f aca="false">IF($H740="","",N($H740)*N($G740))</f>
        <v/>
      </c>
      <c r="J740" s="25" t="str">
        <f aca="false">IF($H740="","",N($H740)-N($I740))</f>
        <v/>
      </c>
      <c r="K740" s="25"/>
      <c r="L740" s="25" t="str">
        <f aca="false">IF($A740="","",SUMIF($A$4:$A740,$A740,$J$4:$J740)-SUMIF($A$4:$A740,$A740,$K$4:$K740))</f>
        <v/>
      </c>
      <c r="M740" s="26" t="str">
        <f aca="false">IF($H740="","",N($H740))</f>
        <v/>
      </c>
      <c r="N740" s="26"/>
      <c r="O740" s="26"/>
      <c r="P740" s="26" t="str">
        <f aca="false">IF($A740="","",SUMIF($A$4:$A740,$A740,$M$4:$M740)-SUMIF($A$4:$A740,$A740,$N$4:$N740)-SUMIF($A$4:$A740,$A740,$O$4:$O740))</f>
        <v/>
      </c>
      <c r="Q740" s="27"/>
      <c r="R740" s="28"/>
      <c r="S740" s="28"/>
      <c r="T740" s="28" t="str">
        <f aca="false">IF($A740="","",SUMIF($A$4:$A740,$A740,$Q$4:$Q740)-SUMIF($A$4:$A740,$A740,$R$4:$R740)-SUMIF($A$4:$A740,$A740,$S$4:$S740))</f>
        <v/>
      </c>
      <c r="U740" s="28"/>
      <c r="V740" s="29" t="str">
        <f aca="false">IF(AND($C740="",COUNTA($D740:$H740,$K740,$N740:$O740,$Q740:$S740,$U740)=0),"",IF($C740="","⚠ 没填项目名称",IF($A740="⚠目录里没有","⚠ 项目名称在目录里找不到（先加到目录）",IF($A740="","⚠ 目录里这个项目没填简称",IF(ISTEXT($G740)+ISTEXT($H740)+ISTEXT($K740)+ISTEXT($N740)+ISTEXT($O740)+ISTEXT($Q740)+ISTEXT($R740)+ISTEXT($S740)&gt;0,"⚠ 金额列里有文字，算不进合计",IF(N($G740)&gt;=1,"⚠ 管理费点要填百分比，如 10%",IF(AND($D740&lt;&gt;"",$B740=""),"△ 摘要开头没写日期（如 2026.9.21），月份取不到",IF(AND(N($H740)&lt;&gt;0,COUNTIFS($A$4:$A$1003,$A740,$H$4:$H$1003,$H740,$D$4:$D$1003,LEFT($D740,9)&amp;"*")&gt;1),"△ 同一天同项目有一样的销售金额，看看是不是录重了","✓"))))))))</f>
        <v/>
      </c>
      <c r="W740" s="8" t="str">
        <f aca="false">IF($A740="","",$A740&amp;"#"&amp;COUNTIF($A$4:$A740,$A740))</f>
        <v/>
      </c>
    </row>
    <row r="741" customFormat="false" ht="16.5" hidden="false" customHeight="false" outlineLevel="0" collapsed="false">
      <c r="A741" s="44" t="str">
        <f aca="false">IF($C741="","",IFERROR(VLOOKUP($C741,目录!$B:$C,2,0)&amp;"","⚠目录里没有"))</f>
        <v/>
      </c>
      <c r="B741" s="45" t="str">
        <f aca="false">IF($D741="","",IFERROR(MID($D741,FIND(".",$D741)+1,FIND(".",$D741,FIND(".",$D741)+1)-FIND(".",$D741)-1)&amp;"月",""))</f>
        <v/>
      </c>
      <c r="C741" s="46"/>
      <c r="D741" s="47"/>
      <c r="E741" s="47"/>
      <c r="F741" s="49"/>
      <c r="G741" s="50"/>
      <c r="H741" s="24"/>
      <c r="I741" s="24" t="str">
        <f aca="false">IF($H741="","",N($H741)*N($G741))</f>
        <v/>
      </c>
      <c r="J741" s="25" t="str">
        <f aca="false">IF($H741="","",N($H741)-N($I741))</f>
        <v/>
      </c>
      <c r="K741" s="25"/>
      <c r="L741" s="25" t="str">
        <f aca="false">IF($A741="","",SUMIF($A$4:$A741,$A741,$J$4:$J741)-SUMIF($A$4:$A741,$A741,$K$4:$K741))</f>
        <v/>
      </c>
      <c r="M741" s="26" t="str">
        <f aca="false">IF($H741="","",N($H741))</f>
        <v/>
      </c>
      <c r="N741" s="26"/>
      <c r="O741" s="26"/>
      <c r="P741" s="26" t="str">
        <f aca="false">IF($A741="","",SUMIF($A$4:$A741,$A741,$M$4:$M741)-SUMIF($A$4:$A741,$A741,$N$4:$N741)-SUMIF($A$4:$A741,$A741,$O$4:$O741))</f>
        <v/>
      </c>
      <c r="Q741" s="27"/>
      <c r="R741" s="28"/>
      <c r="S741" s="28"/>
      <c r="T741" s="28" t="str">
        <f aca="false">IF($A741="","",SUMIF($A$4:$A741,$A741,$Q$4:$Q741)-SUMIF($A$4:$A741,$A741,$R$4:$R741)-SUMIF($A$4:$A741,$A741,$S$4:$S741))</f>
        <v/>
      </c>
      <c r="U741" s="28"/>
      <c r="V741" s="29" t="str">
        <f aca="false">IF(AND($C741="",COUNTA($D741:$H741,$K741,$N741:$O741,$Q741:$S741,$U741)=0),"",IF($C741="","⚠ 没填项目名称",IF($A741="⚠目录里没有","⚠ 项目名称在目录里找不到（先加到目录）",IF($A741="","⚠ 目录里这个项目没填简称",IF(ISTEXT($G741)+ISTEXT($H741)+ISTEXT($K741)+ISTEXT($N741)+ISTEXT($O741)+ISTEXT($Q741)+ISTEXT($R741)+ISTEXT($S741)&gt;0,"⚠ 金额列里有文字，算不进合计",IF(N($G741)&gt;=1,"⚠ 管理费点要填百分比，如 10%",IF(AND($D741&lt;&gt;"",$B741=""),"△ 摘要开头没写日期（如 2026.9.21），月份取不到",IF(AND(N($H741)&lt;&gt;0,COUNTIFS($A$4:$A$1003,$A741,$H$4:$H$1003,$H741,$D$4:$D$1003,LEFT($D741,9)&amp;"*")&gt;1),"△ 同一天同项目有一样的销售金额，看看是不是录重了","✓"))))))))</f>
        <v/>
      </c>
      <c r="W741" s="8" t="str">
        <f aca="false">IF($A741="","",$A741&amp;"#"&amp;COUNTIF($A$4:$A741,$A741))</f>
        <v/>
      </c>
    </row>
    <row r="742" customFormat="false" ht="16.5" hidden="false" customHeight="false" outlineLevel="0" collapsed="false">
      <c r="A742" s="44" t="str">
        <f aca="false">IF($C742="","",IFERROR(VLOOKUP($C742,目录!$B:$C,2,0)&amp;"","⚠目录里没有"))</f>
        <v/>
      </c>
      <c r="B742" s="45" t="str">
        <f aca="false">IF($D742="","",IFERROR(MID($D742,FIND(".",$D742)+1,FIND(".",$D742,FIND(".",$D742)+1)-FIND(".",$D742)-1)&amp;"月",""))</f>
        <v/>
      </c>
      <c r="C742" s="46"/>
      <c r="D742" s="47"/>
      <c r="E742" s="47"/>
      <c r="F742" s="49"/>
      <c r="G742" s="50"/>
      <c r="H742" s="24"/>
      <c r="I742" s="24" t="str">
        <f aca="false">IF($H742="","",N($H742)*N($G742))</f>
        <v/>
      </c>
      <c r="J742" s="25" t="str">
        <f aca="false">IF($H742="","",N($H742)-N($I742))</f>
        <v/>
      </c>
      <c r="K742" s="25"/>
      <c r="L742" s="25" t="str">
        <f aca="false">IF($A742="","",SUMIF($A$4:$A742,$A742,$J$4:$J742)-SUMIF($A$4:$A742,$A742,$K$4:$K742))</f>
        <v/>
      </c>
      <c r="M742" s="26" t="str">
        <f aca="false">IF($H742="","",N($H742))</f>
        <v/>
      </c>
      <c r="N742" s="26"/>
      <c r="O742" s="26"/>
      <c r="P742" s="26" t="str">
        <f aca="false">IF($A742="","",SUMIF($A$4:$A742,$A742,$M$4:$M742)-SUMIF($A$4:$A742,$A742,$N$4:$N742)-SUMIF($A$4:$A742,$A742,$O$4:$O742))</f>
        <v/>
      </c>
      <c r="Q742" s="27"/>
      <c r="R742" s="28"/>
      <c r="S742" s="28"/>
      <c r="T742" s="28" t="str">
        <f aca="false">IF($A742="","",SUMIF($A$4:$A742,$A742,$Q$4:$Q742)-SUMIF($A$4:$A742,$A742,$R$4:$R742)-SUMIF($A$4:$A742,$A742,$S$4:$S742))</f>
        <v/>
      </c>
      <c r="U742" s="28"/>
      <c r="V742" s="29" t="str">
        <f aca="false">IF(AND($C742="",COUNTA($D742:$H742,$K742,$N742:$O742,$Q742:$S742,$U742)=0),"",IF($C742="","⚠ 没填项目名称",IF($A742="⚠目录里没有","⚠ 项目名称在目录里找不到（先加到目录）",IF($A742="","⚠ 目录里这个项目没填简称",IF(ISTEXT($G742)+ISTEXT($H742)+ISTEXT($K742)+ISTEXT($N742)+ISTEXT($O742)+ISTEXT($Q742)+ISTEXT($R742)+ISTEXT($S742)&gt;0,"⚠ 金额列里有文字，算不进合计",IF(N($G742)&gt;=1,"⚠ 管理费点要填百分比，如 10%",IF(AND($D742&lt;&gt;"",$B742=""),"△ 摘要开头没写日期（如 2026.9.21），月份取不到",IF(AND(N($H742)&lt;&gt;0,COUNTIFS($A$4:$A$1003,$A742,$H$4:$H$1003,$H742,$D$4:$D$1003,LEFT($D742,9)&amp;"*")&gt;1),"△ 同一天同项目有一样的销售金额，看看是不是录重了","✓"))))))))</f>
        <v/>
      </c>
      <c r="W742" s="8" t="str">
        <f aca="false">IF($A742="","",$A742&amp;"#"&amp;COUNTIF($A$4:$A742,$A742))</f>
        <v/>
      </c>
    </row>
    <row r="743" customFormat="false" ht="16.5" hidden="false" customHeight="false" outlineLevel="0" collapsed="false">
      <c r="A743" s="44" t="str">
        <f aca="false">IF($C743="","",IFERROR(VLOOKUP($C743,目录!$B:$C,2,0)&amp;"","⚠目录里没有"))</f>
        <v/>
      </c>
      <c r="B743" s="45" t="str">
        <f aca="false">IF($D743="","",IFERROR(MID($D743,FIND(".",$D743)+1,FIND(".",$D743,FIND(".",$D743)+1)-FIND(".",$D743)-1)&amp;"月",""))</f>
        <v/>
      </c>
      <c r="C743" s="46"/>
      <c r="D743" s="47"/>
      <c r="E743" s="47"/>
      <c r="F743" s="49"/>
      <c r="G743" s="50"/>
      <c r="H743" s="24"/>
      <c r="I743" s="24" t="str">
        <f aca="false">IF($H743="","",N($H743)*N($G743))</f>
        <v/>
      </c>
      <c r="J743" s="25" t="str">
        <f aca="false">IF($H743="","",N($H743)-N($I743))</f>
        <v/>
      </c>
      <c r="K743" s="25"/>
      <c r="L743" s="25" t="str">
        <f aca="false">IF($A743="","",SUMIF($A$4:$A743,$A743,$J$4:$J743)-SUMIF($A$4:$A743,$A743,$K$4:$K743))</f>
        <v/>
      </c>
      <c r="M743" s="26" t="str">
        <f aca="false">IF($H743="","",N($H743))</f>
        <v/>
      </c>
      <c r="N743" s="26"/>
      <c r="O743" s="26"/>
      <c r="P743" s="26" t="str">
        <f aca="false">IF($A743="","",SUMIF($A$4:$A743,$A743,$M$4:$M743)-SUMIF($A$4:$A743,$A743,$N$4:$N743)-SUMIF($A$4:$A743,$A743,$O$4:$O743))</f>
        <v/>
      </c>
      <c r="Q743" s="27"/>
      <c r="R743" s="28"/>
      <c r="S743" s="28"/>
      <c r="T743" s="28" t="str">
        <f aca="false">IF($A743="","",SUMIF($A$4:$A743,$A743,$Q$4:$Q743)-SUMIF($A$4:$A743,$A743,$R$4:$R743)-SUMIF($A$4:$A743,$A743,$S$4:$S743))</f>
        <v/>
      </c>
      <c r="U743" s="28"/>
      <c r="V743" s="29" t="str">
        <f aca="false">IF(AND($C743="",COUNTA($D743:$H743,$K743,$N743:$O743,$Q743:$S743,$U743)=0),"",IF($C743="","⚠ 没填项目名称",IF($A743="⚠目录里没有","⚠ 项目名称在目录里找不到（先加到目录）",IF($A743="","⚠ 目录里这个项目没填简称",IF(ISTEXT($G743)+ISTEXT($H743)+ISTEXT($K743)+ISTEXT($N743)+ISTEXT($O743)+ISTEXT($Q743)+ISTEXT($R743)+ISTEXT($S743)&gt;0,"⚠ 金额列里有文字，算不进合计",IF(N($G743)&gt;=1,"⚠ 管理费点要填百分比，如 10%",IF(AND($D743&lt;&gt;"",$B743=""),"△ 摘要开头没写日期（如 2026.9.21），月份取不到",IF(AND(N($H743)&lt;&gt;0,COUNTIFS($A$4:$A$1003,$A743,$H$4:$H$1003,$H743,$D$4:$D$1003,LEFT($D743,9)&amp;"*")&gt;1),"△ 同一天同项目有一样的销售金额，看看是不是录重了","✓"))))))))</f>
        <v/>
      </c>
      <c r="W743" s="8" t="str">
        <f aca="false">IF($A743="","",$A743&amp;"#"&amp;COUNTIF($A$4:$A743,$A743))</f>
        <v/>
      </c>
    </row>
    <row r="744" customFormat="false" ht="16.5" hidden="false" customHeight="false" outlineLevel="0" collapsed="false">
      <c r="A744" s="44" t="str">
        <f aca="false">IF($C744="","",IFERROR(VLOOKUP($C744,目录!$B:$C,2,0)&amp;"","⚠目录里没有"))</f>
        <v/>
      </c>
      <c r="B744" s="45" t="str">
        <f aca="false">IF($D744="","",IFERROR(MID($D744,FIND(".",$D744)+1,FIND(".",$D744,FIND(".",$D744)+1)-FIND(".",$D744)-1)&amp;"月",""))</f>
        <v/>
      </c>
      <c r="C744" s="46"/>
      <c r="D744" s="47"/>
      <c r="E744" s="47"/>
      <c r="F744" s="49"/>
      <c r="G744" s="50"/>
      <c r="H744" s="24"/>
      <c r="I744" s="24" t="str">
        <f aca="false">IF($H744="","",N($H744)*N($G744))</f>
        <v/>
      </c>
      <c r="J744" s="25" t="str">
        <f aca="false">IF($H744="","",N($H744)-N($I744))</f>
        <v/>
      </c>
      <c r="K744" s="25"/>
      <c r="L744" s="25" t="str">
        <f aca="false">IF($A744="","",SUMIF($A$4:$A744,$A744,$J$4:$J744)-SUMIF($A$4:$A744,$A744,$K$4:$K744))</f>
        <v/>
      </c>
      <c r="M744" s="26" t="str">
        <f aca="false">IF($H744="","",N($H744))</f>
        <v/>
      </c>
      <c r="N744" s="26"/>
      <c r="O744" s="26"/>
      <c r="P744" s="26" t="str">
        <f aca="false">IF($A744="","",SUMIF($A$4:$A744,$A744,$M$4:$M744)-SUMIF($A$4:$A744,$A744,$N$4:$N744)-SUMIF($A$4:$A744,$A744,$O$4:$O744))</f>
        <v/>
      </c>
      <c r="Q744" s="27"/>
      <c r="R744" s="28"/>
      <c r="S744" s="28"/>
      <c r="T744" s="28" t="str">
        <f aca="false">IF($A744="","",SUMIF($A$4:$A744,$A744,$Q$4:$Q744)-SUMIF($A$4:$A744,$A744,$R$4:$R744)-SUMIF($A$4:$A744,$A744,$S$4:$S744))</f>
        <v/>
      </c>
      <c r="U744" s="28"/>
      <c r="V744" s="29" t="str">
        <f aca="false">IF(AND($C744="",COUNTA($D744:$H744,$K744,$N744:$O744,$Q744:$S744,$U744)=0),"",IF($C744="","⚠ 没填项目名称",IF($A744="⚠目录里没有","⚠ 项目名称在目录里找不到（先加到目录）",IF($A744="","⚠ 目录里这个项目没填简称",IF(ISTEXT($G744)+ISTEXT($H744)+ISTEXT($K744)+ISTEXT($N744)+ISTEXT($O744)+ISTEXT($Q744)+ISTEXT($R744)+ISTEXT($S744)&gt;0,"⚠ 金额列里有文字，算不进合计",IF(N($G744)&gt;=1,"⚠ 管理费点要填百分比，如 10%",IF(AND($D744&lt;&gt;"",$B744=""),"△ 摘要开头没写日期（如 2026.9.21），月份取不到",IF(AND(N($H744)&lt;&gt;0,COUNTIFS($A$4:$A$1003,$A744,$H$4:$H$1003,$H744,$D$4:$D$1003,LEFT($D744,9)&amp;"*")&gt;1),"△ 同一天同项目有一样的销售金额，看看是不是录重了","✓"))))))))</f>
        <v/>
      </c>
      <c r="W744" s="8" t="str">
        <f aca="false">IF($A744="","",$A744&amp;"#"&amp;COUNTIF($A$4:$A744,$A744))</f>
        <v/>
      </c>
    </row>
    <row r="745" customFormat="false" ht="16.5" hidden="false" customHeight="false" outlineLevel="0" collapsed="false">
      <c r="A745" s="44" t="str">
        <f aca="false">IF($C745="","",IFERROR(VLOOKUP($C745,目录!$B:$C,2,0)&amp;"","⚠目录里没有"))</f>
        <v/>
      </c>
      <c r="B745" s="45" t="str">
        <f aca="false">IF($D745="","",IFERROR(MID($D745,FIND(".",$D745)+1,FIND(".",$D745,FIND(".",$D745)+1)-FIND(".",$D745)-1)&amp;"月",""))</f>
        <v/>
      </c>
      <c r="C745" s="46"/>
      <c r="D745" s="47"/>
      <c r="E745" s="47"/>
      <c r="F745" s="49"/>
      <c r="G745" s="50"/>
      <c r="H745" s="24"/>
      <c r="I745" s="24" t="str">
        <f aca="false">IF($H745="","",N($H745)*N($G745))</f>
        <v/>
      </c>
      <c r="J745" s="25" t="str">
        <f aca="false">IF($H745="","",N($H745)-N($I745))</f>
        <v/>
      </c>
      <c r="K745" s="25"/>
      <c r="L745" s="25" t="str">
        <f aca="false">IF($A745="","",SUMIF($A$4:$A745,$A745,$J$4:$J745)-SUMIF($A$4:$A745,$A745,$K$4:$K745))</f>
        <v/>
      </c>
      <c r="M745" s="26" t="str">
        <f aca="false">IF($H745="","",N($H745))</f>
        <v/>
      </c>
      <c r="N745" s="26"/>
      <c r="O745" s="26"/>
      <c r="P745" s="26" t="str">
        <f aca="false">IF($A745="","",SUMIF($A$4:$A745,$A745,$M$4:$M745)-SUMIF($A$4:$A745,$A745,$N$4:$N745)-SUMIF($A$4:$A745,$A745,$O$4:$O745))</f>
        <v/>
      </c>
      <c r="Q745" s="27"/>
      <c r="R745" s="28"/>
      <c r="S745" s="28"/>
      <c r="T745" s="28" t="str">
        <f aca="false">IF($A745="","",SUMIF($A$4:$A745,$A745,$Q$4:$Q745)-SUMIF($A$4:$A745,$A745,$R$4:$R745)-SUMIF($A$4:$A745,$A745,$S$4:$S745))</f>
        <v/>
      </c>
      <c r="U745" s="28"/>
      <c r="V745" s="29" t="str">
        <f aca="false">IF(AND($C745="",COUNTA($D745:$H745,$K745,$N745:$O745,$Q745:$S745,$U745)=0),"",IF($C745="","⚠ 没填项目名称",IF($A745="⚠目录里没有","⚠ 项目名称在目录里找不到（先加到目录）",IF($A745="","⚠ 目录里这个项目没填简称",IF(ISTEXT($G745)+ISTEXT($H745)+ISTEXT($K745)+ISTEXT($N745)+ISTEXT($O745)+ISTEXT($Q745)+ISTEXT($R745)+ISTEXT($S745)&gt;0,"⚠ 金额列里有文字，算不进合计",IF(N($G745)&gt;=1,"⚠ 管理费点要填百分比，如 10%",IF(AND($D745&lt;&gt;"",$B745=""),"△ 摘要开头没写日期（如 2026.9.21），月份取不到",IF(AND(N($H745)&lt;&gt;0,COUNTIFS($A$4:$A$1003,$A745,$H$4:$H$1003,$H745,$D$4:$D$1003,LEFT($D745,9)&amp;"*")&gt;1),"△ 同一天同项目有一样的销售金额，看看是不是录重了","✓"))))))))</f>
        <v/>
      </c>
      <c r="W745" s="8" t="str">
        <f aca="false">IF($A745="","",$A745&amp;"#"&amp;COUNTIF($A$4:$A745,$A745))</f>
        <v/>
      </c>
    </row>
    <row r="746" customFormat="false" ht="16.5" hidden="false" customHeight="false" outlineLevel="0" collapsed="false">
      <c r="A746" s="44" t="str">
        <f aca="false">IF($C746="","",IFERROR(VLOOKUP($C746,目录!$B:$C,2,0)&amp;"","⚠目录里没有"))</f>
        <v/>
      </c>
      <c r="B746" s="45" t="str">
        <f aca="false">IF($D746="","",IFERROR(MID($D746,FIND(".",$D746)+1,FIND(".",$D746,FIND(".",$D746)+1)-FIND(".",$D746)-1)&amp;"月",""))</f>
        <v/>
      </c>
      <c r="C746" s="46"/>
      <c r="D746" s="47"/>
      <c r="E746" s="47"/>
      <c r="F746" s="49"/>
      <c r="G746" s="50"/>
      <c r="H746" s="24"/>
      <c r="I746" s="24" t="str">
        <f aca="false">IF($H746="","",N($H746)*N($G746))</f>
        <v/>
      </c>
      <c r="J746" s="25" t="str">
        <f aca="false">IF($H746="","",N($H746)-N($I746))</f>
        <v/>
      </c>
      <c r="K746" s="25"/>
      <c r="L746" s="25" t="str">
        <f aca="false">IF($A746="","",SUMIF($A$4:$A746,$A746,$J$4:$J746)-SUMIF($A$4:$A746,$A746,$K$4:$K746))</f>
        <v/>
      </c>
      <c r="M746" s="26" t="str">
        <f aca="false">IF($H746="","",N($H746))</f>
        <v/>
      </c>
      <c r="N746" s="26"/>
      <c r="O746" s="26"/>
      <c r="P746" s="26" t="str">
        <f aca="false">IF($A746="","",SUMIF($A$4:$A746,$A746,$M$4:$M746)-SUMIF($A$4:$A746,$A746,$N$4:$N746)-SUMIF($A$4:$A746,$A746,$O$4:$O746))</f>
        <v/>
      </c>
      <c r="Q746" s="27"/>
      <c r="R746" s="28"/>
      <c r="S746" s="28"/>
      <c r="T746" s="28" t="str">
        <f aca="false">IF($A746="","",SUMIF($A$4:$A746,$A746,$Q$4:$Q746)-SUMIF($A$4:$A746,$A746,$R$4:$R746)-SUMIF($A$4:$A746,$A746,$S$4:$S746))</f>
        <v/>
      </c>
      <c r="U746" s="28"/>
      <c r="V746" s="29" t="str">
        <f aca="false">IF(AND($C746="",COUNTA($D746:$H746,$K746,$N746:$O746,$Q746:$S746,$U746)=0),"",IF($C746="","⚠ 没填项目名称",IF($A746="⚠目录里没有","⚠ 项目名称在目录里找不到（先加到目录）",IF($A746="","⚠ 目录里这个项目没填简称",IF(ISTEXT($G746)+ISTEXT($H746)+ISTEXT($K746)+ISTEXT($N746)+ISTEXT($O746)+ISTEXT($Q746)+ISTEXT($R746)+ISTEXT($S746)&gt;0,"⚠ 金额列里有文字，算不进合计",IF(N($G746)&gt;=1,"⚠ 管理费点要填百分比，如 10%",IF(AND($D746&lt;&gt;"",$B746=""),"△ 摘要开头没写日期（如 2026.9.21），月份取不到",IF(AND(N($H746)&lt;&gt;0,COUNTIFS($A$4:$A$1003,$A746,$H$4:$H$1003,$H746,$D$4:$D$1003,LEFT($D746,9)&amp;"*")&gt;1),"△ 同一天同项目有一样的销售金额，看看是不是录重了","✓"))))))))</f>
        <v/>
      </c>
      <c r="W746" s="8" t="str">
        <f aca="false">IF($A746="","",$A746&amp;"#"&amp;COUNTIF($A$4:$A746,$A746))</f>
        <v/>
      </c>
    </row>
    <row r="747" customFormat="false" ht="16.5" hidden="false" customHeight="false" outlineLevel="0" collapsed="false">
      <c r="A747" s="44" t="str">
        <f aca="false">IF($C747="","",IFERROR(VLOOKUP($C747,目录!$B:$C,2,0)&amp;"","⚠目录里没有"))</f>
        <v/>
      </c>
      <c r="B747" s="45" t="str">
        <f aca="false">IF($D747="","",IFERROR(MID($D747,FIND(".",$D747)+1,FIND(".",$D747,FIND(".",$D747)+1)-FIND(".",$D747)-1)&amp;"月",""))</f>
        <v/>
      </c>
      <c r="C747" s="46"/>
      <c r="D747" s="47"/>
      <c r="E747" s="47"/>
      <c r="F747" s="49"/>
      <c r="G747" s="50"/>
      <c r="H747" s="24"/>
      <c r="I747" s="24" t="str">
        <f aca="false">IF($H747="","",N($H747)*N($G747))</f>
        <v/>
      </c>
      <c r="J747" s="25" t="str">
        <f aca="false">IF($H747="","",N($H747)-N($I747))</f>
        <v/>
      </c>
      <c r="K747" s="25"/>
      <c r="L747" s="25" t="str">
        <f aca="false">IF($A747="","",SUMIF($A$4:$A747,$A747,$J$4:$J747)-SUMIF($A$4:$A747,$A747,$K$4:$K747))</f>
        <v/>
      </c>
      <c r="M747" s="26" t="str">
        <f aca="false">IF($H747="","",N($H747))</f>
        <v/>
      </c>
      <c r="N747" s="26"/>
      <c r="O747" s="26"/>
      <c r="P747" s="26" t="str">
        <f aca="false">IF($A747="","",SUMIF($A$4:$A747,$A747,$M$4:$M747)-SUMIF($A$4:$A747,$A747,$N$4:$N747)-SUMIF($A$4:$A747,$A747,$O$4:$O747))</f>
        <v/>
      </c>
      <c r="Q747" s="27"/>
      <c r="R747" s="28"/>
      <c r="S747" s="28"/>
      <c r="T747" s="28" t="str">
        <f aca="false">IF($A747="","",SUMIF($A$4:$A747,$A747,$Q$4:$Q747)-SUMIF($A$4:$A747,$A747,$R$4:$R747)-SUMIF($A$4:$A747,$A747,$S$4:$S747))</f>
        <v/>
      </c>
      <c r="U747" s="28"/>
      <c r="V747" s="29" t="str">
        <f aca="false">IF(AND($C747="",COUNTA($D747:$H747,$K747,$N747:$O747,$Q747:$S747,$U747)=0),"",IF($C747="","⚠ 没填项目名称",IF($A747="⚠目录里没有","⚠ 项目名称在目录里找不到（先加到目录）",IF($A747="","⚠ 目录里这个项目没填简称",IF(ISTEXT($G747)+ISTEXT($H747)+ISTEXT($K747)+ISTEXT($N747)+ISTEXT($O747)+ISTEXT($Q747)+ISTEXT($R747)+ISTEXT($S747)&gt;0,"⚠ 金额列里有文字，算不进合计",IF(N($G747)&gt;=1,"⚠ 管理费点要填百分比，如 10%",IF(AND($D747&lt;&gt;"",$B747=""),"△ 摘要开头没写日期（如 2026.9.21），月份取不到",IF(AND(N($H747)&lt;&gt;0,COUNTIFS($A$4:$A$1003,$A747,$H$4:$H$1003,$H747,$D$4:$D$1003,LEFT($D747,9)&amp;"*")&gt;1),"△ 同一天同项目有一样的销售金额，看看是不是录重了","✓"))))))))</f>
        <v/>
      </c>
      <c r="W747" s="8" t="str">
        <f aca="false">IF($A747="","",$A747&amp;"#"&amp;COUNTIF($A$4:$A747,$A747))</f>
        <v/>
      </c>
    </row>
    <row r="748" customFormat="false" ht="16.5" hidden="false" customHeight="false" outlineLevel="0" collapsed="false">
      <c r="A748" s="44" t="str">
        <f aca="false">IF($C748="","",IFERROR(VLOOKUP($C748,目录!$B:$C,2,0)&amp;"","⚠目录里没有"))</f>
        <v/>
      </c>
      <c r="B748" s="45" t="str">
        <f aca="false">IF($D748="","",IFERROR(MID($D748,FIND(".",$D748)+1,FIND(".",$D748,FIND(".",$D748)+1)-FIND(".",$D748)-1)&amp;"月",""))</f>
        <v/>
      </c>
      <c r="C748" s="46"/>
      <c r="D748" s="47"/>
      <c r="E748" s="47"/>
      <c r="F748" s="49"/>
      <c r="G748" s="50"/>
      <c r="H748" s="24"/>
      <c r="I748" s="24" t="str">
        <f aca="false">IF($H748="","",N($H748)*N($G748))</f>
        <v/>
      </c>
      <c r="J748" s="25" t="str">
        <f aca="false">IF($H748="","",N($H748)-N($I748))</f>
        <v/>
      </c>
      <c r="K748" s="25"/>
      <c r="L748" s="25" t="str">
        <f aca="false">IF($A748="","",SUMIF($A$4:$A748,$A748,$J$4:$J748)-SUMIF($A$4:$A748,$A748,$K$4:$K748))</f>
        <v/>
      </c>
      <c r="M748" s="26" t="str">
        <f aca="false">IF($H748="","",N($H748))</f>
        <v/>
      </c>
      <c r="N748" s="26"/>
      <c r="O748" s="26"/>
      <c r="P748" s="26" t="str">
        <f aca="false">IF($A748="","",SUMIF($A$4:$A748,$A748,$M$4:$M748)-SUMIF($A$4:$A748,$A748,$N$4:$N748)-SUMIF($A$4:$A748,$A748,$O$4:$O748))</f>
        <v/>
      </c>
      <c r="Q748" s="27"/>
      <c r="R748" s="28"/>
      <c r="S748" s="28"/>
      <c r="T748" s="28" t="str">
        <f aca="false">IF($A748="","",SUMIF($A$4:$A748,$A748,$Q$4:$Q748)-SUMIF($A$4:$A748,$A748,$R$4:$R748)-SUMIF($A$4:$A748,$A748,$S$4:$S748))</f>
        <v/>
      </c>
      <c r="U748" s="28"/>
      <c r="V748" s="29" t="str">
        <f aca="false">IF(AND($C748="",COUNTA($D748:$H748,$K748,$N748:$O748,$Q748:$S748,$U748)=0),"",IF($C748="","⚠ 没填项目名称",IF($A748="⚠目录里没有","⚠ 项目名称在目录里找不到（先加到目录）",IF($A748="","⚠ 目录里这个项目没填简称",IF(ISTEXT($G748)+ISTEXT($H748)+ISTEXT($K748)+ISTEXT($N748)+ISTEXT($O748)+ISTEXT($Q748)+ISTEXT($R748)+ISTEXT($S748)&gt;0,"⚠ 金额列里有文字，算不进合计",IF(N($G748)&gt;=1,"⚠ 管理费点要填百分比，如 10%",IF(AND($D748&lt;&gt;"",$B748=""),"△ 摘要开头没写日期（如 2026.9.21），月份取不到",IF(AND(N($H748)&lt;&gt;0,COUNTIFS($A$4:$A$1003,$A748,$H$4:$H$1003,$H748,$D$4:$D$1003,LEFT($D748,9)&amp;"*")&gt;1),"△ 同一天同项目有一样的销售金额，看看是不是录重了","✓"))))))))</f>
        <v/>
      </c>
      <c r="W748" s="8" t="str">
        <f aca="false">IF($A748="","",$A748&amp;"#"&amp;COUNTIF($A$4:$A748,$A748))</f>
        <v/>
      </c>
    </row>
    <row r="749" customFormat="false" ht="16.5" hidden="false" customHeight="false" outlineLevel="0" collapsed="false">
      <c r="A749" s="44" t="str">
        <f aca="false">IF($C749="","",IFERROR(VLOOKUP($C749,目录!$B:$C,2,0)&amp;"","⚠目录里没有"))</f>
        <v/>
      </c>
      <c r="B749" s="45" t="str">
        <f aca="false">IF($D749="","",IFERROR(MID($D749,FIND(".",$D749)+1,FIND(".",$D749,FIND(".",$D749)+1)-FIND(".",$D749)-1)&amp;"月",""))</f>
        <v/>
      </c>
      <c r="C749" s="46"/>
      <c r="D749" s="47"/>
      <c r="E749" s="47"/>
      <c r="F749" s="49"/>
      <c r="G749" s="50"/>
      <c r="H749" s="24"/>
      <c r="I749" s="24" t="str">
        <f aca="false">IF($H749="","",N($H749)*N($G749))</f>
        <v/>
      </c>
      <c r="J749" s="25" t="str">
        <f aca="false">IF($H749="","",N($H749)-N($I749))</f>
        <v/>
      </c>
      <c r="K749" s="25"/>
      <c r="L749" s="25" t="str">
        <f aca="false">IF($A749="","",SUMIF($A$4:$A749,$A749,$J$4:$J749)-SUMIF($A$4:$A749,$A749,$K$4:$K749))</f>
        <v/>
      </c>
      <c r="M749" s="26" t="str">
        <f aca="false">IF($H749="","",N($H749))</f>
        <v/>
      </c>
      <c r="N749" s="26"/>
      <c r="O749" s="26"/>
      <c r="P749" s="26" t="str">
        <f aca="false">IF($A749="","",SUMIF($A$4:$A749,$A749,$M$4:$M749)-SUMIF($A$4:$A749,$A749,$N$4:$N749)-SUMIF($A$4:$A749,$A749,$O$4:$O749))</f>
        <v/>
      </c>
      <c r="Q749" s="27"/>
      <c r="R749" s="28"/>
      <c r="S749" s="28"/>
      <c r="T749" s="28" t="str">
        <f aca="false">IF($A749="","",SUMIF($A$4:$A749,$A749,$Q$4:$Q749)-SUMIF($A$4:$A749,$A749,$R$4:$R749)-SUMIF($A$4:$A749,$A749,$S$4:$S749))</f>
        <v/>
      </c>
      <c r="U749" s="28"/>
      <c r="V749" s="29" t="str">
        <f aca="false">IF(AND($C749="",COUNTA($D749:$H749,$K749,$N749:$O749,$Q749:$S749,$U749)=0),"",IF($C749="","⚠ 没填项目名称",IF($A749="⚠目录里没有","⚠ 项目名称在目录里找不到（先加到目录）",IF($A749="","⚠ 目录里这个项目没填简称",IF(ISTEXT($G749)+ISTEXT($H749)+ISTEXT($K749)+ISTEXT($N749)+ISTEXT($O749)+ISTEXT($Q749)+ISTEXT($R749)+ISTEXT($S749)&gt;0,"⚠ 金额列里有文字，算不进合计",IF(N($G749)&gt;=1,"⚠ 管理费点要填百分比，如 10%",IF(AND($D749&lt;&gt;"",$B749=""),"△ 摘要开头没写日期（如 2026.9.21），月份取不到",IF(AND(N($H749)&lt;&gt;0,COUNTIFS($A$4:$A$1003,$A749,$H$4:$H$1003,$H749,$D$4:$D$1003,LEFT($D749,9)&amp;"*")&gt;1),"△ 同一天同项目有一样的销售金额，看看是不是录重了","✓"))))))))</f>
        <v/>
      </c>
      <c r="W749" s="8" t="str">
        <f aca="false">IF($A749="","",$A749&amp;"#"&amp;COUNTIF($A$4:$A749,$A749))</f>
        <v/>
      </c>
    </row>
    <row r="750" customFormat="false" ht="16.5" hidden="false" customHeight="false" outlineLevel="0" collapsed="false">
      <c r="A750" s="44" t="str">
        <f aca="false">IF($C750="","",IFERROR(VLOOKUP($C750,目录!$B:$C,2,0)&amp;"","⚠目录里没有"))</f>
        <v/>
      </c>
      <c r="B750" s="45" t="str">
        <f aca="false">IF($D750="","",IFERROR(MID($D750,FIND(".",$D750)+1,FIND(".",$D750,FIND(".",$D750)+1)-FIND(".",$D750)-1)&amp;"月",""))</f>
        <v/>
      </c>
      <c r="C750" s="46"/>
      <c r="D750" s="47"/>
      <c r="E750" s="47"/>
      <c r="F750" s="49"/>
      <c r="G750" s="50"/>
      <c r="H750" s="24"/>
      <c r="I750" s="24" t="str">
        <f aca="false">IF($H750="","",N($H750)*N($G750))</f>
        <v/>
      </c>
      <c r="J750" s="25" t="str">
        <f aca="false">IF($H750="","",N($H750)-N($I750))</f>
        <v/>
      </c>
      <c r="K750" s="25"/>
      <c r="L750" s="25" t="str">
        <f aca="false">IF($A750="","",SUMIF($A$4:$A750,$A750,$J$4:$J750)-SUMIF($A$4:$A750,$A750,$K$4:$K750))</f>
        <v/>
      </c>
      <c r="M750" s="26" t="str">
        <f aca="false">IF($H750="","",N($H750))</f>
        <v/>
      </c>
      <c r="N750" s="26"/>
      <c r="O750" s="26"/>
      <c r="P750" s="26" t="str">
        <f aca="false">IF($A750="","",SUMIF($A$4:$A750,$A750,$M$4:$M750)-SUMIF($A$4:$A750,$A750,$N$4:$N750)-SUMIF($A$4:$A750,$A750,$O$4:$O750))</f>
        <v/>
      </c>
      <c r="Q750" s="27"/>
      <c r="R750" s="28"/>
      <c r="S750" s="28"/>
      <c r="T750" s="28" t="str">
        <f aca="false">IF($A750="","",SUMIF($A$4:$A750,$A750,$Q$4:$Q750)-SUMIF($A$4:$A750,$A750,$R$4:$R750)-SUMIF($A$4:$A750,$A750,$S$4:$S750))</f>
        <v/>
      </c>
      <c r="U750" s="28"/>
      <c r="V750" s="29" t="str">
        <f aca="false">IF(AND($C750="",COUNTA($D750:$H750,$K750,$N750:$O750,$Q750:$S750,$U750)=0),"",IF($C750="","⚠ 没填项目名称",IF($A750="⚠目录里没有","⚠ 项目名称在目录里找不到（先加到目录）",IF($A750="","⚠ 目录里这个项目没填简称",IF(ISTEXT($G750)+ISTEXT($H750)+ISTEXT($K750)+ISTEXT($N750)+ISTEXT($O750)+ISTEXT($Q750)+ISTEXT($R750)+ISTEXT($S750)&gt;0,"⚠ 金额列里有文字，算不进合计",IF(N($G750)&gt;=1,"⚠ 管理费点要填百分比，如 10%",IF(AND($D750&lt;&gt;"",$B750=""),"△ 摘要开头没写日期（如 2026.9.21），月份取不到",IF(AND(N($H750)&lt;&gt;0,COUNTIFS($A$4:$A$1003,$A750,$H$4:$H$1003,$H750,$D$4:$D$1003,LEFT($D750,9)&amp;"*")&gt;1),"△ 同一天同项目有一样的销售金额，看看是不是录重了","✓"))))))))</f>
        <v/>
      </c>
      <c r="W750" s="8" t="str">
        <f aca="false">IF($A750="","",$A750&amp;"#"&amp;COUNTIF($A$4:$A750,$A750))</f>
        <v/>
      </c>
    </row>
    <row r="751" customFormat="false" ht="16.5" hidden="false" customHeight="false" outlineLevel="0" collapsed="false">
      <c r="A751" s="44" t="str">
        <f aca="false">IF($C751="","",IFERROR(VLOOKUP($C751,目录!$B:$C,2,0)&amp;"","⚠目录里没有"))</f>
        <v/>
      </c>
      <c r="B751" s="45" t="str">
        <f aca="false">IF($D751="","",IFERROR(MID($D751,FIND(".",$D751)+1,FIND(".",$D751,FIND(".",$D751)+1)-FIND(".",$D751)-1)&amp;"月",""))</f>
        <v/>
      </c>
      <c r="C751" s="46"/>
      <c r="D751" s="47"/>
      <c r="E751" s="47"/>
      <c r="F751" s="49"/>
      <c r="G751" s="50"/>
      <c r="H751" s="24"/>
      <c r="I751" s="24" t="str">
        <f aca="false">IF($H751="","",N($H751)*N($G751))</f>
        <v/>
      </c>
      <c r="J751" s="25" t="str">
        <f aca="false">IF($H751="","",N($H751)-N($I751))</f>
        <v/>
      </c>
      <c r="K751" s="25"/>
      <c r="L751" s="25" t="str">
        <f aca="false">IF($A751="","",SUMIF($A$4:$A751,$A751,$J$4:$J751)-SUMIF($A$4:$A751,$A751,$K$4:$K751))</f>
        <v/>
      </c>
      <c r="M751" s="26" t="str">
        <f aca="false">IF($H751="","",N($H751))</f>
        <v/>
      </c>
      <c r="N751" s="26"/>
      <c r="O751" s="26"/>
      <c r="P751" s="26" t="str">
        <f aca="false">IF($A751="","",SUMIF($A$4:$A751,$A751,$M$4:$M751)-SUMIF($A$4:$A751,$A751,$N$4:$N751)-SUMIF($A$4:$A751,$A751,$O$4:$O751))</f>
        <v/>
      </c>
      <c r="Q751" s="27"/>
      <c r="R751" s="28"/>
      <c r="S751" s="28"/>
      <c r="T751" s="28" t="str">
        <f aca="false">IF($A751="","",SUMIF($A$4:$A751,$A751,$Q$4:$Q751)-SUMIF($A$4:$A751,$A751,$R$4:$R751)-SUMIF($A$4:$A751,$A751,$S$4:$S751))</f>
        <v/>
      </c>
      <c r="U751" s="28"/>
      <c r="V751" s="29" t="str">
        <f aca="false">IF(AND($C751="",COUNTA($D751:$H751,$K751,$N751:$O751,$Q751:$S751,$U751)=0),"",IF($C751="","⚠ 没填项目名称",IF($A751="⚠目录里没有","⚠ 项目名称在目录里找不到（先加到目录）",IF($A751="","⚠ 目录里这个项目没填简称",IF(ISTEXT($G751)+ISTEXT($H751)+ISTEXT($K751)+ISTEXT($N751)+ISTEXT($O751)+ISTEXT($Q751)+ISTEXT($R751)+ISTEXT($S751)&gt;0,"⚠ 金额列里有文字，算不进合计",IF(N($G751)&gt;=1,"⚠ 管理费点要填百分比，如 10%",IF(AND($D751&lt;&gt;"",$B751=""),"△ 摘要开头没写日期（如 2026.9.21），月份取不到",IF(AND(N($H751)&lt;&gt;0,COUNTIFS($A$4:$A$1003,$A751,$H$4:$H$1003,$H751,$D$4:$D$1003,LEFT($D751,9)&amp;"*")&gt;1),"△ 同一天同项目有一样的销售金额，看看是不是录重了","✓"))))))))</f>
        <v/>
      </c>
      <c r="W751" s="8" t="str">
        <f aca="false">IF($A751="","",$A751&amp;"#"&amp;COUNTIF($A$4:$A751,$A751))</f>
        <v/>
      </c>
    </row>
    <row r="752" customFormat="false" ht="16.5" hidden="false" customHeight="false" outlineLevel="0" collapsed="false">
      <c r="A752" s="44" t="str">
        <f aca="false">IF($C752="","",IFERROR(VLOOKUP($C752,目录!$B:$C,2,0)&amp;"","⚠目录里没有"))</f>
        <v/>
      </c>
      <c r="B752" s="45" t="str">
        <f aca="false">IF($D752="","",IFERROR(MID($D752,FIND(".",$D752)+1,FIND(".",$D752,FIND(".",$D752)+1)-FIND(".",$D752)-1)&amp;"月",""))</f>
        <v/>
      </c>
      <c r="C752" s="46"/>
      <c r="D752" s="47"/>
      <c r="E752" s="47"/>
      <c r="F752" s="49"/>
      <c r="G752" s="50"/>
      <c r="H752" s="24"/>
      <c r="I752" s="24" t="str">
        <f aca="false">IF($H752="","",N($H752)*N($G752))</f>
        <v/>
      </c>
      <c r="J752" s="25" t="str">
        <f aca="false">IF($H752="","",N($H752)-N($I752))</f>
        <v/>
      </c>
      <c r="K752" s="25"/>
      <c r="L752" s="25" t="str">
        <f aca="false">IF($A752="","",SUMIF($A$4:$A752,$A752,$J$4:$J752)-SUMIF($A$4:$A752,$A752,$K$4:$K752))</f>
        <v/>
      </c>
      <c r="M752" s="26" t="str">
        <f aca="false">IF($H752="","",N($H752))</f>
        <v/>
      </c>
      <c r="N752" s="26"/>
      <c r="O752" s="26"/>
      <c r="P752" s="26" t="str">
        <f aca="false">IF($A752="","",SUMIF($A$4:$A752,$A752,$M$4:$M752)-SUMIF($A$4:$A752,$A752,$N$4:$N752)-SUMIF($A$4:$A752,$A752,$O$4:$O752))</f>
        <v/>
      </c>
      <c r="Q752" s="27"/>
      <c r="R752" s="28"/>
      <c r="S752" s="28"/>
      <c r="T752" s="28" t="str">
        <f aca="false">IF($A752="","",SUMIF($A$4:$A752,$A752,$Q$4:$Q752)-SUMIF($A$4:$A752,$A752,$R$4:$R752)-SUMIF($A$4:$A752,$A752,$S$4:$S752))</f>
        <v/>
      </c>
      <c r="U752" s="28"/>
      <c r="V752" s="29" t="str">
        <f aca="false">IF(AND($C752="",COUNTA($D752:$H752,$K752,$N752:$O752,$Q752:$S752,$U752)=0),"",IF($C752="","⚠ 没填项目名称",IF($A752="⚠目录里没有","⚠ 项目名称在目录里找不到（先加到目录）",IF($A752="","⚠ 目录里这个项目没填简称",IF(ISTEXT($G752)+ISTEXT($H752)+ISTEXT($K752)+ISTEXT($N752)+ISTEXT($O752)+ISTEXT($Q752)+ISTEXT($R752)+ISTEXT($S752)&gt;0,"⚠ 金额列里有文字，算不进合计",IF(N($G752)&gt;=1,"⚠ 管理费点要填百分比，如 10%",IF(AND($D752&lt;&gt;"",$B752=""),"△ 摘要开头没写日期（如 2026.9.21），月份取不到",IF(AND(N($H752)&lt;&gt;0,COUNTIFS($A$4:$A$1003,$A752,$H$4:$H$1003,$H752,$D$4:$D$1003,LEFT($D752,9)&amp;"*")&gt;1),"△ 同一天同项目有一样的销售金额，看看是不是录重了","✓"))))))))</f>
        <v/>
      </c>
      <c r="W752" s="8" t="str">
        <f aca="false">IF($A752="","",$A752&amp;"#"&amp;COUNTIF($A$4:$A752,$A752))</f>
        <v/>
      </c>
    </row>
    <row r="753" customFormat="false" ht="16.5" hidden="false" customHeight="false" outlineLevel="0" collapsed="false">
      <c r="A753" s="44" t="str">
        <f aca="false">IF($C753="","",IFERROR(VLOOKUP($C753,目录!$B:$C,2,0)&amp;"","⚠目录里没有"))</f>
        <v/>
      </c>
      <c r="B753" s="45" t="str">
        <f aca="false">IF($D753="","",IFERROR(MID($D753,FIND(".",$D753)+1,FIND(".",$D753,FIND(".",$D753)+1)-FIND(".",$D753)-1)&amp;"月",""))</f>
        <v/>
      </c>
      <c r="C753" s="46"/>
      <c r="D753" s="47"/>
      <c r="E753" s="47"/>
      <c r="F753" s="49"/>
      <c r="G753" s="50"/>
      <c r="H753" s="24"/>
      <c r="I753" s="24" t="str">
        <f aca="false">IF($H753="","",N($H753)*N($G753))</f>
        <v/>
      </c>
      <c r="J753" s="25" t="str">
        <f aca="false">IF($H753="","",N($H753)-N($I753))</f>
        <v/>
      </c>
      <c r="K753" s="25"/>
      <c r="L753" s="25" t="str">
        <f aca="false">IF($A753="","",SUMIF($A$4:$A753,$A753,$J$4:$J753)-SUMIF($A$4:$A753,$A753,$K$4:$K753))</f>
        <v/>
      </c>
      <c r="M753" s="26" t="str">
        <f aca="false">IF($H753="","",N($H753))</f>
        <v/>
      </c>
      <c r="N753" s="26"/>
      <c r="O753" s="26"/>
      <c r="P753" s="26" t="str">
        <f aca="false">IF($A753="","",SUMIF($A$4:$A753,$A753,$M$4:$M753)-SUMIF($A$4:$A753,$A753,$N$4:$N753)-SUMIF($A$4:$A753,$A753,$O$4:$O753))</f>
        <v/>
      </c>
      <c r="Q753" s="27"/>
      <c r="R753" s="28"/>
      <c r="S753" s="28"/>
      <c r="T753" s="28" t="str">
        <f aca="false">IF($A753="","",SUMIF($A$4:$A753,$A753,$Q$4:$Q753)-SUMIF($A$4:$A753,$A753,$R$4:$R753)-SUMIF($A$4:$A753,$A753,$S$4:$S753))</f>
        <v/>
      </c>
      <c r="U753" s="28"/>
      <c r="V753" s="29" t="str">
        <f aca="false">IF(AND($C753="",COUNTA($D753:$H753,$K753,$N753:$O753,$Q753:$S753,$U753)=0),"",IF($C753="","⚠ 没填项目名称",IF($A753="⚠目录里没有","⚠ 项目名称在目录里找不到（先加到目录）",IF($A753="","⚠ 目录里这个项目没填简称",IF(ISTEXT($G753)+ISTEXT($H753)+ISTEXT($K753)+ISTEXT($N753)+ISTEXT($O753)+ISTEXT($Q753)+ISTEXT($R753)+ISTEXT($S753)&gt;0,"⚠ 金额列里有文字，算不进合计",IF(N($G753)&gt;=1,"⚠ 管理费点要填百分比，如 10%",IF(AND($D753&lt;&gt;"",$B753=""),"△ 摘要开头没写日期（如 2026.9.21），月份取不到",IF(AND(N($H753)&lt;&gt;0,COUNTIFS($A$4:$A$1003,$A753,$H$4:$H$1003,$H753,$D$4:$D$1003,LEFT($D753,9)&amp;"*")&gt;1),"△ 同一天同项目有一样的销售金额，看看是不是录重了","✓"))))))))</f>
        <v/>
      </c>
      <c r="W753" s="8" t="str">
        <f aca="false">IF($A753="","",$A753&amp;"#"&amp;COUNTIF($A$4:$A753,$A753))</f>
        <v/>
      </c>
    </row>
    <row r="754" customFormat="false" ht="16.5" hidden="false" customHeight="false" outlineLevel="0" collapsed="false">
      <c r="A754" s="44" t="str">
        <f aca="false">IF($C754="","",IFERROR(VLOOKUP($C754,目录!$B:$C,2,0)&amp;"","⚠目录里没有"))</f>
        <v/>
      </c>
      <c r="B754" s="45" t="str">
        <f aca="false">IF($D754="","",IFERROR(MID($D754,FIND(".",$D754)+1,FIND(".",$D754,FIND(".",$D754)+1)-FIND(".",$D754)-1)&amp;"月",""))</f>
        <v/>
      </c>
      <c r="C754" s="46"/>
      <c r="D754" s="47"/>
      <c r="E754" s="47"/>
      <c r="F754" s="49"/>
      <c r="G754" s="50"/>
      <c r="H754" s="24"/>
      <c r="I754" s="24" t="str">
        <f aca="false">IF($H754="","",N($H754)*N($G754))</f>
        <v/>
      </c>
      <c r="J754" s="25" t="str">
        <f aca="false">IF($H754="","",N($H754)-N($I754))</f>
        <v/>
      </c>
      <c r="K754" s="25"/>
      <c r="L754" s="25" t="str">
        <f aca="false">IF($A754="","",SUMIF($A$4:$A754,$A754,$J$4:$J754)-SUMIF($A$4:$A754,$A754,$K$4:$K754))</f>
        <v/>
      </c>
      <c r="M754" s="26" t="str">
        <f aca="false">IF($H754="","",N($H754))</f>
        <v/>
      </c>
      <c r="N754" s="26"/>
      <c r="O754" s="26"/>
      <c r="P754" s="26" t="str">
        <f aca="false">IF($A754="","",SUMIF($A$4:$A754,$A754,$M$4:$M754)-SUMIF($A$4:$A754,$A754,$N$4:$N754)-SUMIF($A$4:$A754,$A754,$O$4:$O754))</f>
        <v/>
      </c>
      <c r="Q754" s="27"/>
      <c r="R754" s="28"/>
      <c r="S754" s="28"/>
      <c r="T754" s="28" t="str">
        <f aca="false">IF($A754="","",SUMIF($A$4:$A754,$A754,$Q$4:$Q754)-SUMIF($A$4:$A754,$A754,$R$4:$R754)-SUMIF($A$4:$A754,$A754,$S$4:$S754))</f>
        <v/>
      </c>
      <c r="U754" s="28"/>
      <c r="V754" s="29" t="str">
        <f aca="false">IF(AND($C754="",COUNTA($D754:$H754,$K754,$N754:$O754,$Q754:$S754,$U754)=0),"",IF($C754="","⚠ 没填项目名称",IF($A754="⚠目录里没有","⚠ 项目名称在目录里找不到（先加到目录）",IF($A754="","⚠ 目录里这个项目没填简称",IF(ISTEXT($G754)+ISTEXT($H754)+ISTEXT($K754)+ISTEXT($N754)+ISTEXT($O754)+ISTEXT($Q754)+ISTEXT($R754)+ISTEXT($S754)&gt;0,"⚠ 金额列里有文字，算不进合计",IF(N($G754)&gt;=1,"⚠ 管理费点要填百分比，如 10%",IF(AND($D754&lt;&gt;"",$B754=""),"△ 摘要开头没写日期（如 2026.9.21），月份取不到",IF(AND(N($H754)&lt;&gt;0,COUNTIFS($A$4:$A$1003,$A754,$H$4:$H$1003,$H754,$D$4:$D$1003,LEFT($D754,9)&amp;"*")&gt;1),"△ 同一天同项目有一样的销售金额，看看是不是录重了","✓"))))))))</f>
        <v/>
      </c>
      <c r="W754" s="8" t="str">
        <f aca="false">IF($A754="","",$A754&amp;"#"&amp;COUNTIF($A$4:$A754,$A754))</f>
        <v/>
      </c>
    </row>
    <row r="755" customFormat="false" ht="16.5" hidden="false" customHeight="false" outlineLevel="0" collapsed="false">
      <c r="A755" s="44" t="str">
        <f aca="false">IF($C755="","",IFERROR(VLOOKUP($C755,目录!$B:$C,2,0)&amp;"","⚠目录里没有"))</f>
        <v/>
      </c>
      <c r="B755" s="45" t="str">
        <f aca="false">IF($D755="","",IFERROR(MID($D755,FIND(".",$D755)+1,FIND(".",$D755,FIND(".",$D755)+1)-FIND(".",$D755)-1)&amp;"月",""))</f>
        <v/>
      </c>
      <c r="C755" s="46"/>
      <c r="D755" s="47"/>
      <c r="E755" s="47"/>
      <c r="F755" s="49"/>
      <c r="G755" s="50"/>
      <c r="H755" s="24"/>
      <c r="I755" s="24" t="str">
        <f aca="false">IF($H755="","",N($H755)*N($G755))</f>
        <v/>
      </c>
      <c r="J755" s="25" t="str">
        <f aca="false">IF($H755="","",N($H755)-N($I755))</f>
        <v/>
      </c>
      <c r="K755" s="25"/>
      <c r="L755" s="25" t="str">
        <f aca="false">IF($A755="","",SUMIF($A$4:$A755,$A755,$J$4:$J755)-SUMIF($A$4:$A755,$A755,$K$4:$K755))</f>
        <v/>
      </c>
      <c r="M755" s="26" t="str">
        <f aca="false">IF($H755="","",N($H755))</f>
        <v/>
      </c>
      <c r="N755" s="26"/>
      <c r="O755" s="26"/>
      <c r="P755" s="26" t="str">
        <f aca="false">IF($A755="","",SUMIF($A$4:$A755,$A755,$M$4:$M755)-SUMIF($A$4:$A755,$A755,$N$4:$N755)-SUMIF($A$4:$A755,$A755,$O$4:$O755))</f>
        <v/>
      </c>
      <c r="Q755" s="27"/>
      <c r="R755" s="28"/>
      <c r="S755" s="28"/>
      <c r="T755" s="28" t="str">
        <f aca="false">IF($A755="","",SUMIF($A$4:$A755,$A755,$Q$4:$Q755)-SUMIF($A$4:$A755,$A755,$R$4:$R755)-SUMIF($A$4:$A755,$A755,$S$4:$S755))</f>
        <v/>
      </c>
      <c r="U755" s="28"/>
      <c r="V755" s="29" t="str">
        <f aca="false">IF(AND($C755="",COUNTA($D755:$H755,$K755,$N755:$O755,$Q755:$S755,$U755)=0),"",IF($C755="","⚠ 没填项目名称",IF($A755="⚠目录里没有","⚠ 项目名称在目录里找不到（先加到目录）",IF($A755="","⚠ 目录里这个项目没填简称",IF(ISTEXT($G755)+ISTEXT($H755)+ISTEXT($K755)+ISTEXT($N755)+ISTEXT($O755)+ISTEXT($Q755)+ISTEXT($R755)+ISTEXT($S755)&gt;0,"⚠ 金额列里有文字，算不进合计",IF(N($G755)&gt;=1,"⚠ 管理费点要填百分比，如 10%",IF(AND($D755&lt;&gt;"",$B755=""),"△ 摘要开头没写日期（如 2026.9.21），月份取不到",IF(AND(N($H755)&lt;&gt;0,COUNTIFS($A$4:$A$1003,$A755,$H$4:$H$1003,$H755,$D$4:$D$1003,LEFT($D755,9)&amp;"*")&gt;1),"△ 同一天同项目有一样的销售金额，看看是不是录重了","✓"))))))))</f>
        <v/>
      </c>
      <c r="W755" s="8" t="str">
        <f aca="false">IF($A755="","",$A755&amp;"#"&amp;COUNTIF($A$4:$A755,$A755))</f>
        <v/>
      </c>
    </row>
    <row r="756" customFormat="false" ht="16.5" hidden="false" customHeight="false" outlineLevel="0" collapsed="false">
      <c r="A756" s="44" t="str">
        <f aca="false">IF($C756="","",IFERROR(VLOOKUP($C756,目录!$B:$C,2,0)&amp;"","⚠目录里没有"))</f>
        <v/>
      </c>
      <c r="B756" s="45" t="str">
        <f aca="false">IF($D756="","",IFERROR(MID($D756,FIND(".",$D756)+1,FIND(".",$D756,FIND(".",$D756)+1)-FIND(".",$D756)-1)&amp;"月",""))</f>
        <v/>
      </c>
      <c r="C756" s="46"/>
      <c r="D756" s="47"/>
      <c r="E756" s="47"/>
      <c r="F756" s="49"/>
      <c r="G756" s="50"/>
      <c r="H756" s="24"/>
      <c r="I756" s="24" t="str">
        <f aca="false">IF($H756="","",N($H756)*N($G756))</f>
        <v/>
      </c>
      <c r="J756" s="25" t="str">
        <f aca="false">IF($H756="","",N($H756)-N($I756))</f>
        <v/>
      </c>
      <c r="K756" s="25"/>
      <c r="L756" s="25" t="str">
        <f aca="false">IF($A756="","",SUMIF($A$4:$A756,$A756,$J$4:$J756)-SUMIF($A$4:$A756,$A756,$K$4:$K756))</f>
        <v/>
      </c>
      <c r="M756" s="26" t="str">
        <f aca="false">IF($H756="","",N($H756))</f>
        <v/>
      </c>
      <c r="N756" s="26"/>
      <c r="O756" s="26"/>
      <c r="P756" s="26" t="str">
        <f aca="false">IF($A756="","",SUMIF($A$4:$A756,$A756,$M$4:$M756)-SUMIF($A$4:$A756,$A756,$N$4:$N756)-SUMIF($A$4:$A756,$A756,$O$4:$O756))</f>
        <v/>
      </c>
      <c r="Q756" s="27"/>
      <c r="R756" s="28"/>
      <c r="S756" s="28"/>
      <c r="T756" s="28" t="str">
        <f aca="false">IF($A756="","",SUMIF($A$4:$A756,$A756,$Q$4:$Q756)-SUMIF($A$4:$A756,$A756,$R$4:$R756)-SUMIF($A$4:$A756,$A756,$S$4:$S756))</f>
        <v/>
      </c>
      <c r="U756" s="28"/>
      <c r="V756" s="29" t="str">
        <f aca="false">IF(AND($C756="",COUNTA($D756:$H756,$K756,$N756:$O756,$Q756:$S756,$U756)=0),"",IF($C756="","⚠ 没填项目名称",IF($A756="⚠目录里没有","⚠ 项目名称在目录里找不到（先加到目录）",IF($A756="","⚠ 目录里这个项目没填简称",IF(ISTEXT($G756)+ISTEXT($H756)+ISTEXT($K756)+ISTEXT($N756)+ISTEXT($O756)+ISTEXT($Q756)+ISTEXT($R756)+ISTEXT($S756)&gt;0,"⚠ 金额列里有文字，算不进合计",IF(N($G756)&gt;=1,"⚠ 管理费点要填百分比，如 10%",IF(AND($D756&lt;&gt;"",$B756=""),"△ 摘要开头没写日期（如 2026.9.21），月份取不到",IF(AND(N($H756)&lt;&gt;0,COUNTIFS($A$4:$A$1003,$A756,$H$4:$H$1003,$H756,$D$4:$D$1003,LEFT($D756,9)&amp;"*")&gt;1),"△ 同一天同项目有一样的销售金额，看看是不是录重了","✓"))))))))</f>
        <v/>
      </c>
      <c r="W756" s="8" t="str">
        <f aca="false">IF($A756="","",$A756&amp;"#"&amp;COUNTIF($A$4:$A756,$A756))</f>
        <v/>
      </c>
    </row>
    <row r="757" customFormat="false" ht="16.5" hidden="false" customHeight="false" outlineLevel="0" collapsed="false">
      <c r="A757" s="44" t="str">
        <f aca="false">IF($C757="","",IFERROR(VLOOKUP($C757,目录!$B:$C,2,0)&amp;"","⚠目录里没有"))</f>
        <v/>
      </c>
      <c r="B757" s="45" t="str">
        <f aca="false">IF($D757="","",IFERROR(MID($D757,FIND(".",$D757)+1,FIND(".",$D757,FIND(".",$D757)+1)-FIND(".",$D757)-1)&amp;"月",""))</f>
        <v/>
      </c>
      <c r="C757" s="46"/>
      <c r="D757" s="47"/>
      <c r="E757" s="47"/>
      <c r="F757" s="49"/>
      <c r="G757" s="50"/>
      <c r="H757" s="24"/>
      <c r="I757" s="24" t="str">
        <f aca="false">IF($H757="","",N($H757)*N($G757))</f>
        <v/>
      </c>
      <c r="J757" s="25" t="str">
        <f aca="false">IF($H757="","",N($H757)-N($I757))</f>
        <v/>
      </c>
      <c r="K757" s="25"/>
      <c r="L757" s="25" t="str">
        <f aca="false">IF($A757="","",SUMIF($A$4:$A757,$A757,$J$4:$J757)-SUMIF($A$4:$A757,$A757,$K$4:$K757))</f>
        <v/>
      </c>
      <c r="M757" s="26" t="str">
        <f aca="false">IF($H757="","",N($H757))</f>
        <v/>
      </c>
      <c r="N757" s="26"/>
      <c r="O757" s="26"/>
      <c r="P757" s="26" t="str">
        <f aca="false">IF($A757="","",SUMIF($A$4:$A757,$A757,$M$4:$M757)-SUMIF($A$4:$A757,$A757,$N$4:$N757)-SUMIF($A$4:$A757,$A757,$O$4:$O757))</f>
        <v/>
      </c>
      <c r="Q757" s="27"/>
      <c r="R757" s="28"/>
      <c r="S757" s="28"/>
      <c r="T757" s="28" t="str">
        <f aca="false">IF($A757="","",SUMIF($A$4:$A757,$A757,$Q$4:$Q757)-SUMIF($A$4:$A757,$A757,$R$4:$R757)-SUMIF($A$4:$A757,$A757,$S$4:$S757))</f>
        <v/>
      </c>
      <c r="U757" s="28"/>
      <c r="V757" s="29" t="str">
        <f aca="false">IF(AND($C757="",COUNTA($D757:$H757,$K757,$N757:$O757,$Q757:$S757,$U757)=0),"",IF($C757="","⚠ 没填项目名称",IF($A757="⚠目录里没有","⚠ 项目名称在目录里找不到（先加到目录）",IF($A757="","⚠ 目录里这个项目没填简称",IF(ISTEXT($G757)+ISTEXT($H757)+ISTEXT($K757)+ISTEXT($N757)+ISTEXT($O757)+ISTEXT($Q757)+ISTEXT($R757)+ISTEXT($S757)&gt;0,"⚠ 金额列里有文字，算不进合计",IF(N($G757)&gt;=1,"⚠ 管理费点要填百分比，如 10%",IF(AND($D757&lt;&gt;"",$B757=""),"△ 摘要开头没写日期（如 2026.9.21），月份取不到",IF(AND(N($H757)&lt;&gt;0,COUNTIFS($A$4:$A$1003,$A757,$H$4:$H$1003,$H757,$D$4:$D$1003,LEFT($D757,9)&amp;"*")&gt;1),"△ 同一天同项目有一样的销售金额，看看是不是录重了","✓"))))))))</f>
        <v/>
      </c>
      <c r="W757" s="8" t="str">
        <f aca="false">IF($A757="","",$A757&amp;"#"&amp;COUNTIF($A$4:$A757,$A757))</f>
        <v/>
      </c>
    </row>
    <row r="758" customFormat="false" ht="16.5" hidden="false" customHeight="false" outlineLevel="0" collapsed="false">
      <c r="A758" s="44" t="str">
        <f aca="false">IF($C758="","",IFERROR(VLOOKUP($C758,目录!$B:$C,2,0)&amp;"","⚠目录里没有"))</f>
        <v/>
      </c>
      <c r="B758" s="45" t="str">
        <f aca="false">IF($D758="","",IFERROR(MID($D758,FIND(".",$D758)+1,FIND(".",$D758,FIND(".",$D758)+1)-FIND(".",$D758)-1)&amp;"月",""))</f>
        <v/>
      </c>
      <c r="C758" s="46"/>
      <c r="D758" s="47"/>
      <c r="E758" s="47"/>
      <c r="F758" s="49"/>
      <c r="G758" s="50"/>
      <c r="H758" s="24"/>
      <c r="I758" s="24" t="str">
        <f aca="false">IF($H758="","",N($H758)*N($G758))</f>
        <v/>
      </c>
      <c r="J758" s="25" t="str">
        <f aca="false">IF($H758="","",N($H758)-N($I758))</f>
        <v/>
      </c>
      <c r="K758" s="25"/>
      <c r="L758" s="25" t="str">
        <f aca="false">IF($A758="","",SUMIF($A$4:$A758,$A758,$J$4:$J758)-SUMIF($A$4:$A758,$A758,$K$4:$K758))</f>
        <v/>
      </c>
      <c r="M758" s="26" t="str">
        <f aca="false">IF($H758="","",N($H758))</f>
        <v/>
      </c>
      <c r="N758" s="26"/>
      <c r="O758" s="26"/>
      <c r="P758" s="26" t="str">
        <f aca="false">IF($A758="","",SUMIF($A$4:$A758,$A758,$M$4:$M758)-SUMIF($A$4:$A758,$A758,$N$4:$N758)-SUMIF($A$4:$A758,$A758,$O$4:$O758))</f>
        <v/>
      </c>
      <c r="Q758" s="27"/>
      <c r="R758" s="28"/>
      <c r="S758" s="28"/>
      <c r="T758" s="28" t="str">
        <f aca="false">IF($A758="","",SUMIF($A$4:$A758,$A758,$Q$4:$Q758)-SUMIF($A$4:$A758,$A758,$R$4:$R758)-SUMIF($A$4:$A758,$A758,$S$4:$S758))</f>
        <v/>
      </c>
      <c r="U758" s="28"/>
      <c r="V758" s="29" t="str">
        <f aca="false">IF(AND($C758="",COUNTA($D758:$H758,$K758,$N758:$O758,$Q758:$S758,$U758)=0),"",IF($C758="","⚠ 没填项目名称",IF($A758="⚠目录里没有","⚠ 项目名称在目录里找不到（先加到目录）",IF($A758="","⚠ 目录里这个项目没填简称",IF(ISTEXT($G758)+ISTEXT($H758)+ISTEXT($K758)+ISTEXT($N758)+ISTEXT($O758)+ISTEXT($Q758)+ISTEXT($R758)+ISTEXT($S758)&gt;0,"⚠ 金额列里有文字，算不进合计",IF(N($G758)&gt;=1,"⚠ 管理费点要填百分比，如 10%",IF(AND($D758&lt;&gt;"",$B758=""),"△ 摘要开头没写日期（如 2026.9.21），月份取不到",IF(AND(N($H758)&lt;&gt;0,COUNTIFS($A$4:$A$1003,$A758,$H$4:$H$1003,$H758,$D$4:$D$1003,LEFT($D758,9)&amp;"*")&gt;1),"△ 同一天同项目有一样的销售金额，看看是不是录重了","✓"))))))))</f>
        <v/>
      </c>
      <c r="W758" s="8" t="str">
        <f aca="false">IF($A758="","",$A758&amp;"#"&amp;COUNTIF($A$4:$A758,$A758))</f>
        <v/>
      </c>
    </row>
    <row r="759" customFormat="false" ht="16.5" hidden="false" customHeight="false" outlineLevel="0" collapsed="false">
      <c r="A759" s="44" t="str">
        <f aca="false">IF($C759="","",IFERROR(VLOOKUP($C759,目录!$B:$C,2,0)&amp;"","⚠目录里没有"))</f>
        <v/>
      </c>
      <c r="B759" s="45" t="str">
        <f aca="false">IF($D759="","",IFERROR(MID($D759,FIND(".",$D759)+1,FIND(".",$D759,FIND(".",$D759)+1)-FIND(".",$D759)-1)&amp;"月",""))</f>
        <v/>
      </c>
      <c r="C759" s="46"/>
      <c r="D759" s="47"/>
      <c r="E759" s="47"/>
      <c r="F759" s="49"/>
      <c r="G759" s="50"/>
      <c r="H759" s="24"/>
      <c r="I759" s="24" t="str">
        <f aca="false">IF($H759="","",N($H759)*N($G759))</f>
        <v/>
      </c>
      <c r="J759" s="25" t="str">
        <f aca="false">IF($H759="","",N($H759)-N($I759))</f>
        <v/>
      </c>
      <c r="K759" s="25"/>
      <c r="L759" s="25" t="str">
        <f aca="false">IF($A759="","",SUMIF($A$4:$A759,$A759,$J$4:$J759)-SUMIF($A$4:$A759,$A759,$K$4:$K759))</f>
        <v/>
      </c>
      <c r="M759" s="26" t="str">
        <f aca="false">IF($H759="","",N($H759))</f>
        <v/>
      </c>
      <c r="N759" s="26"/>
      <c r="O759" s="26"/>
      <c r="P759" s="26" t="str">
        <f aca="false">IF($A759="","",SUMIF($A$4:$A759,$A759,$M$4:$M759)-SUMIF($A$4:$A759,$A759,$N$4:$N759)-SUMIF($A$4:$A759,$A759,$O$4:$O759))</f>
        <v/>
      </c>
      <c r="Q759" s="27"/>
      <c r="R759" s="28"/>
      <c r="S759" s="28"/>
      <c r="T759" s="28" t="str">
        <f aca="false">IF($A759="","",SUMIF($A$4:$A759,$A759,$Q$4:$Q759)-SUMIF($A$4:$A759,$A759,$R$4:$R759)-SUMIF($A$4:$A759,$A759,$S$4:$S759))</f>
        <v/>
      </c>
      <c r="U759" s="28"/>
      <c r="V759" s="29" t="str">
        <f aca="false">IF(AND($C759="",COUNTA($D759:$H759,$K759,$N759:$O759,$Q759:$S759,$U759)=0),"",IF($C759="","⚠ 没填项目名称",IF($A759="⚠目录里没有","⚠ 项目名称在目录里找不到（先加到目录）",IF($A759="","⚠ 目录里这个项目没填简称",IF(ISTEXT($G759)+ISTEXT($H759)+ISTEXT($K759)+ISTEXT($N759)+ISTEXT($O759)+ISTEXT($Q759)+ISTEXT($R759)+ISTEXT($S759)&gt;0,"⚠ 金额列里有文字，算不进合计",IF(N($G759)&gt;=1,"⚠ 管理费点要填百分比，如 10%",IF(AND($D759&lt;&gt;"",$B759=""),"△ 摘要开头没写日期（如 2026.9.21），月份取不到",IF(AND(N($H759)&lt;&gt;0,COUNTIFS($A$4:$A$1003,$A759,$H$4:$H$1003,$H759,$D$4:$D$1003,LEFT($D759,9)&amp;"*")&gt;1),"△ 同一天同项目有一样的销售金额，看看是不是录重了","✓"))))))))</f>
        <v/>
      </c>
      <c r="W759" s="8" t="str">
        <f aca="false">IF($A759="","",$A759&amp;"#"&amp;COUNTIF($A$4:$A759,$A759))</f>
        <v/>
      </c>
    </row>
    <row r="760" customFormat="false" ht="16.5" hidden="false" customHeight="false" outlineLevel="0" collapsed="false">
      <c r="A760" s="44" t="str">
        <f aca="false">IF($C760="","",IFERROR(VLOOKUP($C760,目录!$B:$C,2,0)&amp;"","⚠目录里没有"))</f>
        <v/>
      </c>
      <c r="B760" s="45" t="str">
        <f aca="false">IF($D760="","",IFERROR(MID($D760,FIND(".",$D760)+1,FIND(".",$D760,FIND(".",$D760)+1)-FIND(".",$D760)-1)&amp;"月",""))</f>
        <v/>
      </c>
      <c r="C760" s="46"/>
      <c r="D760" s="47"/>
      <c r="E760" s="47"/>
      <c r="F760" s="49"/>
      <c r="G760" s="50"/>
      <c r="H760" s="24"/>
      <c r="I760" s="24" t="str">
        <f aca="false">IF($H760="","",N($H760)*N($G760))</f>
        <v/>
      </c>
      <c r="J760" s="25" t="str">
        <f aca="false">IF($H760="","",N($H760)-N($I760))</f>
        <v/>
      </c>
      <c r="K760" s="25"/>
      <c r="L760" s="25" t="str">
        <f aca="false">IF($A760="","",SUMIF($A$4:$A760,$A760,$J$4:$J760)-SUMIF($A$4:$A760,$A760,$K$4:$K760))</f>
        <v/>
      </c>
      <c r="M760" s="26" t="str">
        <f aca="false">IF($H760="","",N($H760))</f>
        <v/>
      </c>
      <c r="N760" s="26"/>
      <c r="O760" s="26"/>
      <c r="P760" s="26" t="str">
        <f aca="false">IF($A760="","",SUMIF($A$4:$A760,$A760,$M$4:$M760)-SUMIF($A$4:$A760,$A760,$N$4:$N760)-SUMIF($A$4:$A760,$A760,$O$4:$O760))</f>
        <v/>
      </c>
      <c r="Q760" s="27"/>
      <c r="R760" s="28"/>
      <c r="S760" s="28"/>
      <c r="T760" s="28" t="str">
        <f aca="false">IF($A760="","",SUMIF($A$4:$A760,$A760,$Q$4:$Q760)-SUMIF($A$4:$A760,$A760,$R$4:$R760)-SUMIF($A$4:$A760,$A760,$S$4:$S760))</f>
        <v/>
      </c>
      <c r="U760" s="28"/>
      <c r="V760" s="29" t="str">
        <f aca="false">IF(AND($C760="",COUNTA($D760:$H760,$K760,$N760:$O760,$Q760:$S760,$U760)=0),"",IF($C760="","⚠ 没填项目名称",IF($A760="⚠目录里没有","⚠ 项目名称在目录里找不到（先加到目录）",IF($A760="","⚠ 目录里这个项目没填简称",IF(ISTEXT($G760)+ISTEXT($H760)+ISTEXT($K760)+ISTEXT($N760)+ISTEXT($O760)+ISTEXT($Q760)+ISTEXT($R760)+ISTEXT($S760)&gt;0,"⚠ 金额列里有文字，算不进合计",IF(N($G760)&gt;=1,"⚠ 管理费点要填百分比，如 10%",IF(AND($D760&lt;&gt;"",$B760=""),"△ 摘要开头没写日期（如 2026.9.21），月份取不到",IF(AND(N($H760)&lt;&gt;0,COUNTIFS($A$4:$A$1003,$A760,$H$4:$H$1003,$H760,$D$4:$D$1003,LEFT($D760,9)&amp;"*")&gt;1),"△ 同一天同项目有一样的销售金额，看看是不是录重了","✓"))))))))</f>
        <v/>
      </c>
      <c r="W760" s="8" t="str">
        <f aca="false">IF($A760="","",$A760&amp;"#"&amp;COUNTIF($A$4:$A760,$A760))</f>
        <v/>
      </c>
    </row>
    <row r="761" customFormat="false" ht="16.5" hidden="false" customHeight="false" outlineLevel="0" collapsed="false">
      <c r="A761" s="44" t="str">
        <f aca="false">IF($C761="","",IFERROR(VLOOKUP($C761,目录!$B:$C,2,0)&amp;"","⚠目录里没有"))</f>
        <v/>
      </c>
      <c r="B761" s="45" t="str">
        <f aca="false">IF($D761="","",IFERROR(MID($D761,FIND(".",$D761)+1,FIND(".",$D761,FIND(".",$D761)+1)-FIND(".",$D761)-1)&amp;"月",""))</f>
        <v/>
      </c>
      <c r="C761" s="46"/>
      <c r="D761" s="47"/>
      <c r="E761" s="47"/>
      <c r="F761" s="49"/>
      <c r="G761" s="50"/>
      <c r="H761" s="24"/>
      <c r="I761" s="24" t="str">
        <f aca="false">IF($H761="","",N($H761)*N($G761))</f>
        <v/>
      </c>
      <c r="J761" s="25" t="str">
        <f aca="false">IF($H761="","",N($H761)-N($I761))</f>
        <v/>
      </c>
      <c r="K761" s="25"/>
      <c r="L761" s="25" t="str">
        <f aca="false">IF($A761="","",SUMIF($A$4:$A761,$A761,$J$4:$J761)-SUMIF($A$4:$A761,$A761,$K$4:$K761))</f>
        <v/>
      </c>
      <c r="M761" s="26" t="str">
        <f aca="false">IF($H761="","",N($H761))</f>
        <v/>
      </c>
      <c r="N761" s="26"/>
      <c r="O761" s="26"/>
      <c r="P761" s="26" t="str">
        <f aca="false">IF($A761="","",SUMIF($A$4:$A761,$A761,$M$4:$M761)-SUMIF($A$4:$A761,$A761,$N$4:$N761)-SUMIF($A$4:$A761,$A761,$O$4:$O761))</f>
        <v/>
      </c>
      <c r="Q761" s="27"/>
      <c r="R761" s="28"/>
      <c r="S761" s="28"/>
      <c r="T761" s="28" t="str">
        <f aca="false">IF($A761="","",SUMIF($A$4:$A761,$A761,$Q$4:$Q761)-SUMIF($A$4:$A761,$A761,$R$4:$R761)-SUMIF($A$4:$A761,$A761,$S$4:$S761))</f>
        <v/>
      </c>
      <c r="U761" s="28"/>
      <c r="V761" s="29" t="str">
        <f aca="false">IF(AND($C761="",COUNTA($D761:$H761,$K761,$N761:$O761,$Q761:$S761,$U761)=0),"",IF($C761="","⚠ 没填项目名称",IF($A761="⚠目录里没有","⚠ 项目名称在目录里找不到（先加到目录）",IF($A761="","⚠ 目录里这个项目没填简称",IF(ISTEXT($G761)+ISTEXT($H761)+ISTEXT($K761)+ISTEXT($N761)+ISTEXT($O761)+ISTEXT($Q761)+ISTEXT($R761)+ISTEXT($S761)&gt;0,"⚠ 金额列里有文字，算不进合计",IF(N($G761)&gt;=1,"⚠ 管理费点要填百分比，如 10%",IF(AND($D761&lt;&gt;"",$B761=""),"△ 摘要开头没写日期（如 2026.9.21），月份取不到",IF(AND(N($H761)&lt;&gt;0,COUNTIFS($A$4:$A$1003,$A761,$H$4:$H$1003,$H761,$D$4:$D$1003,LEFT($D761,9)&amp;"*")&gt;1),"△ 同一天同项目有一样的销售金额，看看是不是录重了","✓"))))))))</f>
        <v/>
      </c>
      <c r="W761" s="8" t="str">
        <f aca="false">IF($A761="","",$A761&amp;"#"&amp;COUNTIF($A$4:$A761,$A761))</f>
        <v/>
      </c>
    </row>
    <row r="762" customFormat="false" ht="16.5" hidden="false" customHeight="false" outlineLevel="0" collapsed="false">
      <c r="A762" s="44" t="str">
        <f aca="false">IF($C762="","",IFERROR(VLOOKUP($C762,目录!$B:$C,2,0)&amp;"","⚠目录里没有"))</f>
        <v/>
      </c>
      <c r="B762" s="45" t="str">
        <f aca="false">IF($D762="","",IFERROR(MID($D762,FIND(".",$D762)+1,FIND(".",$D762,FIND(".",$D762)+1)-FIND(".",$D762)-1)&amp;"月",""))</f>
        <v/>
      </c>
      <c r="C762" s="46"/>
      <c r="D762" s="47"/>
      <c r="E762" s="47"/>
      <c r="F762" s="49"/>
      <c r="G762" s="50"/>
      <c r="H762" s="24"/>
      <c r="I762" s="24" t="str">
        <f aca="false">IF($H762="","",N($H762)*N($G762))</f>
        <v/>
      </c>
      <c r="J762" s="25" t="str">
        <f aca="false">IF($H762="","",N($H762)-N($I762))</f>
        <v/>
      </c>
      <c r="K762" s="25"/>
      <c r="L762" s="25" t="str">
        <f aca="false">IF($A762="","",SUMIF($A$4:$A762,$A762,$J$4:$J762)-SUMIF($A$4:$A762,$A762,$K$4:$K762))</f>
        <v/>
      </c>
      <c r="M762" s="26" t="str">
        <f aca="false">IF($H762="","",N($H762))</f>
        <v/>
      </c>
      <c r="N762" s="26"/>
      <c r="O762" s="26"/>
      <c r="P762" s="26" t="str">
        <f aca="false">IF($A762="","",SUMIF($A$4:$A762,$A762,$M$4:$M762)-SUMIF($A$4:$A762,$A762,$N$4:$N762)-SUMIF($A$4:$A762,$A762,$O$4:$O762))</f>
        <v/>
      </c>
      <c r="Q762" s="27"/>
      <c r="R762" s="28"/>
      <c r="S762" s="28"/>
      <c r="T762" s="28" t="str">
        <f aca="false">IF($A762="","",SUMIF($A$4:$A762,$A762,$Q$4:$Q762)-SUMIF($A$4:$A762,$A762,$R$4:$R762)-SUMIF($A$4:$A762,$A762,$S$4:$S762))</f>
        <v/>
      </c>
      <c r="U762" s="28"/>
      <c r="V762" s="29" t="str">
        <f aca="false">IF(AND($C762="",COUNTA($D762:$H762,$K762,$N762:$O762,$Q762:$S762,$U762)=0),"",IF($C762="","⚠ 没填项目名称",IF($A762="⚠目录里没有","⚠ 项目名称在目录里找不到（先加到目录）",IF($A762="","⚠ 目录里这个项目没填简称",IF(ISTEXT($G762)+ISTEXT($H762)+ISTEXT($K762)+ISTEXT($N762)+ISTEXT($O762)+ISTEXT($Q762)+ISTEXT($R762)+ISTEXT($S762)&gt;0,"⚠ 金额列里有文字，算不进合计",IF(N($G762)&gt;=1,"⚠ 管理费点要填百分比，如 10%",IF(AND($D762&lt;&gt;"",$B762=""),"△ 摘要开头没写日期（如 2026.9.21），月份取不到",IF(AND(N($H762)&lt;&gt;0,COUNTIFS($A$4:$A$1003,$A762,$H$4:$H$1003,$H762,$D$4:$D$1003,LEFT($D762,9)&amp;"*")&gt;1),"△ 同一天同项目有一样的销售金额，看看是不是录重了","✓"))))))))</f>
        <v/>
      </c>
      <c r="W762" s="8" t="str">
        <f aca="false">IF($A762="","",$A762&amp;"#"&amp;COUNTIF($A$4:$A762,$A762))</f>
        <v/>
      </c>
    </row>
    <row r="763" customFormat="false" ht="16.5" hidden="false" customHeight="false" outlineLevel="0" collapsed="false">
      <c r="A763" s="44" t="str">
        <f aca="false">IF($C763="","",IFERROR(VLOOKUP($C763,目录!$B:$C,2,0)&amp;"","⚠目录里没有"))</f>
        <v/>
      </c>
      <c r="B763" s="45" t="str">
        <f aca="false">IF($D763="","",IFERROR(MID($D763,FIND(".",$D763)+1,FIND(".",$D763,FIND(".",$D763)+1)-FIND(".",$D763)-1)&amp;"月",""))</f>
        <v/>
      </c>
      <c r="C763" s="46"/>
      <c r="D763" s="47"/>
      <c r="E763" s="47"/>
      <c r="F763" s="49"/>
      <c r="G763" s="50"/>
      <c r="H763" s="24"/>
      <c r="I763" s="24" t="str">
        <f aca="false">IF($H763="","",N($H763)*N($G763))</f>
        <v/>
      </c>
      <c r="J763" s="25" t="str">
        <f aca="false">IF($H763="","",N($H763)-N($I763))</f>
        <v/>
      </c>
      <c r="K763" s="25"/>
      <c r="L763" s="25" t="str">
        <f aca="false">IF($A763="","",SUMIF($A$4:$A763,$A763,$J$4:$J763)-SUMIF($A$4:$A763,$A763,$K$4:$K763))</f>
        <v/>
      </c>
      <c r="M763" s="26" t="str">
        <f aca="false">IF($H763="","",N($H763))</f>
        <v/>
      </c>
      <c r="N763" s="26"/>
      <c r="O763" s="26"/>
      <c r="P763" s="26" t="str">
        <f aca="false">IF($A763="","",SUMIF($A$4:$A763,$A763,$M$4:$M763)-SUMIF($A$4:$A763,$A763,$N$4:$N763)-SUMIF($A$4:$A763,$A763,$O$4:$O763))</f>
        <v/>
      </c>
      <c r="Q763" s="27"/>
      <c r="R763" s="28"/>
      <c r="S763" s="28"/>
      <c r="T763" s="28" t="str">
        <f aca="false">IF($A763="","",SUMIF($A$4:$A763,$A763,$Q$4:$Q763)-SUMIF($A$4:$A763,$A763,$R$4:$R763)-SUMIF($A$4:$A763,$A763,$S$4:$S763))</f>
        <v/>
      </c>
      <c r="U763" s="28"/>
      <c r="V763" s="29" t="str">
        <f aca="false">IF(AND($C763="",COUNTA($D763:$H763,$K763,$N763:$O763,$Q763:$S763,$U763)=0),"",IF($C763="","⚠ 没填项目名称",IF($A763="⚠目录里没有","⚠ 项目名称在目录里找不到（先加到目录）",IF($A763="","⚠ 目录里这个项目没填简称",IF(ISTEXT($G763)+ISTEXT($H763)+ISTEXT($K763)+ISTEXT($N763)+ISTEXT($O763)+ISTEXT($Q763)+ISTEXT($R763)+ISTEXT($S763)&gt;0,"⚠ 金额列里有文字，算不进合计",IF(N($G763)&gt;=1,"⚠ 管理费点要填百分比，如 10%",IF(AND($D763&lt;&gt;"",$B763=""),"△ 摘要开头没写日期（如 2026.9.21），月份取不到",IF(AND(N($H763)&lt;&gt;0,COUNTIFS($A$4:$A$1003,$A763,$H$4:$H$1003,$H763,$D$4:$D$1003,LEFT($D763,9)&amp;"*")&gt;1),"△ 同一天同项目有一样的销售金额，看看是不是录重了","✓"))))))))</f>
        <v/>
      </c>
      <c r="W763" s="8" t="str">
        <f aca="false">IF($A763="","",$A763&amp;"#"&amp;COUNTIF($A$4:$A763,$A763))</f>
        <v/>
      </c>
    </row>
    <row r="764" customFormat="false" ht="16.5" hidden="false" customHeight="false" outlineLevel="0" collapsed="false">
      <c r="A764" s="44" t="str">
        <f aca="false">IF($C764="","",IFERROR(VLOOKUP($C764,目录!$B:$C,2,0)&amp;"","⚠目录里没有"))</f>
        <v/>
      </c>
      <c r="B764" s="45" t="str">
        <f aca="false">IF($D764="","",IFERROR(MID($D764,FIND(".",$D764)+1,FIND(".",$D764,FIND(".",$D764)+1)-FIND(".",$D764)-1)&amp;"月",""))</f>
        <v/>
      </c>
      <c r="C764" s="46"/>
      <c r="D764" s="47"/>
      <c r="E764" s="47"/>
      <c r="F764" s="49"/>
      <c r="G764" s="50"/>
      <c r="H764" s="24"/>
      <c r="I764" s="24" t="str">
        <f aca="false">IF($H764="","",N($H764)*N($G764))</f>
        <v/>
      </c>
      <c r="J764" s="25" t="str">
        <f aca="false">IF($H764="","",N($H764)-N($I764))</f>
        <v/>
      </c>
      <c r="K764" s="25"/>
      <c r="L764" s="25" t="str">
        <f aca="false">IF($A764="","",SUMIF($A$4:$A764,$A764,$J$4:$J764)-SUMIF($A$4:$A764,$A764,$K$4:$K764))</f>
        <v/>
      </c>
      <c r="M764" s="26" t="str">
        <f aca="false">IF($H764="","",N($H764))</f>
        <v/>
      </c>
      <c r="N764" s="26"/>
      <c r="O764" s="26"/>
      <c r="P764" s="26" t="str">
        <f aca="false">IF($A764="","",SUMIF($A$4:$A764,$A764,$M$4:$M764)-SUMIF($A$4:$A764,$A764,$N$4:$N764)-SUMIF($A$4:$A764,$A764,$O$4:$O764))</f>
        <v/>
      </c>
      <c r="Q764" s="27"/>
      <c r="R764" s="28"/>
      <c r="S764" s="28"/>
      <c r="T764" s="28" t="str">
        <f aca="false">IF($A764="","",SUMIF($A$4:$A764,$A764,$Q$4:$Q764)-SUMIF($A$4:$A764,$A764,$R$4:$R764)-SUMIF($A$4:$A764,$A764,$S$4:$S764))</f>
        <v/>
      </c>
      <c r="U764" s="28"/>
      <c r="V764" s="29" t="str">
        <f aca="false">IF(AND($C764="",COUNTA($D764:$H764,$K764,$N764:$O764,$Q764:$S764,$U764)=0),"",IF($C764="","⚠ 没填项目名称",IF($A764="⚠目录里没有","⚠ 项目名称在目录里找不到（先加到目录）",IF($A764="","⚠ 目录里这个项目没填简称",IF(ISTEXT($G764)+ISTEXT($H764)+ISTEXT($K764)+ISTEXT($N764)+ISTEXT($O764)+ISTEXT($Q764)+ISTEXT($R764)+ISTEXT($S764)&gt;0,"⚠ 金额列里有文字，算不进合计",IF(N($G764)&gt;=1,"⚠ 管理费点要填百分比，如 10%",IF(AND($D764&lt;&gt;"",$B764=""),"△ 摘要开头没写日期（如 2026.9.21），月份取不到",IF(AND(N($H764)&lt;&gt;0,COUNTIFS($A$4:$A$1003,$A764,$H$4:$H$1003,$H764,$D$4:$D$1003,LEFT($D764,9)&amp;"*")&gt;1),"△ 同一天同项目有一样的销售金额，看看是不是录重了","✓"))))))))</f>
        <v/>
      </c>
      <c r="W764" s="8" t="str">
        <f aca="false">IF($A764="","",$A764&amp;"#"&amp;COUNTIF($A$4:$A764,$A764))</f>
        <v/>
      </c>
    </row>
    <row r="765" customFormat="false" ht="16.5" hidden="false" customHeight="false" outlineLevel="0" collapsed="false">
      <c r="A765" s="44" t="str">
        <f aca="false">IF($C765="","",IFERROR(VLOOKUP($C765,目录!$B:$C,2,0)&amp;"","⚠目录里没有"))</f>
        <v/>
      </c>
      <c r="B765" s="45" t="str">
        <f aca="false">IF($D765="","",IFERROR(MID($D765,FIND(".",$D765)+1,FIND(".",$D765,FIND(".",$D765)+1)-FIND(".",$D765)-1)&amp;"月",""))</f>
        <v/>
      </c>
      <c r="C765" s="46"/>
      <c r="D765" s="47"/>
      <c r="E765" s="47"/>
      <c r="F765" s="49"/>
      <c r="G765" s="50"/>
      <c r="H765" s="24"/>
      <c r="I765" s="24" t="str">
        <f aca="false">IF($H765="","",N($H765)*N($G765))</f>
        <v/>
      </c>
      <c r="J765" s="25" t="str">
        <f aca="false">IF($H765="","",N($H765)-N($I765))</f>
        <v/>
      </c>
      <c r="K765" s="25"/>
      <c r="L765" s="25" t="str">
        <f aca="false">IF($A765="","",SUMIF($A$4:$A765,$A765,$J$4:$J765)-SUMIF($A$4:$A765,$A765,$K$4:$K765))</f>
        <v/>
      </c>
      <c r="M765" s="26" t="str">
        <f aca="false">IF($H765="","",N($H765))</f>
        <v/>
      </c>
      <c r="N765" s="26"/>
      <c r="O765" s="26"/>
      <c r="P765" s="26" t="str">
        <f aca="false">IF($A765="","",SUMIF($A$4:$A765,$A765,$M$4:$M765)-SUMIF($A$4:$A765,$A765,$N$4:$N765)-SUMIF($A$4:$A765,$A765,$O$4:$O765))</f>
        <v/>
      </c>
      <c r="Q765" s="27"/>
      <c r="R765" s="28"/>
      <c r="S765" s="28"/>
      <c r="T765" s="28" t="str">
        <f aca="false">IF($A765="","",SUMIF($A$4:$A765,$A765,$Q$4:$Q765)-SUMIF($A$4:$A765,$A765,$R$4:$R765)-SUMIF($A$4:$A765,$A765,$S$4:$S765))</f>
        <v/>
      </c>
      <c r="U765" s="28"/>
      <c r="V765" s="29" t="str">
        <f aca="false">IF(AND($C765="",COUNTA($D765:$H765,$K765,$N765:$O765,$Q765:$S765,$U765)=0),"",IF($C765="","⚠ 没填项目名称",IF($A765="⚠目录里没有","⚠ 项目名称在目录里找不到（先加到目录）",IF($A765="","⚠ 目录里这个项目没填简称",IF(ISTEXT($G765)+ISTEXT($H765)+ISTEXT($K765)+ISTEXT($N765)+ISTEXT($O765)+ISTEXT($Q765)+ISTEXT($R765)+ISTEXT($S765)&gt;0,"⚠ 金额列里有文字，算不进合计",IF(N($G765)&gt;=1,"⚠ 管理费点要填百分比，如 10%",IF(AND($D765&lt;&gt;"",$B765=""),"△ 摘要开头没写日期（如 2026.9.21），月份取不到",IF(AND(N($H765)&lt;&gt;0,COUNTIFS($A$4:$A$1003,$A765,$H$4:$H$1003,$H765,$D$4:$D$1003,LEFT($D765,9)&amp;"*")&gt;1),"△ 同一天同项目有一样的销售金额，看看是不是录重了","✓"))))))))</f>
        <v/>
      </c>
      <c r="W765" s="8" t="str">
        <f aca="false">IF($A765="","",$A765&amp;"#"&amp;COUNTIF($A$4:$A765,$A765))</f>
        <v/>
      </c>
    </row>
    <row r="766" customFormat="false" ht="16.5" hidden="false" customHeight="false" outlineLevel="0" collapsed="false">
      <c r="A766" s="44" t="str">
        <f aca="false">IF($C766="","",IFERROR(VLOOKUP($C766,目录!$B:$C,2,0)&amp;"","⚠目录里没有"))</f>
        <v/>
      </c>
      <c r="B766" s="45" t="str">
        <f aca="false">IF($D766="","",IFERROR(MID($D766,FIND(".",$D766)+1,FIND(".",$D766,FIND(".",$D766)+1)-FIND(".",$D766)-1)&amp;"月",""))</f>
        <v/>
      </c>
      <c r="C766" s="46"/>
      <c r="D766" s="47"/>
      <c r="E766" s="47"/>
      <c r="F766" s="49"/>
      <c r="G766" s="50"/>
      <c r="H766" s="24"/>
      <c r="I766" s="24" t="str">
        <f aca="false">IF($H766="","",N($H766)*N($G766))</f>
        <v/>
      </c>
      <c r="J766" s="25" t="str">
        <f aca="false">IF($H766="","",N($H766)-N($I766))</f>
        <v/>
      </c>
      <c r="K766" s="25"/>
      <c r="L766" s="25" t="str">
        <f aca="false">IF($A766="","",SUMIF($A$4:$A766,$A766,$J$4:$J766)-SUMIF($A$4:$A766,$A766,$K$4:$K766))</f>
        <v/>
      </c>
      <c r="M766" s="26" t="str">
        <f aca="false">IF($H766="","",N($H766))</f>
        <v/>
      </c>
      <c r="N766" s="26"/>
      <c r="O766" s="26"/>
      <c r="P766" s="26" t="str">
        <f aca="false">IF($A766="","",SUMIF($A$4:$A766,$A766,$M$4:$M766)-SUMIF($A$4:$A766,$A766,$N$4:$N766)-SUMIF($A$4:$A766,$A766,$O$4:$O766))</f>
        <v/>
      </c>
      <c r="Q766" s="27"/>
      <c r="R766" s="28"/>
      <c r="S766" s="28"/>
      <c r="T766" s="28" t="str">
        <f aca="false">IF($A766="","",SUMIF($A$4:$A766,$A766,$Q$4:$Q766)-SUMIF($A$4:$A766,$A766,$R$4:$R766)-SUMIF($A$4:$A766,$A766,$S$4:$S766))</f>
        <v/>
      </c>
      <c r="U766" s="28"/>
      <c r="V766" s="29" t="str">
        <f aca="false">IF(AND($C766="",COUNTA($D766:$H766,$K766,$N766:$O766,$Q766:$S766,$U766)=0),"",IF($C766="","⚠ 没填项目名称",IF($A766="⚠目录里没有","⚠ 项目名称在目录里找不到（先加到目录）",IF($A766="","⚠ 目录里这个项目没填简称",IF(ISTEXT($G766)+ISTEXT($H766)+ISTEXT($K766)+ISTEXT($N766)+ISTEXT($O766)+ISTEXT($Q766)+ISTEXT($R766)+ISTEXT($S766)&gt;0,"⚠ 金额列里有文字，算不进合计",IF(N($G766)&gt;=1,"⚠ 管理费点要填百分比，如 10%",IF(AND($D766&lt;&gt;"",$B766=""),"△ 摘要开头没写日期（如 2026.9.21），月份取不到",IF(AND(N($H766)&lt;&gt;0,COUNTIFS($A$4:$A$1003,$A766,$H$4:$H$1003,$H766,$D$4:$D$1003,LEFT($D766,9)&amp;"*")&gt;1),"△ 同一天同项目有一样的销售金额，看看是不是录重了","✓"))))))))</f>
        <v/>
      </c>
      <c r="W766" s="8" t="str">
        <f aca="false">IF($A766="","",$A766&amp;"#"&amp;COUNTIF($A$4:$A766,$A766))</f>
        <v/>
      </c>
    </row>
    <row r="767" customFormat="false" ht="16.5" hidden="false" customHeight="false" outlineLevel="0" collapsed="false">
      <c r="A767" s="44" t="str">
        <f aca="false">IF($C767="","",IFERROR(VLOOKUP($C767,目录!$B:$C,2,0)&amp;"","⚠目录里没有"))</f>
        <v/>
      </c>
      <c r="B767" s="45" t="str">
        <f aca="false">IF($D767="","",IFERROR(MID($D767,FIND(".",$D767)+1,FIND(".",$D767,FIND(".",$D767)+1)-FIND(".",$D767)-1)&amp;"月",""))</f>
        <v/>
      </c>
      <c r="C767" s="46"/>
      <c r="D767" s="47"/>
      <c r="E767" s="47"/>
      <c r="F767" s="49"/>
      <c r="G767" s="50"/>
      <c r="H767" s="24"/>
      <c r="I767" s="24" t="str">
        <f aca="false">IF($H767="","",N($H767)*N($G767))</f>
        <v/>
      </c>
      <c r="J767" s="25" t="str">
        <f aca="false">IF($H767="","",N($H767)-N($I767))</f>
        <v/>
      </c>
      <c r="K767" s="25"/>
      <c r="L767" s="25" t="str">
        <f aca="false">IF($A767="","",SUMIF($A$4:$A767,$A767,$J$4:$J767)-SUMIF($A$4:$A767,$A767,$K$4:$K767))</f>
        <v/>
      </c>
      <c r="M767" s="26" t="str">
        <f aca="false">IF($H767="","",N($H767))</f>
        <v/>
      </c>
      <c r="N767" s="26"/>
      <c r="O767" s="26"/>
      <c r="P767" s="26" t="str">
        <f aca="false">IF($A767="","",SUMIF($A$4:$A767,$A767,$M$4:$M767)-SUMIF($A$4:$A767,$A767,$N$4:$N767)-SUMIF($A$4:$A767,$A767,$O$4:$O767))</f>
        <v/>
      </c>
      <c r="Q767" s="27"/>
      <c r="R767" s="28"/>
      <c r="S767" s="28"/>
      <c r="T767" s="28" t="str">
        <f aca="false">IF($A767="","",SUMIF($A$4:$A767,$A767,$Q$4:$Q767)-SUMIF($A$4:$A767,$A767,$R$4:$R767)-SUMIF($A$4:$A767,$A767,$S$4:$S767))</f>
        <v/>
      </c>
      <c r="U767" s="28"/>
      <c r="V767" s="29" t="str">
        <f aca="false">IF(AND($C767="",COUNTA($D767:$H767,$K767,$N767:$O767,$Q767:$S767,$U767)=0),"",IF($C767="","⚠ 没填项目名称",IF($A767="⚠目录里没有","⚠ 项目名称在目录里找不到（先加到目录）",IF($A767="","⚠ 目录里这个项目没填简称",IF(ISTEXT($G767)+ISTEXT($H767)+ISTEXT($K767)+ISTEXT($N767)+ISTEXT($O767)+ISTEXT($Q767)+ISTEXT($R767)+ISTEXT($S767)&gt;0,"⚠ 金额列里有文字，算不进合计",IF(N($G767)&gt;=1,"⚠ 管理费点要填百分比，如 10%",IF(AND($D767&lt;&gt;"",$B767=""),"△ 摘要开头没写日期（如 2026.9.21），月份取不到",IF(AND(N($H767)&lt;&gt;0,COUNTIFS($A$4:$A$1003,$A767,$H$4:$H$1003,$H767,$D$4:$D$1003,LEFT($D767,9)&amp;"*")&gt;1),"△ 同一天同项目有一样的销售金额，看看是不是录重了","✓"))))))))</f>
        <v/>
      </c>
      <c r="W767" s="8" t="str">
        <f aca="false">IF($A767="","",$A767&amp;"#"&amp;COUNTIF($A$4:$A767,$A767))</f>
        <v/>
      </c>
    </row>
    <row r="768" customFormat="false" ht="16.5" hidden="false" customHeight="false" outlineLevel="0" collapsed="false">
      <c r="A768" s="44" t="str">
        <f aca="false">IF($C768="","",IFERROR(VLOOKUP($C768,目录!$B:$C,2,0)&amp;"","⚠目录里没有"))</f>
        <v/>
      </c>
      <c r="B768" s="45" t="str">
        <f aca="false">IF($D768="","",IFERROR(MID($D768,FIND(".",$D768)+1,FIND(".",$D768,FIND(".",$D768)+1)-FIND(".",$D768)-1)&amp;"月",""))</f>
        <v/>
      </c>
      <c r="C768" s="46"/>
      <c r="D768" s="47"/>
      <c r="E768" s="47"/>
      <c r="F768" s="49"/>
      <c r="G768" s="50"/>
      <c r="H768" s="24"/>
      <c r="I768" s="24" t="str">
        <f aca="false">IF($H768="","",N($H768)*N($G768))</f>
        <v/>
      </c>
      <c r="J768" s="25" t="str">
        <f aca="false">IF($H768="","",N($H768)-N($I768))</f>
        <v/>
      </c>
      <c r="K768" s="25"/>
      <c r="L768" s="25" t="str">
        <f aca="false">IF($A768="","",SUMIF($A$4:$A768,$A768,$J$4:$J768)-SUMIF($A$4:$A768,$A768,$K$4:$K768))</f>
        <v/>
      </c>
      <c r="M768" s="26" t="str">
        <f aca="false">IF($H768="","",N($H768))</f>
        <v/>
      </c>
      <c r="N768" s="26"/>
      <c r="O768" s="26"/>
      <c r="P768" s="26" t="str">
        <f aca="false">IF($A768="","",SUMIF($A$4:$A768,$A768,$M$4:$M768)-SUMIF($A$4:$A768,$A768,$N$4:$N768)-SUMIF($A$4:$A768,$A768,$O$4:$O768))</f>
        <v/>
      </c>
      <c r="Q768" s="27"/>
      <c r="R768" s="28"/>
      <c r="S768" s="28"/>
      <c r="T768" s="28" t="str">
        <f aca="false">IF($A768="","",SUMIF($A$4:$A768,$A768,$Q$4:$Q768)-SUMIF($A$4:$A768,$A768,$R$4:$R768)-SUMIF($A$4:$A768,$A768,$S$4:$S768))</f>
        <v/>
      </c>
      <c r="U768" s="28"/>
      <c r="V768" s="29" t="str">
        <f aca="false">IF(AND($C768="",COUNTA($D768:$H768,$K768,$N768:$O768,$Q768:$S768,$U768)=0),"",IF($C768="","⚠ 没填项目名称",IF($A768="⚠目录里没有","⚠ 项目名称在目录里找不到（先加到目录）",IF($A768="","⚠ 目录里这个项目没填简称",IF(ISTEXT($G768)+ISTEXT($H768)+ISTEXT($K768)+ISTEXT($N768)+ISTEXT($O768)+ISTEXT($Q768)+ISTEXT($R768)+ISTEXT($S768)&gt;0,"⚠ 金额列里有文字，算不进合计",IF(N($G768)&gt;=1,"⚠ 管理费点要填百分比，如 10%",IF(AND($D768&lt;&gt;"",$B768=""),"△ 摘要开头没写日期（如 2026.9.21），月份取不到",IF(AND(N($H768)&lt;&gt;0,COUNTIFS($A$4:$A$1003,$A768,$H$4:$H$1003,$H768,$D$4:$D$1003,LEFT($D768,9)&amp;"*")&gt;1),"△ 同一天同项目有一样的销售金额，看看是不是录重了","✓"))))))))</f>
        <v/>
      </c>
      <c r="W768" s="8" t="str">
        <f aca="false">IF($A768="","",$A768&amp;"#"&amp;COUNTIF($A$4:$A768,$A768))</f>
        <v/>
      </c>
    </row>
    <row r="769" customFormat="false" ht="16.5" hidden="false" customHeight="false" outlineLevel="0" collapsed="false">
      <c r="A769" s="44" t="str">
        <f aca="false">IF($C769="","",IFERROR(VLOOKUP($C769,目录!$B:$C,2,0)&amp;"","⚠目录里没有"))</f>
        <v/>
      </c>
      <c r="B769" s="45" t="str">
        <f aca="false">IF($D769="","",IFERROR(MID($D769,FIND(".",$D769)+1,FIND(".",$D769,FIND(".",$D769)+1)-FIND(".",$D769)-1)&amp;"月",""))</f>
        <v/>
      </c>
      <c r="C769" s="46"/>
      <c r="D769" s="47"/>
      <c r="E769" s="47"/>
      <c r="F769" s="49"/>
      <c r="G769" s="50"/>
      <c r="H769" s="24"/>
      <c r="I769" s="24" t="str">
        <f aca="false">IF($H769="","",N($H769)*N($G769))</f>
        <v/>
      </c>
      <c r="J769" s="25" t="str">
        <f aca="false">IF($H769="","",N($H769)-N($I769))</f>
        <v/>
      </c>
      <c r="K769" s="25"/>
      <c r="L769" s="25" t="str">
        <f aca="false">IF($A769="","",SUMIF($A$4:$A769,$A769,$J$4:$J769)-SUMIF($A$4:$A769,$A769,$K$4:$K769))</f>
        <v/>
      </c>
      <c r="M769" s="26" t="str">
        <f aca="false">IF($H769="","",N($H769))</f>
        <v/>
      </c>
      <c r="N769" s="26"/>
      <c r="O769" s="26"/>
      <c r="P769" s="26" t="str">
        <f aca="false">IF($A769="","",SUMIF($A$4:$A769,$A769,$M$4:$M769)-SUMIF($A$4:$A769,$A769,$N$4:$N769)-SUMIF($A$4:$A769,$A769,$O$4:$O769))</f>
        <v/>
      </c>
      <c r="Q769" s="27"/>
      <c r="R769" s="28"/>
      <c r="S769" s="28"/>
      <c r="T769" s="28" t="str">
        <f aca="false">IF($A769="","",SUMIF($A$4:$A769,$A769,$Q$4:$Q769)-SUMIF($A$4:$A769,$A769,$R$4:$R769)-SUMIF($A$4:$A769,$A769,$S$4:$S769))</f>
        <v/>
      </c>
      <c r="U769" s="28"/>
      <c r="V769" s="29" t="str">
        <f aca="false">IF(AND($C769="",COUNTA($D769:$H769,$K769,$N769:$O769,$Q769:$S769,$U769)=0),"",IF($C769="","⚠ 没填项目名称",IF($A769="⚠目录里没有","⚠ 项目名称在目录里找不到（先加到目录）",IF($A769="","⚠ 目录里这个项目没填简称",IF(ISTEXT($G769)+ISTEXT($H769)+ISTEXT($K769)+ISTEXT($N769)+ISTEXT($O769)+ISTEXT($Q769)+ISTEXT($R769)+ISTEXT($S769)&gt;0,"⚠ 金额列里有文字，算不进合计",IF(N($G769)&gt;=1,"⚠ 管理费点要填百分比，如 10%",IF(AND($D769&lt;&gt;"",$B769=""),"△ 摘要开头没写日期（如 2026.9.21），月份取不到",IF(AND(N($H769)&lt;&gt;0,COUNTIFS($A$4:$A$1003,$A769,$H$4:$H$1003,$H769,$D$4:$D$1003,LEFT($D769,9)&amp;"*")&gt;1),"△ 同一天同项目有一样的销售金额，看看是不是录重了","✓"))))))))</f>
        <v/>
      </c>
      <c r="W769" s="8" t="str">
        <f aca="false">IF($A769="","",$A769&amp;"#"&amp;COUNTIF($A$4:$A769,$A769))</f>
        <v/>
      </c>
    </row>
    <row r="770" customFormat="false" ht="16.5" hidden="false" customHeight="false" outlineLevel="0" collapsed="false">
      <c r="A770" s="44" t="str">
        <f aca="false">IF($C770="","",IFERROR(VLOOKUP($C770,目录!$B:$C,2,0)&amp;"","⚠目录里没有"))</f>
        <v/>
      </c>
      <c r="B770" s="45" t="str">
        <f aca="false">IF($D770="","",IFERROR(MID($D770,FIND(".",$D770)+1,FIND(".",$D770,FIND(".",$D770)+1)-FIND(".",$D770)-1)&amp;"月",""))</f>
        <v/>
      </c>
      <c r="C770" s="46"/>
      <c r="D770" s="47"/>
      <c r="E770" s="47"/>
      <c r="F770" s="49"/>
      <c r="G770" s="50"/>
      <c r="H770" s="24"/>
      <c r="I770" s="24" t="str">
        <f aca="false">IF($H770="","",N($H770)*N($G770))</f>
        <v/>
      </c>
      <c r="J770" s="25" t="str">
        <f aca="false">IF($H770="","",N($H770)-N($I770))</f>
        <v/>
      </c>
      <c r="K770" s="25"/>
      <c r="L770" s="25" t="str">
        <f aca="false">IF($A770="","",SUMIF($A$4:$A770,$A770,$J$4:$J770)-SUMIF($A$4:$A770,$A770,$K$4:$K770))</f>
        <v/>
      </c>
      <c r="M770" s="26" t="str">
        <f aca="false">IF($H770="","",N($H770))</f>
        <v/>
      </c>
      <c r="N770" s="26"/>
      <c r="O770" s="26"/>
      <c r="P770" s="26" t="str">
        <f aca="false">IF($A770="","",SUMIF($A$4:$A770,$A770,$M$4:$M770)-SUMIF($A$4:$A770,$A770,$N$4:$N770)-SUMIF($A$4:$A770,$A770,$O$4:$O770))</f>
        <v/>
      </c>
      <c r="Q770" s="27"/>
      <c r="R770" s="28"/>
      <c r="S770" s="28"/>
      <c r="T770" s="28" t="str">
        <f aca="false">IF($A770="","",SUMIF($A$4:$A770,$A770,$Q$4:$Q770)-SUMIF($A$4:$A770,$A770,$R$4:$R770)-SUMIF($A$4:$A770,$A770,$S$4:$S770))</f>
        <v/>
      </c>
      <c r="U770" s="28"/>
      <c r="V770" s="29" t="str">
        <f aca="false">IF(AND($C770="",COUNTA($D770:$H770,$K770,$N770:$O770,$Q770:$S770,$U770)=0),"",IF($C770="","⚠ 没填项目名称",IF($A770="⚠目录里没有","⚠ 项目名称在目录里找不到（先加到目录）",IF($A770="","⚠ 目录里这个项目没填简称",IF(ISTEXT($G770)+ISTEXT($H770)+ISTEXT($K770)+ISTEXT($N770)+ISTEXT($O770)+ISTEXT($Q770)+ISTEXT($R770)+ISTEXT($S770)&gt;0,"⚠ 金额列里有文字，算不进合计",IF(N($G770)&gt;=1,"⚠ 管理费点要填百分比，如 10%",IF(AND($D770&lt;&gt;"",$B770=""),"△ 摘要开头没写日期（如 2026.9.21），月份取不到",IF(AND(N($H770)&lt;&gt;0,COUNTIFS($A$4:$A$1003,$A770,$H$4:$H$1003,$H770,$D$4:$D$1003,LEFT($D770,9)&amp;"*")&gt;1),"△ 同一天同项目有一样的销售金额，看看是不是录重了","✓"))))))))</f>
        <v/>
      </c>
      <c r="W770" s="8" t="str">
        <f aca="false">IF($A770="","",$A770&amp;"#"&amp;COUNTIF($A$4:$A770,$A770))</f>
        <v/>
      </c>
    </row>
    <row r="771" customFormat="false" ht="16.5" hidden="false" customHeight="false" outlineLevel="0" collapsed="false">
      <c r="A771" s="44" t="str">
        <f aca="false">IF($C771="","",IFERROR(VLOOKUP($C771,目录!$B:$C,2,0)&amp;"","⚠目录里没有"))</f>
        <v/>
      </c>
      <c r="B771" s="45" t="str">
        <f aca="false">IF($D771="","",IFERROR(MID($D771,FIND(".",$D771)+1,FIND(".",$D771,FIND(".",$D771)+1)-FIND(".",$D771)-1)&amp;"月",""))</f>
        <v/>
      </c>
      <c r="C771" s="46"/>
      <c r="D771" s="47"/>
      <c r="E771" s="47"/>
      <c r="F771" s="49"/>
      <c r="G771" s="50"/>
      <c r="H771" s="24"/>
      <c r="I771" s="24" t="str">
        <f aca="false">IF($H771="","",N($H771)*N($G771))</f>
        <v/>
      </c>
      <c r="J771" s="25" t="str">
        <f aca="false">IF($H771="","",N($H771)-N($I771))</f>
        <v/>
      </c>
      <c r="K771" s="25"/>
      <c r="L771" s="25" t="str">
        <f aca="false">IF($A771="","",SUMIF($A$4:$A771,$A771,$J$4:$J771)-SUMIF($A$4:$A771,$A771,$K$4:$K771))</f>
        <v/>
      </c>
      <c r="M771" s="26" t="str">
        <f aca="false">IF($H771="","",N($H771))</f>
        <v/>
      </c>
      <c r="N771" s="26"/>
      <c r="O771" s="26"/>
      <c r="P771" s="26" t="str">
        <f aca="false">IF($A771="","",SUMIF($A$4:$A771,$A771,$M$4:$M771)-SUMIF($A$4:$A771,$A771,$N$4:$N771)-SUMIF($A$4:$A771,$A771,$O$4:$O771))</f>
        <v/>
      </c>
      <c r="Q771" s="27"/>
      <c r="R771" s="28"/>
      <c r="S771" s="28"/>
      <c r="T771" s="28" t="str">
        <f aca="false">IF($A771="","",SUMIF($A$4:$A771,$A771,$Q$4:$Q771)-SUMIF($A$4:$A771,$A771,$R$4:$R771)-SUMIF($A$4:$A771,$A771,$S$4:$S771))</f>
        <v/>
      </c>
      <c r="U771" s="28"/>
      <c r="V771" s="29" t="str">
        <f aca="false">IF(AND($C771="",COUNTA($D771:$H771,$K771,$N771:$O771,$Q771:$S771,$U771)=0),"",IF($C771="","⚠ 没填项目名称",IF($A771="⚠目录里没有","⚠ 项目名称在目录里找不到（先加到目录）",IF($A771="","⚠ 目录里这个项目没填简称",IF(ISTEXT($G771)+ISTEXT($H771)+ISTEXT($K771)+ISTEXT($N771)+ISTEXT($O771)+ISTEXT($Q771)+ISTEXT($R771)+ISTEXT($S771)&gt;0,"⚠ 金额列里有文字，算不进合计",IF(N($G771)&gt;=1,"⚠ 管理费点要填百分比，如 10%",IF(AND($D771&lt;&gt;"",$B771=""),"△ 摘要开头没写日期（如 2026.9.21），月份取不到",IF(AND(N($H771)&lt;&gt;0,COUNTIFS($A$4:$A$1003,$A771,$H$4:$H$1003,$H771,$D$4:$D$1003,LEFT($D771,9)&amp;"*")&gt;1),"△ 同一天同项目有一样的销售金额，看看是不是录重了","✓"))))))))</f>
        <v/>
      </c>
      <c r="W771" s="8" t="str">
        <f aca="false">IF($A771="","",$A771&amp;"#"&amp;COUNTIF($A$4:$A771,$A771))</f>
        <v/>
      </c>
    </row>
    <row r="772" customFormat="false" ht="16.5" hidden="false" customHeight="false" outlineLevel="0" collapsed="false">
      <c r="A772" s="44" t="str">
        <f aca="false">IF($C772="","",IFERROR(VLOOKUP($C772,目录!$B:$C,2,0)&amp;"","⚠目录里没有"))</f>
        <v/>
      </c>
      <c r="B772" s="45" t="str">
        <f aca="false">IF($D772="","",IFERROR(MID($D772,FIND(".",$D772)+1,FIND(".",$D772,FIND(".",$D772)+1)-FIND(".",$D772)-1)&amp;"月",""))</f>
        <v/>
      </c>
      <c r="C772" s="46"/>
      <c r="D772" s="47"/>
      <c r="E772" s="47"/>
      <c r="F772" s="49"/>
      <c r="G772" s="50"/>
      <c r="H772" s="24"/>
      <c r="I772" s="24" t="str">
        <f aca="false">IF($H772="","",N($H772)*N($G772))</f>
        <v/>
      </c>
      <c r="J772" s="25" t="str">
        <f aca="false">IF($H772="","",N($H772)-N($I772))</f>
        <v/>
      </c>
      <c r="K772" s="25"/>
      <c r="L772" s="25" t="str">
        <f aca="false">IF($A772="","",SUMIF($A$4:$A772,$A772,$J$4:$J772)-SUMIF($A$4:$A772,$A772,$K$4:$K772))</f>
        <v/>
      </c>
      <c r="M772" s="26" t="str">
        <f aca="false">IF($H772="","",N($H772))</f>
        <v/>
      </c>
      <c r="N772" s="26"/>
      <c r="O772" s="26"/>
      <c r="P772" s="26" t="str">
        <f aca="false">IF($A772="","",SUMIF($A$4:$A772,$A772,$M$4:$M772)-SUMIF($A$4:$A772,$A772,$N$4:$N772)-SUMIF($A$4:$A772,$A772,$O$4:$O772))</f>
        <v/>
      </c>
      <c r="Q772" s="27"/>
      <c r="R772" s="28"/>
      <c r="S772" s="28"/>
      <c r="T772" s="28" t="str">
        <f aca="false">IF($A772="","",SUMIF($A$4:$A772,$A772,$Q$4:$Q772)-SUMIF($A$4:$A772,$A772,$R$4:$R772)-SUMIF($A$4:$A772,$A772,$S$4:$S772))</f>
        <v/>
      </c>
      <c r="U772" s="28"/>
      <c r="V772" s="29" t="str">
        <f aca="false">IF(AND($C772="",COUNTA($D772:$H772,$K772,$N772:$O772,$Q772:$S772,$U772)=0),"",IF($C772="","⚠ 没填项目名称",IF($A772="⚠目录里没有","⚠ 项目名称在目录里找不到（先加到目录）",IF($A772="","⚠ 目录里这个项目没填简称",IF(ISTEXT($G772)+ISTEXT($H772)+ISTEXT($K772)+ISTEXT($N772)+ISTEXT($O772)+ISTEXT($Q772)+ISTEXT($R772)+ISTEXT($S772)&gt;0,"⚠ 金额列里有文字，算不进合计",IF(N($G772)&gt;=1,"⚠ 管理费点要填百分比，如 10%",IF(AND($D772&lt;&gt;"",$B772=""),"△ 摘要开头没写日期（如 2026.9.21），月份取不到",IF(AND(N($H772)&lt;&gt;0,COUNTIFS($A$4:$A$1003,$A772,$H$4:$H$1003,$H772,$D$4:$D$1003,LEFT($D772,9)&amp;"*")&gt;1),"△ 同一天同项目有一样的销售金额，看看是不是录重了","✓"))))))))</f>
        <v/>
      </c>
      <c r="W772" s="8" t="str">
        <f aca="false">IF($A772="","",$A772&amp;"#"&amp;COUNTIF($A$4:$A772,$A772))</f>
        <v/>
      </c>
    </row>
    <row r="773" customFormat="false" ht="16.5" hidden="false" customHeight="false" outlineLevel="0" collapsed="false">
      <c r="A773" s="44" t="str">
        <f aca="false">IF($C773="","",IFERROR(VLOOKUP($C773,目录!$B:$C,2,0)&amp;"","⚠目录里没有"))</f>
        <v/>
      </c>
      <c r="B773" s="45" t="str">
        <f aca="false">IF($D773="","",IFERROR(MID($D773,FIND(".",$D773)+1,FIND(".",$D773,FIND(".",$D773)+1)-FIND(".",$D773)-1)&amp;"月",""))</f>
        <v/>
      </c>
      <c r="C773" s="46"/>
      <c r="D773" s="47"/>
      <c r="E773" s="47"/>
      <c r="F773" s="49"/>
      <c r="G773" s="50"/>
      <c r="H773" s="24"/>
      <c r="I773" s="24" t="str">
        <f aca="false">IF($H773="","",N($H773)*N($G773))</f>
        <v/>
      </c>
      <c r="J773" s="25" t="str">
        <f aca="false">IF($H773="","",N($H773)-N($I773))</f>
        <v/>
      </c>
      <c r="K773" s="25"/>
      <c r="L773" s="25" t="str">
        <f aca="false">IF($A773="","",SUMIF($A$4:$A773,$A773,$J$4:$J773)-SUMIF($A$4:$A773,$A773,$K$4:$K773))</f>
        <v/>
      </c>
      <c r="M773" s="26" t="str">
        <f aca="false">IF($H773="","",N($H773))</f>
        <v/>
      </c>
      <c r="N773" s="26"/>
      <c r="O773" s="26"/>
      <c r="P773" s="26" t="str">
        <f aca="false">IF($A773="","",SUMIF($A$4:$A773,$A773,$M$4:$M773)-SUMIF($A$4:$A773,$A773,$N$4:$N773)-SUMIF($A$4:$A773,$A773,$O$4:$O773))</f>
        <v/>
      </c>
      <c r="Q773" s="27"/>
      <c r="R773" s="28"/>
      <c r="S773" s="28"/>
      <c r="T773" s="28" t="str">
        <f aca="false">IF($A773="","",SUMIF($A$4:$A773,$A773,$Q$4:$Q773)-SUMIF($A$4:$A773,$A773,$R$4:$R773)-SUMIF($A$4:$A773,$A773,$S$4:$S773))</f>
        <v/>
      </c>
      <c r="U773" s="28"/>
      <c r="V773" s="29" t="str">
        <f aca="false">IF(AND($C773="",COUNTA($D773:$H773,$K773,$N773:$O773,$Q773:$S773,$U773)=0),"",IF($C773="","⚠ 没填项目名称",IF($A773="⚠目录里没有","⚠ 项目名称在目录里找不到（先加到目录）",IF($A773="","⚠ 目录里这个项目没填简称",IF(ISTEXT($G773)+ISTEXT($H773)+ISTEXT($K773)+ISTEXT($N773)+ISTEXT($O773)+ISTEXT($Q773)+ISTEXT($R773)+ISTEXT($S773)&gt;0,"⚠ 金额列里有文字，算不进合计",IF(N($G773)&gt;=1,"⚠ 管理费点要填百分比，如 10%",IF(AND($D773&lt;&gt;"",$B773=""),"△ 摘要开头没写日期（如 2026.9.21），月份取不到",IF(AND(N($H773)&lt;&gt;0,COUNTIFS($A$4:$A$1003,$A773,$H$4:$H$1003,$H773,$D$4:$D$1003,LEFT($D773,9)&amp;"*")&gt;1),"△ 同一天同项目有一样的销售金额，看看是不是录重了","✓"))))))))</f>
        <v/>
      </c>
      <c r="W773" s="8" t="str">
        <f aca="false">IF($A773="","",$A773&amp;"#"&amp;COUNTIF($A$4:$A773,$A773))</f>
        <v/>
      </c>
    </row>
    <row r="774" customFormat="false" ht="16.5" hidden="false" customHeight="false" outlineLevel="0" collapsed="false">
      <c r="A774" s="44" t="str">
        <f aca="false">IF($C774="","",IFERROR(VLOOKUP($C774,目录!$B:$C,2,0)&amp;"","⚠目录里没有"))</f>
        <v/>
      </c>
      <c r="B774" s="45" t="str">
        <f aca="false">IF($D774="","",IFERROR(MID($D774,FIND(".",$D774)+1,FIND(".",$D774,FIND(".",$D774)+1)-FIND(".",$D774)-1)&amp;"月",""))</f>
        <v/>
      </c>
      <c r="C774" s="46"/>
      <c r="D774" s="47"/>
      <c r="E774" s="47"/>
      <c r="F774" s="49"/>
      <c r="G774" s="50"/>
      <c r="H774" s="24"/>
      <c r="I774" s="24" t="str">
        <f aca="false">IF($H774="","",N($H774)*N($G774))</f>
        <v/>
      </c>
      <c r="J774" s="25" t="str">
        <f aca="false">IF($H774="","",N($H774)-N($I774))</f>
        <v/>
      </c>
      <c r="K774" s="25"/>
      <c r="L774" s="25" t="str">
        <f aca="false">IF($A774="","",SUMIF($A$4:$A774,$A774,$J$4:$J774)-SUMIF($A$4:$A774,$A774,$K$4:$K774))</f>
        <v/>
      </c>
      <c r="M774" s="26" t="str">
        <f aca="false">IF($H774="","",N($H774))</f>
        <v/>
      </c>
      <c r="N774" s="26"/>
      <c r="O774" s="26"/>
      <c r="P774" s="26" t="str">
        <f aca="false">IF($A774="","",SUMIF($A$4:$A774,$A774,$M$4:$M774)-SUMIF($A$4:$A774,$A774,$N$4:$N774)-SUMIF($A$4:$A774,$A774,$O$4:$O774))</f>
        <v/>
      </c>
      <c r="Q774" s="27"/>
      <c r="R774" s="28"/>
      <c r="S774" s="28"/>
      <c r="T774" s="28" t="str">
        <f aca="false">IF($A774="","",SUMIF($A$4:$A774,$A774,$Q$4:$Q774)-SUMIF($A$4:$A774,$A774,$R$4:$R774)-SUMIF($A$4:$A774,$A774,$S$4:$S774))</f>
        <v/>
      </c>
      <c r="U774" s="28"/>
      <c r="V774" s="29" t="str">
        <f aca="false">IF(AND($C774="",COUNTA($D774:$H774,$K774,$N774:$O774,$Q774:$S774,$U774)=0),"",IF($C774="","⚠ 没填项目名称",IF($A774="⚠目录里没有","⚠ 项目名称在目录里找不到（先加到目录）",IF($A774="","⚠ 目录里这个项目没填简称",IF(ISTEXT($G774)+ISTEXT($H774)+ISTEXT($K774)+ISTEXT($N774)+ISTEXT($O774)+ISTEXT($Q774)+ISTEXT($R774)+ISTEXT($S774)&gt;0,"⚠ 金额列里有文字，算不进合计",IF(N($G774)&gt;=1,"⚠ 管理费点要填百分比，如 10%",IF(AND($D774&lt;&gt;"",$B774=""),"△ 摘要开头没写日期（如 2026.9.21），月份取不到",IF(AND(N($H774)&lt;&gt;0,COUNTIFS($A$4:$A$1003,$A774,$H$4:$H$1003,$H774,$D$4:$D$1003,LEFT($D774,9)&amp;"*")&gt;1),"△ 同一天同项目有一样的销售金额，看看是不是录重了","✓"))))))))</f>
        <v/>
      </c>
      <c r="W774" s="8" t="str">
        <f aca="false">IF($A774="","",$A774&amp;"#"&amp;COUNTIF($A$4:$A774,$A774))</f>
        <v/>
      </c>
    </row>
    <row r="775" customFormat="false" ht="16.5" hidden="false" customHeight="false" outlineLevel="0" collapsed="false">
      <c r="A775" s="44" t="str">
        <f aca="false">IF($C775="","",IFERROR(VLOOKUP($C775,目录!$B:$C,2,0)&amp;"","⚠目录里没有"))</f>
        <v/>
      </c>
      <c r="B775" s="45" t="str">
        <f aca="false">IF($D775="","",IFERROR(MID($D775,FIND(".",$D775)+1,FIND(".",$D775,FIND(".",$D775)+1)-FIND(".",$D775)-1)&amp;"月",""))</f>
        <v/>
      </c>
      <c r="C775" s="46"/>
      <c r="D775" s="47"/>
      <c r="E775" s="47"/>
      <c r="F775" s="49"/>
      <c r="G775" s="50"/>
      <c r="H775" s="24"/>
      <c r="I775" s="24" t="str">
        <f aca="false">IF($H775="","",N($H775)*N($G775))</f>
        <v/>
      </c>
      <c r="J775" s="25" t="str">
        <f aca="false">IF($H775="","",N($H775)-N($I775))</f>
        <v/>
      </c>
      <c r="K775" s="25"/>
      <c r="L775" s="25" t="str">
        <f aca="false">IF($A775="","",SUMIF($A$4:$A775,$A775,$J$4:$J775)-SUMIF($A$4:$A775,$A775,$K$4:$K775))</f>
        <v/>
      </c>
      <c r="M775" s="26" t="str">
        <f aca="false">IF($H775="","",N($H775))</f>
        <v/>
      </c>
      <c r="N775" s="26"/>
      <c r="O775" s="26"/>
      <c r="P775" s="26" t="str">
        <f aca="false">IF($A775="","",SUMIF($A$4:$A775,$A775,$M$4:$M775)-SUMIF($A$4:$A775,$A775,$N$4:$N775)-SUMIF($A$4:$A775,$A775,$O$4:$O775))</f>
        <v/>
      </c>
      <c r="Q775" s="27"/>
      <c r="R775" s="28"/>
      <c r="S775" s="28"/>
      <c r="T775" s="28" t="str">
        <f aca="false">IF($A775="","",SUMIF($A$4:$A775,$A775,$Q$4:$Q775)-SUMIF($A$4:$A775,$A775,$R$4:$R775)-SUMIF($A$4:$A775,$A775,$S$4:$S775))</f>
        <v/>
      </c>
      <c r="U775" s="28"/>
      <c r="V775" s="29" t="str">
        <f aca="false">IF(AND($C775="",COUNTA($D775:$H775,$K775,$N775:$O775,$Q775:$S775,$U775)=0),"",IF($C775="","⚠ 没填项目名称",IF($A775="⚠目录里没有","⚠ 项目名称在目录里找不到（先加到目录）",IF($A775="","⚠ 目录里这个项目没填简称",IF(ISTEXT($G775)+ISTEXT($H775)+ISTEXT($K775)+ISTEXT($N775)+ISTEXT($O775)+ISTEXT($Q775)+ISTEXT($R775)+ISTEXT($S775)&gt;0,"⚠ 金额列里有文字，算不进合计",IF(N($G775)&gt;=1,"⚠ 管理费点要填百分比，如 10%",IF(AND($D775&lt;&gt;"",$B775=""),"△ 摘要开头没写日期（如 2026.9.21），月份取不到",IF(AND(N($H775)&lt;&gt;0,COUNTIFS($A$4:$A$1003,$A775,$H$4:$H$1003,$H775,$D$4:$D$1003,LEFT($D775,9)&amp;"*")&gt;1),"△ 同一天同项目有一样的销售金额，看看是不是录重了","✓"))))))))</f>
        <v/>
      </c>
      <c r="W775" s="8" t="str">
        <f aca="false">IF($A775="","",$A775&amp;"#"&amp;COUNTIF($A$4:$A775,$A775))</f>
        <v/>
      </c>
    </row>
    <row r="776" customFormat="false" ht="16.5" hidden="false" customHeight="false" outlineLevel="0" collapsed="false">
      <c r="A776" s="44" t="str">
        <f aca="false">IF($C776="","",IFERROR(VLOOKUP($C776,目录!$B:$C,2,0)&amp;"","⚠目录里没有"))</f>
        <v/>
      </c>
      <c r="B776" s="45" t="str">
        <f aca="false">IF($D776="","",IFERROR(MID($D776,FIND(".",$D776)+1,FIND(".",$D776,FIND(".",$D776)+1)-FIND(".",$D776)-1)&amp;"月",""))</f>
        <v/>
      </c>
      <c r="C776" s="46"/>
      <c r="D776" s="47"/>
      <c r="E776" s="47"/>
      <c r="F776" s="49"/>
      <c r="G776" s="50"/>
      <c r="H776" s="24"/>
      <c r="I776" s="24" t="str">
        <f aca="false">IF($H776="","",N($H776)*N($G776))</f>
        <v/>
      </c>
      <c r="J776" s="25" t="str">
        <f aca="false">IF($H776="","",N($H776)-N($I776))</f>
        <v/>
      </c>
      <c r="K776" s="25"/>
      <c r="L776" s="25" t="str">
        <f aca="false">IF($A776="","",SUMIF($A$4:$A776,$A776,$J$4:$J776)-SUMIF($A$4:$A776,$A776,$K$4:$K776))</f>
        <v/>
      </c>
      <c r="M776" s="26" t="str">
        <f aca="false">IF($H776="","",N($H776))</f>
        <v/>
      </c>
      <c r="N776" s="26"/>
      <c r="O776" s="26"/>
      <c r="P776" s="26" t="str">
        <f aca="false">IF($A776="","",SUMIF($A$4:$A776,$A776,$M$4:$M776)-SUMIF($A$4:$A776,$A776,$N$4:$N776)-SUMIF($A$4:$A776,$A776,$O$4:$O776))</f>
        <v/>
      </c>
      <c r="Q776" s="27"/>
      <c r="R776" s="28"/>
      <c r="S776" s="28"/>
      <c r="T776" s="28" t="str">
        <f aca="false">IF($A776="","",SUMIF($A$4:$A776,$A776,$Q$4:$Q776)-SUMIF($A$4:$A776,$A776,$R$4:$R776)-SUMIF($A$4:$A776,$A776,$S$4:$S776))</f>
        <v/>
      </c>
      <c r="U776" s="28"/>
      <c r="V776" s="29" t="str">
        <f aca="false">IF(AND($C776="",COUNTA($D776:$H776,$K776,$N776:$O776,$Q776:$S776,$U776)=0),"",IF($C776="","⚠ 没填项目名称",IF($A776="⚠目录里没有","⚠ 项目名称在目录里找不到（先加到目录）",IF($A776="","⚠ 目录里这个项目没填简称",IF(ISTEXT($G776)+ISTEXT($H776)+ISTEXT($K776)+ISTEXT($N776)+ISTEXT($O776)+ISTEXT($Q776)+ISTEXT($R776)+ISTEXT($S776)&gt;0,"⚠ 金额列里有文字，算不进合计",IF(N($G776)&gt;=1,"⚠ 管理费点要填百分比，如 10%",IF(AND($D776&lt;&gt;"",$B776=""),"△ 摘要开头没写日期（如 2026.9.21），月份取不到",IF(AND(N($H776)&lt;&gt;0,COUNTIFS($A$4:$A$1003,$A776,$H$4:$H$1003,$H776,$D$4:$D$1003,LEFT($D776,9)&amp;"*")&gt;1),"△ 同一天同项目有一样的销售金额，看看是不是录重了","✓"))))))))</f>
        <v/>
      </c>
      <c r="W776" s="8" t="str">
        <f aca="false">IF($A776="","",$A776&amp;"#"&amp;COUNTIF($A$4:$A776,$A776))</f>
        <v/>
      </c>
    </row>
    <row r="777" customFormat="false" ht="16.5" hidden="false" customHeight="false" outlineLevel="0" collapsed="false">
      <c r="A777" s="44" t="str">
        <f aca="false">IF($C777="","",IFERROR(VLOOKUP($C777,目录!$B:$C,2,0)&amp;"","⚠目录里没有"))</f>
        <v/>
      </c>
      <c r="B777" s="45" t="str">
        <f aca="false">IF($D777="","",IFERROR(MID($D777,FIND(".",$D777)+1,FIND(".",$D777,FIND(".",$D777)+1)-FIND(".",$D777)-1)&amp;"月",""))</f>
        <v/>
      </c>
      <c r="C777" s="46"/>
      <c r="D777" s="47"/>
      <c r="E777" s="47"/>
      <c r="F777" s="49"/>
      <c r="G777" s="50"/>
      <c r="H777" s="24"/>
      <c r="I777" s="24" t="str">
        <f aca="false">IF($H777="","",N($H777)*N($G777))</f>
        <v/>
      </c>
      <c r="J777" s="25" t="str">
        <f aca="false">IF($H777="","",N($H777)-N($I777))</f>
        <v/>
      </c>
      <c r="K777" s="25"/>
      <c r="L777" s="25" t="str">
        <f aca="false">IF($A777="","",SUMIF($A$4:$A777,$A777,$J$4:$J777)-SUMIF($A$4:$A777,$A777,$K$4:$K777))</f>
        <v/>
      </c>
      <c r="M777" s="26" t="str">
        <f aca="false">IF($H777="","",N($H777))</f>
        <v/>
      </c>
      <c r="N777" s="26"/>
      <c r="O777" s="26"/>
      <c r="P777" s="26" t="str">
        <f aca="false">IF($A777="","",SUMIF($A$4:$A777,$A777,$M$4:$M777)-SUMIF($A$4:$A777,$A777,$N$4:$N777)-SUMIF($A$4:$A777,$A777,$O$4:$O777))</f>
        <v/>
      </c>
      <c r="Q777" s="27"/>
      <c r="R777" s="28"/>
      <c r="S777" s="28"/>
      <c r="T777" s="28" t="str">
        <f aca="false">IF($A777="","",SUMIF($A$4:$A777,$A777,$Q$4:$Q777)-SUMIF($A$4:$A777,$A777,$R$4:$R777)-SUMIF($A$4:$A777,$A777,$S$4:$S777))</f>
        <v/>
      </c>
      <c r="U777" s="28"/>
      <c r="V777" s="29" t="str">
        <f aca="false">IF(AND($C777="",COUNTA($D777:$H777,$K777,$N777:$O777,$Q777:$S777,$U777)=0),"",IF($C777="","⚠ 没填项目名称",IF($A777="⚠目录里没有","⚠ 项目名称在目录里找不到（先加到目录）",IF($A777="","⚠ 目录里这个项目没填简称",IF(ISTEXT($G777)+ISTEXT($H777)+ISTEXT($K777)+ISTEXT($N777)+ISTEXT($O777)+ISTEXT($Q777)+ISTEXT($R777)+ISTEXT($S777)&gt;0,"⚠ 金额列里有文字，算不进合计",IF(N($G777)&gt;=1,"⚠ 管理费点要填百分比，如 10%",IF(AND($D777&lt;&gt;"",$B777=""),"△ 摘要开头没写日期（如 2026.9.21），月份取不到",IF(AND(N($H777)&lt;&gt;0,COUNTIFS($A$4:$A$1003,$A777,$H$4:$H$1003,$H777,$D$4:$D$1003,LEFT($D777,9)&amp;"*")&gt;1),"△ 同一天同项目有一样的销售金额，看看是不是录重了","✓"))))))))</f>
        <v/>
      </c>
      <c r="W777" s="8" t="str">
        <f aca="false">IF($A777="","",$A777&amp;"#"&amp;COUNTIF($A$4:$A777,$A777))</f>
        <v/>
      </c>
    </row>
    <row r="778" customFormat="false" ht="16.5" hidden="false" customHeight="false" outlineLevel="0" collapsed="false">
      <c r="A778" s="44" t="str">
        <f aca="false">IF($C778="","",IFERROR(VLOOKUP($C778,目录!$B:$C,2,0)&amp;"","⚠目录里没有"))</f>
        <v/>
      </c>
      <c r="B778" s="45" t="str">
        <f aca="false">IF($D778="","",IFERROR(MID($D778,FIND(".",$D778)+1,FIND(".",$D778,FIND(".",$D778)+1)-FIND(".",$D778)-1)&amp;"月",""))</f>
        <v/>
      </c>
      <c r="C778" s="46"/>
      <c r="D778" s="47"/>
      <c r="E778" s="47"/>
      <c r="F778" s="49"/>
      <c r="G778" s="50"/>
      <c r="H778" s="24"/>
      <c r="I778" s="24" t="str">
        <f aca="false">IF($H778="","",N($H778)*N($G778))</f>
        <v/>
      </c>
      <c r="J778" s="25" t="str">
        <f aca="false">IF($H778="","",N($H778)-N($I778))</f>
        <v/>
      </c>
      <c r="K778" s="25"/>
      <c r="L778" s="25" t="str">
        <f aca="false">IF($A778="","",SUMIF($A$4:$A778,$A778,$J$4:$J778)-SUMIF($A$4:$A778,$A778,$K$4:$K778))</f>
        <v/>
      </c>
      <c r="M778" s="26" t="str">
        <f aca="false">IF($H778="","",N($H778))</f>
        <v/>
      </c>
      <c r="N778" s="26"/>
      <c r="O778" s="26"/>
      <c r="P778" s="26" t="str">
        <f aca="false">IF($A778="","",SUMIF($A$4:$A778,$A778,$M$4:$M778)-SUMIF($A$4:$A778,$A778,$N$4:$N778)-SUMIF($A$4:$A778,$A778,$O$4:$O778))</f>
        <v/>
      </c>
      <c r="Q778" s="27"/>
      <c r="R778" s="28"/>
      <c r="S778" s="28"/>
      <c r="T778" s="28" t="str">
        <f aca="false">IF($A778="","",SUMIF($A$4:$A778,$A778,$Q$4:$Q778)-SUMIF($A$4:$A778,$A778,$R$4:$R778)-SUMIF($A$4:$A778,$A778,$S$4:$S778))</f>
        <v/>
      </c>
      <c r="U778" s="28"/>
      <c r="V778" s="29" t="str">
        <f aca="false">IF(AND($C778="",COUNTA($D778:$H778,$K778,$N778:$O778,$Q778:$S778,$U778)=0),"",IF($C778="","⚠ 没填项目名称",IF($A778="⚠目录里没有","⚠ 项目名称在目录里找不到（先加到目录）",IF($A778="","⚠ 目录里这个项目没填简称",IF(ISTEXT($G778)+ISTEXT($H778)+ISTEXT($K778)+ISTEXT($N778)+ISTEXT($O778)+ISTEXT($Q778)+ISTEXT($R778)+ISTEXT($S778)&gt;0,"⚠ 金额列里有文字，算不进合计",IF(N($G778)&gt;=1,"⚠ 管理费点要填百分比，如 10%",IF(AND($D778&lt;&gt;"",$B778=""),"△ 摘要开头没写日期（如 2026.9.21），月份取不到",IF(AND(N($H778)&lt;&gt;0,COUNTIFS($A$4:$A$1003,$A778,$H$4:$H$1003,$H778,$D$4:$D$1003,LEFT($D778,9)&amp;"*")&gt;1),"△ 同一天同项目有一样的销售金额，看看是不是录重了","✓"))))))))</f>
        <v/>
      </c>
      <c r="W778" s="8" t="str">
        <f aca="false">IF($A778="","",$A778&amp;"#"&amp;COUNTIF($A$4:$A778,$A778))</f>
        <v/>
      </c>
    </row>
    <row r="779" customFormat="false" ht="16.5" hidden="false" customHeight="false" outlineLevel="0" collapsed="false">
      <c r="A779" s="44" t="str">
        <f aca="false">IF($C779="","",IFERROR(VLOOKUP($C779,目录!$B:$C,2,0)&amp;"","⚠目录里没有"))</f>
        <v/>
      </c>
      <c r="B779" s="45" t="str">
        <f aca="false">IF($D779="","",IFERROR(MID($D779,FIND(".",$D779)+1,FIND(".",$D779,FIND(".",$D779)+1)-FIND(".",$D779)-1)&amp;"月",""))</f>
        <v/>
      </c>
      <c r="C779" s="46"/>
      <c r="D779" s="47"/>
      <c r="E779" s="47"/>
      <c r="F779" s="49"/>
      <c r="G779" s="50"/>
      <c r="H779" s="24"/>
      <c r="I779" s="24" t="str">
        <f aca="false">IF($H779="","",N($H779)*N($G779))</f>
        <v/>
      </c>
      <c r="J779" s="25" t="str">
        <f aca="false">IF($H779="","",N($H779)-N($I779))</f>
        <v/>
      </c>
      <c r="K779" s="25"/>
      <c r="L779" s="25" t="str">
        <f aca="false">IF($A779="","",SUMIF($A$4:$A779,$A779,$J$4:$J779)-SUMIF($A$4:$A779,$A779,$K$4:$K779))</f>
        <v/>
      </c>
      <c r="M779" s="26" t="str">
        <f aca="false">IF($H779="","",N($H779))</f>
        <v/>
      </c>
      <c r="N779" s="26"/>
      <c r="O779" s="26"/>
      <c r="P779" s="26" t="str">
        <f aca="false">IF($A779="","",SUMIF($A$4:$A779,$A779,$M$4:$M779)-SUMIF($A$4:$A779,$A779,$N$4:$N779)-SUMIF($A$4:$A779,$A779,$O$4:$O779))</f>
        <v/>
      </c>
      <c r="Q779" s="27"/>
      <c r="R779" s="28"/>
      <c r="S779" s="28"/>
      <c r="T779" s="28" t="str">
        <f aca="false">IF($A779="","",SUMIF($A$4:$A779,$A779,$Q$4:$Q779)-SUMIF($A$4:$A779,$A779,$R$4:$R779)-SUMIF($A$4:$A779,$A779,$S$4:$S779))</f>
        <v/>
      </c>
      <c r="U779" s="28"/>
      <c r="V779" s="29" t="str">
        <f aca="false">IF(AND($C779="",COUNTA($D779:$H779,$K779,$N779:$O779,$Q779:$S779,$U779)=0),"",IF($C779="","⚠ 没填项目名称",IF($A779="⚠目录里没有","⚠ 项目名称在目录里找不到（先加到目录）",IF($A779="","⚠ 目录里这个项目没填简称",IF(ISTEXT($G779)+ISTEXT($H779)+ISTEXT($K779)+ISTEXT($N779)+ISTEXT($O779)+ISTEXT($Q779)+ISTEXT($R779)+ISTEXT($S779)&gt;0,"⚠ 金额列里有文字，算不进合计",IF(N($G779)&gt;=1,"⚠ 管理费点要填百分比，如 10%",IF(AND($D779&lt;&gt;"",$B779=""),"△ 摘要开头没写日期（如 2026.9.21），月份取不到",IF(AND(N($H779)&lt;&gt;0,COUNTIFS($A$4:$A$1003,$A779,$H$4:$H$1003,$H779,$D$4:$D$1003,LEFT($D779,9)&amp;"*")&gt;1),"△ 同一天同项目有一样的销售金额，看看是不是录重了","✓"))))))))</f>
        <v/>
      </c>
      <c r="W779" s="8" t="str">
        <f aca="false">IF($A779="","",$A779&amp;"#"&amp;COUNTIF($A$4:$A779,$A779))</f>
        <v/>
      </c>
    </row>
    <row r="780" customFormat="false" ht="16.5" hidden="false" customHeight="false" outlineLevel="0" collapsed="false">
      <c r="A780" s="44" t="str">
        <f aca="false">IF($C780="","",IFERROR(VLOOKUP($C780,目录!$B:$C,2,0)&amp;"","⚠目录里没有"))</f>
        <v/>
      </c>
      <c r="B780" s="45" t="str">
        <f aca="false">IF($D780="","",IFERROR(MID($D780,FIND(".",$D780)+1,FIND(".",$D780,FIND(".",$D780)+1)-FIND(".",$D780)-1)&amp;"月",""))</f>
        <v/>
      </c>
      <c r="C780" s="46"/>
      <c r="D780" s="47"/>
      <c r="E780" s="47"/>
      <c r="F780" s="49"/>
      <c r="G780" s="50"/>
      <c r="H780" s="24"/>
      <c r="I780" s="24" t="str">
        <f aca="false">IF($H780="","",N($H780)*N($G780))</f>
        <v/>
      </c>
      <c r="J780" s="25" t="str">
        <f aca="false">IF($H780="","",N($H780)-N($I780))</f>
        <v/>
      </c>
      <c r="K780" s="25"/>
      <c r="L780" s="25" t="str">
        <f aca="false">IF($A780="","",SUMIF($A$4:$A780,$A780,$J$4:$J780)-SUMIF($A$4:$A780,$A780,$K$4:$K780))</f>
        <v/>
      </c>
      <c r="M780" s="26" t="str">
        <f aca="false">IF($H780="","",N($H780))</f>
        <v/>
      </c>
      <c r="N780" s="26"/>
      <c r="O780" s="26"/>
      <c r="P780" s="26" t="str">
        <f aca="false">IF($A780="","",SUMIF($A$4:$A780,$A780,$M$4:$M780)-SUMIF($A$4:$A780,$A780,$N$4:$N780)-SUMIF($A$4:$A780,$A780,$O$4:$O780))</f>
        <v/>
      </c>
      <c r="Q780" s="27"/>
      <c r="R780" s="28"/>
      <c r="S780" s="28"/>
      <c r="T780" s="28" t="str">
        <f aca="false">IF($A780="","",SUMIF($A$4:$A780,$A780,$Q$4:$Q780)-SUMIF($A$4:$A780,$A780,$R$4:$R780)-SUMIF($A$4:$A780,$A780,$S$4:$S780))</f>
        <v/>
      </c>
      <c r="U780" s="28"/>
      <c r="V780" s="29" t="str">
        <f aca="false">IF(AND($C780="",COUNTA($D780:$H780,$K780,$N780:$O780,$Q780:$S780,$U780)=0),"",IF($C780="","⚠ 没填项目名称",IF($A780="⚠目录里没有","⚠ 项目名称在目录里找不到（先加到目录）",IF($A780="","⚠ 目录里这个项目没填简称",IF(ISTEXT($G780)+ISTEXT($H780)+ISTEXT($K780)+ISTEXT($N780)+ISTEXT($O780)+ISTEXT($Q780)+ISTEXT($R780)+ISTEXT($S780)&gt;0,"⚠ 金额列里有文字，算不进合计",IF(N($G780)&gt;=1,"⚠ 管理费点要填百分比，如 10%",IF(AND($D780&lt;&gt;"",$B780=""),"△ 摘要开头没写日期（如 2026.9.21），月份取不到",IF(AND(N($H780)&lt;&gt;0,COUNTIFS($A$4:$A$1003,$A780,$H$4:$H$1003,$H780,$D$4:$D$1003,LEFT($D780,9)&amp;"*")&gt;1),"△ 同一天同项目有一样的销售金额，看看是不是录重了","✓"))))))))</f>
        <v/>
      </c>
      <c r="W780" s="8" t="str">
        <f aca="false">IF($A780="","",$A780&amp;"#"&amp;COUNTIF($A$4:$A780,$A780))</f>
        <v/>
      </c>
    </row>
    <row r="781" customFormat="false" ht="16.5" hidden="false" customHeight="false" outlineLevel="0" collapsed="false">
      <c r="A781" s="44" t="str">
        <f aca="false">IF($C781="","",IFERROR(VLOOKUP($C781,目录!$B:$C,2,0)&amp;"","⚠目录里没有"))</f>
        <v/>
      </c>
      <c r="B781" s="45" t="str">
        <f aca="false">IF($D781="","",IFERROR(MID($D781,FIND(".",$D781)+1,FIND(".",$D781,FIND(".",$D781)+1)-FIND(".",$D781)-1)&amp;"月",""))</f>
        <v/>
      </c>
      <c r="C781" s="46"/>
      <c r="D781" s="47"/>
      <c r="E781" s="47"/>
      <c r="F781" s="49"/>
      <c r="G781" s="50"/>
      <c r="H781" s="24"/>
      <c r="I781" s="24" t="str">
        <f aca="false">IF($H781="","",N($H781)*N($G781))</f>
        <v/>
      </c>
      <c r="J781" s="25" t="str">
        <f aca="false">IF($H781="","",N($H781)-N($I781))</f>
        <v/>
      </c>
      <c r="K781" s="25"/>
      <c r="L781" s="25" t="str">
        <f aca="false">IF($A781="","",SUMIF($A$4:$A781,$A781,$J$4:$J781)-SUMIF($A$4:$A781,$A781,$K$4:$K781))</f>
        <v/>
      </c>
      <c r="M781" s="26" t="str">
        <f aca="false">IF($H781="","",N($H781))</f>
        <v/>
      </c>
      <c r="N781" s="26"/>
      <c r="O781" s="26"/>
      <c r="P781" s="26" t="str">
        <f aca="false">IF($A781="","",SUMIF($A$4:$A781,$A781,$M$4:$M781)-SUMIF($A$4:$A781,$A781,$N$4:$N781)-SUMIF($A$4:$A781,$A781,$O$4:$O781))</f>
        <v/>
      </c>
      <c r="Q781" s="27"/>
      <c r="R781" s="28"/>
      <c r="S781" s="28"/>
      <c r="T781" s="28" t="str">
        <f aca="false">IF($A781="","",SUMIF($A$4:$A781,$A781,$Q$4:$Q781)-SUMIF($A$4:$A781,$A781,$R$4:$R781)-SUMIF($A$4:$A781,$A781,$S$4:$S781))</f>
        <v/>
      </c>
      <c r="U781" s="28"/>
      <c r="V781" s="29" t="str">
        <f aca="false">IF(AND($C781="",COUNTA($D781:$H781,$K781,$N781:$O781,$Q781:$S781,$U781)=0),"",IF($C781="","⚠ 没填项目名称",IF($A781="⚠目录里没有","⚠ 项目名称在目录里找不到（先加到目录）",IF($A781="","⚠ 目录里这个项目没填简称",IF(ISTEXT($G781)+ISTEXT($H781)+ISTEXT($K781)+ISTEXT($N781)+ISTEXT($O781)+ISTEXT($Q781)+ISTEXT($R781)+ISTEXT($S781)&gt;0,"⚠ 金额列里有文字，算不进合计",IF(N($G781)&gt;=1,"⚠ 管理费点要填百分比，如 10%",IF(AND($D781&lt;&gt;"",$B781=""),"△ 摘要开头没写日期（如 2026.9.21），月份取不到",IF(AND(N($H781)&lt;&gt;0,COUNTIFS($A$4:$A$1003,$A781,$H$4:$H$1003,$H781,$D$4:$D$1003,LEFT($D781,9)&amp;"*")&gt;1),"△ 同一天同项目有一样的销售金额，看看是不是录重了","✓"))))))))</f>
        <v/>
      </c>
      <c r="W781" s="8" t="str">
        <f aca="false">IF($A781="","",$A781&amp;"#"&amp;COUNTIF($A$4:$A781,$A781))</f>
        <v/>
      </c>
    </row>
    <row r="782" customFormat="false" ht="16.5" hidden="false" customHeight="false" outlineLevel="0" collapsed="false">
      <c r="A782" s="44" t="str">
        <f aca="false">IF($C782="","",IFERROR(VLOOKUP($C782,目录!$B:$C,2,0)&amp;"","⚠目录里没有"))</f>
        <v/>
      </c>
      <c r="B782" s="45" t="str">
        <f aca="false">IF($D782="","",IFERROR(MID($D782,FIND(".",$D782)+1,FIND(".",$D782,FIND(".",$D782)+1)-FIND(".",$D782)-1)&amp;"月",""))</f>
        <v/>
      </c>
      <c r="C782" s="46"/>
      <c r="D782" s="47"/>
      <c r="E782" s="47"/>
      <c r="F782" s="49"/>
      <c r="G782" s="50"/>
      <c r="H782" s="24"/>
      <c r="I782" s="24" t="str">
        <f aca="false">IF($H782="","",N($H782)*N($G782))</f>
        <v/>
      </c>
      <c r="J782" s="25" t="str">
        <f aca="false">IF($H782="","",N($H782)-N($I782))</f>
        <v/>
      </c>
      <c r="K782" s="25"/>
      <c r="L782" s="25" t="str">
        <f aca="false">IF($A782="","",SUMIF($A$4:$A782,$A782,$J$4:$J782)-SUMIF($A$4:$A782,$A782,$K$4:$K782))</f>
        <v/>
      </c>
      <c r="M782" s="26" t="str">
        <f aca="false">IF($H782="","",N($H782))</f>
        <v/>
      </c>
      <c r="N782" s="26"/>
      <c r="O782" s="26"/>
      <c r="P782" s="26" t="str">
        <f aca="false">IF($A782="","",SUMIF($A$4:$A782,$A782,$M$4:$M782)-SUMIF($A$4:$A782,$A782,$N$4:$N782)-SUMIF($A$4:$A782,$A782,$O$4:$O782))</f>
        <v/>
      </c>
      <c r="Q782" s="27"/>
      <c r="R782" s="28"/>
      <c r="S782" s="28"/>
      <c r="T782" s="28" t="str">
        <f aca="false">IF($A782="","",SUMIF($A$4:$A782,$A782,$Q$4:$Q782)-SUMIF($A$4:$A782,$A782,$R$4:$R782)-SUMIF($A$4:$A782,$A782,$S$4:$S782))</f>
        <v/>
      </c>
      <c r="U782" s="28"/>
      <c r="V782" s="29" t="str">
        <f aca="false">IF(AND($C782="",COUNTA($D782:$H782,$K782,$N782:$O782,$Q782:$S782,$U782)=0),"",IF($C782="","⚠ 没填项目名称",IF($A782="⚠目录里没有","⚠ 项目名称在目录里找不到（先加到目录）",IF($A782="","⚠ 目录里这个项目没填简称",IF(ISTEXT($G782)+ISTEXT($H782)+ISTEXT($K782)+ISTEXT($N782)+ISTEXT($O782)+ISTEXT($Q782)+ISTEXT($R782)+ISTEXT($S782)&gt;0,"⚠ 金额列里有文字，算不进合计",IF(N($G782)&gt;=1,"⚠ 管理费点要填百分比，如 10%",IF(AND($D782&lt;&gt;"",$B782=""),"△ 摘要开头没写日期（如 2026.9.21），月份取不到",IF(AND(N($H782)&lt;&gt;0,COUNTIFS($A$4:$A$1003,$A782,$H$4:$H$1003,$H782,$D$4:$D$1003,LEFT($D782,9)&amp;"*")&gt;1),"△ 同一天同项目有一样的销售金额，看看是不是录重了","✓"))))))))</f>
        <v/>
      </c>
      <c r="W782" s="8" t="str">
        <f aca="false">IF($A782="","",$A782&amp;"#"&amp;COUNTIF($A$4:$A782,$A782))</f>
        <v/>
      </c>
    </row>
    <row r="783" customFormat="false" ht="16.5" hidden="false" customHeight="false" outlineLevel="0" collapsed="false">
      <c r="A783" s="44" t="str">
        <f aca="false">IF($C783="","",IFERROR(VLOOKUP($C783,目录!$B:$C,2,0)&amp;"","⚠目录里没有"))</f>
        <v/>
      </c>
      <c r="B783" s="45" t="str">
        <f aca="false">IF($D783="","",IFERROR(MID($D783,FIND(".",$D783)+1,FIND(".",$D783,FIND(".",$D783)+1)-FIND(".",$D783)-1)&amp;"月",""))</f>
        <v/>
      </c>
      <c r="C783" s="46"/>
      <c r="D783" s="47"/>
      <c r="E783" s="47"/>
      <c r="F783" s="49"/>
      <c r="G783" s="50"/>
      <c r="H783" s="24"/>
      <c r="I783" s="24" t="str">
        <f aca="false">IF($H783="","",N($H783)*N($G783))</f>
        <v/>
      </c>
      <c r="J783" s="25" t="str">
        <f aca="false">IF($H783="","",N($H783)-N($I783))</f>
        <v/>
      </c>
      <c r="K783" s="25"/>
      <c r="L783" s="25" t="str">
        <f aca="false">IF($A783="","",SUMIF($A$4:$A783,$A783,$J$4:$J783)-SUMIF($A$4:$A783,$A783,$K$4:$K783))</f>
        <v/>
      </c>
      <c r="M783" s="26" t="str">
        <f aca="false">IF($H783="","",N($H783))</f>
        <v/>
      </c>
      <c r="N783" s="26"/>
      <c r="O783" s="26"/>
      <c r="P783" s="26" t="str">
        <f aca="false">IF($A783="","",SUMIF($A$4:$A783,$A783,$M$4:$M783)-SUMIF($A$4:$A783,$A783,$N$4:$N783)-SUMIF($A$4:$A783,$A783,$O$4:$O783))</f>
        <v/>
      </c>
      <c r="Q783" s="27"/>
      <c r="R783" s="28"/>
      <c r="S783" s="28"/>
      <c r="T783" s="28" t="str">
        <f aca="false">IF($A783="","",SUMIF($A$4:$A783,$A783,$Q$4:$Q783)-SUMIF($A$4:$A783,$A783,$R$4:$R783)-SUMIF($A$4:$A783,$A783,$S$4:$S783))</f>
        <v/>
      </c>
      <c r="U783" s="28"/>
      <c r="V783" s="29" t="str">
        <f aca="false">IF(AND($C783="",COUNTA($D783:$H783,$K783,$N783:$O783,$Q783:$S783,$U783)=0),"",IF($C783="","⚠ 没填项目名称",IF($A783="⚠目录里没有","⚠ 项目名称在目录里找不到（先加到目录）",IF($A783="","⚠ 目录里这个项目没填简称",IF(ISTEXT($G783)+ISTEXT($H783)+ISTEXT($K783)+ISTEXT($N783)+ISTEXT($O783)+ISTEXT($Q783)+ISTEXT($R783)+ISTEXT($S783)&gt;0,"⚠ 金额列里有文字，算不进合计",IF(N($G783)&gt;=1,"⚠ 管理费点要填百分比，如 10%",IF(AND($D783&lt;&gt;"",$B783=""),"△ 摘要开头没写日期（如 2026.9.21），月份取不到",IF(AND(N($H783)&lt;&gt;0,COUNTIFS($A$4:$A$1003,$A783,$H$4:$H$1003,$H783,$D$4:$D$1003,LEFT($D783,9)&amp;"*")&gt;1),"△ 同一天同项目有一样的销售金额，看看是不是录重了","✓"))))))))</f>
        <v/>
      </c>
      <c r="W783" s="8" t="str">
        <f aca="false">IF($A783="","",$A783&amp;"#"&amp;COUNTIF($A$4:$A783,$A783))</f>
        <v/>
      </c>
    </row>
    <row r="784" customFormat="false" ht="16.5" hidden="false" customHeight="false" outlineLevel="0" collapsed="false">
      <c r="A784" s="44" t="str">
        <f aca="false">IF($C784="","",IFERROR(VLOOKUP($C784,目录!$B:$C,2,0)&amp;"","⚠目录里没有"))</f>
        <v/>
      </c>
      <c r="B784" s="45" t="str">
        <f aca="false">IF($D784="","",IFERROR(MID($D784,FIND(".",$D784)+1,FIND(".",$D784,FIND(".",$D784)+1)-FIND(".",$D784)-1)&amp;"月",""))</f>
        <v/>
      </c>
      <c r="C784" s="46"/>
      <c r="D784" s="47"/>
      <c r="E784" s="47"/>
      <c r="F784" s="49"/>
      <c r="G784" s="50"/>
      <c r="H784" s="24"/>
      <c r="I784" s="24" t="str">
        <f aca="false">IF($H784="","",N($H784)*N($G784))</f>
        <v/>
      </c>
      <c r="J784" s="25" t="str">
        <f aca="false">IF($H784="","",N($H784)-N($I784))</f>
        <v/>
      </c>
      <c r="K784" s="25"/>
      <c r="L784" s="25" t="str">
        <f aca="false">IF($A784="","",SUMIF($A$4:$A784,$A784,$J$4:$J784)-SUMIF($A$4:$A784,$A784,$K$4:$K784))</f>
        <v/>
      </c>
      <c r="M784" s="26" t="str">
        <f aca="false">IF($H784="","",N($H784))</f>
        <v/>
      </c>
      <c r="N784" s="26"/>
      <c r="O784" s="26"/>
      <c r="P784" s="26" t="str">
        <f aca="false">IF($A784="","",SUMIF($A$4:$A784,$A784,$M$4:$M784)-SUMIF($A$4:$A784,$A784,$N$4:$N784)-SUMIF($A$4:$A784,$A784,$O$4:$O784))</f>
        <v/>
      </c>
      <c r="Q784" s="27"/>
      <c r="R784" s="28"/>
      <c r="S784" s="28"/>
      <c r="T784" s="28" t="str">
        <f aca="false">IF($A784="","",SUMIF($A$4:$A784,$A784,$Q$4:$Q784)-SUMIF($A$4:$A784,$A784,$R$4:$R784)-SUMIF($A$4:$A784,$A784,$S$4:$S784))</f>
        <v/>
      </c>
      <c r="U784" s="28"/>
      <c r="V784" s="29" t="str">
        <f aca="false">IF(AND($C784="",COUNTA($D784:$H784,$K784,$N784:$O784,$Q784:$S784,$U784)=0),"",IF($C784="","⚠ 没填项目名称",IF($A784="⚠目录里没有","⚠ 项目名称在目录里找不到（先加到目录）",IF($A784="","⚠ 目录里这个项目没填简称",IF(ISTEXT($G784)+ISTEXT($H784)+ISTEXT($K784)+ISTEXT($N784)+ISTEXT($O784)+ISTEXT($Q784)+ISTEXT($R784)+ISTEXT($S784)&gt;0,"⚠ 金额列里有文字，算不进合计",IF(N($G784)&gt;=1,"⚠ 管理费点要填百分比，如 10%",IF(AND($D784&lt;&gt;"",$B784=""),"△ 摘要开头没写日期（如 2026.9.21），月份取不到",IF(AND(N($H784)&lt;&gt;0,COUNTIFS($A$4:$A$1003,$A784,$H$4:$H$1003,$H784,$D$4:$D$1003,LEFT($D784,9)&amp;"*")&gt;1),"△ 同一天同项目有一样的销售金额，看看是不是录重了","✓"))))))))</f>
        <v/>
      </c>
      <c r="W784" s="8" t="str">
        <f aca="false">IF($A784="","",$A784&amp;"#"&amp;COUNTIF($A$4:$A784,$A784))</f>
        <v/>
      </c>
    </row>
    <row r="785" customFormat="false" ht="16.5" hidden="false" customHeight="false" outlineLevel="0" collapsed="false">
      <c r="A785" s="44" t="str">
        <f aca="false">IF($C785="","",IFERROR(VLOOKUP($C785,目录!$B:$C,2,0)&amp;"","⚠目录里没有"))</f>
        <v/>
      </c>
      <c r="B785" s="45" t="str">
        <f aca="false">IF($D785="","",IFERROR(MID($D785,FIND(".",$D785)+1,FIND(".",$D785,FIND(".",$D785)+1)-FIND(".",$D785)-1)&amp;"月",""))</f>
        <v/>
      </c>
      <c r="C785" s="46"/>
      <c r="D785" s="47"/>
      <c r="E785" s="47"/>
      <c r="F785" s="49"/>
      <c r="G785" s="50"/>
      <c r="H785" s="24"/>
      <c r="I785" s="24" t="str">
        <f aca="false">IF($H785="","",N($H785)*N($G785))</f>
        <v/>
      </c>
      <c r="J785" s="25" t="str">
        <f aca="false">IF($H785="","",N($H785)-N($I785))</f>
        <v/>
      </c>
      <c r="K785" s="25"/>
      <c r="L785" s="25" t="str">
        <f aca="false">IF($A785="","",SUMIF($A$4:$A785,$A785,$J$4:$J785)-SUMIF($A$4:$A785,$A785,$K$4:$K785))</f>
        <v/>
      </c>
      <c r="M785" s="26" t="str">
        <f aca="false">IF($H785="","",N($H785))</f>
        <v/>
      </c>
      <c r="N785" s="26"/>
      <c r="O785" s="26"/>
      <c r="P785" s="26" t="str">
        <f aca="false">IF($A785="","",SUMIF($A$4:$A785,$A785,$M$4:$M785)-SUMIF($A$4:$A785,$A785,$N$4:$N785)-SUMIF($A$4:$A785,$A785,$O$4:$O785))</f>
        <v/>
      </c>
      <c r="Q785" s="27"/>
      <c r="R785" s="28"/>
      <c r="S785" s="28"/>
      <c r="T785" s="28" t="str">
        <f aca="false">IF($A785="","",SUMIF($A$4:$A785,$A785,$Q$4:$Q785)-SUMIF($A$4:$A785,$A785,$R$4:$R785)-SUMIF($A$4:$A785,$A785,$S$4:$S785))</f>
        <v/>
      </c>
      <c r="U785" s="28"/>
      <c r="V785" s="29" t="str">
        <f aca="false">IF(AND($C785="",COUNTA($D785:$H785,$K785,$N785:$O785,$Q785:$S785,$U785)=0),"",IF($C785="","⚠ 没填项目名称",IF($A785="⚠目录里没有","⚠ 项目名称在目录里找不到（先加到目录）",IF($A785="","⚠ 目录里这个项目没填简称",IF(ISTEXT($G785)+ISTEXT($H785)+ISTEXT($K785)+ISTEXT($N785)+ISTEXT($O785)+ISTEXT($Q785)+ISTEXT($R785)+ISTEXT($S785)&gt;0,"⚠ 金额列里有文字，算不进合计",IF(N($G785)&gt;=1,"⚠ 管理费点要填百分比，如 10%",IF(AND($D785&lt;&gt;"",$B785=""),"△ 摘要开头没写日期（如 2026.9.21），月份取不到",IF(AND(N($H785)&lt;&gt;0,COUNTIFS($A$4:$A$1003,$A785,$H$4:$H$1003,$H785,$D$4:$D$1003,LEFT($D785,9)&amp;"*")&gt;1),"△ 同一天同项目有一样的销售金额，看看是不是录重了","✓"))))))))</f>
        <v/>
      </c>
      <c r="W785" s="8" t="str">
        <f aca="false">IF($A785="","",$A785&amp;"#"&amp;COUNTIF($A$4:$A785,$A785))</f>
        <v/>
      </c>
    </row>
    <row r="786" customFormat="false" ht="16.5" hidden="false" customHeight="false" outlineLevel="0" collapsed="false">
      <c r="A786" s="44" t="str">
        <f aca="false">IF($C786="","",IFERROR(VLOOKUP($C786,目录!$B:$C,2,0)&amp;"","⚠目录里没有"))</f>
        <v/>
      </c>
      <c r="B786" s="45" t="str">
        <f aca="false">IF($D786="","",IFERROR(MID($D786,FIND(".",$D786)+1,FIND(".",$D786,FIND(".",$D786)+1)-FIND(".",$D786)-1)&amp;"月",""))</f>
        <v/>
      </c>
      <c r="C786" s="46"/>
      <c r="D786" s="47"/>
      <c r="E786" s="47"/>
      <c r="F786" s="49"/>
      <c r="G786" s="50"/>
      <c r="H786" s="24"/>
      <c r="I786" s="24" t="str">
        <f aca="false">IF($H786="","",N($H786)*N($G786))</f>
        <v/>
      </c>
      <c r="J786" s="25" t="str">
        <f aca="false">IF($H786="","",N($H786)-N($I786))</f>
        <v/>
      </c>
      <c r="K786" s="25"/>
      <c r="L786" s="25" t="str">
        <f aca="false">IF($A786="","",SUMIF($A$4:$A786,$A786,$J$4:$J786)-SUMIF($A$4:$A786,$A786,$K$4:$K786))</f>
        <v/>
      </c>
      <c r="M786" s="26" t="str">
        <f aca="false">IF($H786="","",N($H786))</f>
        <v/>
      </c>
      <c r="N786" s="26"/>
      <c r="O786" s="26"/>
      <c r="P786" s="26" t="str">
        <f aca="false">IF($A786="","",SUMIF($A$4:$A786,$A786,$M$4:$M786)-SUMIF($A$4:$A786,$A786,$N$4:$N786)-SUMIF($A$4:$A786,$A786,$O$4:$O786))</f>
        <v/>
      </c>
      <c r="Q786" s="27"/>
      <c r="R786" s="28"/>
      <c r="S786" s="28"/>
      <c r="T786" s="28" t="str">
        <f aca="false">IF($A786="","",SUMIF($A$4:$A786,$A786,$Q$4:$Q786)-SUMIF($A$4:$A786,$A786,$R$4:$R786)-SUMIF($A$4:$A786,$A786,$S$4:$S786))</f>
        <v/>
      </c>
      <c r="U786" s="28"/>
      <c r="V786" s="29" t="str">
        <f aca="false">IF(AND($C786="",COUNTA($D786:$H786,$K786,$N786:$O786,$Q786:$S786,$U786)=0),"",IF($C786="","⚠ 没填项目名称",IF($A786="⚠目录里没有","⚠ 项目名称在目录里找不到（先加到目录）",IF($A786="","⚠ 目录里这个项目没填简称",IF(ISTEXT($G786)+ISTEXT($H786)+ISTEXT($K786)+ISTEXT($N786)+ISTEXT($O786)+ISTEXT($Q786)+ISTEXT($R786)+ISTEXT($S786)&gt;0,"⚠ 金额列里有文字，算不进合计",IF(N($G786)&gt;=1,"⚠ 管理费点要填百分比，如 10%",IF(AND($D786&lt;&gt;"",$B786=""),"△ 摘要开头没写日期（如 2026.9.21），月份取不到",IF(AND(N($H786)&lt;&gt;0,COUNTIFS($A$4:$A$1003,$A786,$H$4:$H$1003,$H786,$D$4:$D$1003,LEFT($D786,9)&amp;"*")&gt;1),"△ 同一天同项目有一样的销售金额，看看是不是录重了","✓"))))))))</f>
        <v/>
      </c>
      <c r="W786" s="8" t="str">
        <f aca="false">IF($A786="","",$A786&amp;"#"&amp;COUNTIF($A$4:$A786,$A786))</f>
        <v/>
      </c>
    </row>
    <row r="787" customFormat="false" ht="16.5" hidden="false" customHeight="false" outlineLevel="0" collapsed="false">
      <c r="A787" s="44" t="str">
        <f aca="false">IF($C787="","",IFERROR(VLOOKUP($C787,目录!$B:$C,2,0)&amp;"","⚠目录里没有"))</f>
        <v/>
      </c>
      <c r="B787" s="45" t="str">
        <f aca="false">IF($D787="","",IFERROR(MID($D787,FIND(".",$D787)+1,FIND(".",$D787,FIND(".",$D787)+1)-FIND(".",$D787)-1)&amp;"月",""))</f>
        <v/>
      </c>
      <c r="C787" s="46"/>
      <c r="D787" s="47"/>
      <c r="E787" s="47"/>
      <c r="F787" s="49"/>
      <c r="G787" s="50"/>
      <c r="H787" s="24"/>
      <c r="I787" s="24" t="str">
        <f aca="false">IF($H787="","",N($H787)*N($G787))</f>
        <v/>
      </c>
      <c r="J787" s="25" t="str">
        <f aca="false">IF($H787="","",N($H787)-N($I787))</f>
        <v/>
      </c>
      <c r="K787" s="25"/>
      <c r="L787" s="25" t="str">
        <f aca="false">IF($A787="","",SUMIF($A$4:$A787,$A787,$J$4:$J787)-SUMIF($A$4:$A787,$A787,$K$4:$K787))</f>
        <v/>
      </c>
      <c r="M787" s="26" t="str">
        <f aca="false">IF($H787="","",N($H787))</f>
        <v/>
      </c>
      <c r="N787" s="26"/>
      <c r="O787" s="26"/>
      <c r="P787" s="26" t="str">
        <f aca="false">IF($A787="","",SUMIF($A$4:$A787,$A787,$M$4:$M787)-SUMIF($A$4:$A787,$A787,$N$4:$N787)-SUMIF($A$4:$A787,$A787,$O$4:$O787))</f>
        <v/>
      </c>
      <c r="Q787" s="27"/>
      <c r="R787" s="28"/>
      <c r="S787" s="28"/>
      <c r="T787" s="28" t="str">
        <f aca="false">IF($A787="","",SUMIF($A$4:$A787,$A787,$Q$4:$Q787)-SUMIF($A$4:$A787,$A787,$R$4:$R787)-SUMIF($A$4:$A787,$A787,$S$4:$S787))</f>
        <v/>
      </c>
      <c r="U787" s="28"/>
      <c r="V787" s="29" t="str">
        <f aca="false">IF(AND($C787="",COUNTA($D787:$H787,$K787,$N787:$O787,$Q787:$S787,$U787)=0),"",IF($C787="","⚠ 没填项目名称",IF($A787="⚠目录里没有","⚠ 项目名称在目录里找不到（先加到目录）",IF($A787="","⚠ 目录里这个项目没填简称",IF(ISTEXT($G787)+ISTEXT($H787)+ISTEXT($K787)+ISTEXT($N787)+ISTEXT($O787)+ISTEXT($Q787)+ISTEXT($R787)+ISTEXT($S787)&gt;0,"⚠ 金额列里有文字，算不进合计",IF(N($G787)&gt;=1,"⚠ 管理费点要填百分比，如 10%",IF(AND($D787&lt;&gt;"",$B787=""),"△ 摘要开头没写日期（如 2026.9.21），月份取不到",IF(AND(N($H787)&lt;&gt;0,COUNTIFS($A$4:$A$1003,$A787,$H$4:$H$1003,$H787,$D$4:$D$1003,LEFT($D787,9)&amp;"*")&gt;1),"△ 同一天同项目有一样的销售金额，看看是不是录重了","✓"))))))))</f>
        <v/>
      </c>
      <c r="W787" s="8" t="str">
        <f aca="false">IF($A787="","",$A787&amp;"#"&amp;COUNTIF($A$4:$A787,$A787))</f>
        <v/>
      </c>
    </row>
    <row r="788" customFormat="false" ht="16.5" hidden="false" customHeight="false" outlineLevel="0" collapsed="false">
      <c r="A788" s="44" t="str">
        <f aca="false">IF($C788="","",IFERROR(VLOOKUP($C788,目录!$B:$C,2,0)&amp;"","⚠目录里没有"))</f>
        <v/>
      </c>
      <c r="B788" s="45" t="str">
        <f aca="false">IF($D788="","",IFERROR(MID($D788,FIND(".",$D788)+1,FIND(".",$D788,FIND(".",$D788)+1)-FIND(".",$D788)-1)&amp;"月",""))</f>
        <v/>
      </c>
      <c r="C788" s="46"/>
      <c r="D788" s="47"/>
      <c r="E788" s="47"/>
      <c r="F788" s="49"/>
      <c r="G788" s="50"/>
      <c r="H788" s="24"/>
      <c r="I788" s="24" t="str">
        <f aca="false">IF($H788="","",N($H788)*N($G788))</f>
        <v/>
      </c>
      <c r="J788" s="25" t="str">
        <f aca="false">IF($H788="","",N($H788)-N($I788))</f>
        <v/>
      </c>
      <c r="K788" s="25"/>
      <c r="L788" s="25" t="str">
        <f aca="false">IF($A788="","",SUMIF($A$4:$A788,$A788,$J$4:$J788)-SUMIF($A$4:$A788,$A788,$K$4:$K788))</f>
        <v/>
      </c>
      <c r="M788" s="26" t="str">
        <f aca="false">IF($H788="","",N($H788))</f>
        <v/>
      </c>
      <c r="N788" s="26"/>
      <c r="O788" s="26"/>
      <c r="P788" s="26" t="str">
        <f aca="false">IF($A788="","",SUMIF($A$4:$A788,$A788,$M$4:$M788)-SUMIF($A$4:$A788,$A788,$N$4:$N788)-SUMIF($A$4:$A788,$A788,$O$4:$O788))</f>
        <v/>
      </c>
      <c r="Q788" s="27"/>
      <c r="R788" s="28"/>
      <c r="S788" s="28"/>
      <c r="T788" s="28" t="str">
        <f aca="false">IF($A788="","",SUMIF($A$4:$A788,$A788,$Q$4:$Q788)-SUMIF($A$4:$A788,$A788,$R$4:$R788)-SUMIF($A$4:$A788,$A788,$S$4:$S788))</f>
        <v/>
      </c>
      <c r="U788" s="28"/>
      <c r="V788" s="29" t="str">
        <f aca="false">IF(AND($C788="",COUNTA($D788:$H788,$K788,$N788:$O788,$Q788:$S788,$U788)=0),"",IF($C788="","⚠ 没填项目名称",IF($A788="⚠目录里没有","⚠ 项目名称在目录里找不到（先加到目录）",IF($A788="","⚠ 目录里这个项目没填简称",IF(ISTEXT($G788)+ISTEXT($H788)+ISTEXT($K788)+ISTEXT($N788)+ISTEXT($O788)+ISTEXT($Q788)+ISTEXT($R788)+ISTEXT($S788)&gt;0,"⚠ 金额列里有文字，算不进合计",IF(N($G788)&gt;=1,"⚠ 管理费点要填百分比，如 10%",IF(AND($D788&lt;&gt;"",$B788=""),"△ 摘要开头没写日期（如 2026.9.21），月份取不到",IF(AND(N($H788)&lt;&gt;0,COUNTIFS($A$4:$A$1003,$A788,$H$4:$H$1003,$H788,$D$4:$D$1003,LEFT($D788,9)&amp;"*")&gt;1),"△ 同一天同项目有一样的销售金额，看看是不是录重了","✓"))))))))</f>
        <v/>
      </c>
      <c r="W788" s="8" t="str">
        <f aca="false">IF($A788="","",$A788&amp;"#"&amp;COUNTIF($A$4:$A788,$A788))</f>
        <v/>
      </c>
    </row>
    <row r="789" customFormat="false" ht="16.5" hidden="false" customHeight="false" outlineLevel="0" collapsed="false">
      <c r="A789" s="44" t="str">
        <f aca="false">IF($C789="","",IFERROR(VLOOKUP($C789,目录!$B:$C,2,0)&amp;"","⚠目录里没有"))</f>
        <v/>
      </c>
      <c r="B789" s="45" t="str">
        <f aca="false">IF($D789="","",IFERROR(MID($D789,FIND(".",$D789)+1,FIND(".",$D789,FIND(".",$D789)+1)-FIND(".",$D789)-1)&amp;"月",""))</f>
        <v/>
      </c>
      <c r="C789" s="46"/>
      <c r="D789" s="47"/>
      <c r="E789" s="47"/>
      <c r="F789" s="49"/>
      <c r="G789" s="50"/>
      <c r="H789" s="24"/>
      <c r="I789" s="24" t="str">
        <f aca="false">IF($H789="","",N($H789)*N($G789))</f>
        <v/>
      </c>
      <c r="J789" s="25" t="str">
        <f aca="false">IF($H789="","",N($H789)-N($I789))</f>
        <v/>
      </c>
      <c r="K789" s="25"/>
      <c r="L789" s="25" t="str">
        <f aca="false">IF($A789="","",SUMIF($A$4:$A789,$A789,$J$4:$J789)-SUMIF($A$4:$A789,$A789,$K$4:$K789))</f>
        <v/>
      </c>
      <c r="M789" s="26" t="str">
        <f aca="false">IF($H789="","",N($H789))</f>
        <v/>
      </c>
      <c r="N789" s="26"/>
      <c r="O789" s="26"/>
      <c r="P789" s="26" t="str">
        <f aca="false">IF($A789="","",SUMIF($A$4:$A789,$A789,$M$4:$M789)-SUMIF($A$4:$A789,$A789,$N$4:$N789)-SUMIF($A$4:$A789,$A789,$O$4:$O789))</f>
        <v/>
      </c>
      <c r="Q789" s="27"/>
      <c r="R789" s="28"/>
      <c r="S789" s="28"/>
      <c r="T789" s="28" t="str">
        <f aca="false">IF($A789="","",SUMIF($A$4:$A789,$A789,$Q$4:$Q789)-SUMIF($A$4:$A789,$A789,$R$4:$R789)-SUMIF($A$4:$A789,$A789,$S$4:$S789))</f>
        <v/>
      </c>
      <c r="U789" s="28"/>
      <c r="V789" s="29" t="str">
        <f aca="false">IF(AND($C789="",COUNTA($D789:$H789,$K789,$N789:$O789,$Q789:$S789,$U789)=0),"",IF($C789="","⚠ 没填项目名称",IF($A789="⚠目录里没有","⚠ 项目名称在目录里找不到（先加到目录）",IF($A789="","⚠ 目录里这个项目没填简称",IF(ISTEXT($G789)+ISTEXT($H789)+ISTEXT($K789)+ISTEXT($N789)+ISTEXT($O789)+ISTEXT($Q789)+ISTEXT($R789)+ISTEXT($S789)&gt;0,"⚠ 金额列里有文字，算不进合计",IF(N($G789)&gt;=1,"⚠ 管理费点要填百分比，如 10%",IF(AND($D789&lt;&gt;"",$B789=""),"△ 摘要开头没写日期（如 2026.9.21），月份取不到",IF(AND(N($H789)&lt;&gt;0,COUNTIFS($A$4:$A$1003,$A789,$H$4:$H$1003,$H789,$D$4:$D$1003,LEFT($D789,9)&amp;"*")&gt;1),"△ 同一天同项目有一样的销售金额，看看是不是录重了","✓"))))))))</f>
        <v/>
      </c>
      <c r="W789" s="8" t="str">
        <f aca="false">IF($A789="","",$A789&amp;"#"&amp;COUNTIF($A$4:$A789,$A789))</f>
        <v/>
      </c>
    </row>
    <row r="790" customFormat="false" ht="16.5" hidden="false" customHeight="false" outlineLevel="0" collapsed="false">
      <c r="A790" s="44" t="str">
        <f aca="false">IF($C790="","",IFERROR(VLOOKUP($C790,目录!$B:$C,2,0)&amp;"","⚠目录里没有"))</f>
        <v/>
      </c>
      <c r="B790" s="45" t="str">
        <f aca="false">IF($D790="","",IFERROR(MID($D790,FIND(".",$D790)+1,FIND(".",$D790,FIND(".",$D790)+1)-FIND(".",$D790)-1)&amp;"月",""))</f>
        <v/>
      </c>
      <c r="C790" s="46"/>
      <c r="D790" s="47"/>
      <c r="E790" s="47"/>
      <c r="F790" s="49"/>
      <c r="G790" s="50"/>
      <c r="H790" s="24"/>
      <c r="I790" s="24" t="str">
        <f aca="false">IF($H790="","",N($H790)*N($G790))</f>
        <v/>
      </c>
      <c r="J790" s="25" t="str">
        <f aca="false">IF($H790="","",N($H790)-N($I790))</f>
        <v/>
      </c>
      <c r="K790" s="25"/>
      <c r="L790" s="25" t="str">
        <f aca="false">IF($A790="","",SUMIF($A$4:$A790,$A790,$J$4:$J790)-SUMIF($A$4:$A790,$A790,$K$4:$K790))</f>
        <v/>
      </c>
      <c r="M790" s="26" t="str">
        <f aca="false">IF($H790="","",N($H790))</f>
        <v/>
      </c>
      <c r="N790" s="26"/>
      <c r="O790" s="26"/>
      <c r="P790" s="26" t="str">
        <f aca="false">IF($A790="","",SUMIF($A$4:$A790,$A790,$M$4:$M790)-SUMIF($A$4:$A790,$A790,$N$4:$N790)-SUMIF($A$4:$A790,$A790,$O$4:$O790))</f>
        <v/>
      </c>
      <c r="Q790" s="27"/>
      <c r="R790" s="28"/>
      <c r="S790" s="28"/>
      <c r="T790" s="28" t="str">
        <f aca="false">IF($A790="","",SUMIF($A$4:$A790,$A790,$Q$4:$Q790)-SUMIF($A$4:$A790,$A790,$R$4:$R790)-SUMIF($A$4:$A790,$A790,$S$4:$S790))</f>
        <v/>
      </c>
      <c r="U790" s="28"/>
      <c r="V790" s="29" t="str">
        <f aca="false">IF(AND($C790="",COUNTA($D790:$H790,$K790,$N790:$O790,$Q790:$S790,$U790)=0),"",IF($C790="","⚠ 没填项目名称",IF($A790="⚠目录里没有","⚠ 项目名称在目录里找不到（先加到目录）",IF($A790="","⚠ 目录里这个项目没填简称",IF(ISTEXT($G790)+ISTEXT($H790)+ISTEXT($K790)+ISTEXT($N790)+ISTEXT($O790)+ISTEXT($Q790)+ISTEXT($R790)+ISTEXT($S790)&gt;0,"⚠ 金额列里有文字，算不进合计",IF(N($G790)&gt;=1,"⚠ 管理费点要填百分比，如 10%",IF(AND($D790&lt;&gt;"",$B790=""),"△ 摘要开头没写日期（如 2026.9.21），月份取不到",IF(AND(N($H790)&lt;&gt;0,COUNTIFS($A$4:$A$1003,$A790,$H$4:$H$1003,$H790,$D$4:$D$1003,LEFT($D790,9)&amp;"*")&gt;1),"△ 同一天同项目有一样的销售金额，看看是不是录重了","✓"))))))))</f>
        <v/>
      </c>
      <c r="W790" s="8" t="str">
        <f aca="false">IF($A790="","",$A790&amp;"#"&amp;COUNTIF($A$4:$A790,$A790))</f>
        <v/>
      </c>
    </row>
    <row r="791" customFormat="false" ht="16.5" hidden="false" customHeight="false" outlineLevel="0" collapsed="false">
      <c r="A791" s="44" t="str">
        <f aca="false">IF($C791="","",IFERROR(VLOOKUP($C791,目录!$B:$C,2,0)&amp;"","⚠目录里没有"))</f>
        <v/>
      </c>
      <c r="B791" s="45" t="str">
        <f aca="false">IF($D791="","",IFERROR(MID($D791,FIND(".",$D791)+1,FIND(".",$D791,FIND(".",$D791)+1)-FIND(".",$D791)-1)&amp;"月",""))</f>
        <v/>
      </c>
      <c r="C791" s="46"/>
      <c r="D791" s="47"/>
      <c r="E791" s="47"/>
      <c r="F791" s="49"/>
      <c r="G791" s="50"/>
      <c r="H791" s="24"/>
      <c r="I791" s="24" t="str">
        <f aca="false">IF($H791="","",N($H791)*N($G791))</f>
        <v/>
      </c>
      <c r="J791" s="25" t="str">
        <f aca="false">IF($H791="","",N($H791)-N($I791))</f>
        <v/>
      </c>
      <c r="K791" s="25"/>
      <c r="L791" s="25" t="str">
        <f aca="false">IF($A791="","",SUMIF($A$4:$A791,$A791,$J$4:$J791)-SUMIF($A$4:$A791,$A791,$K$4:$K791))</f>
        <v/>
      </c>
      <c r="M791" s="26" t="str">
        <f aca="false">IF($H791="","",N($H791))</f>
        <v/>
      </c>
      <c r="N791" s="26"/>
      <c r="O791" s="26"/>
      <c r="P791" s="26" t="str">
        <f aca="false">IF($A791="","",SUMIF($A$4:$A791,$A791,$M$4:$M791)-SUMIF($A$4:$A791,$A791,$N$4:$N791)-SUMIF($A$4:$A791,$A791,$O$4:$O791))</f>
        <v/>
      </c>
      <c r="Q791" s="27"/>
      <c r="R791" s="28"/>
      <c r="S791" s="28"/>
      <c r="T791" s="28" t="str">
        <f aca="false">IF($A791="","",SUMIF($A$4:$A791,$A791,$Q$4:$Q791)-SUMIF($A$4:$A791,$A791,$R$4:$R791)-SUMIF($A$4:$A791,$A791,$S$4:$S791))</f>
        <v/>
      </c>
      <c r="U791" s="28"/>
      <c r="V791" s="29" t="str">
        <f aca="false">IF(AND($C791="",COUNTA($D791:$H791,$K791,$N791:$O791,$Q791:$S791,$U791)=0),"",IF($C791="","⚠ 没填项目名称",IF($A791="⚠目录里没有","⚠ 项目名称在目录里找不到（先加到目录）",IF($A791="","⚠ 目录里这个项目没填简称",IF(ISTEXT($G791)+ISTEXT($H791)+ISTEXT($K791)+ISTEXT($N791)+ISTEXT($O791)+ISTEXT($Q791)+ISTEXT($R791)+ISTEXT($S791)&gt;0,"⚠ 金额列里有文字，算不进合计",IF(N($G791)&gt;=1,"⚠ 管理费点要填百分比，如 10%",IF(AND($D791&lt;&gt;"",$B791=""),"△ 摘要开头没写日期（如 2026.9.21），月份取不到",IF(AND(N($H791)&lt;&gt;0,COUNTIFS($A$4:$A$1003,$A791,$H$4:$H$1003,$H791,$D$4:$D$1003,LEFT($D791,9)&amp;"*")&gt;1),"△ 同一天同项目有一样的销售金额，看看是不是录重了","✓"))))))))</f>
        <v/>
      </c>
      <c r="W791" s="8" t="str">
        <f aca="false">IF($A791="","",$A791&amp;"#"&amp;COUNTIF($A$4:$A791,$A791))</f>
        <v/>
      </c>
    </row>
    <row r="792" customFormat="false" ht="16.5" hidden="false" customHeight="false" outlineLevel="0" collapsed="false">
      <c r="A792" s="44" t="str">
        <f aca="false">IF($C792="","",IFERROR(VLOOKUP($C792,目录!$B:$C,2,0)&amp;"","⚠目录里没有"))</f>
        <v/>
      </c>
      <c r="B792" s="45" t="str">
        <f aca="false">IF($D792="","",IFERROR(MID($D792,FIND(".",$D792)+1,FIND(".",$D792,FIND(".",$D792)+1)-FIND(".",$D792)-1)&amp;"月",""))</f>
        <v/>
      </c>
      <c r="C792" s="46"/>
      <c r="D792" s="47"/>
      <c r="E792" s="47"/>
      <c r="F792" s="49"/>
      <c r="G792" s="50"/>
      <c r="H792" s="24"/>
      <c r="I792" s="24" t="str">
        <f aca="false">IF($H792="","",N($H792)*N($G792))</f>
        <v/>
      </c>
      <c r="J792" s="25" t="str">
        <f aca="false">IF($H792="","",N($H792)-N($I792))</f>
        <v/>
      </c>
      <c r="K792" s="25"/>
      <c r="L792" s="25" t="str">
        <f aca="false">IF($A792="","",SUMIF($A$4:$A792,$A792,$J$4:$J792)-SUMIF($A$4:$A792,$A792,$K$4:$K792))</f>
        <v/>
      </c>
      <c r="M792" s="26" t="str">
        <f aca="false">IF($H792="","",N($H792))</f>
        <v/>
      </c>
      <c r="N792" s="26"/>
      <c r="O792" s="26"/>
      <c r="P792" s="26" t="str">
        <f aca="false">IF($A792="","",SUMIF($A$4:$A792,$A792,$M$4:$M792)-SUMIF($A$4:$A792,$A792,$N$4:$N792)-SUMIF($A$4:$A792,$A792,$O$4:$O792))</f>
        <v/>
      </c>
      <c r="Q792" s="27"/>
      <c r="R792" s="28"/>
      <c r="S792" s="28"/>
      <c r="T792" s="28" t="str">
        <f aca="false">IF($A792="","",SUMIF($A$4:$A792,$A792,$Q$4:$Q792)-SUMIF($A$4:$A792,$A792,$R$4:$R792)-SUMIF($A$4:$A792,$A792,$S$4:$S792))</f>
        <v/>
      </c>
      <c r="U792" s="28"/>
      <c r="V792" s="29" t="str">
        <f aca="false">IF(AND($C792="",COUNTA($D792:$H792,$K792,$N792:$O792,$Q792:$S792,$U792)=0),"",IF($C792="","⚠ 没填项目名称",IF($A792="⚠目录里没有","⚠ 项目名称在目录里找不到（先加到目录）",IF($A792="","⚠ 目录里这个项目没填简称",IF(ISTEXT($G792)+ISTEXT($H792)+ISTEXT($K792)+ISTEXT($N792)+ISTEXT($O792)+ISTEXT($Q792)+ISTEXT($R792)+ISTEXT($S792)&gt;0,"⚠ 金额列里有文字，算不进合计",IF(N($G792)&gt;=1,"⚠ 管理费点要填百分比，如 10%",IF(AND($D792&lt;&gt;"",$B792=""),"△ 摘要开头没写日期（如 2026.9.21），月份取不到",IF(AND(N($H792)&lt;&gt;0,COUNTIFS($A$4:$A$1003,$A792,$H$4:$H$1003,$H792,$D$4:$D$1003,LEFT($D792,9)&amp;"*")&gt;1),"△ 同一天同项目有一样的销售金额，看看是不是录重了","✓"))))))))</f>
        <v/>
      </c>
      <c r="W792" s="8" t="str">
        <f aca="false">IF($A792="","",$A792&amp;"#"&amp;COUNTIF($A$4:$A792,$A792))</f>
        <v/>
      </c>
    </row>
    <row r="793" customFormat="false" ht="16.5" hidden="false" customHeight="false" outlineLevel="0" collapsed="false">
      <c r="A793" s="44" t="str">
        <f aca="false">IF($C793="","",IFERROR(VLOOKUP($C793,目录!$B:$C,2,0)&amp;"","⚠目录里没有"))</f>
        <v/>
      </c>
      <c r="B793" s="45" t="str">
        <f aca="false">IF($D793="","",IFERROR(MID($D793,FIND(".",$D793)+1,FIND(".",$D793,FIND(".",$D793)+1)-FIND(".",$D793)-1)&amp;"月",""))</f>
        <v/>
      </c>
      <c r="C793" s="46"/>
      <c r="D793" s="47"/>
      <c r="E793" s="47"/>
      <c r="F793" s="49"/>
      <c r="G793" s="50"/>
      <c r="H793" s="24"/>
      <c r="I793" s="24" t="str">
        <f aca="false">IF($H793="","",N($H793)*N($G793))</f>
        <v/>
      </c>
      <c r="J793" s="25" t="str">
        <f aca="false">IF($H793="","",N($H793)-N($I793))</f>
        <v/>
      </c>
      <c r="K793" s="25"/>
      <c r="L793" s="25" t="str">
        <f aca="false">IF($A793="","",SUMIF($A$4:$A793,$A793,$J$4:$J793)-SUMIF($A$4:$A793,$A793,$K$4:$K793))</f>
        <v/>
      </c>
      <c r="M793" s="26" t="str">
        <f aca="false">IF($H793="","",N($H793))</f>
        <v/>
      </c>
      <c r="N793" s="26"/>
      <c r="O793" s="26"/>
      <c r="P793" s="26" t="str">
        <f aca="false">IF($A793="","",SUMIF($A$4:$A793,$A793,$M$4:$M793)-SUMIF($A$4:$A793,$A793,$N$4:$N793)-SUMIF($A$4:$A793,$A793,$O$4:$O793))</f>
        <v/>
      </c>
      <c r="Q793" s="27"/>
      <c r="R793" s="28"/>
      <c r="S793" s="28"/>
      <c r="T793" s="28" t="str">
        <f aca="false">IF($A793="","",SUMIF($A$4:$A793,$A793,$Q$4:$Q793)-SUMIF($A$4:$A793,$A793,$R$4:$R793)-SUMIF($A$4:$A793,$A793,$S$4:$S793))</f>
        <v/>
      </c>
      <c r="U793" s="28"/>
      <c r="V793" s="29" t="str">
        <f aca="false">IF(AND($C793="",COUNTA($D793:$H793,$K793,$N793:$O793,$Q793:$S793,$U793)=0),"",IF($C793="","⚠ 没填项目名称",IF($A793="⚠目录里没有","⚠ 项目名称在目录里找不到（先加到目录）",IF($A793="","⚠ 目录里这个项目没填简称",IF(ISTEXT($G793)+ISTEXT($H793)+ISTEXT($K793)+ISTEXT($N793)+ISTEXT($O793)+ISTEXT($Q793)+ISTEXT($R793)+ISTEXT($S793)&gt;0,"⚠ 金额列里有文字，算不进合计",IF(N($G793)&gt;=1,"⚠ 管理费点要填百分比，如 10%",IF(AND($D793&lt;&gt;"",$B793=""),"△ 摘要开头没写日期（如 2026.9.21），月份取不到",IF(AND(N($H793)&lt;&gt;0,COUNTIFS($A$4:$A$1003,$A793,$H$4:$H$1003,$H793,$D$4:$D$1003,LEFT($D793,9)&amp;"*")&gt;1),"△ 同一天同项目有一样的销售金额，看看是不是录重了","✓"))))))))</f>
        <v/>
      </c>
      <c r="W793" s="8" t="str">
        <f aca="false">IF($A793="","",$A793&amp;"#"&amp;COUNTIF($A$4:$A793,$A793))</f>
        <v/>
      </c>
    </row>
    <row r="794" customFormat="false" ht="16.5" hidden="false" customHeight="false" outlineLevel="0" collapsed="false">
      <c r="A794" s="44" t="str">
        <f aca="false">IF($C794="","",IFERROR(VLOOKUP($C794,目录!$B:$C,2,0)&amp;"","⚠目录里没有"))</f>
        <v/>
      </c>
      <c r="B794" s="45" t="str">
        <f aca="false">IF($D794="","",IFERROR(MID($D794,FIND(".",$D794)+1,FIND(".",$D794,FIND(".",$D794)+1)-FIND(".",$D794)-1)&amp;"月",""))</f>
        <v/>
      </c>
      <c r="C794" s="46"/>
      <c r="D794" s="47"/>
      <c r="E794" s="47"/>
      <c r="F794" s="49"/>
      <c r="G794" s="50"/>
      <c r="H794" s="24"/>
      <c r="I794" s="24" t="str">
        <f aca="false">IF($H794="","",N($H794)*N($G794))</f>
        <v/>
      </c>
      <c r="J794" s="25" t="str">
        <f aca="false">IF($H794="","",N($H794)-N($I794))</f>
        <v/>
      </c>
      <c r="K794" s="25"/>
      <c r="L794" s="25" t="str">
        <f aca="false">IF($A794="","",SUMIF($A$4:$A794,$A794,$J$4:$J794)-SUMIF($A$4:$A794,$A794,$K$4:$K794))</f>
        <v/>
      </c>
      <c r="M794" s="26" t="str">
        <f aca="false">IF($H794="","",N($H794))</f>
        <v/>
      </c>
      <c r="N794" s="26"/>
      <c r="O794" s="26"/>
      <c r="P794" s="26" t="str">
        <f aca="false">IF($A794="","",SUMIF($A$4:$A794,$A794,$M$4:$M794)-SUMIF($A$4:$A794,$A794,$N$4:$N794)-SUMIF($A$4:$A794,$A794,$O$4:$O794))</f>
        <v/>
      </c>
      <c r="Q794" s="27"/>
      <c r="R794" s="28"/>
      <c r="S794" s="28"/>
      <c r="T794" s="28" t="str">
        <f aca="false">IF($A794="","",SUMIF($A$4:$A794,$A794,$Q$4:$Q794)-SUMIF($A$4:$A794,$A794,$R$4:$R794)-SUMIF($A$4:$A794,$A794,$S$4:$S794))</f>
        <v/>
      </c>
      <c r="U794" s="28"/>
      <c r="V794" s="29" t="str">
        <f aca="false">IF(AND($C794="",COUNTA($D794:$H794,$K794,$N794:$O794,$Q794:$S794,$U794)=0),"",IF($C794="","⚠ 没填项目名称",IF($A794="⚠目录里没有","⚠ 项目名称在目录里找不到（先加到目录）",IF($A794="","⚠ 目录里这个项目没填简称",IF(ISTEXT($G794)+ISTEXT($H794)+ISTEXT($K794)+ISTEXT($N794)+ISTEXT($O794)+ISTEXT($Q794)+ISTEXT($R794)+ISTEXT($S794)&gt;0,"⚠ 金额列里有文字，算不进合计",IF(N($G794)&gt;=1,"⚠ 管理费点要填百分比，如 10%",IF(AND($D794&lt;&gt;"",$B794=""),"△ 摘要开头没写日期（如 2026.9.21），月份取不到",IF(AND(N($H794)&lt;&gt;0,COUNTIFS($A$4:$A$1003,$A794,$H$4:$H$1003,$H794,$D$4:$D$1003,LEFT($D794,9)&amp;"*")&gt;1),"△ 同一天同项目有一样的销售金额，看看是不是录重了","✓"))))))))</f>
        <v/>
      </c>
      <c r="W794" s="8" t="str">
        <f aca="false">IF($A794="","",$A794&amp;"#"&amp;COUNTIF($A$4:$A794,$A794))</f>
        <v/>
      </c>
    </row>
    <row r="795" customFormat="false" ht="16.5" hidden="false" customHeight="false" outlineLevel="0" collapsed="false">
      <c r="A795" s="44" t="str">
        <f aca="false">IF($C795="","",IFERROR(VLOOKUP($C795,目录!$B:$C,2,0)&amp;"","⚠目录里没有"))</f>
        <v/>
      </c>
      <c r="B795" s="45" t="str">
        <f aca="false">IF($D795="","",IFERROR(MID($D795,FIND(".",$D795)+1,FIND(".",$D795,FIND(".",$D795)+1)-FIND(".",$D795)-1)&amp;"月",""))</f>
        <v/>
      </c>
      <c r="C795" s="46"/>
      <c r="D795" s="47"/>
      <c r="E795" s="47"/>
      <c r="F795" s="49"/>
      <c r="G795" s="50"/>
      <c r="H795" s="24"/>
      <c r="I795" s="24" t="str">
        <f aca="false">IF($H795="","",N($H795)*N($G795))</f>
        <v/>
      </c>
      <c r="J795" s="25" t="str">
        <f aca="false">IF($H795="","",N($H795)-N($I795))</f>
        <v/>
      </c>
      <c r="K795" s="25"/>
      <c r="L795" s="25" t="str">
        <f aca="false">IF($A795="","",SUMIF($A$4:$A795,$A795,$J$4:$J795)-SUMIF($A$4:$A795,$A795,$K$4:$K795))</f>
        <v/>
      </c>
      <c r="M795" s="26" t="str">
        <f aca="false">IF($H795="","",N($H795))</f>
        <v/>
      </c>
      <c r="N795" s="26"/>
      <c r="O795" s="26"/>
      <c r="P795" s="26" t="str">
        <f aca="false">IF($A795="","",SUMIF($A$4:$A795,$A795,$M$4:$M795)-SUMIF($A$4:$A795,$A795,$N$4:$N795)-SUMIF($A$4:$A795,$A795,$O$4:$O795))</f>
        <v/>
      </c>
      <c r="Q795" s="27"/>
      <c r="R795" s="28"/>
      <c r="S795" s="28"/>
      <c r="T795" s="28" t="str">
        <f aca="false">IF($A795="","",SUMIF($A$4:$A795,$A795,$Q$4:$Q795)-SUMIF($A$4:$A795,$A795,$R$4:$R795)-SUMIF($A$4:$A795,$A795,$S$4:$S795))</f>
        <v/>
      </c>
      <c r="U795" s="28"/>
      <c r="V795" s="29" t="str">
        <f aca="false">IF(AND($C795="",COUNTA($D795:$H795,$K795,$N795:$O795,$Q795:$S795,$U795)=0),"",IF($C795="","⚠ 没填项目名称",IF($A795="⚠目录里没有","⚠ 项目名称在目录里找不到（先加到目录）",IF($A795="","⚠ 目录里这个项目没填简称",IF(ISTEXT($G795)+ISTEXT($H795)+ISTEXT($K795)+ISTEXT($N795)+ISTEXT($O795)+ISTEXT($Q795)+ISTEXT($R795)+ISTEXT($S795)&gt;0,"⚠ 金额列里有文字，算不进合计",IF(N($G795)&gt;=1,"⚠ 管理费点要填百分比，如 10%",IF(AND($D795&lt;&gt;"",$B795=""),"△ 摘要开头没写日期（如 2026.9.21），月份取不到",IF(AND(N($H795)&lt;&gt;0,COUNTIFS($A$4:$A$1003,$A795,$H$4:$H$1003,$H795,$D$4:$D$1003,LEFT($D795,9)&amp;"*")&gt;1),"△ 同一天同项目有一样的销售金额，看看是不是录重了","✓"))))))))</f>
        <v/>
      </c>
      <c r="W795" s="8" t="str">
        <f aca="false">IF($A795="","",$A795&amp;"#"&amp;COUNTIF($A$4:$A795,$A795))</f>
        <v/>
      </c>
    </row>
    <row r="796" customFormat="false" ht="16.5" hidden="false" customHeight="false" outlineLevel="0" collapsed="false">
      <c r="A796" s="44" t="str">
        <f aca="false">IF($C796="","",IFERROR(VLOOKUP($C796,目录!$B:$C,2,0)&amp;"","⚠目录里没有"))</f>
        <v/>
      </c>
      <c r="B796" s="45" t="str">
        <f aca="false">IF($D796="","",IFERROR(MID($D796,FIND(".",$D796)+1,FIND(".",$D796,FIND(".",$D796)+1)-FIND(".",$D796)-1)&amp;"月",""))</f>
        <v/>
      </c>
      <c r="C796" s="46"/>
      <c r="D796" s="47"/>
      <c r="E796" s="47"/>
      <c r="F796" s="49"/>
      <c r="G796" s="50"/>
      <c r="H796" s="24"/>
      <c r="I796" s="24" t="str">
        <f aca="false">IF($H796="","",N($H796)*N($G796))</f>
        <v/>
      </c>
      <c r="J796" s="25" t="str">
        <f aca="false">IF($H796="","",N($H796)-N($I796))</f>
        <v/>
      </c>
      <c r="K796" s="25"/>
      <c r="L796" s="25" t="str">
        <f aca="false">IF($A796="","",SUMIF($A$4:$A796,$A796,$J$4:$J796)-SUMIF($A$4:$A796,$A796,$K$4:$K796))</f>
        <v/>
      </c>
      <c r="M796" s="26" t="str">
        <f aca="false">IF($H796="","",N($H796))</f>
        <v/>
      </c>
      <c r="N796" s="26"/>
      <c r="O796" s="26"/>
      <c r="P796" s="26" t="str">
        <f aca="false">IF($A796="","",SUMIF($A$4:$A796,$A796,$M$4:$M796)-SUMIF($A$4:$A796,$A796,$N$4:$N796)-SUMIF($A$4:$A796,$A796,$O$4:$O796))</f>
        <v/>
      </c>
      <c r="Q796" s="27"/>
      <c r="R796" s="28"/>
      <c r="S796" s="28"/>
      <c r="T796" s="28" t="str">
        <f aca="false">IF($A796="","",SUMIF($A$4:$A796,$A796,$Q$4:$Q796)-SUMIF($A$4:$A796,$A796,$R$4:$R796)-SUMIF($A$4:$A796,$A796,$S$4:$S796))</f>
        <v/>
      </c>
      <c r="U796" s="28"/>
      <c r="V796" s="29" t="str">
        <f aca="false">IF(AND($C796="",COUNTA($D796:$H796,$K796,$N796:$O796,$Q796:$S796,$U796)=0),"",IF($C796="","⚠ 没填项目名称",IF($A796="⚠目录里没有","⚠ 项目名称在目录里找不到（先加到目录）",IF($A796="","⚠ 目录里这个项目没填简称",IF(ISTEXT($G796)+ISTEXT($H796)+ISTEXT($K796)+ISTEXT($N796)+ISTEXT($O796)+ISTEXT($Q796)+ISTEXT($R796)+ISTEXT($S796)&gt;0,"⚠ 金额列里有文字，算不进合计",IF(N($G796)&gt;=1,"⚠ 管理费点要填百分比，如 10%",IF(AND($D796&lt;&gt;"",$B796=""),"△ 摘要开头没写日期（如 2026.9.21），月份取不到",IF(AND(N($H796)&lt;&gt;0,COUNTIFS($A$4:$A$1003,$A796,$H$4:$H$1003,$H796,$D$4:$D$1003,LEFT($D796,9)&amp;"*")&gt;1),"△ 同一天同项目有一样的销售金额，看看是不是录重了","✓"))))))))</f>
        <v/>
      </c>
      <c r="W796" s="8" t="str">
        <f aca="false">IF($A796="","",$A796&amp;"#"&amp;COUNTIF($A$4:$A796,$A796))</f>
        <v/>
      </c>
    </row>
    <row r="797" customFormat="false" ht="16.5" hidden="false" customHeight="false" outlineLevel="0" collapsed="false">
      <c r="A797" s="44" t="str">
        <f aca="false">IF($C797="","",IFERROR(VLOOKUP($C797,目录!$B:$C,2,0)&amp;"","⚠目录里没有"))</f>
        <v/>
      </c>
      <c r="B797" s="45" t="str">
        <f aca="false">IF($D797="","",IFERROR(MID($D797,FIND(".",$D797)+1,FIND(".",$D797,FIND(".",$D797)+1)-FIND(".",$D797)-1)&amp;"月",""))</f>
        <v/>
      </c>
      <c r="C797" s="46"/>
      <c r="D797" s="47"/>
      <c r="E797" s="47"/>
      <c r="F797" s="49"/>
      <c r="G797" s="50"/>
      <c r="H797" s="24"/>
      <c r="I797" s="24" t="str">
        <f aca="false">IF($H797="","",N($H797)*N($G797))</f>
        <v/>
      </c>
      <c r="J797" s="25" t="str">
        <f aca="false">IF($H797="","",N($H797)-N($I797))</f>
        <v/>
      </c>
      <c r="K797" s="25"/>
      <c r="L797" s="25" t="str">
        <f aca="false">IF($A797="","",SUMIF($A$4:$A797,$A797,$J$4:$J797)-SUMIF($A$4:$A797,$A797,$K$4:$K797))</f>
        <v/>
      </c>
      <c r="M797" s="26" t="str">
        <f aca="false">IF($H797="","",N($H797))</f>
        <v/>
      </c>
      <c r="N797" s="26"/>
      <c r="O797" s="26"/>
      <c r="P797" s="26" t="str">
        <f aca="false">IF($A797="","",SUMIF($A$4:$A797,$A797,$M$4:$M797)-SUMIF($A$4:$A797,$A797,$N$4:$N797)-SUMIF($A$4:$A797,$A797,$O$4:$O797))</f>
        <v/>
      </c>
      <c r="Q797" s="27"/>
      <c r="R797" s="28"/>
      <c r="S797" s="28"/>
      <c r="T797" s="28" t="str">
        <f aca="false">IF($A797="","",SUMIF($A$4:$A797,$A797,$Q$4:$Q797)-SUMIF($A$4:$A797,$A797,$R$4:$R797)-SUMIF($A$4:$A797,$A797,$S$4:$S797))</f>
        <v/>
      </c>
      <c r="U797" s="28"/>
      <c r="V797" s="29" t="str">
        <f aca="false">IF(AND($C797="",COUNTA($D797:$H797,$K797,$N797:$O797,$Q797:$S797,$U797)=0),"",IF($C797="","⚠ 没填项目名称",IF($A797="⚠目录里没有","⚠ 项目名称在目录里找不到（先加到目录）",IF($A797="","⚠ 目录里这个项目没填简称",IF(ISTEXT($G797)+ISTEXT($H797)+ISTEXT($K797)+ISTEXT($N797)+ISTEXT($O797)+ISTEXT($Q797)+ISTEXT($R797)+ISTEXT($S797)&gt;0,"⚠ 金额列里有文字，算不进合计",IF(N($G797)&gt;=1,"⚠ 管理费点要填百分比，如 10%",IF(AND($D797&lt;&gt;"",$B797=""),"△ 摘要开头没写日期（如 2026.9.21），月份取不到",IF(AND(N($H797)&lt;&gt;0,COUNTIFS($A$4:$A$1003,$A797,$H$4:$H$1003,$H797,$D$4:$D$1003,LEFT($D797,9)&amp;"*")&gt;1),"△ 同一天同项目有一样的销售金额，看看是不是录重了","✓"))))))))</f>
        <v/>
      </c>
      <c r="W797" s="8" t="str">
        <f aca="false">IF($A797="","",$A797&amp;"#"&amp;COUNTIF($A$4:$A797,$A797))</f>
        <v/>
      </c>
    </row>
    <row r="798" customFormat="false" ht="16.5" hidden="false" customHeight="false" outlineLevel="0" collapsed="false">
      <c r="A798" s="44" t="str">
        <f aca="false">IF($C798="","",IFERROR(VLOOKUP($C798,目录!$B:$C,2,0)&amp;"","⚠目录里没有"))</f>
        <v/>
      </c>
      <c r="B798" s="45" t="str">
        <f aca="false">IF($D798="","",IFERROR(MID($D798,FIND(".",$D798)+1,FIND(".",$D798,FIND(".",$D798)+1)-FIND(".",$D798)-1)&amp;"月",""))</f>
        <v/>
      </c>
      <c r="C798" s="46"/>
      <c r="D798" s="47"/>
      <c r="E798" s="47"/>
      <c r="F798" s="49"/>
      <c r="G798" s="50"/>
      <c r="H798" s="24"/>
      <c r="I798" s="24" t="str">
        <f aca="false">IF($H798="","",N($H798)*N($G798))</f>
        <v/>
      </c>
      <c r="J798" s="25" t="str">
        <f aca="false">IF($H798="","",N($H798)-N($I798))</f>
        <v/>
      </c>
      <c r="K798" s="25"/>
      <c r="L798" s="25" t="str">
        <f aca="false">IF($A798="","",SUMIF($A$4:$A798,$A798,$J$4:$J798)-SUMIF($A$4:$A798,$A798,$K$4:$K798))</f>
        <v/>
      </c>
      <c r="M798" s="26" t="str">
        <f aca="false">IF($H798="","",N($H798))</f>
        <v/>
      </c>
      <c r="N798" s="26"/>
      <c r="O798" s="26"/>
      <c r="P798" s="26" t="str">
        <f aca="false">IF($A798="","",SUMIF($A$4:$A798,$A798,$M$4:$M798)-SUMIF($A$4:$A798,$A798,$N$4:$N798)-SUMIF($A$4:$A798,$A798,$O$4:$O798))</f>
        <v/>
      </c>
      <c r="Q798" s="27"/>
      <c r="R798" s="28"/>
      <c r="S798" s="28"/>
      <c r="T798" s="28" t="str">
        <f aca="false">IF($A798="","",SUMIF($A$4:$A798,$A798,$Q$4:$Q798)-SUMIF($A$4:$A798,$A798,$R$4:$R798)-SUMIF($A$4:$A798,$A798,$S$4:$S798))</f>
        <v/>
      </c>
      <c r="U798" s="28"/>
      <c r="V798" s="29" t="str">
        <f aca="false">IF(AND($C798="",COUNTA($D798:$H798,$K798,$N798:$O798,$Q798:$S798,$U798)=0),"",IF($C798="","⚠ 没填项目名称",IF($A798="⚠目录里没有","⚠ 项目名称在目录里找不到（先加到目录）",IF($A798="","⚠ 目录里这个项目没填简称",IF(ISTEXT($G798)+ISTEXT($H798)+ISTEXT($K798)+ISTEXT($N798)+ISTEXT($O798)+ISTEXT($Q798)+ISTEXT($R798)+ISTEXT($S798)&gt;0,"⚠ 金额列里有文字，算不进合计",IF(N($G798)&gt;=1,"⚠ 管理费点要填百分比，如 10%",IF(AND($D798&lt;&gt;"",$B798=""),"△ 摘要开头没写日期（如 2026.9.21），月份取不到",IF(AND(N($H798)&lt;&gt;0,COUNTIFS($A$4:$A$1003,$A798,$H$4:$H$1003,$H798,$D$4:$D$1003,LEFT($D798,9)&amp;"*")&gt;1),"△ 同一天同项目有一样的销售金额，看看是不是录重了","✓"))))))))</f>
        <v/>
      </c>
      <c r="W798" s="8" t="str">
        <f aca="false">IF($A798="","",$A798&amp;"#"&amp;COUNTIF($A$4:$A798,$A798))</f>
        <v/>
      </c>
    </row>
    <row r="799" customFormat="false" ht="16.5" hidden="false" customHeight="false" outlineLevel="0" collapsed="false">
      <c r="A799" s="44" t="str">
        <f aca="false">IF($C799="","",IFERROR(VLOOKUP($C799,目录!$B:$C,2,0)&amp;"","⚠目录里没有"))</f>
        <v/>
      </c>
      <c r="B799" s="45" t="str">
        <f aca="false">IF($D799="","",IFERROR(MID($D799,FIND(".",$D799)+1,FIND(".",$D799,FIND(".",$D799)+1)-FIND(".",$D799)-1)&amp;"月",""))</f>
        <v/>
      </c>
      <c r="C799" s="46"/>
      <c r="D799" s="47"/>
      <c r="E799" s="47"/>
      <c r="F799" s="49"/>
      <c r="G799" s="50"/>
      <c r="H799" s="24"/>
      <c r="I799" s="24" t="str">
        <f aca="false">IF($H799="","",N($H799)*N($G799))</f>
        <v/>
      </c>
      <c r="J799" s="25" t="str">
        <f aca="false">IF($H799="","",N($H799)-N($I799))</f>
        <v/>
      </c>
      <c r="K799" s="25"/>
      <c r="L799" s="25" t="str">
        <f aca="false">IF($A799="","",SUMIF($A$4:$A799,$A799,$J$4:$J799)-SUMIF($A$4:$A799,$A799,$K$4:$K799))</f>
        <v/>
      </c>
      <c r="M799" s="26" t="str">
        <f aca="false">IF($H799="","",N($H799))</f>
        <v/>
      </c>
      <c r="N799" s="26"/>
      <c r="O799" s="26"/>
      <c r="P799" s="26" t="str">
        <f aca="false">IF($A799="","",SUMIF($A$4:$A799,$A799,$M$4:$M799)-SUMIF($A$4:$A799,$A799,$N$4:$N799)-SUMIF($A$4:$A799,$A799,$O$4:$O799))</f>
        <v/>
      </c>
      <c r="Q799" s="27"/>
      <c r="R799" s="28"/>
      <c r="S799" s="28"/>
      <c r="T799" s="28" t="str">
        <f aca="false">IF($A799="","",SUMIF($A$4:$A799,$A799,$Q$4:$Q799)-SUMIF($A$4:$A799,$A799,$R$4:$R799)-SUMIF($A$4:$A799,$A799,$S$4:$S799))</f>
        <v/>
      </c>
      <c r="U799" s="28"/>
      <c r="V799" s="29" t="str">
        <f aca="false">IF(AND($C799="",COUNTA($D799:$H799,$K799,$N799:$O799,$Q799:$S799,$U799)=0),"",IF($C799="","⚠ 没填项目名称",IF($A799="⚠目录里没有","⚠ 项目名称在目录里找不到（先加到目录）",IF($A799="","⚠ 目录里这个项目没填简称",IF(ISTEXT($G799)+ISTEXT($H799)+ISTEXT($K799)+ISTEXT($N799)+ISTEXT($O799)+ISTEXT($Q799)+ISTEXT($R799)+ISTEXT($S799)&gt;0,"⚠ 金额列里有文字，算不进合计",IF(N($G799)&gt;=1,"⚠ 管理费点要填百分比，如 10%",IF(AND($D799&lt;&gt;"",$B799=""),"△ 摘要开头没写日期（如 2026.9.21），月份取不到",IF(AND(N($H799)&lt;&gt;0,COUNTIFS($A$4:$A$1003,$A799,$H$4:$H$1003,$H799,$D$4:$D$1003,LEFT($D799,9)&amp;"*")&gt;1),"△ 同一天同项目有一样的销售金额，看看是不是录重了","✓"))))))))</f>
        <v/>
      </c>
      <c r="W799" s="8" t="str">
        <f aca="false">IF($A799="","",$A799&amp;"#"&amp;COUNTIF($A$4:$A799,$A799))</f>
        <v/>
      </c>
    </row>
    <row r="800" customFormat="false" ht="16.5" hidden="false" customHeight="false" outlineLevel="0" collapsed="false">
      <c r="A800" s="44" t="str">
        <f aca="false">IF($C800="","",IFERROR(VLOOKUP($C800,目录!$B:$C,2,0)&amp;"","⚠目录里没有"))</f>
        <v/>
      </c>
      <c r="B800" s="45" t="str">
        <f aca="false">IF($D800="","",IFERROR(MID($D800,FIND(".",$D800)+1,FIND(".",$D800,FIND(".",$D800)+1)-FIND(".",$D800)-1)&amp;"月",""))</f>
        <v/>
      </c>
      <c r="C800" s="46"/>
      <c r="D800" s="47"/>
      <c r="E800" s="47"/>
      <c r="F800" s="49"/>
      <c r="G800" s="50"/>
      <c r="H800" s="24"/>
      <c r="I800" s="24" t="str">
        <f aca="false">IF($H800="","",N($H800)*N($G800))</f>
        <v/>
      </c>
      <c r="J800" s="25" t="str">
        <f aca="false">IF($H800="","",N($H800)-N($I800))</f>
        <v/>
      </c>
      <c r="K800" s="25"/>
      <c r="L800" s="25" t="str">
        <f aca="false">IF($A800="","",SUMIF($A$4:$A800,$A800,$J$4:$J800)-SUMIF($A$4:$A800,$A800,$K$4:$K800))</f>
        <v/>
      </c>
      <c r="M800" s="26" t="str">
        <f aca="false">IF($H800="","",N($H800))</f>
        <v/>
      </c>
      <c r="N800" s="26"/>
      <c r="O800" s="26"/>
      <c r="P800" s="26" t="str">
        <f aca="false">IF($A800="","",SUMIF($A$4:$A800,$A800,$M$4:$M800)-SUMIF($A$4:$A800,$A800,$N$4:$N800)-SUMIF($A$4:$A800,$A800,$O$4:$O800))</f>
        <v/>
      </c>
      <c r="Q800" s="27"/>
      <c r="R800" s="28"/>
      <c r="S800" s="28"/>
      <c r="T800" s="28" t="str">
        <f aca="false">IF($A800="","",SUMIF($A$4:$A800,$A800,$Q$4:$Q800)-SUMIF($A$4:$A800,$A800,$R$4:$R800)-SUMIF($A$4:$A800,$A800,$S$4:$S800))</f>
        <v/>
      </c>
      <c r="U800" s="28"/>
      <c r="V800" s="29" t="str">
        <f aca="false">IF(AND($C800="",COUNTA($D800:$H800,$K800,$N800:$O800,$Q800:$S800,$U800)=0),"",IF($C800="","⚠ 没填项目名称",IF($A800="⚠目录里没有","⚠ 项目名称在目录里找不到（先加到目录）",IF($A800="","⚠ 目录里这个项目没填简称",IF(ISTEXT($G800)+ISTEXT($H800)+ISTEXT($K800)+ISTEXT($N800)+ISTEXT($O800)+ISTEXT($Q800)+ISTEXT($R800)+ISTEXT($S800)&gt;0,"⚠ 金额列里有文字，算不进合计",IF(N($G800)&gt;=1,"⚠ 管理费点要填百分比，如 10%",IF(AND($D800&lt;&gt;"",$B800=""),"△ 摘要开头没写日期（如 2026.9.21），月份取不到",IF(AND(N($H800)&lt;&gt;0,COUNTIFS($A$4:$A$1003,$A800,$H$4:$H$1003,$H800,$D$4:$D$1003,LEFT($D800,9)&amp;"*")&gt;1),"△ 同一天同项目有一样的销售金额，看看是不是录重了","✓"))))))))</f>
        <v/>
      </c>
      <c r="W800" s="8" t="str">
        <f aca="false">IF($A800="","",$A800&amp;"#"&amp;COUNTIF($A$4:$A800,$A800))</f>
        <v/>
      </c>
    </row>
    <row r="801" customFormat="false" ht="16.5" hidden="false" customHeight="false" outlineLevel="0" collapsed="false">
      <c r="A801" s="44" t="str">
        <f aca="false">IF($C801="","",IFERROR(VLOOKUP($C801,目录!$B:$C,2,0)&amp;"","⚠目录里没有"))</f>
        <v/>
      </c>
      <c r="B801" s="45" t="str">
        <f aca="false">IF($D801="","",IFERROR(MID($D801,FIND(".",$D801)+1,FIND(".",$D801,FIND(".",$D801)+1)-FIND(".",$D801)-1)&amp;"月",""))</f>
        <v/>
      </c>
      <c r="C801" s="46"/>
      <c r="D801" s="47"/>
      <c r="E801" s="47"/>
      <c r="F801" s="49"/>
      <c r="G801" s="50"/>
      <c r="H801" s="24"/>
      <c r="I801" s="24" t="str">
        <f aca="false">IF($H801="","",N($H801)*N($G801))</f>
        <v/>
      </c>
      <c r="J801" s="25" t="str">
        <f aca="false">IF($H801="","",N($H801)-N($I801))</f>
        <v/>
      </c>
      <c r="K801" s="25"/>
      <c r="L801" s="25" t="str">
        <f aca="false">IF($A801="","",SUMIF($A$4:$A801,$A801,$J$4:$J801)-SUMIF($A$4:$A801,$A801,$K$4:$K801))</f>
        <v/>
      </c>
      <c r="M801" s="26" t="str">
        <f aca="false">IF($H801="","",N($H801))</f>
        <v/>
      </c>
      <c r="N801" s="26"/>
      <c r="O801" s="26"/>
      <c r="P801" s="26" t="str">
        <f aca="false">IF($A801="","",SUMIF($A$4:$A801,$A801,$M$4:$M801)-SUMIF($A$4:$A801,$A801,$N$4:$N801)-SUMIF($A$4:$A801,$A801,$O$4:$O801))</f>
        <v/>
      </c>
      <c r="Q801" s="27"/>
      <c r="R801" s="28"/>
      <c r="S801" s="28"/>
      <c r="T801" s="28" t="str">
        <f aca="false">IF($A801="","",SUMIF($A$4:$A801,$A801,$Q$4:$Q801)-SUMIF($A$4:$A801,$A801,$R$4:$R801)-SUMIF($A$4:$A801,$A801,$S$4:$S801))</f>
        <v/>
      </c>
      <c r="U801" s="28"/>
      <c r="V801" s="29" t="str">
        <f aca="false">IF(AND($C801="",COUNTA($D801:$H801,$K801,$N801:$O801,$Q801:$S801,$U801)=0),"",IF($C801="","⚠ 没填项目名称",IF($A801="⚠目录里没有","⚠ 项目名称在目录里找不到（先加到目录）",IF($A801="","⚠ 目录里这个项目没填简称",IF(ISTEXT($G801)+ISTEXT($H801)+ISTEXT($K801)+ISTEXT($N801)+ISTEXT($O801)+ISTEXT($Q801)+ISTEXT($R801)+ISTEXT($S801)&gt;0,"⚠ 金额列里有文字，算不进合计",IF(N($G801)&gt;=1,"⚠ 管理费点要填百分比，如 10%",IF(AND($D801&lt;&gt;"",$B801=""),"△ 摘要开头没写日期（如 2026.9.21），月份取不到",IF(AND(N($H801)&lt;&gt;0,COUNTIFS($A$4:$A$1003,$A801,$H$4:$H$1003,$H801,$D$4:$D$1003,LEFT($D801,9)&amp;"*")&gt;1),"△ 同一天同项目有一样的销售金额，看看是不是录重了","✓"))))))))</f>
        <v/>
      </c>
      <c r="W801" s="8" t="str">
        <f aca="false">IF($A801="","",$A801&amp;"#"&amp;COUNTIF($A$4:$A801,$A801))</f>
        <v/>
      </c>
    </row>
    <row r="802" customFormat="false" ht="16.5" hidden="false" customHeight="false" outlineLevel="0" collapsed="false">
      <c r="A802" s="44" t="str">
        <f aca="false">IF($C802="","",IFERROR(VLOOKUP($C802,目录!$B:$C,2,0)&amp;"","⚠目录里没有"))</f>
        <v/>
      </c>
      <c r="B802" s="45" t="str">
        <f aca="false">IF($D802="","",IFERROR(MID($D802,FIND(".",$D802)+1,FIND(".",$D802,FIND(".",$D802)+1)-FIND(".",$D802)-1)&amp;"月",""))</f>
        <v/>
      </c>
      <c r="C802" s="46"/>
      <c r="D802" s="47"/>
      <c r="E802" s="47"/>
      <c r="F802" s="49"/>
      <c r="G802" s="50"/>
      <c r="H802" s="24"/>
      <c r="I802" s="24" t="str">
        <f aca="false">IF($H802="","",N($H802)*N($G802))</f>
        <v/>
      </c>
      <c r="J802" s="25" t="str">
        <f aca="false">IF($H802="","",N($H802)-N($I802))</f>
        <v/>
      </c>
      <c r="K802" s="25"/>
      <c r="L802" s="25" t="str">
        <f aca="false">IF($A802="","",SUMIF($A$4:$A802,$A802,$J$4:$J802)-SUMIF($A$4:$A802,$A802,$K$4:$K802))</f>
        <v/>
      </c>
      <c r="M802" s="26" t="str">
        <f aca="false">IF($H802="","",N($H802))</f>
        <v/>
      </c>
      <c r="N802" s="26"/>
      <c r="O802" s="26"/>
      <c r="P802" s="26" t="str">
        <f aca="false">IF($A802="","",SUMIF($A$4:$A802,$A802,$M$4:$M802)-SUMIF($A$4:$A802,$A802,$N$4:$N802)-SUMIF($A$4:$A802,$A802,$O$4:$O802))</f>
        <v/>
      </c>
      <c r="Q802" s="27"/>
      <c r="R802" s="28"/>
      <c r="S802" s="28"/>
      <c r="T802" s="28" t="str">
        <f aca="false">IF($A802="","",SUMIF($A$4:$A802,$A802,$Q$4:$Q802)-SUMIF($A$4:$A802,$A802,$R$4:$R802)-SUMIF($A$4:$A802,$A802,$S$4:$S802))</f>
        <v/>
      </c>
      <c r="U802" s="28"/>
      <c r="V802" s="29" t="str">
        <f aca="false">IF(AND($C802="",COUNTA($D802:$H802,$K802,$N802:$O802,$Q802:$S802,$U802)=0),"",IF($C802="","⚠ 没填项目名称",IF($A802="⚠目录里没有","⚠ 项目名称在目录里找不到（先加到目录）",IF($A802="","⚠ 目录里这个项目没填简称",IF(ISTEXT($G802)+ISTEXT($H802)+ISTEXT($K802)+ISTEXT($N802)+ISTEXT($O802)+ISTEXT($Q802)+ISTEXT($R802)+ISTEXT($S802)&gt;0,"⚠ 金额列里有文字，算不进合计",IF(N($G802)&gt;=1,"⚠ 管理费点要填百分比，如 10%",IF(AND($D802&lt;&gt;"",$B802=""),"△ 摘要开头没写日期（如 2026.9.21），月份取不到",IF(AND(N($H802)&lt;&gt;0,COUNTIFS($A$4:$A$1003,$A802,$H$4:$H$1003,$H802,$D$4:$D$1003,LEFT($D802,9)&amp;"*")&gt;1),"△ 同一天同项目有一样的销售金额，看看是不是录重了","✓"))))))))</f>
        <v/>
      </c>
      <c r="W802" s="8" t="str">
        <f aca="false">IF($A802="","",$A802&amp;"#"&amp;COUNTIF($A$4:$A802,$A802))</f>
        <v/>
      </c>
    </row>
    <row r="803" customFormat="false" ht="16.5" hidden="false" customHeight="false" outlineLevel="0" collapsed="false">
      <c r="A803" s="44" t="str">
        <f aca="false">IF($C803="","",IFERROR(VLOOKUP($C803,目录!$B:$C,2,0)&amp;"","⚠目录里没有"))</f>
        <v/>
      </c>
      <c r="B803" s="45" t="str">
        <f aca="false">IF($D803="","",IFERROR(MID($D803,FIND(".",$D803)+1,FIND(".",$D803,FIND(".",$D803)+1)-FIND(".",$D803)-1)&amp;"月",""))</f>
        <v/>
      </c>
      <c r="C803" s="46"/>
      <c r="D803" s="47"/>
      <c r="E803" s="47"/>
      <c r="F803" s="49"/>
      <c r="G803" s="50"/>
      <c r="H803" s="24"/>
      <c r="I803" s="24" t="str">
        <f aca="false">IF($H803="","",N($H803)*N($G803))</f>
        <v/>
      </c>
      <c r="J803" s="25" t="str">
        <f aca="false">IF($H803="","",N($H803)-N($I803))</f>
        <v/>
      </c>
      <c r="K803" s="25"/>
      <c r="L803" s="25" t="str">
        <f aca="false">IF($A803="","",SUMIF($A$4:$A803,$A803,$J$4:$J803)-SUMIF($A$4:$A803,$A803,$K$4:$K803))</f>
        <v/>
      </c>
      <c r="M803" s="26" t="str">
        <f aca="false">IF($H803="","",N($H803))</f>
        <v/>
      </c>
      <c r="N803" s="26"/>
      <c r="O803" s="26"/>
      <c r="P803" s="26" t="str">
        <f aca="false">IF($A803="","",SUMIF($A$4:$A803,$A803,$M$4:$M803)-SUMIF($A$4:$A803,$A803,$N$4:$N803)-SUMIF($A$4:$A803,$A803,$O$4:$O803))</f>
        <v/>
      </c>
      <c r="Q803" s="27"/>
      <c r="R803" s="28"/>
      <c r="S803" s="28"/>
      <c r="T803" s="28" t="str">
        <f aca="false">IF($A803="","",SUMIF($A$4:$A803,$A803,$Q$4:$Q803)-SUMIF($A$4:$A803,$A803,$R$4:$R803)-SUMIF($A$4:$A803,$A803,$S$4:$S803))</f>
        <v/>
      </c>
      <c r="U803" s="28"/>
      <c r="V803" s="29" t="str">
        <f aca="false">IF(AND($C803="",COUNTA($D803:$H803,$K803,$N803:$O803,$Q803:$S803,$U803)=0),"",IF($C803="","⚠ 没填项目名称",IF($A803="⚠目录里没有","⚠ 项目名称在目录里找不到（先加到目录）",IF($A803="","⚠ 目录里这个项目没填简称",IF(ISTEXT($G803)+ISTEXT($H803)+ISTEXT($K803)+ISTEXT($N803)+ISTEXT($O803)+ISTEXT($Q803)+ISTEXT($R803)+ISTEXT($S803)&gt;0,"⚠ 金额列里有文字，算不进合计",IF(N($G803)&gt;=1,"⚠ 管理费点要填百分比，如 10%",IF(AND($D803&lt;&gt;"",$B803=""),"△ 摘要开头没写日期（如 2026.9.21），月份取不到",IF(AND(N($H803)&lt;&gt;0,COUNTIFS($A$4:$A$1003,$A803,$H$4:$H$1003,$H803,$D$4:$D$1003,LEFT($D803,9)&amp;"*")&gt;1),"△ 同一天同项目有一样的销售金额，看看是不是录重了","✓"))))))))</f>
        <v/>
      </c>
      <c r="W803" s="8" t="str">
        <f aca="false">IF($A803="","",$A803&amp;"#"&amp;COUNTIF($A$4:$A803,$A803))</f>
        <v/>
      </c>
    </row>
    <row r="804" customFormat="false" ht="16.5" hidden="false" customHeight="false" outlineLevel="0" collapsed="false">
      <c r="A804" s="44" t="str">
        <f aca="false">IF($C804="","",IFERROR(VLOOKUP($C804,目录!$B:$C,2,0)&amp;"","⚠目录里没有"))</f>
        <v/>
      </c>
      <c r="B804" s="45" t="str">
        <f aca="false">IF($D804="","",IFERROR(MID($D804,FIND(".",$D804)+1,FIND(".",$D804,FIND(".",$D804)+1)-FIND(".",$D804)-1)&amp;"月",""))</f>
        <v/>
      </c>
      <c r="C804" s="46"/>
      <c r="D804" s="47"/>
      <c r="E804" s="47"/>
      <c r="F804" s="49"/>
      <c r="G804" s="50"/>
      <c r="H804" s="24"/>
      <c r="I804" s="24" t="str">
        <f aca="false">IF($H804="","",N($H804)*N($G804))</f>
        <v/>
      </c>
      <c r="J804" s="25" t="str">
        <f aca="false">IF($H804="","",N($H804)-N($I804))</f>
        <v/>
      </c>
      <c r="K804" s="25"/>
      <c r="L804" s="25" t="str">
        <f aca="false">IF($A804="","",SUMIF($A$4:$A804,$A804,$J$4:$J804)-SUMIF($A$4:$A804,$A804,$K$4:$K804))</f>
        <v/>
      </c>
      <c r="M804" s="26" t="str">
        <f aca="false">IF($H804="","",N($H804))</f>
        <v/>
      </c>
      <c r="N804" s="26"/>
      <c r="O804" s="26"/>
      <c r="P804" s="26" t="str">
        <f aca="false">IF($A804="","",SUMIF($A$4:$A804,$A804,$M$4:$M804)-SUMIF($A$4:$A804,$A804,$N$4:$N804)-SUMIF($A$4:$A804,$A804,$O$4:$O804))</f>
        <v/>
      </c>
      <c r="Q804" s="27"/>
      <c r="R804" s="28"/>
      <c r="S804" s="28"/>
      <c r="T804" s="28" t="str">
        <f aca="false">IF($A804="","",SUMIF($A$4:$A804,$A804,$Q$4:$Q804)-SUMIF($A$4:$A804,$A804,$R$4:$R804)-SUMIF($A$4:$A804,$A804,$S$4:$S804))</f>
        <v/>
      </c>
      <c r="U804" s="28"/>
      <c r="V804" s="29" t="str">
        <f aca="false">IF(AND($C804="",COUNTA($D804:$H804,$K804,$N804:$O804,$Q804:$S804,$U804)=0),"",IF($C804="","⚠ 没填项目名称",IF($A804="⚠目录里没有","⚠ 项目名称在目录里找不到（先加到目录）",IF($A804="","⚠ 目录里这个项目没填简称",IF(ISTEXT($G804)+ISTEXT($H804)+ISTEXT($K804)+ISTEXT($N804)+ISTEXT($O804)+ISTEXT($Q804)+ISTEXT($R804)+ISTEXT($S804)&gt;0,"⚠ 金额列里有文字，算不进合计",IF(N($G804)&gt;=1,"⚠ 管理费点要填百分比，如 10%",IF(AND($D804&lt;&gt;"",$B804=""),"△ 摘要开头没写日期（如 2026.9.21），月份取不到",IF(AND(N($H804)&lt;&gt;0,COUNTIFS($A$4:$A$1003,$A804,$H$4:$H$1003,$H804,$D$4:$D$1003,LEFT($D804,9)&amp;"*")&gt;1),"△ 同一天同项目有一样的销售金额，看看是不是录重了","✓"))))))))</f>
        <v/>
      </c>
      <c r="W804" s="8" t="str">
        <f aca="false">IF($A804="","",$A804&amp;"#"&amp;COUNTIF($A$4:$A804,$A804))</f>
        <v/>
      </c>
    </row>
    <row r="805" customFormat="false" ht="16.5" hidden="false" customHeight="false" outlineLevel="0" collapsed="false">
      <c r="A805" s="44" t="str">
        <f aca="false">IF($C805="","",IFERROR(VLOOKUP($C805,目录!$B:$C,2,0)&amp;"","⚠目录里没有"))</f>
        <v/>
      </c>
      <c r="B805" s="45" t="str">
        <f aca="false">IF($D805="","",IFERROR(MID($D805,FIND(".",$D805)+1,FIND(".",$D805,FIND(".",$D805)+1)-FIND(".",$D805)-1)&amp;"月",""))</f>
        <v/>
      </c>
      <c r="C805" s="46"/>
      <c r="D805" s="47"/>
      <c r="E805" s="47"/>
      <c r="F805" s="49"/>
      <c r="G805" s="50"/>
      <c r="H805" s="24"/>
      <c r="I805" s="24" t="str">
        <f aca="false">IF($H805="","",N($H805)*N($G805))</f>
        <v/>
      </c>
      <c r="J805" s="25" t="str">
        <f aca="false">IF($H805="","",N($H805)-N($I805))</f>
        <v/>
      </c>
      <c r="K805" s="25"/>
      <c r="L805" s="25" t="str">
        <f aca="false">IF($A805="","",SUMIF($A$4:$A805,$A805,$J$4:$J805)-SUMIF($A$4:$A805,$A805,$K$4:$K805))</f>
        <v/>
      </c>
      <c r="M805" s="26" t="str">
        <f aca="false">IF($H805="","",N($H805))</f>
        <v/>
      </c>
      <c r="N805" s="26"/>
      <c r="O805" s="26"/>
      <c r="P805" s="26" t="str">
        <f aca="false">IF($A805="","",SUMIF($A$4:$A805,$A805,$M$4:$M805)-SUMIF($A$4:$A805,$A805,$N$4:$N805)-SUMIF($A$4:$A805,$A805,$O$4:$O805))</f>
        <v/>
      </c>
      <c r="Q805" s="27"/>
      <c r="R805" s="28"/>
      <c r="S805" s="28"/>
      <c r="T805" s="28" t="str">
        <f aca="false">IF($A805="","",SUMIF($A$4:$A805,$A805,$Q$4:$Q805)-SUMIF($A$4:$A805,$A805,$R$4:$R805)-SUMIF($A$4:$A805,$A805,$S$4:$S805))</f>
        <v/>
      </c>
      <c r="U805" s="28"/>
      <c r="V805" s="29" t="str">
        <f aca="false">IF(AND($C805="",COUNTA($D805:$H805,$K805,$N805:$O805,$Q805:$S805,$U805)=0),"",IF($C805="","⚠ 没填项目名称",IF($A805="⚠目录里没有","⚠ 项目名称在目录里找不到（先加到目录）",IF($A805="","⚠ 目录里这个项目没填简称",IF(ISTEXT($G805)+ISTEXT($H805)+ISTEXT($K805)+ISTEXT($N805)+ISTEXT($O805)+ISTEXT($Q805)+ISTEXT($R805)+ISTEXT($S805)&gt;0,"⚠ 金额列里有文字，算不进合计",IF(N($G805)&gt;=1,"⚠ 管理费点要填百分比，如 10%",IF(AND($D805&lt;&gt;"",$B805=""),"△ 摘要开头没写日期（如 2026.9.21），月份取不到",IF(AND(N($H805)&lt;&gt;0,COUNTIFS($A$4:$A$1003,$A805,$H$4:$H$1003,$H805,$D$4:$D$1003,LEFT($D805,9)&amp;"*")&gt;1),"△ 同一天同项目有一样的销售金额，看看是不是录重了","✓"))))))))</f>
        <v/>
      </c>
      <c r="W805" s="8" t="str">
        <f aca="false">IF($A805="","",$A805&amp;"#"&amp;COUNTIF($A$4:$A805,$A805))</f>
        <v/>
      </c>
    </row>
    <row r="806" customFormat="false" ht="16.5" hidden="false" customHeight="false" outlineLevel="0" collapsed="false">
      <c r="A806" s="44" t="str">
        <f aca="false">IF($C806="","",IFERROR(VLOOKUP($C806,目录!$B:$C,2,0)&amp;"","⚠目录里没有"))</f>
        <v/>
      </c>
      <c r="B806" s="45" t="str">
        <f aca="false">IF($D806="","",IFERROR(MID($D806,FIND(".",$D806)+1,FIND(".",$D806,FIND(".",$D806)+1)-FIND(".",$D806)-1)&amp;"月",""))</f>
        <v/>
      </c>
      <c r="C806" s="46"/>
      <c r="D806" s="47"/>
      <c r="E806" s="47"/>
      <c r="F806" s="49"/>
      <c r="G806" s="50"/>
      <c r="H806" s="24"/>
      <c r="I806" s="24" t="str">
        <f aca="false">IF($H806="","",N($H806)*N($G806))</f>
        <v/>
      </c>
      <c r="J806" s="25" t="str">
        <f aca="false">IF($H806="","",N($H806)-N($I806))</f>
        <v/>
      </c>
      <c r="K806" s="25"/>
      <c r="L806" s="25" t="str">
        <f aca="false">IF($A806="","",SUMIF($A$4:$A806,$A806,$J$4:$J806)-SUMIF($A$4:$A806,$A806,$K$4:$K806))</f>
        <v/>
      </c>
      <c r="M806" s="26" t="str">
        <f aca="false">IF($H806="","",N($H806))</f>
        <v/>
      </c>
      <c r="N806" s="26"/>
      <c r="O806" s="26"/>
      <c r="P806" s="26" t="str">
        <f aca="false">IF($A806="","",SUMIF($A$4:$A806,$A806,$M$4:$M806)-SUMIF($A$4:$A806,$A806,$N$4:$N806)-SUMIF($A$4:$A806,$A806,$O$4:$O806))</f>
        <v/>
      </c>
      <c r="Q806" s="27"/>
      <c r="R806" s="28"/>
      <c r="S806" s="28"/>
      <c r="T806" s="28" t="str">
        <f aca="false">IF($A806="","",SUMIF($A$4:$A806,$A806,$Q$4:$Q806)-SUMIF($A$4:$A806,$A806,$R$4:$R806)-SUMIF($A$4:$A806,$A806,$S$4:$S806))</f>
        <v/>
      </c>
      <c r="U806" s="28"/>
      <c r="V806" s="29" t="str">
        <f aca="false">IF(AND($C806="",COUNTA($D806:$H806,$K806,$N806:$O806,$Q806:$S806,$U806)=0),"",IF($C806="","⚠ 没填项目名称",IF($A806="⚠目录里没有","⚠ 项目名称在目录里找不到（先加到目录）",IF($A806="","⚠ 目录里这个项目没填简称",IF(ISTEXT($G806)+ISTEXT($H806)+ISTEXT($K806)+ISTEXT($N806)+ISTEXT($O806)+ISTEXT($Q806)+ISTEXT($R806)+ISTEXT($S806)&gt;0,"⚠ 金额列里有文字，算不进合计",IF(N($G806)&gt;=1,"⚠ 管理费点要填百分比，如 10%",IF(AND($D806&lt;&gt;"",$B806=""),"△ 摘要开头没写日期（如 2026.9.21），月份取不到",IF(AND(N($H806)&lt;&gt;0,COUNTIFS($A$4:$A$1003,$A806,$H$4:$H$1003,$H806,$D$4:$D$1003,LEFT($D806,9)&amp;"*")&gt;1),"△ 同一天同项目有一样的销售金额，看看是不是录重了","✓"))))))))</f>
        <v/>
      </c>
      <c r="W806" s="8" t="str">
        <f aca="false">IF($A806="","",$A806&amp;"#"&amp;COUNTIF($A$4:$A806,$A806))</f>
        <v/>
      </c>
    </row>
    <row r="807" customFormat="false" ht="16.5" hidden="false" customHeight="false" outlineLevel="0" collapsed="false">
      <c r="A807" s="44" t="str">
        <f aca="false">IF($C807="","",IFERROR(VLOOKUP($C807,目录!$B:$C,2,0)&amp;"","⚠目录里没有"))</f>
        <v/>
      </c>
      <c r="B807" s="45" t="str">
        <f aca="false">IF($D807="","",IFERROR(MID($D807,FIND(".",$D807)+1,FIND(".",$D807,FIND(".",$D807)+1)-FIND(".",$D807)-1)&amp;"月",""))</f>
        <v/>
      </c>
      <c r="C807" s="46"/>
      <c r="D807" s="47"/>
      <c r="E807" s="47"/>
      <c r="F807" s="49"/>
      <c r="G807" s="50"/>
      <c r="H807" s="24"/>
      <c r="I807" s="24" t="str">
        <f aca="false">IF($H807="","",N($H807)*N($G807))</f>
        <v/>
      </c>
      <c r="J807" s="25" t="str">
        <f aca="false">IF($H807="","",N($H807)-N($I807))</f>
        <v/>
      </c>
      <c r="K807" s="25"/>
      <c r="L807" s="25" t="str">
        <f aca="false">IF($A807="","",SUMIF($A$4:$A807,$A807,$J$4:$J807)-SUMIF($A$4:$A807,$A807,$K$4:$K807))</f>
        <v/>
      </c>
      <c r="M807" s="26" t="str">
        <f aca="false">IF($H807="","",N($H807))</f>
        <v/>
      </c>
      <c r="N807" s="26"/>
      <c r="O807" s="26"/>
      <c r="P807" s="26" t="str">
        <f aca="false">IF($A807="","",SUMIF($A$4:$A807,$A807,$M$4:$M807)-SUMIF($A$4:$A807,$A807,$N$4:$N807)-SUMIF($A$4:$A807,$A807,$O$4:$O807))</f>
        <v/>
      </c>
      <c r="Q807" s="27"/>
      <c r="R807" s="28"/>
      <c r="S807" s="28"/>
      <c r="T807" s="28" t="str">
        <f aca="false">IF($A807="","",SUMIF($A$4:$A807,$A807,$Q$4:$Q807)-SUMIF($A$4:$A807,$A807,$R$4:$R807)-SUMIF($A$4:$A807,$A807,$S$4:$S807))</f>
        <v/>
      </c>
      <c r="U807" s="28"/>
      <c r="V807" s="29" t="str">
        <f aca="false">IF(AND($C807="",COUNTA($D807:$H807,$K807,$N807:$O807,$Q807:$S807,$U807)=0),"",IF($C807="","⚠ 没填项目名称",IF($A807="⚠目录里没有","⚠ 项目名称在目录里找不到（先加到目录）",IF($A807="","⚠ 目录里这个项目没填简称",IF(ISTEXT($G807)+ISTEXT($H807)+ISTEXT($K807)+ISTEXT($N807)+ISTEXT($O807)+ISTEXT($Q807)+ISTEXT($R807)+ISTEXT($S807)&gt;0,"⚠ 金额列里有文字，算不进合计",IF(N($G807)&gt;=1,"⚠ 管理费点要填百分比，如 10%",IF(AND($D807&lt;&gt;"",$B807=""),"△ 摘要开头没写日期（如 2026.9.21），月份取不到",IF(AND(N($H807)&lt;&gt;0,COUNTIFS($A$4:$A$1003,$A807,$H$4:$H$1003,$H807,$D$4:$D$1003,LEFT($D807,9)&amp;"*")&gt;1),"△ 同一天同项目有一样的销售金额，看看是不是录重了","✓"))))))))</f>
        <v/>
      </c>
      <c r="W807" s="8" t="str">
        <f aca="false">IF($A807="","",$A807&amp;"#"&amp;COUNTIF($A$4:$A807,$A807))</f>
        <v/>
      </c>
    </row>
    <row r="808" customFormat="false" ht="16.5" hidden="false" customHeight="false" outlineLevel="0" collapsed="false">
      <c r="A808" s="44" t="str">
        <f aca="false">IF($C808="","",IFERROR(VLOOKUP($C808,目录!$B:$C,2,0)&amp;"","⚠目录里没有"))</f>
        <v/>
      </c>
      <c r="B808" s="45" t="str">
        <f aca="false">IF($D808="","",IFERROR(MID($D808,FIND(".",$D808)+1,FIND(".",$D808,FIND(".",$D808)+1)-FIND(".",$D808)-1)&amp;"月",""))</f>
        <v/>
      </c>
      <c r="C808" s="46"/>
      <c r="D808" s="47"/>
      <c r="E808" s="47"/>
      <c r="F808" s="49"/>
      <c r="G808" s="50"/>
      <c r="H808" s="24"/>
      <c r="I808" s="24" t="str">
        <f aca="false">IF($H808="","",N($H808)*N($G808))</f>
        <v/>
      </c>
      <c r="J808" s="25" t="str">
        <f aca="false">IF($H808="","",N($H808)-N($I808))</f>
        <v/>
      </c>
      <c r="K808" s="25"/>
      <c r="L808" s="25" t="str">
        <f aca="false">IF($A808="","",SUMIF($A$4:$A808,$A808,$J$4:$J808)-SUMIF($A$4:$A808,$A808,$K$4:$K808))</f>
        <v/>
      </c>
      <c r="M808" s="26" t="str">
        <f aca="false">IF($H808="","",N($H808))</f>
        <v/>
      </c>
      <c r="N808" s="26"/>
      <c r="O808" s="26"/>
      <c r="P808" s="26" t="str">
        <f aca="false">IF($A808="","",SUMIF($A$4:$A808,$A808,$M$4:$M808)-SUMIF($A$4:$A808,$A808,$N$4:$N808)-SUMIF($A$4:$A808,$A808,$O$4:$O808))</f>
        <v/>
      </c>
      <c r="Q808" s="27"/>
      <c r="R808" s="28"/>
      <c r="S808" s="28"/>
      <c r="T808" s="28" t="str">
        <f aca="false">IF($A808="","",SUMIF($A$4:$A808,$A808,$Q$4:$Q808)-SUMIF($A$4:$A808,$A808,$R$4:$R808)-SUMIF($A$4:$A808,$A808,$S$4:$S808))</f>
        <v/>
      </c>
      <c r="U808" s="28"/>
      <c r="V808" s="29" t="str">
        <f aca="false">IF(AND($C808="",COUNTA($D808:$H808,$K808,$N808:$O808,$Q808:$S808,$U808)=0),"",IF($C808="","⚠ 没填项目名称",IF($A808="⚠目录里没有","⚠ 项目名称在目录里找不到（先加到目录）",IF($A808="","⚠ 目录里这个项目没填简称",IF(ISTEXT($G808)+ISTEXT($H808)+ISTEXT($K808)+ISTEXT($N808)+ISTEXT($O808)+ISTEXT($Q808)+ISTEXT($R808)+ISTEXT($S808)&gt;0,"⚠ 金额列里有文字，算不进合计",IF(N($G808)&gt;=1,"⚠ 管理费点要填百分比，如 10%",IF(AND($D808&lt;&gt;"",$B808=""),"△ 摘要开头没写日期（如 2026.9.21），月份取不到",IF(AND(N($H808)&lt;&gt;0,COUNTIFS($A$4:$A$1003,$A808,$H$4:$H$1003,$H808,$D$4:$D$1003,LEFT($D808,9)&amp;"*")&gt;1),"△ 同一天同项目有一样的销售金额，看看是不是录重了","✓"))))))))</f>
        <v/>
      </c>
      <c r="W808" s="8" t="str">
        <f aca="false">IF($A808="","",$A808&amp;"#"&amp;COUNTIF($A$4:$A808,$A808))</f>
        <v/>
      </c>
    </row>
    <row r="809" customFormat="false" ht="16.5" hidden="false" customHeight="false" outlineLevel="0" collapsed="false">
      <c r="A809" s="44" t="str">
        <f aca="false">IF($C809="","",IFERROR(VLOOKUP($C809,目录!$B:$C,2,0)&amp;"","⚠目录里没有"))</f>
        <v/>
      </c>
      <c r="B809" s="45" t="str">
        <f aca="false">IF($D809="","",IFERROR(MID($D809,FIND(".",$D809)+1,FIND(".",$D809,FIND(".",$D809)+1)-FIND(".",$D809)-1)&amp;"月",""))</f>
        <v/>
      </c>
      <c r="C809" s="46"/>
      <c r="D809" s="47"/>
      <c r="E809" s="47"/>
      <c r="F809" s="49"/>
      <c r="G809" s="50"/>
      <c r="H809" s="24"/>
      <c r="I809" s="24" t="str">
        <f aca="false">IF($H809="","",N($H809)*N($G809))</f>
        <v/>
      </c>
      <c r="J809" s="25" t="str">
        <f aca="false">IF($H809="","",N($H809)-N($I809))</f>
        <v/>
      </c>
      <c r="K809" s="25"/>
      <c r="L809" s="25" t="str">
        <f aca="false">IF($A809="","",SUMIF($A$4:$A809,$A809,$J$4:$J809)-SUMIF($A$4:$A809,$A809,$K$4:$K809))</f>
        <v/>
      </c>
      <c r="M809" s="26" t="str">
        <f aca="false">IF($H809="","",N($H809))</f>
        <v/>
      </c>
      <c r="N809" s="26"/>
      <c r="O809" s="26"/>
      <c r="P809" s="26" t="str">
        <f aca="false">IF($A809="","",SUMIF($A$4:$A809,$A809,$M$4:$M809)-SUMIF($A$4:$A809,$A809,$N$4:$N809)-SUMIF($A$4:$A809,$A809,$O$4:$O809))</f>
        <v/>
      </c>
      <c r="Q809" s="27"/>
      <c r="R809" s="28"/>
      <c r="S809" s="28"/>
      <c r="T809" s="28" t="str">
        <f aca="false">IF($A809="","",SUMIF($A$4:$A809,$A809,$Q$4:$Q809)-SUMIF($A$4:$A809,$A809,$R$4:$R809)-SUMIF($A$4:$A809,$A809,$S$4:$S809))</f>
        <v/>
      </c>
      <c r="U809" s="28"/>
      <c r="V809" s="29" t="str">
        <f aca="false">IF(AND($C809="",COUNTA($D809:$H809,$K809,$N809:$O809,$Q809:$S809,$U809)=0),"",IF($C809="","⚠ 没填项目名称",IF($A809="⚠目录里没有","⚠ 项目名称在目录里找不到（先加到目录）",IF($A809="","⚠ 目录里这个项目没填简称",IF(ISTEXT($G809)+ISTEXT($H809)+ISTEXT($K809)+ISTEXT($N809)+ISTEXT($O809)+ISTEXT($Q809)+ISTEXT($R809)+ISTEXT($S809)&gt;0,"⚠ 金额列里有文字，算不进合计",IF(N($G809)&gt;=1,"⚠ 管理费点要填百分比，如 10%",IF(AND($D809&lt;&gt;"",$B809=""),"△ 摘要开头没写日期（如 2026.9.21），月份取不到",IF(AND(N($H809)&lt;&gt;0,COUNTIFS($A$4:$A$1003,$A809,$H$4:$H$1003,$H809,$D$4:$D$1003,LEFT($D809,9)&amp;"*")&gt;1),"△ 同一天同项目有一样的销售金额，看看是不是录重了","✓"))))))))</f>
        <v/>
      </c>
      <c r="W809" s="8" t="str">
        <f aca="false">IF($A809="","",$A809&amp;"#"&amp;COUNTIF($A$4:$A809,$A809))</f>
        <v/>
      </c>
    </row>
    <row r="810" customFormat="false" ht="16.5" hidden="false" customHeight="false" outlineLevel="0" collapsed="false">
      <c r="A810" s="44" t="str">
        <f aca="false">IF($C810="","",IFERROR(VLOOKUP($C810,目录!$B:$C,2,0)&amp;"","⚠目录里没有"))</f>
        <v/>
      </c>
      <c r="B810" s="45" t="str">
        <f aca="false">IF($D810="","",IFERROR(MID($D810,FIND(".",$D810)+1,FIND(".",$D810,FIND(".",$D810)+1)-FIND(".",$D810)-1)&amp;"月",""))</f>
        <v/>
      </c>
      <c r="C810" s="46"/>
      <c r="D810" s="47"/>
      <c r="E810" s="47"/>
      <c r="F810" s="49"/>
      <c r="G810" s="50"/>
      <c r="H810" s="24"/>
      <c r="I810" s="24" t="str">
        <f aca="false">IF($H810="","",N($H810)*N($G810))</f>
        <v/>
      </c>
      <c r="J810" s="25" t="str">
        <f aca="false">IF($H810="","",N($H810)-N($I810))</f>
        <v/>
      </c>
      <c r="K810" s="25"/>
      <c r="L810" s="25" t="str">
        <f aca="false">IF($A810="","",SUMIF($A$4:$A810,$A810,$J$4:$J810)-SUMIF($A$4:$A810,$A810,$K$4:$K810))</f>
        <v/>
      </c>
      <c r="M810" s="26" t="str">
        <f aca="false">IF($H810="","",N($H810))</f>
        <v/>
      </c>
      <c r="N810" s="26"/>
      <c r="O810" s="26"/>
      <c r="P810" s="26" t="str">
        <f aca="false">IF($A810="","",SUMIF($A$4:$A810,$A810,$M$4:$M810)-SUMIF($A$4:$A810,$A810,$N$4:$N810)-SUMIF($A$4:$A810,$A810,$O$4:$O810))</f>
        <v/>
      </c>
      <c r="Q810" s="27"/>
      <c r="R810" s="28"/>
      <c r="S810" s="28"/>
      <c r="T810" s="28" t="str">
        <f aca="false">IF($A810="","",SUMIF($A$4:$A810,$A810,$Q$4:$Q810)-SUMIF($A$4:$A810,$A810,$R$4:$R810)-SUMIF($A$4:$A810,$A810,$S$4:$S810))</f>
        <v/>
      </c>
      <c r="U810" s="28"/>
      <c r="V810" s="29" t="str">
        <f aca="false">IF(AND($C810="",COUNTA($D810:$H810,$K810,$N810:$O810,$Q810:$S810,$U810)=0),"",IF($C810="","⚠ 没填项目名称",IF($A810="⚠目录里没有","⚠ 项目名称在目录里找不到（先加到目录）",IF($A810="","⚠ 目录里这个项目没填简称",IF(ISTEXT($G810)+ISTEXT($H810)+ISTEXT($K810)+ISTEXT($N810)+ISTEXT($O810)+ISTEXT($Q810)+ISTEXT($R810)+ISTEXT($S810)&gt;0,"⚠ 金额列里有文字，算不进合计",IF(N($G810)&gt;=1,"⚠ 管理费点要填百分比，如 10%",IF(AND($D810&lt;&gt;"",$B810=""),"△ 摘要开头没写日期（如 2026.9.21），月份取不到",IF(AND(N($H810)&lt;&gt;0,COUNTIFS($A$4:$A$1003,$A810,$H$4:$H$1003,$H810,$D$4:$D$1003,LEFT($D810,9)&amp;"*")&gt;1),"△ 同一天同项目有一样的销售金额，看看是不是录重了","✓"))))))))</f>
        <v/>
      </c>
      <c r="W810" s="8" t="str">
        <f aca="false">IF($A810="","",$A810&amp;"#"&amp;COUNTIF($A$4:$A810,$A810))</f>
        <v/>
      </c>
    </row>
    <row r="811" customFormat="false" ht="16.5" hidden="false" customHeight="false" outlineLevel="0" collapsed="false">
      <c r="A811" s="44" t="str">
        <f aca="false">IF($C811="","",IFERROR(VLOOKUP($C811,目录!$B:$C,2,0)&amp;"","⚠目录里没有"))</f>
        <v/>
      </c>
      <c r="B811" s="45" t="str">
        <f aca="false">IF($D811="","",IFERROR(MID($D811,FIND(".",$D811)+1,FIND(".",$D811,FIND(".",$D811)+1)-FIND(".",$D811)-1)&amp;"月",""))</f>
        <v/>
      </c>
      <c r="C811" s="46"/>
      <c r="D811" s="47"/>
      <c r="E811" s="47"/>
      <c r="F811" s="49"/>
      <c r="G811" s="50"/>
      <c r="H811" s="24"/>
      <c r="I811" s="24" t="str">
        <f aca="false">IF($H811="","",N($H811)*N($G811))</f>
        <v/>
      </c>
      <c r="J811" s="25" t="str">
        <f aca="false">IF($H811="","",N($H811)-N($I811))</f>
        <v/>
      </c>
      <c r="K811" s="25"/>
      <c r="L811" s="25" t="str">
        <f aca="false">IF($A811="","",SUMIF($A$4:$A811,$A811,$J$4:$J811)-SUMIF($A$4:$A811,$A811,$K$4:$K811))</f>
        <v/>
      </c>
      <c r="M811" s="26" t="str">
        <f aca="false">IF($H811="","",N($H811))</f>
        <v/>
      </c>
      <c r="N811" s="26"/>
      <c r="O811" s="26"/>
      <c r="P811" s="26" t="str">
        <f aca="false">IF($A811="","",SUMIF($A$4:$A811,$A811,$M$4:$M811)-SUMIF($A$4:$A811,$A811,$N$4:$N811)-SUMIF($A$4:$A811,$A811,$O$4:$O811))</f>
        <v/>
      </c>
      <c r="Q811" s="27"/>
      <c r="R811" s="28"/>
      <c r="S811" s="28"/>
      <c r="T811" s="28" t="str">
        <f aca="false">IF($A811="","",SUMIF($A$4:$A811,$A811,$Q$4:$Q811)-SUMIF($A$4:$A811,$A811,$R$4:$R811)-SUMIF($A$4:$A811,$A811,$S$4:$S811))</f>
        <v/>
      </c>
      <c r="U811" s="28"/>
      <c r="V811" s="29" t="str">
        <f aca="false">IF(AND($C811="",COUNTA($D811:$H811,$K811,$N811:$O811,$Q811:$S811,$U811)=0),"",IF($C811="","⚠ 没填项目名称",IF($A811="⚠目录里没有","⚠ 项目名称在目录里找不到（先加到目录）",IF($A811="","⚠ 目录里这个项目没填简称",IF(ISTEXT($G811)+ISTEXT($H811)+ISTEXT($K811)+ISTEXT($N811)+ISTEXT($O811)+ISTEXT($Q811)+ISTEXT($R811)+ISTEXT($S811)&gt;0,"⚠ 金额列里有文字，算不进合计",IF(N($G811)&gt;=1,"⚠ 管理费点要填百分比，如 10%",IF(AND($D811&lt;&gt;"",$B811=""),"△ 摘要开头没写日期（如 2026.9.21），月份取不到",IF(AND(N($H811)&lt;&gt;0,COUNTIFS($A$4:$A$1003,$A811,$H$4:$H$1003,$H811,$D$4:$D$1003,LEFT($D811,9)&amp;"*")&gt;1),"△ 同一天同项目有一样的销售金额，看看是不是录重了","✓"))))))))</f>
        <v/>
      </c>
      <c r="W811" s="8" t="str">
        <f aca="false">IF($A811="","",$A811&amp;"#"&amp;COUNTIF($A$4:$A811,$A811))</f>
        <v/>
      </c>
    </row>
    <row r="812" customFormat="false" ht="16.5" hidden="false" customHeight="false" outlineLevel="0" collapsed="false">
      <c r="A812" s="44" t="str">
        <f aca="false">IF($C812="","",IFERROR(VLOOKUP($C812,目录!$B:$C,2,0)&amp;"","⚠目录里没有"))</f>
        <v/>
      </c>
      <c r="B812" s="45" t="str">
        <f aca="false">IF($D812="","",IFERROR(MID($D812,FIND(".",$D812)+1,FIND(".",$D812,FIND(".",$D812)+1)-FIND(".",$D812)-1)&amp;"月",""))</f>
        <v/>
      </c>
      <c r="C812" s="46"/>
      <c r="D812" s="47"/>
      <c r="E812" s="47"/>
      <c r="F812" s="49"/>
      <c r="G812" s="50"/>
      <c r="H812" s="24"/>
      <c r="I812" s="24" t="str">
        <f aca="false">IF($H812="","",N($H812)*N($G812))</f>
        <v/>
      </c>
      <c r="J812" s="25" t="str">
        <f aca="false">IF($H812="","",N($H812)-N($I812))</f>
        <v/>
      </c>
      <c r="K812" s="25"/>
      <c r="L812" s="25" t="str">
        <f aca="false">IF($A812="","",SUMIF($A$4:$A812,$A812,$J$4:$J812)-SUMIF($A$4:$A812,$A812,$K$4:$K812))</f>
        <v/>
      </c>
      <c r="M812" s="26" t="str">
        <f aca="false">IF($H812="","",N($H812))</f>
        <v/>
      </c>
      <c r="N812" s="26"/>
      <c r="O812" s="26"/>
      <c r="P812" s="26" t="str">
        <f aca="false">IF($A812="","",SUMIF($A$4:$A812,$A812,$M$4:$M812)-SUMIF($A$4:$A812,$A812,$N$4:$N812)-SUMIF($A$4:$A812,$A812,$O$4:$O812))</f>
        <v/>
      </c>
      <c r="Q812" s="27"/>
      <c r="R812" s="28"/>
      <c r="S812" s="28"/>
      <c r="T812" s="28" t="str">
        <f aca="false">IF($A812="","",SUMIF($A$4:$A812,$A812,$Q$4:$Q812)-SUMIF($A$4:$A812,$A812,$R$4:$R812)-SUMIF($A$4:$A812,$A812,$S$4:$S812))</f>
        <v/>
      </c>
      <c r="U812" s="28"/>
      <c r="V812" s="29" t="str">
        <f aca="false">IF(AND($C812="",COUNTA($D812:$H812,$K812,$N812:$O812,$Q812:$S812,$U812)=0),"",IF($C812="","⚠ 没填项目名称",IF($A812="⚠目录里没有","⚠ 项目名称在目录里找不到（先加到目录）",IF($A812="","⚠ 目录里这个项目没填简称",IF(ISTEXT($G812)+ISTEXT($H812)+ISTEXT($K812)+ISTEXT($N812)+ISTEXT($O812)+ISTEXT($Q812)+ISTEXT($R812)+ISTEXT($S812)&gt;0,"⚠ 金额列里有文字，算不进合计",IF(N($G812)&gt;=1,"⚠ 管理费点要填百分比，如 10%",IF(AND($D812&lt;&gt;"",$B812=""),"△ 摘要开头没写日期（如 2026.9.21），月份取不到",IF(AND(N($H812)&lt;&gt;0,COUNTIFS($A$4:$A$1003,$A812,$H$4:$H$1003,$H812,$D$4:$D$1003,LEFT($D812,9)&amp;"*")&gt;1),"△ 同一天同项目有一样的销售金额，看看是不是录重了","✓"))))))))</f>
        <v/>
      </c>
      <c r="W812" s="8" t="str">
        <f aca="false">IF($A812="","",$A812&amp;"#"&amp;COUNTIF($A$4:$A812,$A812))</f>
        <v/>
      </c>
    </row>
    <row r="813" customFormat="false" ht="16.5" hidden="false" customHeight="false" outlineLevel="0" collapsed="false">
      <c r="A813" s="44" t="str">
        <f aca="false">IF($C813="","",IFERROR(VLOOKUP($C813,目录!$B:$C,2,0)&amp;"","⚠目录里没有"))</f>
        <v/>
      </c>
      <c r="B813" s="45" t="str">
        <f aca="false">IF($D813="","",IFERROR(MID($D813,FIND(".",$D813)+1,FIND(".",$D813,FIND(".",$D813)+1)-FIND(".",$D813)-1)&amp;"月",""))</f>
        <v/>
      </c>
      <c r="C813" s="46"/>
      <c r="D813" s="47"/>
      <c r="E813" s="47"/>
      <c r="F813" s="49"/>
      <c r="G813" s="50"/>
      <c r="H813" s="24"/>
      <c r="I813" s="24" t="str">
        <f aca="false">IF($H813="","",N($H813)*N($G813))</f>
        <v/>
      </c>
      <c r="J813" s="25" t="str">
        <f aca="false">IF($H813="","",N($H813)-N($I813))</f>
        <v/>
      </c>
      <c r="K813" s="25"/>
      <c r="L813" s="25" t="str">
        <f aca="false">IF($A813="","",SUMIF($A$4:$A813,$A813,$J$4:$J813)-SUMIF($A$4:$A813,$A813,$K$4:$K813))</f>
        <v/>
      </c>
      <c r="M813" s="26" t="str">
        <f aca="false">IF($H813="","",N($H813))</f>
        <v/>
      </c>
      <c r="N813" s="26"/>
      <c r="O813" s="26"/>
      <c r="P813" s="26" t="str">
        <f aca="false">IF($A813="","",SUMIF($A$4:$A813,$A813,$M$4:$M813)-SUMIF($A$4:$A813,$A813,$N$4:$N813)-SUMIF($A$4:$A813,$A813,$O$4:$O813))</f>
        <v/>
      </c>
      <c r="Q813" s="27"/>
      <c r="R813" s="28"/>
      <c r="S813" s="28"/>
      <c r="T813" s="28" t="str">
        <f aca="false">IF($A813="","",SUMIF($A$4:$A813,$A813,$Q$4:$Q813)-SUMIF($A$4:$A813,$A813,$R$4:$R813)-SUMIF($A$4:$A813,$A813,$S$4:$S813))</f>
        <v/>
      </c>
      <c r="U813" s="28"/>
      <c r="V813" s="29" t="str">
        <f aca="false">IF(AND($C813="",COUNTA($D813:$H813,$K813,$N813:$O813,$Q813:$S813,$U813)=0),"",IF($C813="","⚠ 没填项目名称",IF($A813="⚠目录里没有","⚠ 项目名称在目录里找不到（先加到目录）",IF($A813="","⚠ 目录里这个项目没填简称",IF(ISTEXT($G813)+ISTEXT($H813)+ISTEXT($K813)+ISTEXT($N813)+ISTEXT($O813)+ISTEXT($Q813)+ISTEXT($R813)+ISTEXT($S813)&gt;0,"⚠ 金额列里有文字，算不进合计",IF(N($G813)&gt;=1,"⚠ 管理费点要填百分比，如 10%",IF(AND($D813&lt;&gt;"",$B813=""),"△ 摘要开头没写日期（如 2026.9.21），月份取不到",IF(AND(N($H813)&lt;&gt;0,COUNTIFS($A$4:$A$1003,$A813,$H$4:$H$1003,$H813,$D$4:$D$1003,LEFT($D813,9)&amp;"*")&gt;1),"△ 同一天同项目有一样的销售金额，看看是不是录重了","✓"))))))))</f>
        <v/>
      </c>
      <c r="W813" s="8" t="str">
        <f aca="false">IF($A813="","",$A813&amp;"#"&amp;COUNTIF($A$4:$A813,$A813))</f>
        <v/>
      </c>
    </row>
    <row r="814" customFormat="false" ht="16.5" hidden="false" customHeight="false" outlineLevel="0" collapsed="false">
      <c r="A814" s="44" t="str">
        <f aca="false">IF($C814="","",IFERROR(VLOOKUP($C814,目录!$B:$C,2,0)&amp;"","⚠目录里没有"))</f>
        <v/>
      </c>
      <c r="B814" s="45" t="str">
        <f aca="false">IF($D814="","",IFERROR(MID($D814,FIND(".",$D814)+1,FIND(".",$D814,FIND(".",$D814)+1)-FIND(".",$D814)-1)&amp;"月",""))</f>
        <v/>
      </c>
      <c r="C814" s="46"/>
      <c r="D814" s="47"/>
      <c r="E814" s="47"/>
      <c r="F814" s="49"/>
      <c r="G814" s="50"/>
      <c r="H814" s="24"/>
      <c r="I814" s="24" t="str">
        <f aca="false">IF($H814="","",N($H814)*N($G814))</f>
        <v/>
      </c>
      <c r="J814" s="25" t="str">
        <f aca="false">IF($H814="","",N($H814)-N($I814))</f>
        <v/>
      </c>
      <c r="K814" s="25"/>
      <c r="L814" s="25" t="str">
        <f aca="false">IF($A814="","",SUMIF($A$4:$A814,$A814,$J$4:$J814)-SUMIF($A$4:$A814,$A814,$K$4:$K814))</f>
        <v/>
      </c>
      <c r="M814" s="26" t="str">
        <f aca="false">IF($H814="","",N($H814))</f>
        <v/>
      </c>
      <c r="N814" s="26"/>
      <c r="O814" s="26"/>
      <c r="P814" s="26" t="str">
        <f aca="false">IF($A814="","",SUMIF($A$4:$A814,$A814,$M$4:$M814)-SUMIF($A$4:$A814,$A814,$N$4:$N814)-SUMIF($A$4:$A814,$A814,$O$4:$O814))</f>
        <v/>
      </c>
      <c r="Q814" s="27"/>
      <c r="R814" s="28"/>
      <c r="S814" s="28"/>
      <c r="T814" s="28" t="str">
        <f aca="false">IF($A814="","",SUMIF($A$4:$A814,$A814,$Q$4:$Q814)-SUMIF($A$4:$A814,$A814,$R$4:$R814)-SUMIF($A$4:$A814,$A814,$S$4:$S814))</f>
        <v/>
      </c>
      <c r="U814" s="28"/>
      <c r="V814" s="29" t="str">
        <f aca="false">IF(AND($C814="",COUNTA($D814:$H814,$K814,$N814:$O814,$Q814:$S814,$U814)=0),"",IF($C814="","⚠ 没填项目名称",IF($A814="⚠目录里没有","⚠ 项目名称在目录里找不到（先加到目录）",IF($A814="","⚠ 目录里这个项目没填简称",IF(ISTEXT($G814)+ISTEXT($H814)+ISTEXT($K814)+ISTEXT($N814)+ISTEXT($O814)+ISTEXT($Q814)+ISTEXT($R814)+ISTEXT($S814)&gt;0,"⚠ 金额列里有文字，算不进合计",IF(N($G814)&gt;=1,"⚠ 管理费点要填百分比，如 10%",IF(AND($D814&lt;&gt;"",$B814=""),"△ 摘要开头没写日期（如 2026.9.21），月份取不到",IF(AND(N($H814)&lt;&gt;0,COUNTIFS($A$4:$A$1003,$A814,$H$4:$H$1003,$H814,$D$4:$D$1003,LEFT($D814,9)&amp;"*")&gt;1),"△ 同一天同项目有一样的销售金额，看看是不是录重了","✓"))))))))</f>
        <v/>
      </c>
      <c r="W814" s="8" t="str">
        <f aca="false">IF($A814="","",$A814&amp;"#"&amp;COUNTIF($A$4:$A814,$A814))</f>
        <v/>
      </c>
    </row>
    <row r="815" customFormat="false" ht="16.5" hidden="false" customHeight="false" outlineLevel="0" collapsed="false">
      <c r="A815" s="44" t="str">
        <f aca="false">IF($C815="","",IFERROR(VLOOKUP($C815,目录!$B:$C,2,0)&amp;"","⚠目录里没有"))</f>
        <v/>
      </c>
      <c r="B815" s="45" t="str">
        <f aca="false">IF($D815="","",IFERROR(MID($D815,FIND(".",$D815)+1,FIND(".",$D815,FIND(".",$D815)+1)-FIND(".",$D815)-1)&amp;"月",""))</f>
        <v/>
      </c>
      <c r="C815" s="46"/>
      <c r="D815" s="47"/>
      <c r="E815" s="47"/>
      <c r="F815" s="49"/>
      <c r="G815" s="50"/>
      <c r="H815" s="24"/>
      <c r="I815" s="24" t="str">
        <f aca="false">IF($H815="","",N($H815)*N($G815))</f>
        <v/>
      </c>
      <c r="J815" s="25" t="str">
        <f aca="false">IF($H815="","",N($H815)-N($I815))</f>
        <v/>
      </c>
      <c r="K815" s="25"/>
      <c r="L815" s="25" t="str">
        <f aca="false">IF($A815="","",SUMIF($A$4:$A815,$A815,$J$4:$J815)-SUMIF($A$4:$A815,$A815,$K$4:$K815))</f>
        <v/>
      </c>
      <c r="M815" s="26" t="str">
        <f aca="false">IF($H815="","",N($H815))</f>
        <v/>
      </c>
      <c r="N815" s="26"/>
      <c r="O815" s="26"/>
      <c r="P815" s="26" t="str">
        <f aca="false">IF($A815="","",SUMIF($A$4:$A815,$A815,$M$4:$M815)-SUMIF($A$4:$A815,$A815,$N$4:$N815)-SUMIF($A$4:$A815,$A815,$O$4:$O815))</f>
        <v/>
      </c>
      <c r="Q815" s="27"/>
      <c r="R815" s="28"/>
      <c r="S815" s="28"/>
      <c r="T815" s="28" t="str">
        <f aca="false">IF($A815="","",SUMIF($A$4:$A815,$A815,$Q$4:$Q815)-SUMIF($A$4:$A815,$A815,$R$4:$R815)-SUMIF($A$4:$A815,$A815,$S$4:$S815))</f>
        <v/>
      </c>
      <c r="U815" s="28"/>
      <c r="V815" s="29" t="str">
        <f aca="false">IF(AND($C815="",COUNTA($D815:$H815,$K815,$N815:$O815,$Q815:$S815,$U815)=0),"",IF($C815="","⚠ 没填项目名称",IF($A815="⚠目录里没有","⚠ 项目名称在目录里找不到（先加到目录）",IF($A815="","⚠ 目录里这个项目没填简称",IF(ISTEXT($G815)+ISTEXT($H815)+ISTEXT($K815)+ISTEXT($N815)+ISTEXT($O815)+ISTEXT($Q815)+ISTEXT($R815)+ISTEXT($S815)&gt;0,"⚠ 金额列里有文字，算不进合计",IF(N($G815)&gt;=1,"⚠ 管理费点要填百分比，如 10%",IF(AND($D815&lt;&gt;"",$B815=""),"△ 摘要开头没写日期（如 2026.9.21），月份取不到",IF(AND(N($H815)&lt;&gt;0,COUNTIFS($A$4:$A$1003,$A815,$H$4:$H$1003,$H815,$D$4:$D$1003,LEFT($D815,9)&amp;"*")&gt;1),"△ 同一天同项目有一样的销售金额，看看是不是录重了","✓"))))))))</f>
        <v/>
      </c>
      <c r="W815" s="8" t="str">
        <f aca="false">IF($A815="","",$A815&amp;"#"&amp;COUNTIF($A$4:$A815,$A815))</f>
        <v/>
      </c>
    </row>
    <row r="816" customFormat="false" ht="16.5" hidden="false" customHeight="false" outlineLevel="0" collapsed="false">
      <c r="A816" s="44" t="str">
        <f aca="false">IF($C816="","",IFERROR(VLOOKUP($C816,目录!$B:$C,2,0)&amp;"","⚠目录里没有"))</f>
        <v/>
      </c>
      <c r="B816" s="45" t="str">
        <f aca="false">IF($D816="","",IFERROR(MID($D816,FIND(".",$D816)+1,FIND(".",$D816,FIND(".",$D816)+1)-FIND(".",$D816)-1)&amp;"月",""))</f>
        <v/>
      </c>
      <c r="C816" s="46"/>
      <c r="D816" s="47"/>
      <c r="E816" s="47"/>
      <c r="F816" s="49"/>
      <c r="G816" s="50"/>
      <c r="H816" s="24"/>
      <c r="I816" s="24" t="str">
        <f aca="false">IF($H816="","",N($H816)*N($G816))</f>
        <v/>
      </c>
      <c r="J816" s="25" t="str">
        <f aca="false">IF($H816="","",N($H816)-N($I816))</f>
        <v/>
      </c>
      <c r="K816" s="25"/>
      <c r="L816" s="25" t="str">
        <f aca="false">IF($A816="","",SUMIF($A$4:$A816,$A816,$J$4:$J816)-SUMIF($A$4:$A816,$A816,$K$4:$K816))</f>
        <v/>
      </c>
      <c r="M816" s="26" t="str">
        <f aca="false">IF($H816="","",N($H816))</f>
        <v/>
      </c>
      <c r="N816" s="26"/>
      <c r="O816" s="26"/>
      <c r="P816" s="26" t="str">
        <f aca="false">IF($A816="","",SUMIF($A$4:$A816,$A816,$M$4:$M816)-SUMIF($A$4:$A816,$A816,$N$4:$N816)-SUMIF($A$4:$A816,$A816,$O$4:$O816))</f>
        <v/>
      </c>
      <c r="Q816" s="27"/>
      <c r="R816" s="28"/>
      <c r="S816" s="28"/>
      <c r="T816" s="28" t="str">
        <f aca="false">IF($A816="","",SUMIF($A$4:$A816,$A816,$Q$4:$Q816)-SUMIF($A$4:$A816,$A816,$R$4:$R816)-SUMIF($A$4:$A816,$A816,$S$4:$S816))</f>
        <v/>
      </c>
      <c r="U816" s="28"/>
      <c r="V816" s="29" t="str">
        <f aca="false">IF(AND($C816="",COUNTA($D816:$H816,$K816,$N816:$O816,$Q816:$S816,$U816)=0),"",IF($C816="","⚠ 没填项目名称",IF($A816="⚠目录里没有","⚠ 项目名称在目录里找不到（先加到目录）",IF($A816="","⚠ 目录里这个项目没填简称",IF(ISTEXT($G816)+ISTEXT($H816)+ISTEXT($K816)+ISTEXT($N816)+ISTEXT($O816)+ISTEXT($Q816)+ISTEXT($R816)+ISTEXT($S816)&gt;0,"⚠ 金额列里有文字，算不进合计",IF(N($G816)&gt;=1,"⚠ 管理费点要填百分比，如 10%",IF(AND($D816&lt;&gt;"",$B816=""),"△ 摘要开头没写日期（如 2026.9.21），月份取不到",IF(AND(N($H816)&lt;&gt;0,COUNTIFS($A$4:$A$1003,$A816,$H$4:$H$1003,$H816,$D$4:$D$1003,LEFT($D816,9)&amp;"*")&gt;1),"△ 同一天同项目有一样的销售金额，看看是不是录重了","✓"))))))))</f>
        <v/>
      </c>
      <c r="W816" s="8" t="str">
        <f aca="false">IF($A816="","",$A816&amp;"#"&amp;COUNTIF($A$4:$A816,$A816))</f>
        <v/>
      </c>
    </row>
    <row r="817" customFormat="false" ht="16.5" hidden="false" customHeight="false" outlineLevel="0" collapsed="false">
      <c r="A817" s="44" t="str">
        <f aca="false">IF($C817="","",IFERROR(VLOOKUP($C817,目录!$B:$C,2,0)&amp;"","⚠目录里没有"))</f>
        <v/>
      </c>
      <c r="B817" s="45" t="str">
        <f aca="false">IF($D817="","",IFERROR(MID($D817,FIND(".",$D817)+1,FIND(".",$D817,FIND(".",$D817)+1)-FIND(".",$D817)-1)&amp;"月",""))</f>
        <v/>
      </c>
      <c r="C817" s="46"/>
      <c r="D817" s="47"/>
      <c r="E817" s="47"/>
      <c r="F817" s="49"/>
      <c r="G817" s="50"/>
      <c r="H817" s="24"/>
      <c r="I817" s="24" t="str">
        <f aca="false">IF($H817="","",N($H817)*N($G817))</f>
        <v/>
      </c>
      <c r="J817" s="25" t="str">
        <f aca="false">IF($H817="","",N($H817)-N($I817))</f>
        <v/>
      </c>
      <c r="K817" s="25"/>
      <c r="L817" s="25" t="str">
        <f aca="false">IF($A817="","",SUMIF($A$4:$A817,$A817,$J$4:$J817)-SUMIF($A$4:$A817,$A817,$K$4:$K817))</f>
        <v/>
      </c>
      <c r="M817" s="26" t="str">
        <f aca="false">IF($H817="","",N($H817))</f>
        <v/>
      </c>
      <c r="N817" s="26"/>
      <c r="O817" s="26"/>
      <c r="P817" s="26" t="str">
        <f aca="false">IF($A817="","",SUMIF($A$4:$A817,$A817,$M$4:$M817)-SUMIF($A$4:$A817,$A817,$N$4:$N817)-SUMIF($A$4:$A817,$A817,$O$4:$O817))</f>
        <v/>
      </c>
      <c r="Q817" s="27"/>
      <c r="R817" s="28"/>
      <c r="S817" s="28"/>
      <c r="T817" s="28" t="str">
        <f aca="false">IF($A817="","",SUMIF($A$4:$A817,$A817,$Q$4:$Q817)-SUMIF($A$4:$A817,$A817,$R$4:$R817)-SUMIF($A$4:$A817,$A817,$S$4:$S817))</f>
        <v/>
      </c>
      <c r="U817" s="28"/>
      <c r="V817" s="29" t="str">
        <f aca="false">IF(AND($C817="",COUNTA($D817:$H817,$K817,$N817:$O817,$Q817:$S817,$U817)=0),"",IF($C817="","⚠ 没填项目名称",IF($A817="⚠目录里没有","⚠ 项目名称在目录里找不到（先加到目录）",IF($A817="","⚠ 目录里这个项目没填简称",IF(ISTEXT($G817)+ISTEXT($H817)+ISTEXT($K817)+ISTEXT($N817)+ISTEXT($O817)+ISTEXT($Q817)+ISTEXT($R817)+ISTEXT($S817)&gt;0,"⚠ 金额列里有文字，算不进合计",IF(N($G817)&gt;=1,"⚠ 管理费点要填百分比，如 10%",IF(AND($D817&lt;&gt;"",$B817=""),"△ 摘要开头没写日期（如 2026.9.21），月份取不到",IF(AND(N($H817)&lt;&gt;0,COUNTIFS($A$4:$A$1003,$A817,$H$4:$H$1003,$H817,$D$4:$D$1003,LEFT($D817,9)&amp;"*")&gt;1),"△ 同一天同项目有一样的销售金额，看看是不是录重了","✓"))))))))</f>
        <v/>
      </c>
      <c r="W817" s="8" t="str">
        <f aca="false">IF($A817="","",$A817&amp;"#"&amp;COUNTIF($A$4:$A817,$A817))</f>
        <v/>
      </c>
    </row>
    <row r="818" customFormat="false" ht="16.5" hidden="false" customHeight="false" outlineLevel="0" collapsed="false">
      <c r="A818" s="44" t="str">
        <f aca="false">IF($C818="","",IFERROR(VLOOKUP($C818,目录!$B:$C,2,0)&amp;"","⚠目录里没有"))</f>
        <v/>
      </c>
      <c r="B818" s="45" t="str">
        <f aca="false">IF($D818="","",IFERROR(MID($D818,FIND(".",$D818)+1,FIND(".",$D818,FIND(".",$D818)+1)-FIND(".",$D818)-1)&amp;"月",""))</f>
        <v/>
      </c>
      <c r="C818" s="46"/>
      <c r="D818" s="47"/>
      <c r="E818" s="47"/>
      <c r="F818" s="49"/>
      <c r="G818" s="50"/>
      <c r="H818" s="24"/>
      <c r="I818" s="24" t="str">
        <f aca="false">IF($H818="","",N($H818)*N($G818))</f>
        <v/>
      </c>
      <c r="J818" s="25" t="str">
        <f aca="false">IF($H818="","",N($H818)-N($I818))</f>
        <v/>
      </c>
      <c r="K818" s="25"/>
      <c r="L818" s="25" t="str">
        <f aca="false">IF($A818="","",SUMIF($A$4:$A818,$A818,$J$4:$J818)-SUMIF($A$4:$A818,$A818,$K$4:$K818))</f>
        <v/>
      </c>
      <c r="M818" s="26" t="str">
        <f aca="false">IF($H818="","",N($H818))</f>
        <v/>
      </c>
      <c r="N818" s="26"/>
      <c r="O818" s="26"/>
      <c r="P818" s="26" t="str">
        <f aca="false">IF($A818="","",SUMIF($A$4:$A818,$A818,$M$4:$M818)-SUMIF($A$4:$A818,$A818,$N$4:$N818)-SUMIF($A$4:$A818,$A818,$O$4:$O818))</f>
        <v/>
      </c>
      <c r="Q818" s="27"/>
      <c r="R818" s="28"/>
      <c r="S818" s="28"/>
      <c r="T818" s="28" t="str">
        <f aca="false">IF($A818="","",SUMIF($A$4:$A818,$A818,$Q$4:$Q818)-SUMIF($A$4:$A818,$A818,$R$4:$R818)-SUMIF($A$4:$A818,$A818,$S$4:$S818))</f>
        <v/>
      </c>
      <c r="U818" s="28"/>
      <c r="V818" s="29" t="str">
        <f aca="false">IF(AND($C818="",COUNTA($D818:$H818,$K818,$N818:$O818,$Q818:$S818,$U818)=0),"",IF($C818="","⚠ 没填项目名称",IF($A818="⚠目录里没有","⚠ 项目名称在目录里找不到（先加到目录）",IF($A818="","⚠ 目录里这个项目没填简称",IF(ISTEXT($G818)+ISTEXT($H818)+ISTEXT($K818)+ISTEXT($N818)+ISTEXT($O818)+ISTEXT($Q818)+ISTEXT($R818)+ISTEXT($S818)&gt;0,"⚠ 金额列里有文字，算不进合计",IF(N($G818)&gt;=1,"⚠ 管理费点要填百分比，如 10%",IF(AND($D818&lt;&gt;"",$B818=""),"△ 摘要开头没写日期（如 2026.9.21），月份取不到",IF(AND(N($H818)&lt;&gt;0,COUNTIFS($A$4:$A$1003,$A818,$H$4:$H$1003,$H818,$D$4:$D$1003,LEFT($D818,9)&amp;"*")&gt;1),"△ 同一天同项目有一样的销售金额，看看是不是录重了","✓"))))))))</f>
        <v/>
      </c>
      <c r="W818" s="8" t="str">
        <f aca="false">IF($A818="","",$A818&amp;"#"&amp;COUNTIF($A$4:$A818,$A818))</f>
        <v/>
      </c>
    </row>
    <row r="819" customFormat="false" ht="16.5" hidden="false" customHeight="false" outlineLevel="0" collapsed="false">
      <c r="A819" s="44" t="str">
        <f aca="false">IF($C819="","",IFERROR(VLOOKUP($C819,目录!$B:$C,2,0)&amp;"","⚠目录里没有"))</f>
        <v/>
      </c>
      <c r="B819" s="45" t="str">
        <f aca="false">IF($D819="","",IFERROR(MID($D819,FIND(".",$D819)+1,FIND(".",$D819,FIND(".",$D819)+1)-FIND(".",$D819)-1)&amp;"月",""))</f>
        <v/>
      </c>
      <c r="C819" s="46"/>
      <c r="D819" s="47"/>
      <c r="E819" s="47"/>
      <c r="F819" s="49"/>
      <c r="G819" s="50"/>
      <c r="H819" s="24"/>
      <c r="I819" s="24" t="str">
        <f aca="false">IF($H819="","",N($H819)*N($G819))</f>
        <v/>
      </c>
      <c r="J819" s="25" t="str">
        <f aca="false">IF($H819="","",N($H819)-N($I819))</f>
        <v/>
      </c>
      <c r="K819" s="25"/>
      <c r="L819" s="25" t="str">
        <f aca="false">IF($A819="","",SUMIF($A$4:$A819,$A819,$J$4:$J819)-SUMIF($A$4:$A819,$A819,$K$4:$K819))</f>
        <v/>
      </c>
      <c r="M819" s="26" t="str">
        <f aca="false">IF($H819="","",N($H819))</f>
        <v/>
      </c>
      <c r="N819" s="26"/>
      <c r="O819" s="26"/>
      <c r="P819" s="26" t="str">
        <f aca="false">IF($A819="","",SUMIF($A$4:$A819,$A819,$M$4:$M819)-SUMIF($A$4:$A819,$A819,$N$4:$N819)-SUMIF($A$4:$A819,$A819,$O$4:$O819))</f>
        <v/>
      </c>
      <c r="Q819" s="27"/>
      <c r="R819" s="28"/>
      <c r="S819" s="28"/>
      <c r="T819" s="28" t="str">
        <f aca="false">IF($A819="","",SUMIF($A$4:$A819,$A819,$Q$4:$Q819)-SUMIF($A$4:$A819,$A819,$R$4:$R819)-SUMIF($A$4:$A819,$A819,$S$4:$S819))</f>
        <v/>
      </c>
      <c r="U819" s="28"/>
      <c r="V819" s="29" t="str">
        <f aca="false">IF(AND($C819="",COUNTA($D819:$H819,$K819,$N819:$O819,$Q819:$S819,$U819)=0),"",IF($C819="","⚠ 没填项目名称",IF($A819="⚠目录里没有","⚠ 项目名称在目录里找不到（先加到目录）",IF($A819="","⚠ 目录里这个项目没填简称",IF(ISTEXT($G819)+ISTEXT($H819)+ISTEXT($K819)+ISTEXT($N819)+ISTEXT($O819)+ISTEXT($Q819)+ISTEXT($R819)+ISTEXT($S819)&gt;0,"⚠ 金额列里有文字，算不进合计",IF(N($G819)&gt;=1,"⚠ 管理费点要填百分比，如 10%",IF(AND($D819&lt;&gt;"",$B819=""),"△ 摘要开头没写日期（如 2026.9.21），月份取不到",IF(AND(N($H819)&lt;&gt;0,COUNTIFS($A$4:$A$1003,$A819,$H$4:$H$1003,$H819,$D$4:$D$1003,LEFT($D819,9)&amp;"*")&gt;1),"△ 同一天同项目有一样的销售金额，看看是不是录重了","✓"))))))))</f>
        <v/>
      </c>
      <c r="W819" s="8" t="str">
        <f aca="false">IF($A819="","",$A819&amp;"#"&amp;COUNTIF($A$4:$A819,$A819))</f>
        <v/>
      </c>
    </row>
    <row r="820" customFormat="false" ht="16.5" hidden="false" customHeight="false" outlineLevel="0" collapsed="false">
      <c r="A820" s="44" t="str">
        <f aca="false">IF($C820="","",IFERROR(VLOOKUP($C820,目录!$B:$C,2,0)&amp;"","⚠目录里没有"))</f>
        <v/>
      </c>
      <c r="B820" s="45" t="str">
        <f aca="false">IF($D820="","",IFERROR(MID($D820,FIND(".",$D820)+1,FIND(".",$D820,FIND(".",$D820)+1)-FIND(".",$D820)-1)&amp;"月",""))</f>
        <v/>
      </c>
      <c r="C820" s="46"/>
      <c r="D820" s="47"/>
      <c r="E820" s="47"/>
      <c r="F820" s="49"/>
      <c r="G820" s="50"/>
      <c r="H820" s="24"/>
      <c r="I820" s="24" t="str">
        <f aca="false">IF($H820="","",N($H820)*N($G820))</f>
        <v/>
      </c>
      <c r="J820" s="25" t="str">
        <f aca="false">IF($H820="","",N($H820)-N($I820))</f>
        <v/>
      </c>
      <c r="K820" s="25"/>
      <c r="L820" s="25" t="str">
        <f aca="false">IF($A820="","",SUMIF($A$4:$A820,$A820,$J$4:$J820)-SUMIF($A$4:$A820,$A820,$K$4:$K820))</f>
        <v/>
      </c>
      <c r="M820" s="26" t="str">
        <f aca="false">IF($H820="","",N($H820))</f>
        <v/>
      </c>
      <c r="N820" s="26"/>
      <c r="O820" s="26"/>
      <c r="P820" s="26" t="str">
        <f aca="false">IF($A820="","",SUMIF($A$4:$A820,$A820,$M$4:$M820)-SUMIF($A$4:$A820,$A820,$N$4:$N820)-SUMIF($A$4:$A820,$A820,$O$4:$O820))</f>
        <v/>
      </c>
      <c r="Q820" s="27"/>
      <c r="R820" s="28"/>
      <c r="S820" s="28"/>
      <c r="T820" s="28" t="str">
        <f aca="false">IF($A820="","",SUMIF($A$4:$A820,$A820,$Q$4:$Q820)-SUMIF($A$4:$A820,$A820,$R$4:$R820)-SUMIF($A$4:$A820,$A820,$S$4:$S820))</f>
        <v/>
      </c>
      <c r="U820" s="28"/>
      <c r="V820" s="29" t="str">
        <f aca="false">IF(AND($C820="",COUNTA($D820:$H820,$K820,$N820:$O820,$Q820:$S820,$U820)=0),"",IF($C820="","⚠ 没填项目名称",IF($A820="⚠目录里没有","⚠ 项目名称在目录里找不到（先加到目录）",IF($A820="","⚠ 目录里这个项目没填简称",IF(ISTEXT($G820)+ISTEXT($H820)+ISTEXT($K820)+ISTEXT($N820)+ISTEXT($O820)+ISTEXT($Q820)+ISTEXT($R820)+ISTEXT($S820)&gt;0,"⚠ 金额列里有文字，算不进合计",IF(N($G820)&gt;=1,"⚠ 管理费点要填百分比，如 10%",IF(AND($D820&lt;&gt;"",$B820=""),"△ 摘要开头没写日期（如 2026.9.21），月份取不到",IF(AND(N($H820)&lt;&gt;0,COUNTIFS($A$4:$A$1003,$A820,$H$4:$H$1003,$H820,$D$4:$D$1003,LEFT($D820,9)&amp;"*")&gt;1),"△ 同一天同项目有一样的销售金额，看看是不是录重了","✓"))))))))</f>
        <v/>
      </c>
      <c r="W820" s="8" t="str">
        <f aca="false">IF($A820="","",$A820&amp;"#"&amp;COUNTIF($A$4:$A820,$A820))</f>
        <v/>
      </c>
    </row>
    <row r="821" customFormat="false" ht="16.5" hidden="false" customHeight="false" outlineLevel="0" collapsed="false">
      <c r="A821" s="44" t="str">
        <f aca="false">IF($C821="","",IFERROR(VLOOKUP($C821,目录!$B:$C,2,0)&amp;"","⚠目录里没有"))</f>
        <v/>
      </c>
      <c r="B821" s="45" t="str">
        <f aca="false">IF($D821="","",IFERROR(MID($D821,FIND(".",$D821)+1,FIND(".",$D821,FIND(".",$D821)+1)-FIND(".",$D821)-1)&amp;"月",""))</f>
        <v/>
      </c>
      <c r="C821" s="46"/>
      <c r="D821" s="47"/>
      <c r="E821" s="47"/>
      <c r="F821" s="49"/>
      <c r="G821" s="50"/>
      <c r="H821" s="24"/>
      <c r="I821" s="24" t="str">
        <f aca="false">IF($H821="","",N($H821)*N($G821))</f>
        <v/>
      </c>
      <c r="J821" s="25" t="str">
        <f aca="false">IF($H821="","",N($H821)-N($I821))</f>
        <v/>
      </c>
      <c r="K821" s="25"/>
      <c r="L821" s="25" t="str">
        <f aca="false">IF($A821="","",SUMIF($A$4:$A821,$A821,$J$4:$J821)-SUMIF($A$4:$A821,$A821,$K$4:$K821))</f>
        <v/>
      </c>
      <c r="M821" s="26" t="str">
        <f aca="false">IF($H821="","",N($H821))</f>
        <v/>
      </c>
      <c r="N821" s="26"/>
      <c r="O821" s="26"/>
      <c r="P821" s="26" t="str">
        <f aca="false">IF($A821="","",SUMIF($A$4:$A821,$A821,$M$4:$M821)-SUMIF($A$4:$A821,$A821,$N$4:$N821)-SUMIF($A$4:$A821,$A821,$O$4:$O821))</f>
        <v/>
      </c>
      <c r="Q821" s="27"/>
      <c r="R821" s="28"/>
      <c r="S821" s="28"/>
      <c r="T821" s="28" t="str">
        <f aca="false">IF($A821="","",SUMIF($A$4:$A821,$A821,$Q$4:$Q821)-SUMIF($A$4:$A821,$A821,$R$4:$R821)-SUMIF($A$4:$A821,$A821,$S$4:$S821))</f>
        <v/>
      </c>
      <c r="U821" s="28"/>
      <c r="V821" s="29" t="str">
        <f aca="false">IF(AND($C821="",COUNTA($D821:$H821,$K821,$N821:$O821,$Q821:$S821,$U821)=0),"",IF($C821="","⚠ 没填项目名称",IF($A821="⚠目录里没有","⚠ 项目名称在目录里找不到（先加到目录）",IF($A821="","⚠ 目录里这个项目没填简称",IF(ISTEXT($G821)+ISTEXT($H821)+ISTEXT($K821)+ISTEXT($N821)+ISTEXT($O821)+ISTEXT($Q821)+ISTEXT($R821)+ISTEXT($S821)&gt;0,"⚠ 金额列里有文字，算不进合计",IF(N($G821)&gt;=1,"⚠ 管理费点要填百分比，如 10%",IF(AND($D821&lt;&gt;"",$B821=""),"△ 摘要开头没写日期（如 2026.9.21），月份取不到",IF(AND(N($H821)&lt;&gt;0,COUNTIFS($A$4:$A$1003,$A821,$H$4:$H$1003,$H821,$D$4:$D$1003,LEFT($D821,9)&amp;"*")&gt;1),"△ 同一天同项目有一样的销售金额，看看是不是录重了","✓"))))))))</f>
        <v/>
      </c>
      <c r="W821" s="8" t="str">
        <f aca="false">IF($A821="","",$A821&amp;"#"&amp;COUNTIF($A$4:$A821,$A821))</f>
        <v/>
      </c>
    </row>
    <row r="822" customFormat="false" ht="16.5" hidden="false" customHeight="false" outlineLevel="0" collapsed="false">
      <c r="A822" s="44" t="str">
        <f aca="false">IF($C822="","",IFERROR(VLOOKUP($C822,目录!$B:$C,2,0)&amp;"","⚠目录里没有"))</f>
        <v/>
      </c>
      <c r="B822" s="45" t="str">
        <f aca="false">IF($D822="","",IFERROR(MID($D822,FIND(".",$D822)+1,FIND(".",$D822,FIND(".",$D822)+1)-FIND(".",$D822)-1)&amp;"月",""))</f>
        <v/>
      </c>
      <c r="C822" s="46"/>
      <c r="D822" s="47"/>
      <c r="E822" s="47"/>
      <c r="F822" s="49"/>
      <c r="G822" s="50"/>
      <c r="H822" s="24"/>
      <c r="I822" s="24" t="str">
        <f aca="false">IF($H822="","",N($H822)*N($G822))</f>
        <v/>
      </c>
      <c r="J822" s="25" t="str">
        <f aca="false">IF($H822="","",N($H822)-N($I822))</f>
        <v/>
      </c>
      <c r="K822" s="25"/>
      <c r="L822" s="25" t="str">
        <f aca="false">IF($A822="","",SUMIF($A$4:$A822,$A822,$J$4:$J822)-SUMIF($A$4:$A822,$A822,$K$4:$K822))</f>
        <v/>
      </c>
      <c r="M822" s="26" t="str">
        <f aca="false">IF($H822="","",N($H822))</f>
        <v/>
      </c>
      <c r="N822" s="26"/>
      <c r="O822" s="26"/>
      <c r="P822" s="26" t="str">
        <f aca="false">IF($A822="","",SUMIF($A$4:$A822,$A822,$M$4:$M822)-SUMIF($A$4:$A822,$A822,$N$4:$N822)-SUMIF($A$4:$A822,$A822,$O$4:$O822))</f>
        <v/>
      </c>
      <c r="Q822" s="27"/>
      <c r="R822" s="28"/>
      <c r="S822" s="28"/>
      <c r="T822" s="28" t="str">
        <f aca="false">IF($A822="","",SUMIF($A$4:$A822,$A822,$Q$4:$Q822)-SUMIF($A$4:$A822,$A822,$R$4:$R822)-SUMIF($A$4:$A822,$A822,$S$4:$S822))</f>
        <v/>
      </c>
      <c r="U822" s="28"/>
      <c r="V822" s="29" t="str">
        <f aca="false">IF(AND($C822="",COUNTA($D822:$H822,$K822,$N822:$O822,$Q822:$S822,$U822)=0),"",IF($C822="","⚠ 没填项目名称",IF($A822="⚠目录里没有","⚠ 项目名称在目录里找不到（先加到目录）",IF($A822="","⚠ 目录里这个项目没填简称",IF(ISTEXT($G822)+ISTEXT($H822)+ISTEXT($K822)+ISTEXT($N822)+ISTEXT($O822)+ISTEXT($Q822)+ISTEXT($R822)+ISTEXT($S822)&gt;0,"⚠ 金额列里有文字，算不进合计",IF(N($G822)&gt;=1,"⚠ 管理费点要填百分比，如 10%",IF(AND($D822&lt;&gt;"",$B822=""),"△ 摘要开头没写日期（如 2026.9.21），月份取不到",IF(AND(N($H822)&lt;&gt;0,COUNTIFS($A$4:$A$1003,$A822,$H$4:$H$1003,$H822,$D$4:$D$1003,LEFT($D822,9)&amp;"*")&gt;1),"△ 同一天同项目有一样的销售金额，看看是不是录重了","✓"))))))))</f>
        <v/>
      </c>
      <c r="W822" s="8" t="str">
        <f aca="false">IF($A822="","",$A822&amp;"#"&amp;COUNTIF($A$4:$A822,$A822))</f>
        <v/>
      </c>
    </row>
    <row r="823" customFormat="false" ht="16.5" hidden="false" customHeight="false" outlineLevel="0" collapsed="false">
      <c r="A823" s="44" t="str">
        <f aca="false">IF($C823="","",IFERROR(VLOOKUP($C823,目录!$B:$C,2,0)&amp;"","⚠目录里没有"))</f>
        <v/>
      </c>
      <c r="B823" s="45" t="str">
        <f aca="false">IF($D823="","",IFERROR(MID($D823,FIND(".",$D823)+1,FIND(".",$D823,FIND(".",$D823)+1)-FIND(".",$D823)-1)&amp;"月",""))</f>
        <v/>
      </c>
      <c r="C823" s="46"/>
      <c r="D823" s="47"/>
      <c r="E823" s="47"/>
      <c r="F823" s="49"/>
      <c r="G823" s="50"/>
      <c r="H823" s="24"/>
      <c r="I823" s="24" t="str">
        <f aca="false">IF($H823="","",N($H823)*N($G823))</f>
        <v/>
      </c>
      <c r="J823" s="25" t="str">
        <f aca="false">IF($H823="","",N($H823)-N($I823))</f>
        <v/>
      </c>
      <c r="K823" s="25"/>
      <c r="L823" s="25" t="str">
        <f aca="false">IF($A823="","",SUMIF($A$4:$A823,$A823,$J$4:$J823)-SUMIF($A$4:$A823,$A823,$K$4:$K823))</f>
        <v/>
      </c>
      <c r="M823" s="26" t="str">
        <f aca="false">IF($H823="","",N($H823))</f>
        <v/>
      </c>
      <c r="N823" s="26"/>
      <c r="O823" s="26"/>
      <c r="P823" s="26" t="str">
        <f aca="false">IF($A823="","",SUMIF($A$4:$A823,$A823,$M$4:$M823)-SUMIF($A$4:$A823,$A823,$N$4:$N823)-SUMIF($A$4:$A823,$A823,$O$4:$O823))</f>
        <v/>
      </c>
      <c r="Q823" s="27"/>
      <c r="R823" s="28"/>
      <c r="S823" s="28"/>
      <c r="T823" s="28" t="str">
        <f aca="false">IF($A823="","",SUMIF($A$4:$A823,$A823,$Q$4:$Q823)-SUMIF($A$4:$A823,$A823,$R$4:$R823)-SUMIF($A$4:$A823,$A823,$S$4:$S823))</f>
        <v/>
      </c>
      <c r="U823" s="28"/>
      <c r="V823" s="29" t="str">
        <f aca="false">IF(AND($C823="",COUNTA($D823:$H823,$K823,$N823:$O823,$Q823:$S823,$U823)=0),"",IF($C823="","⚠ 没填项目名称",IF($A823="⚠目录里没有","⚠ 项目名称在目录里找不到（先加到目录）",IF($A823="","⚠ 目录里这个项目没填简称",IF(ISTEXT($G823)+ISTEXT($H823)+ISTEXT($K823)+ISTEXT($N823)+ISTEXT($O823)+ISTEXT($Q823)+ISTEXT($R823)+ISTEXT($S823)&gt;0,"⚠ 金额列里有文字，算不进合计",IF(N($G823)&gt;=1,"⚠ 管理费点要填百分比，如 10%",IF(AND($D823&lt;&gt;"",$B823=""),"△ 摘要开头没写日期（如 2026.9.21），月份取不到",IF(AND(N($H823)&lt;&gt;0,COUNTIFS($A$4:$A$1003,$A823,$H$4:$H$1003,$H823,$D$4:$D$1003,LEFT($D823,9)&amp;"*")&gt;1),"△ 同一天同项目有一样的销售金额，看看是不是录重了","✓"))))))))</f>
        <v/>
      </c>
      <c r="W823" s="8" t="str">
        <f aca="false">IF($A823="","",$A823&amp;"#"&amp;COUNTIF($A$4:$A823,$A823))</f>
        <v/>
      </c>
    </row>
    <row r="824" customFormat="false" ht="16.5" hidden="false" customHeight="false" outlineLevel="0" collapsed="false">
      <c r="A824" s="44" t="str">
        <f aca="false">IF($C824="","",IFERROR(VLOOKUP($C824,目录!$B:$C,2,0)&amp;"","⚠目录里没有"))</f>
        <v/>
      </c>
      <c r="B824" s="45" t="str">
        <f aca="false">IF($D824="","",IFERROR(MID($D824,FIND(".",$D824)+1,FIND(".",$D824,FIND(".",$D824)+1)-FIND(".",$D824)-1)&amp;"月",""))</f>
        <v/>
      </c>
      <c r="C824" s="46"/>
      <c r="D824" s="47"/>
      <c r="E824" s="47"/>
      <c r="F824" s="49"/>
      <c r="G824" s="50"/>
      <c r="H824" s="24"/>
      <c r="I824" s="24" t="str">
        <f aca="false">IF($H824="","",N($H824)*N($G824))</f>
        <v/>
      </c>
      <c r="J824" s="25" t="str">
        <f aca="false">IF($H824="","",N($H824)-N($I824))</f>
        <v/>
      </c>
      <c r="K824" s="25"/>
      <c r="L824" s="25" t="str">
        <f aca="false">IF($A824="","",SUMIF($A$4:$A824,$A824,$J$4:$J824)-SUMIF($A$4:$A824,$A824,$K$4:$K824))</f>
        <v/>
      </c>
      <c r="M824" s="26" t="str">
        <f aca="false">IF($H824="","",N($H824))</f>
        <v/>
      </c>
      <c r="N824" s="26"/>
      <c r="O824" s="26"/>
      <c r="P824" s="26" t="str">
        <f aca="false">IF($A824="","",SUMIF($A$4:$A824,$A824,$M$4:$M824)-SUMIF($A$4:$A824,$A824,$N$4:$N824)-SUMIF($A$4:$A824,$A824,$O$4:$O824))</f>
        <v/>
      </c>
      <c r="Q824" s="27"/>
      <c r="R824" s="28"/>
      <c r="S824" s="28"/>
      <c r="T824" s="28" t="str">
        <f aca="false">IF($A824="","",SUMIF($A$4:$A824,$A824,$Q$4:$Q824)-SUMIF($A$4:$A824,$A824,$R$4:$R824)-SUMIF($A$4:$A824,$A824,$S$4:$S824))</f>
        <v/>
      </c>
      <c r="U824" s="28"/>
      <c r="V824" s="29" t="str">
        <f aca="false">IF(AND($C824="",COUNTA($D824:$H824,$K824,$N824:$O824,$Q824:$S824,$U824)=0),"",IF($C824="","⚠ 没填项目名称",IF($A824="⚠目录里没有","⚠ 项目名称在目录里找不到（先加到目录）",IF($A824="","⚠ 目录里这个项目没填简称",IF(ISTEXT($G824)+ISTEXT($H824)+ISTEXT($K824)+ISTEXT($N824)+ISTEXT($O824)+ISTEXT($Q824)+ISTEXT($R824)+ISTEXT($S824)&gt;0,"⚠ 金额列里有文字，算不进合计",IF(N($G824)&gt;=1,"⚠ 管理费点要填百分比，如 10%",IF(AND($D824&lt;&gt;"",$B824=""),"△ 摘要开头没写日期（如 2026.9.21），月份取不到",IF(AND(N($H824)&lt;&gt;0,COUNTIFS($A$4:$A$1003,$A824,$H$4:$H$1003,$H824,$D$4:$D$1003,LEFT($D824,9)&amp;"*")&gt;1),"△ 同一天同项目有一样的销售金额，看看是不是录重了","✓"))))))))</f>
        <v/>
      </c>
      <c r="W824" s="8" t="str">
        <f aca="false">IF($A824="","",$A824&amp;"#"&amp;COUNTIF($A$4:$A824,$A824))</f>
        <v/>
      </c>
    </row>
    <row r="825" customFormat="false" ht="16.5" hidden="false" customHeight="false" outlineLevel="0" collapsed="false">
      <c r="A825" s="44" t="str">
        <f aca="false">IF($C825="","",IFERROR(VLOOKUP($C825,目录!$B:$C,2,0)&amp;"","⚠目录里没有"))</f>
        <v/>
      </c>
      <c r="B825" s="45" t="str">
        <f aca="false">IF($D825="","",IFERROR(MID($D825,FIND(".",$D825)+1,FIND(".",$D825,FIND(".",$D825)+1)-FIND(".",$D825)-1)&amp;"月",""))</f>
        <v/>
      </c>
      <c r="C825" s="46"/>
      <c r="D825" s="47"/>
      <c r="E825" s="47"/>
      <c r="F825" s="49"/>
      <c r="G825" s="50"/>
      <c r="H825" s="24"/>
      <c r="I825" s="24" t="str">
        <f aca="false">IF($H825="","",N($H825)*N($G825))</f>
        <v/>
      </c>
      <c r="J825" s="25" t="str">
        <f aca="false">IF($H825="","",N($H825)-N($I825))</f>
        <v/>
      </c>
      <c r="K825" s="25"/>
      <c r="L825" s="25" t="str">
        <f aca="false">IF($A825="","",SUMIF($A$4:$A825,$A825,$J$4:$J825)-SUMIF($A$4:$A825,$A825,$K$4:$K825))</f>
        <v/>
      </c>
      <c r="M825" s="26" t="str">
        <f aca="false">IF($H825="","",N($H825))</f>
        <v/>
      </c>
      <c r="N825" s="26"/>
      <c r="O825" s="26"/>
      <c r="P825" s="26" t="str">
        <f aca="false">IF($A825="","",SUMIF($A$4:$A825,$A825,$M$4:$M825)-SUMIF($A$4:$A825,$A825,$N$4:$N825)-SUMIF($A$4:$A825,$A825,$O$4:$O825))</f>
        <v/>
      </c>
      <c r="Q825" s="27"/>
      <c r="R825" s="28"/>
      <c r="S825" s="28"/>
      <c r="T825" s="28" t="str">
        <f aca="false">IF($A825="","",SUMIF($A$4:$A825,$A825,$Q$4:$Q825)-SUMIF($A$4:$A825,$A825,$R$4:$R825)-SUMIF($A$4:$A825,$A825,$S$4:$S825))</f>
        <v/>
      </c>
      <c r="U825" s="28"/>
      <c r="V825" s="29" t="str">
        <f aca="false">IF(AND($C825="",COUNTA($D825:$H825,$K825,$N825:$O825,$Q825:$S825,$U825)=0),"",IF($C825="","⚠ 没填项目名称",IF($A825="⚠目录里没有","⚠ 项目名称在目录里找不到（先加到目录）",IF($A825="","⚠ 目录里这个项目没填简称",IF(ISTEXT($G825)+ISTEXT($H825)+ISTEXT($K825)+ISTEXT($N825)+ISTEXT($O825)+ISTEXT($Q825)+ISTEXT($R825)+ISTEXT($S825)&gt;0,"⚠ 金额列里有文字，算不进合计",IF(N($G825)&gt;=1,"⚠ 管理费点要填百分比，如 10%",IF(AND($D825&lt;&gt;"",$B825=""),"△ 摘要开头没写日期（如 2026.9.21），月份取不到",IF(AND(N($H825)&lt;&gt;0,COUNTIFS($A$4:$A$1003,$A825,$H$4:$H$1003,$H825,$D$4:$D$1003,LEFT($D825,9)&amp;"*")&gt;1),"△ 同一天同项目有一样的销售金额，看看是不是录重了","✓"))))))))</f>
        <v/>
      </c>
      <c r="W825" s="8" t="str">
        <f aca="false">IF($A825="","",$A825&amp;"#"&amp;COUNTIF($A$4:$A825,$A825))</f>
        <v/>
      </c>
    </row>
    <row r="826" customFormat="false" ht="16.5" hidden="false" customHeight="false" outlineLevel="0" collapsed="false">
      <c r="A826" s="44" t="str">
        <f aca="false">IF($C826="","",IFERROR(VLOOKUP($C826,目录!$B:$C,2,0)&amp;"","⚠目录里没有"))</f>
        <v/>
      </c>
      <c r="B826" s="45" t="str">
        <f aca="false">IF($D826="","",IFERROR(MID($D826,FIND(".",$D826)+1,FIND(".",$D826,FIND(".",$D826)+1)-FIND(".",$D826)-1)&amp;"月",""))</f>
        <v/>
      </c>
      <c r="C826" s="46"/>
      <c r="D826" s="47"/>
      <c r="E826" s="47"/>
      <c r="F826" s="49"/>
      <c r="G826" s="50"/>
      <c r="H826" s="24"/>
      <c r="I826" s="24" t="str">
        <f aca="false">IF($H826="","",N($H826)*N($G826))</f>
        <v/>
      </c>
      <c r="J826" s="25" t="str">
        <f aca="false">IF($H826="","",N($H826)-N($I826))</f>
        <v/>
      </c>
      <c r="K826" s="25"/>
      <c r="L826" s="25" t="str">
        <f aca="false">IF($A826="","",SUMIF($A$4:$A826,$A826,$J$4:$J826)-SUMIF($A$4:$A826,$A826,$K$4:$K826))</f>
        <v/>
      </c>
      <c r="M826" s="26" t="str">
        <f aca="false">IF($H826="","",N($H826))</f>
        <v/>
      </c>
      <c r="N826" s="26"/>
      <c r="O826" s="26"/>
      <c r="P826" s="26" t="str">
        <f aca="false">IF($A826="","",SUMIF($A$4:$A826,$A826,$M$4:$M826)-SUMIF($A$4:$A826,$A826,$N$4:$N826)-SUMIF($A$4:$A826,$A826,$O$4:$O826))</f>
        <v/>
      </c>
      <c r="Q826" s="27"/>
      <c r="R826" s="28"/>
      <c r="S826" s="28"/>
      <c r="T826" s="28" t="str">
        <f aca="false">IF($A826="","",SUMIF($A$4:$A826,$A826,$Q$4:$Q826)-SUMIF($A$4:$A826,$A826,$R$4:$R826)-SUMIF($A$4:$A826,$A826,$S$4:$S826))</f>
        <v/>
      </c>
      <c r="U826" s="28"/>
      <c r="V826" s="29" t="str">
        <f aca="false">IF(AND($C826="",COUNTA($D826:$H826,$K826,$N826:$O826,$Q826:$S826,$U826)=0),"",IF($C826="","⚠ 没填项目名称",IF($A826="⚠目录里没有","⚠ 项目名称在目录里找不到（先加到目录）",IF($A826="","⚠ 目录里这个项目没填简称",IF(ISTEXT($G826)+ISTEXT($H826)+ISTEXT($K826)+ISTEXT($N826)+ISTEXT($O826)+ISTEXT($Q826)+ISTEXT($R826)+ISTEXT($S826)&gt;0,"⚠ 金额列里有文字，算不进合计",IF(N($G826)&gt;=1,"⚠ 管理费点要填百分比，如 10%",IF(AND($D826&lt;&gt;"",$B826=""),"△ 摘要开头没写日期（如 2026.9.21），月份取不到",IF(AND(N($H826)&lt;&gt;0,COUNTIFS($A$4:$A$1003,$A826,$H$4:$H$1003,$H826,$D$4:$D$1003,LEFT($D826,9)&amp;"*")&gt;1),"△ 同一天同项目有一样的销售金额，看看是不是录重了","✓"))))))))</f>
        <v/>
      </c>
      <c r="W826" s="8" t="str">
        <f aca="false">IF($A826="","",$A826&amp;"#"&amp;COUNTIF($A$4:$A826,$A826))</f>
        <v/>
      </c>
    </row>
    <row r="827" customFormat="false" ht="16.5" hidden="false" customHeight="false" outlineLevel="0" collapsed="false">
      <c r="A827" s="44" t="str">
        <f aca="false">IF($C827="","",IFERROR(VLOOKUP($C827,目录!$B:$C,2,0)&amp;"","⚠目录里没有"))</f>
        <v/>
      </c>
      <c r="B827" s="45" t="str">
        <f aca="false">IF($D827="","",IFERROR(MID($D827,FIND(".",$D827)+1,FIND(".",$D827,FIND(".",$D827)+1)-FIND(".",$D827)-1)&amp;"月",""))</f>
        <v/>
      </c>
      <c r="C827" s="46"/>
      <c r="D827" s="47"/>
      <c r="E827" s="47"/>
      <c r="F827" s="49"/>
      <c r="G827" s="50"/>
      <c r="H827" s="24"/>
      <c r="I827" s="24" t="str">
        <f aca="false">IF($H827="","",N($H827)*N($G827))</f>
        <v/>
      </c>
      <c r="J827" s="25" t="str">
        <f aca="false">IF($H827="","",N($H827)-N($I827))</f>
        <v/>
      </c>
      <c r="K827" s="25"/>
      <c r="L827" s="25" t="str">
        <f aca="false">IF($A827="","",SUMIF($A$4:$A827,$A827,$J$4:$J827)-SUMIF($A$4:$A827,$A827,$K$4:$K827))</f>
        <v/>
      </c>
      <c r="M827" s="26" t="str">
        <f aca="false">IF($H827="","",N($H827))</f>
        <v/>
      </c>
      <c r="N827" s="26"/>
      <c r="O827" s="26"/>
      <c r="P827" s="26" t="str">
        <f aca="false">IF($A827="","",SUMIF($A$4:$A827,$A827,$M$4:$M827)-SUMIF($A$4:$A827,$A827,$N$4:$N827)-SUMIF($A$4:$A827,$A827,$O$4:$O827))</f>
        <v/>
      </c>
      <c r="Q827" s="27"/>
      <c r="R827" s="28"/>
      <c r="S827" s="28"/>
      <c r="T827" s="28" t="str">
        <f aca="false">IF($A827="","",SUMIF($A$4:$A827,$A827,$Q$4:$Q827)-SUMIF($A$4:$A827,$A827,$R$4:$R827)-SUMIF($A$4:$A827,$A827,$S$4:$S827))</f>
        <v/>
      </c>
      <c r="U827" s="28"/>
      <c r="V827" s="29" t="str">
        <f aca="false">IF(AND($C827="",COUNTA($D827:$H827,$K827,$N827:$O827,$Q827:$S827,$U827)=0),"",IF($C827="","⚠ 没填项目名称",IF($A827="⚠目录里没有","⚠ 项目名称在目录里找不到（先加到目录）",IF($A827="","⚠ 目录里这个项目没填简称",IF(ISTEXT($G827)+ISTEXT($H827)+ISTEXT($K827)+ISTEXT($N827)+ISTEXT($O827)+ISTEXT($Q827)+ISTEXT($R827)+ISTEXT($S827)&gt;0,"⚠ 金额列里有文字，算不进合计",IF(N($G827)&gt;=1,"⚠ 管理费点要填百分比，如 10%",IF(AND($D827&lt;&gt;"",$B827=""),"△ 摘要开头没写日期（如 2026.9.21），月份取不到",IF(AND(N($H827)&lt;&gt;0,COUNTIFS($A$4:$A$1003,$A827,$H$4:$H$1003,$H827,$D$4:$D$1003,LEFT($D827,9)&amp;"*")&gt;1),"△ 同一天同项目有一样的销售金额，看看是不是录重了","✓"))))))))</f>
        <v/>
      </c>
      <c r="W827" s="8" t="str">
        <f aca="false">IF($A827="","",$A827&amp;"#"&amp;COUNTIF($A$4:$A827,$A827))</f>
        <v/>
      </c>
    </row>
    <row r="828" customFormat="false" ht="16.5" hidden="false" customHeight="false" outlineLevel="0" collapsed="false">
      <c r="A828" s="44" t="str">
        <f aca="false">IF($C828="","",IFERROR(VLOOKUP($C828,目录!$B:$C,2,0)&amp;"","⚠目录里没有"))</f>
        <v/>
      </c>
      <c r="B828" s="45" t="str">
        <f aca="false">IF($D828="","",IFERROR(MID($D828,FIND(".",$D828)+1,FIND(".",$D828,FIND(".",$D828)+1)-FIND(".",$D828)-1)&amp;"月",""))</f>
        <v/>
      </c>
      <c r="C828" s="46"/>
      <c r="D828" s="47"/>
      <c r="E828" s="47"/>
      <c r="F828" s="49"/>
      <c r="G828" s="50"/>
      <c r="H828" s="24"/>
      <c r="I828" s="24" t="str">
        <f aca="false">IF($H828="","",N($H828)*N($G828))</f>
        <v/>
      </c>
      <c r="J828" s="25" t="str">
        <f aca="false">IF($H828="","",N($H828)-N($I828))</f>
        <v/>
      </c>
      <c r="K828" s="25"/>
      <c r="L828" s="25" t="str">
        <f aca="false">IF($A828="","",SUMIF($A$4:$A828,$A828,$J$4:$J828)-SUMIF($A$4:$A828,$A828,$K$4:$K828))</f>
        <v/>
      </c>
      <c r="M828" s="26" t="str">
        <f aca="false">IF($H828="","",N($H828))</f>
        <v/>
      </c>
      <c r="N828" s="26"/>
      <c r="O828" s="26"/>
      <c r="P828" s="26" t="str">
        <f aca="false">IF($A828="","",SUMIF($A$4:$A828,$A828,$M$4:$M828)-SUMIF($A$4:$A828,$A828,$N$4:$N828)-SUMIF($A$4:$A828,$A828,$O$4:$O828))</f>
        <v/>
      </c>
      <c r="Q828" s="27"/>
      <c r="R828" s="28"/>
      <c r="S828" s="28"/>
      <c r="T828" s="28" t="str">
        <f aca="false">IF($A828="","",SUMIF($A$4:$A828,$A828,$Q$4:$Q828)-SUMIF($A$4:$A828,$A828,$R$4:$R828)-SUMIF($A$4:$A828,$A828,$S$4:$S828))</f>
        <v/>
      </c>
      <c r="U828" s="28"/>
      <c r="V828" s="29" t="str">
        <f aca="false">IF(AND($C828="",COUNTA($D828:$H828,$K828,$N828:$O828,$Q828:$S828,$U828)=0),"",IF($C828="","⚠ 没填项目名称",IF($A828="⚠目录里没有","⚠ 项目名称在目录里找不到（先加到目录）",IF($A828="","⚠ 目录里这个项目没填简称",IF(ISTEXT($G828)+ISTEXT($H828)+ISTEXT($K828)+ISTEXT($N828)+ISTEXT($O828)+ISTEXT($Q828)+ISTEXT($R828)+ISTEXT($S828)&gt;0,"⚠ 金额列里有文字，算不进合计",IF(N($G828)&gt;=1,"⚠ 管理费点要填百分比，如 10%",IF(AND($D828&lt;&gt;"",$B828=""),"△ 摘要开头没写日期（如 2026.9.21），月份取不到",IF(AND(N($H828)&lt;&gt;0,COUNTIFS($A$4:$A$1003,$A828,$H$4:$H$1003,$H828,$D$4:$D$1003,LEFT($D828,9)&amp;"*")&gt;1),"△ 同一天同项目有一样的销售金额，看看是不是录重了","✓"))))))))</f>
        <v/>
      </c>
      <c r="W828" s="8" t="str">
        <f aca="false">IF($A828="","",$A828&amp;"#"&amp;COUNTIF($A$4:$A828,$A828))</f>
        <v/>
      </c>
    </row>
    <row r="829" customFormat="false" ht="16.5" hidden="false" customHeight="false" outlineLevel="0" collapsed="false">
      <c r="A829" s="44" t="str">
        <f aca="false">IF($C829="","",IFERROR(VLOOKUP($C829,目录!$B:$C,2,0)&amp;"","⚠目录里没有"))</f>
        <v/>
      </c>
      <c r="B829" s="45" t="str">
        <f aca="false">IF($D829="","",IFERROR(MID($D829,FIND(".",$D829)+1,FIND(".",$D829,FIND(".",$D829)+1)-FIND(".",$D829)-1)&amp;"月",""))</f>
        <v/>
      </c>
      <c r="C829" s="46"/>
      <c r="D829" s="47"/>
      <c r="E829" s="47"/>
      <c r="F829" s="49"/>
      <c r="G829" s="50"/>
      <c r="H829" s="24"/>
      <c r="I829" s="24" t="str">
        <f aca="false">IF($H829="","",N($H829)*N($G829))</f>
        <v/>
      </c>
      <c r="J829" s="25" t="str">
        <f aca="false">IF($H829="","",N($H829)-N($I829))</f>
        <v/>
      </c>
      <c r="K829" s="25"/>
      <c r="L829" s="25" t="str">
        <f aca="false">IF($A829="","",SUMIF($A$4:$A829,$A829,$J$4:$J829)-SUMIF($A$4:$A829,$A829,$K$4:$K829))</f>
        <v/>
      </c>
      <c r="M829" s="26" t="str">
        <f aca="false">IF($H829="","",N($H829))</f>
        <v/>
      </c>
      <c r="N829" s="26"/>
      <c r="O829" s="26"/>
      <c r="P829" s="26" t="str">
        <f aca="false">IF($A829="","",SUMIF($A$4:$A829,$A829,$M$4:$M829)-SUMIF($A$4:$A829,$A829,$N$4:$N829)-SUMIF($A$4:$A829,$A829,$O$4:$O829))</f>
        <v/>
      </c>
      <c r="Q829" s="27"/>
      <c r="R829" s="28"/>
      <c r="S829" s="28"/>
      <c r="T829" s="28" t="str">
        <f aca="false">IF($A829="","",SUMIF($A$4:$A829,$A829,$Q$4:$Q829)-SUMIF($A$4:$A829,$A829,$R$4:$R829)-SUMIF($A$4:$A829,$A829,$S$4:$S829))</f>
        <v/>
      </c>
      <c r="U829" s="28"/>
      <c r="V829" s="29" t="str">
        <f aca="false">IF(AND($C829="",COUNTA($D829:$H829,$K829,$N829:$O829,$Q829:$S829,$U829)=0),"",IF($C829="","⚠ 没填项目名称",IF($A829="⚠目录里没有","⚠ 项目名称在目录里找不到（先加到目录）",IF($A829="","⚠ 目录里这个项目没填简称",IF(ISTEXT($G829)+ISTEXT($H829)+ISTEXT($K829)+ISTEXT($N829)+ISTEXT($O829)+ISTEXT($Q829)+ISTEXT($R829)+ISTEXT($S829)&gt;0,"⚠ 金额列里有文字，算不进合计",IF(N($G829)&gt;=1,"⚠ 管理费点要填百分比，如 10%",IF(AND($D829&lt;&gt;"",$B829=""),"△ 摘要开头没写日期（如 2026.9.21），月份取不到",IF(AND(N($H829)&lt;&gt;0,COUNTIFS($A$4:$A$1003,$A829,$H$4:$H$1003,$H829,$D$4:$D$1003,LEFT($D829,9)&amp;"*")&gt;1),"△ 同一天同项目有一样的销售金额，看看是不是录重了","✓"))))))))</f>
        <v/>
      </c>
      <c r="W829" s="8" t="str">
        <f aca="false">IF($A829="","",$A829&amp;"#"&amp;COUNTIF($A$4:$A829,$A829))</f>
        <v/>
      </c>
    </row>
    <row r="830" customFormat="false" ht="16.5" hidden="false" customHeight="false" outlineLevel="0" collapsed="false">
      <c r="A830" s="44" t="str">
        <f aca="false">IF($C830="","",IFERROR(VLOOKUP($C830,目录!$B:$C,2,0)&amp;"","⚠目录里没有"))</f>
        <v/>
      </c>
      <c r="B830" s="45" t="str">
        <f aca="false">IF($D830="","",IFERROR(MID($D830,FIND(".",$D830)+1,FIND(".",$D830,FIND(".",$D830)+1)-FIND(".",$D830)-1)&amp;"月",""))</f>
        <v/>
      </c>
      <c r="C830" s="46"/>
      <c r="D830" s="47"/>
      <c r="E830" s="47"/>
      <c r="F830" s="49"/>
      <c r="G830" s="50"/>
      <c r="H830" s="24"/>
      <c r="I830" s="24" t="str">
        <f aca="false">IF($H830="","",N($H830)*N($G830))</f>
        <v/>
      </c>
      <c r="J830" s="25" t="str">
        <f aca="false">IF($H830="","",N($H830)-N($I830))</f>
        <v/>
      </c>
      <c r="K830" s="25"/>
      <c r="L830" s="25" t="str">
        <f aca="false">IF($A830="","",SUMIF($A$4:$A830,$A830,$J$4:$J830)-SUMIF($A$4:$A830,$A830,$K$4:$K830))</f>
        <v/>
      </c>
      <c r="M830" s="26" t="str">
        <f aca="false">IF($H830="","",N($H830))</f>
        <v/>
      </c>
      <c r="N830" s="26"/>
      <c r="O830" s="26"/>
      <c r="P830" s="26" t="str">
        <f aca="false">IF($A830="","",SUMIF($A$4:$A830,$A830,$M$4:$M830)-SUMIF($A$4:$A830,$A830,$N$4:$N830)-SUMIF($A$4:$A830,$A830,$O$4:$O830))</f>
        <v/>
      </c>
      <c r="Q830" s="27"/>
      <c r="R830" s="28"/>
      <c r="S830" s="28"/>
      <c r="T830" s="28" t="str">
        <f aca="false">IF($A830="","",SUMIF($A$4:$A830,$A830,$Q$4:$Q830)-SUMIF($A$4:$A830,$A830,$R$4:$R830)-SUMIF($A$4:$A830,$A830,$S$4:$S830))</f>
        <v/>
      </c>
      <c r="U830" s="28"/>
      <c r="V830" s="29" t="str">
        <f aca="false">IF(AND($C830="",COUNTA($D830:$H830,$K830,$N830:$O830,$Q830:$S830,$U830)=0),"",IF($C830="","⚠ 没填项目名称",IF($A830="⚠目录里没有","⚠ 项目名称在目录里找不到（先加到目录）",IF($A830="","⚠ 目录里这个项目没填简称",IF(ISTEXT($G830)+ISTEXT($H830)+ISTEXT($K830)+ISTEXT($N830)+ISTEXT($O830)+ISTEXT($Q830)+ISTEXT($R830)+ISTEXT($S830)&gt;0,"⚠ 金额列里有文字，算不进合计",IF(N($G830)&gt;=1,"⚠ 管理费点要填百分比，如 10%",IF(AND($D830&lt;&gt;"",$B830=""),"△ 摘要开头没写日期（如 2026.9.21），月份取不到",IF(AND(N($H830)&lt;&gt;0,COUNTIFS($A$4:$A$1003,$A830,$H$4:$H$1003,$H830,$D$4:$D$1003,LEFT($D830,9)&amp;"*")&gt;1),"△ 同一天同项目有一样的销售金额，看看是不是录重了","✓"))))))))</f>
        <v/>
      </c>
      <c r="W830" s="8" t="str">
        <f aca="false">IF($A830="","",$A830&amp;"#"&amp;COUNTIF($A$4:$A830,$A830))</f>
        <v/>
      </c>
    </row>
    <row r="831" customFormat="false" ht="16.5" hidden="false" customHeight="false" outlineLevel="0" collapsed="false">
      <c r="A831" s="44" t="str">
        <f aca="false">IF($C831="","",IFERROR(VLOOKUP($C831,目录!$B:$C,2,0)&amp;"","⚠目录里没有"))</f>
        <v/>
      </c>
      <c r="B831" s="45" t="str">
        <f aca="false">IF($D831="","",IFERROR(MID($D831,FIND(".",$D831)+1,FIND(".",$D831,FIND(".",$D831)+1)-FIND(".",$D831)-1)&amp;"月",""))</f>
        <v/>
      </c>
      <c r="C831" s="46"/>
      <c r="D831" s="47"/>
      <c r="E831" s="47"/>
      <c r="F831" s="49"/>
      <c r="G831" s="50"/>
      <c r="H831" s="24"/>
      <c r="I831" s="24" t="str">
        <f aca="false">IF($H831="","",N($H831)*N($G831))</f>
        <v/>
      </c>
      <c r="J831" s="25" t="str">
        <f aca="false">IF($H831="","",N($H831)-N($I831))</f>
        <v/>
      </c>
      <c r="K831" s="25"/>
      <c r="L831" s="25" t="str">
        <f aca="false">IF($A831="","",SUMIF($A$4:$A831,$A831,$J$4:$J831)-SUMIF($A$4:$A831,$A831,$K$4:$K831))</f>
        <v/>
      </c>
      <c r="M831" s="26" t="str">
        <f aca="false">IF($H831="","",N($H831))</f>
        <v/>
      </c>
      <c r="N831" s="26"/>
      <c r="O831" s="26"/>
      <c r="P831" s="26" t="str">
        <f aca="false">IF($A831="","",SUMIF($A$4:$A831,$A831,$M$4:$M831)-SUMIF($A$4:$A831,$A831,$N$4:$N831)-SUMIF($A$4:$A831,$A831,$O$4:$O831))</f>
        <v/>
      </c>
      <c r="Q831" s="27"/>
      <c r="R831" s="28"/>
      <c r="S831" s="28"/>
      <c r="T831" s="28" t="str">
        <f aca="false">IF($A831="","",SUMIF($A$4:$A831,$A831,$Q$4:$Q831)-SUMIF($A$4:$A831,$A831,$R$4:$R831)-SUMIF($A$4:$A831,$A831,$S$4:$S831))</f>
        <v/>
      </c>
      <c r="U831" s="28"/>
      <c r="V831" s="29" t="str">
        <f aca="false">IF(AND($C831="",COUNTA($D831:$H831,$K831,$N831:$O831,$Q831:$S831,$U831)=0),"",IF($C831="","⚠ 没填项目名称",IF($A831="⚠目录里没有","⚠ 项目名称在目录里找不到（先加到目录）",IF($A831="","⚠ 目录里这个项目没填简称",IF(ISTEXT($G831)+ISTEXT($H831)+ISTEXT($K831)+ISTEXT($N831)+ISTEXT($O831)+ISTEXT($Q831)+ISTEXT($R831)+ISTEXT($S831)&gt;0,"⚠ 金额列里有文字，算不进合计",IF(N($G831)&gt;=1,"⚠ 管理费点要填百分比，如 10%",IF(AND($D831&lt;&gt;"",$B831=""),"△ 摘要开头没写日期（如 2026.9.21），月份取不到",IF(AND(N($H831)&lt;&gt;0,COUNTIFS($A$4:$A$1003,$A831,$H$4:$H$1003,$H831,$D$4:$D$1003,LEFT($D831,9)&amp;"*")&gt;1),"△ 同一天同项目有一样的销售金额，看看是不是录重了","✓"))))))))</f>
        <v/>
      </c>
      <c r="W831" s="8" t="str">
        <f aca="false">IF($A831="","",$A831&amp;"#"&amp;COUNTIF($A$4:$A831,$A831))</f>
        <v/>
      </c>
    </row>
    <row r="832" customFormat="false" ht="16.5" hidden="false" customHeight="false" outlineLevel="0" collapsed="false">
      <c r="A832" s="44" t="str">
        <f aca="false">IF($C832="","",IFERROR(VLOOKUP($C832,目录!$B:$C,2,0)&amp;"","⚠目录里没有"))</f>
        <v/>
      </c>
      <c r="B832" s="45" t="str">
        <f aca="false">IF($D832="","",IFERROR(MID($D832,FIND(".",$D832)+1,FIND(".",$D832,FIND(".",$D832)+1)-FIND(".",$D832)-1)&amp;"月",""))</f>
        <v/>
      </c>
      <c r="C832" s="46"/>
      <c r="D832" s="47"/>
      <c r="E832" s="47"/>
      <c r="F832" s="49"/>
      <c r="G832" s="50"/>
      <c r="H832" s="24"/>
      <c r="I832" s="24" t="str">
        <f aca="false">IF($H832="","",N($H832)*N($G832))</f>
        <v/>
      </c>
      <c r="J832" s="25" t="str">
        <f aca="false">IF($H832="","",N($H832)-N($I832))</f>
        <v/>
      </c>
      <c r="K832" s="25"/>
      <c r="L832" s="25" t="str">
        <f aca="false">IF($A832="","",SUMIF($A$4:$A832,$A832,$J$4:$J832)-SUMIF($A$4:$A832,$A832,$K$4:$K832))</f>
        <v/>
      </c>
      <c r="M832" s="26" t="str">
        <f aca="false">IF($H832="","",N($H832))</f>
        <v/>
      </c>
      <c r="N832" s="26"/>
      <c r="O832" s="26"/>
      <c r="P832" s="26" t="str">
        <f aca="false">IF($A832="","",SUMIF($A$4:$A832,$A832,$M$4:$M832)-SUMIF($A$4:$A832,$A832,$N$4:$N832)-SUMIF($A$4:$A832,$A832,$O$4:$O832))</f>
        <v/>
      </c>
      <c r="Q832" s="27"/>
      <c r="R832" s="28"/>
      <c r="S832" s="28"/>
      <c r="T832" s="28" t="str">
        <f aca="false">IF($A832="","",SUMIF($A$4:$A832,$A832,$Q$4:$Q832)-SUMIF($A$4:$A832,$A832,$R$4:$R832)-SUMIF($A$4:$A832,$A832,$S$4:$S832))</f>
        <v/>
      </c>
      <c r="U832" s="28"/>
      <c r="V832" s="29" t="str">
        <f aca="false">IF(AND($C832="",COUNTA($D832:$H832,$K832,$N832:$O832,$Q832:$S832,$U832)=0),"",IF($C832="","⚠ 没填项目名称",IF($A832="⚠目录里没有","⚠ 项目名称在目录里找不到（先加到目录）",IF($A832="","⚠ 目录里这个项目没填简称",IF(ISTEXT($G832)+ISTEXT($H832)+ISTEXT($K832)+ISTEXT($N832)+ISTEXT($O832)+ISTEXT($Q832)+ISTEXT($R832)+ISTEXT($S832)&gt;0,"⚠ 金额列里有文字，算不进合计",IF(N($G832)&gt;=1,"⚠ 管理费点要填百分比，如 10%",IF(AND($D832&lt;&gt;"",$B832=""),"△ 摘要开头没写日期（如 2026.9.21），月份取不到",IF(AND(N($H832)&lt;&gt;0,COUNTIFS($A$4:$A$1003,$A832,$H$4:$H$1003,$H832,$D$4:$D$1003,LEFT($D832,9)&amp;"*")&gt;1),"△ 同一天同项目有一样的销售金额，看看是不是录重了","✓"))))))))</f>
        <v/>
      </c>
      <c r="W832" s="8" t="str">
        <f aca="false">IF($A832="","",$A832&amp;"#"&amp;COUNTIF($A$4:$A832,$A832))</f>
        <v/>
      </c>
    </row>
    <row r="833" customFormat="false" ht="16.5" hidden="false" customHeight="false" outlineLevel="0" collapsed="false">
      <c r="A833" s="44" t="str">
        <f aca="false">IF($C833="","",IFERROR(VLOOKUP($C833,目录!$B:$C,2,0)&amp;"","⚠目录里没有"))</f>
        <v/>
      </c>
      <c r="B833" s="45" t="str">
        <f aca="false">IF($D833="","",IFERROR(MID($D833,FIND(".",$D833)+1,FIND(".",$D833,FIND(".",$D833)+1)-FIND(".",$D833)-1)&amp;"月",""))</f>
        <v/>
      </c>
      <c r="C833" s="46"/>
      <c r="D833" s="47"/>
      <c r="E833" s="47"/>
      <c r="F833" s="49"/>
      <c r="G833" s="50"/>
      <c r="H833" s="24"/>
      <c r="I833" s="24" t="str">
        <f aca="false">IF($H833="","",N($H833)*N($G833))</f>
        <v/>
      </c>
      <c r="J833" s="25" t="str">
        <f aca="false">IF($H833="","",N($H833)-N($I833))</f>
        <v/>
      </c>
      <c r="K833" s="25"/>
      <c r="L833" s="25" t="str">
        <f aca="false">IF($A833="","",SUMIF($A$4:$A833,$A833,$J$4:$J833)-SUMIF($A$4:$A833,$A833,$K$4:$K833))</f>
        <v/>
      </c>
      <c r="M833" s="26" t="str">
        <f aca="false">IF($H833="","",N($H833))</f>
        <v/>
      </c>
      <c r="N833" s="26"/>
      <c r="O833" s="26"/>
      <c r="P833" s="26" t="str">
        <f aca="false">IF($A833="","",SUMIF($A$4:$A833,$A833,$M$4:$M833)-SUMIF($A$4:$A833,$A833,$N$4:$N833)-SUMIF($A$4:$A833,$A833,$O$4:$O833))</f>
        <v/>
      </c>
      <c r="Q833" s="27"/>
      <c r="R833" s="28"/>
      <c r="S833" s="28"/>
      <c r="T833" s="28" t="str">
        <f aca="false">IF($A833="","",SUMIF($A$4:$A833,$A833,$Q$4:$Q833)-SUMIF($A$4:$A833,$A833,$R$4:$R833)-SUMIF($A$4:$A833,$A833,$S$4:$S833))</f>
        <v/>
      </c>
      <c r="U833" s="28"/>
      <c r="V833" s="29" t="str">
        <f aca="false">IF(AND($C833="",COUNTA($D833:$H833,$K833,$N833:$O833,$Q833:$S833,$U833)=0),"",IF($C833="","⚠ 没填项目名称",IF($A833="⚠目录里没有","⚠ 项目名称在目录里找不到（先加到目录）",IF($A833="","⚠ 目录里这个项目没填简称",IF(ISTEXT($G833)+ISTEXT($H833)+ISTEXT($K833)+ISTEXT($N833)+ISTEXT($O833)+ISTEXT($Q833)+ISTEXT($R833)+ISTEXT($S833)&gt;0,"⚠ 金额列里有文字，算不进合计",IF(N($G833)&gt;=1,"⚠ 管理费点要填百分比，如 10%",IF(AND($D833&lt;&gt;"",$B833=""),"△ 摘要开头没写日期（如 2026.9.21），月份取不到",IF(AND(N($H833)&lt;&gt;0,COUNTIFS($A$4:$A$1003,$A833,$H$4:$H$1003,$H833,$D$4:$D$1003,LEFT($D833,9)&amp;"*")&gt;1),"△ 同一天同项目有一样的销售金额，看看是不是录重了","✓"))))))))</f>
        <v/>
      </c>
      <c r="W833" s="8" t="str">
        <f aca="false">IF($A833="","",$A833&amp;"#"&amp;COUNTIF($A$4:$A833,$A833))</f>
        <v/>
      </c>
    </row>
    <row r="834" customFormat="false" ht="16.5" hidden="false" customHeight="false" outlineLevel="0" collapsed="false">
      <c r="A834" s="44" t="str">
        <f aca="false">IF($C834="","",IFERROR(VLOOKUP($C834,目录!$B:$C,2,0)&amp;"","⚠目录里没有"))</f>
        <v/>
      </c>
      <c r="B834" s="45" t="str">
        <f aca="false">IF($D834="","",IFERROR(MID($D834,FIND(".",$D834)+1,FIND(".",$D834,FIND(".",$D834)+1)-FIND(".",$D834)-1)&amp;"月",""))</f>
        <v/>
      </c>
      <c r="C834" s="46"/>
      <c r="D834" s="47"/>
      <c r="E834" s="47"/>
      <c r="F834" s="49"/>
      <c r="G834" s="50"/>
      <c r="H834" s="24"/>
      <c r="I834" s="24" t="str">
        <f aca="false">IF($H834="","",N($H834)*N($G834))</f>
        <v/>
      </c>
      <c r="J834" s="25" t="str">
        <f aca="false">IF($H834="","",N($H834)-N($I834))</f>
        <v/>
      </c>
      <c r="K834" s="25"/>
      <c r="L834" s="25" t="str">
        <f aca="false">IF($A834="","",SUMIF($A$4:$A834,$A834,$J$4:$J834)-SUMIF($A$4:$A834,$A834,$K$4:$K834))</f>
        <v/>
      </c>
      <c r="M834" s="26" t="str">
        <f aca="false">IF($H834="","",N($H834))</f>
        <v/>
      </c>
      <c r="N834" s="26"/>
      <c r="O834" s="26"/>
      <c r="P834" s="26" t="str">
        <f aca="false">IF($A834="","",SUMIF($A$4:$A834,$A834,$M$4:$M834)-SUMIF($A$4:$A834,$A834,$N$4:$N834)-SUMIF($A$4:$A834,$A834,$O$4:$O834))</f>
        <v/>
      </c>
      <c r="Q834" s="27"/>
      <c r="R834" s="28"/>
      <c r="S834" s="28"/>
      <c r="T834" s="28" t="str">
        <f aca="false">IF($A834="","",SUMIF($A$4:$A834,$A834,$Q$4:$Q834)-SUMIF($A$4:$A834,$A834,$R$4:$R834)-SUMIF($A$4:$A834,$A834,$S$4:$S834))</f>
        <v/>
      </c>
      <c r="U834" s="28"/>
      <c r="V834" s="29" t="str">
        <f aca="false">IF(AND($C834="",COUNTA($D834:$H834,$K834,$N834:$O834,$Q834:$S834,$U834)=0),"",IF($C834="","⚠ 没填项目名称",IF($A834="⚠目录里没有","⚠ 项目名称在目录里找不到（先加到目录）",IF($A834="","⚠ 目录里这个项目没填简称",IF(ISTEXT($G834)+ISTEXT($H834)+ISTEXT($K834)+ISTEXT($N834)+ISTEXT($O834)+ISTEXT($Q834)+ISTEXT($R834)+ISTEXT($S834)&gt;0,"⚠ 金额列里有文字，算不进合计",IF(N($G834)&gt;=1,"⚠ 管理费点要填百分比，如 10%",IF(AND($D834&lt;&gt;"",$B834=""),"△ 摘要开头没写日期（如 2026.9.21），月份取不到",IF(AND(N($H834)&lt;&gt;0,COUNTIFS($A$4:$A$1003,$A834,$H$4:$H$1003,$H834,$D$4:$D$1003,LEFT($D834,9)&amp;"*")&gt;1),"△ 同一天同项目有一样的销售金额，看看是不是录重了","✓"))))))))</f>
        <v/>
      </c>
      <c r="W834" s="8" t="str">
        <f aca="false">IF($A834="","",$A834&amp;"#"&amp;COUNTIF($A$4:$A834,$A834))</f>
        <v/>
      </c>
    </row>
    <row r="835" customFormat="false" ht="16.5" hidden="false" customHeight="false" outlineLevel="0" collapsed="false">
      <c r="A835" s="44" t="str">
        <f aca="false">IF($C835="","",IFERROR(VLOOKUP($C835,目录!$B:$C,2,0)&amp;"","⚠目录里没有"))</f>
        <v/>
      </c>
      <c r="B835" s="45" t="str">
        <f aca="false">IF($D835="","",IFERROR(MID($D835,FIND(".",$D835)+1,FIND(".",$D835,FIND(".",$D835)+1)-FIND(".",$D835)-1)&amp;"月",""))</f>
        <v/>
      </c>
      <c r="C835" s="46"/>
      <c r="D835" s="47"/>
      <c r="E835" s="47"/>
      <c r="F835" s="49"/>
      <c r="G835" s="50"/>
      <c r="H835" s="24"/>
      <c r="I835" s="24" t="str">
        <f aca="false">IF($H835="","",N($H835)*N($G835))</f>
        <v/>
      </c>
      <c r="J835" s="25" t="str">
        <f aca="false">IF($H835="","",N($H835)-N($I835))</f>
        <v/>
      </c>
      <c r="K835" s="25"/>
      <c r="L835" s="25" t="str">
        <f aca="false">IF($A835="","",SUMIF($A$4:$A835,$A835,$J$4:$J835)-SUMIF($A$4:$A835,$A835,$K$4:$K835))</f>
        <v/>
      </c>
      <c r="M835" s="26" t="str">
        <f aca="false">IF($H835="","",N($H835))</f>
        <v/>
      </c>
      <c r="N835" s="26"/>
      <c r="O835" s="26"/>
      <c r="P835" s="26" t="str">
        <f aca="false">IF($A835="","",SUMIF($A$4:$A835,$A835,$M$4:$M835)-SUMIF($A$4:$A835,$A835,$N$4:$N835)-SUMIF($A$4:$A835,$A835,$O$4:$O835))</f>
        <v/>
      </c>
      <c r="Q835" s="27"/>
      <c r="R835" s="28"/>
      <c r="S835" s="28"/>
      <c r="T835" s="28" t="str">
        <f aca="false">IF($A835="","",SUMIF($A$4:$A835,$A835,$Q$4:$Q835)-SUMIF($A$4:$A835,$A835,$R$4:$R835)-SUMIF($A$4:$A835,$A835,$S$4:$S835))</f>
        <v/>
      </c>
      <c r="U835" s="28"/>
      <c r="V835" s="29" t="str">
        <f aca="false">IF(AND($C835="",COUNTA($D835:$H835,$K835,$N835:$O835,$Q835:$S835,$U835)=0),"",IF($C835="","⚠ 没填项目名称",IF($A835="⚠目录里没有","⚠ 项目名称在目录里找不到（先加到目录）",IF($A835="","⚠ 目录里这个项目没填简称",IF(ISTEXT($G835)+ISTEXT($H835)+ISTEXT($K835)+ISTEXT($N835)+ISTEXT($O835)+ISTEXT($Q835)+ISTEXT($R835)+ISTEXT($S835)&gt;0,"⚠ 金额列里有文字，算不进合计",IF(N($G835)&gt;=1,"⚠ 管理费点要填百分比，如 10%",IF(AND($D835&lt;&gt;"",$B835=""),"△ 摘要开头没写日期（如 2026.9.21），月份取不到",IF(AND(N($H835)&lt;&gt;0,COUNTIFS($A$4:$A$1003,$A835,$H$4:$H$1003,$H835,$D$4:$D$1003,LEFT($D835,9)&amp;"*")&gt;1),"△ 同一天同项目有一样的销售金额，看看是不是录重了","✓"))))))))</f>
        <v/>
      </c>
      <c r="W835" s="8" t="str">
        <f aca="false">IF($A835="","",$A835&amp;"#"&amp;COUNTIF($A$4:$A835,$A835))</f>
        <v/>
      </c>
    </row>
    <row r="836" customFormat="false" ht="16.5" hidden="false" customHeight="false" outlineLevel="0" collapsed="false">
      <c r="A836" s="44" t="str">
        <f aca="false">IF($C836="","",IFERROR(VLOOKUP($C836,目录!$B:$C,2,0)&amp;"","⚠目录里没有"))</f>
        <v/>
      </c>
      <c r="B836" s="45" t="str">
        <f aca="false">IF($D836="","",IFERROR(MID($D836,FIND(".",$D836)+1,FIND(".",$D836,FIND(".",$D836)+1)-FIND(".",$D836)-1)&amp;"月",""))</f>
        <v/>
      </c>
      <c r="C836" s="46"/>
      <c r="D836" s="47"/>
      <c r="E836" s="47"/>
      <c r="F836" s="49"/>
      <c r="G836" s="50"/>
      <c r="H836" s="24"/>
      <c r="I836" s="24" t="str">
        <f aca="false">IF($H836="","",N($H836)*N($G836))</f>
        <v/>
      </c>
      <c r="J836" s="25" t="str">
        <f aca="false">IF($H836="","",N($H836)-N($I836))</f>
        <v/>
      </c>
      <c r="K836" s="25"/>
      <c r="L836" s="25" t="str">
        <f aca="false">IF($A836="","",SUMIF($A$4:$A836,$A836,$J$4:$J836)-SUMIF($A$4:$A836,$A836,$K$4:$K836))</f>
        <v/>
      </c>
      <c r="M836" s="26" t="str">
        <f aca="false">IF($H836="","",N($H836))</f>
        <v/>
      </c>
      <c r="N836" s="26"/>
      <c r="O836" s="26"/>
      <c r="P836" s="26" t="str">
        <f aca="false">IF($A836="","",SUMIF($A$4:$A836,$A836,$M$4:$M836)-SUMIF($A$4:$A836,$A836,$N$4:$N836)-SUMIF($A$4:$A836,$A836,$O$4:$O836))</f>
        <v/>
      </c>
      <c r="Q836" s="27"/>
      <c r="R836" s="28"/>
      <c r="S836" s="28"/>
      <c r="T836" s="28" t="str">
        <f aca="false">IF($A836="","",SUMIF($A$4:$A836,$A836,$Q$4:$Q836)-SUMIF($A$4:$A836,$A836,$R$4:$R836)-SUMIF($A$4:$A836,$A836,$S$4:$S836))</f>
        <v/>
      </c>
      <c r="U836" s="28"/>
      <c r="V836" s="29" t="str">
        <f aca="false">IF(AND($C836="",COUNTA($D836:$H836,$K836,$N836:$O836,$Q836:$S836,$U836)=0),"",IF($C836="","⚠ 没填项目名称",IF($A836="⚠目录里没有","⚠ 项目名称在目录里找不到（先加到目录）",IF($A836="","⚠ 目录里这个项目没填简称",IF(ISTEXT($G836)+ISTEXT($H836)+ISTEXT($K836)+ISTEXT($N836)+ISTEXT($O836)+ISTEXT($Q836)+ISTEXT($R836)+ISTEXT($S836)&gt;0,"⚠ 金额列里有文字，算不进合计",IF(N($G836)&gt;=1,"⚠ 管理费点要填百分比，如 10%",IF(AND($D836&lt;&gt;"",$B836=""),"△ 摘要开头没写日期（如 2026.9.21），月份取不到",IF(AND(N($H836)&lt;&gt;0,COUNTIFS($A$4:$A$1003,$A836,$H$4:$H$1003,$H836,$D$4:$D$1003,LEFT($D836,9)&amp;"*")&gt;1),"△ 同一天同项目有一样的销售金额，看看是不是录重了","✓"))))))))</f>
        <v/>
      </c>
      <c r="W836" s="8" t="str">
        <f aca="false">IF($A836="","",$A836&amp;"#"&amp;COUNTIF($A$4:$A836,$A836))</f>
        <v/>
      </c>
    </row>
    <row r="837" customFormat="false" ht="16.5" hidden="false" customHeight="false" outlineLevel="0" collapsed="false">
      <c r="A837" s="44" t="str">
        <f aca="false">IF($C837="","",IFERROR(VLOOKUP($C837,目录!$B:$C,2,0)&amp;"","⚠目录里没有"))</f>
        <v/>
      </c>
      <c r="B837" s="45" t="str">
        <f aca="false">IF($D837="","",IFERROR(MID($D837,FIND(".",$D837)+1,FIND(".",$D837,FIND(".",$D837)+1)-FIND(".",$D837)-1)&amp;"月",""))</f>
        <v/>
      </c>
      <c r="C837" s="46"/>
      <c r="D837" s="47"/>
      <c r="E837" s="47"/>
      <c r="F837" s="49"/>
      <c r="G837" s="50"/>
      <c r="H837" s="24"/>
      <c r="I837" s="24" t="str">
        <f aca="false">IF($H837="","",N($H837)*N($G837))</f>
        <v/>
      </c>
      <c r="J837" s="25" t="str">
        <f aca="false">IF($H837="","",N($H837)-N($I837))</f>
        <v/>
      </c>
      <c r="K837" s="25"/>
      <c r="L837" s="25" t="str">
        <f aca="false">IF($A837="","",SUMIF($A$4:$A837,$A837,$J$4:$J837)-SUMIF($A$4:$A837,$A837,$K$4:$K837))</f>
        <v/>
      </c>
      <c r="M837" s="26" t="str">
        <f aca="false">IF($H837="","",N($H837))</f>
        <v/>
      </c>
      <c r="N837" s="26"/>
      <c r="O837" s="26"/>
      <c r="P837" s="26" t="str">
        <f aca="false">IF($A837="","",SUMIF($A$4:$A837,$A837,$M$4:$M837)-SUMIF($A$4:$A837,$A837,$N$4:$N837)-SUMIF($A$4:$A837,$A837,$O$4:$O837))</f>
        <v/>
      </c>
      <c r="Q837" s="27"/>
      <c r="R837" s="28"/>
      <c r="S837" s="28"/>
      <c r="T837" s="28" t="str">
        <f aca="false">IF($A837="","",SUMIF($A$4:$A837,$A837,$Q$4:$Q837)-SUMIF($A$4:$A837,$A837,$R$4:$R837)-SUMIF($A$4:$A837,$A837,$S$4:$S837))</f>
        <v/>
      </c>
      <c r="U837" s="28"/>
      <c r="V837" s="29" t="str">
        <f aca="false">IF(AND($C837="",COUNTA($D837:$H837,$K837,$N837:$O837,$Q837:$S837,$U837)=0),"",IF($C837="","⚠ 没填项目名称",IF($A837="⚠目录里没有","⚠ 项目名称在目录里找不到（先加到目录）",IF($A837="","⚠ 目录里这个项目没填简称",IF(ISTEXT($G837)+ISTEXT($H837)+ISTEXT($K837)+ISTEXT($N837)+ISTEXT($O837)+ISTEXT($Q837)+ISTEXT($R837)+ISTEXT($S837)&gt;0,"⚠ 金额列里有文字，算不进合计",IF(N($G837)&gt;=1,"⚠ 管理费点要填百分比，如 10%",IF(AND($D837&lt;&gt;"",$B837=""),"△ 摘要开头没写日期（如 2026.9.21），月份取不到",IF(AND(N($H837)&lt;&gt;0,COUNTIFS($A$4:$A$1003,$A837,$H$4:$H$1003,$H837,$D$4:$D$1003,LEFT($D837,9)&amp;"*")&gt;1),"△ 同一天同项目有一样的销售金额，看看是不是录重了","✓"))))))))</f>
        <v/>
      </c>
      <c r="W837" s="8" t="str">
        <f aca="false">IF($A837="","",$A837&amp;"#"&amp;COUNTIF($A$4:$A837,$A837))</f>
        <v/>
      </c>
    </row>
    <row r="838" customFormat="false" ht="16.5" hidden="false" customHeight="false" outlineLevel="0" collapsed="false">
      <c r="A838" s="44" t="str">
        <f aca="false">IF($C838="","",IFERROR(VLOOKUP($C838,目录!$B:$C,2,0)&amp;"","⚠目录里没有"))</f>
        <v/>
      </c>
      <c r="B838" s="45" t="str">
        <f aca="false">IF($D838="","",IFERROR(MID($D838,FIND(".",$D838)+1,FIND(".",$D838,FIND(".",$D838)+1)-FIND(".",$D838)-1)&amp;"月",""))</f>
        <v/>
      </c>
      <c r="C838" s="46"/>
      <c r="D838" s="47"/>
      <c r="E838" s="47"/>
      <c r="F838" s="49"/>
      <c r="G838" s="50"/>
      <c r="H838" s="24"/>
      <c r="I838" s="24" t="str">
        <f aca="false">IF($H838="","",N($H838)*N($G838))</f>
        <v/>
      </c>
      <c r="J838" s="25" t="str">
        <f aca="false">IF($H838="","",N($H838)-N($I838))</f>
        <v/>
      </c>
      <c r="K838" s="25"/>
      <c r="L838" s="25" t="str">
        <f aca="false">IF($A838="","",SUMIF($A$4:$A838,$A838,$J$4:$J838)-SUMIF($A$4:$A838,$A838,$K$4:$K838))</f>
        <v/>
      </c>
      <c r="M838" s="26" t="str">
        <f aca="false">IF($H838="","",N($H838))</f>
        <v/>
      </c>
      <c r="N838" s="26"/>
      <c r="O838" s="26"/>
      <c r="P838" s="26" t="str">
        <f aca="false">IF($A838="","",SUMIF($A$4:$A838,$A838,$M$4:$M838)-SUMIF($A$4:$A838,$A838,$N$4:$N838)-SUMIF($A$4:$A838,$A838,$O$4:$O838))</f>
        <v/>
      </c>
      <c r="Q838" s="27"/>
      <c r="R838" s="28"/>
      <c r="S838" s="28"/>
      <c r="T838" s="28" t="str">
        <f aca="false">IF($A838="","",SUMIF($A$4:$A838,$A838,$Q$4:$Q838)-SUMIF($A$4:$A838,$A838,$R$4:$R838)-SUMIF($A$4:$A838,$A838,$S$4:$S838))</f>
        <v/>
      </c>
      <c r="U838" s="28"/>
      <c r="V838" s="29" t="str">
        <f aca="false">IF(AND($C838="",COUNTA($D838:$H838,$K838,$N838:$O838,$Q838:$S838,$U838)=0),"",IF($C838="","⚠ 没填项目名称",IF($A838="⚠目录里没有","⚠ 项目名称在目录里找不到（先加到目录）",IF($A838="","⚠ 目录里这个项目没填简称",IF(ISTEXT($G838)+ISTEXT($H838)+ISTEXT($K838)+ISTEXT($N838)+ISTEXT($O838)+ISTEXT($Q838)+ISTEXT($R838)+ISTEXT($S838)&gt;0,"⚠ 金额列里有文字，算不进合计",IF(N($G838)&gt;=1,"⚠ 管理费点要填百分比，如 10%",IF(AND($D838&lt;&gt;"",$B838=""),"△ 摘要开头没写日期（如 2026.9.21），月份取不到",IF(AND(N($H838)&lt;&gt;0,COUNTIFS($A$4:$A$1003,$A838,$H$4:$H$1003,$H838,$D$4:$D$1003,LEFT($D838,9)&amp;"*")&gt;1),"△ 同一天同项目有一样的销售金额，看看是不是录重了","✓"))))))))</f>
        <v/>
      </c>
      <c r="W838" s="8" t="str">
        <f aca="false">IF($A838="","",$A838&amp;"#"&amp;COUNTIF($A$4:$A838,$A838))</f>
        <v/>
      </c>
    </row>
    <row r="839" customFormat="false" ht="16.5" hidden="false" customHeight="false" outlineLevel="0" collapsed="false">
      <c r="A839" s="44" t="str">
        <f aca="false">IF($C839="","",IFERROR(VLOOKUP($C839,目录!$B:$C,2,0)&amp;"","⚠目录里没有"))</f>
        <v/>
      </c>
      <c r="B839" s="45" t="str">
        <f aca="false">IF($D839="","",IFERROR(MID($D839,FIND(".",$D839)+1,FIND(".",$D839,FIND(".",$D839)+1)-FIND(".",$D839)-1)&amp;"月",""))</f>
        <v/>
      </c>
      <c r="C839" s="46"/>
      <c r="D839" s="47"/>
      <c r="E839" s="47"/>
      <c r="F839" s="49"/>
      <c r="G839" s="50"/>
      <c r="H839" s="24"/>
      <c r="I839" s="24" t="str">
        <f aca="false">IF($H839="","",N($H839)*N($G839))</f>
        <v/>
      </c>
      <c r="J839" s="25" t="str">
        <f aca="false">IF($H839="","",N($H839)-N($I839))</f>
        <v/>
      </c>
      <c r="K839" s="25"/>
      <c r="L839" s="25" t="str">
        <f aca="false">IF($A839="","",SUMIF($A$4:$A839,$A839,$J$4:$J839)-SUMIF($A$4:$A839,$A839,$K$4:$K839))</f>
        <v/>
      </c>
      <c r="M839" s="26" t="str">
        <f aca="false">IF($H839="","",N($H839))</f>
        <v/>
      </c>
      <c r="N839" s="26"/>
      <c r="O839" s="26"/>
      <c r="P839" s="26" t="str">
        <f aca="false">IF($A839="","",SUMIF($A$4:$A839,$A839,$M$4:$M839)-SUMIF($A$4:$A839,$A839,$N$4:$N839)-SUMIF($A$4:$A839,$A839,$O$4:$O839))</f>
        <v/>
      </c>
      <c r="Q839" s="27"/>
      <c r="R839" s="28"/>
      <c r="S839" s="28"/>
      <c r="T839" s="28" t="str">
        <f aca="false">IF($A839="","",SUMIF($A$4:$A839,$A839,$Q$4:$Q839)-SUMIF($A$4:$A839,$A839,$R$4:$R839)-SUMIF($A$4:$A839,$A839,$S$4:$S839))</f>
        <v/>
      </c>
      <c r="U839" s="28"/>
      <c r="V839" s="29" t="str">
        <f aca="false">IF(AND($C839="",COUNTA($D839:$H839,$K839,$N839:$O839,$Q839:$S839,$U839)=0),"",IF($C839="","⚠ 没填项目名称",IF($A839="⚠目录里没有","⚠ 项目名称在目录里找不到（先加到目录）",IF($A839="","⚠ 目录里这个项目没填简称",IF(ISTEXT($G839)+ISTEXT($H839)+ISTEXT($K839)+ISTEXT($N839)+ISTEXT($O839)+ISTEXT($Q839)+ISTEXT($R839)+ISTEXT($S839)&gt;0,"⚠ 金额列里有文字，算不进合计",IF(N($G839)&gt;=1,"⚠ 管理费点要填百分比，如 10%",IF(AND($D839&lt;&gt;"",$B839=""),"△ 摘要开头没写日期（如 2026.9.21），月份取不到",IF(AND(N($H839)&lt;&gt;0,COUNTIFS($A$4:$A$1003,$A839,$H$4:$H$1003,$H839,$D$4:$D$1003,LEFT($D839,9)&amp;"*")&gt;1),"△ 同一天同项目有一样的销售金额，看看是不是录重了","✓"))))))))</f>
        <v/>
      </c>
      <c r="W839" s="8" t="str">
        <f aca="false">IF($A839="","",$A839&amp;"#"&amp;COUNTIF($A$4:$A839,$A839))</f>
        <v/>
      </c>
    </row>
    <row r="840" customFormat="false" ht="16.5" hidden="false" customHeight="false" outlineLevel="0" collapsed="false">
      <c r="A840" s="44" t="str">
        <f aca="false">IF($C840="","",IFERROR(VLOOKUP($C840,目录!$B:$C,2,0)&amp;"","⚠目录里没有"))</f>
        <v/>
      </c>
      <c r="B840" s="45" t="str">
        <f aca="false">IF($D840="","",IFERROR(MID($D840,FIND(".",$D840)+1,FIND(".",$D840,FIND(".",$D840)+1)-FIND(".",$D840)-1)&amp;"月",""))</f>
        <v/>
      </c>
      <c r="C840" s="46"/>
      <c r="D840" s="47"/>
      <c r="E840" s="47"/>
      <c r="F840" s="49"/>
      <c r="G840" s="50"/>
      <c r="H840" s="24"/>
      <c r="I840" s="24" t="str">
        <f aca="false">IF($H840="","",N($H840)*N($G840))</f>
        <v/>
      </c>
      <c r="J840" s="25" t="str">
        <f aca="false">IF($H840="","",N($H840)-N($I840))</f>
        <v/>
      </c>
      <c r="K840" s="25"/>
      <c r="L840" s="25" t="str">
        <f aca="false">IF($A840="","",SUMIF($A$4:$A840,$A840,$J$4:$J840)-SUMIF($A$4:$A840,$A840,$K$4:$K840))</f>
        <v/>
      </c>
      <c r="M840" s="26" t="str">
        <f aca="false">IF($H840="","",N($H840))</f>
        <v/>
      </c>
      <c r="N840" s="26"/>
      <c r="O840" s="26"/>
      <c r="P840" s="26" t="str">
        <f aca="false">IF($A840="","",SUMIF($A$4:$A840,$A840,$M$4:$M840)-SUMIF($A$4:$A840,$A840,$N$4:$N840)-SUMIF($A$4:$A840,$A840,$O$4:$O840))</f>
        <v/>
      </c>
      <c r="Q840" s="27"/>
      <c r="R840" s="28"/>
      <c r="S840" s="28"/>
      <c r="T840" s="28" t="str">
        <f aca="false">IF($A840="","",SUMIF($A$4:$A840,$A840,$Q$4:$Q840)-SUMIF($A$4:$A840,$A840,$R$4:$R840)-SUMIF($A$4:$A840,$A840,$S$4:$S840))</f>
        <v/>
      </c>
      <c r="U840" s="28"/>
      <c r="V840" s="29" t="str">
        <f aca="false">IF(AND($C840="",COUNTA($D840:$H840,$K840,$N840:$O840,$Q840:$S840,$U840)=0),"",IF($C840="","⚠ 没填项目名称",IF($A840="⚠目录里没有","⚠ 项目名称在目录里找不到（先加到目录）",IF($A840="","⚠ 目录里这个项目没填简称",IF(ISTEXT($G840)+ISTEXT($H840)+ISTEXT($K840)+ISTEXT($N840)+ISTEXT($O840)+ISTEXT($Q840)+ISTEXT($R840)+ISTEXT($S840)&gt;0,"⚠ 金额列里有文字，算不进合计",IF(N($G840)&gt;=1,"⚠ 管理费点要填百分比，如 10%",IF(AND($D840&lt;&gt;"",$B840=""),"△ 摘要开头没写日期（如 2026.9.21），月份取不到",IF(AND(N($H840)&lt;&gt;0,COUNTIFS($A$4:$A$1003,$A840,$H$4:$H$1003,$H840,$D$4:$D$1003,LEFT($D840,9)&amp;"*")&gt;1),"△ 同一天同项目有一样的销售金额，看看是不是录重了","✓"))))))))</f>
        <v/>
      </c>
      <c r="W840" s="8" t="str">
        <f aca="false">IF($A840="","",$A840&amp;"#"&amp;COUNTIF($A$4:$A840,$A840))</f>
        <v/>
      </c>
    </row>
    <row r="841" customFormat="false" ht="16.5" hidden="false" customHeight="false" outlineLevel="0" collapsed="false">
      <c r="A841" s="44" t="str">
        <f aca="false">IF($C841="","",IFERROR(VLOOKUP($C841,目录!$B:$C,2,0)&amp;"","⚠目录里没有"))</f>
        <v/>
      </c>
      <c r="B841" s="45" t="str">
        <f aca="false">IF($D841="","",IFERROR(MID($D841,FIND(".",$D841)+1,FIND(".",$D841,FIND(".",$D841)+1)-FIND(".",$D841)-1)&amp;"月",""))</f>
        <v/>
      </c>
      <c r="C841" s="46"/>
      <c r="D841" s="47"/>
      <c r="E841" s="47"/>
      <c r="F841" s="49"/>
      <c r="G841" s="50"/>
      <c r="H841" s="24"/>
      <c r="I841" s="24" t="str">
        <f aca="false">IF($H841="","",N($H841)*N($G841))</f>
        <v/>
      </c>
      <c r="J841" s="25" t="str">
        <f aca="false">IF($H841="","",N($H841)-N($I841))</f>
        <v/>
      </c>
      <c r="K841" s="25"/>
      <c r="L841" s="25" t="str">
        <f aca="false">IF($A841="","",SUMIF($A$4:$A841,$A841,$J$4:$J841)-SUMIF($A$4:$A841,$A841,$K$4:$K841))</f>
        <v/>
      </c>
      <c r="M841" s="26" t="str">
        <f aca="false">IF($H841="","",N($H841))</f>
        <v/>
      </c>
      <c r="N841" s="26"/>
      <c r="O841" s="26"/>
      <c r="P841" s="26" t="str">
        <f aca="false">IF($A841="","",SUMIF($A$4:$A841,$A841,$M$4:$M841)-SUMIF($A$4:$A841,$A841,$N$4:$N841)-SUMIF($A$4:$A841,$A841,$O$4:$O841))</f>
        <v/>
      </c>
      <c r="Q841" s="27"/>
      <c r="R841" s="28"/>
      <c r="S841" s="28"/>
      <c r="T841" s="28" t="str">
        <f aca="false">IF($A841="","",SUMIF($A$4:$A841,$A841,$Q$4:$Q841)-SUMIF($A$4:$A841,$A841,$R$4:$R841)-SUMIF($A$4:$A841,$A841,$S$4:$S841))</f>
        <v/>
      </c>
      <c r="U841" s="28"/>
      <c r="V841" s="29" t="str">
        <f aca="false">IF(AND($C841="",COUNTA($D841:$H841,$K841,$N841:$O841,$Q841:$S841,$U841)=0),"",IF($C841="","⚠ 没填项目名称",IF($A841="⚠目录里没有","⚠ 项目名称在目录里找不到（先加到目录）",IF($A841="","⚠ 目录里这个项目没填简称",IF(ISTEXT($G841)+ISTEXT($H841)+ISTEXT($K841)+ISTEXT($N841)+ISTEXT($O841)+ISTEXT($Q841)+ISTEXT($R841)+ISTEXT($S841)&gt;0,"⚠ 金额列里有文字，算不进合计",IF(N($G841)&gt;=1,"⚠ 管理费点要填百分比，如 10%",IF(AND($D841&lt;&gt;"",$B841=""),"△ 摘要开头没写日期（如 2026.9.21），月份取不到",IF(AND(N($H841)&lt;&gt;0,COUNTIFS($A$4:$A$1003,$A841,$H$4:$H$1003,$H841,$D$4:$D$1003,LEFT($D841,9)&amp;"*")&gt;1),"△ 同一天同项目有一样的销售金额，看看是不是录重了","✓"))))))))</f>
        <v/>
      </c>
      <c r="W841" s="8" t="str">
        <f aca="false">IF($A841="","",$A841&amp;"#"&amp;COUNTIF($A$4:$A841,$A841))</f>
        <v/>
      </c>
    </row>
    <row r="842" customFormat="false" ht="16.5" hidden="false" customHeight="false" outlineLevel="0" collapsed="false">
      <c r="A842" s="44" t="str">
        <f aca="false">IF($C842="","",IFERROR(VLOOKUP($C842,目录!$B:$C,2,0)&amp;"","⚠目录里没有"))</f>
        <v/>
      </c>
      <c r="B842" s="45" t="str">
        <f aca="false">IF($D842="","",IFERROR(MID($D842,FIND(".",$D842)+1,FIND(".",$D842,FIND(".",$D842)+1)-FIND(".",$D842)-1)&amp;"月",""))</f>
        <v/>
      </c>
      <c r="C842" s="46"/>
      <c r="D842" s="47"/>
      <c r="E842" s="47"/>
      <c r="F842" s="49"/>
      <c r="G842" s="50"/>
      <c r="H842" s="24"/>
      <c r="I842" s="24" t="str">
        <f aca="false">IF($H842="","",N($H842)*N($G842))</f>
        <v/>
      </c>
      <c r="J842" s="25" t="str">
        <f aca="false">IF($H842="","",N($H842)-N($I842))</f>
        <v/>
      </c>
      <c r="K842" s="25"/>
      <c r="L842" s="25" t="str">
        <f aca="false">IF($A842="","",SUMIF($A$4:$A842,$A842,$J$4:$J842)-SUMIF($A$4:$A842,$A842,$K$4:$K842))</f>
        <v/>
      </c>
      <c r="M842" s="26" t="str">
        <f aca="false">IF($H842="","",N($H842))</f>
        <v/>
      </c>
      <c r="N842" s="26"/>
      <c r="O842" s="26"/>
      <c r="P842" s="26" t="str">
        <f aca="false">IF($A842="","",SUMIF($A$4:$A842,$A842,$M$4:$M842)-SUMIF($A$4:$A842,$A842,$N$4:$N842)-SUMIF($A$4:$A842,$A842,$O$4:$O842))</f>
        <v/>
      </c>
      <c r="Q842" s="27"/>
      <c r="R842" s="28"/>
      <c r="S842" s="28"/>
      <c r="T842" s="28" t="str">
        <f aca="false">IF($A842="","",SUMIF($A$4:$A842,$A842,$Q$4:$Q842)-SUMIF($A$4:$A842,$A842,$R$4:$R842)-SUMIF($A$4:$A842,$A842,$S$4:$S842))</f>
        <v/>
      </c>
      <c r="U842" s="28"/>
      <c r="V842" s="29" t="str">
        <f aca="false">IF(AND($C842="",COUNTA($D842:$H842,$K842,$N842:$O842,$Q842:$S842,$U842)=0),"",IF($C842="","⚠ 没填项目名称",IF($A842="⚠目录里没有","⚠ 项目名称在目录里找不到（先加到目录）",IF($A842="","⚠ 目录里这个项目没填简称",IF(ISTEXT($G842)+ISTEXT($H842)+ISTEXT($K842)+ISTEXT($N842)+ISTEXT($O842)+ISTEXT($Q842)+ISTEXT($R842)+ISTEXT($S842)&gt;0,"⚠ 金额列里有文字，算不进合计",IF(N($G842)&gt;=1,"⚠ 管理费点要填百分比，如 10%",IF(AND($D842&lt;&gt;"",$B842=""),"△ 摘要开头没写日期（如 2026.9.21），月份取不到",IF(AND(N($H842)&lt;&gt;0,COUNTIFS($A$4:$A$1003,$A842,$H$4:$H$1003,$H842,$D$4:$D$1003,LEFT($D842,9)&amp;"*")&gt;1),"△ 同一天同项目有一样的销售金额，看看是不是录重了","✓"))))))))</f>
        <v/>
      </c>
      <c r="W842" s="8" t="str">
        <f aca="false">IF($A842="","",$A842&amp;"#"&amp;COUNTIF($A$4:$A842,$A842))</f>
        <v/>
      </c>
    </row>
    <row r="843" customFormat="false" ht="16.5" hidden="false" customHeight="false" outlineLevel="0" collapsed="false">
      <c r="A843" s="44" t="str">
        <f aca="false">IF($C843="","",IFERROR(VLOOKUP($C843,目录!$B:$C,2,0)&amp;"","⚠目录里没有"))</f>
        <v/>
      </c>
      <c r="B843" s="45" t="str">
        <f aca="false">IF($D843="","",IFERROR(MID($D843,FIND(".",$D843)+1,FIND(".",$D843,FIND(".",$D843)+1)-FIND(".",$D843)-1)&amp;"月",""))</f>
        <v/>
      </c>
      <c r="C843" s="46"/>
      <c r="D843" s="47"/>
      <c r="E843" s="47"/>
      <c r="F843" s="49"/>
      <c r="G843" s="50"/>
      <c r="H843" s="24"/>
      <c r="I843" s="24" t="str">
        <f aca="false">IF($H843="","",N($H843)*N($G843))</f>
        <v/>
      </c>
      <c r="J843" s="25" t="str">
        <f aca="false">IF($H843="","",N($H843)-N($I843))</f>
        <v/>
      </c>
      <c r="K843" s="25"/>
      <c r="L843" s="25" t="str">
        <f aca="false">IF($A843="","",SUMIF($A$4:$A843,$A843,$J$4:$J843)-SUMIF($A$4:$A843,$A843,$K$4:$K843))</f>
        <v/>
      </c>
      <c r="M843" s="26" t="str">
        <f aca="false">IF($H843="","",N($H843))</f>
        <v/>
      </c>
      <c r="N843" s="26"/>
      <c r="O843" s="26"/>
      <c r="P843" s="26" t="str">
        <f aca="false">IF($A843="","",SUMIF($A$4:$A843,$A843,$M$4:$M843)-SUMIF($A$4:$A843,$A843,$N$4:$N843)-SUMIF($A$4:$A843,$A843,$O$4:$O843))</f>
        <v/>
      </c>
      <c r="Q843" s="27"/>
      <c r="R843" s="28"/>
      <c r="S843" s="28"/>
      <c r="T843" s="28" t="str">
        <f aca="false">IF($A843="","",SUMIF($A$4:$A843,$A843,$Q$4:$Q843)-SUMIF($A$4:$A843,$A843,$R$4:$R843)-SUMIF($A$4:$A843,$A843,$S$4:$S843))</f>
        <v/>
      </c>
      <c r="U843" s="28"/>
      <c r="V843" s="29" t="str">
        <f aca="false">IF(AND($C843="",COUNTA($D843:$H843,$K843,$N843:$O843,$Q843:$S843,$U843)=0),"",IF($C843="","⚠ 没填项目名称",IF($A843="⚠目录里没有","⚠ 项目名称在目录里找不到（先加到目录）",IF($A843="","⚠ 目录里这个项目没填简称",IF(ISTEXT($G843)+ISTEXT($H843)+ISTEXT($K843)+ISTEXT($N843)+ISTEXT($O843)+ISTEXT($Q843)+ISTEXT($R843)+ISTEXT($S843)&gt;0,"⚠ 金额列里有文字，算不进合计",IF(N($G843)&gt;=1,"⚠ 管理费点要填百分比，如 10%",IF(AND($D843&lt;&gt;"",$B843=""),"△ 摘要开头没写日期（如 2026.9.21），月份取不到",IF(AND(N($H843)&lt;&gt;0,COUNTIFS($A$4:$A$1003,$A843,$H$4:$H$1003,$H843,$D$4:$D$1003,LEFT($D843,9)&amp;"*")&gt;1),"△ 同一天同项目有一样的销售金额，看看是不是录重了","✓"))))))))</f>
        <v/>
      </c>
      <c r="W843" s="8" t="str">
        <f aca="false">IF($A843="","",$A843&amp;"#"&amp;COUNTIF($A$4:$A843,$A843))</f>
        <v/>
      </c>
    </row>
    <row r="844" customFormat="false" ht="16.5" hidden="false" customHeight="false" outlineLevel="0" collapsed="false">
      <c r="A844" s="44" t="str">
        <f aca="false">IF($C844="","",IFERROR(VLOOKUP($C844,目录!$B:$C,2,0)&amp;"","⚠目录里没有"))</f>
        <v/>
      </c>
      <c r="B844" s="45" t="str">
        <f aca="false">IF($D844="","",IFERROR(MID($D844,FIND(".",$D844)+1,FIND(".",$D844,FIND(".",$D844)+1)-FIND(".",$D844)-1)&amp;"月",""))</f>
        <v/>
      </c>
      <c r="C844" s="46"/>
      <c r="D844" s="47"/>
      <c r="E844" s="47"/>
      <c r="F844" s="49"/>
      <c r="G844" s="50"/>
      <c r="H844" s="24"/>
      <c r="I844" s="24" t="str">
        <f aca="false">IF($H844="","",N($H844)*N($G844))</f>
        <v/>
      </c>
      <c r="J844" s="25" t="str">
        <f aca="false">IF($H844="","",N($H844)-N($I844))</f>
        <v/>
      </c>
      <c r="K844" s="25"/>
      <c r="L844" s="25" t="str">
        <f aca="false">IF($A844="","",SUMIF($A$4:$A844,$A844,$J$4:$J844)-SUMIF($A$4:$A844,$A844,$K$4:$K844))</f>
        <v/>
      </c>
      <c r="M844" s="26" t="str">
        <f aca="false">IF($H844="","",N($H844))</f>
        <v/>
      </c>
      <c r="N844" s="26"/>
      <c r="O844" s="26"/>
      <c r="P844" s="26" t="str">
        <f aca="false">IF($A844="","",SUMIF($A$4:$A844,$A844,$M$4:$M844)-SUMIF($A$4:$A844,$A844,$N$4:$N844)-SUMIF($A$4:$A844,$A844,$O$4:$O844))</f>
        <v/>
      </c>
      <c r="Q844" s="27"/>
      <c r="R844" s="28"/>
      <c r="S844" s="28"/>
      <c r="T844" s="28" t="str">
        <f aca="false">IF($A844="","",SUMIF($A$4:$A844,$A844,$Q$4:$Q844)-SUMIF($A$4:$A844,$A844,$R$4:$R844)-SUMIF($A$4:$A844,$A844,$S$4:$S844))</f>
        <v/>
      </c>
      <c r="U844" s="28"/>
      <c r="V844" s="29" t="str">
        <f aca="false">IF(AND($C844="",COUNTA($D844:$H844,$K844,$N844:$O844,$Q844:$S844,$U844)=0),"",IF($C844="","⚠ 没填项目名称",IF($A844="⚠目录里没有","⚠ 项目名称在目录里找不到（先加到目录）",IF($A844="","⚠ 目录里这个项目没填简称",IF(ISTEXT($G844)+ISTEXT($H844)+ISTEXT($K844)+ISTEXT($N844)+ISTEXT($O844)+ISTEXT($Q844)+ISTEXT($R844)+ISTEXT($S844)&gt;0,"⚠ 金额列里有文字，算不进合计",IF(N($G844)&gt;=1,"⚠ 管理费点要填百分比，如 10%",IF(AND($D844&lt;&gt;"",$B844=""),"△ 摘要开头没写日期（如 2026.9.21），月份取不到",IF(AND(N($H844)&lt;&gt;0,COUNTIFS($A$4:$A$1003,$A844,$H$4:$H$1003,$H844,$D$4:$D$1003,LEFT($D844,9)&amp;"*")&gt;1),"△ 同一天同项目有一样的销售金额，看看是不是录重了","✓"))))))))</f>
        <v/>
      </c>
      <c r="W844" s="8" t="str">
        <f aca="false">IF($A844="","",$A844&amp;"#"&amp;COUNTIF($A$4:$A844,$A844))</f>
        <v/>
      </c>
    </row>
    <row r="845" customFormat="false" ht="16.5" hidden="false" customHeight="false" outlineLevel="0" collapsed="false">
      <c r="A845" s="44" t="str">
        <f aca="false">IF($C845="","",IFERROR(VLOOKUP($C845,目录!$B:$C,2,0)&amp;"","⚠目录里没有"))</f>
        <v/>
      </c>
      <c r="B845" s="45" t="str">
        <f aca="false">IF($D845="","",IFERROR(MID($D845,FIND(".",$D845)+1,FIND(".",$D845,FIND(".",$D845)+1)-FIND(".",$D845)-1)&amp;"月",""))</f>
        <v/>
      </c>
      <c r="C845" s="46"/>
      <c r="D845" s="47"/>
      <c r="E845" s="47"/>
      <c r="F845" s="49"/>
      <c r="G845" s="50"/>
      <c r="H845" s="24"/>
      <c r="I845" s="24" t="str">
        <f aca="false">IF($H845="","",N($H845)*N($G845))</f>
        <v/>
      </c>
      <c r="J845" s="25" t="str">
        <f aca="false">IF($H845="","",N($H845)-N($I845))</f>
        <v/>
      </c>
      <c r="K845" s="25"/>
      <c r="L845" s="25" t="str">
        <f aca="false">IF($A845="","",SUMIF($A$4:$A845,$A845,$J$4:$J845)-SUMIF($A$4:$A845,$A845,$K$4:$K845))</f>
        <v/>
      </c>
      <c r="M845" s="26" t="str">
        <f aca="false">IF($H845="","",N($H845))</f>
        <v/>
      </c>
      <c r="N845" s="26"/>
      <c r="O845" s="26"/>
      <c r="P845" s="26" t="str">
        <f aca="false">IF($A845="","",SUMIF($A$4:$A845,$A845,$M$4:$M845)-SUMIF($A$4:$A845,$A845,$N$4:$N845)-SUMIF($A$4:$A845,$A845,$O$4:$O845))</f>
        <v/>
      </c>
      <c r="Q845" s="27"/>
      <c r="R845" s="28"/>
      <c r="S845" s="28"/>
      <c r="T845" s="28" t="str">
        <f aca="false">IF($A845="","",SUMIF($A$4:$A845,$A845,$Q$4:$Q845)-SUMIF($A$4:$A845,$A845,$R$4:$R845)-SUMIF($A$4:$A845,$A845,$S$4:$S845))</f>
        <v/>
      </c>
      <c r="U845" s="28"/>
      <c r="V845" s="29" t="str">
        <f aca="false">IF(AND($C845="",COUNTA($D845:$H845,$K845,$N845:$O845,$Q845:$S845,$U845)=0),"",IF($C845="","⚠ 没填项目名称",IF($A845="⚠目录里没有","⚠ 项目名称在目录里找不到（先加到目录）",IF($A845="","⚠ 目录里这个项目没填简称",IF(ISTEXT($G845)+ISTEXT($H845)+ISTEXT($K845)+ISTEXT($N845)+ISTEXT($O845)+ISTEXT($Q845)+ISTEXT($R845)+ISTEXT($S845)&gt;0,"⚠ 金额列里有文字，算不进合计",IF(N($G845)&gt;=1,"⚠ 管理费点要填百分比，如 10%",IF(AND($D845&lt;&gt;"",$B845=""),"△ 摘要开头没写日期（如 2026.9.21），月份取不到",IF(AND(N($H845)&lt;&gt;0,COUNTIFS($A$4:$A$1003,$A845,$H$4:$H$1003,$H845,$D$4:$D$1003,LEFT($D845,9)&amp;"*")&gt;1),"△ 同一天同项目有一样的销售金额，看看是不是录重了","✓"))))))))</f>
        <v/>
      </c>
      <c r="W845" s="8" t="str">
        <f aca="false">IF($A845="","",$A845&amp;"#"&amp;COUNTIF($A$4:$A845,$A845))</f>
        <v/>
      </c>
    </row>
    <row r="846" customFormat="false" ht="16.5" hidden="false" customHeight="false" outlineLevel="0" collapsed="false">
      <c r="A846" s="44" t="str">
        <f aca="false">IF($C846="","",IFERROR(VLOOKUP($C846,目录!$B:$C,2,0)&amp;"","⚠目录里没有"))</f>
        <v/>
      </c>
      <c r="B846" s="45" t="str">
        <f aca="false">IF($D846="","",IFERROR(MID($D846,FIND(".",$D846)+1,FIND(".",$D846,FIND(".",$D846)+1)-FIND(".",$D846)-1)&amp;"月",""))</f>
        <v/>
      </c>
      <c r="C846" s="46"/>
      <c r="D846" s="47"/>
      <c r="E846" s="47"/>
      <c r="F846" s="49"/>
      <c r="G846" s="50"/>
      <c r="H846" s="24"/>
      <c r="I846" s="24" t="str">
        <f aca="false">IF($H846="","",N($H846)*N($G846))</f>
        <v/>
      </c>
      <c r="J846" s="25" t="str">
        <f aca="false">IF($H846="","",N($H846)-N($I846))</f>
        <v/>
      </c>
      <c r="K846" s="25"/>
      <c r="L846" s="25" t="str">
        <f aca="false">IF($A846="","",SUMIF($A$4:$A846,$A846,$J$4:$J846)-SUMIF($A$4:$A846,$A846,$K$4:$K846))</f>
        <v/>
      </c>
      <c r="M846" s="26" t="str">
        <f aca="false">IF($H846="","",N($H846))</f>
        <v/>
      </c>
      <c r="N846" s="26"/>
      <c r="O846" s="26"/>
      <c r="P846" s="26" t="str">
        <f aca="false">IF($A846="","",SUMIF($A$4:$A846,$A846,$M$4:$M846)-SUMIF($A$4:$A846,$A846,$N$4:$N846)-SUMIF($A$4:$A846,$A846,$O$4:$O846))</f>
        <v/>
      </c>
      <c r="Q846" s="27"/>
      <c r="R846" s="28"/>
      <c r="S846" s="28"/>
      <c r="T846" s="28" t="str">
        <f aca="false">IF($A846="","",SUMIF($A$4:$A846,$A846,$Q$4:$Q846)-SUMIF($A$4:$A846,$A846,$R$4:$R846)-SUMIF($A$4:$A846,$A846,$S$4:$S846))</f>
        <v/>
      </c>
      <c r="U846" s="28"/>
      <c r="V846" s="29" t="str">
        <f aca="false">IF(AND($C846="",COUNTA($D846:$H846,$K846,$N846:$O846,$Q846:$S846,$U846)=0),"",IF($C846="","⚠ 没填项目名称",IF($A846="⚠目录里没有","⚠ 项目名称在目录里找不到（先加到目录）",IF($A846="","⚠ 目录里这个项目没填简称",IF(ISTEXT($G846)+ISTEXT($H846)+ISTEXT($K846)+ISTEXT($N846)+ISTEXT($O846)+ISTEXT($Q846)+ISTEXT($R846)+ISTEXT($S846)&gt;0,"⚠ 金额列里有文字，算不进合计",IF(N($G846)&gt;=1,"⚠ 管理费点要填百分比，如 10%",IF(AND($D846&lt;&gt;"",$B846=""),"△ 摘要开头没写日期（如 2026.9.21），月份取不到",IF(AND(N($H846)&lt;&gt;0,COUNTIFS($A$4:$A$1003,$A846,$H$4:$H$1003,$H846,$D$4:$D$1003,LEFT($D846,9)&amp;"*")&gt;1),"△ 同一天同项目有一样的销售金额，看看是不是录重了","✓"))))))))</f>
        <v/>
      </c>
      <c r="W846" s="8" t="str">
        <f aca="false">IF($A846="","",$A846&amp;"#"&amp;COUNTIF($A$4:$A846,$A846))</f>
        <v/>
      </c>
    </row>
    <row r="847" customFormat="false" ht="16.5" hidden="false" customHeight="false" outlineLevel="0" collapsed="false">
      <c r="A847" s="44" t="str">
        <f aca="false">IF($C847="","",IFERROR(VLOOKUP($C847,目录!$B:$C,2,0)&amp;"","⚠目录里没有"))</f>
        <v/>
      </c>
      <c r="B847" s="45" t="str">
        <f aca="false">IF($D847="","",IFERROR(MID($D847,FIND(".",$D847)+1,FIND(".",$D847,FIND(".",$D847)+1)-FIND(".",$D847)-1)&amp;"月",""))</f>
        <v/>
      </c>
      <c r="C847" s="46"/>
      <c r="D847" s="47"/>
      <c r="E847" s="47"/>
      <c r="F847" s="49"/>
      <c r="G847" s="50"/>
      <c r="H847" s="24"/>
      <c r="I847" s="24" t="str">
        <f aca="false">IF($H847="","",N($H847)*N($G847))</f>
        <v/>
      </c>
      <c r="J847" s="25" t="str">
        <f aca="false">IF($H847="","",N($H847)-N($I847))</f>
        <v/>
      </c>
      <c r="K847" s="25"/>
      <c r="L847" s="25" t="str">
        <f aca="false">IF($A847="","",SUMIF($A$4:$A847,$A847,$J$4:$J847)-SUMIF($A$4:$A847,$A847,$K$4:$K847))</f>
        <v/>
      </c>
      <c r="M847" s="26" t="str">
        <f aca="false">IF($H847="","",N($H847))</f>
        <v/>
      </c>
      <c r="N847" s="26"/>
      <c r="O847" s="26"/>
      <c r="P847" s="26" t="str">
        <f aca="false">IF($A847="","",SUMIF($A$4:$A847,$A847,$M$4:$M847)-SUMIF($A$4:$A847,$A847,$N$4:$N847)-SUMIF($A$4:$A847,$A847,$O$4:$O847))</f>
        <v/>
      </c>
      <c r="Q847" s="27"/>
      <c r="R847" s="28"/>
      <c r="S847" s="28"/>
      <c r="T847" s="28" t="str">
        <f aca="false">IF($A847="","",SUMIF($A$4:$A847,$A847,$Q$4:$Q847)-SUMIF($A$4:$A847,$A847,$R$4:$R847)-SUMIF($A$4:$A847,$A847,$S$4:$S847))</f>
        <v/>
      </c>
      <c r="U847" s="28"/>
      <c r="V847" s="29" t="str">
        <f aca="false">IF(AND($C847="",COUNTA($D847:$H847,$K847,$N847:$O847,$Q847:$S847,$U847)=0),"",IF($C847="","⚠ 没填项目名称",IF($A847="⚠目录里没有","⚠ 项目名称在目录里找不到（先加到目录）",IF($A847="","⚠ 目录里这个项目没填简称",IF(ISTEXT($G847)+ISTEXT($H847)+ISTEXT($K847)+ISTEXT($N847)+ISTEXT($O847)+ISTEXT($Q847)+ISTEXT($R847)+ISTEXT($S847)&gt;0,"⚠ 金额列里有文字，算不进合计",IF(N($G847)&gt;=1,"⚠ 管理费点要填百分比，如 10%",IF(AND($D847&lt;&gt;"",$B847=""),"△ 摘要开头没写日期（如 2026.9.21），月份取不到",IF(AND(N($H847)&lt;&gt;0,COUNTIFS($A$4:$A$1003,$A847,$H$4:$H$1003,$H847,$D$4:$D$1003,LEFT($D847,9)&amp;"*")&gt;1),"△ 同一天同项目有一样的销售金额，看看是不是录重了","✓"))))))))</f>
        <v/>
      </c>
      <c r="W847" s="8" t="str">
        <f aca="false">IF($A847="","",$A847&amp;"#"&amp;COUNTIF($A$4:$A847,$A847))</f>
        <v/>
      </c>
    </row>
    <row r="848" customFormat="false" ht="16.5" hidden="false" customHeight="false" outlineLevel="0" collapsed="false">
      <c r="A848" s="44" t="str">
        <f aca="false">IF($C848="","",IFERROR(VLOOKUP($C848,目录!$B:$C,2,0)&amp;"","⚠目录里没有"))</f>
        <v/>
      </c>
      <c r="B848" s="45" t="str">
        <f aca="false">IF($D848="","",IFERROR(MID($D848,FIND(".",$D848)+1,FIND(".",$D848,FIND(".",$D848)+1)-FIND(".",$D848)-1)&amp;"月",""))</f>
        <v/>
      </c>
      <c r="C848" s="46"/>
      <c r="D848" s="47"/>
      <c r="E848" s="47"/>
      <c r="F848" s="49"/>
      <c r="G848" s="50"/>
      <c r="H848" s="24"/>
      <c r="I848" s="24" t="str">
        <f aca="false">IF($H848="","",N($H848)*N($G848))</f>
        <v/>
      </c>
      <c r="J848" s="25" t="str">
        <f aca="false">IF($H848="","",N($H848)-N($I848))</f>
        <v/>
      </c>
      <c r="K848" s="25"/>
      <c r="L848" s="25" t="str">
        <f aca="false">IF($A848="","",SUMIF($A$4:$A848,$A848,$J$4:$J848)-SUMIF($A$4:$A848,$A848,$K$4:$K848))</f>
        <v/>
      </c>
      <c r="M848" s="26" t="str">
        <f aca="false">IF($H848="","",N($H848))</f>
        <v/>
      </c>
      <c r="N848" s="26"/>
      <c r="O848" s="26"/>
      <c r="P848" s="26" t="str">
        <f aca="false">IF($A848="","",SUMIF($A$4:$A848,$A848,$M$4:$M848)-SUMIF($A$4:$A848,$A848,$N$4:$N848)-SUMIF($A$4:$A848,$A848,$O$4:$O848))</f>
        <v/>
      </c>
      <c r="Q848" s="27"/>
      <c r="R848" s="28"/>
      <c r="S848" s="28"/>
      <c r="T848" s="28" t="str">
        <f aca="false">IF($A848="","",SUMIF($A$4:$A848,$A848,$Q$4:$Q848)-SUMIF($A$4:$A848,$A848,$R$4:$R848)-SUMIF($A$4:$A848,$A848,$S$4:$S848))</f>
        <v/>
      </c>
      <c r="U848" s="28"/>
      <c r="V848" s="29" t="str">
        <f aca="false">IF(AND($C848="",COUNTA($D848:$H848,$K848,$N848:$O848,$Q848:$S848,$U848)=0),"",IF($C848="","⚠ 没填项目名称",IF($A848="⚠目录里没有","⚠ 项目名称在目录里找不到（先加到目录）",IF($A848="","⚠ 目录里这个项目没填简称",IF(ISTEXT($G848)+ISTEXT($H848)+ISTEXT($K848)+ISTEXT($N848)+ISTEXT($O848)+ISTEXT($Q848)+ISTEXT($R848)+ISTEXT($S848)&gt;0,"⚠ 金额列里有文字，算不进合计",IF(N($G848)&gt;=1,"⚠ 管理费点要填百分比，如 10%",IF(AND($D848&lt;&gt;"",$B848=""),"△ 摘要开头没写日期（如 2026.9.21），月份取不到",IF(AND(N($H848)&lt;&gt;0,COUNTIFS($A$4:$A$1003,$A848,$H$4:$H$1003,$H848,$D$4:$D$1003,LEFT($D848,9)&amp;"*")&gt;1),"△ 同一天同项目有一样的销售金额，看看是不是录重了","✓"))))))))</f>
        <v/>
      </c>
      <c r="W848" s="8" t="str">
        <f aca="false">IF($A848="","",$A848&amp;"#"&amp;COUNTIF($A$4:$A848,$A848))</f>
        <v/>
      </c>
    </row>
    <row r="849" customFormat="false" ht="16.5" hidden="false" customHeight="false" outlineLevel="0" collapsed="false">
      <c r="A849" s="44" t="str">
        <f aca="false">IF($C849="","",IFERROR(VLOOKUP($C849,目录!$B:$C,2,0)&amp;"","⚠目录里没有"))</f>
        <v/>
      </c>
      <c r="B849" s="45" t="str">
        <f aca="false">IF($D849="","",IFERROR(MID($D849,FIND(".",$D849)+1,FIND(".",$D849,FIND(".",$D849)+1)-FIND(".",$D849)-1)&amp;"月",""))</f>
        <v/>
      </c>
      <c r="C849" s="46"/>
      <c r="D849" s="47"/>
      <c r="E849" s="47"/>
      <c r="F849" s="49"/>
      <c r="G849" s="50"/>
      <c r="H849" s="24"/>
      <c r="I849" s="24" t="str">
        <f aca="false">IF($H849="","",N($H849)*N($G849))</f>
        <v/>
      </c>
      <c r="J849" s="25" t="str">
        <f aca="false">IF($H849="","",N($H849)-N($I849))</f>
        <v/>
      </c>
      <c r="K849" s="25"/>
      <c r="L849" s="25" t="str">
        <f aca="false">IF($A849="","",SUMIF($A$4:$A849,$A849,$J$4:$J849)-SUMIF($A$4:$A849,$A849,$K$4:$K849))</f>
        <v/>
      </c>
      <c r="M849" s="26" t="str">
        <f aca="false">IF($H849="","",N($H849))</f>
        <v/>
      </c>
      <c r="N849" s="26"/>
      <c r="O849" s="26"/>
      <c r="P849" s="26" t="str">
        <f aca="false">IF($A849="","",SUMIF($A$4:$A849,$A849,$M$4:$M849)-SUMIF($A$4:$A849,$A849,$N$4:$N849)-SUMIF($A$4:$A849,$A849,$O$4:$O849))</f>
        <v/>
      </c>
      <c r="Q849" s="27"/>
      <c r="R849" s="28"/>
      <c r="S849" s="28"/>
      <c r="T849" s="28" t="str">
        <f aca="false">IF($A849="","",SUMIF($A$4:$A849,$A849,$Q$4:$Q849)-SUMIF($A$4:$A849,$A849,$R$4:$R849)-SUMIF($A$4:$A849,$A849,$S$4:$S849))</f>
        <v/>
      </c>
      <c r="U849" s="28"/>
      <c r="V849" s="29" t="str">
        <f aca="false">IF(AND($C849="",COUNTA($D849:$H849,$K849,$N849:$O849,$Q849:$S849,$U849)=0),"",IF($C849="","⚠ 没填项目名称",IF($A849="⚠目录里没有","⚠ 项目名称在目录里找不到（先加到目录）",IF($A849="","⚠ 目录里这个项目没填简称",IF(ISTEXT($G849)+ISTEXT($H849)+ISTEXT($K849)+ISTEXT($N849)+ISTEXT($O849)+ISTEXT($Q849)+ISTEXT($R849)+ISTEXT($S849)&gt;0,"⚠ 金额列里有文字，算不进合计",IF(N($G849)&gt;=1,"⚠ 管理费点要填百分比，如 10%",IF(AND($D849&lt;&gt;"",$B849=""),"△ 摘要开头没写日期（如 2026.9.21），月份取不到",IF(AND(N($H849)&lt;&gt;0,COUNTIFS($A$4:$A$1003,$A849,$H$4:$H$1003,$H849,$D$4:$D$1003,LEFT($D849,9)&amp;"*")&gt;1),"△ 同一天同项目有一样的销售金额，看看是不是录重了","✓"))))))))</f>
        <v/>
      </c>
      <c r="W849" s="8" t="str">
        <f aca="false">IF($A849="","",$A849&amp;"#"&amp;COUNTIF($A$4:$A849,$A849))</f>
        <v/>
      </c>
    </row>
    <row r="850" customFormat="false" ht="16.5" hidden="false" customHeight="false" outlineLevel="0" collapsed="false">
      <c r="A850" s="44" t="str">
        <f aca="false">IF($C850="","",IFERROR(VLOOKUP($C850,目录!$B:$C,2,0)&amp;"","⚠目录里没有"))</f>
        <v/>
      </c>
      <c r="B850" s="45" t="str">
        <f aca="false">IF($D850="","",IFERROR(MID($D850,FIND(".",$D850)+1,FIND(".",$D850,FIND(".",$D850)+1)-FIND(".",$D850)-1)&amp;"月",""))</f>
        <v/>
      </c>
      <c r="C850" s="46"/>
      <c r="D850" s="47"/>
      <c r="E850" s="47"/>
      <c r="F850" s="49"/>
      <c r="G850" s="50"/>
      <c r="H850" s="24"/>
      <c r="I850" s="24" t="str">
        <f aca="false">IF($H850="","",N($H850)*N($G850))</f>
        <v/>
      </c>
      <c r="J850" s="25" t="str">
        <f aca="false">IF($H850="","",N($H850)-N($I850))</f>
        <v/>
      </c>
      <c r="K850" s="25"/>
      <c r="L850" s="25" t="str">
        <f aca="false">IF($A850="","",SUMIF($A$4:$A850,$A850,$J$4:$J850)-SUMIF($A$4:$A850,$A850,$K$4:$K850))</f>
        <v/>
      </c>
      <c r="M850" s="26" t="str">
        <f aca="false">IF($H850="","",N($H850))</f>
        <v/>
      </c>
      <c r="N850" s="26"/>
      <c r="O850" s="26"/>
      <c r="P850" s="26" t="str">
        <f aca="false">IF($A850="","",SUMIF($A$4:$A850,$A850,$M$4:$M850)-SUMIF($A$4:$A850,$A850,$N$4:$N850)-SUMIF($A$4:$A850,$A850,$O$4:$O850))</f>
        <v/>
      </c>
      <c r="Q850" s="27"/>
      <c r="R850" s="28"/>
      <c r="S850" s="28"/>
      <c r="T850" s="28" t="str">
        <f aca="false">IF($A850="","",SUMIF($A$4:$A850,$A850,$Q$4:$Q850)-SUMIF($A$4:$A850,$A850,$R$4:$R850)-SUMIF($A$4:$A850,$A850,$S$4:$S850))</f>
        <v/>
      </c>
      <c r="U850" s="28"/>
      <c r="V850" s="29" t="str">
        <f aca="false">IF(AND($C850="",COUNTA($D850:$H850,$K850,$N850:$O850,$Q850:$S850,$U850)=0),"",IF($C850="","⚠ 没填项目名称",IF($A850="⚠目录里没有","⚠ 项目名称在目录里找不到（先加到目录）",IF($A850="","⚠ 目录里这个项目没填简称",IF(ISTEXT($G850)+ISTEXT($H850)+ISTEXT($K850)+ISTEXT($N850)+ISTEXT($O850)+ISTEXT($Q850)+ISTEXT($R850)+ISTEXT($S850)&gt;0,"⚠ 金额列里有文字，算不进合计",IF(N($G850)&gt;=1,"⚠ 管理费点要填百分比，如 10%",IF(AND($D850&lt;&gt;"",$B850=""),"△ 摘要开头没写日期（如 2026.9.21），月份取不到",IF(AND(N($H850)&lt;&gt;0,COUNTIFS($A$4:$A$1003,$A850,$H$4:$H$1003,$H850,$D$4:$D$1003,LEFT($D850,9)&amp;"*")&gt;1),"△ 同一天同项目有一样的销售金额，看看是不是录重了","✓"))))))))</f>
        <v/>
      </c>
      <c r="W850" s="8" t="str">
        <f aca="false">IF($A850="","",$A850&amp;"#"&amp;COUNTIF($A$4:$A850,$A850))</f>
        <v/>
      </c>
    </row>
    <row r="851" customFormat="false" ht="16.5" hidden="false" customHeight="false" outlineLevel="0" collapsed="false">
      <c r="A851" s="44" t="str">
        <f aca="false">IF($C851="","",IFERROR(VLOOKUP($C851,目录!$B:$C,2,0)&amp;"","⚠目录里没有"))</f>
        <v/>
      </c>
      <c r="B851" s="45" t="str">
        <f aca="false">IF($D851="","",IFERROR(MID($D851,FIND(".",$D851)+1,FIND(".",$D851,FIND(".",$D851)+1)-FIND(".",$D851)-1)&amp;"月",""))</f>
        <v/>
      </c>
      <c r="C851" s="46"/>
      <c r="D851" s="47"/>
      <c r="E851" s="47"/>
      <c r="F851" s="49"/>
      <c r="G851" s="50"/>
      <c r="H851" s="24"/>
      <c r="I851" s="24" t="str">
        <f aca="false">IF($H851="","",N($H851)*N($G851))</f>
        <v/>
      </c>
      <c r="J851" s="25" t="str">
        <f aca="false">IF($H851="","",N($H851)-N($I851))</f>
        <v/>
      </c>
      <c r="K851" s="25"/>
      <c r="L851" s="25" t="str">
        <f aca="false">IF($A851="","",SUMIF($A$4:$A851,$A851,$J$4:$J851)-SUMIF($A$4:$A851,$A851,$K$4:$K851))</f>
        <v/>
      </c>
      <c r="M851" s="26" t="str">
        <f aca="false">IF($H851="","",N($H851))</f>
        <v/>
      </c>
      <c r="N851" s="26"/>
      <c r="O851" s="26"/>
      <c r="P851" s="26" t="str">
        <f aca="false">IF($A851="","",SUMIF($A$4:$A851,$A851,$M$4:$M851)-SUMIF($A$4:$A851,$A851,$N$4:$N851)-SUMIF($A$4:$A851,$A851,$O$4:$O851))</f>
        <v/>
      </c>
      <c r="Q851" s="27"/>
      <c r="R851" s="28"/>
      <c r="S851" s="28"/>
      <c r="T851" s="28" t="str">
        <f aca="false">IF($A851="","",SUMIF($A$4:$A851,$A851,$Q$4:$Q851)-SUMIF($A$4:$A851,$A851,$R$4:$R851)-SUMIF($A$4:$A851,$A851,$S$4:$S851))</f>
        <v/>
      </c>
      <c r="U851" s="28"/>
      <c r="V851" s="29" t="str">
        <f aca="false">IF(AND($C851="",COUNTA($D851:$H851,$K851,$N851:$O851,$Q851:$S851,$U851)=0),"",IF($C851="","⚠ 没填项目名称",IF($A851="⚠目录里没有","⚠ 项目名称在目录里找不到（先加到目录）",IF($A851="","⚠ 目录里这个项目没填简称",IF(ISTEXT($G851)+ISTEXT($H851)+ISTEXT($K851)+ISTEXT($N851)+ISTEXT($O851)+ISTEXT($Q851)+ISTEXT($R851)+ISTEXT($S851)&gt;0,"⚠ 金额列里有文字，算不进合计",IF(N($G851)&gt;=1,"⚠ 管理费点要填百分比，如 10%",IF(AND($D851&lt;&gt;"",$B851=""),"△ 摘要开头没写日期（如 2026.9.21），月份取不到",IF(AND(N($H851)&lt;&gt;0,COUNTIFS($A$4:$A$1003,$A851,$H$4:$H$1003,$H851,$D$4:$D$1003,LEFT($D851,9)&amp;"*")&gt;1),"△ 同一天同项目有一样的销售金额，看看是不是录重了","✓"))))))))</f>
        <v/>
      </c>
      <c r="W851" s="8" t="str">
        <f aca="false">IF($A851="","",$A851&amp;"#"&amp;COUNTIF($A$4:$A851,$A851))</f>
        <v/>
      </c>
    </row>
    <row r="852" customFormat="false" ht="16.5" hidden="false" customHeight="false" outlineLevel="0" collapsed="false">
      <c r="A852" s="44" t="str">
        <f aca="false">IF($C852="","",IFERROR(VLOOKUP($C852,目录!$B:$C,2,0)&amp;"","⚠目录里没有"))</f>
        <v/>
      </c>
      <c r="B852" s="45" t="str">
        <f aca="false">IF($D852="","",IFERROR(MID($D852,FIND(".",$D852)+1,FIND(".",$D852,FIND(".",$D852)+1)-FIND(".",$D852)-1)&amp;"月",""))</f>
        <v/>
      </c>
      <c r="C852" s="46"/>
      <c r="D852" s="47"/>
      <c r="E852" s="47"/>
      <c r="F852" s="49"/>
      <c r="G852" s="50"/>
      <c r="H852" s="24"/>
      <c r="I852" s="24" t="str">
        <f aca="false">IF($H852="","",N($H852)*N($G852))</f>
        <v/>
      </c>
      <c r="J852" s="25" t="str">
        <f aca="false">IF($H852="","",N($H852)-N($I852))</f>
        <v/>
      </c>
      <c r="K852" s="25"/>
      <c r="L852" s="25" t="str">
        <f aca="false">IF($A852="","",SUMIF($A$4:$A852,$A852,$J$4:$J852)-SUMIF($A$4:$A852,$A852,$K$4:$K852))</f>
        <v/>
      </c>
      <c r="M852" s="26" t="str">
        <f aca="false">IF($H852="","",N($H852))</f>
        <v/>
      </c>
      <c r="N852" s="26"/>
      <c r="O852" s="26"/>
      <c r="P852" s="26" t="str">
        <f aca="false">IF($A852="","",SUMIF($A$4:$A852,$A852,$M$4:$M852)-SUMIF($A$4:$A852,$A852,$N$4:$N852)-SUMIF($A$4:$A852,$A852,$O$4:$O852))</f>
        <v/>
      </c>
      <c r="Q852" s="27"/>
      <c r="R852" s="28"/>
      <c r="S852" s="28"/>
      <c r="T852" s="28" t="str">
        <f aca="false">IF($A852="","",SUMIF($A$4:$A852,$A852,$Q$4:$Q852)-SUMIF($A$4:$A852,$A852,$R$4:$R852)-SUMIF($A$4:$A852,$A852,$S$4:$S852))</f>
        <v/>
      </c>
      <c r="U852" s="28"/>
      <c r="V852" s="29" t="str">
        <f aca="false">IF(AND($C852="",COUNTA($D852:$H852,$K852,$N852:$O852,$Q852:$S852,$U852)=0),"",IF($C852="","⚠ 没填项目名称",IF($A852="⚠目录里没有","⚠ 项目名称在目录里找不到（先加到目录）",IF($A852="","⚠ 目录里这个项目没填简称",IF(ISTEXT($G852)+ISTEXT($H852)+ISTEXT($K852)+ISTEXT($N852)+ISTEXT($O852)+ISTEXT($Q852)+ISTEXT($R852)+ISTEXT($S852)&gt;0,"⚠ 金额列里有文字，算不进合计",IF(N($G852)&gt;=1,"⚠ 管理费点要填百分比，如 10%",IF(AND($D852&lt;&gt;"",$B852=""),"△ 摘要开头没写日期（如 2026.9.21），月份取不到",IF(AND(N($H852)&lt;&gt;0,COUNTIFS($A$4:$A$1003,$A852,$H$4:$H$1003,$H852,$D$4:$D$1003,LEFT($D852,9)&amp;"*")&gt;1),"△ 同一天同项目有一样的销售金额，看看是不是录重了","✓"))))))))</f>
        <v/>
      </c>
      <c r="W852" s="8" t="str">
        <f aca="false">IF($A852="","",$A852&amp;"#"&amp;COUNTIF($A$4:$A852,$A852))</f>
        <v/>
      </c>
    </row>
    <row r="853" customFormat="false" ht="16.5" hidden="false" customHeight="false" outlineLevel="0" collapsed="false">
      <c r="A853" s="44" t="str">
        <f aca="false">IF($C853="","",IFERROR(VLOOKUP($C853,目录!$B:$C,2,0)&amp;"","⚠目录里没有"))</f>
        <v/>
      </c>
      <c r="B853" s="45" t="str">
        <f aca="false">IF($D853="","",IFERROR(MID($D853,FIND(".",$D853)+1,FIND(".",$D853,FIND(".",$D853)+1)-FIND(".",$D853)-1)&amp;"月",""))</f>
        <v/>
      </c>
      <c r="C853" s="46"/>
      <c r="D853" s="47"/>
      <c r="E853" s="47"/>
      <c r="F853" s="49"/>
      <c r="G853" s="50"/>
      <c r="H853" s="24"/>
      <c r="I853" s="24" t="str">
        <f aca="false">IF($H853="","",N($H853)*N($G853))</f>
        <v/>
      </c>
      <c r="J853" s="25" t="str">
        <f aca="false">IF($H853="","",N($H853)-N($I853))</f>
        <v/>
      </c>
      <c r="K853" s="25"/>
      <c r="L853" s="25" t="str">
        <f aca="false">IF($A853="","",SUMIF($A$4:$A853,$A853,$J$4:$J853)-SUMIF($A$4:$A853,$A853,$K$4:$K853))</f>
        <v/>
      </c>
      <c r="M853" s="26" t="str">
        <f aca="false">IF($H853="","",N($H853))</f>
        <v/>
      </c>
      <c r="N853" s="26"/>
      <c r="O853" s="26"/>
      <c r="P853" s="26" t="str">
        <f aca="false">IF($A853="","",SUMIF($A$4:$A853,$A853,$M$4:$M853)-SUMIF($A$4:$A853,$A853,$N$4:$N853)-SUMIF($A$4:$A853,$A853,$O$4:$O853))</f>
        <v/>
      </c>
      <c r="Q853" s="27"/>
      <c r="R853" s="28"/>
      <c r="S853" s="28"/>
      <c r="T853" s="28" t="str">
        <f aca="false">IF($A853="","",SUMIF($A$4:$A853,$A853,$Q$4:$Q853)-SUMIF($A$4:$A853,$A853,$R$4:$R853)-SUMIF($A$4:$A853,$A853,$S$4:$S853))</f>
        <v/>
      </c>
      <c r="U853" s="28"/>
      <c r="V853" s="29" t="str">
        <f aca="false">IF(AND($C853="",COUNTA($D853:$H853,$K853,$N853:$O853,$Q853:$S853,$U853)=0),"",IF($C853="","⚠ 没填项目名称",IF($A853="⚠目录里没有","⚠ 项目名称在目录里找不到（先加到目录）",IF($A853="","⚠ 目录里这个项目没填简称",IF(ISTEXT($G853)+ISTEXT($H853)+ISTEXT($K853)+ISTEXT($N853)+ISTEXT($O853)+ISTEXT($Q853)+ISTEXT($R853)+ISTEXT($S853)&gt;0,"⚠ 金额列里有文字，算不进合计",IF(N($G853)&gt;=1,"⚠ 管理费点要填百分比，如 10%",IF(AND($D853&lt;&gt;"",$B853=""),"△ 摘要开头没写日期（如 2026.9.21），月份取不到",IF(AND(N($H853)&lt;&gt;0,COUNTIFS($A$4:$A$1003,$A853,$H$4:$H$1003,$H853,$D$4:$D$1003,LEFT($D853,9)&amp;"*")&gt;1),"△ 同一天同项目有一样的销售金额，看看是不是录重了","✓"))))))))</f>
        <v/>
      </c>
      <c r="W853" s="8" t="str">
        <f aca="false">IF($A853="","",$A853&amp;"#"&amp;COUNTIF($A$4:$A853,$A853))</f>
        <v/>
      </c>
    </row>
    <row r="854" customFormat="false" ht="16.5" hidden="false" customHeight="false" outlineLevel="0" collapsed="false">
      <c r="A854" s="44" t="str">
        <f aca="false">IF($C854="","",IFERROR(VLOOKUP($C854,目录!$B:$C,2,0)&amp;"","⚠目录里没有"))</f>
        <v/>
      </c>
      <c r="B854" s="45" t="str">
        <f aca="false">IF($D854="","",IFERROR(MID($D854,FIND(".",$D854)+1,FIND(".",$D854,FIND(".",$D854)+1)-FIND(".",$D854)-1)&amp;"月",""))</f>
        <v/>
      </c>
      <c r="C854" s="46"/>
      <c r="D854" s="47"/>
      <c r="E854" s="47"/>
      <c r="F854" s="49"/>
      <c r="G854" s="50"/>
      <c r="H854" s="24"/>
      <c r="I854" s="24" t="str">
        <f aca="false">IF($H854="","",N($H854)*N($G854))</f>
        <v/>
      </c>
      <c r="J854" s="25" t="str">
        <f aca="false">IF($H854="","",N($H854)-N($I854))</f>
        <v/>
      </c>
      <c r="K854" s="25"/>
      <c r="L854" s="25" t="str">
        <f aca="false">IF($A854="","",SUMIF($A$4:$A854,$A854,$J$4:$J854)-SUMIF($A$4:$A854,$A854,$K$4:$K854))</f>
        <v/>
      </c>
      <c r="M854" s="26" t="str">
        <f aca="false">IF($H854="","",N($H854))</f>
        <v/>
      </c>
      <c r="N854" s="26"/>
      <c r="O854" s="26"/>
      <c r="P854" s="26" t="str">
        <f aca="false">IF($A854="","",SUMIF($A$4:$A854,$A854,$M$4:$M854)-SUMIF($A$4:$A854,$A854,$N$4:$N854)-SUMIF($A$4:$A854,$A854,$O$4:$O854))</f>
        <v/>
      </c>
      <c r="Q854" s="27"/>
      <c r="R854" s="28"/>
      <c r="S854" s="28"/>
      <c r="T854" s="28" t="str">
        <f aca="false">IF($A854="","",SUMIF($A$4:$A854,$A854,$Q$4:$Q854)-SUMIF($A$4:$A854,$A854,$R$4:$R854)-SUMIF($A$4:$A854,$A854,$S$4:$S854))</f>
        <v/>
      </c>
      <c r="U854" s="28"/>
      <c r="V854" s="29" t="str">
        <f aca="false">IF(AND($C854="",COUNTA($D854:$H854,$K854,$N854:$O854,$Q854:$S854,$U854)=0),"",IF($C854="","⚠ 没填项目名称",IF($A854="⚠目录里没有","⚠ 项目名称在目录里找不到（先加到目录）",IF($A854="","⚠ 目录里这个项目没填简称",IF(ISTEXT($G854)+ISTEXT($H854)+ISTEXT($K854)+ISTEXT($N854)+ISTEXT($O854)+ISTEXT($Q854)+ISTEXT($R854)+ISTEXT($S854)&gt;0,"⚠ 金额列里有文字，算不进合计",IF(N($G854)&gt;=1,"⚠ 管理费点要填百分比，如 10%",IF(AND($D854&lt;&gt;"",$B854=""),"△ 摘要开头没写日期（如 2026.9.21），月份取不到",IF(AND(N($H854)&lt;&gt;0,COUNTIFS($A$4:$A$1003,$A854,$H$4:$H$1003,$H854,$D$4:$D$1003,LEFT($D854,9)&amp;"*")&gt;1),"△ 同一天同项目有一样的销售金额，看看是不是录重了","✓"))))))))</f>
        <v/>
      </c>
      <c r="W854" s="8" t="str">
        <f aca="false">IF($A854="","",$A854&amp;"#"&amp;COUNTIF($A$4:$A854,$A854))</f>
        <v/>
      </c>
    </row>
    <row r="855" customFormat="false" ht="16.5" hidden="false" customHeight="false" outlineLevel="0" collapsed="false">
      <c r="A855" s="44" t="str">
        <f aca="false">IF($C855="","",IFERROR(VLOOKUP($C855,目录!$B:$C,2,0)&amp;"","⚠目录里没有"))</f>
        <v/>
      </c>
      <c r="B855" s="45" t="str">
        <f aca="false">IF($D855="","",IFERROR(MID($D855,FIND(".",$D855)+1,FIND(".",$D855,FIND(".",$D855)+1)-FIND(".",$D855)-1)&amp;"月",""))</f>
        <v/>
      </c>
      <c r="C855" s="46"/>
      <c r="D855" s="47"/>
      <c r="E855" s="47"/>
      <c r="F855" s="49"/>
      <c r="G855" s="50"/>
      <c r="H855" s="24"/>
      <c r="I855" s="24" t="str">
        <f aca="false">IF($H855="","",N($H855)*N($G855))</f>
        <v/>
      </c>
      <c r="J855" s="25" t="str">
        <f aca="false">IF($H855="","",N($H855)-N($I855))</f>
        <v/>
      </c>
      <c r="K855" s="25"/>
      <c r="L855" s="25" t="str">
        <f aca="false">IF($A855="","",SUMIF($A$4:$A855,$A855,$J$4:$J855)-SUMIF($A$4:$A855,$A855,$K$4:$K855))</f>
        <v/>
      </c>
      <c r="M855" s="26" t="str">
        <f aca="false">IF($H855="","",N($H855))</f>
        <v/>
      </c>
      <c r="N855" s="26"/>
      <c r="O855" s="26"/>
      <c r="P855" s="26" t="str">
        <f aca="false">IF($A855="","",SUMIF($A$4:$A855,$A855,$M$4:$M855)-SUMIF($A$4:$A855,$A855,$N$4:$N855)-SUMIF($A$4:$A855,$A855,$O$4:$O855))</f>
        <v/>
      </c>
      <c r="Q855" s="27"/>
      <c r="R855" s="28"/>
      <c r="S855" s="28"/>
      <c r="T855" s="28" t="str">
        <f aca="false">IF($A855="","",SUMIF($A$4:$A855,$A855,$Q$4:$Q855)-SUMIF($A$4:$A855,$A855,$R$4:$R855)-SUMIF($A$4:$A855,$A855,$S$4:$S855))</f>
        <v/>
      </c>
      <c r="U855" s="28"/>
      <c r="V855" s="29" t="str">
        <f aca="false">IF(AND($C855="",COUNTA($D855:$H855,$K855,$N855:$O855,$Q855:$S855,$U855)=0),"",IF($C855="","⚠ 没填项目名称",IF($A855="⚠目录里没有","⚠ 项目名称在目录里找不到（先加到目录）",IF($A855="","⚠ 目录里这个项目没填简称",IF(ISTEXT($G855)+ISTEXT($H855)+ISTEXT($K855)+ISTEXT($N855)+ISTEXT($O855)+ISTEXT($Q855)+ISTEXT($R855)+ISTEXT($S855)&gt;0,"⚠ 金额列里有文字，算不进合计",IF(N($G855)&gt;=1,"⚠ 管理费点要填百分比，如 10%",IF(AND($D855&lt;&gt;"",$B855=""),"△ 摘要开头没写日期（如 2026.9.21），月份取不到",IF(AND(N($H855)&lt;&gt;0,COUNTIFS($A$4:$A$1003,$A855,$H$4:$H$1003,$H855,$D$4:$D$1003,LEFT($D855,9)&amp;"*")&gt;1),"△ 同一天同项目有一样的销售金额，看看是不是录重了","✓"))))))))</f>
        <v/>
      </c>
      <c r="W855" s="8" t="str">
        <f aca="false">IF($A855="","",$A855&amp;"#"&amp;COUNTIF($A$4:$A855,$A855))</f>
        <v/>
      </c>
    </row>
    <row r="856" customFormat="false" ht="16.5" hidden="false" customHeight="false" outlineLevel="0" collapsed="false">
      <c r="A856" s="44" t="str">
        <f aca="false">IF($C856="","",IFERROR(VLOOKUP($C856,目录!$B:$C,2,0)&amp;"","⚠目录里没有"))</f>
        <v/>
      </c>
      <c r="B856" s="45" t="str">
        <f aca="false">IF($D856="","",IFERROR(MID($D856,FIND(".",$D856)+1,FIND(".",$D856,FIND(".",$D856)+1)-FIND(".",$D856)-1)&amp;"月",""))</f>
        <v/>
      </c>
      <c r="C856" s="46"/>
      <c r="D856" s="47"/>
      <c r="E856" s="47"/>
      <c r="F856" s="49"/>
      <c r="G856" s="50"/>
      <c r="H856" s="24"/>
      <c r="I856" s="24" t="str">
        <f aca="false">IF($H856="","",N($H856)*N($G856))</f>
        <v/>
      </c>
      <c r="J856" s="25" t="str">
        <f aca="false">IF($H856="","",N($H856)-N($I856))</f>
        <v/>
      </c>
      <c r="K856" s="25"/>
      <c r="L856" s="25" t="str">
        <f aca="false">IF($A856="","",SUMIF($A$4:$A856,$A856,$J$4:$J856)-SUMIF($A$4:$A856,$A856,$K$4:$K856))</f>
        <v/>
      </c>
      <c r="M856" s="26" t="str">
        <f aca="false">IF($H856="","",N($H856))</f>
        <v/>
      </c>
      <c r="N856" s="26"/>
      <c r="O856" s="26"/>
      <c r="P856" s="26" t="str">
        <f aca="false">IF($A856="","",SUMIF($A$4:$A856,$A856,$M$4:$M856)-SUMIF($A$4:$A856,$A856,$N$4:$N856)-SUMIF($A$4:$A856,$A856,$O$4:$O856))</f>
        <v/>
      </c>
      <c r="Q856" s="27"/>
      <c r="R856" s="28"/>
      <c r="S856" s="28"/>
      <c r="T856" s="28" t="str">
        <f aca="false">IF($A856="","",SUMIF($A$4:$A856,$A856,$Q$4:$Q856)-SUMIF($A$4:$A856,$A856,$R$4:$R856)-SUMIF($A$4:$A856,$A856,$S$4:$S856))</f>
        <v/>
      </c>
      <c r="U856" s="28"/>
      <c r="V856" s="29" t="str">
        <f aca="false">IF(AND($C856="",COUNTA($D856:$H856,$K856,$N856:$O856,$Q856:$S856,$U856)=0),"",IF($C856="","⚠ 没填项目名称",IF($A856="⚠目录里没有","⚠ 项目名称在目录里找不到（先加到目录）",IF($A856="","⚠ 目录里这个项目没填简称",IF(ISTEXT($G856)+ISTEXT($H856)+ISTEXT($K856)+ISTEXT($N856)+ISTEXT($O856)+ISTEXT($Q856)+ISTEXT($R856)+ISTEXT($S856)&gt;0,"⚠ 金额列里有文字，算不进合计",IF(N($G856)&gt;=1,"⚠ 管理费点要填百分比，如 10%",IF(AND($D856&lt;&gt;"",$B856=""),"△ 摘要开头没写日期（如 2026.9.21），月份取不到",IF(AND(N($H856)&lt;&gt;0,COUNTIFS($A$4:$A$1003,$A856,$H$4:$H$1003,$H856,$D$4:$D$1003,LEFT($D856,9)&amp;"*")&gt;1),"△ 同一天同项目有一样的销售金额，看看是不是录重了","✓"))))))))</f>
        <v/>
      </c>
      <c r="W856" s="8" t="str">
        <f aca="false">IF($A856="","",$A856&amp;"#"&amp;COUNTIF($A$4:$A856,$A856))</f>
        <v/>
      </c>
    </row>
    <row r="857" customFormat="false" ht="16.5" hidden="false" customHeight="false" outlineLevel="0" collapsed="false">
      <c r="A857" s="44" t="str">
        <f aca="false">IF($C857="","",IFERROR(VLOOKUP($C857,目录!$B:$C,2,0)&amp;"","⚠目录里没有"))</f>
        <v/>
      </c>
      <c r="B857" s="45" t="str">
        <f aca="false">IF($D857="","",IFERROR(MID($D857,FIND(".",$D857)+1,FIND(".",$D857,FIND(".",$D857)+1)-FIND(".",$D857)-1)&amp;"月",""))</f>
        <v/>
      </c>
      <c r="C857" s="46"/>
      <c r="D857" s="47"/>
      <c r="E857" s="47"/>
      <c r="F857" s="49"/>
      <c r="G857" s="50"/>
      <c r="H857" s="24"/>
      <c r="I857" s="24" t="str">
        <f aca="false">IF($H857="","",N($H857)*N($G857))</f>
        <v/>
      </c>
      <c r="J857" s="25" t="str">
        <f aca="false">IF($H857="","",N($H857)-N($I857))</f>
        <v/>
      </c>
      <c r="K857" s="25"/>
      <c r="L857" s="25" t="str">
        <f aca="false">IF($A857="","",SUMIF($A$4:$A857,$A857,$J$4:$J857)-SUMIF($A$4:$A857,$A857,$K$4:$K857))</f>
        <v/>
      </c>
      <c r="M857" s="26" t="str">
        <f aca="false">IF($H857="","",N($H857))</f>
        <v/>
      </c>
      <c r="N857" s="26"/>
      <c r="O857" s="26"/>
      <c r="P857" s="26" t="str">
        <f aca="false">IF($A857="","",SUMIF($A$4:$A857,$A857,$M$4:$M857)-SUMIF($A$4:$A857,$A857,$N$4:$N857)-SUMIF($A$4:$A857,$A857,$O$4:$O857))</f>
        <v/>
      </c>
      <c r="Q857" s="27"/>
      <c r="R857" s="28"/>
      <c r="S857" s="28"/>
      <c r="T857" s="28" t="str">
        <f aca="false">IF($A857="","",SUMIF($A$4:$A857,$A857,$Q$4:$Q857)-SUMIF($A$4:$A857,$A857,$R$4:$R857)-SUMIF($A$4:$A857,$A857,$S$4:$S857))</f>
        <v/>
      </c>
      <c r="U857" s="28"/>
      <c r="V857" s="29" t="str">
        <f aca="false">IF(AND($C857="",COUNTA($D857:$H857,$K857,$N857:$O857,$Q857:$S857,$U857)=0),"",IF($C857="","⚠ 没填项目名称",IF($A857="⚠目录里没有","⚠ 项目名称在目录里找不到（先加到目录）",IF($A857="","⚠ 目录里这个项目没填简称",IF(ISTEXT($G857)+ISTEXT($H857)+ISTEXT($K857)+ISTEXT($N857)+ISTEXT($O857)+ISTEXT($Q857)+ISTEXT($R857)+ISTEXT($S857)&gt;0,"⚠ 金额列里有文字，算不进合计",IF(N($G857)&gt;=1,"⚠ 管理费点要填百分比，如 10%",IF(AND($D857&lt;&gt;"",$B857=""),"△ 摘要开头没写日期（如 2026.9.21），月份取不到",IF(AND(N($H857)&lt;&gt;0,COUNTIFS($A$4:$A$1003,$A857,$H$4:$H$1003,$H857,$D$4:$D$1003,LEFT($D857,9)&amp;"*")&gt;1),"△ 同一天同项目有一样的销售金额，看看是不是录重了","✓"))))))))</f>
        <v/>
      </c>
      <c r="W857" s="8" t="str">
        <f aca="false">IF($A857="","",$A857&amp;"#"&amp;COUNTIF($A$4:$A857,$A857))</f>
        <v/>
      </c>
    </row>
    <row r="858" customFormat="false" ht="16.5" hidden="false" customHeight="false" outlineLevel="0" collapsed="false">
      <c r="A858" s="44" t="str">
        <f aca="false">IF($C858="","",IFERROR(VLOOKUP($C858,目录!$B:$C,2,0)&amp;"","⚠目录里没有"))</f>
        <v/>
      </c>
      <c r="B858" s="45" t="str">
        <f aca="false">IF($D858="","",IFERROR(MID($D858,FIND(".",$D858)+1,FIND(".",$D858,FIND(".",$D858)+1)-FIND(".",$D858)-1)&amp;"月",""))</f>
        <v/>
      </c>
      <c r="C858" s="46"/>
      <c r="D858" s="47"/>
      <c r="E858" s="47"/>
      <c r="F858" s="49"/>
      <c r="G858" s="50"/>
      <c r="H858" s="24"/>
      <c r="I858" s="24" t="str">
        <f aca="false">IF($H858="","",N($H858)*N($G858))</f>
        <v/>
      </c>
      <c r="J858" s="25" t="str">
        <f aca="false">IF($H858="","",N($H858)-N($I858))</f>
        <v/>
      </c>
      <c r="K858" s="25"/>
      <c r="L858" s="25" t="str">
        <f aca="false">IF($A858="","",SUMIF($A$4:$A858,$A858,$J$4:$J858)-SUMIF($A$4:$A858,$A858,$K$4:$K858))</f>
        <v/>
      </c>
      <c r="M858" s="26" t="str">
        <f aca="false">IF($H858="","",N($H858))</f>
        <v/>
      </c>
      <c r="N858" s="26"/>
      <c r="O858" s="26"/>
      <c r="P858" s="26" t="str">
        <f aca="false">IF($A858="","",SUMIF($A$4:$A858,$A858,$M$4:$M858)-SUMIF($A$4:$A858,$A858,$N$4:$N858)-SUMIF($A$4:$A858,$A858,$O$4:$O858))</f>
        <v/>
      </c>
      <c r="Q858" s="27"/>
      <c r="R858" s="28"/>
      <c r="S858" s="28"/>
      <c r="T858" s="28" t="str">
        <f aca="false">IF($A858="","",SUMIF($A$4:$A858,$A858,$Q$4:$Q858)-SUMIF($A$4:$A858,$A858,$R$4:$R858)-SUMIF($A$4:$A858,$A858,$S$4:$S858))</f>
        <v/>
      </c>
      <c r="U858" s="28"/>
      <c r="V858" s="29" t="str">
        <f aca="false">IF(AND($C858="",COUNTA($D858:$H858,$K858,$N858:$O858,$Q858:$S858,$U858)=0),"",IF($C858="","⚠ 没填项目名称",IF($A858="⚠目录里没有","⚠ 项目名称在目录里找不到（先加到目录）",IF($A858="","⚠ 目录里这个项目没填简称",IF(ISTEXT($G858)+ISTEXT($H858)+ISTEXT($K858)+ISTEXT($N858)+ISTEXT($O858)+ISTEXT($Q858)+ISTEXT($R858)+ISTEXT($S858)&gt;0,"⚠ 金额列里有文字，算不进合计",IF(N($G858)&gt;=1,"⚠ 管理费点要填百分比，如 10%",IF(AND($D858&lt;&gt;"",$B858=""),"△ 摘要开头没写日期（如 2026.9.21），月份取不到",IF(AND(N($H858)&lt;&gt;0,COUNTIFS($A$4:$A$1003,$A858,$H$4:$H$1003,$H858,$D$4:$D$1003,LEFT($D858,9)&amp;"*")&gt;1),"△ 同一天同项目有一样的销售金额，看看是不是录重了","✓"))))))))</f>
        <v/>
      </c>
      <c r="W858" s="8" t="str">
        <f aca="false">IF($A858="","",$A858&amp;"#"&amp;COUNTIF($A$4:$A858,$A858))</f>
        <v/>
      </c>
    </row>
    <row r="859" customFormat="false" ht="16.5" hidden="false" customHeight="false" outlineLevel="0" collapsed="false">
      <c r="A859" s="44" t="str">
        <f aca="false">IF($C859="","",IFERROR(VLOOKUP($C859,目录!$B:$C,2,0)&amp;"","⚠目录里没有"))</f>
        <v/>
      </c>
      <c r="B859" s="45" t="str">
        <f aca="false">IF($D859="","",IFERROR(MID($D859,FIND(".",$D859)+1,FIND(".",$D859,FIND(".",$D859)+1)-FIND(".",$D859)-1)&amp;"月",""))</f>
        <v/>
      </c>
      <c r="C859" s="46"/>
      <c r="D859" s="47"/>
      <c r="E859" s="47"/>
      <c r="F859" s="49"/>
      <c r="G859" s="50"/>
      <c r="H859" s="24"/>
      <c r="I859" s="24" t="str">
        <f aca="false">IF($H859="","",N($H859)*N($G859))</f>
        <v/>
      </c>
      <c r="J859" s="25" t="str">
        <f aca="false">IF($H859="","",N($H859)-N($I859))</f>
        <v/>
      </c>
      <c r="K859" s="25"/>
      <c r="L859" s="25" t="str">
        <f aca="false">IF($A859="","",SUMIF($A$4:$A859,$A859,$J$4:$J859)-SUMIF($A$4:$A859,$A859,$K$4:$K859))</f>
        <v/>
      </c>
      <c r="M859" s="26" t="str">
        <f aca="false">IF($H859="","",N($H859))</f>
        <v/>
      </c>
      <c r="N859" s="26"/>
      <c r="O859" s="26"/>
      <c r="P859" s="26" t="str">
        <f aca="false">IF($A859="","",SUMIF($A$4:$A859,$A859,$M$4:$M859)-SUMIF($A$4:$A859,$A859,$N$4:$N859)-SUMIF($A$4:$A859,$A859,$O$4:$O859))</f>
        <v/>
      </c>
      <c r="Q859" s="27"/>
      <c r="R859" s="28"/>
      <c r="S859" s="28"/>
      <c r="T859" s="28" t="str">
        <f aca="false">IF($A859="","",SUMIF($A$4:$A859,$A859,$Q$4:$Q859)-SUMIF($A$4:$A859,$A859,$R$4:$R859)-SUMIF($A$4:$A859,$A859,$S$4:$S859))</f>
        <v/>
      </c>
      <c r="U859" s="28"/>
      <c r="V859" s="29" t="str">
        <f aca="false">IF(AND($C859="",COUNTA($D859:$H859,$K859,$N859:$O859,$Q859:$S859,$U859)=0),"",IF($C859="","⚠ 没填项目名称",IF($A859="⚠目录里没有","⚠ 项目名称在目录里找不到（先加到目录）",IF($A859="","⚠ 目录里这个项目没填简称",IF(ISTEXT($G859)+ISTEXT($H859)+ISTEXT($K859)+ISTEXT($N859)+ISTEXT($O859)+ISTEXT($Q859)+ISTEXT($R859)+ISTEXT($S859)&gt;0,"⚠ 金额列里有文字，算不进合计",IF(N($G859)&gt;=1,"⚠ 管理费点要填百分比，如 10%",IF(AND($D859&lt;&gt;"",$B859=""),"△ 摘要开头没写日期（如 2026.9.21），月份取不到",IF(AND(N($H859)&lt;&gt;0,COUNTIFS($A$4:$A$1003,$A859,$H$4:$H$1003,$H859,$D$4:$D$1003,LEFT($D859,9)&amp;"*")&gt;1),"△ 同一天同项目有一样的销售金额，看看是不是录重了","✓"))))))))</f>
        <v/>
      </c>
      <c r="W859" s="8" t="str">
        <f aca="false">IF($A859="","",$A859&amp;"#"&amp;COUNTIF($A$4:$A859,$A859))</f>
        <v/>
      </c>
    </row>
    <row r="860" customFormat="false" ht="16.5" hidden="false" customHeight="false" outlineLevel="0" collapsed="false">
      <c r="A860" s="44" t="str">
        <f aca="false">IF($C860="","",IFERROR(VLOOKUP($C860,目录!$B:$C,2,0)&amp;"","⚠目录里没有"))</f>
        <v/>
      </c>
      <c r="B860" s="45" t="str">
        <f aca="false">IF($D860="","",IFERROR(MID($D860,FIND(".",$D860)+1,FIND(".",$D860,FIND(".",$D860)+1)-FIND(".",$D860)-1)&amp;"月",""))</f>
        <v/>
      </c>
      <c r="C860" s="46"/>
      <c r="D860" s="47"/>
      <c r="E860" s="47"/>
      <c r="F860" s="49"/>
      <c r="G860" s="50"/>
      <c r="H860" s="24"/>
      <c r="I860" s="24" t="str">
        <f aca="false">IF($H860="","",N($H860)*N($G860))</f>
        <v/>
      </c>
      <c r="J860" s="25" t="str">
        <f aca="false">IF($H860="","",N($H860)-N($I860))</f>
        <v/>
      </c>
      <c r="K860" s="25"/>
      <c r="L860" s="25" t="str">
        <f aca="false">IF($A860="","",SUMIF($A$4:$A860,$A860,$J$4:$J860)-SUMIF($A$4:$A860,$A860,$K$4:$K860))</f>
        <v/>
      </c>
      <c r="M860" s="26" t="str">
        <f aca="false">IF($H860="","",N($H860))</f>
        <v/>
      </c>
      <c r="N860" s="26"/>
      <c r="O860" s="26"/>
      <c r="P860" s="26" t="str">
        <f aca="false">IF($A860="","",SUMIF($A$4:$A860,$A860,$M$4:$M860)-SUMIF($A$4:$A860,$A860,$N$4:$N860)-SUMIF($A$4:$A860,$A860,$O$4:$O860))</f>
        <v/>
      </c>
      <c r="Q860" s="27"/>
      <c r="R860" s="28"/>
      <c r="S860" s="28"/>
      <c r="T860" s="28" t="str">
        <f aca="false">IF($A860="","",SUMIF($A$4:$A860,$A860,$Q$4:$Q860)-SUMIF($A$4:$A860,$A860,$R$4:$R860)-SUMIF($A$4:$A860,$A860,$S$4:$S860))</f>
        <v/>
      </c>
      <c r="U860" s="28"/>
      <c r="V860" s="29" t="str">
        <f aca="false">IF(AND($C860="",COUNTA($D860:$H860,$K860,$N860:$O860,$Q860:$S860,$U860)=0),"",IF($C860="","⚠ 没填项目名称",IF($A860="⚠目录里没有","⚠ 项目名称在目录里找不到（先加到目录）",IF($A860="","⚠ 目录里这个项目没填简称",IF(ISTEXT($G860)+ISTEXT($H860)+ISTEXT($K860)+ISTEXT($N860)+ISTEXT($O860)+ISTEXT($Q860)+ISTEXT($R860)+ISTEXT($S860)&gt;0,"⚠ 金额列里有文字，算不进合计",IF(N($G860)&gt;=1,"⚠ 管理费点要填百分比，如 10%",IF(AND($D860&lt;&gt;"",$B860=""),"△ 摘要开头没写日期（如 2026.9.21），月份取不到",IF(AND(N($H860)&lt;&gt;0,COUNTIFS($A$4:$A$1003,$A860,$H$4:$H$1003,$H860,$D$4:$D$1003,LEFT($D860,9)&amp;"*")&gt;1),"△ 同一天同项目有一样的销售金额，看看是不是录重了","✓"))))))))</f>
        <v/>
      </c>
      <c r="W860" s="8" t="str">
        <f aca="false">IF($A860="","",$A860&amp;"#"&amp;COUNTIF($A$4:$A860,$A860))</f>
        <v/>
      </c>
    </row>
    <row r="861" customFormat="false" ht="16.5" hidden="false" customHeight="false" outlineLevel="0" collapsed="false">
      <c r="A861" s="44" t="str">
        <f aca="false">IF($C861="","",IFERROR(VLOOKUP($C861,目录!$B:$C,2,0)&amp;"","⚠目录里没有"))</f>
        <v/>
      </c>
      <c r="B861" s="45" t="str">
        <f aca="false">IF($D861="","",IFERROR(MID($D861,FIND(".",$D861)+1,FIND(".",$D861,FIND(".",$D861)+1)-FIND(".",$D861)-1)&amp;"月",""))</f>
        <v/>
      </c>
      <c r="C861" s="46"/>
      <c r="D861" s="47"/>
      <c r="E861" s="47"/>
      <c r="F861" s="49"/>
      <c r="G861" s="50"/>
      <c r="H861" s="24"/>
      <c r="I861" s="24" t="str">
        <f aca="false">IF($H861="","",N($H861)*N($G861))</f>
        <v/>
      </c>
      <c r="J861" s="25" t="str">
        <f aca="false">IF($H861="","",N($H861)-N($I861))</f>
        <v/>
      </c>
      <c r="K861" s="25"/>
      <c r="L861" s="25" t="str">
        <f aca="false">IF($A861="","",SUMIF($A$4:$A861,$A861,$J$4:$J861)-SUMIF($A$4:$A861,$A861,$K$4:$K861))</f>
        <v/>
      </c>
      <c r="M861" s="26" t="str">
        <f aca="false">IF($H861="","",N($H861))</f>
        <v/>
      </c>
      <c r="N861" s="26"/>
      <c r="O861" s="26"/>
      <c r="P861" s="26" t="str">
        <f aca="false">IF($A861="","",SUMIF($A$4:$A861,$A861,$M$4:$M861)-SUMIF($A$4:$A861,$A861,$N$4:$N861)-SUMIF($A$4:$A861,$A861,$O$4:$O861))</f>
        <v/>
      </c>
      <c r="Q861" s="27"/>
      <c r="R861" s="28"/>
      <c r="S861" s="28"/>
      <c r="T861" s="28" t="str">
        <f aca="false">IF($A861="","",SUMIF($A$4:$A861,$A861,$Q$4:$Q861)-SUMIF($A$4:$A861,$A861,$R$4:$R861)-SUMIF($A$4:$A861,$A861,$S$4:$S861))</f>
        <v/>
      </c>
      <c r="U861" s="28"/>
      <c r="V861" s="29" t="str">
        <f aca="false">IF(AND($C861="",COUNTA($D861:$H861,$K861,$N861:$O861,$Q861:$S861,$U861)=0),"",IF($C861="","⚠ 没填项目名称",IF($A861="⚠目录里没有","⚠ 项目名称在目录里找不到（先加到目录）",IF($A861="","⚠ 目录里这个项目没填简称",IF(ISTEXT($G861)+ISTEXT($H861)+ISTEXT($K861)+ISTEXT($N861)+ISTEXT($O861)+ISTEXT($Q861)+ISTEXT($R861)+ISTEXT($S861)&gt;0,"⚠ 金额列里有文字，算不进合计",IF(N($G861)&gt;=1,"⚠ 管理费点要填百分比，如 10%",IF(AND($D861&lt;&gt;"",$B861=""),"△ 摘要开头没写日期（如 2026.9.21），月份取不到",IF(AND(N($H861)&lt;&gt;0,COUNTIFS($A$4:$A$1003,$A861,$H$4:$H$1003,$H861,$D$4:$D$1003,LEFT($D861,9)&amp;"*")&gt;1),"△ 同一天同项目有一样的销售金额，看看是不是录重了","✓"))))))))</f>
        <v/>
      </c>
      <c r="W861" s="8" t="str">
        <f aca="false">IF($A861="","",$A861&amp;"#"&amp;COUNTIF($A$4:$A861,$A861))</f>
        <v/>
      </c>
    </row>
    <row r="862" customFormat="false" ht="16.5" hidden="false" customHeight="false" outlineLevel="0" collapsed="false">
      <c r="A862" s="44" t="str">
        <f aca="false">IF($C862="","",IFERROR(VLOOKUP($C862,目录!$B:$C,2,0)&amp;"","⚠目录里没有"))</f>
        <v/>
      </c>
      <c r="B862" s="45" t="str">
        <f aca="false">IF($D862="","",IFERROR(MID($D862,FIND(".",$D862)+1,FIND(".",$D862,FIND(".",$D862)+1)-FIND(".",$D862)-1)&amp;"月",""))</f>
        <v/>
      </c>
      <c r="C862" s="46"/>
      <c r="D862" s="47"/>
      <c r="E862" s="47"/>
      <c r="F862" s="49"/>
      <c r="G862" s="50"/>
      <c r="H862" s="24"/>
      <c r="I862" s="24" t="str">
        <f aca="false">IF($H862="","",N($H862)*N($G862))</f>
        <v/>
      </c>
      <c r="J862" s="25" t="str">
        <f aca="false">IF($H862="","",N($H862)-N($I862))</f>
        <v/>
      </c>
      <c r="K862" s="25"/>
      <c r="L862" s="25" t="str">
        <f aca="false">IF($A862="","",SUMIF($A$4:$A862,$A862,$J$4:$J862)-SUMIF($A$4:$A862,$A862,$K$4:$K862))</f>
        <v/>
      </c>
      <c r="M862" s="26" t="str">
        <f aca="false">IF($H862="","",N($H862))</f>
        <v/>
      </c>
      <c r="N862" s="26"/>
      <c r="O862" s="26"/>
      <c r="P862" s="26" t="str">
        <f aca="false">IF($A862="","",SUMIF($A$4:$A862,$A862,$M$4:$M862)-SUMIF($A$4:$A862,$A862,$N$4:$N862)-SUMIF($A$4:$A862,$A862,$O$4:$O862))</f>
        <v/>
      </c>
      <c r="Q862" s="27"/>
      <c r="R862" s="28"/>
      <c r="S862" s="28"/>
      <c r="T862" s="28" t="str">
        <f aca="false">IF($A862="","",SUMIF($A$4:$A862,$A862,$Q$4:$Q862)-SUMIF($A$4:$A862,$A862,$R$4:$R862)-SUMIF($A$4:$A862,$A862,$S$4:$S862))</f>
        <v/>
      </c>
      <c r="U862" s="28"/>
      <c r="V862" s="29" t="str">
        <f aca="false">IF(AND($C862="",COUNTA($D862:$H862,$K862,$N862:$O862,$Q862:$S862,$U862)=0),"",IF($C862="","⚠ 没填项目名称",IF($A862="⚠目录里没有","⚠ 项目名称在目录里找不到（先加到目录）",IF($A862="","⚠ 目录里这个项目没填简称",IF(ISTEXT($G862)+ISTEXT($H862)+ISTEXT($K862)+ISTEXT($N862)+ISTEXT($O862)+ISTEXT($Q862)+ISTEXT($R862)+ISTEXT($S862)&gt;0,"⚠ 金额列里有文字，算不进合计",IF(N($G862)&gt;=1,"⚠ 管理费点要填百分比，如 10%",IF(AND($D862&lt;&gt;"",$B862=""),"△ 摘要开头没写日期（如 2026.9.21），月份取不到",IF(AND(N($H862)&lt;&gt;0,COUNTIFS($A$4:$A$1003,$A862,$H$4:$H$1003,$H862,$D$4:$D$1003,LEFT($D862,9)&amp;"*")&gt;1),"△ 同一天同项目有一样的销售金额，看看是不是录重了","✓"))))))))</f>
        <v/>
      </c>
      <c r="W862" s="8" t="str">
        <f aca="false">IF($A862="","",$A862&amp;"#"&amp;COUNTIF($A$4:$A862,$A862))</f>
        <v/>
      </c>
    </row>
    <row r="863" customFormat="false" ht="16.5" hidden="false" customHeight="false" outlineLevel="0" collapsed="false">
      <c r="A863" s="44" t="str">
        <f aca="false">IF($C863="","",IFERROR(VLOOKUP($C863,目录!$B:$C,2,0)&amp;"","⚠目录里没有"))</f>
        <v/>
      </c>
      <c r="B863" s="45" t="str">
        <f aca="false">IF($D863="","",IFERROR(MID($D863,FIND(".",$D863)+1,FIND(".",$D863,FIND(".",$D863)+1)-FIND(".",$D863)-1)&amp;"月",""))</f>
        <v/>
      </c>
      <c r="C863" s="46"/>
      <c r="D863" s="47"/>
      <c r="E863" s="47"/>
      <c r="F863" s="49"/>
      <c r="G863" s="50"/>
      <c r="H863" s="24"/>
      <c r="I863" s="24" t="str">
        <f aca="false">IF($H863="","",N($H863)*N($G863))</f>
        <v/>
      </c>
      <c r="J863" s="25" t="str">
        <f aca="false">IF($H863="","",N($H863)-N($I863))</f>
        <v/>
      </c>
      <c r="K863" s="25"/>
      <c r="L863" s="25" t="str">
        <f aca="false">IF($A863="","",SUMIF($A$4:$A863,$A863,$J$4:$J863)-SUMIF($A$4:$A863,$A863,$K$4:$K863))</f>
        <v/>
      </c>
      <c r="M863" s="26" t="str">
        <f aca="false">IF($H863="","",N($H863))</f>
        <v/>
      </c>
      <c r="N863" s="26"/>
      <c r="O863" s="26"/>
      <c r="P863" s="26" t="str">
        <f aca="false">IF($A863="","",SUMIF($A$4:$A863,$A863,$M$4:$M863)-SUMIF($A$4:$A863,$A863,$N$4:$N863)-SUMIF($A$4:$A863,$A863,$O$4:$O863))</f>
        <v/>
      </c>
      <c r="Q863" s="27"/>
      <c r="R863" s="28"/>
      <c r="S863" s="28"/>
      <c r="T863" s="28" t="str">
        <f aca="false">IF($A863="","",SUMIF($A$4:$A863,$A863,$Q$4:$Q863)-SUMIF($A$4:$A863,$A863,$R$4:$R863)-SUMIF($A$4:$A863,$A863,$S$4:$S863))</f>
        <v/>
      </c>
      <c r="U863" s="28"/>
      <c r="V863" s="29" t="str">
        <f aca="false">IF(AND($C863="",COUNTA($D863:$H863,$K863,$N863:$O863,$Q863:$S863,$U863)=0),"",IF($C863="","⚠ 没填项目名称",IF($A863="⚠目录里没有","⚠ 项目名称在目录里找不到（先加到目录）",IF($A863="","⚠ 目录里这个项目没填简称",IF(ISTEXT($G863)+ISTEXT($H863)+ISTEXT($K863)+ISTEXT($N863)+ISTEXT($O863)+ISTEXT($Q863)+ISTEXT($R863)+ISTEXT($S863)&gt;0,"⚠ 金额列里有文字，算不进合计",IF(N($G863)&gt;=1,"⚠ 管理费点要填百分比，如 10%",IF(AND($D863&lt;&gt;"",$B863=""),"△ 摘要开头没写日期（如 2026.9.21），月份取不到",IF(AND(N($H863)&lt;&gt;0,COUNTIFS($A$4:$A$1003,$A863,$H$4:$H$1003,$H863,$D$4:$D$1003,LEFT($D863,9)&amp;"*")&gt;1),"△ 同一天同项目有一样的销售金额，看看是不是录重了","✓"))))))))</f>
        <v/>
      </c>
      <c r="W863" s="8" t="str">
        <f aca="false">IF($A863="","",$A863&amp;"#"&amp;COUNTIF($A$4:$A863,$A863))</f>
        <v/>
      </c>
    </row>
    <row r="864" customFormat="false" ht="16.5" hidden="false" customHeight="false" outlineLevel="0" collapsed="false">
      <c r="A864" s="44" t="str">
        <f aca="false">IF($C864="","",IFERROR(VLOOKUP($C864,目录!$B:$C,2,0)&amp;"","⚠目录里没有"))</f>
        <v/>
      </c>
      <c r="B864" s="45" t="str">
        <f aca="false">IF($D864="","",IFERROR(MID($D864,FIND(".",$D864)+1,FIND(".",$D864,FIND(".",$D864)+1)-FIND(".",$D864)-1)&amp;"月",""))</f>
        <v/>
      </c>
      <c r="C864" s="46"/>
      <c r="D864" s="47"/>
      <c r="E864" s="47"/>
      <c r="F864" s="49"/>
      <c r="G864" s="50"/>
      <c r="H864" s="24"/>
      <c r="I864" s="24" t="str">
        <f aca="false">IF($H864="","",N($H864)*N($G864))</f>
        <v/>
      </c>
      <c r="J864" s="25" t="str">
        <f aca="false">IF($H864="","",N($H864)-N($I864))</f>
        <v/>
      </c>
      <c r="K864" s="25"/>
      <c r="L864" s="25" t="str">
        <f aca="false">IF($A864="","",SUMIF($A$4:$A864,$A864,$J$4:$J864)-SUMIF($A$4:$A864,$A864,$K$4:$K864))</f>
        <v/>
      </c>
      <c r="M864" s="26" t="str">
        <f aca="false">IF($H864="","",N($H864))</f>
        <v/>
      </c>
      <c r="N864" s="26"/>
      <c r="O864" s="26"/>
      <c r="P864" s="26" t="str">
        <f aca="false">IF($A864="","",SUMIF($A$4:$A864,$A864,$M$4:$M864)-SUMIF($A$4:$A864,$A864,$N$4:$N864)-SUMIF($A$4:$A864,$A864,$O$4:$O864))</f>
        <v/>
      </c>
      <c r="Q864" s="27"/>
      <c r="R864" s="28"/>
      <c r="S864" s="28"/>
      <c r="T864" s="28" t="str">
        <f aca="false">IF($A864="","",SUMIF($A$4:$A864,$A864,$Q$4:$Q864)-SUMIF($A$4:$A864,$A864,$R$4:$R864)-SUMIF($A$4:$A864,$A864,$S$4:$S864))</f>
        <v/>
      </c>
      <c r="U864" s="28"/>
      <c r="V864" s="29" t="str">
        <f aca="false">IF(AND($C864="",COUNTA($D864:$H864,$K864,$N864:$O864,$Q864:$S864,$U864)=0),"",IF($C864="","⚠ 没填项目名称",IF($A864="⚠目录里没有","⚠ 项目名称在目录里找不到（先加到目录）",IF($A864="","⚠ 目录里这个项目没填简称",IF(ISTEXT($G864)+ISTEXT($H864)+ISTEXT($K864)+ISTEXT($N864)+ISTEXT($O864)+ISTEXT($Q864)+ISTEXT($R864)+ISTEXT($S864)&gt;0,"⚠ 金额列里有文字，算不进合计",IF(N($G864)&gt;=1,"⚠ 管理费点要填百分比，如 10%",IF(AND($D864&lt;&gt;"",$B864=""),"△ 摘要开头没写日期（如 2026.9.21），月份取不到",IF(AND(N($H864)&lt;&gt;0,COUNTIFS($A$4:$A$1003,$A864,$H$4:$H$1003,$H864,$D$4:$D$1003,LEFT($D864,9)&amp;"*")&gt;1),"△ 同一天同项目有一样的销售金额，看看是不是录重了","✓"))))))))</f>
        <v/>
      </c>
      <c r="W864" s="8" t="str">
        <f aca="false">IF($A864="","",$A864&amp;"#"&amp;COUNTIF($A$4:$A864,$A864))</f>
        <v/>
      </c>
    </row>
    <row r="865" customFormat="false" ht="16.5" hidden="false" customHeight="false" outlineLevel="0" collapsed="false">
      <c r="A865" s="44" t="str">
        <f aca="false">IF($C865="","",IFERROR(VLOOKUP($C865,目录!$B:$C,2,0)&amp;"","⚠目录里没有"))</f>
        <v/>
      </c>
      <c r="B865" s="45" t="str">
        <f aca="false">IF($D865="","",IFERROR(MID($D865,FIND(".",$D865)+1,FIND(".",$D865,FIND(".",$D865)+1)-FIND(".",$D865)-1)&amp;"月",""))</f>
        <v/>
      </c>
      <c r="C865" s="46"/>
      <c r="D865" s="47"/>
      <c r="E865" s="47"/>
      <c r="F865" s="49"/>
      <c r="G865" s="50"/>
      <c r="H865" s="24"/>
      <c r="I865" s="24" t="str">
        <f aca="false">IF($H865="","",N($H865)*N($G865))</f>
        <v/>
      </c>
      <c r="J865" s="25" t="str">
        <f aca="false">IF($H865="","",N($H865)-N($I865))</f>
        <v/>
      </c>
      <c r="K865" s="25"/>
      <c r="L865" s="25" t="str">
        <f aca="false">IF($A865="","",SUMIF($A$4:$A865,$A865,$J$4:$J865)-SUMIF($A$4:$A865,$A865,$K$4:$K865))</f>
        <v/>
      </c>
      <c r="M865" s="26" t="str">
        <f aca="false">IF($H865="","",N($H865))</f>
        <v/>
      </c>
      <c r="N865" s="26"/>
      <c r="O865" s="26"/>
      <c r="P865" s="26" t="str">
        <f aca="false">IF($A865="","",SUMIF($A$4:$A865,$A865,$M$4:$M865)-SUMIF($A$4:$A865,$A865,$N$4:$N865)-SUMIF($A$4:$A865,$A865,$O$4:$O865))</f>
        <v/>
      </c>
      <c r="Q865" s="27"/>
      <c r="R865" s="28"/>
      <c r="S865" s="28"/>
      <c r="T865" s="28" t="str">
        <f aca="false">IF($A865="","",SUMIF($A$4:$A865,$A865,$Q$4:$Q865)-SUMIF($A$4:$A865,$A865,$R$4:$R865)-SUMIF($A$4:$A865,$A865,$S$4:$S865))</f>
        <v/>
      </c>
      <c r="U865" s="28"/>
      <c r="V865" s="29" t="str">
        <f aca="false">IF(AND($C865="",COUNTA($D865:$H865,$K865,$N865:$O865,$Q865:$S865,$U865)=0),"",IF($C865="","⚠ 没填项目名称",IF($A865="⚠目录里没有","⚠ 项目名称在目录里找不到（先加到目录）",IF($A865="","⚠ 目录里这个项目没填简称",IF(ISTEXT($G865)+ISTEXT($H865)+ISTEXT($K865)+ISTEXT($N865)+ISTEXT($O865)+ISTEXT($Q865)+ISTEXT($R865)+ISTEXT($S865)&gt;0,"⚠ 金额列里有文字，算不进合计",IF(N($G865)&gt;=1,"⚠ 管理费点要填百分比，如 10%",IF(AND($D865&lt;&gt;"",$B865=""),"△ 摘要开头没写日期（如 2026.9.21），月份取不到",IF(AND(N($H865)&lt;&gt;0,COUNTIFS($A$4:$A$1003,$A865,$H$4:$H$1003,$H865,$D$4:$D$1003,LEFT($D865,9)&amp;"*")&gt;1),"△ 同一天同项目有一样的销售金额，看看是不是录重了","✓"))))))))</f>
        <v/>
      </c>
      <c r="W865" s="8" t="str">
        <f aca="false">IF($A865="","",$A865&amp;"#"&amp;COUNTIF($A$4:$A865,$A865))</f>
        <v/>
      </c>
    </row>
    <row r="866" customFormat="false" ht="16.5" hidden="false" customHeight="false" outlineLevel="0" collapsed="false">
      <c r="A866" s="44" t="str">
        <f aca="false">IF($C866="","",IFERROR(VLOOKUP($C866,目录!$B:$C,2,0)&amp;"","⚠目录里没有"))</f>
        <v/>
      </c>
      <c r="B866" s="45" t="str">
        <f aca="false">IF($D866="","",IFERROR(MID($D866,FIND(".",$D866)+1,FIND(".",$D866,FIND(".",$D866)+1)-FIND(".",$D866)-1)&amp;"月",""))</f>
        <v/>
      </c>
      <c r="C866" s="46"/>
      <c r="D866" s="47"/>
      <c r="E866" s="47"/>
      <c r="F866" s="49"/>
      <c r="G866" s="50"/>
      <c r="H866" s="24"/>
      <c r="I866" s="24" t="str">
        <f aca="false">IF($H866="","",N($H866)*N($G866))</f>
        <v/>
      </c>
      <c r="J866" s="25" t="str">
        <f aca="false">IF($H866="","",N($H866)-N($I866))</f>
        <v/>
      </c>
      <c r="K866" s="25"/>
      <c r="L866" s="25" t="str">
        <f aca="false">IF($A866="","",SUMIF($A$4:$A866,$A866,$J$4:$J866)-SUMIF($A$4:$A866,$A866,$K$4:$K866))</f>
        <v/>
      </c>
      <c r="M866" s="26" t="str">
        <f aca="false">IF($H866="","",N($H866))</f>
        <v/>
      </c>
      <c r="N866" s="26"/>
      <c r="O866" s="26"/>
      <c r="P866" s="26" t="str">
        <f aca="false">IF($A866="","",SUMIF($A$4:$A866,$A866,$M$4:$M866)-SUMIF($A$4:$A866,$A866,$N$4:$N866)-SUMIF($A$4:$A866,$A866,$O$4:$O866))</f>
        <v/>
      </c>
      <c r="Q866" s="27"/>
      <c r="R866" s="28"/>
      <c r="S866" s="28"/>
      <c r="T866" s="28" t="str">
        <f aca="false">IF($A866="","",SUMIF($A$4:$A866,$A866,$Q$4:$Q866)-SUMIF($A$4:$A866,$A866,$R$4:$R866)-SUMIF($A$4:$A866,$A866,$S$4:$S866))</f>
        <v/>
      </c>
      <c r="U866" s="28"/>
      <c r="V866" s="29" t="str">
        <f aca="false">IF(AND($C866="",COUNTA($D866:$H866,$K866,$N866:$O866,$Q866:$S866,$U866)=0),"",IF($C866="","⚠ 没填项目名称",IF($A866="⚠目录里没有","⚠ 项目名称在目录里找不到（先加到目录）",IF($A866="","⚠ 目录里这个项目没填简称",IF(ISTEXT($G866)+ISTEXT($H866)+ISTEXT($K866)+ISTEXT($N866)+ISTEXT($O866)+ISTEXT($Q866)+ISTEXT($R866)+ISTEXT($S866)&gt;0,"⚠ 金额列里有文字，算不进合计",IF(N($G866)&gt;=1,"⚠ 管理费点要填百分比，如 10%",IF(AND($D866&lt;&gt;"",$B866=""),"△ 摘要开头没写日期（如 2026.9.21），月份取不到",IF(AND(N($H866)&lt;&gt;0,COUNTIFS($A$4:$A$1003,$A866,$H$4:$H$1003,$H866,$D$4:$D$1003,LEFT($D866,9)&amp;"*")&gt;1),"△ 同一天同项目有一样的销售金额，看看是不是录重了","✓"))))))))</f>
        <v/>
      </c>
      <c r="W866" s="8" t="str">
        <f aca="false">IF($A866="","",$A866&amp;"#"&amp;COUNTIF($A$4:$A866,$A866))</f>
        <v/>
      </c>
    </row>
    <row r="867" customFormat="false" ht="16.5" hidden="false" customHeight="false" outlineLevel="0" collapsed="false">
      <c r="A867" s="44" t="str">
        <f aca="false">IF($C867="","",IFERROR(VLOOKUP($C867,目录!$B:$C,2,0)&amp;"","⚠目录里没有"))</f>
        <v/>
      </c>
      <c r="B867" s="45" t="str">
        <f aca="false">IF($D867="","",IFERROR(MID($D867,FIND(".",$D867)+1,FIND(".",$D867,FIND(".",$D867)+1)-FIND(".",$D867)-1)&amp;"月",""))</f>
        <v/>
      </c>
      <c r="C867" s="46"/>
      <c r="D867" s="47"/>
      <c r="E867" s="47"/>
      <c r="F867" s="49"/>
      <c r="G867" s="50"/>
      <c r="H867" s="24"/>
      <c r="I867" s="24" t="str">
        <f aca="false">IF($H867="","",N($H867)*N($G867))</f>
        <v/>
      </c>
      <c r="J867" s="25" t="str">
        <f aca="false">IF($H867="","",N($H867)-N($I867))</f>
        <v/>
      </c>
      <c r="K867" s="25"/>
      <c r="L867" s="25" t="str">
        <f aca="false">IF($A867="","",SUMIF($A$4:$A867,$A867,$J$4:$J867)-SUMIF($A$4:$A867,$A867,$K$4:$K867))</f>
        <v/>
      </c>
      <c r="M867" s="26" t="str">
        <f aca="false">IF($H867="","",N($H867))</f>
        <v/>
      </c>
      <c r="N867" s="26"/>
      <c r="O867" s="26"/>
      <c r="P867" s="26" t="str">
        <f aca="false">IF($A867="","",SUMIF($A$4:$A867,$A867,$M$4:$M867)-SUMIF($A$4:$A867,$A867,$N$4:$N867)-SUMIF($A$4:$A867,$A867,$O$4:$O867))</f>
        <v/>
      </c>
      <c r="Q867" s="27"/>
      <c r="R867" s="28"/>
      <c r="S867" s="28"/>
      <c r="T867" s="28" t="str">
        <f aca="false">IF($A867="","",SUMIF($A$4:$A867,$A867,$Q$4:$Q867)-SUMIF($A$4:$A867,$A867,$R$4:$R867)-SUMIF($A$4:$A867,$A867,$S$4:$S867))</f>
        <v/>
      </c>
      <c r="U867" s="28"/>
      <c r="V867" s="29" t="str">
        <f aca="false">IF(AND($C867="",COUNTA($D867:$H867,$K867,$N867:$O867,$Q867:$S867,$U867)=0),"",IF($C867="","⚠ 没填项目名称",IF($A867="⚠目录里没有","⚠ 项目名称在目录里找不到（先加到目录）",IF($A867="","⚠ 目录里这个项目没填简称",IF(ISTEXT($G867)+ISTEXT($H867)+ISTEXT($K867)+ISTEXT($N867)+ISTEXT($O867)+ISTEXT($Q867)+ISTEXT($R867)+ISTEXT($S867)&gt;0,"⚠ 金额列里有文字，算不进合计",IF(N($G867)&gt;=1,"⚠ 管理费点要填百分比，如 10%",IF(AND($D867&lt;&gt;"",$B867=""),"△ 摘要开头没写日期（如 2026.9.21），月份取不到",IF(AND(N($H867)&lt;&gt;0,COUNTIFS($A$4:$A$1003,$A867,$H$4:$H$1003,$H867,$D$4:$D$1003,LEFT($D867,9)&amp;"*")&gt;1),"△ 同一天同项目有一样的销售金额，看看是不是录重了","✓"))))))))</f>
        <v/>
      </c>
      <c r="W867" s="8" t="str">
        <f aca="false">IF($A867="","",$A867&amp;"#"&amp;COUNTIF($A$4:$A867,$A867))</f>
        <v/>
      </c>
    </row>
    <row r="868" customFormat="false" ht="16.5" hidden="false" customHeight="false" outlineLevel="0" collapsed="false">
      <c r="A868" s="44" t="str">
        <f aca="false">IF($C868="","",IFERROR(VLOOKUP($C868,目录!$B:$C,2,0)&amp;"","⚠目录里没有"))</f>
        <v/>
      </c>
      <c r="B868" s="45" t="str">
        <f aca="false">IF($D868="","",IFERROR(MID($D868,FIND(".",$D868)+1,FIND(".",$D868,FIND(".",$D868)+1)-FIND(".",$D868)-1)&amp;"月",""))</f>
        <v/>
      </c>
      <c r="C868" s="46"/>
      <c r="D868" s="47"/>
      <c r="E868" s="47"/>
      <c r="F868" s="49"/>
      <c r="G868" s="50"/>
      <c r="H868" s="24"/>
      <c r="I868" s="24" t="str">
        <f aca="false">IF($H868="","",N($H868)*N($G868))</f>
        <v/>
      </c>
      <c r="J868" s="25" t="str">
        <f aca="false">IF($H868="","",N($H868)-N($I868))</f>
        <v/>
      </c>
      <c r="K868" s="25"/>
      <c r="L868" s="25" t="str">
        <f aca="false">IF($A868="","",SUMIF($A$4:$A868,$A868,$J$4:$J868)-SUMIF($A$4:$A868,$A868,$K$4:$K868))</f>
        <v/>
      </c>
      <c r="M868" s="26" t="str">
        <f aca="false">IF($H868="","",N($H868))</f>
        <v/>
      </c>
      <c r="N868" s="26"/>
      <c r="O868" s="26"/>
      <c r="P868" s="26" t="str">
        <f aca="false">IF($A868="","",SUMIF($A$4:$A868,$A868,$M$4:$M868)-SUMIF($A$4:$A868,$A868,$N$4:$N868)-SUMIF($A$4:$A868,$A868,$O$4:$O868))</f>
        <v/>
      </c>
      <c r="Q868" s="27"/>
      <c r="R868" s="28"/>
      <c r="S868" s="28"/>
      <c r="T868" s="28" t="str">
        <f aca="false">IF($A868="","",SUMIF($A$4:$A868,$A868,$Q$4:$Q868)-SUMIF($A$4:$A868,$A868,$R$4:$R868)-SUMIF($A$4:$A868,$A868,$S$4:$S868))</f>
        <v/>
      </c>
      <c r="U868" s="28"/>
      <c r="V868" s="29" t="str">
        <f aca="false">IF(AND($C868="",COUNTA($D868:$H868,$K868,$N868:$O868,$Q868:$S868,$U868)=0),"",IF($C868="","⚠ 没填项目名称",IF($A868="⚠目录里没有","⚠ 项目名称在目录里找不到（先加到目录）",IF($A868="","⚠ 目录里这个项目没填简称",IF(ISTEXT($G868)+ISTEXT($H868)+ISTEXT($K868)+ISTEXT($N868)+ISTEXT($O868)+ISTEXT($Q868)+ISTEXT($R868)+ISTEXT($S868)&gt;0,"⚠ 金额列里有文字，算不进合计",IF(N($G868)&gt;=1,"⚠ 管理费点要填百分比，如 10%",IF(AND($D868&lt;&gt;"",$B868=""),"△ 摘要开头没写日期（如 2026.9.21），月份取不到",IF(AND(N($H868)&lt;&gt;0,COUNTIFS($A$4:$A$1003,$A868,$H$4:$H$1003,$H868,$D$4:$D$1003,LEFT($D868,9)&amp;"*")&gt;1),"△ 同一天同项目有一样的销售金额，看看是不是录重了","✓"))))))))</f>
        <v/>
      </c>
      <c r="W868" s="8" t="str">
        <f aca="false">IF($A868="","",$A868&amp;"#"&amp;COUNTIF($A$4:$A868,$A868))</f>
        <v/>
      </c>
    </row>
    <row r="869" customFormat="false" ht="16.5" hidden="false" customHeight="false" outlineLevel="0" collapsed="false">
      <c r="A869" s="44" t="str">
        <f aca="false">IF($C869="","",IFERROR(VLOOKUP($C869,目录!$B:$C,2,0)&amp;"","⚠目录里没有"))</f>
        <v/>
      </c>
      <c r="B869" s="45" t="str">
        <f aca="false">IF($D869="","",IFERROR(MID($D869,FIND(".",$D869)+1,FIND(".",$D869,FIND(".",$D869)+1)-FIND(".",$D869)-1)&amp;"月",""))</f>
        <v/>
      </c>
      <c r="C869" s="46"/>
      <c r="D869" s="47"/>
      <c r="E869" s="47"/>
      <c r="F869" s="49"/>
      <c r="G869" s="50"/>
      <c r="H869" s="24"/>
      <c r="I869" s="24" t="str">
        <f aca="false">IF($H869="","",N($H869)*N($G869))</f>
        <v/>
      </c>
      <c r="J869" s="25" t="str">
        <f aca="false">IF($H869="","",N($H869)-N($I869))</f>
        <v/>
      </c>
      <c r="K869" s="25"/>
      <c r="L869" s="25" t="str">
        <f aca="false">IF($A869="","",SUMIF($A$4:$A869,$A869,$J$4:$J869)-SUMIF($A$4:$A869,$A869,$K$4:$K869))</f>
        <v/>
      </c>
      <c r="M869" s="26" t="str">
        <f aca="false">IF($H869="","",N($H869))</f>
        <v/>
      </c>
      <c r="N869" s="26"/>
      <c r="O869" s="26"/>
      <c r="P869" s="26" t="str">
        <f aca="false">IF($A869="","",SUMIF($A$4:$A869,$A869,$M$4:$M869)-SUMIF($A$4:$A869,$A869,$N$4:$N869)-SUMIF($A$4:$A869,$A869,$O$4:$O869))</f>
        <v/>
      </c>
      <c r="Q869" s="27"/>
      <c r="R869" s="28"/>
      <c r="S869" s="28"/>
      <c r="T869" s="28" t="str">
        <f aca="false">IF($A869="","",SUMIF($A$4:$A869,$A869,$Q$4:$Q869)-SUMIF($A$4:$A869,$A869,$R$4:$R869)-SUMIF($A$4:$A869,$A869,$S$4:$S869))</f>
        <v/>
      </c>
      <c r="U869" s="28"/>
      <c r="V869" s="29" t="str">
        <f aca="false">IF(AND($C869="",COUNTA($D869:$H869,$K869,$N869:$O869,$Q869:$S869,$U869)=0),"",IF($C869="","⚠ 没填项目名称",IF($A869="⚠目录里没有","⚠ 项目名称在目录里找不到（先加到目录）",IF($A869="","⚠ 目录里这个项目没填简称",IF(ISTEXT($G869)+ISTEXT($H869)+ISTEXT($K869)+ISTEXT($N869)+ISTEXT($O869)+ISTEXT($Q869)+ISTEXT($R869)+ISTEXT($S869)&gt;0,"⚠ 金额列里有文字，算不进合计",IF(N($G869)&gt;=1,"⚠ 管理费点要填百分比，如 10%",IF(AND($D869&lt;&gt;"",$B869=""),"△ 摘要开头没写日期（如 2026.9.21），月份取不到",IF(AND(N($H869)&lt;&gt;0,COUNTIFS($A$4:$A$1003,$A869,$H$4:$H$1003,$H869,$D$4:$D$1003,LEFT($D869,9)&amp;"*")&gt;1),"△ 同一天同项目有一样的销售金额，看看是不是录重了","✓"))))))))</f>
        <v/>
      </c>
      <c r="W869" s="8" t="str">
        <f aca="false">IF($A869="","",$A869&amp;"#"&amp;COUNTIF($A$4:$A869,$A869))</f>
        <v/>
      </c>
    </row>
    <row r="870" customFormat="false" ht="16.5" hidden="false" customHeight="false" outlineLevel="0" collapsed="false">
      <c r="A870" s="44" t="str">
        <f aca="false">IF($C870="","",IFERROR(VLOOKUP($C870,目录!$B:$C,2,0)&amp;"","⚠目录里没有"))</f>
        <v/>
      </c>
      <c r="B870" s="45" t="str">
        <f aca="false">IF($D870="","",IFERROR(MID($D870,FIND(".",$D870)+1,FIND(".",$D870,FIND(".",$D870)+1)-FIND(".",$D870)-1)&amp;"月",""))</f>
        <v/>
      </c>
      <c r="C870" s="46"/>
      <c r="D870" s="47"/>
      <c r="E870" s="47"/>
      <c r="F870" s="49"/>
      <c r="G870" s="50"/>
      <c r="H870" s="24"/>
      <c r="I870" s="24" t="str">
        <f aca="false">IF($H870="","",N($H870)*N($G870))</f>
        <v/>
      </c>
      <c r="J870" s="25" t="str">
        <f aca="false">IF($H870="","",N($H870)-N($I870))</f>
        <v/>
      </c>
      <c r="K870" s="25"/>
      <c r="L870" s="25" t="str">
        <f aca="false">IF($A870="","",SUMIF($A$4:$A870,$A870,$J$4:$J870)-SUMIF($A$4:$A870,$A870,$K$4:$K870))</f>
        <v/>
      </c>
      <c r="M870" s="26" t="str">
        <f aca="false">IF($H870="","",N($H870))</f>
        <v/>
      </c>
      <c r="N870" s="26"/>
      <c r="O870" s="26"/>
      <c r="P870" s="26" t="str">
        <f aca="false">IF($A870="","",SUMIF($A$4:$A870,$A870,$M$4:$M870)-SUMIF($A$4:$A870,$A870,$N$4:$N870)-SUMIF($A$4:$A870,$A870,$O$4:$O870))</f>
        <v/>
      </c>
      <c r="Q870" s="27"/>
      <c r="R870" s="28"/>
      <c r="S870" s="28"/>
      <c r="T870" s="28" t="str">
        <f aca="false">IF($A870="","",SUMIF($A$4:$A870,$A870,$Q$4:$Q870)-SUMIF($A$4:$A870,$A870,$R$4:$R870)-SUMIF($A$4:$A870,$A870,$S$4:$S870))</f>
        <v/>
      </c>
      <c r="U870" s="28"/>
      <c r="V870" s="29" t="str">
        <f aca="false">IF(AND($C870="",COUNTA($D870:$H870,$K870,$N870:$O870,$Q870:$S870,$U870)=0),"",IF($C870="","⚠ 没填项目名称",IF($A870="⚠目录里没有","⚠ 项目名称在目录里找不到（先加到目录）",IF($A870="","⚠ 目录里这个项目没填简称",IF(ISTEXT($G870)+ISTEXT($H870)+ISTEXT($K870)+ISTEXT($N870)+ISTEXT($O870)+ISTEXT($Q870)+ISTEXT($R870)+ISTEXT($S870)&gt;0,"⚠ 金额列里有文字，算不进合计",IF(N($G870)&gt;=1,"⚠ 管理费点要填百分比，如 10%",IF(AND($D870&lt;&gt;"",$B870=""),"△ 摘要开头没写日期（如 2026.9.21），月份取不到",IF(AND(N($H870)&lt;&gt;0,COUNTIFS($A$4:$A$1003,$A870,$H$4:$H$1003,$H870,$D$4:$D$1003,LEFT($D870,9)&amp;"*")&gt;1),"△ 同一天同项目有一样的销售金额，看看是不是录重了","✓"))))))))</f>
        <v/>
      </c>
      <c r="W870" s="8" t="str">
        <f aca="false">IF($A870="","",$A870&amp;"#"&amp;COUNTIF($A$4:$A870,$A870))</f>
        <v/>
      </c>
    </row>
    <row r="871" customFormat="false" ht="16.5" hidden="false" customHeight="false" outlineLevel="0" collapsed="false">
      <c r="A871" s="44" t="str">
        <f aca="false">IF($C871="","",IFERROR(VLOOKUP($C871,目录!$B:$C,2,0)&amp;"","⚠目录里没有"))</f>
        <v/>
      </c>
      <c r="B871" s="45" t="str">
        <f aca="false">IF($D871="","",IFERROR(MID($D871,FIND(".",$D871)+1,FIND(".",$D871,FIND(".",$D871)+1)-FIND(".",$D871)-1)&amp;"月",""))</f>
        <v/>
      </c>
      <c r="C871" s="46"/>
      <c r="D871" s="47"/>
      <c r="E871" s="47"/>
      <c r="F871" s="49"/>
      <c r="G871" s="50"/>
      <c r="H871" s="24"/>
      <c r="I871" s="24" t="str">
        <f aca="false">IF($H871="","",N($H871)*N($G871))</f>
        <v/>
      </c>
      <c r="J871" s="25" t="str">
        <f aca="false">IF($H871="","",N($H871)-N($I871))</f>
        <v/>
      </c>
      <c r="K871" s="25"/>
      <c r="L871" s="25" t="str">
        <f aca="false">IF($A871="","",SUMIF($A$4:$A871,$A871,$J$4:$J871)-SUMIF($A$4:$A871,$A871,$K$4:$K871))</f>
        <v/>
      </c>
      <c r="M871" s="26" t="str">
        <f aca="false">IF($H871="","",N($H871))</f>
        <v/>
      </c>
      <c r="N871" s="26"/>
      <c r="O871" s="26"/>
      <c r="P871" s="26" t="str">
        <f aca="false">IF($A871="","",SUMIF($A$4:$A871,$A871,$M$4:$M871)-SUMIF($A$4:$A871,$A871,$N$4:$N871)-SUMIF($A$4:$A871,$A871,$O$4:$O871))</f>
        <v/>
      </c>
      <c r="Q871" s="27"/>
      <c r="R871" s="28"/>
      <c r="S871" s="28"/>
      <c r="T871" s="28" t="str">
        <f aca="false">IF($A871="","",SUMIF($A$4:$A871,$A871,$Q$4:$Q871)-SUMIF($A$4:$A871,$A871,$R$4:$R871)-SUMIF($A$4:$A871,$A871,$S$4:$S871))</f>
        <v/>
      </c>
      <c r="U871" s="28"/>
      <c r="V871" s="29" t="str">
        <f aca="false">IF(AND($C871="",COUNTA($D871:$H871,$K871,$N871:$O871,$Q871:$S871,$U871)=0),"",IF($C871="","⚠ 没填项目名称",IF($A871="⚠目录里没有","⚠ 项目名称在目录里找不到（先加到目录）",IF($A871="","⚠ 目录里这个项目没填简称",IF(ISTEXT($G871)+ISTEXT($H871)+ISTEXT($K871)+ISTEXT($N871)+ISTEXT($O871)+ISTEXT($Q871)+ISTEXT($R871)+ISTEXT($S871)&gt;0,"⚠ 金额列里有文字，算不进合计",IF(N($G871)&gt;=1,"⚠ 管理费点要填百分比，如 10%",IF(AND($D871&lt;&gt;"",$B871=""),"△ 摘要开头没写日期（如 2026.9.21），月份取不到",IF(AND(N($H871)&lt;&gt;0,COUNTIFS($A$4:$A$1003,$A871,$H$4:$H$1003,$H871,$D$4:$D$1003,LEFT($D871,9)&amp;"*")&gt;1),"△ 同一天同项目有一样的销售金额，看看是不是录重了","✓"))))))))</f>
        <v/>
      </c>
      <c r="W871" s="8" t="str">
        <f aca="false">IF($A871="","",$A871&amp;"#"&amp;COUNTIF($A$4:$A871,$A871))</f>
        <v/>
      </c>
    </row>
    <row r="872" customFormat="false" ht="16.5" hidden="false" customHeight="false" outlineLevel="0" collapsed="false">
      <c r="A872" s="44" t="str">
        <f aca="false">IF($C872="","",IFERROR(VLOOKUP($C872,目录!$B:$C,2,0)&amp;"","⚠目录里没有"))</f>
        <v/>
      </c>
      <c r="B872" s="45" t="str">
        <f aca="false">IF($D872="","",IFERROR(MID($D872,FIND(".",$D872)+1,FIND(".",$D872,FIND(".",$D872)+1)-FIND(".",$D872)-1)&amp;"月",""))</f>
        <v/>
      </c>
      <c r="C872" s="46"/>
      <c r="D872" s="47"/>
      <c r="E872" s="47"/>
      <c r="F872" s="49"/>
      <c r="G872" s="50"/>
      <c r="H872" s="24"/>
      <c r="I872" s="24" t="str">
        <f aca="false">IF($H872="","",N($H872)*N($G872))</f>
        <v/>
      </c>
      <c r="J872" s="25" t="str">
        <f aca="false">IF($H872="","",N($H872)-N($I872))</f>
        <v/>
      </c>
      <c r="K872" s="25"/>
      <c r="L872" s="25" t="str">
        <f aca="false">IF($A872="","",SUMIF($A$4:$A872,$A872,$J$4:$J872)-SUMIF($A$4:$A872,$A872,$K$4:$K872))</f>
        <v/>
      </c>
      <c r="M872" s="26" t="str">
        <f aca="false">IF($H872="","",N($H872))</f>
        <v/>
      </c>
      <c r="N872" s="26"/>
      <c r="O872" s="26"/>
      <c r="P872" s="26" t="str">
        <f aca="false">IF($A872="","",SUMIF($A$4:$A872,$A872,$M$4:$M872)-SUMIF($A$4:$A872,$A872,$N$4:$N872)-SUMIF($A$4:$A872,$A872,$O$4:$O872))</f>
        <v/>
      </c>
      <c r="Q872" s="27"/>
      <c r="R872" s="28"/>
      <c r="S872" s="28"/>
      <c r="T872" s="28" t="str">
        <f aca="false">IF($A872="","",SUMIF($A$4:$A872,$A872,$Q$4:$Q872)-SUMIF($A$4:$A872,$A872,$R$4:$R872)-SUMIF($A$4:$A872,$A872,$S$4:$S872))</f>
        <v/>
      </c>
      <c r="U872" s="28"/>
      <c r="V872" s="29" t="str">
        <f aca="false">IF(AND($C872="",COUNTA($D872:$H872,$K872,$N872:$O872,$Q872:$S872,$U872)=0),"",IF($C872="","⚠ 没填项目名称",IF($A872="⚠目录里没有","⚠ 项目名称在目录里找不到（先加到目录）",IF($A872="","⚠ 目录里这个项目没填简称",IF(ISTEXT($G872)+ISTEXT($H872)+ISTEXT($K872)+ISTEXT($N872)+ISTEXT($O872)+ISTEXT($Q872)+ISTEXT($R872)+ISTEXT($S872)&gt;0,"⚠ 金额列里有文字，算不进合计",IF(N($G872)&gt;=1,"⚠ 管理费点要填百分比，如 10%",IF(AND($D872&lt;&gt;"",$B872=""),"△ 摘要开头没写日期（如 2026.9.21），月份取不到",IF(AND(N($H872)&lt;&gt;0,COUNTIFS($A$4:$A$1003,$A872,$H$4:$H$1003,$H872,$D$4:$D$1003,LEFT($D872,9)&amp;"*")&gt;1),"△ 同一天同项目有一样的销售金额，看看是不是录重了","✓"))))))))</f>
        <v/>
      </c>
      <c r="W872" s="8" t="str">
        <f aca="false">IF($A872="","",$A872&amp;"#"&amp;COUNTIF($A$4:$A872,$A872))</f>
        <v/>
      </c>
    </row>
    <row r="873" customFormat="false" ht="16.5" hidden="false" customHeight="false" outlineLevel="0" collapsed="false">
      <c r="A873" s="44" t="str">
        <f aca="false">IF($C873="","",IFERROR(VLOOKUP($C873,目录!$B:$C,2,0)&amp;"","⚠目录里没有"))</f>
        <v/>
      </c>
      <c r="B873" s="45" t="str">
        <f aca="false">IF($D873="","",IFERROR(MID($D873,FIND(".",$D873)+1,FIND(".",$D873,FIND(".",$D873)+1)-FIND(".",$D873)-1)&amp;"月",""))</f>
        <v/>
      </c>
      <c r="C873" s="46"/>
      <c r="D873" s="47"/>
      <c r="E873" s="47"/>
      <c r="F873" s="49"/>
      <c r="G873" s="50"/>
      <c r="H873" s="24"/>
      <c r="I873" s="24" t="str">
        <f aca="false">IF($H873="","",N($H873)*N($G873))</f>
        <v/>
      </c>
      <c r="J873" s="25" t="str">
        <f aca="false">IF($H873="","",N($H873)-N($I873))</f>
        <v/>
      </c>
      <c r="K873" s="25"/>
      <c r="L873" s="25" t="str">
        <f aca="false">IF($A873="","",SUMIF($A$4:$A873,$A873,$J$4:$J873)-SUMIF($A$4:$A873,$A873,$K$4:$K873))</f>
        <v/>
      </c>
      <c r="M873" s="26" t="str">
        <f aca="false">IF($H873="","",N($H873))</f>
        <v/>
      </c>
      <c r="N873" s="26"/>
      <c r="O873" s="26"/>
      <c r="P873" s="26" t="str">
        <f aca="false">IF($A873="","",SUMIF($A$4:$A873,$A873,$M$4:$M873)-SUMIF($A$4:$A873,$A873,$N$4:$N873)-SUMIF($A$4:$A873,$A873,$O$4:$O873))</f>
        <v/>
      </c>
      <c r="Q873" s="27"/>
      <c r="R873" s="28"/>
      <c r="S873" s="28"/>
      <c r="T873" s="28" t="str">
        <f aca="false">IF($A873="","",SUMIF($A$4:$A873,$A873,$Q$4:$Q873)-SUMIF($A$4:$A873,$A873,$R$4:$R873)-SUMIF($A$4:$A873,$A873,$S$4:$S873))</f>
        <v/>
      </c>
      <c r="U873" s="28"/>
      <c r="V873" s="29" t="str">
        <f aca="false">IF(AND($C873="",COUNTA($D873:$H873,$K873,$N873:$O873,$Q873:$S873,$U873)=0),"",IF($C873="","⚠ 没填项目名称",IF($A873="⚠目录里没有","⚠ 项目名称在目录里找不到（先加到目录）",IF($A873="","⚠ 目录里这个项目没填简称",IF(ISTEXT($G873)+ISTEXT($H873)+ISTEXT($K873)+ISTEXT($N873)+ISTEXT($O873)+ISTEXT($Q873)+ISTEXT($R873)+ISTEXT($S873)&gt;0,"⚠ 金额列里有文字，算不进合计",IF(N($G873)&gt;=1,"⚠ 管理费点要填百分比，如 10%",IF(AND($D873&lt;&gt;"",$B873=""),"△ 摘要开头没写日期（如 2026.9.21），月份取不到",IF(AND(N($H873)&lt;&gt;0,COUNTIFS($A$4:$A$1003,$A873,$H$4:$H$1003,$H873,$D$4:$D$1003,LEFT($D873,9)&amp;"*")&gt;1),"△ 同一天同项目有一样的销售金额，看看是不是录重了","✓"))))))))</f>
        <v/>
      </c>
      <c r="W873" s="8" t="str">
        <f aca="false">IF($A873="","",$A873&amp;"#"&amp;COUNTIF($A$4:$A873,$A873))</f>
        <v/>
      </c>
    </row>
    <row r="874" customFormat="false" ht="16.5" hidden="false" customHeight="false" outlineLevel="0" collapsed="false">
      <c r="A874" s="44" t="str">
        <f aca="false">IF($C874="","",IFERROR(VLOOKUP($C874,目录!$B:$C,2,0)&amp;"","⚠目录里没有"))</f>
        <v/>
      </c>
      <c r="B874" s="45" t="str">
        <f aca="false">IF($D874="","",IFERROR(MID($D874,FIND(".",$D874)+1,FIND(".",$D874,FIND(".",$D874)+1)-FIND(".",$D874)-1)&amp;"月",""))</f>
        <v/>
      </c>
      <c r="C874" s="46"/>
      <c r="D874" s="47"/>
      <c r="E874" s="47"/>
      <c r="F874" s="49"/>
      <c r="G874" s="50"/>
      <c r="H874" s="24"/>
      <c r="I874" s="24" t="str">
        <f aca="false">IF($H874="","",N($H874)*N($G874))</f>
        <v/>
      </c>
      <c r="J874" s="25" t="str">
        <f aca="false">IF($H874="","",N($H874)-N($I874))</f>
        <v/>
      </c>
      <c r="K874" s="25"/>
      <c r="L874" s="25" t="str">
        <f aca="false">IF($A874="","",SUMIF($A$4:$A874,$A874,$J$4:$J874)-SUMIF($A$4:$A874,$A874,$K$4:$K874))</f>
        <v/>
      </c>
      <c r="M874" s="26" t="str">
        <f aca="false">IF($H874="","",N($H874))</f>
        <v/>
      </c>
      <c r="N874" s="26"/>
      <c r="O874" s="26"/>
      <c r="P874" s="26" t="str">
        <f aca="false">IF($A874="","",SUMIF($A$4:$A874,$A874,$M$4:$M874)-SUMIF($A$4:$A874,$A874,$N$4:$N874)-SUMIF($A$4:$A874,$A874,$O$4:$O874))</f>
        <v/>
      </c>
      <c r="Q874" s="27"/>
      <c r="R874" s="28"/>
      <c r="S874" s="28"/>
      <c r="T874" s="28" t="str">
        <f aca="false">IF($A874="","",SUMIF($A$4:$A874,$A874,$Q$4:$Q874)-SUMIF($A$4:$A874,$A874,$R$4:$R874)-SUMIF($A$4:$A874,$A874,$S$4:$S874))</f>
        <v/>
      </c>
      <c r="U874" s="28"/>
      <c r="V874" s="29" t="str">
        <f aca="false">IF(AND($C874="",COUNTA($D874:$H874,$K874,$N874:$O874,$Q874:$S874,$U874)=0),"",IF($C874="","⚠ 没填项目名称",IF($A874="⚠目录里没有","⚠ 项目名称在目录里找不到（先加到目录）",IF($A874="","⚠ 目录里这个项目没填简称",IF(ISTEXT($G874)+ISTEXT($H874)+ISTEXT($K874)+ISTEXT($N874)+ISTEXT($O874)+ISTEXT($Q874)+ISTEXT($R874)+ISTEXT($S874)&gt;0,"⚠ 金额列里有文字，算不进合计",IF(N($G874)&gt;=1,"⚠ 管理费点要填百分比，如 10%",IF(AND($D874&lt;&gt;"",$B874=""),"△ 摘要开头没写日期（如 2026.9.21），月份取不到",IF(AND(N($H874)&lt;&gt;0,COUNTIFS($A$4:$A$1003,$A874,$H$4:$H$1003,$H874,$D$4:$D$1003,LEFT($D874,9)&amp;"*")&gt;1),"△ 同一天同项目有一样的销售金额，看看是不是录重了","✓"))))))))</f>
        <v/>
      </c>
      <c r="W874" s="8" t="str">
        <f aca="false">IF($A874="","",$A874&amp;"#"&amp;COUNTIF($A$4:$A874,$A874))</f>
        <v/>
      </c>
    </row>
    <row r="875" customFormat="false" ht="16.5" hidden="false" customHeight="false" outlineLevel="0" collapsed="false">
      <c r="A875" s="44" t="str">
        <f aca="false">IF($C875="","",IFERROR(VLOOKUP($C875,目录!$B:$C,2,0)&amp;"","⚠目录里没有"))</f>
        <v/>
      </c>
      <c r="B875" s="45" t="str">
        <f aca="false">IF($D875="","",IFERROR(MID($D875,FIND(".",$D875)+1,FIND(".",$D875,FIND(".",$D875)+1)-FIND(".",$D875)-1)&amp;"月",""))</f>
        <v/>
      </c>
      <c r="C875" s="46"/>
      <c r="D875" s="47"/>
      <c r="E875" s="47"/>
      <c r="F875" s="49"/>
      <c r="G875" s="50"/>
      <c r="H875" s="24"/>
      <c r="I875" s="24" t="str">
        <f aca="false">IF($H875="","",N($H875)*N($G875))</f>
        <v/>
      </c>
      <c r="J875" s="25" t="str">
        <f aca="false">IF($H875="","",N($H875)-N($I875))</f>
        <v/>
      </c>
      <c r="K875" s="25"/>
      <c r="L875" s="25" t="str">
        <f aca="false">IF($A875="","",SUMIF($A$4:$A875,$A875,$J$4:$J875)-SUMIF($A$4:$A875,$A875,$K$4:$K875))</f>
        <v/>
      </c>
      <c r="M875" s="26" t="str">
        <f aca="false">IF($H875="","",N($H875))</f>
        <v/>
      </c>
      <c r="N875" s="26"/>
      <c r="O875" s="26"/>
      <c r="P875" s="26" t="str">
        <f aca="false">IF($A875="","",SUMIF($A$4:$A875,$A875,$M$4:$M875)-SUMIF($A$4:$A875,$A875,$N$4:$N875)-SUMIF($A$4:$A875,$A875,$O$4:$O875))</f>
        <v/>
      </c>
      <c r="Q875" s="27"/>
      <c r="R875" s="28"/>
      <c r="S875" s="28"/>
      <c r="T875" s="28" t="str">
        <f aca="false">IF($A875="","",SUMIF($A$4:$A875,$A875,$Q$4:$Q875)-SUMIF($A$4:$A875,$A875,$R$4:$R875)-SUMIF($A$4:$A875,$A875,$S$4:$S875))</f>
        <v/>
      </c>
      <c r="U875" s="28"/>
      <c r="V875" s="29" t="str">
        <f aca="false">IF(AND($C875="",COUNTA($D875:$H875,$K875,$N875:$O875,$Q875:$S875,$U875)=0),"",IF($C875="","⚠ 没填项目名称",IF($A875="⚠目录里没有","⚠ 项目名称在目录里找不到（先加到目录）",IF($A875="","⚠ 目录里这个项目没填简称",IF(ISTEXT($G875)+ISTEXT($H875)+ISTEXT($K875)+ISTEXT($N875)+ISTEXT($O875)+ISTEXT($Q875)+ISTEXT($R875)+ISTEXT($S875)&gt;0,"⚠ 金额列里有文字，算不进合计",IF(N($G875)&gt;=1,"⚠ 管理费点要填百分比，如 10%",IF(AND($D875&lt;&gt;"",$B875=""),"△ 摘要开头没写日期（如 2026.9.21），月份取不到",IF(AND(N($H875)&lt;&gt;0,COUNTIFS($A$4:$A$1003,$A875,$H$4:$H$1003,$H875,$D$4:$D$1003,LEFT($D875,9)&amp;"*")&gt;1),"△ 同一天同项目有一样的销售金额，看看是不是录重了","✓"))))))))</f>
        <v/>
      </c>
      <c r="W875" s="8" t="str">
        <f aca="false">IF($A875="","",$A875&amp;"#"&amp;COUNTIF($A$4:$A875,$A875))</f>
        <v/>
      </c>
    </row>
    <row r="876" customFormat="false" ht="16.5" hidden="false" customHeight="false" outlineLevel="0" collapsed="false">
      <c r="A876" s="44" t="str">
        <f aca="false">IF($C876="","",IFERROR(VLOOKUP($C876,目录!$B:$C,2,0)&amp;"","⚠目录里没有"))</f>
        <v/>
      </c>
      <c r="B876" s="45" t="str">
        <f aca="false">IF($D876="","",IFERROR(MID($D876,FIND(".",$D876)+1,FIND(".",$D876,FIND(".",$D876)+1)-FIND(".",$D876)-1)&amp;"月",""))</f>
        <v/>
      </c>
      <c r="C876" s="46"/>
      <c r="D876" s="47"/>
      <c r="E876" s="47"/>
      <c r="F876" s="49"/>
      <c r="G876" s="50"/>
      <c r="H876" s="24"/>
      <c r="I876" s="24" t="str">
        <f aca="false">IF($H876="","",N($H876)*N($G876))</f>
        <v/>
      </c>
      <c r="J876" s="25" t="str">
        <f aca="false">IF($H876="","",N($H876)-N($I876))</f>
        <v/>
      </c>
      <c r="K876" s="25"/>
      <c r="L876" s="25" t="str">
        <f aca="false">IF($A876="","",SUMIF($A$4:$A876,$A876,$J$4:$J876)-SUMIF($A$4:$A876,$A876,$K$4:$K876))</f>
        <v/>
      </c>
      <c r="M876" s="26" t="str">
        <f aca="false">IF($H876="","",N($H876))</f>
        <v/>
      </c>
      <c r="N876" s="26"/>
      <c r="O876" s="26"/>
      <c r="P876" s="26" t="str">
        <f aca="false">IF($A876="","",SUMIF($A$4:$A876,$A876,$M$4:$M876)-SUMIF($A$4:$A876,$A876,$N$4:$N876)-SUMIF($A$4:$A876,$A876,$O$4:$O876))</f>
        <v/>
      </c>
      <c r="Q876" s="27"/>
      <c r="R876" s="28"/>
      <c r="S876" s="28"/>
      <c r="T876" s="28" t="str">
        <f aca="false">IF($A876="","",SUMIF($A$4:$A876,$A876,$Q$4:$Q876)-SUMIF($A$4:$A876,$A876,$R$4:$R876)-SUMIF($A$4:$A876,$A876,$S$4:$S876))</f>
        <v/>
      </c>
      <c r="U876" s="28"/>
      <c r="V876" s="29" t="str">
        <f aca="false">IF(AND($C876="",COUNTA($D876:$H876,$K876,$N876:$O876,$Q876:$S876,$U876)=0),"",IF($C876="","⚠ 没填项目名称",IF($A876="⚠目录里没有","⚠ 项目名称在目录里找不到（先加到目录）",IF($A876="","⚠ 目录里这个项目没填简称",IF(ISTEXT($G876)+ISTEXT($H876)+ISTEXT($K876)+ISTEXT($N876)+ISTEXT($O876)+ISTEXT($Q876)+ISTEXT($R876)+ISTEXT($S876)&gt;0,"⚠ 金额列里有文字，算不进合计",IF(N($G876)&gt;=1,"⚠ 管理费点要填百分比，如 10%",IF(AND($D876&lt;&gt;"",$B876=""),"△ 摘要开头没写日期（如 2026.9.21），月份取不到",IF(AND(N($H876)&lt;&gt;0,COUNTIFS($A$4:$A$1003,$A876,$H$4:$H$1003,$H876,$D$4:$D$1003,LEFT($D876,9)&amp;"*")&gt;1),"△ 同一天同项目有一样的销售金额，看看是不是录重了","✓"))))))))</f>
        <v/>
      </c>
      <c r="W876" s="8" t="str">
        <f aca="false">IF($A876="","",$A876&amp;"#"&amp;COUNTIF($A$4:$A876,$A876))</f>
        <v/>
      </c>
    </row>
    <row r="877" customFormat="false" ht="16.5" hidden="false" customHeight="false" outlineLevel="0" collapsed="false">
      <c r="A877" s="44" t="str">
        <f aca="false">IF($C877="","",IFERROR(VLOOKUP($C877,目录!$B:$C,2,0)&amp;"","⚠目录里没有"))</f>
        <v/>
      </c>
      <c r="B877" s="45" t="str">
        <f aca="false">IF($D877="","",IFERROR(MID($D877,FIND(".",$D877)+1,FIND(".",$D877,FIND(".",$D877)+1)-FIND(".",$D877)-1)&amp;"月",""))</f>
        <v/>
      </c>
      <c r="C877" s="46"/>
      <c r="D877" s="47"/>
      <c r="E877" s="47"/>
      <c r="F877" s="49"/>
      <c r="G877" s="50"/>
      <c r="H877" s="24"/>
      <c r="I877" s="24" t="str">
        <f aca="false">IF($H877="","",N($H877)*N($G877))</f>
        <v/>
      </c>
      <c r="J877" s="25" t="str">
        <f aca="false">IF($H877="","",N($H877)-N($I877))</f>
        <v/>
      </c>
      <c r="K877" s="25"/>
      <c r="L877" s="25" t="str">
        <f aca="false">IF($A877="","",SUMIF($A$4:$A877,$A877,$J$4:$J877)-SUMIF($A$4:$A877,$A877,$K$4:$K877))</f>
        <v/>
      </c>
      <c r="M877" s="26" t="str">
        <f aca="false">IF($H877="","",N($H877))</f>
        <v/>
      </c>
      <c r="N877" s="26"/>
      <c r="O877" s="26"/>
      <c r="P877" s="26" t="str">
        <f aca="false">IF($A877="","",SUMIF($A$4:$A877,$A877,$M$4:$M877)-SUMIF($A$4:$A877,$A877,$N$4:$N877)-SUMIF($A$4:$A877,$A877,$O$4:$O877))</f>
        <v/>
      </c>
      <c r="Q877" s="27"/>
      <c r="R877" s="28"/>
      <c r="S877" s="28"/>
      <c r="T877" s="28" t="str">
        <f aca="false">IF($A877="","",SUMIF($A$4:$A877,$A877,$Q$4:$Q877)-SUMIF($A$4:$A877,$A877,$R$4:$R877)-SUMIF($A$4:$A877,$A877,$S$4:$S877))</f>
        <v/>
      </c>
      <c r="U877" s="28"/>
      <c r="V877" s="29" t="str">
        <f aca="false">IF(AND($C877="",COUNTA($D877:$H877,$K877,$N877:$O877,$Q877:$S877,$U877)=0),"",IF($C877="","⚠ 没填项目名称",IF($A877="⚠目录里没有","⚠ 项目名称在目录里找不到（先加到目录）",IF($A877="","⚠ 目录里这个项目没填简称",IF(ISTEXT($G877)+ISTEXT($H877)+ISTEXT($K877)+ISTEXT($N877)+ISTEXT($O877)+ISTEXT($Q877)+ISTEXT($R877)+ISTEXT($S877)&gt;0,"⚠ 金额列里有文字，算不进合计",IF(N($G877)&gt;=1,"⚠ 管理费点要填百分比，如 10%",IF(AND($D877&lt;&gt;"",$B877=""),"△ 摘要开头没写日期（如 2026.9.21），月份取不到",IF(AND(N($H877)&lt;&gt;0,COUNTIFS($A$4:$A$1003,$A877,$H$4:$H$1003,$H877,$D$4:$D$1003,LEFT($D877,9)&amp;"*")&gt;1),"△ 同一天同项目有一样的销售金额，看看是不是录重了","✓"))))))))</f>
        <v/>
      </c>
      <c r="W877" s="8" t="str">
        <f aca="false">IF($A877="","",$A877&amp;"#"&amp;COUNTIF($A$4:$A877,$A877))</f>
        <v/>
      </c>
    </row>
    <row r="878" customFormat="false" ht="16.5" hidden="false" customHeight="false" outlineLevel="0" collapsed="false">
      <c r="A878" s="44" t="str">
        <f aca="false">IF($C878="","",IFERROR(VLOOKUP($C878,目录!$B:$C,2,0)&amp;"","⚠目录里没有"))</f>
        <v/>
      </c>
      <c r="B878" s="45" t="str">
        <f aca="false">IF($D878="","",IFERROR(MID($D878,FIND(".",$D878)+1,FIND(".",$D878,FIND(".",$D878)+1)-FIND(".",$D878)-1)&amp;"月",""))</f>
        <v/>
      </c>
      <c r="C878" s="46"/>
      <c r="D878" s="47"/>
      <c r="E878" s="47"/>
      <c r="F878" s="49"/>
      <c r="G878" s="50"/>
      <c r="H878" s="24"/>
      <c r="I878" s="24" t="str">
        <f aca="false">IF($H878="","",N($H878)*N($G878))</f>
        <v/>
      </c>
      <c r="J878" s="25" t="str">
        <f aca="false">IF($H878="","",N($H878)-N($I878))</f>
        <v/>
      </c>
      <c r="K878" s="25"/>
      <c r="L878" s="25" t="str">
        <f aca="false">IF($A878="","",SUMIF($A$4:$A878,$A878,$J$4:$J878)-SUMIF($A$4:$A878,$A878,$K$4:$K878))</f>
        <v/>
      </c>
      <c r="M878" s="26" t="str">
        <f aca="false">IF($H878="","",N($H878))</f>
        <v/>
      </c>
      <c r="N878" s="26"/>
      <c r="O878" s="26"/>
      <c r="P878" s="26" t="str">
        <f aca="false">IF($A878="","",SUMIF($A$4:$A878,$A878,$M$4:$M878)-SUMIF($A$4:$A878,$A878,$N$4:$N878)-SUMIF($A$4:$A878,$A878,$O$4:$O878))</f>
        <v/>
      </c>
      <c r="Q878" s="27"/>
      <c r="R878" s="28"/>
      <c r="S878" s="28"/>
      <c r="T878" s="28" t="str">
        <f aca="false">IF($A878="","",SUMIF($A$4:$A878,$A878,$Q$4:$Q878)-SUMIF($A$4:$A878,$A878,$R$4:$R878)-SUMIF($A$4:$A878,$A878,$S$4:$S878))</f>
        <v/>
      </c>
      <c r="U878" s="28"/>
      <c r="V878" s="29" t="str">
        <f aca="false">IF(AND($C878="",COUNTA($D878:$H878,$K878,$N878:$O878,$Q878:$S878,$U878)=0),"",IF($C878="","⚠ 没填项目名称",IF($A878="⚠目录里没有","⚠ 项目名称在目录里找不到（先加到目录）",IF($A878="","⚠ 目录里这个项目没填简称",IF(ISTEXT($G878)+ISTEXT($H878)+ISTEXT($K878)+ISTEXT($N878)+ISTEXT($O878)+ISTEXT($Q878)+ISTEXT($R878)+ISTEXT($S878)&gt;0,"⚠ 金额列里有文字，算不进合计",IF(N($G878)&gt;=1,"⚠ 管理费点要填百分比，如 10%",IF(AND($D878&lt;&gt;"",$B878=""),"△ 摘要开头没写日期（如 2026.9.21），月份取不到",IF(AND(N($H878)&lt;&gt;0,COUNTIFS($A$4:$A$1003,$A878,$H$4:$H$1003,$H878,$D$4:$D$1003,LEFT($D878,9)&amp;"*")&gt;1),"△ 同一天同项目有一样的销售金额，看看是不是录重了","✓"))))))))</f>
        <v/>
      </c>
      <c r="W878" s="8" t="str">
        <f aca="false">IF($A878="","",$A878&amp;"#"&amp;COUNTIF($A$4:$A878,$A878))</f>
        <v/>
      </c>
    </row>
    <row r="879" customFormat="false" ht="16.5" hidden="false" customHeight="false" outlineLevel="0" collapsed="false">
      <c r="A879" s="44" t="str">
        <f aca="false">IF($C879="","",IFERROR(VLOOKUP($C879,目录!$B:$C,2,0)&amp;"","⚠目录里没有"))</f>
        <v/>
      </c>
      <c r="B879" s="45" t="str">
        <f aca="false">IF($D879="","",IFERROR(MID($D879,FIND(".",$D879)+1,FIND(".",$D879,FIND(".",$D879)+1)-FIND(".",$D879)-1)&amp;"月",""))</f>
        <v/>
      </c>
      <c r="C879" s="46"/>
      <c r="D879" s="47"/>
      <c r="E879" s="47"/>
      <c r="F879" s="49"/>
      <c r="G879" s="50"/>
      <c r="H879" s="24"/>
      <c r="I879" s="24" t="str">
        <f aca="false">IF($H879="","",N($H879)*N($G879))</f>
        <v/>
      </c>
      <c r="J879" s="25" t="str">
        <f aca="false">IF($H879="","",N($H879)-N($I879))</f>
        <v/>
      </c>
      <c r="K879" s="25"/>
      <c r="L879" s="25" t="str">
        <f aca="false">IF($A879="","",SUMIF($A$4:$A879,$A879,$J$4:$J879)-SUMIF($A$4:$A879,$A879,$K$4:$K879))</f>
        <v/>
      </c>
      <c r="M879" s="26" t="str">
        <f aca="false">IF($H879="","",N($H879))</f>
        <v/>
      </c>
      <c r="N879" s="26"/>
      <c r="O879" s="26"/>
      <c r="P879" s="26" t="str">
        <f aca="false">IF($A879="","",SUMIF($A$4:$A879,$A879,$M$4:$M879)-SUMIF($A$4:$A879,$A879,$N$4:$N879)-SUMIF($A$4:$A879,$A879,$O$4:$O879))</f>
        <v/>
      </c>
      <c r="Q879" s="27"/>
      <c r="R879" s="28"/>
      <c r="S879" s="28"/>
      <c r="T879" s="28" t="str">
        <f aca="false">IF($A879="","",SUMIF($A$4:$A879,$A879,$Q$4:$Q879)-SUMIF($A$4:$A879,$A879,$R$4:$R879)-SUMIF($A$4:$A879,$A879,$S$4:$S879))</f>
        <v/>
      </c>
      <c r="U879" s="28"/>
      <c r="V879" s="29" t="str">
        <f aca="false">IF(AND($C879="",COUNTA($D879:$H879,$K879,$N879:$O879,$Q879:$S879,$U879)=0),"",IF($C879="","⚠ 没填项目名称",IF($A879="⚠目录里没有","⚠ 项目名称在目录里找不到（先加到目录）",IF($A879="","⚠ 目录里这个项目没填简称",IF(ISTEXT($G879)+ISTEXT($H879)+ISTEXT($K879)+ISTEXT($N879)+ISTEXT($O879)+ISTEXT($Q879)+ISTEXT($R879)+ISTEXT($S879)&gt;0,"⚠ 金额列里有文字，算不进合计",IF(N($G879)&gt;=1,"⚠ 管理费点要填百分比，如 10%",IF(AND($D879&lt;&gt;"",$B879=""),"△ 摘要开头没写日期（如 2026.9.21），月份取不到",IF(AND(N($H879)&lt;&gt;0,COUNTIFS($A$4:$A$1003,$A879,$H$4:$H$1003,$H879,$D$4:$D$1003,LEFT($D879,9)&amp;"*")&gt;1),"△ 同一天同项目有一样的销售金额，看看是不是录重了","✓"))))))))</f>
        <v/>
      </c>
      <c r="W879" s="8" t="str">
        <f aca="false">IF($A879="","",$A879&amp;"#"&amp;COUNTIF($A$4:$A879,$A879))</f>
        <v/>
      </c>
    </row>
    <row r="880" customFormat="false" ht="16.5" hidden="false" customHeight="false" outlineLevel="0" collapsed="false">
      <c r="A880" s="44" t="str">
        <f aca="false">IF($C880="","",IFERROR(VLOOKUP($C880,目录!$B:$C,2,0)&amp;"","⚠目录里没有"))</f>
        <v/>
      </c>
      <c r="B880" s="45" t="str">
        <f aca="false">IF($D880="","",IFERROR(MID($D880,FIND(".",$D880)+1,FIND(".",$D880,FIND(".",$D880)+1)-FIND(".",$D880)-1)&amp;"月",""))</f>
        <v/>
      </c>
      <c r="C880" s="46"/>
      <c r="D880" s="47"/>
      <c r="E880" s="47"/>
      <c r="F880" s="49"/>
      <c r="G880" s="50"/>
      <c r="H880" s="24"/>
      <c r="I880" s="24" t="str">
        <f aca="false">IF($H880="","",N($H880)*N($G880))</f>
        <v/>
      </c>
      <c r="J880" s="25" t="str">
        <f aca="false">IF($H880="","",N($H880)-N($I880))</f>
        <v/>
      </c>
      <c r="K880" s="25"/>
      <c r="L880" s="25" t="str">
        <f aca="false">IF($A880="","",SUMIF($A$4:$A880,$A880,$J$4:$J880)-SUMIF($A$4:$A880,$A880,$K$4:$K880))</f>
        <v/>
      </c>
      <c r="M880" s="26" t="str">
        <f aca="false">IF($H880="","",N($H880))</f>
        <v/>
      </c>
      <c r="N880" s="26"/>
      <c r="O880" s="26"/>
      <c r="P880" s="26" t="str">
        <f aca="false">IF($A880="","",SUMIF($A$4:$A880,$A880,$M$4:$M880)-SUMIF($A$4:$A880,$A880,$N$4:$N880)-SUMIF($A$4:$A880,$A880,$O$4:$O880))</f>
        <v/>
      </c>
      <c r="Q880" s="27"/>
      <c r="R880" s="28"/>
      <c r="S880" s="28"/>
      <c r="T880" s="28" t="str">
        <f aca="false">IF($A880="","",SUMIF($A$4:$A880,$A880,$Q$4:$Q880)-SUMIF($A$4:$A880,$A880,$R$4:$R880)-SUMIF($A$4:$A880,$A880,$S$4:$S880))</f>
        <v/>
      </c>
      <c r="U880" s="28"/>
      <c r="V880" s="29" t="str">
        <f aca="false">IF(AND($C880="",COUNTA($D880:$H880,$K880,$N880:$O880,$Q880:$S880,$U880)=0),"",IF($C880="","⚠ 没填项目名称",IF($A880="⚠目录里没有","⚠ 项目名称在目录里找不到（先加到目录）",IF($A880="","⚠ 目录里这个项目没填简称",IF(ISTEXT($G880)+ISTEXT($H880)+ISTEXT($K880)+ISTEXT($N880)+ISTEXT($O880)+ISTEXT($Q880)+ISTEXT($R880)+ISTEXT($S880)&gt;0,"⚠ 金额列里有文字，算不进合计",IF(N($G880)&gt;=1,"⚠ 管理费点要填百分比，如 10%",IF(AND($D880&lt;&gt;"",$B880=""),"△ 摘要开头没写日期（如 2026.9.21），月份取不到",IF(AND(N($H880)&lt;&gt;0,COUNTIFS($A$4:$A$1003,$A880,$H$4:$H$1003,$H880,$D$4:$D$1003,LEFT($D880,9)&amp;"*")&gt;1),"△ 同一天同项目有一样的销售金额，看看是不是录重了","✓"))))))))</f>
        <v/>
      </c>
      <c r="W880" s="8" t="str">
        <f aca="false">IF($A880="","",$A880&amp;"#"&amp;COUNTIF($A$4:$A880,$A880))</f>
        <v/>
      </c>
    </row>
    <row r="881" customFormat="false" ht="16.5" hidden="false" customHeight="false" outlineLevel="0" collapsed="false">
      <c r="A881" s="44" t="str">
        <f aca="false">IF($C881="","",IFERROR(VLOOKUP($C881,目录!$B:$C,2,0)&amp;"","⚠目录里没有"))</f>
        <v/>
      </c>
      <c r="B881" s="45" t="str">
        <f aca="false">IF($D881="","",IFERROR(MID($D881,FIND(".",$D881)+1,FIND(".",$D881,FIND(".",$D881)+1)-FIND(".",$D881)-1)&amp;"月",""))</f>
        <v/>
      </c>
      <c r="C881" s="46"/>
      <c r="D881" s="47"/>
      <c r="E881" s="47"/>
      <c r="F881" s="49"/>
      <c r="G881" s="50"/>
      <c r="H881" s="24"/>
      <c r="I881" s="24" t="str">
        <f aca="false">IF($H881="","",N($H881)*N($G881))</f>
        <v/>
      </c>
      <c r="J881" s="25" t="str">
        <f aca="false">IF($H881="","",N($H881)-N($I881))</f>
        <v/>
      </c>
      <c r="K881" s="25"/>
      <c r="L881" s="25" t="str">
        <f aca="false">IF($A881="","",SUMIF($A$4:$A881,$A881,$J$4:$J881)-SUMIF($A$4:$A881,$A881,$K$4:$K881))</f>
        <v/>
      </c>
      <c r="M881" s="26" t="str">
        <f aca="false">IF($H881="","",N($H881))</f>
        <v/>
      </c>
      <c r="N881" s="26"/>
      <c r="O881" s="26"/>
      <c r="P881" s="26" t="str">
        <f aca="false">IF($A881="","",SUMIF($A$4:$A881,$A881,$M$4:$M881)-SUMIF($A$4:$A881,$A881,$N$4:$N881)-SUMIF($A$4:$A881,$A881,$O$4:$O881))</f>
        <v/>
      </c>
      <c r="Q881" s="27"/>
      <c r="R881" s="28"/>
      <c r="S881" s="28"/>
      <c r="T881" s="28" t="str">
        <f aca="false">IF($A881="","",SUMIF($A$4:$A881,$A881,$Q$4:$Q881)-SUMIF($A$4:$A881,$A881,$R$4:$R881)-SUMIF($A$4:$A881,$A881,$S$4:$S881))</f>
        <v/>
      </c>
      <c r="U881" s="28"/>
      <c r="V881" s="29" t="str">
        <f aca="false">IF(AND($C881="",COUNTA($D881:$H881,$K881,$N881:$O881,$Q881:$S881,$U881)=0),"",IF($C881="","⚠ 没填项目名称",IF($A881="⚠目录里没有","⚠ 项目名称在目录里找不到（先加到目录）",IF($A881="","⚠ 目录里这个项目没填简称",IF(ISTEXT($G881)+ISTEXT($H881)+ISTEXT($K881)+ISTEXT($N881)+ISTEXT($O881)+ISTEXT($Q881)+ISTEXT($R881)+ISTEXT($S881)&gt;0,"⚠ 金额列里有文字，算不进合计",IF(N($G881)&gt;=1,"⚠ 管理费点要填百分比，如 10%",IF(AND($D881&lt;&gt;"",$B881=""),"△ 摘要开头没写日期（如 2026.9.21），月份取不到",IF(AND(N($H881)&lt;&gt;0,COUNTIFS($A$4:$A$1003,$A881,$H$4:$H$1003,$H881,$D$4:$D$1003,LEFT($D881,9)&amp;"*")&gt;1),"△ 同一天同项目有一样的销售金额，看看是不是录重了","✓"))))))))</f>
        <v/>
      </c>
      <c r="W881" s="8" t="str">
        <f aca="false">IF($A881="","",$A881&amp;"#"&amp;COUNTIF($A$4:$A881,$A881))</f>
        <v/>
      </c>
    </row>
    <row r="882" customFormat="false" ht="16.5" hidden="false" customHeight="false" outlineLevel="0" collapsed="false">
      <c r="A882" s="44" t="str">
        <f aca="false">IF($C882="","",IFERROR(VLOOKUP($C882,目录!$B:$C,2,0)&amp;"","⚠目录里没有"))</f>
        <v/>
      </c>
      <c r="B882" s="45" t="str">
        <f aca="false">IF($D882="","",IFERROR(MID($D882,FIND(".",$D882)+1,FIND(".",$D882,FIND(".",$D882)+1)-FIND(".",$D882)-1)&amp;"月",""))</f>
        <v/>
      </c>
      <c r="C882" s="46"/>
      <c r="D882" s="47"/>
      <c r="E882" s="47"/>
      <c r="F882" s="49"/>
      <c r="G882" s="50"/>
      <c r="H882" s="24"/>
      <c r="I882" s="24" t="str">
        <f aca="false">IF($H882="","",N($H882)*N($G882))</f>
        <v/>
      </c>
      <c r="J882" s="25" t="str">
        <f aca="false">IF($H882="","",N($H882)-N($I882))</f>
        <v/>
      </c>
      <c r="K882" s="25"/>
      <c r="L882" s="25" t="str">
        <f aca="false">IF($A882="","",SUMIF($A$4:$A882,$A882,$J$4:$J882)-SUMIF($A$4:$A882,$A882,$K$4:$K882))</f>
        <v/>
      </c>
      <c r="M882" s="26" t="str">
        <f aca="false">IF($H882="","",N($H882))</f>
        <v/>
      </c>
      <c r="N882" s="26"/>
      <c r="O882" s="26"/>
      <c r="P882" s="26" t="str">
        <f aca="false">IF($A882="","",SUMIF($A$4:$A882,$A882,$M$4:$M882)-SUMIF($A$4:$A882,$A882,$N$4:$N882)-SUMIF($A$4:$A882,$A882,$O$4:$O882))</f>
        <v/>
      </c>
      <c r="Q882" s="27"/>
      <c r="R882" s="28"/>
      <c r="S882" s="28"/>
      <c r="T882" s="28" t="str">
        <f aca="false">IF($A882="","",SUMIF($A$4:$A882,$A882,$Q$4:$Q882)-SUMIF($A$4:$A882,$A882,$R$4:$R882)-SUMIF($A$4:$A882,$A882,$S$4:$S882))</f>
        <v/>
      </c>
      <c r="U882" s="28"/>
      <c r="V882" s="29" t="str">
        <f aca="false">IF(AND($C882="",COUNTA($D882:$H882,$K882,$N882:$O882,$Q882:$S882,$U882)=0),"",IF($C882="","⚠ 没填项目名称",IF($A882="⚠目录里没有","⚠ 项目名称在目录里找不到（先加到目录）",IF($A882="","⚠ 目录里这个项目没填简称",IF(ISTEXT($G882)+ISTEXT($H882)+ISTEXT($K882)+ISTEXT($N882)+ISTEXT($O882)+ISTEXT($Q882)+ISTEXT($R882)+ISTEXT($S882)&gt;0,"⚠ 金额列里有文字，算不进合计",IF(N($G882)&gt;=1,"⚠ 管理费点要填百分比，如 10%",IF(AND($D882&lt;&gt;"",$B882=""),"△ 摘要开头没写日期（如 2026.9.21），月份取不到",IF(AND(N($H882)&lt;&gt;0,COUNTIFS($A$4:$A$1003,$A882,$H$4:$H$1003,$H882,$D$4:$D$1003,LEFT($D882,9)&amp;"*")&gt;1),"△ 同一天同项目有一样的销售金额，看看是不是录重了","✓"))))))))</f>
        <v/>
      </c>
      <c r="W882" s="8" t="str">
        <f aca="false">IF($A882="","",$A882&amp;"#"&amp;COUNTIF($A$4:$A882,$A882))</f>
        <v/>
      </c>
    </row>
    <row r="883" customFormat="false" ht="16.5" hidden="false" customHeight="false" outlineLevel="0" collapsed="false">
      <c r="A883" s="44" t="str">
        <f aca="false">IF($C883="","",IFERROR(VLOOKUP($C883,目录!$B:$C,2,0)&amp;"","⚠目录里没有"))</f>
        <v/>
      </c>
      <c r="B883" s="45" t="str">
        <f aca="false">IF($D883="","",IFERROR(MID($D883,FIND(".",$D883)+1,FIND(".",$D883,FIND(".",$D883)+1)-FIND(".",$D883)-1)&amp;"月",""))</f>
        <v/>
      </c>
      <c r="C883" s="46"/>
      <c r="D883" s="47"/>
      <c r="E883" s="47"/>
      <c r="F883" s="49"/>
      <c r="G883" s="50"/>
      <c r="H883" s="24"/>
      <c r="I883" s="24" t="str">
        <f aca="false">IF($H883="","",N($H883)*N($G883))</f>
        <v/>
      </c>
      <c r="J883" s="25" t="str">
        <f aca="false">IF($H883="","",N($H883)-N($I883))</f>
        <v/>
      </c>
      <c r="K883" s="25"/>
      <c r="L883" s="25" t="str">
        <f aca="false">IF($A883="","",SUMIF($A$4:$A883,$A883,$J$4:$J883)-SUMIF($A$4:$A883,$A883,$K$4:$K883))</f>
        <v/>
      </c>
      <c r="M883" s="26" t="str">
        <f aca="false">IF($H883="","",N($H883))</f>
        <v/>
      </c>
      <c r="N883" s="26"/>
      <c r="O883" s="26"/>
      <c r="P883" s="26" t="str">
        <f aca="false">IF($A883="","",SUMIF($A$4:$A883,$A883,$M$4:$M883)-SUMIF($A$4:$A883,$A883,$N$4:$N883)-SUMIF($A$4:$A883,$A883,$O$4:$O883))</f>
        <v/>
      </c>
      <c r="Q883" s="27"/>
      <c r="R883" s="28"/>
      <c r="S883" s="28"/>
      <c r="T883" s="28" t="str">
        <f aca="false">IF($A883="","",SUMIF($A$4:$A883,$A883,$Q$4:$Q883)-SUMIF($A$4:$A883,$A883,$R$4:$R883)-SUMIF($A$4:$A883,$A883,$S$4:$S883))</f>
        <v/>
      </c>
      <c r="U883" s="28"/>
      <c r="V883" s="29" t="str">
        <f aca="false">IF(AND($C883="",COUNTA($D883:$H883,$K883,$N883:$O883,$Q883:$S883,$U883)=0),"",IF($C883="","⚠ 没填项目名称",IF($A883="⚠目录里没有","⚠ 项目名称在目录里找不到（先加到目录）",IF($A883="","⚠ 目录里这个项目没填简称",IF(ISTEXT($G883)+ISTEXT($H883)+ISTEXT($K883)+ISTEXT($N883)+ISTEXT($O883)+ISTEXT($Q883)+ISTEXT($R883)+ISTEXT($S883)&gt;0,"⚠ 金额列里有文字，算不进合计",IF(N($G883)&gt;=1,"⚠ 管理费点要填百分比，如 10%",IF(AND($D883&lt;&gt;"",$B883=""),"△ 摘要开头没写日期（如 2026.9.21），月份取不到",IF(AND(N($H883)&lt;&gt;0,COUNTIFS($A$4:$A$1003,$A883,$H$4:$H$1003,$H883,$D$4:$D$1003,LEFT($D883,9)&amp;"*")&gt;1),"△ 同一天同项目有一样的销售金额，看看是不是录重了","✓"))))))))</f>
        <v/>
      </c>
      <c r="W883" s="8" t="str">
        <f aca="false">IF($A883="","",$A883&amp;"#"&amp;COUNTIF($A$4:$A883,$A883))</f>
        <v/>
      </c>
    </row>
    <row r="884" customFormat="false" ht="16.5" hidden="false" customHeight="false" outlineLevel="0" collapsed="false">
      <c r="A884" s="44" t="str">
        <f aca="false">IF($C884="","",IFERROR(VLOOKUP($C884,目录!$B:$C,2,0)&amp;"","⚠目录里没有"))</f>
        <v/>
      </c>
      <c r="B884" s="45" t="str">
        <f aca="false">IF($D884="","",IFERROR(MID($D884,FIND(".",$D884)+1,FIND(".",$D884,FIND(".",$D884)+1)-FIND(".",$D884)-1)&amp;"月",""))</f>
        <v/>
      </c>
      <c r="C884" s="46"/>
      <c r="D884" s="47"/>
      <c r="E884" s="47"/>
      <c r="F884" s="49"/>
      <c r="G884" s="50"/>
      <c r="H884" s="24"/>
      <c r="I884" s="24" t="str">
        <f aca="false">IF($H884="","",N($H884)*N($G884))</f>
        <v/>
      </c>
      <c r="J884" s="25" t="str">
        <f aca="false">IF($H884="","",N($H884)-N($I884))</f>
        <v/>
      </c>
      <c r="K884" s="25"/>
      <c r="L884" s="25" t="str">
        <f aca="false">IF($A884="","",SUMIF($A$4:$A884,$A884,$J$4:$J884)-SUMIF($A$4:$A884,$A884,$K$4:$K884))</f>
        <v/>
      </c>
      <c r="M884" s="26" t="str">
        <f aca="false">IF($H884="","",N($H884))</f>
        <v/>
      </c>
      <c r="N884" s="26"/>
      <c r="O884" s="26"/>
      <c r="P884" s="26" t="str">
        <f aca="false">IF($A884="","",SUMIF($A$4:$A884,$A884,$M$4:$M884)-SUMIF($A$4:$A884,$A884,$N$4:$N884)-SUMIF($A$4:$A884,$A884,$O$4:$O884))</f>
        <v/>
      </c>
      <c r="Q884" s="27"/>
      <c r="R884" s="28"/>
      <c r="S884" s="28"/>
      <c r="T884" s="28" t="str">
        <f aca="false">IF($A884="","",SUMIF($A$4:$A884,$A884,$Q$4:$Q884)-SUMIF($A$4:$A884,$A884,$R$4:$R884)-SUMIF($A$4:$A884,$A884,$S$4:$S884))</f>
        <v/>
      </c>
      <c r="U884" s="28"/>
      <c r="V884" s="29" t="str">
        <f aca="false">IF(AND($C884="",COUNTA($D884:$H884,$K884,$N884:$O884,$Q884:$S884,$U884)=0),"",IF($C884="","⚠ 没填项目名称",IF($A884="⚠目录里没有","⚠ 项目名称在目录里找不到（先加到目录）",IF($A884="","⚠ 目录里这个项目没填简称",IF(ISTEXT($G884)+ISTEXT($H884)+ISTEXT($K884)+ISTEXT($N884)+ISTEXT($O884)+ISTEXT($Q884)+ISTEXT($R884)+ISTEXT($S884)&gt;0,"⚠ 金额列里有文字，算不进合计",IF(N($G884)&gt;=1,"⚠ 管理费点要填百分比，如 10%",IF(AND($D884&lt;&gt;"",$B884=""),"△ 摘要开头没写日期（如 2026.9.21），月份取不到",IF(AND(N($H884)&lt;&gt;0,COUNTIFS($A$4:$A$1003,$A884,$H$4:$H$1003,$H884,$D$4:$D$1003,LEFT($D884,9)&amp;"*")&gt;1),"△ 同一天同项目有一样的销售金额，看看是不是录重了","✓"))))))))</f>
        <v/>
      </c>
      <c r="W884" s="8" t="str">
        <f aca="false">IF($A884="","",$A884&amp;"#"&amp;COUNTIF($A$4:$A884,$A884))</f>
        <v/>
      </c>
    </row>
    <row r="885" customFormat="false" ht="16.5" hidden="false" customHeight="false" outlineLevel="0" collapsed="false">
      <c r="A885" s="44" t="str">
        <f aca="false">IF($C885="","",IFERROR(VLOOKUP($C885,目录!$B:$C,2,0)&amp;"","⚠目录里没有"))</f>
        <v/>
      </c>
      <c r="B885" s="45" t="str">
        <f aca="false">IF($D885="","",IFERROR(MID($D885,FIND(".",$D885)+1,FIND(".",$D885,FIND(".",$D885)+1)-FIND(".",$D885)-1)&amp;"月",""))</f>
        <v/>
      </c>
      <c r="C885" s="46"/>
      <c r="D885" s="47"/>
      <c r="E885" s="47"/>
      <c r="F885" s="49"/>
      <c r="G885" s="50"/>
      <c r="H885" s="24"/>
      <c r="I885" s="24" t="str">
        <f aca="false">IF($H885="","",N($H885)*N($G885))</f>
        <v/>
      </c>
      <c r="J885" s="25" t="str">
        <f aca="false">IF($H885="","",N($H885)-N($I885))</f>
        <v/>
      </c>
      <c r="K885" s="25"/>
      <c r="L885" s="25" t="str">
        <f aca="false">IF($A885="","",SUMIF($A$4:$A885,$A885,$J$4:$J885)-SUMIF($A$4:$A885,$A885,$K$4:$K885))</f>
        <v/>
      </c>
      <c r="M885" s="26" t="str">
        <f aca="false">IF($H885="","",N($H885))</f>
        <v/>
      </c>
      <c r="N885" s="26"/>
      <c r="O885" s="26"/>
      <c r="P885" s="26" t="str">
        <f aca="false">IF($A885="","",SUMIF($A$4:$A885,$A885,$M$4:$M885)-SUMIF($A$4:$A885,$A885,$N$4:$N885)-SUMIF($A$4:$A885,$A885,$O$4:$O885))</f>
        <v/>
      </c>
      <c r="Q885" s="27"/>
      <c r="R885" s="28"/>
      <c r="S885" s="28"/>
      <c r="T885" s="28" t="str">
        <f aca="false">IF($A885="","",SUMIF($A$4:$A885,$A885,$Q$4:$Q885)-SUMIF($A$4:$A885,$A885,$R$4:$R885)-SUMIF($A$4:$A885,$A885,$S$4:$S885))</f>
        <v/>
      </c>
      <c r="U885" s="28"/>
      <c r="V885" s="29" t="str">
        <f aca="false">IF(AND($C885="",COUNTA($D885:$H885,$K885,$N885:$O885,$Q885:$S885,$U885)=0),"",IF($C885="","⚠ 没填项目名称",IF($A885="⚠目录里没有","⚠ 项目名称在目录里找不到（先加到目录）",IF($A885="","⚠ 目录里这个项目没填简称",IF(ISTEXT($G885)+ISTEXT($H885)+ISTEXT($K885)+ISTEXT($N885)+ISTEXT($O885)+ISTEXT($Q885)+ISTEXT($R885)+ISTEXT($S885)&gt;0,"⚠ 金额列里有文字，算不进合计",IF(N($G885)&gt;=1,"⚠ 管理费点要填百分比，如 10%",IF(AND($D885&lt;&gt;"",$B885=""),"△ 摘要开头没写日期（如 2026.9.21），月份取不到",IF(AND(N($H885)&lt;&gt;0,COUNTIFS($A$4:$A$1003,$A885,$H$4:$H$1003,$H885,$D$4:$D$1003,LEFT($D885,9)&amp;"*")&gt;1),"△ 同一天同项目有一样的销售金额，看看是不是录重了","✓"))))))))</f>
        <v/>
      </c>
      <c r="W885" s="8" t="str">
        <f aca="false">IF($A885="","",$A885&amp;"#"&amp;COUNTIF($A$4:$A885,$A885))</f>
        <v/>
      </c>
    </row>
    <row r="886" customFormat="false" ht="16.5" hidden="false" customHeight="false" outlineLevel="0" collapsed="false">
      <c r="A886" s="44" t="str">
        <f aca="false">IF($C886="","",IFERROR(VLOOKUP($C886,目录!$B:$C,2,0)&amp;"","⚠目录里没有"))</f>
        <v/>
      </c>
      <c r="B886" s="45" t="str">
        <f aca="false">IF($D886="","",IFERROR(MID($D886,FIND(".",$D886)+1,FIND(".",$D886,FIND(".",$D886)+1)-FIND(".",$D886)-1)&amp;"月",""))</f>
        <v/>
      </c>
      <c r="C886" s="46"/>
      <c r="D886" s="47"/>
      <c r="E886" s="47"/>
      <c r="F886" s="49"/>
      <c r="G886" s="50"/>
      <c r="H886" s="24"/>
      <c r="I886" s="24" t="str">
        <f aca="false">IF($H886="","",N($H886)*N($G886))</f>
        <v/>
      </c>
      <c r="J886" s="25" t="str">
        <f aca="false">IF($H886="","",N($H886)-N($I886))</f>
        <v/>
      </c>
      <c r="K886" s="25"/>
      <c r="L886" s="25" t="str">
        <f aca="false">IF($A886="","",SUMIF($A$4:$A886,$A886,$J$4:$J886)-SUMIF($A$4:$A886,$A886,$K$4:$K886))</f>
        <v/>
      </c>
      <c r="M886" s="26" t="str">
        <f aca="false">IF($H886="","",N($H886))</f>
        <v/>
      </c>
      <c r="N886" s="26"/>
      <c r="O886" s="26"/>
      <c r="P886" s="26" t="str">
        <f aca="false">IF($A886="","",SUMIF($A$4:$A886,$A886,$M$4:$M886)-SUMIF($A$4:$A886,$A886,$N$4:$N886)-SUMIF($A$4:$A886,$A886,$O$4:$O886))</f>
        <v/>
      </c>
      <c r="Q886" s="27"/>
      <c r="R886" s="28"/>
      <c r="S886" s="28"/>
      <c r="T886" s="28" t="str">
        <f aca="false">IF($A886="","",SUMIF($A$4:$A886,$A886,$Q$4:$Q886)-SUMIF($A$4:$A886,$A886,$R$4:$R886)-SUMIF($A$4:$A886,$A886,$S$4:$S886))</f>
        <v/>
      </c>
      <c r="U886" s="28"/>
      <c r="V886" s="29" t="str">
        <f aca="false">IF(AND($C886="",COUNTA($D886:$H886,$K886,$N886:$O886,$Q886:$S886,$U886)=0),"",IF($C886="","⚠ 没填项目名称",IF($A886="⚠目录里没有","⚠ 项目名称在目录里找不到（先加到目录）",IF($A886="","⚠ 目录里这个项目没填简称",IF(ISTEXT($G886)+ISTEXT($H886)+ISTEXT($K886)+ISTEXT($N886)+ISTEXT($O886)+ISTEXT($Q886)+ISTEXT($R886)+ISTEXT($S886)&gt;0,"⚠ 金额列里有文字，算不进合计",IF(N($G886)&gt;=1,"⚠ 管理费点要填百分比，如 10%",IF(AND($D886&lt;&gt;"",$B886=""),"△ 摘要开头没写日期（如 2026.9.21），月份取不到",IF(AND(N($H886)&lt;&gt;0,COUNTIFS($A$4:$A$1003,$A886,$H$4:$H$1003,$H886,$D$4:$D$1003,LEFT($D886,9)&amp;"*")&gt;1),"△ 同一天同项目有一样的销售金额，看看是不是录重了","✓"))))))))</f>
        <v/>
      </c>
      <c r="W886" s="8" t="str">
        <f aca="false">IF($A886="","",$A886&amp;"#"&amp;COUNTIF($A$4:$A886,$A886))</f>
        <v/>
      </c>
    </row>
    <row r="887" customFormat="false" ht="16.5" hidden="false" customHeight="false" outlineLevel="0" collapsed="false">
      <c r="A887" s="44" t="str">
        <f aca="false">IF($C887="","",IFERROR(VLOOKUP($C887,目录!$B:$C,2,0)&amp;"","⚠目录里没有"))</f>
        <v/>
      </c>
      <c r="B887" s="45" t="str">
        <f aca="false">IF($D887="","",IFERROR(MID($D887,FIND(".",$D887)+1,FIND(".",$D887,FIND(".",$D887)+1)-FIND(".",$D887)-1)&amp;"月",""))</f>
        <v/>
      </c>
      <c r="C887" s="46"/>
      <c r="D887" s="47"/>
      <c r="E887" s="47"/>
      <c r="F887" s="49"/>
      <c r="G887" s="50"/>
      <c r="H887" s="24"/>
      <c r="I887" s="24" t="str">
        <f aca="false">IF($H887="","",N($H887)*N($G887))</f>
        <v/>
      </c>
      <c r="J887" s="25" t="str">
        <f aca="false">IF($H887="","",N($H887)-N($I887))</f>
        <v/>
      </c>
      <c r="K887" s="25"/>
      <c r="L887" s="25" t="str">
        <f aca="false">IF($A887="","",SUMIF($A$4:$A887,$A887,$J$4:$J887)-SUMIF($A$4:$A887,$A887,$K$4:$K887))</f>
        <v/>
      </c>
      <c r="M887" s="26" t="str">
        <f aca="false">IF($H887="","",N($H887))</f>
        <v/>
      </c>
      <c r="N887" s="26"/>
      <c r="O887" s="26"/>
      <c r="P887" s="26" t="str">
        <f aca="false">IF($A887="","",SUMIF($A$4:$A887,$A887,$M$4:$M887)-SUMIF($A$4:$A887,$A887,$N$4:$N887)-SUMIF($A$4:$A887,$A887,$O$4:$O887))</f>
        <v/>
      </c>
      <c r="Q887" s="27"/>
      <c r="R887" s="28"/>
      <c r="S887" s="28"/>
      <c r="T887" s="28" t="str">
        <f aca="false">IF($A887="","",SUMIF($A$4:$A887,$A887,$Q$4:$Q887)-SUMIF($A$4:$A887,$A887,$R$4:$R887)-SUMIF($A$4:$A887,$A887,$S$4:$S887))</f>
        <v/>
      </c>
      <c r="U887" s="28"/>
      <c r="V887" s="29" t="str">
        <f aca="false">IF(AND($C887="",COUNTA($D887:$H887,$K887,$N887:$O887,$Q887:$S887,$U887)=0),"",IF($C887="","⚠ 没填项目名称",IF($A887="⚠目录里没有","⚠ 项目名称在目录里找不到（先加到目录）",IF($A887="","⚠ 目录里这个项目没填简称",IF(ISTEXT($G887)+ISTEXT($H887)+ISTEXT($K887)+ISTEXT($N887)+ISTEXT($O887)+ISTEXT($Q887)+ISTEXT($R887)+ISTEXT($S887)&gt;0,"⚠ 金额列里有文字，算不进合计",IF(N($G887)&gt;=1,"⚠ 管理费点要填百分比，如 10%",IF(AND($D887&lt;&gt;"",$B887=""),"△ 摘要开头没写日期（如 2026.9.21），月份取不到",IF(AND(N($H887)&lt;&gt;0,COUNTIFS($A$4:$A$1003,$A887,$H$4:$H$1003,$H887,$D$4:$D$1003,LEFT($D887,9)&amp;"*")&gt;1),"△ 同一天同项目有一样的销售金额，看看是不是录重了","✓"))))))))</f>
        <v/>
      </c>
      <c r="W887" s="8" t="str">
        <f aca="false">IF($A887="","",$A887&amp;"#"&amp;COUNTIF($A$4:$A887,$A887))</f>
        <v/>
      </c>
    </row>
    <row r="888" customFormat="false" ht="16.5" hidden="false" customHeight="false" outlineLevel="0" collapsed="false">
      <c r="A888" s="44" t="str">
        <f aca="false">IF($C888="","",IFERROR(VLOOKUP($C888,目录!$B:$C,2,0)&amp;"","⚠目录里没有"))</f>
        <v/>
      </c>
      <c r="B888" s="45" t="str">
        <f aca="false">IF($D888="","",IFERROR(MID($D888,FIND(".",$D888)+1,FIND(".",$D888,FIND(".",$D888)+1)-FIND(".",$D888)-1)&amp;"月",""))</f>
        <v/>
      </c>
      <c r="C888" s="46"/>
      <c r="D888" s="47"/>
      <c r="E888" s="47"/>
      <c r="F888" s="49"/>
      <c r="G888" s="50"/>
      <c r="H888" s="24"/>
      <c r="I888" s="24" t="str">
        <f aca="false">IF($H888="","",N($H888)*N($G888))</f>
        <v/>
      </c>
      <c r="J888" s="25" t="str">
        <f aca="false">IF($H888="","",N($H888)-N($I888))</f>
        <v/>
      </c>
      <c r="K888" s="25"/>
      <c r="L888" s="25" t="str">
        <f aca="false">IF($A888="","",SUMIF($A$4:$A888,$A888,$J$4:$J888)-SUMIF($A$4:$A888,$A888,$K$4:$K888))</f>
        <v/>
      </c>
      <c r="M888" s="26" t="str">
        <f aca="false">IF($H888="","",N($H888))</f>
        <v/>
      </c>
      <c r="N888" s="26"/>
      <c r="O888" s="26"/>
      <c r="P888" s="26" t="str">
        <f aca="false">IF($A888="","",SUMIF($A$4:$A888,$A888,$M$4:$M888)-SUMIF($A$4:$A888,$A888,$N$4:$N888)-SUMIF($A$4:$A888,$A888,$O$4:$O888))</f>
        <v/>
      </c>
      <c r="Q888" s="27"/>
      <c r="R888" s="28"/>
      <c r="S888" s="28"/>
      <c r="T888" s="28" t="str">
        <f aca="false">IF($A888="","",SUMIF($A$4:$A888,$A888,$Q$4:$Q888)-SUMIF($A$4:$A888,$A888,$R$4:$R888)-SUMIF($A$4:$A888,$A888,$S$4:$S888))</f>
        <v/>
      </c>
      <c r="U888" s="28"/>
      <c r="V888" s="29" t="str">
        <f aca="false">IF(AND($C888="",COUNTA($D888:$H888,$K888,$N888:$O888,$Q888:$S888,$U888)=0),"",IF($C888="","⚠ 没填项目名称",IF($A888="⚠目录里没有","⚠ 项目名称在目录里找不到（先加到目录）",IF($A888="","⚠ 目录里这个项目没填简称",IF(ISTEXT($G888)+ISTEXT($H888)+ISTEXT($K888)+ISTEXT($N888)+ISTEXT($O888)+ISTEXT($Q888)+ISTEXT($R888)+ISTEXT($S888)&gt;0,"⚠ 金额列里有文字，算不进合计",IF(N($G888)&gt;=1,"⚠ 管理费点要填百分比，如 10%",IF(AND($D888&lt;&gt;"",$B888=""),"△ 摘要开头没写日期（如 2026.9.21），月份取不到",IF(AND(N($H888)&lt;&gt;0,COUNTIFS($A$4:$A$1003,$A888,$H$4:$H$1003,$H888,$D$4:$D$1003,LEFT($D888,9)&amp;"*")&gt;1),"△ 同一天同项目有一样的销售金额，看看是不是录重了","✓"))))))))</f>
        <v/>
      </c>
      <c r="W888" s="8" t="str">
        <f aca="false">IF($A888="","",$A888&amp;"#"&amp;COUNTIF($A$4:$A888,$A888))</f>
        <v/>
      </c>
    </row>
    <row r="889" customFormat="false" ht="16.5" hidden="false" customHeight="false" outlineLevel="0" collapsed="false">
      <c r="A889" s="44" t="str">
        <f aca="false">IF($C889="","",IFERROR(VLOOKUP($C889,目录!$B:$C,2,0)&amp;"","⚠目录里没有"))</f>
        <v/>
      </c>
      <c r="B889" s="45" t="str">
        <f aca="false">IF($D889="","",IFERROR(MID($D889,FIND(".",$D889)+1,FIND(".",$D889,FIND(".",$D889)+1)-FIND(".",$D889)-1)&amp;"月",""))</f>
        <v/>
      </c>
      <c r="C889" s="46"/>
      <c r="D889" s="47"/>
      <c r="E889" s="47"/>
      <c r="F889" s="49"/>
      <c r="G889" s="50"/>
      <c r="H889" s="24"/>
      <c r="I889" s="24" t="str">
        <f aca="false">IF($H889="","",N($H889)*N($G889))</f>
        <v/>
      </c>
      <c r="J889" s="25" t="str">
        <f aca="false">IF($H889="","",N($H889)-N($I889))</f>
        <v/>
      </c>
      <c r="K889" s="25"/>
      <c r="L889" s="25" t="str">
        <f aca="false">IF($A889="","",SUMIF($A$4:$A889,$A889,$J$4:$J889)-SUMIF($A$4:$A889,$A889,$K$4:$K889))</f>
        <v/>
      </c>
      <c r="M889" s="26" t="str">
        <f aca="false">IF($H889="","",N($H889))</f>
        <v/>
      </c>
      <c r="N889" s="26"/>
      <c r="O889" s="26"/>
      <c r="P889" s="26" t="str">
        <f aca="false">IF($A889="","",SUMIF($A$4:$A889,$A889,$M$4:$M889)-SUMIF($A$4:$A889,$A889,$N$4:$N889)-SUMIF($A$4:$A889,$A889,$O$4:$O889))</f>
        <v/>
      </c>
      <c r="Q889" s="27"/>
      <c r="R889" s="28"/>
      <c r="S889" s="28"/>
      <c r="T889" s="28" t="str">
        <f aca="false">IF($A889="","",SUMIF($A$4:$A889,$A889,$Q$4:$Q889)-SUMIF($A$4:$A889,$A889,$R$4:$R889)-SUMIF($A$4:$A889,$A889,$S$4:$S889))</f>
        <v/>
      </c>
      <c r="U889" s="28"/>
      <c r="V889" s="29" t="str">
        <f aca="false">IF(AND($C889="",COUNTA($D889:$H889,$K889,$N889:$O889,$Q889:$S889,$U889)=0),"",IF($C889="","⚠ 没填项目名称",IF($A889="⚠目录里没有","⚠ 项目名称在目录里找不到（先加到目录）",IF($A889="","⚠ 目录里这个项目没填简称",IF(ISTEXT($G889)+ISTEXT($H889)+ISTEXT($K889)+ISTEXT($N889)+ISTEXT($O889)+ISTEXT($Q889)+ISTEXT($R889)+ISTEXT($S889)&gt;0,"⚠ 金额列里有文字，算不进合计",IF(N($G889)&gt;=1,"⚠ 管理费点要填百分比，如 10%",IF(AND($D889&lt;&gt;"",$B889=""),"△ 摘要开头没写日期（如 2026.9.21），月份取不到",IF(AND(N($H889)&lt;&gt;0,COUNTIFS($A$4:$A$1003,$A889,$H$4:$H$1003,$H889,$D$4:$D$1003,LEFT($D889,9)&amp;"*")&gt;1),"△ 同一天同项目有一样的销售金额，看看是不是录重了","✓"))))))))</f>
        <v/>
      </c>
      <c r="W889" s="8" t="str">
        <f aca="false">IF($A889="","",$A889&amp;"#"&amp;COUNTIF($A$4:$A889,$A889))</f>
        <v/>
      </c>
    </row>
    <row r="890" customFormat="false" ht="16.5" hidden="false" customHeight="false" outlineLevel="0" collapsed="false">
      <c r="A890" s="44" t="str">
        <f aca="false">IF($C890="","",IFERROR(VLOOKUP($C890,目录!$B:$C,2,0)&amp;"","⚠目录里没有"))</f>
        <v/>
      </c>
      <c r="B890" s="45" t="str">
        <f aca="false">IF($D890="","",IFERROR(MID($D890,FIND(".",$D890)+1,FIND(".",$D890,FIND(".",$D890)+1)-FIND(".",$D890)-1)&amp;"月",""))</f>
        <v/>
      </c>
      <c r="C890" s="46"/>
      <c r="D890" s="47"/>
      <c r="E890" s="47"/>
      <c r="F890" s="49"/>
      <c r="G890" s="50"/>
      <c r="H890" s="24"/>
      <c r="I890" s="24" t="str">
        <f aca="false">IF($H890="","",N($H890)*N($G890))</f>
        <v/>
      </c>
      <c r="J890" s="25" t="str">
        <f aca="false">IF($H890="","",N($H890)-N($I890))</f>
        <v/>
      </c>
      <c r="K890" s="25"/>
      <c r="L890" s="25" t="str">
        <f aca="false">IF($A890="","",SUMIF($A$4:$A890,$A890,$J$4:$J890)-SUMIF($A$4:$A890,$A890,$K$4:$K890))</f>
        <v/>
      </c>
      <c r="M890" s="26" t="str">
        <f aca="false">IF($H890="","",N($H890))</f>
        <v/>
      </c>
      <c r="N890" s="26"/>
      <c r="O890" s="26"/>
      <c r="P890" s="26" t="str">
        <f aca="false">IF($A890="","",SUMIF($A$4:$A890,$A890,$M$4:$M890)-SUMIF($A$4:$A890,$A890,$N$4:$N890)-SUMIF($A$4:$A890,$A890,$O$4:$O890))</f>
        <v/>
      </c>
      <c r="Q890" s="27"/>
      <c r="R890" s="28"/>
      <c r="S890" s="28"/>
      <c r="T890" s="28" t="str">
        <f aca="false">IF($A890="","",SUMIF($A$4:$A890,$A890,$Q$4:$Q890)-SUMIF($A$4:$A890,$A890,$R$4:$R890)-SUMIF($A$4:$A890,$A890,$S$4:$S890))</f>
        <v/>
      </c>
      <c r="U890" s="28"/>
      <c r="V890" s="29" t="str">
        <f aca="false">IF(AND($C890="",COUNTA($D890:$H890,$K890,$N890:$O890,$Q890:$S890,$U890)=0),"",IF($C890="","⚠ 没填项目名称",IF($A890="⚠目录里没有","⚠ 项目名称在目录里找不到（先加到目录）",IF($A890="","⚠ 目录里这个项目没填简称",IF(ISTEXT($G890)+ISTEXT($H890)+ISTEXT($K890)+ISTEXT($N890)+ISTEXT($O890)+ISTEXT($Q890)+ISTEXT($R890)+ISTEXT($S890)&gt;0,"⚠ 金额列里有文字，算不进合计",IF(N($G890)&gt;=1,"⚠ 管理费点要填百分比，如 10%",IF(AND($D890&lt;&gt;"",$B890=""),"△ 摘要开头没写日期（如 2026.9.21），月份取不到",IF(AND(N($H890)&lt;&gt;0,COUNTIFS($A$4:$A$1003,$A890,$H$4:$H$1003,$H890,$D$4:$D$1003,LEFT($D890,9)&amp;"*")&gt;1),"△ 同一天同项目有一样的销售金额，看看是不是录重了","✓"))))))))</f>
        <v/>
      </c>
      <c r="W890" s="8" t="str">
        <f aca="false">IF($A890="","",$A890&amp;"#"&amp;COUNTIF($A$4:$A890,$A890))</f>
        <v/>
      </c>
    </row>
    <row r="891" customFormat="false" ht="16.5" hidden="false" customHeight="false" outlineLevel="0" collapsed="false">
      <c r="A891" s="44" t="str">
        <f aca="false">IF($C891="","",IFERROR(VLOOKUP($C891,目录!$B:$C,2,0)&amp;"","⚠目录里没有"))</f>
        <v/>
      </c>
      <c r="B891" s="45" t="str">
        <f aca="false">IF($D891="","",IFERROR(MID($D891,FIND(".",$D891)+1,FIND(".",$D891,FIND(".",$D891)+1)-FIND(".",$D891)-1)&amp;"月",""))</f>
        <v/>
      </c>
      <c r="C891" s="46"/>
      <c r="D891" s="47"/>
      <c r="E891" s="47"/>
      <c r="F891" s="49"/>
      <c r="G891" s="50"/>
      <c r="H891" s="24"/>
      <c r="I891" s="24" t="str">
        <f aca="false">IF($H891="","",N($H891)*N($G891))</f>
        <v/>
      </c>
      <c r="J891" s="25" t="str">
        <f aca="false">IF($H891="","",N($H891)-N($I891))</f>
        <v/>
      </c>
      <c r="K891" s="25"/>
      <c r="L891" s="25" t="str">
        <f aca="false">IF($A891="","",SUMIF($A$4:$A891,$A891,$J$4:$J891)-SUMIF($A$4:$A891,$A891,$K$4:$K891))</f>
        <v/>
      </c>
      <c r="M891" s="26" t="str">
        <f aca="false">IF($H891="","",N($H891))</f>
        <v/>
      </c>
      <c r="N891" s="26"/>
      <c r="O891" s="26"/>
      <c r="P891" s="26" t="str">
        <f aca="false">IF($A891="","",SUMIF($A$4:$A891,$A891,$M$4:$M891)-SUMIF($A$4:$A891,$A891,$N$4:$N891)-SUMIF($A$4:$A891,$A891,$O$4:$O891))</f>
        <v/>
      </c>
      <c r="Q891" s="27"/>
      <c r="R891" s="28"/>
      <c r="S891" s="28"/>
      <c r="T891" s="28" t="str">
        <f aca="false">IF($A891="","",SUMIF($A$4:$A891,$A891,$Q$4:$Q891)-SUMIF($A$4:$A891,$A891,$R$4:$R891)-SUMIF($A$4:$A891,$A891,$S$4:$S891))</f>
        <v/>
      </c>
      <c r="U891" s="28"/>
      <c r="V891" s="29" t="str">
        <f aca="false">IF(AND($C891="",COUNTA($D891:$H891,$K891,$N891:$O891,$Q891:$S891,$U891)=0),"",IF($C891="","⚠ 没填项目名称",IF($A891="⚠目录里没有","⚠ 项目名称在目录里找不到（先加到目录）",IF($A891="","⚠ 目录里这个项目没填简称",IF(ISTEXT($G891)+ISTEXT($H891)+ISTEXT($K891)+ISTEXT($N891)+ISTEXT($O891)+ISTEXT($Q891)+ISTEXT($R891)+ISTEXT($S891)&gt;0,"⚠ 金额列里有文字，算不进合计",IF(N($G891)&gt;=1,"⚠ 管理费点要填百分比，如 10%",IF(AND($D891&lt;&gt;"",$B891=""),"△ 摘要开头没写日期（如 2026.9.21），月份取不到",IF(AND(N($H891)&lt;&gt;0,COUNTIFS($A$4:$A$1003,$A891,$H$4:$H$1003,$H891,$D$4:$D$1003,LEFT($D891,9)&amp;"*")&gt;1),"△ 同一天同项目有一样的销售金额，看看是不是录重了","✓"))))))))</f>
        <v/>
      </c>
      <c r="W891" s="8" t="str">
        <f aca="false">IF($A891="","",$A891&amp;"#"&amp;COUNTIF($A$4:$A891,$A891))</f>
        <v/>
      </c>
    </row>
    <row r="892" customFormat="false" ht="16.5" hidden="false" customHeight="false" outlineLevel="0" collapsed="false">
      <c r="A892" s="44" t="str">
        <f aca="false">IF($C892="","",IFERROR(VLOOKUP($C892,目录!$B:$C,2,0)&amp;"","⚠目录里没有"))</f>
        <v/>
      </c>
      <c r="B892" s="45" t="str">
        <f aca="false">IF($D892="","",IFERROR(MID($D892,FIND(".",$D892)+1,FIND(".",$D892,FIND(".",$D892)+1)-FIND(".",$D892)-1)&amp;"月",""))</f>
        <v/>
      </c>
      <c r="C892" s="46"/>
      <c r="D892" s="47"/>
      <c r="E892" s="47"/>
      <c r="F892" s="49"/>
      <c r="G892" s="50"/>
      <c r="H892" s="24"/>
      <c r="I892" s="24" t="str">
        <f aca="false">IF($H892="","",N($H892)*N($G892))</f>
        <v/>
      </c>
      <c r="J892" s="25" t="str">
        <f aca="false">IF($H892="","",N($H892)-N($I892))</f>
        <v/>
      </c>
      <c r="K892" s="25"/>
      <c r="L892" s="25" t="str">
        <f aca="false">IF($A892="","",SUMIF($A$4:$A892,$A892,$J$4:$J892)-SUMIF($A$4:$A892,$A892,$K$4:$K892))</f>
        <v/>
      </c>
      <c r="M892" s="26" t="str">
        <f aca="false">IF($H892="","",N($H892))</f>
        <v/>
      </c>
      <c r="N892" s="26"/>
      <c r="O892" s="26"/>
      <c r="P892" s="26" t="str">
        <f aca="false">IF($A892="","",SUMIF($A$4:$A892,$A892,$M$4:$M892)-SUMIF($A$4:$A892,$A892,$N$4:$N892)-SUMIF($A$4:$A892,$A892,$O$4:$O892))</f>
        <v/>
      </c>
      <c r="Q892" s="27"/>
      <c r="R892" s="28"/>
      <c r="S892" s="28"/>
      <c r="T892" s="28" t="str">
        <f aca="false">IF($A892="","",SUMIF($A$4:$A892,$A892,$Q$4:$Q892)-SUMIF($A$4:$A892,$A892,$R$4:$R892)-SUMIF($A$4:$A892,$A892,$S$4:$S892))</f>
        <v/>
      </c>
      <c r="U892" s="28"/>
      <c r="V892" s="29" t="str">
        <f aca="false">IF(AND($C892="",COUNTA($D892:$H892,$K892,$N892:$O892,$Q892:$S892,$U892)=0),"",IF($C892="","⚠ 没填项目名称",IF($A892="⚠目录里没有","⚠ 项目名称在目录里找不到（先加到目录）",IF($A892="","⚠ 目录里这个项目没填简称",IF(ISTEXT($G892)+ISTEXT($H892)+ISTEXT($K892)+ISTEXT($N892)+ISTEXT($O892)+ISTEXT($Q892)+ISTEXT($R892)+ISTEXT($S892)&gt;0,"⚠ 金额列里有文字，算不进合计",IF(N($G892)&gt;=1,"⚠ 管理费点要填百分比，如 10%",IF(AND($D892&lt;&gt;"",$B892=""),"△ 摘要开头没写日期（如 2026.9.21），月份取不到",IF(AND(N($H892)&lt;&gt;0,COUNTIFS($A$4:$A$1003,$A892,$H$4:$H$1003,$H892,$D$4:$D$1003,LEFT($D892,9)&amp;"*")&gt;1),"△ 同一天同项目有一样的销售金额，看看是不是录重了","✓"))))))))</f>
        <v/>
      </c>
      <c r="W892" s="8" t="str">
        <f aca="false">IF($A892="","",$A892&amp;"#"&amp;COUNTIF($A$4:$A892,$A892))</f>
        <v/>
      </c>
    </row>
    <row r="893" customFormat="false" ht="16.5" hidden="false" customHeight="false" outlineLevel="0" collapsed="false">
      <c r="A893" s="44" t="str">
        <f aca="false">IF($C893="","",IFERROR(VLOOKUP($C893,目录!$B:$C,2,0)&amp;"","⚠目录里没有"))</f>
        <v/>
      </c>
      <c r="B893" s="45" t="str">
        <f aca="false">IF($D893="","",IFERROR(MID($D893,FIND(".",$D893)+1,FIND(".",$D893,FIND(".",$D893)+1)-FIND(".",$D893)-1)&amp;"月",""))</f>
        <v/>
      </c>
      <c r="C893" s="46"/>
      <c r="D893" s="47"/>
      <c r="E893" s="47"/>
      <c r="F893" s="49"/>
      <c r="G893" s="50"/>
      <c r="H893" s="24"/>
      <c r="I893" s="24" t="str">
        <f aca="false">IF($H893="","",N($H893)*N($G893))</f>
        <v/>
      </c>
      <c r="J893" s="25" t="str">
        <f aca="false">IF($H893="","",N($H893)-N($I893))</f>
        <v/>
      </c>
      <c r="K893" s="25"/>
      <c r="L893" s="25" t="str">
        <f aca="false">IF($A893="","",SUMIF($A$4:$A893,$A893,$J$4:$J893)-SUMIF($A$4:$A893,$A893,$K$4:$K893))</f>
        <v/>
      </c>
      <c r="M893" s="26" t="str">
        <f aca="false">IF($H893="","",N($H893))</f>
        <v/>
      </c>
      <c r="N893" s="26"/>
      <c r="O893" s="26"/>
      <c r="P893" s="26" t="str">
        <f aca="false">IF($A893="","",SUMIF($A$4:$A893,$A893,$M$4:$M893)-SUMIF($A$4:$A893,$A893,$N$4:$N893)-SUMIF($A$4:$A893,$A893,$O$4:$O893))</f>
        <v/>
      </c>
      <c r="Q893" s="27"/>
      <c r="R893" s="28"/>
      <c r="S893" s="28"/>
      <c r="T893" s="28" t="str">
        <f aca="false">IF($A893="","",SUMIF($A$4:$A893,$A893,$Q$4:$Q893)-SUMIF($A$4:$A893,$A893,$R$4:$R893)-SUMIF($A$4:$A893,$A893,$S$4:$S893))</f>
        <v/>
      </c>
      <c r="U893" s="28"/>
      <c r="V893" s="29" t="str">
        <f aca="false">IF(AND($C893="",COUNTA($D893:$H893,$K893,$N893:$O893,$Q893:$S893,$U893)=0),"",IF($C893="","⚠ 没填项目名称",IF($A893="⚠目录里没有","⚠ 项目名称在目录里找不到（先加到目录）",IF($A893="","⚠ 目录里这个项目没填简称",IF(ISTEXT($G893)+ISTEXT($H893)+ISTEXT($K893)+ISTEXT($N893)+ISTEXT($O893)+ISTEXT($Q893)+ISTEXT($R893)+ISTEXT($S893)&gt;0,"⚠ 金额列里有文字，算不进合计",IF(N($G893)&gt;=1,"⚠ 管理费点要填百分比，如 10%",IF(AND($D893&lt;&gt;"",$B893=""),"△ 摘要开头没写日期（如 2026.9.21），月份取不到",IF(AND(N($H893)&lt;&gt;0,COUNTIFS($A$4:$A$1003,$A893,$H$4:$H$1003,$H893,$D$4:$D$1003,LEFT($D893,9)&amp;"*")&gt;1),"△ 同一天同项目有一样的销售金额，看看是不是录重了","✓"))))))))</f>
        <v/>
      </c>
      <c r="W893" s="8" t="str">
        <f aca="false">IF($A893="","",$A893&amp;"#"&amp;COUNTIF($A$4:$A893,$A893))</f>
        <v/>
      </c>
    </row>
    <row r="894" customFormat="false" ht="16.5" hidden="false" customHeight="false" outlineLevel="0" collapsed="false">
      <c r="A894" s="44" t="str">
        <f aca="false">IF($C894="","",IFERROR(VLOOKUP($C894,目录!$B:$C,2,0)&amp;"","⚠目录里没有"))</f>
        <v/>
      </c>
      <c r="B894" s="45" t="str">
        <f aca="false">IF($D894="","",IFERROR(MID($D894,FIND(".",$D894)+1,FIND(".",$D894,FIND(".",$D894)+1)-FIND(".",$D894)-1)&amp;"月",""))</f>
        <v/>
      </c>
      <c r="C894" s="46"/>
      <c r="D894" s="47"/>
      <c r="E894" s="47"/>
      <c r="F894" s="49"/>
      <c r="G894" s="50"/>
      <c r="H894" s="24"/>
      <c r="I894" s="24" t="str">
        <f aca="false">IF($H894="","",N($H894)*N($G894))</f>
        <v/>
      </c>
      <c r="J894" s="25" t="str">
        <f aca="false">IF($H894="","",N($H894)-N($I894))</f>
        <v/>
      </c>
      <c r="K894" s="25"/>
      <c r="L894" s="25" t="str">
        <f aca="false">IF($A894="","",SUMIF($A$4:$A894,$A894,$J$4:$J894)-SUMIF($A$4:$A894,$A894,$K$4:$K894))</f>
        <v/>
      </c>
      <c r="M894" s="26" t="str">
        <f aca="false">IF($H894="","",N($H894))</f>
        <v/>
      </c>
      <c r="N894" s="26"/>
      <c r="O894" s="26"/>
      <c r="P894" s="26" t="str">
        <f aca="false">IF($A894="","",SUMIF($A$4:$A894,$A894,$M$4:$M894)-SUMIF($A$4:$A894,$A894,$N$4:$N894)-SUMIF($A$4:$A894,$A894,$O$4:$O894))</f>
        <v/>
      </c>
      <c r="Q894" s="27"/>
      <c r="R894" s="28"/>
      <c r="S894" s="28"/>
      <c r="T894" s="28" t="str">
        <f aca="false">IF($A894="","",SUMIF($A$4:$A894,$A894,$Q$4:$Q894)-SUMIF($A$4:$A894,$A894,$R$4:$R894)-SUMIF($A$4:$A894,$A894,$S$4:$S894))</f>
        <v/>
      </c>
      <c r="U894" s="28"/>
      <c r="V894" s="29" t="str">
        <f aca="false">IF(AND($C894="",COUNTA($D894:$H894,$K894,$N894:$O894,$Q894:$S894,$U894)=0),"",IF($C894="","⚠ 没填项目名称",IF($A894="⚠目录里没有","⚠ 项目名称在目录里找不到（先加到目录）",IF($A894="","⚠ 目录里这个项目没填简称",IF(ISTEXT($G894)+ISTEXT($H894)+ISTEXT($K894)+ISTEXT($N894)+ISTEXT($O894)+ISTEXT($Q894)+ISTEXT($R894)+ISTEXT($S894)&gt;0,"⚠ 金额列里有文字，算不进合计",IF(N($G894)&gt;=1,"⚠ 管理费点要填百分比，如 10%",IF(AND($D894&lt;&gt;"",$B894=""),"△ 摘要开头没写日期（如 2026.9.21），月份取不到",IF(AND(N($H894)&lt;&gt;0,COUNTIFS($A$4:$A$1003,$A894,$H$4:$H$1003,$H894,$D$4:$D$1003,LEFT($D894,9)&amp;"*")&gt;1),"△ 同一天同项目有一样的销售金额，看看是不是录重了","✓"))))))))</f>
        <v/>
      </c>
      <c r="W894" s="8" t="str">
        <f aca="false">IF($A894="","",$A894&amp;"#"&amp;COUNTIF($A$4:$A894,$A894))</f>
        <v/>
      </c>
    </row>
    <row r="895" customFormat="false" ht="16.5" hidden="false" customHeight="false" outlineLevel="0" collapsed="false">
      <c r="A895" s="44" t="str">
        <f aca="false">IF($C895="","",IFERROR(VLOOKUP($C895,目录!$B:$C,2,0)&amp;"","⚠目录里没有"))</f>
        <v/>
      </c>
      <c r="B895" s="45" t="str">
        <f aca="false">IF($D895="","",IFERROR(MID($D895,FIND(".",$D895)+1,FIND(".",$D895,FIND(".",$D895)+1)-FIND(".",$D895)-1)&amp;"月",""))</f>
        <v/>
      </c>
      <c r="C895" s="46"/>
      <c r="D895" s="47"/>
      <c r="E895" s="47"/>
      <c r="F895" s="49"/>
      <c r="G895" s="50"/>
      <c r="H895" s="24"/>
      <c r="I895" s="24" t="str">
        <f aca="false">IF($H895="","",N($H895)*N($G895))</f>
        <v/>
      </c>
      <c r="J895" s="25" t="str">
        <f aca="false">IF($H895="","",N($H895)-N($I895))</f>
        <v/>
      </c>
      <c r="K895" s="25"/>
      <c r="L895" s="25" t="str">
        <f aca="false">IF($A895="","",SUMIF($A$4:$A895,$A895,$J$4:$J895)-SUMIF($A$4:$A895,$A895,$K$4:$K895))</f>
        <v/>
      </c>
      <c r="M895" s="26" t="str">
        <f aca="false">IF($H895="","",N($H895))</f>
        <v/>
      </c>
      <c r="N895" s="26"/>
      <c r="O895" s="26"/>
      <c r="P895" s="26" t="str">
        <f aca="false">IF($A895="","",SUMIF($A$4:$A895,$A895,$M$4:$M895)-SUMIF($A$4:$A895,$A895,$N$4:$N895)-SUMIF($A$4:$A895,$A895,$O$4:$O895))</f>
        <v/>
      </c>
      <c r="Q895" s="27"/>
      <c r="R895" s="28"/>
      <c r="S895" s="28"/>
      <c r="T895" s="28" t="str">
        <f aca="false">IF($A895="","",SUMIF($A$4:$A895,$A895,$Q$4:$Q895)-SUMIF($A$4:$A895,$A895,$R$4:$R895)-SUMIF($A$4:$A895,$A895,$S$4:$S895))</f>
        <v/>
      </c>
      <c r="U895" s="28"/>
      <c r="V895" s="29" t="str">
        <f aca="false">IF(AND($C895="",COUNTA($D895:$H895,$K895,$N895:$O895,$Q895:$S895,$U895)=0),"",IF($C895="","⚠ 没填项目名称",IF($A895="⚠目录里没有","⚠ 项目名称在目录里找不到（先加到目录）",IF($A895="","⚠ 目录里这个项目没填简称",IF(ISTEXT($G895)+ISTEXT($H895)+ISTEXT($K895)+ISTEXT($N895)+ISTEXT($O895)+ISTEXT($Q895)+ISTEXT($R895)+ISTEXT($S895)&gt;0,"⚠ 金额列里有文字，算不进合计",IF(N($G895)&gt;=1,"⚠ 管理费点要填百分比，如 10%",IF(AND($D895&lt;&gt;"",$B895=""),"△ 摘要开头没写日期（如 2026.9.21），月份取不到",IF(AND(N($H895)&lt;&gt;0,COUNTIFS($A$4:$A$1003,$A895,$H$4:$H$1003,$H895,$D$4:$D$1003,LEFT($D895,9)&amp;"*")&gt;1),"△ 同一天同项目有一样的销售金额，看看是不是录重了","✓"))))))))</f>
        <v/>
      </c>
      <c r="W895" s="8" t="str">
        <f aca="false">IF($A895="","",$A895&amp;"#"&amp;COUNTIF($A$4:$A895,$A895))</f>
        <v/>
      </c>
    </row>
    <row r="896" customFormat="false" ht="16.5" hidden="false" customHeight="false" outlineLevel="0" collapsed="false">
      <c r="A896" s="44" t="str">
        <f aca="false">IF($C896="","",IFERROR(VLOOKUP($C896,目录!$B:$C,2,0)&amp;"","⚠目录里没有"))</f>
        <v/>
      </c>
      <c r="B896" s="45" t="str">
        <f aca="false">IF($D896="","",IFERROR(MID($D896,FIND(".",$D896)+1,FIND(".",$D896,FIND(".",$D896)+1)-FIND(".",$D896)-1)&amp;"月",""))</f>
        <v/>
      </c>
      <c r="C896" s="46"/>
      <c r="D896" s="47"/>
      <c r="E896" s="47"/>
      <c r="F896" s="49"/>
      <c r="G896" s="50"/>
      <c r="H896" s="24"/>
      <c r="I896" s="24" t="str">
        <f aca="false">IF($H896="","",N($H896)*N($G896))</f>
        <v/>
      </c>
      <c r="J896" s="25" t="str">
        <f aca="false">IF($H896="","",N($H896)-N($I896))</f>
        <v/>
      </c>
      <c r="K896" s="25"/>
      <c r="L896" s="25" t="str">
        <f aca="false">IF($A896="","",SUMIF($A$4:$A896,$A896,$J$4:$J896)-SUMIF($A$4:$A896,$A896,$K$4:$K896))</f>
        <v/>
      </c>
      <c r="M896" s="26" t="str">
        <f aca="false">IF($H896="","",N($H896))</f>
        <v/>
      </c>
      <c r="N896" s="26"/>
      <c r="O896" s="26"/>
      <c r="P896" s="26" t="str">
        <f aca="false">IF($A896="","",SUMIF($A$4:$A896,$A896,$M$4:$M896)-SUMIF($A$4:$A896,$A896,$N$4:$N896)-SUMIF($A$4:$A896,$A896,$O$4:$O896))</f>
        <v/>
      </c>
      <c r="Q896" s="27"/>
      <c r="R896" s="28"/>
      <c r="S896" s="28"/>
      <c r="T896" s="28" t="str">
        <f aca="false">IF($A896="","",SUMIF($A$4:$A896,$A896,$Q$4:$Q896)-SUMIF($A$4:$A896,$A896,$R$4:$R896)-SUMIF($A$4:$A896,$A896,$S$4:$S896))</f>
        <v/>
      </c>
      <c r="U896" s="28"/>
      <c r="V896" s="29" t="str">
        <f aca="false">IF(AND($C896="",COUNTA($D896:$H896,$K896,$N896:$O896,$Q896:$S896,$U896)=0),"",IF($C896="","⚠ 没填项目名称",IF($A896="⚠目录里没有","⚠ 项目名称在目录里找不到（先加到目录）",IF($A896="","⚠ 目录里这个项目没填简称",IF(ISTEXT($G896)+ISTEXT($H896)+ISTEXT($K896)+ISTEXT($N896)+ISTEXT($O896)+ISTEXT($Q896)+ISTEXT($R896)+ISTEXT($S896)&gt;0,"⚠ 金额列里有文字，算不进合计",IF(N($G896)&gt;=1,"⚠ 管理费点要填百分比，如 10%",IF(AND($D896&lt;&gt;"",$B896=""),"△ 摘要开头没写日期（如 2026.9.21），月份取不到",IF(AND(N($H896)&lt;&gt;0,COUNTIFS($A$4:$A$1003,$A896,$H$4:$H$1003,$H896,$D$4:$D$1003,LEFT($D896,9)&amp;"*")&gt;1),"△ 同一天同项目有一样的销售金额，看看是不是录重了","✓"))))))))</f>
        <v/>
      </c>
      <c r="W896" s="8" t="str">
        <f aca="false">IF($A896="","",$A896&amp;"#"&amp;COUNTIF($A$4:$A896,$A896))</f>
        <v/>
      </c>
    </row>
    <row r="897" customFormat="false" ht="16.5" hidden="false" customHeight="false" outlineLevel="0" collapsed="false">
      <c r="A897" s="44" t="str">
        <f aca="false">IF($C897="","",IFERROR(VLOOKUP($C897,目录!$B:$C,2,0)&amp;"","⚠目录里没有"))</f>
        <v/>
      </c>
      <c r="B897" s="45" t="str">
        <f aca="false">IF($D897="","",IFERROR(MID($D897,FIND(".",$D897)+1,FIND(".",$D897,FIND(".",$D897)+1)-FIND(".",$D897)-1)&amp;"月",""))</f>
        <v/>
      </c>
      <c r="C897" s="46"/>
      <c r="D897" s="47"/>
      <c r="E897" s="47"/>
      <c r="F897" s="49"/>
      <c r="G897" s="50"/>
      <c r="H897" s="24"/>
      <c r="I897" s="24" t="str">
        <f aca="false">IF($H897="","",N($H897)*N($G897))</f>
        <v/>
      </c>
      <c r="J897" s="25" t="str">
        <f aca="false">IF($H897="","",N($H897)-N($I897))</f>
        <v/>
      </c>
      <c r="K897" s="25"/>
      <c r="L897" s="25" t="str">
        <f aca="false">IF($A897="","",SUMIF($A$4:$A897,$A897,$J$4:$J897)-SUMIF($A$4:$A897,$A897,$K$4:$K897))</f>
        <v/>
      </c>
      <c r="M897" s="26" t="str">
        <f aca="false">IF($H897="","",N($H897))</f>
        <v/>
      </c>
      <c r="N897" s="26"/>
      <c r="O897" s="26"/>
      <c r="P897" s="26" t="str">
        <f aca="false">IF($A897="","",SUMIF($A$4:$A897,$A897,$M$4:$M897)-SUMIF($A$4:$A897,$A897,$N$4:$N897)-SUMIF($A$4:$A897,$A897,$O$4:$O897))</f>
        <v/>
      </c>
      <c r="Q897" s="27"/>
      <c r="R897" s="28"/>
      <c r="S897" s="28"/>
      <c r="T897" s="28" t="str">
        <f aca="false">IF($A897="","",SUMIF($A$4:$A897,$A897,$Q$4:$Q897)-SUMIF($A$4:$A897,$A897,$R$4:$R897)-SUMIF($A$4:$A897,$A897,$S$4:$S897))</f>
        <v/>
      </c>
      <c r="U897" s="28"/>
      <c r="V897" s="29" t="str">
        <f aca="false">IF(AND($C897="",COUNTA($D897:$H897,$K897,$N897:$O897,$Q897:$S897,$U897)=0),"",IF($C897="","⚠ 没填项目名称",IF($A897="⚠目录里没有","⚠ 项目名称在目录里找不到（先加到目录）",IF($A897="","⚠ 目录里这个项目没填简称",IF(ISTEXT($G897)+ISTEXT($H897)+ISTEXT($K897)+ISTEXT($N897)+ISTEXT($O897)+ISTEXT($Q897)+ISTEXT($R897)+ISTEXT($S897)&gt;0,"⚠ 金额列里有文字，算不进合计",IF(N($G897)&gt;=1,"⚠ 管理费点要填百分比，如 10%",IF(AND($D897&lt;&gt;"",$B897=""),"△ 摘要开头没写日期（如 2026.9.21），月份取不到",IF(AND(N($H897)&lt;&gt;0,COUNTIFS($A$4:$A$1003,$A897,$H$4:$H$1003,$H897,$D$4:$D$1003,LEFT($D897,9)&amp;"*")&gt;1),"△ 同一天同项目有一样的销售金额，看看是不是录重了","✓"))))))))</f>
        <v/>
      </c>
      <c r="W897" s="8" t="str">
        <f aca="false">IF($A897="","",$A897&amp;"#"&amp;COUNTIF($A$4:$A897,$A897))</f>
        <v/>
      </c>
    </row>
    <row r="898" customFormat="false" ht="16.5" hidden="false" customHeight="false" outlineLevel="0" collapsed="false">
      <c r="A898" s="44" t="str">
        <f aca="false">IF($C898="","",IFERROR(VLOOKUP($C898,目录!$B:$C,2,0)&amp;"","⚠目录里没有"))</f>
        <v/>
      </c>
      <c r="B898" s="45" t="str">
        <f aca="false">IF($D898="","",IFERROR(MID($D898,FIND(".",$D898)+1,FIND(".",$D898,FIND(".",$D898)+1)-FIND(".",$D898)-1)&amp;"月",""))</f>
        <v/>
      </c>
      <c r="C898" s="46"/>
      <c r="D898" s="47"/>
      <c r="E898" s="47"/>
      <c r="F898" s="49"/>
      <c r="G898" s="50"/>
      <c r="H898" s="24"/>
      <c r="I898" s="24" t="str">
        <f aca="false">IF($H898="","",N($H898)*N($G898))</f>
        <v/>
      </c>
      <c r="J898" s="25" t="str">
        <f aca="false">IF($H898="","",N($H898)-N($I898))</f>
        <v/>
      </c>
      <c r="K898" s="25"/>
      <c r="L898" s="25" t="str">
        <f aca="false">IF($A898="","",SUMIF($A$4:$A898,$A898,$J$4:$J898)-SUMIF($A$4:$A898,$A898,$K$4:$K898))</f>
        <v/>
      </c>
      <c r="M898" s="26" t="str">
        <f aca="false">IF($H898="","",N($H898))</f>
        <v/>
      </c>
      <c r="N898" s="26"/>
      <c r="O898" s="26"/>
      <c r="P898" s="26" t="str">
        <f aca="false">IF($A898="","",SUMIF($A$4:$A898,$A898,$M$4:$M898)-SUMIF($A$4:$A898,$A898,$N$4:$N898)-SUMIF($A$4:$A898,$A898,$O$4:$O898))</f>
        <v/>
      </c>
      <c r="Q898" s="27"/>
      <c r="R898" s="28"/>
      <c r="S898" s="28"/>
      <c r="T898" s="28" t="str">
        <f aca="false">IF($A898="","",SUMIF($A$4:$A898,$A898,$Q$4:$Q898)-SUMIF($A$4:$A898,$A898,$R$4:$R898)-SUMIF($A$4:$A898,$A898,$S$4:$S898))</f>
        <v/>
      </c>
      <c r="U898" s="28"/>
      <c r="V898" s="29" t="str">
        <f aca="false">IF(AND($C898="",COUNTA($D898:$H898,$K898,$N898:$O898,$Q898:$S898,$U898)=0),"",IF($C898="","⚠ 没填项目名称",IF($A898="⚠目录里没有","⚠ 项目名称在目录里找不到（先加到目录）",IF($A898="","⚠ 目录里这个项目没填简称",IF(ISTEXT($G898)+ISTEXT($H898)+ISTEXT($K898)+ISTEXT($N898)+ISTEXT($O898)+ISTEXT($Q898)+ISTEXT($R898)+ISTEXT($S898)&gt;0,"⚠ 金额列里有文字，算不进合计",IF(N($G898)&gt;=1,"⚠ 管理费点要填百分比，如 10%",IF(AND($D898&lt;&gt;"",$B898=""),"△ 摘要开头没写日期（如 2026.9.21），月份取不到",IF(AND(N($H898)&lt;&gt;0,COUNTIFS($A$4:$A$1003,$A898,$H$4:$H$1003,$H898,$D$4:$D$1003,LEFT($D898,9)&amp;"*")&gt;1),"△ 同一天同项目有一样的销售金额，看看是不是录重了","✓"))))))))</f>
        <v/>
      </c>
      <c r="W898" s="8" t="str">
        <f aca="false">IF($A898="","",$A898&amp;"#"&amp;COUNTIF($A$4:$A898,$A898))</f>
        <v/>
      </c>
    </row>
    <row r="899" customFormat="false" ht="16.5" hidden="false" customHeight="false" outlineLevel="0" collapsed="false">
      <c r="A899" s="44" t="str">
        <f aca="false">IF($C899="","",IFERROR(VLOOKUP($C899,目录!$B:$C,2,0)&amp;"","⚠目录里没有"))</f>
        <v/>
      </c>
      <c r="B899" s="45" t="str">
        <f aca="false">IF($D899="","",IFERROR(MID($D899,FIND(".",$D899)+1,FIND(".",$D899,FIND(".",$D899)+1)-FIND(".",$D899)-1)&amp;"月",""))</f>
        <v/>
      </c>
      <c r="C899" s="46"/>
      <c r="D899" s="47"/>
      <c r="E899" s="47"/>
      <c r="F899" s="49"/>
      <c r="G899" s="50"/>
      <c r="H899" s="24"/>
      <c r="I899" s="24" t="str">
        <f aca="false">IF($H899="","",N($H899)*N($G899))</f>
        <v/>
      </c>
      <c r="J899" s="25" t="str">
        <f aca="false">IF($H899="","",N($H899)-N($I899))</f>
        <v/>
      </c>
      <c r="K899" s="25"/>
      <c r="L899" s="25" t="str">
        <f aca="false">IF($A899="","",SUMIF($A$4:$A899,$A899,$J$4:$J899)-SUMIF($A$4:$A899,$A899,$K$4:$K899))</f>
        <v/>
      </c>
      <c r="M899" s="26" t="str">
        <f aca="false">IF($H899="","",N($H899))</f>
        <v/>
      </c>
      <c r="N899" s="26"/>
      <c r="O899" s="26"/>
      <c r="P899" s="26" t="str">
        <f aca="false">IF($A899="","",SUMIF($A$4:$A899,$A899,$M$4:$M899)-SUMIF($A$4:$A899,$A899,$N$4:$N899)-SUMIF($A$4:$A899,$A899,$O$4:$O899))</f>
        <v/>
      </c>
      <c r="Q899" s="27"/>
      <c r="R899" s="28"/>
      <c r="S899" s="28"/>
      <c r="T899" s="28" t="str">
        <f aca="false">IF($A899="","",SUMIF($A$4:$A899,$A899,$Q$4:$Q899)-SUMIF($A$4:$A899,$A899,$R$4:$R899)-SUMIF($A$4:$A899,$A899,$S$4:$S899))</f>
        <v/>
      </c>
      <c r="U899" s="28"/>
      <c r="V899" s="29" t="str">
        <f aca="false">IF(AND($C899="",COUNTA($D899:$H899,$K899,$N899:$O899,$Q899:$S899,$U899)=0),"",IF($C899="","⚠ 没填项目名称",IF($A899="⚠目录里没有","⚠ 项目名称在目录里找不到（先加到目录）",IF($A899="","⚠ 目录里这个项目没填简称",IF(ISTEXT($G899)+ISTEXT($H899)+ISTEXT($K899)+ISTEXT($N899)+ISTEXT($O899)+ISTEXT($Q899)+ISTEXT($R899)+ISTEXT($S899)&gt;0,"⚠ 金额列里有文字，算不进合计",IF(N($G899)&gt;=1,"⚠ 管理费点要填百分比，如 10%",IF(AND($D899&lt;&gt;"",$B899=""),"△ 摘要开头没写日期（如 2026.9.21），月份取不到",IF(AND(N($H899)&lt;&gt;0,COUNTIFS($A$4:$A$1003,$A899,$H$4:$H$1003,$H899,$D$4:$D$1003,LEFT($D899,9)&amp;"*")&gt;1),"△ 同一天同项目有一样的销售金额，看看是不是录重了","✓"))))))))</f>
        <v/>
      </c>
      <c r="W899" s="8" t="str">
        <f aca="false">IF($A899="","",$A899&amp;"#"&amp;COUNTIF($A$4:$A899,$A899))</f>
        <v/>
      </c>
    </row>
    <row r="900" customFormat="false" ht="16.5" hidden="false" customHeight="false" outlineLevel="0" collapsed="false">
      <c r="A900" s="44" t="str">
        <f aca="false">IF($C900="","",IFERROR(VLOOKUP($C900,目录!$B:$C,2,0)&amp;"","⚠目录里没有"))</f>
        <v/>
      </c>
      <c r="B900" s="45" t="str">
        <f aca="false">IF($D900="","",IFERROR(MID($D900,FIND(".",$D900)+1,FIND(".",$D900,FIND(".",$D900)+1)-FIND(".",$D900)-1)&amp;"月",""))</f>
        <v/>
      </c>
      <c r="C900" s="46"/>
      <c r="D900" s="47"/>
      <c r="E900" s="47"/>
      <c r="F900" s="49"/>
      <c r="G900" s="50"/>
      <c r="H900" s="24"/>
      <c r="I900" s="24" t="str">
        <f aca="false">IF($H900="","",N($H900)*N($G900))</f>
        <v/>
      </c>
      <c r="J900" s="25" t="str">
        <f aca="false">IF($H900="","",N($H900)-N($I900))</f>
        <v/>
      </c>
      <c r="K900" s="25"/>
      <c r="L900" s="25" t="str">
        <f aca="false">IF($A900="","",SUMIF($A$4:$A900,$A900,$J$4:$J900)-SUMIF($A$4:$A900,$A900,$K$4:$K900))</f>
        <v/>
      </c>
      <c r="M900" s="26" t="str">
        <f aca="false">IF($H900="","",N($H900))</f>
        <v/>
      </c>
      <c r="N900" s="26"/>
      <c r="O900" s="26"/>
      <c r="P900" s="26" t="str">
        <f aca="false">IF($A900="","",SUMIF($A$4:$A900,$A900,$M$4:$M900)-SUMIF($A$4:$A900,$A900,$N$4:$N900)-SUMIF($A$4:$A900,$A900,$O$4:$O900))</f>
        <v/>
      </c>
      <c r="Q900" s="27"/>
      <c r="R900" s="28"/>
      <c r="S900" s="28"/>
      <c r="T900" s="28" t="str">
        <f aca="false">IF($A900="","",SUMIF($A$4:$A900,$A900,$Q$4:$Q900)-SUMIF($A$4:$A900,$A900,$R$4:$R900)-SUMIF($A$4:$A900,$A900,$S$4:$S900))</f>
        <v/>
      </c>
      <c r="U900" s="28"/>
      <c r="V900" s="29" t="str">
        <f aca="false">IF(AND($C900="",COUNTA($D900:$H900,$K900,$N900:$O900,$Q900:$S900,$U900)=0),"",IF($C900="","⚠ 没填项目名称",IF($A900="⚠目录里没有","⚠ 项目名称在目录里找不到（先加到目录）",IF($A900="","⚠ 目录里这个项目没填简称",IF(ISTEXT($G900)+ISTEXT($H900)+ISTEXT($K900)+ISTEXT($N900)+ISTEXT($O900)+ISTEXT($Q900)+ISTEXT($R900)+ISTEXT($S900)&gt;0,"⚠ 金额列里有文字，算不进合计",IF(N($G900)&gt;=1,"⚠ 管理费点要填百分比，如 10%",IF(AND($D900&lt;&gt;"",$B900=""),"△ 摘要开头没写日期（如 2026.9.21），月份取不到",IF(AND(N($H900)&lt;&gt;0,COUNTIFS($A$4:$A$1003,$A900,$H$4:$H$1003,$H900,$D$4:$D$1003,LEFT($D900,9)&amp;"*")&gt;1),"△ 同一天同项目有一样的销售金额，看看是不是录重了","✓"))))))))</f>
        <v/>
      </c>
      <c r="W900" s="8" t="str">
        <f aca="false">IF($A900="","",$A900&amp;"#"&amp;COUNTIF($A$4:$A900,$A900))</f>
        <v/>
      </c>
    </row>
    <row r="901" customFormat="false" ht="16.5" hidden="false" customHeight="false" outlineLevel="0" collapsed="false">
      <c r="A901" s="44" t="str">
        <f aca="false">IF($C901="","",IFERROR(VLOOKUP($C901,目录!$B:$C,2,0)&amp;"","⚠目录里没有"))</f>
        <v/>
      </c>
      <c r="B901" s="45" t="str">
        <f aca="false">IF($D901="","",IFERROR(MID($D901,FIND(".",$D901)+1,FIND(".",$D901,FIND(".",$D901)+1)-FIND(".",$D901)-1)&amp;"月",""))</f>
        <v/>
      </c>
      <c r="C901" s="46"/>
      <c r="D901" s="47"/>
      <c r="E901" s="47"/>
      <c r="F901" s="49"/>
      <c r="G901" s="50"/>
      <c r="H901" s="24"/>
      <c r="I901" s="24" t="str">
        <f aca="false">IF($H901="","",N($H901)*N($G901))</f>
        <v/>
      </c>
      <c r="J901" s="25" t="str">
        <f aca="false">IF($H901="","",N($H901)-N($I901))</f>
        <v/>
      </c>
      <c r="K901" s="25"/>
      <c r="L901" s="25" t="str">
        <f aca="false">IF($A901="","",SUMIF($A$4:$A901,$A901,$J$4:$J901)-SUMIF($A$4:$A901,$A901,$K$4:$K901))</f>
        <v/>
      </c>
      <c r="M901" s="26" t="str">
        <f aca="false">IF($H901="","",N($H901))</f>
        <v/>
      </c>
      <c r="N901" s="26"/>
      <c r="O901" s="26"/>
      <c r="P901" s="26" t="str">
        <f aca="false">IF($A901="","",SUMIF($A$4:$A901,$A901,$M$4:$M901)-SUMIF($A$4:$A901,$A901,$N$4:$N901)-SUMIF($A$4:$A901,$A901,$O$4:$O901))</f>
        <v/>
      </c>
      <c r="Q901" s="27"/>
      <c r="R901" s="28"/>
      <c r="S901" s="28"/>
      <c r="T901" s="28" t="str">
        <f aca="false">IF($A901="","",SUMIF($A$4:$A901,$A901,$Q$4:$Q901)-SUMIF($A$4:$A901,$A901,$R$4:$R901)-SUMIF($A$4:$A901,$A901,$S$4:$S901))</f>
        <v/>
      </c>
      <c r="U901" s="28"/>
      <c r="V901" s="29" t="str">
        <f aca="false">IF(AND($C901="",COUNTA($D901:$H901,$K901,$N901:$O901,$Q901:$S901,$U901)=0),"",IF($C901="","⚠ 没填项目名称",IF($A901="⚠目录里没有","⚠ 项目名称在目录里找不到（先加到目录）",IF($A901="","⚠ 目录里这个项目没填简称",IF(ISTEXT($G901)+ISTEXT($H901)+ISTEXT($K901)+ISTEXT($N901)+ISTEXT($O901)+ISTEXT($Q901)+ISTEXT($R901)+ISTEXT($S901)&gt;0,"⚠ 金额列里有文字，算不进合计",IF(N($G901)&gt;=1,"⚠ 管理费点要填百分比，如 10%",IF(AND($D901&lt;&gt;"",$B901=""),"△ 摘要开头没写日期（如 2026.9.21），月份取不到",IF(AND(N($H901)&lt;&gt;0,COUNTIFS($A$4:$A$1003,$A901,$H$4:$H$1003,$H901,$D$4:$D$1003,LEFT($D901,9)&amp;"*")&gt;1),"△ 同一天同项目有一样的销售金额，看看是不是录重了","✓"))))))))</f>
        <v/>
      </c>
      <c r="W901" s="8" t="str">
        <f aca="false">IF($A901="","",$A901&amp;"#"&amp;COUNTIF($A$4:$A901,$A901))</f>
        <v/>
      </c>
    </row>
    <row r="902" customFormat="false" ht="16.5" hidden="false" customHeight="false" outlineLevel="0" collapsed="false">
      <c r="A902" s="44" t="str">
        <f aca="false">IF($C902="","",IFERROR(VLOOKUP($C902,目录!$B:$C,2,0)&amp;"","⚠目录里没有"))</f>
        <v/>
      </c>
      <c r="B902" s="45" t="str">
        <f aca="false">IF($D902="","",IFERROR(MID($D902,FIND(".",$D902)+1,FIND(".",$D902,FIND(".",$D902)+1)-FIND(".",$D902)-1)&amp;"月",""))</f>
        <v/>
      </c>
      <c r="C902" s="46"/>
      <c r="D902" s="47"/>
      <c r="E902" s="47"/>
      <c r="F902" s="49"/>
      <c r="G902" s="50"/>
      <c r="H902" s="24"/>
      <c r="I902" s="24" t="str">
        <f aca="false">IF($H902="","",N($H902)*N($G902))</f>
        <v/>
      </c>
      <c r="J902" s="25" t="str">
        <f aca="false">IF($H902="","",N($H902)-N($I902))</f>
        <v/>
      </c>
      <c r="K902" s="25"/>
      <c r="L902" s="25" t="str">
        <f aca="false">IF($A902="","",SUMIF($A$4:$A902,$A902,$J$4:$J902)-SUMIF($A$4:$A902,$A902,$K$4:$K902))</f>
        <v/>
      </c>
      <c r="M902" s="26" t="str">
        <f aca="false">IF($H902="","",N($H902))</f>
        <v/>
      </c>
      <c r="N902" s="26"/>
      <c r="O902" s="26"/>
      <c r="P902" s="26" t="str">
        <f aca="false">IF($A902="","",SUMIF($A$4:$A902,$A902,$M$4:$M902)-SUMIF($A$4:$A902,$A902,$N$4:$N902)-SUMIF($A$4:$A902,$A902,$O$4:$O902))</f>
        <v/>
      </c>
      <c r="Q902" s="27"/>
      <c r="R902" s="28"/>
      <c r="S902" s="28"/>
      <c r="T902" s="28" t="str">
        <f aca="false">IF($A902="","",SUMIF($A$4:$A902,$A902,$Q$4:$Q902)-SUMIF($A$4:$A902,$A902,$R$4:$R902)-SUMIF($A$4:$A902,$A902,$S$4:$S902))</f>
        <v/>
      </c>
      <c r="U902" s="28"/>
      <c r="V902" s="29" t="str">
        <f aca="false">IF(AND($C902="",COUNTA($D902:$H902,$K902,$N902:$O902,$Q902:$S902,$U902)=0),"",IF($C902="","⚠ 没填项目名称",IF($A902="⚠目录里没有","⚠ 项目名称在目录里找不到（先加到目录）",IF($A902="","⚠ 目录里这个项目没填简称",IF(ISTEXT($G902)+ISTEXT($H902)+ISTEXT($K902)+ISTEXT($N902)+ISTEXT($O902)+ISTEXT($Q902)+ISTEXT($R902)+ISTEXT($S902)&gt;0,"⚠ 金额列里有文字，算不进合计",IF(N($G902)&gt;=1,"⚠ 管理费点要填百分比，如 10%",IF(AND($D902&lt;&gt;"",$B902=""),"△ 摘要开头没写日期（如 2026.9.21），月份取不到",IF(AND(N($H902)&lt;&gt;0,COUNTIFS($A$4:$A$1003,$A902,$H$4:$H$1003,$H902,$D$4:$D$1003,LEFT($D902,9)&amp;"*")&gt;1),"△ 同一天同项目有一样的销售金额，看看是不是录重了","✓"))))))))</f>
        <v/>
      </c>
      <c r="W902" s="8" t="str">
        <f aca="false">IF($A902="","",$A902&amp;"#"&amp;COUNTIF($A$4:$A902,$A902))</f>
        <v/>
      </c>
    </row>
    <row r="903" customFormat="false" ht="16.5" hidden="false" customHeight="false" outlineLevel="0" collapsed="false">
      <c r="A903" s="44" t="str">
        <f aca="false">IF($C903="","",IFERROR(VLOOKUP($C903,目录!$B:$C,2,0)&amp;"","⚠目录里没有"))</f>
        <v/>
      </c>
      <c r="B903" s="45" t="str">
        <f aca="false">IF($D903="","",IFERROR(MID($D903,FIND(".",$D903)+1,FIND(".",$D903,FIND(".",$D903)+1)-FIND(".",$D903)-1)&amp;"月",""))</f>
        <v/>
      </c>
      <c r="C903" s="46"/>
      <c r="D903" s="47"/>
      <c r="E903" s="47"/>
      <c r="F903" s="49"/>
      <c r="G903" s="50"/>
      <c r="H903" s="24"/>
      <c r="I903" s="24" t="str">
        <f aca="false">IF($H903="","",N($H903)*N($G903))</f>
        <v/>
      </c>
      <c r="J903" s="25" t="str">
        <f aca="false">IF($H903="","",N($H903)-N($I903))</f>
        <v/>
      </c>
      <c r="K903" s="25"/>
      <c r="L903" s="25" t="str">
        <f aca="false">IF($A903="","",SUMIF($A$4:$A903,$A903,$J$4:$J903)-SUMIF($A$4:$A903,$A903,$K$4:$K903))</f>
        <v/>
      </c>
      <c r="M903" s="26" t="str">
        <f aca="false">IF($H903="","",N($H903))</f>
        <v/>
      </c>
      <c r="N903" s="26"/>
      <c r="O903" s="26"/>
      <c r="P903" s="26" t="str">
        <f aca="false">IF($A903="","",SUMIF($A$4:$A903,$A903,$M$4:$M903)-SUMIF($A$4:$A903,$A903,$N$4:$N903)-SUMIF($A$4:$A903,$A903,$O$4:$O903))</f>
        <v/>
      </c>
      <c r="Q903" s="27"/>
      <c r="R903" s="28"/>
      <c r="S903" s="28"/>
      <c r="T903" s="28" t="str">
        <f aca="false">IF($A903="","",SUMIF($A$4:$A903,$A903,$Q$4:$Q903)-SUMIF($A$4:$A903,$A903,$R$4:$R903)-SUMIF($A$4:$A903,$A903,$S$4:$S903))</f>
        <v/>
      </c>
      <c r="U903" s="28"/>
      <c r="V903" s="29" t="str">
        <f aca="false">IF(AND($C903="",COUNTA($D903:$H903,$K903,$N903:$O903,$Q903:$S903,$U903)=0),"",IF($C903="","⚠ 没填项目名称",IF($A903="⚠目录里没有","⚠ 项目名称在目录里找不到（先加到目录）",IF($A903="","⚠ 目录里这个项目没填简称",IF(ISTEXT($G903)+ISTEXT($H903)+ISTEXT($K903)+ISTEXT($N903)+ISTEXT($O903)+ISTEXT($Q903)+ISTEXT($R903)+ISTEXT($S903)&gt;0,"⚠ 金额列里有文字，算不进合计",IF(N($G903)&gt;=1,"⚠ 管理费点要填百分比，如 10%",IF(AND($D903&lt;&gt;"",$B903=""),"△ 摘要开头没写日期（如 2026.9.21），月份取不到",IF(AND(N($H903)&lt;&gt;0,COUNTIFS($A$4:$A$1003,$A903,$H$4:$H$1003,$H903,$D$4:$D$1003,LEFT($D903,9)&amp;"*")&gt;1),"△ 同一天同项目有一样的销售金额，看看是不是录重了","✓"))))))))</f>
        <v/>
      </c>
      <c r="W903" s="8" t="str">
        <f aca="false">IF($A903="","",$A903&amp;"#"&amp;COUNTIF($A$4:$A903,$A903))</f>
        <v/>
      </c>
    </row>
    <row r="904" customFormat="false" ht="16.5" hidden="false" customHeight="false" outlineLevel="0" collapsed="false">
      <c r="A904" s="44" t="str">
        <f aca="false">IF($C904="","",IFERROR(VLOOKUP($C904,目录!$B:$C,2,0)&amp;"","⚠目录里没有"))</f>
        <v/>
      </c>
      <c r="B904" s="45" t="str">
        <f aca="false">IF($D904="","",IFERROR(MID($D904,FIND(".",$D904)+1,FIND(".",$D904,FIND(".",$D904)+1)-FIND(".",$D904)-1)&amp;"月",""))</f>
        <v/>
      </c>
      <c r="C904" s="46"/>
      <c r="D904" s="47"/>
      <c r="E904" s="47"/>
      <c r="F904" s="49"/>
      <c r="G904" s="50"/>
      <c r="H904" s="24"/>
      <c r="I904" s="24" t="str">
        <f aca="false">IF($H904="","",N($H904)*N($G904))</f>
        <v/>
      </c>
      <c r="J904" s="25" t="str">
        <f aca="false">IF($H904="","",N($H904)-N($I904))</f>
        <v/>
      </c>
      <c r="K904" s="25"/>
      <c r="L904" s="25" t="str">
        <f aca="false">IF($A904="","",SUMIF($A$4:$A904,$A904,$J$4:$J904)-SUMIF($A$4:$A904,$A904,$K$4:$K904))</f>
        <v/>
      </c>
      <c r="M904" s="26" t="str">
        <f aca="false">IF($H904="","",N($H904))</f>
        <v/>
      </c>
      <c r="N904" s="26"/>
      <c r="O904" s="26"/>
      <c r="P904" s="26" t="str">
        <f aca="false">IF($A904="","",SUMIF($A$4:$A904,$A904,$M$4:$M904)-SUMIF($A$4:$A904,$A904,$N$4:$N904)-SUMIF($A$4:$A904,$A904,$O$4:$O904))</f>
        <v/>
      </c>
      <c r="Q904" s="27"/>
      <c r="R904" s="28"/>
      <c r="S904" s="28"/>
      <c r="T904" s="28" t="str">
        <f aca="false">IF($A904="","",SUMIF($A$4:$A904,$A904,$Q$4:$Q904)-SUMIF($A$4:$A904,$A904,$R$4:$R904)-SUMIF($A$4:$A904,$A904,$S$4:$S904))</f>
        <v/>
      </c>
      <c r="U904" s="28"/>
      <c r="V904" s="29" t="str">
        <f aca="false">IF(AND($C904="",COUNTA($D904:$H904,$K904,$N904:$O904,$Q904:$S904,$U904)=0),"",IF($C904="","⚠ 没填项目名称",IF($A904="⚠目录里没有","⚠ 项目名称在目录里找不到（先加到目录）",IF($A904="","⚠ 目录里这个项目没填简称",IF(ISTEXT($G904)+ISTEXT($H904)+ISTEXT($K904)+ISTEXT($N904)+ISTEXT($O904)+ISTEXT($Q904)+ISTEXT($R904)+ISTEXT($S904)&gt;0,"⚠ 金额列里有文字，算不进合计",IF(N($G904)&gt;=1,"⚠ 管理费点要填百分比，如 10%",IF(AND($D904&lt;&gt;"",$B904=""),"△ 摘要开头没写日期（如 2026.9.21），月份取不到",IF(AND(N($H904)&lt;&gt;0,COUNTIFS($A$4:$A$1003,$A904,$H$4:$H$1003,$H904,$D$4:$D$1003,LEFT($D904,9)&amp;"*")&gt;1),"△ 同一天同项目有一样的销售金额，看看是不是录重了","✓"))))))))</f>
        <v/>
      </c>
      <c r="W904" s="8" t="str">
        <f aca="false">IF($A904="","",$A904&amp;"#"&amp;COUNTIF($A$4:$A904,$A904))</f>
        <v/>
      </c>
    </row>
    <row r="905" customFormat="false" ht="16.5" hidden="false" customHeight="false" outlineLevel="0" collapsed="false">
      <c r="A905" s="44" t="str">
        <f aca="false">IF($C905="","",IFERROR(VLOOKUP($C905,目录!$B:$C,2,0)&amp;"","⚠目录里没有"))</f>
        <v/>
      </c>
      <c r="B905" s="45" t="str">
        <f aca="false">IF($D905="","",IFERROR(MID($D905,FIND(".",$D905)+1,FIND(".",$D905,FIND(".",$D905)+1)-FIND(".",$D905)-1)&amp;"月",""))</f>
        <v/>
      </c>
      <c r="C905" s="46"/>
      <c r="D905" s="47"/>
      <c r="E905" s="47"/>
      <c r="F905" s="49"/>
      <c r="G905" s="50"/>
      <c r="H905" s="24"/>
      <c r="I905" s="24" t="str">
        <f aca="false">IF($H905="","",N($H905)*N($G905))</f>
        <v/>
      </c>
      <c r="J905" s="25" t="str">
        <f aca="false">IF($H905="","",N($H905)-N($I905))</f>
        <v/>
      </c>
      <c r="K905" s="25"/>
      <c r="L905" s="25" t="str">
        <f aca="false">IF($A905="","",SUMIF($A$4:$A905,$A905,$J$4:$J905)-SUMIF($A$4:$A905,$A905,$K$4:$K905))</f>
        <v/>
      </c>
      <c r="M905" s="26" t="str">
        <f aca="false">IF($H905="","",N($H905))</f>
        <v/>
      </c>
      <c r="N905" s="26"/>
      <c r="O905" s="26"/>
      <c r="P905" s="26" t="str">
        <f aca="false">IF($A905="","",SUMIF($A$4:$A905,$A905,$M$4:$M905)-SUMIF($A$4:$A905,$A905,$N$4:$N905)-SUMIF($A$4:$A905,$A905,$O$4:$O905))</f>
        <v/>
      </c>
      <c r="Q905" s="27"/>
      <c r="R905" s="28"/>
      <c r="S905" s="28"/>
      <c r="T905" s="28" t="str">
        <f aca="false">IF($A905="","",SUMIF($A$4:$A905,$A905,$Q$4:$Q905)-SUMIF($A$4:$A905,$A905,$R$4:$R905)-SUMIF($A$4:$A905,$A905,$S$4:$S905))</f>
        <v/>
      </c>
      <c r="U905" s="28"/>
      <c r="V905" s="29" t="str">
        <f aca="false">IF(AND($C905="",COUNTA($D905:$H905,$K905,$N905:$O905,$Q905:$S905,$U905)=0),"",IF($C905="","⚠ 没填项目名称",IF($A905="⚠目录里没有","⚠ 项目名称在目录里找不到（先加到目录）",IF($A905="","⚠ 目录里这个项目没填简称",IF(ISTEXT($G905)+ISTEXT($H905)+ISTEXT($K905)+ISTEXT($N905)+ISTEXT($O905)+ISTEXT($Q905)+ISTEXT($R905)+ISTEXT($S905)&gt;0,"⚠ 金额列里有文字，算不进合计",IF(N($G905)&gt;=1,"⚠ 管理费点要填百分比，如 10%",IF(AND($D905&lt;&gt;"",$B905=""),"△ 摘要开头没写日期（如 2026.9.21），月份取不到",IF(AND(N($H905)&lt;&gt;0,COUNTIFS($A$4:$A$1003,$A905,$H$4:$H$1003,$H905,$D$4:$D$1003,LEFT($D905,9)&amp;"*")&gt;1),"△ 同一天同项目有一样的销售金额，看看是不是录重了","✓"))))))))</f>
        <v/>
      </c>
      <c r="W905" s="8" t="str">
        <f aca="false">IF($A905="","",$A905&amp;"#"&amp;COUNTIF($A$4:$A905,$A905))</f>
        <v/>
      </c>
    </row>
    <row r="906" customFormat="false" ht="16.5" hidden="false" customHeight="false" outlineLevel="0" collapsed="false">
      <c r="A906" s="44" t="str">
        <f aca="false">IF($C906="","",IFERROR(VLOOKUP($C906,目录!$B:$C,2,0)&amp;"","⚠目录里没有"))</f>
        <v/>
      </c>
      <c r="B906" s="45" t="str">
        <f aca="false">IF($D906="","",IFERROR(MID($D906,FIND(".",$D906)+1,FIND(".",$D906,FIND(".",$D906)+1)-FIND(".",$D906)-1)&amp;"月",""))</f>
        <v/>
      </c>
      <c r="C906" s="46"/>
      <c r="D906" s="47"/>
      <c r="E906" s="47"/>
      <c r="F906" s="49"/>
      <c r="G906" s="50"/>
      <c r="H906" s="24"/>
      <c r="I906" s="24" t="str">
        <f aca="false">IF($H906="","",N($H906)*N($G906))</f>
        <v/>
      </c>
      <c r="J906" s="25" t="str">
        <f aca="false">IF($H906="","",N($H906)-N($I906))</f>
        <v/>
      </c>
      <c r="K906" s="25"/>
      <c r="L906" s="25" t="str">
        <f aca="false">IF($A906="","",SUMIF($A$4:$A906,$A906,$J$4:$J906)-SUMIF($A$4:$A906,$A906,$K$4:$K906))</f>
        <v/>
      </c>
      <c r="M906" s="26" t="str">
        <f aca="false">IF($H906="","",N($H906))</f>
        <v/>
      </c>
      <c r="N906" s="26"/>
      <c r="O906" s="26"/>
      <c r="P906" s="26" t="str">
        <f aca="false">IF($A906="","",SUMIF($A$4:$A906,$A906,$M$4:$M906)-SUMIF($A$4:$A906,$A906,$N$4:$N906)-SUMIF($A$4:$A906,$A906,$O$4:$O906))</f>
        <v/>
      </c>
      <c r="Q906" s="27"/>
      <c r="R906" s="28"/>
      <c r="S906" s="28"/>
      <c r="T906" s="28" t="str">
        <f aca="false">IF($A906="","",SUMIF($A$4:$A906,$A906,$Q$4:$Q906)-SUMIF($A$4:$A906,$A906,$R$4:$R906)-SUMIF($A$4:$A906,$A906,$S$4:$S906))</f>
        <v/>
      </c>
      <c r="U906" s="28"/>
      <c r="V906" s="29" t="str">
        <f aca="false">IF(AND($C906="",COUNTA($D906:$H906,$K906,$N906:$O906,$Q906:$S906,$U906)=0),"",IF($C906="","⚠ 没填项目名称",IF($A906="⚠目录里没有","⚠ 项目名称在目录里找不到（先加到目录）",IF($A906="","⚠ 目录里这个项目没填简称",IF(ISTEXT($G906)+ISTEXT($H906)+ISTEXT($K906)+ISTEXT($N906)+ISTEXT($O906)+ISTEXT($Q906)+ISTEXT($R906)+ISTEXT($S906)&gt;0,"⚠ 金额列里有文字，算不进合计",IF(N($G906)&gt;=1,"⚠ 管理费点要填百分比，如 10%",IF(AND($D906&lt;&gt;"",$B906=""),"△ 摘要开头没写日期（如 2026.9.21），月份取不到",IF(AND(N($H906)&lt;&gt;0,COUNTIFS($A$4:$A$1003,$A906,$H$4:$H$1003,$H906,$D$4:$D$1003,LEFT($D906,9)&amp;"*")&gt;1),"△ 同一天同项目有一样的销售金额，看看是不是录重了","✓"))))))))</f>
        <v/>
      </c>
      <c r="W906" s="8" t="str">
        <f aca="false">IF($A906="","",$A906&amp;"#"&amp;COUNTIF($A$4:$A906,$A906))</f>
        <v/>
      </c>
    </row>
    <row r="907" customFormat="false" ht="16.5" hidden="false" customHeight="false" outlineLevel="0" collapsed="false">
      <c r="A907" s="44" t="str">
        <f aca="false">IF($C907="","",IFERROR(VLOOKUP($C907,目录!$B:$C,2,0)&amp;"","⚠目录里没有"))</f>
        <v/>
      </c>
      <c r="B907" s="45" t="str">
        <f aca="false">IF($D907="","",IFERROR(MID($D907,FIND(".",$D907)+1,FIND(".",$D907,FIND(".",$D907)+1)-FIND(".",$D907)-1)&amp;"月",""))</f>
        <v/>
      </c>
      <c r="C907" s="46"/>
      <c r="D907" s="47"/>
      <c r="E907" s="47"/>
      <c r="F907" s="49"/>
      <c r="G907" s="50"/>
      <c r="H907" s="24"/>
      <c r="I907" s="24" t="str">
        <f aca="false">IF($H907="","",N($H907)*N($G907))</f>
        <v/>
      </c>
      <c r="J907" s="25" t="str">
        <f aca="false">IF($H907="","",N($H907)-N($I907))</f>
        <v/>
      </c>
      <c r="K907" s="25"/>
      <c r="L907" s="25" t="str">
        <f aca="false">IF($A907="","",SUMIF($A$4:$A907,$A907,$J$4:$J907)-SUMIF($A$4:$A907,$A907,$K$4:$K907))</f>
        <v/>
      </c>
      <c r="M907" s="26" t="str">
        <f aca="false">IF($H907="","",N($H907))</f>
        <v/>
      </c>
      <c r="N907" s="26"/>
      <c r="O907" s="26"/>
      <c r="P907" s="26" t="str">
        <f aca="false">IF($A907="","",SUMIF($A$4:$A907,$A907,$M$4:$M907)-SUMIF($A$4:$A907,$A907,$N$4:$N907)-SUMIF($A$4:$A907,$A907,$O$4:$O907))</f>
        <v/>
      </c>
      <c r="Q907" s="27"/>
      <c r="R907" s="28"/>
      <c r="S907" s="28"/>
      <c r="T907" s="28" t="str">
        <f aca="false">IF($A907="","",SUMIF($A$4:$A907,$A907,$Q$4:$Q907)-SUMIF($A$4:$A907,$A907,$R$4:$R907)-SUMIF($A$4:$A907,$A907,$S$4:$S907))</f>
        <v/>
      </c>
      <c r="U907" s="28"/>
      <c r="V907" s="29" t="str">
        <f aca="false">IF(AND($C907="",COUNTA($D907:$H907,$K907,$N907:$O907,$Q907:$S907,$U907)=0),"",IF($C907="","⚠ 没填项目名称",IF($A907="⚠目录里没有","⚠ 项目名称在目录里找不到（先加到目录）",IF($A907="","⚠ 目录里这个项目没填简称",IF(ISTEXT($G907)+ISTEXT($H907)+ISTEXT($K907)+ISTEXT($N907)+ISTEXT($O907)+ISTEXT($Q907)+ISTEXT($R907)+ISTEXT($S907)&gt;0,"⚠ 金额列里有文字，算不进合计",IF(N($G907)&gt;=1,"⚠ 管理费点要填百分比，如 10%",IF(AND($D907&lt;&gt;"",$B907=""),"△ 摘要开头没写日期（如 2026.9.21），月份取不到",IF(AND(N($H907)&lt;&gt;0,COUNTIFS($A$4:$A$1003,$A907,$H$4:$H$1003,$H907,$D$4:$D$1003,LEFT($D907,9)&amp;"*")&gt;1),"△ 同一天同项目有一样的销售金额，看看是不是录重了","✓"))))))))</f>
        <v/>
      </c>
      <c r="W907" s="8" t="str">
        <f aca="false">IF($A907="","",$A907&amp;"#"&amp;COUNTIF($A$4:$A907,$A907))</f>
        <v/>
      </c>
    </row>
    <row r="908" customFormat="false" ht="16.5" hidden="false" customHeight="false" outlineLevel="0" collapsed="false">
      <c r="A908" s="44" t="str">
        <f aca="false">IF($C908="","",IFERROR(VLOOKUP($C908,目录!$B:$C,2,0)&amp;"","⚠目录里没有"))</f>
        <v/>
      </c>
      <c r="B908" s="45" t="str">
        <f aca="false">IF($D908="","",IFERROR(MID($D908,FIND(".",$D908)+1,FIND(".",$D908,FIND(".",$D908)+1)-FIND(".",$D908)-1)&amp;"月",""))</f>
        <v/>
      </c>
      <c r="C908" s="46"/>
      <c r="D908" s="47"/>
      <c r="E908" s="47"/>
      <c r="F908" s="49"/>
      <c r="G908" s="50"/>
      <c r="H908" s="24"/>
      <c r="I908" s="24" t="str">
        <f aca="false">IF($H908="","",N($H908)*N($G908))</f>
        <v/>
      </c>
      <c r="J908" s="25" t="str">
        <f aca="false">IF($H908="","",N($H908)-N($I908))</f>
        <v/>
      </c>
      <c r="K908" s="25"/>
      <c r="L908" s="25" t="str">
        <f aca="false">IF($A908="","",SUMIF($A$4:$A908,$A908,$J$4:$J908)-SUMIF($A$4:$A908,$A908,$K$4:$K908))</f>
        <v/>
      </c>
      <c r="M908" s="26" t="str">
        <f aca="false">IF($H908="","",N($H908))</f>
        <v/>
      </c>
      <c r="N908" s="26"/>
      <c r="O908" s="26"/>
      <c r="P908" s="26" t="str">
        <f aca="false">IF($A908="","",SUMIF($A$4:$A908,$A908,$M$4:$M908)-SUMIF($A$4:$A908,$A908,$N$4:$N908)-SUMIF($A$4:$A908,$A908,$O$4:$O908))</f>
        <v/>
      </c>
      <c r="Q908" s="27"/>
      <c r="R908" s="28"/>
      <c r="S908" s="28"/>
      <c r="T908" s="28" t="str">
        <f aca="false">IF($A908="","",SUMIF($A$4:$A908,$A908,$Q$4:$Q908)-SUMIF($A$4:$A908,$A908,$R$4:$R908)-SUMIF($A$4:$A908,$A908,$S$4:$S908))</f>
        <v/>
      </c>
      <c r="U908" s="28"/>
      <c r="V908" s="29" t="str">
        <f aca="false">IF(AND($C908="",COUNTA($D908:$H908,$K908,$N908:$O908,$Q908:$S908,$U908)=0),"",IF($C908="","⚠ 没填项目名称",IF($A908="⚠目录里没有","⚠ 项目名称在目录里找不到（先加到目录）",IF($A908="","⚠ 目录里这个项目没填简称",IF(ISTEXT($G908)+ISTEXT($H908)+ISTEXT($K908)+ISTEXT($N908)+ISTEXT($O908)+ISTEXT($Q908)+ISTEXT($R908)+ISTEXT($S908)&gt;0,"⚠ 金额列里有文字，算不进合计",IF(N($G908)&gt;=1,"⚠ 管理费点要填百分比，如 10%",IF(AND($D908&lt;&gt;"",$B908=""),"△ 摘要开头没写日期（如 2026.9.21），月份取不到",IF(AND(N($H908)&lt;&gt;0,COUNTIFS($A$4:$A$1003,$A908,$H$4:$H$1003,$H908,$D$4:$D$1003,LEFT($D908,9)&amp;"*")&gt;1),"△ 同一天同项目有一样的销售金额，看看是不是录重了","✓"))))))))</f>
        <v/>
      </c>
      <c r="W908" s="8" t="str">
        <f aca="false">IF($A908="","",$A908&amp;"#"&amp;COUNTIF($A$4:$A908,$A908))</f>
        <v/>
      </c>
    </row>
    <row r="909" customFormat="false" ht="16.5" hidden="false" customHeight="false" outlineLevel="0" collapsed="false">
      <c r="A909" s="44" t="str">
        <f aca="false">IF($C909="","",IFERROR(VLOOKUP($C909,目录!$B:$C,2,0)&amp;"","⚠目录里没有"))</f>
        <v/>
      </c>
      <c r="B909" s="45" t="str">
        <f aca="false">IF($D909="","",IFERROR(MID($D909,FIND(".",$D909)+1,FIND(".",$D909,FIND(".",$D909)+1)-FIND(".",$D909)-1)&amp;"月",""))</f>
        <v/>
      </c>
      <c r="C909" s="46"/>
      <c r="D909" s="47"/>
      <c r="E909" s="47"/>
      <c r="F909" s="49"/>
      <c r="G909" s="50"/>
      <c r="H909" s="24"/>
      <c r="I909" s="24" t="str">
        <f aca="false">IF($H909="","",N($H909)*N($G909))</f>
        <v/>
      </c>
      <c r="J909" s="25" t="str">
        <f aca="false">IF($H909="","",N($H909)-N($I909))</f>
        <v/>
      </c>
      <c r="K909" s="25"/>
      <c r="L909" s="25" t="str">
        <f aca="false">IF($A909="","",SUMIF($A$4:$A909,$A909,$J$4:$J909)-SUMIF($A$4:$A909,$A909,$K$4:$K909))</f>
        <v/>
      </c>
      <c r="M909" s="26" t="str">
        <f aca="false">IF($H909="","",N($H909))</f>
        <v/>
      </c>
      <c r="N909" s="26"/>
      <c r="O909" s="26"/>
      <c r="P909" s="26" t="str">
        <f aca="false">IF($A909="","",SUMIF($A$4:$A909,$A909,$M$4:$M909)-SUMIF($A$4:$A909,$A909,$N$4:$N909)-SUMIF($A$4:$A909,$A909,$O$4:$O909))</f>
        <v/>
      </c>
      <c r="Q909" s="27"/>
      <c r="R909" s="28"/>
      <c r="S909" s="28"/>
      <c r="T909" s="28" t="str">
        <f aca="false">IF($A909="","",SUMIF($A$4:$A909,$A909,$Q$4:$Q909)-SUMIF($A$4:$A909,$A909,$R$4:$R909)-SUMIF($A$4:$A909,$A909,$S$4:$S909))</f>
        <v/>
      </c>
      <c r="U909" s="28"/>
      <c r="V909" s="29" t="str">
        <f aca="false">IF(AND($C909="",COUNTA($D909:$H909,$K909,$N909:$O909,$Q909:$S909,$U909)=0),"",IF($C909="","⚠ 没填项目名称",IF($A909="⚠目录里没有","⚠ 项目名称在目录里找不到（先加到目录）",IF($A909="","⚠ 目录里这个项目没填简称",IF(ISTEXT($G909)+ISTEXT($H909)+ISTEXT($K909)+ISTEXT($N909)+ISTEXT($O909)+ISTEXT($Q909)+ISTEXT($R909)+ISTEXT($S909)&gt;0,"⚠ 金额列里有文字，算不进合计",IF(N($G909)&gt;=1,"⚠ 管理费点要填百分比，如 10%",IF(AND($D909&lt;&gt;"",$B909=""),"△ 摘要开头没写日期（如 2026.9.21），月份取不到",IF(AND(N($H909)&lt;&gt;0,COUNTIFS($A$4:$A$1003,$A909,$H$4:$H$1003,$H909,$D$4:$D$1003,LEFT($D909,9)&amp;"*")&gt;1),"△ 同一天同项目有一样的销售金额，看看是不是录重了","✓"))))))))</f>
        <v/>
      </c>
      <c r="W909" s="8" t="str">
        <f aca="false">IF($A909="","",$A909&amp;"#"&amp;COUNTIF($A$4:$A909,$A909))</f>
        <v/>
      </c>
    </row>
    <row r="910" customFormat="false" ht="16.5" hidden="false" customHeight="false" outlineLevel="0" collapsed="false">
      <c r="A910" s="44" t="str">
        <f aca="false">IF($C910="","",IFERROR(VLOOKUP($C910,目录!$B:$C,2,0)&amp;"","⚠目录里没有"))</f>
        <v/>
      </c>
      <c r="B910" s="45" t="str">
        <f aca="false">IF($D910="","",IFERROR(MID($D910,FIND(".",$D910)+1,FIND(".",$D910,FIND(".",$D910)+1)-FIND(".",$D910)-1)&amp;"月",""))</f>
        <v/>
      </c>
      <c r="C910" s="46"/>
      <c r="D910" s="47"/>
      <c r="E910" s="47"/>
      <c r="F910" s="49"/>
      <c r="G910" s="50"/>
      <c r="H910" s="24"/>
      <c r="I910" s="24" t="str">
        <f aca="false">IF($H910="","",N($H910)*N($G910))</f>
        <v/>
      </c>
      <c r="J910" s="25" t="str">
        <f aca="false">IF($H910="","",N($H910)-N($I910))</f>
        <v/>
      </c>
      <c r="K910" s="25"/>
      <c r="L910" s="25" t="str">
        <f aca="false">IF($A910="","",SUMIF($A$4:$A910,$A910,$J$4:$J910)-SUMIF($A$4:$A910,$A910,$K$4:$K910))</f>
        <v/>
      </c>
      <c r="M910" s="26" t="str">
        <f aca="false">IF($H910="","",N($H910))</f>
        <v/>
      </c>
      <c r="N910" s="26"/>
      <c r="O910" s="26"/>
      <c r="P910" s="26" t="str">
        <f aca="false">IF($A910="","",SUMIF($A$4:$A910,$A910,$M$4:$M910)-SUMIF($A$4:$A910,$A910,$N$4:$N910)-SUMIF($A$4:$A910,$A910,$O$4:$O910))</f>
        <v/>
      </c>
      <c r="Q910" s="27"/>
      <c r="R910" s="28"/>
      <c r="S910" s="28"/>
      <c r="T910" s="28" t="str">
        <f aca="false">IF($A910="","",SUMIF($A$4:$A910,$A910,$Q$4:$Q910)-SUMIF($A$4:$A910,$A910,$R$4:$R910)-SUMIF($A$4:$A910,$A910,$S$4:$S910))</f>
        <v/>
      </c>
      <c r="U910" s="28"/>
      <c r="V910" s="29" t="str">
        <f aca="false">IF(AND($C910="",COUNTA($D910:$H910,$K910,$N910:$O910,$Q910:$S910,$U910)=0),"",IF($C910="","⚠ 没填项目名称",IF($A910="⚠目录里没有","⚠ 项目名称在目录里找不到（先加到目录）",IF($A910="","⚠ 目录里这个项目没填简称",IF(ISTEXT($G910)+ISTEXT($H910)+ISTEXT($K910)+ISTEXT($N910)+ISTEXT($O910)+ISTEXT($Q910)+ISTEXT($R910)+ISTEXT($S910)&gt;0,"⚠ 金额列里有文字，算不进合计",IF(N($G910)&gt;=1,"⚠ 管理费点要填百分比，如 10%",IF(AND($D910&lt;&gt;"",$B910=""),"△ 摘要开头没写日期（如 2026.9.21），月份取不到",IF(AND(N($H910)&lt;&gt;0,COUNTIFS($A$4:$A$1003,$A910,$H$4:$H$1003,$H910,$D$4:$D$1003,LEFT($D910,9)&amp;"*")&gt;1),"△ 同一天同项目有一样的销售金额，看看是不是录重了","✓"))))))))</f>
        <v/>
      </c>
      <c r="W910" s="8" t="str">
        <f aca="false">IF($A910="","",$A910&amp;"#"&amp;COUNTIF($A$4:$A910,$A910))</f>
        <v/>
      </c>
    </row>
    <row r="911" customFormat="false" ht="16.5" hidden="false" customHeight="false" outlineLevel="0" collapsed="false">
      <c r="A911" s="44" t="str">
        <f aca="false">IF($C911="","",IFERROR(VLOOKUP($C911,目录!$B:$C,2,0)&amp;"","⚠目录里没有"))</f>
        <v/>
      </c>
      <c r="B911" s="45" t="str">
        <f aca="false">IF($D911="","",IFERROR(MID($D911,FIND(".",$D911)+1,FIND(".",$D911,FIND(".",$D911)+1)-FIND(".",$D911)-1)&amp;"月",""))</f>
        <v/>
      </c>
      <c r="C911" s="46"/>
      <c r="D911" s="47"/>
      <c r="E911" s="47"/>
      <c r="F911" s="49"/>
      <c r="G911" s="50"/>
      <c r="H911" s="24"/>
      <c r="I911" s="24" t="str">
        <f aca="false">IF($H911="","",N($H911)*N($G911))</f>
        <v/>
      </c>
      <c r="J911" s="25" t="str">
        <f aca="false">IF($H911="","",N($H911)-N($I911))</f>
        <v/>
      </c>
      <c r="K911" s="25"/>
      <c r="L911" s="25" t="str">
        <f aca="false">IF($A911="","",SUMIF($A$4:$A911,$A911,$J$4:$J911)-SUMIF($A$4:$A911,$A911,$K$4:$K911))</f>
        <v/>
      </c>
      <c r="M911" s="26" t="str">
        <f aca="false">IF($H911="","",N($H911))</f>
        <v/>
      </c>
      <c r="N911" s="26"/>
      <c r="O911" s="26"/>
      <c r="P911" s="26" t="str">
        <f aca="false">IF($A911="","",SUMIF($A$4:$A911,$A911,$M$4:$M911)-SUMIF($A$4:$A911,$A911,$N$4:$N911)-SUMIF($A$4:$A911,$A911,$O$4:$O911))</f>
        <v/>
      </c>
      <c r="Q911" s="27"/>
      <c r="R911" s="28"/>
      <c r="S911" s="28"/>
      <c r="T911" s="28" t="str">
        <f aca="false">IF($A911="","",SUMIF($A$4:$A911,$A911,$Q$4:$Q911)-SUMIF($A$4:$A911,$A911,$R$4:$R911)-SUMIF($A$4:$A911,$A911,$S$4:$S911))</f>
        <v/>
      </c>
      <c r="U911" s="28"/>
      <c r="V911" s="29" t="str">
        <f aca="false">IF(AND($C911="",COUNTA($D911:$H911,$K911,$N911:$O911,$Q911:$S911,$U911)=0),"",IF($C911="","⚠ 没填项目名称",IF($A911="⚠目录里没有","⚠ 项目名称在目录里找不到（先加到目录）",IF($A911="","⚠ 目录里这个项目没填简称",IF(ISTEXT($G911)+ISTEXT($H911)+ISTEXT($K911)+ISTEXT($N911)+ISTEXT($O911)+ISTEXT($Q911)+ISTEXT($R911)+ISTEXT($S911)&gt;0,"⚠ 金额列里有文字，算不进合计",IF(N($G911)&gt;=1,"⚠ 管理费点要填百分比，如 10%",IF(AND($D911&lt;&gt;"",$B911=""),"△ 摘要开头没写日期（如 2026.9.21），月份取不到",IF(AND(N($H911)&lt;&gt;0,COUNTIFS($A$4:$A$1003,$A911,$H$4:$H$1003,$H911,$D$4:$D$1003,LEFT($D911,9)&amp;"*")&gt;1),"△ 同一天同项目有一样的销售金额，看看是不是录重了","✓"))))))))</f>
        <v/>
      </c>
      <c r="W911" s="8" t="str">
        <f aca="false">IF($A911="","",$A911&amp;"#"&amp;COUNTIF($A$4:$A911,$A911))</f>
        <v/>
      </c>
    </row>
    <row r="912" customFormat="false" ht="16.5" hidden="false" customHeight="false" outlineLevel="0" collapsed="false">
      <c r="A912" s="44" t="str">
        <f aca="false">IF($C912="","",IFERROR(VLOOKUP($C912,目录!$B:$C,2,0)&amp;"","⚠目录里没有"))</f>
        <v/>
      </c>
      <c r="B912" s="45" t="str">
        <f aca="false">IF($D912="","",IFERROR(MID($D912,FIND(".",$D912)+1,FIND(".",$D912,FIND(".",$D912)+1)-FIND(".",$D912)-1)&amp;"月",""))</f>
        <v/>
      </c>
      <c r="C912" s="46"/>
      <c r="D912" s="47"/>
      <c r="E912" s="47"/>
      <c r="F912" s="49"/>
      <c r="G912" s="50"/>
      <c r="H912" s="24"/>
      <c r="I912" s="24" t="str">
        <f aca="false">IF($H912="","",N($H912)*N($G912))</f>
        <v/>
      </c>
      <c r="J912" s="25" t="str">
        <f aca="false">IF($H912="","",N($H912)-N($I912))</f>
        <v/>
      </c>
      <c r="K912" s="25"/>
      <c r="L912" s="25" t="str">
        <f aca="false">IF($A912="","",SUMIF($A$4:$A912,$A912,$J$4:$J912)-SUMIF($A$4:$A912,$A912,$K$4:$K912))</f>
        <v/>
      </c>
      <c r="M912" s="26" t="str">
        <f aca="false">IF($H912="","",N($H912))</f>
        <v/>
      </c>
      <c r="N912" s="26"/>
      <c r="O912" s="26"/>
      <c r="P912" s="26" t="str">
        <f aca="false">IF($A912="","",SUMIF($A$4:$A912,$A912,$M$4:$M912)-SUMIF($A$4:$A912,$A912,$N$4:$N912)-SUMIF($A$4:$A912,$A912,$O$4:$O912))</f>
        <v/>
      </c>
      <c r="Q912" s="27"/>
      <c r="R912" s="28"/>
      <c r="S912" s="28"/>
      <c r="T912" s="28" t="str">
        <f aca="false">IF($A912="","",SUMIF($A$4:$A912,$A912,$Q$4:$Q912)-SUMIF($A$4:$A912,$A912,$R$4:$R912)-SUMIF($A$4:$A912,$A912,$S$4:$S912))</f>
        <v/>
      </c>
      <c r="U912" s="28"/>
      <c r="V912" s="29" t="str">
        <f aca="false">IF(AND($C912="",COUNTA($D912:$H912,$K912,$N912:$O912,$Q912:$S912,$U912)=0),"",IF($C912="","⚠ 没填项目名称",IF($A912="⚠目录里没有","⚠ 项目名称在目录里找不到（先加到目录）",IF($A912="","⚠ 目录里这个项目没填简称",IF(ISTEXT($G912)+ISTEXT($H912)+ISTEXT($K912)+ISTEXT($N912)+ISTEXT($O912)+ISTEXT($Q912)+ISTEXT($R912)+ISTEXT($S912)&gt;0,"⚠ 金额列里有文字，算不进合计",IF(N($G912)&gt;=1,"⚠ 管理费点要填百分比，如 10%",IF(AND($D912&lt;&gt;"",$B912=""),"△ 摘要开头没写日期（如 2026.9.21），月份取不到",IF(AND(N($H912)&lt;&gt;0,COUNTIFS($A$4:$A$1003,$A912,$H$4:$H$1003,$H912,$D$4:$D$1003,LEFT($D912,9)&amp;"*")&gt;1),"△ 同一天同项目有一样的销售金额，看看是不是录重了","✓"))))))))</f>
        <v/>
      </c>
      <c r="W912" s="8" t="str">
        <f aca="false">IF($A912="","",$A912&amp;"#"&amp;COUNTIF($A$4:$A912,$A912))</f>
        <v/>
      </c>
    </row>
    <row r="913" customFormat="false" ht="16.5" hidden="false" customHeight="false" outlineLevel="0" collapsed="false">
      <c r="A913" s="44" t="str">
        <f aca="false">IF($C913="","",IFERROR(VLOOKUP($C913,目录!$B:$C,2,0)&amp;"","⚠目录里没有"))</f>
        <v/>
      </c>
      <c r="B913" s="45" t="str">
        <f aca="false">IF($D913="","",IFERROR(MID($D913,FIND(".",$D913)+1,FIND(".",$D913,FIND(".",$D913)+1)-FIND(".",$D913)-1)&amp;"月",""))</f>
        <v/>
      </c>
      <c r="C913" s="46"/>
      <c r="D913" s="47"/>
      <c r="E913" s="47"/>
      <c r="F913" s="49"/>
      <c r="G913" s="50"/>
      <c r="H913" s="24"/>
      <c r="I913" s="24" t="str">
        <f aca="false">IF($H913="","",N($H913)*N($G913))</f>
        <v/>
      </c>
      <c r="J913" s="25" t="str">
        <f aca="false">IF($H913="","",N($H913)-N($I913))</f>
        <v/>
      </c>
      <c r="K913" s="25"/>
      <c r="L913" s="25" t="str">
        <f aca="false">IF($A913="","",SUMIF($A$4:$A913,$A913,$J$4:$J913)-SUMIF($A$4:$A913,$A913,$K$4:$K913))</f>
        <v/>
      </c>
      <c r="M913" s="26" t="str">
        <f aca="false">IF($H913="","",N($H913))</f>
        <v/>
      </c>
      <c r="N913" s="26"/>
      <c r="O913" s="26"/>
      <c r="P913" s="26" t="str">
        <f aca="false">IF($A913="","",SUMIF($A$4:$A913,$A913,$M$4:$M913)-SUMIF($A$4:$A913,$A913,$N$4:$N913)-SUMIF($A$4:$A913,$A913,$O$4:$O913))</f>
        <v/>
      </c>
      <c r="Q913" s="27"/>
      <c r="R913" s="28"/>
      <c r="S913" s="28"/>
      <c r="T913" s="28" t="str">
        <f aca="false">IF($A913="","",SUMIF($A$4:$A913,$A913,$Q$4:$Q913)-SUMIF($A$4:$A913,$A913,$R$4:$R913)-SUMIF($A$4:$A913,$A913,$S$4:$S913))</f>
        <v/>
      </c>
      <c r="U913" s="28"/>
      <c r="V913" s="29" t="str">
        <f aca="false">IF(AND($C913="",COUNTA($D913:$H913,$K913,$N913:$O913,$Q913:$S913,$U913)=0),"",IF($C913="","⚠ 没填项目名称",IF($A913="⚠目录里没有","⚠ 项目名称在目录里找不到（先加到目录）",IF($A913="","⚠ 目录里这个项目没填简称",IF(ISTEXT($G913)+ISTEXT($H913)+ISTEXT($K913)+ISTEXT($N913)+ISTEXT($O913)+ISTEXT($Q913)+ISTEXT($R913)+ISTEXT($S913)&gt;0,"⚠ 金额列里有文字，算不进合计",IF(N($G913)&gt;=1,"⚠ 管理费点要填百分比，如 10%",IF(AND($D913&lt;&gt;"",$B913=""),"△ 摘要开头没写日期（如 2026.9.21），月份取不到",IF(AND(N($H913)&lt;&gt;0,COUNTIFS($A$4:$A$1003,$A913,$H$4:$H$1003,$H913,$D$4:$D$1003,LEFT($D913,9)&amp;"*")&gt;1),"△ 同一天同项目有一样的销售金额，看看是不是录重了","✓"))))))))</f>
        <v/>
      </c>
      <c r="W913" s="8" t="str">
        <f aca="false">IF($A913="","",$A913&amp;"#"&amp;COUNTIF($A$4:$A913,$A913))</f>
        <v/>
      </c>
    </row>
    <row r="914" customFormat="false" ht="16.5" hidden="false" customHeight="false" outlineLevel="0" collapsed="false">
      <c r="A914" s="44" t="str">
        <f aca="false">IF($C914="","",IFERROR(VLOOKUP($C914,目录!$B:$C,2,0)&amp;"","⚠目录里没有"))</f>
        <v/>
      </c>
      <c r="B914" s="45" t="str">
        <f aca="false">IF($D914="","",IFERROR(MID($D914,FIND(".",$D914)+1,FIND(".",$D914,FIND(".",$D914)+1)-FIND(".",$D914)-1)&amp;"月",""))</f>
        <v/>
      </c>
      <c r="C914" s="46"/>
      <c r="D914" s="47"/>
      <c r="E914" s="47"/>
      <c r="F914" s="49"/>
      <c r="G914" s="50"/>
      <c r="H914" s="24"/>
      <c r="I914" s="24" t="str">
        <f aca="false">IF($H914="","",N($H914)*N($G914))</f>
        <v/>
      </c>
      <c r="J914" s="25" t="str">
        <f aca="false">IF($H914="","",N($H914)-N($I914))</f>
        <v/>
      </c>
      <c r="K914" s="25"/>
      <c r="L914" s="25" t="str">
        <f aca="false">IF($A914="","",SUMIF($A$4:$A914,$A914,$J$4:$J914)-SUMIF($A$4:$A914,$A914,$K$4:$K914))</f>
        <v/>
      </c>
      <c r="M914" s="26" t="str">
        <f aca="false">IF($H914="","",N($H914))</f>
        <v/>
      </c>
      <c r="N914" s="26"/>
      <c r="O914" s="26"/>
      <c r="P914" s="26" t="str">
        <f aca="false">IF($A914="","",SUMIF($A$4:$A914,$A914,$M$4:$M914)-SUMIF($A$4:$A914,$A914,$N$4:$N914)-SUMIF($A$4:$A914,$A914,$O$4:$O914))</f>
        <v/>
      </c>
      <c r="Q914" s="27"/>
      <c r="R914" s="28"/>
      <c r="S914" s="28"/>
      <c r="T914" s="28" t="str">
        <f aca="false">IF($A914="","",SUMIF($A$4:$A914,$A914,$Q$4:$Q914)-SUMIF($A$4:$A914,$A914,$R$4:$R914)-SUMIF($A$4:$A914,$A914,$S$4:$S914))</f>
        <v/>
      </c>
      <c r="U914" s="28"/>
      <c r="V914" s="29" t="str">
        <f aca="false">IF(AND($C914="",COUNTA($D914:$H914,$K914,$N914:$O914,$Q914:$S914,$U914)=0),"",IF($C914="","⚠ 没填项目名称",IF($A914="⚠目录里没有","⚠ 项目名称在目录里找不到（先加到目录）",IF($A914="","⚠ 目录里这个项目没填简称",IF(ISTEXT($G914)+ISTEXT($H914)+ISTEXT($K914)+ISTEXT($N914)+ISTEXT($O914)+ISTEXT($Q914)+ISTEXT($R914)+ISTEXT($S914)&gt;0,"⚠ 金额列里有文字，算不进合计",IF(N($G914)&gt;=1,"⚠ 管理费点要填百分比，如 10%",IF(AND($D914&lt;&gt;"",$B914=""),"△ 摘要开头没写日期（如 2026.9.21），月份取不到",IF(AND(N($H914)&lt;&gt;0,COUNTIFS($A$4:$A$1003,$A914,$H$4:$H$1003,$H914,$D$4:$D$1003,LEFT($D914,9)&amp;"*")&gt;1),"△ 同一天同项目有一样的销售金额，看看是不是录重了","✓"))))))))</f>
        <v/>
      </c>
      <c r="W914" s="8" t="str">
        <f aca="false">IF($A914="","",$A914&amp;"#"&amp;COUNTIF($A$4:$A914,$A914))</f>
        <v/>
      </c>
    </row>
    <row r="915" customFormat="false" ht="16.5" hidden="false" customHeight="false" outlineLevel="0" collapsed="false">
      <c r="A915" s="44" t="str">
        <f aca="false">IF($C915="","",IFERROR(VLOOKUP($C915,目录!$B:$C,2,0)&amp;"","⚠目录里没有"))</f>
        <v/>
      </c>
      <c r="B915" s="45" t="str">
        <f aca="false">IF($D915="","",IFERROR(MID($D915,FIND(".",$D915)+1,FIND(".",$D915,FIND(".",$D915)+1)-FIND(".",$D915)-1)&amp;"月",""))</f>
        <v/>
      </c>
      <c r="C915" s="46"/>
      <c r="D915" s="47"/>
      <c r="E915" s="47"/>
      <c r="F915" s="49"/>
      <c r="G915" s="50"/>
      <c r="H915" s="24"/>
      <c r="I915" s="24" t="str">
        <f aca="false">IF($H915="","",N($H915)*N($G915))</f>
        <v/>
      </c>
      <c r="J915" s="25" t="str">
        <f aca="false">IF($H915="","",N($H915)-N($I915))</f>
        <v/>
      </c>
      <c r="K915" s="25"/>
      <c r="L915" s="25" t="str">
        <f aca="false">IF($A915="","",SUMIF($A$4:$A915,$A915,$J$4:$J915)-SUMIF($A$4:$A915,$A915,$K$4:$K915))</f>
        <v/>
      </c>
      <c r="M915" s="26" t="str">
        <f aca="false">IF($H915="","",N($H915))</f>
        <v/>
      </c>
      <c r="N915" s="26"/>
      <c r="O915" s="26"/>
      <c r="P915" s="26" t="str">
        <f aca="false">IF($A915="","",SUMIF($A$4:$A915,$A915,$M$4:$M915)-SUMIF($A$4:$A915,$A915,$N$4:$N915)-SUMIF($A$4:$A915,$A915,$O$4:$O915))</f>
        <v/>
      </c>
      <c r="Q915" s="27"/>
      <c r="R915" s="28"/>
      <c r="S915" s="28"/>
      <c r="T915" s="28" t="str">
        <f aca="false">IF($A915="","",SUMIF($A$4:$A915,$A915,$Q$4:$Q915)-SUMIF($A$4:$A915,$A915,$R$4:$R915)-SUMIF($A$4:$A915,$A915,$S$4:$S915))</f>
        <v/>
      </c>
      <c r="U915" s="28"/>
      <c r="V915" s="29" t="str">
        <f aca="false">IF(AND($C915="",COUNTA($D915:$H915,$K915,$N915:$O915,$Q915:$S915,$U915)=0),"",IF($C915="","⚠ 没填项目名称",IF($A915="⚠目录里没有","⚠ 项目名称在目录里找不到（先加到目录）",IF($A915="","⚠ 目录里这个项目没填简称",IF(ISTEXT($G915)+ISTEXT($H915)+ISTEXT($K915)+ISTEXT($N915)+ISTEXT($O915)+ISTEXT($Q915)+ISTEXT($R915)+ISTEXT($S915)&gt;0,"⚠ 金额列里有文字，算不进合计",IF(N($G915)&gt;=1,"⚠ 管理费点要填百分比，如 10%",IF(AND($D915&lt;&gt;"",$B915=""),"△ 摘要开头没写日期（如 2026.9.21），月份取不到",IF(AND(N($H915)&lt;&gt;0,COUNTIFS($A$4:$A$1003,$A915,$H$4:$H$1003,$H915,$D$4:$D$1003,LEFT($D915,9)&amp;"*")&gt;1),"△ 同一天同项目有一样的销售金额，看看是不是录重了","✓"))))))))</f>
        <v/>
      </c>
      <c r="W915" s="8" t="str">
        <f aca="false">IF($A915="","",$A915&amp;"#"&amp;COUNTIF($A$4:$A915,$A915))</f>
        <v/>
      </c>
    </row>
    <row r="916" customFormat="false" ht="16.5" hidden="false" customHeight="false" outlineLevel="0" collapsed="false">
      <c r="A916" s="44" t="str">
        <f aca="false">IF($C916="","",IFERROR(VLOOKUP($C916,目录!$B:$C,2,0)&amp;"","⚠目录里没有"))</f>
        <v/>
      </c>
      <c r="B916" s="45" t="str">
        <f aca="false">IF($D916="","",IFERROR(MID($D916,FIND(".",$D916)+1,FIND(".",$D916,FIND(".",$D916)+1)-FIND(".",$D916)-1)&amp;"月",""))</f>
        <v/>
      </c>
      <c r="C916" s="46"/>
      <c r="D916" s="47"/>
      <c r="E916" s="47"/>
      <c r="F916" s="49"/>
      <c r="G916" s="50"/>
      <c r="H916" s="24"/>
      <c r="I916" s="24" t="str">
        <f aca="false">IF($H916="","",N($H916)*N($G916))</f>
        <v/>
      </c>
      <c r="J916" s="25" t="str">
        <f aca="false">IF($H916="","",N($H916)-N($I916))</f>
        <v/>
      </c>
      <c r="K916" s="25"/>
      <c r="L916" s="25" t="str">
        <f aca="false">IF($A916="","",SUMIF($A$4:$A916,$A916,$J$4:$J916)-SUMIF($A$4:$A916,$A916,$K$4:$K916))</f>
        <v/>
      </c>
      <c r="M916" s="26" t="str">
        <f aca="false">IF($H916="","",N($H916))</f>
        <v/>
      </c>
      <c r="N916" s="26"/>
      <c r="O916" s="26"/>
      <c r="P916" s="26" t="str">
        <f aca="false">IF($A916="","",SUMIF($A$4:$A916,$A916,$M$4:$M916)-SUMIF($A$4:$A916,$A916,$N$4:$N916)-SUMIF($A$4:$A916,$A916,$O$4:$O916))</f>
        <v/>
      </c>
      <c r="Q916" s="27"/>
      <c r="R916" s="28"/>
      <c r="S916" s="28"/>
      <c r="T916" s="28" t="str">
        <f aca="false">IF($A916="","",SUMIF($A$4:$A916,$A916,$Q$4:$Q916)-SUMIF($A$4:$A916,$A916,$R$4:$R916)-SUMIF($A$4:$A916,$A916,$S$4:$S916))</f>
        <v/>
      </c>
      <c r="U916" s="28"/>
      <c r="V916" s="29" t="str">
        <f aca="false">IF(AND($C916="",COUNTA($D916:$H916,$K916,$N916:$O916,$Q916:$S916,$U916)=0),"",IF($C916="","⚠ 没填项目名称",IF($A916="⚠目录里没有","⚠ 项目名称在目录里找不到（先加到目录）",IF($A916="","⚠ 目录里这个项目没填简称",IF(ISTEXT($G916)+ISTEXT($H916)+ISTEXT($K916)+ISTEXT($N916)+ISTEXT($O916)+ISTEXT($Q916)+ISTEXT($R916)+ISTEXT($S916)&gt;0,"⚠ 金额列里有文字，算不进合计",IF(N($G916)&gt;=1,"⚠ 管理费点要填百分比，如 10%",IF(AND($D916&lt;&gt;"",$B916=""),"△ 摘要开头没写日期（如 2026.9.21），月份取不到",IF(AND(N($H916)&lt;&gt;0,COUNTIFS($A$4:$A$1003,$A916,$H$4:$H$1003,$H916,$D$4:$D$1003,LEFT($D916,9)&amp;"*")&gt;1),"△ 同一天同项目有一样的销售金额，看看是不是录重了","✓"))))))))</f>
        <v/>
      </c>
      <c r="W916" s="8" t="str">
        <f aca="false">IF($A916="","",$A916&amp;"#"&amp;COUNTIF($A$4:$A916,$A916))</f>
        <v/>
      </c>
    </row>
    <row r="917" customFormat="false" ht="16.5" hidden="false" customHeight="false" outlineLevel="0" collapsed="false">
      <c r="A917" s="44" t="str">
        <f aca="false">IF($C917="","",IFERROR(VLOOKUP($C917,目录!$B:$C,2,0)&amp;"","⚠目录里没有"))</f>
        <v/>
      </c>
      <c r="B917" s="45" t="str">
        <f aca="false">IF($D917="","",IFERROR(MID($D917,FIND(".",$D917)+1,FIND(".",$D917,FIND(".",$D917)+1)-FIND(".",$D917)-1)&amp;"月",""))</f>
        <v/>
      </c>
      <c r="C917" s="46"/>
      <c r="D917" s="47"/>
      <c r="E917" s="47"/>
      <c r="F917" s="49"/>
      <c r="G917" s="50"/>
      <c r="H917" s="24"/>
      <c r="I917" s="24" t="str">
        <f aca="false">IF($H917="","",N($H917)*N($G917))</f>
        <v/>
      </c>
      <c r="J917" s="25" t="str">
        <f aca="false">IF($H917="","",N($H917)-N($I917))</f>
        <v/>
      </c>
      <c r="K917" s="25"/>
      <c r="L917" s="25" t="str">
        <f aca="false">IF($A917="","",SUMIF($A$4:$A917,$A917,$J$4:$J917)-SUMIF($A$4:$A917,$A917,$K$4:$K917))</f>
        <v/>
      </c>
      <c r="M917" s="26" t="str">
        <f aca="false">IF($H917="","",N($H917))</f>
        <v/>
      </c>
      <c r="N917" s="26"/>
      <c r="O917" s="26"/>
      <c r="P917" s="26" t="str">
        <f aca="false">IF($A917="","",SUMIF($A$4:$A917,$A917,$M$4:$M917)-SUMIF($A$4:$A917,$A917,$N$4:$N917)-SUMIF($A$4:$A917,$A917,$O$4:$O917))</f>
        <v/>
      </c>
      <c r="Q917" s="27"/>
      <c r="R917" s="28"/>
      <c r="S917" s="28"/>
      <c r="T917" s="28" t="str">
        <f aca="false">IF($A917="","",SUMIF($A$4:$A917,$A917,$Q$4:$Q917)-SUMIF($A$4:$A917,$A917,$R$4:$R917)-SUMIF($A$4:$A917,$A917,$S$4:$S917))</f>
        <v/>
      </c>
      <c r="U917" s="28"/>
      <c r="V917" s="29" t="str">
        <f aca="false">IF(AND($C917="",COUNTA($D917:$H917,$K917,$N917:$O917,$Q917:$S917,$U917)=0),"",IF($C917="","⚠ 没填项目名称",IF($A917="⚠目录里没有","⚠ 项目名称在目录里找不到（先加到目录）",IF($A917="","⚠ 目录里这个项目没填简称",IF(ISTEXT($G917)+ISTEXT($H917)+ISTEXT($K917)+ISTEXT($N917)+ISTEXT($O917)+ISTEXT($Q917)+ISTEXT($R917)+ISTEXT($S917)&gt;0,"⚠ 金额列里有文字，算不进合计",IF(N($G917)&gt;=1,"⚠ 管理费点要填百分比，如 10%",IF(AND($D917&lt;&gt;"",$B917=""),"△ 摘要开头没写日期（如 2026.9.21），月份取不到",IF(AND(N($H917)&lt;&gt;0,COUNTIFS($A$4:$A$1003,$A917,$H$4:$H$1003,$H917,$D$4:$D$1003,LEFT($D917,9)&amp;"*")&gt;1),"△ 同一天同项目有一样的销售金额，看看是不是录重了","✓"))))))))</f>
        <v/>
      </c>
      <c r="W917" s="8" t="str">
        <f aca="false">IF($A917="","",$A917&amp;"#"&amp;COUNTIF($A$4:$A917,$A917))</f>
        <v/>
      </c>
    </row>
    <row r="918" customFormat="false" ht="16.5" hidden="false" customHeight="false" outlineLevel="0" collapsed="false">
      <c r="A918" s="44" t="str">
        <f aca="false">IF($C918="","",IFERROR(VLOOKUP($C918,目录!$B:$C,2,0)&amp;"","⚠目录里没有"))</f>
        <v/>
      </c>
      <c r="B918" s="45" t="str">
        <f aca="false">IF($D918="","",IFERROR(MID($D918,FIND(".",$D918)+1,FIND(".",$D918,FIND(".",$D918)+1)-FIND(".",$D918)-1)&amp;"月",""))</f>
        <v/>
      </c>
      <c r="C918" s="46"/>
      <c r="D918" s="47"/>
      <c r="E918" s="47"/>
      <c r="F918" s="49"/>
      <c r="G918" s="50"/>
      <c r="H918" s="24"/>
      <c r="I918" s="24" t="str">
        <f aca="false">IF($H918="","",N($H918)*N($G918))</f>
        <v/>
      </c>
      <c r="J918" s="25" t="str">
        <f aca="false">IF($H918="","",N($H918)-N($I918))</f>
        <v/>
      </c>
      <c r="K918" s="25"/>
      <c r="L918" s="25" t="str">
        <f aca="false">IF($A918="","",SUMIF($A$4:$A918,$A918,$J$4:$J918)-SUMIF($A$4:$A918,$A918,$K$4:$K918))</f>
        <v/>
      </c>
      <c r="M918" s="26" t="str">
        <f aca="false">IF($H918="","",N($H918))</f>
        <v/>
      </c>
      <c r="N918" s="26"/>
      <c r="O918" s="26"/>
      <c r="P918" s="26" t="str">
        <f aca="false">IF($A918="","",SUMIF($A$4:$A918,$A918,$M$4:$M918)-SUMIF($A$4:$A918,$A918,$N$4:$N918)-SUMIF($A$4:$A918,$A918,$O$4:$O918))</f>
        <v/>
      </c>
      <c r="Q918" s="27"/>
      <c r="R918" s="28"/>
      <c r="S918" s="28"/>
      <c r="T918" s="28" t="str">
        <f aca="false">IF($A918="","",SUMIF($A$4:$A918,$A918,$Q$4:$Q918)-SUMIF($A$4:$A918,$A918,$R$4:$R918)-SUMIF($A$4:$A918,$A918,$S$4:$S918))</f>
        <v/>
      </c>
      <c r="U918" s="28"/>
      <c r="V918" s="29" t="str">
        <f aca="false">IF(AND($C918="",COUNTA($D918:$H918,$K918,$N918:$O918,$Q918:$S918,$U918)=0),"",IF($C918="","⚠ 没填项目名称",IF($A918="⚠目录里没有","⚠ 项目名称在目录里找不到（先加到目录）",IF($A918="","⚠ 目录里这个项目没填简称",IF(ISTEXT($G918)+ISTEXT($H918)+ISTEXT($K918)+ISTEXT($N918)+ISTEXT($O918)+ISTEXT($Q918)+ISTEXT($R918)+ISTEXT($S918)&gt;0,"⚠ 金额列里有文字，算不进合计",IF(N($G918)&gt;=1,"⚠ 管理费点要填百分比，如 10%",IF(AND($D918&lt;&gt;"",$B918=""),"△ 摘要开头没写日期（如 2026.9.21），月份取不到",IF(AND(N($H918)&lt;&gt;0,COUNTIFS($A$4:$A$1003,$A918,$H$4:$H$1003,$H918,$D$4:$D$1003,LEFT($D918,9)&amp;"*")&gt;1),"△ 同一天同项目有一样的销售金额，看看是不是录重了","✓"))))))))</f>
        <v/>
      </c>
      <c r="W918" s="8" t="str">
        <f aca="false">IF($A918="","",$A918&amp;"#"&amp;COUNTIF($A$4:$A918,$A918))</f>
        <v/>
      </c>
    </row>
    <row r="919" customFormat="false" ht="16.5" hidden="false" customHeight="false" outlineLevel="0" collapsed="false">
      <c r="A919" s="44" t="str">
        <f aca="false">IF($C919="","",IFERROR(VLOOKUP($C919,目录!$B:$C,2,0)&amp;"","⚠目录里没有"))</f>
        <v/>
      </c>
      <c r="B919" s="45" t="str">
        <f aca="false">IF($D919="","",IFERROR(MID($D919,FIND(".",$D919)+1,FIND(".",$D919,FIND(".",$D919)+1)-FIND(".",$D919)-1)&amp;"月",""))</f>
        <v/>
      </c>
      <c r="C919" s="46"/>
      <c r="D919" s="47"/>
      <c r="E919" s="47"/>
      <c r="F919" s="49"/>
      <c r="G919" s="50"/>
      <c r="H919" s="24"/>
      <c r="I919" s="24" t="str">
        <f aca="false">IF($H919="","",N($H919)*N($G919))</f>
        <v/>
      </c>
      <c r="J919" s="25" t="str">
        <f aca="false">IF($H919="","",N($H919)-N($I919))</f>
        <v/>
      </c>
      <c r="K919" s="25"/>
      <c r="L919" s="25" t="str">
        <f aca="false">IF($A919="","",SUMIF($A$4:$A919,$A919,$J$4:$J919)-SUMIF($A$4:$A919,$A919,$K$4:$K919))</f>
        <v/>
      </c>
      <c r="M919" s="26" t="str">
        <f aca="false">IF($H919="","",N($H919))</f>
        <v/>
      </c>
      <c r="N919" s="26"/>
      <c r="O919" s="26"/>
      <c r="P919" s="26" t="str">
        <f aca="false">IF($A919="","",SUMIF($A$4:$A919,$A919,$M$4:$M919)-SUMIF($A$4:$A919,$A919,$N$4:$N919)-SUMIF($A$4:$A919,$A919,$O$4:$O919))</f>
        <v/>
      </c>
      <c r="Q919" s="27"/>
      <c r="R919" s="28"/>
      <c r="S919" s="28"/>
      <c r="T919" s="28" t="str">
        <f aca="false">IF($A919="","",SUMIF($A$4:$A919,$A919,$Q$4:$Q919)-SUMIF($A$4:$A919,$A919,$R$4:$R919)-SUMIF($A$4:$A919,$A919,$S$4:$S919))</f>
        <v/>
      </c>
      <c r="U919" s="28"/>
      <c r="V919" s="29" t="str">
        <f aca="false">IF(AND($C919="",COUNTA($D919:$H919,$K919,$N919:$O919,$Q919:$S919,$U919)=0),"",IF($C919="","⚠ 没填项目名称",IF($A919="⚠目录里没有","⚠ 项目名称在目录里找不到（先加到目录）",IF($A919="","⚠ 目录里这个项目没填简称",IF(ISTEXT($G919)+ISTEXT($H919)+ISTEXT($K919)+ISTEXT($N919)+ISTEXT($O919)+ISTEXT($Q919)+ISTEXT($R919)+ISTEXT($S919)&gt;0,"⚠ 金额列里有文字，算不进合计",IF(N($G919)&gt;=1,"⚠ 管理费点要填百分比，如 10%",IF(AND($D919&lt;&gt;"",$B919=""),"△ 摘要开头没写日期（如 2026.9.21），月份取不到",IF(AND(N($H919)&lt;&gt;0,COUNTIFS($A$4:$A$1003,$A919,$H$4:$H$1003,$H919,$D$4:$D$1003,LEFT($D919,9)&amp;"*")&gt;1),"△ 同一天同项目有一样的销售金额，看看是不是录重了","✓"))))))))</f>
        <v/>
      </c>
      <c r="W919" s="8" t="str">
        <f aca="false">IF($A919="","",$A919&amp;"#"&amp;COUNTIF($A$4:$A919,$A919))</f>
        <v/>
      </c>
    </row>
    <row r="920" customFormat="false" ht="16.5" hidden="false" customHeight="false" outlineLevel="0" collapsed="false">
      <c r="A920" s="44" t="str">
        <f aca="false">IF($C920="","",IFERROR(VLOOKUP($C920,目录!$B:$C,2,0)&amp;"","⚠目录里没有"))</f>
        <v/>
      </c>
      <c r="B920" s="45" t="str">
        <f aca="false">IF($D920="","",IFERROR(MID($D920,FIND(".",$D920)+1,FIND(".",$D920,FIND(".",$D920)+1)-FIND(".",$D920)-1)&amp;"月",""))</f>
        <v/>
      </c>
      <c r="C920" s="46"/>
      <c r="D920" s="47"/>
      <c r="E920" s="47"/>
      <c r="F920" s="49"/>
      <c r="G920" s="50"/>
      <c r="H920" s="24"/>
      <c r="I920" s="24" t="str">
        <f aca="false">IF($H920="","",N($H920)*N($G920))</f>
        <v/>
      </c>
      <c r="J920" s="25" t="str">
        <f aca="false">IF($H920="","",N($H920)-N($I920))</f>
        <v/>
      </c>
      <c r="K920" s="25"/>
      <c r="L920" s="25" t="str">
        <f aca="false">IF($A920="","",SUMIF($A$4:$A920,$A920,$J$4:$J920)-SUMIF($A$4:$A920,$A920,$K$4:$K920))</f>
        <v/>
      </c>
      <c r="M920" s="26" t="str">
        <f aca="false">IF($H920="","",N($H920))</f>
        <v/>
      </c>
      <c r="N920" s="26"/>
      <c r="O920" s="26"/>
      <c r="P920" s="26" t="str">
        <f aca="false">IF($A920="","",SUMIF($A$4:$A920,$A920,$M$4:$M920)-SUMIF($A$4:$A920,$A920,$N$4:$N920)-SUMIF($A$4:$A920,$A920,$O$4:$O920))</f>
        <v/>
      </c>
      <c r="Q920" s="27"/>
      <c r="R920" s="28"/>
      <c r="S920" s="28"/>
      <c r="T920" s="28" t="str">
        <f aca="false">IF($A920="","",SUMIF($A$4:$A920,$A920,$Q$4:$Q920)-SUMIF($A$4:$A920,$A920,$R$4:$R920)-SUMIF($A$4:$A920,$A920,$S$4:$S920))</f>
        <v/>
      </c>
      <c r="U920" s="28"/>
      <c r="V920" s="29" t="str">
        <f aca="false">IF(AND($C920="",COUNTA($D920:$H920,$K920,$N920:$O920,$Q920:$S920,$U920)=0),"",IF($C920="","⚠ 没填项目名称",IF($A920="⚠目录里没有","⚠ 项目名称在目录里找不到（先加到目录）",IF($A920="","⚠ 目录里这个项目没填简称",IF(ISTEXT($G920)+ISTEXT($H920)+ISTEXT($K920)+ISTEXT($N920)+ISTEXT($O920)+ISTEXT($Q920)+ISTEXT($R920)+ISTEXT($S920)&gt;0,"⚠ 金额列里有文字，算不进合计",IF(N($G920)&gt;=1,"⚠ 管理费点要填百分比，如 10%",IF(AND($D920&lt;&gt;"",$B920=""),"△ 摘要开头没写日期（如 2026.9.21），月份取不到",IF(AND(N($H920)&lt;&gt;0,COUNTIFS($A$4:$A$1003,$A920,$H$4:$H$1003,$H920,$D$4:$D$1003,LEFT($D920,9)&amp;"*")&gt;1),"△ 同一天同项目有一样的销售金额，看看是不是录重了","✓"))))))))</f>
        <v/>
      </c>
      <c r="W920" s="8" t="str">
        <f aca="false">IF($A920="","",$A920&amp;"#"&amp;COUNTIF($A$4:$A920,$A920))</f>
        <v/>
      </c>
    </row>
    <row r="921" customFormat="false" ht="16.5" hidden="false" customHeight="false" outlineLevel="0" collapsed="false">
      <c r="A921" s="44" t="str">
        <f aca="false">IF($C921="","",IFERROR(VLOOKUP($C921,目录!$B:$C,2,0)&amp;"","⚠目录里没有"))</f>
        <v/>
      </c>
      <c r="B921" s="45" t="str">
        <f aca="false">IF($D921="","",IFERROR(MID($D921,FIND(".",$D921)+1,FIND(".",$D921,FIND(".",$D921)+1)-FIND(".",$D921)-1)&amp;"月",""))</f>
        <v/>
      </c>
      <c r="C921" s="46"/>
      <c r="D921" s="47"/>
      <c r="E921" s="47"/>
      <c r="F921" s="49"/>
      <c r="G921" s="50"/>
      <c r="H921" s="24"/>
      <c r="I921" s="24" t="str">
        <f aca="false">IF($H921="","",N($H921)*N($G921))</f>
        <v/>
      </c>
      <c r="J921" s="25" t="str">
        <f aca="false">IF($H921="","",N($H921)-N($I921))</f>
        <v/>
      </c>
      <c r="K921" s="25"/>
      <c r="L921" s="25" t="str">
        <f aca="false">IF($A921="","",SUMIF($A$4:$A921,$A921,$J$4:$J921)-SUMIF($A$4:$A921,$A921,$K$4:$K921))</f>
        <v/>
      </c>
      <c r="M921" s="26" t="str">
        <f aca="false">IF($H921="","",N($H921))</f>
        <v/>
      </c>
      <c r="N921" s="26"/>
      <c r="O921" s="26"/>
      <c r="P921" s="26" t="str">
        <f aca="false">IF($A921="","",SUMIF($A$4:$A921,$A921,$M$4:$M921)-SUMIF($A$4:$A921,$A921,$N$4:$N921)-SUMIF($A$4:$A921,$A921,$O$4:$O921))</f>
        <v/>
      </c>
      <c r="Q921" s="27"/>
      <c r="R921" s="28"/>
      <c r="S921" s="28"/>
      <c r="T921" s="28" t="str">
        <f aca="false">IF($A921="","",SUMIF($A$4:$A921,$A921,$Q$4:$Q921)-SUMIF($A$4:$A921,$A921,$R$4:$R921)-SUMIF($A$4:$A921,$A921,$S$4:$S921))</f>
        <v/>
      </c>
      <c r="U921" s="28"/>
      <c r="V921" s="29" t="str">
        <f aca="false">IF(AND($C921="",COUNTA($D921:$H921,$K921,$N921:$O921,$Q921:$S921,$U921)=0),"",IF($C921="","⚠ 没填项目名称",IF($A921="⚠目录里没有","⚠ 项目名称在目录里找不到（先加到目录）",IF($A921="","⚠ 目录里这个项目没填简称",IF(ISTEXT($G921)+ISTEXT($H921)+ISTEXT($K921)+ISTEXT($N921)+ISTEXT($O921)+ISTEXT($Q921)+ISTEXT($R921)+ISTEXT($S921)&gt;0,"⚠ 金额列里有文字，算不进合计",IF(N($G921)&gt;=1,"⚠ 管理费点要填百分比，如 10%",IF(AND($D921&lt;&gt;"",$B921=""),"△ 摘要开头没写日期（如 2026.9.21），月份取不到",IF(AND(N($H921)&lt;&gt;0,COUNTIFS($A$4:$A$1003,$A921,$H$4:$H$1003,$H921,$D$4:$D$1003,LEFT($D921,9)&amp;"*")&gt;1),"△ 同一天同项目有一样的销售金额，看看是不是录重了","✓"))))))))</f>
        <v/>
      </c>
      <c r="W921" s="8" t="str">
        <f aca="false">IF($A921="","",$A921&amp;"#"&amp;COUNTIF($A$4:$A921,$A921))</f>
        <v/>
      </c>
    </row>
    <row r="922" customFormat="false" ht="16.5" hidden="false" customHeight="false" outlineLevel="0" collapsed="false">
      <c r="A922" s="44" t="str">
        <f aca="false">IF($C922="","",IFERROR(VLOOKUP($C922,目录!$B:$C,2,0)&amp;"","⚠目录里没有"))</f>
        <v/>
      </c>
      <c r="B922" s="45" t="str">
        <f aca="false">IF($D922="","",IFERROR(MID($D922,FIND(".",$D922)+1,FIND(".",$D922,FIND(".",$D922)+1)-FIND(".",$D922)-1)&amp;"月",""))</f>
        <v/>
      </c>
      <c r="C922" s="46"/>
      <c r="D922" s="47"/>
      <c r="E922" s="47"/>
      <c r="F922" s="49"/>
      <c r="G922" s="50"/>
      <c r="H922" s="24"/>
      <c r="I922" s="24" t="str">
        <f aca="false">IF($H922="","",N($H922)*N($G922))</f>
        <v/>
      </c>
      <c r="J922" s="25" t="str">
        <f aca="false">IF($H922="","",N($H922)-N($I922))</f>
        <v/>
      </c>
      <c r="K922" s="25"/>
      <c r="L922" s="25" t="str">
        <f aca="false">IF($A922="","",SUMIF($A$4:$A922,$A922,$J$4:$J922)-SUMIF($A$4:$A922,$A922,$K$4:$K922))</f>
        <v/>
      </c>
      <c r="M922" s="26" t="str">
        <f aca="false">IF($H922="","",N($H922))</f>
        <v/>
      </c>
      <c r="N922" s="26"/>
      <c r="O922" s="26"/>
      <c r="P922" s="26" t="str">
        <f aca="false">IF($A922="","",SUMIF($A$4:$A922,$A922,$M$4:$M922)-SUMIF($A$4:$A922,$A922,$N$4:$N922)-SUMIF($A$4:$A922,$A922,$O$4:$O922))</f>
        <v/>
      </c>
      <c r="Q922" s="27"/>
      <c r="R922" s="28"/>
      <c r="S922" s="28"/>
      <c r="T922" s="28" t="str">
        <f aca="false">IF($A922="","",SUMIF($A$4:$A922,$A922,$Q$4:$Q922)-SUMIF($A$4:$A922,$A922,$R$4:$R922)-SUMIF($A$4:$A922,$A922,$S$4:$S922))</f>
        <v/>
      </c>
      <c r="U922" s="28"/>
      <c r="V922" s="29" t="str">
        <f aca="false">IF(AND($C922="",COUNTA($D922:$H922,$K922,$N922:$O922,$Q922:$S922,$U922)=0),"",IF($C922="","⚠ 没填项目名称",IF($A922="⚠目录里没有","⚠ 项目名称在目录里找不到（先加到目录）",IF($A922="","⚠ 目录里这个项目没填简称",IF(ISTEXT($G922)+ISTEXT($H922)+ISTEXT($K922)+ISTEXT($N922)+ISTEXT($O922)+ISTEXT($Q922)+ISTEXT($R922)+ISTEXT($S922)&gt;0,"⚠ 金额列里有文字，算不进合计",IF(N($G922)&gt;=1,"⚠ 管理费点要填百分比，如 10%",IF(AND($D922&lt;&gt;"",$B922=""),"△ 摘要开头没写日期（如 2026.9.21），月份取不到",IF(AND(N($H922)&lt;&gt;0,COUNTIFS($A$4:$A$1003,$A922,$H$4:$H$1003,$H922,$D$4:$D$1003,LEFT($D922,9)&amp;"*")&gt;1),"△ 同一天同项目有一样的销售金额，看看是不是录重了","✓"))))))))</f>
        <v/>
      </c>
      <c r="W922" s="8" t="str">
        <f aca="false">IF($A922="","",$A922&amp;"#"&amp;COUNTIF($A$4:$A922,$A922))</f>
        <v/>
      </c>
    </row>
    <row r="923" customFormat="false" ht="16.5" hidden="false" customHeight="false" outlineLevel="0" collapsed="false">
      <c r="A923" s="44" t="str">
        <f aca="false">IF($C923="","",IFERROR(VLOOKUP($C923,目录!$B:$C,2,0)&amp;"","⚠目录里没有"))</f>
        <v/>
      </c>
      <c r="B923" s="45" t="str">
        <f aca="false">IF($D923="","",IFERROR(MID($D923,FIND(".",$D923)+1,FIND(".",$D923,FIND(".",$D923)+1)-FIND(".",$D923)-1)&amp;"月",""))</f>
        <v/>
      </c>
      <c r="C923" s="46"/>
      <c r="D923" s="47"/>
      <c r="E923" s="47"/>
      <c r="F923" s="49"/>
      <c r="G923" s="50"/>
      <c r="H923" s="24"/>
      <c r="I923" s="24" t="str">
        <f aca="false">IF($H923="","",N($H923)*N($G923))</f>
        <v/>
      </c>
      <c r="J923" s="25" t="str">
        <f aca="false">IF($H923="","",N($H923)-N($I923))</f>
        <v/>
      </c>
      <c r="K923" s="25"/>
      <c r="L923" s="25" t="str">
        <f aca="false">IF($A923="","",SUMIF($A$4:$A923,$A923,$J$4:$J923)-SUMIF($A$4:$A923,$A923,$K$4:$K923))</f>
        <v/>
      </c>
      <c r="M923" s="26" t="str">
        <f aca="false">IF($H923="","",N($H923))</f>
        <v/>
      </c>
      <c r="N923" s="26"/>
      <c r="O923" s="26"/>
      <c r="P923" s="26" t="str">
        <f aca="false">IF($A923="","",SUMIF($A$4:$A923,$A923,$M$4:$M923)-SUMIF($A$4:$A923,$A923,$N$4:$N923)-SUMIF($A$4:$A923,$A923,$O$4:$O923))</f>
        <v/>
      </c>
      <c r="Q923" s="27"/>
      <c r="R923" s="28"/>
      <c r="S923" s="28"/>
      <c r="T923" s="28" t="str">
        <f aca="false">IF($A923="","",SUMIF($A$4:$A923,$A923,$Q$4:$Q923)-SUMIF($A$4:$A923,$A923,$R$4:$R923)-SUMIF($A$4:$A923,$A923,$S$4:$S923))</f>
        <v/>
      </c>
      <c r="U923" s="28"/>
      <c r="V923" s="29" t="str">
        <f aca="false">IF(AND($C923="",COUNTA($D923:$H923,$K923,$N923:$O923,$Q923:$S923,$U923)=0),"",IF($C923="","⚠ 没填项目名称",IF($A923="⚠目录里没有","⚠ 项目名称在目录里找不到（先加到目录）",IF($A923="","⚠ 目录里这个项目没填简称",IF(ISTEXT($G923)+ISTEXT($H923)+ISTEXT($K923)+ISTEXT($N923)+ISTEXT($O923)+ISTEXT($Q923)+ISTEXT($R923)+ISTEXT($S923)&gt;0,"⚠ 金额列里有文字，算不进合计",IF(N($G923)&gt;=1,"⚠ 管理费点要填百分比，如 10%",IF(AND($D923&lt;&gt;"",$B923=""),"△ 摘要开头没写日期（如 2026.9.21），月份取不到",IF(AND(N($H923)&lt;&gt;0,COUNTIFS($A$4:$A$1003,$A923,$H$4:$H$1003,$H923,$D$4:$D$1003,LEFT($D923,9)&amp;"*")&gt;1),"△ 同一天同项目有一样的销售金额，看看是不是录重了","✓"))))))))</f>
        <v/>
      </c>
      <c r="W923" s="8" t="str">
        <f aca="false">IF($A923="","",$A923&amp;"#"&amp;COUNTIF($A$4:$A923,$A923))</f>
        <v/>
      </c>
    </row>
    <row r="924" customFormat="false" ht="16.5" hidden="false" customHeight="false" outlineLevel="0" collapsed="false">
      <c r="A924" s="44" t="str">
        <f aca="false">IF($C924="","",IFERROR(VLOOKUP($C924,目录!$B:$C,2,0)&amp;"","⚠目录里没有"))</f>
        <v/>
      </c>
      <c r="B924" s="45" t="str">
        <f aca="false">IF($D924="","",IFERROR(MID($D924,FIND(".",$D924)+1,FIND(".",$D924,FIND(".",$D924)+1)-FIND(".",$D924)-1)&amp;"月",""))</f>
        <v/>
      </c>
      <c r="C924" s="46"/>
      <c r="D924" s="47"/>
      <c r="E924" s="47"/>
      <c r="F924" s="49"/>
      <c r="G924" s="50"/>
      <c r="H924" s="24"/>
      <c r="I924" s="24" t="str">
        <f aca="false">IF($H924="","",N($H924)*N($G924))</f>
        <v/>
      </c>
      <c r="J924" s="25" t="str">
        <f aca="false">IF($H924="","",N($H924)-N($I924))</f>
        <v/>
      </c>
      <c r="K924" s="25"/>
      <c r="L924" s="25" t="str">
        <f aca="false">IF($A924="","",SUMIF($A$4:$A924,$A924,$J$4:$J924)-SUMIF($A$4:$A924,$A924,$K$4:$K924))</f>
        <v/>
      </c>
      <c r="M924" s="26" t="str">
        <f aca="false">IF($H924="","",N($H924))</f>
        <v/>
      </c>
      <c r="N924" s="26"/>
      <c r="O924" s="26"/>
      <c r="P924" s="26" t="str">
        <f aca="false">IF($A924="","",SUMIF($A$4:$A924,$A924,$M$4:$M924)-SUMIF($A$4:$A924,$A924,$N$4:$N924)-SUMIF($A$4:$A924,$A924,$O$4:$O924))</f>
        <v/>
      </c>
      <c r="Q924" s="27"/>
      <c r="R924" s="28"/>
      <c r="S924" s="28"/>
      <c r="T924" s="28" t="str">
        <f aca="false">IF($A924="","",SUMIF($A$4:$A924,$A924,$Q$4:$Q924)-SUMIF($A$4:$A924,$A924,$R$4:$R924)-SUMIF($A$4:$A924,$A924,$S$4:$S924))</f>
        <v/>
      </c>
      <c r="U924" s="28"/>
      <c r="V924" s="29" t="str">
        <f aca="false">IF(AND($C924="",COUNTA($D924:$H924,$K924,$N924:$O924,$Q924:$S924,$U924)=0),"",IF($C924="","⚠ 没填项目名称",IF($A924="⚠目录里没有","⚠ 项目名称在目录里找不到（先加到目录）",IF($A924="","⚠ 目录里这个项目没填简称",IF(ISTEXT($G924)+ISTEXT($H924)+ISTEXT($K924)+ISTEXT($N924)+ISTEXT($O924)+ISTEXT($Q924)+ISTEXT($R924)+ISTEXT($S924)&gt;0,"⚠ 金额列里有文字，算不进合计",IF(N($G924)&gt;=1,"⚠ 管理费点要填百分比，如 10%",IF(AND($D924&lt;&gt;"",$B924=""),"△ 摘要开头没写日期（如 2026.9.21），月份取不到",IF(AND(N($H924)&lt;&gt;0,COUNTIFS($A$4:$A$1003,$A924,$H$4:$H$1003,$H924,$D$4:$D$1003,LEFT($D924,9)&amp;"*")&gt;1),"△ 同一天同项目有一样的销售金额，看看是不是录重了","✓"))))))))</f>
        <v/>
      </c>
      <c r="W924" s="8" t="str">
        <f aca="false">IF($A924="","",$A924&amp;"#"&amp;COUNTIF($A$4:$A924,$A924))</f>
        <v/>
      </c>
    </row>
    <row r="925" customFormat="false" ht="16.5" hidden="false" customHeight="false" outlineLevel="0" collapsed="false">
      <c r="A925" s="44" t="str">
        <f aca="false">IF($C925="","",IFERROR(VLOOKUP($C925,目录!$B:$C,2,0)&amp;"","⚠目录里没有"))</f>
        <v/>
      </c>
      <c r="B925" s="45" t="str">
        <f aca="false">IF($D925="","",IFERROR(MID($D925,FIND(".",$D925)+1,FIND(".",$D925,FIND(".",$D925)+1)-FIND(".",$D925)-1)&amp;"月",""))</f>
        <v/>
      </c>
      <c r="C925" s="46"/>
      <c r="D925" s="47"/>
      <c r="E925" s="47"/>
      <c r="F925" s="49"/>
      <c r="G925" s="50"/>
      <c r="H925" s="24"/>
      <c r="I925" s="24" t="str">
        <f aca="false">IF($H925="","",N($H925)*N($G925))</f>
        <v/>
      </c>
      <c r="J925" s="25" t="str">
        <f aca="false">IF($H925="","",N($H925)-N($I925))</f>
        <v/>
      </c>
      <c r="K925" s="25"/>
      <c r="L925" s="25" t="str">
        <f aca="false">IF($A925="","",SUMIF($A$4:$A925,$A925,$J$4:$J925)-SUMIF($A$4:$A925,$A925,$K$4:$K925))</f>
        <v/>
      </c>
      <c r="M925" s="26" t="str">
        <f aca="false">IF($H925="","",N($H925))</f>
        <v/>
      </c>
      <c r="N925" s="26"/>
      <c r="O925" s="26"/>
      <c r="P925" s="26" t="str">
        <f aca="false">IF($A925="","",SUMIF($A$4:$A925,$A925,$M$4:$M925)-SUMIF($A$4:$A925,$A925,$N$4:$N925)-SUMIF($A$4:$A925,$A925,$O$4:$O925))</f>
        <v/>
      </c>
      <c r="Q925" s="27"/>
      <c r="R925" s="28"/>
      <c r="S925" s="28"/>
      <c r="T925" s="28" t="str">
        <f aca="false">IF($A925="","",SUMIF($A$4:$A925,$A925,$Q$4:$Q925)-SUMIF($A$4:$A925,$A925,$R$4:$R925)-SUMIF($A$4:$A925,$A925,$S$4:$S925))</f>
        <v/>
      </c>
      <c r="U925" s="28"/>
      <c r="V925" s="29" t="str">
        <f aca="false">IF(AND($C925="",COUNTA($D925:$H925,$K925,$N925:$O925,$Q925:$S925,$U925)=0),"",IF($C925="","⚠ 没填项目名称",IF($A925="⚠目录里没有","⚠ 项目名称在目录里找不到（先加到目录）",IF($A925="","⚠ 目录里这个项目没填简称",IF(ISTEXT($G925)+ISTEXT($H925)+ISTEXT($K925)+ISTEXT($N925)+ISTEXT($O925)+ISTEXT($Q925)+ISTEXT($R925)+ISTEXT($S925)&gt;0,"⚠ 金额列里有文字，算不进合计",IF(N($G925)&gt;=1,"⚠ 管理费点要填百分比，如 10%",IF(AND($D925&lt;&gt;"",$B925=""),"△ 摘要开头没写日期（如 2026.9.21），月份取不到",IF(AND(N($H925)&lt;&gt;0,COUNTIFS($A$4:$A$1003,$A925,$H$4:$H$1003,$H925,$D$4:$D$1003,LEFT($D925,9)&amp;"*")&gt;1),"△ 同一天同项目有一样的销售金额，看看是不是录重了","✓"))))))))</f>
        <v/>
      </c>
      <c r="W925" s="8" t="str">
        <f aca="false">IF($A925="","",$A925&amp;"#"&amp;COUNTIF($A$4:$A925,$A925))</f>
        <v/>
      </c>
    </row>
    <row r="926" customFormat="false" ht="16.5" hidden="false" customHeight="false" outlineLevel="0" collapsed="false">
      <c r="A926" s="44" t="str">
        <f aca="false">IF($C926="","",IFERROR(VLOOKUP($C926,目录!$B:$C,2,0)&amp;"","⚠目录里没有"))</f>
        <v/>
      </c>
      <c r="B926" s="45" t="str">
        <f aca="false">IF($D926="","",IFERROR(MID($D926,FIND(".",$D926)+1,FIND(".",$D926,FIND(".",$D926)+1)-FIND(".",$D926)-1)&amp;"月",""))</f>
        <v/>
      </c>
      <c r="C926" s="46"/>
      <c r="D926" s="47"/>
      <c r="E926" s="47"/>
      <c r="F926" s="49"/>
      <c r="G926" s="50"/>
      <c r="H926" s="24"/>
      <c r="I926" s="24" t="str">
        <f aca="false">IF($H926="","",N($H926)*N($G926))</f>
        <v/>
      </c>
      <c r="J926" s="25" t="str">
        <f aca="false">IF($H926="","",N($H926)-N($I926))</f>
        <v/>
      </c>
      <c r="K926" s="25"/>
      <c r="L926" s="25" t="str">
        <f aca="false">IF($A926="","",SUMIF($A$4:$A926,$A926,$J$4:$J926)-SUMIF($A$4:$A926,$A926,$K$4:$K926))</f>
        <v/>
      </c>
      <c r="M926" s="26" t="str">
        <f aca="false">IF($H926="","",N($H926))</f>
        <v/>
      </c>
      <c r="N926" s="26"/>
      <c r="O926" s="26"/>
      <c r="P926" s="26" t="str">
        <f aca="false">IF($A926="","",SUMIF($A$4:$A926,$A926,$M$4:$M926)-SUMIF($A$4:$A926,$A926,$N$4:$N926)-SUMIF($A$4:$A926,$A926,$O$4:$O926))</f>
        <v/>
      </c>
      <c r="Q926" s="27"/>
      <c r="R926" s="28"/>
      <c r="S926" s="28"/>
      <c r="T926" s="28" t="str">
        <f aca="false">IF($A926="","",SUMIF($A$4:$A926,$A926,$Q$4:$Q926)-SUMIF($A$4:$A926,$A926,$R$4:$R926)-SUMIF($A$4:$A926,$A926,$S$4:$S926))</f>
        <v/>
      </c>
      <c r="U926" s="28"/>
      <c r="V926" s="29" t="str">
        <f aca="false">IF(AND($C926="",COUNTA($D926:$H926,$K926,$N926:$O926,$Q926:$S926,$U926)=0),"",IF($C926="","⚠ 没填项目名称",IF($A926="⚠目录里没有","⚠ 项目名称在目录里找不到（先加到目录）",IF($A926="","⚠ 目录里这个项目没填简称",IF(ISTEXT($G926)+ISTEXT($H926)+ISTEXT($K926)+ISTEXT($N926)+ISTEXT($O926)+ISTEXT($Q926)+ISTEXT($R926)+ISTEXT($S926)&gt;0,"⚠ 金额列里有文字，算不进合计",IF(N($G926)&gt;=1,"⚠ 管理费点要填百分比，如 10%",IF(AND($D926&lt;&gt;"",$B926=""),"△ 摘要开头没写日期（如 2026.9.21），月份取不到",IF(AND(N($H926)&lt;&gt;0,COUNTIFS($A$4:$A$1003,$A926,$H$4:$H$1003,$H926,$D$4:$D$1003,LEFT($D926,9)&amp;"*")&gt;1),"△ 同一天同项目有一样的销售金额，看看是不是录重了","✓"))))))))</f>
        <v/>
      </c>
      <c r="W926" s="8" t="str">
        <f aca="false">IF($A926="","",$A926&amp;"#"&amp;COUNTIF($A$4:$A926,$A926))</f>
        <v/>
      </c>
    </row>
    <row r="927" customFormat="false" ht="16.5" hidden="false" customHeight="false" outlineLevel="0" collapsed="false">
      <c r="A927" s="44" t="str">
        <f aca="false">IF($C927="","",IFERROR(VLOOKUP($C927,目录!$B:$C,2,0)&amp;"","⚠目录里没有"))</f>
        <v/>
      </c>
      <c r="B927" s="45" t="str">
        <f aca="false">IF($D927="","",IFERROR(MID($D927,FIND(".",$D927)+1,FIND(".",$D927,FIND(".",$D927)+1)-FIND(".",$D927)-1)&amp;"月",""))</f>
        <v/>
      </c>
      <c r="C927" s="46"/>
      <c r="D927" s="47"/>
      <c r="E927" s="47"/>
      <c r="F927" s="49"/>
      <c r="G927" s="50"/>
      <c r="H927" s="24"/>
      <c r="I927" s="24" t="str">
        <f aca="false">IF($H927="","",N($H927)*N($G927))</f>
        <v/>
      </c>
      <c r="J927" s="25" t="str">
        <f aca="false">IF($H927="","",N($H927)-N($I927))</f>
        <v/>
      </c>
      <c r="K927" s="25"/>
      <c r="L927" s="25" t="str">
        <f aca="false">IF($A927="","",SUMIF($A$4:$A927,$A927,$J$4:$J927)-SUMIF($A$4:$A927,$A927,$K$4:$K927))</f>
        <v/>
      </c>
      <c r="M927" s="26" t="str">
        <f aca="false">IF($H927="","",N($H927))</f>
        <v/>
      </c>
      <c r="N927" s="26"/>
      <c r="O927" s="26"/>
      <c r="P927" s="26" t="str">
        <f aca="false">IF($A927="","",SUMIF($A$4:$A927,$A927,$M$4:$M927)-SUMIF($A$4:$A927,$A927,$N$4:$N927)-SUMIF($A$4:$A927,$A927,$O$4:$O927))</f>
        <v/>
      </c>
      <c r="Q927" s="27"/>
      <c r="R927" s="28"/>
      <c r="S927" s="28"/>
      <c r="T927" s="28" t="str">
        <f aca="false">IF($A927="","",SUMIF($A$4:$A927,$A927,$Q$4:$Q927)-SUMIF($A$4:$A927,$A927,$R$4:$R927)-SUMIF($A$4:$A927,$A927,$S$4:$S927))</f>
        <v/>
      </c>
      <c r="U927" s="28"/>
      <c r="V927" s="29" t="str">
        <f aca="false">IF(AND($C927="",COUNTA($D927:$H927,$K927,$N927:$O927,$Q927:$S927,$U927)=0),"",IF($C927="","⚠ 没填项目名称",IF($A927="⚠目录里没有","⚠ 项目名称在目录里找不到（先加到目录）",IF($A927="","⚠ 目录里这个项目没填简称",IF(ISTEXT($G927)+ISTEXT($H927)+ISTEXT($K927)+ISTEXT($N927)+ISTEXT($O927)+ISTEXT($Q927)+ISTEXT($R927)+ISTEXT($S927)&gt;0,"⚠ 金额列里有文字，算不进合计",IF(N($G927)&gt;=1,"⚠ 管理费点要填百分比，如 10%",IF(AND($D927&lt;&gt;"",$B927=""),"△ 摘要开头没写日期（如 2026.9.21），月份取不到",IF(AND(N($H927)&lt;&gt;0,COUNTIFS($A$4:$A$1003,$A927,$H$4:$H$1003,$H927,$D$4:$D$1003,LEFT($D927,9)&amp;"*")&gt;1),"△ 同一天同项目有一样的销售金额，看看是不是录重了","✓"))))))))</f>
        <v/>
      </c>
      <c r="W927" s="8" t="str">
        <f aca="false">IF($A927="","",$A927&amp;"#"&amp;COUNTIF($A$4:$A927,$A927))</f>
        <v/>
      </c>
    </row>
    <row r="928" customFormat="false" ht="16.5" hidden="false" customHeight="false" outlineLevel="0" collapsed="false">
      <c r="A928" s="44" t="str">
        <f aca="false">IF($C928="","",IFERROR(VLOOKUP($C928,目录!$B:$C,2,0)&amp;"","⚠目录里没有"))</f>
        <v/>
      </c>
      <c r="B928" s="45" t="str">
        <f aca="false">IF($D928="","",IFERROR(MID($D928,FIND(".",$D928)+1,FIND(".",$D928,FIND(".",$D928)+1)-FIND(".",$D928)-1)&amp;"月",""))</f>
        <v/>
      </c>
      <c r="C928" s="46"/>
      <c r="D928" s="47"/>
      <c r="E928" s="47"/>
      <c r="F928" s="49"/>
      <c r="G928" s="50"/>
      <c r="H928" s="24"/>
      <c r="I928" s="24" t="str">
        <f aca="false">IF($H928="","",N($H928)*N($G928))</f>
        <v/>
      </c>
      <c r="J928" s="25" t="str">
        <f aca="false">IF($H928="","",N($H928)-N($I928))</f>
        <v/>
      </c>
      <c r="K928" s="25"/>
      <c r="L928" s="25" t="str">
        <f aca="false">IF($A928="","",SUMIF($A$4:$A928,$A928,$J$4:$J928)-SUMIF($A$4:$A928,$A928,$K$4:$K928))</f>
        <v/>
      </c>
      <c r="M928" s="26" t="str">
        <f aca="false">IF($H928="","",N($H928))</f>
        <v/>
      </c>
      <c r="N928" s="26"/>
      <c r="O928" s="26"/>
      <c r="P928" s="26" t="str">
        <f aca="false">IF($A928="","",SUMIF($A$4:$A928,$A928,$M$4:$M928)-SUMIF($A$4:$A928,$A928,$N$4:$N928)-SUMIF($A$4:$A928,$A928,$O$4:$O928))</f>
        <v/>
      </c>
      <c r="Q928" s="27"/>
      <c r="R928" s="28"/>
      <c r="S928" s="28"/>
      <c r="T928" s="28" t="str">
        <f aca="false">IF($A928="","",SUMIF($A$4:$A928,$A928,$Q$4:$Q928)-SUMIF($A$4:$A928,$A928,$R$4:$R928)-SUMIF($A$4:$A928,$A928,$S$4:$S928))</f>
        <v/>
      </c>
      <c r="U928" s="28"/>
      <c r="V928" s="29" t="str">
        <f aca="false">IF(AND($C928="",COUNTA($D928:$H928,$K928,$N928:$O928,$Q928:$S928,$U928)=0),"",IF($C928="","⚠ 没填项目名称",IF($A928="⚠目录里没有","⚠ 项目名称在目录里找不到（先加到目录）",IF($A928="","⚠ 目录里这个项目没填简称",IF(ISTEXT($G928)+ISTEXT($H928)+ISTEXT($K928)+ISTEXT($N928)+ISTEXT($O928)+ISTEXT($Q928)+ISTEXT($R928)+ISTEXT($S928)&gt;0,"⚠ 金额列里有文字，算不进合计",IF(N($G928)&gt;=1,"⚠ 管理费点要填百分比，如 10%",IF(AND($D928&lt;&gt;"",$B928=""),"△ 摘要开头没写日期（如 2026.9.21），月份取不到",IF(AND(N($H928)&lt;&gt;0,COUNTIFS($A$4:$A$1003,$A928,$H$4:$H$1003,$H928,$D$4:$D$1003,LEFT($D928,9)&amp;"*")&gt;1),"△ 同一天同项目有一样的销售金额，看看是不是录重了","✓"))))))))</f>
        <v/>
      </c>
      <c r="W928" s="8" t="str">
        <f aca="false">IF($A928="","",$A928&amp;"#"&amp;COUNTIF($A$4:$A928,$A928))</f>
        <v/>
      </c>
    </row>
    <row r="929" customFormat="false" ht="16.5" hidden="false" customHeight="false" outlineLevel="0" collapsed="false">
      <c r="A929" s="44" t="str">
        <f aca="false">IF($C929="","",IFERROR(VLOOKUP($C929,目录!$B:$C,2,0)&amp;"","⚠目录里没有"))</f>
        <v/>
      </c>
      <c r="B929" s="45" t="str">
        <f aca="false">IF($D929="","",IFERROR(MID($D929,FIND(".",$D929)+1,FIND(".",$D929,FIND(".",$D929)+1)-FIND(".",$D929)-1)&amp;"月",""))</f>
        <v/>
      </c>
      <c r="C929" s="46"/>
      <c r="D929" s="47"/>
      <c r="E929" s="47"/>
      <c r="F929" s="49"/>
      <c r="G929" s="50"/>
      <c r="H929" s="24"/>
      <c r="I929" s="24" t="str">
        <f aca="false">IF($H929="","",N($H929)*N($G929))</f>
        <v/>
      </c>
      <c r="J929" s="25" t="str">
        <f aca="false">IF($H929="","",N($H929)-N($I929))</f>
        <v/>
      </c>
      <c r="K929" s="25"/>
      <c r="L929" s="25" t="str">
        <f aca="false">IF($A929="","",SUMIF($A$4:$A929,$A929,$J$4:$J929)-SUMIF($A$4:$A929,$A929,$K$4:$K929))</f>
        <v/>
      </c>
      <c r="M929" s="26" t="str">
        <f aca="false">IF($H929="","",N($H929))</f>
        <v/>
      </c>
      <c r="N929" s="26"/>
      <c r="O929" s="26"/>
      <c r="P929" s="26" t="str">
        <f aca="false">IF($A929="","",SUMIF($A$4:$A929,$A929,$M$4:$M929)-SUMIF($A$4:$A929,$A929,$N$4:$N929)-SUMIF($A$4:$A929,$A929,$O$4:$O929))</f>
        <v/>
      </c>
      <c r="Q929" s="27"/>
      <c r="R929" s="28"/>
      <c r="S929" s="28"/>
      <c r="T929" s="28" t="str">
        <f aca="false">IF($A929="","",SUMIF($A$4:$A929,$A929,$Q$4:$Q929)-SUMIF($A$4:$A929,$A929,$R$4:$R929)-SUMIF($A$4:$A929,$A929,$S$4:$S929))</f>
        <v/>
      </c>
      <c r="U929" s="28"/>
      <c r="V929" s="29" t="str">
        <f aca="false">IF(AND($C929="",COUNTA($D929:$H929,$K929,$N929:$O929,$Q929:$S929,$U929)=0),"",IF($C929="","⚠ 没填项目名称",IF($A929="⚠目录里没有","⚠ 项目名称在目录里找不到（先加到目录）",IF($A929="","⚠ 目录里这个项目没填简称",IF(ISTEXT($G929)+ISTEXT($H929)+ISTEXT($K929)+ISTEXT($N929)+ISTEXT($O929)+ISTEXT($Q929)+ISTEXT($R929)+ISTEXT($S929)&gt;0,"⚠ 金额列里有文字，算不进合计",IF(N($G929)&gt;=1,"⚠ 管理费点要填百分比，如 10%",IF(AND($D929&lt;&gt;"",$B929=""),"△ 摘要开头没写日期（如 2026.9.21），月份取不到",IF(AND(N($H929)&lt;&gt;0,COUNTIFS($A$4:$A$1003,$A929,$H$4:$H$1003,$H929,$D$4:$D$1003,LEFT($D929,9)&amp;"*")&gt;1),"△ 同一天同项目有一样的销售金额，看看是不是录重了","✓"))))))))</f>
        <v/>
      </c>
      <c r="W929" s="8" t="str">
        <f aca="false">IF($A929="","",$A929&amp;"#"&amp;COUNTIF($A$4:$A929,$A929))</f>
        <v/>
      </c>
    </row>
    <row r="930" customFormat="false" ht="16.5" hidden="false" customHeight="false" outlineLevel="0" collapsed="false">
      <c r="A930" s="44" t="str">
        <f aca="false">IF($C930="","",IFERROR(VLOOKUP($C930,目录!$B:$C,2,0)&amp;"","⚠目录里没有"))</f>
        <v/>
      </c>
      <c r="B930" s="45" t="str">
        <f aca="false">IF($D930="","",IFERROR(MID($D930,FIND(".",$D930)+1,FIND(".",$D930,FIND(".",$D930)+1)-FIND(".",$D930)-1)&amp;"月",""))</f>
        <v/>
      </c>
      <c r="C930" s="46"/>
      <c r="D930" s="47"/>
      <c r="E930" s="47"/>
      <c r="F930" s="49"/>
      <c r="G930" s="50"/>
      <c r="H930" s="24"/>
      <c r="I930" s="24" t="str">
        <f aca="false">IF($H930="","",N($H930)*N($G930))</f>
        <v/>
      </c>
      <c r="J930" s="25" t="str">
        <f aca="false">IF($H930="","",N($H930)-N($I930))</f>
        <v/>
      </c>
      <c r="K930" s="25"/>
      <c r="L930" s="25" t="str">
        <f aca="false">IF($A930="","",SUMIF($A$4:$A930,$A930,$J$4:$J930)-SUMIF($A$4:$A930,$A930,$K$4:$K930))</f>
        <v/>
      </c>
      <c r="M930" s="26" t="str">
        <f aca="false">IF($H930="","",N($H930))</f>
        <v/>
      </c>
      <c r="N930" s="26"/>
      <c r="O930" s="26"/>
      <c r="P930" s="26" t="str">
        <f aca="false">IF($A930="","",SUMIF($A$4:$A930,$A930,$M$4:$M930)-SUMIF($A$4:$A930,$A930,$N$4:$N930)-SUMIF($A$4:$A930,$A930,$O$4:$O930))</f>
        <v/>
      </c>
      <c r="Q930" s="27"/>
      <c r="R930" s="28"/>
      <c r="S930" s="28"/>
      <c r="T930" s="28" t="str">
        <f aca="false">IF($A930="","",SUMIF($A$4:$A930,$A930,$Q$4:$Q930)-SUMIF($A$4:$A930,$A930,$R$4:$R930)-SUMIF($A$4:$A930,$A930,$S$4:$S930))</f>
        <v/>
      </c>
      <c r="U930" s="28"/>
      <c r="V930" s="29" t="str">
        <f aca="false">IF(AND($C930="",COUNTA($D930:$H930,$K930,$N930:$O930,$Q930:$S930,$U930)=0),"",IF($C930="","⚠ 没填项目名称",IF($A930="⚠目录里没有","⚠ 项目名称在目录里找不到（先加到目录）",IF($A930="","⚠ 目录里这个项目没填简称",IF(ISTEXT($G930)+ISTEXT($H930)+ISTEXT($K930)+ISTEXT($N930)+ISTEXT($O930)+ISTEXT($Q930)+ISTEXT($R930)+ISTEXT($S930)&gt;0,"⚠ 金额列里有文字，算不进合计",IF(N($G930)&gt;=1,"⚠ 管理费点要填百分比，如 10%",IF(AND($D930&lt;&gt;"",$B930=""),"△ 摘要开头没写日期（如 2026.9.21），月份取不到",IF(AND(N($H930)&lt;&gt;0,COUNTIFS($A$4:$A$1003,$A930,$H$4:$H$1003,$H930,$D$4:$D$1003,LEFT($D930,9)&amp;"*")&gt;1),"△ 同一天同项目有一样的销售金额，看看是不是录重了","✓"))))))))</f>
        <v/>
      </c>
      <c r="W930" s="8" t="str">
        <f aca="false">IF($A930="","",$A930&amp;"#"&amp;COUNTIF($A$4:$A930,$A930))</f>
        <v/>
      </c>
    </row>
    <row r="931" customFormat="false" ht="16.5" hidden="false" customHeight="false" outlineLevel="0" collapsed="false">
      <c r="A931" s="44" t="str">
        <f aca="false">IF($C931="","",IFERROR(VLOOKUP($C931,目录!$B:$C,2,0)&amp;"","⚠目录里没有"))</f>
        <v/>
      </c>
      <c r="B931" s="45" t="str">
        <f aca="false">IF($D931="","",IFERROR(MID($D931,FIND(".",$D931)+1,FIND(".",$D931,FIND(".",$D931)+1)-FIND(".",$D931)-1)&amp;"月",""))</f>
        <v/>
      </c>
      <c r="C931" s="46"/>
      <c r="D931" s="47"/>
      <c r="E931" s="47"/>
      <c r="F931" s="49"/>
      <c r="G931" s="50"/>
      <c r="H931" s="24"/>
      <c r="I931" s="24" t="str">
        <f aca="false">IF($H931="","",N($H931)*N($G931))</f>
        <v/>
      </c>
      <c r="J931" s="25" t="str">
        <f aca="false">IF($H931="","",N($H931)-N($I931))</f>
        <v/>
      </c>
      <c r="K931" s="25"/>
      <c r="L931" s="25" t="str">
        <f aca="false">IF($A931="","",SUMIF($A$4:$A931,$A931,$J$4:$J931)-SUMIF($A$4:$A931,$A931,$K$4:$K931))</f>
        <v/>
      </c>
      <c r="M931" s="26" t="str">
        <f aca="false">IF($H931="","",N($H931))</f>
        <v/>
      </c>
      <c r="N931" s="26"/>
      <c r="O931" s="26"/>
      <c r="P931" s="26" t="str">
        <f aca="false">IF($A931="","",SUMIF($A$4:$A931,$A931,$M$4:$M931)-SUMIF($A$4:$A931,$A931,$N$4:$N931)-SUMIF($A$4:$A931,$A931,$O$4:$O931))</f>
        <v/>
      </c>
      <c r="Q931" s="27"/>
      <c r="R931" s="28"/>
      <c r="S931" s="28"/>
      <c r="T931" s="28" t="str">
        <f aca="false">IF($A931="","",SUMIF($A$4:$A931,$A931,$Q$4:$Q931)-SUMIF($A$4:$A931,$A931,$R$4:$R931)-SUMIF($A$4:$A931,$A931,$S$4:$S931))</f>
        <v/>
      </c>
      <c r="U931" s="28"/>
      <c r="V931" s="29" t="str">
        <f aca="false">IF(AND($C931="",COUNTA($D931:$H931,$K931,$N931:$O931,$Q931:$S931,$U931)=0),"",IF($C931="","⚠ 没填项目名称",IF($A931="⚠目录里没有","⚠ 项目名称在目录里找不到（先加到目录）",IF($A931="","⚠ 目录里这个项目没填简称",IF(ISTEXT($G931)+ISTEXT($H931)+ISTEXT($K931)+ISTEXT($N931)+ISTEXT($O931)+ISTEXT($Q931)+ISTEXT($R931)+ISTEXT($S931)&gt;0,"⚠ 金额列里有文字，算不进合计",IF(N($G931)&gt;=1,"⚠ 管理费点要填百分比，如 10%",IF(AND($D931&lt;&gt;"",$B931=""),"△ 摘要开头没写日期（如 2026.9.21），月份取不到",IF(AND(N($H931)&lt;&gt;0,COUNTIFS($A$4:$A$1003,$A931,$H$4:$H$1003,$H931,$D$4:$D$1003,LEFT($D931,9)&amp;"*")&gt;1),"△ 同一天同项目有一样的销售金额，看看是不是录重了","✓"))))))))</f>
        <v/>
      </c>
      <c r="W931" s="8" t="str">
        <f aca="false">IF($A931="","",$A931&amp;"#"&amp;COUNTIF($A$4:$A931,$A931))</f>
        <v/>
      </c>
    </row>
    <row r="932" customFormat="false" ht="16.5" hidden="false" customHeight="false" outlineLevel="0" collapsed="false">
      <c r="A932" s="44" t="str">
        <f aca="false">IF($C932="","",IFERROR(VLOOKUP($C932,目录!$B:$C,2,0)&amp;"","⚠目录里没有"))</f>
        <v/>
      </c>
      <c r="B932" s="45" t="str">
        <f aca="false">IF($D932="","",IFERROR(MID($D932,FIND(".",$D932)+1,FIND(".",$D932,FIND(".",$D932)+1)-FIND(".",$D932)-1)&amp;"月",""))</f>
        <v/>
      </c>
      <c r="C932" s="46"/>
      <c r="D932" s="47"/>
      <c r="E932" s="47"/>
      <c r="F932" s="49"/>
      <c r="G932" s="50"/>
      <c r="H932" s="24"/>
      <c r="I932" s="24" t="str">
        <f aca="false">IF($H932="","",N($H932)*N($G932))</f>
        <v/>
      </c>
      <c r="J932" s="25" t="str">
        <f aca="false">IF($H932="","",N($H932)-N($I932))</f>
        <v/>
      </c>
      <c r="K932" s="25"/>
      <c r="L932" s="25" t="str">
        <f aca="false">IF($A932="","",SUMIF($A$4:$A932,$A932,$J$4:$J932)-SUMIF($A$4:$A932,$A932,$K$4:$K932))</f>
        <v/>
      </c>
      <c r="M932" s="26" t="str">
        <f aca="false">IF($H932="","",N($H932))</f>
        <v/>
      </c>
      <c r="N932" s="26"/>
      <c r="O932" s="26"/>
      <c r="P932" s="26" t="str">
        <f aca="false">IF($A932="","",SUMIF($A$4:$A932,$A932,$M$4:$M932)-SUMIF($A$4:$A932,$A932,$N$4:$N932)-SUMIF($A$4:$A932,$A932,$O$4:$O932))</f>
        <v/>
      </c>
      <c r="Q932" s="27"/>
      <c r="R932" s="28"/>
      <c r="S932" s="28"/>
      <c r="T932" s="28" t="str">
        <f aca="false">IF($A932="","",SUMIF($A$4:$A932,$A932,$Q$4:$Q932)-SUMIF($A$4:$A932,$A932,$R$4:$R932)-SUMIF($A$4:$A932,$A932,$S$4:$S932))</f>
        <v/>
      </c>
      <c r="U932" s="28"/>
      <c r="V932" s="29" t="str">
        <f aca="false">IF(AND($C932="",COUNTA($D932:$H932,$K932,$N932:$O932,$Q932:$S932,$U932)=0),"",IF($C932="","⚠ 没填项目名称",IF($A932="⚠目录里没有","⚠ 项目名称在目录里找不到（先加到目录）",IF($A932="","⚠ 目录里这个项目没填简称",IF(ISTEXT($G932)+ISTEXT($H932)+ISTEXT($K932)+ISTEXT($N932)+ISTEXT($O932)+ISTEXT($Q932)+ISTEXT($R932)+ISTEXT($S932)&gt;0,"⚠ 金额列里有文字，算不进合计",IF(N($G932)&gt;=1,"⚠ 管理费点要填百分比，如 10%",IF(AND($D932&lt;&gt;"",$B932=""),"△ 摘要开头没写日期（如 2026.9.21），月份取不到",IF(AND(N($H932)&lt;&gt;0,COUNTIFS($A$4:$A$1003,$A932,$H$4:$H$1003,$H932,$D$4:$D$1003,LEFT($D932,9)&amp;"*")&gt;1),"△ 同一天同项目有一样的销售金额，看看是不是录重了","✓"))))))))</f>
        <v/>
      </c>
      <c r="W932" s="8" t="str">
        <f aca="false">IF($A932="","",$A932&amp;"#"&amp;COUNTIF($A$4:$A932,$A932))</f>
        <v/>
      </c>
    </row>
    <row r="933" customFormat="false" ht="16.5" hidden="false" customHeight="false" outlineLevel="0" collapsed="false">
      <c r="A933" s="44" t="str">
        <f aca="false">IF($C933="","",IFERROR(VLOOKUP($C933,目录!$B:$C,2,0)&amp;"","⚠目录里没有"))</f>
        <v/>
      </c>
      <c r="B933" s="45" t="str">
        <f aca="false">IF($D933="","",IFERROR(MID($D933,FIND(".",$D933)+1,FIND(".",$D933,FIND(".",$D933)+1)-FIND(".",$D933)-1)&amp;"月",""))</f>
        <v/>
      </c>
      <c r="C933" s="46"/>
      <c r="D933" s="47"/>
      <c r="E933" s="47"/>
      <c r="F933" s="49"/>
      <c r="G933" s="50"/>
      <c r="H933" s="24"/>
      <c r="I933" s="24" t="str">
        <f aca="false">IF($H933="","",N($H933)*N($G933))</f>
        <v/>
      </c>
      <c r="J933" s="25" t="str">
        <f aca="false">IF($H933="","",N($H933)-N($I933))</f>
        <v/>
      </c>
      <c r="K933" s="25"/>
      <c r="L933" s="25" t="str">
        <f aca="false">IF($A933="","",SUMIF($A$4:$A933,$A933,$J$4:$J933)-SUMIF($A$4:$A933,$A933,$K$4:$K933))</f>
        <v/>
      </c>
      <c r="M933" s="26" t="str">
        <f aca="false">IF($H933="","",N($H933))</f>
        <v/>
      </c>
      <c r="N933" s="26"/>
      <c r="O933" s="26"/>
      <c r="P933" s="26" t="str">
        <f aca="false">IF($A933="","",SUMIF($A$4:$A933,$A933,$M$4:$M933)-SUMIF($A$4:$A933,$A933,$N$4:$N933)-SUMIF($A$4:$A933,$A933,$O$4:$O933))</f>
        <v/>
      </c>
      <c r="Q933" s="27"/>
      <c r="R933" s="28"/>
      <c r="S933" s="28"/>
      <c r="T933" s="28" t="str">
        <f aca="false">IF($A933="","",SUMIF($A$4:$A933,$A933,$Q$4:$Q933)-SUMIF($A$4:$A933,$A933,$R$4:$R933)-SUMIF($A$4:$A933,$A933,$S$4:$S933))</f>
        <v/>
      </c>
      <c r="U933" s="28"/>
      <c r="V933" s="29" t="str">
        <f aca="false">IF(AND($C933="",COUNTA($D933:$H933,$K933,$N933:$O933,$Q933:$S933,$U933)=0),"",IF($C933="","⚠ 没填项目名称",IF($A933="⚠目录里没有","⚠ 项目名称在目录里找不到（先加到目录）",IF($A933="","⚠ 目录里这个项目没填简称",IF(ISTEXT($G933)+ISTEXT($H933)+ISTEXT($K933)+ISTEXT($N933)+ISTEXT($O933)+ISTEXT($Q933)+ISTEXT($R933)+ISTEXT($S933)&gt;0,"⚠ 金额列里有文字，算不进合计",IF(N($G933)&gt;=1,"⚠ 管理费点要填百分比，如 10%",IF(AND($D933&lt;&gt;"",$B933=""),"△ 摘要开头没写日期（如 2026.9.21），月份取不到",IF(AND(N($H933)&lt;&gt;0,COUNTIFS($A$4:$A$1003,$A933,$H$4:$H$1003,$H933,$D$4:$D$1003,LEFT($D933,9)&amp;"*")&gt;1),"△ 同一天同项目有一样的销售金额，看看是不是录重了","✓"))))))))</f>
        <v/>
      </c>
      <c r="W933" s="8" t="str">
        <f aca="false">IF($A933="","",$A933&amp;"#"&amp;COUNTIF($A$4:$A933,$A933))</f>
        <v/>
      </c>
    </row>
    <row r="934" customFormat="false" ht="16.5" hidden="false" customHeight="false" outlineLevel="0" collapsed="false">
      <c r="A934" s="44" t="str">
        <f aca="false">IF($C934="","",IFERROR(VLOOKUP($C934,目录!$B:$C,2,0)&amp;"","⚠目录里没有"))</f>
        <v/>
      </c>
      <c r="B934" s="45" t="str">
        <f aca="false">IF($D934="","",IFERROR(MID($D934,FIND(".",$D934)+1,FIND(".",$D934,FIND(".",$D934)+1)-FIND(".",$D934)-1)&amp;"月",""))</f>
        <v/>
      </c>
      <c r="C934" s="46"/>
      <c r="D934" s="47"/>
      <c r="E934" s="47"/>
      <c r="F934" s="49"/>
      <c r="G934" s="50"/>
      <c r="H934" s="24"/>
      <c r="I934" s="24" t="str">
        <f aca="false">IF($H934="","",N($H934)*N($G934))</f>
        <v/>
      </c>
      <c r="J934" s="25" t="str">
        <f aca="false">IF($H934="","",N($H934)-N($I934))</f>
        <v/>
      </c>
      <c r="K934" s="25"/>
      <c r="L934" s="25" t="str">
        <f aca="false">IF($A934="","",SUMIF($A$4:$A934,$A934,$J$4:$J934)-SUMIF($A$4:$A934,$A934,$K$4:$K934))</f>
        <v/>
      </c>
      <c r="M934" s="26" t="str">
        <f aca="false">IF($H934="","",N($H934))</f>
        <v/>
      </c>
      <c r="N934" s="26"/>
      <c r="O934" s="26"/>
      <c r="P934" s="26" t="str">
        <f aca="false">IF($A934="","",SUMIF($A$4:$A934,$A934,$M$4:$M934)-SUMIF($A$4:$A934,$A934,$N$4:$N934)-SUMIF($A$4:$A934,$A934,$O$4:$O934))</f>
        <v/>
      </c>
      <c r="Q934" s="27"/>
      <c r="R934" s="28"/>
      <c r="S934" s="28"/>
      <c r="T934" s="28" t="str">
        <f aca="false">IF($A934="","",SUMIF($A$4:$A934,$A934,$Q$4:$Q934)-SUMIF($A$4:$A934,$A934,$R$4:$R934)-SUMIF($A$4:$A934,$A934,$S$4:$S934))</f>
        <v/>
      </c>
      <c r="U934" s="28"/>
      <c r="V934" s="29" t="str">
        <f aca="false">IF(AND($C934="",COUNTA($D934:$H934,$K934,$N934:$O934,$Q934:$S934,$U934)=0),"",IF($C934="","⚠ 没填项目名称",IF($A934="⚠目录里没有","⚠ 项目名称在目录里找不到（先加到目录）",IF($A934="","⚠ 目录里这个项目没填简称",IF(ISTEXT($G934)+ISTEXT($H934)+ISTEXT($K934)+ISTEXT($N934)+ISTEXT($O934)+ISTEXT($Q934)+ISTEXT($R934)+ISTEXT($S934)&gt;0,"⚠ 金额列里有文字，算不进合计",IF(N($G934)&gt;=1,"⚠ 管理费点要填百分比，如 10%",IF(AND($D934&lt;&gt;"",$B934=""),"△ 摘要开头没写日期（如 2026.9.21），月份取不到",IF(AND(N($H934)&lt;&gt;0,COUNTIFS($A$4:$A$1003,$A934,$H$4:$H$1003,$H934,$D$4:$D$1003,LEFT($D934,9)&amp;"*")&gt;1),"△ 同一天同项目有一样的销售金额，看看是不是录重了","✓"))))))))</f>
        <v/>
      </c>
      <c r="W934" s="8" t="str">
        <f aca="false">IF($A934="","",$A934&amp;"#"&amp;COUNTIF($A$4:$A934,$A934))</f>
        <v/>
      </c>
    </row>
    <row r="935" customFormat="false" ht="16.5" hidden="false" customHeight="false" outlineLevel="0" collapsed="false">
      <c r="A935" s="44" t="str">
        <f aca="false">IF($C935="","",IFERROR(VLOOKUP($C935,目录!$B:$C,2,0)&amp;"","⚠目录里没有"))</f>
        <v/>
      </c>
      <c r="B935" s="45" t="str">
        <f aca="false">IF($D935="","",IFERROR(MID($D935,FIND(".",$D935)+1,FIND(".",$D935,FIND(".",$D935)+1)-FIND(".",$D935)-1)&amp;"月",""))</f>
        <v/>
      </c>
      <c r="C935" s="46"/>
      <c r="D935" s="47"/>
      <c r="E935" s="47"/>
      <c r="F935" s="49"/>
      <c r="G935" s="50"/>
      <c r="H935" s="24"/>
      <c r="I935" s="24" t="str">
        <f aca="false">IF($H935="","",N($H935)*N($G935))</f>
        <v/>
      </c>
      <c r="J935" s="25" t="str">
        <f aca="false">IF($H935="","",N($H935)-N($I935))</f>
        <v/>
      </c>
      <c r="K935" s="25"/>
      <c r="L935" s="25" t="str">
        <f aca="false">IF($A935="","",SUMIF($A$4:$A935,$A935,$J$4:$J935)-SUMIF($A$4:$A935,$A935,$K$4:$K935))</f>
        <v/>
      </c>
      <c r="M935" s="26" t="str">
        <f aca="false">IF($H935="","",N($H935))</f>
        <v/>
      </c>
      <c r="N935" s="26"/>
      <c r="O935" s="26"/>
      <c r="P935" s="26" t="str">
        <f aca="false">IF($A935="","",SUMIF($A$4:$A935,$A935,$M$4:$M935)-SUMIF($A$4:$A935,$A935,$N$4:$N935)-SUMIF($A$4:$A935,$A935,$O$4:$O935))</f>
        <v/>
      </c>
      <c r="Q935" s="27"/>
      <c r="R935" s="28"/>
      <c r="S935" s="28"/>
      <c r="T935" s="28" t="str">
        <f aca="false">IF($A935="","",SUMIF($A$4:$A935,$A935,$Q$4:$Q935)-SUMIF($A$4:$A935,$A935,$R$4:$R935)-SUMIF($A$4:$A935,$A935,$S$4:$S935))</f>
        <v/>
      </c>
      <c r="U935" s="28"/>
      <c r="V935" s="29" t="str">
        <f aca="false">IF(AND($C935="",COUNTA($D935:$H935,$K935,$N935:$O935,$Q935:$S935,$U935)=0),"",IF($C935="","⚠ 没填项目名称",IF($A935="⚠目录里没有","⚠ 项目名称在目录里找不到（先加到目录）",IF($A935="","⚠ 目录里这个项目没填简称",IF(ISTEXT($G935)+ISTEXT($H935)+ISTEXT($K935)+ISTEXT($N935)+ISTEXT($O935)+ISTEXT($Q935)+ISTEXT($R935)+ISTEXT($S935)&gt;0,"⚠ 金额列里有文字，算不进合计",IF(N($G935)&gt;=1,"⚠ 管理费点要填百分比，如 10%",IF(AND($D935&lt;&gt;"",$B935=""),"△ 摘要开头没写日期（如 2026.9.21），月份取不到",IF(AND(N($H935)&lt;&gt;0,COUNTIFS($A$4:$A$1003,$A935,$H$4:$H$1003,$H935,$D$4:$D$1003,LEFT($D935,9)&amp;"*")&gt;1),"△ 同一天同项目有一样的销售金额，看看是不是录重了","✓"))))))))</f>
        <v/>
      </c>
      <c r="W935" s="8" t="str">
        <f aca="false">IF($A935="","",$A935&amp;"#"&amp;COUNTIF($A$4:$A935,$A935))</f>
        <v/>
      </c>
    </row>
    <row r="936" customFormat="false" ht="16.5" hidden="false" customHeight="false" outlineLevel="0" collapsed="false">
      <c r="A936" s="44" t="str">
        <f aca="false">IF($C936="","",IFERROR(VLOOKUP($C936,目录!$B:$C,2,0)&amp;"","⚠目录里没有"))</f>
        <v/>
      </c>
      <c r="B936" s="45" t="str">
        <f aca="false">IF($D936="","",IFERROR(MID($D936,FIND(".",$D936)+1,FIND(".",$D936,FIND(".",$D936)+1)-FIND(".",$D936)-1)&amp;"月",""))</f>
        <v/>
      </c>
      <c r="C936" s="46"/>
      <c r="D936" s="47"/>
      <c r="E936" s="47"/>
      <c r="F936" s="49"/>
      <c r="G936" s="50"/>
      <c r="H936" s="24"/>
      <c r="I936" s="24" t="str">
        <f aca="false">IF($H936="","",N($H936)*N($G936))</f>
        <v/>
      </c>
      <c r="J936" s="25" t="str">
        <f aca="false">IF($H936="","",N($H936)-N($I936))</f>
        <v/>
      </c>
      <c r="K936" s="25"/>
      <c r="L936" s="25" t="str">
        <f aca="false">IF($A936="","",SUMIF($A$4:$A936,$A936,$J$4:$J936)-SUMIF($A$4:$A936,$A936,$K$4:$K936))</f>
        <v/>
      </c>
      <c r="M936" s="26" t="str">
        <f aca="false">IF($H936="","",N($H936))</f>
        <v/>
      </c>
      <c r="N936" s="26"/>
      <c r="O936" s="26"/>
      <c r="P936" s="26" t="str">
        <f aca="false">IF($A936="","",SUMIF($A$4:$A936,$A936,$M$4:$M936)-SUMIF($A$4:$A936,$A936,$N$4:$N936)-SUMIF($A$4:$A936,$A936,$O$4:$O936))</f>
        <v/>
      </c>
      <c r="Q936" s="27"/>
      <c r="R936" s="28"/>
      <c r="S936" s="28"/>
      <c r="T936" s="28" t="str">
        <f aca="false">IF($A936="","",SUMIF($A$4:$A936,$A936,$Q$4:$Q936)-SUMIF($A$4:$A936,$A936,$R$4:$R936)-SUMIF($A$4:$A936,$A936,$S$4:$S936))</f>
        <v/>
      </c>
      <c r="U936" s="28"/>
      <c r="V936" s="29" t="str">
        <f aca="false">IF(AND($C936="",COUNTA($D936:$H936,$K936,$N936:$O936,$Q936:$S936,$U936)=0),"",IF($C936="","⚠ 没填项目名称",IF($A936="⚠目录里没有","⚠ 项目名称在目录里找不到（先加到目录）",IF($A936="","⚠ 目录里这个项目没填简称",IF(ISTEXT($G936)+ISTEXT($H936)+ISTEXT($K936)+ISTEXT($N936)+ISTEXT($O936)+ISTEXT($Q936)+ISTEXT($R936)+ISTEXT($S936)&gt;0,"⚠ 金额列里有文字，算不进合计",IF(N($G936)&gt;=1,"⚠ 管理费点要填百分比，如 10%",IF(AND($D936&lt;&gt;"",$B936=""),"△ 摘要开头没写日期（如 2026.9.21），月份取不到",IF(AND(N($H936)&lt;&gt;0,COUNTIFS($A$4:$A$1003,$A936,$H$4:$H$1003,$H936,$D$4:$D$1003,LEFT($D936,9)&amp;"*")&gt;1),"△ 同一天同项目有一样的销售金额，看看是不是录重了","✓"))))))))</f>
        <v/>
      </c>
      <c r="W936" s="8" t="str">
        <f aca="false">IF($A936="","",$A936&amp;"#"&amp;COUNTIF($A$4:$A936,$A936))</f>
        <v/>
      </c>
    </row>
    <row r="937" customFormat="false" ht="16.5" hidden="false" customHeight="false" outlineLevel="0" collapsed="false">
      <c r="A937" s="44" t="str">
        <f aca="false">IF($C937="","",IFERROR(VLOOKUP($C937,目录!$B:$C,2,0)&amp;"","⚠目录里没有"))</f>
        <v/>
      </c>
      <c r="B937" s="45" t="str">
        <f aca="false">IF($D937="","",IFERROR(MID($D937,FIND(".",$D937)+1,FIND(".",$D937,FIND(".",$D937)+1)-FIND(".",$D937)-1)&amp;"月",""))</f>
        <v/>
      </c>
      <c r="C937" s="46"/>
      <c r="D937" s="47"/>
      <c r="E937" s="47"/>
      <c r="F937" s="49"/>
      <c r="G937" s="50"/>
      <c r="H937" s="24"/>
      <c r="I937" s="24" t="str">
        <f aca="false">IF($H937="","",N($H937)*N($G937))</f>
        <v/>
      </c>
      <c r="J937" s="25" t="str">
        <f aca="false">IF($H937="","",N($H937)-N($I937))</f>
        <v/>
      </c>
      <c r="K937" s="25"/>
      <c r="L937" s="25" t="str">
        <f aca="false">IF($A937="","",SUMIF($A$4:$A937,$A937,$J$4:$J937)-SUMIF($A$4:$A937,$A937,$K$4:$K937))</f>
        <v/>
      </c>
      <c r="M937" s="26" t="str">
        <f aca="false">IF($H937="","",N($H937))</f>
        <v/>
      </c>
      <c r="N937" s="26"/>
      <c r="O937" s="26"/>
      <c r="P937" s="26" t="str">
        <f aca="false">IF($A937="","",SUMIF($A$4:$A937,$A937,$M$4:$M937)-SUMIF($A$4:$A937,$A937,$N$4:$N937)-SUMIF($A$4:$A937,$A937,$O$4:$O937))</f>
        <v/>
      </c>
      <c r="Q937" s="27"/>
      <c r="R937" s="28"/>
      <c r="S937" s="28"/>
      <c r="T937" s="28" t="str">
        <f aca="false">IF($A937="","",SUMIF($A$4:$A937,$A937,$Q$4:$Q937)-SUMIF($A$4:$A937,$A937,$R$4:$R937)-SUMIF($A$4:$A937,$A937,$S$4:$S937))</f>
        <v/>
      </c>
      <c r="U937" s="28"/>
      <c r="V937" s="29" t="str">
        <f aca="false">IF(AND($C937="",COUNTA($D937:$H937,$K937,$N937:$O937,$Q937:$S937,$U937)=0),"",IF($C937="","⚠ 没填项目名称",IF($A937="⚠目录里没有","⚠ 项目名称在目录里找不到（先加到目录）",IF($A937="","⚠ 目录里这个项目没填简称",IF(ISTEXT($G937)+ISTEXT($H937)+ISTEXT($K937)+ISTEXT($N937)+ISTEXT($O937)+ISTEXT($Q937)+ISTEXT($R937)+ISTEXT($S937)&gt;0,"⚠ 金额列里有文字，算不进合计",IF(N($G937)&gt;=1,"⚠ 管理费点要填百分比，如 10%",IF(AND($D937&lt;&gt;"",$B937=""),"△ 摘要开头没写日期（如 2026.9.21），月份取不到",IF(AND(N($H937)&lt;&gt;0,COUNTIFS($A$4:$A$1003,$A937,$H$4:$H$1003,$H937,$D$4:$D$1003,LEFT($D937,9)&amp;"*")&gt;1),"△ 同一天同项目有一样的销售金额，看看是不是录重了","✓"))))))))</f>
        <v/>
      </c>
      <c r="W937" s="8" t="str">
        <f aca="false">IF($A937="","",$A937&amp;"#"&amp;COUNTIF($A$4:$A937,$A937))</f>
        <v/>
      </c>
    </row>
    <row r="938" customFormat="false" ht="16.5" hidden="false" customHeight="false" outlineLevel="0" collapsed="false">
      <c r="A938" s="44" t="str">
        <f aca="false">IF($C938="","",IFERROR(VLOOKUP($C938,目录!$B:$C,2,0)&amp;"","⚠目录里没有"))</f>
        <v/>
      </c>
      <c r="B938" s="45" t="str">
        <f aca="false">IF($D938="","",IFERROR(MID($D938,FIND(".",$D938)+1,FIND(".",$D938,FIND(".",$D938)+1)-FIND(".",$D938)-1)&amp;"月",""))</f>
        <v/>
      </c>
      <c r="C938" s="46"/>
      <c r="D938" s="47"/>
      <c r="E938" s="47"/>
      <c r="F938" s="49"/>
      <c r="G938" s="50"/>
      <c r="H938" s="24"/>
      <c r="I938" s="24" t="str">
        <f aca="false">IF($H938="","",N($H938)*N($G938))</f>
        <v/>
      </c>
      <c r="J938" s="25" t="str">
        <f aca="false">IF($H938="","",N($H938)-N($I938))</f>
        <v/>
      </c>
      <c r="K938" s="25"/>
      <c r="L938" s="25" t="str">
        <f aca="false">IF($A938="","",SUMIF($A$4:$A938,$A938,$J$4:$J938)-SUMIF($A$4:$A938,$A938,$K$4:$K938))</f>
        <v/>
      </c>
      <c r="M938" s="26" t="str">
        <f aca="false">IF($H938="","",N($H938))</f>
        <v/>
      </c>
      <c r="N938" s="26"/>
      <c r="O938" s="26"/>
      <c r="P938" s="26" t="str">
        <f aca="false">IF($A938="","",SUMIF($A$4:$A938,$A938,$M$4:$M938)-SUMIF($A$4:$A938,$A938,$N$4:$N938)-SUMIF($A$4:$A938,$A938,$O$4:$O938))</f>
        <v/>
      </c>
      <c r="Q938" s="27"/>
      <c r="R938" s="28"/>
      <c r="S938" s="28"/>
      <c r="T938" s="28" t="str">
        <f aca="false">IF($A938="","",SUMIF($A$4:$A938,$A938,$Q$4:$Q938)-SUMIF($A$4:$A938,$A938,$R$4:$R938)-SUMIF($A$4:$A938,$A938,$S$4:$S938))</f>
        <v/>
      </c>
      <c r="U938" s="28"/>
      <c r="V938" s="29" t="str">
        <f aca="false">IF(AND($C938="",COUNTA($D938:$H938,$K938,$N938:$O938,$Q938:$S938,$U938)=0),"",IF($C938="","⚠ 没填项目名称",IF($A938="⚠目录里没有","⚠ 项目名称在目录里找不到（先加到目录）",IF($A938="","⚠ 目录里这个项目没填简称",IF(ISTEXT($G938)+ISTEXT($H938)+ISTEXT($K938)+ISTEXT($N938)+ISTEXT($O938)+ISTEXT($Q938)+ISTEXT($R938)+ISTEXT($S938)&gt;0,"⚠ 金额列里有文字，算不进合计",IF(N($G938)&gt;=1,"⚠ 管理费点要填百分比，如 10%",IF(AND($D938&lt;&gt;"",$B938=""),"△ 摘要开头没写日期（如 2026.9.21），月份取不到",IF(AND(N($H938)&lt;&gt;0,COUNTIFS($A$4:$A$1003,$A938,$H$4:$H$1003,$H938,$D$4:$D$1003,LEFT($D938,9)&amp;"*")&gt;1),"△ 同一天同项目有一样的销售金额，看看是不是录重了","✓"))))))))</f>
        <v/>
      </c>
      <c r="W938" s="8" t="str">
        <f aca="false">IF($A938="","",$A938&amp;"#"&amp;COUNTIF($A$4:$A938,$A938))</f>
        <v/>
      </c>
    </row>
    <row r="939" customFormat="false" ht="16.5" hidden="false" customHeight="false" outlineLevel="0" collapsed="false">
      <c r="A939" s="44" t="str">
        <f aca="false">IF($C939="","",IFERROR(VLOOKUP($C939,目录!$B:$C,2,0)&amp;"","⚠目录里没有"))</f>
        <v/>
      </c>
      <c r="B939" s="45" t="str">
        <f aca="false">IF($D939="","",IFERROR(MID($D939,FIND(".",$D939)+1,FIND(".",$D939,FIND(".",$D939)+1)-FIND(".",$D939)-1)&amp;"月",""))</f>
        <v/>
      </c>
      <c r="C939" s="46"/>
      <c r="D939" s="47"/>
      <c r="E939" s="47"/>
      <c r="F939" s="49"/>
      <c r="G939" s="50"/>
      <c r="H939" s="24"/>
      <c r="I939" s="24" t="str">
        <f aca="false">IF($H939="","",N($H939)*N($G939))</f>
        <v/>
      </c>
      <c r="J939" s="25" t="str">
        <f aca="false">IF($H939="","",N($H939)-N($I939))</f>
        <v/>
      </c>
      <c r="K939" s="25"/>
      <c r="L939" s="25" t="str">
        <f aca="false">IF($A939="","",SUMIF($A$4:$A939,$A939,$J$4:$J939)-SUMIF($A$4:$A939,$A939,$K$4:$K939))</f>
        <v/>
      </c>
      <c r="M939" s="26" t="str">
        <f aca="false">IF($H939="","",N($H939))</f>
        <v/>
      </c>
      <c r="N939" s="26"/>
      <c r="O939" s="26"/>
      <c r="P939" s="26" t="str">
        <f aca="false">IF($A939="","",SUMIF($A$4:$A939,$A939,$M$4:$M939)-SUMIF($A$4:$A939,$A939,$N$4:$N939)-SUMIF($A$4:$A939,$A939,$O$4:$O939))</f>
        <v/>
      </c>
      <c r="Q939" s="27"/>
      <c r="R939" s="28"/>
      <c r="S939" s="28"/>
      <c r="T939" s="28" t="str">
        <f aca="false">IF($A939="","",SUMIF($A$4:$A939,$A939,$Q$4:$Q939)-SUMIF($A$4:$A939,$A939,$R$4:$R939)-SUMIF($A$4:$A939,$A939,$S$4:$S939))</f>
        <v/>
      </c>
      <c r="U939" s="28"/>
      <c r="V939" s="29" t="str">
        <f aca="false">IF(AND($C939="",COUNTA($D939:$H939,$K939,$N939:$O939,$Q939:$S939,$U939)=0),"",IF($C939="","⚠ 没填项目名称",IF($A939="⚠目录里没有","⚠ 项目名称在目录里找不到（先加到目录）",IF($A939="","⚠ 目录里这个项目没填简称",IF(ISTEXT($G939)+ISTEXT($H939)+ISTEXT($K939)+ISTEXT($N939)+ISTEXT($O939)+ISTEXT($Q939)+ISTEXT($R939)+ISTEXT($S939)&gt;0,"⚠ 金额列里有文字，算不进合计",IF(N($G939)&gt;=1,"⚠ 管理费点要填百分比，如 10%",IF(AND($D939&lt;&gt;"",$B939=""),"△ 摘要开头没写日期（如 2026.9.21），月份取不到",IF(AND(N($H939)&lt;&gt;0,COUNTIFS($A$4:$A$1003,$A939,$H$4:$H$1003,$H939,$D$4:$D$1003,LEFT($D939,9)&amp;"*")&gt;1),"△ 同一天同项目有一样的销售金额，看看是不是录重了","✓"))))))))</f>
        <v/>
      </c>
      <c r="W939" s="8" t="str">
        <f aca="false">IF($A939="","",$A939&amp;"#"&amp;COUNTIF($A$4:$A939,$A939))</f>
        <v/>
      </c>
    </row>
    <row r="940" customFormat="false" ht="16.5" hidden="false" customHeight="false" outlineLevel="0" collapsed="false">
      <c r="A940" s="44" t="str">
        <f aca="false">IF($C940="","",IFERROR(VLOOKUP($C940,目录!$B:$C,2,0)&amp;"","⚠目录里没有"))</f>
        <v/>
      </c>
      <c r="B940" s="45" t="str">
        <f aca="false">IF($D940="","",IFERROR(MID($D940,FIND(".",$D940)+1,FIND(".",$D940,FIND(".",$D940)+1)-FIND(".",$D940)-1)&amp;"月",""))</f>
        <v/>
      </c>
      <c r="C940" s="46"/>
      <c r="D940" s="47"/>
      <c r="E940" s="47"/>
      <c r="F940" s="49"/>
      <c r="G940" s="50"/>
      <c r="H940" s="24"/>
      <c r="I940" s="24" t="str">
        <f aca="false">IF($H940="","",N($H940)*N($G940))</f>
        <v/>
      </c>
      <c r="J940" s="25" t="str">
        <f aca="false">IF($H940="","",N($H940)-N($I940))</f>
        <v/>
      </c>
      <c r="K940" s="25"/>
      <c r="L940" s="25" t="str">
        <f aca="false">IF($A940="","",SUMIF($A$4:$A940,$A940,$J$4:$J940)-SUMIF($A$4:$A940,$A940,$K$4:$K940))</f>
        <v/>
      </c>
      <c r="M940" s="26" t="str">
        <f aca="false">IF($H940="","",N($H940))</f>
        <v/>
      </c>
      <c r="N940" s="26"/>
      <c r="O940" s="26"/>
      <c r="P940" s="26" t="str">
        <f aca="false">IF($A940="","",SUMIF($A$4:$A940,$A940,$M$4:$M940)-SUMIF($A$4:$A940,$A940,$N$4:$N940)-SUMIF($A$4:$A940,$A940,$O$4:$O940))</f>
        <v/>
      </c>
      <c r="Q940" s="27"/>
      <c r="R940" s="28"/>
      <c r="S940" s="28"/>
      <c r="T940" s="28" t="str">
        <f aca="false">IF($A940="","",SUMIF($A$4:$A940,$A940,$Q$4:$Q940)-SUMIF($A$4:$A940,$A940,$R$4:$R940)-SUMIF($A$4:$A940,$A940,$S$4:$S940))</f>
        <v/>
      </c>
      <c r="U940" s="28"/>
      <c r="V940" s="29" t="str">
        <f aca="false">IF(AND($C940="",COUNTA($D940:$H940,$K940,$N940:$O940,$Q940:$S940,$U940)=0),"",IF($C940="","⚠ 没填项目名称",IF($A940="⚠目录里没有","⚠ 项目名称在目录里找不到（先加到目录）",IF($A940="","⚠ 目录里这个项目没填简称",IF(ISTEXT($G940)+ISTEXT($H940)+ISTEXT($K940)+ISTEXT($N940)+ISTEXT($O940)+ISTEXT($Q940)+ISTEXT($R940)+ISTEXT($S940)&gt;0,"⚠ 金额列里有文字，算不进合计",IF(N($G940)&gt;=1,"⚠ 管理费点要填百分比，如 10%",IF(AND($D940&lt;&gt;"",$B940=""),"△ 摘要开头没写日期（如 2026.9.21），月份取不到",IF(AND(N($H940)&lt;&gt;0,COUNTIFS($A$4:$A$1003,$A940,$H$4:$H$1003,$H940,$D$4:$D$1003,LEFT($D940,9)&amp;"*")&gt;1),"△ 同一天同项目有一样的销售金额，看看是不是录重了","✓"))))))))</f>
        <v/>
      </c>
      <c r="W940" s="8" t="str">
        <f aca="false">IF($A940="","",$A940&amp;"#"&amp;COUNTIF($A$4:$A940,$A940))</f>
        <v/>
      </c>
    </row>
    <row r="941" customFormat="false" ht="16.5" hidden="false" customHeight="false" outlineLevel="0" collapsed="false">
      <c r="A941" s="44" t="str">
        <f aca="false">IF($C941="","",IFERROR(VLOOKUP($C941,目录!$B:$C,2,0)&amp;"","⚠目录里没有"))</f>
        <v/>
      </c>
      <c r="B941" s="45" t="str">
        <f aca="false">IF($D941="","",IFERROR(MID($D941,FIND(".",$D941)+1,FIND(".",$D941,FIND(".",$D941)+1)-FIND(".",$D941)-1)&amp;"月",""))</f>
        <v/>
      </c>
      <c r="C941" s="46"/>
      <c r="D941" s="47"/>
      <c r="E941" s="47"/>
      <c r="F941" s="49"/>
      <c r="G941" s="50"/>
      <c r="H941" s="24"/>
      <c r="I941" s="24" t="str">
        <f aca="false">IF($H941="","",N($H941)*N($G941))</f>
        <v/>
      </c>
      <c r="J941" s="25" t="str">
        <f aca="false">IF($H941="","",N($H941)-N($I941))</f>
        <v/>
      </c>
      <c r="K941" s="25"/>
      <c r="L941" s="25" t="str">
        <f aca="false">IF($A941="","",SUMIF($A$4:$A941,$A941,$J$4:$J941)-SUMIF($A$4:$A941,$A941,$K$4:$K941))</f>
        <v/>
      </c>
      <c r="M941" s="26" t="str">
        <f aca="false">IF($H941="","",N($H941))</f>
        <v/>
      </c>
      <c r="N941" s="26"/>
      <c r="O941" s="26"/>
      <c r="P941" s="26" t="str">
        <f aca="false">IF($A941="","",SUMIF($A$4:$A941,$A941,$M$4:$M941)-SUMIF($A$4:$A941,$A941,$N$4:$N941)-SUMIF($A$4:$A941,$A941,$O$4:$O941))</f>
        <v/>
      </c>
      <c r="Q941" s="27"/>
      <c r="R941" s="28"/>
      <c r="S941" s="28"/>
      <c r="T941" s="28" t="str">
        <f aca="false">IF($A941="","",SUMIF($A$4:$A941,$A941,$Q$4:$Q941)-SUMIF($A$4:$A941,$A941,$R$4:$R941)-SUMIF($A$4:$A941,$A941,$S$4:$S941))</f>
        <v/>
      </c>
      <c r="U941" s="28"/>
      <c r="V941" s="29" t="str">
        <f aca="false">IF(AND($C941="",COUNTA($D941:$H941,$K941,$N941:$O941,$Q941:$S941,$U941)=0),"",IF($C941="","⚠ 没填项目名称",IF($A941="⚠目录里没有","⚠ 项目名称在目录里找不到（先加到目录）",IF($A941="","⚠ 目录里这个项目没填简称",IF(ISTEXT($G941)+ISTEXT($H941)+ISTEXT($K941)+ISTEXT($N941)+ISTEXT($O941)+ISTEXT($Q941)+ISTEXT($R941)+ISTEXT($S941)&gt;0,"⚠ 金额列里有文字，算不进合计",IF(N($G941)&gt;=1,"⚠ 管理费点要填百分比，如 10%",IF(AND($D941&lt;&gt;"",$B941=""),"△ 摘要开头没写日期（如 2026.9.21），月份取不到",IF(AND(N($H941)&lt;&gt;0,COUNTIFS($A$4:$A$1003,$A941,$H$4:$H$1003,$H941,$D$4:$D$1003,LEFT($D941,9)&amp;"*")&gt;1),"△ 同一天同项目有一样的销售金额，看看是不是录重了","✓"))))))))</f>
        <v/>
      </c>
      <c r="W941" s="8" t="str">
        <f aca="false">IF($A941="","",$A941&amp;"#"&amp;COUNTIF($A$4:$A941,$A941))</f>
        <v/>
      </c>
    </row>
    <row r="942" customFormat="false" ht="16.5" hidden="false" customHeight="false" outlineLevel="0" collapsed="false">
      <c r="A942" s="44" t="str">
        <f aca="false">IF($C942="","",IFERROR(VLOOKUP($C942,目录!$B:$C,2,0)&amp;"","⚠目录里没有"))</f>
        <v/>
      </c>
      <c r="B942" s="45" t="str">
        <f aca="false">IF($D942="","",IFERROR(MID($D942,FIND(".",$D942)+1,FIND(".",$D942,FIND(".",$D942)+1)-FIND(".",$D942)-1)&amp;"月",""))</f>
        <v/>
      </c>
      <c r="C942" s="46"/>
      <c r="D942" s="47"/>
      <c r="E942" s="47"/>
      <c r="F942" s="49"/>
      <c r="G942" s="50"/>
      <c r="H942" s="24"/>
      <c r="I942" s="24" t="str">
        <f aca="false">IF($H942="","",N($H942)*N($G942))</f>
        <v/>
      </c>
      <c r="J942" s="25" t="str">
        <f aca="false">IF($H942="","",N($H942)-N($I942))</f>
        <v/>
      </c>
      <c r="K942" s="25"/>
      <c r="L942" s="25" t="str">
        <f aca="false">IF($A942="","",SUMIF($A$4:$A942,$A942,$J$4:$J942)-SUMIF($A$4:$A942,$A942,$K$4:$K942))</f>
        <v/>
      </c>
      <c r="M942" s="26" t="str">
        <f aca="false">IF($H942="","",N($H942))</f>
        <v/>
      </c>
      <c r="N942" s="26"/>
      <c r="O942" s="26"/>
      <c r="P942" s="26" t="str">
        <f aca="false">IF($A942="","",SUMIF($A$4:$A942,$A942,$M$4:$M942)-SUMIF($A$4:$A942,$A942,$N$4:$N942)-SUMIF($A$4:$A942,$A942,$O$4:$O942))</f>
        <v/>
      </c>
      <c r="Q942" s="27"/>
      <c r="R942" s="28"/>
      <c r="S942" s="28"/>
      <c r="T942" s="28" t="str">
        <f aca="false">IF($A942="","",SUMIF($A$4:$A942,$A942,$Q$4:$Q942)-SUMIF($A$4:$A942,$A942,$R$4:$R942)-SUMIF($A$4:$A942,$A942,$S$4:$S942))</f>
        <v/>
      </c>
      <c r="U942" s="28"/>
      <c r="V942" s="29" t="str">
        <f aca="false">IF(AND($C942="",COUNTA($D942:$H942,$K942,$N942:$O942,$Q942:$S942,$U942)=0),"",IF($C942="","⚠ 没填项目名称",IF($A942="⚠目录里没有","⚠ 项目名称在目录里找不到（先加到目录）",IF($A942="","⚠ 目录里这个项目没填简称",IF(ISTEXT($G942)+ISTEXT($H942)+ISTEXT($K942)+ISTEXT($N942)+ISTEXT($O942)+ISTEXT($Q942)+ISTEXT($R942)+ISTEXT($S942)&gt;0,"⚠ 金额列里有文字，算不进合计",IF(N($G942)&gt;=1,"⚠ 管理费点要填百分比，如 10%",IF(AND($D942&lt;&gt;"",$B942=""),"△ 摘要开头没写日期（如 2026.9.21），月份取不到",IF(AND(N($H942)&lt;&gt;0,COUNTIFS($A$4:$A$1003,$A942,$H$4:$H$1003,$H942,$D$4:$D$1003,LEFT($D942,9)&amp;"*")&gt;1),"△ 同一天同项目有一样的销售金额，看看是不是录重了","✓"))))))))</f>
        <v/>
      </c>
      <c r="W942" s="8" t="str">
        <f aca="false">IF($A942="","",$A942&amp;"#"&amp;COUNTIF($A$4:$A942,$A942))</f>
        <v/>
      </c>
    </row>
    <row r="943" customFormat="false" ht="16.5" hidden="false" customHeight="false" outlineLevel="0" collapsed="false">
      <c r="A943" s="44" t="str">
        <f aca="false">IF($C943="","",IFERROR(VLOOKUP($C943,目录!$B:$C,2,0)&amp;"","⚠目录里没有"))</f>
        <v/>
      </c>
      <c r="B943" s="45" t="str">
        <f aca="false">IF($D943="","",IFERROR(MID($D943,FIND(".",$D943)+1,FIND(".",$D943,FIND(".",$D943)+1)-FIND(".",$D943)-1)&amp;"月",""))</f>
        <v/>
      </c>
      <c r="C943" s="46"/>
      <c r="D943" s="47"/>
      <c r="E943" s="47"/>
      <c r="F943" s="49"/>
      <c r="G943" s="50"/>
      <c r="H943" s="24"/>
      <c r="I943" s="24" t="str">
        <f aca="false">IF($H943="","",N($H943)*N($G943))</f>
        <v/>
      </c>
      <c r="J943" s="25" t="str">
        <f aca="false">IF($H943="","",N($H943)-N($I943))</f>
        <v/>
      </c>
      <c r="K943" s="25"/>
      <c r="L943" s="25" t="str">
        <f aca="false">IF($A943="","",SUMIF($A$4:$A943,$A943,$J$4:$J943)-SUMIF($A$4:$A943,$A943,$K$4:$K943))</f>
        <v/>
      </c>
      <c r="M943" s="26" t="str">
        <f aca="false">IF($H943="","",N($H943))</f>
        <v/>
      </c>
      <c r="N943" s="26"/>
      <c r="O943" s="26"/>
      <c r="P943" s="26" t="str">
        <f aca="false">IF($A943="","",SUMIF($A$4:$A943,$A943,$M$4:$M943)-SUMIF($A$4:$A943,$A943,$N$4:$N943)-SUMIF($A$4:$A943,$A943,$O$4:$O943))</f>
        <v/>
      </c>
      <c r="Q943" s="27"/>
      <c r="R943" s="28"/>
      <c r="S943" s="28"/>
      <c r="T943" s="28" t="str">
        <f aca="false">IF($A943="","",SUMIF($A$4:$A943,$A943,$Q$4:$Q943)-SUMIF($A$4:$A943,$A943,$R$4:$R943)-SUMIF($A$4:$A943,$A943,$S$4:$S943))</f>
        <v/>
      </c>
      <c r="U943" s="28"/>
      <c r="V943" s="29" t="str">
        <f aca="false">IF(AND($C943="",COUNTA($D943:$H943,$K943,$N943:$O943,$Q943:$S943,$U943)=0),"",IF($C943="","⚠ 没填项目名称",IF($A943="⚠目录里没有","⚠ 项目名称在目录里找不到（先加到目录）",IF($A943="","⚠ 目录里这个项目没填简称",IF(ISTEXT($G943)+ISTEXT($H943)+ISTEXT($K943)+ISTEXT($N943)+ISTEXT($O943)+ISTEXT($Q943)+ISTEXT($R943)+ISTEXT($S943)&gt;0,"⚠ 金额列里有文字，算不进合计",IF(N($G943)&gt;=1,"⚠ 管理费点要填百分比，如 10%",IF(AND($D943&lt;&gt;"",$B943=""),"△ 摘要开头没写日期（如 2026.9.21），月份取不到",IF(AND(N($H943)&lt;&gt;0,COUNTIFS($A$4:$A$1003,$A943,$H$4:$H$1003,$H943,$D$4:$D$1003,LEFT($D943,9)&amp;"*")&gt;1),"△ 同一天同项目有一样的销售金额，看看是不是录重了","✓"))))))))</f>
        <v/>
      </c>
      <c r="W943" s="8" t="str">
        <f aca="false">IF($A943="","",$A943&amp;"#"&amp;COUNTIF($A$4:$A943,$A943))</f>
        <v/>
      </c>
    </row>
    <row r="944" customFormat="false" ht="16.5" hidden="false" customHeight="false" outlineLevel="0" collapsed="false">
      <c r="A944" s="44" t="str">
        <f aca="false">IF($C944="","",IFERROR(VLOOKUP($C944,目录!$B:$C,2,0)&amp;"","⚠目录里没有"))</f>
        <v/>
      </c>
      <c r="B944" s="45" t="str">
        <f aca="false">IF($D944="","",IFERROR(MID($D944,FIND(".",$D944)+1,FIND(".",$D944,FIND(".",$D944)+1)-FIND(".",$D944)-1)&amp;"月",""))</f>
        <v/>
      </c>
      <c r="C944" s="46"/>
      <c r="D944" s="47"/>
      <c r="E944" s="47"/>
      <c r="F944" s="49"/>
      <c r="G944" s="50"/>
      <c r="H944" s="24"/>
      <c r="I944" s="24" t="str">
        <f aca="false">IF($H944="","",N($H944)*N($G944))</f>
        <v/>
      </c>
      <c r="J944" s="25" t="str">
        <f aca="false">IF($H944="","",N($H944)-N($I944))</f>
        <v/>
      </c>
      <c r="K944" s="25"/>
      <c r="L944" s="25" t="str">
        <f aca="false">IF($A944="","",SUMIF($A$4:$A944,$A944,$J$4:$J944)-SUMIF($A$4:$A944,$A944,$K$4:$K944))</f>
        <v/>
      </c>
      <c r="M944" s="26" t="str">
        <f aca="false">IF($H944="","",N($H944))</f>
        <v/>
      </c>
      <c r="N944" s="26"/>
      <c r="O944" s="26"/>
      <c r="P944" s="26" t="str">
        <f aca="false">IF($A944="","",SUMIF($A$4:$A944,$A944,$M$4:$M944)-SUMIF($A$4:$A944,$A944,$N$4:$N944)-SUMIF($A$4:$A944,$A944,$O$4:$O944))</f>
        <v/>
      </c>
      <c r="Q944" s="27"/>
      <c r="R944" s="28"/>
      <c r="S944" s="28"/>
      <c r="T944" s="28" t="str">
        <f aca="false">IF($A944="","",SUMIF($A$4:$A944,$A944,$Q$4:$Q944)-SUMIF($A$4:$A944,$A944,$R$4:$R944)-SUMIF($A$4:$A944,$A944,$S$4:$S944))</f>
        <v/>
      </c>
      <c r="U944" s="28"/>
      <c r="V944" s="29" t="str">
        <f aca="false">IF(AND($C944="",COUNTA($D944:$H944,$K944,$N944:$O944,$Q944:$S944,$U944)=0),"",IF($C944="","⚠ 没填项目名称",IF($A944="⚠目录里没有","⚠ 项目名称在目录里找不到（先加到目录）",IF($A944="","⚠ 目录里这个项目没填简称",IF(ISTEXT($G944)+ISTEXT($H944)+ISTEXT($K944)+ISTEXT($N944)+ISTEXT($O944)+ISTEXT($Q944)+ISTEXT($R944)+ISTEXT($S944)&gt;0,"⚠ 金额列里有文字，算不进合计",IF(N($G944)&gt;=1,"⚠ 管理费点要填百分比，如 10%",IF(AND($D944&lt;&gt;"",$B944=""),"△ 摘要开头没写日期（如 2026.9.21），月份取不到",IF(AND(N($H944)&lt;&gt;0,COUNTIFS($A$4:$A$1003,$A944,$H$4:$H$1003,$H944,$D$4:$D$1003,LEFT($D944,9)&amp;"*")&gt;1),"△ 同一天同项目有一样的销售金额，看看是不是录重了","✓"))))))))</f>
        <v/>
      </c>
      <c r="W944" s="8" t="str">
        <f aca="false">IF($A944="","",$A944&amp;"#"&amp;COUNTIF($A$4:$A944,$A944))</f>
        <v/>
      </c>
    </row>
    <row r="945" customFormat="false" ht="16.5" hidden="false" customHeight="false" outlineLevel="0" collapsed="false">
      <c r="A945" s="44" t="str">
        <f aca="false">IF($C945="","",IFERROR(VLOOKUP($C945,目录!$B:$C,2,0)&amp;"","⚠目录里没有"))</f>
        <v/>
      </c>
      <c r="B945" s="45" t="str">
        <f aca="false">IF($D945="","",IFERROR(MID($D945,FIND(".",$D945)+1,FIND(".",$D945,FIND(".",$D945)+1)-FIND(".",$D945)-1)&amp;"月",""))</f>
        <v/>
      </c>
      <c r="C945" s="46"/>
      <c r="D945" s="47"/>
      <c r="E945" s="47"/>
      <c r="F945" s="49"/>
      <c r="G945" s="50"/>
      <c r="H945" s="24"/>
      <c r="I945" s="24" t="str">
        <f aca="false">IF($H945="","",N($H945)*N($G945))</f>
        <v/>
      </c>
      <c r="J945" s="25" t="str">
        <f aca="false">IF($H945="","",N($H945)-N($I945))</f>
        <v/>
      </c>
      <c r="K945" s="25"/>
      <c r="L945" s="25" t="str">
        <f aca="false">IF($A945="","",SUMIF($A$4:$A945,$A945,$J$4:$J945)-SUMIF($A$4:$A945,$A945,$K$4:$K945))</f>
        <v/>
      </c>
      <c r="M945" s="26" t="str">
        <f aca="false">IF($H945="","",N($H945))</f>
        <v/>
      </c>
      <c r="N945" s="26"/>
      <c r="O945" s="26"/>
      <c r="P945" s="26" t="str">
        <f aca="false">IF($A945="","",SUMIF($A$4:$A945,$A945,$M$4:$M945)-SUMIF($A$4:$A945,$A945,$N$4:$N945)-SUMIF($A$4:$A945,$A945,$O$4:$O945))</f>
        <v/>
      </c>
      <c r="Q945" s="27"/>
      <c r="R945" s="28"/>
      <c r="S945" s="28"/>
      <c r="T945" s="28" t="str">
        <f aca="false">IF($A945="","",SUMIF($A$4:$A945,$A945,$Q$4:$Q945)-SUMIF($A$4:$A945,$A945,$R$4:$R945)-SUMIF($A$4:$A945,$A945,$S$4:$S945))</f>
        <v/>
      </c>
      <c r="U945" s="28"/>
      <c r="V945" s="29" t="str">
        <f aca="false">IF(AND($C945="",COUNTA($D945:$H945,$K945,$N945:$O945,$Q945:$S945,$U945)=0),"",IF($C945="","⚠ 没填项目名称",IF($A945="⚠目录里没有","⚠ 项目名称在目录里找不到（先加到目录）",IF($A945="","⚠ 目录里这个项目没填简称",IF(ISTEXT($G945)+ISTEXT($H945)+ISTEXT($K945)+ISTEXT($N945)+ISTEXT($O945)+ISTEXT($Q945)+ISTEXT($R945)+ISTEXT($S945)&gt;0,"⚠ 金额列里有文字，算不进合计",IF(N($G945)&gt;=1,"⚠ 管理费点要填百分比，如 10%",IF(AND($D945&lt;&gt;"",$B945=""),"△ 摘要开头没写日期（如 2026.9.21），月份取不到",IF(AND(N($H945)&lt;&gt;0,COUNTIFS($A$4:$A$1003,$A945,$H$4:$H$1003,$H945,$D$4:$D$1003,LEFT($D945,9)&amp;"*")&gt;1),"△ 同一天同项目有一样的销售金额，看看是不是录重了","✓"))))))))</f>
        <v/>
      </c>
      <c r="W945" s="8" t="str">
        <f aca="false">IF($A945="","",$A945&amp;"#"&amp;COUNTIF($A$4:$A945,$A945))</f>
        <v/>
      </c>
    </row>
    <row r="946" customFormat="false" ht="16.5" hidden="false" customHeight="false" outlineLevel="0" collapsed="false">
      <c r="A946" s="44" t="str">
        <f aca="false">IF($C946="","",IFERROR(VLOOKUP($C946,目录!$B:$C,2,0)&amp;"","⚠目录里没有"))</f>
        <v/>
      </c>
      <c r="B946" s="45" t="str">
        <f aca="false">IF($D946="","",IFERROR(MID($D946,FIND(".",$D946)+1,FIND(".",$D946,FIND(".",$D946)+1)-FIND(".",$D946)-1)&amp;"月",""))</f>
        <v/>
      </c>
      <c r="C946" s="46"/>
      <c r="D946" s="47"/>
      <c r="E946" s="47"/>
      <c r="F946" s="49"/>
      <c r="G946" s="50"/>
      <c r="H946" s="24"/>
      <c r="I946" s="24" t="str">
        <f aca="false">IF($H946="","",N($H946)*N($G946))</f>
        <v/>
      </c>
      <c r="J946" s="25" t="str">
        <f aca="false">IF($H946="","",N($H946)-N($I946))</f>
        <v/>
      </c>
      <c r="K946" s="25"/>
      <c r="L946" s="25" t="str">
        <f aca="false">IF($A946="","",SUMIF($A$4:$A946,$A946,$J$4:$J946)-SUMIF($A$4:$A946,$A946,$K$4:$K946))</f>
        <v/>
      </c>
      <c r="M946" s="26" t="str">
        <f aca="false">IF($H946="","",N($H946))</f>
        <v/>
      </c>
      <c r="N946" s="26"/>
      <c r="O946" s="26"/>
      <c r="P946" s="26" t="str">
        <f aca="false">IF($A946="","",SUMIF($A$4:$A946,$A946,$M$4:$M946)-SUMIF($A$4:$A946,$A946,$N$4:$N946)-SUMIF($A$4:$A946,$A946,$O$4:$O946))</f>
        <v/>
      </c>
      <c r="Q946" s="27"/>
      <c r="R946" s="28"/>
      <c r="S946" s="28"/>
      <c r="T946" s="28" t="str">
        <f aca="false">IF($A946="","",SUMIF($A$4:$A946,$A946,$Q$4:$Q946)-SUMIF($A$4:$A946,$A946,$R$4:$R946)-SUMIF($A$4:$A946,$A946,$S$4:$S946))</f>
        <v/>
      </c>
      <c r="U946" s="28"/>
      <c r="V946" s="29" t="str">
        <f aca="false">IF(AND($C946="",COUNTA($D946:$H946,$K946,$N946:$O946,$Q946:$S946,$U946)=0),"",IF($C946="","⚠ 没填项目名称",IF($A946="⚠目录里没有","⚠ 项目名称在目录里找不到（先加到目录）",IF($A946="","⚠ 目录里这个项目没填简称",IF(ISTEXT($G946)+ISTEXT($H946)+ISTEXT($K946)+ISTEXT($N946)+ISTEXT($O946)+ISTEXT($Q946)+ISTEXT($R946)+ISTEXT($S946)&gt;0,"⚠ 金额列里有文字，算不进合计",IF(N($G946)&gt;=1,"⚠ 管理费点要填百分比，如 10%",IF(AND($D946&lt;&gt;"",$B946=""),"△ 摘要开头没写日期（如 2026.9.21），月份取不到",IF(AND(N($H946)&lt;&gt;0,COUNTIFS($A$4:$A$1003,$A946,$H$4:$H$1003,$H946,$D$4:$D$1003,LEFT($D946,9)&amp;"*")&gt;1),"△ 同一天同项目有一样的销售金额，看看是不是录重了","✓"))))))))</f>
        <v/>
      </c>
      <c r="W946" s="8" t="str">
        <f aca="false">IF($A946="","",$A946&amp;"#"&amp;COUNTIF($A$4:$A946,$A946))</f>
        <v/>
      </c>
    </row>
    <row r="947" customFormat="false" ht="16.5" hidden="false" customHeight="false" outlineLevel="0" collapsed="false">
      <c r="A947" s="44" t="str">
        <f aca="false">IF($C947="","",IFERROR(VLOOKUP($C947,目录!$B:$C,2,0)&amp;"","⚠目录里没有"))</f>
        <v/>
      </c>
      <c r="B947" s="45" t="str">
        <f aca="false">IF($D947="","",IFERROR(MID($D947,FIND(".",$D947)+1,FIND(".",$D947,FIND(".",$D947)+1)-FIND(".",$D947)-1)&amp;"月",""))</f>
        <v/>
      </c>
      <c r="C947" s="46"/>
      <c r="D947" s="47"/>
      <c r="E947" s="47"/>
      <c r="F947" s="49"/>
      <c r="G947" s="50"/>
      <c r="H947" s="24"/>
      <c r="I947" s="24" t="str">
        <f aca="false">IF($H947="","",N($H947)*N($G947))</f>
        <v/>
      </c>
      <c r="J947" s="25" t="str">
        <f aca="false">IF($H947="","",N($H947)-N($I947))</f>
        <v/>
      </c>
      <c r="K947" s="25"/>
      <c r="L947" s="25" t="str">
        <f aca="false">IF($A947="","",SUMIF($A$4:$A947,$A947,$J$4:$J947)-SUMIF($A$4:$A947,$A947,$K$4:$K947))</f>
        <v/>
      </c>
      <c r="M947" s="26" t="str">
        <f aca="false">IF($H947="","",N($H947))</f>
        <v/>
      </c>
      <c r="N947" s="26"/>
      <c r="O947" s="26"/>
      <c r="P947" s="26" t="str">
        <f aca="false">IF($A947="","",SUMIF($A$4:$A947,$A947,$M$4:$M947)-SUMIF($A$4:$A947,$A947,$N$4:$N947)-SUMIF($A$4:$A947,$A947,$O$4:$O947))</f>
        <v/>
      </c>
      <c r="Q947" s="27"/>
      <c r="R947" s="28"/>
      <c r="S947" s="28"/>
      <c r="T947" s="28" t="str">
        <f aca="false">IF($A947="","",SUMIF($A$4:$A947,$A947,$Q$4:$Q947)-SUMIF($A$4:$A947,$A947,$R$4:$R947)-SUMIF($A$4:$A947,$A947,$S$4:$S947))</f>
        <v/>
      </c>
      <c r="U947" s="28"/>
      <c r="V947" s="29" t="str">
        <f aca="false">IF(AND($C947="",COUNTA($D947:$H947,$K947,$N947:$O947,$Q947:$S947,$U947)=0),"",IF($C947="","⚠ 没填项目名称",IF($A947="⚠目录里没有","⚠ 项目名称在目录里找不到（先加到目录）",IF($A947="","⚠ 目录里这个项目没填简称",IF(ISTEXT($G947)+ISTEXT($H947)+ISTEXT($K947)+ISTEXT($N947)+ISTEXT($O947)+ISTEXT($Q947)+ISTEXT($R947)+ISTEXT($S947)&gt;0,"⚠ 金额列里有文字，算不进合计",IF(N($G947)&gt;=1,"⚠ 管理费点要填百分比，如 10%",IF(AND($D947&lt;&gt;"",$B947=""),"△ 摘要开头没写日期（如 2026.9.21），月份取不到",IF(AND(N($H947)&lt;&gt;0,COUNTIFS($A$4:$A$1003,$A947,$H$4:$H$1003,$H947,$D$4:$D$1003,LEFT($D947,9)&amp;"*")&gt;1),"△ 同一天同项目有一样的销售金额，看看是不是录重了","✓"))))))))</f>
        <v/>
      </c>
      <c r="W947" s="8" t="str">
        <f aca="false">IF($A947="","",$A947&amp;"#"&amp;COUNTIF($A$4:$A947,$A947))</f>
        <v/>
      </c>
    </row>
    <row r="948" customFormat="false" ht="16.5" hidden="false" customHeight="false" outlineLevel="0" collapsed="false">
      <c r="A948" s="44" t="str">
        <f aca="false">IF($C948="","",IFERROR(VLOOKUP($C948,目录!$B:$C,2,0)&amp;"","⚠目录里没有"))</f>
        <v/>
      </c>
      <c r="B948" s="45" t="str">
        <f aca="false">IF($D948="","",IFERROR(MID($D948,FIND(".",$D948)+1,FIND(".",$D948,FIND(".",$D948)+1)-FIND(".",$D948)-1)&amp;"月",""))</f>
        <v/>
      </c>
      <c r="C948" s="46"/>
      <c r="D948" s="47"/>
      <c r="E948" s="47"/>
      <c r="F948" s="49"/>
      <c r="G948" s="50"/>
      <c r="H948" s="24"/>
      <c r="I948" s="24" t="str">
        <f aca="false">IF($H948="","",N($H948)*N($G948))</f>
        <v/>
      </c>
      <c r="J948" s="25" t="str">
        <f aca="false">IF($H948="","",N($H948)-N($I948))</f>
        <v/>
      </c>
      <c r="K948" s="25"/>
      <c r="L948" s="25" t="str">
        <f aca="false">IF($A948="","",SUMIF($A$4:$A948,$A948,$J$4:$J948)-SUMIF($A$4:$A948,$A948,$K$4:$K948))</f>
        <v/>
      </c>
      <c r="M948" s="26" t="str">
        <f aca="false">IF($H948="","",N($H948))</f>
        <v/>
      </c>
      <c r="N948" s="26"/>
      <c r="O948" s="26"/>
      <c r="P948" s="26" t="str">
        <f aca="false">IF($A948="","",SUMIF($A$4:$A948,$A948,$M$4:$M948)-SUMIF($A$4:$A948,$A948,$N$4:$N948)-SUMIF($A$4:$A948,$A948,$O$4:$O948))</f>
        <v/>
      </c>
      <c r="Q948" s="27"/>
      <c r="R948" s="28"/>
      <c r="S948" s="28"/>
      <c r="T948" s="28" t="str">
        <f aca="false">IF($A948="","",SUMIF($A$4:$A948,$A948,$Q$4:$Q948)-SUMIF($A$4:$A948,$A948,$R$4:$R948)-SUMIF($A$4:$A948,$A948,$S$4:$S948))</f>
        <v/>
      </c>
      <c r="U948" s="28"/>
      <c r="V948" s="29" t="str">
        <f aca="false">IF(AND($C948="",COUNTA($D948:$H948,$K948,$N948:$O948,$Q948:$S948,$U948)=0),"",IF($C948="","⚠ 没填项目名称",IF($A948="⚠目录里没有","⚠ 项目名称在目录里找不到（先加到目录）",IF($A948="","⚠ 目录里这个项目没填简称",IF(ISTEXT($G948)+ISTEXT($H948)+ISTEXT($K948)+ISTEXT($N948)+ISTEXT($O948)+ISTEXT($Q948)+ISTEXT($R948)+ISTEXT($S948)&gt;0,"⚠ 金额列里有文字，算不进合计",IF(N($G948)&gt;=1,"⚠ 管理费点要填百分比，如 10%",IF(AND($D948&lt;&gt;"",$B948=""),"△ 摘要开头没写日期（如 2026.9.21），月份取不到",IF(AND(N($H948)&lt;&gt;0,COUNTIFS($A$4:$A$1003,$A948,$H$4:$H$1003,$H948,$D$4:$D$1003,LEFT($D948,9)&amp;"*")&gt;1),"△ 同一天同项目有一样的销售金额，看看是不是录重了","✓"))))))))</f>
        <v/>
      </c>
      <c r="W948" s="8" t="str">
        <f aca="false">IF($A948="","",$A948&amp;"#"&amp;COUNTIF($A$4:$A948,$A948))</f>
        <v/>
      </c>
    </row>
    <row r="949" customFormat="false" ht="16.5" hidden="false" customHeight="false" outlineLevel="0" collapsed="false">
      <c r="A949" s="44" t="str">
        <f aca="false">IF($C949="","",IFERROR(VLOOKUP($C949,目录!$B:$C,2,0)&amp;"","⚠目录里没有"))</f>
        <v/>
      </c>
      <c r="B949" s="45" t="str">
        <f aca="false">IF($D949="","",IFERROR(MID($D949,FIND(".",$D949)+1,FIND(".",$D949,FIND(".",$D949)+1)-FIND(".",$D949)-1)&amp;"月",""))</f>
        <v/>
      </c>
      <c r="C949" s="46"/>
      <c r="D949" s="47"/>
      <c r="E949" s="47"/>
      <c r="F949" s="49"/>
      <c r="G949" s="50"/>
      <c r="H949" s="24"/>
      <c r="I949" s="24" t="str">
        <f aca="false">IF($H949="","",N($H949)*N($G949))</f>
        <v/>
      </c>
      <c r="J949" s="25" t="str">
        <f aca="false">IF($H949="","",N($H949)-N($I949))</f>
        <v/>
      </c>
      <c r="K949" s="25"/>
      <c r="L949" s="25" t="str">
        <f aca="false">IF($A949="","",SUMIF($A$4:$A949,$A949,$J$4:$J949)-SUMIF($A$4:$A949,$A949,$K$4:$K949))</f>
        <v/>
      </c>
      <c r="M949" s="26" t="str">
        <f aca="false">IF($H949="","",N($H949))</f>
        <v/>
      </c>
      <c r="N949" s="26"/>
      <c r="O949" s="26"/>
      <c r="P949" s="26" t="str">
        <f aca="false">IF($A949="","",SUMIF($A$4:$A949,$A949,$M$4:$M949)-SUMIF($A$4:$A949,$A949,$N$4:$N949)-SUMIF($A$4:$A949,$A949,$O$4:$O949))</f>
        <v/>
      </c>
      <c r="Q949" s="27"/>
      <c r="R949" s="28"/>
      <c r="S949" s="28"/>
      <c r="T949" s="28" t="str">
        <f aca="false">IF($A949="","",SUMIF($A$4:$A949,$A949,$Q$4:$Q949)-SUMIF($A$4:$A949,$A949,$R$4:$R949)-SUMIF($A$4:$A949,$A949,$S$4:$S949))</f>
        <v/>
      </c>
      <c r="U949" s="28"/>
      <c r="V949" s="29" t="str">
        <f aca="false">IF(AND($C949="",COUNTA($D949:$H949,$K949,$N949:$O949,$Q949:$S949,$U949)=0),"",IF($C949="","⚠ 没填项目名称",IF($A949="⚠目录里没有","⚠ 项目名称在目录里找不到（先加到目录）",IF($A949="","⚠ 目录里这个项目没填简称",IF(ISTEXT($G949)+ISTEXT($H949)+ISTEXT($K949)+ISTEXT($N949)+ISTEXT($O949)+ISTEXT($Q949)+ISTEXT($R949)+ISTEXT($S949)&gt;0,"⚠ 金额列里有文字，算不进合计",IF(N($G949)&gt;=1,"⚠ 管理费点要填百分比，如 10%",IF(AND($D949&lt;&gt;"",$B949=""),"△ 摘要开头没写日期（如 2026.9.21），月份取不到",IF(AND(N($H949)&lt;&gt;0,COUNTIFS($A$4:$A$1003,$A949,$H$4:$H$1003,$H949,$D$4:$D$1003,LEFT($D949,9)&amp;"*")&gt;1),"△ 同一天同项目有一样的销售金额，看看是不是录重了","✓"))))))))</f>
        <v/>
      </c>
      <c r="W949" s="8" t="str">
        <f aca="false">IF($A949="","",$A949&amp;"#"&amp;COUNTIF($A$4:$A949,$A949))</f>
        <v/>
      </c>
    </row>
    <row r="950" customFormat="false" ht="16.5" hidden="false" customHeight="false" outlineLevel="0" collapsed="false">
      <c r="A950" s="44" t="str">
        <f aca="false">IF($C950="","",IFERROR(VLOOKUP($C950,目录!$B:$C,2,0)&amp;"","⚠目录里没有"))</f>
        <v/>
      </c>
      <c r="B950" s="45" t="str">
        <f aca="false">IF($D950="","",IFERROR(MID($D950,FIND(".",$D950)+1,FIND(".",$D950,FIND(".",$D950)+1)-FIND(".",$D950)-1)&amp;"月",""))</f>
        <v/>
      </c>
      <c r="C950" s="46"/>
      <c r="D950" s="47"/>
      <c r="E950" s="47"/>
      <c r="F950" s="49"/>
      <c r="G950" s="50"/>
      <c r="H950" s="24"/>
      <c r="I950" s="24" t="str">
        <f aca="false">IF($H950="","",N($H950)*N($G950))</f>
        <v/>
      </c>
      <c r="J950" s="25" t="str">
        <f aca="false">IF($H950="","",N($H950)-N($I950))</f>
        <v/>
      </c>
      <c r="K950" s="25"/>
      <c r="L950" s="25" t="str">
        <f aca="false">IF($A950="","",SUMIF($A$4:$A950,$A950,$J$4:$J950)-SUMIF($A$4:$A950,$A950,$K$4:$K950))</f>
        <v/>
      </c>
      <c r="M950" s="26" t="str">
        <f aca="false">IF($H950="","",N($H950))</f>
        <v/>
      </c>
      <c r="N950" s="26"/>
      <c r="O950" s="26"/>
      <c r="P950" s="26" t="str">
        <f aca="false">IF($A950="","",SUMIF($A$4:$A950,$A950,$M$4:$M950)-SUMIF($A$4:$A950,$A950,$N$4:$N950)-SUMIF($A$4:$A950,$A950,$O$4:$O950))</f>
        <v/>
      </c>
      <c r="Q950" s="27"/>
      <c r="R950" s="28"/>
      <c r="S950" s="28"/>
      <c r="T950" s="28" t="str">
        <f aca="false">IF($A950="","",SUMIF($A$4:$A950,$A950,$Q$4:$Q950)-SUMIF($A$4:$A950,$A950,$R$4:$R950)-SUMIF($A$4:$A950,$A950,$S$4:$S950))</f>
        <v/>
      </c>
      <c r="U950" s="28"/>
      <c r="V950" s="29" t="str">
        <f aca="false">IF(AND($C950="",COUNTA($D950:$H950,$K950,$N950:$O950,$Q950:$S950,$U950)=0),"",IF($C950="","⚠ 没填项目名称",IF($A950="⚠目录里没有","⚠ 项目名称在目录里找不到（先加到目录）",IF($A950="","⚠ 目录里这个项目没填简称",IF(ISTEXT($G950)+ISTEXT($H950)+ISTEXT($K950)+ISTEXT($N950)+ISTEXT($O950)+ISTEXT($Q950)+ISTEXT($R950)+ISTEXT($S950)&gt;0,"⚠ 金额列里有文字，算不进合计",IF(N($G950)&gt;=1,"⚠ 管理费点要填百分比，如 10%",IF(AND($D950&lt;&gt;"",$B950=""),"△ 摘要开头没写日期（如 2026.9.21），月份取不到",IF(AND(N($H950)&lt;&gt;0,COUNTIFS($A$4:$A$1003,$A950,$H$4:$H$1003,$H950,$D$4:$D$1003,LEFT($D950,9)&amp;"*")&gt;1),"△ 同一天同项目有一样的销售金额，看看是不是录重了","✓"))))))))</f>
        <v/>
      </c>
      <c r="W950" s="8" t="str">
        <f aca="false">IF($A950="","",$A950&amp;"#"&amp;COUNTIF($A$4:$A950,$A950))</f>
        <v/>
      </c>
    </row>
    <row r="951" customFormat="false" ht="16.5" hidden="false" customHeight="false" outlineLevel="0" collapsed="false">
      <c r="A951" s="44" t="str">
        <f aca="false">IF($C951="","",IFERROR(VLOOKUP($C951,目录!$B:$C,2,0)&amp;"","⚠目录里没有"))</f>
        <v/>
      </c>
      <c r="B951" s="45" t="str">
        <f aca="false">IF($D951="","",IFERROR(MID($D951,FIND(".",$D951)+1,FIND(".",$D951,FIND(".",$D951)+1)-FIND(".",$D951)-1)&amp;"月",""))</f>
        <v/>
      </c>
      <c r="C951" s="46"/>
      <c r="D951" s="47"/>
      <c r="E951" s="47"/>
      <c r="F951" s="49"/>
      <c r="G951" s="50"/>
      <c r="H951" s="24"/>
      <c r="I951" s="24" t="str">
        <f aca="false">IF($H951="","",N($H951)*N($G951))</f>
        <v/>
      </c>
      <c r="J951" s="25" t="str">
        <f aca="false">IF($H951="","",N($H951)-N($I951))</f>
        <v/>
      </c>
      <c r="K951" s="25"/>
      <c r="L951" s="25" t="str">
        <f aca="false">IF($A951="","",SUMIF($A$4:$A951,$A951,$J$4:$J951)-SUMIF($A$4:$A951,$A951,$K$4:$K951))</f>
        <v/>
      </c>
      <c r="M951" s="26" t="str">
        <f aca="false">IF($H951="","",N($H951))</f>
        <v/>
      </c>
      <c r="N951" s="26"/>
      <c r="O951" s="26"/>
      <c r="P951" s="26" t="str">
        <f aca="false">IF($A951="","",SUMIF($A$4:$A951,$A951,$M$4:$M951)-SUMIF($A$4:$A951,$A951,$N$4:$N951)-SUMIF($A$4:$A951,$A951,$O$4:$O951))</f>
        <v/>
      </c>
      <c r="Q951" s="27"/>
      <c r="R951" s="28"/>
      <c r="S951" s="28"/>
      <c r="T951" s="28" t="str">
        <f aca="false">IF($A951="","",SUMIF($A$4:$A951,$A951,$Q$4:$Q951)-SUMIF($A$4:$A951,$A951,$R$4:$R951)-SUMIF($A$4:$A951,$A951,$S$4:$S951))</f>
        <v/>
      </c>
      <c r="U951" s="28"/>
      <c r="V951" s="29" t="str">
        <f aca="false">IF(AND($C951="",COUNTA($D951:$H951,$K951,$N951:$O951,$Q951:$S951,$U951)=0),"",IF($C951="","⚠ 没填项目名称",IF($A951="⚠目录里没有","⚠ 项目名称在目录里找不到（先加到目录）",IF($A951="","⚠ 目录里这个项目没填简称",IF(ISTEXT($G951)+ISTEXT($H951)+ISTEXT($K951)+ISTEXT($N951)+ISTEXT($O951)+ISTEXT($Q951)+ISTEXT($R951)+ISTEXT($S951)&gt;0,"⚠ 金额列里有文字，算不进合计",IF(N($G951)&gt;=1,"⚠ 管理费点要填百分比，如 10%",IF(AND($D951&lt;&gt;"",$B951=""),"△ 摘要开头没写日期（如 2026.9.21），月份取不到",IF(AND(N($H951)&lt;&gt;0,COUNTIFS($A$4:$A$1003,$A951,$H$4:$H$1003,$H951,$D$4:$D$1003,LEFT($D951,9)&amp;"*")&gt;1),"△ 同一天同项目有一样的销售金额，看看是不是录重了","✓"))))))))</f>
        <v/>
      </c>
      <c r="W951" s="8" t="str">
        <f aca="false">IF($A951="","",$A951&amp;"#"&amp;COUNTIF($A$4:$A951,$A951))</f>
        <v/>
      </c>
    </row>
    <row r="952" customFormat="false" ht="16.5" hidden="false" customHeight="false" outlineLevel="0" collapsed="false">
      <c r="A952" s="44" t="str">
        <f aca="false">IF($C952="","",IFERROR(VLOOKUP($C952,目录!$B:$C,2,0)&amp;"","⚠目录里没有"))</f>
        <v/>
      </c>
      <c r="B952" s="45" t="str">
        <f aca="false">IF($D952="","",IFERROR(MID($D952,FIND(".",$D952)+1,FIND(".",$D952,FIND(".",$D952)+1)-FIND(".",$D952)-1)&amp;"月",""))</f>
        <v/>
      </c>
      <c r="C952" s="46"/>
      <c r="D952" s="47"/>
      <c r="E952" s="47"/>
      <c r="F952" s="49"/>
      <c r="G952" s="50"/>
      <c r="H952" s="24"/>
      <c r="I952" s="24" t="str">
        <f aca="false">IF($H952="","",N($H952)*N($G952))</f>
        <v/>
      </c>
      <c r="J952" s="25" t="str">
        <f aca="false">IF($H952="","",N($H952)-N($I952))</f>
        <v/>
      </c>
      <c r="K952" s="25"/>
      <c r="L952" s="25" t="str">
        <f aca="false">IF($A952="","",SUMIF($A$4:$A952,$A952,$J$4:$J952)-SUMIF($A$4:$A952,$A952,$K$4:$K952))</f>
        <v/>
      </c>
      <c r="M952" s="26" t="str">
        <f aca="false">IF($H952="","",N($H952))</f>
        <v/>
      </c>
      <c r="N952" s="26"/>
      <c r="O952" s="26"/>
      <c r="P952" s="26" t="str">
        <f aca="false">IF($A952="","",SUMIF($A$4:$A952,$A952,$M$4:$M952)-SUMIF($A$4:$A952,$A952,$N$4:$N952)-SUMIF($A$4:$A952,$A952,$O$4:$O952))</f>
        <v/>
      </c>
      <c r="Q952" s="27"/>
      <c r="R952" s="28"/>
      <c r="S952" s="28"/>
      <c r="T952" s="28" t="str">
        <f aca="false">IF($A952="","",SUMIF($A$4:$A952,$A952,$Q$4:$Q952)-SUMIF($A$4:$A952,$A952,$R$4:$R952)-SUMIF($A$4:$A952,$A952,$S$4:$S952))</f>
        <v/>
      </c>
      <c r="U952" s="28"/>
      <c r="V952" s="29" t="str">
        <f aca="false">IF(AND($C952="",COUNTA($D952:$H952,$K952,$N952:$O952,$Q952:$S952,$U952)=0),"",IF($C952="","⚠ 没填项目名称",IF($A952="⚠目录里没有","⚠ 项目名称在目录里找不到（先加到目录）",IF($A952="","⚠ 目录里这个项目没填简称",IF(ISTEXT($G952)+ISTEXT($H952)+ISTEXT($K952)+ISTEXT($N952)+ISTEXT($O952)+ISTEXT($Q952)+ISTEXT($R952)+ISTEXT($S952)&gt;0,"⚠ 金额列里有文字，算不进合计",IF(N($G952)&gt;=1,"⚠ 管理费点要填百分比，如 10%",IF(AND($D952&lt;&gt;"",$B952=""),"△ 摘要开头没写日期（如 2026.9.21），月份取不到",IF(AND(N($H952)&lt;&gt;0,COUNTIFS($A$4:$A$1003,$A952,$H$4:$H$1003,$H952,$D$4:$D$1003,LEFT($D952,9)&amp;"*")&gt;1),"△ 同一天同项目有一样的销售金额，看看是不是录重了","✓"))))))))</f>
        <v/>
      </c>
      <c r="W952" s="8" t="str">
        <f aca="false">IF($A952="","",$A952&amp;"#"&amp;COUNTIF($A$4:$A952,$A952))</f>
        <v/>
      </c>
    </row>
    <row r="953" customFormat="false" ht="16.5" hidden="false" customHeight="false" outlineLevel="0" collapsed="false">
      <c r="A953" s="44" t="str">
        <f aca="false">IF($C953="","",IFERROR(VLOOKUP($C953,目录!$B:$C,2,0)&amp;"","⚠目录里没有"))</f>
        <v/>
      </c>
      <c r="B953" s="45" t="str">
        <f aca="false">IF($D953="","",IFERROR(MID($D953,FIND(".",$D953)+1,FIND(".",$D953,FIND(".",$D953)+1)-FIND(".",$D953)-1)&amp;"月",""))</f>
        <v/>
      </c>
      <c r="C953" s="46"/>
      <c r="D953" s="47"/>
      <c r="E953" s="47"/>
      <c r="F953" s="49"/>
      <c r="G953" s="50"/>
      <c r="H953" s="24"/>
      <c r="I953" s="24" t="str">
        <f aca="false">IF($H953="","",N($H953)*N($G953))</f>
        <v/>
      </c>
      <c r="J953" s="25" t="str">
        <f aca="false">IF($H953="","",N($H953)-N($I953))</f>
        <v/>
      </c>
      <c r="K953" s="25"/>
      <c r="L953" s="25" t="str">
        <f aca="false">IF($A953="","",SUMIF($A$4:$A953,$A953,$J$4:$J953)-SUMIF($A$4:$A953,$A953,$K$4:$K953))</f>
        <v/>
      </c>
      <c r="M953" s="26" t="str">
        <f aca="false">IF($H953="","",N($H953))</f>
        <v/>
      </c>
      <c r="N953" s="26"/>
      <c r="O953" s="26"/>
      <c r="P953" s="26" t="str">
        <f aca="false">IF($A953="","",SUMIF($A$4:$A953,$A953,$M$4:$M953)-SUMIF($A$4:$A953,$A953,$N$4:$N953)-SUMIF($A$4:$A953,$A953,$O$4:$O953))</f>
        <v/>
      </c>
      <c r="Q953" s="27"/>
      <c r="R953" s="28"/>
      <c r="S953" s="28"/>
      <c r="T953" s="28" t="str">
        <f aca="false">IF($A953="","",SUMIF($A$4:$A953,$A953,$Q$4:$Q953)-SUMIF($A$4:$A953,$A953,$R$4:$R953)-SUMIF($A$4:$A953,$A953,$S$4:$S953))</f>
        <v/>
      </c>
      <c r="U953" s="28"/>
      <c r="V953" s="29" t="str">
        <f aca="false">IF(AND($C953="",COUNTA($D953:$H953,$K953,$N953:$O953,$Q953:$S953,$U953)=0),"",IF($C953="","⚠ 没填项目名称",IF($A953="⚠目录里没有","⚠ 项目名称在目录里找不到（先加到目录）",IF($A953="","⚠ 目录里这个项目没填简称",IF(ISTEXT($G953)+ISTEXT($H953)+ISTEXT($K953)+ISTEXT($N953)+ISTEXT($O953)+ISTEXT($Q953)+ISTEXT($R953)+ISTEXT($S953)&gt;0,"⚠ 金额列里有文字，算不进合计",IF(N($G953)&gt;=1,"⚠ 管理费点要填百分比，如 10%",IF(AND($D953&lt;&gt;"",$B953=""),"△ 摘要开头没写日期（如 2026.9.21），月份取不到",IF(AND(N($H953)&lt;&gt;0,COUNTIFS($A$4:$A$1003,$A953,$H$4:$H$1003,$H953,$D$4:$D$1003,LEFT($D953,9)&amp;"*")&gt;1),"△ 同一天同项目有一样的销售金额，看看是不是录重了","✓"))))))))</f>
        <v/>
      </c>
      <c r="W953" s="8" t="str">
        <f aca="false">IF($A953="","",$A953&amp;"#"&amp;COUNTIF($A$4:$A953,$A953))</f>
        <v/>
      </c>
    </row>
    <row r="954" customFormat="false" ht="16.5" hidden="false" customHeight="false" outlineLevel="0" collapsed="false">
      <c r="A954" s="44" t="str">
        <f aca="false">IF($C954="","",IFERROR(VLOOKUP($C954,目录!$B:$C,2,0)&amp;"","⚠目录里没有"))</f>
        <v/>
      </c>
      <c r="B954" s="45" t="str">
        <f aca="false">IF($D954="","",IFERROR(MID($D954,FIND(".",$D954)+1,FIND(".",$D954,FIND(".",$D954)+1)-FIND(".",$D954)-1)&amp;"月",""))</f>
        <v/>
      </c>
      <c r="C954" s="46"/>
      <c r="D954" s="47"/>
      <c r="E954" s="47"/>
      <c r="F954" s="49"/>
      <c r="G954" s="50"/>
      <c r="H954" s="24"/>
      <c r="I954" s="24" t="str">
        <f aca="false">IF($H954="","",N($H954)*N($G954))</f>
        <v/>
      </c>
      <c r="J954" s="25" t="str">
        <f aca="false">IF($H954="","",N($H954)-N($I954))</f>
        <v/>
      </c>
      <c r="K954" s="25"/>
      <c r="L954" s="25" t="str">
        <f aca="false">IF($A954="","",SUMIF($A$4:$A954,$A954,$J$4:$J954)-SUMIF($A$4:$A954,$A954,$K$4:$K954))</f>
        <v/>
      </c>
      <c r="M954" s="26" t="str">
        <f aca="false">IF($H954="","",N($H954))</f>
        <v/>
      </c>
      <c r="N954" s="26"/>
      <c r="O954" s="26"/>
      <c r="P954" s="26" t="str">
        <f aca="false">IF($A954="","",SUMIF($A$4:$A954,$A954,$M$4:$M954)-SUMIF($A$4:$A954,$A954,$N$4:$N954)-SUMIF($A$4:$A954,$A954,$O$4:$O954))</f>
        <v/>
      </c>
      <c r="Q954" s="27"/>
      <c r="R954" s="28"/>
      <c r="S954" s="28"/>
      <c r="T954" s="28" t="str">
        <f aca="false">IF($A954="","",SUMIF($A$4:$A954,$A954,$Q$4:$Q954)-SUMIF($A$4:$A954,$A954,$R$4:$R954)-SUMIF($A$4:$A954,$A954,$S$4:$S954))</f>
        <v/>
      </c>
      <c r="U954" s="28"/>
      <c r="V954" s="29" t="str">
        <f aca="false">IF(AND($C954="",COUNTA($D954:$H954,$K954,$N954:$O954,$Q954:$S954,$U954)=0),"",IF($C954="","⚠ 没填项目名称",IF($A954="⚠目录里没有","⚠ 项目名称在目录里找不到（先加到目录）",IF($A954="","⚠ 目录里这个项目没填简称",IF(ISTEXT($G954)+ISTEXT($H954)+ISTEXT($K954)+ISTEXT($N954)+ISTEXT($O954)+ISTEXT($Q954)+ISTEXT($R954)+ISTEXT($S954)&gt;0,"⚠ 金额列里有文字，算不进合计",IF(N($G954)&gt;=1,"⚠ 管理费点要填百分比，如 10%",IF(AND($D954&lt;&gt;"",$B954=""),"△ 摘要开头没写日期（如 2026.9.21），月份取不到",IF(AND(N($H954)&lt;&gt;0,COUNTIFS($A$4:$A$1003,$A954,$H$4:$H$1003,$H954,$D$4:$D$1003,LEFT($D954,9)&amp;"*")&gt;1),"△ 同一天同项目有一样的销售金额，看看是不是录重了","✓"))))))))</f>
        <v/>
      </c>
      <c r="W954" s="8" t="str">
        <f aca="false">IF($A954="","",$A954&amp;"#"&amp;COUNTIF($A$4:$A954,$A954))</f>
        <v/>
      </c>
    </row>
    <row r="955" customFormat="false" ht="16.5" hidden="false" customHeight="false" outlineLevel="0" collapsed="false">
      <c r="A955" s="44" t="str">
        <f aca="false">IF($C955="","",IFERROR(VLOOKUP($C955,目录!$B:$C,2,0)&amp;"","⚠目录里没有"))</f>
        <v/>
      </c>
      <c r="B955" s="45" t="str">
        <f aca="false">IF($D955="","",IFERROR(MID($D955,FIND(".",$D955)+1,FIND(".",$D955,FIND(".",$D955)+1)-FIND(".",$D955)-1)&amp;"月",""))</f>
        <v/>
      </c>
      <c r="C955" s="46"/>
      <c r="D955" s="47"/>
      <c r="E955" s="47"/>
      <c r="F955" s="49"/>
      <c r="G955" s="50"/>
      <c r="H955" s="24"/>
      <c r="I955" s="24" t="str">
        <f aca="false">IF($H955="","",N($H955)*N($G955))</f>
        <v/>
      </c>
      <c r="J955" s="25" t="str">
        <f aca="false">IF($H955="","",N($H955)-N($I955))</f>
        <v/>
      </c>
      <c r="K955" s="25"/>
      <c r="L955" s="25" t="str">
        <f aca="false">IF($A955="","",SUMIF($A$4:$A955,$A955,$J$4:$J955)-SUMIF($A$4:$A955,$A955,$K$4:$K955))</f>
        <v/>
      </c>
      <c r="M955" s="26" t="str">
        <f aca="false">IF($H955="","",N($H955))</f>
        <v/>
      </c>
      <c r="N955" s="26"/>
      <c r="O955" s="26"/>
      <c r="P955" s="26" t="str">
        <f aca="false">IF($A955="","",SUMIF($A$4:$A955,$A955,$M$4:$M955)-SUMIF($A$4:$A955,$A955,$N$4:$N955)-SUMIF($A$4:$A955,$A955,$O$4:$O955))</f>
        <v/>
      </c>
      <c r="Q955" s="27"/>
      <c r="R955" s="28"/>
      <c r="S955" s="28"/>
      <c r="T955" s="28" t="str">
        <f aca="false">IF($A955="","",SUMIF($A$4:$A955,$A955,$Q$4:$Q955)-SUMIF($A$4:$A955,$A955,$R$4:$R955)-SUMIF($A$4:$A955,$A955,$S$4:$S955))</f>
        <v/>
      </c>
      <c r="U955" s="28"/>
      <c r="V955" s="29" t="str">
        <f aca="false">IF(AND($C955="",COUNTA($D955:$H955,$K955,$N955:$O955,$Q955:$S955,$U955)=0),"",IF($C955="","⚠ 没填项目名称",IF($A955="⚠目录里没有","⚠ 项目名称在目录里找不到（先加到目录）",IF($A955="","⚠ 目录里这个项目没填简称",IF(ISTEXT($G955)+ISTEXT($H955)+ISTEXT($K955)+ISTEXT($N955)+ISTEXT($O955)+ISTEXT($Q955)+ISTEXT($R955)+ISTEXT($S955)&gt;0,"⚠ 金额列里有文字，算不进合计",IF(N($G955)&gt;=1,"⚠ 管理费点要填百分比，如 10%",IF(AND($D955&lt;&gt;"",$B955=""),"△ 摘要开头没写日期（如 2026.9.21），月份取不到",IF(AND(N($H955)&lt;&gt;0,COUNTIFS($A$4:$A$1003,$A955,$H$4:$H$1003,$H955,$D$4:$D$1003,LEFT($D955,9)&amp;"*")&gt;1),"△ 同一天同项目有一样的销售金额，看看是不是录重了","✓"))))))))</f>
        <v/>
      </c>
      <c r="W955" s="8" t="str">
        <f aca="false">IF($A955="","",$A955&amp;"#"&amp;COUNTIF($A$4:$A955,$A955))</f>
        <v/>
      </c>
    </row>
    <row r="956" customFormat="false" ht="16.5" hidden="false" customHeight="false" outlineLevel="0" collapsed="false">
      <c r="A956" s="44" t="str">
        <f aca="false">IF($C956="","",IFERROR(VLOOKUP($C956,目录!$B:$C,2,0)&amp;"","⚠目录里没有"))</f>
        <v/>
      </c>
      <c r="B956" s="45" t="str">
        <f aca="false">IF($D956="","",IFERROR(MID($D956,FIND(".",$D956)+1,FIND(".",$D956,FIND(".",$D956)+1)-FIND(".",$D956)-1)&amp;"月",""))</f>
        <v/>
      </c>
      <c r="C956" s="46"/>
      <c r="D956" s="47"/>
      <c r="E956" s="47"/>
      <c r="F956" s="49"/>
      <c r="G956" s="50"/>
      <c r="H956" s="24"/>
      <c r="I956" s="24" t="str">
        <f aca="false">IF($H956="","",N($H956)*N($G956))</f>
        <v/>
      </c>
      <c r="J956" s="25" t="str">
        <f aca="false">IF($H956="","",N($H956)-N($I956))</f>
        <v/>
      </c>
      <c r="K956" s="25"/>
      <c r="L956" s="25" t="str">
        <f aca="false">IF($A956="","",SUMIF($A$4:$A956,$A956,$J$4:$J956)-SUMIF($A$4:$A956,$A956,$K$4:$K956))</f>
        <v/>
      </c>
      <c r="M956" s="26" t="str">
        <f aca="false">IF($H956="","",N($H956))</f>
        <v/>
      </c>
      <c r="N956" s="26"/>
      <c r="O956" s="26"/>
      <c r="P956" s="26" t="str">
        <f aca="false">IF($A956="","",SUMIF($A$4:$A956,$A956,$M$4:$M956)-SUMIF($A$4:$A956,$A956,$N$4:$N956)-SUMIF($A$4:$A956,$A956,$O$4:$O956))</f>
        <v/>
      </c>
      <c r="Q956" s="27"/>
      <c r="R956" s="28"/>
      <c r="S956" s="28"/>
      <c r="T956" s="28" t="str">
        <f aca="false">IF($A956="","",SUMIF($A$4:$A956,$A956,$Q$4:$Q956)-SUMIF($A$4:$A956,$A956,$R$4:$R956)-SUMIF($A$4:$A956,$A956,$S$4:$S956))</f>
        <v/>
      </c>
      <c r="U956" s="28"/>
      <c r="V956" s="29" t="str">
        <f aca="false">IF(AND($C956="",COUNTA($D956:$H956,$K956,$N956:$O956,$Q956:$S956,$U956)=0),"",IF($C956="","⚠ 没填项目名称",IF($A956="⚠目录里没有","⚠ 项目名称在目录里找不到（先加到目录）",IF($A956="","⚠ 目录里这个项目没填简称",IF(ISTEXT($G956)+ISTEXT($H956)+ISTEXT($K956)+ISTEXT($N956)+ISTEXT($O956)+ISTEXT($Q956)+ISTEXT($R956)+ISTEXT($S956)&gt;0,"⚠ 金额列里有文字，算不进合计",IF(N($G956)&gt;=1,"⚠ 管理费点要填百分比，如 10%",IF(AND($D956&lt;&gt;"",$B956=""),"△ 摘要开头没写日期（如 2026.9.21），月份取不到",IF(AND(N($H956)&lt;&gt;0,COUNTIFS($A$4:$A$1003,$A956,$H$4:$H$1003,$H956,$D$4:$D$1003,LEFT($D956,9)&amp;"*")&gt;1),"△ 同一天同项目有一样的销售金额，看看是不是录重了","✓"))))))))</f>
        <v/>
      </c>
      <c r="W956" s="8" t="str">
        <f aca="false">IF($A956="","",$A956&amp;"#"&amp;COUNTIF($A$4:$A956,$A956))</f>
        <v/>
      </c>
    </row>
    <row r="957" customFormat="false" ht="16.5" hidden="false" customHeight="false" outlineLevel="0" collapsed="false">
      <c r="A957" s="44" t="str">
        <f aca="false">IF($C957="","",IFERROR(VLOOKUP($C957,目录!$B:$C,2,0)&amp;"","⚠目录里没有"))</f>
        <v/>
      </c>
      <c r="B957" s="45" t="str">
        <f aca="false">IF($D957="","",IFERROR(MID($D957,FIND(".",$D957)+1,FIND(".",$D957,FIND(".",$D957)+1)-FIND(".",$D957)-1)&amp;"月",""))</f>
        <v/>
      </c>
      <c r="C957" s="46"/>
      <c r="D957" s="47"/>
      <c r="E957" s="47"/>
      <c r="F957" s="49"/>
      <c r="G957" s="50"/>
      <c r="H957" s="24"/>
      <c r="I957" s="24" t="str">
        <f aca="false">IF($H957="","",N($H957)*N($G957))</f>
        <v/>
      </c>
      <c r="J957" s="25" t="str">
        <f aca="false">IF($H957="","",N($H957)-N($I957))</f>
        <v/>
      </c>
      <c r="K957" s="25"/>
      <c r="L957" s="25" t="str">
        <f aca="false">IF($A957="","",SUMIF($A$4:$A957,$A957,$J$4:$J957)-SUMIF($A$4:$A957,$A957,$K$4:$K957))</f>
        <v/>
      </c>
      <c r="M957" s="26" t="str">
        <f aca="false">IF($H957="","",N($H957))</f>
        <v/>
      </c>
      <c r="N957" s="26"/>
      <c r="O957" s="26"/>
      <c r="P957" s="26" t="str">
        <f aca="false">IF($A957="","",SUMIF($A$4:$A957,$A957,$M$4:$M957)-SUMIF($A$4:$A957,$A957,$N$4:$N957)-SUMIF($A$4:$A957,$A957,$O$4:$O957))</f>
        <v/>
      </c>
      <c r="Q957" s="27"/>
      <c r="R957" s="28"/>
      <c r="S957" s="28"/>
      <c r="T957" s="28" t="str">
        <f aca="false">IF($A957="","",SUMIF($A$4:$A957,$A957,$Q$4:$Q957)-SUMIF($A$4:$A957,$A957,$R$4:$R957)-SUMIF($A$4:$A957,$A957,$S$4:$S957))</f>
        <v/>
      </c>
      <c r="U957" s="28"/>
      <c r="V957" s="29" t="str">
        <f aca="false">IF(AND($C957="",COUNTA($D957:$H957,$K957,$N957:$O957,$Q957:$S957,$U957)=0),"",IF($C957="","⚠ 没填项目名称",IF($A957="⚠目录里没有","⚠ 项目名称在目录里找不到（先加到目录）",IF($A957="","⚠ 目录里这个项目没填简称",IF(ISTEXT($G957)+ISTEXT($H957)+ISTEXT($K957)+ISTEXT($N957)+ISTEXT($O957)+ISTEXT($Q957)+ISTEXT($R957)+ISTEXT($S957)&gt;0,"⚠ 金额列里有文字，算不进合计",IF(N($G957)&gt;=1,"⚠ 管理费点要填百分比，如 10%",IF(AND($D957&lt;&gt;"",$B957=""),"△ 摘要开头没写日期（如 2026.9.21），月份取不到",IF(AND(N($H957)&lt;&gt;0,COUNTIFS($A$4:$A$1003,$A957,$H$4:$H$1003,$H957,$D$4:$D$1003,LEFT($D957,9)&amp;"*")&gt;1),"△ 同一天同项目有一样的销售金额，看看是不是录重了","✓"))))))))</f>
        <v/>
      </c>
      <c r="W957" s="8" t="str">
        <f aca="false">IF($A957="","",$A957&amp;"#"&amp;COUNTIF($A$4:$A957,$A957))</f>
        <v/>
      </c>
    </row>
    <row r="958" customFormat="false" ht="16.5" hidden="false" customHeight="false" outlineLevel="0" collapsed="false">
      <c r="A958" s="44" t="str">
        <f aca="false">IF($C958="","",IFERROR(VLOOKUP($C958,目录!$B:$C,2,0)&amp;"","⚠目录里没有"))</f>
        <v/>
      </c>
      <c r="B958" s="45" t="str">
        <f aca="false">IF($D958="","",IFERROR(MID($D958,FIND(".",$D958)+1,FIND(".",$D958,FIND(".",$D958)+1)-FIND(".",$D958)-1)&amp;"月",""))</f>
        <v/>
      </c>
      <c r="C958" s="46"/>
      <c r="D958" s="47"/>
      <c r="E958" s="47"/>
      <c r="F958" s="49"/>
      <c r="G958" s="50"/>
      <c r="H958" s="24"/>
      <c r="I958" s="24" t="str">
        <f aca="false">IF($H958="","",N($H958)*N($G958))</f>
        <v/>
      </c>
      <c r="J958" s="25" t="str">
        <f aca="false">IF($H958="","",N($H958)-N($I958))</f>
        <v/>
      </c>
      <c r="K958" s="25"/>
      <c r="L958" s="25" t="str">
        <f aca="false">IF($A958="","",SUMIF($A$4:$A958,$A958,$J$4:$J958)-SUMIF($A$4:$A958,$A958,$K$4:$K958))</f>
        <v/>
      </c>
      <c r="M958" s="26" t="str">
        <f aca="false">IF($H958="","",N($H958))</f>
        <v/>
      </c>
      <c r="N958" s="26"/>
      <c r="O958" s="26"/>
      <c r="P958" s="26" t="str">
        <f aca="false">IF($A958="","",SUMIF($A$4:$A958,$A958,$M$4:$M958)-SUMIF($A$4:$A958,$A958,$N$4:$N958)-SUMIF($A$4:$A958,$A958,$O$4:$O958))</f>
        <v/>
      </c>
      <c r="Q958" s="27"/>
      <c r="R958" s="28"/>
      <c r="S958" s="28"/>
      <c r="T958" s="28" t="str">
        <f aca="false">IF($A958="","",SUMIF($A$4:$A958,$A958,$Q$4:$Q958)-SUMIF($A$4:$A958,$A958,$R$4:$R958)-SUMIF($A$4:$A958,$A958,$S$4:$S958))</f>
        <v/>
      </c>
      <c r="U958" s="28"/>
      <c r="V958" s="29" t="str">
        <f aca="false">IF(AND($C958="",COUNTA($D958:$H958,$K958,$N958:$O958,$Q958:$S958,$U958)=0),"",IF($C958="","⚠ 没填项目名称",IF($A958="⚠目录里没有","⚠ 项目名称在目录里找不到（先加到目录）",IF($A958="","⚠ 目录里这个项目没填简称",IF(ISTEXT($G958)+ISTEXT($H958)+ISTEXT($K958)+ISTEXT($N958)+ISTEXT($O958)+ISTEXT($Q958)+ISTEXT($R958)+ISTEXT($S958)&gt;0,"⚠ 金额列里有文字，算不进合计",IF(N($G958)&gt;=1,"⚠ 管理费点要填百分比，如 10%",IF(AND($D958&lt;&gt;"",$B958=""),"△ 摘要开头没写日期（如 2026.9.21），月份取不到",IF(AND(N($H958)&lt;&gt;0,COUNTIFS($A$4:$A$1003,$A958,$H$4:$H$1003,$H958,$D$4:$D$1003,LEFT($D958,9)&amp;"*")&gt;1),"△ 同一天同项目有一样的销售金额，看看是不是录重了","✓"))))))))</f>
        <v/>
      </c>
      <c r="W958" s="8" t="str">
        <f aca="false">IF($A958="","",$A958&amp;"#"&amp;COUNTIF($A$4:$A958,$A958))</f>
        <v/>
      </c>
    </row>
    <row r="959" customFormat="false" ht="16.5" hidden="false" customHeight="false" outlineLevel="0" collapsed="false">
      <c r="A959" s="44" t="str">
        <f aca="false">IF($C959="","",IFERROR(VLOOKUP($C959,目录!$B:$C,2,0)&amp;"","⚠目录里没有"))</f>
        <v/>
      </c>
      <c r="B959" s="45" t="str">
        <f aca="false">IF($D959="","",IFERROR(MID($D959,FIND(".",$D959)+1,FIND(".",$D959,FIND(".",$D959)+1)-FIND(".",$D959)-1)&amp;"月",""))</f>
        <v/>
      </c>
      <c r="C959" s="46"/>
      <c r="D959" s="47"/>
      <c r="E959" s="47"/>
      <c r="F959" s="49"/>
      <c r="G959" s="50"/>
      <c r="H959" s="24"/>
      <c r="I959" s="24" t="str">
        <f aca="false">IF($H959="","",N($H959)*N($G959))</f>
        <v/>
      </c>
      <c r="J959" s="25" t="str">
        <f aca="false">IF($H959="","",N($H959)-N($I959))</f>
        <v/>
      </c>
      <c r="K959" s="25"/>
      <c r="L959" s="25" t="str">
        <f aca="false">IF($A959="","",SUMIF($A$4:$A959,$A959,$J$4:$J959)-SUMIF($A$4:$A959,$A959,$K$4:$K959))</f>
        <v/>
      </c>
      <c r="M959" s="26" t="str">
        <f aca="false">IF($H959="","",N($H959))</f>
        <v/>
      </c>
      <c r="N959" s="26"/>
      <c r="O959" s="26"/>
      <c r="P959" s="26" t="str">
        <f aca="false">IF($A959="","",SUMIF($A$4:$A959,$A959,$M$4:$M959)-SUMIF($A$4:$A959,$A959,$N$4:$N959)-SUMIF($A$4:$A959,$A959,$O$4:$O959))</f>
        <v/>
      </c>
      <c r="Q959" s="27"/>
      <c r="R959" s="28"/>
      <c r="S959" s="28"/>
      <c r="T959" s="28" t="str">
        <f aca="false">IF($A959="","",SUMIF($A$4:$A959,$A959,$Q$4:$Q959)-SUMIF($A$4:$A959,$A959,$R$4:$R959)-SUMIF($A$4:$A959,$A959,$S$4:$S959))</f>
        <v/>
      </c>
      <c r="U959" s="28"/>
      <c r="V959" s="29" t="str">
        <f aca="false">IF(AND($C959="",COUNTA($D959:$H959,$K959,$N959:$O959,$Q959:$S959,$U959)=0),"",IF($C959="","⚠ 没填项目名称",IF($A959="⚠目录里没有","⚠ 项目名称在目录里找不到（先加到目录）",IF($A959="","⚠ 目录里这个项目没填简称",IF(ISTEXT($G959)+ISTEXT($H959)+ISTEXT($K959)+ISTEXT($N959)+ISTEXT($O959)+ISTEXT($Q959)+ISTEXT($R959)+ISTEXT($S959)&gt;0,"⚠ 金额列里有文字，算不进合计",IF(N($G959)&gt;=1,"⚠ 管理费点要填百分比，如 10%",IF(AND($D959&lt;&gt;"",$B959=""),"△ 摘要开头没写日期（如 2026.9.21），月份取不到",IF(AND(N($H959)&lt;&gt;0,COUNTIFS($A$4:$A$1003,$A959,$H$4:$H$1003,$H959,$D$4:$D$1003,LEFT($D959,9)&amp;"*")&gt;1),"△ 同一天同项目有一样的销售金额，看看是不是录重了","✓"))))))))</f>
        <v/>
      </c>
      <c r="W959" s="8" t="str">
        <f aca="false">IF($A959="","",$A959&amp;"#"&amp;COUNTIF($A$4:$A959,$A959))</f>
        <v/>
      </c>
    </row>
    <row r="960" customFormat="false" ht="16.5" hidden="false" customHeight="false" outlineLevel="0" collapsed="false">
      <c r="A960" s="44" t="str">
        <f aca="false">IF($C960="","",IFERROR(VLOOKUP($C960,目录!$B:$C,2,0)&amp;"","⚠目录里没有"))</f>
        <v/>
      </c>
      <c r="B960" s="45" t="str">
        <f aca="false">IF($D960="","",IFERROR(MID($D960,FIND(".",$D960)+1,FIND(".",$D960,FIND(".",$D960)+1)-FIND(".",$D960)-1)&amp;"月",""))</f>
        <v/>
      </c>
      <c r="C960" s="46"/>
      <c r="D960" s="47"/>
      <c r="E960" s="47"/>
      <c r="F960" s="49"/>
      <c r="G960" s="50"/>
      <c r="H960" s="24"/>
      <c r="I960" s="24" t="str">
        <f aca="false">IF($H960="","",N($H960)*N($G960))</f>
        <v/>
      </c>
      <c r="J960" s="25" t="str">
        <f aca="false">IF($H960="","",N($H960)-N($I960))</f>
        <v/>
      </c>
      <c r="K960" s="25"/>
      <c r="L960" s="25" t="str">
        <f aca="false">IF($A960="","",SUMIF($A$4:$A960,$A960,$J$4:$J960)-SUMIF($A$4:$A960,$A960,$K$4:$K960))</f>
        <v/>
      </c>
      <c r="M960" s="26" t="str">
        <f aca="false">IF($H960="","",N($H960))</f>
        <v/>
      </c>
      <c r="N960" s="26"/>
      <c r="O960" s="26"/>
      <c r="P960" s="26" t="str">
        <f aca="false">IF($A960="","",SUMIF($A$4:$A960,$A960,$M$4:$M960)-SUMIF($A$4:$A960,$A960,$N$4:$N960)-SUMIF($A$4:$A960,$A960,$O$4:$O960))</f>
        <v/>
      </c>
      <c r="Q960" s="27"/>
      <c r="R960" s="28"/>
      <c r="S960" s="28"/>
      <c r="T960" s="28" t="str">
        <f aca="false">IF($A960="","",SUMIF($A$4:$A960,$A960,$Q$4:$Q960)-SUMIF($A$4:$A960,$A960,$R$4:$R960)-SUMIF($A$4:$A960,$A960,$S$4:$S960))</f>
        <v/>
      </c>
      <c r="U960" s="28"/>
      <c r="V960" s="29" t="str">
        <f aca="false">IF(AND($C960="",COUNTA($D960:$H960,$K960,$N960:$O960,$Q960:$S960,$U960)=0),"",IF($C960="","⚠ 没填项目名称",IF($A960="⚠目录里没有","⚠ 项目名称在目录里找不到（先加到目录）",IF($A960="","⚠ 目录里这个项目没填简称",IF(ISTEXT($G960)+ISTEXT($H960)+ISTEXT($K960)+ISTEXT($N960)+ISTEXT($O960)+ISTEXT($Q960)+ISTEXT($R960)+ISTEXT($S960)&gt;0,"⚠ 金额列里有文字，算不进合计",IF(N($G960)&gt;=1,"⚠ 管理费点要填百分比，如 10%",IF(AND($D960&lt;&gt;"",$B960=""),"△ 摘要开头没写日期（如 2026.9.21），月份取不到",IF(AND(N($H960)&lt;&gt;0,COUNTIFS($A$4:$A$1003,$A960,$H$4:$H$1003,$H960,$D$4:$D$1003,LEFT($D960,9)&amp;"*")&gt;1),"△ 同一天同项目有一样的销售金额，看看是不是录重了","✓"))))))))</f>
        <v/>
      </c>
      <c r="W960" s="8" t="str">
        <f aca="false">IF($A960="","",$A960&amp;"#"&amp;COUNTIF($A$4:$A960,$A960))</f>
        <v/>
      </c>
    </row>
    <row r="961" customFormat="false" ht="16.5" hidden="false" customHeight="false" outlineLevel="0" collapsed="false">
      <c r="A961" s="44" t="str">
        <f aca="false">IF($C961="","",IFERROR(VLOOKUP($C961,目录!$B:$C,2,0)&amp;"","⚠目录里没有"))</f>
        <v/>
      </c>
      <c r="B961" s="45" t="str">
        <f aca="false">IF($D961="","",IFERROR(MID($D961,FIND(".",$D961)+1,FIND(".",$D961,FIND(".",$D961)+1)-FIND(".",$D961)-1)&amp;"月",""))</f>
        <v/>
      </c>
      <c r="C961" s="46"/>
      <c r="D961" s="47"/>
      <c r="E961" s="47"/>
      <c r="F961" s="49"/>
      <c r="G961" s="50"/>
      <c r="H961" s="24"/>
      <c r="I961" s="24" t="str">
        <f aca="false">IF($H961="","",N($H961)*N($G961))</f>
        <v/>
      </c>
      <c r="J961" s="25" t="str">
        <f aca="false">IF($H961="","",N($H961)-N($I961))</f>
        <v/>
      </c>
      <c r="K961" s="25"/>
      <c r="L961" s="25" t="str">
        <f aca="false">IF($A961="","",SUMIF($A$4:$A961,$A961,$J$4:$J961)-SUMIF($A$4:$A961,$A961,$K$4:$K961))</f>
        <v/>
      </c>
      <c r="M961" s="26" t="str">
        <f aca="false">IF($H961="","",N($H961))</f>
        <v/>
      </c>
      <c r="N961" s="26"/>
      <c r="O961" s="26"/>
      <c r="P961" s="26" t="str">
        <f aca="false">IF($A961="","",SUMIF($A$4:$A961,$A961,$M$4:$M961)-SUMIF($A$4:$A961,$A961,$N$4:$N961)-SUMIF($A$4:$A961,$A961,$O$4:$O961))</f>
        <v/>
      </c>
      <c r="Q961" s="27"/>
      <c r="R961" s="28"/>
      <c r="S961" s="28"/>
      <c r="T961" s="28" t="str">
        <f aca="false">IF($A961="","",SUMIF($A$4:$A961,$A961,$Q$4:$Q961)-SUMIF($A$4:$A961,$A961,$R$4:$R961)-SUMIF($A$4:$A961,$A961,$S$4:$S961))</f>
        <v/>
      </c>
      <c r="U961" s="28"/>
      <c r="V961" s="29" t="str">
        <f aca="false">IF(AND($C961="",COUNTA($D961:$H961,$K961,$N961:$O961,$Q961:$S961,$U961)=0),"",IF($C961="","⚠ 没填项目名称",IF($A961="⚠目录里没有","⚠ 项目名称在目录里找不到（先加到目录）",IF($A961="","⚠ 目录里这个项目没填简称",IF(ISTEXT($G961)+ISTEXT($H961)+ISTEXT($K961)+ISTEXT($N961)+ISTEXT($O961)+ISTEXT($Q961)+ISTEXT($R961)+ISTEXT($S961)&gt;0,"⚠ 金额列里有文字，算不进合计",IF(N($G961)&gt;=1,"⚠ 管理费点要填百分比，如 10%",IF(AND($D961&lt;&gt;"",$B961=""),"△ 摘要开头没写日期（如 2026.9.21），月份取不到",IF(AND(N($H961)&lt;&gt;0,COUNTIFS($A$4:$A$1003,$A961,$H$4:$H$1003,$H961,$D$4:$D$1003,LEFT($D961,9)&amp;"*")&gt;1),"△ 同一天同项目有一样的销售金额，看看是不是录重了","✓"))))))))</f>
        <v/>
      </c>
      <c r="W961" s="8" t="str">
        <f aca="false">IF($A961="","",$A961&amp;"#"&amp;COUNTIF($A$4:$A961,$A961))</f>
        <v/>
      </c>
    </row>
    <row r="962" customFormat="false" ht="16.5" hidden="false" customHeight="false" outlineLevel="0" collapsed="false">
      <c r="A962" s="44" t="str">
        <f aca="false">IF($C962="","",IFERROR(VLOOKUP($C962,目录!$B:$C,2,0)&amp;"","⚠目录里没有"))</f>
        <v/>
      </c>
      <c r="B962" s="45" t="str">
        <f aca="false">IF($D962="","",IFERROR(MID($D962,FIND(".",$D962)+1,FIND(".",$D962,FIND(".",$D962)+1)-FIND(".",$D962)-1)&amp;"月",""))</f>
        <v/>
      </c>
      <c r="C962" s="46"/>
      <c r="D962" s="47"/>
      <c r="E962" s="47"/>
      <c r="F962" s="49"/>
      <c r="G962" s="50"/>
      <c r="H962" s="24"/>
      <c r="I962" s="24" t="str">
        <f aca="false">IF($H962="","",N($H962)*N($G962))</f>
        <v/>
      </c>
      <c r="J962" s="25" t="str">
        <f aca="false">IF($H962="","",N($H962)-N($I962))</f>
        <v/>
      </c>
      <c r="K962" s="25"/>
      <c r="L962" s="25" t="str">
        <f aca="false">IF($A962="","",SUMIF($A$4:$A962,$A962,$J$4:$J962)-SUMIF($A$4:$A962,$A962,$K$4:$K962))</f>
        <v/>
      </c>
      <c r="M962" s="26" t="str">
        <f aca="false">IF($H962="","",N($H962))</f>
        <v/>
      </c>
      <c r="N962" s="26"/>
      <c r="O962" s="26"/>
      <c r="P962" s="26" t="str">
        <f aca="false">IF($A962="","",SUMIF($A$4:$A962,$A962,$M$4:$M962)-SUMIF($A$4:$A962,$A962,$N$4:$N962)-SUMIF($A$4:$A962,$A962,$O$4:$O962))</f>
        <v/>
      </c>
      <c r="Q962" s="27"/>
      <c r="R962" s="28"/>
      <c r="S962" s="28"/>
      <c r="T962" s="28" t="str">
        <f aca="false">IF($A962="","",SUMIF($A$4:$A962,$A962,$Q$4:$Q962)-SUMIF($A$4:$A962,$A962,$R$4:$R962)-SUMIF($A$4:$A962,$A962,$S$4:$S962))</f>
        <v/>
      </c>
      <c r="U962" s="28"/>
      <c r="V962" s="29" t="str">
        <f aca="false">IF(AND($C962="",COUNTA($D962:$H962,$K962,$N962:$O962,$Q962:$S962,$U962)=0),"",IF($C962="","⚠ 没填项目名称",IF($A962="⚠目录里没有","⚠ 项目名称在目录里找不到（先加到目录）",IF($A962="","⚠ 目录里这个项目没填简称",IF(ISTEXT($G962)+ISTEXT($H962)+ISTEXT($K962)+ISTEXT($N962)+ISTEXT($O962)+ISTEXT($Q962)+ISTEXT($R962)+ISTEXT($S962)&gt;0,"⚠ 金额列里有文字，算不进合计",IF(N($G962)&gt;=1,"⚠ 管理费点要填百分比，如 10%",IF(AND($D962&lt;&gt;"",$B962=""),"△ 摘要开头没写日期（如 2026.9.21），月份取不到",IF(AND(N($H962)&lt;&gt;0,COUNTIFS($A$4:$A$1003,$A962,$H$4:$H$1003,$H962,$D$4:$D$1003,LEFT($D962,9)&amp;"*")&gt;1),"△ 同一天同项目有一样的销售金额，看看是不是录重了","✓"))))))))</f>
        <v/>
      </c>
      <c r="W962" s="8" t="str">
        <f aca="false">IF($A962="","",$A962&amp;"#"&amp;COUNTIF($A$4:$A962,$A962))</f>
        <v/>
      </c>
    </row>
    <row r="963" customFormat="false" ht="16.5" hidden="false" customHeight="false" outlineLevel="0" collapsed="false">
      <c r="A963" s="44" t="str">
        <f aca="false">IF($C963="","",IFERROR(VLOOKUP($C963,目录!$B:$C,2,0)&amp;"","⚠目录里没有"))</f>
        <v/>
      </c>
      <c r="B963" s="45" t="str">
        <f aca="false">IF($D963="","",IFERROR(MID($D963,FIND(".",$D963)+1,FIND(".",$D963,FIND(".",$D963)+1)-FIND(".",$D963)-1)&amp;"月",""))</f>
        <v/>
      </c>
      <c r="C963" s="46"/>
      <c r="D963" s="47"/>
      <c r="E963" s="47"/>
      <c r="F963" s="49"/>
      <c r="G963" s="50"/>
      <c r="H963" s="24"/>
      <c r="I963" s="24" t="str">
        <f aca="false">IF($H963="","",N($H963)*N($G963))</f>
        <v/>
      </c>
      <c r="J963" s="25" t="str">
        <f aca="false">IF($H963="","",N($H963)-N($I963))</f>
        <v/>
      </c>
      <c r="K963" s="25"/>
      <c r="L963" s="25" t="str">
        <f aca="false">IF($A963="","",SUMIF($A$4:$A963,$A963,$J$4:$J963)-SUMIF($A$4:$A963,$A963,$K$4:$K963))</f>
        <v/>
      </c>
      <c r="M963" s="26" t="str">
        <f aca="false">IF($H963="","",N($H963))</f>
        <v/>
      </c>
      <c r="N963" s="26"/>
      <c r="O963" s="26"/>
      <c r="P963" s="26" t="str">
        <f aca="false">IF($A963="","",SUMIF($A$4:$A963,$A963,$M$4:$M963)-SUMIF($A$4:$A963,$A963,$N$4:$N963)-SUMIF($A$4:$A963,$A963,$O$4:$O963))</f>
        <v/>
      </c>
      <c r="Q963" s="27"/>
      <c r="R963" s="28"/>
      <c r="S963" s="28"/>
      <c r="T963" s="28" t="str">
        <f aca="false">IF($A963="","",SUMIF($A$4:$A963,$A963,$Q$4:$Q963)-SUMIF($A$4:$A963,$A963,$R$4:$R963)-SUMIF($A$4:$A963,$A963,$S$4:$S963))</f>
        <v/>
      </c>
      <c r="U963" s="28"/>
      <c r="V963" s="29" t="str">
        <f aca="false">IF(AND($C963="",COUNTA($D963:$H963,$K963,$N963:$O963,$Q963:$S963,$U963)=0),"",IF($C963="","⚠ 没填项目名称",IF($A963="⚠目录里没有","⚠ 项目名称在目录里找不到（先加到目录）",IF($A963="","⚠ 目录里这个项目没填简称",IF(ISTEXT($G963)+ISTEXT($H963)+ISTEXT($K963)+ISTEXT($N963)+ISTEXT($O963)+ISTEXT($Q963)+ISTEXT($R963)+ISTEXT($S963)&gt;0,"⚠ 金额列里有文字，算不进合计",IF(N($G963)&gt;=1,"⚠ 管理费点要填百分比，如 10%",IF(AND($D963&lt;&gt;"",$B963=""),"△ 摘要开头没写日期（如 2026.9.21），月份取不到",IF(AND(N($H963)&lt;&gt;0,COUNTIFS($A$4:$A$1003,$A963,$H$4:$H$1003,$H963,$D$4:$D$1003,LEFT($D963,9)&amp;"*")&gt;1),"△ 同一天同项目有一样的销售金额，看看是不是录重了","✓"))))))))</f>
        <v/>
      </c>
      <c r="W963" s="8" t="str">
        <f aca="false">IF($A963="","",$A963&amp;"#"&amp;COUNTIF($A$4:$A963,$A963))</f>
        <v/>
      </c>
    </row>
    <row r="964" customFormat="false" ht="16.5" hidden="false" customHeight="false" outlineLevel="0" collapsed="false">
      <c r="A964" s="44" t="str">
        <f aca="false">IF($C964="","",IFERROR(VLOOKUP($C964,目录!$B:$C,2,0)&amp;"","⚠目录里没有"))</f>
        <v/>
      </c>
      <c r="B964" s="45" t="str">
        <f aca="false">IF($D964="","",IFERROR(MID($D964,FIND(".",$D964)+1,FIND(".",$D964,FIND(".",$D964)+1)-FIND(".",$D964)-1)&amp;"月",""))</f>
        <v/>
      </c>
      <c r="C964" s="46"/>
      <c r="D964" s="47"/>
      <c r="E964" s="47"/>
      <c r="F964" s="49"/>
      <c r="G964" s="50"/>
      <c r="H964" s="24"/>
      <c r="I964" s="24" t="str">
        <f aca="false">IF($H964="","",N($H964)*N($G964))</f>
        <v/>
      </c>
      <c r="J964" s="25" t="str">
        <f aca="false">IF($H964="","",N($H964)-N($I964))</f>
        <v/>
      </c>
      <c r="K964" s="25"/>
      <c r="L964" s="25" t="str">
        <f aca="false">IF($A964="","",SUMIF($A$4:$A964,$A964,$J$4:$J964)-SUMIF($A$4:$A964,$A964,$K$4:$K964))</f>
        <v/>
      </c>
      <c r="M964" s="26" t="str">
        <f aca="false">IF($H964="","",N($H964))</f>
        <v/>
      </c>
      <c r="N964" s="26"/>
      <c r="O964" s="26"/>
      <c r="P964" s="26" t="str">
        <f aca="false">IF($A964="","",SUMIF($A$4:$A964,$A964,$M$4:$M964)-SUMIF($A$4:$A964,$A964,$N$4:$N964)-SUMIF($A$4:$A964,$A964,$O$4:$O964))</f>
        <v/>
      </c>
      <c r="Q964" s="27"/>
      <c r="R964" s="28"/>
      <c r="S964" s="28"/>
      <c r="T964" s="28" t="str">
        <f aca="false">IF($A964="","",SUMIF($A$4:$A964,$A964,$Q$4:$Q964)-SUMIF($A$4:$A964,$A964,$R$4:$R964)-SUMIF($A$4:$A964,$A964,$S$4:$S964))</f>
        <v/>
      </c>
      <c r="U964" s="28"/>
      <c r="V964" s="29" t="str">
        <f aca="false">IF(AND($C964="",COUNTA($D964:$H964,$K964,$N964:$O964,$Q964:$S964,$U964)=0),"",IF($C964="","⚠ 没填项目名称",IF($A964="⚠目录里没有","⚠ 项目名称在目录里找不到（先加到目录）",IF($A964="","⚠ 目录里这个项目没填简称",IF(ISTEXT($G964)+ISTEXT($H964)+ISTEXT($K964)+ISTEXT($N964)+ISTEXT($O964)+ISTEXT($Q964)+ISTEXT($R964)+ISTEXT($S964)&gt;0,"⚠ 金额列里有文字，算不进合计",IF(N($G964)&gt;=1,"⚠ 管理费点要填百分比，如 10%",IF(AND($D964&lt;&gt;"",$B964=""),"△ 摘要开头没写日期（如 2026.9.21），月份取不到",IF(AND(N($H964)&lt;&gt;0,COUNTIFS($A$4:$A$1003,$A964,$H$4:$H$1003,$H964,$D$4:$D$1003,LEFT($D964,9)&amp;"*")&gt;1),"△ 同一天同项目有一样的销售金额，看看是不是录重了","✓"))))))))</f>
        <v/>
      </c>
      <c r="W964" s="8" t="str">
        <f aca="false">IF($A964="","",$A964&amp;"#"&amp;COUNTIF($A$4:$A964,$A964))</f>
        <v/>
      </c>
    </row>
    <row r="965" customFormat="false" ht="16.5" hidden="false" customHeight="false" outlineLevel="0" collapsed="false">
      <c r="A965" s="44" t="str">
        <f aca="false">IF($C965="","",IFERROR(VLOOKUP($C965,目录!$B:$C,2,0)&amp;"","⚠目录里没有"))</f>
        <v/>
      </c>
      <c r="B965" s="45" t="str">
        <f aca="false">IF($D965="","",IFERROR(MID($D965,FIND(".",$D965)+1,FIND(".",$D965,FIND(".",$D965)+1)-FIND(".",$D965)-1)&amp;"月",""))</f>
        <v/>
      </c>
      <c r="C965" s="46"/>
      <c r="D965" s="47"/>
      <c r="E965" s="47"/>
      <c r="F965" s="49"/>
      <c r="G965" s="50"/>
      <c r="H965" s="24"/>
      <c r="I965" s="24" t="str">
        <f aca="false">IF($H965="","",N($H965)*N($G965))</f>
        <v/>
      </c>
      <c r="J965" s="25" t="str">
        <f aca="false">IF($H965="","",N($H965)-N($I965))</f>
        <v/>
      </c>
      <c r="K965" s="25"/>
      <c r="L965" s="25" t="str">
        <f aca="false">IF($A965="","",SUMIF($A$4:$A965,$A965,$J$4:$J965)-SUMIF($A$4:$A965,$A965,$K$4:$K965))</f>
        <v/>
      </c>
      <c r="M965" s="26" t="str">
        <f aca="false">IF($H965="","",N($H965))</f>
        <v/>
      </c>
      <c r="N965" s="26"/>
      <c r="O965" s="26"/>
      <c r="P965" s="26" t="str">
        <f aca="false">IF($A965="","",SUMIF($A$4:$A965,$A965,$M$4:$M965)-SUMIF($A$4:$A965,$A965,$N$4:$N965)-SUMIF($A$4:$A965,$A965,$O$4:$O965))</f>
        <v/>
      </c>
      <c r="Q965" s="27"/>
      <c r="R965" s="28"/>
      <c r="S965" s="28"/>
      <c r="T965" s="28" t="str">
        <f aca="false">IF($A965="","",SUMIF($A$4:$A965,$A965,$Q$4:$Q965)-SUMIF($A$4:$A965,$A965,$R$4:$R965)-SUMIF($A$4:$A965,$A965,$S$4:$S965))</f>
        <v/>
      </c>
      <c r="U965" s="28"/>
      <c r="V965" s="29" t="str">
        <f aca="false">IF(AND($C965="",COUNTA($D965:$H965,$K965,$N965:$O965,$Q965:$S965,$U965)=0),"",IF($C965="","⚠ 没填项目名称",IF($A965="⚠目录里没有","⚠ 项目名称在目录里找不到（先加到目录）",IF($A965="","⚠ 目录里这个项目没填简称",IF(ISTEXT($G965)+ISTEXT($H965)+ISTEXT($K965)+ISTEXT($N965)+ISTEXT($O965)+ISTEXT($Q965)+ISTEXT($R965)+ISTEXT($S965)&gt;0,"⚠ 金额列里有文字，算不进合计",IF(N($G965)&gt;=1,"⚠ 管理费点要填百分比，如 10%",IF(AND($D965&lt;&gt;"",$B965=""),"△ 摘要开头没写日期（如 2026.9.21），月份取不到",IF(AND(N($H965)&lt;&gt;0,COUNTIFS($A$4:$A$1003,$A965,$H$4:$H$1003,$H965,$D$4:$D$1003,LEFT($D965,9)&amp;"*")&gt;1),"△ 同一天同项目有一样的销售金额，看看是不是录重了","✓"))))))))</f>
        <v/>
      </c>
      <c r="W965" s="8" t="str">
        <f aca="false">IF($A965="","",$A965&amp;"#"&amp;COUNTIF($A$4:$A965,$A965))</f>
        <v/>
      </c>
    </row>
    <row r="966" customFormat="false" ht="16.5" hidden="false" customHeight="false" outlineLevel="0" collapsed="false">
      <c r="A966" s="44" t="str">
        <f aca="false">IF($C966="","",IFERROR(VLOOKUP($C966,目录!$B:$C,2,0)&amp;"","⚠目录里没有"))</f>
        <v/>
      </c>
      <c r="B966" s="45" t="str">
        <f aca="false">IF($D966="","",IFERROR(MID($D966,FIND(".",$D966)+1,FIND(".",$D966,FIND(".",$D966)+1)-FIND(".",$D966)-1)&amp;"月",""))</f>
        <v/>
      </c>
      <c r="C966" s="46"/>
      <c r="D966" s="47"/>
      <c r="E966" s="47"/>
      <c r="F966" s="49"/>
      <c r="G966" s="50"/>
      <c r="H966" s="24"/>
      <c r="I966" s="24" t="str">
        <f aca="false">IF($H966="","",N($H966)*N($G966))</f>
        <v/>
      </c>
      <c r="J966" s="25" t="str">
        <f aca="false">IF($H966="","",N($H966)-N($I966))</f>
        <v/>
      </c>
      <c r="K966" s="25"/>
      <c r="L966" s="25" t="str">
        <f aca="false">IF($A966="","",SUMIF($A$4:$A966,$A966,$J$4:$J966)-SUMIF($A$4:$A966,$A966,$K$4:$K966))</f>
        <v/>
      </c>
      <c r="M966" s="26" t="str">
        <f aca="false">IF($H966="","",N($H966))</f>
        <v/>
      </c>
      <c r="N966" s="26"/>
      <c r="O966" s="26"/>
      <c r="P966" s="26" t="str">
        <f aca="false">IF($A966="","",SUMIF($A$4:$A966,$A966,$M$4:$M966)-SUMIF($A$4:$A966,$A966,$N$4:$N966)-SUMIF($A$4:$A966,$A966,$O$4:$O966))</f>
        <v/>
      </c>
      <c r="Q966" s="27"/>
      <c r="R966" s="28"/>
      <c r="S966" s="28"/>
      <c r="T966" s="28" t="str">
        <f aca="false">IF($A966="","",SUMIF($A$4:$A966,$A966,$Q$4:$Q966)-SUMIF($A$4:$A966,$A966,$R$4:$R966)-SUMIF($A$4:$A966,$A966,$S$4:$S966))</f>
        <v/>
      </c>
      <c r="U966" s="28"/>
      <c r="V966" s="29" t="str">
        <f aca="false">IF(AND($C966="",COUNTA($D966:$H966,$K966,$N966:$O966,$Q966:$S966,$U966)=0),"",IF($C966="","⚠ 没填项目名称",IF($A966="⚠目录里没有","⚠ 项目名称在目录里找不到（先加到目录）",IF($A966="","⚠ 目录里这个项目没填简称",IF(ISTEXT($G966)+ISTEXT($H966)+ISTEXT($K966)+ISTEXT($N966)+ISTEXT($O966)+ISTEXT($Q966)+ISTEXT($R966)+ISTEXT($S966)&gt;0,"⚠ 金额列里有文字，算不进合计",IF(N($G966)&gt;=1,"⚠ 管理费点要填百分比，如 10%",IF(AND($D966&lt;&gt;"",$B966=""),"△ 摘要开头没写日期（如 2026.9.21），月份取不到",IF(AND(N($H966)&lt;&gt;0,COUNTIFS($A$4:$A$1003,$A966,$H$4:$H$1003,$H966,$D$4:$D$1003,LEFT($D966,9)&amp;"*")&gt;1),"△ 同一天同项目有一样的销售金额，看看是不是录重了","✓"))))))))</f>
        <v/>
      </c>
      <c r="W966" s="8" t="str">
        <f aca="false">IF($A966="","",$A966&amp;"#"&amp;COUNTIF($A$4:$A966,$A966))</f>
        <v/>
      </c>
    </row>
    <row r="967" customFormat="false" ht="16.5" hidden="false" customHeight="false" outlineLevel="0" collapsed="false">
      <c r="A967" s="44" t="str">
        <f aca="false">IF($C967="","",IFERROR(VLOOKUP($C967,目录!$B:$C,2,0)&amp;"","⚠目录里没有"))</f>
        <v/>
      </c>
      <c r="B967" s="45" t="str">
        <f aca="false">IF($D967="","",IFERROR(MID($D967,FIND(".",$D967)+1,FIND(".",$D967,FIND(".",$D967)+1)-FIND(".",$D967)-1)&amp;"月",""))</f>
        <v/>
      </c>
      <c r="C967" s="46"/>
      <c r="D967" s="47"/>
      <c r="E967" s="47"/>
      <c r="F967" s="49"/>
      <c r="G967" s="50"/>
      <c r="H967" s="24"/>
      <c r="I967" s="24" t="str">
        <f aca="false">IF($H967="","",N($H967)*N($G967))</f>
        <v/>
      </c>
      <c r="J967" s="25" t="str">
        <f aca="false">IF($H967="","",N($H967)-N($I967))</f>
        <v/>
      </c>
      <c r="K967" s="25"/>
      <c r="L967" s="25" t="str">
        <f aca="false">IF($A967="","",SUMIF($A$4:$A967,$A967,$J$4:$J967)-SUMIF($A$4:$A967,$A967,$K$4:$K967))</f>
        <v/>
      </c>
      <c r="M967" s="26" t="str">
        <f aca="false">IF($H967="","",N($H967))</f>
        <v/>
      </c>
      <c r="N967" s="26"/>
      <c r="O967" s="26"/>
      <c r="P967" s="26" t="str">
        <f aca="false">IF($A967="","",SUMIF($A$4:$A967,$A967,$M$4:$M967)-SUMIF($A$4:$A967,$A967,$N$4:$N967)-SUMIF($A$4:$A967,$A967,$O$4:$O967))</f>
        <v/>
      </c>
      <c r="Q967" s="27"/>
      <c r="R967" s="28"/>
      <c r="S967" s="28"/>
      <c r="T967" s="28" t="str">
        <f aca="false">IF($A967="","",SUMIF($A$4:$A967,$A967,$Q$4:$Q967)-SUMIF($A$4:$A967,$A967,$R$4:$R967)-SUMIF($A$4:$A967,$A967,$S$4:$S967))</f>
        <v/>
      </c>
      <c r="U967" s="28"/>
      <c r="V967" s="29" t="str">
        <f aca="false">IF(AND($C967="",COUNTA($D967:$H967,$K967,$N967:$O967,$Q967:$S967,$U967)=0),"",IF($C967="","⚠ 没填项目名称",IF($A967="⚠目录里没有","⚠ 项目名称在目录里找不到（先加到目录）",IF($A967="","⚠ 目录里这个项目没填简称",IF(ISTEXT($G967)+ISTEXT($H967)+ISTEXT($K967)+ISTEXT($N967)+ISTEXT($O967)+ISTEXT($Q967)+ISTEXT($R967)+ISTEXT($S967)&gt;0,"⚠ 金额列里有文字，算不进合计",IF(N($G967)&gt;=1,"⚠ 管理费点要填百分比，如 10%",IF(AND($D967&lt;&gt;"",$B967=""),"△ 摘要开头没写日期（如 2026.9.21），月份取不到",IF(AND(N($H967)&lt;&gt;0,COUNTIFS($A$4:$A$1003,$A967,$H$4:$H$1003,$H967,$D$4:$D$1003,LEFT($D967,9)&amp;"*")&gt;1),"△ 同一天同项目有一样的销售金额，看看是不是录重了","✓"))))))))</f>
        <v/>
      </c>
      <c r="W967" s="8" t="str">
        <f aca="false">IF($A967="","",$A967&amp;"#"&amp;COUNTIF($A$4:$A967,$A967))</f>
        <v/>
      </c>
    </row>
    <row r="968" customFormat="false" ht="16.5" hidden="false" customHeight="false" outlineLevel="0" collapsed="false">
      <c r="A968" s="44" t="str">
        <f aca="false">IF($C968="","",IFERROR(VLOOKUP($C968,目录!$B:$C,2,0)&amp;"","⚠目录里没有"))</f>
        <v/>
      </c>
      <c r="B968" s="45" t="str">
        <f aca="false">IF($D968="","",IFERROR(MID($D968,FIND(".",$D968)+1,FIND(".",$D968,FIND(".",$D968)+1)-FIND(".",$D968)-1)&amp;"月",""))</f>
        <v/>
      </c>
      <c r="C968" s="46"/>
      <c r="D968" s="47"/>
      <c r="E968" s="47"/>
      <c r="F968" s="49"/>
      <c r="G968" s="50"/>
      <c r="H968" s="24"/>
      <c r="I968" s="24" t="str">
        <f aca="false">IF($H968="","",N($H968)*N($G968))</f>
        <v/>
      </c>
      <c r="J968" s="25" t="str">
        <f aca="false">IF($H968="","",N($H968)-N($I968))</f>
        <v/>
      </c>
      <c r="K968" s="25"/>
      <c r="L968" s="25" t="str">
        <f aca="false">IF($A968="","",SUMIF($A$4:$A968,$A968,$J$4:$J968)-SUMIF($A$4:$A968,$A968,$K$4:$K968))</f>
        <v/>
      </c>
      <c r="M968" s="26" t="str">
        <f aca="false">IF($H968="","",N($H968))</f>
        <v/>
      </c>
      <c r="N968" s="26"/>
      <c r="O968" s="26"/>
      <c r="P968" s="26" t="str">
        <f aca="false">IF($A968="","",SUMIF($A$4:$A968,$A968,$M$4:$M968)-SUMIF($A$4:$A968,$A968,$N$4:$N968)-SUMIF($A$4:$A968,$A968,$O$4:$O968))</f>
        <v/>
      </c>
      <c r="Q968" s="27"/>
      <c r="R968" s="28"/>
      <c r="S968" s="28"/>
      <c r="T968" s="28" t="str">
        <f aca="false">IF($A968="","",SUMIF($A$4:$A968,$A968,$Q$4:$Q968)-SUMIF($A$4:$A968,$A968,$R$4:$R968)-SUMIF($A$4:$A968,$A968,$S$4:$S968))</f>
        <v/>
      </c>
      <c r="U968" s="28"/>
      <c r="V968" s="29" t="str">
        <f aca="false">IF(AND($C968="",COUNTA($D968:$H968,$K968,$N968:$O968,$Q968:$S968,$U968)=0),"",IF($C968="","⚠ 没填项目名称",IF($A968="⚠目录里没有","⚠ 项目名称在目录里找不到（先加到目录）",IF($A968="","⚠ 目录里这个项目没填简称",IF(ISTEXT($G968)+ISTEXT($H968)+ISTEXT($K968)+ISTEXT($N968)+ISTEXT($O968)+ISTEXT($Q968)+ISTEXT($R968)+ISTEXT($S968)&gt;0,"⚠ 金额列里有文字，算不进合计",IF(N($G968)&gt;=1,"⚠ 管理费点要填百分比，如 10%",IF(AND($D968&lt;&gt;"",$B968=""),"△ 摘要开头没写日期（如 2026.9.21），月份取不到",IF(AND(N($H968)&lt;&gt;0,COUNTIFS($A$4:$A$1003,$A968,$H$4:$H$1003,$H968,$D$4:$D$1003,LEFT($D968,9)&amp;"*")&gt;1),"△ 同一天同项目有一样的销售金额，看看是不是录重了","✓"))))))))</f>
        <v/>
      </c>
      <c r="W968" s="8" t="str">
        <f aca="false">IF($A968="","",$A968&amp;"#"&amp;COUNTIF($A$4:$A968,$A968))</f>
        <v/>
      </c>
    </row>
    <row r="969" customFormat="false" ht="16.5" hidden="false" customHeight="false" outlineLevel="0" collapsed="false">
      <c r="A969" s="44" t="str">
        <f aca="false">IF($C969="","",IFERROR(VLOOKUP($C969,目录!$B:$C,2,0)&amp;"","⚠目录里没有"))</f>
        <v/>
      </c>
      <c r="B969" s="45" t="str">
        <f aca="false">IF($D969="","",IFERROR(MID($D969,FIND(".",$D969)+1,FIND(".",$D969,FIND(".",$D969)+1)-FIND(".",$D969)-1)&amp;"月",""))</f>
        <v/>
      </c>
      <c r="C969" s="46"/>
      <c r="D969" s="47"/>
      <c r="E969" s="47"/>
      <c r="F969" s="49"/>
      <c r="G969" s="50"/>
      <c r="H969" s="24"/>
      <c r="I969" s="24" t="str">
        <f aca="false">IF($H969="","",N($H969)*N($G969))</f>
        <v/>
      </c>
      <c r="J969" s="25" t="str">
        <f aca="false">IF($H969="","",N($H969)-N($I969))</f>
        <v/>
      </c>
      <c r="K969" s="25"/>
      <c r="L969" s="25" t="str">
        <f aca="false">IF($A969="","",SUMIF($A$4:$A969,$A969,$J$4:$J969)-SUMIF($A$4:$A969,$A969,$K$4:$K969))</f>
        <v/>
      </c>
      <c r="M969" s="26" t="str">
        <f aca="false">IF($H969="","",N($H969))</f>
        <v/>
      </c>
      <c r="N969" s="26"/>
      <c r="O969" s="26"/>
      <c r="P969" s="26" t="str">
        <f aca="false">IF($A969="","",SUMIF($A$4:$A969,$A969,$M$4:$M969)-SUMIF($A$4:$A969,$A969,$N$4:$N969)-SUMIF($A$4:$A969,$A969,$O$4:$O969))</f>
        <v/>
      </c>
      <c r="Q969" s="27"/>
      <c r="R969" s="28"/>
      <c r="S969" s="28"/>
      <c r="T969" s="28" t="str">
        <f aca="false">IF($A969="","",SUMIF($A$4:$A969,$A969,$Q$4:$Q969)-SUMIF($A$4:$A969,$A969,$R$4:$R969)-SUMIF($A$4:$A969,$A969,$S$4:$S969))</f>
        <v/>
      </c>
      <c r="U969" s="28"/>
      <c r="V969" s="29" t="str">
        <f aca="false">IF(AND($C969="",COUNTA($D969:$H969,$K969,$N969:$O969,$Q969:$S969,$U969)=0),"",IF($C969="","⚠ 没填项目名称",IF($A969="⚠目录里没有","⚠ 项目名称在目录里找不到（先加到目录）",IF($A969="","⚠ 目录里这个项目没填简称",IF(ISTEXT($G969)+ISTEXT($H969)+ISTEXT($K969)+ISTEXT($N969)+ISTEXT($O969)+ISTEXT($Q969)+ISTEXT($R969)+ISTEXT($S969)&gt;0,"⚠ 金额列里有文字，算不进合计",IF(N($G969)&gt;=1,"⚠ 管理费点要填百分比，如 10%",IF(AND($D969&lt;&gt;"",$B969=""),"△ 摘要开头没写日期（如 2026.9.21），月份取不到",IF(AND(N($H969)&lt;&gt;0,COUNTIFS($A$4:$A$1003,$A969,$H$4:$H$1003,$H969,$D$4:$D$1003,LEFT($D969,9)&amp;"*")&gt;1),"△ 同一天同项目有一样的销售金额，看看是不是录重了","✓"))))))))</f>
        <v/>
      </c>
      <c r="W969" s="8" t="str">
        <f aca="false">IF($A969="","",$A969&amp;"#"&amp;COUNTIF($A$4:$A969,$A969))</f>
        <v/>
      </c>
    </row>
    <row r="970" customFormat="false" ht="16.5" hidden="false" customHeight="false" outlineLevel="0" collapsed="false">
      <c r="A970" s="44" t="str">
        <f aca="false">IF($C970="","",IFERROR(VLOOKUP($C970,目录!$B:$C,2,0)&amp;"","⚠目录里没有"))</f>
        <v/>
      </c>
      <c r="B970" s="45" t="str">
        <f aca="false">IF($D970="","",IFERROR(MID($D970,FIND(".",$D970)+1,FIND(".",$D970,FIND(".",$D970)+1)-FIND(".",$D970)-1)&amp;"月",""))</f>
        <v/>
      </c>
      <c r="C970" s="46"/>
      <c r="D970" s="47"/>
      <c r="E970" s="47"/>
      <c r="F970" s="49"/>
      <c r="G970" s="50"/>
      <c r="H970" s="24"/>
      <c r="I970" s="24" t="str">
        <f aca="false">IF($H970="","",N($H970)*N($G970))</f>
        <v/>
      </c>
      <c r="J970" s="25" t="str">
        <f aca="false">IF($H970="","",N($H970)-N($I970))</f>
        <v/>
      </c>
      <c r="K970" s="25"/>
      <c r="L970" s="25" t="str">
        <f aca="false">IF($A970="","",SUMIF($A$4:$A970,$A970,$J$4:$J970)-SUMIF($A$4:$A970,$A970,$K$4:$K970))</f>
        <v/>
      </c>
      <c r="M970" s="26" t="str">
        <f aca="false">IF($H970="","",N($H970))</f>
        <v/>
      </c>
      <c r="N970" s="26"/>
      <c r="O970" s="26"/>
      <c r="P970" s="26" t="str">
        <f aca="false">IF($A970="","",SUMIF($A$4:$A970,$A970,$M$4:$M970)-SUMIF($A$4:$A970,$A970,$N$4:$N970)-SUMIF($A$4:$A970,$A970,$O$4:$O970))</f>
        <v/>
      </c>
      <c r="Q970" s="27"/>
      <c r="R970" s="28"/>
      <c r="S970" s="28"/>
      <c r="T970" s="28" t="str">
        <f aca="false">IF($A970="","",SUMIF($A$4:$A970,$A970,$Q$4:$Q970)-SUMIF($A$4:$A970,$A970,$R$4:$R970)-SUMIF($A$4:$A970,$A970,$S$4:$S970))</f>
        <v/>
      </c>
      <c r="U970" s="28"/>
      <c r="V970" s="29" t="str">
        <f aca="false">IF(AND($C970="",COUNTA($D970:$H970,$K970,$N970:$O970,$Q970:$S970,$U970)=0),"",IF($C970="","⚠ 没填项目名称",IF($A970="⚠目录里没有","⚠ 项目名称在目录里找不到（先加到目录）",IF($A970="","⚠ 目录里这个项目没填简称",IF(ISTEXT($G970)+ISTEXT($H970)+ISTEXT($K970)+ISTEXT($N970)+ISTEXT($O970)+ISTEXT($Q970)+ISTEXT($R970)+ISTEXT($S970)&gt;0,"⚠ 金额列里有文字，算不进合计",IF(N($G970)&gt;=1,"⚠ 管理费点要填百分比，如 10%",IF(AND($D970&lt;&gt;"",$B970=""),"△ 摘要开头没写日期（如 2026.9.21），月份取不到",IF(AND(N($H970)&lt;&gt;0,COUNTIFS($A$4:$A$1003,$A970,$H$4:$H$1003,$H970,$D$4:$D$1003,LEFT($D970,9)&amp;"*")&gt;1),"△ 同一天同项目有一样的销售金额，看看是不是录重了","✓"))))))))</f>
        <v/>
      </c>
      <c r="W970" s="8" t="str">
        <f aca="false">IF($A970="","",$A970&amp;"#"&amp;COUNTIF($A$4:$A970,$A970))</f>
        <v/>
      </c>
    </row>
    <row r="971" customFormat="false" ht="16.5" hidden="false" customHeight="false" outlineLevel="0" collapsed="false">
      <c r="A971" s="44" t="str">
        <f aca="false">IF($C971="","",IFERROR(VLOOKUP($C971,目录!$B:$C,2,0)&amp;"","⚠目录里没有"))</f>
        <v/>
      </c>
      <c r="B971" s="45" t="str">
        <f aca="false">IF($D971="","",IFERROR(MID($D971,FIND(".",$D971)+1,FIND(".",$D971,FIND(".",$D971)+1)-FIND(".",$D971)-1)&amp;"月",""))</f>
        <v/>
      </c>
      <c r="C971" s="46"/>
      <c r="D971" s="47"/>
      <c r="E971" s="47"/>
      <c r="F971" s="49"/>
      <c r="G971" s="50"/>
      <c r="H971" s="24"/>
      <c r="I971" s="24" t="str">
        <f aca="false">IF($H971="","",N($H971)*N($G971))</f>
        <v/>
      </c>
      <c r="J971" s="25" t="str">
        <f aca="false">IF($H971="","",N($H971)-N($I971))</f>
        <v/>
      </c>
      <c r="K971" s="25"/>
      <c r="L971" s="25" t="str">
        <f aca="false">IF($A971="","",SUMIF($A$4:$A971,$A971,$J$4:$J971)-SUMIF($A$4:$A971,$A971,$K$4:$K971))</f>
        <v/>
      </c>
      <c r="M971" s="26" t="str">
        <f aca="false">IF($H971="","",N($H971))</f>
        <v/>
      </c>
      <c r="N971" s="26"/>
      <c r="O971" s="26"/>
      <c r="P971" s="26" t="str">
        <f aca="false">IF($A971="","",SUMIF($A$4:$A971,$A971,$M$4:$M971)-SUMIF($A$4:$A971,$A971,$N$4:$N971)-SUMIF($A$4:$A971,$A971,$O$4:$O971))</f>
        <v/>
      </c>
      <c r="Q971" s="27"/>
      <c r="R971" s="28"/>
      <c r="S971" s="28"/>
      <c r="T971" s="28" t="str">
        <f aca="false">IF($A971="","",SUMIF($A$4:$A971,$A971,$Q$4:$Q971)-SUMIF($A$4:$A971,$A971,$R$4:$R971)-SUMIF($A$4:$A971,$A971,$S$4:$S971))</f>
        <v/>
      </c>
      <c r="U971" s="28"/>
      <c r="V971" s="29" t="str">
        <f aca="false">IF(AND($C971="",COUNTA($D971:$H971,$K971,$N971:$O971,$Q971:$S971,$U971)=0),"",IF($C971="","⚠ 没填项目名称",IF($A971="⚠目录里没有","⚠ 项目名称在目录里找不到（先加到目录）",IF($A971="","⚠ 目录里这个项目没填简称",IF(ISTEXT($G971)+ISTEXT($H971)+ISTEXT($K971)+ISTEXT($N971)+ISTEXT($O971)+ISTEXT($Q971)+ISTEXT($R971)+ISTEXT($S971)&gt;0,"⚠ 金额列里有文字，算不进合计",IF(N($G971)&gt;=1,"⚠ 管理费点要填百分比，如 10%",IF(AND($D971&lt;&gt;"",$B971=""),"△ 摘要开头没写日期（如 2026.9.21），月份取不到",IF(AND(N($H971)&lt;&gt;0,COUNTIFS($A$4:$A$1003,$A971,$H$4:$H$1003,$H971,$D$4:$D$1003,LEFT($D971,9)&amp;"*")&gt;1),"△ 同一天同项目有一样的销售金额，看看是不是录重了","✓"))))))))</f>
        <v/>
      </c>
      <c r="W971" s="8" t="str">
        <f aca="false">IF($A971="","",$A971&amp;"#"&amp;COUNTIF($A$4:$A971,$A971))</f>
        <v/>
      </c>
    </row>
    <row r="972" customFormat="false" ht="16.5" hidden="false" customHeight="false" outlineLevel="0" collapsed="false">
      <c r="A972" s="44" t="str">
        <f aca="false">IF($C972="","",IFERROR(VLOOKUP($C972,目录!$B:$C,2,0)&amp;"","⚠目录里没有"))</f>
        <v/>
      </c>
      <c r="B972" s="45" t="str">
        <f aca="false">IF($D972="","",IFERROR(MID($D972,FIND(".",$D972)+1,FIND(".",$D972,FIND(".",$D972)+1)-FIND(".",$D972)-1)&amp;"月",""))</f>
        <v/>
      </c>
      <c r="C972" s="46"/>
      <c r="D972" s="47"/>
      <c r="E972" s="47"/>
      <c r="F972" s="49"/>
      <c r="G972" s="50"/>
      <c r="H972" s="24"/>
      <c r="I972" s="24" t="str">
        <f aca="false">IF($H972="","",N($H972)*N($G972))</f>
        <v/>
      </c>
      <c r="J972" s="25" t="str">
        <f aca="false">IF($H972="","",N($H972)-N($I972))</f>
        <v/>
      </c>
      <c r="K972" s="25"/>
      <c r="L972" s="25" t="str">
        <f aca="false">IF($A972="","",SUMIF($A$4:$A972,$A972,$J$4:$J972)-SUMIF($A$4:$A972,$A972,$K$4:$K972))</f>
        <v/>
      </c>
      <c r="M972" s="26" t="str">
        <f aca="false">IF($H972="","",N($H972))</f>
        <v/>
      </c>
      <c r="N972" s="26"/>
      <c r="O972" s="26"/>
      <c r="P972" s="26" t="str">
        <f aca="false">IF($A972="","",SUMIF($A$4:$A972,$A972,$M$4:$M972)-SUMIF($A$4:$A972,$A972,$N$4:$N972)-SUMIF($A$4:$A972,$A972,$O$4:$O972))</f>
        <v/>
      </c>
      <c r="Q972" s="27"/>
      <c r="R972" s="28"/>
      <c r="S972" s="28"/>
      <c r="T972" s="28" t="str">
        <f aca="false">IF($A972="","",SUMIF($A$4:$A972,$A972,$Q$4:$Q972)-SUMIF($A$4:$A972,$A972,$R$4:$R972)-SUMIF($A$4:$A972,$A972,$S$4:$S972))</f>
        <v/>
      </c>
      <c r="U972" s="28"/>
      <c r="V972" s="29" t="str">
        <f aca="false">IF(AND($C972="",COUNTA($D972:$H972,$K972,$N972:$O972,$Q972:$S972,$U972)=0),"",IF($C972="","⚠ 没填项目名称",IF($A972="⚠目录里没有","⚠ 项目名称在目录里找不到（先加到目录）",IF($A972="","⚠ 目录里这个项目没填简称",IF(ISTEXT($G972)+ISTEXT($H972)+ISTEXT($K972)+ISTEXT($N972)+ISTEXT($O972)+ISTEXT($Q972)+ISTEXT($R972)+ISTEXT($S972)&gt;0,"⚠ 金额列里有文字，算不进合计",IF(N($G972)&gt;=1,"⚠ 管理费点要填百分比，如 10%",IF(AND($D972&lt;&gt;"",$B972=""),"△ 摘要开头没写日期（如 2026.9.21），月份取不到",IF(AND(N($H972)&lt;&gt;0,COUNTIFS($A$4:$A$1003,$A972,$H$4:$H$1003,$H972,$D$4:$D$1003,LEFT($D972,9)&amp;"*")&gt;1),"△ 同一天同项目有一样的销售金额，看看是不是录重了","✓"))))))))</f>
        <v/>
      </c>
      <c r="W972" s="8" t="str">
        <f aca="false">IF($A972="","",$A972&amp;"#"&amp;COUNTIF($A$4:$A972,$A972))</f>
        <v/>
      </c>
    </row>
    <row r="973" customFormat="false" ht="16.5" hidden="false" customHeight="false" outlineLevel="0" collapsed="false">
      <c r="A973" s="44" t="str">
        <f aca="false">IF($C973="","",IFERROR(VLOOKUP($C973,目录!$B:$C,2,0)&amp;"","⚠目录里没有"))</f>
        <v/>
      </c>
      <c r="B973" s="45" t="str">
        <f aca="false">IF($D973="","",IFERROR(MID($D973,FIND(".",$D973)+1,FIND(".",$D973,FIND(".",$D973)+1)-FIND(".",$D973)-1)&amp;"月",""))</f>
        <v/>
      </c>
      <c r="C973" s="46"/>
      <c r="D973" s="47"/>
      <c r="E973" s="47"/>
      <c r="F973" s="49"/>
      <c r="G973" s="50"/>
      <c r="H973" s="24"/>
      <c r="I973" s="24" t="str">
        <f aca="false">IF($H973="","",N($H973)*N($G973))</f>
        <v/>
      </c>
      <c r="J973" s="25" t="str">
        <f aca="false">IF($H973="","",N($H973)-N($I973))</f>
        <v/>
      </c>
      <c r="K973" s="25"/>
      <c r="L973" s="25" t="str">
        <f aca="false">IF($A973="","",SUMIF($A$4:$A973,$A973,$J$4:$J973)-SUMIF($A$4:$A973,$A973,$K$4:$K973))</f>
        <v/>
      </c>
      <c r="M973" s="26" t="str">
        <f aca="false">IF($H973="","",N($H973))</f>
        <v/>
      </c>
      <c r="N973" s="26"/>
      <c r="O973" s="26"/>
      <c r="P973" s="26" t="str">
        <f aca="false">IF($A973="","",SUMIF($A$4:$A973,$A973,$M$4:$M973)-SUMIF($A$4:$A973,$A973,$N$4:$N973)-SUMIF($A$4:$A973,$A973,$O$4:$O973))</f>
        <v/>
      </c>
      <c r="Q973" s="27"/>
      <c r="R973" s="28"/>
      <c r="S973" s="28"/>
      <c r="T973" s="28" t="str">
        <f aca="false">IF($A973="","",SUMIF($A$4:$A973,$A973,$Q$4:$Q973)-SUMIF($A$4:$A973,$A973,$R$4:$R973)-SUMIF($A$4:$A973,$A973,$S$4:$S973))</f>
        <v/>
      </c>
      <c r="U973" s="28"/>
      <c r="V973" s="29" t="str">
        <f aca="false">IF(AND($C973="",COUNTA($D973:$H973,$K973,$N973:$O973,$Q973:$S973,$U973)=0),"",IF($C973="","⚠ 没填项目名称",IF($A973="⚠目录里没有","⚠ 项目名称在目录里找不到（先加到目录）",IF($A973="","⚠ 目录里这个项目没填简称",IF(ISTEXT($G973)+ISTEXT($H973)+ISTEXT($K973)+ISTEXT($N973)+ISTEXT($O973)+ISTEXT($Q973)+ISTEXT($R973)+ISTEXT($S973)&gt;0,"⚠ 金额列里有文字，算不进合计",IF(N($G973)&gt;=1,"⚠ 管理费点要填百分比，如 10%",IF(AND($D973&lt;&gt;"",$B973=""),"△ 摘要开头没写日期（如 2026.9.21），月份取不到",IF(AND(N($H973)&lt;&gt;0,COUNTIFS($A$4:$A$1003,$A973,$H$4:$H$1003,$H973,$D$4:$D$1003,LEFT($D973,9)&amp;"*")&gt;1),"△ 同一天同项目有一样的销售金额，看看是不是录重了","✓"))))))))</f>
        <v/>
      </c>
      <c r="W973" s="8" t="str">
        <f aca="false">IF($A973="","",$A973&amp;"#"&amp;COUNTIF($A$4:$A973,$A973))</f>
        <v/>
      </c>
    </row>
    <row r="974" customFormat="false" ht="16.5" hidden="false" customHeight="false" outlineLevel="0" collapsed="false">
      <c r="A974" s="44" t="str">
        <f aca="false">IF($C974="","",IFERROR(VLOOKUP($C974,目录!$B:$C,2,0)&amp;"","⚠目录里没有"))</f>
        <v/>
      </c>
      <c r="B974" s="45" t="str">
        <f aca="false">IF($D974="","",IFERROR(MID($D974,FIND(".",$D974)+1,FIND(".",$D974,FIND(".",$D974)+1)-FIND(".",$D974)-1)&amp;"月",""))</f>
        <v/>
      </c>
      <c r="C974" s="46"/>
      <c r="D974" s="47"/>
      <c r="E974" s="47"/>
      <c r="F974" s="49"/>
      <c r="G974" s="50"/>
      <c r="H974" s="24"/>
      <c r="I974" s="24" t="str">
        <f aca="false">IF($H974="","",N($H974)*N($G974))</f>
        <v/>
      </c>
      <c r="J974" s="25" t="str">
        <f aca="false">IF($H974="","",N($H974)-N($I974))</f>
        <v/>
      </c>
      <c r="K974" s="25"/>
      <c r="L974" s="25" t="str">
        <f aca="false">IF($A974="","",SUMIF($A$4:$A974,$A974,$J$4:$J974)-SUMIF($A$4:$A974,$A974,$K$4:$K974))</f>
        <v/>
      </c>
      <c r="M974" s="26" t="str">
        <f aca="false">IF($H974="","",N($H974))</f>
        <v/>
      </c>
      <c r="N974" s="26"/>
      <c r="O974" s="26"/>
      <c r="P974" s="26" t="str">
        <f aca="false">IF($A974="","",SUMIF($A$4:$A974,$A974,$M$4:$M974)-SUMIF($A$4:$A974,$A974,$N$4:$N974)-SUMIF($A$4:$A974,$A974,$O$4:$O974))</f>
        <v/>
      </c>
      <c r="Q974" s="27"/>
      <c r="R974" s="28"/>
      <c r="S974" s="28"/>
      <c r="T974" s="28" t="str">
        <f aca="false">IF($A974="","",SUMIF($A$4:$A974,$A974,$Q$4:$Q974)-SUMIF($A$4:$A974,$A974,$R$4:$R974)-SUMIF($A$4:$A974,$A974,$S$4:$S974))</f>
        <v/>
      </c>
      <c r="U974" s="28"/>
      <c r="V974" s="29" t="str">
        <f aca="false">IF(AND($C974="",COUNTA($D974:$H974,$K974,$N974:$O974,$Q974:$S974,$U974)=0),"",IF($C974="","⚠ 没填项目名称",IF($A974="⚠目录里没有","⚠ 项目名称在目录里找不到（先加到目录）",IF($A974="","⚠ 目录里这个项目没填简称",IF(ISTEXT($G974)+ISTEXT($H974)+ISTEXT($K974)+ISTEXT($N974)+ISTEXT($O974)+ISTEXT($Q974)+ISTEXT($R974)+ISTEXT($S974)&gt;0,"⚠ 金额列里有文字，算不进合计",IF(N($G974)&gt;=1,"⚠ 管理费点要填百分比，如 10%",IF(AND($D974&lt;&gt;"",$B974=""),"△ 摘要开头没写日期（如 2026.9.21），月份取不到",IF(AND(N($H974)&lt;&gt;0,COUNTIFS($A$4:$A$1003,$A974,$H$4:$H$1003,$H974,$D$4:$D$1003,LEFT($D974,9)&amp;"*")&gt;1),"△ 同一天同项目有一样的销售金额，看看是不是录重了","✓"))))))))</f>
        <v/>
      </c>
      <c r="W974" s="8" t="str">
        <f aca="false">IF($A974="","",$A974&amp;"#"&amp;COUNTIF($A$4:$A974,$A974))</f>
        <v/>
      </c>
    </row>
    <row r="975" customFormat="false" ht="16.5" hidden="false" customHeight="false" outlineLevel="0" collapsed="false">
      <c r="A975" s="44" t="str">
        <f aca="false">IF($C975="","",IFERROR(VLOOKUP($C975,目录!$B:$C,2,0)&amp;"","⚠目录里没有"))</f>
        <v/>
      </c>
      <c r="B975" s="45" t="str">
        <f aca="false">IF($D975="","",IFERROR(MID($D975,FIND(".",$D975)+1,FIND(".",$D975,FIND(".",$D975)+1)-FIND(".",$D975)-1)&amp;"月",""))</f>
        <v/>
      </c>
      <c r="C975" s="46"/>
      <c r="D975" s="47"/>
      <c r="E975" s="47"/>
      <c r="F975" s="49"/>
      <c r="G975" s="50"/>
      <c r="H975" s="24"/>
      <c r="I975" s="24" t="str">
        <f aca="false">IF($H975="","",N($H975)*N($G975))</f>
        <v/>
      </c>
      <c r="J975" s="25" t="str">
        <f aca="false">IF($H975="","",N($H975)-N($I975))</f>
        <v/>
      </c>
      <c r="K975" s="25"/>
      <c r="L975" s="25" t="str">
        <f aca="false">IF($A975="","",SUMIF($A$4:$A975,$A975,$J$4:$J975)-SUMIF($A$4:$A975,$A975,$K$4:$K975))</f>
        <v/>
      </c>
      <c r="M975" s="26" t="str">
        <f aca="false">IF($H975="","",N($H975))</f>
        <v/>
      </c>
      <c r="N975" s="26"/>
      <c r="O975" s="26"/>
      <c r="P975" s="26" t="str">
        <f aca="false">IF($A975="","",SUMIF($A$4:$A975,$A975,$M$4:$M975)-SUMIF($A$4:$A975,$A975,$N$4:$N975)-SUMIF($A$4:$A975,$A975,$O$4:$O975))</f>
        <v/>
      </c>
      <c r="Q975" s="27"/>
      <c r="R975" s="28"/>
      <c r="S975" s="28"/>
      <c r="T975" s="28" t="str">
        <f aca="false">IF($A975="","",SUMIF($A$4:$A975,$A975,$Q$4:$Q975)-SUMIF($A$4:$A975,$A975,$R$4:$R975)-SUMIF($A$4:$A975,$A975,$S$4:$S975))</f>
        <v/>
      </c>
      <c r="U975" s="28"/>
      <c r="V975" s="29" t="str">
        <f aca="false">IF(AND($C975="",COUNTA($D975:$H975,$K975,$N975:$O975,$Q975:$S975,$U975)=0),"",IF($C975="","⚠ 没填项目名称",IF($A975="⚠目录里没有","⚠ 项目名称在目录里找不到（先加到目录）",IF($A975="","⚠ 目录里这个项目没填简称",IF(ISTEXT($G975)+ISTEXT($H975)+ISTEXT($K975)+ISTEXT($N975)+ISTEXT($O975)+ISTEXT($Q975)+ISTEXT($R975)+ISTEXT($S975)&gt;0,"⚠ 金额列里有文字，算不进合计",IF(N($G975)&gt;=1,"⚠ 管理费点要填百分比，如 10%",IF(AND($D975&lt;&gt;"",$B975=""),"△ 摘要开头没写日期（如 2026.9.21），月份取不到",IF(AND(N($H975)&lt;&gt;0,COUNTIFS($A$4:$A$1003,$A975,$H$4:$H$1003,$H975,$D$4:$D$1003,LEFT($D975,9)&amp;"*")&gt;1),"△ 同一天同项目有一样的销售金额，看看是不是录重了","✓"))))))))</f>
        <v/>
      </c>
      <c r="W975" s="8" t="str">
        <f aca="false">IF($A975="","",$A975&amp;"#"&amp;COUNTIF($A$4:$A975,$A975))</f>
        <v/>
      </c>
    </row>
    <row r="976" customFormat="false" ht="16.5" hidden="false" customHeight="false" outlineLevel="0" collapsed="false">
      <c r="A976" s="44" t="str">
        <f aca="false">IF($C976="","",IFERROR(VLOOKUP($C976,目录!$B:$C,2,0)&amp;"","⚠目录里没有"))</f>
        <v/>
      </c>
      <c r="B976" s="45" t="str">
        <f aca="false">IF($D976="","",IFERROR(MID($D976,FIND(".",$D976)+1,FIND(".",$D976,FIND(".",$D976)+1)-FIND(".",$D976)-1)&amp;"月",""))</f>
        <v/>
      </c>
      <c r="C976" s="46"/>
      <c r="D976" s="47"/>
      <c r="E976" s="47"/>
      <c r="F976" s="49"/>
      <c r="G976" s="50"/>
      <c r="H976" s="24"/>
      <c r="I976" s="24" t="str">
        <f aca="false">IF($H976="","",N($H976)*N($G976))</f>
        <v/>
      </c>
      <c r="J976" s="25" t="str">
        <f aca="false">IF($H976="","",N($H976)-N($I976))</f>
        <v/>
      </c>
      <c r="K976" s="25"/>
      <c r="L976" s="25" t="str">
        <f aca="false">IF($A976="","",SUMIF($A$4:$A976,$A976,$J$4:$J976)-SUMIF($A$4:$A976,$A976,$K$4:$K976))</f>
        <v/>
      </c>
      <c r="M976" s="26" t="str">
        <f aca="false">IF($H976="","",N($H976))</f>
        <v/>
      </c>
      <c r="N976" s="26"/>
      <c r="O976" s="26"/>
      <c r="P976" s="26" t="str">
        <f aca="false">IF($A976="","",SUMIF($A$4:$A976,$A976,$M$4:$M976)-SUMIF($A$4:$A976,$A976,$N$4:$N976)-SUMIF($A$4:$A976,$A976,$O$4:$O976))</f>
        <v/>
      </c>
      <c r="Q976" s="27"/>
      <c r="R976" s="28"/>
      <c r="S976" s="28"/>
      <c r="T976" s="28" t="str">
        <f aca="false">IF($A976="","",SUMIF($A$4:$A976,$A976,$Q$4:$Q976)-SUMIF($A$4:$A976,$A976,$R$4:$R976)-SUMIF($A$4:$A976,$A976,$S$4:$S976))</f>
        <v/>
      </c>
      <c r="U976" s="28"/>
      <c r="V976" s="29" t="str">
        <f aca="false">IF(AND($C976="",COUNTA($D976:$H976,$K976,$N976:$O976,$Q976:$S976,$U976)=0),"",IF($C976="","⚠ 没填项目名称",IF($A976="⚠目录里没有","⚠ 项目名称在目录里找不到（先加到目录）",IF($A976="","⚠ 目录里这个项目没填简称",IF(ISTEXT($G976)+ISTEXT($H976)+ISTEXT($K976)+ISTEXT($N976)+ISTEXT($O976)+ISTEXT($Q976)+ISTEXT($R976)+ISTEXT($S976)&gt;0,"⚠ 金额列里有文字，算不进合计",IF(N($G976)&gt;=1,"⚠ 管理费点要填百分比，如 10%",IF(AND($D976&lt;&gt;"",$B976=""),"△ 摘要开头没写日期（如 2026.9.21），月份取不到",IF(AND(N($H976)&lt;&gt;0,COUNTIFS($A$4:$A$1003,$A976,$H$4:$H$1003,$H976,$D$4:$D$1003,LEFT($D976,9)&amp;"*")&gt;1),"△ 同一天同项目有一样的销售金额，看看是不是录重了","✓"))))))))</f>
        <v/>
      </c>
      <c r="W976" s="8" t="str">
        <f aca="false">IF($A976="","",$A976&amp;"#"&amp;COUNTIF($A$4:$A976,$A976))</f>
        <v/>
      </c>
    </row>
    <row r="977" customFormat="false" ht="16.5" hidden="false" customHeight="false" outlineLevel="0" collapsed="false">
      <c r="A977" s="44" t="str">
        <f aca="false">IF($C977="","",IFERROR(VLOOKUP($C977,目录!$B:$C,2,0)&amp;"","⚠目录里没有"))</f>
        <v/>
      </c>
      <c r="B977" s="45" t="str">
        <f aca="false">IF($D977="","",IFERROR(MID($D977,FIND(".",$D977)+1,FIND(".",$D977,FIND(".",$D977)+1)-FIND(".",$D977)-1)&amp;"月",""))</f>
        <v/>
      </c>
      <c r="C977" s="46"/>
      <c r="D977" s="47"/>
      <c r="E977" s="47"/>
      <c r="F977" s="49"/>
      <c r="G977" s="50"/>
      <c r="H977" s="24"/>
      <c r="I977" s="24" t="str">
        <f aca="false">IF($H977="","",N($H977)*N($G977))</f>
        <v/>
      </c>
      <c r="J977" s="25" t="str">
        <f aca="false">IF($H977="","",N($H977)-N($I977))</f>
        <v/>
      </c>
      <c r="K977" s="25"/>
      <c r="L977" s="25" t="str">
        <f aca="false">IF($A977="","",SUMIF($A$4:$A977,$A977,$J$4:$J977)-SUMIF($A$4:$A977,$A977,$K$4:$K977))</f>
        <v/>
      </c>
      <c r="M977" s="26" t="str">
        <f aca="false">IF($H977="","",N($H977))</f>
        <v/>
      </c>
      <c r="N977" s="26"/>
      <c r="O977" s="26"/>
      <c r="P977" s="26" t="str">
        <f aca="false">IF($A977="","",SUMIF($A$4:$A977,$A977,$M$4:$M977)-SUMIF($A$4:$A977,$A977,$N$4:$N977)-SUMIF($A$4:$A977,$A977,$O$4:$O977))</f>
        <v/>
      </c>
      <c r="Q977" s="27"/>
      <c r="R977" s="28"/>
      <c r="S977" s="28"/>
      <c r="T977" s="28" t="str">
        <f aca="false">IF($A977="","",SUMIF($A$4:$A977,$A977,$Q$4:$Q977)-SUMIF($A$4:$A977,$A977,$R$4:$R977)-SUMIF($A$4:$A977,$A977,$S$4:$S977))</f>
        <v/>
      </c>
      <c r="U977" s="28"/>
      <c r="V977" s="29" t="str">
        <f aca="false">IF(AND($C977="",COUNTA($D977:$H977,$K977,$N977:$O977,$Q977:$S977,$U977)=0),"",IF($C977="","⚠ 没填项目名称",IF($A977="⚠目录里没有","⚠ 项目名称在目录里找不到（先加到目录）",IF($A977="","⚠ 目录里这个项目没填简称",IF(ISTEXT($G977)+ISTEXT($H977)+ISTEXT($K977)+ISTEXT($N977)+ISTEXT($O977)+ISTEXT($Q977)+ISTEXT($R977)+ISTEXT($S977)&gt;0,"⚠ 金额列里有文字，算不进合计",IF(N($G977)&gt;=1,"⚠ 管理费点要填百分比，如 10%",IF(AND($D977&lt;&gt;"",$B977=""),"△ 摘要开头没写日期（如 2026.9.21），月份取不到",IF(AND(N($H977)&lt;&gt;0,COUNTIFS($A$4:$A$1003,$A977,$H$4:$H$1003,$H977,$D$4:$D$1003,LEFT($D977,9)&amp;"*")&gt;1),"△ 同一天同项目有一样的销售金额，看看是不是录重了","✓"))))))))</f>
        <v/>
      </c>
      <c r="W977" s="8" t="str">
        <f aca="false">IF($A977="","",$A977&amp;"#"&amp;COUNTIF($A$4:$A977,$A977))</f>
        <v/>
      </c>
    </row>
    <row r="978" customFormat="false" ht="16.5" hidden="false" customHeight="false" outlineLevel="0" collapsed="false">
      <c r="A978" s="44" t="str">
        <f aca="false">IF($C978="","",IFERROR(VLOOKUP($C978,目录!$B:$C,2,0)&amp;"","⚠目录里没有"))</f>
        <v/>
      </c>
      <c r="B978" s="45" t="str">
        <f aca="false">IF($D978="","",IFERROR(MID($D978,FIND(".",$D978)+1,FIND(".",$D978,FIND(".",$D978)+1)-FIND(".",$D978)-1)&amp;"月",""))</f>
        <v/>
      </c>
      <c r="C978" s="46"/>
      <c r="D978" s="47"/>
      <c r="E978" s="47"/>
      <c r="F978" s="49"/>
      <c r="G978" s="50"/>
      <c r="H978" s="24"/>
      <c r="I978" s="24" t="str">
        <f aca="false">IF($H978="","",N($H978)*N($G978))</f>
        <v/>
      </c>
      <c r="J978" s="25" t="str">
        <f aca="false">IF($H978="","",N($H978)-N($I978))</f>
        <v/>
      </c>
      <c r="K978" s="25"/>
      <c r="L978" s="25" t="str">
        <f aca="false">IF($A978="","",SUMIF($A$4:$A978,$A978,$J$4:$J978)-SUMIF($A$4:$A978,$A978,$K$4:$K978))</f>
        <v/>
      </c>
      <c r="M978" s="26" t="str">
        <f aca="false">IF($H978="","",N($H978))</f>
        <v/>
      </c>
      <c r="N978" s="26"/>
      <c r="O978" s="26"/>
      <c r="P978" s="26" t="str">
        <f aca="false">IF($A978="","",SUMIF($A$4:$A978,$A978,$M$4:$M978)-SUMIF($A$4:$A978,$A978,$N$4:$N978)-SUMIF($A$4:$A978,$A978,$O$4:$O978))</f>
        <v/>
      </c>
      <c r="Q978" s="27"/>
      <c r="R978" s="28"/>
      <c r="S978" s="28"/>
      <c r="T978" s="28" t="str">
        <f aca="false">IF($A978="","",SUMIF($A$4:$A978,$A978,$Q$4:$Q978)-SUMIF($A$4:$A978,$A978,$R$4:$R978)-SUMIF($A$4:$A978,$A978,$S$4:$S978))</f>
        <v/>
      </c>
      <c r="U978" s="28"/>
      <c r="V978" s="29" t="str">
        <f aca="false">IF(AND($C978="",COUNTA($D978:$H978,$K978,$N978:$O978,$Q978:$S978,$U978)=0),"",IF($C978="","⚠ 没填项目名称",IF($A978="⚠目录里没有","⚠ 项目名称在目录里找不到（先加到目录）",IF($A978="","⚠ 目录里这个项目没填简称",IF(ISTEXT($G978)+ISTEXT($H978)+ISTEXT($K978)+ISTEXT($N978)+ISTEXT($O978)+ISTEXT($Q978)+ISTEXT($R978)+ISTEXT($S978)&gt;0,"⚠ 金额列里有文字，算不进合计",IF(N($G978)&gt;=1,"⚠ 管理费点要填百分比，如 10%",IF(AND($D978&lt;&gt;"",$B978=""),"△ 摘要开头没写日期（如 2026.9.21），月份取不到",IF(AND(N($H978)&lt;&gt;0,COUNTIFS($A$4:$A$1003,$A978,$H$4:$H$1003,$H978,$D$4:$D$1003,LEFT($D978,9)&amp;"*")&gt;1),"△ 同一天同项目有一样的销售金额，看看是不是录重了","✓"))))))))</f>
        <v/>
      </c>
      <c r="W978" s="8" t="str">
        <f aca="false">IF($A978="","",$A978&amp;"#"&amp;COUNTIF($A$4:$A978,$A978))</f>
        <v/>
      </c>
    </row>
    <row r="979" customFormat="false" ht="16.5" hidden="false" customHeight="false" outlineLevel="0" collapsed="false">
      <c r="A979" s="44" t="str">
        <f aca="false">IF($C979="","",IFERROR(VLOOKUP($C979,目录!$B:$C,2,0)&amp;"","⚠目录里没有"))</f>
        <v/>
      </c>
      <c r="B979" s="45" t="str">
        <f aca="false">IF($D979="","",IFERROR(MID($D979,FIND(".",$D979)+1,FIND(".",$D979,FIND(".",$D979)+1)-FIND(".",$D979)-1)&amp;"月",""))</f>
        <v/>
      </c>
      <c r="C979" s="46"/>
      <c r="D979" s="47"/>
      <c r="E979" s="47"/>
      <c r="F979" s="49"/>
      <c r="G979" s="50"/>
      <c r="H979" s="24"/>
      <c r="I979" s="24" t="str">
        <f aca="false">IF($H979="","",N($H979)*N($G979))</f>
        <v/>
      </c>
      <c r="J979" s="25" t="str">
        <f aca="false">IF($H979="","",N($H979)-N($I979))</f>
        <v/>
      </c>
      <c r="K979" s="25"/>
      <c r="L979" s="25" t="str">
        <f aca="false">IF($A979="","",SUMIF($A$4:$A979,$A979,$J$4:$J979)-SUMIF($A$4:$A979,$A979,$K$4:$K979))</f>
        <v/>
      </c>
      <c r="M979" s="26" t="str">
        <f aca="false">IF($H979="","",N($H979))</f>
        <v/>
      </c>
      <c r="N979" s="26"/>
      <c r="O979" s="26"/>
      <c r="P979" s="26" t="str">
        <f aca="false">IF($A979="","",SUMIF($A$4:$A979,$A979,$M$4:$M979)-SUMIF($A$4:$A979,$A979,$N$4:$N979)-SUMIF($A$4:$A979,$A979,$O$4:$O979))</f>
        <v/>
      </c>
      <c r="Q979" s="27"/>
      <c r="R979" s="28"/>
      <c r="S979" s="28"/>
      <c r="T979" s="28" t="str">
        <f aca="false">IF($A979="","",SUMIF($A$4:$A979,$A979,$Q$4:$Q979)-SUMIF($A$4:$A979,$A979,$R$4:$R979)-SUMIF($A$4:$A979,$A979,$S$4:$S979))</f>
        <v/>
      </c>
      <c r="U979" s="28"/>
      <c r="V979" s="29" t="str">
        <f aca="false">IF(AND($C979="",COUNTA($D979:$H979,$K979,$N979:$O979,$Q979:$S979,$U979)=0),"",IF($C979="","⚠ 没填项目名称",IF($A979="⚠目录里没有","⚠ 项目名称在目录里找不到（先加到目录）",IF($A979="","⚠ 目录里这个项目没填简称",IF(ISTEXT($G979)+ISTEXT($H979)+ISTEXT($K979)+ISTEXT($N979)+ISTEXT($O979)+ISTEXT($Q979)+ISTEXT($R979)+ISTEXT($S979)&gt;0,"⚠ 金额列里有文字，算不进合计",IF(N($G979)&gt;=1,"⚠ 管理费点要填百分比，如 10%",IF(AND($D979&lt;&gt;"",$B979=""),"△ 摘要开头没写日期（如 2026.9.21），月份取不到",IF(AND(N($H979)&lt;&gt;0,COUNTIFS($A$4:$A$1003,$A979,$H$4:$H$1003,$H979,$D$4:$D$1003,LEFT($D979,9)&amp;"*")&gt;1),"△ 同一天同项目有一样的销售金额，看看是不是录重了","✓"))))))))</f>
        <v/>
      </c>
      <c r="W979" s="8" t="str">
        <f aca="false">IF($A979="","",$A979&amp;"#"&amp;COUNTIF($A$4:$A979,$A979))</f>
        <v/>
      </c>
    </row>
    <row r="980" customFormat="false" ht="16.5" hidden="false" customHeight="false" outlineLevel="0" collapsed="false">
      <c r="A980" s="44" t="str">
        <f aca="false">IF($C980="","",IFERROR(VLOOKUP($C980,目录!$B:$C,2,0)&amp;"","⚠目录里没有"))</f>
        <v/>
      </c>
      <c r="B980" s="45" t="str">
        <f aca="false">IF($D980="","",IFERROR(MID($D980,FIND(".",$D980)+1,FIND(".",$D980,FIND(".",$D980)+1)-FIND(".",$D980)-1)&amp;"月",""))</f>
        <v/>
      </c>
      <c r="C980" s="46"/>
      <c r="D980" s="47"/>
      <c r="E980" s="47"/>
      <c r="F980" s="49"/>
      <c r="G980" s="50"/>
      <c r="H980" s="24"/>
      <c r="I980" s="24" t="str">
        <f aca="false">IF($H980="","",N($H980)*N($G980))</f>
        <v/>
      </c>
      <c r="J980" s="25" t="str">
        <f aca="false">IF($H980="","",N($H980)-N($I980))</f>
        <v/>
      </c>
      <c r="K980" s="25"/>
      <c r="L980" s="25" t="str">
        <f aca="false">IF($A980="","",SUMIF($A$4:$A980,$A980,$J$4:$J980)-SUMIF($A$4:$A980,$A980,$K$4:$K980))</f>
        <v/>
      </c>
      <c r="M980" s="26" t="str">
        <f aca="false">IF($H980="","",N($H980))</f>
        <v/>
      </c>
      <c r="N980" s="26"/>
      <c r="O980" s="26"/>
      <c r="P980" s="26" t="str">
        <f aca="false">IF($A980="","",SUMIF($A$4:$A980,$A980,$M$4:$M980)-SUMIF($A$4:$A980,$A980,$N$4:$N980)-SUMIF($A$4:$A980,$A980,$O$4:$O980))</f>
        <v/>
      </c>
      <c r="Q980" s="27"/>
      <c r="R980" s="28"/>
      <c r="S980" s="28"/>
      <c r="T980" s="28" t="str">
        <f aca="false">IF($A980="","",SUMIF($A$4:$A980,$A980,$Q$4:$Q980)-SUMIF($A$4:$A980,$A980,$R$4:$R980)-SUMIF($A$4:$A980,$A980,$S$4:$S980))</f>
        <v/>
      </c>
      <c r="U980" s="28"/>
      <c r="V980" s="29" t="str">
        <f aca="false">IF(AND($C980="",COUNTA($D980:$H980,$K980,$N980:$O980,$Q980:$S980,$U980)=0),"",IF($C980="","⚠ 没填项目名称",IF($A980="⚠目录里没有","⚠ 项目名称在目录里找不到（先加到目录）",IF($A980="","⚠ 目录里这个项目没填简称",IF(ISTEXT($G980)+ISTEXT($H980)+ISTEXT($K980)+ISTEXT($N980)+ISTEXT($O980)+ISTEXT($Q980)+ISTEXT($R980)+ISTEXT($S980)&gt;0,"⚠ 金额列里有文字，算不进合计",IF(N($G980)&gt;=1,"⚠ 管理费点要填百分比，如 10%",IF(AND($D980&lt;&gt;"",$B980=""),"△ 摘要开头没写日期（如 2026.9.21），月份取不到",IF(AND(N($H980)&lt;&gt;0,COUNTIFS($A$4:$A$1003,$A980,$H$4:$H$1003,$H980,$D$4:$D$1003,LEFT($D980,9)&amp;"*")&gt;1),"△ 同一天同项目有一样的销售金额，看看是不是录重了","✓"))))))))</f>
        <v/>
      </c>
      <c r="W980" s="8" t="str">
        <f aca="false">IF($A980="","",$A980&amp;"#"&amp;COUNTIF($A$4:$A980,$A980))</f>
        <v/>
      </c>
    </row>
    <row r="981" customFormat="false" ht="16.5" hidden="false" customHeight="false" outlineLevel="0" collapsed="false">
      <c r="A981" s="44" t="str">
        <f aca="false">IF($C981="","",IFERROR(VLOOKUP($C981,目录!$B:$C,2,0)&amp;"","⚠目录里没有"))</f>
        <v/>
      </c>
      <c r="B981" s="45" t="str">
        <f aca="false">IF($D981="","",IFERROR(MID($D981,FIND(".",$D981)+1,FIND(".",$D981,FIND(".",$D981)+1)-FIND(".",$D981)-1)&amp;"月",""))</f>
        <v/>
      </c>
      <c r="C981" s="46"/>
      <c r="D981" s="47"/>
      <c r="E981" s="47"/>
      <c r="F981" s="49"/>
      <c r="G981" s="50"/>
      <c r="H981" s="24"/>
      <c r="I981" s="24" t="str">
        <f aca="false">IF($H981="","",N($H981)*N($G981))</f>
        <v/>
      </c>
      <c r="J981" s="25" t="str">
        <f aca="false">IF($H981="","",N($H981)-N($I981))</f>
        <v/>
      </c>
      <c r="K981" s="25"/>
      <c r="L981" s="25" t="str">
        <f aca="false">IF($A981="","",SUMIF($A$4:$A981,$A981,$J$4:$J981)-SUMIF($A$4:$A981,$A981,$K$4:$K981))</f>
        <v/>
      </c>
      <c r="M981" s="26" t="str">
        <f aca="false">IF($H981="","",N($H981))</f>
        <v/>
      </c>
      <c r="N981" s="26"/>
      <c r="O981" s="26"/>
      <c r="P981" s="26" t="str">
        <f aca="false">IF($A981="","",SUMIF($A$4:$A981,$A981,$M$4:$M981)-SUMIF($A$4:$A981,$A981,$N$4:$N981)-SUMIF($A$4:$A981,$A981,$O$4:$O981))</f>
        <v/>
      </c>
      <c r="Q981" s="27"/>
      <c r="R981" s="28"/>
      <c r="S981" s="28"/>
      <c r="T981" s="28" t="str">
        <f aca="false">IF($A981="","",SUMIF($A$4:$A981,$A981,$Q$4:$Q981)-SUMIF($A$4:$A981,$A981,$R$4:$R981)-SUMIF($A$4:$A981,$A981,$S$4:$S981))</f>
        <v/>
      </c>
      <c r="U981" s="28"/>
      <c r="V981" s="29" t="str">
        <f aca="false">IF(AND($C981="",COUNTA($D981:$H981,$K981,$N981:$O981,$Q981:$S981,$U981)=0),"",IF($C981="","⚠ 没填项目名称",IF($A981="⚠目录里没有","⚠ 项目名称在目录里找不到（先加到目录）",IF($A981="","⚠ 目录里这个项目没填简称",IF(ISTEXT($G981)+ISTEXT($H981)+ISTEXT($K981)+ISTEXT($N981)+ISTEXT($O981)+ISTEXT($Q981)+ISTEXT($R981)+ISTEXT($S981)&gt;0,"⚠ 金额列里有文字，算不进合计",IF(N($G981)&gt;=1,"⚠ 管理费点要填百分比，如 10%",IF(AND($D981&lt;&gt;"",$B981=""),"△ 摘要开头没写日期（如 2026.9.21），月份取不到",IF(AND(N($H981)&lt;&gt;0,COUNTIFS($A$4:$A$1003,$A981,$H$4:$H$1003,$H981,$D$4:$D$1003,LEFT($D981,9)&amp;"*")&gt;1),"△ 同一天同项目有一样的销售金额，看看是不是录重了","✓"))))))))</f>
        <v/>
      </c>
      <c r="W981" s="8" t="str">
        <f aca="false">IF($A981="","",$A981&amp;"#"&amp;COUNTIF($A$4:$A981,$A981))</f>
        <v/>
      </c>
    </row>
    <row r="982" customFormat="false" ht="16.5" hidden="false" customHeight="false" outlineLevel="0" collapsed="false">
      <c r="A982" s="44" t="str">
        <f aca="false">IF($C982="","",IFERROR(VLOOKUP($C982,目录!$B:$C,2,0)&amp;"","⚠目录里没有"))</f>
        <v/>
      </c>
      <c r="B982" s="45" t="str">
        <f aca="false">IF($D982="","",IFERROR(MID($D982,FIND(".",$D982)+1,FIND(".",$D982,FIND(".",$D982)+1)-FIND(".",$D982)-1)&amp;"月",""))</f>
        <v/>
      </c>
      <c r="C982" s="46"/>
      <c r="D982" s="47"/>
      <c r="E982" s="47"/>
      <c r="F982" s="49"/>
      <c r="G982" s="50"/>
      <c r="H982" s="24"/>
      <c r="I982" s="24" t="str">
        <f aca="false">IF($H982="","",N($H982)*N($G982))</f>
        <v/>
      </c>
      <c r="J982" s="25" t="str">
        <f aca="false">IF($H982="","",N($H982)-N($I982))</f>
        <v/>
      </c>
      <c r="K982" s="25"/>
      <c r="L982" s="25" t="str">
        <f aca="false">IF($A982="","",SUMIF($A$4:$A982,$A982,$J$4:$J982)-SUMIF($A$4:$A982,$A982,$K$4:$K982))</f>
        <v/>
      </c>
      <c r="M982" s="26" t="str">
        <f aca="false">IF($H982="","",N($H982))</f>
        <v/>
      </c>
      <c r="N982" s="26"/>
      <c r="O982" s="26"/>
      <c r="P982" s="26" t="str">
        <f aca="false">IF($A982="","",SUMIF($A$4:$A982,$A982,$M$4:$M982)-SUMIF($A$4:$A982,$A982,$N$4:$N982)-SUMIF($A$4:$A982,$A982,$O$4:$O982))</f>
        <v/>
      </c>
      <c r="Q982" s="27"/>
      <c r="R982" s="28"/>
      <c r="S982" s="28"/>
      <c r="T982" s="28" t="str">
        <f aca="false">IF($A982="","",SUMIF($A$4:$A982,$A982,$Q$4:$Q982)-SUMIF($A$4:$A982,$A982,$R$4:$R982)-SUMIF($A$4:$A982,$A982,$S$4:$S982))</f>
        <v/>
      </c>
      <c r="U982" s="28"/>
      <c r="V982" s="29" t="str">
        <f aca="false">IF(AND($C982="",COUNTA($D982:$H982,$K982,$N982:$O982,$Q982:$S982,$U982)=0),"",IF($C982="","⚠ 没填项目名称",IF($A982="⚠目录里没有","⚠ 项目名称在目录里找不到（先加到目录）",IF($A982="","⚠ 目录里这个项目没填简称",IF(ISTEXT($G982)+ISTEXT($H982)+ISTEXT($K982)+ISTEXT($N982)+ISTEXT($O982)+ISTEXT($Q982)+ISTEXT($R982)+ISTEXT($S982)&gt;0,"⚠ 金额列里有文字，算不进合计",IF(N($G982)&gt;=1,"⚠ 管理费点要填百分比，如 10%",IF(AND($D982&lt;&gt;"",$B982=""),"△ 摘要开头没写日期（如 2026.9.21），月份取不到",IF(AND(N($H982)&lt;&gt;0,COUNTIFS($A$4:$A$1003,$A982,$H$4:$H$1003,$H982,$D$4:$D$1003,LEFT($D982,9)&amp;"*")&gt;1),"△ 同一天同项目有一样的销售金额，看看是不是录重了","✓"))))))))</f>
        <v/>
      </c>
      <c r="W982" s="8" t="str">
        <f aca="false">IF($A982="","",$A982&amp;"#"&amp;COUNTIF($A$4:$A982,$A982))</f>
        <v/>
      </c>
    </row>
    <row r="983" customFormat="false" ht="16.5" hidden="false" customHeight="false" outlineLevel="0" collapsed="false">
      <c r="A983" s="44" t="str">
        <f aca="false">IF($C983="","",IFERROR(VLOOKUP($C983,目录!$B:$C,2,0)&amp;"","⚠目录里没有"))</f>
        <v/>
      </c>
      <c r="B983" s="45" t="str">
        <f aca="false">IF($D983="","",IFERROR(MID($D983,FIND(".",$D983)+1,FIND(".",$D983,FIND(".",$D983)+1)-FIND(".",$D983)-1)&amp;"月",""))</f>
        <v/>
      </c>
      <c r="C983" s="46"/>
      <c r="D983" s="47"/>
      <c r="E983" s="47"/>
      <c r="F983" s="49"/>
      <c r="G983" s="50"/>
      <c r="H983" s="24"/>
      <c r="I983" s="24" t="str">
        <f aca="false">IF($H983="","",N($H983)*N($G983))</f>
        <v/>
      </c>
      <c r="J983" s="25" t="str">
        <f aca="false">IF($H983="","",N($H983)-N($I983))</f>
        <v/>
      </c>
      <c r="K983" s="25"/>
      <c r="L983" s="25" t="str">
        <f aca="false">IF($A983="","",SUMIF($A$4:$A983,$A983,$J$4:$J983)-SUMIF($A$4:$A983,$A983,$K$4:$K983))</f>
        <v/>
      </c>
      <c r="M983" s="26" t="str">
        <f aca="false">IF($H983="","",N($H983))</f>
        <v/>
      </c>
      <c r="N983" s="26"/>
      <c r="O983" s="26"/>
      <c r="P983" s="26" t="str">
        <f aca="false">IF($A983="","",SUMIF($A$4:$A983,$A983,$M$4:$M983)-SUMIF($A$4:$A983,$A983,$N$4:$N983)-SUMIF($A$4:$A983,$A983,$O$4:$O983))</f>
        <v/>
      </c>
      <c r="Q983" s="27"/>
      <c r="R983" s="28"/>
      <c r="S983" s="28"/>
      <c r="T983" s="28" t="str">
        <f aca="false">IF($A983="","",SUMIF($A$4:$A983,$A983,$Q$4:$Q983)-SUMIF($A$4:$A983,$A983,$R$4:$R983)-SUMIF($A$4:$A983,$A983,$S$4:$S983))</f>
        <v/>
      </c>
      <c r="U983" s="28"/>
      <c r="V983" s="29" t="str">
        <f aca="false">IF(AND($C983="",COUNTA($D983:$H983,$K983,$N983:$O983,$Q983:$S983,$U983)=0),"",IF($C983="","⚠ 没填项目名称",IF($A983="⚠目录里没有","⚠ 项目名称在目录里找不到（先加到目录）",IF($A983="","⚠ 目录里这个项目没填简称",IF(ISTEXT($G983)+ISTEXT($H983)+ISTEXT($K983)+ISTEXT($N983)+ISTEXT($O983)+ISTEXT($Q983)+ISTEXT($R983)+ISTEXT($S983)&gt;0,"⚠ 金额列里有文字，算不进合计",IF(N($G983)&gt;=1,"⚠ 管理费点要填百分比，如 10%",IF(AND($D983&lt;&gt;"",$B983=""),"△ 摘要开头没写日期（如 2026.9.21），月份取不到",IF(AND(N($H983)&lt;&gt;0,COUNTIFS($A$4:$A$1003,$A983,$H$4:$H$1003,$H983,$D$4:$D$1003,LEFT($D983,9)&amp;"*")&gt;1),"△ 同一天同项目有一样的销售金额，看看是不是录重了","✓"))))))))</f>
        <v/>
      </c>
      <c r="W983" s="8" t="str">
        <f aca="false">IF($A983="","",$A983&amp;"#"&amp;COUNTIF($A$4:$A983,$A983))</f>
        <v/>
      </c>
    </row>
    <row r="984" customFormat="false" ht="16.5" hidden="false" customHeight="false" outlineLevel="0" collapsed="false">
      <c r="A984" s="44" t="str">
        <f aca="false">IF($C984="","",IFERROR(VLOOKUP($C984,目录!$B:$C,2,0)&amp;"","⚠目录里没有"))</f>
        <v/>
      </c>
      <c r="B984" s="45" t="str">
        <f aca="false">IF($D984="","",IFERROR(MID($D984,FIND(".",$D984)+1,FIND(".",$D984,FIND(".",$D984)+1)-FIND(".",$D984)-1)&amp;"月",""))</f>
        <v/>
      </c>
      <c r="C984" s="46"/>
      <c r="D984" s="47"/>
      <c r="E984" s="47"/>
      <c r="F984" s="49"/>
      <c r="G984" s="50"/>
      <c r="H984" s="24"/>
      <c r="I984" s="24" t="str">
        <f aca="false">IF($H984="","",N($H984)*N($G984))</f>
        <v/>
      </c>
      <c r="J984" s="25" t="str">
        <f aca="false">IF($H984="","",N($H984)-N($I984))</f>
        <v/>
      </c>
      <c r="K984" s="25"/>
      <c r="L984" s="25" t="str">
        <f aca="false">IF($A984="","",SUMIF($A$4:$A984,$A984,$J$4:$J984)-SUMIF($A$4:$A984,$A984,$K$4:$K984))</f>
        <v/>
      </c>
      <c r="M984" s="26" t="str">
        <f aca="false">IF($H984="","",N($H984))</f>
        <v/>
      </c>
      <c r="N984" s="26"/>
      <c r="O984" s="26"/>
      <c r="P984" s="26" t="str">
        <f aca="false">IF($A984="","",SUMIF($A$4:$A984,$A984,$M$4:$M984)-SUMIF($A$4:$A984,$A984,$N$4:$N984)-SUMIF($A$4:$A984,$A984,$O$4:$O984))</f>
        <v/>
      </c>
      <c r="Q984" s="27"/>
      <c r="R984" s="28"/>
      <c r="S984" s="28"/>
      <c r="T984" s="28" t="str">
        <f aca="false">IF($A984="","",SUMIF($A$4:$A984,$A984,$Q$4:$Q984)-SUMIF($A$4:$A984,$A984,$R$4:$R984)-SUMIF($A$4:$A984,$A984,$S$4:$S984))</f>
        <v/>
      </c>
      <c r="U984" s="28"/>
      <c r="V984" s="29" t="str">
        <f aca="false">IF(AND($C984="",COUNTA($D984:$H984,$K984,$N984:$O984,$Q984:$S984,$U984)=0),"",IF($C984="","⚠ 没填项目名称",IF($A984="⚠目录里没有","⚠ 项目名称在目录里找不到（先加到目录）",IF($A984="","⚠ 目录里这个项目没填简称",IF(ISTEXT($G984)+ISTEXT($H984)+ISTEXT($K984)+ISTEXT($N984)+ISTEXT($O984)+ISTEXT($Q984)+ISTEXT($R984)+ISTEXT($S984)&gt;0,"⚠ 金额列里有文字，算不进合计",IF(N($G984)&gt;=1,"⚠ 管理费点要填百分比，如 10%",IF(AND($D984&lt;&gt;"",$B984=""),"△ 摘要开头没写日期（如 2026.9.21），月份取不到",IF(AND(N($H984)&lt;&gt;0,COUNTIFS($A$4:$A$1003,$A984,$H$4:$H$1003,$H984,$D$4:$D$1003,LEFT($D984,9)&amp;"*")&gt;1),"△ 同一天同项目有一样的销售金额，看看是不是录重了","✓"))))))))</f>
        <v/>
      </c>
      <c r="W984" s="8" t="str">
        <f aca="false">IF($A984="","",$A984&amp;"#"&amp;COUNTIF($A$4:$A984,$A984))</f>
        <v/>
      </c>
    </row>
    <row r="985" customFormat="false" ht="16.5" hidden="false" customHeight="false" outlineLevel="0" collapsed="false">
      <c r="A985" s="44" t="str">
        <f aca="false">IF($C985="","",IFERROR(VLOOKUP($C985,目录!$B:$C,2,0)&amp;"","⚠目录里没有"))</f>
        <v/>
      </c>
      <c r="B985" s="45" t="str">
        <f aca="false">IF($D985="","",IFERROR(MID($D985,FIND(".",$D985)+1,FIND(".",$D985,FIND(".",$D985)+1)-FIND(".",$D985)-1)&amp;"月",""))</f>
        <v/>
      </c>
      <c r="C985" s="46"/>
      <c r="D985" s="47"/>
      <c r="E985" s="47"/>
      <c r="F985" s="49"/>
      <c r="G985" s="50"/>
      <c r="H985" s="24"/>
      <c r="I985" s="24" t="str">
        <f aca="false">IF($H985="","",N($H985)*N($G985))</f>
        <v/>
      </c>
      <c r="J985" s="25" t="str">
        <f aca="false">IF($H985="","",N($H985)-N($I985))</f>
        <v/>
      </c>
      <c r="K985" s="25"/>
      <c r="L985" s="25" t="str">
        <f aca="false">IF($A985="","",SUMIF($A$4:$A985,$A985,$J$4:$J985)-SUMIF($A$4:$A985,$A985,$K$4:$K985))</f>
        <v/>
      </c>
      <c r="M985" s="26" t="str">
        <f aca="false">IF($H985="","",N($H985))</f>
        <v/>
      </c>
      <c r="N985" s="26"/>
      <c r="O985" s="26"/>
      <c r="P985" s="26" t="str">
        <f aca="false">IF($A985="","",SUMIF($A$4:$A985,$A985,$M$4:$M985)-SUMIF($A$4:$A985,$A985,$N$4:$N985)-SUMIF($A$4:$A985,$A985,$O$4:$O985))</f>
        <v/>
      </c>
      <c r="Q985" s="27"/>
      <c r="R985" s="28"/>
      <c r="S985" s="28"/>
      <c r="T985" s="28" t="str">
        <f aca="false">IF($A985="","",SUMIF($A$4:$A985,$A985,$Q$4:$Q985)-SUMIF($A$4:$A985,$A985,$R$4:$R985)-SUMIF($A$4:$A985,$A985,$S$4:$S985))</f>
        <v/>
      </c>
      <c r="U985" s="28"/>
      <c r="V985" s="29" t="str">
        <f aca="false">IF(AND($C985="",COUNTA($D985:$H985,$K985,$N985:$O985,$Q985:$S985,$U985)=0),"",IF($C985="","⚠ 没填项目名称",IF($A985="⚠目录里没有","⚠ 项目名称在目录里找不到（先加到目录）",IF($A985="","⚠ 目录里这个项目没填简称",IF(ISTEXT($G985)+ISTEXT($H985)+ISTEXT($K985)+ISTEXT($N985)+ISTEXT($O985)+ISTEXT($Q985)+ISTEXT($R985)+ISTEXT($S985)&gt;0,"⚠ 金额列里有文字，算不进合计",IF(N($G985)&gt;=1,"⚠ 管理费点要填百分比，如 10%",IF(AND($D985&lt;&gt;"",$B985=""),"△ 摘要开头没写日期（如 2026.9.21），月份取不到",IF(AND(N($H985)&lt;&gt;0,COUNTIFS($A$4:$A$1003,$A985,$H$4:$H$1003,$H985,$D$4:$D$1003,LEFT($D985,9)&amp;"*")&gt;1),"△ 同一天同项目有一样的销售金额，看看是不是录重了","✓"))))))))</f>
        <v/>
      </c>
      <c r="W985" s="8" t="str">
        <f aca="false">IF($A985="","",$A985&amp;"#"&amp;COUNTIF($A$4:$A985,$A985))</f>
        <v/>
      </c>
    </row>
    <row r="986" customFormat="false" ht="16.5" hidden="false" customHeight="false" outlineLevel="0" collapsed="false">
      <c r="A986" s="44" t="str">
        <f aca="false">IF($C986="","",IFERROR(VLOOKUP($C986,目录!$B:$C,2,0)&amp;"","⚠目录里没有"))</f>
        <v/>
      </c>
      <c r="B986" s="45" t="str">
        <f aca="false">IF($D986="","",IFERROR(MID($D986,FIND(".",$D986)+1,FIND(".",$D986,FIND(".",$D986)+1)-FIND(".",$D986)-1)&amp;"月",""))</f>
        <v/>
      </c>
      <c r="C986" s="46"/>
      <c r="D986" s="47"/>
      <c r="E986" s="47"/>
      <c r="F986" s="49"/>
      <c r="G986" s="50"/>
      <c r="H986" s="24"/>
      <c r="I986" s="24" t="str">
        <f aca="false">IF($H986="","",N($H986)*N($G986))</f>
        <v/>
      </c>
      <c r="J986" s="25" t="str">
        <f aca="false">IF($H986="","",N($H986)-N($I986))</f>
        <v/>
      </c>
      <c r="K986" s="25"/>
      <c r="L986" s="25" t="str">
        <f aca="false">IF($A986="","",SUMIF($A$4:$A986,$A986,$J$4:$J986)-SUMIF($A$4:$A986,$A986,$K$4:$K986))</f>
        <v/>
      </c>
      <c r="M986" s="26" t="str">
        <f aca="false">IF($H986="","",N($H986))</f>
        <v/>
      </c>
      <c r="N986" s="26"/>
      <c r="O986" s="26"/>
      <c r="P986" s="26" t="str">
        <f aca="false">IF($A986="","",SUMIF($A$4:$A986,$A986,$M$4:$M986)-SUMIF($A$4:$A986,$A986,$N$4:$N986)-SUMIF($A$4:$A986,$A986,$O$4:$O986))</f>
        <v/>
      </c>
      <c r="Q986" s="27"/>
      <c r="R986" s="28"/>
      <c r="S986" s="28"/>
      <c r="T986" s="28" t="str">
        <f aca="false">IF($A986="","",SUMIF($A$4:$A986,$A986,$Q$4:$Q986)-SUMIF($A$4:$A986,$A986,$R$4:$R986)-SUMIF($A$4:$A986,$A986,$S$4:$S986))</f>
        <v/>
      </c>
      <c r="U986" s="28"/>
      <c r="V986" s="29" t="str">
        <f aca="false">IF(AND($C986="",COUNTA($D986:$H986,$K986,$N986:$O986,$Q986:$S986,$U986)=0),"",IF($C986="","⚠ 没填项目名称",IF($A986="⚠目录里没有","⚠ 项目名称在目录里找不到（先加到目录）",IF($A986="","⚠ 目录里这个项目没填简称",IF(ISTEXT($G986)+ISTEXT($H986)+ISTEXT($K986)+ISTEXT($N986)+ISTEXT($O986)+ISTEXT($Q986)+ISTEXT($R986)+ISTEXT($S986)&gt;0,"⚠ 金额列里有文字，算不进合计",IF(N($G986)&gt;=1,"⚠ 管理费点要填百分比，如 10%",IF(AND($D986&lt;&gt;"",$B986=""),"△ 摘要开头没写日期（如 2026.9.21），月份取不到",IF(AND(N($H986)&lt;&gt;0,COUNTIFS($A$4:$A$1003,$A986,$H$4:$H$1003,$H986,$D$4:$D$1003,LEFT($D986,9)&amp;"*")&gt;1),"△ 同一天同项目有一样的销售金额，看看是不是录重了","✓"))))))))</f>
        <v/>
      </c>
      <c r="W986" s="8" t="str">
        <f aca="false">IF($A986="","",$A986&amp;"#"&amp;COUNTIF($A$4:$A986,$A986))</f>
        <v/>
      </c>
    </row>
    <row r="987" customFormat="false" ht="16.5" hidden="false" customHeight="false" outlineLevel="0" collapsed="false">
      <c r="A987" s="44" t="str">
        <f aca="false">IF($C987="","",IFERROR(VLOOKUP($C987,目录!$B:$C,2,0)&amp;"","⚠目录里没有"))</f>
        <v/>
      </c>
      <c r="B987" s="45" t="str">
        <f aca="false">IF($D987="","",IFERROR(MID($D987,FIND(".",$D987)+1,FIND(".",$D987,FIND(".",$D987)+1)-FIND(".",$D987)-1)&amp;"月",""))</f>
        <v/>
      </c>
      <c r="C987" s="46"/>
      <c r="D987" s="47"/>
      <c r="E987" s="47"/>
      <c r="F987" s="49"/>
      <c r="G987" s="50"/>
      <c r="H987" s="24"/>
      <c r="I987" s="24" t="str">
        <f aca="false">IF($H987="","",N($H987)*N($G987))</f>
        <v/>
      </c>
      <c r="J987" s="25" t="str">
        <f aca="false">IF($H987="","",N($H987)-N($I987))</f>
        <v/>
      </c>
      <c r="K987" s="25"/>
      <c r="L987" s="25" t="str">
        <f aca="false">IF($A987="","",SUMIF($A$4:$A987,$A987,$J$4:$J987)-SUMIF($A$4:$A987,$A987,$K$4:$K987))</f>
        <v/>
      </c>
      <c r="M987" s="26" t="str">
        <f aca="false">IF($H987="","",N($H987))</f>
        <v/>
      </c>
      <c r="N987" s="26"/>
      <c r="O987" s="26"/>
      <c r="P987" s="26" t="str">
        <f aca="false">IF($A987="","",SUMIF($A$4:$A987,$A987,$M$4:$M987)-SUMIF($A$4:$A987,$A987,$N$4:$N987)-SUMIF($A$4:$A987,$A987,$O$4:$O987))</f>
        <v/>
      </c>
      <c r="Q987" s="27"/>
      <c r="R987" s="28"/>
      <c r="S987" s="28"/>
      <c r="T987" s="28" t="str">
        <f aca="false">IF($A987="","",SUMIF($A$4:$A987,$A987,$Q$4:$Q987)-SUMIF($A$4:$A987,$A987,$R$4:$R987)-SUMIF($A$4:$A987,$A987,$S$4:$S987))</f>
        <v/>
      </c>
      <c r="U987" s="28"/>
      <c r="V987" s="29" t="str">
        <f aca="false">IF(AND($C987="",COUNTA($D987:$H987,$K987,$N987:$O987,$Q987:$S987,$U987)=0),"",IF($C987="","⚠ 没填项目名称",IF($A987="⚠目录里没有","⚠ 项目名称在目录里找不到（先加到目录）",IF($A987="","⚠ 目录里这个项目没填简称",IF(ISTEXT($G987)+ISTEXT($H987)+ISTEXT($K987)+ISTEXT($N987)+ISTEXT($O987)+ISTEXT($Q987)+ISTEXT($R987)+ISTEXT($S987)&gt;0,"⚠ 金额列里有文字，算不进合计",IF(N($G987)&gt;=1,"⚠ 管理费点要填百分比，如 10%",IF(AND($D987&lt;&gt;"",$B987=""),"△ 摘要开头没写日期（如 2026.9.21），月份取不到",IF(AND(N($H987)&lt;&gt;0,COUNTIFS($A$4:$A$1003,$A987,$H$4:$H$1003,$H987,$D$4:$D$1003,LEFT($D987,9)&amp;"*")&gt;1),"△ 同一天同项目有一样的销售金额，看看是不是录重了","✓"))))))))</f>
        <v/>
      </c>
      <c r="W987" s="8" t="str">
        <f aca="false">IF($A987="","",$A987&amp;"#"&amp;COUNTIF($A$4:$A987,$A987))</f>
        <v/>
      </c>
    </row>
    <row r="988" customFormat="false" ht="16.5" hidden="false" customHeight="false" outlineLevel="0" collapsed="false">
      <c r="A988" s="44" t="str">
        <f aca="false">IF($C988="","",IFERROR(VLOOKUP($C988,目录!$B:$C,2,0)&amp;"","⚠目录里没有"))</f>
        <v/>
      </c>
      <c r="B988" s="45" t="str">
        <f aca="false">IF($D988="","",IFERROR(MID($D988,FIND(".",$D988)+1,FIND(".",$D988,FIND(".",$D988)+1)-FIND(".",$D988)-1)&amp;"月",""))</f>
        <v/>
      </c>
      <c r="C988" s="46"/>
      <c r="D988" s="47"/>
      <c r="E988" s="47"/>
      <c r="F988" s="49"/>
      <c r="G988" s="50"/>
      <c r="H988" s="24"/>
      <c r="I988" s="24" t="str">
        <f aca="false">IF($H988="","",N($H988)*N($G988))</f>
        <v/>
      </c>
      <c r="J988" s="25" t="str">
        <f aca="false">IF($H988="","",N($H988)-N($I988))</f>
        <v/>
      </c>
      <c r="K988" s="25"/>
      <c r="L988" s="25" t="str">
        <f aca="false">IF($A988="","",SUMIF($A$4:$A988,$A988,$J$4:$J988)-SUMIF($A$4:$A988,$A988,$K$4:$K988))</f>
        <v/>
      </c>
      <c r="M988" s="26" t="str">
        <f aca="false">IF($H988="","",N($H988))</f>
        <v/>
      </c>
      <c r="N988" s="26"/>
      <c r="O988" s="26"/>
      <c r="P988" s="26" t="str">
        <f aca="false">IF($A988="","",SUMIF($A$4:$A988,$A988,$M$4:$M988)-SUMIF($A$4:$A988,$A988,$N$4:$N988)-SUMIF($A$4:$A988,$A988,$O$4:$O988))</f>
        <v/>
      </c>
      <c r="Q988" s="27"/>
      <c r="R988" s="28"/>
      <c r="S988" s="28"/>
      <c r="T988" s="28" t="str">
        <f aca="false">IF($A988="","",SUMIF($A$4:$A988,$A988,$Q$4:$Q988)-SUMIF($A$4:$A988,$A988,$R$4:$R988)-SUMIF($A$4:$A988,$A988,$S$4:$S988))</f>
        <v/>
      </c>
      <c r="U988" s="28"/>
      <c r="V988" s="29" t="str">
        <f aca="false">IF(AND($C988="",COUNTA($D988:$H988,$K988,$N988:$O988,$Q988:$S988,$U988)=0),"",IF($C988="","⚠ 没填项目名称",IF($A988="⚠目录里没有","⚠ 项目名称在目录里找不到（先加到目录）",IF($A988="","⚠ 目录里这个项目没填简称",IF(ISTEXT($G988)+ISTEXT($H988)+ISTEXT($K988)+ISTEXT($N988)+ISTEXT($O988)+ISTEXT($Q988)+ISTEXT($R988)+ISTEXT($S988)&gt;0,"⚠ 金额列里有文字，算不进合计",IF(N($G988)&gt;=1,"⚠ 管理费点要填百分比，如 10%",IF(AND($D988&lt;&gt;"",$B988=""),"△ 摘要开头没写日期（如 2026.9.21），月份取不到",IF(AND(N($H988)&lt;&gt;0,COUNTIFS($A$4:$A$1003,$A988,$H$4:$H$1003,$H988,$D$4:$D$1003,LEFT($D988,9)&amp;"*")&gt;1),"△ 同一天同项目有一样的销售金额，看看是不是录重了","✓"))))))))</f>
        <v/>
      </c>
      <c r="W988" s="8" t="str">
        <f aca="false">IF($A988="","",$A988&amp;"#"&amp;COUNTIF($A$4:$A988,$A988))</f>
        <v/>
      </c>
    </row>
    <row r="989" customFormat="false" ht="16.5" hidden="false" customHeight="false" outlineLevel="0" collapsed="false">
      <c r="A989" s="44" t="str">
        <f aca="false">IF($C989="","",IFERROR(VLOOKUP($C989,目录!$B:$C,2,0)&amp;"","⚠目录里没有"))</f>
        <v/>
      </c>
      <c r="B989" s="45" t="str">
        <f aca="false">IF($D989="","",IFERROR(MID($D989,FIND(".",$D989)+1,FIND(".",$D989,FIND(".",$D989)+1)-FIND(".",$D989)-1)&amp;"月",""))</f>
        <v/>
      </c>
      <c r="C989" s="46"/>
      <c r="D989" s="47"/>
      <c r="E989" s="47"/>
      <c r="F989" s="49"/>
      <c r="G989" s="50"/>
      <c r="H989" s="24"/>
      <c r="I989" s="24" t="str">
        <f aca="false">IF($H989="","",N($H989)*N($G989))</f>
        <v/>
      </c>
      <c r="J989" s="25" t="str">
        <f aca="false">IF($H989="","",N($H989)-N($I989))</f>
        <v/>
      </c>
      <c r="K989" s="25"/>
      <c r="L989" s="25" t="str">
        <f aca="false">IF($A989="","",SUMIF($A$4:$A989,$A989,$J$4:$J989)-SUMIF($A$4:$A989,$A989,$K$4:$K989))</f>
        <v/>
      </c>
      <c r="M989" s="26" t="str">
        <f aca="false">IF($H989="","",N($H989))</f>
        <v/>
      </c>
      <c r="N989" s="26"/>
      <c r="O989" s="26"/>
      <c r="P989" s="26" t="str">
        <f aca="false">IF($A989="","",SUMIF($A$4:$A989,$A989,$M$4:$M989)-SUMIF($A$4:$A989,$A989,$N$4:$N989)-SUMIF($A$4:$A989,$A989,$O$4:$O989))</f>
        <v/>
      </c>
      <c r="Q989" s="27"/>
      <c r="R989" s="28"/>
      <c r="S989" s="28"/>
      <c r="T989" s="28" t="str">
        <f aca="false">IF($A989="","",SUMIF($A$4:$A989,$A989,$Q$4:$Q989)-SUMIF($A$4:$A989,$A989,$R$4:$R989)-SUMIF($A$4:$A989,$A989,$S$4:$S989))</f>
        <v/>
      </c>
      <c r="U989" s="28"/>
      <c r="V989" s="29" t="str">
        <f aca="false">IF(AND($C989="",COUNTA($D989:$H989,$K989,$N989:$O989,$Q989:$S989,$U989)=0),"",IF($C989="","⚠ 没填项目名称",IF($A989="⚠目录里没有","⚠ 项目名称在目录里找不到（先加到目录）",IF($A989="","⚠ 目录里这个项目没填简称",IF(ISTEXT($G989)+ISTEXT($H989)+ISTEXT($K989)+ISTEXT($N989)+ISTEXT($O989)+ISTEXT($Q989)+ISTEXT($R989)+ISTEXT($S989)&gt;0,"⚠ 金额列里有文字，算不进合计",IF(N($G989)&gt;=1,"⚠ 管理费点要填百分比，如 10%",IF(AND($D989&lt;&gt;"",$B989=""),"△ 摘要开头没写日期（如 2026.9.21），月份取不到",IF(AND(N($H989)&lt;&gt;0,COUNTIFS($A$4:$A$1003,$A989,$H$4:$H$1003,$H989,$D$4:$D$1003,LEFT($D989,9)&amp;"*")&gt;1),"△ 同一天同项目有一样的销售金额，看看是不是录重了","✓"))))))))</f>
        <v/>
      </c>
      <c r="W989" s="8" t="str">
        <f aca="false">IF($A989="","",$A989&amp;"#"&amp;COUNTIF($A$4:$A989,$A989))</f>
        <v/>
      </c>
    </row>
    <row r="990" customFormat="false" ht="16.5" hidden="false" customHeight="false" outlineLevel="0" collapsed="false">
      <c r="A990" s="44" t="str">
        <f aca="false">IF($C990="","",IFERROR(VLOOKUP($C990,目录!$B:$C,2,0)&amp;"","⚠目录里没有"))</f>
        <v/>
      </c>
      <c r="B990" s="45" t="str">
        <f aca="false">IF($D990="","",IFERROR(MID($D990,FIND(".",$D990)+1,FIND(".",$D990,FIND(".",$D990)+1)-FIND(".",$D990)-1)&amp;"月",""))</f>
        <v/>
      </c>
      <c r="C990" s="46"/>
      <c r="D990" s="47"/>
      <c r="E990" s="47"/>
      <c r="F990" s="49"/>
      <c r="G990" s="50"/>
      <c r="H990" s="24"/>
      <c r="I990" s="24" t="str">
        <f aca="false">IF($H990="","",N($H990)*N($G990))</f>
        <v/>
      </c>
      <c r="J990" s="25" t="str">
        <f aca="false">IF($H990="","",N($H990)-N($I990))</f>
        <v/>
      </c>
      <c r="K990" s="25"/>
      <c r="L990" s="25" t="str">
        <f aca="false">IF($A990="","",SUMIF($A$4:$A990,$A990,$J$4:$J990)-SUMIF($A$4:$A990,$A990,$K$4:$K990))</f>
        <v/>
      </c>
      <c r="M990" s="26" t="str">
        <f aca="false">IF($H990="","",N($H990))</f>
        <v/>
      </c>
      <c r="N990" s="26"/>
      <c r="O990" s="26"/>
      <c r="P990" s="26" t="str">
        <f aca="false">IF($A990="","",SUMIF($A$4:$A990,$A990,$M$4:$M990)-SUMIF($A$4:$A990,$A990,$N$4:$N990)-SUMIF($A$4:$A990,$A990,$O$4:$O990))</f>
        <v/>
      </c>
      <c r="Q990" s="27"/>
      <c r="R990" s="28"/>
      <c r="S990" s="28"/>
      <c r="T990" s="28" t="str">
        <f aca="false">IF($A990="","",SUMIF($A$4:$A990,$A990,$Q$4:$Q990)-SUMIF($A$4:$A990,$A990,$R$4:$R990)-SUMIF($A$4:$A990,$A990,$S$4:$S990))</f>
        <v/>
      </c>
      <c r="U990" s="28"/>
      <c r="V990" s="29" t="str">
        <f aca="false">IF(AND($C990="",COUNTA($D990:$H990,$K990,$N990:$O990,$Q990:$S990,$U990)=0),"",IF($C990="","⚠ 没填项目名称",IF($A990="⚠目录里没有","⚠ 项目名称在目录里找不到（先加到目录）",IF($A990="","⚠ 目录里这个项目没填简称",IF(ISTEXT($G990)+ISTEXT($H990)+ISTEXT($K990)+ISTEXT($N990)+ISTEXT($O990)+ISTEXT($Q990)+ISTEXT($R990)+ISTEXT($S990)&gt;0,"⚠ 金额列里有文字，算不进合计",IF(N($G990)&gt;=1,"⚠ 管理费点要填百分比，如 10%",IF(AND($D990&lt;&gt;"",$B990=""),"△ 摘要开头没写日期（如 2026.9.21），月份取不到",IF(AND(N($H990)&lt;&gt;0,COUNTIFS($A$4:$A$1003,$A990,$H$4:$H$1003,$H990,$D$4:$D$1003,LEFT($D990,9)&amp;"*")&gt;1),"△ 同一天同项目有一样的销售金额，看看是不是录重了","✓"))))))))</f>
        <v/>
      </c>
      <c r="W990" s="8" t="str">
        <f aca="false">IF($A990="","",$A990&amp;"#"&amp;COUNTIF($A$4:$A990,$A990))</f>
        <v/>
      </c>
    </row>
    <row r="991" customFormat="false" ht="16.5" hidden="false" customHeight="false" outlineLevel="0" collapsed="false">
      <c r="A991" s="44" t="str">
        <f aca="false">IF($C991="","",IFERROR(VLOOKUP($C991,目录!$B:$C,2,0)&amp;"","⚠目录里没有"))</f>
        <v/>
      </c>
      <c r="B991" s="45" t="str">
        <f aca="false">IF($D991="","",IFERROR(MID($D991,FIND(".",$D991)+1,FIND(".",$D991,FIND(".",$D991)+1)-FIND(".",$D991)-1)&amp;"月",""))</f>
        <v/>
      </c>
      <c r="C991" s="46"/>
      <c r="D991" s="47"/>
      <c r="E991" s="47"/>
      <c r="F991" s="49"/>
      <c r="G991" s="50"/>
      <c r="H991" s="24"/>
      <c r="I991" s="24" t="str">
        <f aca="false">IF($H991="","",N($H991)*N($G991))</f>
        <v/>
      </c>
      <c r="J991" s="25" t="str">
        <f aca="false">IF($H991="","",N($H991)-N($I991))</f>
        <v/>
      </c>
      <c r="K991" s="25"/>
      <c r="L991" s="25" t="str">
        <f aca="false">IF($A991="","",SUMIF($A$4:$A991,$A991,$J$4:$J991)-SUMIF($A$4:$A991,$A991,$K$4:$K991))</f>
        <v/>
      </c>
      <c r="M991" s="26" t="str">
        <f aca="false">IF($H991="","",N($H991))</f>
        <v/>
      </c>
      <c r="N991" s="26"/>
      <c r="O991" s="26"/>
      <c r="P991" s="26" t="str">
        <f aca="false">IF($A991="","",SUMIF($A$4:$A991,$A991,$M$4:$M991)-SUMIF($A$4:$A991,$A991,$N$4:$N991)-SUMIF($A$4:$A991,$A991,$O$4:$O991))</f>
        <v/>
      </c>
      <c r="Q991" s="27"/>
      <c r="R991" s="28"/>
      <c r="S991" s="28"/>
      <c r="T991" s="28" t="str">
        <f aca="false">IF($A991="","",SUMIF($A$4:$A991,$A991,$Q$4:$Q991)-SUMIF($A$4:$A991,$A991,$R$4:$R991)-SUMIF($A$4:$A991,$A991,$S$4:$S991))</f>
        <v/>
      </c>
      <c r="U991" s="28"/>
      <c r="V991" s="29" t="str">
        <f aca="false">IF(AND($C991="",COUNTA($D991:$H991,$K991,$N991:$O991,$Q991:$S991,$U991)=0),"",IF($C991="","⚠ 没填项目名称",IF($A991="⚠目录里没有","⚠ 项目名称在目录里找不到（先加到目录）",IF($A991="","⚠ 目录里这个项目没填简称",IF(ISTEXT($G991)+ISTEXT($H991)+ISTEXT($K991)+ISTEXT($N991)+ISTEXT($O991)+ISTEXT($Q991)+ISTEXT($R991)+ISTEXT($S991)&gt;0,"⚠ 金额列里有文字，算不进合计",IF(N($G991)&gt;=1,"⚠ 管理费点要填百分比，如 10%",IF(AND($D991&lt;&gt;"",$B991=""),"△ 摘要开头没写日期（如 2026.9.21），月份取不到",IF(AND(N($H991)&lt;&gt;0,COUNTIFS($A$4:$A$1003,$A991,$H$4:$H$1003,$H991,$D$4:$D$1003,LEFT($D991,9)&amp;"*")&gt;1),"△ 同一天同项目有一样的销售金额，看看是不是录重了","✓"))))))))</f>
        <v/>
      </c>
      <c r="W991" s="8" t="str">
        <f aca="false">IF($A991="","",$A991&amp;"#"&amp;COUNTIF($A$4:$A991,$A991))</f>
        <v/>
      </c>
    </row>
    <row r="992" customFormat="false" ht="16.5" hidden="false" customHeight="false" outlineLevel="0" collapsed="false">
      <c r="A992" s="44" t="str">
        <f aca="false">IF($C992="","",IFERROR(VLOOKUP($C992,目录!$B:$C,2,0)&amp;"","⚠目录里没有"))</f>
        <v/>
      </c>
      <c r="B992" s="45" t="str">
        <f aca="false">IF($D992="","",IFERROR(MID($D992,FIND(".",$D992)+1,FIND(".",$D992,FIND(".",$D992)+1)-FIND(".",$D992)-1)&amp;"月",""))</f>
        <v/>
      </c>
      <c r="C992" s="46"/>
      <c r="D992" s="47"/>
      <c r="E992" s="47"/>
      <c r="F992" s="49"/>
      <c r="G992" s="50"/>
      <c r="H992" s="24"/>
      <c r="I992" s="24" t="str">
        <f aca="false">IF($H992="","",N($H992)*N($G992))</f>
        <v/>
      </c>
      <c r="J992" s="25" t="str">
        <f aca="false">IF($H992="","",N($H992)-N($I992))</f>
        <v/>
      </c>
      <c r="K992" s="25"/>
      <c r="L992" s="25" t="str">
        <f aca="false">IF($A992="","",SUMIF($A$4:$A992,$A992,$J$4:$J992)-SUMIF($A$4:$A992,$A992,$K$4:$K992))</f>
        <v/>
      </c>
      <c r="M992" s="26" t="str">
        <f aca="false">IF($H992="","",N($H992))</f>
        <v/>
      </c>
      <c r="N992" s="26"/>
      <c r="O992" s="26"/>
      <c r="P992" s="26" t="str">
        <f aca="false">IF($A992="","",SUMIF($A$4:$A992,$A992,$M$4:$M992)-SUMIF($A$4:$A992,$A992,$N$4:$N992)-SUMIF($A$4:$A992,$A992,$O$4:$O992))</f>
        <v/>
      </c>
      <c r="Q992" s="27"/>
      <c r="R992" s="28"/>
      <c r="S992" s="28"/>
      <c r="T992" s="28" t="str">
        <f aca="false">IF($A992="","",SUMIF($A$4:$A992,$A992,$Q$4:$Q992)-SUMIF($A$4:$A992,$A992,$R$4:$R992)-SUMIF($A$4:$A992,$A992,$S$4:$S992))</f>
        <v/>
      </c>
      <c r="U992" s="28"/>
      <c r="V992" s="29" t="str">
        <f aca="false">IF(AND($C992="",COUNTA($D992:$H992,$K992,$N992:$O992,$Q992:$S992,$U992)=0),"",IF($C992="","⚠ 没填项目名称",IF($A992="⚠目录里没有","⚠ 项目名称在目录里找不到（先加到目录）",IF($A992="","⚠ 目录里这个项目没填简称",IF(ISTEXT($G992)+ISTEXT($H992)+ISTEXT($K992)+ISTEXT($N992)+ISTEXT($O992)+ISTEXT($Q992)+ISTEXT($R992)+ISTEXT($S992)&gt;0,"⚠ 金额列里有文字，算不进合计",IF(N($G992)&gt;=1,"⚠ 管理费点要填百分比，如 10%",IF(AND($D992&lt;&gt;"",$B992=""),"△ 摘要开头没写日期（如 2026.9.21），月份取不到",IF(AND(N($H992)&lt;&gt;0,COUNTIFS($A$4:$A$1003,$A992,$H$4:$H$1003,$H992,$D$4:$D$1003,LEFT($D992,9)&amp;"*")&gt;1),"△ 同一天同项目有一样的销售金额，看看是不是录重了","✓"))))))))</f>
        <v/>
      </c>
      <c r="W992" s="8" t="str">
        <f aca="false">IF($A992="","",$A992&amp;"#"&amp;COUNTIF($A$4:$A992,$A992))</f>
        <v/>
      </c>
    </row>
    <row r="993" customFormat="false" ht="16.5" hidden="false" customHeight="false" outlineLevel="0" collapsed="false">
      <c r="A993" s="44" t="str">
        <f aca="false">IF($C993="","",IFERROR(VLOOKUP($C993,目录!$B:$C,2,0)&amp;"","⚠目录里没有"))</f>
        <v/>
      </c>
      <c r="B993" s="45" t="str">
        <f aca="false">IF($D993="","",IFERROR(MID($D993,FIND(".",$D993)+1,FIND(".",$D993,FIND(".",$D993)+1)-FIND(".",$D993)-1)&amp;"月",""))</f>
        <v/>
      </c>
      <c r="C993" s="46"/>
      <c r="D993" s="47"/>
      <c r="E993" s="47"/>
      <c r="F993" s="49"/>
      <c r="G993" s="50"/>
      <c r="H993" s="24"/>
      <c r="I993" s="24" t="str">
        <f aca="false">IF($H993="","",N($H993)*N($G993))</f>
        <v/>
      </c>
      <c r="J993" s="25" t="str">
        <f aca="false">IF($H993="","",N($H993)-N($I993))</f>
        <v/>
      </c>
      <c r="K993" s="25"/>
      <c r="L993" s="25" t="str">
        <f aca="false">IF($A993="","",SUMIF($A$4:$A993,$A993,$J$4:$J993)-SUMIF($A$4:$A993,$A993,$K$4:$K993))</f>
        <v/>
      </c>
      <c r="M993" s="26" t="str">
        <f aca="false">IF($H993="","",N($H993))</f>
        <v/>
      </c>
      <c r="N993" s="26"/>
      <c r="O993" s="26"/>
      <c r="P993" s="26" t="str">
        <f aca="false">IF($A993="","",SUMIF($A$4:$A993,$A993,$M$4:$M993)-SUMIF($A$4:$A993,$A993,$N$4:$N993)-SUMIF($A$4:$A993,$A993,$O$4:$O993))</f>
        <v/>
      </c>
      <c r="Q993" s="27"/>
      <c r="R993" s="28"/>
      <c r="S993" s="28"/>
      <c r="T993" s="28" t="str">
        <f aca="false">IF($A993="","",SUMIF($A$4:$A993,$A993,$Q$4:$Q993)-SUMIF($A$4:$A993,$A993,$R$4:$R993)-SUMIF($A$4:$A993,$A993,$S$4:$S993))</f>
        <v/>
      </c>
      <c r="U993" s="28"/>
      <c r="V993" s="29" t="str">
        <f aca="false">IF(AND($C993="",COUNTA($D993:$H993,$K993,$N993:$O993,$Q993:$S993,$U993)=0),"",IF($C993="","⚠ 没填项目名称",IF($A993="⚠目录里没有","⚠ 项目名称在目录里找不到（先加到目录）",IF($A993="","⚠ 目录里这个项目没填简称",IF(ISTEXT($G993)+ISTEXT($H993)+ISTEXT($K993)+ISTEXT($N993)+ISTEXT($O993)+ISTEXT($Q993)+ISTEXT($R993)+ISTEXT($S993)&gt;0,"⚠ 金额列里有文字，算不进合计",IF(N($G993)&gt;=1,"⚠ 管理费点要填百分比，如 10%",IF(AND($D993&lt;&gt;"",$B993=""),"△ 摘要开头没写日期（如 2026.9.21），月份取不到",IF(AND(N($H993)&lt;&gt;0,COUNTIFS($A$4:$A$1003,$A993,$H$4:$H$1003,$H993,$D$4:$D$1003,LEFT($D993,9)&amp;"*")&gt;1),"△ 同一天同项目有一样的销售金额，看看是不是录重了","✓"))))))))</f>
        <v/>
      </c>
      <c r="W993" s="8" t="str">
        <f aca="false">IF($A993="","",$A993&amp;"#"&amp;COUNTIF($A$4:$A993,$A993))</f>
        <v/>
      </c>
    </row>
    <row r="994" customFormat="false" ht="16.5" hidden="false" customHeight="false" outlineLevel="0" collapsed="false">
      <c r="A994" s="44" t="str">
        <f aca="false">IF($C994="","",IFERROR(VLOOKUP($C994,目录!$B:$C,2,0)&amp;"","⚠目录里没有"))</f>
        <v/>
      </c>
      <c r="B994" s="45" t="str">
        <f aca="false">IF($D994="","",IFERROR(MID($D994,FIND(".",$D994)+1,FIND(".",$D994,FIND(".",$D994)+1)-FIND(".",$D994)-1)&amp;"月",""))</f>
        <v/>
      </c>
      <c r="C994" s="46"/>
      <c r="D994" s="47"/>
      <c r="E994" s="47"/>
      <c r="F994" s="49"/>
      <c r="G994" s="50"/>
      <c r="H994" s="24"/>
      <c r="I994" s="24" t="str">
        <f aca="false">IF($H994="","",N($H994)*N($G994))</f>
        <v/>
      </c>
      <c r="J994" s="25" t="str">
        <f aca="false">IF($H994="","",N($H994)-N($I994))</f>
        <v/>
      </c>
      <c r="K994" s="25"/>
      <c r="L994" s="25" t="str">
        <f aca="false">IF($A994="","",SUMIF($A$4:$A994,$A994,$J$4:$J994)-SUMIF($A$4:$A994,$A994,$K$4:$K994))</f>
        <v/>
      </c>
      <c r="M994" s="26" t="str">
        <f aca="false">IF($H994="","",N($H994))</f>
        <v/>
      </c>
      <c r="N994" s="26"/>
      <c r="O994" s="26"/>
      <c r="P994" s="26" t="str">
        <f aca="false">IF($A994="","",SUMIF($A$4:$A994,$A994,$M$4:$M994)-SUMIF($A$4:$A994,$A994,$N$4:$N994)-SUMIF($A$4:$A994,$A994,$O$4:$O994))</f>
        <v/>
      </c>
      <c r="Q994" s="27"/>
      <c r="R994" s="28"/>
      <c r="S994" s="28"/>
      <c r="T994" s="28" t="str">
        <f aca="false">IF($A994="","",SUMIF($A$4:$A994,$A994,$Q$4:$Q994)-SUMIF($A$4:$A994,$A994,$R$4:$R994)-SUMIF($A$4:$A994,$A994,$S$4:$S994))</f>
        <v/>
      </c>
      <c r="U994" s="28"/>
      <c r="V994" s="29" t="str">
        <f aca="false">IF(AND($C994="",COUNTA($D994:$H994,$K994,$N994:$O994,$Q994:$S994,$U994)=0),"",IF($C994="","⚠ 没填项目名称",IF($A994="⚠目录里没有","⚠ 项目名称在目录里找不到（先加到目录）",IF($A994="","⚠ 目录里这个项目没填简称",IF(ISTEXT($G994)+ISTEXT($H994)+ISTEXT($K994)+ISTEXT($N994)+ISTEXT($O994)+ISTEXT($Q994)+ISTEXT($R994)+ISTEXT($S994)&gt;0,"⚠ 金额列里有文字，算不进合计",IF(N($G994)&gt;=1,"⚠ 管理费点要填百分比，如 10%",IF(AND($D994&lt;&gt;"",$B994=""),"△ 摘要开头没写日期（如 2026.9.21），月份取不到",IF(AND(N($H994)&lt;&gt;0,COUNTIFS($A$4:$A$1003,$A994,$H$4:$H$1003,$H994,$D$4:$D$1003,LEFT($D994,9)&amp;"*")&gt;1),"△ 同一天同项目有一样的销售金额，看看是不是录重了","✓"))))))))</f>
        <v/>
      </c>
      <c r="W994" s="8" t="str">
        <f aca="false">IF($A994="","",$A994&amp;"#"&amp;COUNTIF($A$4:$A994,$A994))</f>
        <v/>
      </c>
    </row>
    <row r="995" customFormat="false" ht="16.5" hidden="false" customHeight="false" outlineLevel="0" collapsed="false">
      <c r="A995" s="44" t="str">
        <f aca="false">IF($C995="","",IFERROR(VLOOKUP($C995,目录!$B:$C,2,0)&amp;"","⚠目录里没有"))</f>
        <v/>
      </c>
      <c r="B995" s="45" t="str">
        <f aca="false">IF($D995="","",IFERROR(MID($D995,FIND(".",$D995)+1,FIND(".",$D995,FIND(".",$D995)+1)-FIND(".",$D995)-1)&amp;"月",""))</f>
        <v/>
      </c>
      <c r="C995" s="46"/>
      <c r="D995" s="47"/>
      <c r="E995" s="47"/>
      <c r="F995" s="49"/>
      <c r="G995" s="50"/>
      <c r="H995" s="24"/>
      <c r="I995" s="24" t="str">
        <f aca="false">IF($H995="","",N($H995)*N($G995))</f>
        <v/>
      </c>
      <c r="J995" s="25" t="str">
        <f aca="false">IF($H995="","",N($H995)-N($I995))</f>
        <v/>
      </c>
      <c r="K995" s="25"/>
      <c r="L995" s="25" t="str">
        <f aca="false">IF($A995="","",SUMIF($A$4:$A995,$A995,$J$4:$J995)-SUMIF($A$4:$A995,$A995,$K$4:$K995))</f>
        <v/>
      </c>
      <c r="M995" s="26" t="str">
        <f aca="false">IF($H995="","",N($H995))</f>
        <v/>
      </c>
      <c r="N995" s="26"/>
      <c r="O995" s="26"/>
      <c r="P995" s="26" t="str">
        <f aca="false">IF($A995="","",SUMIF($A$4:$A995,$A995,$M$4:$M995)-SUMIF($A$4:$A995,$A995,$N$4:$N995)-SUMIF($A$4:$A995,$A995,$O$4:$O995))</f>
        <v/>
      </c>
      <c r="Q995" s="27"/>
      <c r="R995" s="28"/>
      <c r="S995" s="28"/>
      <c r="T995" s="28" t="str">
        <f aca="false">IF($A995="","",SUMIF($A$4:$A995,$A995,$Q$4:$Q995)-SUMIF($A$4:$A995,$A995,$R$4:$R995)-SUMIF($A$4:$A995,$A995,$S$4:$S995))</f>
        <v/>
      </c>
      <c r="U995" s="28"/>
      <c r="V995" s="29" t="str">
        <f aca="false">IF(AND($C995="",COUNTA($D995:$H995,$K995,$N995:$O995,$Q995:$S995,$U995)=0),"",IF($C995="","⚠ 没填项目名称",IF($A995="⚠目录里没有","⚠ 项目名称在目录里找不到（先加到目录）",IF($A995="","⚠ 目录里这个项目没填简称",IF(ISTEXT($G995)+ISTEXT($H995)+ISTEXT($K995)+ISTEXT($N995)+ISTEXT($O995)+ISTEXT($Q995)+ISTEXT($R995)+ISTEXT($S995)&gt;0,"⚠ 金额列里有文字，算不进合计",IF(N($G995)&gt;=1,"⚠ 管理费点要填百分比，如 10%",IF(AND($D995&lt;&gt;"",$B995=""),"△ 摘要开头没写日期（如 2026.9.21），月份取不到",IF(AND(N($H995)&lt;&gt;0,COUNTIFS($A$4:$A$1003,$A995,$H$4:$H$1003,$H995,$D$4:$D$1003,LEFT($D995,9)&amp;"*")&gt;1),"△ 同一天同项目有一样的销售金额，看看是不是录重了","✓"))))))))</f>
        <v/>
      </c>
      <c r="W995" s="8" t="str">
        <f aca="false">IF($A995="","",$A995&amp;"#"&amp;COUNTIF($A$4:$A995,$A995))</f>
        <v/>
      </c>
    </row>
    <row r="996" customFormat="false" ht="16.5" hidden="false" customHeight="false" outlineLevel="0" collapsed="false">
      <c r="A996" s="44" t="str">
        <f aca="false">IF($C996="","",IFERROR(VLOOKUP($C996,目录!$B:$C,2,0)&amp;"","⚠目录里没有"))</f>
        <v/>
      </c>
      <c r="B996" s="45" t="str">
        <f aca="false">IF($D996="","",IFERROR(MID($D996,FIND(".",$D996)+1,FIND(".",$D996,FIND(".",$D996)+1)-FIND(".",$D996)-1)&amp;"月",""))</f>
        <v/>
      </c>
      <c r="C996" s="46"/>
      <c r="D996" s="47"/>
      <c r="E996" s="47"/>
      <c r="F996" s="49"/>
      <c r="G996" s="50"/>
      <c r="H996" s="24"/>
      <c r="I996" s="24" t="str">
        <f aca="false">IF($H996="","",N($H996)*N($G996))</f>
        <v/>
      </c>
      <c r="J996" s="25" t="str">
        <f aca="false">IF($H996="","",N($H996)-N($I996))</f>
        <v/>
      </c>
      <c r="K996" s="25"/>
      <c r="L996" s="25" t="str">
        <f aca="false">IF($A996="","",SUMIF($A$4:$A996,$A996,$J$4:$J996)-SUMIF($A$4:$A996,$A996,$K$4:$K996))</f>
        <v/>
      </c>
      <c r="M996" s="26" t="str">
        <f aca="false">IF($H996="","",N($H996))</f>
        <v/>
      </c>
      <c r="N996" s="26"/>
      <c r="O996" s="26"/>
      <c r="P996" s="26" t="str">
        <f aca="false">IF($A996="","",SUMIF($A$4:$A996,$A996,$M$4:$M996)-SUMIF($A$4:$A996,$A996,$N$4:$N996)-SUMIF($A$4:$A996,$A996,$O$4:$O996))</f>
        <v/>
      </c>
      <c r="Q996" s="27"/>
      <c r="R996" s="28"/>
      <c r="S996" s="28"/>
      <c r="T996" s="28" t="str">
        <f aca="false">IF($A996="","",SUMIF($A$4:$A996,$A996,$Q$4:$Q996)-SUMIF($A$4:$A996,$A996,$R$4:$R996)-SUMIF($A$4:$A996,$A996,$S$4:$S996))</f>
        <v/>
      </c>
      <c r="U996" s="28"/>
      <c r="V996" s="29" t="str">
        <f aca="false">IF(AND($C996="",COUNTA($D996:$H996,$K996,$N996:$O996,$Q996:$S996,$U996)=0),"",IF($C996="","⚠ 没填项目名称",IF($A996="⚠目录里没有","⚠ 项目名称在目录里找不到（先加到目录）",IF($A996="","⚠ 目录里这个项目没填简称",IF(ISTEXT($G996)+ISTEXT($H996)+ISTEXT($K996)+ISTEXT($N996)+ISTEXT($O996)+ISTEXT($Q996)+ISTEXT($R996)+ISTEXT($S996)&gt;0,"⚠ 金额列里有文字，算不进合计",IF(N($G996)&gt;=1,"⚠ 管理费点要填百分比，如 10%",IF(AND($D996&lt;&gt;"",$B996=""),"△ 摘要开头没写日期（如 2026.9.21），月份取不到",IF(AND(N($H996)&lt;&gt;0,COUNTIFS($A$4:$A$1003,$A996,$H$4:$H$1003,$H996,$D$4:$D$1003,LEFT($D996,9)&amp;"*")&gt;1),"△ 同一天同项目有一样的销售金额，看看是不是录重了","✓"))))))))</f>
        <v/>
      </c>
      <c r="W996" s="8" t="str">
        <f aca="false">IF($A996="","",$A996&amp;"#"&amp;COUNTIF($A$4:$A996,$A996))</f>
        <v/>
      </c>
    </row>
    <row r="997" customFormat="false" ht="16.5" hidden="false" customHeight="false" outlineLevel="0" collapsed="false">
      <c r="A997" s="44" t="str">
        <f aca="false">IF($C997="","",IFERROR(VLOOKUP($C997,目录!$B:$C,2,0)&amp;"","⚠目录里没有"))</f>
        <v/>
      </c>
      <c r="B997" s="45" t="str">
        <f aca="false">IF($D997="","",IFERROR(MID($D997,FIND(".",$D997)+1,FIND(".",$D997,FIND(".",$D997)+1)-FIND(".",$D997)-1)&amp;"月",""))</f>
        <v/>
      </c>
      <c r="C997" s="46"/>
      <c r="D997" s="47"/>
      <c r="E997" s="47"/>
      <c r="F997" s="49"/>
      <c r="G997" s="50"/>
      <c r="H997" s="24"/>
      <c r="I997" s="24" t="str">
        <f aca="false">IF($H997="","",N($H997)*N($G997))</f>
        <v/>
      </c>
      <c r="J997" s="25" t="str">
        <f aca="false">IF($H997="","",N($H997)-N($I997))</f>
        <v/>
      </c>
      <c r="K997" s="25"/>
      <c r="L997" s="25" t="str">
        <f aca="false">IF($A997="","",SUMIF($A$4:$A997,$A997,$J$4:$J997)-SUMIF($A$4:$A997,$A997,$K$4:$K997))</f>
        <v/>
      </c>
      <c r="M997" s="26" t="str">
        <f aca="false">IF($H997="","",N($H997))</f>
        <v/>
      </c>
      <c r="N997" s="26"/>
      <c r="O997" s="26"/>
      <c r="P997" s="26" t="str">
        <f aca="false">IF($A997="","",SUMIF($A$4:$A997,$A997,$M$4:$M997)-SUMIF($A$4:$A997,$A997,$N$4:$N997)-SUMIF($A$4:$A997,$A997,$O$4:$O997))</f>
        <v/>
      </c>
      <c r="Q997" s="27"/>
      <c r="R997" s="28"/>
      <c r="S997" s="28"/>
      <c r="T997" s="28" t="str">
        <f aca="false">IF($A997="","",SUMIF($A$4:$A997,$A997,$Q$4:$Q997)-SUMIF($A$4:$A997,$A997,$R$4:$R997)-SUMIF($A$4:$A997,$A997,$S$4:$S997))</f>
        <v/>
      </c>
      <c r="U997" s="28"/>
      <c r="V997" s="29" t="str">
        <f aca="false">IF(AND($C997="",COUNTA($D997:$H997,$K997,$N997:$O997,$Q997:$S997,$U997)=0),"",IF($C997="","⚠ 没填项目名称",IF($A997="⚠目录里没有","⚠ 项目名称在目录里找不到（先加到目录）",IF($A997="","⚠ 目录里这个项目没填简称",IF(ISTEXT($G997)+ISTEXT($H997)+ISTEXT($K997)+ISTEXT($N997)+ISTEXT($O997)+ISTEXT($Q997)+ISTEXT($R997)+ISTEXT($S997)&gt;0,"⚠ 金额列里有文字，算不进合计",IF(N($G997)&gt;=1,"⚠ 管理费点要填百分比，如 10%",IF(AND($D997&lt;&gt;"",$B997=""),"△ 摘要开头没写日期（如 2026.9.21），月份取不到",IF(AND(N($H997)&lt;&gt;0,COUNTIFS($A$4:$A$1003,$A997,$H$4:$H$1003,$H997,$D$4:$D$1003,LEFT($D997,9)&amp;"*")&gt;1),"△ 同一天同项目有一样的销售金额，看看是不是录重了","✓"))))))))</f>
        <v/>
      </c>
      <c r="W997" s="8" t="str">
        <f aca="false">IF($A997="","",$A997&amp;"#"&amp;COUNTIF($A$4:$A997,$A997))</f>
        <v/>
      </c>
    </row>
    <row r="998" customFormat="false" ht="16.5" hidden="false" customHeight="false" outlineLevel="0" collapsed="false">
      <c r="A998" s="44" t="str">
        <f aca="false">IF($C998="","",IFERROR(VLOOKUP($C998,目录!$B:$C,2,0)&amp;"","⚠目录里没有"))</f>
        <v/>
      </c>
      <c r="B998" s="45" t="str">
        <f aca="false">IF($D998="","",IFERROR(MID($D998,FIND(".",$D998)+1,FIND(".",$D998,FIND(".",$D998)+1)-FIND(".",$D998)-1)&amp;"月",""))</f>
        <v/>
      </c>
      <c r="C998" s="46"/>
      <c r="D998" s="47"/>
      <c r="E998" s="47"/>
      <c r="F998" s="49"/>
      <c r="G998" s="50"/>
      <c r="H998" s="24"/>
      <c r="I998" s="24" t="str">
        <f aca="false">IF($H998="","",N($H998)*N($G998))</f>
        <v/>
      </c>
      <c r="J998" s="25" t="str">
        <f aca="false">IF($H998="","",N($H998)-N($I998))</f>
        <v/>
      </c>
      <c r="K998" s="25"/>
      <c r="L998" s="25" t="str">
        <f aca="false">IF($A998="","",SUMIF($A$4:$A998,$A998,$J$4:$J998)-SUMIF($A$4:$A998,$A998,$K$4:$K998))</f>
        <v/>
      </c>
      <c r="M998" s="26" t="str">
        <f aca="false">IF($H998="","",N($H998))</f>
        <v/>
      </c>
      <c r="N998" s="26"/>
      <c r="O998" s="26"/>
      <c r="P998" s="26" t="str">
        <f aca="false">IF($A998="","",SUMIF($A$4:$A998,$A998,$M$4:$M998)-SUMIF($A$4:$A998,$A998,$N$4:$N998)-SUMIF($A$4:$A998,$A998,$O$4:$O998))</f>
        <v/>
      </c>
      <c r="Q998" s="27"/>
      <c r="R998" s="28"/>
      <c r="S998" s="28"/>
      <c r="T998" s="28" t="str">
        <f aca="false">IF($A998="","",SUMIF($A$4:$A998,$A998,$Q$4:$Q998)-SUMIF($A$4:$A998,$A998,$R$4:$R998)-SUMIF($A$4:$A998,$A998,$S$4:$S998))</f>
        <v/>
      </c>
      <c r="U998" s="28"/>
      <c r="V998" s="29" t="str">
        <f aca="false">IF(AND($C998="",COUNTA($D998:$H998,$K998,$N998:$O998,$Q998:$S998,$U998)=0),"",IF($C998="","⚠ 没填项目名称",IF($A998="⚠目录里没有","⚠ 项目名称在目录里找不到（先加到目录）",IF($A998="","⚠ 目录里这个项目没填简称",IF(ISTEXT($G998)+ISTEXT($H998)+ISTEXT($K998)+ISTEXT($N998)+ISTEXT($O998)+ISTEXT($Q998)+ISTEXT($R998)+ISTEXT($S998)&gt;0,"⚠ 金额列里有文字，算不进合计",IF(N($G998)&gt;=1,"⚠ 管理费点要填百分比，如 10%",IF(AND($D998&lt;&gt;"",$B998=""),"△ 摘要开头没写日期（如 2026.9.21），月份取不到",IF(AND(N($H998)&lt;&gt;0,COUNTIFS($A$4:$A$1003,$A998,$H$4:$H$1003,$H998,$D$4:$D$1003,LEFT($D998,9)&amp;"*")&gt;1),"△ 同一天同项目有一样的销售金额，看看是不是录重了","✓"))))))))</f>
        <v/>
      </c>
      <c r="W998" s="8" t="str">
        <f aca="false">IF($A998="","",$A998&amp;"#"&amp;COUNTIF($A$4:$A998,$A998))</f>
        <v/>
      </c>
    </row>
    <row r="999" customFormat="false" ht="16.5" hidden="false" customHeight="false" outlineLevel="0" collapsed="false">
      <c r="A999" s="44" t="str">
        <f aca="false">IF($C999="","",IFERROR(VLOOKUP($C999,目录!$B:$C,2,0)&amp;"","⚠目录里没有"))</f>
        <v/>
      </c>
      <c r="B999" s="45" t="str">
        <f aca="false">IF($D999="","",IFERROR(MID($D999,FIND(".",$D999)+1,FIND(".",$D999,FIND(".",$D999)+1)-FIND(".",$D999)-1)&amp;"月",""))</f>
        <v/>
      </c>
      <c r="C999" s="46"/>
      <c r="D999" s="47"/>
      <c r="E999" s="47"/>
      <c r="F999" s="49"/>
      <c r="G999" s="50"/>
      <c r="H999" s="24"/>
      <c r="I999" s="24" t="str">
        <f aca="false">IF($H999="","",N($H999)*N($G999))</f>
        <v/>
      </c>
      <c r="J999" s="25" t="str">
        <f aca="false">IF($H999="","",N($H999)-N($I999))</f>
        <v/>
      </c>
      <c r="K999" s="25"/>
      <c r="L999" s="25" t="str">
        <f aca="false">IF($A999="","",SUMIF($A$4:$A999,$A999,$J$4:$J999)-SUMIF($A$4:$A999,$A999,$K$4:$K999))</f>
        <v/>
      </c>
      <c r="M999" s="26" t="str">
        <f aca="false">IF($H999="","",N($H999))</f>
        <v/>
      </c>
      <c r="N999" s="26"/>
      <c r="O999" s="26"/>
      <c r="P999" s="26" t="str">
        <f aca="false">IF($A999="","",SUMIF($A$4:$A999,$A999,$M$4:$M999)-SUMIF($A$4:$A999,$A999,$N$4:$N999)-SUMIF($A$4:$A999,$A999,$O$4:$O999))</f>
        <v/>
      </c>
      <c r="Q999" s="27"/>
      <c r="R999" s="28"/>
      <c r="S999" s="28"/>
      <c r="T999" s="28" t="str">
        <f aca="false">IF($A999="","",SUMIF($A$4:$A999,$A999,$Q$4:$Q999)-SUMIF($A$4:$A999,$A999,$R$4:$R999)-SUMIF($A$4:$A999,$A999,$S$4:$S999))</f>
        <v/>
      </c>
      <c r="U999" s="28"/>
      <c r="V999" s="29" t="str">
        <f aca="false">IF(AND($C999="",COUNTA($D999:$H999,$K999,$N999:$O999,$Q999:$S999,$U999)=0),"",IF($C999="","⚠ 没填项目名称",IF($A999="⚠目录里没有","⚠ 项目名称在目录里找不到（先加到目录）",IF($A999="","⚠ 目录里这个项目没填简称",IF(ISTEXT($G999)+ISTEXT($H999)+ISTEXT($K999)+ISTEXT($N999)+ISTEXT($O999)+ISTEXT($Q999)+ISTEXT($R999)+ISTEXT($S999)&gt;0,"⚠ 金额列里有文字，算不进合计",IF(N($G999)&gt;=1,"⚠ 管理费点要填百分比，如 10%",IF(AND($D999&lt;&gt;"",$B999=""),"△ 摘要开头没写日期（如 2026.9.21），月份取不到",IF(AND(N($H999)&lt;&gt;0,COUNTIFS($A$4:$A$1003,$A999,$H$4:$H$1003,$H999,$D$4:$D$1003,LEFT($D999,9)&amp;"*")&gt;1),"△ 同一天同项目有一样的销售金额，看看是不是录重了","✓"))))))))</f>
        <v/>
      </c>
      <c r="W999" s="8" t="str">
        <f aca="false">IF($A999="","",$A999&amp;"#"&amp;COUNTIF($A$4:$A999,$A999))</f>
        <v/>
      </c>
    </row>
    <row r="1000" customFormat="false" ht="16.5" hidden="false" customHeight="false" outlineLevel="0" collapsed="false">
      <c r="A1000" s="44" t="str">
        <f aca="false">IF($C1000="","",IFERROR(VLOOKUP($C1000,目录!$B:$C,2,0)&amp;"","⚠目录里没有"))</f>
        <v/>
      </c>
      <c r="B1000" s="45" t="str">
        <f aca="false">IF($D1000="","",IFERROR(MID($D1000,FIND(".",$D1000)+1,FIND(".",$D1000,FIND(".",$D1000)+1)-FIND(".",$D1000)-1)&amp;"月",""))</f>
        <v/>
      </c>
      <c r="C1000" s="46"/>
      <c r="D1000" s="47"/>
      <c r="E1000" s="47"/>
      <c r="F1000" s="49"/>
      <c r="G1000" s="50"/>
      <c r="H1000" s="24"/>
      <c r="I1000" s="24" t="str">
        <f aca="false">IF($H1000="","",N($H1000)*N($G1000))</f>
        <v/>
      </c>
      <c r="J1000" s="25" t="str">
        <f aca="false">IF($H1000="","",N($H1000)-N($I1000))</f>
        <v/>
      </c>
      <c r="K1000" s="25"/>
      <c r="L1000" s="25" t="str">
        <f aca="false">IF($A1000="","",SUMIF($A$4:$A1000,$A1000,$J$4:$J1000)-SUMIF($A$4:$A1000,$A1000,$K$4:$K1000))</f>
        <v/>
      </c>
      <c r="M1000" s="26" t="str">
        <f aca="false">IF($H1000="","",N($H1000))</f>
        <v/>
      </c>
      <c r="N1000" s="26"/>
      <c r="O1000" s="26"/>
      <c r="P1000" s="26" t="str">
        <f aca="false">IF($A1000="","",SUMIF($A$4:$A1000,$A1000,$M$4:$M1000)-SUMIF($A$4:$A1000,$A1000,$N$4:$N1000)-SUMIF($A$4:$A1000,$A1000,$O$4:$O1000))</f>
        <v/>
      </c>
      <c r="Q1000" s="27"/>
      <c r="R1000" s="28"/>
      <c r="S1000" s="28"/>
      <c r="T1000" s="28" t="str">
        <f aca="false">IF($A1000="","",SUMIF($A$4:$A1000,$A1000,$Q$4:$Q1000)-SUMIF($A$4:$A1000,$A1000,$R$4:$R1000)-SUMIF($A$4:$A1000,$A1000,$S$4:$S1000))</f>
        <v/>
      </c>
      <c r="U1000" s="28"/>
      <c r="V1000" s="29" t="str">
        <f aca="false">IF(AND($C1000="",COUNTA($D1000:$H1000,$K1000,$N1000:$O1000,$Q1000:$S1000,$U1000)=0),"",IF($C1000="","⚠ 没填项目名称",IF($A1000="⚠目录里没有","⚠ 项目名称在目录里找不到（先加到目录）",IF($A1000="","⚠ 目录里这个项目没填简称",IF(ISTEXT($G1000)+ISTEXT($H1000)+ISTEXT($K1000)+ISTEXT($N1000)+ISTEXT($O1000)+ISTEXT($Q1000)+ISTEXT($R1000)+ISTEXT($S1000)&gt;0,"⚠ 金额列里有文字，算不进合计",IF(N($G1000)&gt;=1,"⚠ 管理费点要填百分比，如 10%",IF(AND($D1000&lt;&gt;"",$B1000=""),"△ 摘要开头没写日期（如 2026.9.21），月份取不到",IF(AND(N($H1000)&lt;&gt;0,COUNTIFS($A$4:$A$1003,$A1000,$H$4:$H$1003,$H1000,$D$4:$D$1003,LEFT($D1000,9)&amp;"*")&gt;1),"△ 同一天同项目有一样的销售金额，看看是不是录重了","✓"))))))))</f>
        <v/>
      </c>
      <c r="W1000" s="8" t="str">
        <f aca="false">IF($A1000="","",$A1000&amp;"#"&amp;COUNTIF($A$4:$A1000,$A1000))</f>
        <v/>
      </c>
    </row>
    <row r="1001" customFormat="false" ht="16.5" hidden="false" customHeight="false" outlineLevel="0" collapsed="false">
      <c r="A1001" s="44" t="str">
        <f aca="false">IF($C1001="","",IFERROR(VLOOKUP($C1001,目录!$B:$C,2,0)&amp;"","⚠目录里没有"))</f>
        <v/>
      </c>
      <c r="B1001" s="45" t="str">
        <f aca="false">IF($D1001="","",IFERROR(MID($D1001,FIND(".",$D1001)+1,FIND(".",$D1001,FIND(".",$D1001)+1)-FIND(".",$D1001)-1)&amp;"月",""))</f>
        <v/>
      </c>
      <c r="C1001" s="46"/>
      <c r="D1001" s="47"/>
      <c r="E1001" s="47"/>
      <c r="F1001" s="49"/>
      <c r="G1001" s="50"/>
      <c r="H1001" s="24"/>
      <c r="I1001" s="24" t="str">
        <f aca="false">IF($H1001="","",N($H1001)*N($G1001))</f>
        <v/>
      </c>
      <c r="J1001" s="25" t="str">
        <f aca="false">IF($H1001="","",N($H1001)-N($I1001))</f>
        <v/>
      </c>
      <c r="K1001" s="25"/>
      <c r="L1001" s="25" t="str">
        <f aca="false">IF($A1001="","",SUMIF($A$4:$A1001,$A1001,$J$4:$J1001)-SUMIF($A$4:$A1001,$A1001,$K$4:$K1001))</f>
        <v/>
      </c>
      <c r="M1001" s="26" t="str">
        <f aca="false">IF($H1001="","",N($H1001))</f>
        <v/>
      </c>
      <c r="N1001" s="26"/>
      <c r="O1001" s="26"/>
      <c r="P1001" s="26" t="str">
        <f aca="false">IF($A1001="","",SUMIF($A$4:$A1001,$A1001,$M$4:$M1001)-SUMIF($A$4:$A1001,$A1001,$N$4:$N1001)-SUMIF($A$4:$A1001,$A1001,$O$4:$O1001))</f>
        <v/>
      </c>
      <c r="Q1001" s="27"/>
      <c r="R1001" s="28"/>
      <c r="S1001" s="28"/>
      <c r="T1001" s="28" t="str">
        <f aca="false">IF($A1001="","",SUMIF($A$4:$A1001,$A1001,$Q$4:$Q1001)-SUMIF($A$4:$A1001,$A1001,$R$4:$R1001)-SUMIF($A$4:$A1001,$A1001,$S$4:$S1001))</f>
        <v/>
      </c>
      <c r="U1001" s="28"/>
      <c r="V1001" s="29" t="str">
        <f aca="false">IF(AND($C1001="",COUNTA($D1001:$H1001,$K1001,$N1001:$O1001,$Q1001:$S1001,$U1001)=0),"",IF($C1001="","⚠ 没填项目名称",IF($A1001="⚠目录里没有","⚠ 项目名称在目录里找不到（先加到目录）",IF($A1001="","⚠ 目录里这个项目没填简称",IF(ISTEXT($G1001)+ISTEXT($H1001)+ISTEXT($K1001)+ISTEXT($N1001)+ISTEXT($O1001)+ISTEXT($Q1001)+ISTEXT($R1001)+ISTEXT($S1001)&gt;0,"⚠ 金额列里有文字，算不进合计",IF(N($G1001)&gt;=1,"⚠ 管理费点要填百分比，如 10%",IF(AND($D1001&lt;&gt;"",$B1001=""),"△ 摘要开头没写日期（如 2026.9.21），月份取不到",IF(AND(N($H1001)&lt;&gt;0,COUNTIFS($A$4:$A$1003,$A1001,$H$4:$H$1003,$H1001,$D$4:$D$1003,LEFT($D1001,9)&amp;"*")&gt;1),"△ 同一天同项目有一样的销售金额，看看是不是录重了","✓"))))))))</f>
        <v/>
      </c>
      <c r="W1001" s="8" t="str">
        <f aca="false">IF($A1001="","",$A1001&amp;"#"&amp;COUNTIF($A$4:$A1001,$A1001))</f>
        <v/>
      </c>
    </row>
    <row r="1002" customFormat="false" ht="16.5" hidden="false" customHeight="false" outlineLevel="0" collapsed="false">
      <c r="A1002" s="44" t="str">
        <f aca="false">IF($C1002="","",IFERROR(VLOOKUP($C1002,目录!$B:$C,2,0)&amp;"","⚠目录里没有"))</f>
        <v/>
      </c>
      <c r="B1002" s="45" t="str">
        <f aca="false">IF($D1002="","",IFERROR(MID($D1002,FIND(".",$D1002)+1,FIND(".",$D1002,FIND(".",$D1002)+1)-FIND(".",$D1002)-1)&amp;"月",""))</f>
        <v/>
      </c>
      <c r="C1002" s="46"/>
      <c r="D1002" s="47"/>
      <c r="E1002" s="47"/>
      <c r="F1002" s="49"/>
      <c r="G1002" s="50"/>
      <c r="H1002" s="24"/>
      <c r="I1002" s="24" t="str">
        <f aca="false">IF($H1002="","",N($H1002)*N($G1002))</f>
        <v/>
      </c>
      <c r="J1002" s="25" t="str">
        <f aca="false">IF($H1002="","",N($H1002)-N($I1002))</f>
        <v/>
      </c>
      <c r="K1002" s="25"/>
      <c r="L1002" s="25" t="str">
        <f aca="false">IF($A1002="","",SUMIF($A$4:$A1002,$A1002,$J$4:$J1002)-SUMIF($A$4:$A1002,$A1002,$K$4:$K1002))</f>
        <v/>
      </c>
      <c r="M1002" s="26" t="str">
        <f aca="false">IF($H1002="","",N($H1002))</f>
        <v/>
      </c>
      <c r="N1002" s="26"/>
      <c r="O1002" s="26"/>
      <c r="P1002" s="26" t="str">
        <f aca="false">IF($A1002="","",SUMIF($A$4:$A1002,$A1002,$M$4:$M1002)-SUMIF($A$4:$A1002,$A1002,$N$4:$N1002)-SUMIF($A$4:$A1002,$A1002,$O$4:$O1002))</f>
        <v/>
      </c>
      <c r="Q1002" s="27"/>
      <c r="R1002" s="28"/>
      <c r="S1002" s="28"/>
      <c r="T1002" s="28" t="str">
        <f aca="false">IF($A1002="","",SUMIF($A$4:$A1002,$A1002,$Q$4:$Q1002)-SUMIF($A$4:$A1002,$A1002,$R$4:$R1002)-SUMIF($A$4:$A1002,$A1002,$S$4:$S1002))</f>
        <v/>
      </c>
      <c r="U1002" s="28"/>
      <c r="V1002" s="29" t="str">
        <f aca="false">IF(AND($C1002="",COUNTA($D1002:$H1002,$K1002,$N1002:$O1002,$Q1002:$S1002,$U1002)=0),"",IF($C1002="","⚠ 没填项目名称",IF($A1002="⚠目录里没有","⚠ 项目名称在目录里找不到（先加到目录）",IF($A1002="","⚠ 目录里这个项目没填简称",IF(ISTEXT($G1002)+ISTEXT($H1002)+ISTEXT($K1002)+ISTEXT($N1002)+ISTEXT($O1002)+ISTEXT($Q1002)+ISTEXT($R1002)+ISTEXT($S1002)&gt;0,"⚠ 金额列里有文字，算不进合计",IF(N($G1002)&gt;=1,"⚠ 管理费点要填百分比，如 10%",IF(AND($D1002&lt;&gt;"",$B1002=""),"△ 摘要开头没写日期（如 2026.9.21），月份取不到",IF(AND(N($H1002)&lt;&gt;0,COUNTIFS($A$4:$A$1003,$A1002,$H$4:$H$1003,$H1002,$D$4:$D$1003,LEFT($D1002,9)&amp;"*")&gt;1),"△ 同一天同项目有一样的销售金额，看看是不是录重了","✓"))))))))</f>
        <v/>
      </c>
      <c r="W1002" s="8" t="str">
        <f aca="false">IF($A1002="","",$A1002&amp;"#"&amp;COUNTIF($A$4:$A1002,$A1002))</f>
        <v/>
      </c>
    </row>
    <row r="1003" customFormat="false" ht="16.5" hidden="false" customHeight="false" outlineLevel="0" collapsed="false">
      <c r="A1003" s="44" t="str">
        <f aca="false">IF($C1003="","",IFERROR(VLOOKUP($C1003,目录!$B:$C,2,0)&amp;"","⚠目录里没有"))</f>
        <v/>
      </c>
      <c r="B1003" s="45" t="str">
        <f aca="false">IF($D1003="","",IFERROR(MID($D1003,FIND(".",$D1003)+1,FIND(".",$D1003,FIND(".",$D1003)+1)-FIND(".",$D1003)-1)&amp;"月",""))</f>
        <v/>
      </c>
      <c r="C1003" s="46"/>
      <c r="D1003" s="47"/>
      <c r="E1003" s="47"/>
      <c r="F1003" s="49"/>
      <c r="G1003" s="50"/>
      <c r="H1003" s="24"/>
      <c r="I1003" s="24" t="str">
        <f aca="false">IF($H1003="","",N($H1003)*N($G1003))</f>
        <v/>
      </c>
      <c r="J1003" s="25" t="str">
        <f aca="false">IF($H1003="","",N($H1003)-N($I1003))</f>
        <v/>
      </c>
      <c r="K1003" s="25"/>
      <c r="L1003" s="25" t="str">
        <f aca="false">IF($A1003="","",SUMIF($A$4:$A1003,$A1003,$J$4:$J1003)-SUMIF($A$4:$A1003,$A1003,$K$4:$K1003))</f>
        <v/>
      </c>
      <c r="M1003" s="26" t="str">
        <f aca="false">IF($H1003="","",N($H1003))</f>
        <v/>
      </c>
      <c r="N1003" s="26"/>
      <c r="O1003" s="26"/>
      <c r="P1003" s="26" t="str">
        <f aca="false">IF($A1003="","",SUMIF($A$4:$A1003,$A1003,$M$4:$M1003)-SUMIF($A$4:$A1003,$A1003,$N$4:$N1003)-SUMIF($A$4:$A1003,$A1003,$O$4:$O1003))</f>
        <v/>
      </c>
      <c r="Q1003" s="27"/>
      <c r="R1003" s="28"/>
      <c r="S1003" s="28"/>
      <c r="T1003" s="28" t="str">
        <f aca="false">IF($A1003="","",SUMIF($A$4:$A1003,$A1003,$Q$4:$Q1003)-SUMIF($A$4:$A1003,$A1003,$R$4:$R1003)-SUMIF($A$4:$A1003,$A1003,$S$4:$S1003))</f>
        <v/>
      </c>
      <c r="U1003" s="28"/>
      <c r="V1003" s="29" t="str">
        <f aca="false">IF(AND($C1003="",COUNTA($D1003:$H1003,$K1003,$N1003:$O1003,$Q1003:$S1003,$U1003)=0),"",IF($C1003="","⚠ 没填项目名称",IF($A1003="⚠目录里没有","⚠ 项目名称在目录里找不到（先加到目录）",IF($A1003="","⚠ 目录里这个项目没填简称",IF(ISTEXT($G1003)+ISTEXT($H1003)+ISTEXT($K1003)+ISTEXT($N1003)+ISTEXT($O1003)+ISTEXT($Q1003)+ISTEXT($R1003)+ISTEXT($S1003)&gt;0,"⚠ 金额列里有文字，算不进合计",IF(N($G1003)&gt;=1,"⚠ 管理费点要填百分比，如 10%",IF(AND($D1003&lt;&gt;"",$B1003=""),"△ 摘要开头没写日期（如 2026.9.21），月份取不到",IF(AND(N($H1003)&lt;&gt;0,COUNTIFS($A$4:$A$1003,$A1003,$H$4:$H$1003,$H1003,$D$4:$D$1003,LEFT($D1003,9)&amp;"*")&gt;1),"△ 同一天同项目有一样的销售金额，看看是不是录重了","✓"))))))))</f>
        <v/>
      </c>
      <c r="W1003" s="8" t="str">
        <f aca="false">IF($A1003="","",$A1003&amp;"#"&amp;COUNTIF($A$4:$A1003,$A1003))</f>
        <v/>
      </c>
    </row>
  </sheetData>
  <autoFilter ref="A2:U98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:V1003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dataValidations count="1">
    <dataValidation allowBlank="true" error="要跟「目录」里的项目名称一字不差；新项目先加到目录里。" errorStyle="warning" errorTitle="项目名称" operator="between" showDropDown="false" showErrorMessage="true" showInputMessage="false" sqref="C4:C1003" type="list">
      <formula1>目录!$B$3:$B$102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tabSelected="1" showFormulas="false" showGridLines="true" showRowColHeaders="true" showZeros="true" rightToLeft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58" width="6"/>
    <col collapsed="false" customWidth="true" hidden="false" outlineLevel="0" max="2" min="2" style="58" width="24"/>
    <col collapsed="false" customWidth="true" hidden="false" outlineLevel="0" max="3" min="3" style="58" width="6"/>
    <col collapsed="false" customWidth="true" hidden="false" outlineLevel="0" max="4" min="4" style="58" width="50"/>
    <col collapsed="false" customWidth="true" hidden="false" outlineLevel="0" max="17" min="5" style="58" width="15"/>
    <col collapsed="false" customWidth="true" hidden="false" outlineLevel="0" max="18" min="18" style="58" width="22"/>
  </cols>
  <sheetData>
    <row r="1" customFormat="false" ht="48" hidden="false" customHeight="true" outlineLevel="0" collapsed="false">
      <c r="A1" s="9" t="s">
        <v>141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customFormat="false" ht="33" hidden="false" customHeight="true" outlineLevel="0" collapsed="false">
      <c r="A2" s="10" t="s">
        <v>1</v>
      </c>
      <c r="B2" s="10" t="s">
        <v>142</v>
      </c>
      <c r="C2" s="10" t="s">
        <v>143</v>
      </c>
      <c r="D2" s="10" t="s">
        <v>144</v>
      </c>
      <c r="E2" s="10" t="s">
        <v>30</v>
      </c>
      <c r="F2" s="10" t="s">
        <v>31</v>
      </c>
      <c r="G2" s="10" t="s">
        <v>32</v>
      </c>
      <c r="H2" s="10" t="s">
        <v>33</v>
      </c>
      <c r="I2" s="10" t="s">
        <v>34</v>
      </c>
      <c r="J2" s="10" t="s">
        <v>35</v>
      </c>
      <c r="K2" s="10" t="s">
        <v>36</v>
      </c>
      <c r="L2" s="10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42</v>
      </c>
      <c r="R2" s="10" t="s">
        <v>145</v>
      </c>
    </row>
    <row r="3" customFormat="false" ht="15" hidden="false" customHeight="true" outlineLevel="0" collapsed="false">
      <c r="A3" s="10" t="s">
        <v>146</v>
      </c>
      <c r="B3" s="10"/>
      <c r="C3" s="10"/>
      <c r="D3" s="10"/>
      <c r="E3" s="59" t="n">
        <f aca="false">SUM(E4:E53)</f>
        <v>2206559.16</v>
      </c>
      <c r="F3" s="59" t="n">
        <f aca="false">SUM(F4:F53)</f>
        <v>65304.1575</v>
      </c>
      <c r="G3" s="59" t="n">
        <f aca="false">SUM(G4:G53)</f>
        <v>2141255.0025</v>
      </c>
      <c r="H3" s="59" t="n">
        <f aca="false">SUM(H4:H53)</f>
        <v>2098816.7125</v>
      </c>
      <c r="I3" s="59" t="n">
        <f aca="false">G3-H3</f>
        <v>42438.29</v>
      </c>
      <c r="J3" s="59" t="n">
        <f aca="false">SUM(J4:J53)</f>
        <v>2206559.16</v>
      </c>
      <c r="K3" s="59" t="n">
        <f aca="false">SUM(K4:K53)</f>
        <v>0</v>
      </c>
      <c r="L3" s="59" t="n">
        <f aca="false">SUM(L4:L53)</f>
        <v>1500594.2475</v>
      </c>
      <c r="M3" s="59" t="n">
        <f aca="false">J3-K3-L3</f>
        <v>705964.9125</v>
      </c>
      <c r="N3" s="59" t="n">
        <f aca="false">SUM(N4:N53)</f>
        <v>0</v>
      </c>
      <c r="O3" s="59" t="n">
        <f aca="false">SUM(O4:O53)</f>
        <v>0</v>
      </c>
      <c r="P3" s="59" t="n">
        <f aca="false">SUM(P4:P53)</f>
        <v>576643</v>
      </c>
      <c r="Q3" s="59" t="n">
        <f aca="false">N3-O3-P3</f>
        <v>-576643</v>
      </c>
      <c r="R3" s="16" t="str">
        <f aca="false">IF(SUMPRODUCT(ABS(E3:Q3-发票统计!H3:T3))&lt;0.01,"✓ 与发票统计合计一致","⚠ 与发票统计合计对不上：有行没归到项目，看发票统计 V 列")</f>
        <v>✓ 与发票统计合计一致</v>
      </c>
    </row>
    <row r="4" customFormat="false" ht="15" hidden="false" customHeight="false" outlineLevel="0" collapsed="false">
      <c r="A4" s="60" t="n">
        <f aca="false">IF($B4="","",ROWS(A$4:A4))</f>
        <v>1</v>
      </c>
      <c r="B4" s="61" t="str">
        <f aca="false">IFERROR(HYPERLINK("#'"&amp;INDEX(目录!$C$3:$C$102,MATCH(ROWS(B$4:B4),目录!$F$3:$F$102,0))&amp;"'!A1",INDEX(目录!$C$3:$C$102,MATCH(ROWS(B$4:B4),目录!$F$3:$F$102,0))),"")</f>
        <v>淮阳站阳高线</v>
      </c>
      <c r="C4" s="60" t="n">
        <f aca="false">IF($B4="","",COUNTIF(发票统计!$A$4:$A$1003,$B4))</f>
        <v>2</v>
      </c>
      <c r="D4" s="62" t="str">
        <f aca="false">IF(N($C4)=0,"",INDEX(发票统计!$D$4:$D$1003,MATCH($B4&amp;"#"&amp;$C4,发票统计!$W$4:$W$1003,0))&amp;"")</f>
        <v>2026.3.25张氏机电-新德润：淮阳站阳高线</v>
      </c>
      <c r="E4" s="56" t="n">
        <f aca="false">IF($B4="","",SUMIF(发票统计!$A$4:$A$1003,$B4,发票统计!$H$4:$H$1003))</f>
        <v>107944.61</v>
      </c>
      <c r="F4" s="56" t="n">
        <f aca="false">IF($B4="","",SUMIF(发票统计!$A$4:$A$1003,$B4,发票统计!$I$4:$I$1003))</f>
        <v>0</v>
      </c>
      <c r="G4" s="56" t="n">
        <f aca="false">IF($B4="","",SUMIF(发票统计!$A$4:$A$1003,$B4,发票统计!$J$4:$J$1003))</f>
        <v>107944.61</v>
      </c>
      <c r="H4" s="56" t="n">
        <f aca="false">IF($B4="","",SUMIF(发票统计!$A$4:$A$1003,$B4,发票统计!$K$4:$K$1003))</f>
        <v>107944.61</v>
      </c>
      <c r="I4" s="56" t="n">
        <f aca="false">IF($B4="","",G4-H4)</f>
        <v>0</v>
      </c>
      <c r="J4" s="56" t="n">
        <f aca="false">IF($B4="","",SUMIF(发票统计!$A$4:$A$1003,$B4,发票统计!$M$4:$M$1003))</f>
        <v>107944.61</v>
      </c>
      <c r="K4" s="56" t="n">
        <f aca="false">IF($B4="","",SUMIF(发票统计!$A$4:$A$1003,$B4,发票统计!$N$4:$N$1003))</f>
        <v>0</v>
      </c>
      <c r="L4" s="56" t="n">
        <f aca="false">IF($B4="","",SUMIF(发票统计!$A$4:$A$1003,$B4,发票统计!$O$4:$O$1003))</f>
        <v>0</v>
      </c>
      <c r="M4" s="56" t="n">
        <f aca="false">IF($B4="","",J4-K4-L4)</f>
        <v>107944.61</v>
      </c>
      <c r="N4" s="56" t="n">
        <f aca="false">IF($B4="","",SUMIF(发票统计!$A$4:$A$1003,$B4,发票统计!$Q$4:$Q$1003))</f>
        <v>0</v>
      </c>
      <c r="O4" s="56" t="n">
        <f aca="false">IF($B4="","",SUMIF(发票统计!$A$4:$A$1003,$B4,发票统计!$R$4:$R$1003))</f>
        <v>0</v>
      </c>
      <c r="P4" s="56" t="n">
        <f aca="false">IF($B4="","",SUMIF(发票统计!$A$4:$A$1003,$B4,发票统计!$S$4:$S$1003))</f>
        <v>0</v>
      </c>
      <c r="Q4" s="56" t="n">
        <f aca="false">IF($B4="","",N4-O4-P4)</f>
        <v>0</v>
      </c>
      <c r="R4" s="62" t="str">
        <f aca="true">IF($B4="","",IFERROR(IF(SUMPRODUCT(ABS(INDIRECT("'"&amp;$B4&amp;"'!H3:T3")-$E4:$Q4))&lt;0.01,"✓","⚠ 分表合计对不上"),"⚠ 还没建分表"))</f>
        <v>✓</v>
      </c>
    </row>
    <row r="5" customFormat="false" ht="15" hidden="false" customHeight="false" outlineLevel="0" collapsed="false">
      <c r="A5" s="60" t="n">
        <f aca="false">IF($B5="","",ROWS(A$4:A5))</f>
        <v>2</v>
      </c>
      <c r="B5" s="61" t="str">
        <f aca="false">IFERROR(HYPERLINK("#'"&amp;INDEX(目录!$C$3:$C$102,MATCH(ROWS(B$4:B5),目录!$F$3:$F$102,0))&amp;"'!A1",INDEX(目录!$C$3:$C$102,MATCH(ROWS(B$4:B5),目录!$F$3:$F$102,0))),"")</f>
        <v>云龙社区</v>
      </c>
      <c r="C5" s="60" t="n">
        <f aca="false">IF($B5="","",COUNTIF(发票统计!$A$4:$A$1003,$B5))</f>
        <v>4</v>
      </c>
      <c r="D5" s="62" t="str">
        <f aca="false">IF(N($C5)=0,"",INDEX(发票统计!$D$4:$D$1003,MATCH($B5&amp;"#"&amp;$C5,发票统计!$W$4:$W$1003,0))&amp;"")</f>
        <v>2026.5.13庆文公账收到新德润款项：云龙社区居民委员会</v>
      </c>
      <c r="E5" s="56" t="n">
        <f aca="false">IF($B5="","",SUMIF(发票统计!$A$4:$A$1003,$B5,发票统计!$H$4:$H$1003))</f>
        <v>227260.8</v>
      </c>
      <c r="F5" s="56" t="n">
        <f aca="false">IF($B5="","",SUMIF(发票统计!$A$4:$A$1003,$B5,发票统计!$I$4:$I$1003))</f>
        <v>0</v>
      </c>
      <c r="G5" s="56" t="n">
        <f aca="false">IF($B5="","",SUMIF(发票统计!$A$4:$A$1003,$B5,发票统计!$J$4:$J$1003))</f>
        <v>227260.8</v>
      </c>
      <c r="H5" s="56" t="n">
        <f aca="false">IF($B5="","",SUMIF(发票统计!$A$4:$A$1003,$B5,发票统计!$K$4:$K$1003))</f>
        <v>227260.8</v>
      </c>
      <c r="I5" s="56" t="n">
        <f aca="false">IF($B5="","",G5-H5)</f>
        <v>0</v>
      </c>
      <c r="J5" s="56" t="n">
        <f aca="false">IF($B5="","",SUMIF(发票统计!$A$4:$A$1003,$B5,发票统计!$M$4:$M$1003))</f>
        <v>227260.8</v>
      </c>
      <c r="K5" s="56" t="n">
        <f aca="false">IF($B5="","",SUMIF(发票统计!$A$4:$A$1003,$B5,发票统计!$N$4:$N$1003))</f>
        <v>0</v>
      </c>
      <c r="L5" s="56" t="n">
        <f aca="false">IF($B5="","",SUMIF(发票统计!$A$4:$A$1003,$B5,发票统计!$O$4:$O$1003))</f>
        <v>227260.8</v>
      </c>
      <c r="M5" s="56" t="n">
        <f aca="false">IF($B5="","",J5-K5-L5)</f>
        <v>0</v>
      </c>
      <c r="N5" s="56" t="n">
        <f aca="false">IF($B5="","",SUMIF(发票统计!$A$4:$A$1003,$B5,发票统计!$Q$4:$Q$1003))</f>
        <v>0</v>
      </c>
      <c r="O5" s="56" t="n">
        <f aca="false">IF($B5="","",SUMIF(发票统计!$A$4:$A$1003,$B5,发票统计!$R$4:$R$1003))</f>
        <v>0</v>
      </c>
      <c r="P5" s="56" t="n">
        <f aca="false">IF($B5="","",SUMIF(发票统计!$A$4:$A$1003,$B5,发票统计!$S$4:$S$1003))</f>
        <v>0</v>
      </c>
      <c r="Q5" s="56" t="n">
        <f aca="false">IF($B5="","",N5-O5-P5)</f>
        <v>0</v>
      </c>
      <c r="R5" s="62" t="str">
        <f aca="true">IF($B5="","",IFERROR(IF(SUMPRODUCT(ABS(INDIRECT("'"&amp;$B5&amp;"'!H3:T3")-$E5:$Q5))&lt;0.01,"✓","⚠ 分表合计对不上"),"⚠ 还没建分表"))</f>
        <v>✓</v>
      </c>
    </row>
    <row r="6" customFormat="false" ht="15" hidden="false" customHeight="false" outlineLevel="0" collapsed="false">
      <c r="A6" s="60" t="n">
        <f aca="false">IF($B6="","",ROWS(A$4:A6))</f>
        <v>3</v>
      </c>
      <c r="B6" s="61" t="str">
        <f aca="false">IFERROR(HYPERLINK("#'"&amp;INDEX(目录!$C$3:$C$102,MATCH(ROWS(B$4:B6),目录!$F$3:$F$102,0))&amp;"'!A1",INDEX(目录!$C$3:$C$102,MATCH(ROWS(B$4:B6),目录!$F$3:$F$102,0))),"")</f>
        <v>合川瑞翔</v>
      </c>
      <c r="C6" s="60" t="n">
        <f aca="false">IF($B6="","",COUNTIF(发票统计!$A$4:$A$1003,$B6))</f>
        <v>15</v>
      </c>
      <c r="D6" s="62" t="str">
        <f aca="false">IF(N($C6)=0,"",INDEX(发票统计!$D$4:$D$1003,MATCH($B6&amp;"#"&amp;$C6,发票统计!$W$4:$W$1003,0))&amp;"")</f>
        <v>2026.9.14新德润代胡崇文支付宜宾翠屏货款：42800-39473.83=3326.17</v>
      </c>
      <c r="E6" s="56" t="n">
        <f aca="false">IF($B6="","",SUMIF(发票统计!$A$4:$A$1003,$B6,发票统计!$H$4:$H$1003))</f>
        <v>500000</v>
      </c>
      <c r="F6" s="56" t="n">
        <f aca="false">IF($B6="","",SUMIF(发票统计!$A$4:$A$1003,$B6,发票统计!$I$4:$I$1003))</f>
        <v>0</v>
      </c>
      <c r="G6" s="56" t="n">
        <f aca="false">IF($B6="","",SUMIF(发票统计!$A$4:$A$1003,$B6,发票统计!$J$4:$J$1003))</f>
        <v>500000</v>
      </c>
      <c r="H6" s="56" t="n">
        <f aca="false">IF($B6="","",SUMIF(发票统计!$A$4:$A$1003,$B6,发票统计!$K$4:$K$1003))</f>
        <v>500000</v>
      </c>
      <c r="I6" s="56" t="n">
        <f aca="false">IF($B6="","",G6-H6)</f>
        <v>0</v>
      </c>
      <c r="J6" s="56" t="n">
        <f aca="false">IF($B6="","",SUMIF(发票统计!$A$4:$A$1003,$B6,发票统计!$M$4:$M$1003))</f>
        <v>500000</v>
      </c>
      <c r="K6" s="56" t="n">
        <f aca="false">IF($B6="","",SUMIF(发票统计!$A$4:$A$1003,$B6,发票统计!$N$4:$N$1003))</f>
        <v>0</v>
      </c>
      <c r="L6" s="56" t="n">
        <f aca="false">IF($B6="","",SUMIF(发票统计!$A$4:$A$1003,$B6,发票统计!$O$4:$O$1003))</f>
        <v>503326.17</v>
      </c>
      <c r="M6" s="56" t="n">
        <f aca="false">IF($B6="","",J6-K6-L6)</f>
        <v>-3326.16999999998</v>
      </c>
      <c r="N6" s="56" t="n">
        <f aca="false">IF($B6="","",SUMIF(发票统计!$A$4:$A$1003,$B6,发票统计!$Q$4:$Q$1003))</f>
        <v>0</v>
      </c>
      <c r="O6" s="56" t="n">
        <f aca="false">IF($B6="","",SUMIF(发票统计!$A$4:$A$1003,$B6,发票统计!$R$4:$R$1003))</f>
        <v>0</v>
      </c>
      <c r="P6" s="56" t="n">
        <f aca="false">IF($B6="","",SUMIF(发票统计!$A$4:$A$1003,$B6,发票统计!$S$4:$S$1003))</f>
        <v>0</v>
      </c>
      <c r="Q6" s="56" t="n">
        <f aca="false">IF($B6="","",N6-O6-P6)</f>
        <v>0</v>
      </c>
      <c r="R6" s="62" t="str">
        <f aca="true">IF($B6="","",IFERROR(IF(SUMPRODUCT(ABS(INDIRECT("'"&amp;$B6&amp;"'!H3:T3")-$E6:$Q6))&lt;0.01,"✓","⚠ 分表合计对不上"),"⚠ 还没建分表"))</f>
        <v>✓</v>
      </c>
    </row>
    <row r="7" customFormat="false" ht="28.35" hidden="false" customHeight="false" outlineLevel="0" collapsed="false">
      <c r="A7" s="60" t="n">
        <f aca="false">IF($B7="","",ROWS(A$4:A7))</f>
        <v>4</v>
      </c>
      <c r="B7" s="61" t="str">
        <f aca="false">IFERROR(HYPERLINK("#'"&amp;INDEX(目录!$C$3:$C$102,MATCH(ROWS(B$4:B7),目录!$F$3:$F$102,0))&amp;"'!A1",INDEX(目录!$C$3:$C$102,MATCH(ROWS(B$4:B7),目录!$F$3:$F$102,0))),"")</f>
        <v>铜城2回、玉璟尚线、铁井一回、淮拦线4</v>
      </c>
      <c r="C7" s="60" t="n">
        <f aca="false">IF($B7="","",COUNTIF(发票统计!$A$4:$A$1003,$B7))</f>
        <v>15</v>
      </c>
      <c r="D7" s="62" t="str">
        <f aca="false">IF(N($C7)=0,"",INDEX(发票统计!$D$4:$D$1003,MATCH($B7&amp;"#"&amp;$C7,发票统计!$W$4:$W$1003,0))&amp;"")</f>
        <v>2026.9.14新德润代胡崇文支付宜宾翠屏货款：42800-39473.83=3326.17</v>
      </c>
      <c r="E7" s="56" t="n">
        <f aca="false">IF($B7="","",SUMIF(发票统计!$A$4:$A$1003,$B7,发票统计!$H$4:$H$1003))</f>
        <v>121598.1</v>
      </c>
      <c r="F7" s="56" t="n">
        <f aca="false">IF($B7="","",SUMIF(发票统计!$A$4:$A$1003,$B7,发票统计!$I$4:$I$1003))</f>
        <v>12159.81</v>
      </c>
      <c r="G7" s="56" t="n">
        <f aca="false">IF($B7="","",SUMIF(发票统计!$A$4:$A$1003,$B7,发票统计!$J$4:$J$1003))</f>
        <v>109438.29</v>
      </c>
      <c r="H7" s="56" t="n">
        <f aca="false">IF($B7="","",SUMIF(发票统计!$A$4:$A$1003,$B7,发票统计!$K$4:$K$1003))</f>
        <v>167000</v>
      </c>
      <c r="I7" s="56" t="n">
        <f aca="false">IF($B7="","",G7-H7)</f>
        <v>-57561.71</v>
      </c>
      <c r="J7" s="56" t="n">
        <f aca="false">IF($B7="","",SUMIF(发票统计!$A$4:$A$1003,$B7,发票统计!$M$4:$M$1003))</f>
        <v>121598.1</v>
      </c>
      <c r="K7" s="56" t="n">
        <f aca="false">IF($B7="","",SUMIF(发票统计!$A$4:$A$1003,$B7,发票统计!$N$4:$N$1003))</f>
        <v>0</v>
      </c>
      <c r="L7" s="56" t="n">
        <f aca="false">IF($B7="","",SUMIF(发票统计!$A$4:$A$1003,$B7,发票统计!$O$4:$O$1003))</f>
        <v>115307.26</v>
      </c>
      <c r="M7" s="56" t="n">
        <f aca="false">IF($B7="","",J7-K7-L7)</f>
        <v>6290.84000000001</v>
      </c>
      <c r="N7" s="56" t="n">
        <f aca="false">IF($B7="","",SUMIF(发票统计!$A$4:$A$1003,$B7,发票统计!$Q$4:$Q$1003))</f>
        <v>0</v>
      </c>
      <c r="O7" s="56" t="n">
        <f aca="false">IF($B7="","",SUMIF(发票统计!$A$4:$A$1003,$B7,发票统计!$R$4:$R$1003))</f>
        <v>0</v>
      </c>
      <c r="P7" s="56" t="n">
        <f aca="false">IF($B7="","",SUMIF(发票统计!$A$4:$A$1003,$B7,发票统计!$S$4:$S$1003))</f>
        <v>0</v>
      </c>
      <c r="Q7" s="56" t="n">
        <f aca="false">IF($B7="","",N7-O7-P7)</f>
        <v>0</v>
      </c>
      <c r="R7" s="62" t="str">
        <f aca="true">IF($B7="","",IFERROR(IF(SUMPRODUCT(ABS(INDIRECT("'"&amp;$B7&amp;"'!H3:T3")-$E7:$Q7))&lt;0.01,"✓","⚠ 分表合计对不上"),"⚠ 还没建分表"))</f>
        <v>✓</v>
      </c>
    </row>
    <row r="8" customFormat="false" ht="15" hidden="false" customHeight="false" outlineLevel="0" collapsed="false">
      <c r="A8" s="60" t="n">
        <f aca="false">IF($B8="","",ROWS(A$4:A8))</f>
        <v>5</v>
      </c>
      <c r="B8" s="61" t="str">
        <f aca="false">IFERROR(HYPERLINK("#'"&amp;INDEX(目录!$C$3:$C$102,MATCH(ROWS(B$4:B8),目录!$F$3:$F$102,0))&amp;"'!A1",INDEX(目录!$C$3:$C$102,MATCH(ROWS(B$4:B8),目录!$F$3:$F$102,0))),"")</f>
        <v>合川表计</v>
      </c>
      <c r="C8" s="60" t="n">
        <f aca="false">IF($B8="","",COUNTIF(发票统计!$A$4:$A$1003,$B8))</f>
        <v>42</v>
      </c>
      <c r="D8" s="62" t="str">
        <f aca="false">IF(N($C8)=0,"",INDEX(发票统计!$D$4:$D$1003,MATCH($B8&amp;"#"&amp;$C8,发票统计!$W$4:$W$1003,0))&amp;"")</f>
        <v>2026.9.22胡崇文支付表计工资</v>
      </c>
      <c r="E8" s="56" t="n">
        <f aca="false">IF($B8="","",SUMIF(发票统计!$A$4:$A$1003,$B8,发票统计!$H$4:$H$1003))</f>
        <v>895460</v>
      </c>
      <c r="F8" s="56" t="n">
        <f aca="false">IF($B8="","",SUMIF(发票统计!$A$4:$A$1003,$B8,发票统计!$I$4:$I$1003))</f>
        <v>0</v>
      </c>
      <c r="G8" s="56" t="n">
        <f aca="false">IF($B8="","",SUMIF(发票统计!$A$4:$A$1003,$B8,发票统计!$J$4:$J$1003))</f>
        <v>895460</v>
      </c>
      <c r="H8" s="56" t="n">
        <f aca="false">IF($B8="","",SUMIF(发票统计!$A$4:$A$1003,$B8,发票统计!$K$4:$K$1003))</f>
        <v>795460</v>
      </c>
      <c r="I8" s="56" t="n">
        <f aca="false">IF($B8="","",G8-H8)</f>
        <v>100000</v>
      </c>
      <c r="J8" s="56" t="n">
        <f aca="false">IF($B8="","",SUMIF(发票统计!$A$4:$A$1003,$B8,发票统计!$M$4:$M$1003))</f>
        <v>895460</v>
      </c>
      <c r="K8" s="56" t="n">
        <f aca="false">IF($B8="","",SUMIF(发票统计!$A$4:$A$1003,$B8,发票统计!$N$4:$N$1003))</f>
        <v>0</v>
      </c>
      <c r="L8" s="56" t="n">
        <f aca="false">IF($B8="","",SUMIF(发票统计!$A$4:$A$1003,$B8,发票统计!$O$4:$O$1003))</f>
        <v>350000</v>
      </c>
      <c r="M8" s="56" t="n">
        <f aca="false">IF($B8="","",J8-K8-L8)</f>
        <v>545460</v>
      </c>
      <c r="N8" s="56" t="n">
        <f aca="false">IF($B8="","",SUMIF(发票统计!$A$4:$A$1003,$B8,发票统计!$Q$4:$Q$1003))</f>
        <v>0</v>
      </c>
      <c r="O8" s="56" t="n">
        <f aca="false">IF($B8="","",SUMIF(发票统计!$A$4:$A$1003,$B8,发票统计!$R$4:$R$1003))</f>
        <v>0</v>
      </c>
      <c r="P8" s="56" t="n">
        <f aca="false">IF($B8="","",SUMIF(发票统计!$A$4:$A$1003,$B8,发票统计!$S$4:$S$1003))</f>
        <v>576643</v>
      </c>
      <c r="Q8" s="56" t="n">
        <f aca="false">IF($B8="","",N8-O8-P8)</f>
        <v>-576643</v>
      </c>
      <c r="R8" s="62" t="str">
        <f aca="true">IF($B8="","",IFERROR(IF(SUMPRODUCT(ABS(INDIRECT("'"&amp;$B8&amp;"'!H3:T3")-$E8:$Q8))&lt;0.01,"✓","⚠ 分表合计对不上"),"⚠ 还没建分表"))</f>
        <v>✓</v>
      </c>
    </row>
    <row r="9" customFormat="false" ht="15" hidden="false" customHeight="false" outlineLevel="0" collapsed="false">
      <c r="A9" s="60" t="n">
        <f aca="false">IF($B9="","",ROWS(A$4:A9))</f>
        <v>6</v>
      </c>
      <c r="B9" s="61" t="str">
        <f aca="false">IFERROR(HYPERLINK("#'"&amp;INDEX(目录!$C$3:$C$102,MATCH(ROWS(B$4:B9),目录!$F$3:$F$102,0))&amp;"'!A1",INDEX(目录!$C$3:$C$102,MATCH(ROWS(B$4:B9),目录!$F$3:$F$102,0))),"")</f>
        <v>蒲吕片区A段</v>
      </c>
      <c r="C9" s="60" t="n">
        <f aca="false">IF($B9="","",COUNTIF(发票统计!$A$4:$A$1003,$B9))</f>
        <v>8</v>
      </c>
      <c r="D9" s="62" t="str">
        <f aca="false">IF(N($C9)=0,"",INDEX(发票统计!$D$4:$D$1003,MATCH($B9&amp;"#"&amp;$C9,发票统计!$W$4:$W$1003,0))&amp;"")</f>
        <v>2026.9.4新德润开9%专票到民能：蒲吕片区A段10千伏电力新建</v>
      </c>
      <c r="E9" s="56" t="n">
        <f aca="false">IF($B9="","",SUMIF(发票统计!$A$4:$A$1003,$B9,发票统计!$H$4:$H$1003))</f>
        <v>354295.65</v>
      </c>
      <c r="F9" s="56" t="n">
        <f aca="false">IF($B9="","",SUMIF(发票统计!$A$4:$A$1003,$B9,发票统计!$I$4:$I$1003))</f>
        <v>53144.3475</v>
      </c>
      <c r="G9" s="56" t="n">
        <f aca="false">IF($B9="","",SUMIF(发票统计!$A$4:$A$1003,$B9,发票统计!$J$4:$J$1003))</f>
        <v>301151.3025</v>
      </c>
      <c r="H9" s="56" t="n">
        <f aca="false">IF($B9="","",SUMIF(发票统计!$A$4:$A$1003,$B9,发票统计!$K$4:$K$1003))</f>
        <v>301151.3025</v>
      </c>
      <c r="I9" s="56" t="n">
        <f aca="false">IF($B9="","",G9-H9)</f>
        <v>0</v>
      </c>
      <c r="J9" s="56" t="n">
        <f aca="false">IF($B9="","",SUMIF(发票统计!$A$4:$A$1003,$B9,发票统计!$M$4:$M$1003))</f>
        <v>354295.65</v>
      </c>
      <c r="K9" s="56" t="n">
        <f aca="false">IF($B9="","",SUMIF(发票统计!$A$4:$A$1003,$B9,发票统计!$N$4:$N$1003))</f>
        <v>0</v>
      </c>
      <c r="L9" s="56" t="n">
        <f aca="false">IF($B9="","",SUMIF(发票统计!$A$4:$A$1003,$B9,发票统计!$O$4:$O$1003))</f>
        <v>304700.0175</v>
      </c>
      <c r="M9" s="56" t="n">
        <f aca="false">IF($B9="","",J9-K9-L9)</f>
        <v>49595.6325</v>
      </c>
      <c r="N9" s="56" t="n">
        <f aca="false">IF($B9="","",SUMIF(发票统计!$A$4:$A$1003,$B9,发票统计!$Q$4:$Q$1003))</f>
        <v>0</v>
      </c>
      <c r="O9" s="56" t="n">
        <f aca="false">IF($B9="","",SUMIF(发票统计!$A$4:$A$1003,$B9,发票统计!$R$4:$R$1003))</f>
        <v>0</v>
      </c>
      <c r="P9" s="56" t="n">
        <f aca="false">IF($B9="","",SUMIF(发票统计!$A$4:$A$1003,$B9,发票统计!$S$4:$S$1003))</f>
        <v>0</v>
      </c>
      <c r="Q9" s="56" t="n">
        <f aca="false">IF($B9="","",N9-O9-P9)</f>
        <v>0</v>
      </c>
      <c r="R9" s="62" t="str">
        <f aca="true">IF($B9="","",IFERROR(IF(SUMPRODUCT(ABS(INDIRECT("'"&amp;$B9&amp;"'!H3:T3")-$E9:$Q9))&lt;0.01,"✓","⚠ 分表合计对不上"),"⚠ 还没建分表"))</f>
        <v>✓</v>
      </c>
    </row>
    <row r="10" customFormat="false" ht="15" hidden="false" customHeight="false" outlineLevel="0" collapsed="false">
      <c r="A10" s="60" t="str">
        <f aca="false">IF($B10="","",ROWS(A$4:A10))</f>
        <v/>
      </c>
      <c r="B10" s="61" t="str">
        <f aca="false">IFERROR(HYPERLINK("#'"&amp;INDEX(目录!$C$3:$C$102,MATCH(ROWS(B$4:B10),目录!$F$3:$F$102,0))&amp;"'!A1",INDEX(目录!$C$3:$C$102,MATCH(ROWS(B$4:B10),目录!$F$3:$F$102,0))),"")</f>
        <v/>
      </c>
      <c r="C10" s="60" t="str">
        <f aca="false">IF($B10="","",COUNTIF(发票统计!$A$4:$A$1003,$B10))</f>
        <v/>
      </c>
      <c r="D10" s="62" t="str">
        <f aca="false">IF(N($C10)=0,"",INDEX(发票统计!$D$4:$D$1003,MATCH($B10&amp;"#"&amp;$C10,发票统计!$W$4:$W$1003,0))&amp;"")</f>
        <v/>
      </c>
      <c r="E10" s="56" t="str">
        <f aca="false">IF($B10="","",SUMIF(发票统计!$A$4:$A$1003,$B10,发票统计!$H$4:$H$1003))</f>
        <v/>
      </c>
      <c r="F10" s="56" t="str">
        <f aca="false">IF($B10="","",SUMIF(发票统计!$A$4:$A$1003,$B10,发票统计!$I$4:$I$1003))</f>
        <v/>
      </c>
      <c r="G10" s="56" t="str">
        <f aca="false">IF($B10="","",SUMIF(发票统计!$A$4:$A$1003,$B10,发票统计!$J$4:$J$1003))</f>
        <v/>
      </c>
      <c r="H10" s="56" t="str">
        <f aca="false">IF($B10="","",SUMIF(发票统计!$A$4:$A$1003,$B10,发票统计!$K$4:$K$1003))</f>
        <v/>
      </c>
      <c r="I10" s="56" t="str">
        <f aca="false">IF($B10="","",G10-H10)</f>
        <v/>
      </c>
      <c r="J10" s="56" t="str">
        <f aca="false">IF($B10="","",SUMIF(发票统计!$A$4:$A$1003,$B10,发票统计!$M$4:$M$1003))</f>
        <v/>
      </c>
      <c r="K10" s="56" t="str">
        <f aca="false">IF($B10="","",SUMIF(发票统计!$A$4:$A$1003,$B10,发票统计!$N$4:$N$1003))</f>
        <v/>
      </c>
      <c r="L10" s="56" t="str">
        <f aca="false">IF($B10="","",SUMIF(发票统计!$A$4:$A$1003,$B10,发票统计!$O$4:$O$1003))</f>
        <v/>
      </c>
      <c r="M10" s="56" t="str">
        <f aca="false">IF($B10="","",J10-K10-L10)</f>
        <v/>
      </c>
      <c r="N10" s="56" t="str">
        <f aca="false">IF($B10="","",SUMIF(发票统计!$A$4:$A$1003,$B10,发票统计!$Q$4:$Q$1003))</f>
        <v/>
      </c>
      <c r="O10" s="56" t="str">
        <f aca="false">IF($B10="","",SUMIF(发票统计!$A$4:$A$1003,$B10,发票统计!$R$4:$R$1003))</f>
        <v/>
      </c>
      <c r="P10" s="56" t="str">
        <f aca="false">IF($B10="","",SUMIF(发票统计!$A$4:$A$1003,$B10,发票统计!$S$4:$S$1003))</f>
        <v/>
      </c>
      <c r="Q10" s="56" t="str">
        <f aca="false">IF($B10="","",N10-O10-P10)</f>
        <v/>
      </c>
      <c r="R10" s="62" t="str">
        <f aca="true">IF($B10="","",IFERROR(IF(SUMPRODUCT(ABS(INDIRECT("'"&amp;$B10&amp;"'!H3:T3")-$E10:$Q10))&lt;0.01,"✓","⚠ 分表合计对不上"),"⚠ 还没建分表"))</f>
        <v/>
      </c>
    </row>
    <row r="11" customFormat="false" ht="15" hidden="false" customHeight="false" outlineLevel="0" collapsed="false">
      <c r="A11" s="60" t="str">
        <f aca="false">IF($B11="","",ROWS(A$4:A11))</f>
        <v/>
      </c>
      <c r="B11" s="61" t="str">
        <f aca="false">IFERROR(HYPERLINK("#'"&amp;INDEX(目录!$C$3:$C$102,MATCH(ROWS(B$4:B11),目录!$F$3:$F$102,0))&amp;"'!A1",INDEX(目录!$C$3:$C$102,MATCH(ROWS(B$4:B11),目录!$F$3:$F$102,0))),"")</f>
        <v/>
      </c>
      <c r="C11" s="60" t="str">
        <f aca="false">IF($B11="","",COUNTIF(发票统计!$A$4:$A$1003,$B11))</f>
        <v/>
      </c>
      <c r="D11" s="62" t="str">
        <f aca="false">IF(N($C11)=0,"",INDEX(发票统计!$D$4:$D$1003,MATCH($B11&amp;"#"&amp;$C11,发票统计!$W$4:$W$1003,0))&amp;"")</f>
        <v/>
      </c>
      <c r="E11" s="56" t="str">
        <f aca="false">IF($B11="","",SUMIF(发票统计!$A$4:$A$1003,$B11,发票统计!$H$4:$H$1003))</f>
        <v/>
      </c>
      <c r="F11" s="56" t="str">
        <f aca="false">IF($B11="","",SUMIF(发票统计!$A$4:$A$1003,$B11,发票统计!$I$4:$I$1003))</f>
        <v/>
      </c>
      <c r="G11" s="56" t="str">
        <f aca="false">IF($B11="","",SUMIF(发票统计!$A$4:$A$1003,$B11,发票统计!$J$4:$J$1003))</f>
        <v/>
      </c>
      <c r="H11" s="56" t="str">
        <f aca="false">IF($B11="","",SUMIF(发票统计!$A$4:$A$1003,$B11,发票统计!$K$4:$K$1003))</f>
        <v/>
      </c>
      <c r="I11" s="56" t="str">
        <f aca="false">IF($B11="","",G11-H11)</f>
        <v/>
      </c>
      <c r="J11" s="56" t="str">
        <f aca="false">IF($B11="","",SUMIF(发票统计!$A$4:$A$1003,$B11,发票统计!$M$4:$M$1003))</f>
        <v/>
      </c>
      <c r="K11" s="56" t="str">
        <f aca="false">IF($B11="","",SUMIF(发票统计!$A$4:$A$1003,$B11,发票统计!$N$4:$N$1003))</f>
        <v/>
      </c>
      <c r="L11" s="56" t="str">
        <f aca="false">IF($B11="","",SUMIF(发票统计!$A$4:$A$1003,$B11,发票统计!$O$4:$O$1003))</f>
        <v/>
      </c>
      <c r="M11" s="56" t="str">
        <f aca="false">IF($B11="","",J11-K11-L11)</f>
        <v/>
      </c>
      <c r="N11" s="56" t="str">
        <f aca="false">IF($B11="","",SUMIF(发票统计!$A$4:$A$1003,$B11,发票统计!$Q$4:$Q$1003))</f>
        <v/>
      </c>
      <c r="O11" s="56" t="str">
        <f aca="false">IF($B11="","",SUMIF(发票统计!$A$4:$A$1003,$B11,发票统计!$R$4:$R$1003))</f>
        <v/>
      </c>
      <c r="P11" s="56" t="str">
        <f aca="false">IF($B11="","",SUMIF(发票统计!$A$4:$A$1003,$B11,发票统计!$S$4:$S$1003))</f>
        <v/>
      </c>
      <c r="Q11" s="56" t="str">
        <f aca="false">IF($B11="","",N11-O11-P11)</f>
        <v/>
      </c>
      <c r="R11" s="62" t="str">
        <f aca="true">IF($B11="","",IFERROR(IF(SUMPRODUCT(ABS(INDIRECT("'"&amp;$B11&amp;"'!H3:T3")-$E11:$Q11))&lt;0.01,"✓","⚠ 分表合计对不上"),"⚠ 还没建分表"))</f>
        <v/>
      </c>
    </row>
    <row r="12" customFormat="false" ht="15" hidden="false" customHeight="false" outlineLevel="0" collapsed="false">
      <c r="A12" s="60" t="str">
        <f aca="false">IF($B12="","",ROWS(A$4:A12))</f>
        <v/>
      </c>
      <c r="B12" s="61" t="str">
        <f aca="false">IFERROR(HYPERLINK("#'"&amp;INDEX(目录!$C$3:$C$102,MATCH(ROWS(B$4:B12),目录!$F$3:$F$102,0))&amp;"'!A1",INDEX(目录!$C$3:$C$102,MATCH(ROWS(B$4:B12),目录!$F$3:$F$102,0))),"")</f>
        <v/>
      </c>
      <c r="C12" s="60" t="str">
        <f aca="false">IF($B12="","",COUNTIF(发票统计!$A$4:$A$1003,$B12))</f>
        <v/>
      </c>
      <c r="D12" s="62" t="str">
        <f aca="false">IF(N($C12)=0,"",INDEX(发票统计!$D$4:$D$1003,MATCH($B12&amp;"#"&amp;$C12,发票统计!$W$4:$W$1003,0))&amp;"")</f>
        <v/>
      </c>
      <c r="E12" s="56" t="str">
        <f aca="false">IF($B12="","",SUMIF(发票统计!$A$4:$A$1003,$B12,发票统计!$H$4:$H$1003))</f>
        <v/>
      </c>
      <c r="F12" s="56" t="str">
        <f aca="false">IF($B12="","",SUMIF(发票统计!$A$4:$A$1003,$B12,发票统计!$I$4:$I$1003))</f>
        <v/>
      </c>
      <c r="G12" s="56" t="str">
        <f aca="false">IF($B12="","",SUMIF(发票统计!$A$4:$A$1003,$B12,发票统计!$J$4:$J$1003))</f>
        <v/>
      </c>
      <c r="H12" s="56" t="str">
        <f aca="false">IF($B12="","",SUMIF(发票统计!$A$4:$A$1003,$B12,发票统计!$K$4:$K$1003))</f>
        <v/>
      </c>
      <c r="I12" s="56" t="str">
        <f aca="false">IF($B12="","",G12-H12)</f>
        <v/>
      </c>
      <c r="J12" s="56" t="str">
        <f aca="false">IF($B12="","",SUMIF(发票统计!$A$4:$A$1003,$B12,发票统计!$M$4:$M$1003))</f>
        <v/>
      </c>
      <c r="K12" s="56" t="str">
        <f aca="false">IF($B12="","",SUMIF(发票统计!$A$4:$A$1003,$B12,发票统计!$N$4:$N$1003))</f>
        <v/>
      </c>
      <c r="L12" s="56" t="str">
        <f aca="false">IF($B12="","",SUMIF(发票统计!$A$4:$A$1003,$B12,发票统计!$O$4:$O$1003))</f>
        <v/>
      </c>
      <c r="M12" s="56" t="str">
        <f aca="false">IF($B12="","",J12-K12-L12)</f>
        <v/>
      </c>
      <c r="N12" s="56" t="str">
        <f aca="false">IF($B12="","",SUMIF(发票统计!$A$4:$A$1003,$B12,发票统计!$Q$4:$Q$1003))</f>
        <v/>
      </c>
      <c r="O12" s="56" t="str">
        <f aca="false">IF($B12="","",SUMIF(发票统计!$A$4:$A$1003,$B12,发票统计!$R$4:$R$1003))</f>
        <v/>
      </c>
      <c r="P12" s="56" t="str">
        <f aca="false">IF($B12="","",SUMIF(发票统计!$A$4:$A$1003,$B12,发票统计!$S$4:$S$1003))</f>
        <v/>
      </c>
      <c r="Q12" s="56" t="str">
        <f aca="false">IF($B12="","",N12-O12-P12)</f>
        <v/>
      </c>
      <c r="R12" s="62" t="str">
        <f aca="true">IF($B12="","",IFERROR(IF(SUMPRODUCT(ABS(INDIRECT("'"&amp;$B12&amp;"'!H3:T3")-$E12:$Q12))&lt;0.01,"✓","⚠ 分表合计对不上"),"⚠ 还没建分表"))</f>
        <v/>
      </c>
    </row>
    <row r="13" customFormat="false" ht="15" hidden="false" customHeight="false" outlineLevel="0" collapsed="false">
      <c r="A13" s="60" t="str">
        <f aca="false">IF($B13="","",ROWS(A$4:A13))</f>
        <v/>
      </c>
      <c r="B13" s="61" t="str">
        <f aca="false">IFERROR(HYPERLINK("#'"&amp;INDEX(目录!$C$3:$C$102,MATCH(ROWS(B$4:B13),目录!$F$3:$F$102,0))&amp;"'!A1",INDEX(目录!$C$3:$C$102,MATCH(ROWS(B$4:B13),目录!$F$3:$F$102,0))),"")</f>
        <v/>
      </c>
      <c r="C13" s="60" t="str">
        <f aca="false">IF($B13="","",COUNTIF(发票统计!$A$4:$A$1003,$B13))</f>
        <v/>
      </c>
      <c r="D13" s="62" t="str">
        <f aca="false">IF(N($C13)=0,"",INDEX(发票统计!$D$4:$D$1003,MATCH($B13&amp;"#"&amp;$C13,发票统计!$W$4:$W$1003,0))&amp;"")</f>
        <v/>
      </c>
      <c r="E13" s="56" t="str">
        <f aca="false">IF($B13="","",SUMIF(发票统计!$A$4:$A$1003,$B13,发票统计!$H$4:$H$1003))</f>
        <v/>
      </c>
      <c r="F13" s="56" t="str">
        <f aca="false">IF($B13="","",SUMIF(发票统计!$A$4:$A$1003,$B13,发票统计!$I$4:$I$1003))</f>
        <v/>
      </c>
      <c r="G13" s="56" t="str">
        <f aca="false">IF($B13="","",SUMIF(发票统计!$A$4:$A$1003,$B13,发票统计!$J$4:$J$1003))</f>
        <v/>
      </c>
      <c r="H13" s="56" t="str">
        <f aca="false">IF($B13="","",SUMIF(发票统计!$A$4:$A$1003,$B13,发票统计!$K$4:$K$1003))</f>
        <v/>
      </c>
      <c r="I13" s="56" t="str">
        <f aca="false">IF($B13="","",G13-H13)</f>
        <v/>
      </c>
      <c r="J13" s="56" t="str">
        <f aca="false">IF($B13="","",SUMIF(发票统计!$A$4:$A$1003,$B13,发票统计!$M$4:$M$1003))</f>
        <v/>
      </c>
      <c r="K13" s="56" t="str">
        <f aca="false">IF($B13="","",SUMIF(发票统计!$A$4:$A$1003,$B13,发票统计!$N$4:$N$1003))</f>
        <v/>
      </c>
      <c r="L13" s="56" t="str">
        <f aca="false">IF($B13="","",SUMIF(发票统计!$A$4:$A$1003,$B13,发票统计!$O$4:$O$1003))</f>
        <v/>
      </c>
      <c r="M13" s="56" t="str">
        <f aca="false">IF($B13="","",J13-K13-L13)</f>
        <v/>
      </c>
      <c r="N13" s="56" t="str">
        <f aca="false">IF($B13="","",SUMIF(发票统计!$A$4:$A$1003,$B13,发票统计!$Q$4:$Q$1003))</f>
        <v/>
      </c>
      <c r="O13" s="56" t="str">
        <f aca="false">IF($B13="","",SUMIF(发票统计!$A$4:$A$1003,$B13,发票统计!$R$4:$R$1003))</f>
        <v/>
      </c>
      <c r="P13" s="56" t="str">
        <f aca="false">IF($B13="","",SUMIF(发票统计!$A$4:$A$1003,$B13,发票统计!$S$4:$S$1003))</f>
        <v/>
      </c>
      <c r="Q13" s="56" t="str">
        <f aca="false">IF($B13="","",N13-O13-P13)</f>
        <v/>
      </c>
      <c r="R13" s="62" t="str">
        <f aca="true">IF($B13="","",IFERROR(IF(SUMPRODUCT(ABS(INDIRECT("'"&amp;$B13&amp;"'!H3:T3")-$E13:$Q13))&lt;0.01,"✓","⚠ 分表合计对不上"),"⚠ 还没建分表"))</f>
        <v/>
      </c>
    </row>
    <row r="14" customFormat="false" ht="15" hidden="false" customHeight="false" outlineLevel="0" collapsed="false">
      <c r="A14" s="60" t="str">
        <f aca="false">IF($B14="","",ROWS(A$4:A14))</f>
        <v/>
      </c>
      <c r="B14" s="61" t="str">
        <f aca="false">IFERROR(HYPERLINK("#'"&amp;INDEX(目录!$C$3:$C$102,MATCH(ROWS(B$4:B14),目录!$F$3:$F$102,0))&amp;"'!A1",INDEX(目录!$C$3:$C$102,MATCH(ROWS(B$4:B14),目录!$F$3:$F$102,0))),"")</f>
        <v/>
      </c>
      <c r="C14" s="60" t="str">
        <f aca="false">IF($B14="","",COUNTIF(发票统计!$A$4:$A$1003,$B14))</f>
        <v/>
      </c>
      <c r="D14" s="62" t="str">
        <f aca="false">IF(N($C14)=0,"",INDEX(发票统计!$D$4:$D$1003,MATCH($B14&amp;"#"&amp;$C14,发票统计!$W$4:$W$1003,0))&amp;"")</f>
        <v/>
      </c>
      <c r="E14" s="56" t="str">
        <f aca="false">IF($B14="","",SUMIF(发票统计!$A$4:$A$1003,$B14,发票统计!$H$4:$H$1003))</f>
        <v/>
      </c>
      <c r="F14" s="56" t="str">
        <f aca="false">IF($B14="","",SUMIF(发票统计!$A$4:$A$1003,$B14,发票统计!$I$4:$I$1003))</f>
        <v/>
      </c>
      <c r="G14" s="56" t="str">
        <f aca="false">IF($B14="","",SUMIF(发票统计!$A$4:$A$1003,$B14,发票统计!$J$4:$J$1003))</f>
        <v/>
      </c>
      <c r="H14" s="56" t="str">
        <f aca="false">IF($B14="","",SUMIF(发票统计!$A$4:$A$1003,$B14,发票统计!$K$4:$K$1003))</f>
        <v/>
      </c>
      <c r="I14" s="56" t="str">
        <f aca="false">IF($B14="","",G14-H14)</f>
        <v/>
      </c>
      <c r="J14" s="56" t="str">
        <f aca="false">IF($B14="","",SUMIF(发票统计!$A$4:$A$1003,$B14,发票统计!$M$4:$M$1003))</f>
        <v/>
      </c>
      <c r="K14" s="56" t="str">
        <f aca="false">IF($B14="","",SUMIF(发票统计!$A$4:$A$1003,$B14,发票统计!$N$4:$N$1003))</f>
        <v/>
      </c>
      <c r="L14" s="56" t="str">
        <f aca="false">IF($B14="","",SUMIF(发票统计!$A$4:$A$1003,$B14,发票统计!$O$4:$O$1003))</f>
        <v/>
      </c>
      <c r="M14" s="56" t="str">
        <f aca="false">IF($B14="","",J14-K14-L14)</f>
        <v/>
      </c>
      <c r="N14" s="56" t="str">
        <f aca="false">IF($B14="","",SUMIF(发票统计!$A$4:$A$1003,$B14,发票统计!$Q$4:$Q$1003))</f>
        <v/>
      </c>
      <c r="O14" s="56" t="str">
        <f aca="false">IF($B14="","",SUMIF(发票统计!$A$4:$A$1003,$B14,发票统计!$R$4:$R$1003))</f>
        <v/>
      </c>
      <c r="P14" s="56" t="str">
        <f aca="false">IF($B14="","",SUMIF(发票统计!$A$4:$A$1003,$B14,发票统计!$S$4:$S$1003))</f>
        <v/>
      </c>
      <c r="Q14" s="56" t="str">
        <f aca="false">IF($B14="","",N14-O14-P14)</f>
        <v/>
      </c>
      <c r="R14" s="62" t="str">
        <f aca="true">IF($B14="","",IFERROR(IF(SUMPRODUCT(ABS(INDIRECT("'"&amp;$B14&amp;"'!H3:T3")-$E14:$Q14))&lt;0.01,"✓","⚠ 分表合计对不上"),"⚠ 还没建分表"))</f>
        <v/>
      </c>
    </row>
    <row r="15" customFormat="false" ht="15" hidden="false" customHeight="false" outlineLevel="0" collapsed="false">
      <c r="A15" s="60" t="str">
        <f aca="false">IF($B15="","",ROWS(A$4:A15))</f>
        <v/>
      </c>
      <c r="B15" s="61" t="str">
        <f aca="false">IFERROR(HYPERLINK("#'"&amp;INDEX(目录!$C$3:$C$102,MATCH(ROWS(B$4:B15),目录!$F$3:$F$102,0))&amp;"'!A1",INDEX(目录!$C$3:$C$102,MATCH(ROWS(B$4:B15),目录!$F$3:$F$102,0))),"")</f>
        <v/>
      </c>
      <c r="C15" s="60" t="str">
        <f aca="false">IF($B15="","",COUNTIF(发票统计!$A$4:$A$1003,$B15))</f>
        <v/>
      </c>
      <c r="D15" s="62" t="str">
        <f aca="false">IF(N($C15)=0,"",INDEX(发票统计!$D$4:$D$1003,MATCH($B15&amp;"#"&amp;$C15,发票统计!$W$4:$W$1003,0))&amp;"")</f>
        <v/>
      </c>
      <c r="E15" s="56" t="str">
        <f aca="false">IF($B15="","",SUMIF(发票统计!$A$4:$A$1003,$B15,发票统计!$H$4:$H$1003))</f>
        <v/>
      </c>
      <c r="F15" s="56" t="str">
        <f aca="false">IF($B15="","",SUMIF(发票统计!$A$4:$A$1003,$B15,发票统计!$I$4:$I$1003))</f>
        <v/>
      </c>
      <c r="G15" s="56" t="str">
        <f aca="false">IF($B15="","",SUMIF(发票统计!$A$4:$A$1003,$B15,发票统计!$J$4:$J$1003))</f>
        <v/>
      </c>
      <c r="H15" s="56" t="str">
        <f aca="false">IF($B15="","",SUMIF(发票统计!$A$4:$A$1003,$B15,发票统计!$K$4:$K$1003))</f>
        <v/>
      </c>
      <c r="I15" s="56" t="str">
        <f aca="false">IF($B15="","",G15-H15)</f>
        <v/>
      </c>
      <c r="J15" s="56" t="str">
        <f aca="false">IF($B15="","",SUMIF(发票统计!$A$4:$A$1003,$B15,发票统计!$M$4:$M$1003))</f>
        <v/>
      </c>
      <c r="K15" s="56" t="str">
        <f aca="false">IF($B15="","",SUMIF(发票统计!$A$4:$A$1003,$B15,发票统计!$N$4:$N$1003))</f>
        <v/>
      </c>
      <c r="L15" s="56" t="str">
        <f aca="false">IF($B15="","",SUMIF(发票统计!$A$4:$A$1003,$B15,发票统计!$O$4:$O$1003))</f>
        <v/>
      </c>
      <c r="M15" s="56" t="str">
        <f aca="false">IF($B15="","",J15-K15-L15)</f>
        <v/>
      </c>
      <c r="N15" s="56" t="str">
        <f aca="false">IF($B15="","",SUMIF(发票统计!$A$4:$A$1003,$B15,发票统计!$Q$4:$Q$1003))</f>
        <v/>
      </c>
      <c r="O15" s="56" t="str">
        <f aca="false">IF($B15="","",SUMIF(发票统计!$A$4:$A$1003,$B15,发票统计!$R$4:$R$1003))</f>
        <v/>
      </c>
      <c r="P15" s="56" t="str">
        <f aca="false">IF($B15="","",SUMIF(发票统计!$A$4:$A$1003,$B15,发票统计!$S$4:$S$1003))</f>
        <v/>
      </c>
      <c r="Q15" s="56" t="str">
        <f aca="false">IF($B15="","",N15-O15-P15)</f>
        <v/>
      </c>
      <c r="R15" s="62" t="str">
        <f aca="true">IF($B15="","",IFERROR(IF(SUMPRODUCT(ABS(INDIRECT("'"&amp;$B15&amp;"'!H3:T3")-$E15:$Q15))&lt;0.01,"✓","⚠ 分表合计对不上"),"⚠ 还没建分表"))</f>
        <v/>
      </c>
    </row>
    <row r="16" customFormat="false" ht="15" hidden="false" customHeight="false" outlineLevel="0" collapsed="false">
      <c r="A16" s="60" t="str">
        <f aca="false">IF($B16="","",ROWS(A$4:A16))</f>
        <v/>
      </c>
      <c r="B16" s="61" t="str">
        <f aca="false">IFERROR(HYPERLINK("#'"&amp;INDEX(目录!$C$3:$C$102,MATCH(ROWS(B$4:B16),目录!$F$3:$F$102,0))&amp;"'!A1",INDEX(目录!$C$3:$C$102,MATCH(ROWS(B$4:B16),目录!$F$3:$F$102,0))),"")</f>
        <v/>
      </c>
      <c r="C16" s="60" t="str">
        <f aca="false">IF($B16="","",COUNTIF(发票统计!$A$4:$A$1003,$B16))</f>
        <v/>
      </c>
      <c r="D16" s="62" t="str">
        <f aca="false">IF(N($C16)=0,"",INDEX(发票统计!$D$4:$D$1003,MATCH($B16&amp;"#"&amp;$C16,发票统计!$W$4:$W$1003,0))&amp;"")</f>
        <v/>
      </c>
      <c r="E16" s="56" t="str">
        <f aca="false">IF($B16="","",SUMIF(发票统计!$A$4:$A$1003,$B16,发票统计!$H$4:$H$1003))</f>
        <v/>
      </c>
      <c r="F16" s="56" t="str">
        <f aca="false">IF($B16="","",SUMIF(发票统计!$A$4:$A$1003,$B16,发票统计!$I$4:$I$1003))</f>
        <v/>
      </c>
      <c r="G16" s="56" t="str">
        <f aca="false">IF($B16="","",SUMIF(发票统计!$A$4:$A$1003,$B16,发票统计!$J$4:$J$1003))</f>
        <v/>
      </c>
      <c r="H16" s="56" t="str">
        <f aca="false">IF($B16="","",SUMIF(发票统计!$A$4:$A$1003,$B16,发票统计!$K$4:$K$1003))</f>
        <v/>
      </c>
      <c r="I16" s="56" t="str">
        <f aca="false">IF($B16="","",G16-H16)</f>
        <v/>
      </c>
      <c r="J16" s="56" t="str">
        <f aca="false">IF($B16="","",SUMIF(发票统计!$A$4:$A$1003,$B16,发票统计!$M$4:$M$1003))</f>
        <v/>
      </c>
      <c r="K16" s="56" t="str">
        <f aca="false">IF($B16="","",SUMIF(发票统计!$A$4:$A$1003,$B16,发票统计!$N$4:$N$1003))</f>
        <v/>
      </c>
      <c r="L16" s="56" t="str">
        <f aca="false">IF($B16="","",SUMIF(发票统计!$A$4:$A$1003,$B16,发票统计!$O$4:$O$1003))</f>
        <v/>
      </c>
      <c r="M16" s="56" t="str">
        <f aca="false">IF($B16="","",J16-K16-L16)</f>
        <v/>
      </c>
      <c r="N16" s="56" t="str">
        <f aca="false">IF($B16="","",SUMIF(发票统计!$A$4:$A$1003,$B16,发票统计!$Q$4:$Q$1003))</f>
        <v/>
      </c>
      <c r="O16" s="56" t="str">
        <f aca="false">IF($B16="","",SUMIF(发票统计!$A$4:$A$1003,$B16,发票统计!$R$4:$R$1003))</f>
        <v/>
      </c>
      <c r="P16" s="56" t="str">
        <f aca="false">IF($B16="","",SUMIF(发票统计!$A$4:$A$1003,$B16,发票统计!$S$4:$S$1003))</f>
        <v/>
      </c>
      <c r="Q16" s="56" t="str">
        <f aca="false">IF($B16="","",N16-O16-P16)</f>
        <v/>
      </c>
      <c r="R16" s="62" t="str">
        <f aca="true">IF($B16="","",IFERROR(IF(SUMPRODUCT(ABS(INDIRECT("'"&amp;$B16&amp;"'!H3:T3")-$E16:$Q16))&lt;0.01,"✓","⚠ 分表合计对不上"),"⚠ 还没建分表"))</f>
        <v/>
      </c>
    </row>
    <row r="17" customFormat="false" ht="15" hidden="false" customHeight="false" outlineLevel="0" collapsed="false">
      <c r="A17" s="60" t="str">
        <f aca="false">IF($B17="","",ROWS(A$4:A17))</f>
        <v/>
      </c>
      <c r="B17" s="61" t="str">
        <f aca="false">IFERROR(HYPERLINK("#'"&amp;INDEX(目录!$C$3:$C$102,MATCH(ROWS(B$4:B17),目录!$F$3:$F$102,0))&amp;"'!A1",INDEX(目录!$C$3:$C$102,MATCH(ROWS(B$4:B17),目录!$F$3:$F$102,0))),"")</f>
        <v/>
      </c>
      <c r="C17" s="60" t="str">
        <f aca="false">IF($B17="","",COUNTIF(发票统计!$A$4:$A$1003,$B17))</f>
        <v/>
      </c>
      <c r="D17" s="62" t="str">
        <f aca="false">IF(N($C17)=0,"",INDEX(发票统计!$D$4:$D$1003,MATCH($B17&amp;"#"&amp;$C17,发票统计!$W$4:$W$1003,0))&amp;"")</f>
        <v/>
      </c>
      <c r="E17" s="56" t="str">
        <f aca="false">IF($B17="","",SUMIF(发票统计!$A$4:$A$1003,$B17,发票统计!$H$4:$H$1003))</f>
        <v/>
      </c>
      <c r="F17" s="56" t="str">
        <f aca="false">IF($B17="","",SUMIF(发票统计!$A$4:$A$1003,$B17,发票统计!$I$4:$I$1003))</f>
        <v/>
      </c>
      <c r="G17" s="56" t="str">
        <f aca="false">IF($B17="","",SUMIF(发票统计!$A$4:$A$1003,$B17,发票统计!$J$4:$J$1003))</f>
        <v/>
      </c>
      <c r="H17" s="56" t="str">
        <f aca="false">IF($B17="","",SUMIF(发票统计!$A$4:$A$1003,$B17,发票统计!$K$4:$K$1003))</f>
        <v/>
      </c>
      <c r="I17" s="56" t="str">
        <f aca="false">IF($B17="","",G17-H17)</f>
        <v/>
      </c>
      <c r="J17" s="56" t="str">
        <f aca="false">IF($B17="","",SUMIF(发票统计!$A$4:$A$1003,$B17,发票统计!$M$4:$M$1003))</f>
        <v/>
      </c>
      <c r="K17" s="56" t="str">
        <f aca="false">IF($B17="","",SUMIF(发票统计!$A$4:$A$1003,$B17,发票统计!$N$4:$N$1003))</f>
        <v/>
      </c>
      <c r="L17" s="56" t="str">
        <f aca="false">IF($B17="","",SUMIF(发票统计!$A$4:$A$1003,$B17,发票统计!$O$4:$O$1003))</f>
        <v/>
      </c>
      <c r="M17" s="56" t="str">
        <f aca="false">IF($B17="","",J17-K17-L17)</f>
        <v/>
      </c>
      <c r="N17" s="56" t="str">
        <f aca="false">IF($B17="","",SUMIF(发票统计!$A$4:$A$1003,$B17,发票统计!$Q$4:$Q$1003))</f>
        <v/>
      </c>
      <c r="O17" s="56" t="str">
        <f aca="false">IF($B17="","",SUMIF(发票统计!$A$4:$A$1003,$B17,发票统计!$R$4:$R$1003))</f>
        <v/>
      </c>
      <c r="P17" s="56" t="str">
        <f aca="false">IF($B17="","",SUMIF(发票统计!$A$4:$A$1003,$B17,发票统计!$S$4:$S$1003))</f>
        <v/>
      </c>
      <c r="Q17" s="56" t="str">
        <f aca="false">IF($B17="","",N17-O17-P17)</f>
        <v/>
      </c>
      <c r="R17" s="62" t="str">
        <f aca="true">IF($B17="","",IFERROR(IF(SUMPRODUCT(ABS(INDIRECT("'"&amp;$B17&amp;"'!H3:T3")-$E17:$Q17))&lt;0.01,"✓","⚠ 分表合计对不上"),"⚠ 还没建分表"))</f>
        <v/>
      </c>
    </row>
    <row r="18" customFormat="false" ht="15" hidden="false" customHeight="false" outlineLevel="0" collapsed="false">
      <c r="A18" s="60" t="str">
        <f aca="false">IF($B18="","",ROWS(A$4:A18))</f>
        <v/>
      </c>
      <c r="B18" s="61" t="str">
        <f aca="false">IFERROR(HYPERLINK("#'"&amp;INDEX(目录!$C$3:$C$102,MATCH(ROWS(B$4:B18),目录!$F$3:$F$102,0))&amp;"'!A1",INDEX(目录!$C$3:$C$102,MATCH(ROWS(B$4:B18),目录!$F$3:$F$102,0))),"")</f>
        <v/>
      </c>
      <c r="C18" s="60" t="str">
        <f aca="false">IF($B18="","",COUNTIF(发票统计!$A$4:$A$1003,$B18))</f>
        <v/>
      </c>
      <c r="D18" s="62" t="str">
        <f aca="false">IF(N($C18)=0,"",INDEX(发票统计!$D$4:$D$1003,MATCH($B18&amp;"#"&amp;$C18,发票统计!$W$4:$W$1003,0))&amp;"")</f>
        <v/>
      </c>
      <c r="E18" s="56" t="str">
        <f aca="false">IF($B18="","",SUMIF(发票统计!$A$4:$A$1003,$B18,发票统计!$H$4:$H$1003))</f>
        <v/>
      </c>
      <c r="F18" s="56" t="str">
        <f aca="false">IF($B18="","",SUMIF(发票统计!$A$4:$A$1003,$B18,发票统计!$I$4:$I$1003))</f>
        <v/>
      </c>
      <c r="G18" s="56" t="str">
        <f aca="false">IF($B18="","",SUMIF(发票统计!$A$4:$A$1003,$B18,发票统计!$J$4:$J$1003))</f>
        <v/>
      </c>
      <c r="H18" s="56" t="str">
        <f aca="false">IF($B18="","",SUMIF(发票统计!$A$4:$A$1003,$B18,发票统计!$K$4:$K$1003))</f>
        <v/>
      </c>
      <c r="I18" s="56" t="str">
        <f aca="false">IF($B18="","",G18-H18)</f>
        <v/>
      </c>
      <c r="J18" s="56" t="str">
        <f aca="false">IF($B18="","",SUMIF(发票统计!$A$4:$A$1003,$B18,发票统计!$M$4:$M$1003))</f>
        <v/>
      </c>
      <c r="K18" s="56" t="str">
        <f aca="false">IF($B18="","",SUMIF(发票统计!$A$4:$A$1003,$B18,发票统计!$N$4:$N$1003))</f>
        <v/>
      </c>
      <c r="L18" s="56" t="str">
        <f aca="false">IF($B18="","",SUMIF(发票统计!$A$4:$A$1003,$B18,发票统计!$O$4:$O$1003))</f>
        <v/>
      </c>
      <c r="M18" s="56" t="str">
        <f aca="false">IF($B18="","",J18-K18-L18)</f>
        <v/>
      </c>
      <c r="N18" s="56" t="str">
        <f aca="false">IF($B18="","",SUMIF(发票统计!$A$4:$A$1003,$B18,发票统计!$Q$4:$Q$1003))</f>
        <v/>
      </c>
      <c r="O18" s="56" t="str">
        <f aca="false">IF($B18="","",SUMIF(发票统计!$A$4:$A$1003,$B18,发票统计!$R$4:$R$1003))</f>
        <v/>
      </c>
      <c r="P18" s="56" t="str">
        <f aca="false">IF($B18="","",SUMIF(发票统计!$A$4:$A$1003,$B18,发票统计!$S$4:$S$1003))</f>
        <v/>
      </c>
      <c r="Q18" s="56" t="str">
        <f aca="false">IF($B18="","",N18-O18-P18)</f>
        <v/>
      </c>
      <c r="R18" s="62" t="str">
        <f aca="true">IF($B18="","",IFERROR(IF(SUMPRODUCT(ABS(INDIRECT("'"&amp;$B18&amp;"'!H3:T3")-$E18:$Q18))&lt;0.01,"✓","⚠ 分表合计对不上"),"⚠ 还没建分表"))</f>
        <v/>
      </c>
    </row>
    <row r="19" customFormat="false" ht="15" hidden="false" customHeight="false" outlineLevel="0" collapsed="false">
      <c r="A19" s="60" t="str">
        <f aca="false">IF($B19="","",ROWS(A$4:A19))</f>
        <v/>
      </c>
      <c r="B19" s="61" t="str">
        <f aca="false">IFERROR(HYPERLINK("#'"&amp;INDEX(目录!$C$3:$C$102,MATCH(ROWS(B$4:B19),目录!$F$3:$F$102,0))&amp;"'!A1",INDEX(目录!$C$3:$C$102,MATCH(ROWS(B$4:B19),目录!$F$3:$F$102,0))),"")</f>
        <v/>
      </c>
      <c r="C19" s="60" t="str">
        <f aca="false">IF($B19="","",COUNTIF(发票统计!$A$4:$A$1003,$B19))</f>
        <v/>
      </c>
      <c r="D19" s="62" t="str">
        <f aca="false">IF(N($C19)=0,"",INDEX(发票统计!$D$4:$D$1003,MATCH($B19&amp;"#"&amp;$C19,发票统计!$W$4:$W$1003,0))&amp;"")</f>
        <v/>
      </c>
      <c r="E19" s="56" t="str">
        <f aca="false">IF($B19="","",SUMIF(发票统计!$A$4:$A$1003,$B19,发票统计!$H$4:$H$1003))</f>
        <v/>
      </c>
      <c r="F19" s="56" t="str">
        <f aca="false">IF($B19="","",SUMIF(发票统计!$A$4:$A$1003,$B19,发票统计!$I$4:$I$1003))</f>
        <v/>
      </c>
      <c r="G19" s="56" t="str">
        <f aca="false">IF($B19="","",SUMIF(发票统计!$A$4:$A$1003,$B19,发票统计!$J$4:$J$1003))</f>
        <v/>
      </c>
      <c r="H19" s="56" t="str">
        <f aca="false">IF($B19="","",SUMIF(发票统计!$A$4:$A$1003,$B19,发票统计!$K$4:$K$1003))</f>
        <v/>
      </c>
      <c r="I19" s="56" t="str">
        <f aca="false">IF($B19="","",G19-H19)</f>
        <v/>
      </c>
      <c r="J19" s="56" t="str">
        <f aca="false">IF($B19="","",SUMIF(发票统计!$A$4:$A$1003,$B19,发票统计!$M$4:$M$1003))</f>
        <v/>
      </c>
      <c r="K19" s="56" t="str">
        <f aca="false">IF($B19="","",SUMIF(发票统计!$A$4:$A$1003,$B19,发票统计!$N$4:$N$1003))</f>
        <v/>
      </c>
      <c r="L19" s="56" t="str">
        <f aca="false">IF($B19="","",SUMIF(发票统计!$A$4:$A$1003,$B19,发票统计!$O$4:$O$1003))</f>
        <v/>
      </c>
      <c r="M19" s="56" t="str">
        <f aca="false">IF($B19="","",J19-K19-L19)</f>
        <v/>
      </c>
      <c r="N19" s="56" t="str">
        <f aca="false">IF($B19="","",SUMIF(发票统计!$A$4:$A$1003,$B19,发票统计!$Q$4:$Q$1003))</f>
        <v/>
      </c>
      <c r="O19" s="56" t="str">
        <f aca="false">IF($B19="","",SUMIF(发票统计!$A$4:$A$1003,$B19,发票统计!$R$4:$R$1003))</f>
        <v/>
      </c>
      <c r="P19" s="56" t="str">
        <f aca="false">IF($B19="","",SUMIF(发票统计!$A$4:$A$1003,$B19,发票统计!$S$4:$S$1003))</f>
        <v/>
      </c>
      <c r="Q19" s="56" t="str">
        <f aca="false">IF($B19="","",N19-O19-P19)</f>
        <v/>
      </c>
      <c r="R19" s="62" t="str">
        <f aca="true">IF($B19="","",IFERROR(IF(SUMPRODUCT(ABS(INDIRECT("'"&amp;$B19&amp;"'!H3:T3")-$E19:$Q19))&lt;0.01,"✓","⚠ 分表合计对不上"),"⚠ 还没建分表"))</f>
        <v/>
      </c>
    </row>
    <row r="20" customFormat="false" ht="15" hidden="false" customHeight="false" outlineLevel="0" collapsed="false">
      <c r="A20" s="60" t="str">
        <f aca="false">IF($B20="","",ROWS(A$4:A20))</f>
        <v/>
      </c>
      <c r="B20" s="61" t="str">
        <f aca="false">IFERROR(HYPERLINK("#'"&amp;INDEX(目录!$C$3:$C$102,MATCH(ROWS(B$4:B20),目录!$F$3:$F$102,0))&amp;"'!A1",INDEX(目录!$C$3:$C$102,MATCH(ROWS(B$4:B20),目录!$F$3:$F$102,0))),"")</f>
        <v/>
      </c>
      <c r="C20" s="60" t="str">
        <f aca="false">IF($B20="","",COUNTIF(发票统计!$A$4:$A$1003,$B20))</f>
        <v/>
      </c>
      <c r="D20" s="62" t="str">
        <f aca="false">IF(N($C20)=0,"",INDEX(发票统计!$D$4:$D$1003,MATCH($B20&amp;"#"&amp;$C20,发票统计!$W$4:$W$1003,0))&amp;"")</f>
        <v/>
      </c>
      <c r="E20" s="56" t="str">
        <f aca="false">IF($B20="","",SUMIF(发票统计!$A$4:$A$1003,$B20,发票统计!$H$4:$H$1003))</f>
        <v/>
      </c>
      <c r="F20" s="56" t="str">
        <f aca="false">IF($B20="","",SUMIF(发票统计!$A$4:$A$1003,$B20,发票统计!$I$4:$I$1003))</f>
        <v/>
      </c>
      <c r="G20" s="56" t="str">
        <f aca="false">IF($B20="","",SUMIF(发票统计!$A$4:$A$1003,$B20,发票统计!$J$4:$J$1003))</f>
        <v/>
      </c>
      <c r="H20" s="56" t="str">
        <f aca="false">IF($B20="","",SUMIF(发票统计!$A$4:$A$1003,$B20,发票统计!$K$4:$K$1003))</f>
        <v/>
      </c>
      <c r="I20" s="56" t="str">
        <f aca="false">IF($B20="","",G20-H20)</f>
        <v/>
      </c>
      <c r="J20" s="56" t="str">
        <f aca="false">IF($B20="","",SUMIF(发票统计!$A$4:$A$1003,$B20,发票统计!$M$4:$M$1003))</f>
        <v/>
      </c>
      <c r="K20" s="56" t="str">
        <f aca="false">IF($B20="","",SUMIF(发票统计!$A$4:$A$1003,$B20,发票统计!$N$4:$N$1003))</f>
        <v/>
      </c>
      <c r="L20" s="56" t="str">
        <f aca="false">IF($B20="","",SUMIF(发票统计!$A$4:$A$1003,$B20,发票统计!$O$4:$O$1003))</f>
        <v/>
      </c>
      <c r="M20" s="56" t="str">
        <f aca="false">IF($B20="","",J20-K20-L20)</f>
        <v/>
      </c>
      <c r="N20" s="56" t="str">
        <f aca="false">IF($B20="","",SUMIF(发票统计!$A$4:$A$1003,$B20,发票统计!$Q$4:$Q$1003))</f>
        <v/>
      </c>
      <c r="O20" s="56" t="str">
        <f aca="false">IF($B20="","",SUMIF(发票统计!$A$4:$A$1003,$B20,发票统计!$R$4:$R$1003))</f>
        <v/>
      </c>
      <c r="P20" s="56" t="str">
        <f aca="false">IF($B20="","",SUMIF(发票统计!$A$4:$A$1003,$B20,发票统计!$S$4:$S$1003))</f>
        <v/>
      </c>
      <c r="Q20" s="56" t="str">
        <f aca="false">IF($B20="","",N20-O20-P20)</f>
        <v/>
      </c>
      <c r="R20" s="62" t="str">
        <f aca="true">IF($B20="","",IFERROR(IF(SUMPRODUCT(ABS(INDIRECT("'"&amp;$B20&amp;"'!H3:T3")-$E20:$Q20))&lt;0.01,"✓","⚠ 分表合计对不上"),"⚠ 还没建分表"))</f>
        <v/>
      </c>
    </row>
    <row r="21" customFormat="false" ht="15" hidden="false" customHeight="false" outlineLevel="0" collapsed="false">
      <c r="A21" s="60" t="str">
        <f aca="false">IF($B21="","",ROWS(A$4:A21))</f>
        <v/>
      </c>
      <c r="B21" s="61" t="str">
        <f aca="false">IFERROR(HYPERLINK("#'"&amp;INDEX(目录!$C$3:$C$102,MATCH(ROWS(B$4:B21),目录!$F$3:$F$102,0))&amp;"'!A1",INDEX(目录!$C$3:$C$102,MATCH(ROWS(B$4:B21),目录!$F$3:$F$102,0))),"")</f>
        <v/>
      </c>
      <c r="C21" s="60" t="str">
        <f aca="false">IF($B21="","",COUNTIF(发票统计!$A$4:$A$1003,$B21))</f>
        <v/>
      </c>
      <c r="D21" s="62" t="str">
        <f aca="false">IF(N($C21)=0,"",INDEX(发票统计!$D$4:$D$1003,MATCH($B21&amp;"#"&amp;$C21,发票统计!$W$4:$W$1003,0))&amp;"")</f>
        <v/>
      </c>
      <c r="E21" s="56" t="str">
        <f aca="false">IF($B21="","",SUMIF(发票统计!$A$4:$A$1003,$B21,发票统计!$H$4:$H$1003))</f>
        <v/>
      </c>
      <c r="F21" s="56" t="str">
        <f aca="false">IF($B21="","",SUMIF(发票统计!$A$4:$A$1003,$B21,发票统计!$I$4:$I$1003))</f>
        <v/>
      </c>
      <c r="G21" s="56" t="str">
        <f aca="false">IF($B21="","",SUMIF(发票统计!$A$4:$A$1003,$B21,发票统计!$J$4:$J$1003))</f>
        <v/>
      </c>
      <c r="H21" s="56" t="str">
        <f aca="false">IF($B21="","",SUMIF(发票统计!$A$4:$A$1003,$B21,发票统计!$K$4:$K$1003))</f>
        <v/>
      </c>
      <c r="I21" s="56" t="str">
        <f aca="false">IF($B21="","",G21-H21)</f>
        <v/>
      </c>
      <c r="J21" s="56" t="str">
        <f aca="false">IF($B21="","",SUMIF(发票统计!$A$4:$A$1003,$B21,发票统计!$M$4:$M$1003))</f>
        <v/>
      </c>
      <c r="K21" s="56" t="str">
        <f aca="false">IF($B21="","",SUMIF(发票统计!$A$4:$A$1003,$B21,发票统计!$N$4:$N$1003))</f>
        <v/>
      </c>
      <c r="L21" s="56" t="str">
        <f aca="false">IF($B21="","",SUMIF(发票统计!$A$4:$A$1003,$B21,发票统计!$O$4:$O$1003))</f>
        <v/>
      </c>
      <c r="M21" s="56" t="str">
        <f aca="false">IF($B21="","",J21-K21-L21)</f>
        <v/>
      </c>
      <c r="N21" s="56" t="str">
        <f aca="false">IF($B21="","",SUMIF(发票统计!$A$4:$A$1003,$B21,发票统计!$Q$4:$Q$1003))</f>
        <v/>
      </c>
      <c r="O21" s="56" t="str">
        <f aca="false">IF($B21="","",SUMIF(发票统计!$A$4:$A$1003,$B21,发票统计!$R$4:$R$1003))</f>
        <v/>
      </c>
      <c r="P21" s="56" t="str">
        <f aca="false">IF($B21="","",SUMIF(发票统计!$A$4:$A$1003,$B21,发票统计!$S$4:$S$1003))</f>
        <v/>
      </c>
      <c r="Q21" s="56" t="str">
        <f aca="false">IF($B21="","",N21-O21-P21)</f>
        <v/>
      </c>
      <c r="R21" s="62" t="str">
        <f aca="true">IF($B21="","",IFERROR(IF(SUMPRODUCT(ABS(INDIRECT("'"&amp;$B21&amp;"'!H3:T3")-$E21:$Q21))&lt;0.01,"✓","⚠ 分表合计对不上"),"⚠ 还没建分表"))</f>
        <v/>
      </c>
    </row>
    <row r="22" customFormat="false" ht="15" hidden="false" customHeight="false" outlineLevel="0" collapsed="false">
      <c r="A22" s="60" t="str">
        <f aca="false">IF($B22="","",ROWS(A$4:A22))</f>
        <v/>
      </c>
      <c r="B22" s="61" t="str">
        <f aca="false">IFERROR(HYPERLINK("#'"&amp;INDEX(目录!$C$3:$C$102,MATCH(ROWS(B$4:B22),目录!$F$3:$F$102,0))&amp;"'!A1",INDEX(目录!$C$3:$C$102,MATCH(ROWS(B$4:B22),目录!$F$3:$F$102,0))),"")</f>
        <v/>
      </c>
      <c r="C22" s="60" t="str">
        <f aca="false">IF($B22="","",COUNTIF(发票统计!$A$4:$A$1003,$B22))</f>
        <v/>
      </c>
      <c r="D22" s="62" t="str">
        <f aca="false">IF(N($C22)=0,"",INDEX(发票统计!$D$4:$D$1003,MATCH($B22&amp;"#"&amp;$C22,发票统计!$W$4:$W$1003,0))&amp;"")</f>
        <v/>
      </c>
      <c r="E22" s="56" t="str">
        <f aca="false">IF($B22="","",SUMIF(发票统计!$A$4:$A$1003,$B22,发票统计!$H$4:$H$1003))</f>
        <v/>
      </c>
      <c r="F22" s="56" t="str">
        <f aca="false">IF($B22="","",SUMIF(发票统计!$A$4:$A$1003,$B22,发票统计!$I$4:$I$1003))</f>
        <v/>
      </c>
      <c r="G22" s="56" t="str">
        <f aca="false">IF($B22="","",SUMIF(发票统计!$A$4:$A$1003,$B22,发票统计!$J$4:$J$1003))</f>
        <v/>
      </c>
      <c r="H22" s="56" t="str">
        <f aca="false">IF($B22="","",SUMIF(发票统计!$A$4:$A$1003,$B22,发票统计!$K$4:$K$1003))</f>
        <v/>
      </c>
      <c r="I22" s="56" t="str">
        <f aca="false">IF($B22="","",G22-H22)</f>
        <v/>
      </c>
      <c r="J22" s="56" t="str">
        <f aca="false">IF($B22="","",SUMIF(发票统计!$A$4:$A$1003,$B22,发票统计!$M$4:$M$1003))</f>
        <v/>
      </c>
      <c r="K22" s="56" t="str">
        <f aca="false">IF($B22="","",SUMIF(发票统计!$A$4:$A$1003,$B22,发票统计!$N$4:$N$1003))</f>
        <v/>
      </c>
      <c r="L22" s="56" t="str">
        <f aca="false">IF($B22="","",SUMIF(发票统计!$A$4:$A$1003,$B22,发票统计!$O$4:$O$1003))</f>
        <v/>
      </c>
      <c r="M22" s="56" t="str">
        <f aca="false">IF($B22="","",J22-K22-L22)</f>
        <v/>
      </c>
      <c r="N22" s="56" t="str">
        <f aca="false">IF($B22="","",SUMIF(发票统计!$A$4:$A$1003,$B22,发票统计!$Q$4:$Q$1003))</f>
        <v/>
      </c>
      <c r="O22" s="56" t="str">
        <f aca="false">IF($B22="","",SUMIF(发票统计!$A$4:$A$1003,$B22,发票统计!$R$4:$R$1003))</f>
        <v/>
      </c>
      <c r="P22" s="56" t="str">
        <f aca="false">IF($B22="","",SUMIF(发票统计!$A$4:$A$1003,$B22,发票统计!$S$4:$S$1003))</f>
        <v/>
      </c>
      <c r="Q22" s="56" t="str">
        <f aca="false">IF($B22="","",N22-O22-P22)</f>
        <v/>
      </c>
      <c r="R22" s="62" t="str">
        <f aca="true">IF($B22="","",IFERROR(IF(SUMPRODUCT(ABS(INDIRECT("'"&amp;$B22&amp;"'!H3:T3")-$E22:$Q22))&lt;0.01,"✓","⚠ 分表合计对不上"),"⚠ 还没建分表"))</f>
        <v/>
      </c>
    </row>
    <row r="23" customFormat="false" ht="15" hidden="false" customHeight="false" outlineLevel="0" collapsed="false">
      <c r="A23" s="60" t="str">
        <f aca="false">IF($B23="","",ROWS(A$4:A23))</f>
        <v/>
      </c>
      <c r="B23" s="61" t="str">
        <f aca="false">IFERROR(HYPERLINK("#'"&amp;INDEX(目录!$C$3:$C$102,MATCH(ROWS(B$4:B23),目录!$F$3:$F$102,0))&amp;"'!A1",INDEX(目录!$C$3:$C$102,MATCH(ROWS(B$4:B23),目录!$F$3:$F$102,0))),"")</f>
        <v/>
      </c>
      <c r="C23" s="60" t="str">
        <f aca="false">IF($B23="","",COUNTIF(发票统计!$A$4:$A$1003,$B23))</f>
        <v/>
      </c>
      <c r="D23" s="62" t="str">
        <f aca="false">IF(N($C23)=0,"",INDEX(发票统计!$D$4:$D$1003,MATCH($B23&amp;"#"&amp;$C23,发票统计!$W$4:$W$1003,0))&amp;"")</f>
        <v/>
      </c>
      <c r="E23" s="56" t="str">
        <f aca="false">IF($B23="","",SUMIF(发票统计!$A$4:$A$1003,$B23,发票统计!$H$4:$H$1003))</f>
        <v/>
      </c>
      <c r="F23" s="56" t="str">
        <f aca="false">IF($B23="","",SUMIF(发票统计!$A$4:$A$1003,$B23,发票统计!$I$4:$I$1003))</f>
        <v/>
      </c>
      <c r="G23" s="56" t="str">
        <f aca="false">IF($B23="","",SUMIF(发票统计!$A$4:$A$1003,$B23,发票统计!$J$4:$J$1003))</f>
        <v/>
      </c>
      <c r="H23" s="56" t="str">
        <f aca="false">IF($B23="","",SUMIF(发票统计!$A$4:$A$1003,$B23,发票统计!$K$4:$K$1003))</f>
        <v/>
      </c>
      <c r="I23" s="56" t="str">
        <f aca="false">IF($B23="","",G23-H23)</f>
        <v/>
      </c>
      <c r="J23" s="56" t="str">
        <f aca="false">IF($B23="","",SUMIF(发票统计!$A$4:$A$1003,$B23,发票统计!$M$4:$M$1003))</f>
        <v/>
      </c>
      <c r="K23" s="56" t="str">
        <f aca="false">IF($B23="","",SUMIF(发票统计!$A$4:$A$1003,$B23,发票统计!$N$4:$N$1003))</f>
        <v/>
      </c>
      <c r="L23" s="56" t="str">
        <f aca="false">IF($B23="","",SUMIF(发票统计!$A$4:$A$1003,$B23,发票统计!$O$4:$O$1003))</f>
        <v/>
      </c>
      <c r="M23" s="56" t="str">
        <f aca="false">IF($B23="","",J23-K23-L23)</f>
        <v/>
      </c>
      <c r="N23" s="56" t="str">
        <f aca="false">IF($B23="","",SUMIF(发票统计!$A$4:$A$1003,$B23,发票统计!$Q$4:$Q$1003))</f>
        <v/>
      </c>
      <c r="O23" s="56" t="str">
        <f aca="false">IF($B23="","",SUMIF(发票统计!$A$4:$A$1003,$B23,发票统计!$R$4:$R$1003))</f>
        <v/>
      </c>
      <c r="P23" s="56" t="str">
        <f aca="false">IF($B23="","",SUMIF(发票统计!$A$4:$A$1003,$B23,发票统计!$S$4:$S$1003))</f>
        <v/>
      </c>
      <c r="Q23" s="56" t="str">
        <f aca="false">IF($B23="","",N23-O23-P23)</f>
        <v/>
      </c>
      <c r="R23" s="62" t="str">
        <f aca="true">IF($B23="","",IFERROR(IF(SUMPRODUCT(ABS(INDIRECT("'"&amp;$B23&amp;"'!H3:T3")-$E23:$Q23))&lt;0.01,"✓","⚠ 分表合计对不上"),"⚠ 还没建分表"))</f>
        <v/>
      </c>
    </row>
    <row r="24" customFormat="false" ht="15" hidden="false" customHeight="false" outlineLevel="0" collapsed="false">
      <c r="A24" s="60" t="str">
        <f aca="false">IF($B24="","",ROWS(A$4:A24))</f>
        <v/>
      </c>
      <c r="B24" s="61" t="str">
        <f aca="false">IFERROR(HYPERLINK("#'"&amp;INDEX(目录!$C$3:$C$102,MATCH(ROWS(B$4:B24),目录!$F$3:$F$102,0))&amp;"'!A1",INDEX(目录!$C$3:$C$102,MATCH(ROWS(B$4:B24),目录!$F$3:$F$102,0))),"")</f>
        <v/>
      </c>
      <c r="C24" s="60" t="str">
        <f aca="false">IF($B24="","",COUNTIF(发票统计!$A$4:$A$1003,$B24))</f>
        <v/>
      </c>
      <c r="D24" s="62" t="str">
        <f aca="false">IF(N($C24)=0,"",INDEX(发票统计!$D$4:$D$1003,MATCH($B24&amp;"#"&amp;$C24,发票统计!$W$4:$W$1003,0))&amp;"")</f>
        <v/>
      </c>
      <c r="E24" s="56" t="str">
        <f aca="false">IF($B24="","",SUMIF(发票统计!$A$4:$A$1003,$B24,发票统计!$H$4:$H$1003))</f>
        <v/>
      </c>
      <c r="F24" s="56" t="str">
        <f aca="false">IF($B24="","",SUMIF(发票统计!$A$4:$A$1003,$B24,发票统计!$I$4:$I$1003))</f>
        <v/>
      </c>
      <c r="G24" s="56" t="str">
        <f aca="false">IF($B24="","",SUMIF(发票统计!$A$4:$A$1003,$B24,发票统计!$J$4:$J$1003))</f>
        <v/>
      </c>
      <c r="H24" s="56" t="str">
        <f aca="false">IF($B24="","",SUMIF(发票统计!$A$4:$A$1003,$B24,发票统计!$K$4:$K$1003))</f>
        <v/>
      </c>
      <c r="I24" s="56" t="str">
        <f aca="false">IF($B24="","",G24-H24)</f>
        <v/>
      </c>
      <c r="J24" s="56" t="str">
        <f aca="false">IF($B24="","",SUMIF(发票统计!$A$4:$A$1003,$B24,发票统计!$M$4:$M$1003))</f>
        <v/>
      </c>
      <c r="K24" s="56" t="str">
        <f aca="false">IF($B24="","",SUMIF(发票统计!$A$4:$A$1003,$B24,发票统计!$N$4:$N$1003))</f>
        <v/>
      </c>
      <c r="L24" s="56" t="str">
        <f aca="false">IF($B24="","",SUMIF(发票统计!$A$4:$A$1003,$B24,发票统计!$O$4:$O$1003))</f>
        <v/>
      </c>
      <c r="M24" s="56" t="str">
        <f aca="false">IF($B24="","",J24-K24-L24)</f>
        <v/>
      </c>
      <c r="N24" s="56" t="str">
        <f aca="false">IF($B24="","",SUMIF(发票统计!$A$4:$A$1003,$B24,发票统计!$Q$4:$Q$1003))</f>
        <v/>
      </c>
      <c r="O24" s="56" t="str">
        <f aca="false">IF($B24="","",SUMIF(发票统计!$A$4:$A$1003,$B24,发票统计!$R$4:$R$1003))</f>
        <v/>
      </c>
      <c r="P24" s="56" t="str">
        <f aca="false">IF($B24="","",SUMIF(发票统计!$A$4:$A$1003,$B24,发票统计!$S$4:$S$1003))</f>
        <v/>
      </c>
      <c r="Q24" s="56" t="str">
        <f aca="false">IF($B24="","",N24-O24-P24)</f>
        <v/>
      </c>
      <c r="R24" s="62" t="str">
        <f aca="true">IF($B24="","",IFERROR(IF(SUMPRODUCT(ABS(INDIRECT("'"&amp;$B24&amp;"'!H3:T3")-$E24:$Q24))&lt;0.01,"✓","⚠ 分表合计对不上"),"⚠ 还没建分表"))</f>
        <v/>
      </c>
    </row>
    <row r="25" customFormat="false" ht="15" hidden="false" customHeight="false" outlineLevel="0" collapsed="false">
      <c r="A25" s="60" t="str">
        <f aca="false">IF($B25="","",ROWS(A$4:A25))</f>
        <v/>
      </c>
      <c r="B25" s="61" t="str">
        <f aca="false">IFERROR(HYPERLINK("#'"&amp;INDEX(目录!$C$3:$C$102,MATCH(ROWS(B$4:B25),目录!$F$3:$F$102,0))&amp;"'!A1",INDEX(目录!$C$3:$C$102,MATCH(ROWS(B$4:B25),目录!$F$3:$F$102,0))),"")</f>
        <v/>
      </c>
      <c r="C25" s="60" t="str">
        <f aca="false">IF($B25="","",COUNTIF(发票统计!$A$4:$A$1003,$B25))</f>
        <v/>
      </c>
      <c r="D25" s="62" t="str">
        <f aca="false">IF(N($C25)=0,"",INDEX(发票统计!$D$4:$D$1003,MATCH($B25&amp;"#"&amp;$C25,发票统计!$W$4:$W$1003,0))&amp;"")</f>
        <v/>
      </c>
      <c r="E25" s="56" t="str">
        <f aca="false">IF($B25="","",SUMIF(发票统计!$A$4:$A$1003,$B25,发票统计!$H$4:$H$1003))</f>
        <v/>
      </c>
      <c r="F25" s="56" t="str">
        <f aca="false">IF($B25="","",SUMIF(发票统计!$A$4:$A$1003,$B25,发票统计!$I$4:$I$1003))</f>
        <v/>
      </c>
      <c r="G25" s="56" t="str">
        <f aca="false">IF($B25="","",SUMIF(发票统计!$A$4:$A$1003,$B25,发票统计!$J$4:$J$1003))</f>
        <v/>
      </c>
      <c r="H25" s="56" t="str">
        <f aca="false">IF($B25="","",SUMIF(发票统计!$A$4:$A$1003,$B25,发票统计!$K$4:$K$1003))</f>
        <v/>
      </c>
      <c r="I25" s="56" t="str">
        <f aca="false">IF($B25="","",G25-H25)</f>
        <v/>
      </c>
      <c r="J25" s="56" t="str">
        <f aca="false">IF($B25="","",SUMIF(发票统计!$A$4:$A$1003,$B25,发票统计!$M$4:$M$1003))</f>
        <v/>
      </c>
      <c r="K25" s="56" t="str">
        <f aca="false">IF($B25="","",SUMIF(发票统计!$A$4:$A$1003,$B25,发票统计!$N$4:$N$1003))</f>
        <v/>
      </c>
      <c r="L25" s="56" t="str">
        <f aca="false">IF($B25="","",SUMIF(发票统计!$A$4:$A$1003,$B25,发票统计!$O$4:$O$1003))</f>
        <v/>
      </c>
      <c r="M25" s="56" t="str">
        <f aca="false">IF($B25="","",J25-K25-L25)</f>
        <v/>
      </c>
      <c r="N25" s="56" t="str">
        <f aca="false">IF($B25="","",SUMIF(发票统计!$A$4:$A$1003,$B25,发票统计!$Q$4:$Q$1003))</f>
        <v/>
      </c>
      <c r="O25" s="56" t="str">
        <f aca="false">IF($B25="","",SUMIF(发票统计!$A$4:$A$1003,$B25,发票统计!$R$4:$R$1003))</f>
        <v/>
      </c>
      <c r="P25" s="56" t="str">
        <f aca="false">IF($B25="","",SUMIF(发票统计!$A$4:$A$1003,$B25,发票统计!$S$4:$S$1003))</f>
        <v/>
      </c>
      <c r="Q25" s="56" t="str">
        <f aca="false">IF($B25="","",N25-O25-P25)</f>
        <v/>
      </c>
      <c r="R25" s="62" t="str">
        <f aca="true">IF($B25="","",IFERROR(IF(SUMPRODUCT(ABS(INDIRECT("'"&amp;$B25&amp;"'!H3:T3")-$E25:$Q25))&lt;0.01,"✓","⚠ 分表合计对不上"),"⚠ 还没建分表"))</f>
        <v/>
      </c>
    </row>
    <row r="26" customFormat="false" ht="15" hidden="false" customHeight="false" outlineLevel="0" collapsed="false">
      <c r="A26" s="60" t="str">
        <f aca="false">IF($B26="","",ROWS(A$4:A26))</f>
        <v/>
      </c>
      <c r="B26" s="61" t="str">
        <f aca="false">IFERROR(HYPERLINK("#'"&amp;INDEX(目录!$C$3:$C$102,MATCH(ROWS(B$4:B26),目录!$F$3:$F$102,0))&amp;"'!A1",INDEX(目录!$C$3:$C$102,MATCH(ROWS(B$4:B26),目录!$F$3:$F$102,0))),"")</f>
        <v/>
      </c>
      <c r="C26" s="60" t="str">
        <f aca="false">IF($B26="","",COUNTIF(发票统计!$A$4:$A$1003,$B26))</f>
        <v/>
      </c>
      <c r="D26" s="62" t="str">
        <f aca="false">IF(N($C26)=0,"",INDEX(发票统计!$D$4:$D$1003,MATCH($B26&amp;"#"&amp;$C26,发票统计!$W$4:$W$1003,0))&amp;"")</f>
        <v/>
      </c>
      <c r="E26" s="56" t="str">
        <f aca="false">IF($B26="","",SUMIF(发票统计!$A$4:$A$1003,$B26,发票统计!$H$4:$H$1003))</f>
        <v/>
      </c>
      <c r="F26" s="56" t="str">
        <f aca="false">IF($B26="","",SUMIF(发票统计!$A$4:$A$1003,$B26,发票统计!$I$4:$I$1003))</f>
        <v/>
      </c>
      <c r="G26" s="56" t="str">
        <f aca="false">IF($B26="","",SUMIF(发票统计!$A$4:$A$1003,$B26,发票统计!$J$4:$J$1003))</f>
        <v/>
      </c>
      <c r="H26" s="56" t="str">
        <f aca="false">IF($B26="","",SUMIF(发票统计!$A$4:$A$1003,$B26,发票统计!$K$4:$K$1003))</f>
        <v/>
      </c>
      <c r="I26" s="56" t="str">
        <f aca="false">IF($B26="","",G26-H26)</f>
        <v/>
      </c>
      <c r="J26" s="56" t="str">
        <f aca="false">IF($B26="","",SUMIF(发票统计!$A$4:$A$1003,$B26,发票统计!$M$4:$M$1003))</f>
        <v/>
      </c>
      <c r="K26" s="56" t="str">
        <f aca="false">IF($B26="","",SUMIF(发票统计!$A$4:$A$1003,$B26,发票统计!$N$4:$N$1003))</f>
        <v/>
      </c>
      <c r="L26" s="56" t="str">
        <f aca="false">IF($B26="","",SUMIF(发票统计!$A$4:$A$1003,$B26,发票统计!$O$4:$O$1003))</f>
        <v/>
      </c>
      <c r="M26" s="56" t="str">
        <f aca="false">IF($B26="","",J26-K26-L26)</f>
        <v/>
      </c>
      <c r="N26" s="56" t="str">
        <f aca="false">IF($B26="","",SUMIF(发票统计!$A$4:$A$1003,$B26,发票统计!$Q$4:$Q$1003))</f>
        <v/>
      </c>
      <c r="O26" s="56" t="str">
        <f aca="false">IF($B26="","",SUMIF(发票统计!$A$4:$A$1003,$B26,发票统计!$R$4:$R$1003))</f>
        <v/>
      </c>
      <c r="P26" s="56" t="str">
        <f aca="false">IF($B26="","",SUMIF(发票统计!$A$4:$A$1003,$B26,发票统计!$S$4:$S$1003))</f>
        <v/>
      </c>
      <c r="Q26" s="56" t="str">
        <f aca="false">IF($B26="","",N26-O26-P26)</f>
        <v/>
      </c>
      <c r="R26" s="62" t="str">
        <f aca="true">IF($B26="","",IFERROR(IF(SUMPRODUCT(ABS(INDIRECT("'"&amp;$B26&amp;"'!H3:T3")-$E26:$Q26))&lt;0.01,"✓","⚠ 分表合计对不上"),"⚠ 还没建分表"))</f>
        <v/>
      </c>
    </row>
    <row r="27" customFormat="false" ht="15" hidden="false" customHeight="false" outlineLevel="0" collapsed="false">
      <c r="A27" s="60" t="str">
        <f aca="false">IF($B27="","",ROWS(A$4:A27))</f>
        <v/>
      </c>
      <c r="B27" s="61" t="str">
        <f aca="false">IFERROR(HYPERLINK("#'"&amp;INDEX(目录!$C$3:$C$102,MATCH(ROWS(B$4:B27),目录!$F$3:$F$102,0))&amp;"'!A1",INDEX(目录!$C$3:$C$102,MATCH(ROWS(B$4:B27),目录!$F$3:$F$102,0))),"")</f>
        <v/>
      </c>
      <c r="C27" s="60" t="str">
        <f aca="false">IF($B27="","",COUNTIF(发票统计!$A$4:$A$1003,$B27))</f>
        <v/>
      </c>
      <c r="D27" s="62" t="str">
        <f aca="false">IF(N($C27)=0,"",INDEX(发票统计!$D$4:$D$1003,MATCH($B27&amp;"#"&amp;$C27,发票统计!$W$4:$W$1003,0))&amp;"")</f>
        <v/>
      </c>
      <c r="E27" s="56" t="str">
        <f aca="false">IF($B27="","",SUMIF(发票统计!$A$4:$A$1003,$B27,发票统计!$H$4:$H$1003))</f>
        <v/>
      </c>
      <c r="F27" s="56" t="str">
        <f aca="false">IF($B27="","",SUMIF(发票统计!$A$4:$A$1003,$B27,发票统计!$I$4:$I$1003))</f>
        <v/>
      </c>
      <c r="G27" s="56" t="str">
        <f aca="false">IF($B27="","",SUMIF(发票统计!$A$4:$A$1003,$B27,发票统计!$J$4:$J$1003))</f>
        <v/>
      </c>
      <c r="H27" s="56" t="str">
        <f aca="false">IF($B27="","",SUMIF(发票统计!$A$4:$A$1003,$B27,发票统计!$K$4:$K$1003))</f>
        <v/>
      </c>
      <c r="I27" s="56" t="str">
        <f aca="false">IF($B27="","",G27-H27)</f>
        <v/>
      </c>
      <c r="J27" s="56" t="str">
        <f aca="false">IF($B27="","",SUMIF(发票统计!$A$4:$A$1003,$B27,发票统计!$M$4:$M$1003))</f>
        <v/>
      </c>
      <c r="K27" s="56" t="str">
        <f aca="false">IF($B27="","",SUMIF(发票统计!$A$4:$A$1003,$B27,发票统计!$N$4:$N$1003))</f>
        <v/>
      </c>
      <c r="L27" s="56" t="str">
        <f aca="false">IF($B27="","",SUMIF(发票统计!$A$4:$A$1003,$B27,发票统计!$O$4:$O$1003))</f>
        <v/>
      </c>
      <c r="M27" s="56" t="str">
        <f aca="false">IF($B27="","",J27-K27-L27)</f>
        <v/>
      </c>
      <c r="N27" s="56" t="str">
        <f aca="false">IF($B27="","",SUMIF(发票统计!$A$4:$A$1003,$B27,发票统计!$Q$4:$Q$1003))</f>
        <v/>
      </c>
      <c r="O27" s="56" t="str">
        <f aca="false">IF($B27="","",SUMIF(发票统计!$A$4:$A$1003,$B27,发票统计!$R$4:$R$1003))</f>
        <v/>
      </c>
      <c r="P27" s="56" t="str">
        <f aca="false">IF($B27="","",SUMIF(发票统计!$A$4:$A$1003,$B27,发票统计!$S$4:$S$1003))</f>
        <v/>
      </c>
      <c r="Q27" s="56" t="str">
        <f aca="false">IF($B27="","",N27-O27-P27)</f>
        <v/>
      </c>
      <c r="R27" s="62" t="str">
        <f aca="true">IF($B27="","",IFERROR(IF(SUMPRODUCT(ABS(INDIRECT("'"&amp;$B27&amp;"'!H3:T3")-$E27:$Q27))&lt;0.01,"✓","⚠ 分表合计对不上"),"⚠ 还没建分表"))</f>
        <v/>
      </c>
    </row>
    <row r="28" customFormat="false" ht="15" hidden="false" customHeight="false" outlineLevel="0" collapsed="false">
      <c r="A28" s="60" t="str">
        <f aca="false">IF($B28="","",ROWS(A$4:A28))</f>
        <v/>
      </c>
      <c r="B28" s="61" t="str">
        <f aca="false">IFERROR(HYPERLINK("#'"&amp;INDEX(目录!$C$3:$C$102,MATCH(ROWS(B$4:B28),目录!$F$3:$F$102,0))&amp;"'!A1",INDEX(目录!$C$3:$C$102,MATCH(ROWS(B$4:B28),目录!$F$3:$F$102,0))),"")</f>
        <v/>
      </c>
      <c r="C28" s="60" t="str">
        <f aca="false">IF($B28="","",COUNTIF(发票统计!$A$4:$A$1003,$B28))</f>
        <v/>
      </c>
      <c r="D28" s="62" t="str">
        <f aca="false">IF(N($C28)=0,"",INDEX(发票统计!$D$4:$D$1003,MATCH($B28&amp;"#"&amp;$C28,发票统计!$W$4:$W$1003,0))&amp;"")</f>
        <v/>
      </c>
      <c r="E28" s="56" t="str">
        <f aca="false">IF($B28="","",SUMIF(发票统计!$A$4:$A$1003,$B28,发票统计!$H$4:$H$1003))</f>
        <v/>
      </c>
      <c r="F28" s="56" t="str">
        <f aca="false">IF($B28="","",SUMIF(发票统计!$A$4:$A$1003,$B28,发票统计!$I$4:$I$1003))</f>
        <v/>
      </c>
      <c r="G28" s="56" t="str">
        <f aca="false">IF($B28="","",SUMIF(发票统计!$A$4:$A$1003,$B28,发票统计!$J$4:$J$1003))</f>
        <v/>
      </c>
      <c r="H28" s="56" t="str">
        <f aca="false">IF($B28="","",SUMIF(发票统计!$A$4:$A$1003,$B28,发票统计!$K$4:$K$1003))</f>
        <v/>
      </c>
      <c r="I28" s="56" t="str">
        <f aca="false">IF($B28="","",G28-H28)</f>
        <v/>
      </c>
      <c r="J28" s="56" t="str">
        <f aca="false">IF($B28="","",SUMIF(发票统计!$A$4:$A$1003,$B28,发票统计!$M$4:$M$1003))</f>
        <v/>
      </c>
      <c r="K28" s="56" t="str">
        <f aca="false">IF($B28="","",SUMIF(发票统计!$A$4:$A$1003,$B28,发票统计!$N$4:$N$1003))</f>
        <v/>
      </c>
      <c r="L28" s="56" t="str">
        <f aca="false">IF($B28="","",SUMIF(发票统计!$A$4:$A$1003,$B28,发票统计!$O$4:$O$1003))</f>
        <v/>
      </c>
      <c r="M28" s="56" t="str">
        <f aca="false">IF($B28="","",J28-K28-L28)</f>
        <v/>
      </c>
      <c r="N28" s="56" t="str">
        <f aca="false">IF($B28="","",SUMIF(发票统计!$A$4:$A$1003,$B28,发票统计!$Q$4:$Q$1003))</f>
        <v/>
      </c>
      <c r="O28" s="56" t="str">
        <f aca="false">IF($B28="","",SUMIF(发票统计!$A$4:$A$1003,$B28,发票统计!$R$4:$R$1003))</f>
        <v/>
      </c>
      <c r="P28" s="56" t="str">
        <f aca="false">IF($B28="","",SUMIF(发票统计!$A$4:$A$1003,$B28,发票统计!$S$4:$S$1003))</f>
        <v/>
      </c>
      <c r="Q28" s="56" t="str">
        <f aca="false">IF($B28="","",N28-O28-P28)</f>
        <v/>
      </c>
      <c r="R28" s="62" t="str">
        <f aca="true">IF($B28="","",IFERROR(IF(SUMPRODUCT(ABS(INDIRECT("'"&amp;$B28&amp;"'!H3:T3")-$E28:$Q28))&lt;0.01,"✓","⚠ 分表合计对不上"),"⚠ 还没建分表"))</f>
        <v/>
      </c>
    </row>
    <row r="29" customFormat="false" ht="15" hidden="false" customHeight="false" outlineLevel="0" collapsed="false">
      <c r="A29" s="60" t="str">
        <f aca="false">IF($B29="","",ROWS(A$4:A29))</f>
        <v/>
      </c>
      <c r="B29" s="61" t="str">
        <f aca="false">IFERROR(HYPERLINK("#'"&amp;INDEX(目录!$C$3:$C$102,MATCH(ROWS(B$4:B29),目录!$F$3:$F$102,0))&amp;"'!A1",INDEX(目录!$C$3:$C$102,MATCH(ROWS(B$4:B29),目录!$F$3:$F$102,0))),"")</f>
        <v/>
      </c>
      <c r="C29" s="60" t="str">
        <f aca="false">IF($B29="","",COUNTIF(发票统计!$A$4:$A$1003,$B29))</f>
        <v/>
      </c>
      <c r="D29" s="62" t="str">
        <f aca="false">IF(N($C29)=0,"",INDEX(发票统计!$D$4:$D$1003,MATCH($B29&amp;"#"&amp;$C29,发票统计!$W$4:$W$1003,0))&amp;"")</f>
        <v/>
      </c>
      <c r="E29" s="56" t="str">
        <f aca="false">IF($B29="","",SUMIF(发票统计!$A$4:$A$1003,$B29,发票统计!$H$4:$H$1003))</f>
        <v/>
      </c>
      <c r="F29" s="56" t="str">
        <f aca="false">IF($B29="","",SUMIF(发票统计!$A$4:$A$1003,$B29,发票统计!$I$4:$I$1003))</f>
        <v/>
      </c>
      <c r="G29" s="56" t="str">
        <f aca="false">IF($B29="","",SUMIF(发票统计!$A$4:$A$1003,$B29,发票统计!$J$4:$J$1003))</f>
        <v/>
      </c>
      <c r="H29" s="56" t="str">
        <f aca="false">IF($B29="","",SUMIF(发票统计!$A$4:$A$1003,$B29,发票统计!$K$4:$K$1003))</f>
        <v/>
      </c>
      <c r="I29" s="56" t="str">
        <f aca="false">IF($B29="","",G29-H29)</f>
        <v/>
      </c>
      <c r="J29" s="56" t="str">
        <f aca="false">IF($B29="","",SUMIF(发票统计!$A$4:$A$1003,$B29,发票统计!$M$4:$M$1003))</f>
        <v/>
      </c>
      <c r="K29" s="56" t="str">
        <f aca="false">IF($B29="","",SUMIF(发票统计!$A$4:$A$1003,$B29,发票统计!$N$4:$N$1003))</f>
        <v/>
      </c>
      <c r="L29" s="56" t="str">
        <f aca="false">IF($B29="","",SUMIF(发票统计!$A$4:$A$1003,$B29,发票统计!$O$4:$O$1003))</f>
        <v/>
      </c>
      <c r="M29" s="56" t="str">
        <f aca="false">IF($B29="","",J29-K29-L29)</f>
        <v/>
      </c>
      <c r="N29" s="56" t="str">
        <f aca="false">IF($B29="","",SUMIF(发票统计!$A$4:$A$1003,$B29,发票统计!$Q$4:$Q$1003))</f>
        <v/>
      </c>
      <c r="O29" s="56" t="str">
        <f aca="false">IF($B29="","",SUMIF(发票统计!$A$4:$A$1003,$B29,发票统计!$R$4:$R$1003))</f>
        <v/>
      </c>
      <c r="P29" s="56" t="str">
        <f aca="false">IF($B29="","",SUMIF(发票统计!$A$4:$A$1003,$B29,发票统计!$S$4:$S$1003))</f>
        <v/>
      </c>
      <c r="Q29" s="56" t="str">
        <f aca="false">IF($B29="","",N29-O29-P29)</f>
        <v/>
      </c>
      <c r="R29" s="62" t="str">
        <f aca="true">IF($B29="","",IFERROR(IF(SUMPRODUCT(ABS(INDIRECT("'"&amp;$B29&amp;"'!H3:T3")-$E29:$Q29))&lt;0.01,"✓","⚠ 分表合计对不上"),"⚠ 还没建分表"))</f>
        <v/>
      </c>
    </row>
    <row r="30" customFormat="false" ht="15" hidden="false" customHeight="false" outlineLevel="0" collapsed="false">
      <c r="A30" s="60" t="str">
        <f aca="false">IF($B30="","",ROWS(A$4:A30))</f>
        <v/>
      </c>
      <c r="B30" s="61" t="str">
        <f aca="false">IFERROR(HYPERLINK("#'"&amp;INDEX(目录!$C$3:$C$102,MATCH(ROWS(B$4:B30),目录!$F$3:$F$102,0))&amp;"'!A1",INDEX(目录!$C$3:$C$102,MATCH(ROWS(B$4:B30),目录!$F$3:$F$102,0))),"")</f>
        <v/>
      </c>
      <c r="C30" s="60" t="str">
        <f aca="false">IF($B30="","",COUNTIF(发票统计!$A$4:$A$1003,$B30))</f>
        <v/>
      </c>
      <c r="D30" s="62" t="str">
        <f aca="false">IF(N($C30)=0,"",INDEX(发票统计!$D$4:$D$1003,MATCH($B30&amp;"#"&amp;$C30,发票统计!$W$4:$W$1003,0))&amp;"")</f>
        <v/>
      </c>
      <c r="E30" s="56" t="str">
        <f aca="false">IF($B30="","",SUMIF(发票统计!$A$4:$A$1003,$B30,发票统计!$H$4:$H$1003))</f>
        <v/>
      </c>
      <c r="F30" s="56" t="str">
        <f aca="false">IF($B30="","",SUMIF(发票统计!$A$4:$A$1003,$B30,发票统计!$I$4:$I$1003))</f>
        <v/>
      </c>
      <c r="G30" s="56" t="str">
        <f aca="false">IF($B30="","",SUMIF(发票统计!$A$4:$A$1003,$B30,发票统计!$J$4:$J$1003))</f>
        <v/>
      </c>
      <c r="H30" s="56" t="str">
        <f aca="false">IF($B30="","",SUMIF(发票统计!$A$4:$A$1003,$B30,发票统计!$K$4:$K$1003))</f>
        <v/>
      </c>
      <c r="I30" s="56" t="str">
        <f aca="false">IF($B30="","",G30-H30)</f>
        <v/>
      </c>
      <c r="J30" s="56" t="str">
        <f aca="false">IF($B30="","",SUMIF(发票统计!$A$4:$A$1003,$B30,发票统计!$M$4:$M$1003))</f>
        <v/>
      </c>
      <c r="K30" s="56" t="str">
        <f aca="false">IF($B30="","",SUMIF(发票统计!$A$4:$A$1003,$B30,发票统计!$N$4:$N$1003))</f>
        <v/>
      </c>
      <c r="L30" s="56" t="str">
        <f aca="false">IF($B30="","",SUMIF(发票统计!$A$4:$A$1003,$B30,发票统计!$O$4:$O$1003))</f>
        <v/>
      </c>
      <c r="M30" s="56" t="str">
        <f aca="false">IF($B30="","",J30-K30-L30)</f>
        <v/>
      </c>
      <c r="N30" s="56" t="str">
        <f aca="false">IF($B30="","",SUMIF(发票统计!$A$4:$A$1003,$B30,发票统计!$Q$4:$Q$1003))</f>
        <v/>
      </c>
      <c r="O30" s="56" t="str">
        <f aca="false">IF($B30="","",SUMIF(发票统计!$A$4:$A$1003,$B30,发票统计!$R$4:$R$1003))</f>
        <v/>
      </c>
      <c r="P30" s="56" t="str">
        <f aca="false">IF($B30="","",SUMIF(发票统计!$A$4:$A$1003,$B30,发票统计!$S$4:$S$1003))</f>
        <v/>
      </c>
      <c r="Q30" s="56" t="str">
        <f aca="false">IF($B30="","",N30-O30-P30)</f>
        <v/>
      </c>
      <c r="R30" s="62" t="str">
        <f aca="true">IF($B30="","",IFERROR(IF(SUMPRODUCT(ABS(INDIRECT("'"&amp;$B30&amp;"'!H3:T3")-$E30:$Q30))&lt;0.01,"✓","⚠ 分表合计对不上"),"⚠ 还没建分表"))</f>
        <v/>
      </c>
    </row>
    <row r="31" customFormat="false" ht="15" hidden="false" customHeight="false" outlineLevel="0" collapsed="false">
      <c r="A31" s="60" t="str">
        <f aca="false">IF($B31="","",ROWS(A$4:A31))</f>
        <v/>
      </c>
      <c r="B31" s="61" t="str">
        <f aca="false">IFERROR(HYPERLINK("#'"&amp;INDEX(目录!$C$3:$C$102,MATCH(ROWS(B$4:B31),目录!$F$3:$F$102,0))&amp;"'!A1",INDEX(目录!$C$3:$C$102,MATCH(ROWS(B$4:B31),目录!$F$3:$F$102,0))),"")</f>
        <v/>
      </c>
      <c r="C31" s="60" t="str">
        <f aca="false">IF($B31="","",COUNTIF(发票统计!$A$4:$A$1003,$B31))</f>
        <v/>
      </c>
      <c r="D31" s="62" t="str">
        <f aca="false">IF(N($C31)=0,"",INDEX(发票统计!$D$4:$D$1003,MATCH($B31&amp;"#"&amp;$C31,发票统计!$W$4:$W$1003,0))&amp;"")</f>
        <v/>
      </c>
      <c r="E31" s="56" t="str">
        <f aca="false">IF($B31="","",SUMIF(发票统计!$A$4:$A$1003,$B31,发票统计!$H$4:$H$1003))</f>
        <v/>
      </c>
      <c r="F31" s="56" t="str">
        <f aca="false">IF($B31="","",SUMIF(发票统计!$A$4:$A$1003,$B31,发票统计!$I$4:$I$1003))</f>
        <v/>
      </c>
      <c r="G31" s="56" t="str">
        <f aca="false">IF($B31="","",SUMIF(发票统计!$A$4:$A$1003,$B31,发票统计!$J$4:$J$1003))</f>
        <v/>
      </c>
      <c r="H31" s="56" t="str">
        <f aca="false">IF($B31="","",SUMIF(发票统计!$A$4:$A$1003,$B31,发票统计!$K$4:$K$1003))</f>
        <v/>
      </c>
      <c r="I31" s="56" t="str">
        <f aca="false">IF($B31="","",G31-H31)</f>
        <v/>
      </c>
      <c r="J31" s="56" t="str">
        <f aca="false">IF($B31="","",SUMIF(发票统计!$A$4:$A$1003,$B31,发票统计!$M$4:$M$1003))</f>
        <v/>
      </c>
      <c r="K31" s="56" t="str">
        <f aca="false">IF($B31="","",SUMIF(发票统计!$A$4:$A$1003,$B31,发票统计!$N$4:$N$1003))</f>
        <v/>
      </c>
      <c r="L31" s="56" t="str">
        <f aca="false">IF($B31="","",SUMIF(发票统计!$A$4:$A$1003,$B31,发票统计!$O$4:$O$1003))</f>
        <v/>
      </c>
      <c r="M31" s="56" t="str">
        <f aca="false">IF($B31="","",J31-K31-L31)</f>
        <v/>
      </c>
      <c r="N31" s="56" t="str">
        <f aca="false">IF($B31="","",SUMIF(发票统计!$A$4:$A$1003,$B31,发票统计!$Q$4:$Q$1003))</f>
        <v/>
      </c>
      <c r="O31" s="56" t="str">
        <f aca="false">IF($B31="","",SUMIF(发票统计!$A$4:$A$1003,$B31,发票统计!$R$4:$R$1003))</f>
        <v/>
      </c>
      <c r="P31" s="56" t="str">
        <f aca="false">IF($B31="","",SUMIF(发票统计!$A$4:$A$1003,$B31,发票统计!$S$4:$S$1003))</f>
        <v/>
      </c>
      <c r="Q31" s="56" t="str">
        <f aca="false">IF($B31="","",N31-O31-P31)</f>
        <v/>
      </c>
      <c r="R31" s="62" t="str">
        <f aca="true">IF($B31="","",IFERROR(IF(SUMPRODUCT(ABS(INDIRECT("'"&amp;$B31&amp;"'!H3:T3")-$E31:$Q31))&lt;0.01,"✓","⚠ 分表合计对不上"),"⚠ 还没建分表"))</f>
        <v/>
      </c>
    </row>
    <row r="32" customFormat="false" ht="15" hidden="false" customHeight="false" outlineLevel="0" collapsed="false">
      <c r="A32" s="60" t="str">
        <f aca="false">IF($B32="","",ROWS(A$4:A32))</f>
        <v/>
      </c>
      <c r="B32" s="61" t="str">
        <f aca="false">IFERROR(HYPERLINK("#'"&amp;INDEX(目录!$C$3:$C$102,MATCH(ROWS(B$4:B32),目录!$F$3:$F$102,0))&amp;"'!A1",INDEX(目录!$C$3:$C$102,MATCH(ROWS(B$4:B32),目录!$F$3:$F$102,0))),"")</f>
        <v/>
      </c>
      <c r="C32" s="60" t="str">
        <f aca="false">IF($B32="","",COUNTIF(发票统计!$A$4:$A$1003,$B32))</f>
        <v/>
      </c>
      <c r="D32" s="62" t="str">
        <f aca="false">IF(N($C32)=0,"",INDEX(发票统计!$D$4:$D$1003,MATCH($B32&amp;"#"&amp;$C32,发票统计!$W$4:$W$1003,0))&amp;"")</f>
        <v/>
      </c>
      <c r="E32" s="56" t="str">
        <f aca="false">IF($B32="","",SUMIF(发票统计!$A$4:$A$1003,$B32,发票统计!$H$4:$H$1003))</f>
        <v/>
      </c>
      <c r="F32" s="56" t="str">
        <f aca="false">IF($B32="","",SUMIF(发票统计!$A$4:$A$1003,$B32,发票统计!$I$4:$I$1003))</f>
        <v/>
      </c>
      <c r="G32" s="56" t="str">
        <f aca="false">IF($B32="","",SUMIF(发票统计!$A$4:$A$1003,$B32,发票统计!$J$4:$J$1003))</f>
        <v/>
      </c>
      <c r="H32" s="56" t="str">
        <f aca="false">IF($B32="","",SUMIF(发票统计!$A$4:$A$1003,$B32,发票统计!$K$4:$K$1003))</f>
        <v/>
      </c>
      <c r="I32" s="56" t="str">
        <f aca="false">IF($B32="","",G32-H32)</f>
        <v/>
      </c>
      <c r="J32" s="56" t="str">
        <f aca="false">IF($B32="","",SUMIF(发票统计!$A$4:$A$1003,$B32,发票统计!$M$4:$M$1003))</f>
        <v/>
      </c>
      <c r="K32" s="56" t="str">
        <f aca="false">IF($B32="","",SUMIF(发票统计!$A$4:$A$1003,$B32,发票统计!$N$4:$N$1003))</f>
        <v/>
      </c>
      <c r="L32" s="56" t="str">
        <f aca="false">IF($B32="","",SUMIF(发票统计!$A$4:$A$1003,$B32,发票统计!$O$4:$O$1003))</f>
        <v/>
      </c>
      <c r="M32" s="56" t="str">
        <f aca="false">IF($B32="","",J32-K32-L32)</f>
        <v/>
      </c>
      <c r="N32" s="56" t="str">
        <f aca="false">IF($B32="","",SUMIF(发票统计!$A$4:$A$1003,$B32,发票统计!$Q$4:$Q$1003))</f>
        <v/>
      </c>
      <c r="O32" s="56" t="str">
        <f aca="false">IF($B32="","",SUMIF(发票统计!$A$4:$A$1003,$B32,发票统计!$R$4:$R$1003))</f>
        <v/>
      </c>
      <c r="P32" s="56" t="str">
        <f aca="false">IF($B32="","",SUMIF(发票统计!$A$4:$A$1003,$B32,发票统计!$S$4:$S$1003))</f>
        <v/>
      </c>
      <c r="Q32" s="56" t="str">
        <f aca="false">IF($B32="","",N32-O32-P32)</f>
        <v/>
      </c>
      <c r="R32" s="62" t="str">
        <f aca="true">IF($B32="","",IFERROR(IF(SUMPRODUCT(ABS(INDIRECT("'"&amp;$B32&amp;"'!H3:T3")-$E32:$Q32))&lt;0.01,"✓","⚠ 分表合计对不上"),"⚠ 还没建分表"))</f>
        <v/>
      </c>
    </row>
    <row r="33" customFormat="false" ht="15" hidden="false" customHeight="false" outlineLevel="0" collapsed="false">
      <c r="A33" s="60" t="str">
        <f aca="false">IF($B33="","",ROWS(A$4:A33))</f>
        <v/>
      </c>
      <c r="B33" s="61" t="str">
        <f aca="false">IFERROR(HYPERLINK("#'"&amp;INDEX(目录!$C$3:$C$102,MATCH(ROWS(B$4:B33),目录!$F$3:$F$102,0))&amp;"'!A1",INDEX(目录!$C$3:$C$102,MATCH(ROWS(B$4:B33),目录!$F$3:$F$102,0))),"")</f>
        <v/>
      </c>
      <c r="C33" s="60" t="str">
        <f aca="false">IF($B33="","",COUNTIF(发票统计!$A$4:$A$1003,$B33))</f>
        <v/>
      </c>
      <c r="D33" s="62" t="str">
        <f aca="false">IF(N($C33)=0,"",INDEX(发票统计!$D$4:$D$1003,MATCH($B33&amp;"#"&amp;$C33,发票统计!$W$4:$W$1003,0))&amp;"")</f>
        <v/>
      </c>
      <c r="E33" s="56" t="str">
        <f aca="false">IF($B33="","",SUMIF(发票统计!$A$4:$A$1003,$B33,发票统计!$H$4:$H$1003))</f>
        <v/>
      </c>
      <c r="F33" s="56" t="str">
        <f aca="false">IF($B33="","",SUMIF(发票统计!$A$4:$A$1003,$B33,发票统计!$I$4:$I$1003))</f>
        <v/>
      </c>
      <c r="G33" s="56" t="str">
        <f aca="false">IF($B33="","",SUMIF(发票统计!$A$4:$A$1003,$B33,发票统计!$J$4:$J$1003))</f>
        <v/>
      </c>
      <c r="H33" s="56" t="str">
        <f aca="false">IF($B33="","",SUMIF(发票统计!$A$4:$A$1003,$B33,发票统计!$K$4:$K$1003))</f>
        <v/>
      </c>
      <c r="I33" s="56" t="str">
        <f aca="false">IF($B33="","",G33-H33)</f>
        <v/>
      </c>
      <c r="J33" s="56" t="str">
        <f aca="false">IF($B33="","",SUMIF(发票统计!$A$4:$A$1003,$B33,发票统计!$M$4:$M$1003))</f>
        <v/>
      </c>
      <c r="K33" s="56" t="str">
        <f aca="false">IF($B33="","",SUMIF(发票统计!$A$4:$A$1003,$B33,发票统计!$N$4:$N$1003))</f>
        <v/>
      </c>
      <c r="L33" s="56" t="str">
        <f aca="false">IF($B33="","",SUMIF(发票统计!$A$4:$A$1003,$B33,发票统计!$O$4:$O$1003))</f>
        <v/>
      </c>
      <c r="M33" s="56" t="str">
        <f aca="false">IF($B33="","",J33-K33-L33)</f>
        <v/>
      </c>
      <c r="N33" s="56" t="str">
        <f aca="false">IF($B33="","",SUMIF(发票统计!$A$4:$A$1003,$B33,发票统计!$Q$4:$Q$1003))</f>
        <v/>
      </c>
      <c r="O33" s="56" t="str">
        <f aca="false">IF($B33="","",SUMIF(发票统计!$A$4:$A$1003,$B33,发票统计!$R$4:$R$1003))</f>
        <v/>
      </c>
      <c r="P33" s="56" t="str">
        <f aca="false">IF($B33="","",SUMIF(发票统计!$A$4:$A$1003,$B33,发票统计!$S$4:$S$1003))</f>
        <v/>
      </c>
      <c r="Q33" s="56" t="str">
        <f aca="false">IF($B33="","",N33-O33-P33)</f>
        <v/>
      </c>
      <c r="R33" s="62" t="str">
        <f aca="true">IF($B33="","",IFERROR(IF(SUMPRODUCT(ABS(INDIRECT("'"&amp;$B33&amp;"'!H3:T3")-$E33:$Q33))&lt;0.01,"✓","⚠ 分表合计对不上"),"⚠ 还没建分表"))</f>
        <v/>
      </c>
    </row>
    <row r="34" customFormat="false" ht="15" hidden="false" customHeight="false" outlineLevel="0" collapsed="false">
      <c r="A34" s="60" t="str">
        <f aca="false">IF($B34="","",ROWS(A$4:A34))</f>
        <v/>
      </c>
      <c r="B34" s="61" t="str">
        <f aca="false">IFERROR(HYPERLINK("#'"&amp;INDEX(目录!$C$3:$C$102,MATCH(ROWS(B$4:B34),目录!$F$3:$F$102,0))&amp;"'!A1",INDEX(目录!$C$3:$C$102,MATCH(ROWS(B$4:B34),目录!$F$3:$F$102,0))),"")</f>
        <v/>
      </c>
      <c r="C34" s="60" t="str">
        <f aca="false">IF($B34="","",COUNTIF(发票统计!$A$4:$A$1003,$B34))</f>
        <v/>
      </c>
      <c r="D34" s="62" t="str">
        <f aca="false">IF(N($C34)=0,"",INDEX(发票统计!$D$4:$D$1003,MATCH($B34&amp;"#"&amp;$C34,发票统计!$W$4:$W$1003,0))&amp;"")</f>
        <v/>
      </c>
      <c r="E34" s="56" t="str">
        <f aca="false">IF($B34="","",SUMIF(发票统计!$A$4:$A$1003,$B34,发票统计!$H$4:$H$1003))</f>
        <v/>
      </c>
      <c r="F34" s="56" t="str">
        <f aca="false">IF($B34="","",SUMIF(发票统计!$A$4:$A$1003,$B34,发票统计!$I$4:$I$1003))</f>
        <v/>
      </c>
      <c r="G34" s="56" t="str">
        <f aca="false">IF($B34="","",SUMIF(发票统计!$A$4:$A$1003,$B34,发票统计!$J$4:$J$1003))</f>
        <v/>
      </c>
      <c r="H34" s="56" t="str">
        <f aca="false">IF($B34="","",SUMIF(发票统计!$A$4:$A$1003,$B34,发票统计!$K$4:$K$1003))</f>
        <v/>
      </c>
      <c r="I34" s="56" t="str">
        <f aca="false">IF($B34="","",G34-H34)</f>
        <v/>
      </c>
      <c r="J34" s="56" t="str">
        <f aca="false">IF($B34="","",SUMIF(发票统计!$A$4:$A$1003,$B34,发票统计!$M$4:$M$1003))</f>
        <v/>
      </c>
      <c r="K34" s="56" t="str">
        <f aca="false">IF($B34="","",SUMIF(发票统计!$A$4:$A$1003,$B34,发票统计!$N$4:$N$1003))</f>
        <v/>
      </c>
      <c r="L34" s="56" t="str">
        <f aca="false">IF($B34="","",SUMIF(发票统计!$A$4:$A$1003,$B34,发票统计!$O$4:$O$1003))</f>
        <v/>
      </c>
      <c r="M34" s="56" t="str">
        <f aca="false">IF($B34="","",J34-K34-L34)</f>
        <v/>
      </c>
      <c r="N34" s="56" t="str">
        <f aca="false">IF($B34="","",SUMIF(发票统计!$A$4:$A$1003,$B34,发票统计!$Q$4:$Q$1003))</f>
        <v/>
      </c>
      <c r="O34" s="56" t="str">
        <f aca="false">IF($B34="","",SUMIF(发票统计!$A$4:$A$1003,$B34,发票统计!$R$4:$R$1003))</f>
        <v/>
      </c>
      <c r="P34" s="56" t="str">
        <f aca="false">IF($B34="","",SUMIF(发票统计!$A$4:$A$1003,$B34,发票统计!$S$4:$S$1003))</f>
        <v/>
      </c>
      <c r="Q34" s="56" t="str">
        <f aca="false">IF($B34="","",N34-O34-P34)</f>
        <v/>
      </c>
      <c r="R34" s="62" t="str">
        <f aca="true">IF($B34="","",IFERROR(IF(SUMPRODUCT(ABS(INDIRECT("'"&amp;$B34&amp;"'!H3:T3")-$E34:$Q34))&lt;0.01,"✓","⚠ 分表合计对不上"),"⚠ 还没建分表"))</f>
        <v/>
      </c>
    </row>
    <row r="35" customFormat="false" ht="15" hidden="false" customHeight="false" outlineLevel="0" collapsed="false">
      <c r="A35" s="60" t="str">
        <f aca="false">IF($B35="","",ROWS(A$4:A35))</f>
        <v/>
      </c>
      <c r="B35" s="61" t="str">
        <f aca="false">IFERROR(HYPERLINK("#'"&amp;INDEX(目录!$C$3:$C$102,MATCH(ROWS(B$4:B35),目录!$F$3:$F$102,0))&amp;"'!A1",INDEX(目录!$C$3:$C$102,MATCH(ROWS(B$4:B35),目录!$F$3:$F$102,0))),"")</f>
        <v/>
      </c>
      <c r="C35" s="60" t="str">
        <f aca="false">IF($B35="","",COUNTIF(发票统计!$A$4:$A$1003,$B35))</f>
        <v/>
      </c>
      <c r="D35" s="62" t="str">
        <f aca="false">IF(N($C35)=0,"",INDEX(发票统计!$D$4:$D$1003,MATCH($B35&amp;"#"&amp;$C35,发票统计!$W$4:$W$1003,0))&amp;"")</f>
        <v/>
      </c>
      <c r="E35" s="56" t="str">
        <f aca="false">IF($B35="","",SUMIF(发票统计!$A$4:$A$1003,$B35,发票统计!$H$4:$H$1003))</f>
        <v/>
      </c>
      <c r="F35" s="56" t="str">
        <f aca="false">IF($B35="","",SUMIF(发票统计!$A$4:$A$1003,$B35,发票统计!$I$4:$I$1003))</f>
        <v/>
      </c>
      <c r="G35" s="56" t="str">
        <f aca="false">IF($B35="","",SUMIF(发票统计!$A$4:$A$1003,$B35,发票统计!$J$4:$J$1003))</f>
        <v/>
      </c>
      <c r="H35" s="56" t="str">
        <f aca="false">IF($B35="","",SUMIF(发票统计!$A$4:$A$1003,$B35,发票统计!$K$4:$K$1003))</f>
        <v/>
      </c>
      <c r="I35" s="56" t="str">
        <f aca="false">IF($B35="","",G35-H35)</f>
        <v/>
      </c>
      <c r="J35" s="56" t="str">
        <f aca="false">IF($B35="","",SUMIF(发票统计!$A$4:$A$1003,$B35,发票统计!$M$4:$M$1003))</f>
        <v/>
      </c>
      <c r="K35" s="56" t="str">
        <f aca="false">IF($B35="","",SUMIF(发票统计!$A$4:$A$1003,$B35,发票统计!$N$4:$N$1003))</f>
        <v/>
      </c>
      <c r="L35" s="56" t="str">
        <f aca="false">IF($B35="","",SUMIF(发票统计!$A$4:$A$1003,$B35,发票统计!$O$4:$O$1003))</f>
        <v/>
      </c>
      <c r="M35" s="56" t="str">
        <f aca="false">IF($B35="","",J35-K35-L35)</f>
        <v/>
      </c>
      <c r="N35" s="56" t="str">
        <f aca="false">IF($B35="","",SUMIF(发票统计!$A$4:$A$1003,$B35,发票统计!$Q$4:$Q$1003))</f>
        <v/>
      </c>
      <c r="O35" s="56" t="str">
        <f aca="false">IF($B35="","",SUMIF(发票统计!$A$4:$A$1003,$B35,发票统计!$R$4:$R$1003))</f>
        <v/>
      </c>
      <c r="P35" s="56" t="str">
        <f aca="false">IF($B35="","",SUMIF(发票统计!$A$4:$A$1003,$B35,发票统计!$S$4:$S$1003))</f>
        <v/>
      </c>
      <c r="Q35" s="56" t="str">
        <f aca="false">IF($B35="","",N35-O35-P35)</f>
        <v/>
      </c>
      <c r="R35" s="62" t="str">
        <f aca="true">IF($B35="","",IFERROR(IF(SUMPRODUCT(ABS(INDIRECT("'"&amp;$B35&amp;"'!H3:T3")-$E35:$Q35))&lt;0.01,"✓","⚠ 分表合计对不上"),"⚠ 还没建分表"))</f>
        <v/>
      </c>
    </row>
    <row r="36" customFormat="false" ht="15" hidden="false" customHeight="false" outlineLevel="0" collapsed="false">
      <c r="A36" s="60" t="str">
        <f aca="false">IF($B36="","",ROWS(A$4:A36))</f>
        <v/>
      </c>
      <c r="B36" s="61" t="str">
        <f aca="false">IFERROR(HYPERLINK("#'"&amp;INDEX(目录!$C$3:$C$102,MATCH(ROWS(B$4:B36),目录!$F$3:$F$102,0))&amp;"'!A1",INDEX(目录!$C$3:$C$102,MATCH(ROWS(B$4:B36),目录!$F$3:$F$102,0))),"")</f>
        <v/>
      </c>
      <c r="C36" s="60" t="str">
        <f aca="false">IF($B36="","",COUNTIF(发票统计!$A$4:$A$1003,$B36))</f>
        <v/>
      </c>
      <c r="D36" s="62" t="str">
        <f aca="false">IF(N($C36)=0,"",INDEX(发票统计!$D$4:$D$1003,MATCH($B36&amp;"#"&amp;$C36,发票统计!$W$4:$W$1003,0))&amp;"")</f>
        <v/>
      </c>
      <c r="E36" s="56" t="str">
        <f aca="false">IF($B36="","",SUMIF(发票统计!$A$4:$A$1003,$B36,发票统计!$H$4:$H$1003))</f>
        <v/>
      </c>
      <c r="F36" s="56" t="str">
        <f aca="false">IF($B36="","",SUMIF(发票统计!$A$4:$A$1003,$B36,发票统计!$I$4:$I$1003))</f>
        <v/>
      </c>
      <c r="G36" s="56" t="str">
        <f aca="false">IF($B36="","",SUMIF(发票统计!$A$4:$A$1003,$B36,发票统计!$J$4:$J$1003))</f>
        <v/>
      </c>
      <c r="H36" s="56" t="str">
        <f aca="false">IF($B36="","",SUMIF(发票统计!$A$4:$A$1003,$B36,发票统计!$K$4:$K$1003))</f>
        <v/>
      </c>
      <c r="I36" s="56" t="str">
        <f aca="false">IF($B36="","",G36-H36)</f>
        <v/>
      </c>
      <c r="J36" s="56" t="str">
        <f aca="false">IF($B36="","",SUMIF(发票统计!$A$4:$A$1003,$B36,发票统计!$M$4:$M$1003))</f>
        <v/>
      </c>
      <c r="K36" s="56" t="str">
        <f aca="false">IF($B36="","",SUMIF(发票统计!$A$4:$A$1003,$B36,发票统计!$N$4:$N$1003))</f>
        <v/>
      </c>
      <c r="L36" s="56" t="str">
        <f aca="false">IF($B36="","",SUMIF(发票统计!$A$4:$A$1003,$B36,发票统计!$O$4:$O$1003))</f>
        <v/>
      </c>
      <c r="M36" s="56" t="str">
        <f aca="false">IF($B36="","",J36-K36-L36)</f>
        <v/>
      </c>
      <c r="N36" s="56" t="str">
        <f aca="false">IF($B36="","",SUMIF(发票统计!$A$4:$A$1003,$B36,发票统计!$Q$4:$Q$1003))</f>
        <v/>
      </c>
      <c r="O36" s="56" t="str">
        <f aca="false">IF($B36="","",SUMIF(发票统计!$A$4:$A$1003,$B36,发票统计!$R$4:$R$1003))</f>
        <v/>
      </c>
      <c r="P36" s="56" t="str">
        <f aca="false">IF($B36="","",SUMIF(发票统计!$A$4:$A$1003,$B36,发票统计!$S$4:$S$1003))</f>
        <v/>
      </c>
      <c r="Q36" s="56" t="str">
        <f aca="false">IF($B36="","",N36-O36-P36)</f>
        <v/>
      </c>
      <c r="R36" s="62" t="str">
        <f aca="true">IF($B36="","",IFERROR(IF(SUMPRODUCT(ABS(INDIRECT("'"&amp;$B36&amp;"'!H3:T3")-$E36:$Q36))&lt;0.01,"✓","⚠ 分表合计对不上"),"⚠ 还没建分表"))</f>
        <v/>
      </c>
    </row>
    <row r="37" customFormat="false" ht="15" hidden="false" customHeight="false" outlineLevel="0" collapsed="false">
      <c r="A37" s="60" t="str">
        <f aca="false">IF($B37="","",ROWS(A$4:A37))</f>
        <v/>
      </c>
      <c r="B37" s="61" t="str">
        <f aca="false">IFERROR(HYPERLINK("#'"&amp;INDEX(目录!$C$3:$C$102,MATCH(ROWS(B$4:B37),目录!$F$3:$F$102,0))&amp;"'!A1",INDEX(目录!$C$3:$C$102,MATCH(ROWS(B$4:B37),目录!$F$3:$F$102,0))),"")</f>
        <v/>
      </c>
      <c r="C37" s="60" t="str">
        <f aca="false">IF($B37="","",COUNTIF(发票统计!$A$4:$A$1003,$B37))</f>
        <v/>
      </c>
      <c r="D37" s="62" t="str">
        <f aca="false">IF(N($C37)=0,"",INDEX(发票统计!$D$4:$D$1003,MATCH($B37&amp;"#"&amp;$C37,发票统计!$W$4:$W$1003,0))&amp;"")</f>
        <v/>
      </c>
      <c r="E37" s="56" t="str">
        <f aca="false">IF($B37="","",SUMIF(发票统计!$A$4:$A$1003,$B37,发票统计!$H$4:$H$1003))</f>
        <v/>
      </c>
      <c r="F37" s="56" t="str">
        <f aca="false">IF($B37="","",SUMIF(发票统计!$A$4:$A$1003,$B37,发票统计!$I$4:$I$1003))</f>
        <v/>
      </c>
      <c r="G37" s="56" t="str">
        <f aca="false">IF($B37="","",SUMIF(发票统计!$A$4:$A$1003,$B37,发票统计!$J$4:$J$1003))</f>
        <v/>
      </c>
      <c r="H37" s="56" t="str">
        <f aca="false">IF($B37="","",SUMIF(发票统计!$A$4:$A$1003,$B37,发票统计!$K$4:$K$1003))</f>
        <v/>
      </c>
      <c r="I37" s="56" t="str">
        <f aca="false">IF($B37="","",G37-H37)</f>
        <v/>
      </c>
      <c r="J37" s="56" t="str">
        <f aca="false">IF($B37="","",SUMIF(发票统计!$A$4:$A$1003,$B37,发票统计!$M$4:$M$1003))</f>
        <v/>
      </c>
      <c r="K37" s="56" t="str">
        <f aca="false">IF($B37="","",SUMIF(发票统计!$A$4:$A$1003,$B37,发票统计!$N$4:$N$1003))</f>
        <v/>
      </c>
      <c r="L37" s="56" t="str">
        <f aca="false">IF($B37="","",SUMIF(发票统计!$A$4:$A$1003,$B37,发票统计!$O$4:$O$1003))</f>
        <v/>
      </c>
      <c r="M37" s="56" t="str">
        <f aca="false">IF($B37="","",J37-K37-L37)</f>
        <v/>
      </c>
      <c r="N37" s="56" t="str">
        <f aca="false">IF($B37="","",SUMIF(发票统计!$A$4:$A$1003,$B37,发票统计!$Q$4:$Q$1003))</f>
        <v/>
      </c>
      <c r="O37" s="56" t="str">
        <f aca="false">IF($B37="","",SUMIF(发票统计!$A$4:$A$1003,$B37,发票统计!$R$4:$R$1003))</f>
        <v/>
      </c>
      <c r="P37" s="56" t="str">
        <f aca="false">IF($B37="","",SUMIF(发票统计!$A$4:$A$1003,$B37,发票统计!$S$4:$S$1003))</f>
        <v/>
      </c>
      <c r="Q37" s="56" t="str">
        <f aca="false">IF($B37="","",N37-O37-P37)</f>
        <v/>
      </c>
      <c r="R37" s="62" t="str">
        <f aca="true">IF($B37="","",IFERROR(IF(SUMPRODUCT(ABS(INDIRECT("'"&amp;$B37&amp;"'!H3:T3")-$E37:$Q37))&lt;0.01,"✓","⚠ 分表合计对不上"),"⚠ 还没建分表"))</f>
        <v/>
      </c>
    </row>
    <row r="38" customFormat="false" ht="15" hidden="false" customHeight="false" outlineLevel="0" collapsed="false">
      <c r="A38" s="60" t="str">
        <f aca="false">IF($B38="","",ROWS(A$4:A38))</f>
        <v/>
      </c>
      <c r="B38" s="61" t="str">
        <f aca="false">IFERROR(HYPERLINK("#'"&amp;INDEX(目录!$C$3:$C$102,MATCH(ROWS(B$4:B38),目录!$F$3:$F$102,0))&amp;"'!A1",INDEX(目录!$C$3:$C$102,MATCH(ROWS(B$4:B38),目录!$F$3:$F$102,0))),"")</f>
        <v/>
      </c>
      <c r="C38" s="60" t="str">
        <f aca="false">IF($B38="","",COUNTIF(发票统计!$A$4:$A$1003,$B38))</f>
        <v/>
      </c>
      <c r="D38" s="62" t="str">
        <f aca="false">IF(N($C38)=0,"",INDEX(发票统计!$D$4:$D$1003,MATCH($B38&amp;"#"&amp;$C38,发票统计!$W$4:$W$1003,0))&amp;"")</f>
        <v/>
      </c>
      <c r="E38" s="56" t="str">
        <f aca="false">IF($B38="","",SUMIF(发票统计!$A$4:$A$1003,$B38,发票统计!$H$4:$H$1003))</f>
        <v/>
      </c>
      <c r="F38" s="56" t="str">
        <f aca="false">IF($B38="","",SUMIF(发票统计!$A$4:$A$1003,$B38,发票统计!$I$4:$I$1003))</f>
        <v/>
      </c>
      <c r="G38" s="56" t="str">
        <f aca="false">IF($B38="","",SUMIF(发票统计!$A$4:$A$1003,$B38,发票统计!$J$4:$J$1003))</f>
        <v/>
      </c>
      <c r="H38" s="56" t="str">
        <f aca="false">IF($B38="","",SUMIF(发票统计!$A$4:$A$1003,$B38,发票统计!$K$4:$K$1003))</f>
        <v/>
      </c>
      <c r="I38" s="56" t="str">
        <f aca="false">IF($B38="","",G38-H38)</f>
        <v/>
      </c>
      <c r="J38" s="56" t="str">
        <f aca="false">IF($B38="","",SUMIF(发票统计!$A$4:$A$1003,$B38,发票统计!$M$4:$M$1003))</f>
        <v/>
      </c>
      <c r="K38" s="56" t="str">
        <f aca="false">IF($B38="","",SUMIF(发票统计!$A$4:$A$1003,$B38,发票统计!$N$4:$N$1003))</f>
        <v/>
      </c>
      <c r="L38" s="56" t="str">
        <f aca="false">IF($B38="","",SUMIF(发票统计!$A$4:$A$1003,$B38,发票统计!$O$4:$O$1003))</f>
        <v/>
      </c>
      <c r="M38" s="56" t="str">
        <f aca="false">IF($B38="","",J38-K38-L38)</f>
        <v/>
      </c>
      <c r="N38" s="56" t="str">
        <f aca="false">IF($B38="","",SUMIF(发票统计!$A$4:$A$1003,$B38,发票统计!$Q$4:$Q$1003))</f>
        <v/>
      </c>
      <c r="O38" s="56" t="str">
        <f aca="false">IF($B38="","",SUMIF(发票统计!$A$4:$A$1003,$B38,发票统计!$R$4:$R$1003))</f>
        <v/>
      </c>
      <c r="P38" s="56" t="str">
        <f aca="false">IF($B38="","",SUMIF(发票统计!$A$4:$A$1003,$B38,发票统计!$S$4:$S$1003))</f>
        <v/>
      </c>
      <c r="Q38" s="56" t="str">
        <f aca="false">IF($B38="","",N38-O38-P38)</f>
        <v/>
      </c>
      <c r="R38" s="62" t="str">
        <f aca="true">IF($B38="","",IFERROR(IF(SUMPRODUCT(ABS(INDIRECT("'"&amp;$B38&amp;"'!H3:T3")-$E38:$Q38))&lt;0.01,"✓","⚠ 分表合计对不上"),"⚠ 还没建分表"))</f>
        <v/>
      </c>
    </row>
    <row r="39" customFormat="false" ht="15" hidden="false" customHeight="false" outlineLevel="0" collapsed="false">
      <c r="A39" s="60" t="str">
        <f aca="false">IF($B39="","",ROWS(A$4:A39))</f>
        <v/>
      </c>
      <c r="B39" s="61" t="str">
        <f aca="false">IFERROR(HYPERLINK("#'"&amp;INDEX(目录!$C$3:$C$102,MATCH(ROWS(B$4:B39),目录!$F$3:$F$102,0))&amp;"'!A1",INDEX(目录!$C$3:$C$102,MATCH(ROWS(B$4:B39),目录!$F$3:$F$102,0))),"")</f>
        <v/>
      </c>
      <c r="C39" s="60" t="str">
        <f aca="false">IF($B39="","",COUNTIF(发票统计!$A$4:$A$1003,$B39))</f>
        <v/>
      </c>
      <c r="D39" s="62" t="str">
        <f aca="false">IF(N($C39)=0,"",INDEX(发票统计!$D$4:$D$1003,MATCH($B39&amp;"#"&amp;$C39,发票统计!$W$4:$W$1003,0))&amp;"")</f>
        <v/>
      </c>
      <c r="E39" s="56" t="str">
        <f aca="false">IF($B39="","",SUMIF(发票统计!$A$4:$A$1003,$B39,发票统计!$H$4:$H$1003))</f>
        <v/>
      </c>
      <c r="F39" s="56" t="str">
        <f aca="false">IF($B39="","",SUMIF(发票统计!$A$4:$A$1003,$B39,发票统计!$I$4:$I$1003))</f>
        <v/>
      </c>
      <c r="G39" s="56" t="str">
        <f aca="false">IF($B39="","",SUMIF(发票统计!$A$4:$A$1003,$B39,发票统计!$J$4:$J$1003))</f>
        <v/>
      </c>
      <c r="H39" s="56" t="str">
        <f aca="false">IF($B39="","",SUMIF(发票统计!$A$4:$A$1003,$B39,发票统计!$K$4:$K$1003))</f>
        <v/>
      </c>
      <c r="I39" s="56" t="str">
        <f aca="false">IF($B39="","",G39-H39)</f>
        <v/>
      </c>
      <c r="J39" s="56" t="str">
        <f aca="false">IF($B39="","",SUMIF(发票统计!$A$4:$A$1003,$B39,发票统计!$M$4:$M$1003))</f>
        <v/>
      </c>
      <c r="K39" s="56" t="str">
        <f aca="false">IF($B39="","",SUMIF(发票统计!$A$4:$A$1003,$B39,发票统计!$N$4:$N$1003))</f>
        <v/>
      </c>
      <c r="L39" s="56" t="str">
        <f aca="false">IF($B39="","",SUMIF(发票统计!$A$4:$A$1003,$B39,发票统计!$O$4:$O$1003))</f>
        <v/>
      </c>
      <c r="M39" s="56" t="str">
        <f aca="false">IF($B39="","",J39-K39-L39)</f>
        <v/>
      </c>
      <c r="N39" s="56" t="str">
        <f aca="false">IF($B39="","",SUMIF(发票统计!$A$4:$A$1003,$B39,发票统计!$Q$4:$Q$1003))</f>
        <v/>
      </c>
      <c r="O39" s="56" t="str">
        <f aca="false">IF($B39="","",SUMIF(发票统计!$A$4:$A$1003,$B39,发票统计!$R$4:$R$1003))</f>
        <v/>
      </c>
      <c r="P39" s="56" t="str">
        <f aca="false">IF($B39="","",SUMIF(发票统计!$A$4:$A$1003,$B39,发票统计!$S$4:$S$1003))</f>
        <v/>
      </c>
      <c r="Q39" s="56" t="str">
        <f aca="false">IF($B39="","",N39-O39-P39)</f>
        <v/>
      </c>
      <c r="R39" s="62" t="str">
        <f aca="true">IF($B39="","",IFERROR(IF(SUMPRODUCT(ABS(INDIRECT("'"&amp;$B39&amp;"'!H3:T3")-$E39:$Q39))&lt;0.01,"✓","⚠ 分表合计对不上"),"⚠ 还没建分表"))</f>
        <v/>
      </c>
    </row>
    <row r="40" customFormat="false" ht="15" hidden="false" customHeight="false" outlineLevel="0" collapsed="false">
      <c r="A40" s="60" t="str">
        <f aca="false">IF($B40="","",ROWS(A$4:A40))</f>
        <v/>
      </c>
      <c r="B40" s="61" t="str">
        <f aca="false">IFERROR(HYPERLINK("#'"&amp;INDEX(目录!$C$3:$C$102,MATCH(ROWS(B$4:B40),目录!$F$3:$F$102,0))&amp;"'!A1",INDEX(目录!$C$3:$C$102,MATCH(ROWS(B$4:B40),目录!$F$3:$F$102,0))),"")</f>
        <v/>
      </c>
      <c r="C40" s="60" t="str">
        <f aca="false">IF($B40="","",COUNTIF(发票统计!$A$4:$A$1003,$B40))</f>
        <v/>
      </c>
      <c r="D40" s="62" t="str">
        <f aca="false">IF(N($C40)=0,"",INDEX(发票统计!$D$4:$D$1003,MATCH($B40&amp;"#"&amp;$C40,发票统计!$W$4:$W$1003,0))&amp;"")</f>
        <v/>
      </c>
      <c r="E40" s="56" t="str">
        <f aca="false">IF($B40="","",SUMIF(发票统计!$A$4:$A$1003,$B40,发票统计!$H$4:$H$1003))</f>
        <v/>
      </c>
      <c r="F40" s="56" t="str">
        <f aca="false">IF($B40="","",SUMIF(发票统计!$A$4:$A$1003,$B40,发票统计!$I$4:$I$1003))</f>
        <v/>
      </c>
      <c r="G40" s="56" t="str">
        <f aca="false">IF($B40="","",SUMIF(发票统计!$A$4:$A$1003,$B40,发票统计!$J$4:$J$1003))</f>
        <v/>
      </c>
      <c r="H40" s="56" t="str">
        <f aca="false">IF($B40="","",SUMIF(发票统计!$A$4:$A$1003,$B40,发票统计!$K$4:$K$1003))</f>
        <v/>
      </c>
      <c r="I40" s="56" t="str">
        <f aca="false">IF($B40="","",G40-H40)</f>
        <v/>
      </c>
      <c r="J40" s="56" t="str">
        <f aca="false">IF($B40="","",SUMIF(发票统计!$A$4:$A$1003,$B40,发票统计!$M$4:$M$1003))</f>
        <v/>
      </c>
      <c r="K40" s="56" t="str">
        <f aca="false">IF($B40="","",SUMIF(发票统计!$A$4:$A$1003,$B40,发票统计!$N$4:$N$1003))</f>
        <v/>
      </c>
      <c r="L40" s="56" t="str">
        <f aca="false">IF($B40="","",SUMIF(发票统计!$A$4:$A$1003,$B40,发票统计!$O$4:$O$1003))</f>
        <v/>
      </c>
      <c r="M40" s="56" t="str">
        <f aca="false">IF($B40="","",J40-K40-L40)</f>
        <v/>
      </c>
      <c r="N40" s="56" t="str">
        <f aca="false">IF($B40="","",SUMIF(发票统计!$A$4:$A$1003,$B40,发票统计!$Q$4:$Q$1003))</f>
        <v/>
      </c>
      <c r="O40" s="56" t="str">
        <f aca="false">IF($B40="","",SUMIF(发票统计!$A$4:$A$1003,$B40,发票统计!$R$4:$R$1003))</f>
        <v/>
      </c>
      <c r="P40" s="56" t="str">
        <f aca="false">IF($B40="","",SUMIF(发票统计!$A$4:$A$1003,$B40,发票统计!$S$4:$S$1003))</f>
        <v/>
      </c>
      <c r="Q40" s="56" t="str">
        <f aca="false">IF($B40="","",N40-O40-P40)</f>
        <v/>
      </c>
      <c r="R40" s="62" t="str">
        <f aca="true">IF($B40="","",IFERROR(IF(SUMPRODUCT(ABS(INDIRECT("'"&amp;$B40&amp;"'!H3:T3")-$E40:$Q40))&lt;0.01,"✓","⚠ 分表合计对不上"),"⚠ 还没建分表"))</f>
        <v/>
      </c>
    </row>
    <row r="41" customFormat="false" ht="15" hidden="false" customHeight="false" outlineLevel="0" collapsed="false">
      <c r="A41" s="60" t="str">
        <f aca="false">IF($B41="","",ROWS(A$4:A41))</f>
        <v/>
      </c>
      <c r="B41" s="61" t="str">
        <f aca="false">IFERROR(HYPERLINK("#'"&amp;INDEX(目录!$C$3:$C$102,MATCH(ROWS(B$4:B41),目录!$F$3:$F$102,0))&amp;"'!A1",INDEX(目录!$C$3:$C$102,MATCH(ROWS(B$4:B41),目录!$F$3:$F$102,0))),"")</f>
        <v/>
      </c>
      <c r="C41" s="60" t="str">
        <f aca="false">IF($B41="","",COUNTIF(发票统计!$A$4:$A$1003,$B41))</f>
        <v/>
      </c>
      <c r="D41" s="62" t="str">
        <f aca="false">IF(N($C41)=0,"",INDEX(发票统计!$D$4:$D$1003,MATCH($B41&amp;"#"&amp;$C41,发票统计!$W$4:$W$1003,0))&amp;"")</f>
        <v/>
      </c>
      <c r="E41" s="56" t="str">
        <f aca="false">IF($B41="","",SUMIF(发票统计!$A$4:$A$1003,$B41,发票统计!$H$4:$H$1003))</f>
        <v/>
      </c>
      <c r="F41" s="56" t="str">
        <f aca="false">IF($B41="","",SUMIF(发票统计!$A$4:$A$1003,$B41,发票统计!$I$4:$I$1003))</f>
        <v/>
      </c>
      <c r="G41" s="56" t="str">
        <f aca="false">IF($B41="","",SUMIF(发票统计!$A$4:$A$1003,$B41,发票统计!$J$4:$J$1003))</f>
        <v/>
      </c>
      <c r="H41" s="56" t="str">
        <f aca="false">IF($B41="","",SUMIF(发票统计!$A$4:$A$1003,$B41,发票统计!$K$4:$K$1003))</f>
        <v/>
      </c>
      <c r="I41" s="56" t="str">
        <f aca="false">IF($B41="","",G41-H41)</f>
        <v/>
      </c>
      <c r="J41" s="56" t="str">
        <f aca="false">IF($B41="","",SUMIF(发票统计!$A$4:$A$1003,$B41,发票统计!$M$4:$M$1003))</f>
        <v/>
      </c>
      <c r="K41" s="56" t="str">
        <f aca="false">IF($B41="","",SUMIF(发票统计!$A$4:$A$1003,$B41,发票统计!$N$4:$N$1003))</f>
        <v/>
      </c>
      <c r="L41" s="56" t="str">
        <f aca="false">IF($B41="","",SUMIF(发票统计!$A$4:$A$1003,$B41,发票统计!$O$4:$O$1003))</f>
        <v/>
      </c>
      <c r="M41" s="56" t="str">
        <f aca="false">IF($B41="","",J41-K41-L41)</f>
        <v/>
      </c>
      <c r="N41" s="56" t="str">
        <f aca="false">IF($B41="","",SUMIF(发票统计!$A$4:$A$1003,$B41,发票统计!$Q$4:$Q$1003))</f>
        <v/>
      </c>
      <c r="O41" s="56" t="str">
        <f aca="false">IF($B41="","",SUMIF(发票统计!$A$4:$A$1003,$B41,发票统计!$R$4:$R$1003))</f>
        <v/>
      </c>
      <c r="P41" s="56" t="str">
        <f aca="false">IF($B41="","",SUMIF(发票统计!$A$4:$A$1003,$B41,发票统计!$S$4:$S$1003))</f>
        <v/>
      </c>
      <c r="Q41" s="56" t="str">
        <f aca="false">IF($B41="","",N41-O41-P41)</f>
        <v/>
      </c>
      <c r="R41" s="62" t="str">
        <f aca="true">IF($B41="","",IFERROR(IF(SUMPRODUCT(ABS(INDIRECT("'"&amp;$B41&amp;"'!H3:T3")-$E41:$Q41))&lt;0.01,"✓","⚠ 分表合计对不上"),"⚠ 还没建分表"))</f>
        <v/>
      </c>
    </row>
    <row r="42" customFormat="false" ht="15" hidden="false" customHeight="false" outlineLevel="0" collapsed="false">
      <c r="A42" s="60" t="str">
        <f aca="false">IF($B42="","",ROWS(A$4:A42))</f>
        <v/>
      </c>
      <c r="B42" s="61" t="str">
        <f aca="false">IFERROR(HYPERLINK("#'"&amp;INDEX(目录!$C$3:$C$102,MATCH(ROWS(B$4:B42),目录!$F$3:$F$102,0))&amp;"'!A1",INDEX(目录!$C$3:$C$102,MATCH(ROWS(B$4:B42),目录!$F$3:$F$102,0))),"")</f>
        <v/>
      </c>
      <c r="C42" s="60" t="str">
        <f aca="false">IF($B42="","",COUNTIF(发票统计!$A$4:$A$1003,$B42))</f>
        <v/>
      </c>
      <c r="D42" s="62" t="str">
        <f aca="false">IF(N($C42)=0,"",INDEX(发票统计!$D$4:$D$1003,MATCH($B42&amp;"#"&amp;$C42,发票统计!$W$4:$W$1003,0))&amp;"")</f>
        <v/>
      </c>
      <c r="E42" s="56" t="str">
        <f aca="false">IF($B42="","",SUMIF(发票统计!$A$4:$A$1003,$B42,发票统计!$H$4:$H$1003))</f>
        <v/>
      </c>
      <c r="F42" s="56" t="str">
        <f aca="false">IF($B42="","",SUMIF(发票统计!$A$4:$A$1003,$B42,发票统计!$I$4:$I$1003))</f>
        <v/>
      </c>
      <c r="G42" s="56" t="str">
        <f aca="false">IF($B42="","",SUMIF(发票统计!$A$4:$A$1003,$B42,发票统计!$J$4:$J$1003))</f>
        <v/>
      </c>
      <c r="H42" s="56" t="str">
        <f aca="false">IF($B42="","",SUMIF(发票统计!$A$4:$A$1003,$B42,发票统计!$K$4:$K$1003))</f>
        <v/>
      </c>
      <c r="I42" s="56" t="str">
        <f aca="false">IF($B42="","",G42-H42)</f>
        <v/>
      </c>
      <c r="J42" s="56" t="str">
        <f aca="false">IF($B42="","",SUMIF(发票统计!$A$4:$A$1003,$B42,发票统计!$M$4:$M$1003))</f>
        <v/>
      </c>
      <c r="K42" s="56" t="str">
        <f aca="false">IF($B42="","",SUMIF(发票统计!$A$4:$A$1003,$B42,发票统计!$N$4:$N$1003))</f>
        <v/>
      </c>
      <c r="L42" s="56" t="str">
        <f aca="false">IF($B42="","",SUMIF(发票统计!$A$4:$A$1003,$B42,发票统计!$O$4:$O$1003))</f>
        <v/>
      </c>
      <c r="M42" s="56" t="str">
        <f aca="false">IF($B42="","",J42-K42-L42)</f>
        <v/>
      </c>
      <c r="N42" s="56" t="str">
        <f aca="false">IF($B42="","",SUMIF(发票统计!$A$4:$A$1003,$B42,发票统计!$Q$4:$Q$1003))</f>
        <v/>
      </c>
      <c r="O42" s="56" t="str">
        <f aca="false">IF($B42="","",SUMIF(发票统计!$A$4:$A$1003,$B42,发票统计!$R$4:$R$1003))</f>
        <v/>
      </c>
      <c r="P42" s="56" t="str">
        <f aca="false">IF($B42="","",SUMIF(发票统计!$A$4:$A$1003,$B42,发票统计!$S$4:$S$1003))</f>
        <v/>
      </c>
      <c r="Q42" s="56" t="str">
        <f aca="false">IF($B42="","",N42-O42-P42)</f>
        <v/>
      </c>
      <c r="R42" s="62" t="str">
        <f aca="true">IF($B42="","",IFERROR(IF(SUMPRODUCT(ABS(INDIRECT("'"&amp;$B42&amp;"'!H3:T3")-$E42:$Q42))&lt;0.01,"✓","⚠ 分表合计对不上"),"⚠ 还没建分表"))</f>
        <v/>
      </c>
    </row>
    <row r="43" customFormat="false" ht="15" hidden="false" customHeight="false" outlineLevel="0" collapsed="false">
      <c r="A43" s="60" t="str">
        <f aca="false">IF($B43="","",ROWS(A$4:A43))</f>
        <v/>
      </c>
      <c r="B43" s="61" t="str">
        <f aca="false">IFERROR(HYPERLINK("#'"&amp;INDEX(目录!$C$3:$C$102,MATCH(ROWS(B$4:B43),目录!$F$3:$F$102,0))&amp;"'!A1",INDEX(目录!$C$3:$C$102,MATCH(ROWS(B$4:B43),目录!$F$3:$F$102,0))),"")</f>
        <v/>
      </c>
      <c r="C43" s="60" t="str">
        <f aca="false">IF($B43="","",COUNTIF(发票统计!$A$4:$A$1003,$B43))</f>
        <v/>
      </c>
      <c r="D43" s="62" t="str">
        <f aca="false">IF(N($C43)=0,"",INDEX(发票统计!$D$4:$D$1003,MATCH($B43&amp;"#"&amp;$C43,发票统计!$W$4:$W$1003,0))&amp;"")</f>
        <v/>
      </c>
      <c r="E43" s="56" t="str">
        <f aca="false">IF($B43="","",SUMIF(发票统计!$A$4:$A$1003,$B43,发票统计!$H$4:$H$1003))</f>
        <v/>
      </c>
      <c r="F43" s="56" t="str">
        <f aca="false">IF($B43="","",SUMIF(发票统计!$A$4:$A$1003,$B43,发票统计!$I$4:$I$1003))</f>
        <v/>
      </c>
      <c r="G43" s="56" t="str">
        <f aca="false">IF($B43="","",SUMIF(发票统计!$A$4:$A$1003,$B43,发票统计!$J$4:$J$1003))</f>
        <v/>
      </c>
      <c r="H43" s="56" t="str">
        <f aca="false">IF($B43="","",SUMIF(发票统计!$A$4:$A$1003,$B43,发票统计!$K$4:$K$1003))</f>
        <v/>
      </c>
      <c r="I43" s="56" t="str">
        <f aca="false">IF($B43="","",G43-H43)</f>
        <v/>
      </c>
      <c r="J43" s="56" t="str">
        <f aca="false">IF($B43="","",SUMIF(发票统计!$A$4:$A$1003,$B43,发票统计!$M$4:$M$1003))</f>
        <v/>
      </c>
      <c r="K43" s="56" t="str">
        <f aca="false">IF($B43="","",SUMIF(发票统计!$A$4:$A$1003,$B43,发票统计!$N$4:$N$1003))</f>
        <v/>
      </c>
      <c r="L43" s="56" t="str">
        <f aca="false">IF($B43="","",SUMIF(发票统计!$A$4:$A$1003,$B43,发票统计!$O$4:$O$1003))</f>
        <v/>
      </c>
      <c r="M43" s="56" t="str">
        <f aca="false">IF($B43="","",J43-K43-L43)</f>
        <v/>
      </c>
      <c r="N43" s="56" t="str">
        <f aca="false">IF($B43="","",SUMIF(发票统计!$A$4:$A$1003,$B43,发票统计!$Q$4:$Q$1003))</f>
        <v/>
      </c>
      <c r="O43" s="56" t="str">
        <f aca="false">IF($B43="","",SUMIF(发票统计!$A$4:$A$1003,$B43,发票统计!$R$4:$R$1003))</f>
        <v/>
      </c>
      <c r="P43" s="56" t="str">
        <f aca="false">IF($B43="","",SUMIF(发票统计!$A$4:$A$1003,$B43,发票统计!$S$4:$S$1003))</f>
        <v/>
      </c>
      <c r="Q43" s="56" t="str">
        <f aca="false">IF($B43="","",N43-O43-P43)</f>
        <v/>
      </c>
      <c r="R43" s="62" t="str">
        <f aca="true">IF($B43="","",IFERROR(IF(SUMPRODUCT(ABS(INDIRECT("'"&amp;$B43&amp;"'!H3:T3")-$E43:$Q43))&lt;0.01,"✓","⚠ 分表合计对不上"),"⚠ 还没建分表"))</f>
        <v/>
      </c>
    </row>
    <row r="44" customFormat="false" ht="15" hidden="false" customHeight="false" outlineLevel="0" collapsed="false">
      <c r="A44" s="60" t="str">
        <f aca="false">IF($B44="","",ROWS(A$4:A44))</f>
        <v/>
      </c>
      <c r="B44" s="61" t="str">
        <f aca="false">IFERROR(HYPERLINK("#'"&amp;INDEX(目录!$C$3:$C$102,MATCH(ROWS(B$4:B44),目录!$F$3:$F$102,0))&amp;"'!A1",INDEX(目录!$C$3:$C$102,MATCH(ROWS(B$4:B44),目录!$F$3:$F$102,0))),"")</f>
        <v/>
      </c>
      <c r="C44" s="60" t="str">
        <f aca="false">IF($B44="","",COUNTIF(发票统计!$A$4:$A$1003,$B44))</f>
        <v/>
      </c>
      <c r="D44" s="62" t="str">
        <f aca="false">IF(N($C44)=0,"",INDEX(发票统计!$D$4:$D$1003,MATCH($B44&amp;"#"&amp;$C44,发票统计!$W$4:$W$1003,0))&amp;"")</f>
        <v/>
      </c>
      <c r="E44" s="56" t="str">
        <f aca="false">IF($B44="","",SUMIF(发票统计!$A$4:$A$1003,$B44,发票统计!$H$4:$H$1003))</f>
        <v/>
      </c>
      <c r="F44" s="56" t="str">
        <f aca="false">IF($B44="","",SUMIF(发票统计!$A$4:$A$1003,$B44,发票统计!$I$4:$I$1003))</f>
        <v/>
      </c>
      <c r="G44" s="56" t="str">
        <f aca="false">IF($B44="","",SUMIF(发票统计!$A$4:$A$1003,$B44,发票统计!$J$4:$J$1003))</f>
        <v/>
      </c>
      <c r="H44" s="56" t="str">
        <f aca="false">IF($B44="","",SUMIF(发票统计!$A$4:$A$1003,$B44,发票统计!$K$4:$K$1003))</f>
        <v/>
      </c>
      <c r="I44" s="56" t="str">
        <f aca="false">IF($B44="","",G44-H44)</f>
        <v/>
      </c>
      <c r="J44" s="56" t="str">
        <f aca="false">IF($B44="","",SUMIF(发票统计!$A$4:$A$1003,$B44,发票统计!$M$4:$M$1003))</f>
        <v/>
      </c>
      <c r="K44" s="56" t="str">
        <f aca="false">IF($B44="","",SUMIF(发票统计!$A$4:$A$1003,$B44,发票统计!$N$4:$N$1003))</f>
        <v/>
      </c>
      <c r="L44" s="56" t="str">
        <f aca="false">IF($B44="","",SUMIF(发票统计!$A$4:$A$1003,$B44,发票统计!$O$4:$O$1003))</f>
        <v/>
      </c>
      <c r="M44" s="56" t="str">
        <f aca="false">IF($B44="","",J44-K44-L44)</f>
        <v/>
      </c>
      <c r="N44" s="56" t="str">
        <f aca="false">IF($B44="","",SUMIF(发票统计!$A$4:$A$1003,$B44,发票统计!$Q$4:$Q$1003))</f>
        <v/>
      </c>
      <c r="O44" s="56" t="str">
        <f aca="false">IF($B44="","",SUMIF(发票统计!$A$4:$A$1003,$B44,发票统计!$R$4:$R$1003))</f>
        <v/>
      </c>
      <c r="P44" s="56" t="str">
        <f aca="false">IF($B44="","",SUMIF(发票统计!$A$4:$A$1003,$B44,发票统计!$S$4:$S$1003))</f>
        <v/>
      </c>
      <c r="Q44" s="56" t="str">
        <f aca="false">IF($B44="","",N44-O44-P44)</f>
        <v/>
      </c>
      <c r="R44" s="62" t="str">
        <f aca="true">IF($B44="","",IFERROR(IF(SUMPRODUCT(ABS(INDIRECT("'"&amp;$B44&amp;"'!H3:T3")-$E44:$Q44))&lt;0.01,"✓","⚠ 分表合计对不上"),"⚠ 还没建分表"))</f>
        <v/>
      </c>
    </row>
    <row r="45" customFormat="false" ht="15" hidden="false" customHeight="false" outlineLevel="0" collapsed="false">
      <c r="A45" s="60" t="str">
        <f aca="false">IF($B45="","",ROWS(A$4:A45))</f>
        <v/>
      </c>
      <c r="B45" s="61" t="str">
        <f aca="false">IFERROR(HYPERLINK("#'"&amp;INDEX(目录!$C$3:$C$102,MATCH(ROWS(B$4:B45),目录!$F$3:$F$102,0))&amp;"'!A1",INDEX(目录!$C$3:$C$102,MATCH(ROWS(B$4:B45),目录!$F$3:$F$102,0))),"")</f>
        <v/>
      </c>
      <c r="C45" s="60" t="str">
        <f aca="false">IF($B45="","",COUNTIF(发票统计!$A$4:$A$1003,$B45))</f>
        <v/>
      </c>
      <c r="D45" s="62" t="str">
        <f aca="false">IF(N($C45)=0,"",INDEX(发票统计!$D$4:$D$1003,MATCH($B45&amp;"#"&amp;$C45,发票统计!$W$4:$W$1003,0))&amp;"")</f>
        <v/>
      </c>
      <c r="E45" s="56" t="str">
        <f aca="false">IF($B45="","",SUMIF(发票统计!$A$4:$A$1003,$B45,发票统计!$H$4:$H$1003))</f>
        <v/>
      </c>
      <c r="F45" s="56" t="str">
        <f aca="false">IF($B45="","",SUMIF(发票统计!$A$4:$A$1003,$B45,发票统计!$I$4:$I$1003))</f>
        <v/>
      </c>
      <c r="G45" s="56" t="str">
        <f aca="false">IF($B45="","",SUMIF(发票统计!$A$4:$A$1003,$B45,发票统计!$J$4:$J$1003))</f>
        <v/>
      </c>
      <c r="H45" s="56" t="str">
        <f aca="false">IF($B45="","",SUMIF(发票统计!$A$4:$A$1003,$B45,发票统计!$K$4:$K$1003))</f>
        <v/>
      </c>
      <c r="I45" s="56" t="str">
        <f aca="false">IF($B45="","",G45-H45)</f>
        <v/>
      </c>
      <c r="J45" s="56" t="str">
        <f aca="false">IF($B45="","",SUMIF(发票统计!$A$4:$A$1003,$B45,发票统计!$M$4:$M$1003))</f>
        <v/>
      </c>
      <c r="K45" s="56" t="str">
        <f aca="false">IF($B45="","",SUMIF(发票统计!$A$4:$A$1003,$B45,发票统计!$N$4:$N$1003))</f>
        <v/>
      </c>
      <c r="L45" s="56" t="str">
        <f aca="false">IF($B45="","",SUMIF(发票统计!$A$4:$A$1003,$B45,发票统计!$O$4:$O$1003))</f>
        <v/>
      </c>
      <c r="M45" s="56" t="str">
        <f aca="false">IF($B45="","",J45-K45-L45)</f>
        <v/>
      </c>
      <c r="N45" s="56" t="str">
        <f aca="false">IF($B45="","",SUMIF(发票统计!$A$4:$A$1003,$B45,发票统计!$Q$4:$Q$1003))</f>
        <v/>
      </c>
      <c r="O45" s="56" t="str">
        <f aca="false">IF($B45="","",SUMIF(发票统计!$A$4:$A$1003,$B45,发票统计!$R$4:$R$1003))</f>
        <v/>
      </c>
      <c r="P45" s="56" t="str">
        <f aca="false">IF($B45="","",SUMIF(发票统计!$A$4:$A$1003,$B45,发票统计!$S$4:$S$1003))</f>
        <v/>
      </c>
      <c r="Q45" s="56" t="str">
        <f aca="false">IF($B45="","",N45-O45-P45)</f>
        <v/>
      </c>
      <c r="R45" s="62" t="str">
        <f aca="true">IF($B45="","",IFERROR(IF(SUMPRODUCT(ABS(INDIRECT("'"&amp;$B45&amp;"'!H3:T3")-$E45:$Q45))&lt;0.01,"✓","⚠ 分表合计对不上"),"⚠ 还没建分表"))</f>
        <v/>
      </c>
    </row>
    <row r="46" customFormat="false" ht="15" hidden="false" customHeight="false" outlineLevel="0" collapsed="false">
      <c r="A46" s="60" t="str">
        <f aca="false">IF($B46="","",ROWS(A$4:A46))</f>
        <v/>
      </c>
      <c r="B46" s="61" t="str">
        <f aca="false">IFERROR(HYPERLINK("#'"&amp;INDEX(目录!$C$3:$C$102,MATCH(ROWS(B$4:B46),目录!$F$3:$F$102,0))&amp;"'!A1",INDEX(目录!$C$3:$C$102,MATCH(ROWS(B$4:B46),目录!$F$3:$F$102,0))),"")</f>
        <v/>
      </c>
      <c r="C46" s="60" t="str">
        <f aca="false">IF($B46="","",COUNTIF(发票统计!$A$4:$A$1003,$B46))</f>
        <v/>
      </c>
      <c r="D46" s="62" t="str">
        <f aca="false">IF(N($C46)=0,"",INDEX(发票统计!$D$4:$D$1003,MATCH($B46&amp;"#"&amp;$C46,发票统计!$W$4:$W$1003,0))&amp;"")</f>
        <v/>
      </c>
      <c r="E46" s="56" t="str">
        <f aca="false">IF($B46="","",SUMIF(发票统计!$A$4:$A$1003,$B46,发票统计!$H$4:$H$1003))</f>
        <v/>
      </c>
      <c r="F46" s="56" t="str">
        <f aca="false">IF($B46="","",SUMIF(发票统计!$A$4:$A$1003,$B46,发票统计!$I$4:$I$1003))</f>
        <v/>
      </c>
      <c r="G46" s="56" t="str">
        <f aca="false">IF($B46="","",SUMIF(发票统计!$A$4:$A$1003,$B46,发票统计!$J$4:$J$1003))</f>
        <v/>
      </c>
      <c r="H46" s="56" t="str">
        <f aca="false">IF($B46="","",SUMIF(发票统计!$A$4:$A$1003,$B46,发票统计!$K$4:$K$1003))</f>
        <v/>
      </c>
      <c r="I46" s="56" t="str">
        <f aca="false">IF($B46="","",G46-H46)</f>
        <v/>
      </c>
      <c r="J46" s="56" t="str">
        <f aca="false">IF($B46="","",SUMIF(发票统计!$A$4:$A$1003,$B46,发票统计!$M$4:$M$1003))</f>
        <v/>
      </c>
      <c r="K46" s="56" t="str">
        <f aca="false">IF($B46="","",SUMIF(发票统计!$A$4:$A$1003,$B46,发票统计!$N$4:$N$1003))</f>
        <v/>
      </c>
      <c r="L46" s="56" t="str">
        <f aca="false">IF($B46="","",SUMIF(发票统计!$A$4:$A$1003,$B46,发票统计!$O$4:$O$1003))</f>
        <v/>
      </c>
      <c r="M46" s="56" t="str">
        <f aca="false">IF($B46="","",J46-K46-L46)</f>
        <v/>
      </c>
      <c r="N46" s="56" t="str">
        <f aca="false">IF($B46="","",SUMIF(发票统计!$A$4:$A$1003,$B46,发票统计!$Q$4:$Q$1003))</f>
        <v/>
      </c>
      <c r="O46" s="56" t="str">
        <f aca="false">IF($B46="","",SUMIF(发票统计!$A$4:$A$1003,$B46,发票统计!$R$4:$R$1003))</f>
        <v/>
      </c>
      <c r="P46" s="56" t="str">
        <f aca="false">IF($B46="","",SUMIF(发票统计!$A$4:$A$1003,$B46,发票统计!$S$4:$S$1003))</f>
        <v/>
      </c>
      <c r="Q46" s="56" t="str">
        <f aca="false">IF($B46="","",N46-O46-P46)</f>
        <v/>
      </c>
      <c r="R46" s="62" t="str">
        <f aca="true">IF($B46="","",IFERROR(IF(SUMPRODUCT(ABS(INDIRECT("'"&amp;$B46&amp;"'!H3:T3")-$E46:$Q46))&lt;0.01,"✓","⚠ 分表合计对不上"),"⚠ 还没建分表"))</f>
        <v/>
      </c>
    </row>
    <row r="47" customFormat="false" ht="15" hidden="false" customHeight="false" outlineLevel="0" collapsed="false">
      <c r="A47" s="60" t="str">
        <f aca="false">IF($B47="","",ROWS(A$4:A47))</f>
        <v/>
      </c>
      <c r="B47" s="61" t="str">
        <f aca="false">IFERROR(HYPERLINK("#'"&amp;INDEX(目录!$C$3:$C$102,MATCH(ROWS(B$4:B47),目录!$F$3:$F$102,0))&amp;"'!A1",INDEX(目录!$C$3:$C$102,MATCH(ROWS(B$4:B47),目录!$F$3:$F$102,0))),"")</f>
        <v/>
      </c>
      <c r="C47" s="60" t="str">
        <f aca="false">IF($B47="","",COUNTIF(发票统计!$A$4:$A$1003,$B47))</f>
        <v/>
      </c>
      <c r="D47" s="62" t="str">
        <f aca="false">IF(N($C47)=0,"",INDEX(发票统计!$D$4:$D$1003,MATCH($B47&amp;"#"&amp;$C47,发票统计!$W$4:$W$1003,0))&amp;"")</f>
        <v/>
      </c>
      <c r="E47" s="56" t="str">
        <f aca="false">IF($B47="","",SUMIF(发票统计!$A$4:$A$1003,$B47,发票统计!$H$4:$H$1003))</f>
        <v/>
      </c>
      <c r="F47" s="56" t="str">
        <f aca="false">IF($B47="","",SUMIF(发票统计!$A$4:$A$1003,$B47,发票统计!$I$4:$I$1003))</f>
        <v/>
      </c>
      <c r="G47" s="56" t="str">
        <f aca="false">IF($B47="","",SUMIF(发票统计!$A$4:$A$1003,$B47,发票统计!$J$4:$J$1003))</f>
        <v/>
      </c>
      <c r="H47" s="56" t="str">
        <f aca="false">IF($B47="","",SUMIF(发票统计!$A$4:$A$1003,$B47,发票统计!$K$4:$K$1003))</f>
        <v/>
      </c>
      <c r="I47" s="56" t="str">
        <f aca="false">IF($B47="","",G47-H47)</f>
        <v/>
      </c>
      <c r="J47" s="56" t="str">
        <f aca="false">IF($B47="","",SUMIF(发票统计!$A$4:$A$1003,$B47,发票统计!$M$4:$M$1003))</f>
        <v/>
      </c>
      <c r="K47" s="56" t="str">
        <f aca="false">IF($B47="","",SUMIF(发票统计!$A$4:$A$1003,$B47,发票统计!$N$4:$N$1003))</f>
        <v/>
      </c>
      <c r="L47" s="56" t="str">
        <f aca="false">IF($B47="","",SUMIF(发票统计!$A$4:$A$1003,$B47,发票统计!$O$4:$O$1003))</f>
        <v/>
      </c>
      <c r="M47" s="56" t="str">
        <f aca="false">IF($B47="","",J47-K47-L47)</f>
        <v/>
      </c>
      <c r="N47" s="56" t="str">
        <f aca="false">IF($B47="","",SUMIF(发票统计!$A$4:$A$1003,$B47,发票统计!$Q$4:$Q$1003))</f>
        <v/>
      </c>
      <c r="O47" s="56" t="str">
        <f aca="false">IF($B47="","",SUMIF(发票统计!$A$4:$A$1003,$B47,发票统计!$R$4:$R$1003))</f>
        <v/>
      </c>
      <c r="P47" s="56" t="str">
        <f aca="false">IF($B47="","",SUMIF(发票统计!$A$4:$A$1003,$B47,发票统计!$S$4:$S$1003))</f>
        <v/>
      </c>
      <c r="Q47" s="56" t="str">
        <f aca="false">IF($B47="","",N47-O47-P47)</f>
        <v/>
      </c>
      <c r="R47" s="62" t="str">
        <f aca="true">IF($B47="","",IFERROR(IF(SUMPRODUCT(ABS(INDIRECT("'"&amp;$B47&amp;"'!H3:T3")-$E47:$Q47))&lt;0.01,"✓","⚠ 分表合计对不上"),"⚠ 还没建分表"))</f>
        <v/>
      </c>
    </row>
    <row r="48" customFormat="false" ht="15" hidden="false" customHeight="false" outlineLevel="0" collapsed="false">
      <c r="A48" s="60" t="str">
        <f aca="false">IF($B48="","",ROWS(A$4:A48))</f>
        <v/>
      </c>
      <c r="B48" s="61" t="str">
        <f aca="false">IFERROR(HYPERLINK("#'"&amp;INDEX(目录!$C$3:$C$102,MATCH(ROWS(B$4:B48),目录!$F$3:$F$102,0))&amp;"'!A1",INDEX(目录!$C$3:$C$102,MATCH(ROWS(B$4:B48),目录!$F$3:$F$102,0))),"")</f>
        <v/>
      </c>
      <c r="C48" s="60" t="str">
        <f aca="false">IF($B48="","",COUNTIF(发票统计!$A$4:$A$1003,$B48))</f>
        <v/>
      </c>
      <c r="D48" s="62" t="str">
        <f aca="false">IF(N($C48)=0,"",INDEX(发票统计!$D$4:$D$1003,MATCH($B48&amp;"#"&amp;$C48,发票统计!$W$4:$W$1003,0))&amp;"")</f>
        <v/>
      </c>
      <c r="E48" s="56" t="str">
        <f aca="false">IF($B48="","",SUMIF(发票统计!$A$4:$A$1003,$B48,发票统计!$H$4:$H$1003))</f>
        <v/>
      </c>
      <c r="F48" s="56" t="str">
        <f aca="false">IF($B48="","",SUMIF(发票统计!$A$4:$A$1003,$B48,发票统计!$I$4:$I$1003))</f>
        <v/>
      </c>
      <c r="G48" s="56" t="str">
        <f aca="false">IF($B48="","",SUMIF(发票统计!$A$4:$A$1003,$B48,发票统计!$J$4:$J$1003))</f>
        <v/>
      </c>
      <c r="H48" s="56" t="str">
        <f aca="false">IF($B48="","",SUMIF(发票统计!$A$4:$A$1003,$B48,发票统计!$K$4:$K$1003))</f>
        <v/>
      </c>
      <c r="I48" s="56" t="str">
        <f aca="false">IF($B48="","",G48-H48)</f>
        <v/>
      </c>
      <c r="J48" s="56" t="str">
        <f aca="false">IF($B48="","",SUMIF(发票统计!$A$4:$A$1003,$B48,发票统计!$M$4:$M$1003))</f>
        <v/>
      </c>
      <c r="K48" s="56" t="str">
        <f aca="false">IF($B48="","",SUMIF(发票统计!$A$4:$A$1003,$B48,发票统计!$N$4:$N$1003))</f>
        <v/>
      </c>
      <c r="L48" s="56" t="str">
        <f aca="false">IF($B48="","",SUMIF(发票统计!$A$4:$A$1003,$B48,发票统计!$O$4:$O$1003))</f>
        <v/>
      </c>
      <c r="M48" s="56" t="str">
        <f aca="false">IF($B48="","",J48-K48-L48)</f>
        <v/>
      </c>
      <c r="N48" s="56" t="str">
        <f aca="false">IF($B48="","",SUMIF(发票统计!$A$4:$A$1003,$B48,发票统计!$Q$4:$Q$1003))</f>
        <v/>
      </c>
      <c r="O48" s="56" t="str">
        <f aca="false">IF($B48="","",SUMIF(发票统计!$A$4:$A$1003,$B48,发票统计!$R$4:$R$1003))</f>
        <v/>
      </c>
      <c r="P48" s="56" t="str">
        <f aca="false">IF($B48="","",SUMIF(发票统计!$A$4:$A$1003,$B48,发票统计!$S$4:$S$1003))</f>
        <v/>
      </c>
      <c r="Q48" s="56" t="str">
        <f aca="false">IF($B48="","",N48-O48-P48)</f>
        <v/>
      </c>
      <c r="R48" s="62" t="str">
        <f aca="true">IF($B48="","",IFERROR(IF(SUMPRODUCT(ABS(INDIRECT("'"&amp;$B48&amp;"'!H3:T3")-$E48:$Q48))&lt;0.01,"✓","⚠ 分表合计对不上"),"⚠ 还没建分表"))</f>
        <v/>
      </c>
    </row>
    <row r="49" customFormat="false" ht="15" hidden="false" customHeight="false" outlineLevel="0" collapsed="false">
      <c r="A49" s="60" t="str">
        <f aca="false">IF($B49="","",ROWS(A$4:A49))</f>
        <v/>
      </c>
      <c r="B49" s="61" t="str">
        <f aca="false">IFERROR(HYPERLINK("#'"&amp;INDEX(目录!$C$3:$C$102,MATCH(ROWS(B$4:B49),目录!$F$3:$F$102,0))&amp;"'!A1",INDEX(目录!$C$3:$C$102,MATCH(ROWS(B$4:B49),目录!$F$3:$F$102,0))),"")</f>
        <v/>
      </c>
      <c r="C49" s="60" t="str">
        <f aca="false">IF($B49="","",COUNTIF(发票统计!$A$4:$A$1003,$B49))</f>
        <v/>
      </c>
      <c r="D49" s="62" t="str">
        <f aca="false">IF(N($C49)=0,"",INDEX(发票统计!$D$4:$D$1003,MATCH($B49&amp;"#"&amp;$C49,发票统计!$W$4:$W$1003,0))&amp;"")</f>
        <v/>
      </c>
      <c r="E49" s="56" t="str">
        <f aca="false">IF($B49="","",SUMIF(发票统计!$A$4:$A$1003,$B49,发票统计!$H$4:$H$1003))</f>
        <v/>
      </c>
      <c r="F49" s="56" t="str">
        <f aca="false">IF($B49="","",SUMIF(发票统计!$A$4:$A$1003,$B49,发票统计!$I$4:$I$1003))</f>
        <v/>
      </c>
      <c r="G49" s="56" t="str">
        <f aca="false">IF($B49="","",SUMIF(发票统计!$A$4:$A$1003,$B49,发票统计!$J$4:$J$1003))</f>
        <v/>
      </c>
      <c r="H49" s="56" t="str">
        <f aca="false">IF($B49="","",SUMIF(发票统计!$A$4:$A$1003,$B49,发票统计!$K$4:$K$1003))</f>
        <v/>
      </c>
      <c r="I49" s="56" t="str">
        <f aca="false">IF($B49="","",G49-H49)</f>
        <v/>
      </c>
      <c r="J49" s="56" t="str">
        <f aca="false">IF($B49="","",SUMIF(发票统计!$A$4:$A$1003,$B49,发票统计!$M$4:$M$1003))</f>
        <v/>
      </c>
      <c r="K49" s="56" t="str">
        <f aca="false">IF($B49="","",SUMIF(发票统计!$A$4:$A$1003,$B49,发票统计!$N$4:$N$1003))</f>
        <v/>
      </c>
      <c r="L49" s="56" t="str">
        <f aca="false">IF($B49="","",SUMIF(发票统计!$A$4:$A$1003,$B49,发票统计!$O$4:$O$1003))</f>
        <v/>
      </c>
      <c r="M49" s="56" t="str">
        <f aca="false">IF($B49="","",J49-K49-L49)</f>
        <v/>
      </c>
      <c r="N49" s="56" t="str">
        <f aca="false">IF($B49="","",SUMIF(发票统计!$A$4:$A$1003,$B49,发票统计!$Q$4:$Q$1003))</f>
        <v/>
      </c>
      <c r="O49" s="56" t="str">
        <f aca="false">IF($B49="","",SUMIF(发票统计!$A$4:$A$1003,$B49,发票统计!$R$4:$R$1003))</f>
        <v/>
      </c>
      <c r="P49" s="56" t="str">
        <f aca="false">IF($B49="","",SUMIF(发票统计!$A$4:$A$1003,$B49,发票统计!$S$4:$S$1003))</f>
        <v/>
      </c>
      <c r="Q49" s="56" t="str">
        <f aca="false">IF($B49="","",N49-O49-P49)</f>
        <v/>
      </c>
      <c r="R49" s="62" t="str">
        <f aca="true">IF($B49="","",IFERROR(IF(SUMPRODUCT(ABS(INDIRECT("'"&amp;$B49&amp;"'!H3:T3")-$E49:$Q49))&lt;0.01,"✓","⚠ 分表合计对不上"),"⚠ 还没建分表"))</f>
        <v/>
      </c>
    </row>
    <row r="50" customFormat="false" ht="15" hidden="false" customHeight="false" outlineLevel="0" collapsed="false">
      <c r="A50" s="60" t="str">
        <f aca="false">IF($B50="","",ROWS(A$4:A50))</f>
        <v/>
      </c>
      <c r="B50" s="61" t="str">
        <f aca="false">IFERROR(HYPERLINK("#'"&amp;INDEX(目录!$C$3:$C$102,MATCH(ROWS(B$4:B50),目录!$F$3:$F$102,0))&amp;"'!A1",INDEX(目录!$C$3:$C$102,MATCH(ROWS(B$4:B50),目录!$F$3:$F$102,0))),"")</f>
        <v/>
      </c>
      <c r="C50" s="60" t="str">
        <f aca="false">IF($B50="","",COUNTIF(发票统计!$A$4:$A$1003,$B50))</f>
        <v/>
      </c>
      <c r="D50" s="62" t="str">
        <f aca="false">IF(N($C50)=0,"",INDEX(发票统计!$D$4:$D$1003,MATCH($B50&amp;"#"&amp;$C50,发票统计!$W$4:$W$1003,0))&amp;"")</f>
        <v/>
      </c>
      <c r="E50" s="56" t="str">
        <f aca="false">IF($B50="","",SUMIF(发票统计!$A$4:$A$1003,$B50,发票统计!$H$4:$H$1003))</f>
        <v/>
      </c>
      <c r="F50" s="56" t="str">
        <f aca="false">IF($B50="","",SUMIF(发票统计!$A$4:$A$1003,$B50,发票统计!$I$4:$I$1003))</f>
        <v/>
      </c>
      <c r="G50" s="56" t="str">
        <f aca="false">IF($B50="","",SUMIF(发票统计!$A$4:$A$1003,$B50,发票统计!$J$4:$J$1003))</f>
        <v/>
      </c>
      <c r="H50" s="56" t="str">
        <f aca="false">IF($B50="","",SUMIF(发票统计!$A$4:$A$1003,$B50,发票统计!$K$4:$K$1003))</f>
        <v/>
      </c>
      <c r="I50" s="56" t="str">
        <f aca="false">IF($B50="","",G50-H50)</f>
        <v/>
      </c>
      <c r="J50" s="56" t="str">
        <f aca="false">IF($B50="","",SUMIF(发票统计!$A$4:$A$1003,$B50,发票统计!$M$4:$M$1003))</f>
        <v/>
      </c>
      <c r="K50" s="56" t="str">
        <f aca="false">IF($B50="","",SUMIF(发票统计!$A$4:$A$1003,$B50,发票统计!$N$4:$N$1003))</f>
        <v/>
      </c>
      <c r="L50" s="56" t="str">
        <f aca="false">IF($B50="","",SUMIF(发票统计!$A$4:$A$1003,$B50,发票统计!$O$4:$O$1003))</f>
        <v/>
      </c>
      <c r="M50" s="56" t="str">
        <f aca="false">IF($B50="","",J50-K50-L50)</f>
        <v/>
      </c>
      <c r="N50" s="56" t="str">
        <f aca="false">IF($B50="","",SUMIF(发票统计!$A$4:$A$1003,$B50,发票统计!$Q$4:$Q$1003))</f>
        <v/>
      </c>
      <c r="O50" s="56" t="str">
        <f aca="false">IF($B50="","",SUMIF(发票统计!$A$4:$A$1003,$B50,发票统计!$R$4:$R$1003))</f>
        <v/>
      </c>
      <c r="P50" s="56" t="str">
        <f aca="false">IF($B50="","",SUMIF(发票统计!$A$4:$A$1003,$B50,发票统计!$S$4:$S$1003))</f>
        <v/>
      </c>
      <c r="Q50" s="56" t="str">
        <f aca="false">IF($B50="","",N50-O50-P50)</f>
        <v/>
      </c>
      <c r="R50" s="62" t="str">
        <f aca="true">IF($B50="","",IFERROR(IF(SUMPRODUCT(ABS(INDIRECT("'"&amp;$B50&amp;"'!H3:T3")-$E50:$Q50))&lt;0.01,"✓","⚠ 分表合计对不上"),"⚠ 还没建分表"))</f>
        <v/>
      </c>
    </row>
    <row r="51" customFormat="false" ht="15" hidden="false" customHeight="false" outlineLevel="0" collapsed="false">
      <c r="A51" s="60" t="str">
        <f aca="false">IF($B51="","",ROWS(A$4:A51))</f>
        <v/>
      </c>
      <c r="B51" s="61" t="str">
        <f aca="false">IFERROR(HYPERLINK("#'"&amp;INDEX(目录!$C$3:$C$102,MATCH(ROWS(B$4:B51),目录!$F$3:$F$102,0))&amp;"'!A1",INDEX(目录!$C$3:$C$102,MATCH(ROWS(B$4:B51),目录!$F$3:$F$102,0))),"")</f>
        <v/>
      </c>
      <c r="C51" s="60" t="str">
        <f aca="false">IF($B51="","",COUNTIF(发票统计!$A$4:$A$1003,$B51))</f>
        <v/>
      </c>
      <c r="D51" s="62" t="str">
        <f aca="false">IF(N($C51)=0,"",INDEX(发票统计!$D$4:$D$1003,MATCH($B51&amp;"#"&amp;$C51,发票统计!$W$4:$W$1003,0))&amp;"")</f>
        <v/>
      </c>
      <c r="E51" s="56" t="str">
        <f aca="false">IF($B51="","",SUMIF(发票统计!$A$4:$A$1003,$B51,发票统计!$H$4:$H$1003))</f>
        <v/>
      </c>
      <c r="F51" s="56" t="str">
        <f aca="false">IF($B51="","",SUMIF(发票统计!$A$4:$A$1003,$B51,发票统计!$I$4:$I$1003))</f>
        <v/>
      </c>
      <c r="G51" s="56" t="str">
        <f aca="false">IF($B51="","",SUMIF(发票统计!$A$4:$A$1003,$B51,发票统计!$J$4:$J$1003))</f>
        <v/>
      </c>
      <c r="H51" s="56" t="str">
        <f aca="false">IF($B51="","",SUMIF(发票统计!$A$4:$A$1003,$B51,发票统计!$K$4:$K$1003))</f>
        <v/>
      </c>
      <c r="I51" s="56" t="str">
        <f aca="false">IF($B51="","",G51-H51)</f>
        <v/>
      </c>
      <c r="J51" s="56" t="str">
        <f aca="false">IF($B51="","",SUMIF(发票统计!$A$4:$A$1003,$B51,发票统计!$M$4:$M$1003))</f>
        <v/>
      </c>
      <c r="K51" s="56" t="str">
        <f aca="false">IF($B51="","",SUMIF(发票统计!$A$4:$A$1003,$B51,发票统计!$N$4:$N$1003))</f>
        <v/>
      </c>
      <c r="L51" s="56" t="str">
        <f aca="false">IF($B51="","",SUMIF(发票统计!$A$4:$A$1003,$B51,发票统计!$O$4:$O$1003))</f>
        <v/>
      </c>
      <c r="M51" s="56" t="str">
        <f aca="false">IF($B51="","",J51-K51-L51)</f>
        <v/>
      </c>
      <c r="N51" s="56" t="str">
        <f aca="false">IF($B51="","",SUMIF(发票统计!$A$4:$A$1003,$B51,发票统计!$Q$4:$Q$1003))</f>
        <v/>
      </c>
      <c r="O51" s="56" t="str">
        <f aca="false">IF($B51="","",SUMIF(发票统计!$A$4:$A$1003,$B51,发票统计!$R$4:$R$1003))</f>
        <v/>
      </c>
      <c r="P51" s="56" t="str">
        <f aca="false">IF($B51="","",SUMIF(发票统计!$A$4:$A$1003,$B51,发票统计!$S$4:$S$1003))</f>
        <v/>
      </c>
      <c r="Q51" s="56" t="str">
        <f aca="false">IF($B51="","",N51-O51-P51)</f>
        <v/>
      </c>
      <c r="R51" s="62" t="str">
        <f aca="true">IF($B51="","",IFERROR(IF(SUMPRODUCT(ABS(INDIRECT("'"&amp;$B51&amp;"'!H3:T3")-$E51:$Q51))&lt;0.01,"✓","⚠ 分表合计对不上"),"⚠ 还没建分表"))</f>
        <v/>
      </c>
    </row>
    <row r="52" customFormat="false" ht="15" hidden="false" customHeight="false" outlineLevel="0" collapsed="false">
      <c r="A52" s="60" t="str">
        <f aca="false">IF($B52="","",ROWS(A$4:A52))</f>
        <v/>
      </c>
      <c r="B52" s="61" t="str">
        <f aca="false">IFERROR(HYPERLINK("#'"&amp;INDEX(目录!$C$3:$C$102,MATCH(ROWS(B$4:B52),目录!$F$3:$F$102,0))&amp;"'!A1",INDEX(目录!$C$3:$C$102,MATCH(ROWS(B$4:B52),目录!$F$3:$F$102,0))),"")</f>
        <v/>
      </c>
      <c r="C52" s="60" t="str">
        <f aca="false">IF($B52="","",COUNTIF(发票统计!$A$4:$A$1003,$B52))</f>
        <v/>
      </c>
      <c r="D52" s="62" t="str">
        <f aca="false">IF(N($C52)=0,"",INDEX(发票统计!$D$4:$D$1003,MATCH($B52&amp;"#"&amp;$C52,发票统计!$W$4:$W$1003,0))&amp;"")</f>
        <v/>
      </c>
      <c r="E52" s="56" t="str">
        <f aca="false">IF($B52="","",SUMIF(发票统计!$A$4:$A$1003,$B52,发票统计!$H$4:$H$1003))</f>
        <v/>
      </c>
      <c r="F52" s="56" t="str">
        <f aca="false">IF($B52="","",SUMIF(发票统计!$A$4:$A$1003,$B52,发票统计!$I$4:$I$1003))</f>
        <v/>
      </c>
      <c r="G52" s="56" t="str">
        <f aca="false">IF($B52="","",SUMIF(发票统计!$A$4:$A$1003,$B52,发票统计!$J$4:$J$1003))</f>
        <v/>
      </c>
      <c r="H52" s="56" t="str">
        <f aca="false">IF($B52="","",SUMIF(发票统计!$A$4:$A$1003,$B52,发票统计!$K$4:$K$1003))</f>
        <v/>
      </c>
      <c r="I52" s="56" t="str">
        <f aca="false">IF($B52="","",G52-H52)</f>
        <v/>
      </c>
      <c r="J52" s="56" t="str">
        <f aca="false">IF($B52="","",SUMIF(发票统计!$A$4:$A$1003,$B52,发票统计!$M$4:$M$1003))</f>
        <v/>
      </c>
      <c r="K52" s="56" t="str">
        <f aca="false">IF($B52="","",SUMIF(发票统计!$A$4:$A$1003,$B52,发票统计!$N$4:$N$1003))</f>
        <v/>
      </c>
      <c r="L52" s="56" t="str">
        <f aca="false">IF($B52="","",SUMIF(发票统计!$A$4:$A$1003,$B52,发票统计!$O$4:$O$1003))</f>
        <v/>
      </c>
      <c r="M52" s="56" t="str">
        <f aca="false">IF($B52="","",J52-K52-L52)</f>
        <v/>
      </c>
      <c r="N52" s="56" t="str">
        <f aca="false">IF($B52="","",SUMIF(发票统计!$A$4:$A$1003,$B52,发票统计!$Q$4:$Q$1003))</f>
        <v/>
      </c>
      <c r="O52" s="56" t="str">
        <f aca="false">IF($B52="","",SUMIF(发票统计!$A$4:$A$1003,$B52,发票统计!$R$4:$R$1003))</f>
        <v/>
      </c>
      <c r="P52" s="56" t="str">
        <f aca="false">IF($B52="","",SUMIF(发票统计!$A$4:$A$1003,$B52,发票统计!$S$4:$S$1003))</f>
        <v/>
      </c>
      <c r="Q52" s="56" t="str">
        <f aca="false">IF($B52="","",N52-O52-P52)</f>
        <v/>
      </c>
      <c r="R52" s="62" t="str">
        <f aca="true">IF($B52="","",IFERROR(IF(SUMPRODUCT(ABS(INDIRECT("'"&amp;$B52&amp;"'!H3:T3")-$E52:$Q52))&lt;0.01,"✓","⚠ 分表合计对不上"),"⚠ 还没建分表"))</f>
        <v/>
      </c>
    </row>
    <row r="53" customFormat="false" ht="15" hidden="false" customHeight="false" outlineLevel="0" collapsed="false">
      <c r="A53" s="60" t="str">
        <f aca="false">IF($B53="","",ROWS(A$4:A53))</f>
        <v/>
      </c>
      <c r="B53" s="61" t="str">
        <f aca="false">IFERROR(HYPERLINK("#'"&amp;INDEX(目录!$C$3:$C$102,MATCH(ROWS(B$4:B53),目录!$F$3:$F$102,0))&amp;"'!A1",INDEX(目录!$C$3:$C$102,MATCH(ROWS(B$4:B53),目录!$F$3:$F$102,0))),"")</f>
        <v/>
      </c>
      <c r="C53" s="60" t="str">
        <f aca="false">IF($B53="","",COUNTIF(发票统计!$A$4:$A$1003,$B53))</f>
        <v/>
      </c>
      <c r="D53" s="62" t="str">
        <f aca="false">IF(N($C53)=0,"",INDEX(发票统计!$D$4:$D$1003,MATCH($B53&amp;"#"&amp;$C53,发票统计!$W$4:$W$1003,0))&amp;"")</f>
        <v/>
      </c>
      <c r="E53" s="56" t="str">
        <f aca="false">IF($B53="","",SUMIF(发票统计!$A$4:$A$1003,$B53,发票统计!$H$4:$H$1003))</f>
        <v/>
      </c>
      <c r="F53" s="56" t="str">
        <f aca="false">IF($B53="","",SUMIF(发票统计!$A$4:$A$1003,$B53,发票统计!$I$4:$I$1003))</f>
        <v/>
      </c>
      <c r="G53" s="56" t="str">
        <f aca="false">IF($B53="","",SUMIF(发票统计!$A$4:$A$1003,$B53,发票统计!$J$4:$J$1003))</f>
        <v/>
      </c>
      <c r="H53" s="56" t="str">
        <f aca="false">IF($B53="","",SUMIF(发票统计!$A$4:$A$1003,$B53,发票统计!$K$4:$K$1003))</f>
        <v/>
      </c>
      <c r="I53" s="56" t="str">
        <f aca="false">IF($B53="","",G53-H53)</f>
        <v/>
      </c>
      <c r="J53" s="56" t="str">
        <f aca="false">IF($B53="","",SUMIF(发票统计!$A$4:$A$1003,$B53,发票统计!$M$4:$M$1003))</f>
        <v/>
      </c>
      <c r="K53" s="56" t="str">
        <f aca="false">IF($B53="","",SUMIF(发票统计!$A$4:$A$1003,$B53,发票统计!$N$4:$N$1003))</f>
        <v/>
      </c>
      <c r="L53" s="56" t="str">
        <f aca="false">IF($B53="","",SUMIF(发票统计!$A$4:$A$1003,$B53,发票统计!$O$4:$O$1003))</f>
        <v/>
      </c>
      <c r="M53" s="56" t="str">
        <f aca="false">IF($B53="","",J53-K53-L53)</f>
        <v/>
      </c>
      <c r="N53" s="56" t="str">
        <f aca="false">IF($B53="","",SUMIF(发票统计!$A$4:$A$1003,$B53,发票统计!$Q$4:$Q$1003))</f>
        <v/>
      </c>
      <c r="O53" s="56" t="str">
        <f aca="false">IF($B53="","",SUMIF(发票统计!$A$4:$A$1003,$B53,发票统计!$R$4:$R$1003))</f>
        <v/>
      </c>
      <c r="P53" s="56" t="str">
        <f aca="false">IF($B53="","",SUMIF(发票统计!$A$4:$A$1003,$B53,发票统计!$S$4:$S$1003))</f>
        <v/>
      </c>
      <c r="Q53" s="56" t="str">
        <f aca="false">IF($B53="","",N53-O53-P53)</f>
        <v/>
      </c>
      <c r="R53" s="62" t="str">
        <f aca="true">IF($B53="","",IFERROR(IF(SUMPRODUCT(ABS(INDIRECT("'"&amp;$B53&amp;"'!H3:T3")-$E53:$Q53))&lt;0.01,"✓","⚠ 分表合计对不上"),"⚠ 还没建分表"))</f>
        <v/>
      </c>
    </row>
  </sheetData>
  <mergeCells count="2">
    <mergeCell ref="A1:R1"/>
    <mergeCell ref="A3:D3"/>
  </mergeCells>
  <conditionalFormatting sqref="R4:R53">
    <cfRule type="expression" priority="2" aboveAverage="0" equalAverage="0" bottom="0" percent="0" rank="0" text="" dxfId="13">
      <formula>LEFT($R4,1)="⚠"</formula>
    </cfRule>
    <cfRule type="expression" priority="3" aboveAverage="0" equalAverage="0" bottom="0" percent="0" rank="0" text="" dxfId="14">
      <formula>LEFT($R4,1)="△"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3"/>
  <sheetViews>
    <sheetView showFormulas="false" showGridLines="true" showRowColHeaders="true" showZeros="true" rightToLeft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6.5" zeroHeight="false" outlineLevelRow="0" outlineLevelCol="0"/>
  <cols>
    <col collapsed="false" customWidth="true" hidden="false" outlineLevel="0" max="1" min="1" style="1" width="7.73"/>
    <col collapsed="false" customWidth="true" hidden="false" outlineLevel="0" max="2" min="2" style="1" width="5.73"/>
    <col collapsed="false" customWidth="true" hidden="true" outlineLevel="0" max="3" min="3" style="1" width="57.46"/>
    <col collapsed="false" customWidth="true" hidden="false" outlineLevel="0" max="4" min="4" style="1" width="44.82"/>
    <col collapsed="false" customWidth="true" hidden="false" outlineLevel="0" max="6" min="5" style="63" width="8.64"/>
    <col collapsed="false" customWidth="true" hidden="false" outlineLevel="0" max="7" min="7" style="64" width="7"/>
    <col collapsed="false" customWidth="true" hidden="false" outlineLevel="0" max="8" min="8" style="63" width="12.63"/>
    <col collapsed="false" customWidth="true" hidden="false" outlineLevel="0" max="9" min="9" style="63" width="11.27"/>
    <col collapsed="false" customWidth="true" hidden="false" outlineLevel="0" max="11" min="10" style="63" width="12.63"/>
    <col collapsed="false" customWidth="true" hidden="false" outlineLevel="0" max="12" min="12" style="63" width="13.91"/>
    <col collapsed="false" customWidth="true" hidden="false" outlineLevel="0" max="14" min="13" style="1" width="13.91"/>
    <col collapsed="false" customWidth="true" hidden="false" outlineLevel="0" max="15" min="15" style="1" width="12.54"/>
    <col collapsed="false" customWidth="true" hidden="false" outlineLevel="0" max="16" min="16" style="1" width="14.82"/>
    <col collapsed="false" customWidth="true" hidden="true" outlineLevel="0" max="17" min="17" style="1" width="14.82"/>
    <col collapsed="false" customWidth="true" hidden="true" outlineLevel="0" max="20" min="18" style="1" width="12.54"/>
    <col collapsed="false" customWidth="true" hidden="false" outlineLevel="0" max="21" min="21" style="1" width="26.73"/>
    <col collapsed="false" customWidth="true" hidden="false" outlineLevel="0" max="22" min="22" style="1" width="24"/>
    <col collapsed="false" customWidth="false" hidden="true" outlineLevel="0" max="23" min="23" style="1" width="9"/>
    <col collapsed="false" customWidth="false" hidden="false" outlineLevel="0" max="16379" min="24" style="1" width="9"/>
  </cols>
  <sheetData>
    <row r="1" customFormat="false" ht="48" hidden="false" customHeight="true" outlineLevel="0" collapsed="false">
      <c r="A1" s="65" t="s">
        <v>147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="8" customFormat="true" ht="33" hidden="false" customHeight="true" outlineLevel="0" collapsed="false">
      <c r="A2" s="10" t="s">
        <v>148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66" t="s">
        <v>149</v>
      </c>
    </row>
    <row r="3" s="8" customFormat="true" ht="16.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SUM(H4:H303)</f>
        <v>354295.65</v>
      </c>
      <c r="I3" s="15" t="n">
        <f aca="false">SUM(I4:I303)</f>
        <v>53144.3475</v>
      </c>
      <c r="J3" s="15" t="n">
        <f aca="false">SUM(J4:J303)</f>
        <v>301151.3025</v>
      </c>
      <c r="K3" s="15" t="n">
        <f aca="false">SUM(K4:K303)</f>
        <v>301151.3025</v>
      </c>
      <c r="L3" s="15" t="n">
        <f aca="false">J3-K3</f>
        <v>0</v>
      </c>
      <c r="M3" s="15" t="n">
        <f aca="false">SUM(M4:M303)</f>
        <v>354295.65</v>
      </c>
      <c r="N3" s="15" t="n">
        <f aca="false">SUM(N4:N303)</f>
        <v>0</v>
      </c>
      <c r="O3" s="15" t="n">
        <f aca="false">SUM(O4:O303)</f>
        <v>304700.0175</v>
      </c>
      <c r="P3" s="15" t="n">
        <f aca="false">M3-N3-O3</f>
        <v>49595.6325000001</v>
      </c>
      <c r="Q3" s="15" t="n">
        <f aca="false">SUM(Q4:Q303)</f>
        <v>0</v>
      </c>
      <c r="R3" s="15" t="n">
        <f aca="false">SUM(R4:R303)</f>
        <v>0</v>
      </c>
      <c r="S3" s="15" t="n">
        <f aca="false">SUM(S4:S303)</f>
        <v>0</v>
      </c>
      <c r="T3" s="15" t="n">
        <f aca="false">Q3-R3-S3</f>
        <v>0</v>
      </c>
      <c r="U3" s="15"/>
      <c r="V3" s="16" t="str">
        <f aca="true">IFERROR(MID(CELL("filename",$A$1),FIND("]",CELL("filename",$A$1))+1,99),IFERROR(SUBSTITUTE(MID(CELL("filename",$A$1),FIND("#$",CELL("filename",$A$1))+2,99),"'",""),""))</f>
        <v>蒲吕片区A段</v>
      </c>
    </row>
    <row r="4" customFormat="false" ht="16.5" hidden="false" customHeight="false" outlineLevel="0" collapsed="false">
      <c r="A4" s="3" t="str">
        <f aca="false">IF($W4="","",INDEX(发票统计!A$4:A$1003,$W4)&amp;"")</f>
        <v>蒲吕片区A段</v>
      </c>
      <c r="B4" s="3" t="str">
        <f aca="false">IF($W4="","",INDEX(发票统计!B$4:B$1003,$W4)&amp;"")</f>
        <v>2月</v>
      </c>
      <c r="C4" s="3" t="str">
        <f aca="false">IF($W4="","",INDEX(发票统计!C$4:C$1003,$W4)&amp;"")</f>
        <v>铜梁区园区屋顶分布式光伏发电建设项目-蒲吕片区A段10千伏电力新建工程</v>
      </c>
      <c r="D4" s="3" t="str">
        <f aca="false">IF($W4="","",INDEX(发票统计!D$4:D$1003,$W4)&amp;"")</f>
        <v>2026.2.9新德润开9%专票到民能：蒲吕片区A段10千伏电力新建</v>
      </c>
      <c r="E4" s="67" t="str">
        <f aca="false">IF($W4="","",INDEX(发票统计!E$4:E$1003,$W4)&amp;"")</f>
        <v>民能</v>
      </c>
      <c r="F4" s="68" t="str">
        <f aca="false">IF($W4="","",INDEX(发票统计!F$4:F$1003,$W4)&amp;"")</f>
        <v>9%专票</v>
      </c>
      <c r="G4" s="68" t="n">
        <f aca="false">IF($W4="","",IF(INDEX(发票统计!G$4:G$1003,$W4)="","",INDEX(发票统计!G$4:G$1003,$W4)))</f>
        <v>0.15</v>
      </c>
      <c r="H4" s="56" t="n">
        <f aca="false">IF($W4="","",N(INDEX(发票统计!H$4:H$1003,$W4)))</f>
        <v>200000</v>
      </c>
      <c r="I4" s="56" t="n">
        <f aca="false">IF($W4="","",N(INDEX(发票统计!I$4:I$1003,$W4)))</f>
        <v>30000</v>
      </c>
      <c r="J4" s="56" t="n">
        <f aca="false">IF($W4="","",N(INDEX(发票统计!J$4:J$1003,$W4)))</f>
        <v>170000</v>
      </c>
      <c r="K4" s="56" t="n">
        <f aca="false">IF($W4="","",N(INDEX(发票统计!K$4:K$1003,$W4)))</f>
        <v>0</v>
      </c>
      <c r="L4" s="56" t="n">
        <f aca="false">IF($W4="","",SUM(J$4:J4)-SUM(K$4:K4))</f>
        <v>170000</v>
      </c>
      <c r="M4" s="56" t="n">
        <f aca="false">IF($W4="","",N(INDEX(发票统计!M$4:M$1003,$W4)))</f>
        <v>200000</v>
      </c>
      <c r="N4" s="56" t="n">
        <f aca="false">IF($W4="","",N(INDEX(发票统计!N$4:N$1003,$W4)))</f>
        <v>0</v>
      </c>
      <c r="O4" s="56" t="n">
        <f aca="false">IF($W4="","",N(INDEX(发票统计!O$4:O$1003,$W4)))</f>
        <v>0</v>
      </c>
      <c r="P4" s="56" t="n">
        <f aca="false">IF($W4="","",SUM(M$4:M4)-SUM(N$4:N4)-SUM(O$4:O4))</f>
        <v>200000</v>
      </c>
      <c r="Q4" s="56" t="n">
        <f aca="false">IF($W4="","",N(INDEX(发票统计!Q$4:Q$1003,$W4)))</f>
        <v>0</v>
      </c>
      <c r="R4" s="56" t="n">
        <f aca="false">IF($W4="","",N(INDEX(发票统计!R$4:R$1003,$W4)))</f>
        <v>0</v>
      </c>
      <c r="S4" s="56" t="n">
        <f aca="false">IF($W4="","",N(INDEX(发票统计!S$4:S$1003,$W4)))</f>
        <v>0</v>
      </c>
      <c r="T4" s="56" t="n">
        <f aca="false">IF($W4="","",SUM(Q$4:Q4)-SUM(R$4:R4)-SUM(S$4:S4))</f>
        <v>0</v>
      </c>
      <c r="U4" s="56" t="str">
        <f aca="false">IF($W4="","",INDEX(发票统计!U$4:U$1003,$W4)&amp;"")</f>
        <v/>
      </c>
      <c r="V4" s="69" t="str">
        <f aca="false">IF($V$3="","⚠ 取不到表名，请在 V3 手填项目简称",IF(COUNTIF(发票统计!$A$4:$A$1003,$V$3)=0,"⚠ 发票统计里没有「"&amp;$V$3&amp;"」的行，表名要和目录里的简称一样",IF(COUNTIF(发票统计!$A$4:$A$1003,$V$3)&gt;300,"⚠ 本项目超过 300 行，后面的没显示","共 "&amp;COUNTIF(发票统计!$A$4:$A$1003,$V$3)&amp;" 笔")))</f>
        <v>共 8 笔</v>
      </c>
      <c r="W4" s="1" t="n">
        <f aca="false">IF($V$3="","",IFERROR(MATCH($V$3&amp;"#"&amp;ROWS(W$4:W4),发票统计!$W$4:$W$1003,0),""))</f>
        <v>79</v>
      </c>
    </row>
    <row r="5" customFormat="false" ht="16.5" hidden="false" customHeight="false" outlineLevel="0" collapsed="false">
      <c r="A5" s="3" t="str">
        <f aca="false">IF($W5="","",INDEX(发票统计!A$4:A$1003,$W5)&amp;"")</f>
        <v>蒲吕片区A段</v>
      </c>
      <c r="B5" s="3" t="str">
        <f aca="false">IF($W5="","",INDEX(发票统计!B$4:B$1003,$W5)&amp;"")</f>
        <v>9月</v>
      </c>
      <c r="C5" s="3" t="str">
        <f aca="false">IF($W5="","",INDEX(发票统计!C$4:C$1003,$W5)&amp;"")</f>
        <v>铜梁区园区屋顶分布式光伏发电建设项目-蒲吕片区A段10千伏电力新建工程</v>
      </c>
      <c r="D5" s="3" t="str">
        <f aca="false">IF($W5="","",INDEX(发票统计!D$4:D$1003,$W5)&amp;"")</f>
        <v>2026.9.1扣15%管理费</v>
      </c>
      <c r="E5" s="67" t="str">
        <f aca="false">IF($W5="","",INDEX(发票统计!E$4:E$1003,$W5)&amp;"")</f>
        <v>民能</v>
      </c>
      <c r="F5" s="68" t="str">
        <f aca="false">IF($W5="","",INDEX(发票统计!F$4:F$1003,$W5)&amp;"")</f>
        <v>9%专票</v>
      </c>
      <c r="G5" s="68" t="n">
        <f aca="false">IF($W5="","",IF(INDEX(发票统计!G$4:G$1003,$W5)="","",INDEX(发票统计!G$4:G$1003,$W5)))</f>
        <v>0.15</v>
      </c>
      <c r="H5" s="56" t="n">
        <f aca="false">IF($W5="","",N(INDEX(发票统计!H$4:H$1003,$W5)))</f>
        <v>0</v>
      </c>
      <c r="I5" s="56" t="n">
        <f aca="false">IF($W5="","",N(INDEX(发票统计!I$4:I$1003,$W5)))</f>
        <v>0</v>
      </c>
      <c r="J5" s="56" t="n">
        <f aca="false">IF($W5="","",N(INDEX(发票统计!J$4:J$1003,$W5)))</f>
        <v>0</v>
      </c>
      <c r="K5" s="56" t="n">
        <f aca="false">IF($W5="","",N(INDEX(发票统计!K$4:K$1003,$W5)))</f>
        <v>0</v>
      </c>
      <c r="L5" s="56" t="n">
        <f aca="false">IF($W5="","",SUM(J$4:J5)-SUM(K$4:K5))</f>
        <v>170000</v>
      </c>
      <c r="M5" s="56" t="n">
        <f aca="false">IF($W5="","",N(INDEX(发票统计!M$4:M$1003,$W5)))</f>
        <v>0</v>
      </c>
      <c r="N5" s="56" t="n">
        <f aca="false">IF($W5="","",N(INDEX(发票统计!N$4:N$1003,$W5)))</f>
        <v>0</v>
      </c>
      <c r="O5" s="56" t="n">
        <f aca="false">IF($W5="","",N(INDEX(发票统计!O$4:O$1003,$W5)))</f>
        <v>30000</v>
      </c>
      <c r="P5" s="56" t="n">
        <f aca="false">IF($W5="","",SUM(M$4:M5)-SUM(N$4:N5)-SUM(O$4:O5))</f>
        <v>170000</v>
      </c>
      <c r="Q5" s="56" t="n">
        <f aca="false">IF($W5="","",N(INDEX(发票统计!Q$4:Q$1003,$W5)))</f>
        <v>0</v>
      </c>
      <c r="R5" s="56" t="n">
        <f aca="false">IF($W5="","",N(INDEX(发票统计!R$4:R$1003,$W5)))</f>
        <v>0</v>
      </c>
      <c r="S5" s="56" t="n">
        <f aca="false">IF($W5="","",N(INDEX(发票统计!S$4:S$1003,$W5)))</f>
        <v>0</v>
      </c>
      <c r="T5" s="56" t="n">
        <f aca="false">IF($W5="","",SUM(Q$4:Q5)-SUM(R$4:R5)-SUM(S$4:S5))</f>
        <v>0</v>
      </c>
      <c r="U5" s="56" t="str">
        <f aca="false">IF($W5="","",INDEX(发票统计!U$4:U$1003,$W5)&amp;"")</f>
        <v/>
      </c>
      <c r="W5" s="1" t="n">
        <f aca="false">IF($V$3="","",IFERROR(MATCH($V$3&amp;"#"&amp;ROWS(W$4:W5),发票统计!$W$4:$W$1003,0),""))</f>
        <v>80</v>
      </c>
    </row>
    <row r="6" customFormat="false" ht="16.5" hidden="false" customHeight="false" outlineLevel="0" collapsed="false">
      <c r="A6" s="3" t="str">
        <f aca="false">IF($W6="","",INDEX(发票统计!A$4:A$1003,$W6)&amp;"")</f>
        <v>蒲吕片区A段</v>
      </c>
      <c r="B6" s="3" t="str">
        <f aca="false">IF($W6="","",INDEX(发票统计!B$4:B$1003,$W6)&amp;"")</f>
        <v>9月</v>
      </c>
      <c r="C6" s="3" t="str">
        <f aca="false">IF($W6="","",INDEX(发票统计!C$4:C$1003,$W6)&amp;"")</f>
        <v>铜梁区园区屋顶分布式光伏发电建设项目-蒲吕片区A段10千伏电力新建工程</v>
      </c>
      <c r="D6" s="3" t="str">
        <f aca="false">IF($W6="","",INDEX(发票统计!D$4:D$1003,$W6)&amp;"")</f>
        <v>2026.9.1确认前期收到代发工资</v>
      </c>
      <c r="E6" s="67" t="str">
        <f aca="false">IF($W6="","",INDEX(发票统计!E$4:E$1003,$W6)&amp;"")</f>
        <v>民能</v>
      </c>
      <c r="F6" s="68" t="str">
        <f aca="false">IF($W6="","",INDEX(发票统计!F$4:F$1003,$W6)&amp;"")</f>
        <v>9%专票</v>
      </c>
      <c r="G6" s="68" t="n">
        <f aca="false">IF($W6="","",IF(INDEX(发票统计!G$4:G$1003,$W6)="","",INDEX(发票统计!G$4:G$1003,$W6)))</f>
        <v>0.15</v>
      </c>
      <c r="H6" s="56" t="n">
        <f aca="false">IF($W6="","",N(INDEX(发票统计!H$4:H$1003,$W6)))</f>
        <v>0</v>
      </c>
      <c r="I6" s="56" t="n">
        <f aca="false">IF($W6="","",N(INDEX(发票统计!I$4:I$1003,$W6)))</f>
        <v>0</v>
      </c>
      <c r="J6" s="56" t="n">
        <f aca="false">IF($W6="","",N(INDEX(发票统计!J$4:J$1003,$W6)))</f>
        <v>0</v>
      </c>
      <c r="K6" s="56" t="n">
        <f aca="false">IF($W6="","",N(INDEX(发票统计!K$4:K$1003,$W6)))</f>
        <v>200000</v>
      </c>
      <c r="L6" s="56" t="n">
        <f aca="false">IF($W6="","",SUM(J$4:J6)-SUM(K$4:K6))</f>
        <v>-30000</v>
      </c>
      <c r="M6" s="56" t="n">
        <f aca="false">IF($W6="","",N(INDEX(发票统计!M$4:M$1003,$W6)))</f>
        <v>0</v>
      </c>
      <c r="N6" s="56" t="n">
        <f aca="false">IF($W6="","",N(INDEX(发票统计!N$4:N$1003,$W6)))</f>
        <v>0</v>
      </c>
      <c r="O6" s="56" t="n">
        <f aca="false">IF($W6="","",N(INDEX(发票统计!O$4:O$1003,$W6)))</f>
        <v>200000</v>
      </c>
      <c r="P6" s="56" t="n">
        <f aca="false">IF($W6="","",SUM(M$4:M6)-SUM(N$4:N6)-SUM(O$4:O6))</f>
        <v>-30000</v>
      </c>
      <c r="Q6" s="56" t="n">
        <f aca="false">IF($W6="","",N(INDEX(发票统计!Q$4:Q$1003,$W6)))</f>
        <v>0</v>
      </c>
      <c r="R6" s="56" t="n">
        <f aca="false">IF($W6="","",N(INDEX(发票统计!R$4:R$1003,$W6)))</f>
        <v>0</v>
      </c>
      <c r="S6" s="56" t="n">
        <f aca="false">IF($W6="","",N(INDEX(发票统计!S$4:S$1003,$W6)))</f>
        <v>0</v>
      </c>
      <c r="T6" s="56" t="n">
        <f aca="false">IF($W6="","",SUM(Q$4:Q6)-SUM(R$4:R6)-SUM(S$4:S6))</f>
        <v>0</v>
      </c>
      <c r="U6" s="56" t="str">
        <f aca="false">IF($W6="","",INDEX(发票统计!U$4:U$1003,$W6)&amp;"")</f>
        <v/>
      </c>
      <c r="W6" s="1" t="n">
        <f aca="false">IF($V$3="","",IFERROR(MATCH($V$3&amp;"#"&amp;ROWS(W$4:W6),发票统计!$W$4:$W$1003,0),""))</f>
        <v>81</v>
      </c>
    </row>
    <row r="7" customFormat="false" ht="16.5" hidden="false" customHeight="false" outlineLevel="0" collapsed="false">
      <c r="A7" s="3" t="str">
        <f aca="false">IF($W7="","",INDEX(发票统计!A$4:A$1003,$W7)&amp;"")</f>
        <v>蒲吕片区A段</v>
      </c>
      <c r="B7" s="3" t="str">
        <f aca="false">IF($W7="","",INDEX(发票统计!B$4:B$1003,$W7)&amp;"")</f>
        <v>9月</v>
      </c>
      <c r="C7" s="3" t="str">
        <f aca="false">IF($W7="","",INDEX(发票统计!C$4:C$1003,$W7)&amp;"")</f>
        <v>铜梁区园区屋顶分布式光伏发电建设项目-蒲吕片区A段10千伏电力新建工程</v>
      </c>
      <c r="D7" s="3" t="str">
        <f aca="false">IF($W7="","",INDEX(发票统计!D$4:D$1003,$W7)&amp;"")</f>
        <v>2026.9.1确认扣9%增值税29253.77，附加科3510.45，印花税212.58，合计32976.8</v>
      </c>
      <c r="E7" s="67" t="str">
        <f aca="false">IF($W7="","",INDEX(发票统计!E$4:E$1003,$W7)&amp;"")</f>
        <v>民能</v>
      </c>
      <c r="F7" s="68" t="str">
        <f aca="false">IF($W7="","",INDEX(发票统计!F$4:F$1003,$W7)&amp;"")</f>
        <v>9%专票</v>
      </c>
      <c r="G7" s="68" t="n">
        <f aca="false">IF($W7="","",IF(INDEX(发票统计!G$4:G$1003,$W7)="","",INDEX(发票统计!G$4:G$1003,$W7)))</f>
        <v>0.15</v>
      </c>
      <c r="H7" s="56" t="n">
        <f aca="false">IF($W7="","",N(INDEX(发票统计!H$4:H$1003,$W7)))</f>
        <v>0</v>
      </c>
      <c r="I7" s="56" t="n">
        <f aca="false">IF($W7="","",N(INDEX(发票统计!I$4:I$1003,$W7)))</f>
        <v>0</v>
      </c>
      <c r="J7" s="56" t="n">
        <f aca="false">IF($W7="","",N(INDEX(发票统计!J$4:J$1003,$W7)))</f>
        <v>0</v>
      </c>
      <c r="K7" s="56" t="n">
        <f aca="false">IF($W7="","",N(INDEX(发票统计!K$4:K$1003,$W7)))</f>
        <v>32976.8</v>
      </c>
      <c r="L7" s="56" t="n">
        <f aca="false">IF($W7="","",SUM(J$4:J7)-SUM(K$4:K7))</f>
        <v>-62976.8</v>
      </c>
      <c r="M7" s="56" t="n">
        <f aca="false">IF($W7="","",N(INDEX(发票统计!M$4:M$1003,$W7)))</f>
        <v>0</v>
      </c>
      <c r="N7" s="56" t="n">
        <f aca="false">IF($W7="","",N(INDEX(发票统计!N$4:N$1003,$W7)))</f>
        <v>0</v>
      </c>
      <c r="O7" s="56" t="n">
        <f aca="false">IF($W7="","",N(INDEX(发票统计!O$4:O$1003,$W7)))</f>
        <v>32976.8</v>
      </c>
      <c r="P7" s="56" t="n">
        <f aca="false">IF($W7="","",SUM(M$4:M7)-SUM(N$4:N7)-SUM(O$4:O7))</f>
        <v>-62976.8</v>
      </c>
      <c r="Q7" s="56" t="n">
        <f aca="false">IF($W7="","",N(INDEX(发票统计!Q$4:Q$1003,$W7)))</f>
        <v>0</v>
      </c>
      <c r="R7" s="56" t="n">
        <f aca="false">IF($W7="","",N(INDEX(发票统计!R$4:R$1003,$W7)))</f>
        <v>0</v>
      </c>
      <c r="S7" s="56" t="n">
        <f aca="false">IF($W7="","",N(INDEX(发票统计!S$4:S$1003,$W7)))</f>
        <v>0</v>
      </c>
      <c r="T7" s="56" t="n">
        <f aca="false">IF($W7="","",SUM(Q$4:Q7)-SUM(R$4:R7)-SUM(S$4:S7))</f>
        <v>0</v>
      </c>
      <c r="U7" s="56" t="str">
        <f aca="false">IF($W7="","",INDEX(发票统计!U$4:U$1003,$W7)&amp;"")</f>
        <v/>
      </c>
      <c r="W7" s="1" t="n">
        <f aca="false">IF($V$3="","",IFERROR(MATCH($V$3&amp;"#"&amp;ROWS(W$4:W7),发票统计!$W$4:$W$1003,0),""))</f>
        <v>82</v>
      </c>
    </row>
    <row r="8" customFormat="false" ht="16.5" hidden="false" customHeight="false" outlineLevel="0" collapsed="false">
      <c r="A8" s="3" t="str">
        <f aca="false">IF($W8="","",INDEX(发票统计!A$4:A$1003,$W8)&amp;"")</f>
        <v>蒲吕片区A段</v>
      </c>
      <c r="B8" s="3" t="str">
        <f aca="false">IF($W8="","",INDEX(发票统计!B$4:B$1003,$W8)&amp;"")</f>
        <v>9月</v>
      </c>
      <c r="C8" s="3" t="str">
        <f aca="false">IF($W8="","",INDEX(发票统计!C$4:C$1003,$W8)&amp;"")</f>
        <v>铜梁区园区屋顶分布式光伏发电建设项目-蒲吕片区A段10千伏电力新建工程</v>
      </c>
      <c r="D8" s="3" t="str">
        <f aca="false">IF($W8="","",INDEX(发票统计!D$4:D$1003,$W8)&amp;"")</f>
        <v>2026.9.1扣残保金20W*1.5%</v>
      </c>
      <c r="E8" s="67" t="str">
        <f aca="false">IF($W8="","",INDEX(发票统计!E$4:E$1003,$W8)&amp;"")</f>
        <v>民能</v>
      </c>
      <c r="F8" s="68" t="str">
        <f aca="false">IF($W8="","",INDEX(发票统计!F$4:F$1003,$W8)&amp;"")</f>
        <v>9%专票</v>
      </c>
      <c r="G8" s="68" t="n">
        <f aca="false">IF($W8="","",IF(INDEX(发票统计!G$4:G$1003,$W8)="","",INDEX(发票统计!G$4:G$1003,$W8)))</f>
        <v>0.15</v>
      </c>
      <c r="H8" s="56" t="n">
        <f aca="false">IF($W8="","",N(INDEX(发票统计!H$4:H$1003,$W8)))</f>
        <v>0</v>
      </c>
      <c r="I8" s="56" t="n">
        <f aca="false">IF($W8="","",N(INDEX(发票统计!I$4:I$1003,$W8)))</f>
        <v>0</v>
      </c>
      <c r="J8" s="56" t="n">
        <f aca="false">IF($W8="","",N(INDEX(发票统计!J$4:J$1003,$W8)))</f>
        <v>0</v>
      </c>
      <c r="K8" s="56" t="n">
        <f aca="false">IF($W8="","",N(INDEX(发票统计!K$4:K$1003,$W8)))</f>
        <v>3000</v>
      </c>
      <c r="L8" s="56" t="n">
        <f aca="false">IF($W8="","",SUM(J$4:J8)-SUM(K$4:K8))</f>
        <v>-65976.8</v>
      </c>
      <c r="M8" s="56" t="n">
        <f aca="false">IF($W8="","",N(INDEX(发票统计!M$4:M$1003,$W8)))</f>
        <v>0</v>
      </c>
      <c r="N8" s="56" t="n">
        <f aca="false">IF($W8="","",N(INDEX(发票统计!N$4:N$1003,$W8)))</f>
        <v>0</v>
      </c>
      <c r="O8" s="56" t="n">
        <f aca="false">IF($W8="","",N(INDEX(发票统计!O$4:O$1003,$W8)))</f>
        <v>3000</v>
      </c>
      <c r="P8" s="56" t="n">
        <f aca="false">IF($W8="","",SUM(M$4:M8)-SUM(N$4:N8)-SUM(O$4:O8))</f>
        <v>-65976.8</v>
      </c>
      <c r="Q8" s="56" t="n">
        <f aca="false">IF($W8="","",N(INDEX(发票统计!Q$4:Q$1003,$W8)))</f>
        <v>0</v>
      </c>
      <c r="R8" s="56" t="n">
        <f aca="false">IF($W8="","",N(INDEX(发票统计!R$4:R$1003,$W8)))</f>
        <v>0</v>
      </c>
      <c r="S8" s="56" t="n">
        <f aca="false">IF($W8="","",N(INDEX(发票统计!S$4:S$1003,$W8)))</f>
        <v>0</v>
      </c>
      <c r="T8" s="56" t="n">
        <f aca="false">IF($W8="","",SUM(Q$4:Q8)-SUM(R$4:R8)-SUM(S$4:S8))</f>
        <v>0</v>
      </c>
      <c r="U8" s="56" t="str">
        <f aca="false">IF($W8="","",INDEX(发票统计!U$4:U$1003,$W8)&amp;"")</f>
        <v/>
      </c>
      <c r="W8" s="1" t="n">
        <f aca="false">IF($V$3="","",IFERROR(MATCH($V$3&amp;"#"&amp;ROWS(W$4:W8),发票统计!$W$4:$W$1003,0),""))</f>
        <v>83</v>
      </c>
    </row>
    <row r="9" customFormat="false" ht="16.5" hidden="false" customHeight="false" outlineLevel="0" collapsed="false">
      <c r="A9" s="3" t="str">
        <f aca="false">IF($W9="","",INDEX(发票统计!A$4:A$1003,$W9)&amp;"")</f>
        <v>蒲吕片区A段</v>
      </c>
      <c r="B9" s="3" t="str">
        <f aca="false">IF($W9="","",INDEX(发票统计!B$4:B$1003,$W9)&amp;"")</f>
        <v>9月</v>
      </c>
      <c r="C9" s="3" t="str">
        <f aca="false">IF($W9="","",INDEX(发票统计!C$4:C$1003,$W9)&amp;"")</f>
        <v>铜梁区园区屋顶分布式光伏发电建设项目-蒲吕片区A段10千伏电力新建工程</v>
      </c>
      <c r="D9" s="3" t="str">
        <f aca="false">IF($W9="","",INDEX(发票统计!D$4:D$1003,$W9)&amp;"")</f>
        <v>2026.9.1扣个税</v>
      </c>
      <c r="E9" s="67" t="str">
        <f aca="false">IF($W9="","",INDEX(发票统计!E$4:E$1003,$W9)&amp;"")</f>
        <v>民能</v>
      </c>
      <c r="F9" s="68" t="str">
        <f aca="false">IF($W9="","",INDEX(发票统计!F$4:F$1003,$W9)&amp;"")</f>
        <v>9%专票</v>
      </c>
      <c r="G9" s="68" t="n">
        <f aca="false">IF($W9="","",IF(INDEX(发票统计!G$4:G$1003,$W9)="","",INDEX(发票统计!G$4:G$1003,$W9)))</f>
        <v>0.15</v>
      </c>
      <c r="H9" s="56" t="n">
        <f aca="false">IF($W9="","",N(INDEX(发票统计!H$4:H$1003,$W9)))</f>
        <v>0</v>
      </c>
      <c r="I9" s="56" t="n">
        <f aca="false">IF($W9="","",N(INDEX(发票统计!I$4:I$1003,$W9)))</f>
        <v>0</v>
      </c>
      <c r="J9" s="56" t="n">
        <f aca="false">IF($W9="","",N(INDEX(发票统计!J$4:J$1003,$W9)))</f>
        <v>0</v>
      </c>
      <c r="K9" s="56" t="n">
        <f aca="false">IF($W9="","",N(INDEX(发票统计!K$4:K$1003,$W9)))</f>
        <v>4950</v>
      </c>
      <c r="L9" s="56" t="n">
        <f aca="false">IF($W9="","",SUM(J$4:J9)-SUM(K$4:K9))</f>
        <v>-70926.8</v>
      </c>
      <c r="M9" s="56" t="n">
        <f aca="false">IF($W9="","",N(INDEX(发票统计!M$4:M$1003,$W9)))</f>
        <v>0</v>
      </c>
      <c r="N9" s="56" t="n">
        <f aca="false">IF($W9="","",N(INDEX(发票统计!N$4:N$1003,$W9)))</f>
        <v>0</v>
      </c>
      <c r="O9" s="56" t="n">
        <f aca="false">IF($W9="","",N(INDEX(发票统计!O$4:O$1003,$W9)))</f>
        <v>4950</v>
      </c>
      <c r="P9" s="56" t="n">
        <f aca="false">IF($W9="","",SUM(M$4:M9)-SUM(N$4:N9)-SUM(O$4:O9))</f>
        <v>-70926.8</v>
      </c>
      <c r="Q9" s="56" t="n">
        <f aca="false">IF($W9="","",N(INDEX(发票统计!Q$4:Q$1003,$W9)))</f>
        <v>0</v>
      </c>
      <c r="R9" s="56" t="n">
        <f aca="false">IF($W9="","",N(INDEX(发票统计!R$4:R$1003,$W9)))</f>
        <v>0</v>
      </c>
      <c r="S9" s="56" t="n">
        <f aca="false">IF($W9="","",N(INDEX(发票统计!S$4:S$1003,$W9)))</f>
        <v>0</v>
      </c>
      <c r="T9" s="56" t="n">
        <f aca="false">IF($W9="","",SUM(Q$4:Q9)-SUM(R$4:R9)-SUM(S$4:S9))</f>
        <v>0</v>
      </c>
      <c r="U9" s="56" t="str">
        <f aca="false">IF($W9="","",INDEX(发票统计!U$4:U$1003,$W9)&amp;"")</f>
        <v/>
      </c>
      <c r="W9" s="1" t="n">
        <f aca="false">IF($V$3="","",IFERROR(MATCH($V$3&amp;"#"&amp;ROWS(W$4:W9),发票统计!$W$4:$W$1003,0),""))</f>
        <v>84</v>
      </c>
    </row>
    <row r="10" customFormat="false" ht="16.5" hidden="false" customHeight="false" outlineLevel="0" collapsed="false">
      <c r="A10" s="3" t="str">
        <f aca="false">IF($W10="","",INDEX(发票统计!A$4:A$1003,$W10)&amp;"")</f>
        <v>蒲吕片区A段</v>
      </c>
      <c r="B10" s="3" t="str">
        <f aca="false">IF($W10="","",INDEX(发票统计!B$4:B$1003,$W10)&amp;"")</f>
        <v>9月</v>
      </c>
      <c r="C10" s="3" t="str">
        <f aca="false">IF($W10="","",INDEX(发票统计!C$4:C$1003,$W10)&amp;"")</f>
        <v>铜梁区园区屋顶分布式光伏发电建设项目-蒲吕片区A段10千伏电力新建工程</v>
      </c>
      <c r="D10" s="3" t="str">
        <f aca="false">IF($W10="","",INDEX(发票统计!D$4:D$1003,$W10)&amp;"")</f>
        <v>2026.9.1质保金354295.65*3%</v>
      </c>
      <c r="E10" s="67" t="str">
        <f aca="false">IF($W10="","",INDEX(发票统计!E$4:E$1003,$W10)&amp;"")</f>
        <v>民能</v>
      </c>
      <c r="F10" s="68" t="str">
        <f aca="false">IF($W10="","",INDEX(发票统计!F$4:F$1003,$W10)&amp;"")</f>
        <v>9%专票</v>
      </c>
      <c r="G10" s="68" t="n">
        <f aca="false">IF($W10="","",IF(INDEX(发票统计!G$4:G$1003,$W10)="","",INDEX(发票统计!G$4:G$1003,$W10)))</f>
        <v>0.15</v>
      </c>
      <c r="H10" s="56" t="n">
        <f aca="false">IF($W10="","",N(INDEX(发票统计!H$4:H$1003,$W10)))</f>
        <v>0</v>
      </c>
      <c r="I10" s="56" t="n">
        <f aca="false">IF($W10="","",N(INDEX(发票统计!I$4:I$1003,$W10)))</f>
        <v>0</v>
      </c>
      <c r="J10" s="56" t="n">
        <f aca="false">IF($W10="","",N(INDEX(发票统计!J$4:J$1003,$W10)))</f>
        <v>0</v>
      </c>
      <c r="K10" s="56" t="n">
        <f aca="false">IF($W10="","",N(INDEX(发票统计!K$4:K$1003,$W10)))</f>
        <v>10628.87</v>
      </c>
      <c r="L10" s="56" t="n">
        <f aca="false">IF($W10="","",SUM(J$4:J10)-SUM(K$4:K10))</f>
        <v>-81555.67</v>
      </c>
      <c r="M10" s="56" t="n">
        <f aca="false">IF($W10="","",N(INDEX(发票统计!M$4:M$1003,$W10)))</f>
        <v>0</v>
      </c>
      <c r="N10" s="56" t="n">
        <f aca="false">IF($W10="","",N(INDEX(发票统计!N$4:N$1003,$W10)))</f>
        <v>0</v>
      </c>
      <c r="O10" s="56" t="n">
        <f aca="false">IF($W10="","",N(INDEX(发票统计!O$4:O$1003,$W10)))</f>
        <v>10628.87</v>
      </c>
      <c r="P10" s="56" t="n">
        <f aca="false">IF($W10="","",SUM(M$4:M10)-SUM(N$4:N10)-SUM(O$4:O10))</f>
        <v>-81555.67</v>
      </c>
      <c r="Q10" s="56" t="n">
        <f aca="false">IF($W10="","",N(INDEX(发票统计!Q$4:Q$1003,$W10)))</f>
        <v>0</v>
      </c>
      <c r="R10" s="56" t="n">
        <f aca="false">IF($W10="","",N(INDEX(发票统计!R$4:R$1003,$W10)))</f>
        <v>0</v>
      </c>
      <c r="S10" s="56" t="n">
        <f aca="false">IF($W10="","",N(INDEX(发票统计!S$4:S$1003,$W10)))</f>
        <v>0</v>
      </c>
      <c r="T10" s="56" t="n">
        <f aca="false">IF($W10="","",SUM(Q$4:Q10)-SUM(R$4:R10)-SUM(S$4:S10))</f>
        <v>0</v>
      </c>
      <c r="U10" s="56" t="str">
        <f aca="false">IF($W10="","",INDEX(发票统计!U$4:U$1003,$W10)&amp;"")</f>
        <v/>
      </c>
      <c r="W10" s="1" t="n">
        <f aca="false">IF($V$3="","",IFERROR(MATCH($V$3&amp;"#"&amp;ROWS(W$4:W10),发票统计!$W$4:$W$1003,0),""))</f>
        <v>85</v>
      </c>
    </row>
    <row r="11" customFormat="false" ht="16.5" hidden="false" customHeight="false" outlineLevel="0" collapsed="false">
      <c r="A11" s="3" t="str">
        <f aca="false">IF($W11="","",INDEX(发票统计!A$4:A$1003,$W11)&amp;"")</f>
        <v>蒲吕片区A段</v>
      </c>
      <c r="B11" s="3" t="str">
        <f aca="false">IF($W11="","",INDEX(发票统计!B$4:B$1003,$W11)&amp;"")</f>
        <v>9月</v>
      </c>
      <c r="C11" s="3" t="str">
        <f aca="false">IF($W11="","",INDEX(发票统计!C$4:C$1003,$W11)&amp;"")</f>
        <v>铜梁区园区屋顶分布式光伏发电建设项目-蒲吕片区A段10千伏电力新建工程</v>
      </c>
      <c r="D11" s="3" t="str">
        <f aca="false">IF($W11="","",INDEX(发票统计!D$4:D$1003,$W11)&amp;"")</f>
        <v>2026.9.4新德润开9%专票到民能：蒲吕片区A段10千伏电力新建</v>
      </c>
      <c r="E11" s="67" t="str">
        <f aca="false">IF($W11="","",INDEX(发票统计!E$4:E$1003,$W11)&amp;"")</f>
        <v>民能</v>
      </c>
      <c r="F11" s="68" t="str">
        <f aca="false">IF($W11="","",INDEX(发票统计!F$4:F$1003,$W11)&amp;"")</f>
        <v>9%专票</v>
      </c>
      <c r="G11" s="68" t="n">
        <f aca="false">IF($W11="","",IF(INDEX(发票统计!G$4:G$1003,$W11)="","",INDEX(发票统计!G$4:G$1003,$W11)))</f>
        <v>0.15</v>
      </c>
      <c r="H11" s="56" t="n">
        <f aca="false">IF($W11="","",N(INDEX(发票统计!H$4:H$1003,$W11)))</f>
        <v>154295.65</v>
      </c>
      <c r="I11" s="56" t="n">
        <f aca="false">IF($W11="","",N(INDEX(发票统计!I$4:I$1003,$W11)))</f>
        <v>23144.3475</v>
      </c>
      <c r="J11" s="56" t="n">
        <f aca="false">IF($W11="","",N(INDEX(发票统计!J$4:J$1003,$W11)))</f>
        <v>131151.3025</v>
      </c>
      <c r="K11" s="56" t="n">
        <f aca="false">IF($W11="","",N(INDEX(发票统计!K$4:K$1003,$W11)))</f>
        <v>49595.6325</v>
      </c>
      <c r="L11" s="56" t="n">
        <f aca="false">IF($W11="","",SUM(J$4:J11)-SUM(K$4:K11))</f>
        <v>0</v>
      </c>
      <c r="M11" s="56" t="n">
        <f aca="false">IF($W11="","",N(INDEX(发票统计!M$4:M$1003,$W11)))</f>
        <v>154295.65</v>
      </c>
      <c r="N11" s="56" t="n">
        <f aca="false">IF($W11="","",N(INDEX(发票统计!N$4:N$1003,$W11)))</f>
        <v>0</v>
      </c>
      <c r="O11" s="56" t="n">
        <f aca="false">IF($W11="","",N(INDEX(发票统计!O$4:O$1003,$W11)))</f>
        <v>23144.3475</v>
      </c>
      <c r="P11" s="56" t="n">
        <f aca="false">IF($W11="","",SUM(M$4:M11)-SUM(N$4:N11)-SUM(O$4:O11))</f>
        <v>49595.6325000001</v>
      </c>
      <c r="Q11" s="56" t="n">
        <f aca="false">IF($W11="","",N(INDEX(发票统计!Q$4:Q$1003,$W11)))</f>
        <v>0</v>
      </c>
      <c r="R11" s="56" t="n">
        <f aca="false">IF($W11="","",N(INDEX(发票统计!R$4:R$1003,$W11)))</f>
        <v>0</v>
      </c>
      <c r="S11" s="56" t="n">
        <f aca="false">IF($W11="","",N(INDEX(发票统计!S$4:S$1003,$W11)))</f>
        <v>0</v>
      </c>
      <c r="T11" s="56" t="n">
        <f aca="false">IF($W11="","",SUM(Q$4:Q11)-SUM(R$4:R11)-SUM(S$4:S11))</f>
        <v>0</v>
      </c>
      <c r="U11" s="56" t="str">
        <f aca="false">IF($W11="","",INDEX(发票统计!U$4:U$1003,$W11)&amp;"")</f>
        <v/>
      </c>
      <c r="W11" s="1" t="n">
        <f aca="false">IF($V$3="","",IFERROR(MATCH($V$3&amp;"#"&amp;ROWS(W$4:W11),发票统计!$W$4:$W$1003,0),""))</f>
        <v>86</v>
      </c>
    </row>
    <row r="12" customFormat="false" ht="16.5" hidden="false" customHeight="false" outlineLevel="0" collapsed="false">
      <c r="A12" s="3" t="str">
        <f aca="false">IF($W12="","",INDEX(发票统计!A$4:A$1003,$W12)&amp;"")</f>
        <v/>
      </c>
      <c r="B12" s="3" t="str">
        <f aca="false">IF($W12="","",INDEX(发票统计!B$4:B$1003,$W12)&amp;"")</f>
        <v/>
      </c>
      <c r="C12" s="3" t="str">
        <f aca="false">IF($W12="","",INDEX(发票统计!C$4:C$1003,$W12)&amp;"")</f>
        <v/>
      </c>
      <c r="D12" s="3" t="str">
        <f aca="false">IF($W12="","",INDEX(发票统计!D$4:D$1003,$W12)&amp;"")</f>
        <v/>
      </c>
      <c r="E12" s="67" t="str">
        <f aca="false">IF($W12="","",INDEX(发票统计!E$4:E$1003,$W12)&amp;"")</f>
        <v/>
      </c>
      <c r="F12" s="68" t="str">
        <f aca="false">IF($W12="","",INDEX(发票统计!F$4:F$1003,$W12)&amp;"")</f>
        <v/>
      </c>
      <c r="G12" s="68" t="str">
        <f aca="false">IF($W12="","",IF(INDEX(发票统计!G$4:G$1003,$W12)="","",INDEX(发票统计!G$4:G$1003,$W12)))</f>
        <v/>
      </c>
      <c r="H12" s="56" t="str">
        <f aca="false">IF($W12="","",N(INDEX(发票统计!H$4:H$1003,$W12)))</f>
        <v/>
      </c>
      <c r="I12" s="56" t="str">
        <f aca="false">IF($W12="","",N(INDEX(发票统计!I$4:I$1003,$W12)))</f>
        <v/>
      </c>
      <c r="J12" s="56" t="str">
        <f aca="false">IF($W12="","",N(INDEX(发票统计!J$4:J$1003,$W12)))</f>
        <v/>
      </c>
      <c r="K12" s="56" t="str">
        <f aca="false">IF($W12="","",N(INDEX(发票统计!K$4:K$1003,$W12)))</f>
        <v/>
      </c>
      <c r="L12" s="56" t="str">
        <f aca="false">IF($W12="","",SUM(J$4:J12)-SUM(K$4:K12))</f>
        <v/>
      </c>
      <c r="M12" s="56" t="str">
        <f aca="false">IF($W12="","",N(INDEX(发票统计!M$4:M$1003,$W12)))</f>
        <v/>
      </c>
      <c r="N12" s="56" t="str">
        <f aca="false">IF($W12="","",N(INDEX(发票统计!N$4:N$1003,$W12)))</f>
        <v/>
      </c>
      <c r="O12" s="56" t="str">
        <f aca="false">IF($W12="","",N(INDEX(发票统计!O$4:O$1003,$W12)))</f>
        <v/>
      </c>
      <c r="P12" s="56" t="str">
        <f aca="false">IF($W12="","",SUM(M$4:M12)-SUM(N$4:N12)-SUM(O$4:O12))</f>
        <v/>
      </c>
      <c r="Q12" s="56" t="str">
        <f aca="false">IF($W12="","",N(INDEX(发票统计!Q$4:Q$1003,$W12)))</f>
        <v/>
      </c>
      <c r="R12" s="56" t="str">
        <f aca="false">IF($W12="","",N(INDEX(发票统计!R$4:R$1003,$W12)))</f>
        <v/>
      </c>
      <c r="S12" s="56" t="str">
        <f aca="false">IF($W12="","",N(INDEX(发票统计!S$4:S$1003,$W12)))</f>
        <v/>
      </c>
      <c r="T12" s="56" t="str">
        <f aca="false">IF($W12="","",SUM(Q$4:Q12)-SUM(R$4:R12)-SUM(S$4:S12))</f>
        <v/>
      </c>
      <c r="U12" s="56" t="str">
        <f aca="false">IF($W12="","",INDEX(发票统计!U$4:U$1003,$W12)&amp;"")</f>
        <v/>
      </c>
      <c r="W12" s="1" t="str">
        <f aca="false">IF($V$3="","",IFERROR(MATCH($V$3&amp;"#"&amp;ROWS(W$4:W12),发票统计!$W$4:$W$1003,0),""))</f>
        <v/>
      </c>
    </row>
    <row r="13" customFormat="false" ht="16.5" hidden="false" customHeight="false" outlineLevel="0" collapsed="false">
      <c r="A13" s="3" t="str">
        <f aca="false">IF($W13="","",INDEX(发票统计!A$4:A$1003,$W13)&amp;"")</f>
        <v/>
      </c>
      <c r="B13" s="3" t="str">
        <f aca="false">IF($W13="","",INDEX(发票统计!B$4:B$1003,$W13)&amp;"")</f>
        <v/>
      </c>
      <c r="C13" s="3" t="str">
        <f aca="false">IF($W13="","",INDEX(发票统计!C$4:C$1003,$W13)&amp;"")</f>
        <v/>
      </c>
      <c r="D13" s="3" t="str">
        <f aca="false">IF($W13="","",INDEX(发票统计!D$4:D$1003,$W13)&amp;"")</f>
        <v/>
      </c>
      <c r="E13" s="67" t="str">
        <f aca="false">IF($W13="","",INDEX(发票统计!E$4:E$1003,$W13)&amp;"")</f>
        <v/>
      </c>
      <c r="F13" s="68" t="str">
        <f aca="false">IF($W13="","",INDEX(发票统计!F$4:F$1003,$W13)&amp;"")</f>
        <v/>
      </c>
      <c r="G13" s="68" t="str">
        <f aca="false">IF($W13="","",IF(INDEX(发票统计!G$4:G$1003,$W13)="","",INDEX(发票统计!G$4:G$1003,$W13)))</f>
        <v/>
      </c>
      <c r="H13" s="56" t="str">
        <f aca="false">IF($W13="","",N(INDEX(发票统计!H$4:H$1003,$W13)))</f>
        <v/>
      </c>
      <c r="I13" s="56" t="str">
        <f aca="false">IF($W13="","",N(INDEX(发票统计!I$4:I$1003,$W13)))</f>
        <v/>
      </c>
      <c r="J13" s="56" t="str">
        <f aca="false">IF($W13="","",N(INDEX(发票统计!J$4:J$1003,$W13)))</f>
        <v/>
      </c>
      <c r="K13" s="56" t="str">
        <f aca="false">IF($W13="","",N(INDEX(发票统计!K$4:K$1003,$W13)))</f>
        <v/>
      </c>
      <c r="L13" s="56" t="str">
        <f aca="false">IF($W13="","",SUM(J$4:J13)-SUM(K$4:K13))</f>
        <v/>
      </c>
      <c r="M13" s="56" t="str">
        <f aca="false">IF($W13="","",N(INDEX(发票统计!M$4:M$1003,$W13)))</f>
        <v/>
      </c>
      <c r="N13" s="56" t="str">
        <f aca="false">IF($W13="","",N(INDEX(发票统计!N$4:N$1003,$W13)))</f>
        <v/>
      </c>
      <c r="O13" s="56" t="str">
        <f aca="false">IF($W13="","",N(INDEX(发票统计!O$4:O$1003,$W13)))</f>
        <v/>
      </c>
      <c r="P13" s="56" t="str">
        <f aca="false">IF($W13="","",SUM(M$4:M13)-SUM(N$4:N13)-SUM(O$4:O13))</f>
        <v/>
      </c>
      <c r="Q13" s="56" t="str">
        <f aca="false">IF($W13="","",N(INDEX(发票统计!Q$4:Q$1003,$W13)))</f>
        <v/>
      </c>
      <c r="R13" s="56" t="str">
        <f aca="false">IF($W13="","",N(INDEX(发票统计!R$4:R$1003,$W13)))</f>
        <v/>
      </c>
      <c r="S13" s="56" t="str">
        <f aca="false">IF($W13="","",N(INDEX(发票统计!S$4:S$1003,$W13)))</f>
        <v/>
      </c>
      <c r="T13" s="56" t="str">
        <f aca="false">IF($W13="","",SUM(Q$4:Q13)-SUM(R$4:R13)-SUM(S$4:S13))</f>
        <v/>
      </c>
      <c r="U13" s="56" t="str">
        <f aca="false">IF($W13="","",INDEX(发票统计!U$4:U$1003,$W13)&amp;"")</f>
        <v/>
      </c>
      <c r="W13" s="1" t="str">
        <f aca="false">IF($V$3="","",IFERROR(MATCH($V$3&amp;"#"&amp;ROWS(W$4:W13),发票统计!$W$4:$W$1003,0),""))</f>
        <v/>
      </c>
    </row>
    <row r="14" customFormat="false" ht="16.5" hidden="false" customHeight="false" outlineLevel="0" collapsed="false">
      <c r="A14" s="3" t="str">
        <f aca="false">IF($W14="","",INDEX(发票统计!A$4:A$1003,$W14)&amp;"")</f>
        <v/>
      </c>
      <c r="B14" s="3" t="str">
        <f aca="false">IF($W14="","",INDEX(发票统计!B$4:B$1003,$W14)&amp;"")</f>
        <v/>
      </c>
      <c r="C14" s="3" t="str">
        <f aca="false">IF($W14="","",INDEX(发票统计!C$4:C$1003,$W14)&amp;"")</f>
        <v/>
      </c>
      <c r="D14" s="3" t="str">
        <f aca="false">IF($W14="","",INDEX(发票统计!D$4:D$1003,$W14)&amp;"")</f>
        <v/>
      </c>
      <c r="E14" s="67" t="str">
        <f aca="false">IF($W14="","",INDEX(发票统计!E$4:E$1003,$W14)&amp;"")</f>
        <v/>
      </c>
      <c r="F14" s="68" t="str">
        <f aca="false">IF($W14="","",INDEX(发票统计!F$4:F$1003,$W14)&amp;"")</f>
        <v/>
      </c>
      <c r="G14" s="68" t="str">
        <f aca="false">IF($W14="","",IF(INDEX(发票统计!G$4:G$1003,$W14)="","",INDEX(发票统计!G$4:G$1003,$W14)))</f>
        <v/>
      </c>
      <c r="H14" s="56" t="str">
        <f aca="false">IF($W14="","",N(INDEX(发票统计!H$4:H$1003,$W14)))</f>
        <v/>
      </c>
      <c r="I14" s="56" t="str">
        <f aca="false">IF($W14="","",N(INDEX(发票统计!I$4:I$1003,$W14)))</f>
        <v/>
      </c>
      <c r="J14" s="56" t="str">
        <f aca="false">IF($W14="","",N(INDEX(发票统计!J$4:J$1003,$W14)))</f>
        <v/>
      </c>
      <c r="K14" s="56" t="str">
        <f aca="false">IF($W14="","",N(INDEX(发票统计!K$4:K$1003,$W14)))</f>
        <v/>
      </c>
      <c r="L14" s="56" t="str">
        <f aca="false">IF($W14="","",SUM(J$4:J14)-SUM(K$4:K14))</f>
        <v/>
      </c>
      <c r="M14" s="56" t="str">
        <f aca="false">IF($W14="","",N(INDEX(发票统计!M$4:M$1003,$W14)))</f>
        <v/>
      </c>
      <c r="N14" s="56" t="str">
        <f aca="false">IF($W14="","",N(INDEX(发票统计!N$4:N$1003,$W14)))</f>
        <v/>
      </c>
      <c r="O14" s="56" t="str">
        <f aca="false">IF($W14="","",N(INDEX(发票统计!O$4:O$1003,$W14)))</f>
        <v/>
      </c>
      <c r="P14" s="56" t="str">
        <f aca="false">IF($W14="","",SUM(M$4:M14)-SUM(N$4:N14)-SUM(O$4:O14))</f>
        <v/>
      </c>
      <c r="Q14" s="56" t="str">
        <f aca="false">IF($W14="","",N(INDEX(发票统计!Q$4:Q$1003,$W14)))</f>
        <v/>
      </c>
      <c r="R14" s="56" t="str">
        <f aca="false">IF($W14="","",N(INDEX(发票统计!R$4:R$1003,$W14)))</f>
        <v/>
      </c>
      <c r="S14" s="56" t="str">
        <f aca="false">IF($W14="","",N(INDEX(发票统计!S$4:S$1003,$W14)))</f>
        <v/>
      </c>
      <c r="T14" s="56" t="str">
        <f aca="false">IF($W14="","",SUM(Q$4:Q14)-SUM(R$4:R14)-SUM(S$4:S14))</f>
        <v/>
      </c>
      <c r="U14" s="56" t="str">
        <f aca="false">IF($W14="","",INDEX(发票统计!U$4:U$1003,$W14)&amp;"")</f>
        <v/>
      </c>
      <c r="W14" s="1" t="str">
        <f aca="false">IF($V$3="","",IFERROR(MATCH($V$3&amp;"#"&amp;ROWS(W$4:W14),发票统计!$W$4:$W$1003,0),""))</f>
        <v/>
      </c>
    </row>
    <row r="15" customFormat="false" ht="16.5" hidden="false" customHeight="false" outlineLevel="0" collapsed="false">
      <c r="A15" s="3" t="str">
        <f aca="false">IF($W15="","",INDEX(发票统计!A$4:A$1003,$W15)&amp;"")</f>
        <v/>
      </c>
      <c r="B15" s="3" t="str">
        <f aca="false">IF($W15="","",INDEX(发票统计!B$4:B$1003,$W15)&amp;"")</f>
        <v/>
      </c>
      <c r="C15" s="3" t="str">
        <f aca="false">IF($W15="","",INDEX(发票统计!C$4:C$1003,$W15)&amp;"")</f>
        <v/>
      </c>
      <c r="D15" s="3" t="str">
        <f aca="false">IF($W15="","",INDEX(发票统计!D$4:D$1003,$W15)&amp;"")</f>
        <v/>
      </c>
      <c r="E15" s="67" t="str">
        <f aca="false">IF($W15="","",INDEX(发票统计!E$4:E$1003,$W15)&amp;"")</f>
        <v/>
      </c>
      <c r="F15" s="68" t="str">
        <f aca="false">IF($W15="","",INDEX(发票统计!F$4:F$1003,$W15)&amp;"")</f>
        <v/>
      </c>
      <c r="G15" s="68" t="str">
        <f aca="false">IF($W15="","",IF(INDEX(发票统计!G$4:G$1003,$W15)="","",INDEX(发票统计!G$4:G$1003,$W15)))</f>
        <v/>
      </c>
      <c r="H15" s="56" t="str">
        <f aca="false">IF($W15="","",N(INDEX(发票统计!H$4:H$1003,$W15)))</f>
        <v/>
      </c>
      <c r="I15" s="56" t="str">
        <f aca="false">IF($W15="","",N(INDEX(发票统计!I$4:I$1003,$W15)))</f>
        <v/>
      </c>
      <c r="J15" s="56" t="str">
        <f aca="false">IF($W15="","",N(INDEX(发票统计!J$4:J$1003,$W15)))</f>
        <v/>
      </c>
      <c r="K15" s="56" t="str">
        <f aca="false">IF($W15="","",N(INDEX(发票统计!K$4:K$1003,$W15)))</f>
        <v/>
      </c>
      <c r="L15" s="56" t="str">
        <f aca="false">IF($W15="","",SUM(J$4:J15)-SUM(K$4:K15))</f>
        <v/>
      </c>
      <c r="M15" s="56" t="str">
        <f aca="false">IF($W15="","",N(INDEX(发票统计!M$4:M$1003,$W15)))</f>
        <v/>
      </c>
      <c r="N15" s="56" t="str">
        <f aca="false">IF($W15="","",N(INDEX(发票统计!N$4:N$1003,$W15)))</f>
        <v/>
      </c>
      <c r="O15" s="56" t="str">
        <f aca="false">IF($W15="","",N(INDEX(发票统计!O$4:O$1003,$W15)))</f>
        <v/>
      </c>
      <c r="P15" s="56" t="str">
        <f aca="false">IF($W15="","",SUM(M$4:M15)-SUM(N$4:N15)-SUM(O$4:O15))</f>
        <v/>
      </c>
      <c r="Q15" s="56" t="str">
        <f aca="false">IF($W15="","",N(INDEX(发票统计!Q$4:Q$1003,$W15)))</f>
        <v/>
      </c>
      <c r="R15" s="56" t="str">
        <f aca="false">IF($W15="","",N(INDEX(发票统计!R$4:R$1003,$W15)))</f>
        <v/>
      </c>
      <c r="S15" s="56" t="str">
        <f aca="false">IF($W15="","",N(INDEX(发票统计!S$4:S$1003,$W15)))</f>
        <v/>
      </c>
      <c r="T15" s="56" t="str">
        <f aca="false">IF($W15="","",SUM(Q$4:Q15)-SUM(R$4:R15)-SUM(S$4:S15))</f>
        <v/>
      </c>
      <c r="U15" s="56" t="str">
        <f aca="false">IF($W15="","",INDEX(发票统计!U$4:U$1003,$W15)&amp;"")</f>
        <v/>
      </c>
      <c r="W15" s="1" t="str">
        <f aca="false">IF($V$3="","",IFERROR(MATCH($V$3&amp;"#"&amp;ROWS(W$4:W15),发票统计!$W$4:$W$1003,0),""))</f>
        <v/>
      </c>
    </row>
    <row r="16" customFormat="false" ht="16.5" hidden="false" customHeight="false" outlineLevel="0" collapsed="false">
      <c r="A16" s="3" t="str">
        <f aca="false">IF($W16="","",INDEX(发票统计!A$4:A$1003,$W16)&amp;"")</f>
        <v/>
      </c>
      <c r="B16" s="3" t="str">
        <f aca="false">IF($W16="","",INDEX(发票统计!B$4:B$1003,$W16)&amp;"")</f>
        <v/>
      </c>
      <c r="C16" s="3" t="str">
        <f aca="false">IF($W16="","",INDEX(发票统计!C$4:C$1003,$W16)&amp;"")</f>
        <v/>
      </c>
      <c r="D16" s="3" t="str">
        <f aca="false">IF($W16="","",INDEX(发票统计!D$4:D$1003,$W16)&amp;"")</f>
        <v/>
      </c>
      <c r="E16" s="67" t="str">
        <f aca="false">IF($W16="","",INDEX(发票统计!E$4:E$1003,$W16)&amp;"")</f>
        <v/>
      </c>
      <c r="F16" s="67" t="str">
        <f aca="false">IF($W16="","",INDEX(发票统计!F$4:F$1003,$W16)&amp;"")</f>
        <v/>
      </c>
      <c r="G16" s="68" t="str">
        <f aca="false">IF($W16="","",IF(INDEX(发票统计!G$4:G$1003,$W16)="","",INDEX(发票统计!G$4:G$1003,$W16)))</f>
        <v/>
      </c>
      <c r="H16" s="56" t="str">
        <f aca="false">IF($W16="","",N(INDEX(发票统计!H$4:H$1003,$W16)))</f>
        <v/>
      </c>
      <c r="I16" s="56" t="str">
        <f aca="false">IF($W16="","",N(INDEX(发票统计!I$4:I$1003,$W16)))</f>
        <v/>
      </c>
      <c r="J16" s="56" t="str">
        <f aca="false">IF($W16="","",N(INDEX(发票统计!J$4:J$1003,$W16)))</f>
        <v/>
      </c>
      <c r="K16" s="56" t="str">
        <f aca="false">IF($W16="","",N(INDEX(发票统计!K$4:K$1003,$W16)))</f>
        <v/>
      </c>
      <c r="L16" s="56" t="str">
        <f aca="false">IF($W16="","",SUM(J$4:J16)-SUM(K$4:K16))</f>
        <v/>
      </c>
      <c r="M16" s="56" t="str">
        <f aca="false">IF($W16="","",N(INDEX(发票统计!M$4:M$1003,$W16)))</f>
        <v/>
      </c>
      <c r="N16" s="56" t="str">
        <f aca="false">IF($W16="","",N(INDEX(发票统计!N$4:N$1003,$W16)))</f>
        <v/>
      </c>
      <c r="O16" s="56" t="str">
        <f aca="false">IF($W16="","",N(INDEX(发票统计!O$4:O$1003,$W16)))</f>
        <v/>
      </c>
      <c r="P16" s="56" t="str">
        <f aca="false">IF($W16="","",SUM(M$4:M16)-SUM(N$4:N16)-SUM(O$4:O16))</f>
        <v/>
      </c>
      <c r="Q16" s="56" t="str">
        <f aca="false">IF($W16="","",N(INDEX(发票统计!Q$4:Q$1003,$W16)))</f>
        <v/>
      </c>
      <c r="R16" s="56" t="str">
        <f aca="false">IF($W16="","",N(INDEX(发票统计!R$4:R$1003,$W16)))</f>
        <v/>
      </c>
      <c r="S16" s="56" t="str">
        <f aca="false">IF($W16="","",N(INDEX(发票统计!S$4:S$1003,$W16)))</f>
        <v/>
      </c>
      <c r="T16" s="56" t="str">
        <f aca="false">IF($W16="","",SUM(Q$4:Q16)-SUM(R$4:R16)-SUM(S$4:S16))</f>
        <v/>
      </c>
      <c r="U16" s="56" t="str">
        <f aca="false">IF($W16="","",INDEX(发票统计!U$4:U$1003,$W16)&amp;"")</f>
        <v/>
      </c>
      <c r="W16" s="1" t="str">
        <f aca="false">IF($V$3="","",IFERROR(MATCH($V$3&amp;"#"&amp;ROWS(W$4:W16),发票统计!$W$4:$W$1003,0),""))</f>
        <v/>
      </c>
    </row>
    <row r="17" customFormat="false" ht="16.5" hidden="false" customHeight="false" outlineLevel="0" collapsed="false">
      <c r="A17" s="3" t="str">
        <f aca="false">IF($W17="","",INDEX(发票统计!A$4:A$1003,$W17)&amp;"")</f>
        <v/>
      </c>
      <c r="B17" s="3" t="str">
        <f aca="false">IF($W17="","",INDEX(发票统计!B$4:B$1003,$W17)&amp;"")</f>
        <v/>
      </c>
      <c r="C17" s="3" t="str">
        <f aca="false">IF($W17="","",INDEX(发票统计!C$4:C$1003,$W17)&amp;"")</f>
        <v/>
      </c>
      <c r="D17" s="3" t="str">
        <f aca="false">IF($W17="","",INDEX(发票统计!D$4:D$1003,$W17)&amp;"")</f>
        <v/>
      </c>
      <c r="E17" s="67" t="str">
        <f aca="false">IF($W17="","",INDEX(发票统计!E$4:E$1003,$W17)&amp;"")</f>
        <v/>
      </c>
      <c r="F17" s="67" t="str">
        <f aca="false">IF($W17="","",INDEX(发票统计!F$4:F$1003,$W17)&amp;"")</f>
        <v/>
      </c>
      <c r="G17" s="68" t="str">
        <f aca="false">IF($W17="","",IF(INDEX(发票统计!G$4:G$1003,$W17)="","",INDEX(发票统计!G$4:G$1003,$W17)))</f>
        <v/>
      </c>
      <c r="H17" s="56" t="str">
        <f aca="false">IF($W17="","",N(INDEX(发票统计!H$4:H$1003,$W17)))</f>
        <v/>
      </c>
      <c r="I17" s="56" t="str">
        <f aca="false">IF($W17="","",N(INDEX(发票统计!I$4:I$1003,$W17)))</f>
        <v/>
      </c>
      <c r="J17" s="56" t="str">
        <f aca="false">IF($W17="","",N(INDEX(发票统计!J$4:J$1003,$W17)))</f>
        <v/>
      </c>
      <c r="K17" s="56" t="str">
        <f aca="false">IF($W17="","",N(INDEX(发票统计!K$4:K$1003,$W17)))</f>
        <v/>
      </c>
      <c r="L17" s="56" t="str">
        <f aca="false">IF($W17="","",SUM(J$4:J17)-SUM(K$4:K17))</f>
        <v/>
      </c>
      <c r="M17" s="56" t="str">
        <f aca="false">IF($W17="","",N(INDEX(发票统计!M$4:M$1003,$W17)))</f>
        <v/>
      </c>
      <c r="N17" s="56" t="str">
        <f aca="false">IF($W17="","",N(INDEX(发票统计!N$4:N$1003,$W17)))</f>
        <v/>
      </c>
      <c r="O17" s="56" t="str">
        <f aca="false">IF($W17="","",N(INDEX(发票统计!O$4:O$1003,$W17)))</f>
        <v/>
      </c>
      <c r="P17" s="56" t="str">
        <f aca="false">IF($W17="","",SUM(M$4:M17)-SUM(N$4:N17)-SUM(O$4:O17))</f>
        <v/>
      </c>
      <c r="Q17" s="56" t="str">
        <f aca="false">IF($W17="","",N(INDEX(发票统计!Q$4:Q$1003,$W17)))</f>
        <v/>
      </c>
      <c r="R17" s="56" t="str">
        <f aca="false">IF($W17="","",N(INDEX(发票统计!R$4:R$1003,$W17)))</f>
        <v/>
      </c>
      <c r="S17" s="56" t="str">
        <f aca="false">IF($W17="","",N(INDEX(发票统计!S$4:S$1003,$W17)))</f>
        <v/>
      </c>
      <c r="T17" s="56" t="str">
        <f aca="false">IF($W17="","",SUM(Q$4:Q17)-SUM(R$4:R17)-SUM(S$4:S17))</f>
        <v/>
      </c>
      <c r="U17" s="56" t="str">
        <f aca="false">IF($W17="","",INDEX(发票统计!U$4:U$1003,$W17)&amp;"")</f>
        <v/>
      </c>
      <c r="W17" s="1" t="str">
        <f aca="false">IF($V$3="","",IFERROR(MATCH($V$3&amp;"#"&amp;ROWS(W$4:W17),发票统计!$W$4:$W$1003,0),""))</f>
        <v/>
      </c>
    </row>
    <row r="18" customFormat="false" ht="16.5" hidden="false" customHeight="false" outlineLevel="0" collapsed="false">
      <c r="A18" s="3" t="str">
        <f aca="false">IF($W18="","",INDEX(发票统计!A$4:A$1003,$W18)&amp;"")</f>
        <v/>
      </c>
      <c r="B18" s="3" t="str">
        <f aca="false">IF($W18="","",INDEX(发票统计!B$4:B$1003,$W18)&amp;"")</f>
        <v/>
      </c>
      <c r="C18" s="3" t="str">
        <f aca="false">IF($W18="","",INDEX(发票统计!C$4:C$1003,$W18)&amp;"")</f>
        <v/>
      </c>
      <c r="D18" s="3" t="str">
        <f aca="false">IF($W18="","",INDEX(发票统计!D$4:D$1003,$W18)&amp;"")</f>
        <v/>
      </c>
      <c r="E18" s="67" t="str">
        <f aca="false">IF($W18="","",INDEX(发票统计!E$4:E$1003,$W18)&amp;"")</f>
        <v/>
      </c>
      <c r="F18" s="67" t="str">
        <f aca="false">IF($W18="","",INDEX(发票统计!F$4:F$1003,$W18)&amp;"")</f>
        <v/>
      </c>
      <c r="G18" s="68" t="str">
        <f aca="false">IF($W18="","",IF(INDEX(发票统计!G$4:G$1003,$W18)="","",INDEX(发票统计!G$4:G$1003,$W18)))</f>
        <v/>
      </c>
      <c r="H18" s="56" t="str">
        <f aca="false">IF($W18="","",N(INDEX(发票统计!H$4:H$1003,$W18)))</f>
        <v/>
      </c>
      <c r="I18" s="56" t="str">
        <f aca="false">IF($W18="","",N(INDEX(发票统计!I$4:I$1003,$W18)))</f>
        <v/>
      </c>
      <c r="J18" s="56" t="str">
        <f aca="false">IF($W18="","",N(INDEX(发票统计!J$4:J$1003,$W18)))</f>
        <v/>
      </c>
      <c r="K18" s="56" t="str">
        <f aca="false">IF($W18="","",N(INDEX(发票统计!K$4:K$1003,$W18)))</f>
        <v/>
      </c>
      <c r="L18" s="56" t="str">
        <f aca="false">IF($W18="","",SUM(J$4:J18)-SUM(K$4:K18))</f>
        <v/>
      </c>
      <c r="M18" s="56" t="str">
        <f aca="false">IF($W18="","",N(INDEX(发票统计!M$4:M$1003,$W18)))</f>
        <v/>
      </c>
      <c r="N18" s="56" t="str">
        <f aca="false">IF($W18="","",N(INDEX(发票统计!N$4:N$1003,$W18)))</f>
        <v/>
      </c>
      <c r="O18" s="56" t="str">
        <f aca="false">IF($W18="","",N(INDEX(发票统计!O$4:O$1003,$W18)))</f>
        <v/>
      </c>
      <c r="P18" s="56" t="str">
        <f aca="false">IF($W18="","",SUM(M$4:M18)-SUM(N$4:N18)-SUM(O$4:O18))</f>
        <v/>
      </c>
      <c r="Q18" s="56" t="str">
        <f aca="false">IF($W18="","",N(INDEX(发票统计!Q$4:Q$1003,$W18)))</f>
        <v/>
      </c>
      <c r="R18" s="56" t="str">
        <f aca="false">IF($W18="","",N(INDEX(发票统计!R$4:R$1003,$W18)))</f>
        <v/>
      </c>
      <c r="S18" s="56" t="str">
        <f aca="false">IF($W18="","",N(INDEX(发票统计!S$4:S$1003,$W18)))</f>
        <v/>
      </c>
      <c r="T18" s="56" t="str">
        <f aca="false">IF($W18="","",SUM(Q$4:Q18)-SUM(R$4:R18)-SUM(S$4:S18))</f>
        <v/>
      </c>
      <c r="U18" s="56" t="str">
        <f aca="false">IF($W18="","",INDEX(发票统计!U$4:U$1003,$W18)&amp;"")</f>
        <v/>
      </c>
      <c r="W18" s="1" t="str">
        <f aca="false">IF($V$3="","",IFERROR(MATCH($V$3&amp;"#"&amp;ROWS(W$4:W18),发票统计!$W$4:$W$1003,0),""))</f>
        <v/>
      </c>
    </row>
    <row r="19" customFormat="false" ht="16.5" hidden="false" customHeight="false" outlineLevel="0" collapsed="false">
      <c r="A19" s="3" t="str">
        <f aca="false">IF($W19="","",INDEX(发票统计!A$4:A$1003,$W19)&amp;"")</f>
        <v/>
      </c>
      <c r="B19" s="3" t="str">
        <f aca="false">IF($W19="","",INDEX(发票统计!B$4:B$1003,$W19)&amp;"")</f>
        <v/>
      </c>
      <c r="C19" s="3" t="str">
        <f aca="false">IF($W19="","",INDEX(发票统计!C$4:C$1003,$W19)&amp;"")</f>
        <v/>
      </c>
      <c r="D19" s="3" t="str">
        <f aca="false">IF($W19="","",INDEX(发票统计!D$4:D$1003,$W19)&amp;"")</f>
        <v/>
      </c>
      <c r="E19" s="67" t="str">
        <f aca="false">IF($W19="","",INDEX(发票统计!E$4:E$1003,$W19)&amp;"")</f>
        <v/>
      </c>
      <c r="F19" s="67" t="str">
        <f aca="false">IF($W19="","",INDEX(发票统计!F$4:F$1003,$W19)&amp;"")</f>
        <v/>
      </c>
      <c r="G19" s="68" t="str">
        <f aca="false">IF($W19="","",IF(INDEX(发票统计!G$4:G$1003,$W19)="","",INDEX(发票统计!G$4:G$1003,$W19)))</f>
        <v/>
      </c>
      <c r="H19" s="56" t="str">
        <f aca="false">IF($W19="","",N(INDEX(发票统计!H$4:H$1003,$W19)))</f>
        <v/>
      </c>
      <c r="I19" s="56" t="str">
        <f aca="false">IF($W19="","",N(INDEX(发票统计!I$4:I$1003,$W19)))</f>
        <v/>
      </c>
      <c r="J19" s="56" t="str">
        <f aca="false">IF($W19="","",N(INDEX(发票统计!J$4:J$1003,$W19)))</f>
        <v/>
      </c>
      <c r="K19" s="56" t="str">
        <f aca="false">IF($W19="","",N(INDEX(发票统计!K$4:K$1003,$W19)))</f>
        <v/>
      </c>
      <c r="L19" s="56" t="str">
        <f aca="false">IF($W19="","",SUM(J$4:J19)-SUM(K$4:K19))</f>
        <v/>
      </c>
      <c r="M19" s="56" t="str">
        <f aca="false">IF($W19="","",N(INDEX(发票统计!M$4:M$1003,$W19)))</f>
        <v/>
      </c>
      <c r="N19" s="56" t="str">
        <f aca="false">IF($W19="","",N(INDEX(发票统计!N$4:N$1003,$W19)))</f>
        <v/>
      </c>
      <c r="O19" s="56" t="str">
        <f aca="false">IF($W19="","",N(INDEX(发票统计!O$4:O$1003,$W19)))</f>
        <v/>
      </c>
      <c r="P19" s="56" t="str">
        <f aca="false">IF($W19="","",SUM(M$4:M19)-SUM(N$4:N19)-SUM(O$4:O19))</f>
        <v/>
      </c>
      <c r="Q19" s="56" t="str">
        <f aca="false">IF($W19="","",N(INDEX(发票统计!Q$4:Q$1003,$W19)))</f>
        <v/>
      </c>
      <c r="R19" s="56" t="str">
        <f aca="false">IF($W19="","",N(INDEX(发票统计!R$4:R$1003,$W19)))</f>
        <v/>
      </c>
      <c r="S19" s="56" t="str">
        <f aca="false">IF($W19="","",N(INDEX(发票统计!S$4:S$1003,$W19)))</f>
        <v/>
      </c>
      <c r="T19" s="56" t="str">
        <f aca="false">IF($W19="","",SUM(Q$4:Q19)-SUM(R$4:R19)-SUM(S$4:S19))</f>
        <v/>
      </c>
      <c r="U19" s="56" t="str">
        <f aca="false">IF($W19="","",INDEX(发票统计!U$4:U$1003,$W19)&amp;"")</f>
        <v/>
      </c>
      <c r="W19" s="1" t="str">
        <f aca="false">IF($V$3="","",IFERROR(MATCH($V$3&amp;"#"&amp;ROWS(W$4:W19),发票统计!$W$4:$W$1003,0),""))</f>
        <v/>
      </c>
    </row>
    <row r="20" customFormat="false" ht="16.5" hidden="false" customHeight="false" outlineLevel="0" collapsed="false">
      <c r="A20" s="3" t="str">
        <f aca="false">IF($W20="","",INDEX(发票统计!A$4:A$1003,$W20)&amp;"")</f>
        <v/>
      </c>
      <c r="B20" s="3" t="str">
        <f aca="false">IF($W20="","",INDEX(发票统计!B$4:B$1003,$W20)&amp;"")</f>
        <v/>
      </c>
      <c r="C20" s="3" t="str">
        <f aca="false">IF($W20="","",INDEX(发票统计!C$4:C$1003,$W20)&amp;"")</f>
        <v/>
      </c>
      <c r="D20" s="3" t="str">
        <f aca="false">IF($W20="","",INDEX(发票统计!D$4:D$1003,$W20)&amp;"")</f>
        <v/>
      </c>
      <c r="E20" s="67" t="str">
        <f aca="false">IF($W20="","",INDEX(发票统计!E$4:E$1003,$W20)&amp;"")</f>
        <v/>
      </c>
      <c r="F20" s="67" t="str">
        <f aca="false">IF($W20="","",INDEX(发票统计!F$4:F$1003,$W20)&amp;"")</f>
        <v/>
      </c>
      <c r="G20" s="68" t="str">
        <f aca="false">IF($W20="","",IF(INDEX(发票统计!G$4:G$1003,$W20)="","",INDEX(发票统计!G$4:G$1003,$W20)))</f>
        <v/>
      </c>
      <c r="H20" s="56" t="str">
        <f aca="false">IF($W20="","",N(INDEX(发票统计!H$4:H$1003,$W20)))</f>
        <v/>
      </c>
      <c r="I20" s="56" t="str">
        <f aca="false">IF($W20="","",N(INDEX(发票统计!I$4:I$1003,$W20)))</f>
        <v/>
      </c>
      <c r="J20" s="56" t="str">
        <f aca="false">IF($W20="","",N(INDEX(发票统计!J$4:J$1003,$W20)))</f>
        <v/>
      </c>
      <c r="K20" s="56" t="str">
        <f aca="false">IF($W20="","",N(INDEX(发票统计!K$4:K$1003,$W20)))</f>
        <v/>
      </c>
      <c r="L20" s="56" t="str">
        <f aca="false">IF($W20="","",SUM(J$4:J20)-SUM(K$4:K20))</f>
        <v/>
      </c>
      <c r="M20" s="56" t="str">
        <f aca="false">IF($W20="","",N(INDEX(发票统计!M$4:M$1003,$W20)))</f>
        <v/>
      </c>
      <c r="N20" s="56" t="str">
        <f aca="false">IF($W20="","",N(INDEX(发票统计!N$4:N$1003,$W20)))</f>
        <v/>
      </c>
      <c r="O20" s="56" t="str">
        <f aca="false">IF($W20="","",N(INDEX(发票统计!O$4:O$1003,$W20)))</f>
        <v/>
      </c>
      <c r="P20" s="56" t="str">
        <f aca="false">IF($W20="","",SUM(M$4:M20)-SUM(N$4:N20)-SUM(O$4:O20))</f>
        <v/>
      </c>
      <c r="Q20" s="56" t="str">
        <f aca="false">IF($W20="","",N(INDEX(发票统计!Q$4:Q$1003,$W20)))</f>
        <v/>
      </c>
      <c r="R20" s="56" t="str">
        <f aca="false">IF($W20="","",N(INDEX(发票统计!R$4:R$1003,$W20)))</f>
        <v/>
      </c>
      <c r="S20" s="56" t="str">
        <f aca="false">IF($W20="","",N(INDEX(发票统计!S$4:S$1003,$W20)))</f>
        <v/>
      </c>
      <c r="T20" s="56" t="str">
        <f aca="false">IF($W20="","",SUM(Q$4:Q20)-SUM(R$4:R20)-SUM(S$4:S20))</f>
        <v/>
      </c>
      <c r="U20" s="56" t="str">
        <f aca="false">IF($W20="","",INDEX(发票统计!U$4:U$1003,$W20)&amp;"")</f>
        <v/>
      </c>
      <c r="W20" s="1" t="str">
        <f aca="false">IF($V$3="","",IFERROR(MATCH($V$3&amp;"#"&amp;ROWS(W$4:W20),发票统计!$W$4:$W$1003,0),""))</f>
        <v/>
      </c>
    </row>
    <row r="21" customFormat="false" ht="16.5" hidden="false" customHeight="false" outlineLevel="0" collapsed="false">
      <c r="A21" s="3" t="str">
        <f aca="false">IF($W21="","",INDEX(发票统计!A$4:A$1003,$W21)&amp;"")</f>
        <v/>
      </c>
      <c r="B21" s="3" t="str">
        <f aca="false">IF($W21="","",INDEX(发票统计!B$4:B$1003,$W21)&amp;"")</f>
        <v/>
      </c>
      <c r="C21" s="3" t="str">
        <f aca="false">IF($W21="","",INDEX(发票统计!C$4:C$1003,$W21)&amp;"")</f>
        <v/>
      </c>
      <c r="D21" s="3" t="str">
        <f aca="false">IF($W21="","",INDEX(发票统计!D$4:D$1003,$W21)&amp;"")</f>
        <v/>
      </c>
      <c r="E21" s="67" t="str">
        <f aca="false">IF($W21="","",INDEX(发票统计!E$4:E$1003,$W21)&amp;"")</f>
        <v/>
      </c>
      <c r="F21" s="67" t="str">
        <f aca="false">IF($W21="","",INDEX(发票统计!F$4:F$1003,$W21)&amp;"")</f>
        <v/>
      </c>
      <c r="G21" s="68" t="str">
        <f aca="false">IF($W21="","",IF(INDEX(发票统计!G$4:G$1003,$W21)="","",INDEX(发票统计!G$4:G$1003,$W21)))</f>
        <v/>
      </c>
      <c r="H21" s="56" t="str">
        <f aca="false">IF($W21="","",N(INDEX(发票统计!H$4:H$1003,$W21)))</f>
        <v/>
      </c>
      <c r="I21" s="56" t="str">
        <f aca="false">IF($W21="","",N(INDEX(发票统计!I$4:I$1003,$W21)))</f>
        <v/>
      </c>
      <c r="J21" s="56" t="str">
        <f aca="false">IF($W21="","",N(INDEX(发票统计!J$4:J$1003,$W21)))</f>
        <v/>
      </c>
      <c r="K21" s="56" t="str">
        <f aca="false">IF($W21="","",N(INDEX(发票统计!K$4:K$1003,$W21)))</f>
        <v/>
      </c>
      <c r="L21" s="56" t="str">
        <f aca="false">IF($W21="","",SUM(J$4:J21)-SUM(K$4:K21))</f>
        <v/>
      </c>
      <c r="M21" s="56" t="str">
        <f aca="false">IF($W21="","",N(INDEX(发票统计!M$4:M$1003,$W21)))</f>
        <v/>
      </c>
      <c r="N21" s="56" t="str">
        <f aca="false">IF($W21="","",N(INDEX(发票统计!N$4:N$1003,$W21)))</f>
        <v/>
      </c>
      <c r="O21" s="56" t="str">
        <f aca="false">IF($W21="","",N(INDEX(发票统计!O$4:O$1003,$W21)))</f>
        <v/>
      </c>
      <c r="P21" s="56" t="str">
        <f aca="false">IF($W21="","",SUM(M$4:M21)-SUM(N$4:N21)-SUM(O$4:O21))</f>
        <v/>
      </c>
      <c r="Q21" s="56" t="str">
        <f aca="false">IF($W21="","",N(INDEX(发票统计!Q$4:Q$1003,$W21)))</f>
        <v/>
      </c>
      <c r="R21" s="56" t="str">
        <f aca="false">IF($W21="","",N(INDEX(发票统计!R$4:R$1003,$W21)))</f>
        <v/>
      </c>
      <c r="S21" s="56" t="str">
        <f aca="false">IF($W21="","",N(INDEX(发票统计!S$4:S$1003,$W21)))</f>
        <v/>
      </c>
      <c r="T21" s="56" t="str">
        <f aca="false">IF($W21="","",SUM(Q$4:Q21)-SUM(R$4:R21)-SUM(S$4:S21))</f>
        <v/>
      </c>
      <c r="U21" s="56" t="str">
        <f aca="false">IF($W21="","",INDEX(发票统计!U$4:U$1003,$W21)&amp;"")</f>
        <v/>
      </c>
      <c r="W21" s="1" t="str">
        <f aca="false">IF($V$3="","",IFERROR(MATCH($V$3&amp;"#"&amp;ROWS(W$4:W21),发票统计!$W$4:$W$1003,0),""))</f>
        <v/>
      </c>
    </row>
    <row r="22" customFormat="false" ht="16.5" hidden="false" customHeight="false" outlineLevel="0" collapsed="false">
      <c r="A22" s="3" t="str">
        <f aca="false">IF($W22="","",INDEX(发票统计!A$4:A$1003,$W22)&amp;"")</f>
        <v/>
      </c>
      <c r="B22" s="3" t="str">
        <f aca="false">IF($W22="","",INDEX(发票统计!B$4:B$1003,$W22)&amp;"")</f>
        <v/>
      </c>
      <c r="C22" s="3" t="str">
        <f aca="false">IF($W22="","",INDEX(发票统计!C$4:C$1003,$W22)&amp;"")</f>
        <v/>
      </c>
      <c r="D22" s="3" t="str">
        <f aca="false">IF($W22="","",INDEX(发票统计!D$4:D$1003,$W22)&amp;"")</f>
        <v/>
      </c>
      <c r="E22" s="67" t="str">
        <f aca="false">IF($W22="","",INDEX(发票统计!E$4:E$1003,$W22)&amp;"")</f>
        <v/>
      </c>
      <c r="F22" s="67" t="str">
        <f aca="false">IF($W22="","",INDEX(发票统计!F$4:F$1003,$W22)&amp;"")</f>
        <v/>
      </c>
      <c r="G22" s="68" t="str">
        <f aca="false">IF($W22="","",IF(INDEX(发票统计!G$4:G$1003,$W22)="","",INDEX(发票统计!G$4:G$1003,$W22)))</f>
        <v/>
      </c>
      <c r="H22" s="56" t="str">
        <f aca="false">IF($W22="","",N(INDEX(发票统计!H$4:H$1003,$W22)))</f>
        <v/>
      </c>
      <c r="I22" s="56" t="str">
        <f aca="false">IF($W22="","",N(INDEX(发票统计!I$4:I$1003,$W22)))</f>
        <v/>
      </c>
      <c r="J22" s="56" t="str">
        <f aca="false">IF($W22="","",N(INDEX(发票统计!J$4:J$1003,$W22)))</f>
        <v/>
      </c>
      <c r="K22" s="56" t="str">
        <f aca="false">IF($W22="","",N(INDEX(发票统计!K$4:K$1003,$W22)))</f>
        <v/>
      </c>
      <c r="L22" s="56" t="str">
        <f aca="false">IF($W22="","",SUM(J$4:J22)-SUM(K$4:K22))</f>
        <v/>
      </c>
      <c r="M22" s="56" t="str">
        <f aca="false">IF($W22="","",N(INDEX(发票统计!M$4:M$1003,$W22)))</f>
        <v/>
      </c>
      <c r="N22" s="56" t="str">
        <f aca="false">IF($W22="","",N(INDEX(发票统计!N$4:N$1003,$W22)))</f>
        <v/>
      </c>
      <c r="O22" s="56" t="str">
        <f aca="false">IF($W22="","",N(INDEX(发票统计!O$4:O$1003,$W22)))</f>
        <v/>
      </c>
      <c r="P22" s="56" t="str">
        <f aca="false">IF($W22="","",SUM(M$4:M22)-SUM(N$4:N22)-SUM(O$4:O22))</f>
        <v/>
      </c>
      <c r="Q22" s="56" t="str">
        <f aca="false">IF($W22="","",N(INDEX(发票统计!Q$4:Q$1003,$W22)))</f>
        <v/>
      </c>
      <c r="R22" s="56" t="str">
        <f aca="false">IF($W22="","",N(INDEX(发票统计!R$4:R$1003,$W22)))</f>
        <v/>
      </c>
      <c r="S22" s="56" t="str">
        <f aca="false">IF($W22="","",N(INDEX(发票统计!S$4:S$1003,$W22)))</f>
        <v/>
      </c>
      <c r="T22" s="56" t="str">
        <f aca="false">IF($W22="","",SUM(Q$4:Q22)-SUM(R$4:R22)-SUM(S$4:S22))</f>
        <v/>
      </c>
      <c r="U22" s="56" t="str">
        <f aca="false">IF($W22="","",INDEX(发票统计!U$4:U$1003,$W22)&amp;"")</f>
        <v/>
      </c>
      <c r="W22" s="1" t="str">
        <f aca="false">IF($V$3="","",IFERROR(MATCH($V$3&amp;"#"&amp;ROWS(W$4:W22),发票统计!$W$4:$W$1003,0),""))</f>
        <v/>
      </c>
    </row>
    <row r="23" customFormat="false" ht="16.5" hidden="false" customHeight="false" outlineLevel="0" collapsed="false">
      <c r="A23" s="3" t="str">
        <f aca="false">IF($W23="","",INDEX(发票统计!A$4:A$1003,$W23)&amp;"")</f>
        <v/>
      </c>
      <c r="B23" s="3" t="str">
        <f aca="false">IF($W23="","",INDEX(发票统计!B$4:B$1003,$W23)&amp;"")</f>
        <v/>
      </c>
      <c r="C23" s="3" t="str">
        <f aca="false">IF($W23="","",INDEX(发票统计!C$4:C$1003,$W23)&amp;"")</f>
        <v/>
      </c>
      <c r="D23" s="3" t="str">
        <f aca="false">IF($W23="","",INDEX(发票统计!D$4:D$1003,$W23)&amp;"")</f>
        <v/>
      </c>
      <c r="E23" s="67" t="str">
        <f aca="false">IF($W23="","",INDEX(发票统计!E$4:E$1003,$W23)&amp;"")</f>
        <v/>
      </c>
      <c r="F23" s="67" t="str">
        <f aca="false">IF($W23="","",INDEX(发票统计!F$4:F$1003,$W23)&amp;"")</f>
        <v/>
      </c>
      <c r="G23" s="68" t="str">
        <f aca="false">IF($W23="","",IF(INDEX(发票统计!G$4:G$1003,$W23)="","",INDEX(发票统计!G$4:G$1003,$W23)))</f>
        <v/>
      </c>
      <c r="H23" s="56" t="str">
        <f aca="false">IF($W23="","",N(INDEX(发票统计!H$4:H$1003,$W23)))</f>
        <v/>
      </c>
      <c r="I23" s="56" t="str">
        <f aca="false">IF($W23="","",N(INDEX(发票统计!I$4:I$1003,$W23)))</f>
        <v/>
      </c>
      <c r="J23" s="56" t="str">
        <f aca="false">IF($W23="","",N(INDEX(发票统计!J$4:J$1003,$W23)))</f>
        <v/>
      </c>
      <c r="K23" s="56" t="str">
        <f aca="false">IF($W23="","",N(INDEX(发票统计!K$4:K$1003,$W23)))</f>
        <v/>
      </c>
      <c r="L23" s="56" t="str">
        <f aca="false">IF($W23="","",SUM(J$4:J23)-SUM(K$4:K23))</f>
        <v/>
      </c>
      <c r="M23" s="56" t="str">
        <f aca="false">IF($W23="","",N(INDEX(发票统计!M$4:M$1003,$W23)))</f>
        <v/>
      </c>
      <c r="N23" s="56" t="str">
        <f aca="false">IF($W23="","",N(INDEX(发票统计!N$4:N$1003,$W23)))</f>
        <v/>
      </c>
      <c r="O23" s="56" t="str">
        <f aca="false">IF($W23="","",N(INDEX(发票统计!O$4:O$1003,$W23)))</f>
        <v/>
      </c>
      <c r="P23" s="56" t="str">
        <f aca="false">IF($W23="","",SUM(M$4:M23)-SUM(N$4:N23)-SUM(O$4:O23))</f>
        <v/>
      </c>
      <c r="Q23" s="56" t="str">
        <f aca="false">IF($W23="","",N(INDEX(发票统计!Q$4:Q$1003,$W23)))</f>
        <v/>
      </c>
      <c r="R23" s="56" t="str">
        <f aca="false">IF($W23="","",N(INDEX(发票统计!R$4:R$1003,$W23)))</f>
        <v/>
      </c>
      <c r="S23" s="56" t="str">
        <f aca="false">IF($W23="","",N(INDEX(发票统计!S$4:S$1003,$W23)))</f>
        <v/>
      </c>
      <c r="T23" s="56" t="str">
        <f aca="false">IF($W23="","",SUM(Q$4:Q23)-SUM(R$4:R23)-SUM(S$4:S23))</f>
        <v/>
      </c>
      <c r="U23" s="56" t="str">
        <f aca="false">IF($W23="","",INDEX(发票统计!U$4:U$1003,$W23)&amp;"")</f>
        <v/>
      </c>
      <c r="W23" s="1" t="str">
        <f aca="false">IF($V$3="","",IFERROR(MATCH($V$3&amp;"#"&amp;ROWS(W$4:W23),发票统计!$W$4:$W$1003,0),""))</f>
        <v/>
      </c>
    </row>
    <row r="24" customFormat="false" ht="16.5" hidden="false" customHeight="false" outlineLevel="0" collapsed="false">
      <c r="A24" s="3" t="str">
        <f aca="false">IF($W24="","",INDEX(发票统计!A$4:A$1003,$W24)&amp;"")</f>
        <v/>
      </c>
      <c r="B24" s="3" t="str">
        <f aca="false">IF($W24="","",INDEX(发票统计!B$4:B$1003,$W24)&amp;"")</f>
        <v/>
      </c>
      <c r="C24" s="3" t="str">
        <f aca="false">IF($W24="","",INDEX(发票统计!C$4:C$1003,$W24)&amp;"")</f>
        <v/>
      </c>
      <c r="D24" s="3" t="str">
        <f aca="false">IF($W24="","",INDEX(发票统计!D$4:D$1003,$W24)&amp;"")</f>
        <v/>
      </c>
      <c r="E24" s="67" t="str">
        <f aca="false">IF($W24="","",INDEX(发票统计!E$4:E$1003,$W24)&amp;"")</f>
        <v/>
      </c>
      <c r="F24" s="67" t="str">
        <f aca="false">IF($W24="","",INDEX(发票统计!F$4:F$1003,$W24)&amp;"")</f>
        <v/>
      </c>
      <c r="G24" s="68" t="str">
        <f aca="false">IF($W24="","",IF(INDEX(发票统计!G$4:G$1003,$W24)="","",INDEX(发票统计!G$4:G$1003,$W24)))</f>
        <v/>
      </c>
      <c r="H24" s="56" t="str">
        <f aca="false">IF($W24="","",N(INDEX(发票统计!H$4:H$1003,$W24)))</f>
        <v/>
      </c>
      <c r="I24" s="56" t="str">
        <f aca="false">IF($W24="","",N(INDEX(发票统计!I$4:I$1003,$W24)))</f>
        <v/>
      </c>
      <c r="J24" s="56" t="str">
        <f aca="false">IF($W24="","",N(INDEX(发票统计!J$4:J$1003,$W24)))</f>
        <v/>
      </c>
      <c r="K24" s="56" t="str">
        <f aca="false">IF($W24="","",N(INDEX(发票统计!K$4:K$1003,$W24)))</f>
        <v/>
      </c>
      <c r="L24" s="56" t="str">
        <f aca="false">IF($W24="","",SUM(J$4:J24)-SUM(K$4:K24))</f>
        <v/>
      </c>
      <c r="M24" s="56" t="str">
        <f aca="false">IF($W24="","",N(INDEX(发票统计!M$4:M$1003,$W24)))</f>
        <v/>
      </c>
      <c r="N24" s="56" t="str">
        <f aca="false">IF($W24="","",N(INDEX(发票统计!N$4:N$1003,$W24)))</f>
        <v/>
      </c>
      <c r="O24" s="56" t="str">
        <f aca="false">IF($W24="","",N(INDEX(发票统计!O$4:O$1003,$W24)))</f>
        <v/>
      </c>
      <c r="P24" s="56" t="str">
        <f aca="false">IF($W24="","",SUM(M$4:M24)-SUM(N$4:N24)-SUM(O$4:O24))</f>
        <v/>
      </c>
      <c r="Q24" s="56" t="str">
        <f aca="false">IF($W24="","",N(INDEX(发票统计!Q$4:Q$1003,$W24)))</f>
        <v/>
      </c>
      <c r="R24" s="56" t="str">
        <f aca="false">IF($W24="","",N(INDEX(发票统计!R$4:R$1003,$W24)))</f>
        <v/>
      </c>
      <c r="S24" s="56" t="str">
        <f aca="false">IF($W24="","",N(INDEX(发票统计!S$4:S$1003,$W24)))</f>
        <v/>
      </c>
      <c r="T24" s="56" t="str">
        <f aca="false">IF($W24="","",SUM(Q$4:Q24)-SUM(R$4:R24)-SUM(S$4:S24))</f>
        <v/>
      </c>
      <c r="U24" s="56" t="str">
        <f aca="false">IF($W24="","",INDEX(发票统计!U$4:U$1003,$W24)&amp;"")</f>
        <v/>
      </c>
      <c r="W24" s="1" t="str">
        <f aca="false">IF($V$3="","",IFERROR(MATCH($V$3&amp;"#"&amp;ROWS(W$4:W24),发票统计!$W$4:$W$1003,0),""))</f>
        <v/>
      </c>
    </row>
    <row r="25" customFormat="false" ht="16.5" hidden="false" customHeight="false" outlineLevel="0" collapsed="false">
      <c r="A25" s="3" t="str">
        <f aca="false">IF($W25="","",INDEX(发票统计!A$4:A$1003,$W25)&amp;"")</f>
        <v/>
      </c>
      <c r="B25" s="3" t="str">
        <f aca="false">IF($W25="","",INDEX(发票统计!B$4:B$1003,$W25)&amp;"")</f>
        <v/>
      </c>
      <c r="C25" s="3" t="str">
        <f aca="false">IF($W25="","",INDEX(发票统计!C$4:C$1003,$W25)&amp;"")</f>
        <v/>
      </c>
      <c r="D25" s="3" t="str">
        <f aca="false">IF($W25="","",INDEX(发票统计!D$4:D$1003,$W25)&amp;"")</f>
        <v/>
      </c>
      <c r="E25" s="67" t="str">
        <f aca="false">IF($W25="","",INDEX(发票统计!E$4:E$1003,$W25)&amp;"")</f>
        <v/>
      </c>
      <c r="F25" s="67" t="str">
        <f aca="false">IF($W25="","",INDEX(发票统计!F$4:F$1003,$W25)&amp;"")</f>
        <v/>
      </c>
      <c r="G25" s="68" t="str">
        <f aca="false">IF($W25="","",IF(INDEX(发票统计!G$4:G$1003,$W25)="","",INDEX(发票统计!G$4:G$1003,$W25)))</f>
        <v/>
      </c>
      <c r="H25" s="56" t="str">
        <f aca="false">IF($W25="","",N(INDEX(发票统计!H$4:H$1003,$W25)))</f>
        <v/>
      </c>
      <c r="I25" s="56" t="str">
        <f aca="false">IF($W25="","",N(INDEX(发票统计!I$4:I$1003,$W25)))</f>
        <v/>
      </c>
      <c r="J25" s="56" t="str">
        <f aca="false">IF($W25="","",N(INDEX(发票统计!J$4:J$1003,$W25)))</f>
        <v/>
      </c>
      <c r="K25" s="56" t="str">
        <f aca="false">IF($W25="","",N(INDEX(发票统计!K$4:K$1003,$W25)))</f>
        <v/>
      </c>
      <c r="L25" s="56" t="str">
        <f aca="false">IF($W25="","",SUM(J$4:J25)-SUM(K$4:K25))</f>
        <v/>
      </c>
      <c r="M25" s="56" t="str">
        <f aca="false">IF($W25="","",N(INDEX(发票统计!M$4:M$1003,$W25)))</f>
        <v/>
      </c>
      <c r="N25" s="56" t="str">
        <f aca="false">IF($W25="","",N(INDEX(发票统计!N$4:N$1003,$W25)))</f>
        <v/>
      </c>
      <c r="O25" s="56" t="str">
        <f aca="false">IF($W25="","",N(INDEX(发票统计!O$4:O$1003,$W25)))</f>
        <v/>
      </c>
      <c r="P25" s="56" t="str">
        <f aca="false">IF($W25="","",SUM(M$4:M25)-SUM(N$4:N25)-SUM(O$4:O25))</f>
        <v/>
      </c>
      <c r="Q25" s="56" t="str">
        <f aca="false">IF($W25="","",N(INDEX(发票统计!Q$4:Q$1003,$W25)))</f>
        <v/>
      </c>
      <c r="R25" s="56" t="str">
        <f aca="false">IF($W25="","",N(INDEX(发票统计!R$4:R$1003,$W25)))</f>
        <v/>
      </c>
      <c r="S25" s="56" t="str">
        <f aca="false">IF($W25="","",N(INDEX(发票统计!S$4:S$1003,$W25)))</f>
        <v/>
      </c>
      <c r="T25" s="56" t="str">
        <f aca="false">IF($W25="","",SUM(Q$4:Q25)-SUM(R$4:R25)-SUM(S$4:S25))</f>
        <v/>
      </c>
      <c r="U25" s="56" t="str">
        <f aca="false">IF($W25="","",INDEX(发票统计!U$4:U$1003,$W25)&amp;"")</f>
        <v/>
      </c>
      <c r="W25" s="1" t="str">
        <f aca="false">IF($V$3="","",IFERROR(MATCH($V$3&amp;"#"&amp;ROWS(W$4:W25),发票统计!$W$4:$W$1003,0),""))</f>
        <v/>
      </c>
    </row>
    <row r="26" customFormat="false" ht="16.5" hidden="false" customHeight="false" outlineLevel="0" collapsed="false">
      <c r="A26" s="3" t="str">
        <f aca="false">IF($W26="","",INDEX(发票统计!A$4:A$1003,$W26)&amp;"")</f>
        <v/>
      </c>
      <c r="B26" s="3" t="str">
        <f aca="false">IF($W26="","",INDEX(发票统计!B$4:B$1003,$W26)&amp;"")</f>
        <v/>
      </c>
      <c r="C26" s="3" t="str">
        <f aca="false">IF($W26="","",INDEX(发票统计!C$4:C$1003,$W26)&amp;"")</f>
        <v/>
      </c>
      <c r="D26" s="3" t="str">
        <f aca="false">IF($W26="","",INDEX(发票统计!D$4:D$1003,$W26)&amp;"")</f>
        <v/>
      </c>
      <c r="E26" s="67" t="str">
        <f aca="false">IF($W26="","",INDEX(发票统计!E$4:E$1003,$W26)&amp;"")</f>
        <v/>
      </c>
      <c r="F26" s="67" t="str">
        <f aca="false">IF($W26="","",INDEX(发票统计!F$4:F$1003,$W26)&amp;"")</f>
        <v/>
      </c>
      <c r="G26" s="68" t="str">
        <f aca="false">IF($W26="","",IF(INDEX(发票统计!G$4:G$1003,$W26)="","",INDEX(发票统计!G$4:G$1003,$W26)))</f>
        <v/>
      </c>
      <c r="H26" s="56" t="str">
        <f aca="false">IF($W26="","",N(INDEX(发票统计!H$4:H$1003,$W26)))</f>
        <v/>
      </c>
      <c r="I26" s="56" t="str">
        <f aca="false">IF($W26="","",N(INDEX(发票统计!I$4:I$1003,$W26)))</f>
        <v/>
      </c>
      <c r="J26" s="56" t="str">
        <f aca="false">IF($W26="","",N(INDEX(发票统计!J$4:J$1003,$W26)))</f>
        <v/>
      </c>
      <c r="K26" s="56" t="str">
        <f aca="false">IF($W26="","",N(INDEX(发票统计!K$4:K$1003,$W26)))</f>
        <v/>
      </c>
      <c r="L26" s="56" t="str">
        <f aca="false">IF($W26="","",SUM(J$4:J26)-SUM(K$4:K26))</f>
        <v/>
      </c>
      <c r="M26" s="56" t="str">
        <f aca="false">IF($W26="","",N(INDEX(发票统计!M$4:M$1003,$W26)))</f>
        <v/>
      </c>
      <c r="N26" s="56" t="str">
        <f aca="false">IF($W26="","",N(INDEX(发票统计!N$4:N$1003,$W26)))</f>
        <v/>
      </c>
      <c r="O26" s="56" t="str">
        <f aca="false">IF($W26="","",N(INDEX(发票统计!O$4:O$1003,$W26)))</f>
        <v/>
      </c>
      <c r="P26" s="56" t="str">
        <f aca="false">IF($W26="","",SUM(M$4:M26)-SUM(N$4:N26)-SUM(O$4:O26))</f>
        <v/>
      </c>
      <c r="Q26" s="56" t="str">
        <f aca="false">IF($W26="","",N(INDEX(发票统计!Q$4:Q$1003,$W26)))</f>
        <v/>
      </c>
      <c r="R26" s="56" t="str">
        <f aca="false">IF($W26="","",N(INDEX(发票统计!R$4:R$1003,$W26)))</f>
        <v/>
      </c>
      <c r="S26" s="56" t="str">
        <f aca="false">IF($W26="","",N(INDEX(发票统计!S$4:S$1003,$W26)))</f>
        <v/>
      </c>
      <c r="T26" s="56" t="str">
        <f aca="false">IF($W26="","",SUM(Q$4:Q26)-SUM(R$4:R26)-SUM(S$4:S26))</f>
        <v/>
      </c>
      <c r="U26" s="56" t="str">
        <f aca="false">IF($W26="","",INDEX(发票统计!U$4:U$1003,$W26)&amp;"")</f>
        <v/>
      </c>
      <c r="W26" s="1" t="str">
        <f aca="false">IF($V$3="","",IFERROR(MATCH($V$3&amp;"#"&amp;ROWS(W$4:W26),发票统计!$W$4:$W$1003,0),""))</f>
        <v/>
      </c>
    </row>
    <row r="27" customFormat="false" ht="16.5" hidden="false" customHeight="false" outlineLevel="0" collapsed="false">
      <c r="A27" s="3" t="str">
        <f aca="false">IF($W27="","",INDEX(发票统计!A$4:A$1003,$W27)&amp;"")</f>
        <v/>
      </c>
      <c r="B27" s="3" t="str">
        <f aca="false">IF($W27="","",INDEX(发票统计!B$4:B$1003,$W27)&amp;"")</f>
        <v/>
      </c>
      <c r="C27" s="3" t="str">
        <f aca="false">IF($W27="","",INDEX(发票统计!C$4:C$1003,$W27)&amp;"")</f>
        <v/>
      </c>
      <c r="D27" s="3" t="str">
        <f aca="false">IF($W27="","",INDEX(发票统计!D$4:D$1003,$W27)&amp;"")</f>
        <v/>
      </c>
      <c r="E27" s="67" t="str">
        <f aca="false">IF($W27="","",INDEX(发票统计!E$4:E$1003,$W27)&amp;"")</f>
        <v/>
      </c>
      <c r="F27" s="67" t="str">
        <f aca="false">IF($W27="","",INDEX(发票统计!F$4:F$1003,$W27)&amp;"")</f>
        <v/>
      </c>
      <c r="G27" s="68" t="str">
        <f aca="false">IF($W27="","",IF(INDEX(发票统计!G$4:G$1003,$W27)="","",INDEX(发票统计!G$4:G$1003,$W27)))</f>
        <v/>
      </c>
      <c r="H27" s="56" t="str">
        <f aca="false">IF($W27="","",N(INDEX(发票统计!H$4:H$1003,$W27)))</f>
        <v/>
      </c>
      <c r="I27" s="56" t="str">
        <f aca="false">IF($W27="","",N(INDEX(发票统计!I$4:I$1003,$W27)))</f>
        <v/>
      </c>
      <c r="J27" s="56" t="str">
        <f aca="false">IF($W27="","",N(INDEX(发票统计!J$4:J$1003,$W27)))</f>
        <v/>
      </c>
      <c r="K27" s="56" t="str">
        <f aca="false">IF($W27="","",N(INDEX(发票统计!K$4:K$1003,$W27)))</f>
        <v/>
      </c>
      <c r="L27" s="56" t="str">
        <f aca="false">IF($W27="","",SUM(J$4:J27)-SUM(K$4:K27))</f>
        <v/>
      </c>
      <c r="M27" s="56" t="str">
        <f aca="false">IF($W27="","",N(INDEX(发票统计!M$4:M$1003,$W27)))</f>
        <v/>
      </c>
      <c r="N27" s="56" t="str">
        <f aca="false">IF($W27="","",N(INDEX(发票统计!N$4:N$1003,$W27)))</f>
        <v/>
      </c>
      <c r="O27" s="56" t="str">
        <f aca="false">IF($W27="","",N(INDEX(发票统计!O$4:O$1003,$W27)))</f>
        <v/>
      </c>
      <c r="P27" s="56" t="str">
        <f aca="false">IF($W27="","",SUM(M$4:M27)-SUM(N$4:N27)-SUM(O$4:O27))</f>
        <v/>
      </c>
      <c r="Q27" s="56" t="str">
        <f aca="false">IF($W27="","",N(INDEX(发票统计!Q$4:Q$1003,$W27)))</f>
        <v/>
      </c>
      <c r="R27" s="56" t="str">
        <f aca="false">IF($W27="","",N(INDEX(发票统计!R$4:R$1003,$W27)))</f>
        <v/>
      </c>
      <c r="S27" s="56" t="str">
        <f aca="false">IF($W27="","",N(INDEX(发票统计!S$4:S$1003,$W27)))</f>
        <v/>
      </c>
      <c r="T27" s="56" t="str">
        <f aca="false">IF($W27="","",SUM(Q$4:Q27)-SUM(R$4:R27)-SUM(S$4:S27))</f>
        <v/>
      </c>
      <c r="U27" s="56" t="str">
        <f aca="false">IF($W27="","",INDEX(发票统计!U$4:U$1003,$W27)&amp;"")</f>
        <v/>
      </c>
      <c r="W27" s="1" t="str">
        <f aca="false">IF($V$3="","",IFERROR(MATCH($V$3&amp;"#"&amp;ROWS(W$4:W27),发票统计!$W$4:$W$1003,0),""))</f>
        <v/>
      </c>
    </row>
    <row r="28" customFormat="false" ht="16.5" hidden="false" customHeight="false" outlineLevel="0" collapsed="false">
      <c r="A28" s="3" t="str">
        <f aca="false">IF($W28="","",INDEX(发票统计!A$4:A$1003,$W28)&amp;"")</f>
        <v/>
      </c>
      <c r="B28" s="3" t="str">
        <f aca="false">IF($W28="","",INDEX(发票统计!B$4:B$1003,$W28)&amp;"")</f>
        <v/>
      </c>
      <c r="C28" s="3" t="str">
        <f aca="false">IF($W28="","",INDEX(发票统计!C$4:C$1003,$W28)&amp;"")</f>
        <v/>
      </c>
      <c r="D28" s="3" t="str">
        <f aca="false">IF($W28="","",INDEX(发票统计!D$4:D$1003,$W28)&amp;"")</f>
        <v/>
      </c>
      <c r="E28" s="67" t="str">
        <f aca="false">IF($W28="","",INDEX(发票统计!E$4:E$1003,$W28)&amp;"")</f>
        <v/>
      </c>
      <c r="F28" s="67" t="str">
        <f aca="false">IF($W28="","",INDEX(发票统计!F$4:F$1003,$W28)&amp;"")</f>
        <v/>
      </c>
      <c r="G28" s="68" t="str">
        <f aca="false">IF($W28="","",IF(INDEX(发票统计!G$4:G$1003,$W28)="","",INDEX(发票统计!G$4:G$1003,$W28)))</f>
        <v/>
      </c>
      <c r="H28" s="56" t="str">
        <f aca="false">IF($W28="","",N(INDEX(发票统计!H$4:H$1003,$W28)))</f>
        <v/>
      </c>
      <c r="I28" s="56" t="str">
        <f aca="false">IF($W28="","",N(INDEX(发票统计!I$4:I$1003,$W28)))</f>
        <v/>
      </c>
      <c r="J28" s="56" t="str">
        <f aca="false">IF($W28="","",N(INDEX(发票统计!J$4:J$1003,$W28)))</f>
        <v/>
      </c>
      <c r="K28" s="56" t="str">
        <f aca="false">IF($W28="","",N(INDEX(发票统计!K$4:K$1003,$W28)))</f>
        <v/>
      </c>
      <c r="L28" s="56" t="str">
        <f aca="false">IF($W28="","",SUM(J$4:J28)-SUM(K$4:K28))</f>
        <v/>
      </c>
      <c r="M28" s="56" t="str">
        <f aca="false">IF($W28="","",N(INDEX(发票统计!M$4:M$1003,$W28)))</f>
        <v/>
      </c>
      <c r="N28" s="56" t="str">
        <f aca="false">IF($W28="","",N(INDEX(发票统计!N$4:N$1003,$W28)))</f>
        <v/>
      </c>
      <c r="O28" s="56" t="str">
        <f aca="false">IF($W28="","",N(INDEX(发票统计!O$4:O$1003,$W28)))</f>
        <v/>
      </c>
      <c r="P28" s="56" t="str">
        <f aca="false">IF($W28="","",SUM(M$4:M28)-SUM(N$4:N28)-SUM(O$4:O28))</f>
        <v/>
      </c>
      <c r="Q28" s="56" t="str">
        <f aca="false">IF($W28="","",N(INDEX(发票统计!Q$4:Q$1003,$W28)))</f>
        <v/>
      </c>
      <c r="R28" s="56" t="str">
        <f aca="false">IF($W28="","",N(INDEX(发票统计!R$4:R$1003,$W28)))</f>
        <v/>
      </c>
      <c r="S28" s="56" t="str">
        <f aca="false">IF($W28="","",N(INDEX(发票统计!S$4:S$1003,$W28)))</f>
        <v/>
      </c>
      <c r="T28" s="56" t="str">
        <f aca="false">IF($W28="","",SUM(Q$4:Q28)-SUM(R$4:R28)-SUM(S$4:S28))</f>
        <v/>
      </c>
      <c r="U28" s="56" t="str">
        <f aca="false">IF($W28="","",INDEX(发票统计!U$4:U$1003,$W28)&amp;"")</f>
        <v/>
      </c>
      <c r="W28" s="1" t="str">
        <f aca="false">IF($V$3="","",IFERROR(MATCH($V$3&amp;"#"&amp;ROWS(W$4:W28),发票统计!$W$4:$W$1003,0),""))</f>
        <v/>
      </c>
    </row>
    <row r="29" customFormat="false" ht="16.5" hidden="false" customHeight="false" outlineLevel="0" collapsed="false">
      <c r="A29" s="3" t="str">
        <f aca="false">IF($W29="","",INDEX(发票统计!A$4:A$1003,$W29)&amp;"")</f>
        <v/>
      </c>
      <c r="B29" s="3" t="str">
        <f aca="false">IF($W29="","",INDEX(发票统计!B$4:B$1003,$W29)&amp;"")</f>
        <v/>
      </c>
      <c r="C29" s="3" t="str">
        <f aca="false">IF($W29="","",INDEX(发票统计!C$4:C$1003,$W29)&amp;"")</f>
        <v/>
      </c>
      <c r="D29" s="3" t="str">
        <f aca="false">IF($W29="","",INDEX(发票统计!D$4:D$1003,$W29)&amp;"")</f>
        <v/>
      </c>
      <c r="E29" s="67" t="str">
        <f aca="false">IF($W29="","",INDEX(发票统计!E$4:E$1003,$W29)&amp;"")</f>
        <v/>
      </c>
      <c r="F29" s="67" t="str">
        <f aca="false">IF($W29="","",INDEX(发票统计!F$4:F$1003,$W29)&amp;"")</f>
        <v/>
      </c>
      <c r="G29" s="68" t="str">
        <f aca="false">IF($W29="","",IF(INDEX(发票统计!G$4:G$1003,$W29)="","",INDEX(发票统计!G$4:G$1003,$W29)))</f>
        <v/>
      </c>
      <c r="H29" s="56" t="str">
        <f aca="false">IF($W29="","",N(INDEX(发票统计!H$4:H$1003,$W29)))</f>
        <v/>
      </c>
      <c r="I29" s="56" t="str">
        <f aca="false">IF($W29="","",N(INDEX(发票统计!I$4:I$1003,$W29)))</f>
        <v/>
      </c>
      <c r="J29" s="56" t="str">
        <f aca="false">IF($W29="","",N(INDEX(发票统计!J$4:J$1003,$W29)))</f>
        <v/>
      </c>
      <c r="K29" s="56" t="str">
        <f aca="false">IF($W29="","",N(INDEX(发票统计!K$4:K$1003,$W29)))</f>
        <v/>
      </c>
      <c r="L29" s="56" t="str">
        <f aca="false">IF($W29="","",SUM(J$4:J29)-SUM(K$4:K29))</f>
        <v/>
      </c>
      <c r="M29" s="56" t="str">
        <f aca="false">IF($W29="","",N(INDEX(发票统计!M$4:M$1003,$W29)))</f>
        <v/>
      </c>
      <c r="N29" s="56" t="str">
        <f aca="false">IF($W29="","",N(INDEX(发票统计!N$4:N$1003,$W29)))</f>
        <v/>
      </c>
      <c r="O29" s="56" t="str">
        <f aca="false">IF($W29="","",N(INDEX(发票统计!O$4:O$1003,$W29)))</f>
        <v/>
      </c>
      <c r="P29" s="56" t="str">
        <f aca="false">IF($W29="","",SUM(M$4:M29)-SUM(N$4:N29)-SUM(O$4:O29))</f>
        <v/>
      </c>
      <c r="Q29" s="56" t="str">
        <f aca="false">IF($W29="","",N(INDEX(发票统计!Q$4:Q$1003,$W29)))</f>
        <v/>
      </c>
      <c r="R29" s="56" t="str">
        <f aca="false">IF($W29="","",N(INDEX(发票统计!R$4:R$1003,$W29)))</f>
        <v/>
      </c>
      <c r="S29" s="56" t="str">
        <f aca="false">IF($W29="","",N(INDEX(发票统计!S$4:S$1003,$W29)))</f>
        <v/>
      </c>
      <c r="T29" s="56" t="str">
        <f aca="false">IF($W29="","",SUM(Q$4:Q29)-SUM(R$4:R29)-SUM(S$4:S29))</f>
        <v/>
      </c>
      <c r="U29" s="56" t="str">
        <f aca="false">IF($W29="","",INDEX(发票统计!U$4:U$1003,$W29)&amp;"")</f>
        <v/>
      </c>
      <c r="W29" s="1" t="str">
        <f aca="false">IF($V$3="","",IFERROR(MATCH($V$3&amp;"#"&amp;ROWS(W$4:W29),发票统计!$W$4:$W$1003,0),""))</f>
        <v/>
      </c>
    </row>
    <row r="30" customFormat="false" ht="16.5" hidden="false" customHeight="false" outlineLevel="0" collapsed="false">
      <c r="A30" s="3" t="str">
        <f aca="false">IF($W30="","",INDEX(发票统计!A$4:A$1003,$W30)&amp;"")</f>
        <v/>
      </c>
      <c r="B30" s="3" t="str">
        <f aca="false">IF($W30="","",INDEX(发票统计!B$4:B$1003,$W30)&amp;"")</f>
        <v/>
      </c>
      <c r="C30" s="3" t="str">
        <f aca="false">IF($W30="","",INDEX(发票统计!C$4:C$1003,$W30)&amp;"")</f>
        <v/>
      </c>
      <c r="D30" s="3" t="str">
        <f aca="false">IF($W30="","",INDEX(发票统计!D$4:D$1003,$W30)&amp;"")</f>
        <v/>
      </c>
      <c r="E30" s="67" t="str">
        <f aca="false">IF($W30="","",INDEX(发票统计!E$4:E$1003,$W30)&amp;"")</f>
        <v/>
      </c>
      <c r="F30" s="67" t="str">
        <f aca="false">IF($W30="","",INDEX(发票统计!F$4:F$1003,$W30)&amp;"")</f>
        <v/>
      </c>
      <c r="G30" s="68" t="str">
        <f aca="false">IF($W30="","",IF(INDEX(发票统计!G$4:G$1003,$W30)="","",INDEX(发票统计!G$4:G$1003,$W30)))</f>
        <v/>
      </c>
      <c r="H30" s="56" t="str">
        <f aca="false">IF($W30="","",N(INDEX(发票统计!H$4:H$1003,$W30)))</f>
        <v/>
      </c>
      <c r="I30" s="56" t="str">
        <f aca="false">IF($W30="","",N(INDEX(发票统计!I$4:I$1003,$W30)))</f>
        <v/>
      </c>
      <c r="J30" s="56" t="str">
        <f aca="false">IF($W30="","",N(INDEX(发票统计!J$4:J$1003,$W30)))</f>
        <v/>
      </c>
      <c r="K30" s="56" t="str">
        <f aca="false">IF($W30="","",N(INDEX(发票统计!K$4:K$1003,$W30)))</f>
        <v/>
      </c>
      <c r="L30" s="56" t="str">
        <f aca="false">IF($W30="","",SUM(J$4:J30)-SUM(K$4:K30))</f>
        <v/>
      </c>
      <c r="M30" s="56" t="str">
        <f aca="false">IF($W30="","",N(INDEX(发票统计!M$4:M$1003,$W30)))</f>
        <v/>
      </c>
      <c r="N30" s="56" t="str">
        <f aca="false">IF($W30="","",N(INDEX(发票统计!N$4:N$1003,$W30)))</f>
        <v/>
      </c>
      <c r="O30" s="56" t="str">
        <f aca="false">IF($W30="","",N(INDEX(发票统计!O$4:O$1003,$W30)))</f>
        <v/>
      </c>
      <c r="P30" s="56" t="str">
        <f aca="false">IF($W30="","",SUM(M$4:M30)-SUM(N$4:N30)-SUM(O$4:O30))</f>
        <v/>
      </c>
      <c r="Q30" s="56" t="str">
        <f aca="false">IF($W30="","",N(INDEX(发票统计!Q$4:Q$1003,$W30)))</f>
        <v/>
      </c>
      <c r="R30" s="56" t="str">
        <f aca="false">IF($W30="","",N(INDEX(发票统计!R$4:R$1003,$W30)))</f>
        <v/>
      </c>
      <c r="S30" s="56" t="str">
        <f aca="false">IF($W30="","",N(INDEX(发票统计!S$4:S$1003,$W30)))</f>
        <v/>
      </c>
      <c r="T30" s="56" t="str">
        <f aca="false">IF($W30="","",SUM(Q$4:Q30)-SUM(R$4:R30)-SUM(S$4:S30))</f>
        <v/>
      </c>
      <c r="U30" s="56" t="str">
        <f aca="false">IF($W30="","",INDEX(发票统计!U$4:U$1003,$W30)&amp;"")</f>
        <v/>
      </c>
      <c r="W30" s="1" t="str">
        <f aca="false">IF($V$3="","",IFERROR(MATCH($V$3&amp;"#"&amp;ROWS(W$4:W30),发票统计!$W$4:$W$1003,0),""))</f>
        <v/>
      </c>
    </row>
    <row r="31" customFormat="false" ht="16.5" hidden="false" customHeight="false" outlineLevel="0" collapsed="false">
      <c r="A31" s="3" t="str">
        <f aca="false">IF($W31="","",INDEX(发票统计!A$4:A$1003,$W31)&amp;"")</f>
        <v/>
      </c>
      <c r="B31" s="3" t="str">
        <f aca="false">IF($W31="","",INDEX(发票统计!B$4:B$1003,$W31)&amp;"")</f>
        <v/>
      </c>
      <c r="C31" s="3" t="str">
        <f aca="false">IF($W31="","",INDEX(发票统计!C$4:C$1003,$W31)&amp;"")</f>
        <v/>
      </c>
      <c r="D31" s="3" t="str">
        <f aca="false">IF($W31="","",INDEX(发票统计!D$4:D$1003,$W31)&amp;"")</f>
        <v/>
      </c>
      <c r="E31" s="67" t="str">
        <f aca="false">IF($W31="","",INDEX(发票统计!E$4:E$1003,$W31)&amp;"")</f>
        <v/>
      </c>
      <c r="F31" s="67" t="str">
        <f aca="false">IF($W31="","",INDEX(发票统计!F$4:F$1003,$W31)&amp;"")</f>
        <v/>
      </c>
      <c r="G31" s="68" t="str">
        <f aca="false">IF($W31="","",IF(INDEX(发票统计!G$4:G$1003,$W31)="","",INDEX(发票统计!G$4:G$1003,$W31)))</f>
        <v/>
      </c>
      <c r="H31" s="56" t="str">
        <f aca="false">IF($W31="","",N(INDEX(发票统计!H$4:H$1003,$W31)))</f>
        <v/>
      </c>
      <c r="I31" s="56" t="str">
        <f aca="false">IF($W31="","",N(INDEX(发票统计!I$4:I$1003,$W31)))</f>
        <v/>
      </c>
      <c r="J31" s="56" t="str">
        <f aca="false">IF($W31="","",N(INDEX(发票统计!J$4:J$1003,$W31)))</f>
        <v/>
      </c>
      <c r="K31" s="56" t="str">
        <f aca="false">IF($W31="","",N(INDEX(发票统计!K$4:K$1003,$W31)))</f>
        <v/>
      </c>
      <c r="L31" s="56" t="str">
        <f aca="false">IF($W31="","",SUM(J$4:J31)-SUM(K$4:K31))</f>
        <v/>
      </c>
      <c r="M31" s="56" t="str">
        <f aca="false">IF($W31="","",N(INDEX(发票统计!M$4:M$1003,$W31)))</f>
        <v/>
      </c>
      <c r="N31" s="56" t="str">
        <f aca="false">IF($W31="","",N(INDEX(发票统计!N$4:N$1003,$W31)))</f>
        <v/>
      </c>
      <c r="O31" s="56" t="str">
        <f aca="false">IF($W31="","",N(INDEX(发票统计!O$4:O$1003,$W31)))</f>
        <v/>
      </c>
      <c r="P31" s="56" t="str">
        <f aca="false">IF($W31="","",SUM(M$4:M31)-SUM(N$4:N31)-SUM(O$4:O31))</f>
        <v/>
      </c>
      <c r="Q31" s="56" t="str">
        <f aca="false">IF($W31="","",N(INDEX(发票统计!Q$4:Q$1003,$W31)))</f>
        <v/>
      </c>
      <c r="R31" s="56" t="str">
        <f aca="false">IF($W31="","",N(INDEX(发票统计!R$4:R$1003,$W31)))</f>
        <v/>
      </c>
      <c r="S31" s="56" t="str">
        <f aca="false">IF($W31="","",N(INDEX(发票统计!S$4:S$1003,$W31)))</f>
        <v/>
      </c>
      <c r="T31" s="56" t="str">
        <f aca="false">IF($W31="","",SUM(Q$4:Q31)-SUM(R$4:R31)-SUM(S$4:S31))</f>
        <v/>
      </c>
      <c r="U31" s="56" t="str">
        <f aca="false">IF($W31="","",INDEX(发票统计!U$4:U$1003,$W31)&amp;"")</f>
        <v/>
      </c>
      <c r="W31" s="1" t="str">
        <f aca="false">IF($V$3="","",IFERROR(MATCH($V$3&amp;"#"&amp;ROWS(W$4:W31),发票统计!$W$4:$W$1003,0),""))</f>
        <v/>
      </c>
    </row>
    <row r="32" customFormat="false" ht="16.5" hidden="false" customHeight="false" outlineLevel="0" collapsed="false">
      <c r="A32" s="3" t="str">
        <f aca="false">IF($W32="","",INDEX(发票统计!A$4:A$1003,$W32)&amp;"")</f>
        <v/>
      </c>
      <c r="B32" s="3" t="str">
        <f aca="false">IF($W32="","",INDEX(发票统计!B$4:B$1003,$W32)&amp;"")</f>
        <v/>
      </c>
      <c r="C32" s="3" t="str">
        <f aca="false">IF($W32="","",INDEX(发票统计!C$4:C$1003,$W32)&amp;"")</f>
        <v/>
      </c>
      <c r="D32" s="3" t="str">
        <f aca="false">IF($W32="","",INDEX(发票统计!D$4:D$1003,$W32)&amp;"")</f>
        <v/>
      </c>
      <c r="E32" s="67" t="str">
        <f aca="false">IF($W32="","",INDEX(发票统计!E$4:E$1003,$W32)&amp;"")</f>
        <v/>
      </c>
      <c r="F32" s="67" t="str">
        <f aca="false">IF($W32="","",INDEX(发票统计!F$4:F$1003,$W32)&amp;"")</f>
        <v/>
      </c>
      <c r="G32" s="68" t="str">
        <f aca="false">IF($W32="","",IF(INDEX(发票统计!G$4:G$1003,$W32)="","",INDEX(发票统计!G$4:G$1003,$W32)))</f>
        <v/>
      </c>
      <c r="H32" s="56" t="str">
        <f aca="false">IF($W32="","",N(INDEX(发票统计!H$4:H$1003,$W32)))</f>
        <v/>
      </c>
      <c r="I32" s="56" t="str">
        <f aca="false">IF($W32="","",N(INDEX(发票统计!I$4:I$1003,$W32)))</f>
        <v/>
      </c>
      <c r="J32" s="56" t="str">
        <f aca="false">IF($W32="","",N(INDEX(发票统计!J$4:J$1003,$W32)))</f>
        <v/>
      </c>
      <c r="K32" s="56" t="str">
        <f aca="false">IF($W32="","",N(INDEX(发票统计!K$4:K$1003,$W32)))</f>
        <v/>
      </c>
      <c r="L32" s="56" t="str">
        <f aca="false">IF($W32="","",SUM(J$4:J32)-SUM(K$4:K32))</f>
        <v/>
      </c>
      <c r="M32" s="56" t="str">
        <f aca="false">IF($W32="","",N(INDEX(发票统计!M$4:M$1003,$W32)))</f>
        <v/>
      </c>
      <c r="N32" s="56" t="str">
        <f aca="false">IF($W32="","",N(INDEX(发票统计!N$4:N$1003,$W32)))</f>
        <v/>
      </c>
      <c r="O32" s="56" t="str">
        <f aca="false">IF($W32="","",N(INDEX(发票统计!O$4:O$1003,$W32)))</f>
        <v/>
      </c>
      <c r="P32" s="56" t="str">
        <f aca="false">IF($W32="","",SUM(M$4:M32)-SUM(N$4:N32)-SUM(O$4:O32))</f>
        <v/>
      </c>
      <c r="Q32" s="56" t="str">
        <f aca="false">IF($W32="","",N(INDEX(发票统计!Q$4:Q$1003,$W32)))</f>
        <v/>
      </c>
      <c r="R32" s="56" t="str">
        <f aca="false">IF($W32="","",N(INDEX(发票统计!R$4:R$1003,$W32)))</f>
        <v/>
      </c>
      <c r="S32" s="56" t="str">
        <f aca="false">IF($W32="","",N(INDEX(发票统计!S$4:S$1003,$W32)))</f>
        <v/>
      </c>
      <c r="T32" s="56" t="str">
        <f aca="false">IF($W32="","",SUM(Q$4:Q32)-SUM(R$4:R32)-SUM(S$4:S32))</f>
        <v/>
      </c>
      <c r="U32" s="56" t="str">
        <f aca="false">IF($W32="","",INDEX(发票统计!U$4:U$1003,$W32)&amp;"")</f>
        <v/>
      </c>
      <c r="W32" s="1" t="str">
        <f aca="false">IF($V$3="","",IFERROR(MATCH($V$3&amp;"#"&amp;ROWS(W$4:W32),发票统计!$W$4:$W$1003,0),""))</f>
        <v/>
      </c>
    </row>
    <row r="33" customFormat="false" ht="16.5" hidden="false" customHeight="false" outlineLevel="0" collapsed="false">
      <c r="A33" s="3" t="str">
        <f aca="false">IF($W33="","",INDEX(发票统计!A$4:A$1003,$W33)&amp;"")</f>
        <v/>
      </c>
      <c r="B33" s="3" t="str">
        <f aca="false">IF($W33="","",INDEX(发票统计!B$4:B$1003,$W33)&amp;"")</f>
        <v/>
      </c>
      <c r="C33" s="3" t="str">
        <f aca="false">IF($W33="","",INDEX(发票统计!C$4:C$1003,$W33)&amp;"")</f>
        <v/>
      </c>
      <c r="D33" s="3" t="str">
        <f aca="false">IF($W33="","",INDEX(发票统计!D$4:D$1003,$W33)&amp;"")</f>
        <v/>
      </c>
      <c r="E33" s="56" t="str">
        <f aca="false">IF($W33="","",INDEX(发票统计!E$4:E$1003,$W33)&amp;"")</f>
        <v/>
      </c>
      <c r="F33" s="56" t="str">
        <f aca="false">IF($W33="","",INDEX(发票统计!F$4:F$1003,$W33)&amp;"")</f>
        <v/>
      </c>
      <c r="G33" s="68" t="str">
        <f aca="false">IF($W33="","",IF(INDEX(发票统计!G$4:G$1003,$W33)="","",INDEX(发票统计!G$4:G$1003,$W33)))</f>
        <v/>
      </c>
      <c r="H33" s="56" t="str">
        <f aca="false">IF($W33="","",N(INDEX(发票统计!H$4:H$1003,$W33)))</f>
        <v/>
      </c>
      <c r="I33" s="56" t="str">
        <f aca="false">IF($W33="","",N(INDEX(发票统计!I$4:I$1003,$W33)))</f>
        <v/>
      </c>
      <c r="J33" s="56" t="str">
        <f aca="false">IF($W33="","",N(INDEX(发票统计!J$4:J$1003,$W33)))</f>
        <v/>
      </c>
      <c r="K33" s="56" t="str">
        <f aca="false">IF($W33="","",N(INDEX(发票统计!K$4:K$1003,$W33)))</f>
        <v/>
      </c>
      <c r="L33" s="56" t="str">
        <f aca="false">IF($W33="","",SUM(J$4:J33)-SUM(K$4:K33))</f>
        <v/>
      </c>
      <c r="M33" s="56" t="str">
        <f aca="false">IF($W33="","",N(INDEX(发票统计!M$4:M$1003,$W33)))</f>
        <v/>
      </c>
      <c r="N33" s="56" t="str">
        <f aca="false">IF($W33="","",N(INDEX(发票统计!N$4:N$1003,$W33)))</f>
        <v/>
      </c>
      <c r="O33" s="56" t="str">
        <f aca="false">IF($W33="","",N(INDEX(发票统计!O$4:O$1003,$W33)))</f>
        <v/>
      </c>
      <c r="P33" s="56" t="str">
        <f aca="false">IF($W33="","",SUM(M$4:M33)-SUM(N$4:N33)-SUM(O$4:O33))</f>
        <v/>
      </c>
      <c r="Q33" s="56" t="str">
        <f aca="false">IF($W33="","",N(INDEX(发票统计!Q$4:Q$1003,$W33)))</f>
        <v/>
      </c>
      <c r="R33" s="56" t="str">
        <f aca="false">IF($W33="","",N(INDEX(发票统计!R$4:R$1003,$W33)))</f>
        <v/>
      </c>
      <c r="S33" s="56" t="str">
        <f aca="false">IF($W33="","",N(INDEX(发票统计!S$4:S$1003,$W33)))</f>
        <v/>
      </c>
      <c r="T33" s="56" t="str">
        <f aca="false">IF($W33="","",SUM(Q$4:Q33)-SUM(R$4:R33)-SUM(S$4:S33))</f>
        <v/>
      </c>
      <c r="U33" s="56" t="str">
        <f aca="false">IF($W33="","",INDEX(发票统计!U$4:U$1003,$W33)&amp;"")</f>
        <v/>
      </c>
      <c r="W33" s="1" t="str">
        <f aca="false">IF($V$3="","",IFERROR(MATCH($V$3&amp;"#"&amp;ROWS(W$4:W33),发票统计!$W$4:$W$1003,0),""))</f>
        <v/>
      </c>
    </row>
    <row r="34" customFormat="false" ht="16.5" hidden="false" customHeight="false" outlineLevel="0" collapsed="false">
      <c r="A34" s="3" t="str">
        <f aca="false">IF($W34="","",INDEX(发票统计!A$4:A$1003,$W34)&amp;"")</f>
        <v/>
      </c>
      <c r="B34" s="3" t="str">
        <f aca="false">IF($W34="","",INDEX(发票统计!B$4:B$1003,$W34)&amp;"")</f>
        <v/>
      </c>
      <c r="C34" s="3" t="str">
        <f aca="false">IF($W34="","",INDEX(发票统计!C$4:C$1003,$W34)&amp;"")</f>
        <v/>
      </c>
      <c r="D34" s="3" t="str">
        <f aca="false">IF($W34="","",INDEX(发票统计!D$4:D$1003,$W34)&amp;"")</f>
        <v/>
      </c>
      <c r="E34" s="56" t="str">
        <f aca="false">IF($W34="","",INDEX(发票统计!E$4:E$1003,$W34)&amp;"")</f>
        <v/>
      </c>
      <c r="F34" s="56" t="str">
        <f aca="false">IF($W34="","",INDEX(发票统计!F$4:F$1003,$W34)&amp;"")</f>
        <v/>
      </c>
      <c r="G34" s="68" t="str">
        <f aca="false">IF($W34="","",IF(INDEX(发票统计!G$4:G$1003,$W34)="","",INDEX(发票统计!G$4:G$1003,$W34)))</f>
        <v/>
      </c>
      <c r="H34" s="56" t="str">
        <f aca="false">IF($W34="","",N(INDEX(发票统计!H$4:H$1003,$W34)))</f>
        <v/>
      </c>
      <c r="I34" s="56" t="str">
        <f aca="false">IF($W34="","",N(INDEX(发票统计!I$4:I$1003,$W34)))</f>
        <v/>
      </c>
      <c r="J34" s="56" t="str">
        <f aca="false">IF($W34="","",N(INDEX(发票统计!J$4:J$1003,$W34)))</f>
        <v/>
      </c>
      <c r="K34" s="56" t="str">
        <f aca="false">IF($W34="","",N(INDEX(发票统计!K$4:K$1003,$W34)))</f>
        <v/>
      </c>
      <c r="L34" s="56" t="str">
        <f aca="false">IF($W34="","",SUM(J$4:J34)-SUM(K$4:K34))</f>
        <v/>
      </c>
      <c r="M34" s="56" t="str">
        <f aca="false">IF($W34="","",N(INDEX(发票统计!M$4:M$1003,$W34)))</f>
        <v/>
      </c>
      <c r="N34" s="56" t="str">
        <f aca="false">IF($W34="","",N(INDEX(发票统计!N$4:N$1003,$W34)))</f>
        <v/>
      </c>
      <c r="O34" s="56" t="str">
        <f aca="false">IF($W34="","",N(INDEX(发票统计!O$4:O$1003,$W34)))</f>
        <v/>
      </c>
      <c r="P34" s="56" t="str">
        <f aca="false">IF($W34="","",SUM(M$4:M34)-SUM(N$4:N34)-SUM(O$4:O34))</f>
        <v/>
      </c>
      <c r="Q34" s="56" t="str">
        <f aca="false">IF($W34="","",N(INDEX(发票统计!Q$4:Q$1003,$W34)))</f>
        <v/>
      </c>
      <c r="R34" s="56" t="str">
        <f aca="false">IF($W34="","",N(INDEX(发票统计!R$4:R$1003,$W34)))</f>
        <v/>
      </c>
      <c r="S34" s="56" t="str">
        <f aca="false">IF($W34="","",N(INDEX(发票统计!S$4:S$1003,$W34)))</f>
        <v/>
      </c>
      <c r="T34" s="56" t="str">
        <f aca="false">IF($W34="","",SUM(Q$4:Q34)-SUM(R$4:R34)-SUM(S$4:S34))</f>
        <v/>
      </c>
      <c r="U34" s="56" t="str">
        <f aca="false">IF($W34="","",INDEX(发票统计!U$4:U$1003,$W34)&amp;"")</f>
        <v/>
      </c>
      <c r="W34" s="1" t="str">
        <f aca="false">IF($V$3="","",IFERROR(MATCH($V$3&amp;"#"&amp;ROWS(W$4:W34),发票统计!$W$4:$W$1003,0),""))</f>
        <v/>
      </c>
    </row>
    <row r="35" customFormat="false" ht="16.5" hidden="false" customHeight="false" outlineLevel="0" collapsed="false">
      <c r="A35" s="3" t="str">
        <f aca="false">IF($W35="","",INDEX(发票统计!A$4:A$1003,$W35)&amp;"")</f>
        <v/>
      </c>
      <c r="B35" s="3" t="str">
        <f aca="false">IF($W35="","",INDEX(发票统计!B$4:B$1003,$W35)&amp;"")</f>
        <v/>
      </c>
      <c r="C35" s="3" t="str">
        <f aca="false">IF($W35="","",INDEX(发票统计!C$4:C$1003,$W35)&amp;"")</f>
        <v/>
      </c>
      <c r="D35" s="3" t="str">
        <f aca="false">IF($W35="","",INDEX(发票统计!D$4:D$1003,$W35)&amp;"")</f>
        <v/>
      </c>
      <c r="E35" s="56" t="str">
        <f aca="false">IF($W35="","",INDEX(发票统计!E$4:E$1003,$W35)&amp;"")</f>
        <v/>
      </c>
      <c r="F35" s="56" t="str">
        <f aca="false">IF($W35="","",INDEX(发票统计!F$4:F$1003,$W35)&amp;"")</f>
        <v/>
      </c>
      <c r="G35" s="68" t="str">
        <f aca="false">IF($W35="","",IF(INDEX(发票统计!G$4:G$1003,$W35)="","",INDEX(发票统计!G$4:G$1003,$W35)))</f>
        <v/>
      </c>
      <c r="H35" s="56" t="str">
        <f aca="false">IF($W35="","",N(INDEX(发票统计!H$4:H$1003,$W35)))</f>
        <v/>
      </c>
      <c r="I35" s="56" t="str">
        <f aca="false">IF($W35="","",N(INDEX(发票统计!I$4:I$1003,$W35)))</f>
        <v/>
      </c>
      <c r="J35" s="56" t="str">
        <f aca="false">IF($W35="","",N(INDEX(发票统计!J$4:J$1003,$W35)))</f>
        <v/>
      </c>
      <c r="K35" s="56" t="str">
        <f aca="false">IF($W35="","",N(INDEX(发票统计!K$4:K$1003,$W35)))</f>
        <v/>
      </c>
      <c r="L35" s="56" t="str">
        <f aca="false">IF($W35="","",SUM(J$4:J35)-SUM(K$4:K35))</f>
        <v/>
      </c>
      <c r="M35" s="56" t="str">
        <f aca="false">IF($W35="","",N(INDEX(发票统计!M$4:M$1003,$W35)))</f>
        <v/>
      </c>
      <c r="N35" s="56" t="str">
        <f aca="false">IF($W35="","",N(INDEX(发票统计!N$4:N$1003,$W35)))</f>
        <v/>
      </c>
      <c r="O35" s="56" t="str">
        <f aca="false">IF($W35="","",N(INDEX(发票统计!O$4:O$1003,$W35)))</f>
        <v/>
      </c>
      <c r="P35" s="56" t="str">
        <f aca="false">IF($W35="","",SUM(M$4:M35)-SUM(N$4:N35)-SUM(O$4:O35))</f>
        <v/>
      </c>
      <c r="Q35" s="56" t="str">
        <f aca="false">IF($W35="","",N(INDEX(发票统计!Q$4:Q$1003,$W35)))</f>
        <v/>
      </c>
      <c r="R35" s="56" t="str">
        <f aca="false">IF($W35="","",N(INDEX(发票统计!R$4:R$1003,$W35)))</f>
        <v/>
      </c>
      <c r="S35" s="56" t="str">
        <f aca="false">IF($W35="","",N(INDEX(发票统计!S$4:S$1003,$W35)))</f>
        <v/>
      </c>
      <c r="T35" s="56" t="str">
        <f aca="false">IF($W35="","",SUM(Q$4:Q35)-SUM(R$4:R35)-SUM(S$4:S35))</f>
        <v/>
      </c>
      <c r="U35" s="56" t="str">
        <f aca="false">IF($W35="","",INDEX(发票统计!U$4:U$1003,$W35)&amp;"")</f>
        <v/>
      </c>
      <c r="W35" s="1" t="str">
        <f aca="false">IF($V$3="","",IFERROR(MATCH($V$3&amp;"#"&amp;ROWS(W$4:W35),发票统计!$W$4:$W$1003,0),""))</f>
        <v/>
      </c>
    </row>
    <row r="36" customFormat="false" ht="16.5" hidden="false" customHeight="false" outlineLevel="0" collapsed="false">
      <c r="A36" s="3" t="str">
        <f aca="false">IF($W36="","",INDEX(发票统计!A$4:A$1003,$W36)&amp;"")</f>
        <v/>
      </c>
      <c r="B36" s="3" t="str">
        <f aca="false">IF($W36="","",INDEX(发票统计!B$4:B$1003,$W36)&amp;"")</f>
        <v/>
      </c>
      <c r="C36" s="3" t="str">
        <f aca="false">IF($W36="","",INDEX(发票统计!C$4:C$1003,$W36)&amp;"")</f>
        <v/>
      </c>
      <c r="D36" s="3" t="str">
        <f aca="false">IF($W36="","",INDEX(发票统计!D$4:D$1003,$W36)&amp;"")</f>
        <v/>
      </c>
      <c r="E36" s="67" t="str">
        <f aca="false">IF($W36="","",INDEX(发票统计!E$4:E$1003,$W36)&amp;"")</f>
        <v/>
      </c>
      <c r="F36" s="67" t="str">
        <f aca="false">IF($W36="","",INDEX(发票统计!F$4:F$1003,$W36)&amp;"")</f>
        <v/>
      </c>
      <c r="G36" s="68" t="str">
        <f aca="false">IF($W36="","",IF(INDEX(发票统计!G$4:G$1003,$W36)="","",INDEX(发票统计!G$4:G$1003,$W36)))</f>
        <v/>
      </c>
      <c r="H36" s="56" t="str">
        <f aca="false">IF($W36="","",N(INDEX(发票统计!H$4:H$1003,$W36)))</f>
        <v/>
      </c>
      <c r="I36" s="56" t="str">
        <f aca="false">IF($W36="","",N(INDEX(发票统计!I$4:I$1003,$W36)))</f>
        <v/>
      </c>
      <c r="J36" s="56" t="str">
        <f aca="false">IF($W36="","",N(INDEX(发票统计!J$4:J$1003,$W36)))</f>
        <v/>
      </c>
      <c r="K36" s="56" t="str">
        <f aca="false">IF($W36="","",N(INDEX(发票统计!K$4:K$1003,$W36)))</f>
        <v/>
      </c>
      <c r="L36" s="56" t="str">
        <f aca="false">IF($W36="","",SUM(J$4:J36)-SUM(K$4:K36))</f>
        <v/>
      </c>
      <c r="M36" s="56" t="str">
        <f aca="false">IF($W36="","",N(INDEX(发票统计!M$4:M$1003,$W36)))</f>
        <v/>
      </c>
      <c r="N36" s="56" t="str">
        <f aca="false">IF($W36="","",N(INDEX(发票统计!N$4:N$1003,$W36)))</f>
        <v/>
      </c>
      <c r="O36" s="56" t="str">
        <f aca="false">IF($W36="","",N(INDEX(发票统计!O$4:O$1003,$W36)))</f>
        <v/>
      </c>
      <c r="P36" s="56" t="str">
        <f aca="false">IF($W36="","",SUM(M$4:M36)-SUM(N$4:N36)-SUM(O$4:O36))</f>
        <v/>
      </c>
      <c r="Q36" s="56" t="str">
        <f aca="false">IF($W36="","",N(INDEX(发票统计!Q$4:Q$1003,$W36)))</f>
        <v/>
      </c>
      <c r="R36" s="56" t="str">
        <f aca="false">IF($W36="","",N(INDEX(发票统计!R$4:R$1003,$W36)))</f>
        <v/>
      </c>
      <c r="S36" s="56" t="str">
        <f aca="false">IF($W36="","",N(INDEX(发票统计!S$4:S$1003,$W36)))</f>
        <v/>
      </c>
      <c r="T36" s="56" t="str">
        <f aca="false">IF($W36="","",SUM(Q$4:Q36)-SUM(R$4:R36)-SUM(S$4:S36))</f>
        <v/>
      </c>
      <c r="U36" s="56" t="str">
        <f aca="false">IF($W36="","",INDEX(发票统计!U$4:U$1003,$W36)&amp;"")</f>
        <v/>
      </c>
      <c r="W36" s="1" t="str">
        <f aca="false">IF($V$3="","",IFERROR(MATCH($V$3&amp;"#"&amp;ROWS(W$4:W36),发票统计!$W$4:$W$1003,0),""))</f>
        <v/>
      </c>
    </row>
    <row r="37" customFormat="false" ht="16.5" hidden="false" customHeight="false" outlineLevel="0" collapsed="false">
      <c r="A37" s="3" t="str">
        <f aca="false">IF($W37="","",INDEX(发票统计!A$4:A$1003,$W37)&amp;"")</f>
        <v/>
      </c>
      <c r="B37" s="3" t="str">
        <f aca="false">IF($W37="","",INDEX(发票统计!B$4:B$1003,$W37)&amp;"")</f>
        <v/>
      </c>
      <c r="C37" s="3" t="str">
        <f aca="false">IF($W37="","",INDEX(发票统计!C$4:C$1003,$W37)&amp;"")</f>
        <v/>
      </c>
      <c r="D37" s="3" t="str">
        <f aca="false">IF($W37="","",INDEX(发票统计!D$4:D$1003,$W37)&amp;"")</f>
        <v/>
      </c>
      <c r="E37" s="67" t="str">
        <f aca="false">IF($W37="","",INDEX(发票统计!E$4:E$1003,$W37)&amp;"")</f>
        <v/>
      </c>
      <c r="F37" s="67" t="str">
        <f aca="false">IF($W37="","",INDEX(发票统计!F$4:F$1003,$W37)&amp;"")</f>
        <v/>
      </c>
      <c r="G37" s="68" t="str">
        <f aca="false">IF($W37="","",IF(INDEX(发票统计!G$4:G$1003,$W37)="","",INDEX(发票统计!G$4:G$1003,$W37)))</f>
        <v/>
      </c>
      <c r="H37" s="56" t="str">
        <f aca="false">IF($W37="","",N(INDEX(发票统计!H$4:H$1003,$W37)))</f>
        <v/>
      </c>
      <c r="I37" s="56" t="str">
        <f aca="false">IF($W37="","",N(INDEX(发票统计!I$4:I$1003,$W37)))</f>
        <v/>
      </c>
      <c r="J37" s="56" t="str">
        <f aca="false">IF($W37="","",N(INDEX(发票统计!J$4:J$1003,$W37)))</f>
        <v/>
      </c>
      <c r="K37" s="56" t="str">
        <f aca="false">IF($W37="","",N(INDEX(发票统计!K$4:K$1003,$W37)))</f>
        <v/>
      </c>
      <c r="L37" s="56" t="str">
        <f aca="false">IF($W37="","",SUM(J$4:J37)-SUM(K$4:K37))</f>
        <v/>
      </c>
      <c r="M37" s="56" t="str">
        <f aca="false">IF($W37="","",N(INDEX(发票统计!M$4:M$1003,$W37)))</f>
        <v/>
      </c>
      <c r="N37" s="56" t="str">
        <f aca="false">IF($W37="","",N(INDEX(发票统计!N$4:N$1003,$W37)))</f>
        <v/>
      </c>
      <c r="O37" s="56" t="str">
        <f aca="false">IF($W37="","",N(INDEX(发票统计!O$4:O$1003,$W37)))</f>
        <v/>
      </c>
      <c r="P37" s="56" t="str">
        <f aca="false">IF($W37="","",SUM(M$4:M37)-SUM(N$4:N37)-SUM(O$4:O37))</f>
        <v/>
      </c>
      <c r="Q37" s="56" t="str">
        <f aca="false">IF($W37="","",N(INDEX(发票统计!Q$4:Q$1003,$W37)))</f>
        <v/>
      </c>
      <c r="R37" s="56" t="str">
        <f aca="false">IF($W37="","",N(INDEX(发票统计!R$4:R$1003,$W37)))</f>
        <v/>
      </c>
      <c r="S37" s="56" t="str">
        <f aca="false">IF($W37="","",N(INDEX(发票统计!S$4:S$1003,$W37)))</f>
        <v/>
      </c>
      <c r="T37" s="56" t="str">
        <f aca="false">IF($W37="","",SUM(Q$4:Q37)-SUM(R$4:R37)-SUM(S$4:S37))</f>
        <v/>
      </c>
      <c r="U37" s="56" t="str">
        <f aca="false">IF($W37="","",INDEX(发票统计!U$4:U$1003,$W37)&amp;"")</f>
        <v/>
      </c>
      <c r="W37" s="1" t="str">
        <f aca="false">IF($V$3="","",IFERROR(MATCH($V$3&amp;"#"&amp;ROWS(W$4:W37),发票统计!$W$4:$W$1003,0),""))</f>
        <v/>
      </c>
    </row>
    <row r="38" customFormat="false" ht="16.5" hidden="false" customHeight="false" outlineLevel="0" collapsed="false">
      <c r="A38" s="3" t="str">
        <f aca="false">IF($W38="","",INDEX(发票统计!A$4:A$1003,$W38)&amp;"")</f>
        <v/>
      </c>
      <c r="B38" s="3" t="str">
        <f aca="false">IF($W38="","",INDEX(发票统计!B$4:B$1003,$W38)&amp;"")</f>
        <v/>
      </c>
      <c r="C38" s="3" t="str">
        <f aca="false">IF($W38="","",INDEX(发票统计!C$4:C$1003,$W38)&amp;"")</f>
        <v/>
      </c>
      <c r="D38" s="3" t="str">
        <f aca="false">IF($W38="","",INDEX(发票统计!D$4:D$1003,$W38)&amp;"")</f>
        <v/>
      </c>
      <c r="E38" s="67" t="str">
        <f aca="false">IF($W38="","",INDEX(发票统计!E$4:E$1003,$W38)&amp;"")</f>
        <v/>
      </c>
      <c r="F38" s="67" t="str">
        <f aca="false">IF($W38="","",INDEX(发票统计!F$4:F$1003,$W38)&amp;"")</f>
        <v/>
      </c>
      <c r="G38" s="68" t="str">
        <f aca="false">IF($W38="","",IF(INDEX(发票统计!G$4:G$1003,$W38)="","",INDEX(发票统计!G$4:G$1003,$W38)))</f>
        <v/>
      </c>
      <c r="H38" s="56" t="str">
        <f aca="false">IF($W38="","",N(INDEX(发票统计!H$4:H$1003,$W38)))</f>
        <v/>
      </c>
      <c r="I38" s="56" t="str">
        <f aca="false">IF($W38="","",N(INDEX(发票统计!I$4:I$1003,$W38)))</f>
        <v/>
      </c>
      <c r="J38" s="56" t="str">
        <f aca="false">IF($W38="","",N(INDEX(发票统计!J$4:J$1003,$W38)))</f>
        <v/>
      </c>
      <c r="K38" s="56" t="str">
        <f aca="false">IF($W38="","",N(INDEX(发票统计!K$4:K$1003,$W38)))</f>
        <v/>
      </c>
      <c r="L38" s="56" t="str">
        <f aca="false">IF($W38="","",SUM(J$4:J38)-SUM(K$4:K38))</f>
        <v/>
      </c>
      <c r="M38" s="56" t="str">
        <f aca="false">IF($W38="","",N(INDEX(发票统计!M$4:M$1003,$W38)))</f>
        <v/>
      </c>
      <c r="N38" s="56" t="str">
        <f aca="false">IF($W38="","",N(INDEX(发票统计!N$4:N$1003,$W38)))</f>
        <v/>
      </c>
      <c r="O38" s="56" t="str">
        <f aca="false">IF($W38="","",N(INDEX(发票统计!O$4:O$1003,$W38)))</f>
        <v/>
      </c>
      <c r="P38" s="56" t="str">
        <f aca="false">IF($W38="","",SUM(M$4:M38)-SUM(N$4:N38)-SUM(O$4:O38))</f>
        <v/>
      </c>
      <c r="Q38" s="56" t="str">
        <f aca="false">IF($W38="","",N(INDEX(发票统计!Q$4:Q$1003,$W38)))</f>
        <v/>
      </c>
      <c r="R38" s="56" t="str">
        <f aca="false">IF($W38="","",N(INDEX(发票统计!R$4:R$1003,$W38)))</f>
        <v/>
      </c>
      <c r="S38" s="56" t="str">
        <f aca="false">IF($W38="","",N(INDEX(发票统计!S$4:S$1003,$W38)))</f>
        <v/>
      </c>
      <c r="T38" s="56" t="str">
        <f aca="false">IF($W38="","",SUM(Q$4:Q38)-SUM(R$4:R38)-SUM(S$4:S38))</f>
        <v/>
      </c>
      <c r="U38" s="56" t="str">
        <f aca="false">IF($W38="","",INDEX(发票统计!U$4:U$1003,$W38)&amp;"")</f>
        <v/>
      </c>
      <c r="W38" s="1" t="str">
        <f aca="false">IF($V$3="","",IFERROR(MATCH($V$3&amp;"#"&amp;ROWS(W$4:W38),发票统计!$W$4:$W$1003,0),""))</f>
        <v/>
      </c>
    </row>
    <row r="39" customFormat="false" ht="16.5" hidden="false" customHeight="false" outlineLevel="0" collapsed="false">
      <c r="A39" s="3" t="str">
        <f aca="false">IF($W39="","",INDEX(发票统计!A$4:A$1003,$W39)&amp;"")</f>
        <v/>
      </c>
      <c r="B39" s="3" t="str">
        <f aca="false">IF($W39="","",INDEX(发票统计!B$4:B$1003,$W39)&amp;"")</f>
        <v/>
      </c>
      <c r="C39" s="3" t="str">
        <f aca="false">IF($W39="","",INDEX(发票统计!C$4:C$1003,$W39)&amp;"")</f>
        <v/>
      </c>
      <c r="D39" s="3" t="str">
        <f aca="false">IF($W39="","",INDEX(发票统计!D$4:D$1003,$W39)&amp;"")</f>
        <v/>
      </c>
      <c r="E39" s="67" t="str">
        <f aca="false">IF($W39="","",INDEX(发票统计!E$4:E$1003,$W39)&amp;"")</f>
        <v/>
      </c>
      <c r="F39" s="67" t="str">
        <f aca="false">IF($W39="","",INDEX(发票统计!F$4:F$1003,$W39)&amp;"")</f>
        <v/>
      </c>
      <c r="G39" s="68" t="str">
        <f aca="false">IF($W39="","",IF(INDEX(发票统计!G$4:G$1003,$W39)="","",INDEX(发票统计!G$4:G$1003,$W39)))</f>
        <v/>
      </c>
      <c r="H39" s="56" t="str">
        <f aca="false">IF($W39="","",N(INDEX(发票统计!H$4:H$1003,$W39)))</f>
        <v/>
      </c>
      <c r="I39" s="56" t="str">
        <f aca="false">IF($W39="","",N(INDEX(发票统计!I$4:I$1003,$W39)))</f>
        <v/>
      </c>
      <c r="J39" s="56" t="str">
        <f aca="false">IF($W39="","",N(INDEX(发票统计!J$4:J$1003,$W39)))</f>
        <v/>
      </c>
      <c r="K39" s="56" t="str">
        <f aca="false">IF($W39="","",N(INDEX(发票统计!K$4:K$1003,$W39)))</f>
        <v/>
      </c>
      <c r="L39" s="56" t="str">
        <f aca="false">IF($W39="","",SUM(J$4:J39)-SUM(K$4:K39))</f>
        <v/>
      </c>
      <c r="M39" s="56" t="str">
        <f aca="false">IF($W39="","",N(INDEX(发票统计!M$4:M$1003,$W39)))</f>
        <v/>
      </c>
      <c r="N39" s="56" t="str">
        <f aca="false">IF($W39="","",N(INDEX(发票统计!N$4:N$1003,$W39)))</f>
        <v/>
      </c>
      <c r="O39" s="56" t="str">
        <f aca="false">IF($W39="","",N(INDEX(发票统计!O$4:O$1003,$W39)))</f>
        <v/>
      </c>
      <c r="P39" s="56" t="str">
        <f aca="false">IF($W39="","",SUM(M$4:M39)-SUM(N$4:N39)-SUM(O$4:O39))</f>
        <v/>
      </c>
      <c r="Q39" s="56" t="str">
        <f aca="false">IF($W39="","",N(INDEX(发票统计!Q$4:Q$1003,$W39)))</f>
        <v/>
      </c>
      <c r="R39" s="56" t="str">
        <f aca="false">IF($W39="","",N(INDEX(发票统计!R$4:R$1003,$W39)))</f>
        <v/>
      </c>
      <c r="S39" s="56" t="str">
        <f aca="false">IF($W39="","",N(INDEX(发票统计!S$4:S$1003,$W39)))</f>
        <v/>
      </c>
      <c r="T39" s="56" t="str">
        <f aca="false">IF($W39="","",SUM(Q$4:Q39)-SUM(R$4:R39)-SUM(S$4:S39))</f>
        <v/>
      </c>
      <c r="U39" s="56" t="str">
        <f aca="false">IF($W39="","",INDEX(发票统计!U$4:U$1003,$W39)&amp;"")</f>
        <v/>
      </c>
      <c r="W39" s="1" t="str">
        <f aca="false">IF($V$3="","",IFERROR(MATCH($V$3&amp;"#"&amp;ROWS(W$4:W39),发票统计!$W$4:$W$1003,0),""))</f>
        <v/>
      </c>
    </row>
    <row r="40" customFormat="false" ht="16.5" hidden="false" customHeight="false" outlineLevel="0" collapsed="false">
      <c r="A40" s="3" t="str">
        <f aca="false">IF($W40="","",INDEX(发票统计!A$4:A$1003,$W40)&amp;"")</f>
        <v/>
      </c>
      <c r="B40" s="3" t="str">
        <f aca="false">IF($W40="","",INDEX(发票统计!B$4:B$1003,$W40)&amp;"")</f>
        <v/>
      </c>
      <c r="C40" s="3" t="str">
        <f aca="false">IF($W40="","",INDEX(发票统计!C$4:C$1003,$W40)&amp;"")</f>
        <v/>
      </c>
      <c r="D40" s="3" t="str">
        <f aca="false">IF($W40="","",INDEX(发票统计!D$4:D$1003,$W40)&amp;"")</f>
        <v/>
      </c>
      <c r="E40" s="67" t="str">
        <f aca="false">IF($W40="","",INDEX(发票统计!E$4:E$1003,$W40)&amp;"")</f>
        <v/>
      </c>
      <c r="F40" s="67" t="str">
        <f aca="false">IF($W40="","",INDEX(发票统计!F$4:F$1003,$W40)&amp;"")</f>
        <v/>
      </c>
      <c r="G40" s="68" t="str">
        <f aca="false">IF($W40="","",IF(INDEX(发票统计!G$4:G$1003,$W40)="","",INDEX(发票统计!G$4:G$1003,$W40)))</f>
        <v/>
      </c>
      <c r="H40" s="56" t="str">
        <f aca="false">IF($W40="","",N(INDEX(发票统计!H$4:H$1003,$W40)))</f>
        <v/>
      </c>
      <c r="I40" s="56" t="str">
        <f aca="false">IF($W40="","",N(INDEX(发票统计!I$4:I$1003,$W40)))</f>
        <v/>
      </c>
      <c r="J40" s="56" t="str">
        <f aca="false">IF($W40="","",N(INDEX(发票统计!J$4:J$1003,$W40)))</f>
        <v/>
      </c>
      <c r="K40" s="56" t="str">
        <f aca="false">IF($W40="","",N(INDEX(发票统计!K$4:K$1003,$W40)))</f>
        <v/>
      </c>
      <c r="L40" s="56" t="str">
        <f aca="false">IF($W40="","",SUM(J$4:J40)-SUM(K$4:K40))</f>
        <v/>
      </c>
      <c r="M40" s="56" t="str">
        <f aca="false">IF($W40="","",N(INDEX(发票统计!M$4:M$1003,$W40)))</f>
        <v/>
      </c>
      <c r="N40" s="56" t="str">
        <f aca="false">IF($W40="","",N(INDEX(发票统计!N$4:N$1003,$W40)))</f>
        <v/>
      </c>
      <c r="O40" s="56" t="str">
        <f aca="false">IF($W40="","",N(INDEX(发票统计!O$4:O$1003,$W40)))</f>
        <v/>
      </c>
      <c r="P40" s="56" t="str">
        <f aca="false">IF($W40="","",SUM(M$4:M40)-SUM(N$4:N40)-SUM(O$4:O40))</f>
        <v/>
      </c>
      <c r="Q40" s="56" t="str">
        <f aca="false">IF($W40="","",N(INDEX(发票统计!Q$4:Q$1003,$W40)))</f>
        <v/>
      </c>
      <c r="R40" s="56" t="str">
        <f aca="false">IF($W40="","",N(INDEX(发票统计!R$4:R$1003,$W40)))</f>
        <v/>
      </c>
      <c r="S40" s="56" t="str">
        <f aca="false">IF($W40="","",N(INDEX(发票统计!S$4:S$1003,$W40)))</f>
        <v/>
      </c>
      <c r="T40" s="56" t="str">
        <f aca="false">IF($W40="","",SUM(Q$4:Q40)-SUM(R$4:R40)-SUM(S$4:S40))</f>
        <v/>
      </c>
      <c r="U40" s="56" t="str">
        <f aca="false">IF($W40="","",INDEX(发票统计!U$4:U$1003,$W40)&amp;"")</f>
        <v/>
      </c>
      <c r="W40" s="1" t="str">
        <f aca="false">IF($V$3="","",IFERROR(MATCH($V$3&amp;"#"&amp;ROWS(W$4:W40),发票统计!$W$4:$W$1003,0),""))</f>
        <v/>
      </c>
    </row>
    <row r="41" customFormat="false" ht="16.5" hidden="false" customHeight="false" outlineLevel="0" collapsed="false">
      <c r="A41" s="3" t="str">
        <f aca="false">IF($W41="","",INDEX(发票统计!A$4:A$1003,$W41)&amp;"")</f>
        <v/>
      </c>
      <c r="B41" s="3" t="str">
        <f aca="false">IF($W41="","",INDEX(发票统计!B$4:B$1003,$W41)&amp;"")</f>
        <v/>
      </c>
      <c r="C41" s="3" t="str">
        <f aca="false">IF($W41="","",INDEX(发票统计!C$4:C$1003,$W41)&amp;"")</f>
        <v/>
      </c>
      <c r="D41" s="3" t="str">
        <f aca="false">IF($W41="","",INDEX(发票统计!D$4:D$1003,$W41)&amp;"")</f>
        <v/>
      </c>
      <c r="E41" s="67" t="str">
        <f aca="false">IF($W41="","",INDEX(发票统计!E$4:E$1003,$W41)&amp;"")</f>
        <v/>
      </c>
      <c r="F41" s="67" t="str">
        <f aca="false">IF($W41="","",INDEX(发票统计!F$4:F$1003,$W41)&amp;"")</f>
        <v/>
      </c>
      <c r="G41" s="68" t="str">
        <f aca="false">IF($W41="","",IF(INDEX(发票统计!G$4:G$1003,$W41)="","",INDEX(发票统计!G$4:G$1003,$W41)))</f>
        <v/>
      </c>
      <c r="H41" s="56" t="str">
        <f aca="false">IF($W41="","",N(INDEX(发票统计!H$4:H$1003,$W41)))</f>
        <v/>
      </c>
      <c r="I41" s="56" t="str">
        <f aca="false">IF($W41="","",N(INDEX(发票统计!I$4:I$1003,$W41)))</f>
        <v/>
      </c>
      <c r="J41" s="56" t="str">
        <f aca="false">IF($W41="","",N(INDEX(发票统计!J$4:J$1003,$W41)))</f>
        <v/>
      </c>
      <c r="K41" s="56" t="str">
        <f aca="false">IF($W41="","",N(INDEX(发票统计!K$4:K$1003,$W41)))</f>
        <v/>
      </c>
      <c r="L41" s="56" t="str">
        <f aca="false">IF($W41="","",SUM(J$4:J41)-SUM(K$4:K41))</f>
        <v/>
      </c>
      <c r="M41" s="56" t="str">
        <f aca="false">IF($W41="","",N(INDEX(发票统计!M$4:M$1003,$W41)))</f>
        <v/>
      </c>
      <c r="N41" s="56" t="str">
        <f aca="false">IF($W41="","",N(INDEX(发票统计!N$4:N$1003,$W41)))</f>
        <v/>
      </c>
      <c r="O41" s="56" t="str">
        <f aca="false">IF($W41="","",N(INDEX(发票统计!O$4:O$1003,$W41)))</f>
        <v/>
      </c>
      <c r="P41" s="56" t="str">
        <f aca="false">IF($W41="","",SUM(M$4:M41)-SUM(N$4:N41)-SUM(O$4:O41))</f>
        <v/>
      </c>
      <c r="Q41" s="56" t="str">
        <f aca="false">IF($W41="","",N(INDEX(发票统计!Q$4:Q$1003,$W41)))</f>
        <v/>
      </c>
      <c r="R41" s="56" t="str">
        <f aca="false">IF($W41="","",N(INDEX(发票统计!R$4:R$1003,$W41)))</f>
        <v/>
      </c>
      <c r="S41" s="56" t="str">
        <f aca="false">IF($W41="","",N(INDEX(发票统计!S$4:S$1003,$W41)))</f>
        <v/>
      </c>
      <c r="T41" s="56" t="str">
        <f aca="false">IF($W41="","",SUM(Q$4:Q41)-SUM(R$4:R41)-SUM(S$4:S41))</f>
        <v/>
      </c>
      <c r="U41" s="56" t="str">
        <f aca="false">IF($W41="","",INDEX(发票统计!U$4:U$1003,$W41)&amp;"")</f>
        <v/>
      </c>
      <c r="W41" s="1" t="str">
        <f aca="false">IF($V$3="","",IFERROR(MATCH($V$3&amp;"#"&amp;ROWS(W$4:W41),发票统计!$W$4:$W$1003,0),""))</f>
        <v/>
      </c>
    </row>
    <row r="42" customFormat="false" ht="16.5" hidden="false" customHeight="false" outlineLevel="0" collapsed="false">
      <c r="A42" s="3" t="str">
        <f aca="false">IF($W42="","",INDEX(发票统计!A$4:A$1003,$W42)&amp;"")</f>
        <v/>
      </c>
      <c r="B42" s="3" t="str">
        <f aca="false">IF($W42="","",INDEX(发票统计!B$4:B$1003,$W42)&amp;"")</f>
        <v/>
      </c>
      <c r="C42" s="3" t="str">
        <f aca="false">IF($W42="","",INDEX(发票统计!C$4:C$1003,$W42)&amp;"")</f>
        <v/>
      </c>
      <c r="D42" s="3" t="str">
        <f aca="false">IF($W42="","",INDEX(发票统计!D$4:D$1003,$W42)&amp;"")</f>
        <v/>
      </c>
      <c r="E42" s="67" t="str">
        <f aca="false">IF($W42="","",INDEX(发票统计!E$4:E$1003,$W42)&amp;"")</f>
        <v/>
      </c>
      <c r="F42" s="67" t="str">
        <f aca="false">IF($W42="","",INDEX(发票统计!F$4:F$1003,$W42)&amp;"")</f>
        <v/>
      </c>
      <c r="G42" s="68" t="str">
        <f aca="false">IF($W42="","",IF(INDEX(发票统计!G$4:G$1003,$W42)="","",INDEX(发票统计!G$4:G$1003,$W42)))</f>
        <v/>
      </c>
      <c r="H42" s="56" t="str">
        <f aca="false">IF($W42="","",N(INDEX(发票统计!H$4:H$1003,$W42)))</f>
        <v/>
      </c>
      <c r="I42" s="56" t="str">
        <f aca="false">IF($W42="","",N(INDEX(发票统计!I$4:I$1003,$W42)))</f>
        <v/>
      </c>
      <c r="J42" s="56" t="str">
        <f aca="false">IF($W42="","",N(INDEX(发票统计!J$4:J$1003,$W42)))</f>
        <v/>
      </c>
      <c r="K42" s="56" t="str">
        <f aca="false">IF($W42="","",N(INDEX(发票统计!K$4:K$1003,$W42)))</f>
        <v/>
      </c>
      <c r="L42" s="56" t="str">
        <f aca="false">IF($W42="","",SUM(J$4:J42)-SUM(K$4:K42))</f>
        <v/>
      </c>
      <c r="M42" s="56" t="str">
        <f aca="false">IF($W42="","",N(INDEX(发票统计!M$4:M$1003,$W42)))</f>
        <v/>
      </c>
      <c r="N42" s="56" t="str">
        <f aca="false">IF($W42="","",N(INDEX(发票统计!N$4:N$1003,$W42)))</f>
        <v/>
      </c>
      <c r="O42" s="56" t="str">
        <f aca="false">IF($W42="","",N(INDEX(发票统计!O$4:O$1003,$W42)))</f>
        <v/>
      </c>
      <c r="P42" s="56" t="str">
        <f aca="false">IF($W42="","",SUM(M$4:M42)-SUM(N$4:N42)-SUM(O$4:O42))</f>
        <v/>
      </c>
      <c r="Q42" s="56" t="str">
        <f aca="false">IF($W42="","",N(INDEX(发票统计!Q$4:Q$1003,$W42)))</f>
        <v/>
      </c>
      <c r="R42" s="56" t="str">
        <f aca="false">IF($W42="","",N(INDEX(发票统计!R$4:R$1003,$W42)))</f>
        <v/>
      </c>
      <c r="S42" s="56" t="str">
        <f aca="false">IF($W42="","",N(INDEX(发票统计!S$4:S$1003,$W42)))</f>
        <v/>
      </c>
      <c r="T42" s="56" t="str">
        <f aca="false">IF($W42="","",SUM(Q$4:Q42)-SUM(R$4:R42)-SUM(S$4:S42))</f>
        <v/>
      </c>
      <c r="U42" s="56" t="str">
        <f aca="false">IF($W42="","",INDEX(发票统计!U$4:U$1003,$W42)&amp;"")</f>
        <v/>
      </c>
      <c r="W42" s="1" t="str">
        <f aca="false">IF($V$3="","",IFERROR(MATCH($V$3&amp;"#"&amp;ROWS(W$4:W42),发票统计!$W$4:$W$1003,0),""))</f>
        <v/>
      </c>
    </row>
    <row r="43" customFormat="false" ht="16.5" hidden="false" customHeight="false" outlineLevel="0" collapsed="false">
      <c r="A43" s="3" t="str">
        <f aca="false">IF($W43="","",INDEX(发票统计!A$4:A$1003,$W43)&amp;"")</f>
        <v/>
      </c>
      <c r="B43" s="3" t="str">
        <f aca="false">IF($W43="","",INDEX(发票统计!B$4:B$1003,$W43)&amp;"")</f>
        <v/>
      </c>
      <c r="C43" s="3" t="str">
        <f aca="false">IF($W43="","",INDEX(发票统计!C$4:C$1003,$W43)&amp;"")</f>
        <v/>
      </c>
      <c r="D43" s="3" t="str">
        <f aca="false">IF($W43="","",INDEX(发票统计!D$4:D$1003,$W43)&amp;"")</f>
        <v/>
      </c>
      <c r="E43" s="67" t="str">
        <f aca="false">IF($W43="","",INDEX(发票统计!E$4:E$1003,$W43)&amp;"")</f>
        <v/>
      </c>
      <c r="F43" s="67" t="str">
        <f aca="false">IF($W43="","",INDEX(发票统计!F$4:F$1003,$W43)&amp;"")</f>
        <v/>
      </c>
      <c r="G43" s="68" t="str">
        <f aca="false">IF($W43="","",IF(INDEX(发票统计!G$4:G$1003,$W43)="","",INDEX(发票统计!G$4:G$1003,$W43)))</f>
        <v/>
      </c>
      <c r="H43" s="56" t="str">
        <f aca="false">IF($W43="","",N(INDEX(发票统计!H$4:H$1003,$W43)))</f>
        <v/>
      </c>
      <c r="I43" s="56" t="str">
        <f aca="false">IF($W43="","",N(INDEX(发票统计!I$4:I$1003,$W43)))</f>
        <v/>
      </c>
      <c r="J43" s="56" t="str">
        <f aca="false">IF($W43="","",N(INDEX(发票统计!J$4:J$1003,$W43)))</f>
        <v/>
      </c>
      <c r="K43" s="56" t="str">
        <f aca="false">IF($W43="","",N(INDEX(发票统计!K$4:K$1003,$W43)))</f>
        <v/>
      </c>
      <c r="L43" s="56" t="str">
        <f aca="false">IF($W43="","",SUM(J$4:J43)-SUM(K$4:K43))</f>
        <v/>
      </c>
      <c r="M43" s="56" t="str">
        <f aca="false">IF($W43="","",N(INDEX(发票统计!M$4:M$1003,$W43)))</f>
        <v/>
      </c>
      <c r="N43" s="56" t="str">
        <f aca="false">IF($W43="","",N(INDEX(发票统计!N$4:N$1003,$W43)))</f>
        <v/>
      </c>
      <c r="O43" s="56" t="str">
        <f aca="false">IF($W43="","",N(INDEX(发票统计!O$4:O$1003,$W43)))</f>
        <v/>
      </c>
      <c r="P43" s="56" t="str">
        <f aca="false">IF($W43="","",SUM(M$4:M43)-SUM(N$4:N43)-SUM(O$4:O43))</f>
        <v/>
      </c>
      <c r="Q43" s="56" t="str">
        <f aca="false">IF($W43="","",N(INDEX(发票统计!Q$4:Q$1003,$W43)))</f>
        <v/>
      </c>
      <c r="R43" s="56" t="str">
        <f aca="false">IF($W43="","",N(INDEX(发票统计!R$4:R$1003,$W43)))</f>
        <v/>
      </c>
      <c r="S43" s="56" t="str">
        <f aca="false">IF($W43="","",N(INDEX(发票统计!S$4:S$1003,$W43)))</f>
        <v/>
      </c>
      <c r="T43" s="56" t="str">
        <f aca="false">IF($W43="","",SUM(Q$4:Q43)-SUM(R$4:R43)-SUM(S$4:S43))</f>
        <v/>
      </c>
      <c r="U43" s="56" t="str">
        <f aca="false">IF($W43="","",INDEX(发票统计!U$4:U$1003,$W43)&amp;"")</f>
        <v/>
      </c>
      <c r="W43" s="1" t="str">
        <f aca="false">IF($V$3="","",IFERROR(MATCH($V$3&amp;"#"&amp;ROWS(W$4:W43),发票统计!$W$4:$W$1003,0),""))</f>
        <v/>
      </c>
    </row>
    <row r="44" customFormat="false" ht="16.5" hidden="false" customHeight="false" outlineLevel="0" collapsed="false">
      <c r="A44" s="3" t="str">
        <f aca="false">IF($W44="","",INDEX(发票统计!A$4:A$1003,$W44)&amp;"")</f>
        <v/>
      </c>
      <c r="B44" s="3" t="str">
        <f aca="false">IF($W44="","",INDEX(发票统计!B$4:B$1003,$W44)&amp;"")</f>
        <v/>
      </c>
      <c r="C44" s="3" t="str">
        <f aca="false">IF($W44="","",INDEX(发票统计!C$4:C$1003,$W44)&amp;"")</f>
        <v/>
      </c>
      <c r="D44" s="3" t="str">
        <f aca="false">IF($W44="","",INDEX(发票统计!D$4:D$1003,$W44)&amp;"")</f>
        <v/>
      </c>
      <c r="E44" s="67" t="str">
        <f aca="false">IF($W44="","",INDEX(发票统计!E$4:E$1003,$W44)&amp;"")</f>
        <v/>
      </c>
      <c r="F44" s="67" t="str">
        <f aca="false">IF($W44="","",INDEX(发票统计!F$4:F$1003,$W44)&amp;"")</f>
        <v/>
      </c>
      <c r="G44" s="68" t="str">
        <f aca="false">IF($W44="","",IF(INDEX(发票统计!G$4:G$1003,$W44)="","",INDEX(发票统计!G$4:G$1003,$W44)))</f>
        <v/>
      </c>
      <c r="H44" s="56" t="str">
        <f aca="false">IF($W44="","",N(INDEX(发票统计!H$4:H$1003,$W44)))</f>
        <v/>
      </c>
      <c r="I44" s="56" t="str">
        <f aca="false">IF($W44="","",N(INDEX(发票统计!I$4:I$1003,$W44)))</f>
        <v/>
      </c>
      <c r="J44" s="56" t="str">
        <f aca="false">IF($W44="","",N(INDEX(发票统计!J$4:J$1003,$W44)))</f>
        <v/>
      </c>
      <c r="K44" s="56" t="str">
        <f aca="false">IF($W44="","",N(INDEX(发票统计!K$4:K$1003,$W44)))</f>
        <v/>
      </c>
      <c r="L44" s="56" t="str">
        <f aca="false">IF($W44="","",SUM(J$4:J44)-SUM(K$4:K44))</f>
        <v/>
      </c>
      <c r="M44" s="56" t="str">
        <f aca="false">IF($W44="","",N(INDEX(发票统计!M$4:M$1003,$W44)))</f>
        <v/>
      </c>
      <c r="N44" s="56" t="str">
        <f aca="false">IF($W44="","",N(INDEX(发票统计!N$4:N$1003,$W44)))</f>
        <v/>
      </c>
      <c r="O44" s="56" t="str">
        <f aca="false">IF($W44="","",N(INDEX(发票统计!O$4:O$1003,$W44)))</f>
        <v/>
      </c>
      <c r="P44" s="56" t="str">
        <f aca="false">IF($W44="","",SUM(M$4:M44)-SUM(N$4:N44)-SUM(O$4:O44))</f>
        <v/>
      </c>
      <c r="Q44" s="56" t="str">
        <f aca="false">IF($W44="","",N(INDEX(发票统计!Q$4:Q$1003,$W44)))</f>
        <v/>
      </c>
      <c r="R44" s="56" t="str">
        <f aca="false">IF($W44="","",N(INDEX(发票统计!R$4:R$1003,$W44)))</f>
        <v/>
      </c>
      <c r="S44" s="56" t="str">
        <f aca="false">IF($W44="","",N(INDEX(发票统计!S$4:S$1003,$W44)))</f>
        <v/>
      </c>
      <c r="T44" s="56" t="str">
        <f aca="false">IF($W44="","",SUM(Q$4:Q44)-SUM(R$4:R44)-SUM(S$4:S44))</f>
        <v/>
      </c>
      <c r="U44" s="56" t="str">
        <f aca="false">IF($W44="","",INDEX(发票统计!U$4:U$1003,$W44)&amp;"")</f>
        <v/>
      </c>
      <c r="W44" s="1" t="str">
        <f aca="false">IF($V$3="","",IFERROR(MATCH($V$3&amp;"#"&amp;ROWS(W$4:W44),发票统计!$W$4:$W$1003,0),""))</f>
        <v/>
      </c>
    </row>
    <row r="45" customFormat="false" ht="16.5" hidden="false" customHeight="false" outlineLevel="0" collapsed="false">
      <c r="A45" s="3" t="str">
        <f aca="false">IF($W45="","",INDEX(发票统计!A$4:A$1003,$W45)&amp;"")</f>
        <v/>
      </c>
      <c r="B45" s="3" t="str">
        <f aca="false">IF($W45="","",INDEX(发票统计!B$4:B$1003,$W45)&amp;"")</f>
        <v/>
      </c>
      <c r="C45" s="3" t="str">
        <f aca="false">IF($W45="","",INDEX(发票统计!C$4:C$1003,$W45)&amp;"")</f>
        <v/>
      </c>
      <c r="D45" s="3" t="str">
        <f aca="false">IF($W45="","",INDEX(发票统计!D$4:D$1003,$W45)&amp;"")</f>
        <v/>
      </c>
      <c r="E45" s="67" t="str">
        <f aca="false">IF($W45="","",INDEX(发票统计!E$4:E$1003,$W45)&amp;"")</f>
        <v/>
      </c>
      <c r="F45" s="67" t="str">
        <f aca="false">IF($W45="","",INDEX(发票统计!F$4:F$1003,$W45)&amp;"")</f>
        <v/>
      </c>
      <c r="G45" s="68" t="str">
        <f aca="false">IF($W45="","",IF(INDEX(发票统计!G$4:G$1003,$W45)="","",INDEX(发票统计!G$4:G$1003,$W45)))</f>
        <v/>
      </c>
      <c r="H45" s="56" t="str">
        <f aca="false">IF($W45="","",N(INDEX(发票统计!H$4:H$1003,$W45)))</f>
        <v/>
      </c>
      <c r="I45" s="56" t="str">
        <f aca="false">IF($W45="","",N(INDEX(发票统计!I$4:I$1003,$W45)))</f>
        <v/>
      </c>
      <c r="J45" s="56" t="str">
        <f aca="false">IF($W45="","",N(INDEX(发票统计!J$4:J$1003,$W45)))</f>
        <v/>
      </c>
      <c r="K45" s="56" t="str">
        <f aca="false">IF($W45="","",N(INDEX(发票统计!K$4:K$1003,$W45)))</f>
        <v/>
      </c>
      <c r="L45" s="56" t="str">
        <f aca="false">IF($W45="","",SUM(J$4:J45)-SUM(K$4:K45))</f>
        <v/>
      </c>
      <c r="M45" s="56" t="str">
        <f aca="false">IF($W45="","",N(INDEX(发票统计!M$4:M$1003,$W45)))</f>
        <v/>
      </c>
      <c r="N45" s="56" t="str">
        <f aca="false">IF($W45="","",N(INDEX(发票统计!N$4:N$1003,$W45)))</f>
        <v/>
      </c>
      <c r="O45" s="56" t="str">
        <f aca="false">IF($W45="","",N(INDEX(发票统计!O$4:O$1003,$W45)))</f>
        <v/>
      </c>
      <c r="P45" s="56" t="str">
        <f aca="false">IF($W45="","",SUM(M$4:M45)-SUM(N$4:N45)-SUM(O$4:O45))</f>
        <v/>
      </c>
      <c r="Q45" s="56" t="str">
        <f aca="false">IF($W45="","",N(INDEX(发票统计!Q$4:Q$1003,$W45)))</f>
        <v/>
      </c>
      <c r="R45" s="56" t="str">
        <f aca="false">IF($W45="","",N(INDEX(发票统计!R$4:R$1003,$W45)))</f>
        <v/>
      </c>
      <c r="S45" s="56" t="str">
        <f aca="false">IF($W45="","",N(INDEX(发票统计!S$4:S$1003,$W45)))</f>
        <v/>
      </c>
      <c r="T45" s="56" t="str">
        <f aca="false">IF($W45="","",SUM(Q$4:Q45)-SUM(R$4:R45)-SUM(S$4:S45))</f>
        <v/>
      </c>
      <c r="U45" s="56" t="str">
        <f aca="false">IF($W45="","",INDEX(发票统计!U$4:U$1003,$W45)&amp;"")</f>
        <v/>
      </c>
      <c r="W45" s="1" t="str">
        <f aca="false">IF($V$3="","",IFERROR(MATCH($V$3&amp;"#"&amp;ROWS(W$4:W45),发票统计!$W$4:$W$1003,0),""))</f>
        <v/>
      </c>
    </row>
    <row r="46" customFormat="false" ht="16.5" hidden="false" customHeight="false" outlineLevel="0" collapsed="false">
      <c r="A46" s="3" t="str">
        <f aca="false">IF($W46="","",INDEX(发票统计!A$4:A$1003,$W46)&amp;"")</f>
        <v/>
      </c>
      <c r="B46" s="3" t="str">
        <f aca="false">IF($W46="","",INDEX(发票统计!B$4:B$1003,$W46)&amp;"")</f>
        <v/>
      </c>
      <c r="C46" s="3" t="str">
        <f aca="false">IF($W46="","",INDEX(发票统计!C$4:C$1003,$W46)&amp;"")</f>
        <v/>
      </c>
      <c r="D46" s="3" t="str">
        <f aca="false">IF($W46="","",INDEX(发票统计!D$4:D$1003,$W46)&amp;"")</f>
        <v/>
      </c>
      <c r="E46" s="67" t="str">
        <f aca="false">IF($W46="","",INDEX(发票统计!E$4:E$1003,$W46)&amp;"")</f>
        <v/>
      </c>
      <c r="F46" s="67" t="str">
        <f aca="false">IF($W46="","",INDEX(发票统计!F$4:F$1003,$W46)&amp;"")</f>
        <v/>
      </c>
      <c r="G46" s="68" t="str">
        <f aca="false">IF($W46="","",IF(INDEX(发票统计!G$4:G$1003,$W46)="","",INDEX(发票统计!G$4:G$1003,$W46)))</f>
        <v/>
      </c>
      <c r="H46" s="56" t="str">
        <f aca="false">IF($W46="","",N(INDEX(发票统计!H$4:H$1003,$W46)))</f>
        <v/>
      </c>
      <c r="I46" s="56" t="str">
        <f aca="false">IF($W46="","",N(INDEX(发票统计!I$4:I$1003,$W46)))</f>
        <v/>
      </c>
      <c r="J46" s="56" t="str">
        <f aca="false">IF($W46="","",N(INDEX(发票统计!J$4:J$1003,$W46)))</f>
        <v/>
      </c>
      <c r="K46" s="56" t="str">
        <f aca="false">IF($W46="","",N(INDEX(发票统计!K$4:K$1003,$W46)))</f>
        <v/>
      </c>
      <c r="L46" s="56" t="str">
        <f aca="false">IF($W46="","",SUM(J$4:J46)-SUM(K$4:K46))</f>
        <v/>
      </c>
      <c r="M46" s="56" t="str">
        <f aca="false">IF($W46="","",N(INDEX(发票统计!M$4:M$1003,$W46)))</f>
        <v/>
      </c>
      <c r="N46" s="56" t="str">
        <f aca="false">IF($W46="","",N(INDEX(发票统计!N$4:N$1003,$W46)))</f>
        <v/>
      </c>
      <c r="O46" s="56" t="str">
        <f aca="false">IF($W46="","",N(INDEX(发票统计!O$4:O$1003,$W46)))</f>
        <v/>
      </c>
      <c r="P46" s="56" t="str">
        <f aca="false">IF($W46="","",SUM(M$4:M46)-SUM(N$4:N46)-SUM(O$4:O46))</f>
        <v/>
      </c>
      <c r="Q46" s="56" t="str">
        <f aca="false">IF($W46="","",N(INDEX(发票统计!Q$4:Q$1003,$W46)))</f>
        <v/>
      </c>
      <c r="R46" s="56" t="str">
        <f aca="false">IF($W46="","",N(INDEX(发票统计!R$4:R$1003,$W46)))</f>
        <v/>
      </c>
      <c r="S46" s="56" t="str">
        <f aca="false">IF($W46="","",N(INDEX(发票统计!S$4:S$1003,$W46)))</f>
        <v/>
      </c>
      <c r="T46" s="56" t="str">
        <f aca="false">IF($W46="","",SUM(Q$4:Q46)-SUM(R$4:R46)-SUM(S$4:S46))</f>
        <v/>
      </c>
      <c r="U46" s="56" t="str">
        <f aca="false">IF($W46="","",INDEX(发票统计!U$4:U$1003,$W46)&amp;"")</f>
        <v/>
      </c>
      <c r="W46" s="1" t="str">
        <f aca="false">IF($V$3="","",IFERROR(MATCH($V$3&amp;"#"&amp;ROWS(W$4:W46),发票统计!$W$4:$W$1003,0),""))</f>
        <v/>
      </c>
    </row>
    <row r="47" customFormat="false" ht="16.5" hidden="false" customHeight="false" outlineLevel="0" collapsed="false">
      <c r="A47" s="3" t="str">
        <f aca="false">IF($W47="","",INDEX(发票统计!A$4:A$1003,$W47)&amp;"")</f>
        <v/>
      </c>
      <c r="B47" s="3" t="str">
        <f aca="false">IF($W47="","",INDEX(发票统计!B$4:B$1003,$W47)&amp;"")</f>
        <v/>
      </c>
      <c r="C47" s="3" t="str">
        <f aca="false">IF($W47="","",INDEX(发票统计!C$4:C$1003,$W47)&amp;"")</f>
        <v/>
      </c>
      <c r="D47" s="3" t="str">
        <f aca="false">IF($W47="","",INDEX(发票统计!D$4:D$1003,$W47)&amp;"")</f>
        <v/>
      </c>
      <c r="E47" s="67" t="str">
        <f aca="false">IF($W47="","",INDEX(发票统计!E$4:E$1003,$W47)&amp;"")</f>
        <v/>
      </c>
      <c r="F47" s="67" t="str">
        <f aca="false">IF($W47="","",INDEX(发票统计!F$4:F$1003,$W47)&amp;"")</f>
        <v/>
      </c>
      <c r="G47" s="68" t="str">
        <f aca="false">IF($W47="","",IF(INDEX(发票统计!G$4:G$1003,$W47)="","",INDEX(发票统计!G$4:G$1003,$W47)))</f>
        <v/>
      </c>
      <c r="H47" s="56" t="str">
        <f aca="false">IF($W47="","",N(INDEX(发票统计!H$4:H$1003,$W47)))</f>
        <v/>
      </c>
      <c r="I47" s="56" t="str">
        <f aca="false">IF($W47="","",N(INDEX(发票统计!I$4:I$1003,$W47)))</f>
        <v/>
      </c>
      <c r="J47" s="56" t="str">
        <f aca="false">IF($W47="","",N(INDEX(发票统计!J$4:J$1003,$W47)))</f>
        <v/>
      </c>
      <c r="K47" s="56" t="str">
        <f aca="false">IF($W47="","",N(INDEX(发票统计!K$4:K$1003,$W47)))</f>
        <v/>
      </c>
      <c r="L47" s="56" t="str">
        <f aca="false">IF($W47="","",SUM(J$4:J47)-SUM(K$4:K47))</f>
        <v/>
      </c>
      <c r="M47" s="56" t="str">
        <f aca="false">IF($W47="","",N(INDEX(发票统计!M$4:M$1003,$W47)))</f>
        <v/>
      </c>
      <c r="N47" s="56" t="str">
        <f aca="false">IF($W47="","",N(INDEX(发票统计!N$4:N$1003,$W47)))</f>
        <v/>
      </c>
      <c r="O47" s="56" t="str">
        <f aca="false">IF($W47="","",N(INDEX(发票统计!O$4:O$1003,$W47)))</f>
        <v/>
      </c>
      <c r="P47" s="56" t="str">
        <f aca="false">IF($W47="","",SUM(M$4:M47)-SUM(N$4:N47)-SUM(O$4:O47))</f>
        <v/>
      </c>
      <c r="Q47" s="56" t="str">
        <f aca="false">IF($W47="","",N(INDEX(发票统计!Q$4:Q$1003,$W47)))</f>
        <v/>
      </c>
      <c r="R47" s="56" t="str">
        <f aca="false">IF($W47="","",N(INDEX(发票统计!R$4:R$1003,$W47)))</f>
        <v/>
      </c>
      <c r="S47" s="56" t="str">
        <f aca="false">IF($W47="","",N(INDEX(发票统计!S$4:S$1003,$W47)))</f>
        <v/>
      </c>
      <c r="T47" s="56" t="str">
        <f aca="false">IF($W47="","",SUM(Q$4:Q47)-SUM(R$4:R47)-SUM(S$4:S47))</f>
        <v/>
      </c>
      <c r="U47" s="56" t="str">
        <f aca="false">IF($W47="","",INDEX(发票统计!U$4:U$1003,$W47)&amp;"")</f>
        <v/>
      </c>
      <c r="W47" s="1" t="str">
        <f aca="false">IF($V$3="","",IFERROR(MATCH($V$3&amp;"#"&amp;ROWS(W$4:W47),发票统计!$W$4:$W$1003,0),""))</f>
        <v/>
      </c>
    </row>
    <row r="48" customFormat="false" ht="16.5" hidden="false" customHeight="false" outlineLevel="0" collapsed="false">
      <c r="A48" s="3" t="str">
        <f aca="false">IF($W48="","",INDEX(发票统计!A$4:A$1003,$W48)&amp;"")</f>
        <v/>
      </c>
      <c r="B48" s="3" t="str">
        <f aca="false">IF($W48="","",INDEX(发票统计!B$4:B$1003,$W48)&amp;"")</f>
        <v/>
      </c>
      <c r="C48" s="3" t="str">
        <f aca="false">IF($W48="","",INDEX(发票统计!C$4:C$1003,$W48)&amp;"")</f>
        <v/>
      </c>
      <c r="D48" s="3" t="str">
        <f aca="false">IF($W48="","",INDEX(发票统计!D$4:D$1003,$W48)&amp;"")</f>
        <v/>
      </c>
      <c r="E48" s="67" t="str">
        <f aca="false">IF($W48="","",INDEX(发票统计!E$4:E$1003,$W48)&amp;"")</f>
        <v/>
      </c>
      <c r="F48" s="67" t="str">
        <f aca="false">IF($W48="","",INDEX(发票统计!F$4:F$1003,$W48)&amp;"")</f>
        <v/>
      </c>
      <c r="G48" s="68" t="str">
        <f aca="false">IF($W48="","",IF(INDEX(发票统计!G$4:G$1003,$W48)="","",INDEX(发票统计!G$4:G$1003,$W48)))</f>
        <v/>
      </c>
      <c r="H48" s="56" t="str">
        <f aca="false">IF($W48="","",N(INDEX(发票统计!H$4:H$1003,$W48)))</f>
        <v/>
      </c>
      <c r="I48" s="56" t="str">
        <f aca="false">IF($W48="","",N(INDEX(发票统计!I$4:I$1003,$W48)))</f>
        <v/>
      </c>
      <c r="J48" s="56" t="str">
        <f aca="false">IF($W48="","",N(INDEX(发票统计!J$4:J$1003,$W48)))</f>
        <v/>
      </c>
      <c r="K48" s="56" t="str">
        <f aca="false">IF($W48="","",N(INDEX(发票统计!K$4:K$1003,$W48)))</f>
        <v/>
      </c>
      <c r="L48" s="56" t="str">
        <f aca="false">IF($W48="","",SUM(J$4:J48)-SUM(K$4:K48))</f>
        <v/>
      </c>
      <c r="M48" s="56" t="str">
        <f aca="false">IF($W48="","",N(INDEX(发票统计!M$4:M$1003,$W48)))</f>
        <v/>
      </c>
      <c r="N48" s="56" t="str">
        <f aca="false">IF($W48="","",N(INDEX(发票统计!N$4:N$1003,$W48)))</f>
        <v/>
      </c>
      <c r="O48" s="56" t="str">
        <f aca="false">IF($W48="","",N(INDEX(发票统计!O$4:O$1003,$W48)))</f>
        <v/>
      </c>
      <c r="P48" s="56" t="str">
        <f aca="false">IF($W48="","",SUM(M$4:M48)-SUM(N$4:N48)-SUM(O$4:O48))</f>
        <v/>
      </c>
      <c r="Q48" s="56" t="str">
        <f aca="false">IF($W48="","",N(INDEX(发票统计!Q$4:Q$1003,$W48)))</f>
        <v/>
      </c>
      <c r="R48" s="56" t="str">
        <f aca="false">IF($W48="","",N(INDEX(发票统计!R$4:R$1003,$W48)))</f>
        <v/>
      </c>
      <c r="S48" s="56" t="str">
        <f aca="false">IF($W48="","",N(INDEX(发票统计!S$4:S$1003,$W48)))</f>
        <v/>
      </c>
      <c r="T48" s="56" t="str">
        <f aca="false">IF($W48="","",SUM(Q$4:Q48)-SUM(R$4:R48)-SUM(S$4:S48))</f>
        <v/>
      </c>
      <c r="U48" s="56" t="str">
        <f aca="false">IF($W48="","",INDEX(发票统计!U$4:U$1003,$W48)&amp;"")</f>
        <v/>
      </c>
      <c r="W48" s="1" t="str">
        <f aca="false">IF($V$3="","",IFERROR(MATCH($V$3&amp;"#"&amp;ROWS(W$4:W48),发票统计!$W$4:$W$1003,0),""))</f>
        <v/>
      </c>
    </row>
    <row r="49" customFormat="false" ht="16.5" hidden="false" customHeight="false" outlineLevel="0" collapsed="false">
      <c r="A49" s="3" t="str">
        <f aca="false">IF($W49="","",INDEX(发票统计!A$4:A$1003,$W49)&amp;"")</f>
        <v/>
      </c>
      <c r="B49" s="3" t="str">
        <f aca="false">IF($W49="","",INDEX(发票统计!B$4:B$1003,$W49)&amp;"")</f>
        <v/>
      </c>
      <c r="C49" s="3" t="str">
        <f aca="false">IF($W49="","",INDEX(发票统计!C$4:C$1003,$W49)&amp;"")</f>
        <v/>
      </c>
      <c r="D49" s="3" t="str">
        <f aca="false">IF($W49="","",INDEX(发票统计!D$4:D$1003,$W49)&amp;"")</f>
        <v/>
      </c>
      <c r="E49" s="67" t="str">
        <f aca="false">IF($W49="","",INDEX(发票统计!E$4:E$1003,$W49)&amp;"")</f>
        <v/>
      </c>
      <c r="F49" s="68" t="str">
        <f aca="false">IF($W49="","",INDEX(发票统计!F$4:F$1003,$W49)&amp;"")</f>
        <v/>
      </c>
      <c r="G49" s="68" t="str">
        <f aca="false">IF($W49="","",IF(INDEX(发票统计!G$4:G$1003,$W49)="","",INDEX(发票统计!G$4:G$1003,$W49)))</f>
        <v/>
      </c>
      <c r="H49" s="56" t="str">
        <f aca="false">IF($W49="","",N(INDEX(发票统计!H$4:H$1003,$W49)))</f>
        <v/>
      </c>
      <c r="I49" s="56" t="str">
        <f aca="false">IF($W49="","",N(INDEX(发票统计!I$4:I$1003,$W49)))</f>
        <v/>
      </c>
      <c r="J49" s="56" t="str">
        <f aca="false">IF($W49="","",N(INDEX(发票统计!J$4:J$1003,$W49)))</f>
        <v/>
      </c>
      <c r="K49" s="56" t="str">
        <f aca="false">IF($W49="","",N(INDEX(发票统计!K$4:K$1003,$W49)))</f>
        <v/>
      </c>
      <c r="L49" s="56" t="str">
        <f aca="false">IF($W49="","",SUM(J$4:J49)-SUM(K$4:K49))</f>
        <v/>
      </c>
      <c r="M49" s="56" t="str">
        <f aca="false">IF($W49="","",N(INDEX(发票统计!M$4:M$1003,$W49)))</f>
        <v/>
      </c>
      <c r="N49" s="56" t="str">
        <f aca="false">IF($W49="","",N(INDEX(发票统计!N$4:N$1003,$W49)))</f>
        <v/>
      </c>
      <c r="O49" s="56" t="str">
        <f aca="false">IF($W49="","",N(INDEX(发票统计!O$4:O$1003,$W49)))</f>
        <v/>
      </c>
      <c r="P49" s="56" t="str">
        <f aca="false">IF($W49="","",SUM(M$4:M49)-SUM(N$4:N49)-SUM(O$4:O49))</f>
        <v/>
      </c>
      <c r="Q49" s="56" t="str">
        <f aca="false">IF($W49="","",N(INDEX(发票统计!Q$4:Q$1003,$W49)))</f>
        <v/>
      </c>
      <c r="R49" s="56" t="str">
        <f aca="false">IF($W49="","",N(INDEX(发票统计!R$4:R$1003,$W49)))</f>
        <v/>
      </c>
      <c r="S49" s="56" t="str">
        <f aca="false">IF($W49="","",N(INDEX(发票统计!S$4:S$1003,$W49)))</f>
        <v/>
      </c>
      <c r="T49" s="56" t="str">
        <f aca="false">IF($W49="","",SUM(Q$4:Q49)-SUM(R$4:R49)-SUM(S$4:S49))</f>
        <v/>
      </c>
      <c r="U49" s="56" t="str">
        <f aca="false">IF($W49="","",INDEX(发票统计!U$4:U$1003,$W49)&amp;"")</f>
        <v/>
      </c>
      <c r="W49" s="1" t="str">
        <f aca="false">IF($V$3="","",IFERROR(MATCH($V$3&amp;"#"&amp;ROWS(W$4:W49),发票统计!$W$4:$W$1003,0),""))</f>
        <v/>
      </c>
    </row>
    <row r="50" customFormat="false" ht="16.5" hidden="false" customHeight="false" outlineLevel="0" collapsed="false">
      <c r="A50" s="3" t="str">
        <f aca="false">IF($W50="","",INDEX(发票统计!A$4:A$1003,$W50)&amp;"")</f>
        <v/>
      </c>
      <c r="B50" s="3" t="str">
        <f aca="false">IF($W50="","",INDEX(发票统计!B$4:B$1003,$W50)&amp;"")</f>
        <v/>
      </c>
      <c r="C50" s="3" t="str">
        <f aca="false">IF($W50="","",INDEX(发票统计!C$4:C$1003,$W50)&amp;"")</f>
        <v/>
      </c>
      <c r="D50" s="3" t="str">
        <f aca="false">IF($W50="","",INDEX(发票统计!D$4:D$1003,$W50)&amp;"")</f>
        <v/>
      </c>
      <c r="E50" s="67" t="str">
        <f aca="false">IF($W50="","",INDEX(发票统计!E$4:E$1003,$W50)&amp;"")</f>
        <v/>
      </c>
      <c r="F50" s="68" t="str">
        <f aca="false">IF($W50="","",INDEX(发票统计!F$4:F$1003,$W50)&amp;"")</f>
        <v/>
      </c>
      <c r="G50" s="68" t="str">
        <f aca="false">IF($W50="","",IF(INDEX(发票统计!G$4:G$1003,$W50)="","",INDEX(发票统计!G$4:G$1003,$W50)))</f>
        <v/>
      </c>
      <c r="H50" s="56" t="str">
        <f aca="false">IF($W50="","",N(INDEX(发票统计!H$4:H$1003,$W50)))</f>
        <v/>
      </c>
      <c r="I50" s="56" t="str">
        <f aca="false">IF($W50="","",N(INDEX(发票统计!I$4:I$1003,$W50)))</f>
        <v/>
      </c>
      <c r="J50" s="56" t="str">
        <f aca="false">IF($W50="","",N(INDEX(发票统计!J$4:J$1003,$W50)))</f>
        <v/>
      </c>
      <c r="K50" s="56" t="str">
        <f aca="false">IF($W50="","",N(INDEX(发票统计!K$4:K$1003,$W50)))</f>
        <v/>
      </c>
      <c r="L50" s="56" t="str">
        <f aca="false">IF($W50="","",SUM(J$4:J50)-SUM(K$4:K50))</f>
        <v/>
      </c>
      <c r="M50" s="56" t="str">
        <f aca="false">IF($W50="","",N(INDEX(发票统计!M$4:M$1003,$W50)))</f>
        <v/>
      </c>
      <c r="N50" s="56" t="str">
        <f aca="false">IF($W50="","",N(INDEX(发票统计!N$4:N$1003,$W50)))</f>
        <v/>
      </c>
      <c r="O50" s="56" t="str">
        <f aca="false">IF($W50="","",N(INDEX(发票统计!O$4:O$1003,$W50)))</f>
        <v/>
      </c>
      <c r="P50" s="56" t="str">
        <f aca="false">IF($W50="","",SUM(M$4:M50)-SUM(N$4:N50)-SUM(O$4:O50))</f>
        <v/>
      </c>
      <c r="Q50" s="56" t="str">
        <f aca="false">IF($W50="","",N(INDEX(发票统计!Q$4:Q$1003,$W50)))</f>
        <v/>
      </c>
      <c r="R50" s="56" t="str">
        <f aca="false">IF($W50="","",N(INDEX(发票统计!R$4:R$1003,$W50)))</f>
        <v/>
      </c>
      <c r="S50" s="56" t="str">
        <f aca="false">IF($W50="","",N(INDEX(发票统计!S$4:S$1003,$W50)))</f>
        <v/>
      </c>
      <c r="T50" s="56" t="str">
        <f aca="false">IF($W50="","",SUM(Q$4:Q50)-SUM(R$4:R50)-SUM(S$4:S50))</f>
        <v/>
      </c>
      <c r="U50" s="56" t="str">
        <f aca="false">IF($W50="","",INDEX(发票统计!U$4:U$1003,$W50)&amp;"")</f>
        <v/>
      </c>
      <c r="W50" s="1" t="str">
        <f aca="false">IF($V$3="","",IFERROR(MATCH($V$3&amp;"#"&amp;ROWS(W$4:W50),发票统计!$W$4:$W$1003,0),""))</f>
        <v/>
      </c>
    </row>
    <row r="51" customFormat="false" ht="16.5" hidden="false" customHeight="false" outlineLevel="0" collapsed="false">
      <c r="A51" s="3" t="str">
        <f aca="false">IF($W51="","",INDEX(发票统计!A$4:A$1003,$W51)&amp;"")</f>
        <v/>
      </c>
      <c r="B51" s="3" t="str">
        <f aca="false">IF($W51="","",INDEX(发票统计!B$4:B$1003,$W51)&amp;"")</f>
        <v/>
      </c>
      <c r="C51" s="3" t="str">
        <f aca="false">IF($W51="","",INDEX(发票统计!C$4:C$1003,$W51)&amp;"")</f>
        <v/>
      </c>
      <c r="D51" s="3" t="str">
        <f aca="false">IF($W51="","",INDEX(发票统计!D$4:D$1003,$W51)&amp;"")</f>
        <v/>
      </c>
      <c r="E51" s="67" t="str">
        <f aca="false">IF($W51="","",INDEX(发票统计!E$4:E$1003,$W51)&amp;"")</f>
        <v/>
      </c>
      <c r="F51" s="68" t="str">
        <f aca="false">IF($W51="","",INDEX(发票统计!F$4:F$1003,$W51)&amp;"")</f>
        <v/>
      </c>
      <c r="G51" s="68" t="str">
        <f aca="false">IF($W51="","",IF(INDEX(发票统计!G$4:G$1003,$W51)="","",INDEX(发票统计!G$4:G$1003,$W51)))</f>
        <v/>
      </c>
      <c r="H51" s="56" t="str">
        <f aca="false">IF($W51="","",N(INDEX(发票统计!H$4:H$1003,$W51)))</f>
        <v/>
      </c>
      <c r="I51" s="56" t="str">
        <f aca="false">IF($W51="","",N(INDEX(发票统计!I$4:I$1003,$W51)))</f>
        <v/>
      </c>
      <c r="J51" s="56" t="str">
        <f aca="false">IF($W51="","",N(INDEX(发票统计!J$4:J$1003,$W51)))</f>
        <v/>
      </c>
      <c r="K51" s="56" t="str">
        <f aca="false">IF($W51="","",N(INDEX(发票统计!K$4:K$1003,$W51)))</f>
        <v/>
      </c>
      <c r="L51" s="56" t="str">
        <f aca="false">IF($W51="","",SUM(J$4:J51)-SUM(K$4:K51))</f>
        <v/>
      </c>
      <c r="M51" s="56" t="str">
        <f aca="false">IF($W51="","",N(INDEX(发票统计!M$4:M$1003,$W51)))</f>
        <v/>
      </c>
      <c r="N51" s="56" t="str">
        <f aca="false">IF($W51="","",N(INDEX(发票统计!N$4:N$1003,$W51)))</f>
        <v/>
      </c>
      <c r="O51" s="56" t="str">
        <f aca="false">IF($W51="","",N(INDEX(发票统计!O$4:O$1003,$W51)))</f>
        <v/>
      </c>
      <c r="P51" s="56" t="str">
        <f aca="false">IF($W51="","",SUM(M$4:M51)-SUM(N$4:N51)-SUM(O$4:O51))</f>
        <v/>
      </c>
      <c r="Q51" s="56" t="str">
        <f aca="false">IF($W51="","",N(INDEX(发票统计!Q$4:Q$1003,$W51)))</f>
        <v/>
      </c>
      <c r="R51" s="56" t="str">
        <f aca="false">IF($W51="","",N(INDEX(发票统计!R$4:R$1003,$W51)))</f>
        <v/>
      </c>
      <c r="S51" s="56" t="str">
        <f aca="false">IF($W51="","",N(INDEX(发票统计!S$4:S$1003,$W51)))</f>
        <v/>
      </c>
      <c r="T51" s="56" t="str">
        <f aca="false">IF($W51="","",SUM(Q$4:Q51)-SUM(R$4:R51)-SUM(S$4:S51))</f>
        <v/>
      </c>
      <c r="U51" s="56" t="str">
        <f aca="false">IF($W51="","",INDEX(发票统计!U$4:U$1003,$W51)&amp;"")</f>
        <v/>
      </c>
      <c r="W51" s="1" t="str">
        <f aca="false">IF($V$3="","",IFERROR(MATCH($V$3&amp;"#"&amp;ROWS(W$4:W51),发票统计!$W$4:$W$1003,0),""))</f>
        <v/>
      </c>
    </row>
    <row r="52" customFormat="false" ht="16.5" hidden="false" customHeight="false" outlineLevel="0" collapsed="false">
      <c r="A52" s="3" t="str">
        <f aca="false">IF($W52="","",INDEX(发票统计!A$4:A$1003,$W52)&amp;"")</f>
        <v/>
      </c>
      <c r="B52" s="3" t="str">
        <f aca="false">IF($W52="","",INDEX(发票统计!B$4:B$1003,$W52)&amp;"")</f>
        <v/>
      </c>
      <c r="C52" s="3" t="str">
        <f aca="false">IF($W52="","",INDEX(发票统计!C$4:C$1003,$W52)&amp;"")</f>
        <v/>
      </c>
      <c r="D52" s="3" t="str">
        <f aca="false">IF($W52="","",INDEX(发票统计!D$4:D$1003,$W52)&amp;"")</f>
        <v/>
      </c>
      <c r="E52" s="67" t="str">
        <f aca="false">IF($W52="","",INDEX(发票统计!E$4:E$1003,$W52)&amp;"")</f>
        <v/>
      </c>
      <c r="F52" s="68" t="str">
        <f aca="false">IF($W52="","",INDEX(发票统计!F$4:F$1003,$W52)&amp;"")</f>
        <v/>
      </c>
      <c r="G52" s="68" t="str">
        <f aca="false">IF($W52="","",IF(INDEX(发票统计!G$4:G$1003,$W52)="","",INDEX(发票统计!G$4:G$1003,$W52)))</f>
        <v/>
      </c>
      <c r="H52" s="56" t="str">
        <f aca="false">IF($W52="","",N(INDEX(发票统计!H$4:H$1003,$W52)))</f>
        <v/>
      </c>
      <c r="I52" s="56" t="str">
        <f aca="false">IF($W52="","",N(INDEX(发票统计!I$4:I$1003,$W52)))</f>
        <v/>
      </c>
      <c r="J52" s="56" t="str">
        <f aca="false">IF($W52="","",N(INDEX(发票统计!J$4:J$1003,$W52)))</f>
        <v/>
      </c>
      <c r="K52" s="56" t="str">
        <f aca="false">IF($W52="","",N(INDEX(发票统计!K$4:K$1003,$W52)))</f>
        <v/>
      </c>
      <c r="L52" s="56" t="str">
        <f aca="false">IF($W52="","",SUM(J$4:J52)-SUM(K$4:K52))</f>
        <v/>
      </c>
      <c r="M52" s="56" t="str">
        <f aca="false">IF($W52="","",N(INDEX(发票统计!M$4:M$1003,$W52)))</f>
        <v/>
      </c>
      <c r="N52" s="56" t="str">
        <f aca="false">IF($W52="","",N(INDEX(发票统计!N$4:N$1003,$W52)))</f>
        <v/>
      </c>
      <c r="O52" s="56" t="str">
        <f aca="false">IF($W52="","",N(INDEX(发票统计!O$4:O$1003,$W52)))</f>
        <v/>
      </c>
      <c r="P52" s="56" t="str">
        <f aca="false">IF($W52="","",SUM(M$4:M52)-SUM(N$4:N52)-SUM(O$4:O52))</f>
        <v/>
      </c>
      <c r="Q52" s="56" t="str">
        <f aca="false">IF($W52="","",N(INDEX(发票统计!Q$4:Q$1003,$W52)))</f>
        <v/>
      </c>
      <c r="R52" s="56" t="str">
        <f aca="false">IF($W52="","",N(INDEX(发票统计!R$4:R$1003,$W52)))</f>
        <v/>
      </c>
      <c r="S52" s="56" t="str">
        <f aca="false">IF($W52="","",N(INDEX(发票统计!S$4:S$1003,$W52)))</f>
        <v/>
      </c>
      <c r="T52" s="56" t="str">
        <f aca="false">IF($W52="","",SUM(Q$4:Q52)-SUM(R$4:R52)-SUM(S$4:S52))</f>
        <v/>
      </c>
      <c r="U52" s="56" t="str">
        <f aca="false">IF($W52="","",INDEX(发票统计!U$4:U$1003,$W52)&amp;"")</f>
        <v/>
      </c>
      <c r="W52" s="1" t="str">
        <f aca="false">IF($V$3="","",IFERROR(MATCH($V$3&amp;"#"&amp;ROWS(W$4:W52),发票统计!$W$4:$W$1003,0),""))</f>
        <v/>
      </c>
    </row>
    <row r="53" customFormat="false" ht="16.5" hidden="false" customHeight="false" outlineLevel="0" collapsed="false">
      <c r="A53" s="3" t="str">
        <f aca="false">IF($W53="","",INDEX(发票统计!A$4:A$1003,$W53)&amp;"")</f>
        <v/>
      </c>
      <c r="B53" s="3" t="str">
        <f aca="false">IF($W53="","",INDEX(发票统计!B$4:B$1003,$W53)&amp;"")</f>
        <v/>
      </c>
      <c r="C53" s="3" t="str">
        <f aca="false">IF($W53="","",INDEX(发票统计!C$4:C$1003,$W53)&amp;"")</f>
        <v/>
      </c>
      <c r="D53" s="3" t="str">
        <f aca="false">IF($W53="","",INDEX(发票统计!D$4:D$1003,$W53)&amp;"")</f>
        <v/>
      </c>
      <c r="E53" s="67" t="str">
        <f aca="false">IF($W53="","",INDEX(发票统计!E$4:E$1003,$W53)&amp;"")</f>
        <v/>
      </c>
      <c r="F53" s="68" t="str">
        <f aca="false">IF($W53="","",INDEX(发票统计!F$4:F$1003,$W53)&amp;"")</f>
        <v/>
      </c>
      <c r="G53" s="68" t="str">
        <f aca="false">IF($W53="","",IF(INDEX(发票统计!G$4:G$1003,$W53)="","",INDEX(发票统计!G$4:G$1003,$W53)))</f>
        <v/>
      </c>
      <c r="H53" s="56" t="str">
        <f aca="false">IF($W53="","",N(INDEX(发票统计!H$4:H$1003,$W53)))</f>
        <v/>
      </c>
      <c r="I53" s="56" t="str">
        <f aca="false">IF($W53="","",N(INDEX(发票统计!I$4:I$1003,$W53)))</f>
        <v/>
      </c>
      <c r="J53" s="56" t="str">
        <f aca="false">IF($W53="","",N(INDEX(发票统计!J$4:J$1003,$W53)))</f>
        <v/>
      </c>
      <c r="K53" s="56" t="str">
        <f aca="false">IF($W53="","",N(INDEX(发票统计!K$4:K$1003,$W53)))</f>
        <v/>
      </c>
      <c r="L53" s="56" t="str">
        <f aca="false">IF($W53="","",SUM(J$4:J53)-SUM(K$4:K53))</f>
        <v/>
      </c>
      <c r="M53" s="56" t="str">
        <f aca="false">IF($W53="","",N(INDEX(发票统计!M$4:M$1003,$W53)))</f>
        <v/>
      </c>
      <c r="N53" s="56" t="str">
        <f aca="false">IF($W53="","",N(INDEX(发票统计!N$4:N$1003,$W53)))</f>
        <v/>
      </c>
      <c r="O53" s="56" t="str">
        <f aca="false">IF($W53="","",N(INDEX(发票统计!O$4:O$1003,$W53)))</f>
        <v/>
      </c>
      <c r="P53" s="56" t="str">
        <f aca="false">IF($W53="","",SUM(M$4:M53)-SUM(N$4:N53)-SUM(O$4:O53))</f>
        <v/>
      </c>
      <c r="Q53" s="56" t="str">
        <f aca="false">IF($W53="","",N(INDEX(发票统计!Q$4:Q$1003,$W53)))</f>
        <v/>
      </c>
      <c r="R53" s="56" t="str">
        <f aca="false">IF($W53="","",N(INDEX(发票统计!R$4:R$1003,$W53)))</f>
        <v/>
      </c>
      <c r="S53" s="56" t="str">
        <f aca="false">IF($W53="","",N(INDEX(发票统计!S$4:S$1003,$W53)))</f>
        <v/>
      </c>
      <c r="T53" s="56" t="str">
        <f aca="false">IF($W53="","",SUM(Q$4:Q53)-SUM(R$4:R53)-SUM(S$4:S53))</f>
        <v/>
      </c>
      <c r="U53" s="56" t="str">
        <f aca="false">IF($W53="","",INDEX(发票统计!U$4:U$1003,$W53)&amp;"")</f>
        <v/>
      </c>
      <c r="W53" s="1" t="str">
        <f aca="false">IF($V$3="","",IFERROR(MATCH($V$3&amp;"#"&amp;ROWS(W$4:W53),发票统计!$W$4:$W$1003,0),""))</f>
        <v/>
      </c>
    </row>
    <row r="54" customFormat="false" ht="16.5" hidden="false" customHeight="false" outlineLevel="0" collapsed="false">
      <c r="A54" s="3" t="str">
        <f aca="false">IF($W54="","",INDEX(发票统计!A$4:A$1003,$W54)&amp;"")</f>
        <v/>
      </c>
      <c r="B54" s="3" t="str">
        <f aca="false">IF($W54="","",INDEX(发票统计!B$4:B$1003,$W54)&amp;"")</f>
        <v/>
      </c>
      <c r="C54" s="3" t="str">
        <f aca="false">IF($W54="","",INDEX(发票统计!C$4:C$1003,$W54)&amp;"")</f>
        <v/>
      </c>
      <c r="D54" s="3" t="str">
        <f aca="false">IF($W54="","",INDEX(发票统计!D$4:D$1003,$W54)&amp;"")</f>
        <v/>
      </c>
      <c r="E54" s="67" t="str">
        <f aca="false">IF($W54="","",INDEX(发票统计!E$4:E$1003,$W54)&amp;"")</f>
        <v/>
      </c>
      <c r="F54" s="68" t="str">
        <f aca="false">IF($W54="","",INDEX(发票统计!F$4:F$1003,$W54)&amp;"")</f>
        <v/>
      </c>
      <c r="G54" s="68" t="str">
        <f aca="false">IF($W54="","",IF(INDEX(发票统计!G$4:G$1003,$W54)="","",INDEX(发票统计!G$4:G$1003,$W54)))</f>
        <v/>
      </c>
      <c r="H54" s="56" t="str">
        <f aca="false">IF($W54="","",N(INDEX(发票统计!H$4:H$1003,$W54)))</f>
        <v/>
      </c>
      <c r="I54" s="56" t="str">
        <f aca="false">IF($W54="","",N(INDEX(发票统计!I$4:I$1003,$W54)))</f>
        <v/>
      </c>
      <c r="J54" s="56" t="str">
        <f aca="false">IF($W54="","",N(INDEX(发票统计!J$4:J$1003,$W54)))</f>
        <v/>
      </c>
      <c r="K54" s="56" t="str">
        <f aca="false">IF($W54="","",N(INDEX(发票统计!K$4:K$1003,$W54)))</f>
        <v/>
      </c>
      <c r="L54" s="56" t="str">
        <f aca="false">IF($W54="","",SUM(J$4:J54)-SUM(K$4:K54))</f>
        <v/>
      </c>
      <c r="M54" s="56" t="str">
        <f aca="false">IF($W54="","",N(INDEX(发票统计!M$4:M$1003,$W54)))</f>
        <v/>
      </c>
      <c r="N54" s="56" t="str">
        <f aca="false">IF($W54="","",N(INDEX(发票统计!N$4:N$1003,$W54)))</f>
        <v/>
      </c>
      <c r="O54" s="56" t="str">
        <f aca="false">IF($W54="","",N(INDEX(发票统计!O$4:O$1003,$W54)))</f>
        <v/>
      </c>
      <c r="P54" s="56" t="str">
        <f aca="false">IF($W54="","",SUM(M$4:M54)-SUM(N$4:N54)-SUM(O$4:O54))</f>
        <v/>
      </c>
      <c r="Q54" s="56" t="str">
        <f aca="false">IF($W54="","",N(INDEX(发票统计!Q$4:Q$1003,$W54)))</f>
        <v/>
      </c>
      <c r="R54" s="56" t="str">
        <f aca="false">IF($W54="","",N(INDEX(发票统计!R$4:R$1003,$W54)))</f>
        <v/>
      </c>
      <c r="S54" s="56" t="str">
        <f aca="false">IF($W54="","",N(INDEX(发票统计!S$4:S$1003,$W54)))</f>
        <v/>
      </c>
      <c r="T54" s="56" t="str">
        <f aca="false">IF($W54="","",SUM(Q$4:Q54)-SUM(R$4:R54)-SUM(S$4:S54))</f>
        <v/>
      </c>
      <c r="U54" s="56" t="str">
        <f aca="false">IF($W54="","",INDEX(发票统计!U$4:U$1003,$W54)&amp;"")</f>
        <v/>
      </c>
      <c r="W54" s="1" t="str">
        <f aca="false">IF($V$3="","",IFERROR(MATCH($V$3&amp;"#"&amp;ROWS(W$4:W54),发票统计!$W$4:$W$1003,0),""))</f>
        <v/>
      </c>
    </row>
    <row r="55" customFormat="false" ht="16.5" hidden="false" customHeight="false" outlineLevel="0" collapsed="false">
      <c r="A55" s="3" t="str">
        <f aca="false">IF($W55="","",INDEX(发票统计!A$4:A$1003,$W55)&amp;"")</f>
        <v/>
      </c>
      <c r="B55" s="3" t="str">
        <f aca="false">IF($W55="","",INDEX(发票统计!B$4:B$1003,$W55)&amp;"")</f>
        <v/>
      </c>
      <c r="C55" s="3" t="str">
        <f aca="false">IF($W55="","",INDEX(发票统计!C$4:C$1003,$W55)&amp;"")</f>
        <v/>
      </c>
      <c r="D55" s="3" t="str">
        <f aca="false">IF($W55="","",INDEX(发票统计!D$4:D$1003,$W55)&amp;"")</f>
        <v/>
      </c>
      <c r="E55" s="67" t="str">
        <f aca="false">IF($W55="","",INDEX(发票统计!E$4:E$1003,$W55)&amp;"")</f>
        <v/>
      </c>
      <c r="F55" s="68" t="str">
        <f aca="false">IF($W55="","",INDEX(发票统计!F$4:F$1003,$W55)&amp;"")</f>
        <v/>
      </c>
      <c r="G55" s="68" t="str">
        <f aca="false">IF($W55="","",IF(INDEX(发票统计!G$4:G$1003,$W55)="","",INDEX(发票统计!G$4:G$1003,$W55)))</f>
        <v/>
      </c>
      <c r="H55" s="56" t="str">
        <f aca="false">IF($W55="","",N(INDEX(发票统计!H$4:H$1003,$W55)))</f>
        <v/>
      </c>
      <c r="I55" s="56" t="str">
        <f aca="false">IF($W55="","",N(INDEX(发票统计!I$4:I$1003,$W55)))</f>
        <v/>
      </c>
      <c r="J55" s="56" t="str">
        <f aca="false">IF($W55="","",N(INDEX(发票统计!J$4:J$1003,$W55)))</f>
        <v/>
      </c>
      <c r="K55" s="56" t="str">
        <f aca="false">IF($W55="","",N(INDEX(发票统计!K$4:K$1003,$W55)))</f>
        <v/>
      </c>
      <c r="L55" s="56" t="str">
        <f aca="false">IF($W55="","",SUM(J$4:J55)-SUM(K$4:K55))</f>
        <v/>
      </c>
      <c r="M55" s="56" t="str">
        <f aca="false">IF($W55="","",N(INDEX(发票统计!M$4:M$1003,$W55)))</f>
        <v/>
      </c>
      <c r="N55" s="56" t="str">
        <f aca="false">IF($W55="","",N(INDEX(发票统计!N$4:N$1003,$W55)))</f>
        <v/>
      </c>
      <c r="O55" s="56" t="str">
        <f aca="false">IF($W55="","",N(INDEX(发票统计!O$4:O$1003,$W55)))</f>
        <v/>
      </c>
      <c r="P55" s="56" t="str">
        <f aca="false">IF($W55="","",SUM(M$4:M55)-SUM(N$4:N55)-SUM(O$4:O55))</f>
        <v/>
      </c>
      <c r="Q55" s="56" t="str">
        <f aca="false">IF($W55="","",N(INDEX(发票统计!Q$4:Q$1003,$W55)))</f>
        <v/>
      </c>
      <c r="R55" s="56" t="str">
        <f aca="false">IF($W55="","",N(INDEX(发票统计!R$4:R$1003,$W55)))</f>
        <v/>
      </c>
      <c r="S55" s="56" t="str">
        <f aca="false">IF($W55="","",N(INDEX(发票统计!S$4:S$1003,$W55)))</f>
        <v/>
      </c>
      <c r="T55" s="56" t="str">
        <f aca="false">IF($W55="","",SUM(Q$4:Q55)-SUM(R$4:R55)-SUM(S$4:S55))</f>
        <v/>
      </c>
      <c r="U55" s="56" t="str">
        <f aca="false">IF($W55="","",INDEX(发票统计!U$4:U$1003,$W55)&amp;"")</f>
        <v/>
      </c>
      <c r="W55" s="1" t="str">
        <f aca="false">IF($V$3="","",IFERROR(MATCH($V$3&amp;"#"&amp;ROWS(W$4:W55),发票统计!$W$4:$W$1003,0),""))</f>
        <v/>
      </c>
    </row>
    <row r="56" customFormat="false" ht="16.5" hidden="false" customHeight="false" outlineLevel="0" collapsed="false">
      <c r="A56" s="3" t="str">
        <f aca="false">IF($W56="","",INDEX(发票统计!A$4:A$1003,$W56)&amp;"")</f>
        <v/>
      </c>
      <c r="B56" s="3" t="str">
        <f aca="false">IF($W56="","",INDEX(发票统计!B$4:B$1003,$W56)&amp;"")</f>
        <v/>
      </c>
      <c r="C56" s="3" t="str">
        <f aca="false">IF($W56="","",INDEX(发票统计!C$4:C$1003,$W56)&amp;"")</f>
        <v/>
      </c>
      <c r="D56" s="3" t="str">
        <f aca="false">IF($W56="","",INDEX(发票统计!D$4:D$1003,$W56)&amp;"")</f>
        <v/>
      </c>
      <c r="E56" s="67" t="str">
        <f aca="false">IF($W56="","",INDEX(发票统计!E$4:E$1003,$W56)&amp;"")</f>
        <v/>
      </c>
      <c r="F56" s="68" t="str">
        <f aca="false">IF($W56="","",INDEX(发票统计!F$4:F$1003,$W56)&amp;"")</f>
        <v/>
      </c>
      <c r="G56" s="68" t="str">
        <f aca="false">IF($W56="","",IF(INDEX(发票统计!G$4:G$1003,$W56)="","",INDEX(发票统计!G$4:G$1003,$W56)))</f>
        <v/>
      </c>
      <c r="H56" s="56" t="str">
        <f aca="false">IF($W56="","",N(INDEX(发票统计!H$4:H$1003,$W56)))</f>
        <v/>
      </c>
      <c r="I56" s="56" t="str">
        <f aca="false">IF($W56="","",N(INDEX(发票统计!I$4:I$1003,$W56)))</f>
        <v/>
      </c>
      <c r="J56" s="56" t="str">
        <f aca="false">IF($W56="","",N(INDEX(发票统计!J$4:J$1003,$W56)))</f>
        <v/>
      </c>
      <c r="K56" s="56" t="str">
        <f aca="false">IF($W56="","",N(INDEX(发票统计!K$4:K$1003,$W56)))</f>
        <v/>
      </c>
      <c r="L56" s="56" t="str">
        <f aca="false">IF($W56="","",SUM(J$4:J56)-SUM(K$4:K56))</f>
        <v/>
      </c>
      <c r="M56" s="56" t="str">
        <f aca="false">IF($W56="","",N(INDEX(发票统计!M$4:M$1003,$W56)))</f>
        <v/>
      </c>
      <c r="N56" s="56" t="str">
        <f aca="false">IF($W56="","",N(INDEX(发票统计!N$4:N$1003,$W56)))</f>
        <v/>
      </c>
      <c r="O56" s="56" t="str">
        <f aca="false">IF($W56="","",N(INDEX(发票统计!O$4:O$1003,$W56)))</f>
        <v/>
      </c>
      <c r="P56" s="56" t="str">
        <f aca="false">IF($W56="","",SUM(M$4:M56)-SUM(N$4:N56)-SUM(O$4:O56))</f>
        <v/>
      </c>
      <c r="Q56" s="56" t="str">
        <f aca="false">IF($W56="","",N(INDEX(发票统计!Q$4:Q$1003,$W56)))</f>
        <v/>
      </c>
      <c r="R56" s="56" t="str">
        <f aca="false">IF($W56="","",N(INDEX(发票统计!R$4:R$1003,$W56)))</f>
        <v/>
      </c>
      <c r="S56" s="56" t="str">
        <f aca="false">IF($W56="","",N(INDEX(发票统计!S$4:S$1003,$W56)))</f>
        <v/>
      </c>
      <c r="T56" s="56" t="str">
        <f aca="false">IF($W56="","",SUM(Q$4:Q56)-SUM(R$4:R56)-SUM(S$4:S56))</f>
        <v/>
      </c>
      <c r="U56" s="56" t="str">
        <f aca="false">IF($W56="","",INDEX(发票统计!U$4:U$1003,$W56)&amp;"")</f>
        <v/>
      </c>
      <c r="W56" s="1" t="str">
        <f aca="false">IF($V$3="","",IFERROR(MATCH($V$3&amp;"#"&amp;ROWS(W$4:W56),发票统计!$W$4:$W$1003,0),""))</f>
        <v/>
      </c>
    </row>
    <row r="57" customFormat="false" ht="16.5" hidden="false" customHeight="false" outlineLevel="0" collapsed="false">
      <c r="A57" s="3" t="str">
        <f aca="false">IF($W57="","",INDEX(发票统计!A$4:A$1003,$W57)&amp;"")</f>
        <v/>
      </c>
      <c r="B57" s="3" t="str">
        <f aca="false">IF($W57="","",INDEX(发票统计!B$4:B$1003,$W57)&amp;"")</f>
        <v/>
      </c>
      <c r="C57" s="3" t="str">
        <f aca="false">IF($W57="","",INDEX(发票统计!C$4:C$1003,$W57)&amp;"")</f>
        <v/>
      </c>
      <c r="D57" s="3" t="str">
        <f aca="false">IF($W57="","",INDEX(发票统计!D$4:D$1003,$W57)&amp;"")</f>
        <v/>
      </c>
      <c r="E57" s="67" t="str">
        <f aca="false">IF($W57="","",INDEX(发票统计!E$4:E$1003,$W57)&amp;"")</f>
        <v/>
      </c>
      <c r="F57" s="68" t="str">
        <f aca="false">IF($W57="","",INDEX(发票统计!F$4:F$1003,$W57)&amp;"")</f>
        <v/>
      </c>
      <c r="G57" s="68" t="str">
        <f aca="false">IF($W57="","",IF(INDEX(发票统计!G$4:G$1003,$W57)="","",INDEX(发票统计!G$4:G$1003,$W57)))</f>
        <v/>
      </c>
      <c r="H57" s="56" t="str">
        <f aca="false">IF($W57="","",N(INDEX(发票统计!H$4:H$1003,$W57)))</f>
        <v/>
      </c>
      <c r="I57" s="56" t="str">
        <f aca="false">IF($W57="","",N(INDEX(发票统计!I$4:I$1003,$W57)))</f>
        <v/>
      </c>
      <c r="J57" s="56" t="str">
        <f aca="false">IF($W57="","",N(INDEX(发票统计!J$4:J$1003,$W57)))</f>
        <v/>
      </c>
      <c r="K57" s="56" t="str">
        <f aca="false">IF($W57="","",N(INDEX(发票统计!K$4:K$1003,$W57)))</f>
        <v/>
      </c>
      <c r="L57" s="56" t="str">
        <f aca="false">IF($W57="","",SUM(J$4:J57)-SUM(K$4:K57))</f>
        <v/>
      </c>
      <c r="M57" s="56" t="str">
        <f aca="false">IF($W57="","",N(INDEX(发票统计!M$4:M$1003,$W57)))</f>
        <v/>
      </c>
      <c r="N57" s="56" t="str">
        <f aca="false">IF($W57="","",N(INDEX(发票统计!N$4:N$1003,$W57)))</f>
        <v/>
      </c>
      <c r="O57" s="56" t="str">
        <f aca="false">IF($W57="","",N(INDEX(发票统计!O$4:O$1003,$W57)))</f>
        <v/>
      </c>
      <c r="P57" s="56" t="str">
        <f aca="false">IF($W57="","",SUM(M$4:M57)-SUM(N$4:N57)-SUM(O$4:O57))</f>
        <v/>
      </c>
      <c r="Q57" s="56" t="str">
        <f aca="false">IF($W57="","",N(INDEX(发票统计!Q$4:Q$1003,$W57)))</f>
        <v/>
      </c>
      <c r="R57" s="56" t="str">
        <f aca="false">IF($W57="","",N(INDEX(发票统计!R$4:R$1003,$W57)))</f>
        <v/>
      </c>
      <c r="S57" s="56" t="str">
        <f aca="false">IF($W57="","",N(INDEX(发票统计!S$4:S$1003,$W57)))</f>
        <v/>
      </c>
      <c r="T57" s="56" t="str">
        <f aca="false">IF($W57="","",SUM(Q$4:Q57)-SUM(R$4:R57)-SUM(S$4:S57))</f>
        <v/>
      </c>
      <c r="U57" s="56" t="str">
        <f aca="false">IF($W57="","",INDEX(发票统计!U$4:U$1003,$W57)&amp;"")</f>
        <v/>
      </c>
      <c r="W57" s="1" t="str">
        <f aca="false">IF($V$3="","",IFERROR(MATCH($V$3&amp;"#"&amp;ROWS(W$4:W57),发票统计!$W$4:$W$1003,0),""))</f>
        <v/>
      </c>
    </row>
    <row r="58" customFormat="false" ht="16.5" hidden="false" customHeight="false" outlineLevel="0" collapsed="false">
      <c r="A58" s="3" t="str">
        <f aca="false">IF($W58="","",INDEX(发票统计!A$4:A$1003,$W58)&amp;"")</f>
        <v/>
      </c>
      <c r="B58" s="3" t="str">
        <f aca="false">IF($W58="","",INDEX(发票统计!B$4:B$1003,$W58)&amp;"")</f>
        <v/>
      </c>
      <c r="C58" s="3" t="str">
        <f aca="false">IF($W58="","",INDEX(发票统计!C$4:C$1003,$W58)&amp;"")</f>
        <v/>
      </c>
      <c r="D58" s="3" t="str">
        <f aca="false">IF($W58="","",INDEX(发票统计!D$4:D$1003,$W58)&amp;"")</f>
        <v/>
      </c>
      <c r="E58" s="67" t="str">
        <f aca="false">IF($W58="","",INDEX(发票统计!E$4:E$1003,$W58)&amp;"")</f>
        <v/>
      </c>
      <c r="F58" s="68" t="str">
        <f aca="false">IF($W58="","",INDEX(发票统计!F$4:F$1003,$W58)&amp;"")</f>
        <v/>
      </c>
      <c r="G58" s="68" t="str">
        <f aca="false">IF($W58="","",IF(INDEX(发票统计!G$4:G$1003,$W58)="","",INDEX(发票统计!G$4:G$1003,$W58)))</f>
        <v/>
      </c>
      <c r="H58" s="56" t="str">
        <f aca="false">IF($W58="","",N(INDEX(发票统计!H$4:H$1003,$W58)))</f>
        <v/>
      </c>
      <c r="I58" s="56" t="str">
        <f aca="false">IF($W58="","",N(INDEX(发票统计!I$4:I$1003,$W58)))</f>
        <v/>
      </c>
      <c r="J58" s="56" t="str">
        <f aca="false">IF($W58="","",N(INDEX(发票统计!J$4:J$1003,$W58)))</f>
        <v/>
      </c>
      <c r="K58" s="56" t="str">
        <f aca="false">IF($W58="","",N(INDEX(发票统计!K$4:K$1003,$W58)))</f>
        <v/>
      </c>
      <c r="L58" s="56" t="str">
        <f aca="false">IF($W58="","",SUM(J$4:J58)-SUM(K$4:K58))</f>
        <v/>
      </c>
      <c r="M58" s="56" t="str">
        <f aca="false">IF($W58="","",N(INDEX(发票统计!M$4:M$1003,$W58)))</f>
        <v/>
      </c>
      <c r="N58" s="56" t="str">
        <f aca="false">IF($W58="","",N(INDEX(发票统计!N$4:N$1003,$W58)))</f>
        <v/>
      </c>
      <c r="O58" s="56" t="str">
        <f aca="false">IF($W58="","",N(INDEX(发票统计!O$4:O$1003,$W58)))</f>
        <v/>
      </c>
      <c r="P58" s="56" t="str">
        <f aca="false">IF($W58="","",SUM(M$4:M58)-SUM(N$4:N58)-SUM(O$4:O58))</f>
        <v/>
      </c>
      <c r="Q58" s="56" t="str">
        <f aca="false">IF($W58="","",N(INDEX(发票统计!Q$4:Q$1003,$W58)))</f>
        <v/>
      </c>
      <c r="R58" s="56" t="str">
        <f aca="false">IF($W58="","",N(INDEX(发票统计!R$4:R$1003,$W58)))</f>
        <v/>
      </c>
      <c r="S58" s="56" t="str">
        <f aca="false">IF($W58="","",N(INDEX(发票统计!S$4:S$1003,$W58)))</f>
        <v/>
      </c>
      <c r="T58" s="56" t="str">
        <f aca="false">IF($W58="","",SUM(Q$4:Q58)-SUM(R$4:R58)-SUM(S$4:S58))</f>
        <v/>
      </c>
      <c r="U58" s="56" t="str">
        <f aca="false">IF($W58="","",INDEX(发票统计!U$4:U$1003,$W58)&amp;"")</f>
        <v/>
      </c>
      <c r="W58" s="1" t="str">
        <f aca="false">IF($V$3="","",IFERROR(MATCH($V$3&amp;"#"&amp;ROWS(W$4:W58),发票统计!$W$4:$W$1003,0),""))</f>
        <v/>
      </c>
    </row>
    <row r="59" customFormat="false" ht="16.5" hidden="false" customHeight="false" outlineLevel="0" collapsed="false">
      <c r="A59" s="3" t="str">
        <f aca="false">IF($W59="","",INDEX(发票统计!A$4:A$1003,$W59)&amp;"")</f>
        <v/>
      </c>
      <c r="B59" s="3" t="str">
        <f aca="false">IF($W59="","",INDEX(发票统计!B$4:B$1003,$W59)&amp;"")</f>
        <v/>
      </c>
      <c r="C59" s="3" t="str">
        <f aca="false">IF($W59="","",INDEX(发票统计!C$4:C$1003,$W59)&amp;"")</f>
        <v/>
      </c>
      <c r="D59" s="3" t="str">
        <f aca="false">IF($W59="","",INDEX(发票统计!D$4:D$1003,$W59)&amp;"")</f>
        <v/>
      </c>
      <c r="E59" s="67" t="str">
        <f aca="false">IF($W59="","",INDEX(发票统计!E$4:E$1003,$W59)&amp;"")</f>
        <v/>
      </c>
      <c r="F59" s="68" t="str">
        <f aca="false">IF($W59="","",INDEX(发票统计!F$4:F$1003,$W59)&amp;"")</f>
        <v/>
      </c>
      <c r="G59" s="68" t="str">
        <f aca="false">IF($W59="","",IF(INDEX(发票统计!G$4:G$1003,$W59)="","",INDEX(发票统计!G$4:G$1003,$W59)))</f>
        <v/>
      </c>
      <c r="H59" s="56" t="str">
        <f aca="false">IF($W59="","",N(INDEX(发票统计!H$4:H$1003,$W59)))</f>
        <v/>
      </c>
      <c r="I59" s="56" t="str">
        <f aca="false">IF($W59="","",N(INDEX(发票统计!I$4:I$1003,$W59)))</f>
        <v/>
      </c>
      <c r="J59" s="56" t="str">
        <f aca="false">IF($W59="","",N(INDEX(发票统计!J$4:J$1003,$W59)))</f>
        <v/>
      </c>
      <c r="K59" s="56" t="str">
        <f aca="false">IF($W59="","",N(INDEX(发票统计!K$4:K$1003,$W59)))</f>
        <v/>
      </c>
      <c r="L59" s="56" t="str">
        <f aca="false">IF($W59="","",SUM(J$4:J59)-SUM(K$4:K59))</f>
        <v/>
      </c>
      <c r="M59" s="56" t="str">
        <f aca="false">IF($W59="","",N(INDEX(发票统计!M$4:M$1003,$W59)))</f>
        <v/>
      </c>
      <c r="N59" s="56" t="str">
        <f aca="false">IF($W59="","",N(INDEX(发票统计!N$4:N$1003,$W59)))</f>
        <v/>
      </c>
      <c r="O59" s="56" t="str">
        <f aca="false">IF($W59="","",N(INDEX(发票统计!O$4:O$1003,$W59)))</f>
        <v/>
      </c>
      <c r="P59" s="56" t="str">
        <f aca="false">IF($W59="","",SUM(M$4:M59)-SUM(N$4:N59)-SUM(O$4:O59))</f>
        <v/>
      </c>
      <c r="Q59" s="56" t="str">
        <f aca="false">IF($W59="","",N(INDEX(发票统计!Q$4:Q$1003,$W59)))</f>
        <v/>
      </c>
      <c r="R59" s="56" t="str">
        <f aca="false">IF($W59="","",N(INDEX(发票统计!R$4:R$1003,$W59)))</f>
        <v/>
      </c>
      <c r="S59" s="56" t="str">
        <f aca="false">IF($W59="","",N(INDEX(发票统计!S$4:S$1003,$W59)))</f>
        <v/>
      </c>
      <c r="T59" s="56" t="str">
        <f aca="false">IF($W59="","",SUM(Q$4:Q59)-SUM(R$4:R59)-SUM(S$4:S59))</f>
        <v/>
      </c>
      <c r="U59" s="56" t="str">
        <f aca="false">IF($W59="","",INDEX(发票统计!U$4:U$1003,$W59)&amp;"")</f>
        <v/>
      </c>
      <c r="W59" s="1" t="str">
        <f aca="false">IF($V$3="","",IFERROR(MATCH($V$3&amp;"#"&amp;ROWS(W$4:W59),发票统计!$W$4:$W$1003,0),""))</f>
        <v/>
      </c>
    </row>
    <row r="60" customFormat="false" ht="16.5" hidden="false" customHeight="false" outlineLevel="0" collapsed="false">
      <c r="A60" s="3" t="str">
        <f aca="false">IF($W60="","",INDEX(发票统计!A$4:A$1003,$W60)&amp;"")</f>
        <v/>
      </c>
      <c r="B60" s="3" t="str">
        <f aca="false">IF($W60="","",INDEX(发票统计!B$4:B$1003,$W60)&amp;"")</f>
        <v/>
      </c>
      <c r="C60" s="3" t="str">
        <f aca="false">IF($W60="","",INDEX(发票统计!C$4:C$1003,$W60)&amp;"")</f>
        <v/>
      </c>
      <c r="D60" s="3" t="str">
        <f aca="false">IF($W60="","",INDEX(发票统计!D$4:D$1003,$W60)&amp;"")</f>
        <v/>
      </c>
      <c r="E60" s="67" t="str">
        <f aca="false">IF($W60="","",INDEX(发票统计!E$4:E$1003,$W60)&amp;"")</f>
        <v/>
      </c>
      <c r="F60" s="68" t="str">
        <f aca="false">IF($W60="","",INDEX(发票统计!F$4:F$1003,$W60)&amp;"")</f>
        <v/>
      </c>
      <c r="G60" s="68" t="str">
        <f aca="false">IF($W60="","",IF(INDEX(发票统计!G$4:G$1003,$W60)="","",INDEX(发票统计!G$4:G$1003,$W60)))</f>
        <v/>
      </c>
      <c r="H60" s="56" t="str">
        <f aca="false">IF($W60="","",N(INDEX(发票统计!H$4:H$1003,$W60)))</f>
        <v/>
      </c>
      <c r="I60" s="56" t="str">
        <f aca="false">IF($W60="","",N(INDEX(发票统计!I$4:I$1003,$W60)))</f>
        <v/>
      </c>
      <c r="J60" s="56" t="str">
        <f aca="false">IF($W60="","",N(INDEX(发票统计!J$4:J$1003,$W60)))</f>
        <v/>
      </c>
      <c r="K60" s="56" t="str">
        <f aca="false">IF($W60="","",N(INDEX(发票统计!K$4:K$1003,$W60)))</f>
        <v/>
      </c>
      <c r="L60" s="56" t="str">
        <f aca="false">IF($W60="","",SUM(J$4:J60)-SUM(K$4:K60))</f>
        <v/>
      </c>
      <c r="M60" s="56" t="str">
        <f aca="false">IF($W60="","",N(INDEX(发票统计!M$4:M$1003,$W60)))</f>
        <v/>
      </c>
      <c r="N60" s="56" t="str">
        <f aca="false">IF($W60="","",N(INDEX(发票统计!N$4:N$1003,$W60)))</f>
        <v/>
      </c>
      <c r="O60" s="56" t="str">
        <f aca="false">IF($W60="","",N(INDEX(发票统计!O$4:O$1003,$W60)))</f>
        <v/>
      </c>
      <c r="P60" s="56" t="str">
        <f aca="false">IF($W60="","",SUM(M$4:M60)-SUM(N$4:N60)-SUM(O$4:O60))</f>
        <v/>
      </c>
      <c r="Q60" s="56" t="str">
        <f aca="false">IF($W60="","",N(INDEX(发票统计!Q$4:Q$1003,$W60)))</f>
        <v/>
      </c>
      <c r="R60" s="56" t="str">
        <f aca="false">IF($W60="","",N(INDEX(发票统计!R$4:R$1003,$W60)))</f>
        <v/>
      </c>
      <c r="S60" s="56" t="str">
        <f aca="false">IF($W60="","",N(INDEX(发票统计!S$4:S$1003,$W60)))</f>
        <v/>
      </c>
      <c r="T60" s="56" t="str">
        <f aca="false">IF($W60="","",SUM(Q$4:Q60)-SUM(R$4:R60)-SUM(S$4:S60))</f>
        <v/>
      </c>
      <c r="U60" s="56" t="str">
        <f aca="false">IF($W60="","",INDEX(发票统计!U$4:U$1003,$W60)&amp;"")</f>
        <v/>
      </c>
      <c r="W60" s="1" t="str">
        <f aca="false">IF($V$3="","",IFERROR(MATCH($V$3&amp;"#"&amp;ROWS(W$4:W60),发票统计!$W$4:$W$1003,0),""))</f>
        <v/>
      </c>
    </row>
    <row r="61" customFormat="false" ht="16.5" hidden="false" customHeight="false" outlineLevel="0" collapsed="false">
      <c r="A61" s="3" t="str">
        <f aca="false">IF($W61="","",INDEX(发票统计!A$4:A$1003,$W61)&amp;"")</f>
        <v/>
      </c>
      <c r="B61" s="3" t="str">
        <f aca="false">IF($W61="","",INDEX(发票统计!B$4:B$1003,$W61)&amp;"")</f>
        <v/>
      </c>
      <c r="C61" s="3" t="str">
        <f aca="false">IF($W61="","",INDEX(发票统计!C$4:C$1003,$W61)&amp;"")</f>
        <v/>
      </c>
      <c r="D61" s="3" t="str">
        <f aca="false">IF($W61="","",INDEX(发票统计!D$4:D$1003,$W61)&amp;"")</f>
        <v/>
      </c>
      <c r="E61" s="67" t="str">
        <f aca="false">IF($W61="","",INDEX(发票统计!E$4:E$1003,$W61)&amp;"")</f>
        <v/>
      </c>
      <c r="F61" s="68" t="str">
        <f aca="false">IF($W61="","",INDEX(发票统计!F$4:F$1003,$W61)&amp;"")</f>
        <v/>
      </c>
      <c r="G61" s="68" t="str">
        <f aca="false">IF($W61="","",IF(INDEX(发票统计!G$4:G$1003,$W61)="","",INDEX(发票统计!G$4:G$1003,$W61)))</f>
        <v/>
      </c>
      <c r="H61" s="56" t="str">
        <f aca="false">IF($W61="","",N(INDEX(发票统计!H$4:H$1003,$W61)))</f>
        <v/>
      </c>
      <c r="I61" s="56" t="str">
        <f aca="false">IF($W61="","",N(INDEX(发票统计!I$4:I$1003,$W61)))</f>
        <v/>
      </c>
      <c r="J61" s="56" t="str">
        <f aca="false">IF($W61="","",N(INDEX(发票统计!J$4:J$1003,$W61)))</f>
        <v/>
      </c>
      <c r="K61" s="56" t="str">
        <f aca="false">IF($W61="","",N(INDEX(发票统计!K$4:K$1003,$W61)))</f>
        <v/>
      </c>
      <c r="L61" s="56" t="str">
        <f aca="false">IF($W61="","",SUM(J$4:J61)-SUM(K$4:K61))</f>
        <v/>
      </c>
      <c r="M61" s="56" t="str">
        <f aca="false">IF($W61="","",N(INDEX(发票统计!M$4:M$1003,$W61)))</f>
        <v/>
      </c>
      <c r="N61" s="56" t="str">
        <f aca="false">IF($W61="","",N(INDEX(发票统计!N$4:N$1003,$W61)))</f>
        <v/>
      </c>
      <c r="O61" s="56" t="str">
        <f aca="false">IF($W61="","",N(INDEX(发票统计!O$4:O$1003,$W61)))</f>
        <v/>
      </c>
      <c r="P61" s="56" t="str">
        <f aca="false">IF($W61="","",SUM(M$4:M61)-SUM(N$4:N61)-SUM(O$4:O61))</f>
        <v/>
      </c>
      <c r="Q61" s="56" t="str">
        <f aca="false">IF($W61="","",N(INDEX(发票统计!Q$4:Q$1003,$W61)))</f>
        <v/>
      </c>
      <c r="R61" s="56" t="str">
        <f aca="false">IF($W61="","",N(INDEX(发票统计!R$4:R$1003,$W61)))</f>
        <v/>
      </c>
      <c r="S61" s="56" t="str">
        <f aca="false">IF($W61="","",N(INDEX(发票统计!S$4:S$1003,$W61)))</f>
        <v/>
      </c>
      <c r="T61" s="56" t="str">
        <f aca="false">IF($W61="","",SUM(Q$4:Q61)-SUM(R$4:R61)-SUM(S$4:S61))</f>
        <v/>
      </c>
      <c r="U61" s="56" t="str">
        <f aca="false">IF($W61="","",INDEX(发票统计!U$4:U$1003,$W61)&amp;"")</f>
        <v/>
      </c>
      <c r="W61" s="1" t="str">
        <f aca="false">IF($V$3="","",IFERROR(MATCH($V$3&amp;"#"&amp;ROWS(W$4:W61),发票统计!$W$4:$W$1003,0),""))</f>
        <v/>
      </c>
    </row>
    <row r="62" customFormat="false" ht="16.5" hidden="false" customHeight="false" outlineLevel="0" collapsed="false">
      <c r="A62" s="3" t="str">
        <f aca="false">IF($W62="","",INDEX(发票统计!A$4:A$1003,$W62)&amp;"")</f>
        <v/>
      </c>
      <c r="B62" s="3" t="str">
        <f aca="false">IF($W62="","",INDEX(发票统计!B$4:B$1003,$W62)&amp;"")</f>
        <v/>
      </c>
      <c r="C62" s="3" t="str">
        <f aca="false">IF($W62="","",INDEX(发票统计!C$4:C$1003,$W62)&amp;"")</f>
        <v/>
      </c>
      <c r="D62" s="3" t="str">
        <f aca="false">IF($W62="","",INDEX(发票统计!D$4:D$1003,$W62)&amp;"")</f>
        <v/>
      </c>
      <c r="E62" s="67" t="str">
        <f aca="false">IF($W62="","",INDEX(发票统计!E$4:E$1003,$W62)&amp;"")</f>
        <v/>
      </c>
      <c r="F62" s="68" t="str">
        <f aca="false">IF($W62="","",INDEX(发票统计!F$4:F$1003,$W62)&amp;"")</f>
        <v/>
      </c>
      <c r="G62" s="68" t="str">
        <f aca="false">IF($W62="","",IF(INDEX(发票统计!G$4:G$1003,$W62)="","",INDEX(发票统计!G$4:G$1003,$W62)))</f>
        <v/>
      </c>
      <c r="H62" s="56" t="str">
        <f aca="false">IF($W62="","",N(INDEX(发票统计!H$4:H$1003,$W62)))</f>
        <v/>
      </c>
      <c r="I62" s="56" t="str">
        <f aca="false">IF($W62="","",N(INDEX(发票统计!I$4:I$1003,$W62)))</f>
        <v/>
      </c>
      <c r="J62" s="56" t="str">
        <f aca="false">IF($W62="","",N(INDEX(发票统计!J$4:J$1003,$W62)))</f>
        <v/>
      </c>
      <c r="K62" s="56" t="str">
        <f aca="false">IF($W62="","",N(INDEX(发票统计!K$4:K$1003,$W62)))</f>
        <v/>
      </c>
      <c r="L62" s="56" t="str">
        <f aca="false">IF($W62="","",SUM(J$4:J62)-SUM(K$4:K62))</f>
        <v/>
      </c>
      <c r="M62" s="56" t="str">
        <f aca="false">IF($W62="","",N(INDEX(发票统计!M$4:M$1003,$W62)))</f>
        <v/>
      </c>
      <c r="N62" s="56" t="str">
        <f aca="false">IF($W62="","",N(INDEX(发票统计!N$4:N$1003,$W62)))</f>
        <v/>
      </c>
      <c r="O62" s="56" t="str">
        <f aca="false">IF($W62="","",N(INDEX(发票统计!O$4:O$1003,$W62)))</f>
        <v/>
      </c>
      <c r="P62" s="56" t="str">
        <f aca="false">IF($W62="","",SUM(M$4:M62)-SUM(N$4:N62)-SUM(O$4:O62))</f>
        <v/>
      </c>
      <c r="Q62" s="56" t="str">
        <f aca="false">IF($W62="","",N(INDEX(发票统计!Q$4:Q$1003,$W62)))</f>
        <v/>
      </c>
      <c r="R62" s="56" t="str">
        <f aca="false">IF($W62="","",N(INDEX(发票统计!R$4:R$1003,$W62)))</f>
        <v/>
      </c>
      <c r="S62" s="56" t="str">
        <f aca="false">IF($W62="","",N(INDEX(发票统计!S$4:S$1003,$W62)))</f>
        <v/>
      </c>
      <c r="T62" s="56" t="str">
        <f aca="false">IF($W62="","",SUM(Q$4:Q62)-SUM(R$4:R62)-SUM(S$4:S62))</f>
        <v/>
      </c>
      <c r="U62" s="56" t="str">
        <f aca="false">IF($W62="","",INDEX(发票统计!U$4:U$1003,$W62)&amp;"")</f>
        <v/>
      </c>
      <c r="W62" s="1" t="str">
        <f aca="false">IF($V$3="","",IFERROR(MATCH($V$3&amp;"#"&amp;ROWS(W$4:W62),发票统计!$W$4:$W$1003,0),""))</f>
        <v/>
      </c>
    </row>
    <row r="63" customFormat="false" ht="16.5" hidden="false" customHeight="false" outlineLevel="0" collapsed="false">
      <c r="A63" s="3" t="str">
        <f aca="false">IF($W63="","",INDEX(发票统计!A$4:A$1003,$W63)&amp;"")</f>
        <v/>
      </c>
      <c r="B63" s="3" t="str">
        <f aca="false">IF($W63="","",INDEX(发票统计!B$4:B$1003,$W63)&amp;"")</f>
        <v/>
      </c>
      <c r="C63" s="3" t="str">
        <f aca="false">IF($W63="","",INDEX(发票统计!C$4:C$1003,$W63)&amp;"")</f>
        <v/>
      </c>
      <c r="D63" s="3" t="str">
        <f aca="false">IF($W63="","",INDEX(发票统计!D$4:D$1003,$W63)&amp;"")</f>
        <v/>
      </c>
      <c r="E63" s="67" t="str">
        <f aca="false">IF($W63="","",INDEX(发票统计!E$4:E$1003,$W63)&amp;"")</f>
        <v/>
      </c>
      <c r="F63" s="68" t="str">
        <f aca="false">IF($W63="","",INDEX(发票统计!F$4:F$1003,$W63)&amp;"")</f>
        <v/>
      </c>
      <c r="G63" s="68" t="str">
        <f aca="false">IF($W63="","",IF(INDEX(发票统计!G$4:G$1003,$W63)="","",INDEX(发票统计!G$4:G$1003,$W63)))</f>
        <v/>
      </c>
      <c r="H63" s="56" t="str">
        <f aca="false">IF($W63="","",N(INDEX(发票统计!H$4:H$1003,$W63)))</f>
        <v/>
      </c>
      <c r="I63" s="56" t="str">
        <f aca="false">IF($W63="","",N(INDEX(发票统计!I$4:I$1003,$W63)))</f>
        <v/>
      </c>
      <c r="J63" s="56" t="str">
        <f aca="false">IF($W63="","",N(INDEX(发票统计!J$4:J$1003,$W63)))</f>
        <v/>
      </c>
      <c r="K63" s="56" t="str">
        <f aca="false">IF($W63="","",N(INDEX(发票统计!K$4:K$1003,$W63)))</f>
        <v/>
      </c>
      <c r="L63" s="56" t="str">
        <f aca="false">IF($W63="","",SUM(J$4:J63)-SUM(K$4:K63))</f>
        <v/>
      </c>
      <c r="M63" s="56" t="str">
        <f aca="false">IF($W63="","",N(INDEX(发票统计!M$4:M$1003,$W63)))</f>
        <v/>
      </c>
      <c r="N63" s="56" t="str">
        <f aca="false">IF($W63="","",N(INDEX(发票统计!N$4:N$1003,$W63)))</f>
        <v/>
      </c>
      <c r="O63" s="56" t="str">
        <f aca="false">IF($W63="","",N(INDEX(发票统计!O$4:O$1003,$W63)))</f>
        <v/>
      </c>
      <c r="P63" s="56" t="str">
        <f aca="false">IF($W63="","",SUM(M$4:M63)-SUM(N$4:N63)-SUM(O$4:O63))</f>
        <v/>
      </c>
      <c r="Q63" s="56" t="str">
        <f aca="false">IF($W63="","",N(INDEX(发票统计!Q$4:Q$1003,$W63)))</f>
        <v/>
      </c>
      <c r="R63" s="56" t="str">
        <f aca="false">IF($W63="","",N(INDEX(发票统计!R$4:R$1003,$W63)))</f>
        <v/>
      </c>
      <c r="S63" s="56" t="str">
        <f aca="false">IF($W63="","",N(INDEX(发票统计!S$4:S$1003,$W63)))</f>
        <v/>
      </c>
      <c r="T63" s="56" t="str">
        <f aca="false">IF($W63="","",SUM(Q$4:Q63)-SUM(R$4:R63)-SUM(S$4:S63))</f>
        <v/>
      </c>
      <c r="U63" s="56" t="str">
        <f aca="false">IF($W63="","",INDEX(发票统计!U$4:U$1003,$W63)&amp;"")</f>
        <v/>
      </c>
      <c r="W63" s="1" t="str">
        <f aca="false">IF($V$3="","",IFERROR(MATCH($V$3&amp;"#"&amp;ROWS(W$4:W63),发票统计!$W$4:$W$1003,0),""))</f>
        <v/>
      </c>
    </row>
    <row r="64" customFormat="false" ht="16.5" hidden="false" customHeight="false" outlineLevel="0" collapsed="false">
      <c r="A64" s="3" t="str">
        <f aca="false">IF($W64="","",INDEX(发票统计!A$4:A$1003,$W64)&amp;"")</f>
        <v/>
      </c>
      <c r="B64" s="3" t="str">
        <f aca="false">IF($W64="","",INDEX(发票统计!B$4:B$1003,$W64)&amp;"")</f>
        <v/>
      </c>
      <c r="C64" s="3" t="str">
        <f aca="false">IF($W64="","",INDEX(发票统计!C$4:C$1003,$W64)&amp;"")</f>
        <v/>
      </c>
      <c r="D64" s="3" t="str">
        <f aca="false">IF($W64="","",INDEX(发票统计!D$4:D$1003,$W64)&amp;"")</f>
        <v/>
      </c>
      <c r="E64" s="67" t="str">
        <f aca="false">IF($W64="","",INDEX(发票统计!E$4:E$1003,$W64)&amp;"")</f>
        <v/>
      </c>
      <c r="F64" s="68" t="str">
        <f aca="false">IF($W64="","",INDEX(发票统计!F$4:F$1003,$W64)&amp;"")</f>
        <v/>
      </c>
      <c r="G64" s="68" t="str">
        <f aca="false">IF($W64="","",IF(INDEX(发票统计!G$4:G$1003,$W64)="","",INDEX(发票统计!G$4:G$1003,$W64)))</f>
        <v/>
      </c>
      <c r="H64" s="56" t="str">
        <f aca="false">IF($W64="","",N(INDEX(发票统计!H$4:H$1003,$W64)))</f>
        <v/>
      </c>
      <c r="I64" s="56" t="str">
        <f aca="false">IF($W64="","",N(INDEX(发票统计!I$4:I$1003,$W64)))</f>
        <v/>
      </c>
      <c r="J64" s="56" t="str">
        <f aca="false">IF($W64="","",N(INDEX(发票统计!J$4:J$1003,$W64)))</f>
        <v/>
      </c>
      <c r="K64" s="56" t="str">
        <f aca="false">IF($W64="","",N(INDEX(发票统计!K$4:K$1003,$W64)))</f>
        <v/>
      </c>
      <c r="L64" s="56" t="str">
        <f aca="false">IF($W64="","",SUM(J$4:J64)-SUM(K$4:K64))</f>
        <v/>
      </c>
      <c r="M64" s="56" t="str">
        <f aca="false">IF($W64="","",N(INDEX(发票统计!M$4:M$1003,$W64)))</f>
        <v/>
      </c>
      <c r="N64" s="56" t="str">
        <f aca="false">IF($W64="","",N(INDEX(发票统计!N$4:N$1003,$W64)))</f>
        <v/>
      </c>
      <c r="O64" s="56" t="str">
        <f aca="false">IF($W64="","",N(INDEX(发票统计!O$4:O$1003,$W64)))</f>
        <v/>
      </c>
      <c r="P64" s="56" t="str">
        <f aca="false">IF($W64="","",SUM(M$4:M64)-SUM(N$4:N64)-SUM(O$4:O64))</f>
        <v/>
      </c>
      <c r="Q64" s="56" t="str">
        <f aca="false">IF($W64="","",N(INDEX(发票统计!Q$4:Q$1003,$W64)))</f>
        <v/>
      </c>
      <c r="R64" s="56" t="str">
        <f aca="false">IF($W64="","",N(INDEX(发票统计!R$4:R$1003,$W64)))</f>
        <v/>
      </c>
      <c r="S64" s="56" t="str">
        <f aca="false">IF($W64="","",N(INDEX(发票统计!S$4:S$1003,$W64)))</f>
        <v/>
      </c>
      <c r="T64" s="56" t="str">
        <f aca="false">IF($W64="","",SUM(Q$4:Q64)-SUM(R$4:R64)-SUM(S$4:S64))</f>
        <v/>
      </c>
      <c r="U64" s="56" t="str">
        <f aca="false">IF($W64="","",INDEX(发票统计!U$4:U$1003,$W64)&amp;"")</f>
        <v/>
      </c>
      <c r="W64" s="1" t="str">
        <f aca="false">IF($V$3="","",IFERROR(MATCH($V$3&amp;"#"&amp;ROWS(W$4:W64),发票统计!$W$4:$W$1003,0),""))</f>
        <v/>
      </c>
    </row>
    <row r="65" customFormat="false" ht="16.5" hidden="false" customHeight="false" outlineLevel="0" collapsed="false">
      <c r="A65" s="3" t="str">
        <f aca="false">IF($W65="","",INDEX(发票统计!A$4:A$1003,$W65)&amp;"")</f>
        <v/>
      </c>
      <c r="B65" s="3" t="str">
        <f aca="false">IF($W65="","",INDEX(发票统计!B$4:B$1003,$W65)&amp;"")</f>
        <v/>
      </c>
      <c r="C65" s="3" t="str">
        <f aca="false">IF($W65="","",INDEX(发票统计!C$4:C$1003,$W65)&amp;"")</f>
        <v/>
      </c>
      <c r="D65" s="3" t="str">
        <f aca="false">IF($W65="","",INDEX(发票统计!D$4:D$1003,$W65)&amp;"")</f>
        <v/>
      </c>
      <c r="E65" s="67" t="str">
        <f aca="false">IF($W65="","",INDEX(发票统计!E$4:E$1003,$W65)&amp;"")</f>
        <v/>
      </c>
      <c r="F65" s="68" t="str">
        <f aca="false">IF($W65="","",INDEX(发票统计!F$4:F$1003,$W65)&amp;"")</f>
        <v/>
      </c>
      <c r="G65" s="68" t="str">
        <f aca="false">IF($W65="","",IF(INDEX(发票统计!G$4:G$1003,$W65)="","",INDEX(发票统计!G$4:G$1003,$W65)))</f>
        <v/>
      </c>
      <c r="H65" s="56" t="str">
        <f aca="false">IF($W65="","",N(INDEX(发票统计!H$4:H$1003,$W65)))</f>
        <v/>
      </c>
      <c r="I65" s="56" t="str">
        <f aca="false">IF($W65="","",N(INDEX(发票统计!I$4:I$1003,$W65)))</f>
        <v/>
      </c>
      <c r="J65" s="56" t="str">
        <f aca="false">IF($W65="","",N(INDEX(发票统计!J$4:J$1003,$W65)))</f>
        <v/>
      </c>
      <c r="K65" s="56" t="str">
        <f aca="false">IF($W65="","",N(INDEX(发票统计!K$4:K$1003,$W65)))</f>
        <v/>
      </c>
      <c r="L65" s="56" t="str">
        <f aca="false">IF($W65="","",SUM(J$4:J65)-SUM(K$4:K65))</f>
        <v/>
      </c>
      <c r="M65" s="56" t="str">
        <f aca="false">IF($W65="","",N(INDEX(发票统计!M$4:M$1003,$W65)))</f>
        <v/>
      </c>
      <c r="N65" s="56" t="str">
        <f aca="false">IF($W65="","",N(INDEX(发票统计!N$4:N$1003,$W65)))</f>
        <v/>
      </c>
      <c r="O65" s="56" t="str">
        <f aca="false">IF($W65="","",N(INDEX(发票统计!O$4:O$1003,$W65)))</f>
        <v/>
      </c>
      <c r="P65" s="56" t="str">
        <f aca="false">IF($W65="","",SUM(M$4:M65)-SUM(N$4:N65)-SUM(O$4:O65))</f>
        <v/>
      </c>
      <c r="Q65" s="56" t="str">
        <f aca="false">IF($W65="","",N(INDEX(发票统计!Q$4:Q$1003,$W65)))</f>
        <v/>
      </c>
      <c r="R65" s="56" t="str">
        <f aca="false">IF($W65="","",N(INDEX(发票统计!R$4:R$1003,$W65)))</f>
        <v/>
      </c>
      <c r="S65" s="56" t="str">
        <f aca="false">IF($W65="","",N(INDEX(发票统计!S$4:S$1003,$W65)))</f>
        <v/>
      </c>
      <c r="T65" s="56" t="str">
        <f aca="false">IF($W65="","",SUM(Q$4:Q65)-SUM(R$4:R65)-SUM(S$4:S65))</f>
        <v/>
      </c>
      <c r="U65" s="56" t="str">
        <f aca="false">IF($W65="","",INDEX(发票统计!U$4:U$1003,$W65)&amp;"")</f>
        <v/>
      </c>
      <c r="W65" s="1" t="str">
        <f aca="false">IF($V$3="","",IFERROR(MATCH($V$3&amp;"#"&amp;ROWS(W$4:W65),发票统计!$W$4:$W$1003,0),""))</f>
        <v/>
      </c>
    </row>
    <row r="66" customFormat="false" ht="16.5" hidden="false" customHeight="false" outlineLevel="0" collapsed="false">
      <c r="A66" s="3" t="str">
        <f aca="false">IF($W66="","",INDEX(发票统计!A$4:A$1003,$W66)&amp;"")</f>
        <v/>
      </c>
      <c r="B66" s="3" t="str">
        <f aca="false">IF($W66="","",INDEX(发票统计!B$4:B$1003,$W66)&amp;"")</f>
        <v/>
      </c>
      <c r="C66" s="3" t="str">
        <f aca="false">IF($W66="","",INDEX(发票统计!C$4:C$1003,$W66)&amp;"")</f>
        <v/>
      </c>
      <c r="D66" s="3" t="str">
        <f aca="false">IF($W66="","",INDEX(发票统计!D$4:D$1003,$W66)&amp;"")</f>
        <v/>
      </c>
      <c r="E66" s="67" t="str">
        <f aca="false">IF($W66="","",INDEX(发票统计!E$4:E$1003,$W66)&amp;"")</f>
        <v/>
      </c>
      <c r="F66" s="68" t="str">
        <f aca="false">IF($W66="","",INDEX(发票统计!F$4:F$1003,$W66)&amp;"")</f>
        <v/>
      </c>
      <c r="G66" s="68" t="str">
        <f aca="false">IF($W66="","",IF(INDEX(发票统计!G$4:G$1003,$W66)="","",INDEX(发票统计!G$4:G$1003,$W66)))</f>
        <v/>
      </c>
      <c r="H66" s="56" t="str">
        <f aca="false">IF($W66="","",N(INDEX(发票统计!H$4:H$1003,$W66)))</f>
        <v/>
      </c>
      <c r="I66" s="56" t="str">
        <f aca="false">IF($W66="","",N(INDEX(发票统计!I$4:I$1003,$W66)))</f>
        <v/>
      </c>
      <c r="J66" s="56" t="str">
        <f aca="false">IF($W66="","",N(INDEX(发票统计!J$4:J$1003,$W66)))</f>
        <v/>
      </c>
      <c r="K66" s="56" t="str">
        <f aca="false">IF($W66="","",N(INDEX(发票统计!K$4:K$1003,$W66)))</f>
        <v/>
      </c>
      <c r="L66" s="56" t="str">
        <f aca="false">IF($W66="","",SUM(J$4:J66)-SUM(K$4:K66))</f>
        <v/>
      </c>
      <c r="M66" s="56" t="str">
        <f aca="false">IF($W66="","",N(INDEX(发票统计!M$4:M$1003,$W66)))</f>
        <v/>
      </c>
      <c r="N66" s="56" t="str">
        <f aca="false">IF($W66="","",N(INDEX(发票统计!N$4:N$1003,$W66)))</f>
        <v/>
      </c>
      <c r="O66" s="56" t="str">
        <f aca="false">IF($W66="","",N(INDEX(发票统计!O$4:O$1003,$W66)))</f>
        <v/>
      </c>
      <c r="P66" s="56" t="str">
        <f aca="false">IF($W66="","",SUM(M$4:M66)-SUM(N$4:N66)-SUM(O$4:O66))</f>
        <v/>
      </c>
      <c r="Q66" s="56" t="str">
        <f aca="false">IF($W66="","",N(INDEX(发票统计!Q$4:Q$1003,$W66)))</f>
        <v/>
      </c>
      <c r="R66" s="56" t="str">
        <f aca="false">IF($W66="","",N(INDEX(发票统计!R$4:R$1003,$W66)))</f>
        <v/>
      </c>
      <c r="S66" s="56" t="str">
        <f aca="false">IF($W66="","",N(INDEX(发票统计!S$4:S$1003,$W66)))</f>
        <v/>
      </c>
      <c r="T66" s="56" t="str">
        <f aca="false">IF($W66="","",SUM(Q$4:Q66)-SUM(R$4:R66)-SUM(S$4:S66))</f>
        <v/>
      </c>
      <c r="U66" s="56" t="str">
        <f aca="false">IF($W66="","",INDEX(发票统计!U$4:U$1003,$W66)&amp;"")</f>
        <v/>
      </c>
      <c r="W66" s="1" t="str">
        <f aca="false">IF($V$3="","",IFERROR(MATCH($V$3&amp;"#"&amp;ROWS(W$4:W66),发票统计!$W$4:$W$1003,0),""))</f>
        <v/>
      </c>
    </row>
    <row r="67" customFormat="false" ht="16.5" hidden="false" customHeight="false" outlineLevel="0" collapsed="false">
      <c r="A67" s="3" t="str">
        <f aca="false">IF($W67="","",INDEX(发票统计!A$4:A$1003,$W67)&amp;"")</f>
        <v/>
      </c>
      <c r="B67" s="3" t="str">
        <f aca="false">IF($W67="","",INDEX(发票统计!B$4:B$1003,$W67)&amp;"")</f>
        <v/>
      </c>
      <c r="C67" s="3" t="str">
        <f aca="false">IF($W67="","",INDEX(发票统计!C$4:C$1003,$W67)&amp;"")</f>
        <v/>
      </c>
      <c r="D67" s="3" t="str">
        <f aca="false">IF($W67="","",INDEX(发票统计!D$4:D$1003,$W67)&amp;"")</f>
        <v/>
      </c>
      <c r="E67" s="67" t="str">
        <f aca="false">IF($W67="","",INDEX(发票统计!E$4:E$1003,$W67)&amp;"")</f>
        <v/>
      </c>
      <c r="F67" s="68" t="str">
        <f aca="false">IF($W67="","",INDEX(发票统计!F$4:F$1003,$W67)&amp;"")</f>
        <v/>
      </c>
      <c r="G67" s="68" t="str">
        <f aca="false">IF($W67="","",IF(INDEX(发票统计!G$4:G$1003,$W67)="","",INDEX(发票统计!G$4:G$1003,$W67)))</f>
        <v/>
      </c>
      <c r="H67" s="56" t="str">
        <f aca="false">IF($W67="","",N(INDEX(发票统计!H$4:H$1003,$W67)))</f>
        <v/>
      </c>
      <c r="I67" s="56" t="str">
        <f aca="false">IF($W67="","",N(INDEX(发票统计!I$4:I$1003,$W67)))</f>
        <v/>
      </c>
      <c r="J67" s="56" t="str">
        <f aca="false">IF($W67="","",N(INDEX(发票统计!J$4:J$1003,$W67)))</f>
        <v/>
      </c>
      <c r="K67" s="56" t="str">
        <f aca="false">IF($W67="","",N(INDEX(发票统计!K$4:K$1003,$W67)))</f>
        <v/>
      </c>
      <c r="L67" s="56" t="str">
        <f aca="false">IF($W67="","",SUM(J$4:J67)-SUM(K$4:K67))</f>
        <v/>
      </c>
      <c r="M67" s="56" t="str">
        <f aca="false">IF($W67="","",N(INDEX(发票统计!M$4:M$1003,$W67)))</f>
        <v/>
      </c>
      <c r="N67" s="56" t="str">
        <f aca="false">IF($W67="","",N(INDEX(发票统计!N$4:N$1003,$W67)))</f>
        <v/>
      </c>
      <c r="O67" s="56" t="str">
        <f aca="false">IF($W67="","",N(INDEX(发票统计!O$4:O$1003,$W67)))</f>
        <v/>
      </c>
      <c r="P67" s="56" t="str">
        <f aca="false">IF($W67="","",SUM(M$4:M67)-SUM(N$4:N67)-SUM(O$4:O67))</f>
        <v/>
      </c>
      <c r="Q67" s="56" t="str">
        <f aca="false">IF($W67="","",N(INDEX(发票统计!Q$4:Q$1003,$W67)))</f>
        <v/>
      </c>
      <c r="R67" s="56" t="str">
        <f aca="false">IF($W67="","",N(INDEX(发票统计!R$4:R$1003,$W67)))</f>
        <v/>
      </c>
      <c r="S67" s="56" t="str">
        <f aca="false">IF($W67="","",N(INDEX(发票统计!S$4:S$1003,$W67)))</f>
        <v/>
      </c>
      <c r="T67" s="56" t="str">
        <f aca="false">IF($W67="","",SUM(Q$4:Q67)-SUM(R$4:R67)-SUM(S$4:S67))</f>
        <v/>
      </c>
      <c r="U67" s="56" t="str">
        <f aca="false">IF($W67="","",INDEX(发票统计!U$4:U$1003,$W67)&amp;"")</f>
        <v/>
      </c>
      <c r="W67" s="1" t="str">
        <f aca="false">IF($V$3="","",IFERROR(MATCH($V$3&amp;"#"&amp;ROWS(W$4:W67),发票统计!$W$4:$W$1003,0),""))</f>
        <v/>
      </c>
    </row>
    <row r="68" customFormat="false" ht="16.5" hidden="false" customHeight="false" outlineLevel="0" collapsed="false">
      <c r="A68" s="3" t="str">
        <f aca="false">IF($W68="","",INDEX(发票统计!A$4:A$1003,$W68)&amp;"")</f>
        <v/>
      </c>
      <c r="B68" s="3" t="str">
        <f aca="false">IF($W68="","",INDEX(发票统计!B$4:B$1003,$W68)&amp;"")</f>
        <v/>
      </c>
      <c r="C68" s="3" t="str">
        <f aca="false">IF($W68="","",INDEX(发票统计!C$4:C$1003,$W68)&amp;"")</f>
        <v/>
      </c>
      <c r="D68" s="3" t="str">
        <f aca="false">IF($W68="","",INDEX(发票统计!D$4:D$1003,$W68)&amp;"")</f>
        <v/>
      </c>
      <c r="E68" s="67" t="str">
        <f aca="false">IF($W68="","",INDEX(发票统计!E$4:E$1003,$W68)&amp;"")</f>
        <v/>
      </c>
      <c r="F68" s="68" t="str">
        <f aca="false">IF($W68="","",INDEX(发票统计!F$4:F$1003,$W68)&amp;"")</f>
        <v/>
      </c>
      <c r="G68" s="68" t="str">
        <f aca="false">IF($W68="","",IF(INDEX(发票统计!G$4:G$1003,$W68)="","",INDEX(发票统计!G$4:G$1003,$W68)))</f>
        <v/>
      </c>
      <c r="H68" s="56" t="str">
        <f aca="false">IF($W68="","",N(INDEX(发票统计!H$4:H$1003,$W68)))</f>
        <v/>
      </c>
      <c r="I68" s="56" t="str">
        <f aca="false">IF($W68="","",N(INDEX(发票统计!I$4:I$1003,$W68)))</f>
        <v/>
      </c>
      <c r="J68" s="56" t="str">
        <f aca="false">IF($W68="","",N(INDEX(发票统计!J$4:J$1003,$W68)))</f>
        <v/>
      </c>
      <c r="K68" s="56" t="str">
        <f aca="false">IF($W68="","",N(INDEX(发票统计!K$4:K$1003,$W68)))</f>
        <v/>
      </c>
      <c r="L68" s="56" t="str">
        <f aca="false">IF($W68="","",SUM(J$4:J68)-SUM(K$4:K68))</f>
        <v/>
      </c>
      <c r="M68" s="56" t="str">
        <f aca="false">IF($W68="","",N(INDEX(发票统计!M$4:M$1003,$W68)))</f>
        <v/>
      </c>
      <c r="N68" s="56" t="str">
        <f aca="false">IF($W68="","",N(INDEX(发票统计!N$4:N$1003,$W68)))</f>
        <v/>
      </c>
      <c r="O68" s="56" t="str">
        <f aca="false">IF($W68="","",N(INDEX(发票统计!O$4:O$1003,$W68)))</f>
        <v/>
      </c>
      <c r="P68" s="56" t="str">
        <f aca="false">IF($W68="","",SUM(M$4:M68)-SUM(N$4:N68)-SUM(O$4:O68))</f>
        <v/>
      </c>
      <c r="Q68" s="56" t="str">
        <f aca="false">IF($W68="","",N(INDEX(发票统计!Q$4:Q$1003,$W68)))</f>
        <v/>
      </c>
      <c r="R68" s="56" t="str">
        <f aca="false">IF($W68="","",N(INDEX(发票统计!R$4:R$1003,$W68)))</f>
        <v/>
      </c>
      <c r="S68" s="56" t="str">
        <f aca="false">IF($W68="","",N(INDEX(发票统计!S$4:S$1003,$W68)))</f>
        <v/>
      </c>
      <c r="T68" s="56" t="str">
        <f aca="false">IF($W68="","",SUM(Q$4:Q68)-SUM(R$4:R68)-SUM(S$4:S68))</f>
        <v/>
      </c>
      <c r="U68" s="56" t="str">
        <f aca="false">IF($W68="","",INDEX(发票统计!U$4:U$1003,$W68)&amp;"")</f>
        <v/>
      </c>
      <c r="W68" s="1" t="str">
        <f aca="false">IF($V$3="","",IFERROR(MATCH($V$3&amp;"#"&amp;ROWS(W$4:W68),发票统计!$W$4:$W$1003,0),""))</f>
        <v/>
      </c>
    </row>
    <row r="69" customFormat="false" ht="16.5" hidden="false" customHeight="false" outlineLevel="0" collapsed="false">
      <c r="A69" s="3" t="str">
        <f aca="false">IF($W69="","",INDEX(发票统计!A$4:A$1003,$W69)&amp;"")</f>
        <v/>
      </c>
      <c r="B69" s="3" t="str">
        <f aca="false">IF($W69="","",INDEX(发票统计!B$4:B$1003,$W69)&amp;"")</f>
        <v/>
      </c>
      <c r="C69" s="3" t="str">
        <f aca="false">IF($W69="","",INDEX(发票统计!C$4:C$1003,$W69)&amp;"")</f>
        <v/>
      </c>
      <c r="D69" s="3" t="str">
        <f aca="false">IF($W69="","",INDEX(发票统计!D$4:D$1003,$W69)&amp;"")</f>
        <v/>
      </c>
      <c r="E69" s="67" t="str">
        <f aca="false">IF($W69="","",INDEX(发票统计!E$4:E$1003,$W69)&amp;"")</f>
        <v/>
      </c>
      <c r="F69" s="68" t="str">
        <f aca="false">IF($W69="","",INDEX(发票统计!F$4:F$1003,$W69)&amp;"")</f>
        <v/>
      </c>
      <c r="G69" s="68" t="str">
        <f aca="false">IF($W69="","",IF(INDEX(发票统计!G$4:G$1003,$W69)="","",INDEX(发票统计!G$4:G$1003,$W69)))</f>
        <v/>
      </c>
      <c r="H69" s="56" t="str">
        <f aca="false">IF($W69="","",N(INDEX(发票统计!H$4:H$1003,$W69)))</f>
        <v/>
      </c>
      <c r="I69" s="56" t="str">
        <f aca="false">IF($W69="","",N(INDEX(发票统计!I$4:I$1003,$W69)))</f>
        <v/>
      </c>
      <c r="J69" s="56" t="str">
        <f aca="false">IF($W69="","",N(INDEX(发票统计!J$4:J$1003,$W69)))</f>
        <v/>
      </c>
      <c r="K69" s="56" t="str">
        <f aca="false">IF($W69="","",N(INDEX(发票统计!K$4:K$1003,$W69)))</f>
        <v/>
      </c>
      <c r="L69" s="56" t="str">
        <f aca="false">IF($W69="","",SUM(J$4:J69)-SUM(K$4:K69))</f>
        <v/>
      </c>
      <c r="M69" s="56" t="str">
        <f aca="false">IF($W69="","",N(INDEX(发票统计!M$4:M$1003,$W69)))</f>
        <v/>
      </c>
      <c r="N69" s="56" t="str">
        <f aca="false">IF($W69="","",N(INDEX(发票统计!N$4:N$1003,$W69)))</f>
        <v/>
      </c>
      <c r="O69" s="56" t="str">
        <f aca="false">IF($W69="","",N(INDEX(发票统计!O$4:O$1003,$W69)))</f>
        <v/>
      </c>
      <c r="P69" s="56" t="str">
        <f aca="false">IF($W69="","",SUM(M$4:M69)-SUM(N$4:N69)-SUM(O$4:O69))</f>
        <v/>
      </c>
      <c r="Q69" s="56" t="str">
        <f aca="false">IF($W69="","",N(INDEX(发票统计!Q$4:Q$1003,$W69)))</f>
        <v/>
      </c>
      <c r="R69" s="56" t="str">
        <f aca="false">IF($W69="","",N(INDEX(发票统计!R$4:R$1003,$W69)))</f>
        <v/>
      </c>
      <c r="S69" s="56" t="str">
        <f aca="false">IF($W69="","",N(INDEX(发票统计!S$4:S$1003,$W69)))</f>
        <v/>
      </c>
      <c r="T69" s="56" t="str">
        <f aca="false">IF($W69="","",SUM(Q$4:Q69)-SUM(R$4:R69)-SUM(S$4:S69))</f>
        <v/>
      </c>
      <c r="U69" s="56" t="str">
        <f aca="false">IF($W69="","",INDEX(发票统计!U$4:U$1003,$W69)&amp;"")</f>
        <v/>
      </c>
      <c r="W69" s="1" t="str">
        <f aca="false">IF($V$3="","",IFERROR(MATCH($V$3&amp;"#"&amp;ROWS(W$4:W69),发票统计!$W$4:$W$1003,0),""))</f>
        <v/>
      </c>
    </row>
    <row r="70" customFormat="false" ht="16.5" hidden="false" customHeight="false" outlineLevel="0" collapsed="false">
      <c r="A70" s="3" t="str">
        <f aca="false">IF($W70="","",INDEX(发票统计!A$4:A$1003,$W70)&amp;"")</f>
        <v/>
      </c>
      <c r="B70" s="3" t="str">
        <f aca="false">IF($W70="","",INDEX(发票统计!B$4:B$1003,$W70)&amp;"")</f>
        <v/>
      </c>
      <c r="C70" s="3" t="str">
        <f aca="false">IF($W70="","",INDEX(发票统计!C$4:C$1003,$W70)&amp;"")</f>
        <v/>
      </c>
      <c r="D70" s="3" t="str">
        <f aca="false">IF($W70="","",INDEX(发票统计!D$4:D$1003,$W70)&amp;"")</f>
        <v/>
      </c>
      <c r="E70" s="67" t="str">
        <f aca="false">IF($W70="","",INDEX(发票统计!E$4:E$1003,$W70)&amp;"")</f>
        <v/>
      </c>
      <c r="F70" s="68" t="str">
        <f aca="false">IF($W70="","",INDEX(发票统计!F$4:F$1003,$W70)&amp;"")</f>
        <v/>
      </c>
      <c r="G70" s="68" t="str">
        <f aca="false">IF($W70="","",IF(INDEX(发票统计!G$4:G$1003,$W70)="","",INDEX(发票统计!G$4:G$1003,$W70)))</f>
        <v/>
      </c>
      <c r="H70" s="56" t="str">
        <f aca="false">IF($W70="","",N(INDEX(发票统计!H$4:H$1003,$W70)))</f>
        <v/>
      </c>
      <c r="I70" s="56" t="str">
        <f aca="false">IF($W70="","",N(INDEX(发票统计!I$4:I$1003,$W70)))</f>
        <v/>
      </c>
      <c r="J70" s="56" t="str">
        <f aca="false">IF($W70="","",N(INDEX(发票统计!J$4:J$1003,$W70)))</f>
        <v/>
      </c>
      <c r="K70" s="56" t="str">
        <f aca="false">IF($W70="","",N(INDEX(发票统计!K$4:K$1003,$W70)))</f>
        <v/>
      </c>
      <c r="L70" s="56" t="str">
        <f aca="false">IF($W70="","",SUM(J$4:J70)-SUM(K$4:K70))</f>
        <v/>
      </c>
      <c r="M70" s="56" t="str">
        <f aca="false">IF($W70="","",N(INDEX(发票统计!M$4:M$1003,$W70)))</f>
        <v/>
      </c>
      <c r="N70" s="56" t="str">
        <f aca="false">IF($W70="","",N(INDEX(发票统计!N$4:N$1003,$W70)))</f>
        <v/>
      </c>
      <c r="O70" s="56" t="str">
        <f aca="false">IF($W70="","",N(INDEX(发票统计!O$4:O$1003,$W70)))</f>
        <v/>
      </c>
      <c r="P70" s="56" t="str">
        <f aca="false">IF($W70="","",SUM(M$4:M70)-SUM(N$4:N70)-SUM(O$4:O70))</f>
        <v/>
      </c>
      <c r="Q70" s="56" t="str">
        <f aca="false">IF($W70="","",N(INDEX(发票统计!Q$4:Q$1003,$W70)))</f>
        <v/>
      </c>
      <c r="R70" s="56" t="str">
        <f aca="false">IF($W70="","",N(INDEX(发票统计!R$4:R$1003,$W70)))</f>
        <v/>
      </c>
      <c r="S70" s="56" t="str">
        <f aca="false">IF($W70="","",N(INDEX(发票统计!S$4:S$1003,$W70)))</f>
        <v/>
      </c>
      <c r="T70" s="56" t="str">
        <f aca="false">IF($W70="","",SUM(Q$4:Q70)-SUM(R$4:R70)-SUM(S$4:S70))</f>
        <v/>
      </c>
      <c r="U70" s="56" t="str">
        <f aca="false">IF($W70="","",INDEX(发票统计!U$4:U$1003,$W70)&amp;"")</f>
        <v/>
      </c>
      <c r="W70" s="1" t="str">
        <f aca="false">IF($V$3="","",IFERROR(MATCH($V$3&amp;"#"&amp;ROWS(W$4:W70),发票统计!$W$4:$W$1003,0),""))</f>
        <v/>
      </c>
    </row>
    <row r="71" customFormat="false" ht="16.5" hidden="false" customHeight="false" outlineLevel="0" collapsed="false">
      <c r="A71" s="3" t="str">
        <f aca="false">IF($W71="","",INDEX(发票统计!A$4:A$1003,$W71)&amp;"")</f>
        <v/>
      </c>
      <c r="B71" s="3" t="str">
        <f aca="false">IF($W71="","",INDEX(发票统计!B$4:B$1003,$W71)&amp;"")</f>
        <v/>
      </c>
      <c r="C71" s="3" t="str">
        <f aca="false">IF($W71="","",INDEX(发票统计!C$4:C$1003,$W71)&amp;"")</f>
        <v/>
      </c>
      <c r="D71" s="3" t="str">
        <f aca="false">IF($W71="","",INDEX(发票统计!D$4:D$1003,$W71)&amp;"")</f>
        <v/>
      </c>
      <c r="E71" s="67" t="str">
        <f aca="false">IF($W71="","",INDEX(发票统计!E$4:E$1003,$W71)&amp;"")</f>
        <v/>
      </c>
      <c r="F71" s="68" t="str">
        <f aca="false">IF($W71="","",INDEX(发票统计!F$4:F$1003,$W71)&amp;"")</f>
        <v/>
      </c>
      <c r="G71" s="68" t="str">
        <f aca="false">IF($W71="","",IF(INDEX(发票统计!G$4:G$1003,$W71)="","",INDEX(发票统计!G$4:G$1003,$W71)))</f>
        <v/>
      </c>
      <c r="H71" s="56" t="str">
        <f aca="false">IF($W71="","",N(INDEX(发票统计!H$4:H$1003,$W71)))</f>
        <v/>
      </c>
      <c r="I71" s="56" t="str">
        <f aca="false">IF($W71="","",N(INDEX(发票统计!I$4:I$1003,$W71)))</f>
        <v/>
      </c>
      <c r="J71" s="56" t="str">
        <f aca="false">IF($W71="","",N(INDEX(发票统计!J$4:J$1003,$W71)))</f>
        <v/>
      </c>
      <c r="K71" s="56" t="str">
        <f aca="false">IF($W71="","",N(INDEX(发票统计!K$4:K$1003,$W71)))</f>
        <v/>
      </c>
      <c r="L71" s="56" t="str">
        <f aca="false">IF($W71="","",SUM(J$4:J71)-SUM(K$4:K71))</f>
        <v/>
      </c>
      <c r="M71" s="56" t="str">
        <f aca="false">IF($W71="","",N(INDEX(发票统计!M$4:M$1003,$W71)))</f>
        <v/>
      </c>
      <c r="N71" s="56" t="str">
        <f aca="false">IF($W71="","",N(INDEX(发票统计!N$4:N$1003,$W71)))</f>
        <v/>
      </c>
      <c r="O71" s="56" t="str">
        <f aca="false">IF($W71="","",N(INDEX(发票统计!O$4:O$1003,$W71)))</f>
        <v/>
      </c>
      <c r="P71" s="56" t="str">
        <f aca="false">IF($W71="","",SUM(M$4:M71)-SUM(N$4:N71)-SUM(O$4:O71))</f>
        <v/>
      </c>
      <c r="Q71" s="56" t="str">
        <f aca="false">IF($W71="","",N(INDEX(发票统计!Q$4:Q$1003,$W71)))</f>
        <v/>
      </c>
      <c r="R71" s="56" t="str">
        <f aca="false">IF($W71="","",N(INDEX(发票统计!R$4:R$1003,$W71)))</f>
        <v/>
      </c>
      <c r="S71" s="56" t="str">
        <f aca="false">IF($W71="","",N(INDEX(发票统计!S$4:S$1003,$W71)))</f>
        <v/>
      </c>
      <c r="T71" s="56" t="str">
        <f aca="false">IF($W71="","",SUM(Q$4:Q71)-SUM(R$4:R71)-SUM(S$4:S71))</f>
        <v/>
      </c>
      <c r="U71" s="56" t="str">
        <f aca="false">IF($W71="","",INDEX(发票统计!U$4:U$1003,$W71)&amp;"")</f>
        <v/>
      </c>
      <c r="W71" s="1" t="str">
        <f aca="false">IF($V$3="","",IFERROR(MATCH($V$3&amp;"#"&amp;ROWS(W$4:W71),发票统计!$W$4:$W$1003,0),""))</f>
        <v/>
      </c>
    </row>
    <row r="72" customFormat="false" ht="16.5" hidden="false" customHeight="false" outlineLevel="0" collapsed="false">
      <c r="A72" s="3" t="str">
        <f aca="false">IF($W72="","",INDEX(发票统计!A$4:A$1003,$W72)&amp;"")</f>
        <v/>
      </c>
      <c r="B72" s="3" t="str">
        <f aca="false">IF($W72="","",INDEX(发票统计!B$4:B$1003,$W72)&amp;"")</f>
        <v/>
      </c>
      <c r="C72" s="3" t="str">
        <f aca="false">IF($W72="","",INDEX(发票统计!C$4:C$1003,$W72)&amp;"")</f>
        <v/>
      </c>
      <c r="D72" s="3" t="str">
        <f aca="false">IF($W72="","",INDEX(发票统计!D$4:D$1003,$W72)&amp;"")</f>
        <v/>
      </c>
      <c r="E72" s="67" t="str">
        <f aca="false">IF($W72="","",INDEX(发票统计!E$4:E$1003,$W72)&amp;"")</f>
        <v/>
      </c>
      <c r="F72" s="68" t="str">
        <f aca="false">IF($W72="","",INDEX(发票统计!F$4:F$1003,$W72)&amp;"")</f>
        <v/>
      </c>
      <c r="G72" s="68" t="str">
        <f aca="false">IF($W72="","",IF(INDEX(发票统计!G$4:G$1003,$W72)="","",INDEX(发票统计!G$4:G$1003,$W72)))</f>
        <v/>
      </c>
      <c r="H72" s="56" t="str">
        <f aca="false">IF($W72="","",N(INDEX(发票统计!H$4:H$1003,$W72)))</f>
        <v/>
      </c>
      <c r="I72" s="56" t="str">
        <f aca="false">IF($W72="","",N(INDEX(发票统计!I$4:I$1003,$W72)))</f>
        <v/>
      </c>
      <c r="J72" s="56" t="str">
        <f aca="false">IF($W72="","",N(INDEX(发票统计!J$4:J$1003,$W72)))</f>
        <v/>
      </c>
      <c r="K72" s="56" t="str">
        <f aca="false">IF($W72="","",N(INDEX(发票统计!K$4:K$1003,$W72)))</f>
        <v/>
      </c>
      <c r="L72" s="56" t="str">
        <f aca="false">IF($W72="","",SUM(J$4:J72)-SUM(K$4:K72))</f>
        <v/>
      </c>
      <c r="M72" s="56" t="str">
        <f aca="false">IF($W72="","",N(INDEX(发票统计!M$4:M$1003,$W72)))</f>
        <v/>
      </c>
      <c r="N72" s="56" t="str">
        <f aca="false">IF($W72="","",N(INDEX(发票统计!N$4:N$1003,$W72)))</f>
        <v/>
      </c>
      <c r="O72" s="56" t="str">
        <f aca="false">IF($W72="","",N(INDEX(发票统计!O$4:O$1003,$W72)))</f>
        <v/>
      </c>
      <c r="P72" s="56" t="str">
        <f aca="false">IF($W72="","",SUM(M$4:M72)-SUM(N$4:N72)-SUM(O$4:O72))</f>
        <v/>
      </c>
      <c r="Q72" s="56" t="str">
        <f aca="false">IF($W72="","",N(INDEX(发票统计!Q$4:Q$1003,$W72)))</f>
        <v/>
      </c>
      <c r="R72" s="56" t="str">
        <f aca="false">IF($W72="","",N(INDEX(发票统计!R$4:R$1003,$W72)))</f>
        <v/>
      </c>
      <c r="S72" s="56" t="str">
        <f aca="false">IF($W72="","",N(INDEX(发票统计!S$4:S$1003,$W72)))</f>
        <v/>
      </c>
      <c r="T72" s="56" t="str">
        <f aca="false">IF($W72="","",SUM(Q$4:Q72)-SUM(R$4:R72)-SUM(S$4:S72))</f>
        <v/>
      </c>
      <c r="U72" s="56" t="str">
        <f aca="false">IF($W72="","",INDEX(发票统计!U$4:U$1003,$W72)&amp;"")</f>
        <v/>
      </c>
      <c r="W72" s="1" t="str">
        <f aca="false">IF($V$3="","",IFERROR(MATCH($V$3&amp;"#"&amp;ROWS(W$4:W72),发票统计!$W$4:$W$1003,0),""))</f>
        <v/>
      </c>
    </row>
    <row r="73" customFormat="false" ht="16.5" hidden="false" customHeight="false" outlineLevel="0" collapsed="false">
      <c r="A73" s="3" t="str">
        <f aca="false">IF($W73="","",INDEX(发票统计!A$4:A$1003,$W73)&amp;"")</f>
        <v/>
      </c>
      <c r="B73" s="3" t="str">
        <f aca="false">IF($W73="","",INDEX(发票统计!B$4:B$1003,$W73)&amp;"")</f>
        <v/>
      </c>
      <c r="C73" s="3" t="str">
        <f aca="false">IF($W73="","",INDEX(发票统计!C$4:C$1003,$W73)&amp;"")</f>
        <v/>
      </c>
      <c r="D73" s="3" t="str">
        <f aca="false">IF($W73="","",INDEX(发票统计!D$4:D$1003,$W73)&amp;"")</f>
        <v/>
      </c>
      <c r="E73" s="67" t="str">
        <f aca="false">IF($W73="","",INDEX(发票统计!E$4:E$1003,$W73)&amp;"")</f>
        <v/>
      </c>
      <c r="F73" s="68" t="str">
        <f aca="false">IF($W73="","",INDEX(发票统计!F$4:F$1003,$W73)&amp;"")</f>
        <v/>
      </c>
      <c r="G73" s="68" t="str">
        <f aca="false">IF($W73="","",IF(INDEX(发票统计!G$4:G$1003,$W73)="","",INDEX(发票统计!G$4:G$1003,$W73)))</f>
        <v/>
      </c>
      <c r="H73" s="56" t="str">
        <f aca="false">IF($W73="","",N(INDEX(发票统计!H$4:H$1003,$W73)))</f>
        <v/>
      </c>
      <c r="I73" s="56" t="str">
        <f aca="false">IF($W73="","",N(INDEX(发票统计!I$4:I$1003,$W73)))</f>
        <v/>
      </c>
      <c r="J73" s="56" t="str">
        <f aca="false">IF($W73="","",N(INDEX(发票统计!J$4:J$1003,$W73)))</f>
        <v/>
      </c>
      <c r="K73" s="56" t="str">
        <f aca="false">IF($W73="","",N(INDEX(发票统计!K$4:K$1003,$W73)))</f>
        <v/>
      </c>
      <c r="L73" s="56" t="str">
        <f aca="false">IF($W73="","",SUM(J$4:J73)-SUM(K$4:K73))</f>
        <v/>
      </c>
      <c r="M73" s="56" t="str">
        <f aca="false">IF($W73="","",N(INDEX(发票统计!M$4:M$1003,$W73)))</f>
        <v/>
      </c>
      <c r="N73" s="56" t="str">
        <f aca="false">IF($W73="","",N(INDEX(发票统计!N$4:N$1003,$W73)))</f>
        <v/>
      </c>
      <c r="O73" s="56" t="str">
        <f aca="false">IF($W73="","",N(INDEX(发票统计!O$4:O$1003,$W73)))</f>
        <v/>
      </c>
      <c r="P73" s="56" t="str">
        <f aca="false">IF($W73="","",SUM(M$4:M73)-SUM(N$4:N73)-SUM(O$4:O73))</f>
        <v/>
      </c>
      <c r="Q73" s="56" t="str">
        <f aca="false">IF($W73="","",N(INDEX(发票统计!Q$4:Q$1003,$W73)))</f>
        <v/>
      </c>
      <c r="R73" s="56" t="str">
        <f aca="false">IF($W73="","",N(INDEX(发票统计!R$4:R$1003,$W73)))</f>
        <v/>
      </c>
      <c r="S73" s="56" t="str">
        <f aca="false">IF($W73="","",N(INDEX(发票统计!S$4:S$1003,$W73)))</f>
        <v/>
      </c>
      <c r="T73" s="56" t="str">
        <f aca="false">IF($W73="","",SUM(Q$4:Q73)-SUM(R$4:R73)-SUM(S$4:S73))</f>
        <v/>
      </c>
      <c r="U73" s="56" t="str">
        <f aca="false">IF($W73="","",INDEX(发票统计!U$4:U$1003,$W73)&amp;"")</f>
        <v/>
      </c>
      <c r="W73" s="1" t="str">
        <f aca="false">IF($V$3="","",IFERROR(MATCH($V$3&amp;"#"&amp;ROWS(W$4:W73),发票统计!$W$4:$W$1003,0),""))</f>
        <v/>
      </c>
    </row>
    <row r="74" customFormat="false" ht="16.5" hidden="false" customHeight="false" outlineLevel="0" collapsed="false">
      <c r="A74" s="3" t="str">
        <f aca="false">IF($W74="","",INDEX(发票统计!A$4:A$1003,$W74)&amp;"")</f>
        <v/>
      </c>
      <c r="B74" s="3" t="str">
        <f aca="false">IF($W74="","",INDEX(发票统计!B$4:B$1003,$W74)&amp;"")</f>
        <v/>
      </c>
      <c r="C74" s="3" t="str">
        <f aca="false">IF($W74="","",INDEX(发票统计!C$4:C$1003,$W74)&amp;"")</f>
        <v/>
      </c>
      <c r="D74" s="3" t="str">
        <f aca="false">IF($W74="","",INDEX(发票统计!D$4:D$1003,$W74)&amp;"")</f>
        <v/>
      </c>
      <c r="E74" s="67" t="str">
        <f aca="false">IF($W74="","",INDEX(发票统计!E$4:E$1003,$W74)&amp;"")</f>
        <v/>
      </c>
      <c r="F74" s="68" t="str">
        <f aca="false">IF($W74="","",INDEX(发票统计!F$4:F$1003,$W74)&amp;"")</f>
        <v/>
      </c>
      <c r="G74" s="68" t="str">
        <f aca="false">IF($W74="","",IF(INDEX(发票统计!G$4:G$1003,$W74)="","",INDEX(发票统计!G$4:G$1003,$W74)))</f>
        <v/>
      </c>
      <c r="H74" s="56" t="str">
        <f aca="false">IF($W74="","",N(INDEX(发票统计!H$4:H$1003,$W74)))</f>
        <v/>
      </c>
      <c r="I74" s="56" t="str">
        <f aca="false">IF($W74="","",N(INDEX(发票统计!I$4:I$1003,$W74)))</f>
        <v/>
      </c>
      <c r="J74" s="56" t="str">
        <f aca="false">IF($W74="","",N(INDEX(发票统计!J$4:J$1003,$W74)))</f>
        <v/>
      </c>
      <c r="K74" s="56" t="str">
        <f aca="false">IF($W74="","",N(INDEX(发票统计!K$4:K$1003,$W74)))</f>
        <v/>
      </c>
      <c r="L74" s="56" t="str">
        <f aca="false">IF($W74="","",SUM(J$4:J74)-SUM(K$4:K74))</f>
        <v/>
      </c>
      <c r="M74" s="56" t="str">
        <f aca="false">IF($W74="","",N(INDEX(发票统计!M$4:M$1003,$W74)))</f>
        <v/>
      </c>
      <c r="N74" s="56" t="str">
        <f aca="false">IF($W74="","",N(INDEX(发票统计!N$4:N$1003,$W74)))</f>
        <v/>
      </c>
      <c r="O74" s="56" t="str">
        <f aca="false">IF($W74="","",N(INDEX(发票统计!O$4:O$1003,$W74)))</f>
        <v/>
      </c>
      <c r="P74" s="56" t="str">
        <f aca="false">IF($W74="","",SUM(M$4:M74)-SUM(N$4:N74)-SUM(O$4:O74))</f>
        <v/>
      </c>
      <c r="Q74" s="56" t="str">
        <f aca="false">IF($W74="","",N(INDEX(发票统计!Q$4:Q$1003,$W74)))</f>
        <v/>
      </c>
      <c r="R74" s="56" t="str">
        <f aca="false">IF($W74="","",N(INDEX(发票统计!R$4:R$1003,$W74)))</f>
        <v/>
      </c>
      <c r="S74" s="56" t="str">
        <f aca="false">IF($W74="","",N(INDEX(发票统计!S$4:S$1003,$W74)))</f>
        <v/>
      </c>
      <c r="T74" s="56" t="str">
        <f aca="false">IF($W74="","",SUM(Q$4:Q74)-SUM(R$4:R74)-SUM(S$4:S74))</f>
        <v/>
      </c>
      <c r="U74" s="56" t="str">
        <f aca="false">IF($W74="","",INDEX(发票统计!U$4:U$1003,$W74)&amp;"")</f>
        <v/>
      </c>
      <c r="W74" s="1" t="str">
        <f aca="false">IF($V$3="","",IFERROR(MATCH($V$3&amp;"#"&amp;ROWS(W$4:W74),发票统计!$W$4:$W$1003,0),""))</f>
        <v/>
      </c>
    </row>
    <row r="75" customFormat="false" ht="16.5" hidden="false" customHeight="false" outlineLevel="0" collapsed="false">
      <c r="A75" s="3" t="str">
        <f aca="false">IF($W75="","",INDEX(发票统计!A$4:A$1003,$W75)&amp;"")</f>
        <v/>
      </c>
      <c r="B75" s="3" t="str">
        <f aca="false">IF($W75="","",INDEX(发票统计!B$4:B$1003,$W75)&amp;"")</f>
        <v/>
      </c>
      <c r="C75" s="3" t="str">
        <f aca="false">IF($W75="","",INDEX(发票统计!C$4:C$1003,$W75)&amp;"")</f>
        <v/>
      </c>
      <c r="D75" s="3" t="str">
        <f aca="false">IF($W75="","",INDEX(发票统计!D$4:D$1003,$W75)&amp;"")</f>
        <v/>
      </c>
      <c r="E75" s="67" t="str">
        <f aca="false">IF($W75="","",INDEX(发票统计!E$4:E$1003,$W75)&amp;"")</f>
        <v/>
      </c>
      <c r="F75" s="68" t="str">
        <f aca="false">IF($W75="","",INDEX(发票统计!F$4:F$1003,$W75)&amp;"")</f>
        <v/>
      </c>
      <c r="G75" s="68" t="str">
        <f aca="false">IF($W75="","",IF(INDEX(发票统计!G$4:G$1003,$W75)="","",INDEX(发票统计!G$4:G$1003,$W75)))</f>
        <v/>
      </c>
      <c r="H75" s="56" t="str">
        <f aca="false">IF($W75="","",N(INDEX(发票统计!H$4:H$1003,$W75)))</f>
        <v/>
      </c>
      <c r="I75" s="56" t="str">
        <f aca="false">IF($W75="","",N(INDEX(发票统计!I$4:I$1003,$W75)))</f>
        <v/>
      </c>
      <c r="J75" s="56" t="str">
        <f aca="false">IF($W75="","",N(INDEX(发票统计!J$4:J$1003,$W75)))</f>
        <v/>
      </c>
      <c r="K75" s="56" t="str">
        <f aca="false">IF($W75="","",N(INDEX(发票统计!K$4:K$1003,$W75)))</f>
        <v/>
      </c>
      <c r="L75" s="56" t="str">
        <f aca="false">IF($W75="","",SUM(J$4:J75)-SUM(K$4:K75))</f>
        <v/>
      </c>
      <c r="M75" s="56" t="str">
        <f aca="false">IF($W75="","",N(INDEX(发票统计!M$4:M$1003,$W75)))</f>
        <v/>
      </c>
      <c r="N75" s="56" t="str">
        <f aca="false">IF($W75="","",N(INDEX(发票统计!N$4:N$1003,$W75)))</f>
        <v/>
      </c>
      <c r="O75" s="56" t="str">
        <f aca="false">IF($W75="","",N(INDEX(发票统计!O$4:O$1003,$W75)))</f>
        <v/>
      </c>
      <c r="P75" s="56" t="str">
        <f aca="false">IF($W75="","",SUM(M$4:M75)-SUM(N$4:N75)-SUM(O$4:O75))</f>
        <v/>
      </c>
      <c r="Q75" s="56" t="str">
        <f aca="false">IF($W75="","",N(INDEX(发票统计!Q$4:Q$1003,$W75)))</f>
        <v/>
      </c>
      <c r="R75" s="56" t="str">
        <f aca="false">IF($W75="","",N(INDEX(发票统计!R$4:R$1003,$W75)))</f>
        <v/>
      </c>
      <c r="S75" s="56" t="str">
        <f aca="false">IF($W75="","",N(INDEX(发票统计!S$4:S$1003,$W75)))</f>
        <v/>
      </c>
      <c r="T75" s="56" t="str">
        <f aca="false">IF($W75="","",SUM(Q$4:Q75)-SUM(R$4:R75)-SUM(S$4:S75))</f>
        <v/>
      </c>
      <c r="U75" s="56" t="str">
        <f aca="false">IF($W75="","",INDEX(发票统计!U$4:U$1003,$W75)&amp;"")</f>
        <v/>
      </c>
      <c r="W75" s="1" t="str">
        <f aca="false">IF($V$3="","",IFERROR(MATCH($V$3&amp;"#"&amp;ROWS(W$4:W75),发票统计!$W$4:$W$1003,0),""))</f>
        <v/>
      </c>
    </row>
    <row r="76" customFormat="false" ht="16.5" hidden="false" customHeight="false" outlineLevel="0" collapsed="false">
      <c r="A76" s="3" t="str">
        <f aca="false">IF($W76="","",INDEX(发票统计!A$4:A$1003,$W76)&amp;"")</f>
        <v/>
      </c>
      <c r="B76" s="3" t="str">
        <f aca="false">IF($W76="","",INDEX(发票统计!B$4:B$1003,$W76)&amp;"")</f>
        <v/>
      </c>
      <c r="C76" s="3" t="str">
        <f aca="false">IF($W76="","",INDEX(发票统计!C$4:C$1003,$W76)&amp;"")</f>
        <v/>
      </c>
      <c r="D76" s="3" t="str">
        <f aca="false">IF($W76="","",INDEX(发票统计!D$4:D$1003,$W76)&amp;"")</f>
        <v/>
      </c>
      <c r="E76" s="67" t="str">
        <f aca="false">IF($W76="","",INDEX(发票统计!E$4:E$1003,$W76)&amp;"")</f>
        <v/>
      </c>
      <c r="F76" s="68" t="str">
        <f aca="false">IF($W76="","",INDEX(发票统计!F$4:F$1003,$W76)&amp;"")</f>
        <v/>
      </c>
      <c r="G76" s="68" t="str">
        <f aca="false">IF($W76="","",IF(INDEX(发票统计!G$4:G$1003,$W76)="","",INDEX(发票统计!G$4:G$1003,$W76)))</f>
        <v/>
      </c>
      <c r="H76" s="56" t="str">
        <f aca="false">IF($W76="","",N(INDEX(发票统计!H$4:H$1003,$W76)))</f>
        <v/>
      </c>
      <c r="I76" s="56" t="str">
        <f aca="false">IF($W76="","",N(INDEX(发票统计!I$4:I$1003,$W76)))</f>
        <v/>
      </c>
      <c r="J76" s="56" t="str">
        <f aca="false">IF($W76="","",N(INDEX(发票统计!J$4:J$1003,$W76)))</f>
        <v/>
      </c>
      <c r="K76" s="56" t="str">
        <f aca="false">IF($W76="","",N(INDEX(发票统计!K$4:K$1003,$W76)))</f>
        <v/>
      </c>
      <c r="L76" s="56" t="str">
        <f aca="false">IF($W76="","",SUM(J$4:J76)-SUM(K$4:K76))</f>
        <v/>
      </c>
      <c r="M76" s="56" t="str">
        <f aca="false">IF($W76="","",N(INDEX(发票统计!M$4:M$1003,$W76)))</f>
        <v/>
      </c>
      <c r="N76" s="56" t="str">
        <f aca="false">IF($W76="","",N(INDEX(发票统计!N$4:N$1003,$W76)))</f>
        <v/>
      </c>
      <c r="O76" s="56" t="str">
        <f aca="false">IF($W76="","",N(INDEX(发票统计!O$4:O$1003,$W76)))</f>
        <v/>
      </c>
      <c r="P76" s="56" t="str">
        <f aca="false">IF($W76="","",SUM(M$4:M76)-SUM(N$4:N76)-SUM(O$4:O76))</f>
        <v/>
      </c>
      <c r="Q76" s="56" t="str">
        <f aca="false">IF($W76="","",N(INDEX(发票统计!Q$4:Q$1003,$W76)))</f>
        <v/>
      </c>
      <c r="R76" s="56" t="str">
        <f aca="false">IF($W76="","",N(INDEX(发票统计!R$4:R$1003,$W76)))</f>
        <v/>
      </c>
      <c r="S76" s="56" t="str">
        <f aca="false">IF($W76="","",N(INDEX(发票统计!S$4:S$1003,$W76)))</f>
        <v/>
      </c>
      <c r="T76" s="56" t="str">
        <f aca="false">IF($W76="","",SUM(Q$4:Q76)-SUM(R$4:R76)-SUM(S$4:S76))</f>
        <v/>
      </c>
      <c r="U76" s="56" t="str">
        <f aca="false">IF($W76="","",INDEX(发票统计!U$4:U$1003,$W76)&amp;"")</f>
        <v/>
      </c>
      <c r="W76" s="1" t="str">
        <f aca="false">IF($V$3="","",IFERROR(MATCH($V$3&amp;"#"&amp;ROWS(W$4:W76),发票统计!$W$4:$W$1003,0),""))</f>
        <v/>
      </c>
    </row>
    <row r="77" customFormat="false" ht="16.5" hidden="false" customHeight="false" outlineLevel="0" collapsed="false">
      <c r="A77" s="3" t="str">
        <f aca="false">IF($W77="","",INDEX(发票统计!A$4:A$1003,$W77)&amp;"")</f>
        <v/>
      </c>
      <c r="B77" s="3" t="str">
        <f aca="false">IF($W77="","",INDEX(发票统计!B$4:B$1003,$W77)&amp;"")</f>
        <v/>
      </c>
      <c r="C77" s="3" t="str">
        <f aca="false">IF($W77="","",INDEX(发票统计!C$4:C$1003,$W77)&amp;"")</f>
        <v/>
      </c>
      <c r="D77" s="3" t="str">
        <f aca="false">IF($W77="","",INDEX(发票统计!D$4:D$1003,$W77)&amp;"")</f>
        <v/>
      </c>
      <c r="E77" s="67" t="str">
        <f aca="false">IF($W77="","",INDEX(发票统计!E$4:E$1003,$W77)&amp;"")</f>
        <v/>
      </c>
      <c r="F77" s="68" t="str">
        <f aca="false">IF($W77="","",INDEX(发票统计!F$4:F$1003,$W77)&amp;"")</f>
        <v/>
      </c>
      <c r="G77" s="68" t="str">
        <f aca="false">IF($W77="","",IF(INDEX(发票统计!G$4:G$1003,$W77)="","",INDEX(发票统计!G$4:G$1003,$W77)))</f>
        <v/>
      </c>
      <c r="H77" s="56" t="str">
        <f aca="false">IF($W77="","",N(INDEX(发票统计!H$4:H$1003,$W77)))</f>
        <v/>
      </c>
      <c r="I77" s="56" t="str">
        <f aca="false">IF($W77="","",N(INDEX(发票统计!I$4:I$1003,$W77)))</f>
        <v/>
      </c>
      <c r="J77" s="56" t="str">
        <f aca="false">IF($W77="","",N(INDEX(发票统计!J$4:J$1003,$W77)))</f>
        <v/>
      </c>
      <c r="K77" s="56" t="str">
        <f aca="false">IF($W77="","",N(INDEX(发票统计!K$4:K$1003,$W77)))</f>
        <v/>
      </c>
      <c r="L77" s="56" t="str">
        <f aca="false">IF($W77="","",SUM(J$4:J77)-SUM(K$4:K77))</f>
        <v/>
      </c>
      <c r="M77" s="56" t="str">
        <f aca="false">IF($W77="","",N(INDEX(发票统计!M$4:M$1003,$W77)))</f>
        <v/>
      </c>
      <c r="N77" s="56" t="str">
        <f aca="false">IF($W77="","",N(INDEX(发票统计!N$4:N$1003,$W77)))</f>
        <v/>
      </c>
      <c r="O77" s="56" t="str">
        <f aca="false">IF($W77="","",N(INDEX(发票统计!O$4:O$1003,$W77)))</f>
        <v/>
      </c>
      <c r="P77" s="56" t="str">
        <f aca="false">IF($W77="","",SUM(M$4:M77)-SUM(N$4:N77)-SUM(O$4:O77))</f>
        <v/>
      </c>
      <c r="Q77" s="56" t="str">
        <f aca="false">IF($W77="","",N(INDEX(发票统计!Q$4:Q$1003,$W77)))</f>
        <v/>
      </c>
      <c r="R77" s="56" t="str">
        <f aca="false">IF($W77="","",N(INDEX(发票统计!R$4:R$1003,$W77)))</f>
        <v/>
      </c>
      <c r="S77" s="56" t="str">
        <f aca="false">IF($W77="","",N(INDEX(发票统计!S$4:S$1003,$W77)))</f>
        <v/>
      </c>
      <c r="T77" s="56" t="str">
        <f aca="false">IF($W77="","",SUM(Q$4:Q77)-SUM(R$4:R77)-SUM(S$4:S77))</f>
        <v/>
      </c>
      <c r="U77" s="56" t="str">
        <f aca="false">IF($W77="","",INDEX(发票统计!U$4:U$1003,$W77)&amp;"")</f>
        <v/>
      </c>
      <c r="W77" s="1" t="str">
        <f aca="false">IF($V$3="","",IFERROR(MATCH($V$3&amp;"#"&amp;ROWS(W$4:W77),发票统计!$W$4:$W$1003,0),""))</f>
        <v/>
      </c>
    </row>
    <row r="78" customFormat="false" ht="16.5" hidden="false" customHeight="false" outlineLevel="0" collapsed="false">
      <c r="A78" s="3" t="str">
        <f aca="false">IF($W78="","",INDEX(发票统计!A$4:A$1003,$W78)&amp;"")</f>
        <v/>
      </c>
      <c r="B78" s="3" t="str">
        <f aca="false">IF($W78="","",INDEX(发票统计!B$4:B$1003,$W78)&amp;"")</f>
        <v/>
      </c>
      <c r="C78" s="3" t="str">
        <f aca="false">IF($W78="","",INDEX(发票统计!C$4:C$1003,$W78)&amp;"")</f>
        <v/>
      </c>
      <c r="D78" s="3" t="str">
        <f aca="false">IF($W78="","",INDEX(发票统计!D$4:D$1003,$W78)&amp;"")</f>
        <v/>
      </c>
      <c r="E78" s="67" t="str">
        <f aca="false">IF($W78="","",INDEX(发票统计!E$4:E$1003,$W78)&amp;"")</f>
        <v/>
      </c>
      <c r="F78" s="68" t="str">
        <f aca="false">IF($W78="","",INDEX(发票统计!F$4:F$1003,$W78)&amp;"")</f>
        <v/>
      </c>
      <c r="G78" s="68" t="str">
        <f aca="false">IF($W78="","",IF(INDEX(发票统计!G$4:G$1003,$W78)="","",INDEX(发票统计!G$4:G$1003,$W78)))</f>
        <v/>
      </c>
      <c r="H78" s="56" t="str">
        <f aca="false">IF($W78="","",N(INDEX(发票统计!H$4:H$1003,$W78)))</f>
        <v/>
      </c>
      <c r="I78" s="56" t="str">
        <f aca="false">IF($W78="","",N(INDEX(发票统计!I$4:I$1003,$W78)))</f>
        <v/>
      </c>
      <c r="J78" s="56" t="str">
        <f aca="false">IF($W78="","",N(INDEX(发票统计!J$4:J$1003,$W78)))</f>
        <v/>
      </c>
      <c r="K78" s="56" t="str">
        <f aca="false">IF($W78="","",N(INDEX(发票统计!K$4:K$1003,$W78)))</f>
        <v/>
      </c>
      <c r="L78" s="56" t="str">
        <f aca="false">IF($W78="","",SUM(J$4:J78)-SUM(K$4:K78))</f>
        <v/>
      </c>
      <c r="M78" s="56" t="str">
        <f aca="false">IF($W78="","",N(INDEX(发票统计!M$4:M$1003,$W78)))</f>
        <v/>
      </c>
      <c r="N78" s="56" t="str">
        <f aca="false">IF($W78="","",N(INDEX(发票统计!N$4:N$1003,$W78)))</f>
        <v/>
      </c>
      <c r="O78" s="56" t="str">
        <f aca="false">IF($W78="","",N(INDEX(发票统计!O$4:O$1003,$W78)))</f>
        <v/>
      </c>
      <c r="P78" s="56" t="str">
        <f aca="false">IF($W78="","",SUM(M$4:M78)-SUM(N$4:N78)-SUM(O$4:O78))</f>
        <v/>
      </c>
      <c r="Q78" s="56" t="str">
        <f aca="false">IF($W78="","",N(INDEX(发票统计!Q$4:Q$1003,$W78)))</f>
        <v/>
      </c>
      <c r="R78" s="56" t="str">
        <f aca="false">IF($W78="","",N(INDEX(发票统计!R$4:R$1003,$W78)))</f>
        <v/>
      </c>
      <c r="S78" s="56" t="str">
        <f aca="false">IF($W78="","",N(INDEX(发票统计!S$4:S$1003,$W78)))</f>
        <v/>
      </c>
      <c r="T78" s="56" t="str">
        <f aca="false">IF($W78="","",SUM(Q$4:Q78)-SUM(R$4:R78)-SUM(S$4:S78))</f>
        <v/>
      </c>
      <c r="U78" s="56" t="str">
        <f aca="false">IF($W78="","",INDEX(发票统计!U$4:U$1003,$W78)&amp;"")</f>
        <v/>
      </c>
      <c r="W78" s="1" t="str">
        <f aca="false">IF($V$3="","",IFERROR(MATCH($V$3&amp;"#"&amp;ROWS(W$4:W78),发票统计!$W$4:$W$1003,0),""))</f>
        <v/>
      </c>
    </row>
    <row r="79" customFormat="false" ht="16.5" hidden="false" customHeight="false" outlineLevel="0" collapsed="false">
      <c r="A79" s="3" t="str">
        <f aca="false">IF($W79="","",INDEX(发票统计!A$4:A$1003,$W79)&amp;"")</f>
        <v/>
      </c>
      <c r="B79" s="3" t="str">
        <f aca="false">IF($W79="","",INDEX(发票统计!B$4:B$1003,$W79)&amp;"")</f>
        <v/>
      </c>
      <c r="C79" s="3" t="str">
        <f aca="false">IF($W79="","",INDEX(发票统计!C$4:C$1003,$W79)&amp;"")</f>
        <v/>
      </c>
      <c r="D79" s="3" t="str">
        <f aca="false">IF($W79="","",INDEX(发票统计!D$4:D$1003,$W79)&amp;"")</f>
        <v/>
      </c>
      <c r="E79" s="67" t="str">
        <f aca="false">IF($W79="","",INDEX(发票统计!E$4:E$1003,$W79)&amp;"")</f>
        <v/>
      </c>
      <c r="F79" s="68" t="str">
        <f aca="false">IF($W79="","",INDEX(发票统计!F$4:F$1003,$W79)&amp;"")</f>
        <v/>
      </c>
      <c r="G79" s="68" t="str">
        <f aca="false">IF($W79="","",IF(INDEX(发票统计!G$4:G$1003,$W79)="","",INDEX(发票统计!G$4:G$1003,$W79)))</f>
        <v/>
      </c>
      <c r="H79" s="56" t="str">
        <f aca="false">IF($W79="","",N(INDEX(发票统计!H$4:H$1003,$W79)))</f>
        <v/>
      </c>
      <c r="I79" s="56" t="str">
        <f aca="false">IF($W79="","",N(INDEX(发票统计!I$4:I$1003,$W79)))</f>
        <v/>
      </c>
      <c r="J79" s="56" t="str">
        <f aca="false">IF($W79="","",N(INDEX(发票统计!J$4:J$1003,$W79)))</f>
        <v/>
      </c>
      <c r="K79" s="56" t="str">
        <f aca="false">IF($W79="","",N(INDEX(发票统计!K$4:K$1003,$W79)))</f>
        <v/>
      </c>
      <c r="L79" s="56" t="str">
        <f aca="false">IF($W79="","",SUM(J$4:J79)-SUM(K$4:K79))</f>
        <v/>
      </c>
      <c r="M79" s="56" t="str">
        <f aca="false">IF($W79="","",N(INDEX(发票统计!M$4:M$1003,$W79)))</f>
        <v/>
      </c>
      <c r="N79" s="56" t="str">
        <f aca="false">IF($W79="","",N(INDEX(发票统计!N$4:N$1003,$W79)))</f>
        <v/>
      </c>
      <c r="O79" s="56" t="str">
        <f aca="false">IF($W79="","",N(INDEX(发票统计!O$4:O$1003,$W79)))</f>
        <v/>
      </c>
      <c r="P79" s="56" t="str">
        <f aca="false">IF($W79="","",SUM(M$4:M79)-SUM(N$4:N79)-SUM(O$4:O79))</f>
        <v/>
      </c>
      <c r="Q79" s="56" t="str">
        <f aca="false">IF($W79="","",N(INDEX(发票统计!Q$4:Q$1003,$W79)))</f>
        <v/>
      </c>
      <c r="R79" s="56" t="str">
        <f aca="false">IF($W79="","",N(INDEX(发票统计!R$4:R$1003,$W79)))</f>
        <v/>
      </c>
      <c r="S79" s="56" t="str">
        <f aca="false">IF($W79="","",N(INDEX(发票统计!S$4:S$1003,$W79)))</f>
        <v/>
      </c>
      <c r="T79" s="56" t="str">
        <f aca="false">IF($W79="","",SUM(Q$4:Q79)-SUM(R$4:R79)-SUM(S$4:S79))</f>
        <v/>
      </c>
      <c r="U79" s="56" t="str">
        <f aca="false">IF($W79="","",INDEX(发票统计!U$4:U$1003,$W79)&amp;"")</f>
        <v/>
      </c>
      <c r="W79" s="1" t="str">
        <f aca="false">IF($V$3="","",IFERROR(MATCH($V$3&amp;"#"&amp;ROWS(W$4:W79),发票统计!$W$4:$W$1003,0),""))</f>
        <v/>
      </c>
    </row>
    <row r="80" customFormat="false" ht="16.5" hidden="false" customHeight="false" outlineLevel="0" collapsed="false">
      <c r="A80" s="3" t="str">
        <f aca="false">IF($W80="","",INDEX(发票统计!A$4:A$1003,$W80)&amp;"")</f>
        <v/>
      </c>
      <c r="B80" s="3" t="str">
        <f aca="false">IF($W80="","",INDEX(发票统计!B$4:B$1003,$W80)&amp;"")</f>
        <v/>
      </c>
      <c r="C80" s="3" t="str">
        <f aca="false">IF($W80="","",INDEX(发票统计!C$4:C$1003,$W80)&amp;"")</f>
        <v/>
      </c>
      <c r="D80" s="3" t="str">
        <f aca="false">IF($W80="","",INDEX(发票统计!D$4:D$1003,$W80)&amp;"")</f>
        <v/>
      </c>
      <c r="E80" s="67" t="str">
        <f aca="false">IF($W80="","",INDEX(发票统计!E$4:E$1003,$W80)&amp;"")</f>
        <v/>
      </c>
      <c r="F80" s="68" t="str">
        <f aca="false">IF($W80="","",INDEX(发票统计!F$4:F$1003,$W80)&amp;"")</f>
        <v/>
      </c>
      <c r="G80" s="68" t="str">
        <f aca="false">IF($W80="","",IF(INDEX(发票统计!G$4:G$1003,$W80)="","",INDEX(发票统计!G$4:G$1003,$W80)))</f>
        <v/>
      </c>
      <c r="H80" s="56" t="str">
        <f aca="false">IF($W80="","",N(INDEX(发票统计!H$4:H$1003,$W80)))</f>
        <v/>
      </c>
      <c r="I80" s="56" t="str">
        <f aca="false">IF($W80="","",N(INDEX(发票统计!I$4:I$1003,$W80)))</f>
        <v/>
      </c>
      <c r="J80" s="56" t="str">
        <f aca="false">IF($W80="","",N(INDEX(发票统计!J$4:J$1003,$W80)))</f>
        <v/>
      </c>
      <c r="K80" s="56" t="str">
        <f aca="false">IF($W80="","",N(INDEX(发票统计!K$4:K$1003,$W80)))</f>
        <v/>
      </c>
      <c r="L80" s="56" t="str">
        <f aca="false">IF($W80="","",SUM(J$4:J80)-SUM(K$4:K80))</f>
        <v/>
      </c>
      <c r="M80" s="56" t="str">
        <f aca="false">IF($W80="","",N(INDEX(发票统计!M$4:M$1003,$W80)))</f>
        <v/>
      </c>
      <c r="N80" s="56" t="str">
        <f aca="false">IF($W80="","",N(INDEX(发票统计!N$4:N$1003,$W80)))</f>
        <v/>
      </c>
      <c r="O80" s="56" t="str">
        <f aca="false">IF($W80="","",N(INDEX(发票统计!O$4:O$1003,$W80)))</f>
        <v/>
      </c>
      <c r="P80" s="56" t="str">
        <f aca="false">IF($W80="","",SUM(M$4:M80)-SUM(N$4:N80)-SUM(O$4:O80))</f>
        <v/>
      </c>
      <c r="Q80" s="56" t="str">
        <f aca="false">IF($W80="","",N(INDEX(发票统计!Q$4:Q$1003,$W80)))</f>
        <v/>
      </c>
      <c r="R80" s="56" t="str">
        <f aca="false">IF($W80="","",N(INDEX(发票统计!R$4:R$1003,$W80)))</f>
        <v/>
      </c>
      <c r="S80" s="56" t="str">
        <f aca="false">IF($W80="","",N(INDEX(发票统计!S$4:S$1003,$W80)))</f>
        <v/>
      </c>
      <c r="T80" s="56" t="str">
        <f aca="false">IF($W80="","",SUM(Q$4:Q80)-SUM(R$4:R80)-SUM(S$4:S80))</f>
        <v/>
      </c>
      <c r="U80" s="56" t="str">
        <f aca="false">IF($W80="","",INDEX(发票统计!U$4:U$1003,$W80)&amp;"")</f>
        <v/>
      </c>
      <c r="W80" s="1" t="str">
        <f aca="false">IF($V$3="","",IFERROR(MATCH($V$3&amp;"#"&amp;ROWS(W$4:W80),发票统计!$W$4:$W$1003,0),""))</f>
        <v/>
      </c>
    </row>
    <row r="81" customFormat="false" ht="16.5" hidden="false" customHeight="false" outlineLevel="0" collapsed="false">
      <c r="A81" s="3" t="str">
        <f aca="false">IF($W81="","",INDEX(发票统计!A$4:A$1003,$W81)&amp;"")</f>
        <v/>
      </c>
      <c r="B81" s="3" t="str">
        <f aca="false">IF($W81="","",INDEX(发票统计!B$4:B$1003,$W81)&amp;"")</f>
        <v/>
      </c>
      <c r="C81" s="3" t="str">
        <f aca="false">IF($W81="","",INDEX(发票统计!C$4:C$1003,$W81)&amp;"")</f>
        <v/>
      </c>
      <c r="D81" s="3" t="str">
        <f aca="false">IF($W81="","",INDEX(发票统计!D$4:D$1003,$W81)&amp;"")</f>
        <v/>
      </c>
      <c r="E81" s="67" t="str">
        <f aca="false">IF($W81="","",INDEX(发票统计!E$4:E$1003,$W81)&amp;"")</f>
        <v/>
      </c>
      <c r="F81" s="68" t="str">
        <f aca="false">IF($W81="","",INDEX(发票统计!F$4:F$1003,$W81)&amp;"")</f>
        <v/>
      </c>
      <c r="G81" s="68" t="str">
        <f aca="false">IF($W81="","",IF(INDEX(发票统计!G$4:G$1003,$W81)="","",INDEX(发票统计!G$4:G$1003,$W81)))</f>
        <v/>
      </c>
      <c r="H81" s="56" t="str">
        <f aca="false">IF($W81="","",N(INDEX(发票统计!H$4:H$1003,$W81)))</f>
        <v/>
      </c>
      <c r="I81" s="56" t="str">
        <f aca="false">IF($W81="","",N(INDEX(发票统计!I$4:I$1003,$W81)))</f>
        <v/>
      </c>
      <c r="J81" s="56" t="str">
        <f aca="false">IF($W81="","",N(INDEX(发票统计!J$4:J$1003,$W81)))</f>
        <v/>
      </c>
      <c r="K81" s="56" t="str">
        <f aca="false">IF($W81="","",N(INDEX(发票统计!K$4:K$1003,$W81)))</f>
        <v/>
      </c>
      <c r="L81" s="56" t="str">
        <f aca="false">IF($W81="","",SUM(J$4:J81)-SUM(K$4:K81))</f>
        <v/>
      </c>
      <c r="M81" s="56" t="str">
        <f aca="false">IF($W81="","",N(INDEX(发票统计!M$4:M$1003,$W81)))</f>
        <v/>
      </c>
      <c r="N81" s="56" t="str">
        <f aca="false">IF($W81="","",N(INDEX(发票统计!N$4:N$1003,$W81)))</f>
        <v/>
      </c>
      <c r="O81" s="56" t="str">
        <f aca="false">IF($W81="","",N(INDEX(发票统计!O$4:O$1003,$W81)))</f>
        <v/>
      </c>
      <c r="P81" s="56" t="str">
        <f aca="false">IF($W81="","",SUM(M$4:M81)-SUM(N$4:N81)-SUM(O$4:O81))</f>
        <v/>
      </c>
      <c r="Q81" s="56" t="str">
        <f aca="false">IF($W81="","",N(INDEX(发票统计!Q$4:Q$1003,$W81)))</f>
        <v/>
      </c>
      <c r="R81" s="56" t="str">
        <f aca="false">IF($W81="","",N(INDEX(发票统计!R$4:R$1003,$W81)))</f>
        <v/>
      </c>
      <c r="S81" s="56" t="str">
        <f aca="false">IF($W81="","",N(INDEX(发票统计!S$4:S$1003,$W81)))</f>
        <v/>
      </c>
      <c r="T81" s="56" t="str">
        <f aca="false">IF($W81="","",SUM(Q$4:Q81)-SUM(R$4:R81)-SUM(S$4:S81))</f>
        <v/>
      </c>
      <c r="U81" s="56" t="str">
        <f aca="false">IF($W81="","",INDEX(发票统计!U$4:U$1003,$W81)&amp;"")</f>
        <v/>
      </c>
      <c r="W81" s="1" t="str">
        <f aca="false">IF($V$3="","",IFERROR(MATCH($V$3&amp;"#"&amp;ROWS(W$4:W81),发票统计!$W$4:$W$1003,0),""))</f>
        <v/>
      </c>
    </row>
    <row r="82" customFormat="false" ht="16.5" hidden="false" customHeight="false" outlineLevel="0" collapsed="false">
      <c r="A82" s="3" t="str">
        <f aca="false">IF($W82="","",INDEX(发票统计!A$4:A$1003,$W82)&amp;"")</f>
        <v/>
      </c>
      <c r="B82" s="3" t="str">
        <f aca="false">IF($W82="","",INDEX(发票统计!B$4:B$1003,$W82)&amp;"")</f>
        <v/>
      </c>
      <c r="C82" s="3" t="str">
        <f aca="false">IF($W82="","",INDEX(发票统计!C$4:C$1003,$W82)&amp;"")</f>
        <v/>
      </c>
      <c r="D82" s="3" t="str">
        <f aca="false">IF($W82="","",INDEX(发票统计!D$4:D$1003,$W82)&amp;"")</f>
        <v/>
      </c>
      <c r="E82" s="67" t="str">
        <f aca="false">IF($W82="","",INDEX(发票统计!E$4:E$1003,$W82)&amp;"")</f>
        <v/>
      </c>
      <c r="F82" s="68" t="str">
        <f aca="false">IF($W82="","",INDEX(发票统计!F$4:F$1003,$W82)&amp;"")</f>
        <v/>
      </c>
      <c r="G82" s="68" t="str">
        <f aca="false">IF($W82="","",IF(INDEX(发票统计!G$4:G$1003,$W82)="","",INDEX(发票统计!G$4:G$1003,$W82)))</f>
        <v/>
      </c>
      <c r="H82" s="56" t="str">
        <f aca="false">IF($W82="","",N(INDEX(发票统计!H$4:H$1003,$W82)))</f>
        <v/>
      </c>
      <c r="I82" s="56" t="str">
        <f aca="false">IF($W82="","",N(INDEX(发票统计!I$4:I$1003,$W82)))</f>
        <v/>
      </c>
      <c r="J82" s="56" t="str">
        <f aca="false">IF($W82="","",N(INDEX(发票统计!J$4:J$1003,$W82)))</f>
        <v/>
      </c>
      <c r="K82" s="56" t="str">
        <f aca="false">IF($W82="","",N(INDEX(发票统计!K$4:K$1003,$W82)))</f>
        <v/>
      </c>
      <c r="L82" s="56" t="str">
        <f aca="false">IF($W82="","",SUM(J$4:J82)-SUM(K$4:K82))</f>
        <v/>
      </c>
      <c r="M82" s="56" t="str">
        <f aca="false">IF($W82="","",N(INDEX(发票统计!M$4:M$1003,$W82)))</f>
        <v/>
      </c>
      <c r="N82" s="56" t="str">
        <f aca="false">IF($W82="","",N(INDEX(发票统计!N$4:N$1003,$W82)))</f>
        <v/>
      </c>
      <c r="O82" s="56" t="str">
        <f aca="false">IF($W82="","",N(INDEX(发票统计!O$4:O$1003,$W82)))</f>
        <v/>
      </c>
      <c r="P82" s="56" t="str">
        <f aca="false">IF($W82="","",SUM(M$4:M82)-SUM(N$4:N82)-SUM(O$4:O82))</f>
        <v/>
      </c>
      <c r="Q82" s="56" t="str">
        <f aca="false">IF($W82="","",N(INDEX(发票统计!Q$4:Q$1003,$W82)))</f>
        <v/>
      </c>
      <c r="R82" s="56" t="str">
        <f aca="false">IF($W82="","",N(INDEX(发票统计!R$4:R$1003,$W82)))</f>
        <v/>
      </c>
      <c r="S82" s="56" t="str">
        <f aca="false">IF($W82="","",N(INDEX(发票统计!S$4:S$1003,$W82)))</f>
        <v/>
      </c>
      <c r="T82" s="56" t="str">
        <f aca="false">IF($W82="","",SUM(Q$4:Q82)-SUM(R$4:R82)-SUM(S$4:S82))</f>
        <v/>
      </c>
      <c r="U82" s="56" t="str">
        <f aca="false">IF($W82="","",INDEX(发票统计!U$4:U$1003,$W82)&amp;"")</f>
        <v/>
      </c>
      <c r="W82" s="1" t="str">
        <f aca="false">IF($V$3="","",IFERROR(MATCH($V$3&amp;"#"&amp;ROWS(W$4:W82),发票统计!$W$4:$W$1003,0),""))</f>
        <v/>
      </c>
    </row>
    <row r="83" customFormat="false" ht="16.5" hidden="false" customHeight="false" outlineLevel="0" collapsed="false">
      <c r="A83" s="3" t="str">
        <f aca="false">IF($W83="","",INDEX(发票统计!A$4:A$1003,$W83)&amp;"")</f>
        <v/>
      </c>
      <c r="B83" s="3" t="str">
        <f aca="false">IF($W83="","",INDEX(发票统计!B$4:B$1003,$W83)&amp;"")</f>
        <v/>
      </c>
      <c r="C83" s="3" t="str">
        <f aca="false">IF($W83="","",INDEX(发票统计!C$4:C$1003,$W83)&amp;"")</f>
        <v/>
      </c>
      <c r="D83" s="3" t="str">
        <f aca="false">IF($W83="","",INDEX(发票统计!D$4:D$1003,$W83)&amp;"")</f>
        <v/>
      </c>
      <c r="E83" s="67" t="str">
        <f aca="false">IF($W83="","",INDEX(发票统计!E$4:E$1003,$W83)&amp;"")</f>
        <v/>
      </c>
      <c r="F83" s="68" t="str">
        <f aca="false">IF($W83="","",INDEX(发票统计!F$4:F$1003,$W83)&amp;"")</f>
        <v/>
      </c>
      <c r="G83" s="68" t="str">
        <f aca="false">IF($W83="","",IF(INDEX(发票统计!G$4:G$1003,$W83)="","",INDEX(发票统计!G$4:G$1003,$W83)))</f>
        <v/>
      </c>
      <c r="H83" s="56" t="str">
        <f aca="false">IF($W83="","",N(INDEX(发票统计!H$4:H$1003,$W83)))</f>
        <v/>
      </c>
      <c r="I83" s="56" t="str">
        <f aca="false">IF($W83="","",N(INDEX(发票统计!I$4:I$1003,$W83)))</f>
        <v/>
      </c>
      <c r="J83" s="56" t="str">
        <f aca="false">IF($W83="","",N(INDEX(发票统计!J$4:J$1003,$W83)))</f>
        <v/>
      </c>
      <c r="K83" s="56" t="str">
        <f aca="false">IF($W83="","",N(INDEX(发票统计!K$4:K$1003,$W83)))</f>
        <v/>
      </c>
      <c r="L83" s="56" t="str">
        <f aca="false">IF($W83="","",SUM(J$4:J83)-SUM(K$4:K83))</f>
        <v/>
      </c>
      <c r="M83" s="56" t="str">
        <f aca="false">IF($W83="","",N(INDEX(发票统计!M$4:M$1003,$W83)))</f>
        <v/>
      </c>
      <c r="N83" s="56" t="str">
        <f aca="false">IF($W83="","",N(INDEX(发票统计!N$4:N$1003,$W83)))</f>
        <v/>
      </c>
      <c r="O83" s="56" t="str">
        <f aca="false">IF($W83="","",N(INDEX(发票统计!O$4:O$1003,$W83)))</f>
        <v/>
      </c>
      <c r="P83" s="56" t="str">
        <f aca="false">IF($W83="","",SUM(M$4:M83)-SUM(N$4:N83)-SUM(O$4:O83))</f>
        <v/>
      </c>
      <c r="Q83" s="56" t="str">
        <f aca="false">IF($W83="","",N(INDEX(发票统计!Q$4:Q$1003,$W83)))</f>
        <v/>
      </c>
      <c r="R83" s="56" t="str">
        <f aca="false">IF($W83="","",N(INDEX(发票统计!R$4:R$1003,$W83)))</f>
        <v/>
      </c>
      <c r="S83" s="56" t="str">
        <f aca="false">IF($W83="","",N(INDEX(发票统计!S$4:S$1003,$W83)))</f>
        <v/>
      </c>
      <c r="T83" s="56" t="str">
        <f aca="false">IF($W83="","",SUM(Q$4:Q83)-SUM(R$4:R83)-SUM(S$4:S83))</f>
        <v/>
      </c>
      <c r="U83" s="56" t="str">
        <f aca="false">IF($W83="","",INDEX(发票统计!U$4:U$1003,$W83)&amp;"")</f>
        <v/>
      </c>
      <c r="W83" s="1" t="str">
        <f aca="false">IF($V$3="","",IFERROR(MATCH($V$3&amp;"#"&amp;ROWS(W$4:W83),发票统计!$W$4:$W$1003,0),""))</f>
        <v/>
      </c>
    </row>
    <row r="84" customFormat="false" ht="16.5" hidden="false" customHeight="false" outlineLevel="0" collapsed="false">
      <c r="A84" s="3" t="str">
        <f aca="false">IF($W84="","",INDEX(发票统计!A$4:A$1003,$W84)&amp;"")</f>
        <v/>
      </c>
      <c r="B84" s="3" t="str">
        <f aca="false">IF($W84="","",INDEX(发票统计!B$4:B$1003,$W84)&amp;"")</f>
        <v/>
      </c>
      <c r="C84" s="3" t="str">
        <f aca="false">IF($W84="","",INDEX(发票统计!C$4:C$1003,$W84)&amp;"")</f>
        <v/>
      </c>
      <c r="D84" s="3" t="str">
        <f aca="false">IF($W84="","",INDEX(发票统计!D$4:D$1003,$W84)&amp;"")</f>
        <v/>
      </c>
      <c r="E84" s="67" t="str">
        <f aca="false">IF($W84="","",INDEX(发票统计!E$4:E$1003,$W84)&amp;"")</f>
        <v/>
      </c>
      <c r="F84" s="68" t="str">
        <f aca="false">IF($W84="","",INDEX(发票统计!F$4:F$1003,$W84)&amp;"")</f>
        <v/>
      </c>
      <c r="G84" s="68" t="str">
        <f aca="false">IF($W84="","",IF(INDEX(发票统计!G$4:G$1003,$W84)="","",INDEX(发票统计!G$4:G$1003,$W84)))</f>
        <v/>
      </c>
      <c r="H84" s="56" t="str">
        <f aca="false">IF($W84="","",N(INDEX(发票统计!H$4:H$1003,$W84)))</f>
        <v/>
      </c>
      <c r="I84" s="56" t="str">
        <f aca="false">IF($W84="","",N(INDEX(发票统计!I$4:I$1003,$W84)))</f>
        <v/>
      </c>
      <c r="J84" s="56" t="str">
        <f aca="false">IF($W84="","",N(INDEX(发票统计!J$4:J$1003,$W84)))</f>
        <v/>
      </c>
      <c r="K84" s="56" t="str">
        <f aca="false">IF($W84="","",N(INDEX(发票统计!K$4:K$1003,$W84)))</f>
        <v/>
      </c>
      <c r="L84" s="56" t="str">
        <f aca="false">IF($W84="","",SUM(J$4:J84)-SUM(K$4:K84))</f>
        <v/>
      </c>
      <c r="M84" s="56" t="str">
        <f aca="false">IF($W84="","",N(INDEX(发票统计!M$4:M$1003,$W84)))</f>
        <v/>
      </c>
      <c r="N84" s="56" t="str">
        <f aca="false">IF($W84="","",N(INDEX(发票统计!N$4:N$1003,$W84)))</f>
        <v/>
      </c>
      <c r="O84" s="56" t="str">
        <f aca="false">IF($W84="","",N(INDEX(发票统计!O$4:O$1003,$W84)))</f>
        <v/>
      </c>
      <c r="P84" s="56" t="str">
        <f aca="false">IF($W84="","",SUM(M$4:M84)-SUM(N$4:N84)-SUM(O$4:O84))</f>
        <v/>
      </c>
      <c r="Q84" s="56" t="str">
        <f aca="false">IF($W84="","",N(INDEX(发票统计!Q$4:Q$1003,$W84)))</f>
        <v/>
      </c>
      <c r="R84" s="56" t="str">
        <f aca="false">IF($W84="","",N(INDEX(发票统计!R$4:R$1003,$W84)))</f>
        <v/>
      </c>
      <c r="S84" s="56" t="str">
        <f aca="false">IF($W84="","",N(INDEX(发票统计!S$4:S$1003,$W84)))</f>
        <v/>
      </c>
      <c r="T84" s="56" t="str">
        <f aca="false">IF($W84="","",SUM(Q$4:Q84)-SUM(R$4:R84)-SUM(S$4:S84))</f>
        <v/>
      </c>
      <c r="U84" s="56" t="str">
        <f aca="false">IF($W84="","",INDEX(发票统计!U$4:U$1003,$W84)&amp;"")</f>
        <v/>
      </c>
      <c r="W84" s="1" t="str">
        <f aca="false">IF($V$3="","",IFERROR(MATCH($V$3&amp;"#"&amp;ROWS(W$4:W84),发票统计!$W$4:$W$1003,0),""))</f>
        <v/>
      </c>
    </row>
    <row r="85" customFormat="false" ht="16.5" hidden="false" customHeight="false" outlineLevel="0" collapsed="false">
      <c r="A85" s="3" t="str">
        <f aca="false">IF($W85="","",INDEX(发票统计!A$4:A$1003,$W85)&amp;"")</f>
        <v/>
      </c>
      <c r="B85" s="3" t="str">
        <f aca="false">IF($W85="","",INDEX(发票统计!B$4:B$1003,$W85)&amp;"")</f>
        <v/>
      </c>
      <c r="C85" s="3" t="str">
        <f aca="false">IF($W85="","",INDEX(发票统计!C$4:C$1003,$W85)&amp;"")</f>
        <v/>
      </c>
      <c r="D85" s="3" t="str">
        <f aca="false">IF($W85="","",INDEX(发票统计!D$4:D$1003,$W85)&amp;"")</f>
        <v/>
      </c>
      <c r="E85" s="67" t="str">
        <f aca="false">IF($W85="","",INDEX(发票统计!E$4:E$1003,$W85)&amp;"")</f>
        <v/>
      </c>
      <c r="F85" s="68" t="str">
        <f aca="false">IF($W85="","",INDEX(发票统计!F$4:F$1003,$W85)&amp;"")</f>
        <v/>
      </c>
      <c r="G85" s="68" t="str">
        <f aca="false">IF($W85="","",IF(INDEX(发票统计!G$4:G$1003,$W85)="","",INDEX(发票统计!G$4:G$1003,$W85)))</f>
        <v/>
      </c>
      <c r="H85" s="56" t="str">
        <f aca="false">IF($W85="","",N(INDEX(发票统计!H$4:H$1003,$W85)))</f>
        <v/>
      </c>
      <c r="I85" s="56" t="str">
        <f aca="false">IF($W85="","",N(INDEX(发票统计!I$4:I$1003,$W85)))</f>
        <v/>
      </c>
      <c r="J85" s="56" t="str">
        <f aca="false">IF($W85="","",N(INDEX(发票统计!J$4:J$1003,$W85)))</f>
        <v/>
      </c>
      <c r="K85" s="56" t="str">
        <f aca="false">IF($W85="","",N(INDEX(发票统计!K$4:K$1003,$W85)))</f>
        <v/>
      </c>
      <c r="L85" s="56" t="str">
        <f aca="false">IF($W85="","",SUM(J$4:J85)-SUM(K$4:K85))</f>
        <v/>
      </c>
      <c r="M85" s="56" t="str">
        <f aca="false">IF($W85="","",N(INDEX(发票统计!M$4:M$1003,$W85)))</f>
        <v/>
      </c>
      <c r="N85" s="56" t="str">
        <f aca="false">IF($W85="","",N(INDEX(发票统计!N$4:N$1003,$W85)))</f>
        <v/>
      </c>
      <c r="O85" s="56" t="str">
        <f aca="false">IF($W85="","",N(INDEX(发票统计!O$4:O$1003,$W85)))</f>
        <v/>
      </c>
      <c r="P85" s="56" t="str">
        <f aca="false">IF($W85="","",SUM(M$4:M85)-SUM(N$4:N85)-SUM(O$4:O85))</f>
        <v/>
      </c>
      <c r="Q85" s="56" t="str">
        <f aca="false">IF($W85="","",N(INDEX(发票统计!Q$4:Q$1003,$W85)))</f>
        <v/>
      </c>
      <c r="R85" s="56" t="str">
        <f aca="false">IF($W85="","",N(INDEX(发票统计!R$4:R$1003,$W85)))</f>
        <v/>
      </c>
      <c r="S85" s="56" t="str">
        <f aca="false">IF($W85="","",N(INDEX(发票统计!S$4:S$1003,$W85)))</f>
        <v/>
      </c>
      <c r="T85" s="56" t="str">
        <f aca="false">IF($W85="","",SUM(Q$4:Q85)-SUM(R$4:R85)-SUM(S$4:S85))</f>
        <v/>
      </c>
      <c r="U85" s="56" t="str">
        <f aca="false">IF($W85="","",INDEX(发票统计!U$4:U$1003,$W85)&amp;"")</f>
        <v/>
      </c>
      <c r="W85" s="1" t="str">
        <f aca="false">IF($V$3="","",IFERROR(MATCH($V$3&amp;"#"&amp;ROWS(W$4:W85),发票统计!$W$4:$W$1003,0),""))</f>
        <v/>
      </c>
    </row>
    <row r="86" customFormat="false" ht="16.5" hidden="false" customHeight="false" outlineLevel="0" collapsed="false">
      <c r="A86" s="3" t="str">
        <f aca="false">IF($W86="","",INDEX(发票统计!A$4:A$1003,$W86)&amp;"")</f>
        <v/>
      </c>
      <c r="B86" s="3" t="str">
        <f aca="false">IF($W86="","",INDEX(发票统计!B$4:B$1003,$W86)&amp;"")</f>
        <v/>
      </c>
      <c r="C86" s="3" t="str">
        <f aca="false">IF($W86="","",INDEX(发票统计!C$4:C$1003,$W86)&amp;"")</f>
        <v/>
      </c>
      <c r="D86" s="3" t="str">
        <f aca="false">IF($W86="","",INDEX(发票统计!D$4:D$1003,$W86)&amp;"")</f>
        <v/>
      </c>
      <c r="E86" s="67" t="str">
        <f aca="false">IF($W86="","",INDEX(发票统计!E$4:E$1003,$W86)&amp;"")</f>
        <v/>
      </c>
      <c r="F86" s="68" t="str">
        <f aca="false">IF($W86="","",INDEX(发票统计!F$4:F$1003,$W86)&amp;"")</f>
        <v/>
      </c>
      <c r="G86" s="68" t="str">
        <f aca="false">IF($W86="","",IF(INDEX(发票统计!G$4:G$1003,$W86)="","",INDEX(发票统计!G$4:G$1003,$W86)))</f>
        <v/>
      </c>
      <c r="H86" s="56" t="str">
        <f aca="false">IF($W86="","",N(INDEX(发票统计!H$4:H$1003,$W86)))</f>
        <v/>
      </c>
      <c r="I86" s="56" t="str">
        <f aca="false">IF($W86="","",N(INDEX(发票统计!I$4:I$1003,$W86)))</f>
        <v/>
      </c>
      <c r="J86" s="56" t="str">
        <f aca="false">IF($W86="","",N(INDEX(发票统计!J$4:J$1003,$W86)))</f>
        <v/>
      </c>
      <c r="K86" s="56" t="str">
        <f aca="false">IF($W86="","",N(INDEX(发票统计!K$4:K$1003,$W86)))</f>
        <v/>
      </c>
      <c r="L86" s="56" t="str">
        <f aca="false">IF($W86="","",SUM(J$4:J86)-SUM(K$4:K86))</f>
        <v/>
      </c>
      <c r="M86" s="56" t="str">
        <f aca="false">IF($W86="","",N(INDEX(发票统计!M$4:M$1003,$W86)))</f>
        <v/>
      </c>
      <c r="N86" s="56" t="str">
        <f aca="false">IF($W86="","",N(INDEX(发票统计!N$4:N$1003,$W86)))</f>
        <v/>
      </c>
      <c r="O86" s="56" t="str">
        <f aca="false">IF($W86="","",N(INDEX(发票统计!O$4:O$1003,$W86)))</f>
        <v/>
      </c>
      <c r="P86" s="56" t="str">
        <f aca="false">IF($W86="","",SUM(M$4:M86)-SUM(N$4:N86)-SUM(O$4:O86))</f>
        <v/>
      </c>
      <c r="Q86" s="56" t="str">
        <f aca="false">IF($W86="","",N(INDEX(发票统计!Q$4:Q$1003,$W86)))</f>
        <v/>
      </c>
      <c r="R86" s="56" t="str">
        <f aca="false">IF($W86="","",N(INDEX(发票统计!R$4:R$1003,$W86)))</f>
        <v/>
      </c>
      <c r="S86" s="56" t="str">
        <f aca="false">IF($W86="","",N(INDEX(发票统计!S$4:S$1003,$W86)))</f>
        <v/>
      </c>
      <c r="T86" s="56" t="str">
        <f aca="false">IF($W86="","",SUM(Q$4:Q86)-SUM(R$4:R86)-SUM(S$4:S86))</f>
        <v/>
      </c>
      <c r="U86" s="56" t="str">
        <f aca="false">IF($W86="","",INDEX(发票统计!U$4:U$1003,$W86)&amp;"")</f>
        <v/>
      </c>
      <c r="W86" s="1" t="str">
        <f aca="false">IF($V$3="","",IFERROR(MATCH($V$3&amp;"#"&amp;ROWS(W$4:W86),发票统计!$W$4:$W$1003,0),""))</f>
        <v/>
      </c>
    </row>
    <row r="87" customFormat="false" ht="16.5" hidden="false" customHeight="false" outlineLevel="0" collapsed="false">
      <c r="A87" s="3" t="str">
        <f aca="false">IF($W87="","",INDEX(发票统计!A$4:A$1003,$W87)&amp;"")</f>
        <v/>
      </c>
      <c r="B87" s="3" t="str">
        <f aca="false">IF($W87="","",INDEX(发票统计!B$4:B$1003,$W87)&amp;"")</f>
        <v/>
      </c>
      <c r="C87" s="3" t="str">
        <f aca="false">IF($W87="","",INDEX(发票统计!C$4:C$1003,$W87)&amp;"")</f>
        <v/>
      </c>
      <c r="D87" s="3" t="str">
        <f aca="false">IF($W87="","",INDEX(发票统计!D$4:D$1003,$W87)&amp;"")</f>
        <v/>
      </c>
      <c r="E87" s="67" t="str">
        <f aca="false">IF($W87="","",INDEX(发票统计!E$4:E$1003,$W87)&amp;"")</f>
        <v/>
      </c>
      <c r="F87" s="68" t="str">
        <f aca="false">IF($W87="","",INDEX(发票统计!F$4:F$1003,$W87)&amp;"")</f>
        <v/>
      </c>
      <c r="G87" s="68" t="str">
        <f aca="false">IF($W87="","",IF(INDEX(发票统计!G$4:G$1003,$W87)="","",INDEX(发票统计!G$4:G$1003,$W87)))</f>
        <v/>
      </c>
      <c r="H87" s="56" t="str">
        <f aca="false">IF($W87="","",N(INDEX(发票统计!H$4:H$1003,$W87)))</f>
        <v/>
      </c>
      <c r="I87" s="56" t="str">
        <f aca="false">IF($W87="","",N(INDEX(发票统计!I$4:I$1003,$W87)))</f>
        <v/>
      </c>
      <c r="J87" s="56" t="str">
        <f aca="false">IF($W87="","",N(INDEX(发票统计!J$4:J$1003,$W87)))</f>
        <v/>
      </c>
      <c r="K87" s="56" t="str">
        <f aca="false">IF($W87="","",N(INDEX(发票统计!K$4:K$1003,$W87)))</f>
        <v/>
      </c>
      <c r="L87" s="56" t="str">
        <f aca="false">IF($W87="","",SUM(J$4:J87)-SUM(K$4:K87))</f>
        <v/>
      </c>
      <c r="M87" s="56" t="str">
        <f aca="false">IF($W87="","",N(INDEX(发票统计!M$4:M$1003,$W87)))</f>
        <v/>
      </c>
      <c r="N87" s="56" t="str">
        <f aca="false">IF($W87="","",N(INDEX(发票统计!N$4:N$1003,$W87)))</f>
        <v/>
      </c>
      <c r="O87" s="56" t="str">
        <f aca="false">IF($W87="","",N(INDEX(发票统计!O$4:O$1003,$W87)))</f>
        <v/>
      </c>
      <c r="P87" s="56" t="str">
        <f aca="false">IF($W87="","",SUM(M$4:M87)-SUM(N$4:N87)-SUM(O$4:O87))</f>
        <v/>
      </c>
      <c r="Q87" s="56" t="str">
        <f aca="false">IF($W87="","",N(INDEX(发票统计!Q$4:Q$1003,$W87)))</f>
        <v/>
      </c>
      <c r="R87" s="56" t="str">
        <f aca="false">IF($W87="","",N(INDEX(发票统计!R$4:R$1003,$W87)))</f>
        <v/>
      </c>
      <c r="S87" s="56" t="str">
        <f aca="false">IF($W87="","",N(INDEX(发票统计!S$4:S$1003,$W87)))</f>
        <v/>
      </c>
      <c r="T87" s="56" t="str">
        <f aca="false">IF($W87="","",SUM(Q$4:Q87)-SUM(R$4:R87)-SUM(S$4:S87))</f>
        <v/>
      </c>
      <c r="U87" s="56" t="str">
        <f aca="false">IF($W87="","",INDEX(发票统计!U$4:U$1003,$W87)&amp;"")</f>
        <v/>
      </c>
      <c r="W87" s="1" t="str">
        <f aca="false">IF($V$3="","",IFERROR(MATCH($V$3&amp;"#"&amp;ROWS(W$4:W87),发票统计!$W$4:$W$1003,0),""))</f>
        <v/>
      </c>
    </row>
    <row r="88" customFormat="false" ht="16.5" hidden="false" customHeight="false" outlineLevel="0" collapsed="false">
      <c r="A88" s="3" t="str">
        <f aca="false">IF($W88="","",INDEX(发票统计!A$4:A$1003,$W88)&amp;"")</f>
        <v/>
      </c>
      <c r="B88" s="3" t="str">
        <f aca="false">IF($W88="","",INDEX(发票统计!B$4:B$1003,$W88)&amp;"")</f>
        <v/>
      </c>
      <c r="C88" s="3" t="str">
        <f aca="false">IF($W88="","",INDEX(发票统计!C$4:C$1003,$W88)&amp;"")</f>
        <v/>
      </c>
      <c r="D88" s="3" t="str">
        <f aca="false">IF($W88="","",INDEX(发票统计!D$4:D$1003,$W88)&amp;"")</f>
        <v/>
      </c>
      <c r="E88" s="67" t="str">
        <f aca="false">IF($W88="","",INDEX(发票统计!E$4:E$1003,$W88)&amp;"")</f>
        <v/>
      </c>
      <c r="F88" s="68" t="str">
        <f aca="false">IF($W88="","",INDEX(发票统计!F$4:F$1003,$W88)&amp;"")</f>
        <v/>
      </c>
      <c r="G88" s="68" t="str">
        <f aca="false">IF($W88="","",IF(INDEX(发票统计!G$4:G$1003,$W88)="","",INDEX(发票统计!G$4:G$1003,$W88)))</f>
        <v/>
      </c>
      <c r="H88" s="56" t="str">
        <f aca="false">IF($W88="","",N(INDEX(发票统计!H$4:H$1003,$W88)))</f>
        <v/>
      </c>
      <c r="I88" s="56" t="str">
        <f aca="false">IF($W88="","",N(INDEX(发票统计!I$4:I$1003,$W88)))</f>
        <v/>
      </c>
      <c r="J88" s="56" t="str">
        <f aca="false">IF($W88="","",N(INDEX(发票统计!J$4:J$1003,$W88)))</f>
        <v/>
      </c>
      <c r="K88" s="56" t="str">
        <f aca="false">IF($W88="","",N(INDEX(发票统计!K$4:K$1003,$W88)))</f>
        <v/>
      </c>
      <c r="L88" s="56" t="str">
        <f aca="false">IF($W88="","",SUM(J$4:J88)-SUM(K$4:K88))</f>
        <v/>
      </c>
      <c r="M88" s="56" t="str">
        <f aca="false">IF($W88="","",N(INDEX(发票统计!M$4:M$1003,$W88)))</f>
        <v/>
      </c>
      <c r="N88" s="56" t="str">
        <f aca="false">IF($W88="","",N(INDEX(发票统计!N$4:N$1003,$W88)))</f>
        <v/>
      </c>
      <c r="O88" s="56" t="str">
        <f aca="false">IF($W88="","",N(INDEX(发票统计!O$4:O$1003,$W88)))</f>
        <v/>
      </c>
      <c r="P88" s="56" t="str">
        <f aca="false">IF($W88="","",SUM(M$4:M88)-SUM(N$4:N88)-SUM(O$4:O88))</f>
        <v/>
      </c>
      <c r="Q88" s="56" t="str">
        <f aca="false">IF($W88="","",N(INDEX(发票统计!Q$4:Q$1003,$W88)))</f>
        <v/>
      </c>
      <c r="R88" s="56" t="str">
        <f aca="false">IF($W88="","",N(INDEX(发票统计!R$4:R$1003,$W88)))</f>
        <v/>
      </c>
      <c r="S88" s="56" t="str">
        <f aca="false">IF($W88="","",N(INDEX(发票统计!S$4:S$1003,$W88)))</f>
        <v/>
      </c>
      <c r="T88" s="56" t="str">
        <f aca="false">IF($W88="","",SUM(Q$4:Q88)-SUM(R$4:R88)-SUM(S$4:S88))</f>
        <v/>
      </c>
      <c r="U88" s="56" t="str">
        <f aca="false">IF($W88="","",INDEX(发票统计!U$4:U$1003,$W88)&amp;"")</f>
        <v/>
      </c>
      <c r="W88" s="1" t="str">
        <f aca="false">IF($V$3="","",IFERROR(MATCH($V$3&amp;"#"&amp;ROWS(W$4:W88),发票统计!$W$4:$W$1003,0),""))</f>
        <v/>
      </c>
    </row>
    <row r="89" customFormat="false" ht="16.5" hidden="false" customHeight="false" outlineLevel="0" collapsed="false">
      <c r="A89" s="3" t="str">
        <f aca="false">IF($W89="","",INDEX(发票统计!A$4:A$1003,$W89)&amp;"")</f>
        <v/>
      </c>
      <c r="B89" s="3" t="str">
        <f aca="false">IF($W89="","",INDEX(发票统计!B$4:B$1003,$W89)&amp;"")</f>
        <v/>
      </c>
      <c r="C89" s="3" t="str">
        <f aca="false">IF($W89="","",INDEX(发票统计!C$4:C$1003,$W89)&amp;"")</f>
        <v/>
      </c>
      <c r="D89" s="3" t="str">
        <f aca="false">IF($W89="","",INDEX(发票统计!D$4:D$1003,$W89)&amp;"")</f>
        <v/>
      </c>
      <c r="E89" s="67" t="str">
        <f aca="false">IF($W89="","",INDEX(发票统计!E$4:E$1003,$W89)&amp;"")</f>
        <v/>
      </c>
      <c r="F89" s="68" t="str">
        <f aca="false">IF($W89="","",INDEX(发票统计!F$4:F$1003,$W89)&amp;"")</f>
        <v/>
      </c>
      <c r="G89" s="68" t="str">
        <f aca="false">IF($W89="","",IF(INDEX(发票统计!G$4:G$1003,$W89)="","",INDEX(发票统计!G$4:G$1003,$W89)))</f>
        <v/>
      </c>
      <c r="H89" s="56" t="str">
        <f aca="false">IF($W89="","",N(INDEX(发票统计!H$4:H$1003,$W89)))</f>
        <v/>
      </c>
      <c r="I89" s="56" t="str">
        <f aca="false">IF($W89="","",N(INDEX(发票统计!I$4:I$1003,$W89)))</f>
        <v/>
      </c>
      <c r="J89" s="56" t="str">
        <f aca="false">IF($W89="","",N(INDEX(发票统计!J$4:J$1003,$W89)))</f>
        <v/>
      </c>
      <c r="K89" s="56" t="str">
        <f aca="false">IF($W89="","",N(INDEX(发票统计!K$4:K$1003,$W89)))</f>
        <v/>
      </c>
      <c r="L89" s="56" t="str">
        <f aca="false">IF($W89="","",SUM(J$4:J89)-SUM(K$4:K89))</f>
        <v/>
      </c>
      <c r="M89" s="56" t="str">
        <f aca="false">IF($W89="","",N(INDEX(发票统计!M$4:M$1003,$W89)))</f>
        <v/>
      </c>
      <c r="N89" s="56" t="str">
        <f aca="false">IF($W89="","",N(INDEX(发票统计!N$4:N$1003,$W89)))</f>
        <v/>
      </c>
      <c r="O89" s="56" t="str">
        <f aca="false">IF($W89="","",N(INDEX(发票统计!O$4:O$1003,$W89)))</f>
        <v/>
      </c>
      <c r="P89" s="56" t="str">
        <f aca="false">IF($W89="","",SUM(M$4:M89)-SUM(N$4:N89)-SUM(O$4:O89))</f>
        <v/>
      </c>
      <c r="Q89" s="56" t="str">
        <f aca="false">IF($W89="","",N(INDEX(发票统计!Q$4:Q$1003,$W89)))</f>
        <v/>
      </c>
      <c r="R89" s="56" t="str">
        <f aca="false">IF($W89="","",N(INDEX(发票统计!R$4:R$1003,$W89)))</f>
        <v/>
      </c>
      <c r="S89" s="56" t="str">
        <f aca="false">IF($W89="","",N(INDEX(发票统计!S$4:S$1003,$W89)))</f>
        <v/>
      </c>
      <c r="T89" s="56" t="str">
        <f aca="false">IF($W89="","",SUM(Q$4:Q89)-SUM(R$4:R89)-SUM(S$4:S89))</f>
        <v/>
      </c>
      <c r="U89" s="56" t="str">
        <f aca="false">IF($W89="","",INDEX(发票统计!U$4:U$1003,$W89)&amp;"")</f>
        <v/>
      </c>
      <c r="W89" s="1" t="str">
        <f aca="false">IF($V$3="","",IFERROR(MATCH($V$3&amp;"#"&amp;ROWS(W$4:W89),发票统计!$W$4:$W$1003,0),""))</f>
        <v/>
      </c>
    </row>
    <row r="90" customFormat="false" ht="16.5" hidden="false" customHeight="false" outlineLevel="0" collapsed="false">
      <c r="A90" s="3" t="str">
        <f aca="false">IF($W90="","",INDEX(发票统计!A$4:A$1003,$W90)&amp;"")</f>
        <v/>
      </c>
      <c r="B90" s="3" t="str">
        <f aca="false">IF($W90="","",INDEX(发票统计!B$4:B$1003,$W90)&amp;"")</f>
        <v/>
      </c>
      <c r="C90" s="3" t="str">
        <f aca="false">IF($W90="","",INDEX(发票统计!C$4:C$1003,$W90)&amp;"")</f>
        <v/>
      </c>
      <c r="D90" s="3" t="str">
        <f aca="false">IF($W90="","",INDEX(发票统计!D$4:D$1003,$W90)&amp;"")</f>
        <v/>
      </c>
      <c r="E90" s="67" t="str">
        <f aca="false">IF($W90="","",INDEX(发票统计!E$4:E$1003,$W90)&amp;"")</f>
        <v/>
      </c>
      <c r="F90" s="68" t="str">
        <f aca="false">IF($W90="","",INDEX(发票统计!F$4:F$1003,$W90)&amp;"")</f>
        <v/>
      </c>
      <c r="G90" s="68" t="str">
        <f aca="false">IF($W90="","",IF(INDEX(发票统计!G$4:G$1003,$W90)="","",INDEX(发票统计!G$4:G$1003,$W90)))</f>
        <v/>
      </c>
      <c r="H90" s="56" t="str">
        <f aca="false">IF($W90="","",N(INDEX(发票统计!H$4:H$1003,$W90)))</f>
        <v/>
      </c>
      <c r="I90" s="56" t="str">
        <f aca="false">IF($W90="","",N(INDEX(发票统计!I$4:I$1003,$W90)))</f>
        <v/>
      </c>
      <c r="J90" s="56" t="str">
        <f aca="false">IF($W90="","",N(INDEX(发票统计!J$4:J$1003,$W90)))</f>
        <v/>
      </c>
      <c r="K90" s="56" t="str">
        <f aca="false">IF($W90="","",N(INDEX(发票统计!K$4:K$1003,$W90)))</f>
        <v/>
      </c>
      <c r="L90" s="56" t="str">
        <f aca="false">IF($W90="","",SUM(J$4:J90)-SUM(K$4:K90))</f>
        <v/>
      </c>
      <c r="M90" s="56" t="str">
        <f aca="false">IF($W90="","",N(INDEX(发票统计!M$4:M$1003,$W90)))</f>
        <v/>
      </c>
      <c r="N90" s="56" t="str">
        <f aca="false">IF($W90="","",N(INDEX(发票统计!N$4:N$1003,$W90)))</f>
        <v/>
      </c>
      <c r="O90" s="56" t="str">
        <f aca="false">IF($W90="","",N(INDEX(发票统计!O$4:O$1003,$W90)))</f>
        <v/>
      </c>
      <c r="P90" s="56" t="str">
        <f aca="false">IF($W90="","",SUM(M$4:M90)-SUM(N$4:N90)-SUM(O$4:O90))</f>
        <v/>
      </c>
      <c r="Q90" s="56" t="str">
        <f aca="false">IF($W90="","",N(INDEX(发票统计!Q$4:Q$1003,$W90)))</f>
        <v/>
      </c>
      <c r="R90" s="56" t="str">
        <f aca="false">IF($W90="","",N(INDEX(发票统计!R$4:R$1003,$W90)))</f>
        <v/>
      </c>
      <c r="S90" s="56" t="str">
        <f aca="false">IF($W90="","",N(INDEX(发票统计!S$4:S$1003,$W90)))</f>
        <v/>
      </c>
      <c r="T90" s="56" t="str">
        <f aca="false">IF($W90="","",SUM(Q$4:Q90)-SUM(R$4:R90)-SUM(S$4:S90))</f>
        <v/>
      </c>
      <c r="U90" s="56" t="str">
        <f aca="false">IF($W90="","",INDEX(发票统计!U$4:U$1003,$W90)&amp;"")</f>
        <v/>
      </c>
      <c r="W90" s="1" t="str">
        <f aca="false">IF($V$3="","",IFERROR(MATCH($V$3&amp;"#"&amp;ROWS(W$4:W90),发票统计!$W$4:$W$1003,0),""))</f>
        <v/>
      </c>
    </row>
    <row r="91" customFormat="false" ht="16.5" hidden="false" customHeight="false" outlineLevel="0" collapsed="false">
      <c r="A91" s="3" t="str">
        <f aca="false">IF($W91="","",INDEX(发票统计!A$4:A$1003,$W91)&amp;"")</f>
        <v/>
      </c>
      <c r="B91" s="3" t="str">
        <f aca="false">IF($W91="","",INDEX(发票统计!B$4:B$1003,$W91)&amp;"")</f>
        <v/>
      </c>
      <c r="C91" s="3" t="str">
        <f aca="false">IF($W91="","",INDEX(发票统计!C$4:C$1003,$W91)&amp;"")</f>
        <v/>
      </c>
      <c r="D91" s="3" t="str">
        <f aca="false">IF($W91="","",INDEX(发票统计!D$4:D$1003,$W91)&amp;"")</f>
        <v/>
      </c>
      <c r="E91" s="67" t="str">
        <f aca="false">IF($W91="","",INDEX(发票统计!E$4:E$1003,$W91)&amp;"")</f>
        <v/>
      </c>
      <c r="F91" s="68" t="str">
        <f aca="false">IF($W91="","",INDEX(发票统计!F$4:F$1003,$W91)&amp;"")</f>
        <v/>
      </c>
      <c r="G91" s="68" t="str">
        <f aca="false">IF($W91="","",IF(INDEX(发票统计!G$4:G$1003,$W91)="","",INDEX(发票统计!G$4:G$1003,$W91)))</f>
        <v/>
      </c>
      <c r="H91" s="56" t="str">
        <f aca="false">IF($W91="","",N(INDEX(发票统计!H$4:H$1003,$W91)))</f>
        <v/>
      </c>
      <c r="I91" s="56" t="str">
        <f aca="false">IF($W91="","",N(INDEX(发票统计!I$4:I$1003,$W91)))</f>
        <v/>
      </c>
      <c r="J91" s="56" t="str">
        <f aca="false">IF($W91="","",N(INDEX(发票统计!J$4:J$1003,$W91)))</f>
        <v/>
      </c>
      <c r="K91" s="56" t="str">
        <f aca="false">IF($W91="","",N(INDEX(发票统计!K$4:K$1003,$W91)))</f>
        <v/>
      </c>
      <c r="L91" s="56" t="str">
        <f aca="false">IF($W91="","",SUM(J$4:J91)-SUM(K$4:K91))</f>
        <v/>
      </c>
      <c r="M91" s="56" t="str">
        <f aca="false">IF($W91="","",N(INDEX(发票统计!M$4:M$1003,$W91)))</f>
        <v/>
      </c>
      <c r="N91" s="56" t="str">
        <f aca="false">IF($W91="","",N(INDEX(发票统计!N$4:N$1003,$W91)))</f>
        <v/>
      </c>
      <c r="O91" s="56" t="str">
        <f aca="false">IF($W91="","",N(INDEX(发票统计!O$4:O$1003,$W91)))</f>
        <v/>
      </c>
      <c r="P91" s="56" t="str">
        <f aca="false">IF($W91="","",SUM(M$4:M91)-SUM(N$4:N91)-SUM(O$4:O91))</f>
        <v/>
      </c>
      <c r="Q91" s="56" t="str">
        <f aca="false">IF($W91="","",N(INDEX(发票统计!Q$4:Q$1003,$W91)))</f>
        <v/>
      </c>
      <c r="R91" s="56" t="str">
        <f aca="false">IF($W91="","",N(INDEX(发票统计!R$4:R$1003,$W91)))</f>
        <v/>
      </c>
      <c r="S91" s="56" t="str">
        <f aca="false">IF($W91="","",N(INDEX(发票统计!S$4:S$1003,$W91)))</f>
        <v/>
      </c>
      <c r="T91" s="56" t="str">
        <f aca="false">IF($W91="","",SUM(Q$4:Q91)-SUM(R$4:R91)-SUM(S$4:S91))</f>
        <v/>
      </c>
      <c r="U91" s="56" t="str">
        <f aca="false">IF($W91="","",INDEX(发票统计!U$4:U$1003,$W91)&amp;"")</f>
        <v/>
      </c>
      <c r="W91" s="1" t="str">
        <f aca="false">IF($V$3="","",IFERROR(MATCH($V$3&amp;"#"&amp;ROWS(W$4:W91),发票统计!$W$4:$W$1003,0),""))</f>
        <v/>
      </c>
    </row>
    <row r="92" customFormat="false" ht="16.5" hidden="false" customHeight="false" outlineLevel="0" collapsed="false">
      <c r="A92" s="3" t="str">
        <f aca="false">IF($W92="","",INDEX(发票统计!A$4:A$1003,$W92)&amp;"")</f>
        <v/>
      </c>
      <c r="B92" s="3" t="str">
        <f aca="false">IF($W92="","",INDEX(发票统计!B$4:B$1003,$W92)&amp;"")</f>
        <v/>
      </c>
      <c r="C92" s="3" t="str">
        <f aca="false">IF($W92="","",INDEX(发票统计!C$4:C$1003,$W92)&amp;"")</f>
        <v/>
      </c>
      <c r="D92" s="3" t="str">
        <f aca="false">IF($W92="","",INDEX(发票统计!D$4:D$1003,$W92)&amp;"")</f>
        <v/>
      </c>
      <c r="E92" s="67" t="str">
        <f aca="false">IF($W92="","",INDEX(发票统计!E$4:E$1003,$W92)&amp;"")</f>
        <v/>
      </c>
      <c r="F92" s="68" t="str">
        <f aca="false">IF($W92="","",INDEX(发票统计!F$4:F$1003,$W92)&amp;"")</f>
        <v/>
      </c>
      <c r="G92" s="68" t="str">
        <f aca="false">IF($W92="","",IF(INDEX(发票统计!G$4:G$1003,$W92)="","",INDEX(发票统计!G$4:G$1003,$W92)))</f>
        <v/>
      </c>
      <c r="H92" s="56" t="str">
        <f aca="false">IF($W92="","",N(INDEX(发票统计!H$4:H$1003,$W92)))</f>
        <v/>
      </c>
      <c r="I92" s="56" t="str">
        <f aca="false">IF($W92="","",N(INDEX(发票统计!I$4:I$1003,$W92)))</f>
        <v/>
      </c>
      <c r="J92" s="56" t="str">
        <f aca="false">IF($W92="","",N(INDEX(发票统计!J$4:J$1003,$W92)))</f>
        <v/>
      </c>
      <c r="K92" s="56" t="str">
        <f aca="false">IF($W92="","",N(INDEX(发票统计!K$4:K$1003,$W92)))</f>
        <v/>
      </c>
      <c r="L92" s="56" t="str">
        <f aca="false">IF($W92="","",SUM(J$4:J92)-SUM(K$4:K92))</f>
        <v/>
      </c>
      <c r="M92" s="56" t="str">
        <f aca="false">IF($W92="","",N(INDEX(发票统计!M$4:M$1003,$W92)))</f>
        <v/>
      </c>
      <c r="N92" s="56" t="str">
        <f aca="false">IF($W92="","",N(INDEX(发票统计!N$4:N$1003,$W92)))</f>
        <v/>
      </c>
      <c r="O92" s="56" t="str">
        <f aca="false">IF($W92="","",N(INDEX(发票统计!O$4:O$1003,$W92)))</f>
        <v/>
      </c>
      <c r="P92" s="56" t="str">
        <f aca="false">IF($W92="","",SUM(M$4:M92)-SUM(N$4:N92)-SUM(O$4:O92))</f>
        <v/>
      </c>
      <c r="Q92" s="56" t="str">
        <f aca="false">IF($W92="","",N(INDEX(发票统计!Q$4:Q$1003,$W92)))</f>
        <v/>
      </c>
      <c r="R92" s="56" t="str">
        <f aca="false">IF($W92="","",N(INDEX(发票统计!R$4:R$1003,$W92)))</f>
        <v/>
      </c>
      <c r="S92" s="56" t="str">
        <f aca="false">IF($W92="","",N(INDEX(发票统计!S$4:S$1003,$W92)))</f>
        <v/>
      </c>
      <c r="T92" s="56" t="str">
        <f aca="false">IF($W92="","",SUM(Q$4:Q92)-SUM(R$4:R92)-SUM(S$4:S92))</f>
        <v/>
      </c>
      <c r="U92" s="56" t="str">
        <f aca="false">IF($W92="","",INDEX(发票统计!U$4:U$1003,$W92)&amp;"")</f>
        <v/>
      </c>
      <c r="W92" s="1" t="str">
        <f aca="false">IF($V$3="","",IFERROR(MATCH($V$3&amp;"#"&amp;ROWS(W$4:W92),发票统计!$W$4:$W$1003,0),""))</f>
        <v/>
      </c>
    </row>
    <row r="93" customFormat="false" ht="16.5" hidden="false" customHeight="false" outlineLevel="0" collapsed="false">
      <c r="A93" s="3" t="str">
        <f aca="false">IF($W93="","",INDEX(发票统计!A$4:A$1003,$W93)&amp;"")</f>
        <v/>
      </c>
      <c r="B93" s="3" t="str">
        <f aca="false">IF($W93="","",INDEX(发票统计!B$4:B$1003,$W93)&amp;"")</f>
        <v/>
      </c>
      <c r="C93" s="3" t="str">
        <f aca="false">IF($W93="","",INDEX(发票统计!C$4:C$1003,$W93)&amp;"")</f>
        <v/>
      </c>
      <c r="D93" s="3" t="str">
        <f aca="false">IF($W93="","",INDEX(发票统计!D$4:D$1003,$W93)&amp;"")</f>
        <v/>
      </c>
      <c r="E93" s="67" t="str">
        <f aca="false">IF($W93="","",INDEX(发票统计!E$4:E$1003,$W93)&amp;"")</f>
        <v/>
      </c>
      <c r="F93" s="68" t="str">
        <f aca="false">IF($W93="","",INDEX(发票统计!F$4:F$1003,$W93)&amp;"")</f>
        <v/>
      </c>
      <c r="G93" s="68" t="str">
        <f aca="false">IF($W93="","",IF(INDEX(发票统计!G$4:G$1003,$W93)="","",INDEX(发票统计!G$4:G$1003,$W93)))</f>
        <v/>
      </c>
      <c r="H93" s="56" t="str">
        <f aca="false">IF($W93="","",N(INDEX(发票统计!H$4:H$1003,$W93)))</f>
        <v/>
      </c>
      <c r="I93" s="56" t="str">
        <f aca="false">IF($W93="","",N(INDEX(发票统计!I$4:I$1003,$W93)))</f>
        <v/>
      </c>
      <c r="J93" s="56" t="str">
        <f aca="false">IF($W93="","",N(INDEX(发票统计!J$4:J$1003,$W93)))</f>
        <v/>
      </c>
      <c r="K93" s="56" t="str">
        <f aca="false">IF($W93="","",N(INDEX(发票统计!K$4:K$1003,$W93)))</f>
        <v/>
      </c>
      <c r="L93" s="56" t="str">
        <f aca="false">IF($W93="","",SUM(J$4:J93)-SUM(K$4:K93))</f>
        <v/>
      </c>
      <c r="M93" s="56" t="str">
        <f aca="false">IF($W93="","",N(INDEX(发票统计!M$4:M$1003,$W93)))</f>
        <v/>
      </c>
      <c r="N93" s="56" t="str">
        <f aca="false">IF($W93="","",N(INDEX(发票统计!N$4:N$1003,$W93)))</f>
        <v/>
      </c>
      <c r="O93" s="56" t="str">
        <f aca="false">IF($W93="","",N(INDEX(发票统计!O$4:O$1003,$W93)))</f>
        <v/>
      </c>
      <c r="P93" s="56" t="str">
        <f aca="false">IF($W93="","",SUM(M$4:M93)-SUM(N$4:N93)-SUM(O$4:O93))</f>
        <v/>
      </c>
      <c r="Q93" s="56" t="str">
        <f aca="false">IF($W93="","",N(INDEX(发票统计!Q$4:Q$1003,$W93)))</f>
        <v/>
      </c>
      <c r="R93" s="56" t="str">
        <f aca="false">IF($W93="","",N(INDEX(发票统计!R$4:R$1003,$W93)))</f>
        <v/>
      </c>
      <c r="S93" s="56" t="str">
        <f aca="false">IF($W93="","",N(INDEX(发票统计!S$4:S$1003,$W93)))</f>
        <v/>
      </c>
      <c r="T93" s="56" t="str">
        <f aca="false">IF($W93="","",SUM(Q$4:Q93)-SUM(R$4:R93)-SUM(S$4:S93))</f>
        <v/>
      </c>
      <c r="U93" s="56" t="str">
        <f aca="false">IF($W93="","",INDEX(发票统计!U$4:U$1003,$W93)&amp;"")</f>
        <v/>
      </c>
      <c r="W93" s="1" t="str">
        <f aca="false">IF($V$3="","",IFERROR(MATCH($V$3&amp;"#"&amp;ROWS(W$4:W93),发票统计!$W$4:$W$1003,0),""))</f>
        <v/>
      </c>
    </row>
    <row r="94" customFormat="false" ht="16.5" hidden="false" customHeight="false" outlineLevel="0" collapsed="false">
      <c r="A94" s="3" t="str">
        <f aca="false">IF($W94="","",INDEX(发票统计!A$4:A$1003,$W94)&amp;"")</f>
        <v/>
      </c>
      <c r="B94" s="3" t="str">
        <f aca="false">IF($W94="","",INDEX(发票统计!B$4:B$1003,$W94)&amp;"")</f>
        <v/>
      </c>
      <c r="C94" s="3" t="str">
        <f aca="false">IF($W94="","",INDEX(发票统计!C$4:C$1003,$W94)&amp;"")</f>
        <v/>
      </c>
      <c r="D94" s="3" t="str">
        <f aca="false">IF($W94="","",INDEX(发票统计!D$4:D$1003,$W94)&amp;"")</f>
        <v/>
      </c>
      <c r="E94" s="67" t="str">
        <f aca="false">IF($W94="","",INDEX(发票统计!E$4:E$1003,$W94)&amp;"")</f>
        <v/>
      </c>
      <c r="F94" s="68" t="str">
        <f aca="false">IF($W94="","",INDEX(发票统计!F$4:F$1003,$W94)&amp;"")</f>
        <v/>
      </c>
      <c r="G94" s="68" t="str">
        <f aca="false">IF($W94="","",IF(INDEX(发票统计!G$4:G$1003,$W94)="","",INDEX(发票统计!G$4:G$1003,$W94)))</f>
        <v/>
      </c>
      <c r="H94" s="56" t="str">
        <f aca="false">IF($W94="","",N(INDEX(发票统计!H$4:H$1003,$W94)))</f>
        <v/>
      </c>
      <c r="I94" s="56" t="str">
        <f aca="false">IF($W94="","",N(INDEX(发票统计!I$4:I$1003,$W94)))</f>
        <v/>
      </c>
      <c r="J94" s="56" t="str">
        <f aca="false">IF($W94="","",N(INDEX(发票统计!J$4:J$1003,$W94)))</f>
        <v/>
      </c>
      <c r="K94" s="56" t="str">
        <f aca="false">IF($W94="","",N(INDEX(发票统计!K$4:K$1003,$W94)))</f>
        <v/>
      </c>
      <c r="L94" s="56" t="str">
        <f aca="false">IF($W94="","",SUM(J$4:J94)-SUM(K$4:K94))</f>
        <v/>
      </c>
      <c r="M94" s="56" t="str">
        <f aca="false">IF($W94="","",N(INDEX(发票统计!M$4:M$1003,$W94)))</f>
        <v/>
      </c>
      <c r="N94" s="56" t="str">
        <f aca="false">IF($W94="","",N(INDEX(发票统计!N$4:N$1003,$W94)))</f>
        <v/>
      </c>
      <c r="O94" s="56" t="str">
        <f aca="false">IF($W94="","",N(INDEX(发票统计!O$4:O$1003,$W94)))</f>
        <v/>
      </c>
      <c r="P94" s="56" t="str">
        <f aca="false">IF($W94="","",SUM(M$4:M94)-SUM(N$4:N94)-SUM(O$4:O94))</f>
        <v/>
      </c>
      <c r="Q94" s="56" t="str">
        <f aca="false">IF($W94="","",N(INDEX(发票统计!Q$4:Q$1003,$W94)))</f>
        <v/>
      </c>
      <c r="R94" s="56" t="str">
        <f aca="false">IF($W94="","",N(INDEX(发票统计!R$4:R$1003,$W94)))</f>
        <v/>
      </c>
      <c r="S94" s="56" t="str">
        <f aca="false">IF($W94="","",N(INDEX(发票统计!S$4:S$1003,$W94)))</f>
        <v/>
      </c>
      <c r="T94" s="56" t="str">
        <f aca="false">IF($W94="","",SUM(Q$4:Q94)-SUM(R$4:R94)-SUM(S$4:S94))</f>
        <v/>
      </c>
      <c r="U94" s="56" t="str">
        <f aca="false">IF($W94="","",INDEX(发票统计!U$4:U$1003,$W94)&amp;"")</f>
        <v/>
      </c>
      <c r="W94" s="1" t="str">
        <f aca="false">IF($V$3="","",IFERROR(MATCH($V$3&amp;"#"&amp;ROWS(W$4:W94),发票统计!$W$4:$W$1003,0),""))</f>
        <v/>
      </c>
    </row>
    <row r="95" customFormat="false" ht="16.5" hidden="false" customHeight="false" outlineLevel="0" collapsed="false">
      <c r="A95" s="3" t="str">
        <f aca="false">IF($W95="","",INDEX(发票统计!A$4:A$1003,$W95)&amp;"")</f>
        <v/>
      </c>
      <c r="B95" s="3" t="str">
        <f aca="false">IF($W95="","",INDEX(发票统计!B$4:B$1003,$W95)&amp;"")</f>
        <v/>
      </c>
      <c r="C95" s="3" t="str">
        <f aca="false">IF($W95="","",INDEX(发票统计!C$4:C$1003,$W95)&amp;"")</f>
        <v/>
      </c>
      <c r="D95" s="3" t="str">
        <f aca="false">IF($W95="","",INDEX(发票统计!D$4:D$1003,$W95)&amp;"")</f>
        <v/>
      </c>
      <c r="E95" s="67" t="str">
        <f aca="false">IF($W95="","",INDEX(发票统计!E$4:E$1003,$W95)&amp;"")</f>
        <v/>
      </c>
      <c r="F95" s="68" t="str">
        <f aca="false">IF($W95="","",INDEX(发票统计!F$4:F$1003,$W95)&amp;"")</f>
        <v/>
      </c>
      <c r="G95" s="68" t="str">
        <f aca="false">IF($W95="","",IF(INDEX(发票统计!G$4:G$1003,$W95)="","",INDEX(发票统计!G$4:G$1003,$W95)))</f>
        <v/>
      </c>
      <c r="H95" s="56" t="str">
        <f aca="false">IF($W95="","",N(INDEX(发票统计!H$4:H$1003,$W95)))</f>
        <v/>
      </c>
      <c r="I95" s="56" t="str">
        <f aca="false">IF($W95="","",N(INDEX(发票统计!I$4:I$1003,$W95)))</f>
        <v/>
      </c>
      <c r="J95" s="56" t="str">
        <f aca="false">IF($W95="","",N(INDEX(发票统计!J$4:J$1003,$W95)))</f>
        <v/>
      </c>
      <c r="K95" s="56" t="str">
        <f aca="false">IF($W95="","",N(INDEX(发票统计!K$4:K$1003,$W95)))</f>
        <v/>
      </c>
      <c r="L95" s="56" t="str">
        <f aca="false">IF($W95="","",SUM(J$4:J95)-SUM(K$4:K95))</f>
        <v/>
      </c>
      <c r="M95" s="56" t="str">
        <f aca="false">IF($W95="","",N(INDEX(发票统计!M$4:M$1003,$W95)))</f>
        <v/>
      </c>
      <c r="N95" s="56" t="str">
        <f aca="false">IF($W95="","",N(INDEX(发票统计!N$4:N$1003,$W95)))</f>
        <v/>
      </c>
      <c r="O95" s="56" t="str">
        <f aca="false">IF($W95="","",N(INDEX(发票统计!O$4:O$1003,$W95)))</f>
        <v/>
      </c>
      <c r="P95" s="56" t="str">
        <f aca="false">IF($W95="","",SUM(M$4:M95)-SUM(N$4:N95)-SUM(O$4:O95))</f>
        <v/>
      </c>
      <c r="Q95" s="56" t="str">
        <f aca="false">IF($W95="","",N(INDEX(发票统计!Q$4:Q$1003,$W95)))</f>
        <v/>
      </c>
      <c r="R95" s="56" t="str">
        <f aca="false">IF($W95="","",N(INDEX(发票统计!R$4:R$1003,$W95)))</f>
        <v/>
      </c>
      <c r="S95" s="56" t="str">
        <f aca="false">IF($W95="","",N(INDEX(发票统计!S$4:S$1003,$W95)))</f>
        <v/>
      </c>
      <c r="T95" s="56" t="str">
        <f aca="false">IF($W95="","",SUM(Q$4:Q95)-SUM(R$4:R95)-SUM(S$4:S95))</f>
        <v/>
      </c>
      <c r="U95" s="56" t="str">
        <f aca="false">IF($W95="","",INDEX(发票统计!U$4:U$1003,$W95)&amp;"")</f>
        <v/>
      </c>
      <c r="W95" s="1" t="str">
        <f aca="false">IF($V$3="","",IFERROR(MATCH($V$3&amp;"#"&amp;ROWS(W$4:W95),发票统计!$W$4:$W$1003,0),""))</f>
        <v/>
      </c>
    </row>
    <row r="96" customFormat="false" ht="16.5" hidden="false" customHeight="false" outlineLevel="0" collapsed="false">
      <c r="A96" s="3" t="str">
        <f aca="false">IF($W96="","",INDEX(发票统计!A$4:A$1003,$W96)&amp;"")</f>
        <v/>
      </c>
      <c r="B96" s="3" t="str">
        <f aca="false">IF($W96="","",INDEX(发票统计!B$4:B$1003,$W96)&amp;"")</f>
        <v/>
      </c>
      <c r="C96" s="3" t="str">
        <f aca="false">IF($W96="","",INDEX(发票统计!C$4:C$1003,$W96)&amp;"")</f>
        <v/>
      </c>
      <c r="D96" s="3" t="str">
        <f aca="false">IF($W96="","",INDEX(发票统计!D$4:D$1003,$W96)&amp;"")</f>
        <v/>
      </c>
      <c r="E96" s="67" t="str">
        <f aca="false">IF($W96="","",INDEX(发票统计!E$4:E$1003,$W96)&amp;"")</f>
        <v/>
      </c>
      <c r="F96" s="68" t="str">
        <f aca="false">IF($W96="","",INDEX(发票统计!F$4:F$1003,$W96)&amp;"")</f>
        <v/>
      </c>
      <c r="G96" s="68" t="str">
        <f aca="false">IF($W96="","",IF(INDEX(发票统计!G$4:G$1003,$W96)="","",INDEX(发票统计!G$4:G$1003,$W96)))</f>
        <v/>
      </c>
      <c r="H96" s="56" t="str">
        <f aca="false">IF($W96="","",N(INDEX(发票统计!H$4:H$1003,$W96)))</f>
        <v/>
      </c>
      <c r="I96" s="56" t="str">
        <f aca="false">IF($W96="","",N(INDEX(发票统计!I$4:I$1003,$W96)))</f>
        <v/>
      </c>
      <c r="J96" s="56" t="str">
        <f aca="false">IF($W96="","",N(INDEX(发票统计!J$4:J$1003,$W96)))</f>
        <v/>
      </c>
      <c r="K96" s="56" t="str">
        <f aca="false">IF($W96="","",N(INDEX(发票统计!K$4:K$1003,$W96)))</f>
        <v/>
      </c>
      <c r="L96" s="56" t="str">
        <f aca="false">IF($W96="","",SUM(J$4:J96)-SUM(K$4:K96))</f>
        <v/>
      </c>
      <c r="M96" s="56" t="str">
        <f aca="false">IF($W96="","",N(INDEX(发票统计!M$4:M$1003,$W96)))</f>
        <v/>
      </c>
      <c r="N96" s="56" t="str">
        <f aca="false">IF($W96="","",N(INDEX(发票统计!N$4:N$1003,$W96)))</f>
        <v/>
      </c>
      <c r="O96" s="56" t="str">
        <f aca="false">IF($W96="","",N(INDEX(发票统计!O$4:O$1003,$W96)))</f>
        <v/>
      </c>
      <c r="P96" s="56" t="str">
        <f aca="false">IF($W96="","",SUM(M$4:M96)-SUM(N$4:N96)-SUM(O$4:O96))</f>
        <v/>
      </c>
      <c r="Q96" s="56" t="str">
        <f aca="false">IF($W96="","",N(INDEX(发票统计!Q$4:Q$1003,$W96)))</f>
        <v/>
      </c>
      <c r="R96" s="56" t="str">
        <f aca="false">IF($W96="","",N(INDEX(发票统计!R$4:R$1003,$W96)))</f>
        <v/>
      </c>
      <c r="S96" s="56" t="str">
        <f aca="false">IF($W96="","",N(INDEX(发票统计!S$4:S$1003,$W96)))</f>
        <v/>
      </c>
      <c r="T96" s="56" t="str">
        <f aca="false">IF($W96="","",SUM(Q$4:Q96)-SUM(R$4:R96)-SUM(S$4:S96))</f>
        <v/>
      </c>
      <c r="U96" s="56" t="str">
        <f aca="false">IF($W96="","",INDEX(发票统计!U$4:U$1003,$W96)&amp;"")</f>
        <v/>
      </c>
      <c r="W96" s="1" t="str">
        <f aca="false">IF($V$3="","",IFERROR(MATCH($V$3&amp;"#"&amp;ROWS(W$4:W96),发票统计!$W$4:$W$1003,0),""))</f>
        <v/>
      </c>
    </row>
    <row r="97" customFormat="false" ht="16.5" hidden="false" customHeight="false" outlineLevel="0" collapsed="false">
      <c r="A97" s="3" t="str">
        <f aca="false">IF($W97="","",INDEX(发票统计!A$4:A$1003,$W97)&amp;"")</f>
        <v/>
      </c>
      <c r="B97" s="3" t="str">
        <f aca="false">IF($W97="","",INDEX(发票统计!B$4:B$1003,$W97)&amp;"")</f>
        <v/>
      </c>
      <c r="C97" s="3" t="str">
        <f aca="false">IF($W97="","",INDEX(发票统计!C$4:C$1003,$W97)&amp;"")</f>
        <v/>
      </c>
      <c r="D97" s="3" t="str">
        <f aca="false">IF($W97="","",INDEX(发票统计!D$4:D$1003,$W97)&amp;"")</f>
        <v/>
      </c>
      <c r="E97" s="67" t="str">
        <f aca="false">IF($W97="","",INDEX(发票统计!E$4:E$1003,$W97)&amp;"")</f>
        <v/>
      </c>
      <c r="F97" s="68" t="str">
        <f aca="false">IF($W97="","",INDEX(发票统计!F$4:F$1003,$W97)&amp;"")</f>
        <v/>
      </c>
      <c r="G97" s="68" t="str">
        <f aca="false">IF($W97="","",IF(INDEX(发票统计!G$4:G$1003,$W97)="","",INDEX(发票统计!G$4:G$1003,$W97)))</f>
        <v/>
      </c>
      <c r="H97" s="56" t="str">
        <f aca="false">IF($W97="","",N(INDEX(发票统计!H$4:H$1003,$W97)))</f>
        <v/>
      </c>
      <c r="I97" s="56" t="str">
        <f aca="false">IF($W97="","",N(INDEX(发票统计!I$4:I$1003,$W97)))</f>
        <v/>
      </c>
      <c r="J97" s="56" t="str">
        <f aca="false">IF($W97="","",N(INDEX(发票统计!J$4:J$1003,$W97)))</f>
        <v/>
      </c>
      <c r="K97" s="56" t="str">
        <f aca="false">IF($W97="","",N(INDEX(发票统计!K$4:K$1003,$W97)))</f>
        <v/>
      </c>
      <c r="L97" s="56" t="str">
        <f aca="false">IF($W97="","",SUM(J$4:J97)-SUM(K$4:K97))</f>
        <v/>
      </c>
      <c r="M97" s="56" t="str">
        <f aca="false">IF($W97="","",N(INDEX(发票统计!M$4:M$1003,$W97)))</f>
        <v/>
      </c>
      <c r="N97" s="56" t="str">
        <f aca="false">IF($W97="","",N(INDEX(发票统计!N$4:N$1003,$W97)))</f>
        <v/>
      </c>
      <c r="O97" s="56" t="str">
        <f aca="false">IF($W97="","",N(INDEX(发票统计!O$4:O$1003,$W97)))</f>
        <v/>
      </c>
      <c r="P97" s="56" t="str">
        <f aca="false">IF($W97="","",SUM(M$4:M97)-SUM(N$4:N97)-SUM(O$4:O97))</f>
        <v/>
      </c>
      <c r="Q97" s="56" t="str">
        <f aca="false">IF($W97="","",N(INDEX(发票统计!Q$4:Q$1003,$W97)))</f>
        <v/>
      </c>
      <c r="R97" s="56" t="str">
        <f aca="false">IF($W97="","",N(INDEX(发票统计!R$4:R$1003,$W97)))</f>
        <v/>
      </c>
      <c r="S97" s="56" t="str">
        <f aca="false">IF($W97="","",N(INDEX(发票统计!S$4:S$1003,$W97)))</f>
        <v/>
      </c>
      <c r="T97" s="56" t="str">
        <f aca="false">IF($W97="","",SUM(Q$4:Q97)-SUM(R$4:R97)-SUM(S$4:S97))</f>
        <v/>
      </c>
      <c r="U97" s="56" t="str">
        <f aca="false">IF($W97="","",INDEX(发票统计!U$4:U$1003,$W97)&amp;"")</f>
        <v/>
      </c>
      <c r="W97" s="1" t="str">
        <f aca="false">IF($V$3="","",IFERROR(MATCH($V$3&amp;"#"&amp;ROWS(W$4:W97),发票统计!$W$4:$W$1003,0),""))</f>
        <v/>
      </c>
    </row>
    <row r="98" customFormat="false" ht="16.5" hidden="false" customHeight="false" outlineLevel="0" collapsed="false">
      <c r="A98" s="3" t="str">
        <f aca="false">IF($W98="","",INDEX(发票统计!A$4:A$1003,$W98)&amp;"")</f>
        <v/>
      </c>
      <c r="B98" s="3" t="str">
        <f aca="false">IF($W98="","",INDEX(发票统计!B$4:B$1003,$W98)&amp;"")</f>
        <v/>
      </c>
      <c r="C98" s="3" t="str">
        <f aca="false">IF($W98="","",INDEX(发票统计!C$4:C$1003,$W98)&amp;"")</f>
        <v/>
      </c>
      <c r="D98" s="3" t="str">
        <f aca="false">IF($W98="","",INDEX(发票统计!D$4:D$1003,$W98)&amp;"")</f>
        <v/>
      </c>
      <c r="E98" s="67" t="str">
        <f aca="false">IF($W98="","",INDEX(发票统计!E$4:E$1003,$W98)&amp;"")</f>
        <v/>
      </c>
      <c r="F98" s="68" t="str">
        <f aca="false">IF($W98="","",INDEX(发票统计!F$4:F$1003,$W98)&amp;"")</f>
        <v/>
      </c>
      <c r="G98" s="68" t="str">
        <f aca="false">IF($W98="","",IF(INDEX(发票统计!G$4:G$1003,$W98)="","",INDEX(发票统计!G$4:G$1003,$W98)))</f>
        <v/>
      </c>
      <c r="H98" s="56" t="str">
        <f aca="false">IF($W98="","",N(INDEX(发票统计!H$4:H$1003,$W98)))</f>
        <v/>
      </c>
      <c r="I98" s="56" t="str">
        <f aca="false">IF($W98="","",N(INDEX(发票统计!I$4:I$1003,$W98)))</f>
        <v/>
      </c>
      <c r="J98" s="56" t="str">
        <f aca="false">IF($W98="","",N(INDEX(发票统计!J$4:J$1003,$W98)))</f>
        <v/>
      </c>
      <c r="K98" s="56" t="str">
        <f aca="false">IF($W98="","",N(INDEX(发票统计!K$4:K$1003,$W98)))</f>
        <v/>
      </c>
      <c r="L98" s="56" t="str">
        <f aca="false">IF($W98="","",SUM(J$4:J98)-SUM(K$4:K98))</f>
        <v/>
      </c>
      <c r="M98" s="56" t="str">
        <f aca="false">IF($W98="","",N(INDEX(发票统计!M$4:M$1003,$W98)))</f>
        <v/>
      </c>
      <c r="N98" s="56" t="str">
        <f aca="false">IF($W98="","",N(INDEX(发票统计!N$4:N$1003,$W98)))</f>
        <v/>
      </c>
      <c r="O98" s="56" t="str">
        <f aca="false">IF($W98="","",N(INDEX(发票统计!O$4:O$1003,$W98)))</f>
        <v/>
      </c>
      <c r="P98" s="56" t="str">
        <f aca="false">IF($W98="","",SUM(M$4:M98)-SUM(N$4:N98)-SUM(O$4:O98))</f>
        <v/>
      </c>
      <c r="Q98" s="56" t="str">
        <f aca="false">IF($W98="","",N(INDEX(发票统计!Q$4:Q$1003,$W98)))</f>
        <v/>
      </c>
      <c r="R98" s="56" t="str">
        <f aca="false">IF($W98="","",N(INDEX(发票统计!R$4:R$1003,$W98)))</f>
        <v/>
      </c>
      <c r="S98" s="56" t="str">
        <f aca="false">IF($W98="","",N(INDEX(发票统计!S$4:S$1003,$W98)))</f>
        <v/>
      </c>
      <c r="T98" s="56" t="str">
        <f aca="false">IF($W98="","",SUM(Q$4:Q98)-SUM(R$4:R98)-SUM(S$4:S98))</f>
        <v/>
      </c>
      <c r="U98" s="56" t="str">
        <f aca="false">IF($W98="","",INDEX(发票统计!U$4:U$1003,$W98)&amp;"")</f>
        <v/>
      </c>
      <c r="W98" s="1" t="str">
        <f aca="false">IF($V$3="","",IFERROR(MATCH($V$3&amp;"#"&amp;ROWS(W$4:W98),发票统计!$W$4:$W$1003,0),""))</f>
        <v/>
      </c>
    </row>
    <row r="99" customFormat="false" ht="16.5" hidden="false" customHeight="false" outlineLevel="0" collapsed="false">
      <c r="A99" s="3" t="str">
        <f aca="false">IF($W99="","",INDEX(发票统计!A$4:A$1003,$W99)&amp;"")</f>
        <v/>
      </c>
      <c r="B99" s="3" t="str">
        <f aca="false">IF($W99="","",INDEX(发票统计!B$4:B$1003,$W99)&amp;"")</f>
        <v/>
      </c>
      <c r="C99" s="3" t="str">
        <f aca="false">IF($W99="","",INDEX(发票统计!C$4:C$1003,$W99)&amp;"")</f>
        <v/>
      </c>
      <c r="D99" s="3" t="str">
        <f aca="false">IF($W99="","",INDEX(发票统计!D$4:D$1003,$W99)&amp;"")</f>
        <v/>
      </c>
      <c r="E99" s="67" t="str">
        <f aca="false">IF($W99="","",INDEX(发票统计!E$4:E$1003,$W99)&amp;"")</f>
        <v/>
      </c>
      <c r="F99" s="68" t="str">
        <f aca="false">IF($W99="","",INDEX(发票统计!F$4:F$1003,$W99)&amp;"")</f>
        <v/>
      </c>
      <c r="G99" s="68" t="str">
        <f aca="false">IF($W99="","",IF(INDEX(发票统计!G$4:G$1003,$W99)="","",INDEX(发票统计!G$4:G$1003,$W99)))</f>
        <v/>
      </c>
      <c r="H99" s="56" t="str">
        <f aca="false">IF($W99="","",N(INDEX(发票统计!H$4:H$1003,$W99)))</f>
        <v/>
      </c>
      <c r="I99" s="56" t="str">
        <f aca="false">IF($W99="","",N(INDEX(发票统计!I$4:I$1003,$W99)))</f>
        <v/>
      </c>
      <c r="J99" s="56" t="str">
        <f aca="false">IF($W99="","",N(INDEX(发票统计!J$4:J$1003,$W99)))</f>
        <v/>
      </c>
      <c r="K99" s="56" t="str">
        <f aca="false">IF($W99="","",N(INDEX(发票统计!K$4:K$1003,$W99)))</f>
        <v/>
      </c>
      <c r="L99" s="56" t="str">
        <f aca="false">IF($W99="","",SUM(J$4:J99)-SUM(K$4:K99))</f>
        <v/>
      </c>
      <c r="M99" s="56" t="str">
        <f aca="false">IF($W99="","",N(INDEX(发票统计!M$4:M$1003,$W99)))</f>
        <v/>
      </c>
      <c r="N99" s="56" t="str">
        <f aca="false">IF($W99="","",N(INDEX(发票统计!N$4:N$1003,$W99)))</f>
        <v/>
      </c>
      <c r="O99" s="56" t="str">
        <f aca="false">IF($W99="","",N(INDEX(发票统计!O$4:O$1003,$W99)))</f>
        <v/>
      </c>
      <c r="P99" s="56" t="str">
        <f aca="false">IF($W99="","",SUM(M$4:M99)-SUM(N$4:N99)-SUM(O$4:O99))</f>
        <v/>
      </c>
      <c r="Q99" s="56" t="str">
        <f aca="false">IF($W99="","",N(INDEX(发票统计!Q$4:Q$1003,$W99)))</f>
        <v/>
      </c>
      <c r="R99" s="56" t="str">
        <f aca="false">IF($W99="","",N(INDEX(发票统计!R$4:R$1003,$W99)))</f>
        <v/>
      </c>
      <c r="S99" s="56" t="str">
        <f aca="false">IF($W99="","",N(INDEX(发票统计!S$4:S$1003,$W99)))</f>
        <v/>
      </c>
      <c r="T99" s="56" t="str">
        <f aca="false">IF($W99="","",SUM(Q$4:Q99)-SUM(R$4:R99)-SUM(S$4:S99))</f>
        <v/>
      </c>
      <c r="U99" s="56" t="str">
        <f aca="false">IF($W99="","",INDEX(发票统计!U$4:U$1003,$W99)&amp;"")</f>
        <v/>
      </c>
      <c r="W99" s="1" t="str">
        <f aca="false">IF($V$3="","",IFERROR(MATCH($V$3&amp;"#"&amp;ROWS(W$4:W99),发票统计!$W$4:$W$1003,0),""))</f>
        <v/>
      </c>
    </row>
    <row r="100" customFormat="false" ht="16.5" hidden="false" customHeight="false" outlineLevel="0" collapsed="false">
      <c r="A100" s="3" t="str">
        <f aca="false">IF($W100="","",INDEX(发票统计!A$4:A$1003,$W100)&amp;"")</f>
        <v/>
      </c>
      <c r="B100" s="3" t="str">
        <f aca="false">IF($W100="","",INDEX(发票统计!B$4:B$1003,$W100)&amp;"")</f>
        <v/>
      </c>
      <c r="C100" s="3" t="str">
        <f aca="false">IF($W100="","",INDEX(发票统计!C$4:C$1003,$W100)&amp;"")</f>
        <v/>
      </c>
      <c r="D100" s="3" t="str">
        <f aca="false">IF($W100="","",INDEX(发票统计!D$4:D$1003,$W100)&amp;"")</f>
        <v/>
      </c>
      <c r="E100" s="67" t="str">
        <f aca="false">IF($W100="","",INDEX(发票统计!E$4:E$1003,$W100)&amp;"")</f>
        <v/>
      </c>
      <c r="F100" s="68" t="str">
        <f aca="false">IF($W100="","",INDEX(发票统计!F$4:F$1003,$W100)&amp;"")</f>
        <v/>
      </c>
      <c r="G100" s="68" t="str">
        <f aca="false">IF($W100="","",IF(INDEX(发票统计!G$4:G$1003,$W100)="","",INDEX(发票统计!G$4:G$1003,$W100)))</f>
        <v/>
      </c>
      <c r="H100" s="56" t="str">
        <f aca="false">IF($W100="","",N(INDEX(发票统计!H$4:H$1003,$W100)))</f>
        <v/>
      </c>
      <c r="I100" s="56" t="str">
        <f aca="false">IF($W100="","",N(INDEX(发票统计!I$4:I$1003,$W100)))</f>
        <v/>
      </c>
      <c r="J100" s="56" t="str">
        <f aca="false">IF($W100="","",N(INDEX(发票统计!J$4:J$1003,$W100)))</f>
        <v/>
      </c>
      <c r="K100" s="56" t="str">
        <f aca="false">IF($W100="","",N(INDEX(发票统计!K$4:K$1003,$W100)))</f>
        <v/>
      </c>
      <c r="L100" s="56" t="str">
        <f aca="false">IF($W100="","",SUM(J$4:J100)-SUM(K$4:K100))</f>
        <v/>
      </c>
      <c r="M100" s="56" t="str">
        <f aca="false">IF($W100="","",N(INDEX(发票统计!M$4:M$1003,$W100)))</f>
        <v/>
      </c>
      <c r="N100" s="56" t="str">
        <f aca="false">IF($W100="","",N(INDEX(发票统计!N$4:N$1003,$W100)))</f>
        <v/>
      </c>
      <c r="O100" s="56" t="str">
        <f aca="false">IF($W100="","",N(INDEX(发票统计!O$4:O$1003,$W100)))</f>
        <v/>
      </c>
      <c r="P100" s="56" t="str">
        <f aca="false">IF($W100="","",SUM(M$4:M100)-SUM(N$4:N100)-SUM(O$4:O100))</f>
        <v/>
      </c>
      <c r="Q100" s="56" t="str">
        <f aca="false">IF($W100="","",N(INDEX(发票统计!Q$4:Q$1003,$W100)))</f>
        <v/>
      </c>
      <c r="R100" s="56" t="str">
        <f aca="false">IF($W100="","",N(INDEX(发票统计!R$4:R$1003,$W100)))</f>
        <v/>
      </c>
      <c r="S100" s="56" t="str">
        <f aca="false">IF($W100="","",N(INDEX(发票统计!S$4:S$1003,$W100)))</f>
        <v/>
      </c>
      <c r="T100" s="56" t="str">
        <f aca="false">IF($W100="","",SUM(Q$4:Q100)-SUM(R$4:R100)-SUM(S$4:S100))</f>
        <v/>
      </c>
      <c r="U100" s="56" t="str">
        <f aca="false">IF($W100="","",INDEX(发票统计!U$4:U$1003,$W100)&amp;"")</f>
        <v/>
      </c>
      <c r="W100" s="1" t="str">
        <f aca="false">IF($V$3="","",IFERROR(MATCH($V$3&amp;"#"&amp;ROWS(W$4:W100),发票统计!$W$4:$W$1003,0),""))</f>
        <v/>
      </c>
    </row>
    <row r="101" customFormat="false" ht="16.5" hidden="false" customHeight="false" outlineLevel="0" collapsed="false">
      <c r="A101" s="3" t="str">
        <f aca="false">IF($W101="","",INDEX(发票统计!A$4:A$1003,$W101)&amp;"")</f>
        <v/>
      </c>
      <c r="B101" s="3" t="str">
        <f aca="false">IF($W101="","",INDEX(发票统计!B$4:B$1003,$W101)&amp;"")</f>
        <v/>
      </c>
      <c r="C101" s="3" t="str">
        <f aca="false">IF($W101="","",INDEX(发票统计!C$4:C$1003,$W101)&amp;"")</f>
        <v/>
      </c>
      <c r="D101" s="3" t="str">
        <f aca="false">IF($W101="","",INDEX(发票统计!D$4:D$1003,$W101)&amp;"")</f>
        <v/>
      </c>
      <c r="E101" s="67" t="str">
        <f aca="false">IF($W101="","",INDEX(发票统计!E$4:E$1003,$W101)&amp;"")</f>
        <v/>
      </c>
      <c r="F101" s="68" t="str">
        <f aca="false">IF($W101="","",INDEX(发票统计!F$4:F$1003,$W101)&amp;"")</f>
        <v/>
      </c>
      <c r="G101" s="68" t="str">
        <f aca="false">IF($W101="","",IF(INDEX(发票统计!G$4:G$1003,$W101)="","",INDEX(发票统计!G$4:G$1003,$W101)))</f>
        <v/>
      </c>
      <c r="H101" s="56" t="str">
        <f aca="false">IF($W101="","",N(INDEX(发票统计!H$4:H$1003,$W101)))</f>
        <v/>
      </c>
      <c r="I101" s="56" t="str">
        <f aca="false">IF($W101="","",N(INDEX(发票统计!I$4:I$1003,$W101)))</f>
        <v/>
      </c>
      <c r="J101" s="56" t="str">
        <f aca="false">IF($W101="","",N(INDEX(发票统计!J$4:J$1003,$W101)))</f>
        <v/>
      </c>
      <c r="K101" s="56" t="str">
        <f aca="false">IF($W101="","",N(INDEX(发票统计!K$4:K$1003,$W101)))</f>
        <v/>
      </c>
      <c r="L101" s="56" t="str">
        <f aca="false">IF($W101="","",SUM(J$4:J101)-SUM(K$4:K101))</f>
        <v/>
      </c>
      <c r="M101" s="56" t="str">
        <f aca="false">IF($W101="","",N(INDEX(发票统计!M$4:M$1003,$W101)))</f>
        <v/>
      </c>
      <c r="N101" s="56" t="str">
        <f aca="false">IF($W101="","",N(INDEX(发票统计!N$4:N$1003,$W101)))</f>
        <v/>
      </c>
      <c r="O101" s="56" t="str">
        <f aca="false">IF($W101="","",N(INDEX(发票统计!O$4:O$1003,$W101)))</f>
        <v/>
      </c>
      <c r="P101" s="56" t="str">
        <f aca="false">IF($W101="","",SUM(M$4:M101)-SUM(N$4:N101)-SUM(O$4:O101))</f>
        <v/>
      </c>
      <c r="Q101" s="56" t="str">
        <f aca="false">IF($W101="","",N(INDEX(发票统计!Q$4:Q$1003,$W101)))</f>
        <v/>
      </c>
      <c r="R101" s="56" t="str">
        <f aca="false">IF($W101="","",N(INDEX(发票统计!R$4:R$1003,$W101)))</f>
        <v/>
      </c>
      <c r="S101" s="56" t="str">
        <f aca="false">IF($W101="","",N(INDEX(发票统计!S$4:S$1003,$W101)))</f>
        <v/>
      </c>
      <c r="T101" s="56" t="str">
        <f aca="false">IF($W101="","",SUM(Q$4:Q101)-SUM(R$4:R101)-SUM(S$4:S101))</f>
        <v/>
      </c>
      <c r="U101" s="56" t="str">
        <f aca="false">IF($W101="","",INDEX(发票统计!U$4:U$1003,$W101)&amp;"")</f>
        <v/>
      </c>
      <c r="W101" s="1" t="str">
        <f aca="false">IF($V$3="","",IFERROR(MATCH($V$3&amp;"#"&amp;ROWS(W$4:W101),发票统计!$W$4:$W$1003,0),""))</f>
        <v/>
      </c>
    </row>
    <row r="102" customFormat="false" ht="16.5" hidden="false" customHeight="false" outlineLevel="0" collapsed="false">
      <c r="A102" s="3" t="str">
        <f aca="false">IF($W102="","",INDEX(发票统计!A$4:A$1003,$W102)&amp;"")</f>
        <v/>
      </c>
      <c r="B102" s="3" t="str">
        <f aca="false">IF($W102="","",INDEX(发票统计!B$4:B$1003,$W102)&amp;"")</f>
        <v/>
      </c>
      <c r="C102" s="3" t="str">
        <f aca="false">IF($W102="","",INDEX(发票统计!C$4:C$1003,$W102)&amp;"")</f>
        <v/>
      </c>
      <c r="D102" s="3" t="str">
        <f aca="false">IF($W102="","",INDEX(发票统计!D$4:D$1003,$W102)&amp;"")</f>
        <v/>
      </c>
      <c r="E102" s="67" t="str">
        <f aca="false">IF($W102="","",INDEX(发票统计!E$4:E$1003,$W102)&amp;"")</f>
        <v/>
      </c>
      <c r="F102" s="68" t="str">
        <f aca="false">IF($W102="","",INDEX(发票统计!F$4:F$1003,$W102)&amp;"")</f>
        <v/>
      </c>
      <c r="G102" s="68" t="str">
        <f aca="false">IF($W102="","",IF(INDEX(发票统计!G$4:G$1003,$W102)="","",INDEX(发票统计!G$4:G$1003,$W102)))</f>
        <v/>
      </c>
      <c r="H102" s="56" t="str">
        <f aca="false">IF($W102="","",N(INDEX(发票统计!H$4:H$1003,$W102)))</f>
        <v/>
      </c>
      <c r="I102" s="56" t="str">
        <f aca="false">IF($W102="","",N(INDEX(发票统计!I$4:I$1003,$W102)))</f>
        <v/>
      </c>
      <c r="J102" s="56" t="str">
        <f aca="false">IF($W102="","",N(INDEX(发票统计!J$4:J$1003,$W102)))</f>
        <v/>
      </c>
      <c r="K102" s="56" t="str">
        <f aca="false">IF($W102="","",N(INDEX(发票统计!K$4:K$1003,$W102)))</f>
        <v/>
      </c>
      <c r="L102" s="56" t="str">
        <f aca="false">IF($W102="","",SUM(J$4:J102)-SUM(K$4:K102))</f>
        <v/>
      </c>
      <c r="M102" s="56" t="str">
        <f aca="false">IF($W102="","",N(INDEX(发票统计!M$4:M$1003,$W102)))</f>
        <v/>
      </c>
      <c r="N102" s="56" t="str">
        <f aca="false">IF($W102="","",N(INDEX(发票统计!N$4:N$1003,$W102)))</f>
        <v/>
      </c>
      <c r="O102" s="56" t="str">
        <f aca="false">IF($W102="","",N(INDEX(发票统计!O$4:O$1003,$W102)))</f>
        <v/>
      </c>
      <c r="P102" s="56" t="str">
        <f aca="false">IF($W102="","",SUM(M$4:M102)-SUM(N$4:N102)-SUM(O$4:O102))</f>
        <v/>
      </c>
      <c r="Q102" s="56" t="str">
        <f aca="false">IF($W102="","",N(INDEX(发票统计!Q$4:Q$1003,$W102)))</f>
        <v/>
      </c>
      <c r="R102" s="56" t="str">
        <f aca="false">IF($W102="","",N(INDEX(发票统计!R$4:R$1003,$W102)))</f>
        <v/>
      </c>
      <c r="S102" s="56" t="str">
        <f aca="false">IF($W102="","",N(INDEX(发票统计!S$4:S$1003,$W102)))</f>
        <v/>
      </c>
      <c r="T102" s="56" t="str">
        <f aca="false">IF($W102="","",SUM(Q$4:Q102)-SUM(R$4:R102)-SUM(S$4:S102))</f>
        <v/>
      </c>
      <c r="U102" s="56" t="str">
        <f aca="false">IF($W102="","",INDEX(发票统计!U$4:U$1003,$W102)&amp;"")</f>
        <v/>
      </c>
      <c r="W102" s="1" t="str">
        <f aca="false">IF($V$3="","",IFERROR(MATCH($V$3&amp;"#"&amp;ROWS(W$4:W102),发票统计!$W$4:$W$1003,0),""))</f>
        <v/>
      </c>
    </row>
    <row r="103" customFormat="false" ht="16.5" hidden="false" customHeight="false" outlineLevel="0" collapsed="false">
      <c r="A103" s="3" t="str">
        <f aca="false">IF($W103="","",INDEX(发票统计!A$4:A$1003,$W103)&amp;"")</f>
        <v/>
      </c>
      <c r="B103" s="3" t="str">
        <f aca="false">IF($W103="","",INDEX(发票统计!B$4:B$1003,$W103)&amp;"")</f>
        <v/>
      </c>
      <c r="C103" s="3" t="str">
        <f aca="false">IF($W103="","",INDEX(发票统计!C$4:C$1003,$W103)&amp;"")</f>
        <v/>
      </c>
      <c r="D103" s="3" t="str">
        <f aca="false">IF($W103="","",INDEX(发票统计!D$4:D$1003,$W103)&amp;"")</f>
        <v/>
      </c>
      <c r="E103" s="67" t="str">
        <f aca="false">IF($W103="","",INDEX(发票统计!E$4:E$1003,$W103)&amp;"")</f>
        <v/>
      </c>
      <c r="F103" s="68" t="str">
        <f aca="false">IF($W103="","",INDEX(发票统计!F$4:F$1003,$W103)&amp;"")</f>
        <v/>
      </c>
      <c r="G103" s="68" t="str">
        <f aca="false">IF($W103="","",IF(INDEX(发票统计!G$4:G$1003,$W103)="","",INDEX(发票统计!G$4:G$1003,$W103)))</f>
        <v/>
      </c>
      <c r="H103" s="56" t="str">
        <f aca="false">IF($W103="","",N(INDEX(发票统计!H$4:H$1003,$W103)))</f>
        <v/>
      </c>
      <c r="I103" s="56" t="str">
        <f aca="false">IF($W103="","",N(INDEX(发票统计!I$4:I$1003,$W103)))</f>
        <v/>
      </c>
      <c r="J103" s="56" t="str">
        <f aca="false">IF($W103="","",N(INDEX(发票统计!J$4:J$1003,$W103)))</f>
        <v/>
      </c>
      <c r="K103" s="56" t="str">
        <f aca="false">IF($W103="","",N(INDEX(发票统计!K$4:K$1003,$W103)))</f>
        <v/>
      </c>
      <c r="L103" s="56" t="str">
        <f aca="false">IF($W103="","",SUM(J$4:J103)-SUM(K$4:K103))</f>
        <v/>
      </c>
      <c r="M103" s="56" t="str">
        <f aca="false">IF($W103="","",N(INDEX(发票统计!M$4:M$1003,$W103)))</f>
        <v/>
      </c>
      <c r="N103" s="56" t="str">
        <f aca="false">IF($W103="","",N(INDEX(发票统计!N$4:N$1003,$W103)))</f>
        <v/>
      </c>
      <c r="O103" s="56" t="str">
        <f aca="false">IF($W103="","",N(INDEX(发票统计!O$4:O$1003,$W103)))</f>
        <v/>
      </c>
      <c r="P103" s="56" t="str">
        <f aca="false">IF($W103="","",SUM(M$4:M103)-SUM(N$4:N103)-SUM(O$4:O103))</f>
        <v/>
      </c>
      <c r="Q103" s="56" t="str">
        <f aca="false">IF($W103="","",N(INDEX(发票统计!Q$4:Q$1003,$W103)))</f>
        <v/>
      </c>
      <c r="R103" s="56" t="str">
        <f aca="false">IF($W103="","",N(INDEX(发票统计!R$4:R$1003,$W103)))</f>
        <v/>
      </c>
      <c r="S103" s="56" t="str">
        <f aca="false">IF($W103="","",N(INDEX(发票统计!S$4:S$1003,$W103)))</f>
        <v/>
      </c>
      <c r="T103" s="56" t="str">
        <f aca="false">IF($W103="","",SUM(Q$4:Q103)-SUM(R$4:R103)-SUM(S$4:S103))</f>
        <v/>
      </c>
      <c r="U103" s="56" t="str">
        <f aca="false">IF($W103="","",INDEX(发票统计!U$4:U$1003,$W103)&amp;"")</f>
        <v/>
      </c>
      <c r="W103" s="1" t="str">
        <f aca="false">IF($V$3="","",IFERROR(MATCH($V$3&amp;"#"&amp;ROWS(W$4:W103),发票统计!$W$4:$W$1003,0),""))</f>
        <v/>
      </c>
    </row>
    <row r="104" customFormat="false" ht="16.5" hidden="false" customHeight="false" outlineLevel="0" collapsed="false">
      <c r="A104" s="3" t="str">
        <f aca="false">IF($W104="","",INDEX(发票统计!A$4:A$1003,$W104)&amp;"")</f>
        <v/>
      </c>
      <c r="B104" s="3" t="str">
        <f aca="false">IF($W104="","",INDEX(发票统计!B$4:B$1003,$W104)&amp;"")</f>
        <v/>
      </c>
      <c r="C104" s="3" t="str">
        <f aca="false">IF($W104="","",INDEX(发票统计!C$4:C$1003,$W104)&amp;"")</f>
        <v/>
      </c>
      <c r="D104" s="3" t="str">
        <f aca="false">IF($W104="","",INDEX(发票统计!D$4:D$1003,$W104)&amp;"")</f>
        <v/>
      </c>
      <c r="E104" s="67" t="str">
        <f aca="false">IF($W104="","",INDEX(发票统计!E$4:E$1003,$W104)&amp;"")</f>
        <v/>
      </c>
      <c r="F104" s="68" t="str">
        <f aca="false">IF($W104="","",INDEX(发票统计!F$4:F$1003,$W104)&amp;"")</f>
        <v/>
      </c>
      <c r="G104" s="68" t="str">
        <f aca="false">IF($W104="","",IF(INDEX(发票统计!G$4:G$1003,$W104)="","",INDEX(发票统计!G$4:G$1003,$W104)))</f>
        <v/>
      </c>
      <c r="H104" s="56" t="str">
        <f aca="false">IF($W104="","",N(INDEX(发票统计!H$4:H$1003,$W104)))</f>
        <v/>
      </c>
      <c r="I104" s="56" t="str">
        <f aca="false">IF($W104="","",N(INDEX(发票统计!I$4:I$1003,$W104)))</f>
        <v/>
      </c>
      <c r="J104" s="56" t="str">
        <f aca="false">IF($W104="","",N(INDEX(发票统计!J$4:J$1003,$W104)))</f>
        <v/>
      </c>
      <c r="K104" s="56" t="str">
        <f aca="false">IF($W104="","",N(INDEX(发票统计!K$4:K$1003,$W104)))</f>
        <v/>
      </c>
      <c r="L104" s="56" t="str">
        <f aca="false">IF($W104="","",SUM(J$4:J104)-SUM(K$4:K104))</f>
        <v/>
      </c>
      <c r="M104" s="56" t="str">
        <f aca="false">IF($W104="","",N(INDEX(发票统计!M$4:M$1003,$W104)))</f>
        <v/>
      </c>
      <c r="N104" s="56" t="str">
        <f aca="false">IF($W104="","",N(INDEX(发票统计!N$4:N$1003,$W104)))</f>
        <v/>
      </c>
      <c r="O104" s="56" t="str">
        <f aca="false">IF($W104="","",N(INDEX(发票统计!O$4:O$1003,$W104)))</f>
        <v/>
      </c>
      <c r="P104" s="56" t="str">
        <f aca="false">IF($W104="","",SUM(M$4:M104)-SUM(N$4:N104)-SUM(O$4:O104))</f>
        <v/>
      </c>
      <c r="Q104" s="56" t="str">
        <f aca="false">IF($W104="","",N(INDEX(发票统计!Q$4:Q$1003,$W104)))</f>
        <v/>
      </c>
      <c r="R104" s="56" t="str">
        <f aca="false">IF($W104="","",N(INDEX(发票统计!R$4:R$1003,$W104)))</f>
        <v/>
      </c>
      <c r="S104" s="56" t="str">
        <f aca="false">IF($W104="","",N(INDEX(发票统计!S$4:S$1003,$W104)))</f>
        <v/>
      </c>
      <c r="T104" s="56" t="str">
        <f aca="false">IF($W104="","",SUM(Q$4:Q104)-SUM(R$4:R104)-SUM(S$4:S104))</f>
        <v/>
      </c>
      <c r="U104" s="56" t="str">
        <f aca="false">IF($W104="","",INDEX(发票统计!U$4:U$1003,$W104)&amp;"")</f>
        <v/>
      </c>
      <c r="W104" s="1" t="str">
        <f aca="false">IF($V$3="","",IFERROR(MATCH($V$3&amp;"#"&amp;ROWS(W$4:W104),发票统计!$W$4:$W$1003,0),""))</f>
        <v/>
      </c>
    </row>
    <row r="105" customFormat="false" ht="16.5" hidden="false" customHeight="false" outlineLevel="0" collapsed="false">
      <c r="A105" s="3" t="str">
        <f aca="false">IF($W105="","",INDEX(发票统计!A$4:A$1003,$W105)&amp;"")</f>
        <v/>
      </c>
      <c r="B105" s="3" t="str">
        <f aca="false">IF($W105="","",INDEX(发票统计!B$4:B$1003,$W105)&amp;"")</f>
        <v/>
      </c>
      <c r="C105" s="3" t="str">
        <f aca="false">IF($W105="","",INDEX(发票统计!C$4:C$1003,$W105)&amp;"")</f>
        <v/>
      </c>
      <c r="D105" s="3" t="str">
        <f aca="false">IF($W105="","",INDEX(发票统计!D$4:D$1003,$W105)&amp;"")</f>
        <v/>
      </c>
      <c r="E105" s="67" t="str">
        <f aca="false">IF($W105="","",INDEX(发票统计!E$4:E$1003,$W105)&amp;"")</f>
        <v/>
      </c>
      <c r="F105" s="68" t="str">
        <f aca="false">IF($W105="","",INDEX(发票统计!F$4:F$1003,$W105)&amp;"")</f>
        <v/>
      </c>
      <c r="G105" s="68" t="str">
        <f aca="false">IF($W105="","",IF(INDEX(发票统计!G$4:G$1003,$W105)="","",INDEX(发票统计!G$4:G$1003,$W105)))</f>
        <v/>
      </c>
      <c r="H105" s="56" t="str">
        <f aca="false">IF($W105="","",N(INDEX(发票统计!H$4:H$1003,$W105)))</f>
        <v/>
      </c>
      <c r="I105" s="56" t="str">
        <f aca="false">IF($W105="","",N(INDEX(发票统计!I$4:I$1003,$W105)))</f>
        <v/>
      </c>
      <c r="J105" s="56" t="str">
        <f aca="false">IF($W105="","",N(INDEX(发票统计!J$4:J$1003,$W105)))</f>
        <v/>
      </c>
      <c r="K105" s="56" t="str">
        <f aca="false">IF($W105="","",N(INDEX(发票统计!K$4:K$1003,$W105)))</f>
        <v/>
      </c>
      <c r="L105" s="56" t="str">
        <f aca="false">IF($W105="","",SUM(J$4:J105)-SUM(K$4:K105))</f>
        <v/>
      </c>
      <c r="M105" s="56" t="str">
        <f aca="false">IF($W105="","",N(INDEX(发票统计!M$4:M$1003,$W105)))</f>
        <v/>
      </c>
      <c r="N105" s="56" t="str">
        <f aca="false">IF($W105="","",N(INDEX(发票统计!N$4:N$1003,$W105)))</f>
        <v/>
      </c>
      <c r="O105" s="56" t="str">
        <f aca="false">IF($W105="","",N(INDEX(发票统计!O$4:O$1003,$W105)))</f>
        <v/>
      </c>
      <c r="P105" s="56" t="str">
        <f aca="false">IF($W105="","",SUM(M$4:M105)-SUM(N$4:N105)-SUM(O$4:O105))</f>
        <v/>
      </c>
      <c r="Q105" s="56" t="str">
        <f aca="false">IF($W105="","",N(INDEX(发票统计!Q$4:Q$1003,$W105)))</f>
        <v/>
      </c>
      <c r="R105" s="56" t="str">
        <f aca="false">IF($W105="","",N(INDEX(发票统计!R$4:R$1003,$W105)))</f>
        <v/>
      </c>
      <c r="S105" s="56" t="str">
        <f aca="false">IF($W105="","",N(INDEX(发票统计!S$4:S$1003,$W105)))</f>
        <v/>
      </c>
      <c r="T105" s="56" t="str">
        <f aca="false">IF($W105="","",SUM(Q$4:Q105)-SUM(R$4:R105)-SUM(S$4:S105))</f>
        <v/>
      </c>
      <c r="U105" s="56" t="str">
        <f aca="false">IF($W105="","",INDEX(发票统计!U$4:U$1003,$W105)&amp;"")</f>
        <v/>
      </c>
      <c r="W105" s="1" t="str">
        <f aca="false">IF($V$3="","",IFERROR(MATCH($V$3&amp;"#"&amp;ROWS(W$4:W105),发票统计!$W$4:$W$1003,0),""))</f>
        <v/>
      </c>
    </row>
    <row r="106" customFormat="false" ht="16.5" hidden="false" customHeight="false" outlineLevel="0" collapsed="false">
      <c r="A106" s="3" t="str">
        <f aca="false">IF($W106="","",INDEX(发票统计!A$4:A$1003,$W106)&amp;"")</f>
        <v/>
      </c>
      <c r="B106" s="3" t="str">
        <f aca="false">IF($W106="","",INDEX(发票统计!B$4:B$1003,$W106)&amp;"")</f>
        <v/>
      </c>
      <c r="C106" s="3" t="str">
        <f aca="false">IF($W106="","",INDEX(发票统计!C$4:C$1003,$W106)&amp;"")</f>
        <v/>
      </c>
      <c r="D106" s="3" t="str">
        <f aca="false">IF($W106="","",INDEX(发票统计!D$4:D$1003,$W106)&amp;"")</f>
        <v/>
      </c>
      <c r="E106" s="67" t="str">
        <f aca="false">IF($W106="","",INDEX(发票统计!E$4:E$1003,$W106)&amp;"")</f>
        <v/>
      </c>
      <c r="F106" s="68" t="str">
        <f aca="false">IF($W106="","",INDEX(发票统计!F$4:F$1003,$W106)&amp;"")</f>
        <v/>
      </c>
      <c r="G106" s="68" t="str">
        <f aca="false">IF($W106="","",IF(INDEX(发票统计!G$4:G$1003,$W106)="","",INDEX(发票统计!G$4:G$1003,$W106)))</f>
        <v/>
      </c>
      <c r="H106" s="56" t="str">
        <f aca="false">IF($W106="","",N(INDEX(发票统计!H$4:H$1003,$W106)))</f>
        <v/>
      </c>
      <c r="I106" s="56" t="str">
        <f aca="false">IF($W106="","",N(INDEX(发票统计!I$4:I$1003,$W106)))</f>
        <v/>
      </c>
      <c r="J106" s="56" t="str">
        <f aca="false">IF($W106="","",N(INDEX(发票统计!J$4:J$1003,$W106)))</f>
        <v/>
      </c>
      <c r="K106" s="56" t="str">
        <f aca="false">IF($W106="","",N(INDEX(发票统计!K$4:K$1003,$W106)))</f>
        <v/>
      </c>
      <c r="L106" s="56" t="str">
        <f aca="false">IF($W106="","",SUM(J$4:J106)-SUM(K$4:K106))</f>
        <v/>
      </c>
      <c r="M106" s="56" t="str">
        <f aca="false">IF($W106="","",N(INDEX(发票统计!M$4:M$1003,$W106)))</f>
        <v/>
      </c>
      <c r="N106" s="56" t="str">
        <f aca="false">IF($W106="","",N(INDEX(发票统计!N$4:N$1003,$W106)))</f>
        <v/>
      </c>
      <c r="O106" s="56" t="str">
        <f aca="false">IF($W106="","",N(INDEX(发票统计!O$4:O$1003,$W106)))</f>
        <v/>
      </c>
      <c r="P106" s="56" t="str">
        <f aca="false">IF($W106="","",SUM(M$4:M106)-SUM(N$4:N106)-SUM(O$4:O106))</f>
        <v/>
      </c>
      <c r="Q106" s="56" t="str">
        <f aca="false">IF($W106="","",N(INDEX(发票统计!Q$4:Q$1003,$W106)))</f>
        <v/>
      </c>
      <c r="R106" s="56" t="str">
        <f aca="false">IF($W106="","",N(INDEX(发票统计!R$4:R$1003,$W106)))</f>
        <v/>
      </c>
      <c r="S106" s="56" t="str">
        <f aca="false">IF($W106="","",N(INDEX(发票统计!S$4:S$1003,$W106)))</f>
        <v/>
      </c>
      <c r="T106" s="56" t="str">
        <f aca="false">IF($W106="","",SUM(Q$4:Q106)-SUM(R$4:R106)-SUM(S$4:S106))</f>
        <v/>
      </c>
      <c r="U106" s="56" t="str">
        <f aca="false">IF($W106="","",INDEX(发票统计!U$4:U$1003,$W106)&amp;"")</f>
        <v/>
      </c>
      <c r="W106" s="1" t="str">
        <f aca="false">IF($V$3="","",IFERROR(MATCH($V$3&amp;"#"&amp;ROWS(W$4:W106),发票统计!$W$4:$W$1003,0),""))</f>
        <v/>
      </c>
    </row>
    <row r="107" customFormat="false" ht="16.5" hidden="false" customHeight="false" outlineLevel="0" collapsed="false">
      <c r="A107" s="3" t="str">
        <f aca="false">IF($W107="","",INDEX(发票统计!A$4:A$1003,$W107)&amp;"")</f>
        <v/>
      </c>
      <c r="B107" s="3" t="str">
        <f aca="false">IF($W107="","",INDEX(发票统计!B$4:B$1003,$W107)&amp;"")</f>
        <v/>
      </c>
      <c r="C107" s="3" t="str">
        <f aca="false">IF($W107="","",INDEX(发票统计!C$4:C$1003,$W107)&amp;"")</f>
        <v/>
      </c>
      <c r="D107" s="3" t="str">
        <f aca="false">IF($W107="","",INDEX(发票统计!D$4:D$1003,$W107)&amp;"")</f>
        <v/>
      </c>
      <c r="E107" s="67" t="str">
        <f aca="false">IF($W107="","",INDEX(发票统计!E$4:E$1003,$W107)&amp;"")</f>
        <v/>
      </c>
      <c r="F107" s="68" t="str">
        <f aca="false">IF($W107="","",INDEX(发票统计!F$4:F$1003,$W107)&amp;"")</f>
        <v/>
      </c>
      <c r="G107" s="68" t="str">
        <f aca="false">IF($W107="","",IF(INDEX(发票统计!G$4:G$1003,$W107)="","",INDEX(发票统计!G$4:G$1003,$W107)))</f>
        <v/>
      </c>
      <c r="H107" s="56" t="str">
        <f aca="false">IF($W107="","",N(INDEX(发票统计!H$4:H$1003,$W107)))</f>
        <v/>
      </c>
      <c r="I107" s="56" t="str">
        <f aca="false">IF($W107="","",N(INDEX(发票统计!I$4:I$1003,$W107)))</f>
        <v/>
      </c>
      <c r="J107" s="56" t="str">
        <f aca="false">IF($W107="","",N(INDEX(发票统计!J$4:J$1003,$W107)))</f>
        <v/>
      </c>
      <c r="K107" s="56" t="str">
        <f aca="false">IF($W107="","",N(INDEX(发票统计!K$4:K$1003,$W107)))</f>
        <v/>
      </c>
      <c r="L107" s="56" t="str">
        <f aca="false">IF($W107="","",SUM(J$4:J107)-SUM(K$4:K107))</f>
        <v/>
      </c>
      <c r="M107" s="56" t="str">
        <f aca="false">IF($W107="","",N(INDEX(发票统计!M$4:M$1003,$W107)))</f>
        <v/>
      </c>
      <c r="N107" s="56" t="str">
        <f aca="false">IF($W107="","",N(INDEX(发票统计!N$4:N$1003,$W107)))</f>
        <v/>
      </c>
      <c r="O107" s="56" t="str">
        <f aca="false">IF($W107="","",N(INDEX(发票统计!O$4:O$1003,$W107)))</f>
        <v/>
      </c>
      <c r="P107" s="56" t="str">
        <f aca="false">IF($W107="","",SUM(M$4:M107)-SUM(N$4:N107)-SUM(O$4:O107))</f>
        <v/>
      </c>
      <c r="Q107" s="56" t="str">
        <f aca="false">IF($W107="","",N(INDEX(发票统计!Q$4:Q$1003,$W107)))</f>
        <v/>
      </c>
      <c r="R107" s="56" t="str">
        <f aca="false">IF($W107="","",N(INDEX(发票统计!R$4:R$1003,$W107)))</f>
        <v/>
      </c>
      <c r="S107" s="56" t="str">
        <f aca="false">IF($W107="","",N(INDEX(发票统计!S$4:S$1003,$W107)))</f>
        <v/>
      </c>
      <c r="T107" s="56" t="str">
        <f aca="false">IF($W107="","",SUM(Q$4:Q107)-SUM(R$4:R107)-SUM(S$4:S107))</f>
        <v/>
      </c>
      <c r="U107" s="56" t="str">
        <f aca="false">IF($W107="","",INDEX(发票统计!U$4:U$1003,$W107)&amp;"")</f>
        <v/>
      </c>
      <c r="W107" s="1" t="str">
        <f aca="false">IF($V$3="","",IFERROR(MATCH($V$3&amp;"#"&amp;ROWS(W$4:W107),发票统计!$W$4:$W$1003,0),""))</f>
        <v/>
      </c>
    </row>
    <row r="108" customFormat="false" ht="16.5" hidden="false" customHeight="false" outlineLevel="0" collapsed="false">
      <c r="A108" s="3" t="str">
        <f aca="false">IF($W108="","",INDEX(发票统计!A$4:A$1003,$W108)&amp;"")</f>
        <v/>
      </c>
      <c r="B108" s="3" t="str">
        <f aca="false">IF($W108="","",INDEX(发票统计!B$4:B$1003,$W108)&amp;"")</f>
        <v/>
      </c>
      <c r="C108" s="3" t="str">
        <f aca="false">IF($W108="","",INDEX(发票统计!C$4:C$1003,$W108)&amp;"")</f>
        <v/>
      </c>
      <c r="D108" s="3" t="str">
        <f aca="false">IF($W108="","",INDEX(发票统计!D$4:D$1003,$W108)&amp;"")</f>
        <v/>
      </c>
      <c r="E108" s="67" t="str">
        <f aca="false">IF($W108="","",INDEX(发票统计!E$4:E$1003,$W108)&amp;"")</f>
        <v/>
      </c>
      <c r="F108" s="68" t="str">
        <f aca="false">IF($W108="","",INDEX(发票统计!F$4:F$1003,$W108)&amp;"")</f>
        <v/>
      </c>
      <c r="G108" s="68" t="str">
        <f aca="false">IF($W108="","",IF(INDEX(发票统计!G$4:G$1003,$W108)="","",INDEX(发票统计!G$4:G$1003,$W108)))</f>
        <v/>
      </c>
      <c r="H108" s="56" t="str">
        <f aca="false">IF($W108="","",N(INDEX(发票统计!H$4:H$1003,$W108)))</f>
        <v/>
      </c>
      <c r="I108" s="56" t="str">
        <f aca="false">IF($W108="","",N(INDEX(发票统计!I$4:I$1003,$W108)))</f>
        <v/>
      </c>
      <c r="J108" s="56" t="str">
        <f aca="false">IF($W108="","",N(INDEX(发票统计!J$4:J$1003,$W108)))</f>
        <v/>
      </c>
      <c r="K108" s="56" t="str">
        <f aca="false">IF($W108="","",N(INDEX(发票统计!K$4:K$1003,$W108)))</f>
        <v/>
      </c>
      <c r="L108" s="56" t="str">
        <f aca="false">IF($W108="","",SUM(J$4:J108)-SUM(K$4:K108))</f>
        <v/>
      </c>
      <c r="M108" s="56" t="str">
        <f aca="false">IF($W108="","",N(INDEX(发票统计!M$4:M$1003,$W108)))</f>
        <v/>
      </c>
      <c r="N108" s="56" t="str">
        <f aca="false">IF($W108="","",N(INDEX(发票统计!N$4:N$1003,$W108)))</f>
        <v/>
      </c>
      <c r="O108" s="56" t="str">
        <f aca="false">IF($W108="","",N(INDEX(发票统计!O$4:O$1003,$W108)))</f>
        <v/>
      </c>
      <c r="P108" s="56" t="str">
        <f aca="false">IF($W108="","",SUM(M$4:M108)-SUM(N$4:N108)-SUM(O$4:O108))</f>
        <v/>
      </c>
      <c r="Q108" s="56" t="str">
        <f aca="false">IF($W108="","",N(INDEX(发票统计!Q$4:Q$1003,$W108)))</f>
        <v/>
      </c>
      <c r="R108" s="56" t="str">
        <f aca="false">IF($W108="","",N(INDEX(发票统计!R$4:R$1003,$W108)))</f>
        <v/>
      </c>
      <c r="S108" s="56" t="str">
        <f aca="false">IF($W108="","",N(INDEX(发票统计!S$4:S$1003,$W108)))</f>
        <v/>
      </c>
      <c r="T108" s="56" t="str">
        <f aca="false">IF($W108="","",SUM(Q$4:Q108)-SUM(R$4:R108)-SUM(S$4:S108))</f>
        <v/>
      </c>
      <c r="U108" s="56" t="str">
        <f aca="false">IF($W108="","",INDEX(发票统计!U$4:U$1003,$W108)&amp;"")</f>
        <v/>
      </c>
      <c r="W108" s="1" t="str">
        <f aca="false">IF($V$3="","",IFERROR(MATCH($V$3&amp;"#"&amp;ROWS(W$4:W108),发票统计!$W$4:$W$1003,0),""))</f>
        <v/>
      </c>
    </row>
    <row r="109" customFormat="false" ht="16.5" hidden="false" customHeight="false" outlineLevel="0" collapsed="false">
      <c r="A109" s="3" t="str">
        <f aca="false">IF($W109="","",INDEX(发票统计!A$4:A$1003,$W109)&amp;"")</f>
        <v/>
      </c>
      <c r="B109" s="3" t="str">
        <f aca="false">IF($W109="","",INDEX(发票统计!B$4:B$1003,$W109)&amp;"")</f>
        <v/>
      </c>
      <c r="C109" s="3" t="str">
        <f aca="false">IF($W109="","",INDEX(发票统计!C$4:C$1003,$W109)&amp;"")</f>
        <v/>
      </c>
      <c r="D109" s="3" t="str">
        <f aca="false">IF($W109="","",INDEX(发票统计!D$4:D$1003,$W109)&amp;"")</f>
        <v/>
      </c>
      <c r="E109" s="67" t="str">
        <f aca="false">IF($W109="","",INDEX(发票统计!E$4:E$1003,$W109)&amp;"")</f>
        <v/>
      </c>
      <c r="F109" s="68" t="str">
        <f aca="false">IF($W109="","",INDEX(发票统计!F$4:F$1003,$W109)&amp;"")</f>
        <v/>
      </c>
      <c r="G109" s="68" t="str">
        <f aca="false">IF($W109="","",IF(INDEX(发票统计!G$4:G$1003,$W109)="","",INDEX(发票统计!G$4:G$1003,$W109)))</f>
        <v/>
      </c>
      <c r="H109" s="56" t="str">
        <f aca="false">IF($W109="","",N(INDEX(发票统计!H$4:H$1003,$W109)))</f>
        <v/>
      </c>
      <c r="I109" s="56" t="str">
        <f aca="false">IF($W109="","",N(INDEX(发票统计!I$4:I$1003,$W109)))</f>
        <v/>
      </c>
      <c r="J109" s="56" t="str">
        <f aca="false">IF($W109="","",N(INDEX(发票统计!J$4:J$1003,$W109)))</f>
        <v/>
      </c>
      <c r="K109" s="56" t="str">
        <f aca="false">IF($W109="","",N(INDEX(发票统计!K$4:K$1003,$W109)))</f>
        <v/>
      </c>
      <c r="L109" s="56" t="str">
        <f aca="false">IF($W109="","",SUM(J$4:J109)-SUM(K$4:K109))</f>
        <v/>
      </c>
      <c r="M109" s="56" t="str">
        <f aca="false">IF($W109="","",N(INDEX(发票统计!M$4:M$1003,$W109)))</f>
        <v/>
      </c>
      <c r="N109" s="56" t="str">
        <f aca="false">IF($W109="","",N(INDEX(发票统计!N$4:N$1003,$W109)))</f>
        <v/>
      </c>
      <c r="O109" s="56" t="str">
        <f aca="false">IF($W109="","",N(INDEX(发票统计!O$4:O$1003,$W109)))</f>
        <v/>
      </c>
      <c r="P109" s="56" t="str">
        <f aca="false">IF($W109="","",SUM(M$4:M109)-SUM(N$4:N109)-SUM(O$4:O109))</f>
        <v/>
      </c>
      <c r="Q109" s="56" t="str">
        <f aca="false">IF($W109="","",N(INDEX(发票统计!Q$4:Q$1003,$W109)))</f>
        <v/>
      </c>
      <c r="R109" s="56" t="str">
        <f aca="false">IF($W109="","",N(INDEX(发票统计!R$4:R$1003,$W109)))</f>
        <v/>
      </c>
      <c r="S109" s="56" t="str">
        <f aca="false">IF($W109="","",N(INDEX(发票统计!S$4:S$1003,$W109)))</f>
        <v/>
      </c>
      <c r="T109" s="56" t="str">
        <f aca="false">IF($W109="","",SUM(Q$4:Q109)-SUM(R$4:R109)-SUM(S$4:S109))</f>
        <v/>
      </c>
      <c r="U109" s="56" t="str">
        <f aca="false">IF($W109="","",INDEX(发票统计!U$4:U$1003,$W109)&amp;"")</f>
        <v/>
      </c>
      <c r="W109" s="1" t="str">
        <f aca="false">IF($V$3="","",IFERROR(MATCH($V$3&amp;"#"&amp;ROWS(W$4:W109),发票统计!$W$4:$W$1003,0),""))</f>
        <v/>
      </c>
    </row>
    <row r="110" customFormat="false" ht="16.5" hidden="false" customHeight="false" outlineLevel="0" collapsed="false">
      <c r="A110" s="3" t="str">
        <f aca="false">IF($W110="","",INDEX(发票统计!A$4:A$1003,$W110)&amp;"")</f>
        <v/>
      </c>
      <c r="B110" s="3" t="str">
        <f aca="false">IF($W110="","",INDEX(发票统计!B$4:B$1003,$W110)&amp;"")</f>
        <v/>
      </c>
      <c r="C110" s="3" t="str">
        <f aca="false">IF($W110="","",INDEX(发票统计!C$4:C$1003,$W110)&amp;"")</f>
        <v/>
      </c>
      <c r="D110" s="3" t="str">
        <f aca="false">IF($W110="","",INDEX(发票统计!D$4:D$1003,$W110)&amp;"")</f>
        <v/>
      </c>
      <c r="E110" s="67" t="str">
        <f aca="false">IF($W110="","",INDEX(发票统计!E$4:E$1003,$W110)&amp;"")</f>
        <v/>
      </c>
      <c r="F110" s="68" t="str">
        <f aca="false">IF($W110="","",INDEX(发票统计!F$4:F$1003,$W110)&amp;"")</f>
        <v/>
      </c>
      <c r="G110" s="68" t="str">
        <f aca="false">IF($W110="","",IF(INDEX(发票统计!G$4:G$1003,$W110)="","",INDEX(发票统计!G$4:G$1003,$W110)))</f>
        <v/>
      </c>
      <c r="H110" s="56" t="str">
        <f aca="false">IF($W110="","",N(INDEX(发票统计!H$4:H$1003,$W110)))</f>
        <v/>
      </c>
      <c r="I110" s="56" t="str">
        <f aca="false">IF($W110="","",N(INDEX(发票统计!I$4:I$1003,$W110)))</f>
        <v/>
      </c>
      <c r="J110" s="56" t="str">
        <f aca="false">IF($W110="","",N(INDEX(发票统计!J$4:J$1003,$W110)))</f>
        <v/>
      </c>
      <c r="K110" s="56" t="str">
        <f aca="false">IF($W110="","",N(INDEX(发票统计!K$4:K$1003,$W110)))</f>
        <v/>
      </c>
      <c r="L110" s="56" t="str">
        <f aca="false">IF($W110="","",SUM(J$4:J110)-SUM(K$4:K110))</f>
        <v/>
      </c>
      <c r="M110" s="56" t="str">
        <f aca="false">IF($W110="","",N(INDEX(发票统计!M$4:M$1003,$W110)))</f>
        <v/>
      </c>
      <c r="N110" s="56" t="str">
        <f aca="false">IF($W110="","",N(INDEX(发票统计!N$4:N$1003,$W110)))</f>
        <v/>
      </c>
      <c r="O110" s="56" t="str">
        <f aca="false">IF($W110="","",N(INDEX(发票统计!O$4:O$1003,$W110)))</f>
        <v/>
      </c>
      <c r="P110" s="56" t="str">
        <f aca="false">IF($W110="","",SUM(M$4:M110)-SUM(N$4:N110)-SUM(O$4:O110))</f>
        <v/>
      </c>
      <c r="Q110" s="56" t="str">
        <f aca="false">IF($W110="","",N(INDEX(发票统计!Q$4:Q$1003,$W110)))</f>
        <v/>
      </c>
      <c r="R110" s="56" t="str">
        <f aca="false">IF($W110="","",N(INDEX(发票统计!R$4:R$1003,$W110)))</f>
        <v/>
      </c>
      <c r="S110" s="56" t="str">
        <f aca="false">IF($W110="","",N(INDEX(发票统计!S$4:S$1003,$W110)))</f>
        <v/>
      </c>
      <c r="T110" s="56" t="str">
        <f aca="false">IF($W110="","",SUM(Q$4:Q110)-SUM(R$4:R110)-SUM(S$4:S110))</f>
        <v/>
      </c>
      <c r="U110" s="56" t="str">
        <f aca="false">IF($W110="","",INDEX(发票统计!U$4:U$1003,$W110)&amp;"")</f>
        <v/>
      </c>
      <c r="W110" s="1" t="str">
        <f aca="false">IF($V$3="","",IFERROR(MATCH($V$3&amp;"#"&amp;ROWS(W$4:W110),发票统计!$W$4:$W$1003,0),""))</f>
        <v/>
      </c>
    </row>
    <row r="111" customFormat="false" ht="16.5" hidden="false" customHeight="false" outlineLevel="0" collapsed="false">
      <c r="A111" s="3" t="str">
        <f aca="false">IF($W111="","",INDEX(发票统计!A$4:A$1003,$W111)&amp;"")</f>
        <v/>
      </c>
      <c r="B111" s="3" t="str">
        <f aca="false">IF($W111="","",INDEX(发票统计!B$4:B$1003,$W111)&amp;"")</f>
        <v/>
      </c>
      <c r="C111" s="3" t="str">
        <f aca="false">IF($W111="","",INDEX(发票统计!C$4:C$1003,$W111)&amp;"")</f>
        <v/>
      </c>
      <c r="D111" s="3" t="str">
        <f aca="false">IF($W111="","",INDEX(发票统计!D$4:D$1003,$W111)&amp;"")</f>
        <v/>
      </c>
      <c r="E111" s="67" t="str">
        <f aca="false">IF($W111="","",INDEX(发票统计!E$4:E$1003,$W111)&amp;"")</f>
        <v/>
      </c>
      <c r="F111" s="68" t="str">
        <f aca="false">IF($W111="","",INDEX(发票统计!F$4:F$1003,$W111)&amp;"")</f>
        <v/>
      </c>
      <c r="G111" s="68" t="str">
        <f aca="false">IF($W111="","",IF(INDEX(发票统计!G$4:G$1003,$W111)="","",INDEX(发票统计!G$4:G$1003,$W111)))</f>
        <v/>
      </c>
      <c r="H111" s="56" t="str">
        <f aca="false">IF($W111="","",N(INDEX(发票统计!H$4:H$1003,$W111)))</f>
        <v/>
      </c>
      <c r="I111" s="56" t="str">
        <f aca="false">IF($W111="","",N(INDEX(发票统计!I$4:I$1003,$W111)))</f>
        <v/>
      </c>
      <c r="J111" s="56" t="str">
        <f aca="false">IF($W111="","",N(INDEX(发票统计!J$4:J$1003,$W111)))</f>
        <v/>
      </c>
      <c r="K111" s="56" t="str">
        <f aca="false">IF($W111="","",N(INDEX(发票统计!K$4:K$1003,$W111)))</f>
        <v/>
      </c>
      <c r="L111" s="56" t="str">
        <f aca="false">IF($W111="","",SUM(J$4:J111)-SUM(K$4:K111))</f>
        <v/>
      </c>
      <c r="M111" s="56" t="str">
        <f aca="false">IF($W111="","",N(INDEX(发票统计!M$4:M$1003,$W111)))</f>
        <v/>
      </c>
      <c r="N111" s="56" t="str">
        <f aca="false">IF($W111="","",N(INDEX(发票统计!N$4:N$1003,$W111)))</f>
        <v/>
      </c>
      <c r="O111" s="56" t="str">
        <f aca="false">IF($W111="","",N(INDEX(发票统计!O$4:O$1003,$W111)))</f>
        <v/>
      </c>
      <c r="P111" s="56" t="str">
        <f aca="false">IF($W111="","",SUM(M$4:M111)-SUM(N$4:N111)-SUM(O$4:O111))</f>
        <v/>
      </c>
      <c r="Q111" s="56" t="str">
        <f aca="false">IF($W111="","",N(INDEX(发票统计!Q$4:Q$1003,$W111)))</f>
        <v/>
      </c>
      <c r="R111" s="56" t="str">
        <f aca="false">IF($W111="","",N(INDEX(发票统计!R$4:R$1003,$W111)))</f>
        <v/>
      </c>
      <c r="S111" s="56" t="str">
        <f aca="false">IF($W111="","",N(INDEX(发票统计!S$4:S$1003,$W111)))</f>
        <v/>
      </c>
      <c r="T111" s="56" t="str">
        <f aca="false">IF($W111="","",SUM(Q$4:Q111)-SUM(R$4:R111)-SUM(S$4:S111))</f>
        <v/>
      </c>
      <c r="U111" s="56" t="str">
        <f aca="false">IF($W111="","",INDEX(发票统计!U$4:U$1003,$W111)&amp;"")</f>
        <v/>
      </c>
      <c r="W111" s="1" t="str">
        <f aca="false">IF($V$3="","",IFERROR(MATCH($V$3&amp;"#"&amp;ROWS(W$4:W111),发票统计!$W$4:$W$1003,0),""))</f>
        <v/>
      </c>
    </row>
    <row r="112" customFormat="false" ht="16.5" hidden="false" customHeight="false" outlineLevel="0" collapsed="false">
      <c r="A112" s="3" t="str">
        <f aca="false">IF($W112="","",INDEX(发票统计!A$4:A$1003,$W112)&amp;"")</f>
        <v/>
      </c>
      <c r="B112" s="3" t="str">
        <f aca="false">IF($W112="","",INDEX(发票统计!B$4:B$1003,$W112)&amp;"")</f>
        <v/>
      </c>
      <c r="C112" s="3" t="str">
        <f aca="false">IF($W112="","",INDEX(发票统计!C$4:C$1003,$W112)&amp;"")</f>
        <v/>
      </c>
      <c r="D112" s="3" t="str">
        <f aca="false">IF($W112="","",INDEX(发票统计!D$4:D$1003,$W112)&amp;"")</f>
        <v/>
      </c>
      <c r="E112" s="67" t="str">
        <f aca="false">IF($W112="","",INDEX(发票统计!E$4:E$1003,$W112)&amp;"")</f>
        <v/>
      </c>
      <c r="F112" s="68" t="str">
        <f aca="false">IF($W112="","",INDEX(发票统计!F$4:F$1003,$W112)&amp;"")</f>
        <v/>
      </c>
      <c r="G112" s="68" t="str">
        <f aca="false">IF($W112="","",IF(INDEX(发票统计!G$4:G$1003,$W112)="","",INDEX(发票统计!G$4:G$1003,$W112)))</f>
        <v/>
      </c>
      <c r="H112" s="56" t="str">
        <f aca="false">IF($W112="","",N(INDEX(发票统计!H$4:H$1003,$W112)))</f>
        <v/>
      </c>
      <c r="I112" s="56" t="str">
        <f aca="false">IF($W112="","",N(INDEX(发票统计!I$4:I$1003,$W112)))</f>
        <v/>
      </c>
      <c r="J112" s="56" t="str">
        <f aca="false">IF($W112="","",N(INDEX(发票统计!J$4:J$1003,$W112)))</f>
        <v/>
      </c>
      <c r="K112" s="56" t="str">
        <f aca="false">IF($W112="","",N(INDEX(发票统计!K$4:K$1003,$W112)))</f>
        <v/>
      </c>
      <c r="L112" s="56" t="str">
        <f aca="false">IF($W112="","",SUM(J$4:J112)-SUM(K$4:K112))</f>
        <v/>
      </c>
      <c r="M112" s="56" t="str">
        <f aca="false">IF($W112="","",N(INDEX(发票统计!M$4:M$1003,$W112)))</f>
        <v/>
      </c>
      <c r="N112" s="56" t="str">
        <f aca="false">IF($W112="","",N(INDEX(发票统计!N$4:N$1003,$W112)))</f>
        <v/>
      </c>
      <c r="O112" s="56" t="str">
        <f aca="false">IF($W112="","",N(INDEX(发票统计!O$4:O$1003,$W112)))</f>
        <v/>
      </c>
      <c r="P112" s="56" t="str">
        <f aca="false">IF($W112="","",SUM(M$4:M112)-SUM(N$4:N112)-SUM(O$4:O112))</f>
        <v/>
      </c>
      <c r="Q112" s="56" t="str">
        <f aca="false">IF($W112="","",N(INDEX(发票统计!Q$4:Q$1003,$W112)))</f>
        <v/>
      </c>
      <c r="R112" s="56" t="str">
        <f aca="false">IF($W112="","",N(INDEX(发票统计!R$4:R$1003,$W112)))</f>
        <v/>
      </c>
      <c r="S112" s="56" t="str">
        <f aca="false">IF($W112="","",N(INDEX(发票统计!S$4:S$1003,$W112)))</f>
        <v/>
      </c>
      <c r="T112" s="56" t="str">
        <f aca="false">IF($W112="","",SUM(Q$4:Q112)-SUM(R$4:R112)-SUM(S$4:S112))</f>
        <v/>
      </c>
      <c r="U112" s="56" t="str">
        <f aca="false">IF($W112="","",INDEX(发票统计!U$4:U$1003,$W112)&amp;"")</f>
        <v/>
      </c>
      <c r="W112" s="1" t="str">
        <f aca="false">IF($V$3="","",IFERROR(MATCH($V$3&amp;"#"&amp;ROWS(W$4:W112),发票统计!$W$4:$W$1003,0),""))</f>
        <v/>
      </c>
    </row>
    <row r="113" customFormat="false" ht="16.5" hidden="false" customHeight="false" outlineLevel="0" collapsed="false">
      <c r="A113" s="3" t="str">
        <f aca="false">IF($W113="","",INDEX(发票统计!A$4:A$1003,$W113)&amp;"")</f>
        <v/>
      </c>
      <c r="B113" s="3" t="str">
        <f aca="false">IF($W113="","",INDEX(发票统计!B$4:B$1003,$W113)&amp;"")</f>
        <v/>
      </c>
      <c r="C113" s="3" t="str">
        <f aca="false">IF($W113="","",INDEX(发票统计!C$4:C$1003,$W113)&amp;"")</f>
        <v/>
      </c>
      <c r="D113" s="3" t="str">
        <f aca="false">IF($W113="","",INDEX(发票统计!D$4:D$1003,$W113)&amp;"")</f>
        <v/>
      </c>
      <c r="E113" s="67" t="str">
        <f aca="false">IF($W113="","",INDEX(发票统计!E$4:E$1003,$W113)&amp;"")</f>
        <v/>
      </c>
      <c r="F113" s="68" t="str">
        <f aca="false">IF($W113="","",INDEX(发票统计!F$4:F$1003,$W113)&amp;"")</f>
        <v/>
      </c>
      <c r="G113" s="68" t="str">
        <f aca="false">IF($W113="","",IF(INDEX(发票统计!G$4:G$1003,$W113)="","",INDEX(发票统计!G$4:G$1003,$W113)))</f>
        <v/>
      </c>
      <c r="H113" s="56" t="str">
        <f aca="false">IF($W113="","",N(INDEX(发票统计!H$4:H$1003,$W113)))</f>
        <v/>
      </c>
      <c r="I113" s="56" t="str">
        <f aca="false">IF($W113="","",N(INDEX(发票统计!I$4:I$1003,$W113)))</f>
        <v/>
      </c>
      <c r="J113" s="56" t="str">
        <f aca="false">IF($W113="","",N(INDEX(发票统计!J$4:J$1003,$W113)))</f>
        <v/>
      </c>
      <c r="K113" s="56" t="str">
        <f aca="false">IF($W113="","",N(INDEX(发票统计!K$4:K$1003,$W113)))</f>
        <v/>
      </c>
      <c r="L113" s="56" t="str">
        <f aca="false">IF($W113="","",SUM(J$4:J113)-SUM(K$4:K113))</f>
        <v/>
      </c>
      <c r="M113" s="56" t="str">
        <f aca="false">IF($W113="","",N(INDEX(发票统计!M$4:M$1003,$W113)))</f>
        <v/>
      </c>
      <c r="N113" s="56" t="str">
        <f aca="false">IF($W113="","",N(INDEX(发票统计!N$4:N$1003,$W113)))</f>
        <v/>
      </c>
      <c r="O113" s="56" t="str">
        <f aca="false">IF($W113="","",N(INDEX(发票统计!O$4:O$1003,$W113)))</f>
        <v/>
      </c>
      <c r="P113" s="56" t="str">
        <f aca="false">IF($W113="","",SUM(M$4:M113)-SUM(N$4:N113)-SUM(O$4:O113))</f>
        <v/>
      </c>
      <c r="Q113" s="56" t="str">
        <f aca="false">IF($W113="","",N(INDEX(发票统计!Q$4:Q$1003,$W113)))</f>
        <v/>
      </c>
      <c r="R113" s="56" t="str">
        <f aca="false">IF($W113="","",N(INDEX(发票统计!R$4:R$1003,$W113)))</f>
        <v/>
      </c>
      <c r="S113" s="56" t="str">
        <f aca="false">IF($W113="","",N(INDEX(发票统计!S$4:S$1003,$W113)))</f>
        <v/>
      </c>
      <c r="T113" s="56" t="str">
        <f aca="false">IF($W113="","",SUM(Q$4:Q113)-SUM(R$4:R113)-SUM(S$4:S113))</f>
        <v/>
      </c>
      <c r="U113" s="56" t="str">
        <f aca="false">IF($W113="","",INDEX(发票统计!U$4:U$1003,$W113)&amp;"")</f>
        <v/>
      </c>
      <c r="W113" s="1" t="str">
        <f aca="false">IF($V$3="","",IFERROR(MATCH($V$3&amp;"#"&amp;ROWS(W$4:W113),发票统计!$W$4:$W$1003,0),""))</f>
        <v/>
      </c>
    </row>
    <row r="114" customFormat="false" ht="16.5" hidden="false" customHeight="false" outlineLevel="0" collapsed="false">
      <c r="A114" s="3" t="str">
        <f aca="false">IF($W114="","",INDEX(发票统计!A$4:A$1003,$W114)&amp;"")</f>
        <v/>
      </c>
      <c r="B114" s="3" t="str">
        <f aca="false">IF($W114="","",INDEX(发票统计!B$4:B$1003,$W114)&amp;"")</f>
        <v/>
      </c>
      <c r="C114" s="3" t="str">
        <f aca="false">IF($W114="","",INDEX(发票统计!C$4:C$1003,$W114)&amp;"")</f>
        <v/>
      </c>
      <c r="D114" s="3" t="str">
        <f aca="false">IF($W114="","",INDEX(发票统计!D$4:D$1003,$W114)&amp;"")</f>
        <v/>
      </c>
      <c r="E114" s="67" t="str">
        <f aca="false">IF($W114="","",INDEX(发票统计!E$4:E$1003,$W114)&amp;"")</f>
        <v/>
      </c>
      <c r="F114" s="68" t="str">
        <f aca="false">IF($W114="","",INDEX(发票统计!F$4:F$1003,$W114)&amp;"")</f>
        <v/>
      </c>
      <c r="G114" s="68" t="str">
        <f aca="false">IF($W114="","",IF(INDEX(发票统计!G$4:G$1003,$W114)="","",INDEX(发票统计!G$4:G$1003,$W114)))</f>
        <v/>
      </c>
      <c r="H114" s="56" t="str">
        <f aca="false">IF($W114="","",N(INDEX(发票统计!H$4:H$1003,$W114)))</f>
        <v/>
      </c>
      <c r="I114" s="56" t="str">
        <f aca="false">IF($W114="","",N(INDEX(发票统计!I$4:I$1003,$W114)))</f>
        <v/>
      </c>
      <c r="J114" s="56" t="str">
        <f aca="false">IF($W114="","",N(INDEX(发票统计!J$4:J$1003,$W114)))</f>
        <v/>
      </c>
      <c r="K114" s="56" t="str">
        <f aca="false">IF($W114="","",N(INDEX(发票统计!K$4:K$1003,$W114)))</f>
        <v/>
      </c>
      <c r="L114" s="56" t="str">
        <f aca="false">IF($W114="","",SUM(J$4:J114)-SUM(K$4:K114))</f>
        <v/>
      </c>
      <c r="M114" s="56" t="str">
        <f aca="false">IF($W114="","",N(INDEX(发票统计!M$4:M$1003,$W114)))</f>
        <v/>
      </c>
      <c r="N114" s="56" t="str">
        <f aca="false">IF($W114="","",N(INDEX(发票统计!N$4:N$1003,$W114)))</f>
        <v/>
      </c>
      <c r="O114" s="56" t="str">
        <f aca="false">IF($W114="","",N(INDEX(发票统计!O$4:O$1003,$W114)))</f>
        <v/>
      </c>
      <c r="P114" s="56" t="str">
        <f aca="false">IF($W114="","",SUM(M$4:M114)-SUM(N$4:N114)-SUM(O$4:O114))</f>
        <v/>
      </c>
      <c r="Q114" s="56" t="str">
        <f aca="false">IF($W114="","",N(INDEX(发票统计!Q$4:Q$1003,$W114)))</f>
        <v/>
      </c>
      <c r="R114" s="56" t="str">
        <f aca="false">IF($W114="","",N(INDEX(发票统计!R$4:R$1003,$W114)))</f>
        <v/>
      </c>
      <c r="S114" s="56" t="str">
        <f aca="false">IF($W114="","",N(INDEX(发票统计!S$4:S$1003,$W114)))</f>
        <v/>
      </c>
      <c r="T114" s="56" t="str">
        <f aca="false">IF($W114="","",SUM(Q$4:Q114)-SUM(R$4:R114)-SUM(S$4:S114))</f>
        <v/>
      </c>
      <c r="U114" s="56" t="str">
        <f aca="false">IF($W114="","",INDEX(发票统计!U$4:U$1003,$W114)&amp;"")</f>
        <v/>
      </c>
      <c r="W114" s="1" t="str">
        <f aca="false">IF($V$3="","",IFERROR(MATCH($V$3&amp;"#"&amp;ROWS(W$4:W114),发票统计!$W$4:$W$1003,0),""))</f>
        <v/>
      </c>
    </row>
    <row r="115" customFormat="false" ht="16.5" hidden="false" customHeight="false" outlineLevel="0" collapsed="false">
      <c r="A115" s="3" t="str">
        <f aca="false">IF($W115="","",INDEX(发票统计!A$4:A$1003,$W115)&amp;"")</f>
        <v/>
      </c>
      <c r="B115" s="3" t="str">
        <f aca="false">IF($W115="","",INDEX(发票统计!B$4:B$1003,$W115)&amp;"")</f>
        <v/>
      </c>
      <c r="C115" s="3" t="str">
        <f aca="false">IF($W115="","",INDEX(发票统计!C$4:C$1003,$W115)&amp;"")</f>
        <v/>
      </c>
      <c r="D115" s="3" t="str">
        <f aca="false">IF($W115="","",INDEX(发票统计!D$4:D$1003,$W115)&amp;"")</f>
        <v/>
      </c>
      <c r="E115" s="67" t="str">
        <f aca="false">IF($W115="","",INDEX(发票统计!E$4:E$1003,$W115)&amp;"")</f>
        <v/>
      </c>
      <c r="F115" s="68" t="str">
        <f aca="false">IF($W115="","",INDEX(发票统计!F$4:F$1003,$W115)&amp;"")</f>
        <v/>
      </c>
      <c r="G115" s="68" t="str">
        <f aca="false">IF($W115="","",IF(INDEX(发票统计!G$4:G$1003,$W115)="","",INDEX(发票统计!G$4:G$1003,$W115)))</f>
        <v/>
      </c>
      <c r="H115" s="56" t="str">
        <f aca="false">IF($W115="","",N(INDEX(发票统计!H$4:H$1003,$W115)))</f>
        <v/>
      </c>
      <c r="I115" s="56" t="str">
        <f aca="false">IF($W115="","",N(INDEX(发票统计!I$4:I$1003,$W115)))</f>
        <v/>
      </c>
      <c r="J115" s="56" t="str">
        <f aca="false">IF($W115="","",N(INDEX(发票统计!J$4:J$1003,$W115)))</f>
        <v/>
      </c>
      <c r="K115" s="56" t="str">
        <f aca="false">IF($W115="","",N(INDEX(发票统计!K$4:K$1003,$W115)))</f>
        <v/>
      </c>
      <c r="L115" s="56" t="str">
        <f aca="false">IF($W115="","",SUM(J$4:J115)-SUM(K$4:K115))</f>
        <v/>
      </c>
      <c r="M115" s="56" t="str">
        <f aca="false">IF($W115="","",N(INDEX(发票统计!M$4:M$1003,$W115)))</f>
        <v/>
      </c>
      <c r="N115" s="56" t="str">
        <f aca="false">IF($W115="","",N(INDEX(发票统计!N$4:N$1003,$W115)))</f>
        <v/>
      </c>
      <c r="O115" s="56" t="str">
        <f aca="false">IF($W115="","",N(INDEX(发票统计!O$4:O$1003,$W115)))</f>
        <v/>
      </c>
      <c r="P115" s="56" t="str">
        <f aca="false">IF($W115="","",SUM(M$4:M115)-SUM(N$4:N115)-SUM(O$4:O115))</f>
        <v/>
      </c>
      <c r="Q115" s="56" t="str">
        <f aca="false">IF($W115="","",N(INDEX(发票统计!Q$4:Q$1003,$W115)))</f>
        <v/>
      </c>
      <c r="R115" s="56" t="str">
        <f aca="false">IF($W115="","",N(INDEX(发票统计!R$4:R$1003,$W115)))</f>
        <v/>
      </c>
      <c r="S115" s="56" t="str">
        <f aca="false">IF($W115="","",N(INDEX(发票统计!S$4:S$1003,$W115)))</f>
        <v/>
      </c>
      <c r="T115" s="56" t="str">
        <f aca="false">IF($W115="","",SUM(Q$4:Q115)-SUM(R$4:R115)-SUM(S$4:S115))</f>
        <v/>
      </c>
      <c r="U115" s="56" t="str">
        <f aca="false">IF($W115="","",INDEX(发票统计!U$4:U$1003,$W115)&amp;"")</f>
        <v/>
      </c>
      <c r="W115" s="1" t="str">
        <f aca="false">IF($V$3="","",IFERROR(MATCH($V$3&amp;"#"&amp;ROWS(W$4:W115),发票统计!$W$4:$W$1003,0),""))</f>
        <v/>
      </c>
    </row>
    <row r="116" customFormat="false" ht="16.5" hidden="false" customHeight="false" outlineLevel="0" collapsed="false">
      <c r="A116" s="3" t="str">
        <f aca="false">IF($W116="","",INDEX(发票统计!A$4:A$1003,$W116)&amp;"")</f>
        <v/>
      </c>
      <c r="B116" s="3" t="str">
        <f aca="false">IF($W116="","",INDEX(发票统计!B$4:B$1003,$W116)&amp;"")</f>
        <v/>
      </c>
      <c r="C116" s="3" t="str">
        <f aca="false">IF($W116="","",INDEX(发票统计!C$4:C$1003,$W116)&amp;"")</f>
        <v/>
      </c>
      <c r="D116" s="3" t="str">
        <f aca="false">IF($W116="","",INDEX(发票统计!D$4:D$1003,$W116)&amp;"")</f>
        <v/>
      </c>
      <c r="E116" s="67" t="str">
        <f aca="false">IF($W116="","",INDEX(发票统计!E$4:E$1003,$W116)&amp;"")</f>
        <v/>
      </c>
      <c r="F116" s="68" t="str">
        <f aca="false">IF($W116="","",INDEX(发票统计!F$4:F$1003,$W116)&amp;"")</f>
        <v/>
      </c>
      <c r="G116" s="68" t="str">
        <f aca="false">IF($W116="","",IF(INDEX(发票统计!G$4:G$1003,$W116)="","",INDEX(发票统计!G$4:G$1003,$W116)))</f>
        <v/>
      </c>
      <c r="H116" s="56" t="str">
        <f aca="false">IF($W116="","",N(INDEX(发票统计!H$4:H$1003,$W116)))</f>
        <v/>
      </c>
      <c r="I116" s="56" t="str">
        <f aca="false">IF($W116="","",N(INDEX(发票统计!I$4:I$1003,$W116)))</f>
        <v/>
      </c>
      <c r="J116" s="56" t="str">
        <f aca="false">IF($W116="","",N(INDEX(发票统计!J$4:J$1003,$W116)))</f>
        <v/>
      </c>
      <c r="K116" s="56" t="str">
        <f aca="false">IF($W116="","",N(INDEX(发票统计!K$4:K$1003,$W116)))</f>
        <v/>
      </c>
      <c r="L116" s="56" t="str">
        <f aca="false">IF($W116="","",SUM(J$4:J116)-SUM(K$4:K116))</f>
        <v/>
      </c>
      <c r="M116" s="56" t="str">
        <f aca="false">IF($W116="","",N(INDEX(发票统计!M$4:M$1003,$W116)))</f>
        <v/>
      </c>
      <c r="N116" s="56" t="str">
        <f aca="false">IF($W116="","",N(INDEX(发票统计!N$4:N$1003,$W116)))</f>
        <v/>
      </c>
      <c r="O116" s="56" t="str">
        <f aca="false">IF($W116="","",N(INDEX(发票统计!O$4:O$1003,$W116)))</f>
        <v/>
      </c>
      <c r="P116" s="56" t="str">
        <f aca="false">IF($W116="","",SUM(M$4:M116)-SUM(N$4:N116)-SUM(O$4:O116))</f>
        <v/>
      </c>
      <c r="Q116" s="56" t="str">
        <f aca="false">IF($W116="","",N(INDEX(发票统计!Q$4:Q$1003,$W116)))</f>
        <v/>
      </c>
      <c r="R116" s="56" t="str">
        <f aca="false">IF($W116="","",N(INDEX(发票统计!R$4:R$1003,$W116)))</f>
        <v/>
      </c>
      <c r="S116" s="56" t="str">
        <f aca="false">IF($W116="","",N(INDEX(发票统计!S$4:S$1003,$W116)))</f>
        <v/>
      </c>
      <c r="T116" s="56" t="str">
        <f aca="false">IF($W116="","",SUM(Q$4:Q116)-SUM(R$4:R116)-SUM(S$4:S116))</f>
        <v/>
      </c>
      <c r="U116" s="56" t="str">
        <f aca="false">IF($W116="","",INDEX(发票统计!U$4:U$1003,$W116)&amp;"")</f>
        <v/>
      </c>
      <c r="W116" s="1" t="str">
        <f aca="false">IF($V$3="","",IFERROR(MATCH($V$3&amp;"#"&amp;ROWS(W$4:W116),发票统计!$W$4:$W$1003,0),""))</f>
        <v/>
      </c>
    </row>
    <row r="117" customFormat="false" ht="16.5" hidden="false" customHeight="false" outlineLevel="0" collapsed="false">
      <c r="A117" s="3" t="str">
        <f aca="false">IF($W117="","",INDEX(发票统计!A$4:A$1003,$W117)&amp;"")</f>
        <v/>
      </c>
      <c r="B117" s="3" t="str">
        <f aca="false">IF($W117="","",INDEX(发票统计!B$4:B$1003,$W117)&amp;"")</f>
        <v/>
      </c>
      <c r="C117" s="3" t="str">
        <f aca="false">IF($W117="","",INDEX(发票统计!C$4:C$1003,$W117)&amp;"")</f>
        <v/>
      </c>
      <c r="D117" s="3" t="str">
        <f aca="false">IF($W117="","",INDEX(发票统计!D$4:D$1003,$W117)&amp;"")</f>
        <v/>
      </c>
      <c r="E117" s="67" t="str">
        <f aca="false">IF($W117="","",INDEX(发票统计!E$4:E$1003,$W117)&amp;"")</f>
        <v/>
      </c>
      <c r="F117" s="68" t="str">
        <f aca="false">IF($W117="","",INDEX(发票统计!F$4:F$1003,$W117)&amp;"")</f>
        <v/>
      </c>
      <c r="G117" s="68" t="str">
        <f aca="false">IF($W117="","",IF(INDEX(发票统计!G$4:G$1003,$W117)="","",INDEX(发票统计!G$4:G$1003,$W117)))</f>
        <v/>
      </c>
      <c r="H117" s="56" t="str">
        <f aca="false">IF($W117="","",N(INDEX(发票统计!H$4:H$1003,$W117)))</f>
        <v/>
      </c>
      <c r="I117" s="56" t="str">
        <f aca="false">IF($W117="","",N(INDEX(发票统计!I$4:I$1003,$W117)))</f>
        <v/>
      </c>
      <c r="J117" s="56" t="str">
        <f aca="false">IF($W117="","",N(INDEX(发票统计!J$4:J$1003,$W117)))</f>
        <v/>
      </c>
      <c r="K117" s="56" t="str">
        <f aca="false">IF($W117="","",N(INDEX(发票统计!K$4:K$1003,$W117)))</f>
        <v/>
      </c>
      <c r="L117" s="56" t="str">
        <f aca="false">IF($W117="","",SUM(J$4:J117)-SUM(K$4:K117))</f>
        <v/>
      </c>
      <c r="M117" s="56" t="str">
        <f aca="false">IF($W117="","",N(INDEX(发票统计!M$4:M$1003,$W117)))</f>
        <v/>
      </c>
      <c r="N117" s="56" t="str">
        <f aca="false">IF($W117="","",N(INDEX(发票统计!N$4:N$1003,$W117)))</f>
        <v/>
      </c>
      <c r="O117" s="56" t="str">
        <f aca="false">IF($W117="","",N(INDEX(发票统计!O$4:O$1003,$W117)))</f>
        <v/>
      </c>
      <c r="P117" s="56" t="str">
        <f aca="false">IF($W117="","",SUM(M$4:M117)-SUM(N$4:N117)-SUM(O$4:O117))</f>
        <v/>
      </c>
      <c r="Q117" s="56" t="str">
        <f aca="false">IF($W117="","",N(INDEX(发票统计!Q$4:Q$1003,$W117)))</f>
        <v/>
      </c>
      <c r="R117" s="56" t="str">
        <f aca="false">IF($W117="","",N(INDEX(发票统计!R$4:R$1003,$W117)))</f>
        <v/>
      </c>
      <c r="S117" s="56" t="str">
        <f aca="false">IF($W117="","",N(INDEX(发票统计!S$4:S$1003,$W117)))</f>
        <v/>
      </c>
      <c r="T117" s="56" t="str">
        <f aca="false">IF($W117="","",SUM(Q$4:Q117)-SUM(R$4:R117)-SUM(S$4:S117))</f>
        <v/>
      </c>
      <c r="U117" s="56" t="str">
        <f aca="false">IF($W117="","",INDEX(发票统计!U$4:U$1003,$W117)&amp;"")</f>
        <v/>
      </c>
      <c r="W117" s="1" t="str">
        <f aca="false">IF($V$3="","",IFERROR(MATCH($V$3&amp;"#"&amp;ROWS(W$4:W117),发票统计!$W$4:$W$1003,0),""))</f>
        <v/>
      </c>
    </row>
    <row r="118" customFormat="false" ht="16.5" hidden="false" customHeight="false" outlineLevel="0" collapsed="false">
      <c r="A118" s="3" t="str">
        <f aca="false">IF($W118="","",INDEX(发票统计!A$4:A$1003,$W118)&amp;"")</f>
        <v/>
      </c>
      <c r="B118" s="3" t="str">
        <f aca="false">IF($W118="","",INDEX(发票统计!B$4:B$1003,$W118)&amp;"")</f>
        <v/>
      </c>
      <c r="C118" s="3" t="str">
        <f aca="false">IF($W118="","",INDEX(发票统计!C$4:C$1003,$W118)&amp;"")</f>
        <v/>
      </c>
      <c r="D118" s="3" t="str">
        <f aca="false">IF($W118="","",INDEX(发票统计!D$4:D$1003,$W118)&amp;"")</f>
        <v/>
      </c>
      <c r="E118" s="67" t="str">
        <f aca="false">IF($W118="","",INDEX(发票统计!E$4:E$1003,$W118)&amp;"")</f>
        <v/>
      </c>
      <c r="F118" s="68" t="str">
        <f aca="false">IF($W118="","",INDEX(发票统计!F$4:F$1003,$W118)&amp;"")</f>
        <v/>
      </c>
      <c r="G118" s="68" t="str">
        <f aca="false">IF($W118="","",IF(INDEX(发票统计!G$4:G$1003,$W118)="","",INDEX(发票统计!G$4:G$1003,$W118)))</f>
        <v/>
      </c>
      <c r="H118" s="56" t="str">
        <f aca="false">IF($W118="","",N(INDEX(发票统计!H$4:H$1003,$W118)))</f>
        <v/>
      </c>
      <c r="I118" s="56" t="str">
        <f aca="false">IF($W118="","",N(INDEX(发票统计!I$4:I$1003,$W118)))</f>
        <v/>
      </c>
      <c r="J118" s="56" t="str">
        <f aca="false">IF($W118="","",N(INDEX(发票统计!J$4:J$1003,$W118)))</f>
        <v/>
      </c>
      <c r="K118" s="56" t="str">
        <f aca="false">IF($W118="","",N(INDEX(发票统计!K$4:K$1003,$W118)))</f>
        <v/>
      </c>
      <c r="L118" s="56" t="str">
        <f aca="false">IF($W118="","",SUM(J$4:J118)-SUM(K$4:K118))</f>
        <v/>
      </c>
      <c r="M118" s="56" t="str">
        <f aca="false">IF($W118="","",N(INDEX(发票统计!M$4:M$1003,$W118)))</f>
        <v/>
      </c>
      <c r="N118" s="56" t="str">
        <f aca="false">IF($W118="","",N(INDEX(发票统计!N$4:N$1003,$W118)))</f>
        <v/>
      </c>
      <c r="O118" s="56" t="str">
        <f aca="false">IF($W118="","",N(INDEX(发票统计!O$4:O$1003,$W118)))</f>
        <v/>
      </c>
      <c r="P118" s="56" t="str">
        <f aca="false">IF($W118="","",SUM(M$4:M118)-SUM(N$4:N118)-SUM(O$4:O118))</f>
        <v/>
      </c>
      <c r="Q118" s="56" t="str">
        <f aca="false">IF($W118="","",N(INDEX(发票统计!Q$4:Q$1003,$W118)))</f>
        <v/>
      </c>
      <c r="R118" s="56" t="str">
        <f aca="false">IF($W118="","",N(INDEX(发票统计!R$4:R$1003,$W118)))</f>
        <v/>
      </c>
      <c r="S118" s="56" t="str">
        <f aca="false">IF($W118="","",N(INDEX(发票统计!S$4:S$1003,$W118)))</f>
        <v/>
      </c>
      <c r="T118" s="56" t="str">
        <f aca="false">IF($W118="","",SUM(Q$4:Q118)-SUM(R$4:R118)-SUM(S$4:S118))</f>
        <v/>
      </c>
      <c r="U118" s="56" t="str">
        <f aca="false">IF($W118="","",INDEX(发票统计!U$4:U$1003,$W118)&amp;"")</f>
        <v/>
      </c>
      <c r="W118" s="1" t="str">
        <f aca="false">IF($V$3="","",IFERROR(MATCH($V$3&amp;"#"&amp;ROWS(W$4:W118),发票统计!$W$4:$W$1003,0),""))</f>
        <v/>
      </c>
    </row>
    <row r="119" customFormat="false" ht="16.5" hidden="false" customHeight="false" outlineLevel="0" collapsed="false">
      <c r="A119" s="3" t="str">
        <f aca="false">IF($W119="","",INDEX(发票统计!A$4:A$1003,$W119)&amp;"")</f>
        <v/>
      </c>
      <c r="B119" s="3" t="str">
        <f aca="false">IF($W119="","",INDEX(发票统计!B$4:B$1003,$W119)&amp;"")</f>
        <v/>
      </c>
      <c r="C119" s="3" t="str">
        <f aca="false">IF($W119="","",INDEX(发票统计!C$4:C$1003,$W119)&amp;"")</f>
        <v/>
      </c>
      <c r="D119" s="3" t="str">
        <f aca="false">IF($W119="","",INDEX(发票统计!D$4:D$1003,$W119)&amp;"")</f>
        <v/>
      </c>
      <c r="E119" s="67" t="str">
        <f aca="false">IF($W119="","",INDEX(发票统计!E$4:E$1003,$W119)&amp;"")</f>
        <v/>
      </c>
      <c r="F119" s="68" t="str">
        <f aca="false">IF($W119="","",INDEX(发票统计!F$4:F$1003,$W119)&amp;"")</f>
        <v/>
      </c>
      <c r="G119" s="68" t="str">
        <f aca="false">IF($W119="","",IF(INDEX(发票统计!G$4:G$1003,$W119)="","",INDEX(发票统计!G$4:G$1003,$W119)))</f>
        <v/>
      </c>
      <c r="H119" s="56" t="str">
        <f aca="false">IF($W119="","",N(INDEX(发票统计!H$4:H$1003,$W119)))</f>
        <v/>
      </c>
      <c r="I119" s="56" t="str">
        <f aca="false">IF($W119="","",N(INDEX(发票统计!I$4:I$1003,$W119)))</f>
        <v/>
      </c>
      <c r="J119" s="56" t="str">
        <f aca="false">IF($W119="","",N(INDEX(发票统计!J$4:J$1003,$W119)))</f>
        <v/>
      </c>
      <c r="K119" s="56" t="str">
        <f aca="false">IF($W119="","",N(INDEX(发票统计!K$4:K$1003,$W119)))</f>
        <v/>
      </c>
      <c r="L119" s="56" t="str">
        <f aca="false">IF($W119="","",SUM(J$4:J119)-SUM(K$4:K119))</f>
        <v/>
      </c>
      <c r="M119" s="56" t="str">
        <f aca="false">IF($W119="","",N(INDEX(发票统计!M$4:M$1003,$W119)))</f>
        <v/>
      </c>
      <c r="N119" s="56" t="str">
        <f aca="false">IF($W119="","",N(INDEX(发票统计!N$4:N$1003,$W119)))</f>
        <v/>
      </c>
      <c r="O119" s="56" t="str">
        <f aca="false">IF($W119="","",N(INDEX(发票统计!O$4:O$1003,$W119)))</f>
        <v/>
      </c>
      <c r="P119" s="56" t="str">
        <f aca="false">IF($W119="","",SUM(M$4:M119)-SUM(N$4:N119)-SUM(O$4:O119))</f>
        <v/>
      </c>
      <c r="Q119" s="56" t="str">
        <f aca="false">IF($W119="","",N(INDEX(发票统计!Q$4:Q$1003,$W119)))</f>
        <v/>
      </c>
      <c r="R119" s="56" t="str">
        <f aca="false">IF($W119="","",N(INDEX(发票统计!R$4:R$1003,$W119)))</f>
        <v/>
      </c>
      <c r="S119" s="56" t="str">
        <f aca="false">IF($W119="","",N(INDEX(发票统计!S$4:S$1003,$W119)))</f>
        <v/>
      </c>
      <c r="T119" s="56" t="str">
        <f aca="false">IF($W119="","",SUM(Q$4:Q119)-SUM(R$4:R119)-SUM(S$4:S119))</f>
        <v/>
      </c>
      <c r="U119" s="56" t="str">
        <f aca="false">IF($W119="","",INDEX(发票统计!U$4:U$1003,$W119)&amp;"")</f>
        <v/>
      </c>
      <c r="W119" s="1" t="str">
        <f aca="false">IF($V$3="","",IFERROR(MATCH($V$3&amp;"#"&amp;ROWS(W$4:W119),发票统计!$W$4:$W$1003,0),""))</f>
        <v/>
      </c>
    </row>
    <row r="120" customFormat="false" ht="16.5" hidden="false" customHeight="false" outlineLevel="0" collapsed="false">
      <c r="A120" s="3" t="str">
        <f aca="false">IF($W120="","",INDEX(发票统计!A$4:A$1003,$W120)&amp;"")</f>
        <v/>
      </c>
      <c r="B120" s="3" t="str">
        <f aca="false">IF($W120="","",INDEX(发票统计!B$4:B$1003,$W120)&amp;"")</f>
        <v/>
      </c>
      <c r="C120" s="3" t="str">
        <f aca="false">IF($W120="","",INDEX(发票统计!C$4:C$1003,$W120)&amp;"")</f>
        <v/>
      </c>
      <c r="D120" s="3" t="str">
        <f aca="false">IF($W120="","",INDEX(发票统计!D$4:D$1003,$W120)&amp;"")</f>
        <v/>
      </c>
      <c r="E120" s="67" t="str">
        <f aca="false">IF($W120="","",INDEX(发票统计!E$4:E$1003,$W120)&amp;"")</f>
        <v/>
      </c>
      <c r="F120" s="68" t="str">
        <f aca="false">IF($W120="","",INDEX(发票统计!F$4:F$1003,$W120)&amp;"")</f>
        <v/>
      </c>
      <c r="G120" s="68" t="str">
        <f aca="false">IF($W120="","",IF(INDEX(发票统计!G$4:G$1003,$W120)="","",INDEX(发票统计!G$4:G$1003,$W120)))</f>
        <v/>
      </c>
      <c r="H120" s="56" t="str">
        <f aca="false">IF($W120="","",N(INDEX(发票统计!H$4:H$1003,$W120)))</f>
        <v/>
      </c>
      <c r="I120" s="56" t="str">
        <f aca="false">IF($W120="","",N(INDEX(发票统计!I$4:I$1003,$W120)))</f>
        <v/>
      </c>
      <c r="J120" s="56" t="str">
        <f aca="false">IF($W120="","",N(INDEX(发票统计!J$4:J$1003,$W120)))</f>
        <v/>
      </c>
      <c r="K120" s="56" t="str">
        <f aca="false">IF($W120="","",N(INDEX(发票统计!K$4:K$1003,$W120)))</f>
        <v/>
      </c>
      <c r="L120" s="56" t="str">
        <f aca="false">IF($W120="","",SUM(J$4:J120)-SUM(K$4:K120))</f>
        <v/>
      </c>
      <c r="M120" s="56" t="str">
        <f aca="false">IF($W120="","",N(INDEX(发票统计!M$4:M$1003,$W120)))</f>
        <v/>
      </c>
      <c r="N120" s="56" t="str">
        <f aca="false">IF($W120="","",N(INDEX(发票统计!N$4:N$1003,$W120)))</f>
        <v/>
      </c>
      <c r="O120" s="56" t="str">
        <f aca="false">IF($W120="","",N(INDEX(发票统计!O$4:O$1003,$W120)))</f>
        <v/>
      </c>
      <c r="P120" s="56" t="str">
        <f aca="false">IF($W120="","",SUM(M$4:M120)-SUM(N$4:N120)-SUM(O$4:O120))</f>
        <v/>
      </c>
      <c r="Q120" s="56" t="str">
        <f aca="false">IF($W120="","",N(INDEX(发票统计!Q$4:Q$1003,$W120)))</f>
        <v/>
      </c>
      <c r="R120" s="56" t="str">
        <f aca="false">IF($W120="","",N(INDEX(发票统计!R$4:R$1003,$W120)))</f>
        <v/>
      </c>
      <c r="S120" s="56" t="str">
        <f aca="false">IF($W120="","",N(INDEX(发票统计!S$4:S$1003,$W120)))</f>
        <v/>
      </c>
      <c r="T120" s="56" t="str">
        <f aca="false">IF($W120="","",SUM(Q$4:Q120)-SUM(R$4:R120)-SUM(S$4:S120))</f>
        <v/>
      </c>
      <c r="U120" s="56" t="str">
        <f aca="false">IF($W120="","",INDEX(发票统计!U$4:U$1003,$W120)&amp;"")</f>
        <v/>
      </c>
      <c r="W120" s="1" t="str">
        <f aca="false">IF($V$3="","",IFERROR(MATCH($V$3&amp;"#"&amp;ROWS(W$4:W120),发票统计!$W$4:$W$1003,0),""))</f>
        <v/>
      </c>
    </row>
    <row r="121" customFormat="false" ht="16.5" hidden="false" customHeight="false" outlineLevel="0" collapsed="false">
      <c r="A121" s="3" t="str">
        <f aca="false">IF($W121="","",INDEX(发票统计!A$4:A$1003,$W121)&amp;"")</f>
        <v/>
      </c>
      <c r="B121" s="3" t="str">
        <f aca="false">IF($W121="","",INDEX(发票统计!B$4:B$1003,$W121)&amp;"")</f>
        <v/>
      </c>
      <c r="C121" s="3" t="str">
        <f aca="false">IF($W121="","",INDEX(发票统计!C$4:C$1003,$W121)&amp;"")</f>
        <v/>
      </c>
      <c r="D121" s="3" t="str">
        <f aca="false">IF($W121="","",INDEX(发票统计!D$4:D$1003,$W121)&amp;"")</f>
        <v/>
      </c>
      <c r="E121" s="67" t="str">
        <f aca="false">IF($W121="","",INDEX(发票统计!E$4:E$1003,$W121)&amp;"")</f>
        <v/>
      </c>
      <c r="F121" s="68" t="str">
        <f aca="false">IF($W121="","",INDEX(发票统计!F$4:F$1003,$W121)&amp;"")</f>
        <v/>
      </c>
      <c r="G121" s="68" t="str">
        <f aca="false">IF($W121="","",IF(INDEX(发票统计!G$4:G$1003,$W121)="","",INDEX(发票统计!G$4:G$1003,$W121)))</f>
        <v/>
      </c>
      <c r="H121" s="56" t="str">
        <f aca="false">IF($W121="","",N(INDEX(发票统计!H$4:H$1003,$W121)))</f>
        <v/>
      </c>
      <c r="I121" s="56" t="str">
        <f aca="false">IF($W121="","",N(INDEX(发票统计!I$4:I$1003,$W121)))</f>
        <v/>
      </c>
      <c r="J121" s="56" t="str">
        <f aca="false">IF($W121="","",N(INDEX(发票统计!J$4:J$1003,$W121)))</f>
        <v/>
      </c>
      <c r="K121" s="56" t="str">
        <f aca="false">IF($W121="","",N(INDEX(发票统计!K$4:K$1003,$W121)))</f>
        <v/>
      </c>
      <c r="L121" s="56" t="str">
        <f aca="false">IF($W121="","",SUM(J$4:J121)-SUM(K$4:K121))</f>
        <v/>
      </c>
      <c r="M121" s="56" t="str">
        <f aca="false">IF($W121="","",N(INDEX(发票统计!M$4:M$1003,$W121)))</f>
        <v/>
      </c>
      <c r="N121" s="56" t="str">
        <f aca="false">IF($W121="","",N(INDEX(发票统计!N$4:N$1003,$W121)))</f>
        <v/>
      </c>
      <c r="O121" s="56" t="str">
        <f aca="false">IF($W121="","",N(INDEX(发票统计!O$4:O$1003,$W121)))</f>
        <v/>
      </c>
      <c r="P121" s="56" t="str">
        <f aca="false">IF($W121="","",SUM(M$4:M121)-SUM(N$4:N121)-SUM(O$4:O121))</f>
        <v/>
      </c>
      <c r="Q121" s="56" t="str">
        <f aca="false">IF($W121="","",N(INDEX(发票统计!Q$4:Q$1003,$W121)))</f>
        <v/>
      </c>
      <c r="R121" s="56" t="str">
        <f aca="false">IF($W121="","",N(INDEX(发票统计!R$4:R$1003,$W121)))</f>
        <v/>
      </c>
      <c r="S121" s="56" t="str">
        <f aca="false">IF($W121="","",N(INDEX(发票统计!S$4:S$1003,$W121)))</f>
        <v/>
      </c>
      <c r="T121" s="56" t="str">
        <f aca="false">IF($W121="","",SUM(Q$4:Q121)-SUM(R$4:R121)-SUM(S$4:S121))</f>
        <v/>
      </c>
      <c r="U121" s="56" t="str">
        <f aca="false">IF($W121="","",INDEX(发票统计!U$4:U$1003,$W121)&amp;"")</f>
        <v/>
      </c>
      <c r="W121" s="1" t="str">
        <f aca="false">IF($V$3="","",IFERROR(MATCH($V$3&amp;"#"&amp;ROWS(W$4:W121),发票统计!$W$4:$W$1003,0),""))</f>
        <v/>
      </c>
    </row>
    <row r="122" customFormat="false" ht="16.5" hidden="false" customHeight="false" outlineLevel="0" collapsed="false">
      <c r="A122" s="3" t="str">
        <f aca="false">IF($W122="","",INDEX(发票统计!A$4:A$1003,$W122)&amp;"")</f>
        <v/>
      </c>
      <c r="B122" s="3" t="str">
        <f aca="false">IF($W122="","",INDEX(发票统计!B$4:B$1003,$W122)&amp;"")</f>
        <v/>
      </c>
      <c r="C122" s="3" t="str">
        <f aca="false">IF($W122="","",INDEX(发票统计!C$4:C$1003,$W122)&amp;"")</f>
        <v/>
      </c>
      <c r="D122" s="3" t="str">
        <f aca="false">IF($W122="","",INDEX(发票统计!D$4:D$1003,$W122)&amp;"")</f>
        <v/>
      </c>
      <c r="E122" s="67" t="str">
        <f aca="false">IF($W122="","",INDEX(发票统计!E$4:E$1003,$W122)&amp;"")</f>
        <v/>
      </c>
      <c r="F122" s="68" t="str">
        <f aca="false">IF($W122="","",INDEX(发票统计!F$4:F$1003,$W122)&amp;"")</f>
        <v/>
      </c>
      <c r="G122" s="68" t="str">
        <f aca="false">IF($W122="","",IF(INDEX(发票统计!G$4:G$1003,$W122)="","",INDEX(发票统计!G$4:G$1003,$W122)))</f>
        <v/>
      </c>
      <c r="H122" s="56" t="str">
        <f aca="false">IF($W122="","",N(INDEX(发票统计!H$4:H$1003,$W122)))</f>
        <v/>
      </c>
      <c r="I122" s="56" t="str">
        <f aca="false">IF($W122="","",N(INDEX(发票统计!I$4:I$1003,$W122)))</f>
        <v/>
      </c>
      <c r="J122" s="56" t="str">
        <f aca="false">IF($W122="","",N(INDEX(发票统计!J$4:J$1003,$W122)))</f>
        <v/>
      </c>
      <c r="K122" s="56" t="str">
        <f aca="false">IF($W122="","",N(INDEX(发票统计!K$4:K$1003,$W122)))</f>
        <v/>
      </c>
      <c r="L122" s="56" t="str">
        <f aca="false">IF($W122="","",SUM(J$4:J122)-SUM(K$4:K122))</f>
        <v/>
      </c>
      <c r="M122" s="56" t="str">
        <f aca="false">IF($W122="","",N(INDEX(发票统计!M$4:M$1003,$W122)))</f>
        <v/>
      </c>
      <c r="N122" s="56" t="str">
        <f aca="false">IF($W122="","",N(INDEX(发票统计!N$4:N$1003,$W122)))</f>
        <v/>
      </c>
      <c r="O122" s="56" t="str">
        <f aca="false">IF($W122="","",N(INDEX(发票统计!O$4:O$1003,$W122)))</f>
        <v/>
      </c>
      <c r="P122" s="56" t="str">
        <f aca="false">IF($W122="","",SUM(M$4:M122)-SUM(N$4:N122)-SUM(O$4:O122))</f>
        <v/>
      </c>
      <c r="Q122" s="56" t="str">
        <f aca="false">IF($W122="","",N(INDEX(发票统计!Q$4:Q$1003,$W122)))</f>
        <v/>
      </c>
      <c r="R122" s="56" t="str">
        <f aca="false">IF($W122="","",N(INDEX(发票统计!R$4:R$1003,$W122)))</f>
        <v/>
      </c>
      <c r="S122" s="56" t="str">
        <f aca="false">IF($W122="","",N(INDEX(发票统计!S$4:S$1003,$W122)))</f>
        <v/>
      </c>
      <c r="T122" s="56" t="str">
        <f aca="false">IF($W122="","",SUM(Q$4:Q122)-SUM(R$4:R122)-SUM(S$4:S122))</f>
        <v/>
      </c>
      <c r="U122" s="56" t="str">
        <f aca="false">IF($W122="","",INDEX(发票统计!U$4:U$1003,$W122)&amp;"")</f>
        <v/>
      </c>
      <c r="W122" s="1" t="str">
        <f aca="false">IF($V$3="","",IFERROR(MATCH($V$3&amp;"#"&amp;ROWS(W$4:W122),发票统计!$W$4:$W$1003,0),""))</f>
        <v/>
      </c>
    </row>
    <row r="123" customFormat="false" ht="16.5" hidden="false" customHeight="false" outlineLevel="0" collapsed="false">
      <c r="A123" s="3" t="str">
        <f aca="false">IF($W123="","",INDEX(发票统计!A$4:A$1003,$W123)&amp;"")</f>
        <v/>
      </c>
      <c r="B123" s="3" t="str">
        <f aca="false">IF($W123="","",INDEX(发票统计!B$4:B$1003,$W123)&amp;"")</f>
        <v/>
      </c>
      <c r="C123" s="3" t="str">
        <f aca="false">IF($W123="","",INDEX(发票统计!C$4:C$1003,$W123)&amp;"")</f>
        <v/>
      </c>
      <c r="D123" s="3" t="str">
        <f aca="false">IF($W123="","",INDEX(发票统计!D$4:D$1003,$W123)&amp;"")</f>
        <v/>
      </c>
      <c r="E123" s="67" t="str">
        <f aca="false">IF($W123="","",INDEX(发票统计!E$4:E$1003,$W123)&amp;"")</f>
        <v/>
      </c>
      <c r="F123" s="68" t="str">
        <f aca="false">IF($W123="","",INDEX(发票统计!F$4:F$1003,$W123)&amp;"")</f>
        <v/>
      </c>
      <c r="G123" s="68" t="str">
        <f aca="false">IF($W123="","",IF(INDEX(发票统计!G$4:G$1003,$W123)="","",INDEX(发票统计!G$4:G$1003,$W123)))</f>
        <v/>
      </c>
      <c r="H123" s="56" t="str">
        <f aca="false">IF($W123="","",N(INDEX(发票统计!H$4:H$1003,$W123)))</f>
        <v/>
      </c>
      <c r="I123" s="56" t="str">
        <f aca="false">IF($W123="","",N(INDEX(发票统计!I$4:I$1003,$W123)))</f>
        <v/>
      </c>
      <c r="J123" s="56" t="str">
        <f aca="false">IF($W123="","",N(INDEX(发票统计!J$4:J$1003,$W123)))</f>
        <v/>
      </c>
      <c r="K123" s="56" t="str">
        <f aca="false">IF($W123="","",N(INDEX(发票统计!K$4:K$1003,$W123)))</f>
        <v/>
      </c>
      <c r="L123" s="56" t="str">
        <f aca="false">IF($W123="","",SUM(J$4:J123)-SUM(K$4:K123))</f>
        <v/>
      </c>
      <c r="M123" s="56" t="str">
        <f aca="false">IF($W123="","",N(INDEX(发票统计!M$4:M$1003,$W123)))</f>
        <v/>
      </c>
      <c r="N123" s="56" t="str">
        <f aca="false">IF($W123="","",N(INDEX(发票统计!N$4:N$1003,$W123)))</f>
        <v/>
      </c>
      <c r="O123" s="56" t="str">
        <f aca="false">IF($W123="","",N(INDEX(发票统计!O$4:O$1003,$W123)))</f>
        <v/>
      </c>
      <c r="P123" s="56" t="str">
        <f aca="false">IF($W123="","",SUM(M$4:M123)-SUM(N$4:N123)-SUM(O$4:O123))</f>
        <v/>
      </c>
      <c r="Q123" s="56" t="str">
        <f aca="false">IF($W123="","",N(INDEX(发票统计!Q$4:Q$1003,$W123)))</f>
        <v/>
      </c>
      <c r="R123" s="56" t="str">
        <f aca="false">IF($W123="","",N(INDEX(发票统计!R$4:R$1003,$W123)))</f>
        <v/>
      </c>
      <c r="S123" s="56" t="str">
        <f aca="false">IF($W123="","",N(INDEX(发票统计!S$4:S$1003,$W123)))</f>
        <v/>
      </c>
      <c r="T123" s="56" t="str">
        <f aca="false">IF($W123="","",SUM(Q$4:Q123)-SUM(R$4:R123)-SUM(S$4:S123))</f>
        <v/>
      </c>
      <c r="U123" s="56" t="str">
        <f aca="false">IF($W123="","",INDEX(发票统计!U$4:U$1003,$W123)&amp;"")</f>
        <v/>
      </c>
      <c r="W123" s="1" t="str">
        <f aca="false">IF($V$3="","",IFERROR(MATCH($V$3&amp;"#"&amp;ROWS(W$4:W123),发票统计!$W$4:$W$1003,0),""))</f>
        <v/>
      </c>
    </row>
    <row r="124" customFormat="false" ht="16.5" hidden="false" customHeight="false" outlineLevel="0" collapsed="false">
      <c r="A124" s="3" t="str">
        <f aca="false">IF($W124="","",INDEX(发票统计!A$4:A$1003,$W124)&amp;"")</f>
        <v/>
      </c>
      <c r="B124" s="3" t="str">
        <f aca="false">IF($W124="","",INDEX(发票统计!B$4:B$1003,$W124)&amp;"")</f>
        <v/>
      </c>
      <c r="C124" s="3" t="str">
        <f aca="false">IF($W124="","",INDEX(发票统计!C$4:C$1003,$W124)&amp;"")</f>
        <v/>
      </c>
      <c r="D124" s="3" t="str">
        <f aca="false">IF($W124="","",INDEX(发票统计!D$4:D$1003,$W124)&amp;"")</f>
        <v/>
      </c>
      <c r="E124" s="67" t="str">
        <f aca="false">IF($W124="","",INDEX(发票统计!E$4:E$1003,$W124)&amp;"")</f>
        <v/>
      </c>
      <c r="F124" s="68" t="str">
        <f aca="false">IF($W124="","",INDEX(发票统计!F$4:F$1003,$W124)&amp;"")</f>
        <v/>
      </c>
      <c r="G124" s="68" t="str">
        <f aca="false">IF($W124="","",IF(INDEX(发票统计!G$4:G$1003,$W124)="","",INDEX(发票统计!G$4:G$1003,$W124)))</f>
        <v/>
      </c>
      <c r="H124" s="56" t="str">
        <f aca="false">IF($W124="","",N(INDEX(发票统计!H$4:H$1003,$W124)))</f>
        <v/>
      </c>
      <c r="I124" s="56" t="str">
        <f aca="false">IF($W124="","",N(INDEX(发票统计!I$4:I$1003,$W124)))</f>
        <v/>
      </c>
      <c r="J124" s="56" t="str">
        <f aca="false">IF($W124="","",N(INDEX(发票统计!J$4:J$1003,$W124)))</f>
        <v/>
      </c>
      <c r="K124" s="56" t="str">
        <f aca="false">IF($W124="","",N(INDEX(发票统计!K$4:K$1003,$W124)))</f>
        <v/>
      </c>
      <c r="L124" s="56" t="str">
        <f aca="false">IF($W124="","",SUM(J$4:J124)-SUM(K$4:K124))</f>
        <v/>
      </c>
      <c r="M124" s="56" t="str">
        <f aca="false">IF($W124="","",N(INDEX(发票统计!M$4:M$1003,$W124)))</f>
        <v/>
      </c>
      <c r="N124" s="56" t="str">
        <f aca="false">IF($W124="","",N(INDEX(发票统计!N$4:N$1003,$W124)))</f>
        <v/>
      </c>
      <c r="O124" s="56" t="str">
        <f aca="false">IF($W124="","",N(INDEX(发票统计!O$4:O$1003,$W124)))</f>
        <v/>
      </c>
      <c r="P124" s="56" t="str">
        <f aca="false">IF($W124="","",SUM(M$4:M124)-SUM(N$4:N124)-SUM(O$4:O124))</f>
        <v/>
      </c>
      <c r="Q124" s="56" t="str">
        <f aca="false">IF($W124="","",N(INDEX(发票统计!Q$4:Q$1003,$W124)))</f>
        <v/>
      </c>
      <c r="R124" s="56" t="str">
        <f aca="false">IF($W124="","",N(INDEX(发票统计!R$4:R$1003,$W124)))</f>
        <v/>
      </c>
      <c r="S124" s="56" t="str">
        <f aca="false">IF($W124="","",N(INDEX(发票统计!S$4:S$1003,$W124)))</f>
        <v/>
      </c>
      <c r="T124" s="56" t="str">
        <f aca="false">IF($W124="","",SUM(Q$4:Q124)-SUM(R$4:R124)-SUM(S$4:S124))</f>
        <v/>
      </c>
      <c r="U124" s="56" t="str">
        <f aca="false">IF($W124="","",INDEX(发票统计!U$4:U$1003,$W124)&amp;"")</f>
        <v/>
      </c>
      <c r="W124" s="1" t="str">
        <f aca="false">IF($V$3="","",IFERROR(MATCH($V$3&amp;"#"&amp;ROWS(W$4:W124),发票统计!$W$4:$W$1003,0),""))</f>
        <v/>
      </c>
    </row>
    <row r="125" customFormat="false" ht="16.5" hidden="false" customHeight="false" outlineLevel="0" collapsed="false">
      <c r="A125" s="3" t="str">
        <f aca="false">IF($W125="","",INDEX(发票统计!A$4:A$1003,$W125)&amp;"")</f>
        <v/>
      </c>
      <c r="B125" s="3" t="str">
        <f aca="false">IF($W125="","",INDEX(发票统计!B$4:B$1003,$W125)&amp;"")</f>
        <v/>
      </c>
      <c r="C125" s="3" t="str">
        <f aca="false">IF($W125="","",INDEX(发票统计!C$4:C$1003,$W125)&amp;"")</f>
        <v/>
      </c>
      <c r="D125" s="3" t="str">
        <f aca="false">IF($W125="","",INDEX(发票统计!D$4:D$1003,$W125)&amp;"")</f>
        <v/>
      </c>
      <c r="E125" s="67" t="str">
        <f aca="false">IF($W125="","",INDEX(发票统计!E$4:E$1003,$W125)&amp;"")</f>
        <v/>
      </c>
      <c r="F125" s="68" t="str">
        <f aca="false">IF($W125="","",INDEX(发票统计!F$4:F$1003,$W125)&amp;"")</f>
        <v/>
      </c>
      <c r="G125" s="68" t="str">
        <f aca="false">IF($W125="","",IF(INDEX(发票统计!G$4:G$1003,$W125)="","",INDEX(发票统计!G$4:G$1003,$W125)))</f>
        <v/>
      </c>
      <c r="H125" s="56" t="str">
        <f aca="false">IF($W125="","",N(INDEX(发票统计!H$4:H$1003,$W125)))</f>
        <v/>
      </c>
      <c r="I125" s="56" t="str">
        <f aca="false">IF($W125="","",N(INDEX(发票统计!I$4:I$1003,$W125)))</f>
        <v/>
      </c>
      <c r="J125" s="56" t="str">
        <f aca="false">IF($W125="","",N(INDEX(发票统计!J$4:J$1003,$W125)))</f>
        <v/>
      </c>
      <c r="K125" s="56" t="str">
        <f aca="false">IF($W125="","",N(INDEX(发票统计!K$4:K$1003,$W125)))</f>
        <v/>
      </c>
      <c r="L125" s="56" t="str">
        <f aca="false">IF($W125="","",SUM(J$4:J125)-SUM(K$4:K125))</f>
        <v/>
      </c>
      <c r="M125" s="56" t="str">
        <f aca="false">IF($W125="","",N(INDEX(发票统计!M$4:M$1003,$W125)))</f>
        <v/>
      </c>
      <c r="N125" s="56" t="str">
        <f aca="false">IF($W125="","",N(INDEX(发票统计!N$4:N$1003,$W125)))</f>
        <v/>
      </c>
      <c r="O125" s="56" t="str">
        <f aca="false">IF($W125="","",N(INDEX(发票统计!O$4:O$1003,$W125)))</f>
        <v/>
      </c>
      <c r="P125" s="56" t="str">
        <f aca="false">IF($W125="","",SUM(M$4:M125)-SUM(N$4:N125)-SUM(O$4:O125))</f>
        <v/>
      </c>
      <c r="Q125" s="56" t="str">
        <f aca="false">IF($W125="","",N(INDEX(发票统计!Q$4:Q$1003,$W125)))</f>
        <v/>
      </c>
      <c r="R125" s="56" t="str">
        <f aca="false">IF($W125="","",N(INDEX(发票统计!R$4:R$1003,$W125)))</f>
        <v/>
      </c>
      <c r="S125" s="56" t="str">
        <f aca="false">IF($W125="","",N(INDEX(发票统计!S$4:S$1003,$W125)))</f>
        <v/>
      </c>
      <c r="T125" s="56" t="str">
        <f aca="false">IF($W125="","",SUM(Q$4:Q125)-SUM(R$4:R125)-SUM(S$4:S125))</f>
        <v/>
      </c>
      <c r="U125" s="56" t="str">
        <f aca="false">IF($W125="","",INDEX(发票统计!U$4:U$1003,$W125)&amp;"")</f>
        <v/>
      </c>
      <c r="W125" s="1" t="str">
        <f aca="false">IF($V$3="","",IFERROR(MATCH($V$3&amp;"#"&amp;ROWS(W$4:W125),发票统计!$W$4:$W$1003,0),""))</f>
        <v/>
      </c>
    </row>
    <row r="126" customFormat="false" ht="16.5" hidden="false" customHeight="false" outlineLevel="0" collapsed="false">
      <c r="A126" s="3" t="str">
        <f aca="false">IF($W126="","",INDEX(发票统计!A$4:A$1003,$W126)&amp;"")</f>
        <v/>
      </c>
      <c r="B126" s="3" t="str">
        <f aca="false">IF($W126="","",INDEX(发票统计!B$4:B$1003,$W126)&amp;"")</f>
        <v/>
      </c>
      <c r="C126" s="3" t="str">
        <f aca="false">IF($W126="","",INDEX(发票统计!C$4:C$1003,$W126)&amp;"")</f>
        <v/>
      </c>
      <c r="D126" s="3" t="str">
        <f aca="false">IF($W126="","",INDEX(发票统计!D$4:D$1003,$W126)&amp;"")</f>
        <v/>
      </c>
      <c r="E126" s="67" t="str">
        <f aca="false">IF($W126="","",INDEX(发票统计!E$4:E$1003,$W126)&amp;"")</f>
        <v/>
      </c>
      <c r="F126" s="68" t="str">
        <f aca="false">IF($W126="","",INDEX(发票统计!F$4:F$1003,$W126)&amp;"")</f>
        <v/>
      </c>
      <c r="G126" s="68" t="str">
        <f aca="false">IF($W126="","",IF(INDEX(发票统计!G$4:G$1003,$W126)="","",INDEX(发票统计!G$4:G$1003,$W126)))</f>
        <v/>
      </c>
      <c r="H126" s="56" t="str">
        <f aca="false">IF($W126="","",N(INDEX(发票统计!H$4:H$1003,$W126)))</f>
        <v/>
      </c>
      <c r="I126" s="56" t="str">
        <f aca="false">IF($W126="","",N(INDEX(发票统计!I$4:I$1003,$W126)))</f>
        <v/>
      </c>
      <c r="J126" s="56" t="str">
        <f aca="false">IF($W126="","",N(INDEX(发票统计!J$4:J$1003,$W126)))</f>
        <v/>
      </c>
      <c r="K126" s="56" t="str">
        <f aca="false">IF($W126="","",N(INDEX(发票统计!K$4:K$1003,$W126)))</f>
        <v/>
      </c>
      <c r="L126" s="56" t="str">
        <f aca="false">IF($W126="","",SUM(J$4:J126)-SUM(K$4:K126))</f>
        <v/>
      </c>
      <c r="M126" s="56" t="str">
        <f aca="false">IF($W126="","",N(INDEX(发票统计!M$4:M$1003,$W126)))</f>
        <v/>
      </c>
      <c r="N126" s="56" t="str">
        <f aca="false">IF($W126="","",N(INDEX(发票统计!N$4:N$1003,$W126)))</f>
        <v/>
      </c>
      <c r="O126" s="56" t="str">
        <f aca="false">IF($W126="","",N(INDEX(发票统计!O$4:O$1003,$W126)))</f>
        <v/>
      </c>
      <c r="P126" s="56" t="str">
        <f aca="false">IF($W126="","",SUM(M$4:M126)-SUM(N$4:N126)-SUM(O$4:O126))</f>
        <v/>
      </c>
      <c r="Q126" s="56" t="str">
        <f aca="false">IF($W126="","",N(INDEX(发票统计!Q$4:Q$1003,$W126)))</f>
        <v/>
      </c>
      <c r="R126" s="56" t="str">
        <f aca="false">IF($W126="","",N(INDEX(发票统计!R$4:R$1003,$W126)))</f>
        <v/>
      </c>
      <c r="S126" s="56" t="str">
        <f aca="false">IF($W126="","",N(INDEX(发票统计!S$4:S$1003,$W126)))</f>
        <v/>
      </c>
      <c r="T126" s="56" t="str">
        <f aca="false">IF($W126="","",SUM(Q$4:Q126)-SUM(R$4:R126)-SUM(S$4:S126))</f>
        <v/>
      </c>
      <c r="U126" s="56" t="str">
        <f aca="false">IF($W126="","",INDEX(发票统计!U$4:U$1003,$W126)&amp;"")</f>
        <v/>
      </c>
      <c r="W126" s="1" t="str">
        <f aca="false">IF($V$3="","",IFERROR(MATCH($V$3&amp;"#"&amp;ROWS(W$4:W126),发票统计!$W$4:$W$1003,0),""))</f>
        <v/>
      </c>
    </row>
    <row r="127" customFormat="false" ht="16.5" hidden="false" customHeight="false" outlineLevel="0" collapsed="false">
      <c r="A127" s="3" t="str">
        <f aca="false">IF($W127="","",INDEX(发票统计!A$4:A$1003,$W127)&amp;"")</f>
        <v/>
      </c>
      <c r="B127" s="3" t="str">
        <f aca="false">IF($W127="","",INDEX(发票统计!B$4:B$1003,$W127)&amp;"")</f>
        <v/>
      </c>
      <c r="C127" s="3" t="str">
        <f aca="false">IF($W127="","",INDEX(发票统计!C$4:C$1003,$W127)&amp;"")</f>
        <v/>
      </c>
      <c r="D127" s="3" t="str">
        <f aca="false">IF($W127="","",INDEX(发票统计!D$4:D$1003,$W127)&amp;"")</f>
        <v/>
      </c>
      <c r="E127" s="67" t="str">
        <f aca="false">IF($W127="","",INDEX(发票统计!E$4:E$1003,$W127)&amp;"")</f>
        <v/>
      </c>
      <c r="F127" s="68" t="str">
        <f aca="false">IF($W127="","",INDEX(发票统计!F$4:F$1003,$W127)&amp;"")</f>
        <v/>
      </c>
      <c r="G127" s="68" t="str">
        <f aca="false">IF($W127="","",IF(INDEX(发票统计!G$4:G$1003,$W127)="","",INDEX(发票统计!G$4:G$1003,$W127)))</f>
        <v/>
      </c>
      <c r="H127" s="56" t="str">
        <f aca="false">IF($W127="","",N(INDEX(发票统计!H$4:H$1003,$W127)))</f>
        <v/>
      </c>
      <c r="I127" s="56" t="str">
        <f aca="false">IF($W127="","",N(INDEX(发票统计!I$4:I$1003,$W127)))</f>
        <v/>
      </c>
      <c r="J127" s="56" t="str">
        <f aca="false">IF($W127="","",N(INDEX(发票统计!J$4:J$1003,$W127)))</f>
        <v/>
      </c>
      <c r="K127" s="56" t="str">
        <f aca="false">IF($W127="","",N(INDEX(发票统计!K$4:K$1003,$W127)))</f>
        <v/>
      </c>
      <c r="L127" s="56" t="str">
        <f aca="false">IF($W127="","",SUM(J$4:J127)-SUM(K$4:K127))</f>
        <v/>
      </c>
      <c r="M127" s="56" t="str">
        <f aca="false">IF($W127="","",N(INDEX(发票统计!M$4:M$1003,$W127)))</f>
        <v/>
      </c>
      <c r="N127" s="56" t="str">
        <f aca="false">IF($W127="","",N(INDEX(发票统计!N$4:N$1003,$W127)))</f>
        <v/>
      </c>
      <c r="O127" s="56" t="str">
        <f aca="false">IF($W127="","",N(INDEX(发票统计!O$4:O$1003,$W127)))</f>
        <v/>
      </c>
      <c r="P127" s="56" t="str">
        <f aca="false">IF($W127="","",SUM(M$4:M127)-SUM(N$4:N127)-SUM(O$4:O127))</f>
        <v/>
      </c>
      <c r="Q127" s="56" t="str">
        <f aca="false">IF($W127="","",N(INDEX(发票统计!Q$4:Q$1003,$W127)))</f>
        <v/>
      </c>
      <c r="R127" s="56" t="str">
        <f aca="false">IF($W127="","",N(INDEX(发票统计!R$4:R$1003,$W127)))</f>
        <v/>
      </c>
      <c r="S127" s="56" t="str">
        <f aca="false">IF($W127="","",N(INDEX(发票统计!S$4:S$1003,$W127)))</f>
        <v/>
      </c>
      <c r="T127" s="56" t="str">
        <f aca="false">IF($W127="","",SUM(Q$4:Q127)-SUM(R$4:R127)-SUM(S$4:S127))</f>
        <v/>
      </c>
      <c r="U127" s="56" t="str">
        <f aca="false">IF($W127="","",INDEX(发票统计!U$4:U$1003,$W127)&amp;"")</f>
        <v/>
      </c>
      <c r="W127" s="1" t="str">
        <f aca="false">IF($V$3="","",IFERROR(MATCH($V$3&amp;"#"&amp;ROWS(W$4:W127),发票统计!$W$4:$W$1003,0),""))</f>
        <v/>
      </c>
    </row>
    <row r="128" customFormat="false" ht="16.5" hidden="false" customHeight="false" outlineLevel="0" collapsed="false">
      <c r="A128" s="3" t="str">
        <f aca="false">IF($W128="","",INDEX(发票统计!A$4:A$1003,$W128)&amp;"")</f>
        <v/>
      </c>
      <c r="B128" s="3" t="str">
        <f aca="false">IF($W128="","",INDEX(发票统计!B$4:B$1003,$W128)&amp;"")</f>
        <v/>
      </c>
      <c r="C128" s="3" t="str">
        <f aca="false">IF($W128="","",INDEX(发票统计!C$4:C$1003,$W128)&amp;"")</f>
        <v/>
      </c>
      <c r="D128" s="3" t="str">
        <f aca="false">IF($W128="","",INDEX(发票统计!D$4:D$1003,$W128)&amp;"")</f>
        <v/>
      </c>
      <c r="E128" s="67" t="str">
        <f aca="false">IF($W128="","",INDEX(发票统计!E$4:E$1003,$W128)&amp;"")</f>
        <v/>
      </c>
      <c r="F128" s="68" t="str">
        <f aca="false">IF($W128="","",INDEX(发票统计!F$4:F$1003,$W128)&amp;"")</f>
        <v/>
      </c>
      <c r="G128" s="68" t="str">
        <f aca="false">IF($W128="","",IF(INDEX(发票统计!G$4:G$1003,$W128)="","",INDEX(发票统计!G$4:G$1003,$W128)))</f>
        <v/>
      </c>
      <c r="H128" s="56" t="str">
        <f aca="false">IF($W128="","",N(INDEX(发票统计!H$4:H$1003,$W128)))</f>
        <v/>
      </c>
      <c r="I128" s="56" t="str">
        <f aca="false">IF($W128="","",N(INDEX(发票统计!I$4:I$1003,$W128)))</f>
        <v/>
      </c>
      <c r="J128" s="56" t="str">
        <f aca="false">IF($W128="","",N(INDEX(发票统计!J$4:J$1003,$W128)))</f>
        <v/>
      </c>
      <c r="K128" s="56" t="str">
        <f aca="false">IF($W128="","",N(INDEX(发票统计!K$4:K$1003,$W128)))</f>
        <v/>
      </c>
      <c r="L128" s="56" t="str">
        <f aca="false">IF($W128="","",SUM(J$4:J128)-SUM(K$4:K128))</f>
        <v/>
      </c>
      <c r="M128" s="56" t="str">
        <f aca="false">IF($W128="","",N(INDEX(发票统计!M$4:M$1003,$W128)))</f>
        <v/>
      </c>
      <c r="N128" s="56" t="str">
        <f aca="false">IF($W128="","",N(INDEX(发票统计!N$4:N$1003,$W128)))</f>
        <v/>
      </c>
      <c r="O128" s="56" t="str">
        <f aca="false">IF($W128="","",N(INDEX(发票统计!O$4:O$1003,$W128)))</f>
        <v/>
      </c>
      <c r="P128" s="56" t="str">
        <f aca="false">IF($W128="","",SUM(M$4:M128)-SUM(N$4:N128)-SUM(O$4:O128))</f>
        <v/>
      </c>
      <c r="Q128" s="56" t="str">
        <f aca="false">IF($W128="","",N(INDEX(发票统计!Q$4:Q$1003,$W128)))</f>
        <v/>
      </c>
      <c r="R128" s="56" t="str">
        <f aca="false">IF($W128="","",N(INDEX(发票统计!R$4:R$1003,$W128)))</f>
        <v/>
      </c>
      <c r="S128" s="56" t="str">
        <f aca="false">IF($W128="","",N(INDEX(发票统计!S$4:S$1003,$W128)))</f>
        <v/>
      </c>
      <c r="T128" s="56" t="str">
        <f aca="false">IF($W128="","",SUM(Q$4:Q128)-SUM(R$4:R128)-SUM(S$4:S128))</f>
        <v/>
      </c>
      <c r="U128" s="56" t="str">
        <f aca="false">IF($W128="","",INDEX(发票统计!U$4:U$1003,$W128)&amp;"")</f>
        <v/>
      </c>
      <c r="W128" s="1" t="str">
        <f aca="false">IF($V$3="","",IFERROR(MATCH($V$3&amp;"#"&amp;ROWS(W$4:W128),发票统计!$W$4:$W$1003,0),""))</f>
        <v/>
      </c>
    </row>
    <row r="129" customFormat="false" ht="16.5" hidden="false" customHeight="false" outlineLevel="0" collapsed="false">
      <c r="A129" s="3" t="str">
        <f aca="false">IF($W129="","",INDEX(发票统计!A$4:A$1003,$W129)&amp;"")</f>
        <v/>
      </c>
      <c r="B129" s="3" t="str">
        <f aca="false">IF($W129="","",INDEX(发票统计!B$4:B$1003,$W129)&amp;"")</f>
        <v/>
      </c>
      <c r="C129" s="3" t="str">
        <f aca="false">IF($W129="","",INDEX(发票统计!C$4:C$1003,$W129)&amp;"")</f>
        <v/>
      </c>
      <c r="D129" s="3" t="str">
        <f aca="false">IF($W129="","",INDEX(发票统计!D$4:D$1003,$W129)&amp;"")</f>
        <v/>
      </c>
      <c r="E129" s="67" t="str">
        <f aca="false">IF($W129="","",INDEX(发票统计!E$4:E$1003,$W129)&amp;"")</f>
        <v/>
      </c>
      <c r="F129" s="68" t="str">
        <f aca="false">IF($W129="","",INDEX(发票统计!F$4:F$1003,$W129)&amp;"")</f>
        <v/>
      </c>
      <c r="G129" s="68" t="str">
        <f aca="false">IF($W129="","",IF(INDEX(发票统计!G$4:G$1003,$W129)="","",INDEX(发票统计!G$4:G$1003,$W129)))</f>
        <v/>
      </c>
      <c r="H129" s="56" t="str">
        <f aca="false">IF($W129="","",N(INDEX(发票统计!H$4:H$1003,$W129)))</f>
        <v/>
      </c>
      <c r="I129" s="56" t="str">
        <f aca="false">IF($W129="","",N(INDEX(发票统计!I$4:I$1003,$W129)))</f>
        <v/>
      </c>
      <c r="J129" s="56" t="str">
        <f aca="false">IF($W129="","",N(INDEX(发票统计!J$4:J$1003,$W129)))</f>
        <v/>
      </c>
      <c r="K129" s="56" t="str">
        <f aca="false">IF($W129="","",N(INDEX(发票统计!K$4:K$1003,$W129)))</f>
        <v/>
      </c>
      <c r="L129" s="56" t="str">
        <f aca="false">IF($W129="","",SUM(J$4:J129)-SUM(K$4:K129))</f>
        <v/>
      </c>
      <c r="M129" s="56" t="str">
        <f aca="false">IF($W129="","",N(INDEX(发票统计!M$4:M$1003,$W129)))</f>
        <v/>
      </c>
      <c r="N129" s="56" t="str">
        <f aca="false">IF($W129="","",N(INDEX(发票统计!N$4:N$1003,$W129)))</f>
        <v/>
      </c>
      <c r="O129" s="56" t="str">
        <f aca="false">IF($W129="","",N(INDEX(发票统计!O$4:O$1003,$W129)))</f>
        <v/>
      </c>
      <c r="P129" s="56" t="str">
        <f aca="false">IF($W129="","",SUM(M$4:M129)-SUM(N$4:N129)-SUM(O$4:O129))</f>
        <v/>
      </c>
      <c r="Q129" s="56" t="str">
        <f aca="false">IF($W129="","",N(INDEX(发票统计!Q$4:Q$1003,$W129)))</f>
        <v/>
      </c>
      <c r="R129" s="56" t="str">
        <f aca="false">IF($W129="","",N(INDEX(发票统计!R$4:R$1003,$W129)))</f>
        <v/>
      </c>
      <c r="S129" s="56" t="str">
        <f aca="false">IF($W129="","",N(INDEX(发票统计!S$4:S$1003,$W129)))</f>
        <v/>
      </c>
      <c r="T129" s="56" t="str">
        <f aca="false">IF($W129="","",SUM(Q$4:Q129)-SUM(R$4:R129)-SUM(S$4:S129))</f>
        <v/>
      </c>
      <c r="U129" s="56" t="str">
        <f aca="false">IF($W129="","",INDEX(发票统计!U$4:U$1003,$W129)&amp;"")</f>
        <v/>
      </c>
      <c r="W129" s="1" t="str">
        <f aca="false">IF($V$3="","",IFERROR(MATCH($V$3&amp;"#"&amp;ROWS(W$4:W129),发票统计!$W$4:$W$1003,0),""))</f>
        <v/>
      </c>
    </row>
    <row r="130" customFormat="false" ht="16.5" hidden="false" customHeight="false" outlineLevel="0" collapsed="false">
      <c r="A130" s="3" t="str">
        <f aca="false">IF($W130="","",INDEX(发票统计!A$4:A$1003,$W130)&amp;"")</f>
        <v/>
      </c>
      <c r="B130" s="3" t="str">
        <f aca="false">IF($W130="","",INDEX(发票统计!B$4:B$1003,$W130)&amp;"")</f>
        <v/>
      </c>
      <c r="C130" s="3" t="str">
        <f aca="false">IF($W130="","",INDEX(发票统计!C$4:C$1003,$W130)&amp;"")</f>
        <v/>
      </c>
      <c r="D130" s="3" t="str">
        <f aca="false">IF($W130="","",INDEX(发票统计!D$4:D$1003,$W130)&amp;"")</f>
        <v/>
      </c>
      <c r="E130" s="67" t="str">
        <f aca="false">IF($W130="","",INDEX(发票统计!E$4:E$1003,$W130)&amp;"")</f>
        <v/>
      </c>
      <c r="F130" s="68" t="str">
        <f aca="false">IF($W130="","",INDEX(发票统计!F$4:F$1003,$W130)&amp;"")</f>
        <v/>
      </c>
      <c r="G130" s="68" t="str">
        <f aca="false">IF($W130="","",IF(INDEX(发票统计!G$4:G$1003,$W130)="","",INDEX(发票统计!G$4:G$1003,$W130)))</f>
        <v/>
      </c>
      <c r="H130" s="56" t="str">
        <f aca="false">IF($W130="","",N(INDEX(发票统计!H$4:H$1003,$W130)))</f>
        <v/>
      </c>
      <c r="I130" s="56" t="str">
        <f aca="false">IF($W130="","",N(INDEX(发票统计!I$4:I$1003,$W130)))</f>
        <v/>
      </c>
      <c r="J130" s="56" t="str">
        <f aca="false">IF($W130="","",N(INDEX(发票统计!J$4:J$1003,$W130)))</f>
        <v/>
      </c>
      <c r="K130" s="56" t="str">
        <f aca="false">IF($W130="","",N(INDEX(发票统计!K$4:K$1003,$W130)))</f>
        <v/>
      </c>
      <c r="L130" s="56" t="str">
        <f aca="false">IF($W130="","",SUM(J$4:J130)-SUM(K$4:K130))</f>
        <v/>
      </c>
      <c r="M130" s="56" t="str">
        <f aca="false">IF($W130="","",N(INDEX(发票统计!M$4:M$1003,$W130)))</f>
        <v/>
      </c>
      <c r="N130" s="56" t="str">
        <f aca="false">IF($W130="","",N(INDEX(发票统计!N$4:N$1003,$W130)))</f>
        <v/>
      </c>
      <c r="O130" s="56" t="str">
        <f aca="false">IF($W130="","",N(INDEX(发票统计!O$4:O$1003,$W130)))</f>
        <v/>
      </c>
      <c r="P130" s="56" t="str">
        <f aca="false">IF($W130="","",SUM(M$4:M130)-SUM(N$4:N130)-SUM(O$4:O130))</f>
        <v/>
      </c>
      <c r="Q130" s="56" t="str">
        <f aca="false">IF($W130="","",N(INDEX(发票统计!Q$4:Q$1003,$W130)))</f>
        <v/>
      </c>
      <c r="R130" s="56" t="str">
        <f aca="false">IF($W130="","",N(INDEX(发票统计!R$4:R$1003,$W130)))</f>
        <v/>
      </c>
      <c r="S130" s="56" t="str">
        <f aca="false">IF($W130="","",N(INDEX(发票统计!S$4:S$1003,$W130)))</f>
        <v/>
      </c>
      <c r="T130" s="56" t="str">
        <f aca="false">IF($W130="","",SUM(Q$4:Q130)-SUM(R$4:R130)-SUM(S$4:S130))</f>
        <v/>
      </c>
      <c r="U130" s="56" t="str">
        <f aca="false">IF($W130="","",INDEX(发票统计!U$4:U$1003,$W130)&amp;"")</f>
        <v/>
      </c>
      <c r="W130" s="1" t="str">
        <f aca="false">IF($V$3="","",IFERROR(MATCH($V$3&amp;"#"&amp;ROWS(W$4:W130),发票统计!$W$4:$W$1003,0),""))</f>
        <v/>
      </c>
    </row>
    <row r="131" customFormat="false" ht="16.5" hidden="false" customHeight="false" outlineLevel="0" collapsed="false">
      <c r="A131" s="3" t="str">
        <f aca="false">IF($W131="","",INDEX(发票统计!A$4:A$1003,$W131)&amp;"")</f>
        <v/>
      </c>
      <c r="B131" s="3" t="str">
        <f aca="false">IF($W131="","",INDEX(发票统计!B$4:B$1003,$W131)&amp;"")</f>
        <v/>
      </c>
      <c r="C131" s="3" t="str">
        <f aca="false">IF($W131="","",INDEX(发票统计!C$4:C$1003,$W131)&amp;"")</f>
        <v/>
      </c>
      <c r="D131" s="3" t="str">
        <f aca="false">IF($W131="","",INDEX(发票统计!D$4:D$1003,$W131)&amp;"")</f>
        <v/>
      </c>
      <c r="E131" s="67" t="str">
        <f aca="false">IF($W131="","",INDEX(发票统计!E$4:E$1003,$W131)&amp;"")</f>
        <v/>
      </c>
      <c r="F131" s="68" t="str">
        <f aca="false">IF($W131="","",INDEX(发票统计!F$4:F$1003,$W131)&amp;"")</f>
        <v/>
      </c>
      <c r="G131" s="68" t="str">
        <f aca="false">IF($W131="","",IF(INDEX(发票统计!G$4:G$1003,$W131)="","",INDEX(发票统计!G$4:G$1003,$W131)))</f>
        <v/>
      </c>
      <c r="H131" s="56" t="str">
        <f aca="false">IF($W131="","",N(INDEX(发票统计!H$4:H$1003,$W131)))</f>
        <v/>
      </c>
      <c r="I131" s="56" t="str">
        <f aca="false">IF($W131="","",N(INDEX(发票统计!I$4:I$1003,$W131)))</f>
        <v/>
      </c>
      <c r="J131" s="56" t="str">
        <f aca="false">IF($W131="","",N(INDEX(发票统计!J$4:J$1003,$W131)))</f>
        <v/>
      </c>
      <c r="K131" s="56" t="str">
        <f aca="false">IF($W131="","",N(INDEX(发票统计!K$4:K$1003,$W131)))</f>
        <v/>
      </c>
      <c r="L131" s="56" t="str">
        <f aca="false">IF($W131="","",SUM(J$4:J131)-SUM(K$4:K131))</f>
        <v/>
      </c>
      <c r="M131" s="56" t="str">
        <f aca="false">IF($W131="","",N(INDEX(发票统计!M$4:M$1003,$W131)))</f>
        <v/>
      </c>
      <c r="N131" s="56" t="str">
        <f aca="false">IF($W131="","",N(INDEX(发票统计!N$4:N$1003,$W131)))</f>
        <v/>
      </c>
      <c r="O131" s="56" t="str">
        <f aca="false">IF($W131="","",N(INDEX(发票统计!O$4:O$1003,$W131)))</f>
        <v/>
      </c>
      <c r="P131" s="56" t="str">
        <f aca="false">IF($W131="","",SUM(M$4:M131)-SUM(N$4:N131)-SUM(O$4:O131))</f>
        <v/>
      </c>
      <c r="Q131" s="56" t="str">
        <f aca="false">IF($W131="","",N(INDEX(发票统计!Q$4:Q$1003,$W131)))</f>
        <v/>
      </c>
      <c r="R131" s="56" t="str">
        <f aca="false">IF($W131="","",N(INDEX(发票统计!R$4:R$1003,$W131)))</f>
        <v/>
      </c>
      <c r="S131" s="56" t="str">
        <f aca="false">IF($W131="","",N(INDEX(发票统计!S$4:S$1003,$W131)))</f>
        <v/>
      </c>
      <c r="T131" s="56" t="str">
        <f aca="false">IF($W131="","",SUM(Q$4:Q131)-SUM(R$4:R131)-SUM(S$4:S131))</f>
        <v/>
      </c>
      <c r="U131" s="56" t="str">
        <f aca="false">IF($W131="","",INDEX(发票统计!U$4:U$1003,$W131)&amp;"")</f>
        <v/>
      </c>
      <c r="W131" s="1" t="str">
        <f aca="false">IF($V$3="","",IFERROR(MATCH($V$3&amp;"#"&amp;ROWS(W$4:W131),发票统计!$W$4:$W$1003,0),""))</f>
        <v/>
      </c>
    </row>
    <row r="132" customFormat="false" ht="16.5" hidden="false" customHeight="false" outlineLevel="0" collapsed="false">
      <c r="A132" s="3" t="str">
        <f aca="false">IF($W132="","",INDEX(发票统计!A$4:A$1003,$W132)&amp;"")</f>
        <v/>
      </c>
      <c r="B132" s="3" t="str">
        <f aca="false">IF($W132="","",INDEX(发票统计!B$4:B$1003,$W132)&amp;"")</f>
        <v/>
      </c>
      <c r="C132" s="3" t="str">
        <f aca="false">IF($W132="","",INDEX(发票统计!C$4:C$1003,$W132)&amp;"")</f>
        <v/>
      </c>
      <c r="D132" s="3" t="str">
        <f aca="false">IF($W132="","",INDEX(发票统计!D$4:D$1003,$W132)&amp;"")</f>
        <v/>
      </c>
      <c r="E132" s="67" t="str">
        <f aca="false">IF($W132="","",INDEX(发票统计!E$4:E$1003,$W132)&amp;"")</f>
        <v/>
      </c>
      <c r="F132" s="68" t="str">
        <f aca="false">IF($W132="","",INDEX(发票统计!F$4:F$1003,$W132)&amp;"")</f>
        <v/>
      </c>
      <c r="G132" s="68" t="str">
        <f aca="false">IF($W132="","",IF(INDEX(发票统计!G$4:G$1003,$W132)="","",INDEX(发票统计!G$4:G$1003,$W132)))</f>
        <v/>
      </c>
      <c r="H132" s="56" t="str">
        <f aca="false">IF($W132="","",N(INDEX(发票统计!H$4:H$1003,$W132)))</f>
        <v/>
      </c>
      <c r="I132" s="56" t="str">
        <f aca="false">IF($W132="","",N(INDEX(发票统计!I$4:I$1003,$W132)))</f>
        <v/>
      </c>
      <c r="J132" s="56" t="str">
        <f aca="false">IF($W132="","",N(INDEX(发票统计!J$4:J$1003,$W132)))</f>
        <v/>
      </c>
      <c r="K132" s="56" t="str">
        <f aca="false">IF($W132="","",N(INDEX(发票统计!K$4:K$1003,$W132)))</f>
        <v/>
      </c>
      <c r="L132" s="56" t="str">
        <f aca="false">IF($W132="","",SUM(J$4:J132)-SUM(K$4:K132))</f>
        <v/>
      </c>
      <c r="M132" s="56" t="str">
        <f aca="false">IF($W132="","",N(INDEX(发票统计!M$4:M$1003,$W132)))</f>
        <v/>
      </c>
      <c r="N132" s="56" t="str">
        <f aca="false">IF($W132="","",N(INDEX(发票统计!N$4:N$1003,$W132)))</f>
        <v/>
      </c>
      <c r="O132" s="56" t="str">
        <f aca="false">IF($W132="","",N(INDEX(发票统计!O$4:O$1003,$W132)))</f>
        <v/>
      </c>
      <c r="P132" s="56" t="str">
        <f aca="false">IF($W132="","",SUM(M$4:M132)-SUM(N$4:N132)-SUM(O$4:O132))</f>
        <v/>
      </c>
      <c r="Q132" s="56" t="str">
        <f aca="false">IF($W132="","",N(INDEX(发票统计!Q$4:Q$1003,$W132)))</f>
        <v/>
      </c>
      <c r="R132" s="56" t="str">
        <f aca="false">IF($W132="","",N(INDEX(发票统计!R$4:R$1003,$W132)))</f>
        <v/>
      </c>
      <c r="S132" s="56" t="str">
        <f aca="false">IF($W132="","",N(INDEX(发票统计!S$4:S$1003,$W132)))</f>
        <v/>
      </c>
      <c r="T132" s="56" t="str">
        <f aca="false">IF($W132="","",SUM(Q$4:Q132)-SUM(R$4:R132)-SUM(S$4:S132))</f>
        <v/>
      </c>
      <c r="U132" s="56" t="str">
        <f aca="false">IF($W132="","",INDEX(发票统计!U$4:U$1003,$W132)&amp;"")</f>
        <v/>
      </c>
      <c r="W132" s="1" t="str">
        <f aca="false">IF($V$3="","",IFERROR(MATCH($V$3&amp;"#"&amp;ROWS(W$4:W132),发票统计!$W$4:$W$1003,0),""))</f>
        <v/>
      </c>
    </row>
    <row r="133" customFormat="false" ht="16.5" hidden="false" customHeight="false" outlineLevel="0" collapsed="false">
      <c r="A133" s="3" t="str">
        <f aca="false">IF($W133="","",INDEX(发票统计!A$4:A$1003,$W133)&amp;"")</f>
        <v/>
      </c>
      <c r="B133" s="3" t="str">
        <f aca="false">IF($W133="","",INDEX(发票统计!B$4:B$1003,$W133)&amp;"")</f>
        <v/>
      </c>
      <c r="C133" s="3" t="str">
        <f aca="false">IF($W133="","",INDEX(发票统计!C$4:C$1003,$W133)&amp;"")</f>
        <v/>
      </c>
      <c r="D133" s="3" t="str">
        <f aca="false">IF($W133="","",INDEX(发票统计!D$4:D$1003,$W133)&amp;"")</f>
        <v/>
      </c>
      <c r="E133" s="67" t="str">
        <f aca="false">IF($W133="","",INDEX(发票统计!E$4:E$1003,$W133)&amp;"")</f>
        <v/>
      </c>
      <c r="F133" s="68" t="str">
        <f aca="false">IF($W133="","",INDEX(发票统计!F$4:F$1003,$W133)&amp;"")</f>
        <v/>
      </c>
      <c r="G133" s="68" t="str">
        <f aca="false">IF($W133="","",IF(INDEX(发票统计!G$4:G$1003,$W133)="","",INDEX(发票统计!G$4:G$1003,$W133)))</f>
        <v/>
      </c>
      <c r="H133" s="56" t="str">
        <f aca="false">IF($W133="","",N(INDEX(发票统计!H$4:H$1003,$W133)))</f>
        <v/>
      </c>
      <c r="I133" s="56" t="str">
        <f aca="false">IF($W133="","",N(INDEX(发票统计!I$4:I$1003,$W133)))</f>
        <v/>
      </c>
      <c r="J133" s="56" t="str">
        <f aca="false">IF($W133="","",N(INDEX(发票统计!J$4:J$1003,$W133)))</f>
        <v/>
      </c>
      <c r="K133" s="56" t="str">
        <f aca="false">IF($W133="","",N(INDEX(发票统计!K$4:K$1003,$W133)))</f>
        <v/>
      </c>
      <c r="L133" s="56" t="str">
        <f aca="false">IF($W133="","",SUM(J$4:J133)-SUM(K$4:K133))</f>
        <v/>
      </c>
      <c r="M133" s="56" t="str">
        <f aca="false">IF($W133="","",N(INDEX(发票统计!M$4:M$1003,$W133)))</f>
        <v/>
      </c>
      <c r="N133" s="56" t="str">
        <f aca="false">IF($W133="","",N(INDEX(发票统计!N$4:N$1003,$W133)))</f>
        <v/>
      </c>
      <c r="O133" s="56" t="str">
        <f aca="false">IF($W133="","",N(INDEX(发票统计!O$4:O$1003,$W133)))</f>
        <v/>
      </c>
      <c r="P133" s="56" t="str">
        <f aca="false">IF($W133="","",SUM(M$4:M133)-SUM(N$4:N133)-SUM(O$4:O133))</f>
        <v/>
      </c>
      <c r="Q133" s="56" t="str">
        <f aca="false">IF($W133="","",N(INDEX(发票统计!Q$4:Q$1003,$W133)))</f>
        <v/>
      </c>
      <c r="R133" s="56" t="str">
        <f aca="false">IF($W133="","",N(INDEX(发票统计!R$4:R$1003,$W133)))</f>
        <v/>
      </c>
      <c r="S133" s="56" t="str">
        <f aca="false">IF($W133="","",N(INDEX(发票统计!S$4:S$1003,$W133)))</f>
        <v/>
      </c>
      <c r="T133" s="56" t="str">
        <f aca="false">IF($W133="","",SUM(Q$4:Q133)-SUM(R$4:R133)-SUM(S$4:S133))</f>
        <v/>
      </c>
      <c r="U133" s="56" t="str">
        <f aca="false">IF($W133="","",INDEX(发票统计!U$4:U$1003,$W133)&amp;"")</f>
        <v/>
      </c>
      <c r="W133" s="1" t="str">
        <f aca="false">IF($V$3="","",IFERROR(MATCH($V$3&amp;"#"&amp;ROWS(W$4:W133),发票统计!$W$4:$W$1003,0),""))</f>
        <v/>
      </c>
    </row>
    <row r="134" customFormat="false" ht="16.5" hidden="false" customHeight="false" outlineLevel="0" collapsed="false">
      <c r="A134" s="3" t="str">
        <f aca="false">IF($W134="","",INDEX(发票统计!A$4:A$1003,$W134)&amp;"")</f>
        <v/>
      </c>
      <c r="B134" s="3" t="str">
        <f aca="false">IF($W134="","",INDEX(发票统计!B$4:B$1003,$W134)&amp;"")</f>
        <v/>
      </c>
      <c r="C134" s="3" t="str">
        <f aca="false">IF($W134="","",INDEX(发票统计!C$4:C$1003,$W134)&amp;"")</f>
        <v/>
      </c>
      <c r="D134" s="3" t="str">
        <f aca="false">IF($W134="","",INDEX(发票统计!D$4:D$1003,$W134)&amp;"")</f>
        <v/>
      </c>
      <c r="E134" s="67" t="str">
        <f aca="false">IF($W134="","",INDEX(发票统计!E$4:E$1003,$W134)&amp;"")</f>
        <v/>
      </c>
      <c r="F134" s="68" t="str">
        <f aca="false">IF($W134="","",INDEX(发票统计!F$4:F$1003,$W134)&amp;"")</f>
        <v/>
      </c>
      <c r="G134" s="68" t="str">
        <f aca="false">IF($W134="","",IF(INDEX(发票统计!G$4:G$1003,$W134)="","",INDEX(发票统计!G$4:G$1003,$W134)))</f>
        <v/>
      </c>
      <c r="H134" s="56" t="str">
        <f aca="false">IF($W134="","",N(INDEX(发票统计!H$4:H$1003,$W134)))</f>
        <v/>
      </c>
      <c r="I134" s="56" t="str">
        <f aca="false">IF($W134="","",N(INDEX(发票统计!I$4:I$1003,$W134)))</f>
        <v/>
      </c>
      <c r="J134" s="56" t="str">
        <f aca="false">IF($W134="","",N(INDEX(发票统计!J$4:J$1003,$W134)))</f>
        <v/>
      </c>
      <c r="K134" s="56" t="str">
        <f aca="false">IF($W134="","",N(INDEX(发票统计!K$4:K$1003,$W134)))</f>
        <v/>
      </c>
      <c r="L134" s="56" t="str">
        <f aca="false">IF($W134="","",SUM(J$4:J134)-SUM(K$4:K134))</f>
        <v/>
      </c>
      <c r="M134" s="56" t="str">
        <f aca="false">IF($W134="","",N(INDEX(发票统计!M$4:M$1003,$W134)))</f>
        <v/>
      </c>
      <c r="N134" s="56" t="str">
        <f aca="false">IF($W134="","",N(INDEX(发票统计!N$4:N$1003,$W134)))</f>
        <v/>
      </c>
      <c r="O134" s="56" t="str">
        <f aca="false">IF($W134="","",N(INDEX(发票统计!O$4:O$1003,$W134)))</f>
        <v/>
      </c>
      <c r="P134" s="56" t="str">
        <f aca="false">IF($W134="","",SUM(M$4:M134)-SUM(N$4:N134)-SUM(O$4:O134))</f>
        <v/>
      </c>
      <c r="Q134" s="56" t="str">
        <f aca="false">IF($W134="","",N(INDEX(发票统计!Q$4:Q$1003,$W134)))</f>
        <v/>
      </c>
      <c r="R134" s="56" t="str">
        <f aca="false">IF($W134="","",N(INDEX(发票统计!R$4:R$1003,$W134)))</f>
        <v/>
      </c>
      <c r="S134" s="56" t="str">
        <f aca="false">IF($W134="","",N(INDEX(发票统计!S$4:S$1003,$W134)))</f>
        <v/>
      </c>
      <c r="T134" s="56" t="str">
        <f aca="false">IF($W134="","",SUM(Q$4:Q134)-SUM(R$4:R134)-SUM(S$4:S134))</f>
        <v/>
      </c>
      <c r="U134" s="56" t="str">
        <f aca="false">IF($W134="","",INDEX(发票统计!U$4:U$1003,$W134)&amp;"")</f>
        <v/>
      </c>
      <c r="W134" s="1" t="str">
        <f aca="false">IF($V$3="","",IFERROR(MATCH($V$3&amp;"#"&amp;ROWS(W$4:W134),发票统计!$W$4:$W$1003,0),""))</f>
        <v/>
      </c>
    </row>
    <row r="135" customFormat="false" ht="16.5" hidden="false" customHeight="false" outlineLevel="0" collapsed="false">
      <c r="A135" s="3" t="str">
        <f aca="false">IF($W135="","",INDEX(发票统计!A$4:A$1003,$W135)&amp;"")</f>
        <v/>
      </c>
      <c r="B135" s="3" t="str">
        <f aca="false">IF($W135="","",INDEX(发票统计!B$4:B$1003,$W135)&amp;"")</f>
        <v/>
      </c>
      <c r="C135" s="3" t="str">
        <f aca="false">IF($W135="","",INDEX(发票统计!C$4:C$1003,$W135)&amp;"")</f>
        <v/>
      </c>
      <c r="D135" s="3" t="str">
        <f aca="false">IF($W135="","",INDEX(发票统计!D$4:D$1003,$W135)&amp;"")</f>
        <v/>
      </c>
      <c r="E135" s="67" t="str">
        <f aca="false">IF($W135="","",INDEX(发票统计!E$4:E$1003,$W135)&amp;"")</f>
        <v/>
      </c>
      <c r="F135" s="68" t="str">
        <f aca="false">IF($W135="","",INDEX(发票统计!F$4:F$1003,$W135)&amp;"")</f>
        <v/>
      </c>
      <c r="G135" s="68" t="str">
        <f aca="false">IF($W135="","",IF(INDEX(发票统计!G$4:G$1003,$W135)="","",INDEX(发票统计!G$4:G$1003,$W135)))</f>
        <v/>
      </c>
      <c r="H135" s="56" t="str">
        <f aca="false">IF($W135="","",N(INDEX(发票统计!H$4:H$1003,$W135)))</f>
        <v/>
      </c>
      <c r="I135" s="56" t="str">
        <f aca="false">IF($W135="","",N(INDEX(发票统计!I$4:I$1003,$W135)))</f>
        <v/>
      </c>
      <c r="J135" s="56" t="str">
        <f aca="false">IF($W135="","",N(INDEX(发票统计!J$4:J$1003,$W135)))</f>
        <v/>
      </c>
      <c r="K135" s="56" t="str">
        <f aca="false">IF($W135="","",N(INDEX(发票统计!K$4:K$1003,$W135)))</f>
        <v/>
      </c>
      <c r="L135" s="56" t="str">
        <f aca="false">IF($W135="","",SUM(J$4:J135)-SUM(K$4:K135))</f>
        <v/>
      </c>
      <c r="M135" s="56" t="str">
        <f aca="false">IF($W135="","",N(INDEX(发票统计!M$4:M$1003,$W135)))</f>
        <v/>
      </c>
      <c r="N135" s="56" t="str">
        <f aca="false">IF($W135="","",N(INDEX(发票统计!N$4:N$1003,$W135)))</f>
        <v/>
      </c>
      <c r="O135" s="56" t="str">
        <f aca="false">IF($W135="","",N(INDEX(发票统计!O$4:O$1003,$W135)))</f>
        <v/>
      </c>
      <c r="P135" s="56" t="str">
        <f aca="false">IF($W135="","",SUM(M$4:M135)-SUM(N$4:N135)-SUM(O$4:O135))</f>
        <v/>
      </c>
      <c r="Q135" s="56" t="str">
        <f aca="false">IF($W135="","",N(INDEX(发票统计!Q$4:Q$1003,$W135)))</f>
        <v/>
      </c>
      <c r="R135" s="56" t="str">
        <f aca="false">IF($W135="","",N(INDEX(发票统计!R$4:R$1003,$W135)))</f>
        <v/>
      </c>
      <c r="S135" s="56" t="str">
        <f aca="false">IF($W135="","",N(INDEX(发票统计!S$4:S$1003,$W135)))</f>
        <v/>
      </c>
      <c r="T135" s="56" t="str">
        <f aca="false">IF($W135="","",SUM(Q$4:Q135)-SUM(R$4:R135)-SUM(S$4:S135))</f>
        <v/>
      </c>
      <c r="U135" s="56" t="str">
        <f aca="false">IF($W135="","",INDEX(发票统计!U$4:U$1003,$W135)&amp;"")</f>
        <v/>
      </c>
      <c r="W135" s="1" t="str">
        <f aca="false">IF($V$3="","",IFERROR(MATCH($V$3&amp;"#"&amp;ROWS(W$4:W135),发票统计!$W$4:$W$1003,0),""))</f>
        <v/>
      </c>
    </row>
    <row r="136" customFormat="false" ht="16.5" hidden="false" customHeight="false" outlineLevel="0" collapsed="false">
      <c r="A136" s="3" t="str">
        <f aca="false">IF($W136="","",INDEX(发票统计!A$4:A$1003,$W136)&amp;"")</f>
        <v/>
      </c>
      <c r="B136" s="3" t="str">
        <f aca="false">IF($W136="","",INDEX(发票统计!B$4:B$1003,$W136)&amp;"")</f>
        <v/>
      </c>
      <c r="C136" s="3" t="str">
        <f aca="false">IF($W136="","",INDEX(发票统计!C$4:C$1003,$W136)&amp;"")</f>
        <v/>
      </c>
      <c r="D136" s="3" t="str">
        <f aca="false">IF($W136="","",INDEX(发票统计!D$4:D$1003,$W136)&amp;"")</f>
        <v/>
      </c>
      <c r="E136" s="67" t="str">
        <f aca="false">IF($W136="","",INDEX(发票统计!E$4:E$1003,$W136)&amp;"")</f>
        <v/>
      </c>
      <c r="F136" s="68" t="str">
        <f aca="false">IF($W136="","",INDEX(发票统计!F$4:F$1003,$W136)&amp;"")</f>
        <v/>
      </c>
      <c r="G136" s="68" t="str">
        <f aca="false">IF($W136="","",IF(INDEX(发票统计!G$4:G$1003,$W136)="","",INDEX(发票统计!G$4:G$1003,$W136)))</f>
        <v/>
      </c>
      <c r="H136" s="56" t="str">
        <f aca="false">IF($W136="","",N(INDEX(发票统计!H$4:H$1003,$W136)))</f>
        <v/>
      </c>
      <c r="I136" s="56" t="str">
        <f aca="false">IF($W136="","",N(INDEX(发票统计!I$4:I$1003,$W136)))</f>
        <v/>
      </c>
      <c r="J136" s="56" t="str">
        <f aca="false">IF($W136="","",N(INDEX(发票统计!J$4:J$1003,$W136)))</f>
        <v/>
      </c>
      <c r="K136" s="56" t="str">
        <f aca="false">IF($W136="","",N(INDEX(发票统计!K$4:K$1003,$W136)))</f>
        <v/>
      </c>
      <c r="L136" s="56" t="str">
        <f aca="false">IF($W136="","",SUM(J$4:J136)-SUM(K$4:K136))</f>
        <v/>
      </c>
      <c r="M136" s="56" t="str">
        <f aca="false">IF($W136="","",N(INDEX(发票统计!M$4:M$1003,$W136)))</f>
        <v/>
      </c>
      <c r="N136" s="56" t="str">
        <f aca="false">IF($W136="","",N(INDEX(发票统计!N$4:N$1003,$W136)))</f>
        <v/>
      </c>
      <c r="O136" s="56" t="str">
        <f aca="false">IF($W136="","",N(INDEX(发票统计!O$4:O$1003,$W136)))</f>
        <v/>
      </c>
      <c r="P136" s="56" t="str">
        <f aca="false">IF($W136="","",SUM(M$4:M136)-SUM(N$4:N136)-SUM(O$4:O136))</f>
        <v/>
      </c>
      <c r="Q136" s="56" t="str">
        <f aca="false">IF($W136="","",N(INDEX(发票统计!Q$4:Q$1003,$W136)))</f>
        <v/>
      </c>
      <c r="R136" s="56" t="str">
        <f aca="false">IF($W136="","",N(INDEX(发票统计!R$4:R$1003,$W136)))</f>
        <v/>
      </c>
      <c r="S136" s="56" t="str">
        <f aca="false">IF($W136="","",N(INDEX(发票统计!S$4:S$1003,$W136)))</f>
        <v/>
      </c>
      <c r="T136" s="56" t="str">
        <f aca="false">IF($W136="","",SUM(Q$4:Q136)-SUM(R$4:R136)-SUM(S$4:S136))</f>
        <v/>
      </c>
      <c r="U136" s="56" t="str">
        <f aca="false">IF($W136="","",INDEX(发票统计!U$4:U$1003,$W136)&amp;"")</f>
        <v/>
      </c>
      <c r="W136" s="1" t="str">
        <f aca="false">IF($V$3="","",IFERROR(MATCH($V$3&amp;"#"&amp;ROWS(W$4:W136),发票统计!$W$4:$W$1003,0),""))</f>
        <v/>
      </c>
    </row>
    <row r="137" customFormat="false" ht="16.5" hidden="false" customHeight="false" outlineLevel="0" collapsed="false">
      <c r="A137" s="3" t="str">
        <f aca="false">IF($W137="","",INDEX(发票统计!A$4:A$1003,$W137)&amp;"")</f>
        <v/>
      </c>
      <c r="B137" s="3" t="str">
        <f aca="false">IF($W137="","",INDEX(发票统计!B$4:B$1003,$W137)&amp;"")</f>
        <v/>
      </c>
      <c r="C137" s="3" t="str">
        <f aca="false">IF($W137="","",INDEX(发票统计!C$4:C$1003,$W137)&amp;"")</f>
        <v/>
      </c>
      <c r="D137" s="3" t="str">
        <f aca="false">IF($W137="","",INDEX(发票统计!D$4:D$1003,$W137)&amp;"")</f>
        <v/>
      </c>
      <c r="E137" s="67" t="str">
        <f aca="false">IF($W137="","",INDEX(发票统计!E$4:E$1003,$W137)&amp;"")</f>
        <v/>
      </c>
      <c r="F137" s="68" t="str">
        <f aca="false">IF($W137="","",INDEX(发票统计!F$4:F$1003,$W137)&amp;"")</f>
        <v/>
      </c>
      <c r="G137" s="68" t="str">
        <f aca="false">IF($W137="","",IF(INDEX(发票统计!G$4:G$1003,$W137)="","",INDEX(发票统计!G$4:G$1003,$W137)))</f>
        <v/>
      </c>
      <c r="H137" s="56" t="str">
        <f aca="false">IF($W137="","",N(INDEX(发票统计!H$4:H$1003,$W137)))</f>
        <v/>
      </c>
      <c r="I137" s="56" t="str">
        <f aca="false">IF($W137="","",N(INDEX(发票统计!I$4:I$1003,$W137)))</f>
        <v/>
      </c>
      <c r="J137" s="56" t="str">
        <f aca="false">IF($W137="","",N(INDEX(发票统计!J$4:J$1003,$W137)))</f>
        <v/>
      </c>
      <c r="K137" s="56" t="str">
        <f aca="false">IF($W137="","",N(INDEX(发票统计!K$4:K$1003,$W137)))</f>
        <v/>
      </c>
      <c r="L137" s="56" t="str">
        <f aca="false">IF($W137="","",SUM(J$4:J137)-SUM(K$4:K137))</f>
        <v/>
      </c>
      <c r="M137" s="56" t="str">
        <f aca="false">IF($W137="","",N(INDEX(发票统计!M$4:M$1003,$W137)))</f>
        <v/>
      </c>
      <c r="N137" s="56" t="str">
        <f aca="false">IF($W137="","",N(INDEX(发票统计!N$4:N$1003,$W137)))</f>
        <v/>
      </c>
      <c r="O137" s="56" t="str">
        <f aca="false">IF($W137="","",N(INDEX(发票统计!O$4:O$1003,$W137)))</f>
        <v/>
      </c>
      <c r="P137" s="56" t="str">
        <f aca="false">IF($W137="","",SUM(M$4:M137)-SUM(N$4:N137)-SUM(O$4:O137))</f>
        <v/>
      </c>
      <c r="Q137" s="56" t="str">
        <f aca="false">IF($W137="","",N(INDEX(发票统计!Q$4:Q$1003,$W137)))</f>
        <v/>
      </c>
      <c r="R137" s="56" t="str">
        <f aca="false">IF($W137="","",N(INDEX(发票统计!R$4:R$1003,$W137)))</f>
        <v/>
      </c>
      <c r="S137" s="56" t="str">
        <f aca="false">IF($W137="","",N(INDEX(发票统计!S$4:S$1003,$W137)))</f>
        <v/>
      </c>
      <c r="T137" s="56" t="str">
        <f aca="false">IF($W137="","",SUM(Q$4:Q137)-SUM(R$4:R137)-SUM(S$4:S137))</f>
        <v/>
      </c>
      <c r="U137" s="56" t="str">
        <f aca="false">IF($W137="","",INDEX(发票统计!U$4:U$1003,$W137)&amp;"")</f>
        <v/>
      </c>
      <c r="W137" s="1" t="str">
        <f aca="false">IF($V$3="","",IFERROR(MATCH($V$3&amp;"#"&amp;ROWS(W$4:W137),发票统计!$W$4:$W$1003,0),""))</f>
        <v/>
      </c>
    </row>
    <row r="138" customFormat="false" ht="16.5" hidden="false" customHeight="false" outlineLevel="0" collapsed="false">
      <c r="A138" s="3" t="str">
        <f aca="false">IF($W138="","",INDEX(发票统计!A$4:A$1003,$W138)&amp;"")</f>
        <v/>
      </c>
      <c r="B138" s="3" t="str">
        <f aca="false">IF($W138="","",INDEX(发票统计!B$4:B$1003,$W138)&amp;"")</f>
        <v/>
      </c>
      <c r="C138" s="3" t="str">
        <f aca="false">IF($W138="","",INDEX(发票统计!C$4:C$1003,$W138)&amp;"")</f>
        <v/>
      </c>
      <c r="D138" s="3" t="str">
        <f aca="false">IF($W138="","",INDEX(发票统计!D$4:D$1003,$W138)&amp;"")</f>
        <v/>
      </c>
      <c r="E138" s="67" t="str">
        <f aca="false">IF($W138="","",INDEX(发票统计!E$4:E$1003,$W138)&amp;"")</f>
        <v/>
      </c>
      <c r="F138" s="68" t="str">
        <f aca="false">IF($W138="","",INDEX(发票统计!F$4:F$1003,$W138)&amp;"")</f>
        <v/>
      </c>
      <c r="G138" s="68" t="str">
        <f aca="false">IF($W138="","",IF(INDEX(发票统计!G$4:G$1003,$W138)="","",INDEX(发票统计!G$4:G$1003,$W138)))</f>
        <v/>
      </c>
      <c r="H138" s="56" t="str">
        <f aca="false">IF($W138="","",N(INDEX(发票统计!H$4:H$1003,$W138)))</f>
        <v/>
      </c>
      <c r="I138" s="56" t="str">
        <f aca="false">IF($W138="","",N(INDEX(发票统计!I$4:I$1003,$W138)))</f>
        <v/>
      </c>
      <c r="J138" s="56" t="str">
        <f aca="false">IF($W138="","",N(INDEX(发票统计!J$4:J$1003,$W138)))</f>
        <v/>
      </c>
      <c r="K138" s="56" t="str">
        <f aca="false">IF($W138="","",N(INDEX(发票统计!K$4:K$1003,$W138)))</f>
        <v/>
      </c>
      <c r="L138" s="56" t="str">
        <f aca="false">IF($W138="","",SUM(J$4:J138)-SUM(K$4:K138))</f>
        <v/>
      </c>
      <c r="M138" s="56" t="str">
        <f aca="false">IF($W138="","",N(INDEX(发票统计!M$4:M$1003,$W138)))</f>
        <v/>
      </c>
      <c r="N138" s="56" t="str">
        <f aca="false">IF($W138="","",N(INDEX(发票统计!N$4:N$1003,$W138)))</f>
        <v/>
      </c>
      <c r="O138" s="56" t="str">
        <f aca="false">IF($W138="","",N(INDEX(发票统计!O$4:O$1003,$W138)))</f>
        <v/>
      </c>
      <c r="P138" s="56" t="str">
        <f aca="false">IF($W138="","",SUM(M$4:M138)-SUM(N$4:N138)-SUM(O$4:O138))</f>
        <v/>
      </c>
      <c r="Q138" s="56" t="str">
        <f aca="false">IF($W138="","",N(INDEX(发票统计!Q$4:Q$1003,$W138)))</f>
        <v/>
      </c>
      <c r="R138" s="56" t="str">
        <f aca="false">IF($W138="","",N(INDEX(发票统计!R$4:R$1003,$W138)))</f>
        <v/>
      </c>
      <c r="S138" s="56" t="str">
        <f aca="false">IF($W138="","",N(INDEX(发票统计!S$4:S$1003,$W138)))</f>
        <v/>
      </c>
      <c r="T138" s="56" t="str">
        <f aca="false">IF($W138="","",SUM(Q$4:Q138)-SUM(R$4:R138)-SUM(S$4:S138))</f>
        <v/>
      </c>
      <c r="U138" s="56" t="str">
        <f aca="false">IF($W138="","",INDEX(发票统计!U$4:U$1003,$W138)&amp;"")</f>
        <v/>
      </c>
      <c r="W138" s="1" t="str">
        <f aca="false">IF($V$3="","",IFERROR(MATCH($V$3&amp;"#"&amp;ROWS(W$4:W138),发票统计!$W$4:$W$1003,0),""))</f>
        <v/>
      </c>
    </row>
    <row r="139" customFormat="false" ht="16.5" hidden="false" customHeight="false" outlineLevel="0" collapsed="false">
      <c r="A139" s="3" t="str">
        <f aca="false">IF($W139="","",INDEX(发票统计!A$4:A$1003,$W139)&amp;"")</f>
        <v/>
      </c>
      <c r="B139" s="3" t="str">
        <f aca="false">IF($W139="","",INDEX(发票统计!B$4:B$1003,$W139)&amp;"")</f>
        <v/>
      </c>
      <c r="C139" s="3" t="str">
        <f aca="false">IF($W139="","",INDEX(发票统计!C$4:C$1003,$W139)&amp;"")</f>
        <v/>
      </c>
      <c r="D139" s="3" t="str">
        <f aca="false">IF($W139="","",INDEX(发票统计!D$4:D$1003,$W139)&amp;"")</f>
        <v/>
      </c>
      <c r="E139" s="67" t="str">
        <f aca="false">IF($W139="","",INDEX(发票统计!E$4:E$1003,$W139)&amp;"")</f>
        <v/>
      </c>
      <c r="F139" s="68" t="str">
        <f aca="false">IF($W139="","",INDEX(发票统计!F$4:F$1003,$W139)&amp;"")</f>
        <v/>
      </c>
      <c r="G139" s="68" t="str">
        <f aca="false">IF($W139="","",IF(INDEX(发票统计!G$4:G$1003,$W139)="","",INDEX(发票统计!G$4:G$1003,$W139)))</f>
        <v/>
      </c>
      <c r="H139" s="56" t="str">
        <f aca="false">IF($W139="","",N(INDEX(发票统计!H$4:H$1003,$W139)))</f>
        <v/>
      </c>
      <c r="I139" s="56" t="str">
        <f aca="false">IF($W139="","",N(INDEX(发票统计!I$4:I$1003,$W139)))</f>
        <v/>
      </c>
      <c r="J139" s="56" t="str">
        <f aca="false">IF($W139="","",N(INDEX(发票统计!J$4:J$1003,$W139)))</f>
        <v/>
      </c>
      <c r="K139" s="56" t="str">
        <f aca="false">IF($W139="","",N(INDEX(发票统计!K$4:K$1003,$W139)))</f>
        <v/>
      </c>
      <c r="L139" s="56" t="str">
        <f aca="false">IF($W139="","",SUM(J$4:J139)-SUM(K$4:K139))</f>
        <v/>
      </c>
      <c r="M139" s="56" t="str">
        <f aca="false">IF($W139="","",N(INDEX(发票统计!M$4:M$1003,$W139)))</f>
        <v/>
      </c>
      <c r="N139" s="56" t="str">
        <f aca="false">IF($W139="","",N(INDEX(发票统计!N$4:N$1003,$W139)))</f>
        <v/>
      </c>
      <c r="O139" s="56" t="str">
        <f aca="false">IF($W139="","",N(INDEX(发票统计!O$4:O$1003,$W139)))</f>
        <v/>
      </c>
      <c r="P139" s="56" t="str">
        <f aca="false">IF($W139="","",SUM(M$4:M139)-SUM(N$4:N139)-SUM(O$4:O139))</f>
        <v/>
      </c>
      <c r="Q139" s="56" t="str">
        <f aca="false">IF($W139="","",N(INDEX(发票统计!Q$4:Q$1003,$W139)))</f>
        <v/>
      </c>
      <c r="R139" s="56" t="str">
        <f aca="false">IF($W139="","",N(INDEX(发票统计!R$4:R$1003,$W139)))</f>
        <v/>
      </c>
      <c r="S139" s="56" t="str">
        <f aca="false">IF($W139="","",N(INDEX(发票统计!S$4:S$1003,$W139)))</f>
        <v/>
      </c>
      <c r="T139" s="56" t="str">
        <f aca="false">IF($W139="","",SUM(Q$4:Q139)-SUM(R$4:R139)-SUM(S$4:S139))</f>
        <v/>
      </c>
      <c r="U139" s="56" t="str">
        <f aca="false">IF($W139="","",INDEX(发票统计!U$4:U$1003,$W139)&amp;"")</f>
        <v/>
      </c>
      <c r="W139" s="1" t="str">
        <f aca="false">IF($V$3="","",IFERROR(MATCH($V$3&amp;"#"&amp;ROWS(W$4:W139),发票统计!$W$4:$W$1003,0),""))</f>
        <v/>
      </c>
    </row>
    <row r="140" customFormat="false" ht="16.5" hidden="false" customHeight="false" outlineLevel="0" collapsed="false">
      <c r="A140" s="3" t="str">
        <f aca="false">IF($W140="","",INDEX(发票统计!A$4:A$1003,$W140)&amp;"")</f>
        <v/>
      </c>
      <c r="B140" s="3" t="str">
        <f aca="false">IF($W140="","",INDEX(发票统计!B$4:B$1003,$W140)&amp;"")</f>
        <v/>
      </c>
      <c r="C140" s="3" t="str">
        <f aca="false">IF($W140="","",INDEX(发票统计!C$4:C$1003,$W140)&amp;"")</f>
        <v/>
      </c>
      <c r="D140" s="3" t="str">
        <f aca="false">IF($W140="","",INDEX(发票统计!D$4:D$1003,$W140)&amp;"")</f>
        <v/>
      </c>
      <c r="E140" s="67" t="str">
        <f aca="false">IF($W140="","",INDEX(发票统计!E$4:E$1003,$W140)&amp;"")</f>
        <v/>
      </c>
      <c r="F140" s="68" t="str">
        <f aca="false">IF($W140="","",INDEX(发票统计!F$4:F$1003,$W140)&amp;"")</f>
        <v/>
      </c>
      <c r="G140" s="68" t="str">
        <f aca="false">IF($W140="","",IF(INDEX(发票统计!G$4:G$1003,$W140)="","",INDEX(发票统计!G$4:G$1003,$W140)))</f>
        <v/>
      </c>
      <c r="H140" s="56" t="str">
        <f aca="false">IF($W140="","",N(INDEX(发票统计!H$4:H$1003,$W140)))</f>
        <v/>
      </c>
      <c r="I140" s="56" t="str">
        <f aca="false">IF($W140="","",N(INDEX(发票统计!I$4:I$1003,$W140)))</f>
        <v/>
      </c>
      <c r="J140" s="56" t="str">
        <f aca="false">IF($W140="","",N(INDEX(发票统计!J$4:J$1003,$W140)))</f>
        <v/>
      </c>
      <c r="K140" s="56" t="str">
        <f aca="false">IF($W140="","",N(INDEX(发票统计!K$4:K$1003,$W140)))</f>
        <v/>
      </c>
      <c r="L140" s="56" t="str">
        <f aca="false">IF($W140="","",SUM(J$4:J140)-SUM(K$4:K140))</f>
        <v/>
      </c>
      <c r="M140" s="56" t="str">
        <f aca="false">IF($W140="","",N(INDEX(发票统计!M$4:M$1003,$W140)))</f>
        <v/>
      </c>
      <c r="N140" s="56" t="str">
        <f aca="false">IF($W140="","",N(INDEX(发票统计!N$4:N$1003,$W140)))</f>
        <v/>
      </c>
      <c r="O140" s="56" t="str">
        <f aca="false">IF($W140="","",N(INDEX(发票统计!O$4:O$1003,$W140)))</f>
        <v/>
      </c>
      <c r="P140" s="56" t="str">
        <f aca="false">IF($W140="","",SUM(M$4:M140)-SUM(N$4:N140)-SUM(O$4:O140))</f>
        <v/>
      </c>
      <c r="Q140" s="56" t="str">
        <f aca="false">IF($W140="","",N(INDEX(发票统计!Q$4:Q$1003,$W140)))</f>
        <v/>
      </c>
      <c r="R140" s="56" t="str">
        <f aca="false">IF($W140="","",N(INDEX(发票统计!R$4:R$1003,$W140)))</f>
        <v/>
      </c>
      <c r="S140" s="56" t="str">
        <f aca="false">IF($W140="","",N(INDEX(发票统计!S$4:S$1003,$W140)))</f>
        <v/>
      </c>
      <c r="T140" s="56" t="str">
        <f aca="false">IF($W140="","",SUM(Q$4:Q140)-SUM(R$4:R140)-SUM(S$4:S140))</f>
        <v/>
      </c>
      <c r="U140" s="56" t="str">
        <f aca="false">IF($W140="","",INDEX(发票统计!U$4:U$1003,$W140)&amp;"")</f>
        <v/>
      </c>
      <c r="W140" s="1" t="str">
        <f aca="false">IF($V$3="","",IFERROR(MATCH($V$3&amp;"#"&amp;ROWS(W$4:W140),发票统计!$W$4:$W$1003,0),""))</f>
        <v/>
      </c>
    </row>
    <row r="141" customFormat="false" ht="16.5" hidden="false" customHeight="false" outlineLevel="0" collapsed="false">
      <c r="A141" s="3" t="str">
        <f aca="false">IF($W141="","",INDEX(发票统计!A$4:A$1003,$W141)&amp;"")</f>
        <v/>
      </c>
      <c r="B141" s="3" t="str">
        <f aca="false">IF($W141="","",INDEX(发票统计!B$4:B$1003,$W141)&amp;"")</f>
        <v/>
      </c>
      <c r="C141" s="3" t="str">
        <f aca="false">IF($W141="","",INDEX(发票统计!C$4:C$1003,$W141)&amp;"")</f>
        <v/>
      </c>
      <c r="D141" s="3" t="str">
        <f aca="false">IF($W141="","",INDEX(发票统计!D$4:D$1003,$W141)&amp;"")</f>
        <v/>
      </c>
      <c r="E141" s="67" t="str">
        <f aca="false">IF($W141="","",INDEX(发票统计!E$4:E$1003,$W141)&amp;"")</f>
        <v/>
      </c>
      <c r="F141" s="68" t="str">
        <f aca="false">IF($W141="","",INDEX(发票统计!F$4:F$1003,$W141)&amp;"")</f>
        <v/>
      </c>
      <c r="G141" s="68" t="str">
        <f aca="false">IF($W141="","",IF(INDEX(发票统计!G$4:G$1003,$W141)="","",INDEX(发票统计!G$4:G$1003,$W141)))</f>
        <v/>
      </c>
      <c r="H141" s="56" t="str">
        <f aca="false">IF($W141="","",N(INDEX(发票统计!H$4:H$1003,$W141)))</f>
        <v/>
      </c>
      <c r="I141" s="56" t="str">
        <f aca="false">IF($W141="","",N(INDEX(发票统计!I$4:I$1003,$W141)))</f>
        <v/>
      </c>
      <c r="J141" s="56" t="str">
        <f aca="false">IF($W141="","",N(INDEX(发票统计!J$4:J$1003,$W141)))</f>
        <v/>
      </c>
      <c r="K141" s="56" t="str">
        <f aca="false">IF($W141="","",N(INDEX(发票统计!K$4:K$1003,$W141)))</f>
        <v/>
      </c>
      <c r="L141" s="56" t="str">
        <f aca="false">IF($W141="","",SUM(J$4:J141)-SUM(K$4:K141))</f>
        <v/>
      </c>
      <c r="M141" s="56" t="str">
        <f aca="false">IF($W141="","",N(INDEX(发票统计!M$4:M$1003,$W141)))</f>
        <v/>
      </c>
      <c r="N141" s="56" t="str">
        <f aca="false">IF($W141="","",N(INDEX(发票统计!N$4:N$1003,$W141)))</f>
        <v/>
      </c>
      <c r="O141" s="56" t="str">
        <f aca="false">IF($W141="","",N(INDEX(发票统计!O$4:O$1003,$W141)))</f>
        <v/>
      </c>
      <c r="P141" s="56" t="str">
        <f aca="false">IF($W141="","",SUM(M$4:M141)-SUM(N$4:N141)-SUM(O$4:O141))</f>
        <v/>
      </c>
      <c r="Q141" s="56" t="str">
        <f aca="false">IF($W141="","",N(INDEX(发票统计!Q$4:Q$1003,$W141)))</f>
        <v/>
      </c>
      <c r="R141" s="56" t="str">
        <f aca="false">IF($W141="","",N(INDEX(发票统计!R$4:R$1003,$W141)))</f>
        <v/>
      </c>
      <c r="S141" s="56" t="str">
        <f aca="false">IF($W141="","",N(INDEX(发票统计!S$4:S$1003,$W141)))</f>
        <v/>
      </c>
      <c r="T141" s="56" t="str">
        <f aca="false">IF($W141="","",SUM(Q$4:Q141)-SUM(R$4:R141)-SUM(S$4:S141))</f>
        <v/>
      </c>
      <c r="U141" s="56" t="str">
        <f aca="false">IF($W141="","",INDEX(发票统计!U$4:U$1003,$W141)&amp;"")</f>
        <v/>
      </c>
      <c r="W141" s="1" t="str">
        <f aca="false">IF($V$3="","",IFERROR(MATCH($V$3&amp;"#"&amp;ROWS(W$4:W141),发票统计!$W$4:$W$1003,0),""))</f>
        <v/>
      </c>
    </row>
    <row r="142" customFormat="false" ht="16.5" hidden="false" customHeight="false" outlineLevel="0" collapsed="false">
      <c r="A142" s="3" t="str">
        <f aca="false">IF($W142="","",INDEX(发票统计!A$4:A$1003,$W142)&amp;"")</f>
        <v/>
      </c>
      <c r="B142" s="3" t="str">
        <f aca="false">IF($W142="","",INDEX(发票统计!B$4:B$1003,$W142)&amp;"")</f>
        <v/>
      </c>
      <c r="C142" s="3" t="str">
        <f aca="false">IF($W142="","",INDEX(发票统计!C$4:C$1003,$W142)&amp;"")</f>
        <v/>
      </c>
      <c r="D142" s="3" t="str">
        <f aca="false">IF($W142="","",INDEX(发票统计!D$4:D$1003,$W142)&amp;"")</f>
        <v/>
      </c>
      <c r="E142" s="67" t="str">
        <f aca="false">IF($W142="","",INDEX(发票统计!E$4:E$1003,$W142)&amp;"")</f>
        <v/>
      </c>
      <c r="F142" s="68" t="str">
        <f aca="false">IF($W142="","",INDEX(发票统计!F$4:F$1003,$W142)&amp;"")</f>
        <v/>
      </c>
      <c r="G142" s="68" t="str">
        <f aca="false">IF($W142="","",IF(INDEX(发票统计!G$4:G$1003,$W142)="","",INDEX(发票统计!G$4:G$1003,$W142)))</f>
        <v/>
      </c>
      <c r="H142" s="56" t="str">
        <f aca="false">IF($W142="","",N(INDEX(发票统计!H$4:H$1003,$W142)))</f>
        <v/>
      </c>
      <c r="I142" s="56" t="str">
        <f aca="false">IF($W142="","",N(INDEX(发票统计!I$4:I$1003,$W142)))</f>
        <v/>
      </c>
      <c r="J142" s="56" t="str">
        <f aca="false">IF($W142="","",N(INDEX(发票统计!J$4:J$1003,$W142)))</f>
        <v/>
      </c>
      <c r="K142" s="56" t="str">
        <f aca="false">IF($W142="","",N(INDEX(发票统计!K$4:K$1003,$W142)))</f>
        <v/>
      </c>
      <c r="L142" s="56" t="str">
        <f aca="false">IF($W142="","",SUM(J$4:J142)-SUM(K$4:K142))</f>
        <v/>
      </c>
      <c r="M142" s="56" t="str">
        <f aca="false">IF($W142="","",N(INDEX(发票统计!M$4:M$1003,$W142)))</f>
        <v/>
      </c>
      <c r="N142" s="56" t="str">
        <f aca="false">IF($W142="","",N(INDEX(发票统计!N$4:N$1003,$W142)))</f>
        <v/>
      </c>
      <c r="O142" s="56" t="str">
        <f aca="false">IF($W142="","",N(INDEX(发票统计!O$4:O$1003,$W142)))</f>
        <v/>
      </c>
      <c r="P142" s="56" t="str">
        <f aca="false">IF($W142="","",SUM(M$4:M142)-SUM(N$4:N142)-SUM(O$4:O142))</f>
        <v/>
      </c>
      <c r="Q142" s="56" t="str">
        <f aca="false">IF($W142="","",N(INDEX(发票统计!Q$4:Q$1003,$W142)))</f>
        <v/>
      </c>
      <c r="R142" s="56" t="str">
        <f aca="false">IF($W142="","",N(INDEX(发票统计!R$4:R$1003,$W142)))</f>
        <v/>
      </c>
      <c r="S142" s="56" t="str">
        <f aca="false">IF($W142="","",N(INDEX(发票统计!S$4:S$1003,$W142)))</f>
        <v/>
      </c>
      <c r="T142" s="56" t="str">
        <f aca="false">IF($W142="","",SUM(Q$4:Q142)-SUM(R$4:R142)-SUM(S$4:S142))</f>
        <v/>
      </c>
      <c r="U142" s="56" t="str">
        <f aca="false">IF($W142="","",INDEX(发票统计!U$4:U$1003,$W142)&amp;"")</f>
        <v/>
      </c>
      <c r="W142" s="1" t="str">
        <f aca="false">IF($V$3="","",IFERROR(MATCH($V$3&amp;"#"&amp;ROWS(W$4:W142),发票统计!$W$4:$W$1003,0),""))</f>
        <v/>
      </c>
    </row>
    <row r="143" customFormat="false" ht="16.5" hidden="false" customHeight="false" outlineLevel="0" collapsed="false">
      <c r="A143" s="3" t="str">
        <f aca="false">IF($W143="","",INDEX(发票统计!A$4:A$1003,$W143)&amp;"")</f>
        <v/>
      </c>
      <c r="B143" s="3" t="str">
        <f aca="false">IF($W143="","",INDEX(发票统计!B$4:B$1003,$W143)&amp;"")</f>
        <v/>
      </c>
      <c r="C143" s="3" t="str">
        <f aca="false">IF($W143="","",INDEX(发票统计!C$4:C$1003,$W143)&amp;"")</f>
        <v/>
      </c>
      <c r="D143" s="3" t="str">
        <f aca="false">IF($W143="","",INDEX(发票统计!D$4:D$1003,$W143)&amp;"")</f>
        <v/>
      </c>
      <c r="E143" s="67" t="str">
        <f aca="false">IF($W143="","",INDEX(发票统计!E$4:E$1003,$W143)&amp;"")</f>
        <v/>
      </c>
      <c r="F143" s="68" t="str">
        <f aca="false">IF($W143="","",INDEX(发票统计!F$4:F$1003,$W143)&amp;"")</f>
        <v/>
      </c>
      <c r="G143" s="68" t="str">
        <f aca="false">IF($W143="","",IF(INDEX(发票统计!G$4:G$1003,$W143)="","",INDEX(发票统计!G$4:G$1003,$W143)))</f>
        <v/>
      </c>
      <c r="H143" s="56" t="str">
        <f aca="false">IF($W143="","",N(INDEX(发票统计!H$4:H$1003,$W143)))</f>
        <v/>
      </c>
      <c r="I143" s="56" t="str">
        <f aca="false">IF($W143="","",N(INDEX(发票统计!I$4:I$1003,$W143)))</f>
        <v/>
      </c>
      <c r="J143" s="56" t="str">
        <f aca="false">IF($W143="","",N(INDEX(发票统计!J$4:J$1003,$W143)))</f>
        <v/>
      </c>
      <c r="K143" s="56" t="str">
        <f aca="false">IF($W143="","",N(INDEX(发票统计!K$4:K$1003,$W143)))</f>
        <v/>
      </c>
      <c r="L143" s="56" t="str">
        <f aca="false">IF($W143="","",SUM(J$4:J143)-SUM(K$4:K143))</f>
        <v/>
      </c>
      <c r="M143" s="56" t="str">
        <f aca="false">IF($W143="","",N(INDEX(发票统计!M$4:M$1003,$W143)))</f>
        <v/>
      </c>
      <c r="N143" s="56" t="str">
        <f aca="false">IF($W143="","",N(INDEX(发票统计!N$4:N$1003,$W143)))</f>
        <v/>
      </c>
      <c r="O143" s="56" t="str">
        <f aca="false">IF($W143="","",N(INDEX(发票统计!O$4:O$1003,$W143)))</f>
        <v/>
      </c>
      <c r="P143" s="56" t="str">
        <f aca="false">IF($W143="","",SUM(M$4:M143)-SUM(N$4:N143)-SUM(O$4:O143))</f>
        <v/>
      </c>
      <c r="Q143" s="56" t="str">
        <f aca="false">IF($W143="","",N(INDEX(发票统计!Q$4:Q$1003,$W143)))</f>
        <v/>
      </c>
      <c r="R143" s="56" t="str">
        <f aca="false">IF($W143="","",N(INDEX(发票统计!R$4:R$1003,$W143)))</f>
        <v/>
      </c>
      <c r="S143" s="56" t="str">
        <f aca="false">IF($W143="","",N(INDEX(发票统计!S$4:S$1003,$W143)))</f>
        <v/>
      </c>
      <c r="T143" s="56" t="str">
        <f aca="false">IF($W143="","",SUM(Q$4:Q143)-SUM(R$4:R143)-SUM(S$4:S143))</f>
        <v/>
      </c>
      <c r="U143" s="56" t="str">
        <f aca="false">IF($W143="","",INDEX(发票统计!U$4:U$1003,$W143)&amp;"")</f>
        <v/>
      </c>
      <c r="W143" s="1" t="str">
        <f aca="false">IF($V$3="","",IFERROR(MATCH($V$3&amp;"#"&amp;ROWS(W$4:W143),发票统计!$W$4:$W$1003,0),""))</f>
        <v/>
      </c>
    </row>
    <row r="144" customFormat="false" ht="16.5" hidden="false" customHeight="false" outlineLevel="0" collapsed="false">
      <c r="A144" s="3" t="str">
        <f aca="false">IF($W144="","",INDEX(发票统计!A$4:A$1003,$W144)&amp;"")</f>
        <v/>
      </c>
      <c r="B144" s="3" t="str">
        <f aca="false">IF($W144="","",INDEX(发票统计!B$4:B$1003,$W144)&amp;"")</f>
        <v/>
      </c>
      <c r="C144" s="3" t="str">
        <f aca="false">IF($W144="","",INDEX(发票统计!C$4:C$1003,$W144)&amp;"")</f>
        <v/>
      </c>
      <c r="D144" s="3" t="str">
        <f aca="false">IF($W144="","",INDEX(发票统计!D$4:D$1003,$W144)&amp;"")</f>
        <v/>
      </c>
      <c r="E144" s="67" t="str">
        <f aca="false">IF($W144="","",INDEX(发票统计!E$4:E$1003,$W144)&amp;"")</f>
        <v/>
      </c>
      <c r="F144" s="68" t="str">
        <f aca="false">IF($W144="","",INDEX(发票统计!F$4:F$1003,$W144)&amp;"")</f>
        <v/>
      </c>
      <c r="G144" s="68" t="str">
        <f aca="false">IF($W144="","",IF(INDEX(发票统计!G$4:G$1003,$W144)="","",INDEX(发票统计!G$4:G$1003,$W144)))</f>
        <v/>
      </c>
      <c r="H144" s="56" t="str">
        <f aca="false">IF($W144="","",N(INDEX(发票统计!H$4:H$1003,$W144)))</f>
        <v/>
      </c>
      <c r="I144" s="56" t="str">
        <f aca="false">IF($W144="","",N(INDEX(发票统计!I$4:I$1003,$W144)))</f>
        <v/>
      </c>
      <c r="J144" s="56" t="str">
        <f aca="false">IF($W144="","",N(INDEX(发票统计!J$4:J$1003,$W144)))</f>
        <v/>
      </c>
      <c r="K144" s="56" t="str">
        <f aca="false">IF($W144="","",N(INDEX(发票统计!K$4:K$1003,$W144)))</f>
        <v/>
      </c>
      <c r="L144" s="56" t="str">
        <f aca="false">IF($W144="","",SUM(J$4:J144)-SUM(K$4:K144))</f>
        <v/>
      </c>
      <c r="M144" s="56" t="str">
        <f aca="false">IF($W144="","",N(INDEX(发票统计!M$4:M$1003,$W144)))</f>
        <v/>
      </c>
      <c r="N144" s="56" t="str">
        <f aca="false">IF($W144="","",N(INDEX(发票统计!N$4:N$1003,$W144)))</f>
        <v/>
      </c>
      <c r="O144" s="56" t="str">
        <f aca="false">IF($W144="","",N(INDEX(发票统计!O$4:O$1003,$W144)))</f>
        <v/>
      </c>
      <c r="P144" s="56" t="str">
        <f aca="false">IF($W144="","",SUM(M$4:M144)-SUM(N$4:N144)-SUM(O$4:O144))</f>
        <v/>
      </c>
      <c r="Q144" s="56" t="str">
        <f aca="false">IF($W144="","",N(INDEX(发票统计!Q$4:Q$1003,$W144)))</f>
        <v/>
      </c>
      <c r="R144" s="56" t="str">
        <f aca="false">IF($W144="","",N(INDEX(发票统计!R$4:R$1003,$W144)))</f>
        <v/>
      </c>
      <c r="S144" s="56" t="str">
        <f aca="false">IF($W144="","",N(INDEX(发票统计!S$4:S$1003,$W144)))</f>
        <v/>
      </c>
      <c r="T144" s="56" t="str">
        <f aca="false">IF($W144="","",SUM(Q$4:Q144)-SUM(R$4:R144)-SUM(S$4:S144))</f>
        <v/>
      </c>
      <c r="U144" s="56" t="str">
        <f aca="false">IF($W144="","",INDEX(发票统计!U$4:U$1003,$W144)&amp;"")</f>
        <v/>
      </c>
      <c r="W144" s="1" t="str">
        <f aca="false">IF($V$3="","",IFERROR(MATCH($V$3&amp;"#"&amp;ROWS(W$4:W144),发票统计!$W$4:$W$1003,0),""))</f>
        <v/>
      </c>
    </row>
    <row r="145" customFormat="false" ht="16.5" hidden="false" customHeight="false" outlineLevel="0" collapsed="false">
      <c r="A145" s="3" t="str">
        <f aca="false">IF($W145="","",INDEX(发票统计!A$4:A$1003,$W145)&amp;"")</f>
        <v/>
      </c>
      <c r="B145" s="3" t="str">
        <f aca="false">IF($W145="","",INDEX(发票统计!B$4:B$1003,$W145)&amp;"")</f>
        <v/>
      </c>
      <c r="C145" s="3" t="str">
        <f aca="false">IF($W145="","",INDEX(发票统计!C$4:C$1003,$W145)&amp;"")</f>
        <v/>
      </c>
      <c r="D145" s="3" t="str">
        <f aca="false">IF($W145="","",INDEX(发票统计!D$4:D$1003,$W145)&amp;"")</f>
        <v/>
      </c>
      <c r="E145" s="67" t="str">
        <f aca="false">IF($W145="","",INDEX(发票统计!E$4:E$1003,$W145)&amp;"")</f>
        <v/>
      </c>
      <c r="F145" s="68" t="str">
        <f aca="false">IF($W145="","",INDEX(发票统计!F$4:F$1003,$W145)&amp;"")</f>
        <v/>
      </c>
      <c r="G145" s="68" t="str">
        <f aca="false">IF($W145="","",IF(INDEX(发票统计!G$4:G$1003,$W145)="","",INDEX(发票统计!G$4:G$1003,$W145)))</f>
        <v/>
      </c>
      <c r="H145" s="56" t="str">
        <f aca="false">IF($W145="","",N(INDEX(发票统计!H$4:H$1003,$W145)))</f>
        <v/>
      </c>
      <c r="I145" s="56" t="str">
        <f aca="false">IF($W145="","",N(INDEX(发票统计!I$4:I$1003,$W145)))</f>
        <v/>
      </c>
      <c r="J145" s="56" t="str">
        <f aca="false">IF($W145="","",N(INDEX(发票统计!J$4:J$1003,$W145)))</f>
        <v/>
      </c>
      <c r="K145" s="56" t="str">
        <f aca="false">IF($W145="","",N(INDEX(发票统计!K$4:K$1003,$W145)))</f>
        <v/>
      </c>
      <c r="L145" s="56" t="str">
        <f aca="false">IF($W145="","",SUM(J$4:J145)-SUM(K$4:K145))</f>
        <v/>
      </c>
      <c r="M145" s="56" t="str">
        <f aca="false">IF($W145="","",N(INDEX(发票统计!M$4:M$1003,$W145)))</f>
        <v/>
      </c>
      <c r="N145" s="56" t="str">
        <f aca="false">IF($W145="","",N(INDEX(发票统计!N$4:N$1003,$W145)))</f>
        <v/>
      </c>
      <c r="O145" s="56" t="str">
        <f aca="false">IF($W145="","",N(INDEX(发票统计!O$4:O$1003,$W145)))</f>
        <v/>
      </c>
      <c r="P145" s="56" t="str">
        <f aca="false">IF($W145="","",SUM(M$4:M145)-SUM(N$4:N145)-SUM(O$4:O145))</f>
        <v/>
      </c>
      <c r="Q145" s="56" t="str">
        <f aca="false">IF($W145="","",N(INDEX(发票统计!Q$4:Q$1003,$W145)))</f>
        <v/>
      </c>
      <c r="R145" s="56" t="str">
        <f aca="false">IF($W145="","",N(INDEX(发票统计!R$4:R$1003,$W145)))</f>
        <v/>
      </c>
      <c r="S145" s="56" t="str">
        <f aca="false">IF($W145="","",N(INDEX(发票统计!S$4:S$1003,$W145)))</f>
        <v/>
      </c>
      <c r="T145" s="56" t="str">
        <f aca="false">IF($W145="","",SUM(Q$4:Q145)-SUM(R$4:R145)-SUM(S$4:S145))</f>
        <v/>
      </c>
      <c r="U145" s="56" t="str">
        <f aca="false">IF($W145="","",INDEX(发票统计!U$4:U$1003,$W145)&amp;"")</f>
        <v/>
      </c>
      <c r="W145" s="1" t="str">
        <f aca="false">IF($V$3="","",IFERROR(MATCH($V$3&amp;"#"&amp;ROWS(W$4:W145),发票统计!$W$4:$W$1003,0),""))</f>
        <v/>
      </c>
    </row>
    <row r="146" customFormat="false" ht="16.5" hidden="false" customHeight="false" outlineLevel="0" collapsed="false">
      <c r="A146" s="3" t="str">
        <f aca="false">IF($W146="","",INDEX(发票统计!A$4:A$1003,$W146)&amp;"")</f>
        <v/>
      </c>
      <c r="B146" s="3" t="str">
        <f aca="false">IF($W146="","",INDEX(发票统计!B$4:B$1003,$W146)&amp;"")</f>
        <v/>
      </c>
      <c r="C146" s="3" t="str">
        <f aca="false">IF($W146="","",INDEX(发票统计!C$4:C$1003,$W146)&amp;"")</f>
        <v/>
      </c>
      <c r="D146" s="3" t="str">
        <f aca="false">IF($W146="","",INDEX(发票统计!D$4:D$1003,$W146)&amp;"")</f>
        <v/>
      </c>
      <c r="E146" s="67" t="str">
        <f aca="false">IF($W146="","",INDEX(发票统计!E$4:E$1003,$W146)&amp;"")</f>
        <v/>
      </c>
      <c r="F146" s="68" t="str">
        <f aca="false">IF($W146="","",INDEX(发票统计!F$4:F$1003,$W146)&amp;"")</f>
        <v/>
      </c>
      <c r="G146" s="68" t="str">
        <f aca="false">IF($W146="","",IF(INDEX(发票统计!G$4:G$1003,$W146)="","",INDEX(发票统计!G$4:G$1003,$W146)))</f>
        <v/>
      </c>
      <c r="H146" s="56" t="str">
        <f aca="false">IF($W146="","",N(INDEX(发票统计!H$4:H$1003,$W146)))</f>
        <v/>
      </c>
      <c r="I146" s="56" t="str">
        <f aca="false">IF($W146="","",N(INDEX(发票统计!I$4:I$1003,$W146)))</f>
        <v/>
      </c>
      <c r="J146" s="56" t="str">
        <f aca="false">IF($W146="","",N(INDEX(发票统计!J$4:J$1003,$W146)))</f>
        <v/>
      </c>
      <c r="K146" s="56" t="str">
        <f aca="false">IF($W146="","",N(INDEX(发票统计!K$4:K$1003,$W146)))</f>
        <v/>
      </c>
      <c r="L146" s="56" t="str">
        <f aca="false">IF($W146="","",SUM(J$4:J146)-SUM(K$4:K146))</f>
        <v/>
      </c>
      <c r="M146" s="56" t="str">
        <f aca="false">IF($W146="","",N(INDEX(发票统计!M$4:M$1003,$W146)))</f>
        <v/>
      </c>
      <c r="N146" s="56" t="str">
        <f aca="false">IF($W146="","",N(INDEX(发票统计!N$4:N$1003,$W146)))</f>
        <v/>
      </c>
      <c r="O146" s="56" t="str">
        <f aca="false">IF($W146="","",N(INDEX(发票统计!O$4:O$1003,$W146)))</f>
        <v/>
      </c>
      <c r="P146" s="56" t="str">
        <f aca="false">IF($W146="","",SUM(M$4:M146)-SUM(N$4:N146)-SUM(O$4:O146))</f>
        <v/>
      </c>
      <c r="Q146" s="56" t="str">
        <f aca="false">IF($W146="","",N(INDEX(发票统计!Q$4:Q$1003,$W146)))</f>
        <v/>
      </c>
      <c r="R146" s="56" t="str">
        <f aca="false">IF($W146="","",N(INDEX(发票统计!R$4:R$1003,$W146)))</f>
        <v/>
      </c>
      <c r="S146" s="56" t="str">
        <f aca="false">IF($W146="","",N(INDEX(发票统计!S$4:S$1003,$W146)))</f>
        <v/>
      </c>
      <c r="T146" s="56" t="str">
        <f aca="false">IF($W146="","",SUM(Q$4:Q146)-SUM(R$4:R146)-SUM(S$4:S146))</f>
        <v/>
      </c>
      <c r="U146" s="56" t="str">
        <f aca="false">IF($W146="","",INDEX(发票统计!U$4:U$1003,$W146)&amp;"")</f>
        <v/>
      </c>
      <c r="W146" s="1" t="str">
        <f aca="false">IF($V$3="","",IFERROR(MATCH($V$3&amp;"#"&amp;ROWS(W$4:W146),发票统计!$W$4:$W$1003,0),""))</f>
        <v/>
      </c>
    </row>
    <row r="147" customFormat="false" ht="16.5" hidden="false" customHeight="false" outlineLevel="0" collapsed="false">
      <c r="A147" s="3" t="str">
        <f aca="false">IF($W147="","",INDEX(发票统计!A$4:A$1003,$W147)&amp;"")</f>
        <v/>
      </c>
      <c r="B147" s="3" t="str">
        <f aca="false">IF($W147="","",INDEX(发票统计!B$4:B$1003,$W147)&amp;"")</f>
        <v/>
      </c>
      <c r="C147" s="3" t="str">
        <f aca="false">IF($W147="","",INDEX(发票统计!C$4:C$1003,$W147)&amp;"")</f>
        <v/>
      </c>
      <c r="D147" s="3" t="str">
        <f aca="false">IF($W147="","",INDEX(发票统计!D$4:D$1003,$W147)&amp;"")</f>
        <v/>
      </c>
      <c r="E147" s="67" t="str">
        <f aca="false">IF($W147="","",INDEX(发票统计!E$4:E$1003,$W147)&amp;"")</f>
        <v/>
      </c>
      <c r="F147" s="68" t="str">
        <f aca="false">IF($W147="","",INDEX(发票统计!F$4:F$1003,$W147)&amp;"")</f>
        <v/>
      </c>
      <c r="G147" s="68" t="str">
        <f aca="false">IF($W147="","",IF(INDEX(发票统计!G$4:G$1003,$W147)="","",INDEX(发票统计!G$4:G$1003,$W147)))</f>
        <v/>
      </c>
      <c r="H147" s="56" t="str">
        <f aca="false">IF($W147="","",N(INDEX(发票统计!H$4:H$1003,$W147)))</f>
        <v/>
      </c>
      <c r="I147" s="56" t="str">
        <f aca="false">IF($W147="","",N(INDEX(发票统计!I$4:I$1003,$W147)))</f>
        <v/>
      </c>
      <c r="J147" s="56" t="str">
        <f aca="false">IF($W147="","",N(INDEX(发票统计!J$4:J$1003,$W147)))</f>
        <v/>
      </c>
      <c r="K147" s="56" t="str">
        <f aca="false">IF($W147="","",N(INDEX(发票统计!K$4:K$1003,$W147)))</f>
        <v/>
      </c>
      <c r="L147" s="56" t="str">
        <f aca="false">IF($W147="","",SUM(J$4:J147)-SUM(K$4:K147))</f>
        <v/>
      </c>
      <c r="M147" s="56" t="str">
        <f aca="false">IF($W147="","",N(INDEX(发票统计!M$4:M$1003,$W147)))</f>
        <v/>
      </c>
      <c r="N147" s="56" t="str">
        <f aca="false">IF($W147="","",N(INDEX(发票统计!N$4:N$1003,$W147)))</f>
        <v/>
      </c>
      <c r="O147" s="56" t="str">
        <f aca="false">IF($W147="","",N(INDEX(发票统计!O$4:O$1003,$W147)))</f>
        <v/>
      </c>
      <c r="P147" s="56" t="str">
        <f aca="false">IF($W147="","",SUM(M$4:M147)-SUM(N$4:N147)-SUM(O$4:O147))</f>
        <v/>
      </c>
      <c r="Q147" s="56" t="str">
        <f aca="false">IF($W147="","",N(INDEX(发票统计!Q$4:Q$1003,$W147)))</f>
        <v/>
      </c>
      <c r="R147" s="56" t="str">
        <f aca="false">IF($W147="","",N(INDEX(发票统计!R$4:R$1003,$W147)))</f>
        <v/>
      </c>
      <c r="S147" s="56" t="str">
        <f aca="false">IF($W147="","",N(INDEX(发票统计!S$4:S$1003,$W147)))</f>
        <v/>
      </c>
      <c r="T147" s="56" t="str">
        <f aca="false">IF($W147="","",SUM(Q$4:Q147)-SUM(R$4:R147)-SUM(S$4:S147))</f>
        <v/>
      </c>
      <c r="U147" s="56" t="str">
        <f aca="false">IF($W147="","",INDEX(发票统计!U$4:U$1003,$W147)&amp;"")</f>
        <v/>
      </c>
      <c r="W147" s="1" t="str">
        <f aca="false">IF($V$3="","",IFERROR(MATCH($V$3&amp;"#"&amp;ROWS(W$4:W147),发票统计!$W$4:$W$1003,0),""))</f>
        <v/>
      </c>
    </row>
    <row r="148" customFormat="false" ht="16.5" hidden="false" customHeight="false" outlineLevel="0" collapsed="false">
      <c r="A148" s="3" t="str">
        <f aca="false">IF($W148="","",INDEX(发票统计!A$4:A$1003,$W148)&amp;"")</f>
        <v/>
      </c>
      <c r="B148" s="3" t="str">
        <f aca="false">IF($W148="","",INDEX(发票统计!B$4:B$1003,$W148)&amp;"")</f>
        <v/>
      </c>
      <c r="C148" s="3" t="str">
        <f aca="false">IF($W148="","",INDEX(发票统计!C$4:C$1003,$W148)&amp;"")</f>
        <v/>
      </c>
      <c r="D148" s="3" t="str">
        <f aca="false">IF($W148="","",INDEX(发票统计!D$4:D$1003,$W148)&amp;"")</f>
        <v/>
      </c>
      <c r="E148" s="67" t="str">
        <f aca="false">IF($W148="","",INDEX(发票统计!E$4:E$1003,$W148)&amp;"")</f>
        <v/>
      </c>
      <c r="F148" s="68" t="str">
        <f aca="false">IF($W148="","",INDEX(发票统计!F$4:F$1003,$W148)&amp;"")</f>
        <v/>
      </c>
      <c r="G148" s="68" t="str">
        <f aca="false">IF($W148="","",IF(INDEX(发票统计!G$4:G$1003,$W148)="","",INDEX(发票统计!G$4:G$1003,$W148)))</f>
        <v/>
      </c>
      <c r="H148" s="56" t="str">
        <f aca="false">IF($W148="","",N(INDEX(发票统计!H$4:H$1003,$W148)))</f>
        <v/>
      </c>
      <c r="I148" s="56" t="str">
        <f aca="false">IF($W148="","",N(INDEX(发票统计!I$4:I$1003,$W148)))</f>
        <v/>
      </c>
      <c r="J148" s="56" t="str">
        <f aca="false">IF($W148="","",N(INDEX(发票统计!J$4:J$1003,$W148)))</f>
        <v/>
      </c>
      <c r="K148" s="56" t="str">
        <f aca="false">IF($W148="","",N(INDEX(发票统计!K$4:K$1003,$W148)))</f>
        <v/>
      </c>
      <c r="L148" s="56" t="str">
        <f aca="false">IF($W148="","",SUM(J$4:J148)-SUM(K$4:K148))</f>
        <v/>
      </c>
      <c r="M148" s="56" t="str">
        <f aca="false">IF($W148="","",N(INDEX(发票统计!M$4:M$1003,$W148)))</f>
        <v/>
      </c>
      <c r="N148" s="56" t="str">
        <f aca="false">IF($W148="","",N(INDEX(发票统计!N$4:N$1003,$W148)))</f>
        <v/>
      </c>
      <c r="O148" s="56" t="str">
        <f aca="false">IF($W148="","",N(INDEX(发票统计!O$4:O$1003,$W148)))</f>
        <v/>
      </c>
      <c r="P148" s="56" t="str">
        <f aca="false">IF($W148="","",SUM(M$4:M148)-SUM(N$4:N148)-SUM(O$4:O148))</f>
        <v/>
      </c>
      <c r="Q148" s="56" t="str">
        <f aca="false">IF($W148="","",N(INDEX(发票统计!Q$4:Q$1003,$W148)))</f>
        <v/>
      </c>
      <c r="R148" s="56" t="str">
        <f aca="false">IF($W148="","",N(INDEX(发票统计!R$4:R$1003,$W148)))</f>
        <v/>
      </c>
      <c r="S148" s="56" t="str">
        <f aca="false">IF($W148="","",N(INDEX(发票统计!S$4:S$1003,$W148)))</f>
        <v/>
      </c>
      <c r="T148" s="56" t="str">
        <f aca="false">IF($W148="","",SUM(Q$4:Q148)-SUM(R$4:R148)-SUM(S$4:S148))</f>
        <v/>
      </c>
      <c r="U148" s="56" t="str">
        <f aca="false">IF($W148="","",INDEX(发票统计!U$4:U$1003,$W148)&amp;"")</f>
        <v/>
      </c>
      <c r="W148" s="1" t="str">
        <f aca="false">IF($V$3="","",IFERROR(MATCH($V$3&amp;"#"&amp;ROWS(W$4:W148),发票统计!$W$4:$W$1003,0),""))</f>
        <v/>
      </c>
    </row>
    <row r="149" customFormat="false" ht="16.5" hidden="false" customHeight="false" outlineLevel="0" collapsed="false">
      <c r="A149" s="3" t="str">
        <f aca="false">IF($W149="","",INDEX(发票统计!A$4:A$1003,$W149)&amp;"")</f>
        <v/>
      </c>
      <c r="B149" s="3" t="str">
        <f aca="false">IF($W149="","",INDEX(发票统计!B$4:B$1003,$W149)&amp;"")</f>
        <v/>
      </c>
      <c r="C149" s="3" t="str">
        <f aca="false">IF($W149="","",INDEX(发票统计!C$4:C$1003,$W149)&amp;"")</f>
        <v/>
      </c>
      <c r="D149" s="3" t="str">
        <f aca="false">IF($W149="","",INDEX(发票统计!D$4:D$1003,$W149)&amp;"")</f>
        <v/>
      </c>
      <c r="E149" s="67" t="str">
        <f aca="false">IF($W149="","",INDEX(发票统计!E$4:E$1003,$W149)&amp;"")</f>
        <v/>
      </c>
      <c r="F149" s="68" t="str">
        <f aca="false">IF($W149="","",INDEX(发票统计!F$4:F$1003,$W149)&amp;"")</f>
        <v/>
      </c>
      <c r="G149" s="68" t="str">
        <f aca="false">IF($W149="","",IF(INDEX(发票统计!G$4:G$1003,$W149)="","",INDEX(发票统计!G$4:G$1003,$W149)))</f>
        <v/>
      </c>
      <c r="H149" s="56" t="str">
        <f aca="false">IF($W149="","",N(INDEX(发票统计!H$4:H$1003,$W149)))</f>
        <v/>
      </c>
      <c r="I149" s="56" t="str">
        <f aca="false">IF($W149="","",N(INDEX(发票统计!I$4:I$1003,$W149)))</f>
        <v/>
      </c>
      <c r="J149" s="56" t="str">
        <f aca="false">IF($W149="","",N(INDEX(发票统计!J$4:J$1003,$W149)))</f>
        <v/>
      </c>
      <c r="K149" s="56" t="str">
        <f aca="false">IF($W149="","",N(INDEX(发票统计!K$4:K$1003,$W149)))</f>
        <v/>
      </c>
      <c r="L149" s="56" t="str">
        <f aca="false">IF($W149="","",SUM(J$4:J149)-SUM(K$4:K149))</f>
        <v/>
      </c>
      <c r="M149" s="56" t="str">
        <f aca="false">IF($W149="","",N(INDEX(发票统计!M$4:M$1003,$W149)))</f>
        <v/>
      </c>
      <c r="N149" s="56" t="str">
        <f aca="false">IF($W149="","",N(INDEX(发票统计!N$4:N$1003,$W149)))</f>
        <v/>
      </c>
      <c r="O149" s="56" t="str">
        <f aca="false">IF($W149="","",N(INDEX(发票统计!O$4:O$1003,$W149)))</f>
        <v/>
      </c>
      <c r="P149" s="56" t="str">
        <f aca="false">IF($W149="","",SUM(M$4:M149)-SUM(N$4:N149)-SUM(O$4:O149))</f>
        <v/>
      </c>
      <c r="Q149" s="56" t="str">
        <f aca="false">IF($W149="","",N(INDEX(发票统计!Q$4:Q$1003,$W149)))</f>
        <v/>
      </c>
      <c r="R149" s="56" t="str">
        <f aca="false">IF($W149="","",N(INDEX(发票统计!R$4:R$1003,$W149)))</f>
        <v/>
      </c>
      <c r="S149" s="56" t="str">
        <f aca="false">IF($W149="","",N(INDEX(发票统计!S$4:S$1003,$W149)))</f>
        <v/>
      </c>
      <c r="T149" s="56" t="str">
        <f aca="false">IF($W149="","",SUM(Q$4:Q149)-SUM(R$4:R149)-SUM(S$4:S149))</f>
        <v/>
      </c>
      <c r="U149" s="56" t="str">
        <f aca="false">IF($W149="","",INDEX(发票统计!U$4:U$1003,$W149)&amp;"")</f>
        <v/>
      </c>
      <c r="W149" s="1" t="str">
        <f aca="false">IF($V$3="","",IFERROR(MATCH($V$3&amp;"#"&amp;ROWS(W$4:W149),发票统计!$W$4:$W$1003,0),""))</f>
        <v/>
      </c>
    </row>
    <row r="150" customFormat="false" ht="16.5" hidden="false" customHeight="false" outlineLevel="0" collapsed="false">
      <c r="A150" s="3" t="str">
        <f aca="false">IF($W150="","",INDEX(发票统计!A$4:A$1003,$W150)&amp;"")</f>
        <v/>
      </c>
      <c r="B150" s="3" t="str">
        <f aca="false">IF($W150="","",INDEX(发票统计!B$4:B$1003,$W150)&amp;"")</f>
        <v/>
      </c>
      <c r="C150" s="3" t="str">
        <f aca="false">IF($W150="","",INDEX(发票统计!C$4:C$1003,$W150)&amp;"")</f>
        <v/>
      </c>
      <c r="D150" s="3" t="str">
        <f aca="false">IF($W150="","",INDEX(发票统计!D$4:D$1003,$W150)&amp;"")</f>
        <v/>
      </c>
      <c r="E150" s="67" t="str">
        <f aca="false">IF($W150="","",INDEX(发票统计!E$4:E$1003,$W150)&amp;"")</f>
        <v/>
      </c>
      <c r="F150" s="68" t="str">
        <f aca="false">IF($W150="","",INDEX(发票统计!F$4:F$1003,$W150)&amp;"")</f>
        <v/>
      </c>
      <c r="G150" s="68" t="str">
        <f aca="false">IF($W150="","",IF(INDEX(发票统计!G$4:G$1003,$W150)="","",INDEX(发票统计!G$4:G$1003,$W150)))</f>
        <v/>
      </c>
      <c r="H150" s="56" t="str">
        <f aca="false">IF($W150="","",N(INDEX(发票统计!H$4:H$1003,$W150)))</f>
        <v/>
      </c>
      <c r="I150" s="56" t="str">
        <f aca="false">IF($W150="","",N(INDEX(发票统计!I$4:I$1003,$W150)))</f>
        <v/>
      </c>
      <c r="J150" s="56" t="str">
        <f aca="false">IF($W150="","",N(INDEX(发票统计!J$4:J$1003,$W150)))</f>
        <v/>
      </c>
      <c r="K150" s="56" t="str">
        <f aca="false">IF($W150="","",N(INDEX(发票统计!K$4:K$1003,$W150)))</f>
        <v/>
      </c>
      <c r="L150" s="56" t="str">
        <f aca="false">IF($W150="","",SUM(J$4:J150)-SUM(K$4:K150))</f>
        <v/>
      </c>
      <c r="M150" s="56" t="str">
        <f aca="false">IF($W150="","",N(INDEX(发票统计!M$4:M$1003,$W150)))</f>
        <v/>
      </c>
      <c r="N150" s="56" t="str">
        <f aca="false">IF($W150="","",N(INDEX(发票统计!N$4:N$1003,$W150)))</f>
        <v/>
      </c>
      <c r="O150" s="56" t="str">
        <f aca="false">IF($W150="","",N(INDEX(发票统计!O$4:O$1003,$W150)))</f>
        <v/>
      </c>
      <c r="P150" s="56" t="str">
        <f aca="false">IF($W150="","",SUM(M$4:M150)-SUM(N$4:N150)-SUM(O$4:O150))</f>
        <v/>
      </c>
      <c r="Q150" s="56" t="str">
        <f aca="false">IF($W150="","",N(INDEX(发票统计!Q$4:Q$1003,$W150)))</f>
        <v/>
      </c>
      <c r="R150" s="56" t="str">
        <f aca="false">IF($W150="","",N(INDEX(发票统计!R$4:R$1003,$W150)))</f>
        <v/>
      </c>
      <c r="S150" s="56" t="str">
        <f aca="false">IF($W150="","",N(INDEX(发票统计!S$4:S$1003,$W150)))</f>
        <v/>
      </c>
      <c r="T150" s="56" t="str">
        <f aca="false">IF($W150="","",SUM(Q$4:Q150)-SUM(R$4:R150)-SUM(S$4:S150))</f>
        <v/>
      </c>
      <c r="U150" s="56" t="str">
        <f aca="false">IF($W150="","",INDEX(发票统计!U$4:U$1003,$W150)&amp;"")</f>
        <v/>
      </c>
      <c r="W150" s="1" t="str">
        <f aca="false">IF($V$3="","",IFERROR(MATCH($V$3&amp;"#"&amp;ROWS(W$4:W150),发票统计!$W$4:$W$1003,0),""))</f>
        <v/>
      </c>
    </row>
    <row r="151" customFormat="false" ht="16.5" hidden="false" customHeight="false" outlineLevel="0" collapsed="false">
      <c r="A151" s="3" t="str">
        <f aca="false">IF($W151="","",INDEX(发票统计!A$4:A$1003,$W151)&amp;"")</f>
        <v/>
      </c>
      <c r="B151" s="3" t="str">
        <f aca="false">IF($W151="","",INDEX(发票统计!B$4:B$1003,$W151)&amp;"")</f>
        <v/>
      </c>
      <c r="C151" s="3" t="str">
        <f aca="false">IF($W151="","",INDEX(发票统计!C$4:C$1003,$W151)&amp;"")</f>
        <v/>
      </c>
      <c r="D151" s="3" t="str">
        <f aca="false">IF($W151="","",INDEX(发票统计!D$4:D$1003,$W151)&amp;"")</f>
        <v/>
      </c>
      <c r="E151" s="67" t="str">
        <f aca="false">IF($W151="","",INDEX(发票统计!E$4:E$1003,$W151)&amp;"")</f>
        <v/>
      </c>
      <c r="F151" s="68" t="str">
        <f aca="false">IF($W151="","",INDEX(发票统计!F$4:F$1003,$W151)&amp;"")</f>
        <v/>
      </c>
      <c r="G151" s="68" t="str">
        <f aca="false">IF($W151="","",IF(INDEX(发票统计!G$4:G$1003,$W151)="","",INDEX(发票统计!G$4:G$1003,$W151)))</f>
        <v/>
      </c>
      <c r="H151" s="56" t="str">
        <f aca="false">IF($W151="","",N(INDEX(发票统计!H$4:H$1003,$W151)))</f>
        <v/>
      </c>
      <c r="I151" s="56" t="str">
        <f aca="false">IF($W151="","",N(INDEX(发票统计!I$4:I$1003,$W151)))</f>
        <v/>
      </c>
      <c r="J151" s="56" t="str">
        <f aca="false">IF($W151="","",N(INDEX(发票统计!J$4:J$1003,$W151)))</f>
        <v/>
      </c>
      <c r="K151" s="56" t="str">
        <f aca="false">IF($W151="","",N(INDEX(发票统计!K$4:K$1003,$W151)))</f>
        <v/>
      </c>
      <c r="L151" s="56" t="str">
        <f aca="false">IF($W151="","",SUM(J$4:J151)-SUM(K$4:K151))</f>
        <v/>
      </c>
      <c r="M151" s="56" t="str">
        <f aca="false">IF($W151="","",N(INDEX(发票统计!M$4:M$1003,$W151)))</f>
        <v/>
      </c>
      <c r="N151" s="56" t="str">
        <f aca="false">IF($W151="","",N(INDEX(发票统计!N$4:N$1003,$W151)))</f>
        <v/>
      </c>
      <c r="O151" s="56" t="str">
        <f aca="false">IF($W151="","",N(INDEX(发票统计!O$4:O$1003,$W151)))</f>
        <v/>
      </c>
      <c r="P151" s="56" t="str">
        <f aca="false">IF($W151="","",SUM(M$4:M151)-SUM(N$4:N151)-SUM(O$4:O151))</f>
        <v/>
      </c>
      <c r="Q151" s="56" t="str">
        <f aca="false">IF($W151="","",N(INDEX(发票统计!Q$4:Q$1003,$W151)))</f>
        <v/>
      </c>
      <c r="R151" s="56" t="str">
        <f aca="false">IF($W151="","",N(INDEX(发票统计!R$4:R$1003,$W151)))</f>
        <v/>
      </c>
      <c r="S151" s="56" t="str">
        <f aca="false">IF($W151="","",N(INDEX(发票统计!S$4:S$1003,$W151)))</f>
        <v/>
      </c>
      <c r="T151" s="56" t="str">
        <f aca="false">IF($W151="","",SUM(Q$4:Q151)-SUM(R$4:R151)-SUM(S$4:S151))</f>
        <v/>
      </c>
      <c r="U151" s="56" t="str">
        <f aca="false">IF($W151="","",INDEX(发票统计!U$4:U$1003,$W151)&amp;"")</f>
        <v/>
      </c>
      <c r="W151" s="1" t="str">
        <f aca="false">IF($V$3="","",IFERROR(MATCH($V$3&amp;"#"&amp;ROWS(W$4:W151),发票统计!$W$4:$W$1003,0),""))</f>
        <v/>
      </c>
    </row>
    <row r="152" customFormat="false" ht="16.5" hidden="false" customHeight="false" outlineLevel="0" collapsed="false">
      <c r="A152" s="3" t="str">
        <f aca="false">IF($W152="","",INDEX(发票统计!A$4:A$1003,$W152)&amp;"")</f>
        <v/>
      </c>
      <c r="B152" s="3" t="str">
        <f aca="false">IF($W152="","",INDEX(发票统计!B$4:B$1003,$W152)&amp;"")</f>
        <v/>
      </c>
      <c r="C152" s="3" t="str">
        <f aca="false">IF($W152="","",INDEX(发票统计!C$4:C$1003,$W152)&amp;"")</f>
        <v/>
      </c>
      <c r="D152" s="3" t="str">
        <f aca="false">IF($W152="","",INDEX(发票统计!D$4:D$1003,$W152)&amp;"")</f>
        <v/>
      </c>
      <c r="E152" s="67" t="str">
        <f aca="false">IF($W152="","",INDEX(发票统计!E$4:E$1003,$W152)&amp;"")</f>
        <v/>
      </c>
      <c r="F152" s="68" t="str">
        <f aca="false">IF($W152="","",INDEX(发票统计!F$4:F$1003,$W152)&amp;"")</f>
        <v/>
      </c>
      <c r="G152" s="68" t="str">
        <f aca="false">IF($W152="","",IF(INDEX(发票统计!G$4:G$1003,$W152)="","",INDEX(发票统计!G$4:G$1003,$W152)))</f>
        <v/>
      </c>
      <c r="H152" s="56" t="str">
        <f aca="false">IF($W152="","",N(INDEX(发票统计!H$4:H$1003,$W152)))</f>
        <v/>
      </c>
      <c r="I152" s="56" t="str">
        <f aca="false">IF($W152="","",N(INDEX(发票统计!I$4:I$1003,$W152)))</f>
        <v/>
      </c>
      <c r="J152" s="56" t="str">
        <f aca="false">IF($W152="","",N(INDEX(发票统计!J$4:J$1003,$W152)))</f>
        <v/>
      </c>
      <c r="K152" s="56" t="str">
        <f aca="false">IF($W152="","",N(INDEX(发票统计!K$4:K$1003,$W152)))</f>
        <v/>
      </c>
      <c r="L152" s="56" t="str">
        <f aca="false">IF($W152="","",SUM(J$4:J152)-SUM(K$4:K152))</f>
        <v/>
      </c>
      <c r="M152" s="56" t="str">
        <f aca="false">IF($W152="","",N(INDEX(发票统计!M$4:M$1003,$W152)))</f>
        <v/>
      </c>
      <c r="N152" s="56" t="str">
        <f aca="false">IF($W152="","",N(INDEX(发票统计!N$4:N$1003,$W152)))</f>
        <v/>
      </c>
      <c r="O152" s="56" t="str">
        <f aca="false">IF($W152="","",N(INDEX(发票统计!O$4:O$1003,$W152)))</f>
        <v/>
      </c>
      <c r="P152" s="56" t="str">
        <f aca="false">IF($W152="","",SUM(M$4:M152)-SUM(N$4:N152)-SUM(O$4:O152))</f>
        <v/>
      </c>
      <c r="Q152" s="56" t="str">
        <f aca="false">IF($W152="","",N(INDEX(发票统计!Q$4:Q$1003,$W152)))</f>
        <v/>
      </c>
      <c r="R152" s="56" t="str">
        <f aca="false">IF($W152="","",N(INDEX(发票统计!R$4:R$1003,$W152)))</f>
        <v/>
      </c>
      <c r="S152" s="56" t="str">
        <f aca="false">IF($W152="","",N(INDEX(发票统计!S$4:S$1003,$W152)))</f>
        <v/>
      </c>
      <c r="T152" s="56" t="str">
        <f aca="false">IF($W152="","",SUM(Q$4:Q152)-SUM(R$4:R152)-SUM(S$4:S152))</f>
        <v/>
      </c>
      <c r="U152" s="56" t="str">
        <f aca="false">IF($W152="","",INDEX(发票统计!U$4:U$1003,$W152)&amp;"")</f>
        <v/>
      </c>
      <c r="W152" s="1" t="str">
        <f aca="false">IF($V$3="","",IFERROR(MATCH($V$3&amp;"#"&amp;ROWS(W$4:W152),发票统计!$W$4:$W$1003,0),""))</f>
        <v/>
      </c>
    </row>
    <row r="153" customFormat="false" ht="16.5" hidden="false" customHeight="false" outlineLevel="0" collapsed="false">
      <c r="A153" s="3" t="str">
        <f aca="false">IF($W153="","",INDEX(发票统计!A$4:A$1003,$W153)&amp;"")</f>
        <v/>
      </c>
      <c r="B153" s="3" t="str">
        <f aca="false">IF($W153="","",INDEX(发票统计!B$4:B$1003,$W153)&amp;"")</f>
        <v/>
      </c>
      <c r="C153" s="3" t="str">
        <f aca="false">IF($W153="","",INDEX(发票统计!C$4:C$1003,$W153)&amp;"")</f>
        <v/>
      </c>
      <c r="D153" s="3" t="str">
        <f aca="false">IF($W153="","",INDEX(发票统计!D$4:D$1003,$W153)&amp;"")</f>
        <v/>
      </c>
      <c r="E153" s="67" t="str">
        <f aca="false">IF($W153="","",INDEX(发票统计!E$4:E$1003,$W153)&amp;"")</f>
        <v/>
      </c>
      <c r="F153" s="68" t="str">
        <f aca="false">IF($W153="","",INDEX(发票统计!F$4:F$1003,$W153)&amp;"")</f>
        <v/>
      </c>
      <c r="G153" s="68" t="str">
        <f aca="false">IF($W153="","",IF(INDEX(发票统计!G$4:G$1003,$W153)="","",INDEX(发票统计!G$4:G$1003,$W153)))</f>
        <v/>
      </c>
      <c r="H153" s="56" t="str">
        <f aca="false">IF($W153="","",N(INDEX(发票统计!H$4:H$1003,$W153)))</f>
        <v/>
      </c>
      <c r="I153" s="56" t="str">
        <f aca="false">IF($W153="","",N(INDEX(发票统计!I$4:I$1003,$W153)))</f>
        <v/>
      </c>
      <c r="J153" s="56" t="str">
        <f aca="false">IF($W153="","",N(INDEX(发票统计!J$4:J$1003,$W153)))</f>
        <v/>
      </c>
      <c r="K153" s="56" t="str">
        <f aca="false">IF($W153="","",N(INDEX(发票统计!K$4:K$1003,$W153)))</f>
        <v/>
      </c>
      <c r="L153" s="56" t="str">
        <f aca="false">IF($W153="","",SUM(J$4:J153)-SUM(K$4:K153))</f>
        <v/>
      </c>
      <c r="M153" s="56" t="str">
        <f aca="false">IF($W153="","",N(INDEX(发票统计!M$4:M$1003,$W153)))</f>
        <v/>
      </c>
      <c r="N153" s="56" t="str">
        <f aca="false">IF($W153="","",N(INDEX(发票统计!N$4:N$1003,$W153)))</f>
        <v/>
      </c>
      <c r="O153" s="56" t="str">
        <f aca="false">IF($W153="","",N(INDEX(发票统计!O$4:O$1003,$W153)))</f>
        <v/>
      </c>
      <c r="P153" s="56" t="str">
        <f aca="false">IF($W153="","",SUM(M$4:M153)-SUM(N$4:N153)-SUM(O$4:O153))</f>
        <v/>
      </c>
      <c r="Q153" s="56" t="str">
        <f aca="false">IF($W153="","",N(INDEX(发票统计!Q$4:Q$1003,$W153)))</f>
        <v/>
      </c>
      <c r="R153" s="56" t="str">
        <f aca="false">IF($W153="","",N(INDEX(发票统计!R$4:R$1003,$W153)))</f>
        <v/>
      </c>
      <c r="S153" s="56" t="str">
        <f aca="false">IF($W153="","",N(INDEX(发票统计!S$4:S$1003,$W153)))</f>
        <v/>
      </c>
      <c r="T153" s="56" t="str">
        <f aca="false">IF($W153="","",SUM(Q$4:Q153)-SUM(R$4:R153)-SUM(S$4:S153))</f>
        <v/>
      </c>
      <c r="U153" s="56" t="str">
        <f aca="false">IF($W153="","",INDEX(发票统计!U$4:U$1003,$W153)&amp;"")</f>
        <v/>
      </c>
      <c r="W153" s="1" t="str">
        <f aca="false">IF($V$3="","",IFERROR(MATCH($V$3&amp;"#"&amp;ROWS(W$4:W153),发票统计!$W$4:$W$1003,0),""))</f>
        <v/>
      </c>
    </row>
    <row r="154" customFormat="false" ht="16.5" hidden="false" customHeight="false" outlineLevel="0" collapsed="false">
      <c r="A154" s="3" t="str">
        <f aca="false">IF($W154="","",INDEX(发票统计!A$4:A$1003,$W154)&amp;"")</f>
        <v/>
      </c>
      <c r="B154" s="3" t="str">
        <f aca="false">IF($W154="","",INDEX(发票统计!B$4:B$1003,$W154)&amp;"")</f>
        <v/>
      </c>
      <c r="C154" s="3" t="str">
        <f aca="false">IF($W154="","",INDEX(发票统计!C$4:C$1003,$W154)&amp;"")</f>
        <v/>
      </c>
      <c r="D154" s="3" t="str">
        <f aca="false">IF($W154="","",INDEX(发票统计!D$4:D$1003,$W154)&amp;"")</f>
        <v/>
      </c>
      <c r="E154" s="67" t="str">
        <f aca="false">IF($W154="","",INDEX(发票统计!E$4:E$1003,$W154)&amp;"")</f>
        <v/>
      </c>
      <c r="F154" s="68" t="str">
        <f aca="false">IF($W154="","",INDEX(发票统计!F$4:F$1003,$W154)&amp;"")</f>
        <v/>
      </c>
      <c r="G154" s="68" t="str">
        <f aca="false">IF($W154="","",IF(INDEX(发票统计!G$4:G$1003,$W154)="","",INDEX(发票统计!G$4:G$1003,$W154)))</f>
        <v/>
      </c>
      <c r="H154" s="56" t="str">
        <f aca="false">IF($W154="","",N(INDEX(发票统计!H$4:H$1003,$W154)))</f>
        <v/>
      </c>
      <c r="I154" s="56" t="str">
        <f aca="false">IF($W154="","",N(INDEX(发票统计!I$4:I$1003,$W154)))</f>
        <v/>
      </c>
      <c r="J154" s="56" t="str">
        <f aca="false">IF($W154="","",N(INDEX(发票统计!J$4:J$1003,$W154)))</f>
        <v/>
      </c>
      <c r="K154" s="56" t="str">
        <f aca="false">IF($W154="","",N(INDEX(发票统计!K$4:K$1003,$W154)))</f>
        <v/>
      </c>
      <c r="L154" s="56" t="str">
        <f aca="false">IF($W154="","",SUM(J$4:J154)-SUM(K$4:K154))</f>
        <v/>
      </c>
      <c r="M154" s="56" t="str">
        <f aca="false">IF($W154="","",N(INDEX(发票统计!M$4:M$1003,$W154)))</f>
        <v/>
      </c>
      <c r="N154" s="56" t="str">
        <f aca="false">IF($W154="","",N(INDEX(发票统计!N$4:N$1003,$W154)))</f>
        <v/>
      </c>
      <c r="O154" s="56" t="str">
        <f aca="false">IF($W154="","",N(INDEX(发票统计!O$4:O$1003,$W154)))</f>
        <v/>
      </c>
      <c r="P154" s="56" t="str">
        <f aca="false">IF($W154="","",SUM(M$4:M154)-SUM(N$4:N154)-SUM(O$4:O154))</f>
        <v/>
      </c>
      <c r="Q154" s="56" t="str">
        <f aca="false">IF($W154="","",N(INDEX(发票统计!Q$4:Q$1003,$W154)))</f>
        <v/>
      </c>
      <c r="R154" s="56" t="str">
        <f aca="false">IF($W154="","",N(INDEX(发票统计!R$4:R$1003,$W154)))</f>
        <v/>
      </c>
      <c r="S154" s="56" t="str">
        <f aca="false">IF($W154="","",N(INDEX(发票统计!S$4:S$1003,$W154)))</f>
        <v/>
      </c>
      <c r="T154" s="56" t="str">
        <f aca="false">IF($W154="","",SUM(Q$4:Q154)-SUM(R$4:R154)-SUM(S$4:S154))</f>
        <v/>
      </c>
      <c r="U154" s="56" t="str">
        <f aca="false">IF($W154="","",INDEX(发票统计!U$4:U$1003,$W154)&amp;"")</f>
        <v/>
      </c>
      <c r="W154" s="1" t="str">
        <f aca="false">IF($V$3="","",IFERROR(MATCH($V$3&amp;"#"&amp;ROWS(W$4:W154),发票统计!$W$4:$W$1003,0),""))</f>
        <v/>
      </c>
    </row>
    <row r="155" customFormat="false" ht="16.5" hidden="false" customHeight="false" outlineLevel="0" collapsed="false">
      <c r="A155" s="3" t="str">
        <f aca="false">IF($W155="","",INDEX(发票统计!A$4:A$1003,$W155)&amp;"")</f>
        <v/>
      </c>
      <c r="B155" s="3" t="str">
        <f aca="false">IF($W155="","",INDEX(发票统计!B$4:B$1003,$W155)&amp;"")</f>
        <v/>
      </c>
      <c r="C155" s="3" t="str">
        <f aca="false">IF($W155="","",INDEX(发票统计!C$4:C$1003,$W155)&amp;"")</f>
        <v/>
      </c>
      <c r="D155" s="3" t="str">
        <f aca="false">IF($W155="","",INDEX(发票统计!D$4:D$1003,$W155)&amp;"")</f>
        <v/>
      </c>
      <c r="E155" s="67" t="str">
        <f aca="false">IF($W155="","",INDEX(发票统计!E$4:E$1003,$W155)&amp;"")</f>
        <v/>
      </c>
      <c r="F155" s="68" t="str">
        <f aca="false">IF($W155="","",INDEX(发票统计!F$4:F$1003,$W155)&amp;"")</f>
        <v/>
      </c>
      <c r="G155" s="68" t="str">
        <f aca="false">IF($W155="","",IF(INDEX(发票统计!G$4:G$1003,$W155)="","",INDEX(发票统计!G$4:G$1003,$W155)))</f>
        <v/>
      </c>
      <c r="H155" s="56" t="str">
        <f aca="false">IF($W155="","",N(INDEX(发票统计!H$4:H$1003,$W155)))</f>
        <v/>
      </c>
      <c r="I155" s="56" t="str">
        <f aca="false">IF($W155="","",N(INDEX(发票统计!I$4:I$1003,$W155)))</f>
        <v/>
      </c>
      <c r="J155" s="56" t="str">
        <f aca="false">IF($W155="","",N(INDEX(发票统计!J$4:J$1003,$W155)))</f>
        <v/>
      </c>
      <c r="K155" s="56" t="str">
        <f aca="false">IF($W155="","",N(INDEX(发票统计!K$4:K$1003,$W155)))</f>
        <v/>
      </c>
      <c r="L155" s="56" t="str">
        <f aca="false">IF($W155="","",SUM(J$4:J155)-SUM(K$4:K155))</f>
        <v/>
      </c>
      <c r="M155" s="56" t="str">
        <f aca="false">IF($W155="","",N(INDEX(发票统计!M$4:M$1003,$W155)))</f>
        <v/>
      </c>
      <c r="N155" s="56" t="str">
        <f aca="false">IF($W155="","",N(INDEX(发票统计!N$4:N$1003,$W155)))</f>
        <v/>
      </c>
      <c r="O155" s="56" t="str">
        <f aca="false">IF($W155="","",N(INDEX(发票统计!O$4:O$1003,$W155)))</f>
        <v/>
      </c>
      <c r="P155" s="56" t="str">
        <f aca="false">IF($W155="","",SUM(M$4:M155)-SUM(N$4:N155)-SUM(O$4:O155))</f>
        <v/>
      </c>
      <c r="Q155" s="56" t="str">
        <f aca="false">IF($W155="","",N(INDEX(发票统计!Q$4:Q$1003,$W155)))</f>
        <v/>
      </c>
      <c r="R155" s="56" t="str">
        <f aca="false">IF($W155="","",N(INDEX(发票统计!R$4:R$1003,$W155)))</f>
        <v/>
      </c>
      <c r="S155" s="56" t="str">
        <f aca="false">IF($W155="","",N(INDEX(发票统计!S$4:S$1003,$W155)))</f>
        <v/>
      </c>
      <c r="T155" s="56" t="str">
        <f aca="false">IF($W155="","",SUM(Q$4:Q155)-SUM(R$4:R155)-SUM(S$4:S155))</f>
        <v/>
      </c>
      <c r="U155" s="56" t="str">
        <f aca="false">IF($W155="","",INDEX(发票统计!U$4:U$1003,$W155)&amp;"")</f>
        <v/>
      </c>
      <c r="W155" s="1" t="str">
        <f aca="false">IF($V$3="","",IFERROR(MATCH($V$3&amp;"#"&amp;ROWS(W$4:W155),发票统计!$W$4:$W$1003,0),""))</f>
        <v/>
      </c>
    </row>
    <row r="156" customFormat="false" ht="16.5" hidden="false" customHeight="false" outlineLevel="0" collapsed="false">
      <c r="A156" s="3" t="str">
        <f aca="false">IF($W156="","",INDEX(发票统计!A$4:A$1003,$W156)&amp;"")</f>
        <v/>
      </c>
      <c r="B156" s="3" t="str">
        <f aca="false">IF($W156="","",INDEX(发票统计!B$4:B$1003,$W156)&amp;"")</f>
        <v/>
      </c>
      <c r="C156" s="3" t="str">
        <f aca="false">IF($W156="","",INDEX(发票统计!C$4:C$1003,$W156)&amp;"")</f>
        <v/>
      </c>
      <c r="D156" s="3" t="str">
        <f aca="false">IF($W156="","",INDEX(发票统计!D$4:D$1003,$W156)&amp;"")</f>
        <v/>
      </c>
      <c r="E156" s="67" t="str">
        <f aca="false">IF($W156="","",INDEX(发票统计!E$4:E$1003,$W156)&amp;"")</f>
        <v/>
      </c>
      <c r="F156" s="68" t="str">
        <f aca="false">IF($W156="","",INDEX(发票统计!F$4:F$1003,$W156)&amp;"")</f>
        <v/>
      </c>
      <c r="G156" s="68" t="str">
        <f aca="false">IF($W156="","",IF(INDEX(发票统计!G$4:G$1003,$W156)="","",INDEX(发票统计!G$4:G$1003,$W156)))</f>
        <v/>
      </c>
      <c r="H156" s="56" t="str">
        <f aca="false">IF($W156="","",N(INDEX(发票统计!H$4:H$1003,$W156)))</f>
        <v/>
      </c>
      <c r="I156" s="56" t="str">
        <f aca="false">IF($W156="","",N(INDEX(发票统计!I$4:I$1003,$W156)))</f>
        <v/>
      </c>
      <c r="J156" s="56" t="str">
        <f aca="false">IF($W156="","",N(INDEX(发票统计!J$4:J$1003,$W156)))</f>
        <v/>
      </c>
      <c r="K156" s="56" t="str">
        <f aca="false">IF($W156="","",N(INDEX(发票统计!K$4:K$1003,$W156)))</f>
        <v/>
      </c>
      <c r="L156" s="56" t="str">
        <f aca="false">IF($W156="","",SUM(J$4:J156)-SUM(K$4:K156))</f>
        <v/>
      </c>
      <c r="M156" s="56" t="str">
        <f aca="false">IF($W156="","",N(INDEX(发票统计!M$4:M$1003,$W156)))</f>
        <v/>
      </c>
      <c r="N156" s="56" t="str">
        <f aca="false">IF($W156="","",N(INDEX(发票统计!N$4:N$1003,$W156)))</f>
        <v/>
      </c>
      <c r="O156" s="56" t="str">
        <f aca="false">IF($W156="","",N(INDEX(发票统计!O$4:O$1003,$W156)))</f>
        <v/>
      </c>
      <c r="P156" s="56" t="str">
        <f aca="false">IF($W156="","",SUM(M$4:M156)-SUM(N$4:N156)-SUM(O$4:O156))</f>
        <v/>
      </c>
      <c r="Q156" s="56" t="str">
        <f aca="false">IF($W156="","",N(INDEX(发票统计!Q$4:Q$1003,$W156)))</f>
        <v/>
      </c>
      <c r="R156" s="56" t="str">
        <f aca="false">IF($W156="","",N(INDEX(发票统计!R$4:R$1003,$W156)))</f>
        <v/>
      </c>
      <c r="S156" s="56" t="str">
        <f aca="false">IF($W156="","",N(INDEX(发票统计!S$4:S$1003,$W156)))</f>
        <v/>
      </c>
      <c r="T156" s="56" t="str">
        <f aca="false">IF($W156="","",SUM(Q$4:Q156)-SUM(R$4:R156)-SUM(S$4:S156))</f>
        <v/>
      </c>
      <c r="U156" s="56" t="str">
        <f aca="false">IF($W156="","",INDEX(发票统计!U$4:U$1003,$W156)&amp;"")</f>
        <v/>
      </c>
      <c r="W156" s="1" t="str">
        <f aca="false">IF($V$3="","",IFERROR(MATCH($V$3&amp;"#"&amp;ROWS(W$4:W156),发票统计!$W$4:$W$1003,0),""))</f>
        <v/>
      </c>
    </row>
    <row r="157" customFormat="false" ht="16.5" hidden="false" customHeight="false" outlineLevel="0" collapsed="false">
      <c r="A157" s="3" t="str">
        <f aca="false">IF($W157="","",INDEX(发票统计!A$4:A$1003,$W157)&amp;"")</f>
        <v/>
      </c>
      <c r="B157" s="3" t="str">
        <f aca="false">IF($W157="","",INDEX(发票统计!B$4:B$1003,$W157)&amp;"")</f>
        <v/>
      </c>
      <c r="C157" s="3" t="str">
        <f aca="false">IF($W157="","",INDEX(发票统计!C$4:C$1003,$W157)&amp;"")</f>
        <v/>
      </c>
      <c r="D157" s="3" t="str">
        <f aca="false">IF($W157="","",INDEX(发票统计!D$4:D$1003,$W157)&amp;"")</f>
        <v/>
      </c>
      <c r="E157" s="67" t="str">
        <f aca="false">IF($W157="","",INDEX(发票统计!E$4:E$1003,$W157)&amp;"")</f>
        <v/>
      </c>
      <c r="F157" s="68" t="str">
        <f aca="false">IF($W157="","",INDEX(发票统计!F$4:F$1003,$W157)&amp;"")</f>
        <v/>
      </c>
      <c r="G157" s="68" t="str">
        <f aca="false">IF($W157="","",IF(INDEX(发票统计!G$4:G$1003,$W157)="","",INDEX(发票统计!G$4:G$1003,$W157)))</f>
        <v/>
      </c>
      <c r="H157" s="56" t="str">
        <f aca="false">IF($W157="","",N(INDEX(发票统计!H$4:H$1003,$W157)))</f>
        <v/>
      </c>
      <c r="I157" s="56" t="str">
        <f aca="false">IF($W157="","",N(INDEX(发票统计!I$4:I$1003,$W157)))</f>
        <v/>
      </c>
      <c r="J157" s="56" t="str">
        <f aca="false">IF($W157="","",N(INDEX(发票统计!J$4:J$1003,$W157)))</f>
        <v/>
      </c>
      <c r="K157" s="56" t="str">
        <f aca="false">IF($W157="","",N(INDEX(发票统计!K$4:K$1003,$W157)))</f>
        <v/>
      </c>
      <c r="L157" s="56" t="str">
        <f aca="false">IF($W157="","",SUM(J$4:J157)-SUM(K$4:K157))</f>
        <v/>
      </c>
      <c r="M157" s="56" t="str">
        <f aca="false">IF($W157="","",N(INDEX(发票统计!M$4:M$1003,$W157)))</f>
        <v/>
      </c>
      <c r="N157" s="56" t="str">
        <f aca="false">IF($W157="","",N(INDEX(发票统计!N$4:N$1003,$W157)))</f>
        <v/>
      </c>
      <c r="O157" s="56" t="str">
        <f aca="false">IF($W157="","",N(INDEX(发票统计!O$4:O$1003,$W157)))</f>
        <v/>
      </c>
      <c r="P157" s="56" t="str">
        <f aca="false">IF($W157="","",SUM(M$4:M157)-SUM(N$4:N157)-SUM(O$4:O157))</f>
        <v/>
      </c>
      <c r="Q157" s="56" t="str">
        <f aca="false">IF($W157="","",N(INDEX(发票统计!Q$4:Q$1003,$W157)))</f>
        <v/>
      </c>
      <c r="R157" s="56" t="str">
        <f aca="false">IF($W157="","",N(INDEX(发票统计!R$4:R$1003,$W157)))</f>
        <v/>
      </c>
      <c r="S157" s="56" t="str">
        <f aca="false">IF($W157="","",N(INDEX(发票统计!S$4:S$1003,$W157)))</f>
        <v/>
      </c>
      <c r="T157" s="56" t="str">
        <f aca="false">IF($W157="","",SUM(Q$4:Q157)-SUM(R$4:R157)-SUM(S$4:S157))</f>
        <v/>
      </c>
      <c r="U157" s="56" t="str">
        <f aca="false">IF($W157="","",INDEX(发票统计!U$4:U$1003,$W157)&amp;"")</f>
        <v/>
      </c>
      <c r="W157" s="1" t="str">
        <f aca="false">IF($V$3="","",IFERROR(MATCH($V$3&amp;"#"&amp;ROWS(W$4:W157),发票统计!$W$4:$W$1003,0),""))</f>
        <v/>
      </c>
    </row>
    <row r="158" customFormat="false" ht="16.5" hidden="false" customHeight="false" outlineLevel="0" collapsed="false">
      <c r="A158" s="3" t="str">
        <f aca="false">IF($W158="","",INDEX(发票统计!A$4:A$1003,$W158)&amp;"")</f>
        <v/>
      </c>
      <c r="B158" s="3" t="str">
        <f aca="false">IF($W158="","",INDEX(发票统计!B$4:B$1003,$W158)&amp;"")</f>
        <v/>
      </c>
      <c r="C158" s="3" t="str">
        <f aca="false">IF($W158="","",INDEX(发票统计!C$4:C$1003,$W158)&amp;"")</f>
        <v/>
      </c>
      <c r="D158" s="3" t="str">
        <f aca="false">IF($W158="","",INDEX(发票统计!D$4:D$1003,$W158)&amp;"")</f>
        <v/>
      </c>
      <c r="E158" s="67" t="str">
        <f aca="false">IF($W158="","",INDEX(发票统计!E$4:E$1003,$W158)&amp;"")</f>
        <v/>
      </c>
      <c r="F158" s="68" t="str">
        <f aca="false">IF($W158="","",INDEX(发票统计!F$4:F$1003,$W158)&amp;"")</f>
        <v/>
      </c>
      <c r="G158" s="68" t="str">
        <f aca="false">IF($W158="","",IF(INDEX(发票统计!G$4:G$1003,$W158)="","",INDEX(发票统计!G$4:G$1003,$W158)))</f>
        <v/>
      </c>
      <c r="H158" s="56" t="str">
        <f aca="false">IF($W158="","",N(INDEX(发票统计!H$4:H$1003,$W158)))</f>
        <v/>
      </c>
      <c r="I158" s="56" t="str">
        <f aca="false">IF($W158="","",N(INDEX(发票统计!I$4:I$1003,$W158)))</f>
        <v/>
      </c>
      <c r="J158" s="56" t="str">
        <f aca="false">IF($W158="","",N(INDEX(发票统计!J$4:J$1003,$W158)))</f>
        <v/>
      </c>
      <c r="K158" s="56" t="str">
        <f aca="false">IF($W158="","",N(INDEX(发票统计!K$4:K$1003,$W158)))</f>
        <v/>
      </c>
      <c r="L158" s="56" t="str">
        <f aca="false">IF($W158="","",SUM(J$4:J158)-SUM(K$4:K158))</f>
        <v/>
      </c>
      <c r="M158" s="56" t="str">
        <f aca="false">IF($W158="","",N(INDEX(发票统计!M$4:M$1003,$W158)))</f>
        <v/>
      </c>
      <c r="N158" s="56" t="str">
        <f aca="false">IF($W158="","",N(INDEX(发票统计!N$4:N$1003,$W158)))</f>
        <v/>
      </c>
      <c r="O158" s="56" t="str">
        <f aca="false">IF($W158="","",N(INDEX(发票统计!O$4:O$1003,$W158)))</f>
        <v/>
      </c>
      <c r="P158" s="56" t="str">
        <f aca="false">IF($W158="","",SUM(M$4:M158)-SUM(N$4:N158)-SUM(O$4:O158))</f>
        <v/>
      </c>
      <c r="Q158" s="56" t="str">
        <f aca="false">IF($W158="","",N(INDEX(发票统计!Q$4:Q$1003,$W158)))</f>
        <v/>
      </c>
      <c r="R158" s="56" t="str">
        <f aca="false">IF($W158="","",N(INDEX(发票统计!R$4:R$1003,$W158)))</f>
        <v/>
      </c>
      <c r="S158" s="56" t="str">
        <f aca="false">IF($W158="","",N(INDEX(发票统计!S$4:S$1003,$W158)))</f>
        <v/>
      </c>
      <c r="T158" s="56" t="str">
        <f aca="false">IF($W158="","",SUM(Q$4:Q158)-SUM(R$4:R158)-SUM(S$4:S158))</f>
        <v/>
      </c>
      <c r="U158" s="56" t="str">
        <f aca="false">IF($W158="","",INDEX(发票统计!U$4:U$1003,$W158)&amp;"")</f>
        <v/>
      </c>
      <c r="W158" s="1" t="str">
        <f aca="false">IF($V$3="","",IFERROR(MATCH($V$3&amp;"#"&amp;ROWS(W$4:W158),发票统计!$W$4:$W$1003,0),""))</f>
        <v/>
      </c>
    </row>
    <row r="159" customFormat="false" ht="16.5" hidden="false" customHeight="false" outlineLevel="0" collapsed="false">
      <c r="A159" s="3" t="str">
        <f aca="false">IF($W159="","",INDEX(发票统计!A$4:A$1003,$W159)&amp;"")</f>
        <v/>
      </c>
      <c r="B159" s="3" t="str">
        <f aca="false">IF($W159="","",INDEX(发票统计!B$4:B$1003,$W159)&amp;"")</f>
        <v/>
      </c>
      <c r="C159" s="3" t="str">
        <f aca="false">IF($W159="","",INDEX(发票统计!C$4:C$1003,$W159)&amp;"")</f>
        <v/>
      </c>
      <c r="D159" s="3" t="str">
        <f aca="false">IF($W159="","",INDEX(发票统计!D$4:D$1003,$W159)&amp;"")</f>
        <v/>
      </c>
      <c r="E159" s="67" t="str">
        <f aca="false">IF($W159="","",INDEX(发票统计!E$4:E$1003,$W159)&amp;"")</f>
        <v/>
      </c>
      <c r="F159" s="68" t="str">
        <f aca="false">IF($W159="","",INDEX(发票统计!F$4:F$1003,$W159)&amp;"")</f>
        <v/>
      </c>
      <c r="G159" s="68" t="str">
        <f aca="false">IF($W159="","",IF(INDEX(发票统计!G$4:G$1003,$W159)="","",INDEX(发票统计!G$4:G$1003,$W159)))</f>
        <v/>
      </c>
      <c r="H159" s="56" t="str">
        <f aca="false">IF($W159="","",N(INDEX(发票统计!H$4:H$1003,$W159)))</f>
        <v/>
      </c>
      <c r="I159" s="56" t="str">
        <f aca="false">IF($W159="","",N(INDEX(发票统计!I$4:I$1003,$W159)))</f>
        <v/>
      </c>
      <c r="J159" s="56" t="str">
        <f aca="false">IF($W159="","",N(INDEX(发票统计!J$4:J$1003,$W159)))</f>
        <v/>
      </c>
      <c r="K159" s="56" t="str">
        <f aca="false">IF($W159="","",N(INDEX(发票统计!K$4:K$1003,$W159)))</f>
        <v/>
      </c>
      <c r="L159" s="56" t="str">
        <f aca="false">IF($W159="","",SUM(J$4:J159)-SUM(K$4:K159))</f>
        <v/>
      </c>
      <c r="M159" s="56" t="str">
        <f aca="false">IF($W159="","",N(INDEX(发票统计!M$4:M$1003,$W159)))</f>
        <v/>
      </c>
      <c r="N159" s="56" t="str">
        <f aca="false">IF($W159="","",N(INDEX(发票统计!N$4:N$1003,$W159)))</f>
        <v/>
      </c>
      <c r="O159" s="56" t="str">
        <f aca="false">IF($W159="","",N(INDEX(发票统计!O$4:O$1003,$W159)))</f>
        <v/>
      </c>
      <c r="P159" s="56" t="str">
        <f aca="false">IF($W159="","",SUM(M$4:M159)-SUM(N$4:N159)-SUM(O$4:O159))</f>
        <v/>
      </c>
      <c r="Q159" s="56" t="str">
        <f aca="false">IF($W159="","",N(INDEX(发票统计!Q$4:Q$1003,$W159)))</f>
        <v/>
      </c>
      <c r="R159" s="56" t="str">
        <f aca="false">IF($W159="","",N(INDEX(发票统计!R$4:R$1003,$W159)))</f>
        <v/>
      </c>
      <c r="S159" s="56" t="str">
        <f aca="false">IF($W159="","",N(INDEX(发票统计!S$4:S$1003,$W159)))</f>
        <v/>
      </c>
      <c r="T159" s="56" t="str">
        <f aca="false">IF($W159="","",SUM(Q$4:Q159)-SUM(R$4:R159)-SUM(S$4:S159))</f>
        <v/>
      </c>
      <c r="U159" s="56" t="str">
        <f aca="false">IF($W159="","",INDEX(发票统计!U$4:U$1003,$W159)&amp;"")</f>
        <v/>
      </c>
      <c r="W159" s="1" t="str">
        <f aca="false">IF($V$3="","",IFERROR(MATCH($V$3&amp;"#"&amp;ROWS(W$4:W159),发票统计!$W$4:$W$1003,0),""))</f>
        <v/>
      </c>
    </row>
    <row r="160" customFormat="false" ht="16.5" hidden="false" customHeight="false" outlineLevel="0" collapsed="false">
      <c r="A160" s="3" t="str">
        <f aca="false">IF($W160="","",INDEX(发票统计!A$4:A$1003,$W160)&amp;"")</f>
        <v/>
      </c>
      <c r="B160" s="3" t="str">
        <f aca="false">IF($W160="","",INDEX(发票统计!B$4:B$1003,$W160)&amp;"")</f>
        <v/>
      </c>
      <c r="C160" s="3" t="str">
        <f aca="false">IF($W160="","",INDEX(发票统计!C$4:C$1003,$W160)&amp;"")</f>
        <v/>
      </c>
      <c r="D160" s="3" t="str">
        <f aca="false">IF($W160="","",INDEX(发票统计!D$4:D$1003,$W160)&amp;"")</f>
        <v/>
      </c>
      <c r="E160" s="67" t="str">
        <f aca="false">IF($W160="","",INDEX(发票统计!E$4:E$1003,$W160)&amp;"")</f>
        <v/>
      </c>
      <c r="F160" s="68" t="str">
        <f aca="false">IF($W160="","",INDEX(发票统计!F$4:F$1003,$W160)&amp;"")</f>
        <v/>
      </c>
      <c r="G160" s="68" t="str">
        <f aca="false">IF($W160="","",IF(INDEX(发票统计!G$4:G$1003,$W160)="","",INDEX(发票统计!G$4:G$1003,$W160)))</f>
        <v/>
      </c>
      <c r="H160" s="56" t="str">
        <f aca="false">IF($W160="","",N(INDEX(发票统计!H$4:H$1003,$W160)))</f>
        <v/>
      </c>
      <c r="I160" s="56" t="str">
        <f aca="false">IF($W160="","",N(INDEX(发票统计!I$4:I$1003,$W160)))</f>
        <v/>
      </c>
      <c r="J160" s="56" t="str">
        <f aca="false">IF($W160="","",N(INDEX(发票统计!J$4:J$1003,$W160)))</f>
        <v/>
      </c>
      <c r="K160" s="56" t="str">
        <f aca="false">IF($W160="","",N(INDEX(发票统计!K$4:K$1003,$W160)))</f>
        <v/>
      </c>
      <c r="L160" s="56" t="str">
        <f aca="false">IF($W160="","",SUM(J$4:J160)-SUM(K$4:K160))</f>
        <v/>
      </c>
      <c r="M160" s="56" t="str">
        <f aca="false">IF($W160="","",N(INDEX(发票统计!M$4:M$1003,$W160)))</f>
        <v/>
      </c>
      <c r="N160" s="56" t="str">
        <f aca="false">IF($W160="","",N(INDEX(发票统计!N$4:N$1003,$W160)))</f>
        <v/>
      </c>
      <c r="O160" s="56" t="str">
        <f aca="false">IF($W160="","",N(INDEX(发票统计!O$4:O$1003,$W160)))</f>
        <v/>
      </c>
      <c r="P160" s="56" t="str">
        <f aca="false">IF($W160="","",SUM(M$4:M160)-SUM(N$4:N160)-SUM(O$4:O160))</f>
        <v/>
      </c>
      <c r="Q160" s="56" t="str">
        <f aca="false">IF($W160="","",N(INDEX(发票统计!Q$4:Q$1003,$W160)))</f>
        <v/>
      </c>
      <c r="R160" s="56" t="str">
        <f aca="false">IF($W160="","",N(INDEX(发票统计!R$4:R$1003,$W160)))</f>
        <v/>
      </c>
      <c r="S160" s="56" t="str">
        <f aca="false">IF($W160="","",N(INDEX(发票统计!S$4:S$1003,$W160)))</f>
        <v/>
      </c>
      <c r="T160" s="56" t="str">
        <f aca="false">IF($W160="","",SUM(Q$4:Q160)-SUM(R$4:R160)-SUM(S$4:S160))</f>
        <v/>
      </c>
      <c r="U160" s="56" t="str">
        <f aca="false">IF($W160="","",INDEX(发票统计!U$4:U$1003,$W160)&amp;"")</f>
        <v/>
      </c>
      <c r="W160" s="1" t="str">
        <f aca="false">IF($V$3="","",IFERROR(MATCH($V$3&amp;"#"&amp;ROWS(W$4:W160),发票统计!$W$4:$W$1003,0),""))</f>
        <v/>
      </c>
    </row>
    <row r="161" customFormat="false" ht="16.5" hidden="false" customHeight="false" outlineLevel="0" collapsed="false">
      <c r="A161" s="3" t="str">
        <f aca="false">IF($W161="","",INDEX(发票统计!A$4:A$1003,$W161)&amp;"")</f>
        <v/>
      </c>
      <c r="B161" s="3" t="str">
        <f aca="false">IF($W161="","",INDEX(发票统计!B$4:B$1003,$W161)&amp;"")</f>
        <v/>
      </c>
      <c r="C161" s="3" t="str">
        <f aca="false">IF($W161="","",INDEX(发票统计!C$4:C$1003,$W161)&amp;"")</f>
        <v/>
      </c>
      <c r="D161" s="3" t="str">
        <f aca="false">IF($W161="","",INDEX(发票统计!D$4:D$1003,$W161)&amp;"")</f>
        <v/>
      </c>
      <c r="E161" s="67" t="str">
        <f aca="false">IF($W161="","",INDEX(发票统计!E$4:E$1003,$W161)&amp;"")</f>
        <v/>
      </c>
      <c r="F161" s="68" t="str">
        <f aca="false">IF($W161="","",INDEX(发票统计!F$4:F$1003,$W161)&amp;"")</f>
        <v/>
      </c>
      <c r="G161" s="68" t="str">
        <f aca="false">IF($W161="","",IF(INDEX(发票统计!G$4:G$1003,$W161)="","",INDEX(发票统计!G$4:G$1003,$W161)))</f>
        <v/>
      </c>
      <c r="H161" s="56" t="str">
        <f aca="false">IF($W161="","",N(INDEX(发票统计!H$4:H$1003,$W161)))</f>
        <v/>
      </c>
      <c r="I161" s="56" t="str">
        <f aca="false">IF($W161="","",N(INDEX(发票统计!I$4:I$1003,$W161)))</f>
        <v/>
      </c>
      <c r="J161" s="56" t="str">
        <f aca="false">IF($W161="","",N(INDEX(发票统计!J$4:J$1003,$W161)))</f>
        <v/>
      </c>
      <c r="K161" s="56" t="str">
        <f aca="false">IF($W161="","",N(INDEX(发票统计!K$4:K$1003,$W161)))</f>
        <v/>
      </c>
      <c r="L161" s="56" t="str">
        <f aca="false">IF($W161="","",SUM(J$4:J161)-SUM(K$4:K161))</f>
        <v/>
      </c>
      <c r="M161" s="56" t="str">
        <f aca="false">IF($W161="","",N(INDEX(发票统计!M$4:M$1003,$W161)))</f>
        <v/>
      </c>
      <c r="N161" s="56" t="str">
        <f aca="false">IF($W161="","",N(INDEX(发票统计!N$4:N$1003,$W161)))</f>
        <v/>
      </c>
      <c r="O161" s="56" t="str">
        <f aca="false">IF($W161="","",N(INDEX(发票统计!O$4:O$1003,$W161)))</f>
        <v/>
      </c>
      <c r="P161" s="56" t="str">
        <f aca="false">IF($W161="","",SUM(M$4:M161)-SUM(N$4:N161)-SUM(O$4:O161))</f>
        <v/>
      </c>
      <c r="Q161" s="56" t="str">
        <f aca="false">IF($W161="","",N(INDEX(发票统计!Q$4:Q$1003,$W161)))</f>
        <v/>
      </c>
      <c r="R161" s="56" t="str">
        <f aca="false">IF($W161="","",N(INDEX(发票统计!R$4:R$1003,$W161)))</f>
        <v/>
      </c>
      <c r="S161" s="56" t="str">
        <f aca="false">IF($W161="","",N(INDEX(发票统计!S$4:S$1003,$W161)))</f>
        <v/>
      </c>
      <c r="T161" s="56" t="str">
        <f aca="false">IF($W161="","",SUM(Q$4:Q161)-SUM(R$4:R161)-SUM(S$4:S161))</f>
        <v/>
      </c>
      <c r="U161" s="56" t="str">
        <f aca="false">IF($W161="","",INDEX(发票统计!U$4:U$1003,$W161)&amp;"")</f>
        <v/>
      </c>
      <c r="W161" s="1" t="str">
        <f aca="false">IF($V$3="","",IFERROR(MATCH($V$3&amp;"#"&amp;ROWS(W$4:W161),发票统计!$W$4:$W$1003,0),""))</f>
        <v/>
      </c>
    </row>
    <row r="162" customFormat="false" ht="16.5" hidden="false" customHeight="false" outlineLevel="0" collapsed="false">
      <c r="A162" s="3" t="str">
        <f aca="false">IF($W162="","",INDEX(发票统计!A$4:A$1003,$W162)&amp;"")</f>
        <v/>
      </c>
      <c r="B162" s="3" t="str">
        <f aca="false">IF($W162="","",INDEX(发票统计!B$4:B$1003,$W162)&amp;"")</f>
        <v/>
      </c>
      <c r="C162" s="3" t="str">
        <f aca="false">IF($W162="","",INDEX(发票统计!C$4:C$1003,$W162)&amp;"")</f>
        <v/>
      </c>
      <c r="D162" s="3" t="str">
        <f aca="false">IF($W162="","",INDEX(发票统计!D$4:D$1003,$W162)&amp;"")</f>
        <v/>
      </c>
      <c r="E162" s="67" t="str">
        <f aca="false">IF($W162="","",INDEX(发票统计!E$4:E$1003,$W162)&amp;"")</f>
        <v/>
      </c>
      <c r="F162" s="68" t="str">
        <f aca="false">IF($W162="","",INDEX(发票统计!F$4:F$1003,$W162)&amp;"")</f>
        <v/>
      </c>
      <c r="G162" s="68" t="str">
        <f aca="false">IF($W162="","",IF(INDEX(发票统计!G$4:G$1003,$W162)="","",INDEX(发票统计!G$4:G$1003,$W162)))</f>
        <v/>
      </c>
      <c r="H162" s="56" t="str">
        <f aca="false">IF($W162="","",N(INDEX(发票统计!H$4:H$1003,$W162)))</f>
        <v/>
      </c>
      <c r="I162" s="56" t="str">
        <f aca="false">IF($W162="","",N(INDEX(发票统计!I$4:I$1003,$W162)))</f>
        <v/>
      </c>
      <c r="J162" s="56" t="str">
        <f aca="false">IF($W162="","",N(INDEX(发票统计!J$4:J$1003,$W162)))</f>
        <v/>
      </c>
      <c r="K162" s="56" t="str">
        <f aca="false">IF($W162="","",N(INDEX(发票统计!K$4:K$1003,$W162)))</f>
        <v/>
      </c>
      <c r="L162" s="56" t="str">
        <f aca="false">IF($W162="","",SUM(J$4:J162)-SUM(K$4:K162))</f>
        <v/>
      </c>
      <c r="M162" s="56" t="str">
        <f aca="false">IF($W162="","",N(INDEX(发票统计!M$4:M$1003,$W162)))</f>
        <v/>
      </c>
      <c r="N162" s="56" t="str">
        <f aca="false">IF($W162="","",N(INDEX(发票统计!N$4:N$1003,$W162)))</f>
        <v/>
      </c>
      <c r="O162" s="56" t="str">
        <f aca="false">IF($W162="","",N(INDEX(发票统计!O$4:O$1003,$W162)))</f>
        <v/>
      </c>
      <c r="P162" s="56" t="str">
        <f aca="false">IF($W162="","",SUM(M$4:M162)-SUM(N$4:N162)-SUM(O$4:O162))</f>
        <v/>
      </c>
      <c r="Q162" s="56" t="str">
        <f aca="false">IF($W162="","",N(INDEX(发票统计!Q$4:Q$1003,$W162)))</f>
        <v/>
      </c>
      <c r="R162" s="56" t="str">
        <f aca="false">IF($W162="","",N(INDEX(发票统计!R$4:R$1003,$W162)))</f>
        <v/>
      </c>
      <c r="S162" s="56" t="str">
        <f aca="false">IF($W162="","",N(INDEX(发票统计!S$4:S$1003,$W162)))</f>
        <v/>
      </c>
      <c r="T162" s="56" t="str">
        <f aca="false">IF($W162="","",SUM(Q$4:Q162)-SUM(R$4:R162)-SUM(S$4:S162))</f>
        <v/>
      </c>
      <c r="U162" s="56" t="str">
        <f aca="false">IF($W162="","",INDEX(发票统计!U$4:U$1003,$W162)&amp;"")</f>
        <v/>
      </c>
      <c r="W162" s="1" t="str">
        <f aca="false">IF($V$3="","",IFERROR(MATCH($V$3&amp;"#"&amp;ROWS(W$4:W162),发票统计!$W$4:$W$1003,0),""))</f>
        <v/>
      </c>
    </row>
    <row r="163" customFormat="false" ht="16.5" hidden="false" customHeight="false" outlineLevel="0" collapsed="false">
      <c r="A163" s="3" t="str">
        <f aca="false">IF($W163="","",INDEX(发票统计!A$4:A$1003,$W163)&amp;"")</f>
        <v/>
      </c>
      <c r="B163" s="3" t="str">
        <f aca="false">IF($W163="","",INDEX(发票统计!B$4:B$1003,$W163)&amp;"")</f>
        <v/>
      </c>
      <c r="C163" s="3" t="str">
        <f aca="false">IF($W163="","",INDEX(发票统计!C$4:C$1003,$W163)&amp;"")</f>
        <v/>
      </c>
      <c r="D163" s="3" t="str">
        <f aca="false">IF($W163="","",INDEX(发票统计!D$4:D$1003,$W163)&amp;"")</f>
        <v/>
      </c>
      <c r="E163" s="67" t="str">
        <f aca="false">IF($W163="","",INDEX(发票统计!E$4:E$1003,$W163)&amp;"")</f>
        <v/>
      </c>
      <c r="F163" s="68" t="str">
        <f aca="false">IF($W163="","",INDEX(发票统计!F$4:F$1003,$W163)&amp;"")</f>
        <v/>
      </c>
      <c r="G163" s="68" t="str">
        <f aca="false">IF($W163="","",IF(INDEX(发票统计!G$4:G$1003,$W163)="","",INDEX(发票统计!G$4:G$1003,$W163)))</f>
        <v/>
      </c>
      <c r="H163" s="56" t="str">
        <f aca="false">IF($W163="","",N(INDEX(发票统计!H$4:H$1003,$W163)))</f>
        <v/>
      </c>
      <c r="I163" s="56" t="str">
        <f aca="false">IF($W163="","",N(INDEX(发票统计!I$4:I$1003,$W163)))</f>
        <v/>
      </c>
      <c r="J163" s="56" t="str">
        <f aca="false">IF($W163="","",N(INDEX(发票统计!J$4:J$1003,$W163)))</f>
        <v/>
      </c>
      <c r="K163" s="56" t="str">
        <f aca="false">IF($W163="","",N(INDEX(发票统计!K$4:K$1003,$W163)))</f>
        <v/>
      </c>
      <c r="L163" s="56" t="str">
        <f aca="false">IF($W163="","",SUM(J$4:J163)-SUM(K$4:K163))</f>
        <v/>
      </c>
      <c r="M163" s="56" t="str">
        <f aca="false">IF($W163="","",N(INDEX(发票统计!M$4:M$1003,$W163)))</f>
        <v/>
      </c>
      <c r="N163" s="56" t="str">
        <f aca="false">IF($W163="","",N(INDEX(发票统计!N$4:N$1003,$W163)))</f>
        <v/>
      </c>
      <c r="O163" s="56" t="str">
        <f aca="false">IF($W163="","",N(INDEX(发票统计!O$4:O$1003,$W163)))</f>
        <v/>
      </c>
      <c r="P163" s="56" t="str">
        <f aca="false">IF($W163="","",SUM(M$4:M163)-SUM(N$4:N163)-SUM(O$4:O163))</f>
        <v/>
      </c>
      <c r="Q163" s="56" t="str">
        <f aca="false">IF($W163="","",N(INDEX(发票统计!Q$4:Q$1003,$W163)))</f>
        <v/>
      </c>
      <c r="R163" s="56" t="str">
        <f aca="false">IF($W163="","",N(INDEX(发票统计!R$4:R$1003,$W163)))</f>
        <v/>
      </c>
      <c r="S163" s="56" t="str">
        <f aca="false">IF($W163="","",N(INDEX(发票统计!S$4:S$1003,$W163)))</f>
        <v/>
      </c>
      <c r="T163" s="56" t="str">
        <f aca="false">IF($W163="","",SUM(Q$4:Q163)-SUM(R$4:R163)-SUM(S$4:S163))</f>
        <v/>
      </c>
      <c r="U163" s="56" t="str">
        <f aca="false">IF($W163="","",INDEX(发票统计!U$4:U$1003,$W163)&amp;"")</f>
        <v/>
      </c>
      <c r="W163" s="1" t="str">
        <f aca="false">IF($V$3="","",IFERROR(MATCH($V$3&amp;"#"&amp;ROWS(W$4:W163),发票统计!$W$4:$W$1003,0),""))</f>
        <v/>
      </c>
    </row>
    <row r="164" customFormat="false" ht="16.5" hidden="false" customHeight="false" outlineLevel="0" collapsed="false">
      <c r="A164" s="3" t="str">
        <f aca="false">IF($W164="","",INDEX(发票统计!A$4:A$1003,$W164)&amp;"")</f>
        <v/>
      </c>
      <c r="B164" s="3" t="str">
        <f aca="false">IF($W164="","",INDEX(发票统计!B$4:B$1003,$W164)&amp;"")</f>
        <v/>
      </c>
      <c r="C164" s="3" t="str">
        <f aca="false">IF($W164="","",INDEX(发票统计!C$4:C$1003,$W164)&amp;"")</f>
        <v/>
      </c>
      <c r="D164" s="3" t="str">
        <f aca="false">IF($W164="","",INDEX(发票统计!D$4:D$1003,$W164)&amp;"")</f>
        <v/>
      </c>
      <c r="E164" s="67" t="str">
        <f aca="false">IF($W164="","",INDEX(发票统计!E$4:E$1003,$W164)&amp;"")</f>
        <v/>
      </c>
      <c r="F164" s="68" t="str">
        <f aca="false">IF($W164="","",INDEX(发票统计!F$4:F$1003,$W164)&amp;"")</f>
        <v/>
      </c>
      <c r="G164" s="68" t="str">
        <f aca="false">IF($W164="","",IF(INDEX(发票统计!G$4:G$1003,$W164)="","",INDEX(发票统计!G$4:G$1003,$W164)))</f>
        <v/>
      </c>
      <c r="H164" s="56" t="str">
        <f aca="false">IF($W164="","",N(INDEX(发票统计!H$4:H$1003,$W164)))</f>
        <v/>
      </c>
      <c r="I164" s="56" t="str">
        <f aca="false">IF($W164="","",N(INDEX(发票统计!I$4:I$1003,$W164)))</f>
        <v/>
      </c>
      <c r="J164" s="56" t="str">
        <f aca="false">IF($W164="","",N(INDEX(发票统计!J$4:J$1003,$W164)))</f>
        <v/>
      </c>
      <c r="K164" s="56" t="str">
        <f aca="false">IF($W164="","",N(INDEX(发票统计!K$4:K$1003,$W164)))</f>
        <v/>
      </c>
      <c r="L164" s="56" t="str">
        <f aca="false">IF($W164="","",SUM(J$4:J164)-SUM(K$4:K164))</f>
        <v/>
      </c>
      <c r="M164" s="56" t="str">
        <f aca="false">IF($W164="","",N(INDEX(发票统计!M$4:M$1003,$W164)))</f>
        <v/>
      </c>
      <c r="N164" s="56" t="str">
        <f aca="false">IF($W164="","",N(INDEX(发票统计!N$4:N$1003,$W164)))</f>
        <v/>
      </c>
      <c r="O164" s="56" t="str">
        <f aca="false">IF($W164="","",N(INDEX(发票统计!O$4:O$1003,$W164)))</f>
        <v/>
      </c>
      <c r="P164" s="56" t="str">
        <f aca="false">IF($W164="","",SUM(M$4:M164)-SUM(N$4:N164)-SUM(O$4:O164))</f>
        <v/>
      </c>
      <c r="Q164" s="56" t="str">
        <f aca="false">IF($W164="","",N(INDEX(发票统计!Q$4:Q$1003,$W164)))</f>
        <v/>
      </c>
      <c r="R164" s="56" t="str">
        <f aca="false">IF($W164="","",N(INDEX(发票统计!R$4:R$1003,$W164)))</f>
        <v/>
      </c>
      <c r="S164" s="56" t="str">
        <f aca="false">IF($W164="","",N(INDEX(发票统计!S$4:S$1003,$W164)))</f>
        <v/>
      </c>
      <c r="T164" s="56" t="str">
        <f aca="false">IF($W164="","",SUM(Q$4:Q164)-SUM(R$4:R164)-SUM(S$4:S164))</f>
        <v/>
      </c>
      <c r="U164" s="56" t="str">
        <f aca="false">IF($W164="","",INDEX(发票统计!U$4:U$1003,$W164)&amp;"")</f>
        <v/>
      </c>
      <c r="W164" s="1" t="str">
        <f aca="false">IF($V$3="","",IFERROR(MATCH($V$3&amp;"#"&amp;ROWS(W$4:W164),发票统计!$W$4:$W$1003,0),""))</f>
        <v/>
      </c>
    </row>
    <row r="165" customFormat="false" ht="16.5" hidden="false" customHeight="false" outlineLevel="0" collapsed="false">
      <c r="A165" s="3" t="str">
        <f aca="false">IF($W165="","",INDEX(发票统计!A$4:A$1003,$W165)&amp;"")</f>
        <v/>
      </c>
      <c r="B165" s="3" t="str">
        <f aca="false">IF($W165="","",INDEX(发票统计!B$4:B$1003,$W165)&amp;"")</f>
        <v/>
      </c>
      <c r="C165" s="3" t="str">
        <f aca="false">IF($W165="","",INDEX(发票统计!C$4:C$1003,$W165)&amp;"")</f>
        <v/>
      </c>
      <c r="D165" s="3" t="str">
        <f aca="false">IF($W165="","",INDEX(发票统计!D$4:D$1003,$W165)&amp;"")</f>
        <v/>
      </c>
      <c r="E165" s="67" t="str">
        <f aca="false">IF($W165="","",INDEX(发票统计!E$4:E$1003,$W165)&amp;"")</f>
        <v/>
      </c>
      <c r="F165" s="68" t="str">
        <f aca="false">IF($W165="","",INDEX(发票统计!F$4:F$1003,$W165)&amp;"")</f>
        <v/>
      </c>
      <c r="G165" s="68" t="str">
        <f aca="false">IF($W165="","",IF(INDEX(发票统计!G$4:G$1003,$W165)="","",INDEX(发票统计!G$4:G$1003,$W165)))</f>
        <v/>
      </c>
      <c r="H165" s="56" t="str">
        <f aca="false">IF($W165="","",N(INDEX(发票统计!H$4:H$1003,$W165)))</f>
        <v/>
      </c>
      <c r="I165" s="56" t="str">
        <f aca="false">IF($W165="","",N(INDEX(发票统计!I$4:I$1003,$W165)))</f>
        <v/>
      </c>
      <c r="J165" s="56" t="str">
        <f aca="false">IF($W165="","",N(INDEX(发票统计!J$4:J$1003,$W165)))</f>
        <v/>
      </c>
      <c r="K165" s="56" t="str">
        <f aca="false">IF($W165="","",N(INDEX(发票统计!K$4:K$1003,$W165)))</f>
        <v/>
      </c>
      <c r="L165" s="56" t="str">
        <f aca="false">IF($W165="","",SUM(J$4:J165)-SUM(K$4:K165))</f>
        <v/>
      </c>
      <c r="M165" s="56" t="str">
        <f aca="false">IF($W165="","",N(INDEX(发票统计!M$4:M$1003,$W165)))</f>
        <v/>
      </c>
      <c r="N165" s="56" t="str">
        <f aca="false">IF($W165="","",N(INDEX(发票统计!N$4:N$1003,$W165)))</f>
        <v/>
      </c>
      <c r="O165" s="56" t="str">
        <f aca="false">IF($W165="","",N(INDEX(发票统计!O$4:O$1003,$W165)))</f>
        <v/>
      </c>
      <c r="P165" s="56" t="str">
        <f aca="false">IF($W165="","",SUM(M$4:M165)-SUM(N$4:N165)-SUM(O$4:O165))</f>
        <v/>
      </c>
      <c r="Q165" s="56" t="str">
        <f aca="false">IF($W165="","",N(INDEX(发票统计!Q$4:Q$1003,$W165)))</f>
        <v/>
      </c>
      <c r="R165" s="56" t="str">
        <f aca="false">IF($W165="","",N(INDEX(发票统计!R$4:R$1003,$W165)))</f>
        <v/>
      </c>
      <c r="S165" s="56" t="str">
        <f aca="false">IF($W165="","",N(INDEX(发票统计!S$4:S$1003,$W165)))</f>
        <v/>
      </c>
      <c r="T165" s="56" t="str">
        <f aca="false">IF($W165="","",SUM(Q$4:Q165)-SUM(R$4:R165)-SUM(S$4:S165))</f>
        <v/>
      </c>
      <c r="U165" s="56" t="str">
        <f aca="false">IF($W165="","",INDEX(发票统计!U$4:U$1003,$W165)&amp;"")</f>
        <v/>
      </c>
      <c r="W165" s="1" t="str">
        <f aca="false">IF($V$3="","",IFERROR(MATCH($V$3&amp;"#"&amp;ROWS(W$4:W165),发票统计!$W$4:$W$1003,0),""))</f>
        <v/>
      </c>
    </row>
    <row r="166" customFormat="false" ht="16.5" hidden="false" customHeight="false" outlineLevel="0" collapsed="false">
      <c r="A166" s="3" t="str">
        <f aca="false">IF($W166="","",INDEX(发票统计!A$4:A$1003,$W166)&amp;"")</f>
        <v/>
      </c>
      <c r="B166" s="3" t="str">
        <f aca="false">IF($W166="","",INDEX(发票统计!B$4:B$1003,$W166)&amp;"")</f>
        <v/>
      </c>
      <c r="C166" s="3" t="str">
        <f aca="false">IF($W166="","",INDEX(发票统计!C$4:C$1003,$W166)&amp;"")</f>
        <v/>
      </c>
      <c r="D166" s="3" t="str">
        <f aca="false">IF($W166="","",INDEX(发票统计!D$4:D$1003,$W166)&amp;"")</f>
        <v/>
      </c>
      <c r="E166" s="67" t="str">
        <f aca="false">IF($W166="","",INDEX(发票统计!E$4:E$1003,$W166)&amp;"")</f>
        <v/>
      </c>
      <c r="F166" s="68" t="str">
        <f aca="false">IF($W166="","",INDEX(发票统计!F$4:F$1003,$W166)&amp;"")</f>
        <v/>
      </c>
      <c r="G166" s="68" t="str">
        <f aca="false">IF($W166="","",IF(INDEX(发票统计!G$4:G$1003,$W166)="","",INDEX(发票统计!G$4:G$1003,$W166)))</f>
        <v/>
      </c>
      <c r="H166" s="56" t="str">
        <f aca="false">IF($W166="","",N(INDEX(发票统计!H$4:H$1003,$W166)))</f>
        <v/>
      </c>
      <c r="I166" s="56" t="str">
        <f aca="false">IF($W166="","",N(INDEX(发票统计!I$4:I$1003,$W166)))</f>
        <v/>
      </c>
      <c r="J166" s="56" t="str">
        <f aca="false">IF($W166="","",N(INDEX(发票统计!J$4:J$1003,$W166)))</f>
        <v/>
      </c>
      <c r="K166" s="56" t="str">
        <f aca="false">IF($W166="","",N(INDEX(发票统计!K$4:K$1003,$W166)))</f>
        <v/>
      </c>
      <c r="L166" s="56" t="str">
        <f aca="false">IF($W166="","",SUM(J$4:J166)-SUM(K$4:K166))</f>
        <v/>
      </c>
      <c r="M166" s="56" t="str">
        <f aca="false">IF($W166="","",N(INDEX(发票统计!M$4:M$1003,$W166)))</f>
        <v/>
      </c>
      <c r="N166" s="56" t="str">
        <f aca="false">IF($W166="","",N(INDEX(发票统计!N$4:N$1003,$W166)))</f>
        <v/>
      </c>
      <c r="O166" s="56" t="str">
        <f aca="false">IF($W166="","",N(INDEX(发票统计!O$4:O$1003,$W166)))</f>
        <v/>
      </c>
      <c r="P166" s="56" t="str">
        <f aca="false">IF($W166="","",SUM(M$4:M166)-SUM(N$4:N166)-SUM(O$4:O166))</f>
        <v/>
      </c>
      <c r="Q166" s="56" t="str">
        <f aca="false">IF($W166="","",N(INDEX(发票统计!Q$4:Q$1003,$W166)))</f>
        <v/>
      </c>
      <c r="R166" s="56" t="str">
        <f aca="false">IF($W166="","",N(INDEX(发票统计!R$4:R$1003,$W166)))</f>
        <v/>
      </c>
      <c r="S166" s="56" t="str">
        <f aca="false">IF($W166="","",N(INDEX(发票统计!S$4:S$1003,$W166)))</f>
        <v/>
      </c>
      <c r="T166" s="56" t="str">
        <f aca="false">IF($W166="","",SUM(Q$4:Q166)-SUM(R$4:R166)-SUM(S$4:S166))</f>
        <v/>
      </c>
      <c r="U166" s="56" t="str">
        <f aca="false">IF($W166="","",INDEX(发票统计!U$4:U$1003,$W166)&amp;"")</f>
        <v/>
      </c>
      <c r="W166" s="1" t="str">
        <f aca="false">IF($V$3="","",IFERROR(MATCH($V$3&amp;"#"&amp;ROWS(W$4:W166),发票统计!$W$4:$W$1003,0),""))</f>
        <v/>
      </c>
    </row>
    <row r="167" customFormat="false" ht="16.5" hidden="false" customHeight="false" outlineLevel="0" collapsed="false">
      <c r="A167" s="3" t="str">
        <f aca="false">IF($W167="","",INDEX(发票统计!A$4:A$1003,$W167)&amp;"")</f>
        <v/>
      </c>
      <c r="B167" s="3" t="str">
        <f aca="false">IF($W167="","",INDEX(发票统计!B$4:B$1003,$W167)&amp;"")</f>
        <v/>
      </c>
      <c r="C167" s="3" t="str">
        <f aca="false">IF($W167="","",INDEX(发票统计!C$4:C$1003,$W167)&amp;"")</f>
        <v/>
      </c>
      <c r="D167" s="3" t="str">
        <f aca="false">IF($W167="","",INDEX(发票统计!D$4:D$1003,$W167)&amp;"")</f>
        <v/>
      </c>
      <c r="E167" s="67" t="str">
        <f aca="false">IF($W167="","",INDEX(发票统计!E$4:E$1003,$W167)&amp;"")</f>
        <v/>
      </c>
      <c r="F167" s="68" t="str">
        <f aca="false">IF($W167="","",INDEX(发票统计!F$4:F$1003,$W167)&amp;"")</f>
        <v/>
      </c>
      <c r="G167" s="68" t="str">
        <f aca="false">IF($W167="","",IF(INDEX(发票统计!G$4:G$1003,$W167)="","",INDEX(发票统计!G$4:G$1003,$W167)))</f>
        <v/>
      </c>
      <c r="H167" s="56" t="str">
        <f aca="false">IF($W167="","",N(INDEX(发票统计!H$4:H$1003,$W167)))</f>
        <v/>
      </c>
      <c r="I167" s="56" t="str">
        <f aca="false">IF($W167="","",N(INDEX(发票统计!I$4:I$1003,$W167)))</f>
        <v/>
      </c>
      <c r="J167" s="56" t="str">
        <f aca="false">IF($W167="","",N(INDEX(发票统计!J$4:J$1003,$W167)))</f>
        <v/>
      </c>
      <c r="K167" s="56" t="str">
        <f aca="false">IF($W167="","",N(INDEX(发票统计!K$4:K$1003,$W167)))</f>
        <v/>
      </c>
      <c r="L167" s="56" t="str">
        <f aca="false">IF($W167="","",SUM(J$4:J167)-SUM(K$4:K167))</f>
        <v/>
      </c>
      <c r="M167" s="56" t="str">
        <f aca="false">IF($W167="","",N(INDEX(发票统计!M$4:M$1003,$W167)))</f>
        <v/>
      </c>
      <c r="N167" s="56" t="str">
        <f aca="false">IF($W167="","",N(INDEX(发票统计!N$4:N$1003,$W167)))</f>
        <v/>
      </c>
      <c r="O167" s="56" t="str">
        <f aca="false">IF($W167="","",N(INDEX(发票统计!O$4:O$1003,$W167)))</f>
        <v/>
      </c>
      <c r="P167" s="56" t="str">
        <f aca="false">IF($W167="","",SUM(M$4:M167)-SUM(N$4:N167)-SUM(O$4:O167))</f>
        <v/>
      </c>
      <c r="Q167" s="56" t="str">
        <f aca="false">IF($W167="","",N(INDEX(发票统计!Q$4:Q$1003,$W167)))</f>
        <v/>
      </c>
      <c r="R167" s="56" t="str">
        <f aca="false">IF($W167="","",N(INDEX(发票统计!R$4:R$1003,$W167)))</f>
        <v/>
      </c>
      <c r="S167" s="56" t="str">
        <f aca="false">IF($W167="","",N(INDEX(发票统计!S$4:S$1003,$W167)))</f>
        <v/>
      </c>
      <c r="T167" s="56" t="str">
        <f aca="false">IF($W167="","",SUM(Q$4:Q167)-SUM(R$4:R167)-SUM(S$4:S167))</f>
        <v/>
      </c>
      <c r="U167" s="56" t="str">
        <f aca="false">IF($W167="","",INDEX(发票统计!U$4:U$1003,$W167)&amp;"")</f>
        <v/>
      </c>
      <c r="W167" s="1" t="str">
        <f aca="false">IF($V$3="","",IFERROR(MATCH($V$3&amp;"#"&amp;ROWS(W$4:W167),发票统计!$W$4:$W$1003,0),""))</f>
        <v/>
      </c>
    </row>
    <row r="168" customFormat="false" ht="16.5" hidden="false" customHeight="false" outlineLevel="0" collapsed="false">
      <c r="A168" s="3" t="str">
        <f aca="false">IF($W168="","",INDEX(发票统计!A$4:A$1003,$W168)&amp;"")</f>
        <v/>
      </c>
      <c r="B168" s="3" t="str">
        <f aca="false">IF($W168="","",INDEX(发票统计!B$4:B$1003,$W168)&amp;"")</f>
        <v/>
      </c>
      <c r="C168" s="3" t="str">
        <f aca="false">IF($W168="","",INDEX(发票统计!C$4:C$1003,$W168)&amp;"")</f>
        <v/>
      </c>
      <c r="D168" s="3" t="str">
        <f aca="false">IF($W168="","",INDEX(发票统计!D$4:D$1003,$W168)&amp;"")</f>
        <v/>
      </c>
      <c r="E168" s="67" t="str">
        <f aca="false">IF($W168="","",INDEX(发票统计!E$4:E$1003,$W168)&amp;"")</f>
        <v/>
      </c>
      <c r="F168" s="68" t="str">
        <f aca="false">IF($W168="","",INDEX(发票统计!F$4:F$1003,$W168)&amp;"")</f>
        <v/>
      </c>
      <c r="G168" s="68" t="str">
        <f aca="false">IF($W168="","",IF(INDEX(发票统计!G$4:G$1003,$W168)="","",INDEX(发票统计!G$4:G$1003,$W168)))</f>
        <v/>
      </c>
      <c r="H168" s="56" t="str">
        <f aca="false">IF($W168="","",N(INDEX(发票统计!H$4:H$1003,$W168)))</f>
        <v/>
      </c>
      <c r="I168" s="56" t="str">
        <f aca="false">IF($W168="","",N(INDEX(发票统计!I$4:I$1003,$W168)))</f>
        <v/>
      </c>
      <c r="J168" s="56" t="str">
        <f aca="false">IF($W168="","",N(INDEX(发票统计!J$4:J$1003,$W168)))</f>
        <v/>
      </c>
      <c r="K168" s="56" t="str">
        <f aca="false">IF($W168="","",N(INDEX(发票统计!K$4:K$1003,$W168)))</f>
        <v/>
      </c>
      <c r="L168" s="56" t="str">
        <f aca="false">IF($W168="","",SUM(J$4:J168)-SUM(K$4:K168))</f>
        <v/>
      </c>
      <c r="M168" s="56" t="str">
        <f aca="false">IF($W168="","",N(INDEX(发票统计!M$4:M$1003,$W168)))</f>
        <v/>
      </c>
      <c r="N168" s="56" t="str">
        <f aca="false">IF($W168="","",N(INDEX(发票统计!N$4:N$1003,$W168)))</f>
        <v/>
      </c>
      <c r="O168" s="56" t="str">
        <f aca="false">IF($W168="","",N(INDEX(发票统计!O$4:O$1003,$W168)))</f>
        <v/>
      </c>
      <c r="P168" s="56" t="str">
        <f aca="false">IF($W168="","",SUM(M$4:M168)-SUM(N$4:N168)-SUM(O$4:O168))</f>
        <v/>
      </c>
      <c r="Q168" s="56" t="str">
        <f aca="false">IF($W168="","",N(INDEX(发票统计!Q$4:Q$1003,$W168)))</f>
        <v/>
      </c>
      <c r="R168" s="56" t="str">
        <f aca="false">IF($W168="","",N(INDEX(发票统计!R$4:R$1003,$W168)))</f>
        <v/>
      </c>
      <c r="S168" s="56" t="str">
        <f aca="false">IF($W168="","",N(INDEX(发票统计!S$4:S$1003,$W168)))</f>
        <v/>
      </c>
      <c r="T168" s="56" t="str">
        <f aca="false">IF($W168="","",SUM(Q$4:Q168)-SUM(R$4:R168)-SUM(S$4:S168))</f>
        <v/>
      </c>
      <c r="U168" s="56" t="str">
        <f aca="false">IF($W168="","",INDEX(发票统计!U$4:U$1003,$W168)&amp;"")</f>
        <v/>
      </c>
      <c r="W168" s="1" t="str">
        <f aca="false">IF($V$3="","",IFERROR(MATCH($V$3&amp;"#"&amp;ROWS(W$4:W168),发票统计!$W$4:$W$1003,0),""))</f>
        <v/>
      </c>
    </row>
    <row r="169" customFormat="false" ht="16.5" hidden="false" customHeight="false" outlineLevel="0" collapsed="false">
      <c r="A169" s="3" t="str">
        <f aca="false">IF($W169="","",INDEX(发票统计!A$4:A$1003,$W169)&amp;"")</f>
        <v/>
      </c>
      <c r="B169" s="3" t="str">
        <f aca="false">IF($W169="","",INDEX(发票统计!B$4:B$1003,$W169)&amp;"")</f>
        <v/>
      </c>
      <c r="C169" s="3" t="str">
        <f aca="false">IF($W169="","",INDEX(发票统计!C$4:C$1003,$W169)&amp;"")</f>
        <v/>
      </c>
      <c r="D169" s="3" t="str">
        <f aca="false">IF($W169="","",INDEX(发票统计!D$4:D$1003,$W169)&amp;"")</f>
        <v/>
      </c>
      <c r="E169" s="67" t="str">
        <f aca="false">IF($W169="","",INDEX(发票统计!E$4:E$1003,$W169)&amp;"")</f>
        <v/>
      </c>
      <c r="F169" s="68" t="str">
        <f aca="false">IF($W169="","",INDEX(发票统计!F$4:F$1003,$W169)&amp;"")</f>
        <v/>
      </c>
      <c r="G169" s="68" t="str">
        <f aca="false">IF($W169="","",IF(INDEX(发票统计!G$4:G$1003,$W169)="","",INDEX(发票统计!G$4:G$1003,$W169)))</f>
        <v/>
      </c>
      <c r="H169" s="56" t="str">
        <f aca="false">IF($W169="","",N(INDEX(发票统计!H$4:H$1003,$W169)))</f>
        <v/>
      </c>
      <c r="I169" s="56" t="str">
        <f aca="false">IF($W169="","",N(INDEX(发票统计!I$4:I$1003,$W169)))</f>
        <v/>
      </c>
      <c r="J169" s="56" t="str">
        <f aca="false">IF($W169="","",N(INDEX(发票统计!J$4:J$1003,$W169)))</f>
        <v/>
      </c>
      <c r="K169" s="56" t="str">
        <f aca="false">IF($W169="","",N(INDEX(发票统计!K$4:K$1003,$W169)))</f>
        <v/>
      </c>
      <c r="L169" s="56" t="str">
        <f aca="false">IF($W169="","",SUM(J$4:J169)-SUM(K$4:K169))</f>
        <v/>
      </c>
      <c r="M169" s="56" t="str">
        <f aca="false">IF($W169="","",N(INDEX(发票统计!M$4:M$1003,$W169)))</f>
        <v/>
      </c>
      <c r="N169" s="56" t="str">
        <f aca="false">IF($W169="","",N(INDEX(发票统计!N$4:N$1003,$W169)))</f>
        <v/>
      </c>
      <c r="O169" s="56" t="str">
        <f aca="false">IF($W169="","",N(INDEX(发票统计!O$4:O$1003,$W169)))</f>
        <v/>
      </c>
      <c r="P169" s="56" t="str">
        <f aca="false">IF($W169="","",SUM(M$4:M169)-SUM(N$4:N169)-SUM(O$4:O169))</f>
        <v/>
      </c>
      <c r="Q169" s="56" t="str">
        <f aca="false">IF($W169="","",N(INDEX(发票统计!Q$4:Q$1003,$W169)))</f>
        <v/>
      </c>
      <c r="R169" s="56" t="str">
        <f aca="false">IF($W169="","",N(INDEX(发票统计!R$4:R$1003,$W169)))</f>
        <v/>
      </c>
      <c r="S169" s="56" t="str">
        <f aca="false">IF($W169="","",N(INDEX(发票统计!S$4:S$1003,$W169)))</f>
        <v/>
      </c>
      <c r="T169" s="56" t="str">
        <f aca="false">IF($W169="","",SUM(Q$4:Q169)-SUM(R$4:R169)-SUM(S$4:S169))</f>
        <v/>
      </c>
      <c r="U169" s="56" t="str">
        <f aca="false">IF($W169="","",INDEX(发票统计!U$4:U$1003,$W169)&amp;"")</f>
        <v/>
      </c>
      <c r="W169" s="1" t="str">
        <f aca="false">IF($V$3="","",IFERROR(MATCH($V$3&amp;"#"&amp;ROWS(W$4:W169),发票统计!$W$4:$W$1003,0),""))</f>
        <v/>
      </c>
    </row>
    <row r="170" customFormat="false" ht="16.5" hidden="false" customHeight="false" outlineLevel="0" collapsed="false">
      <c r="A170" s="3" t="str">
        <f aca="false">IF($W170="","",INDEX(发票统计!A$4:A$1003,$W170)&amp;"")</f>
        <v/>
      </c>
      <c r="B170" s="3" t="str">
        <f aca="false">IF($W170="","",INDEX(发票统计!B$4:B$1003,$W170)&amp;"")</f>
        <v/>
      </c>
      <c r="C170" s="3" t="str">
        <f aca="false">IF($W170="","",INDEX(发票统计!C$4:C$1003,$W170)&amp;"")</f>
        <v/>
      </c>
      <c r="D170" s="3" t="str">
        <f aca="false">IF($W170="","",INDEX(发票统计!D$4:D$1003,$W170)&amp;"")</f>
        <v/>
      </c>
      <c r="E170" s="67" t="str">
        <f aca="false">IF($W170="","",INDEX(发票统计!E$4:E$1003,$W170)&amp;"")</f>
        <v/>
      </c>
      <c r="F170" s="68" t="str">
        <f aca="false">IF($W170="","",INDEX(发票统计!F$4:F$1003,$W170)&amp;"")</f>
        <v/>
      </c>
      <c r="G170" s="68" t="str">
        <f aca="false">IF($W170="","",IF(INDEX(发票统计!G$4:G$1003,$W170)="","",INDEX(发票统计!G$4:G$1003,$W170)))</f>
        <v/>
      </c>
      <c r="H170" s="56" t="str">
        <f aca="false">IF($W170="","",N(INDEX(发票统计!H$4:H$1003,$W170)))</f>
        <v/>
      </c>
      <c r="I170" s="56" t="str">
        <f aca="false">IF($W170="","",N(INDEX(发票统计!I$4:I$1003,$W170)))</f>
        <v/>
      </c>
      <c r="J170" s="56" t="str">
        <f aca="false">IF($W170="","",N(INDEX(发票统计!J$4:J$1003,$W170)))</f>
        <v/>
      </c>
      <c r="K170" s="56" t="str">
        <f aca="false">IF($W170="","",N(INDEX(发票统计!K$4:K$1003,$W170)))</f>
        <v/>
      </c>
      <c r="L170" s="56" t="str">
        <f aca="false">IF($W170="","",SUM(J$4:J170)-SUM(K$4:K170))</f>
        <v/>
      </c>
      <c r="M170" s="56" t="str">
        <f aca="false">IF($W170="","",N(INDEX(发票统计!M$4:M$1003,$W170)))</f>
        <v/>
      </c>
      <c r="N170" s="56" t="str">
        <f aca="false">IF($W170="","",N(INDEX(发票统计!N$4:N$1003,$W170)))</f>
        <v/>
      </c>
      <c r="O170" s="56" t="str">
        <f aca="false">IF($W170="","",N(INDEX(发票统计!O$4:O$1003,$W170)))</f>
        <v/>
      </c>
      <c r="P170" s="56" t="str">
        <f aca="false">IF($W170="","",SUM(M$4:M170)-SUM(N$4:N170)-SUM(O$4:O170))</f>
        <v/>
      </c>
      <c r="Q170" s="56" t="str">
        <f aca="false">IF($W170="","",N(INDEX(发票统计!Q$4:Q$1003,$W170)))</f>
        <v/>
      </c>
      <c r="R170" s="56" t="str">
        <f aca="false">IF($W170="","",N(INDEX(发票统计!R$4:R$1003,$W170)))</f>
        <v/>
      </c>
      <c r="S170" s="56" t="str">
        <f aca="false">IF($W170="","",N(INDEX(发票统计!S$4:S$1003,$W170)))</f>
        <v/>
      </c>
      <c r="T170" s="56" t="str">
        <f aca="false">IF($W170="","",SUM(Q$4:Q170)-SUM(R$4:R170)-SUM(S$4:S170))</f>
        <v/>
      </c>
      <c r="U170" s="56" t="str">
        <f aca="false">IF($W170="","",INDEX(发票统计!U$4:U$1003,$W170)&amp;"")</f>
        <v/>
      </c>
      <c r="W170" s="1" t="str">
        <f aca="false">IF($V$3="","",IFERROR(MATCH($V$3&amp;"#"&amp;ROWS(W$4:W170),发票统计!$W$4:$W$1003,0),""))</f>
        <v/>
      </c>
    </row>
    <row r="171" customFormat="false" ht="16.5" hidden="false" customHeight="false" outlineLevel="0" collapsed="false">
      <c r="A171" s="3" t="str">
        <f aca="false">IF($W171="","",INDEX(发票统计!A$4:A$1003,$W171)&amp;"")</f>
        <v/>
      </c>
      <c r="B171" s="3" t="str">
        <f aca="false">IF($W171="","",INDEX(发票统计!B$4:B$1003,$W171)&amp;"")</f>
        <v/>
      </c>
      <c r="C171" s="3" t="str">
        <f aca="false">IF($W171="","",INDEX(发票统计!C$4:C$1003,$W171)&amp;"")</f>
        <v/>
      </c>
      <c r="D171" s="3" t="str">
        <f aca="false">IF($W171="","",INDEX(发票统计!D$4:D$1003,$W171)&amp;"")</f>
        <v/>
      </c>
      <c r="E171" s="67" t="str">
        <f aca="false">IF($W171="","",INDEX(发票统计!E$4:E$1003,$W171)&amp;"")</f>
        <v/>
      </c>
      <c r="F171" s="68" t="str">
        <f aca="false">IF($W171="","",INDEX(发票统计!F$4:F$1003,$W171)&amp;"")</f>
        <v/>
      </c>
      <c r="G171" s="68" t="str">
        <f aca="false">IF($W171="","",IF(INDEX(发票统计!G$4:G$1003,$W171)="","",INDEX(发票统计!G$4:G$1003,$W171)))</f>
        <v/>
      </c>
      <c r="H171" s="56" t="str">
        <f aca="false">IF($W171="","",N(INDEX(发票统计!H$4:H$1003,$W171)))</f>
        <v/>
      </c>
      <c r="I171" s="56" t="str">
        <f aca="false">IF($W171="","",N(INDEX(发票统计!I$4:I$1003,$W171)))</f>
        <v/>
      </c>
      <c r="J171" s="56" t="str">
        <f aca="false">IF($W171="","",N(INDEX(发票统计!J$4:J$1003,$W171)))</f>
        <v/>
      </c>
      <c r="K171" s="56" t="str">
        <f aca="false">IF($W171="","",N(INDEX(发票统计!K$4:K$1003,$W171)))</f>
        <v/>
      </c>
      <c r="L171" s="56" t="str">
        <f aca="false">IF($W171="","",SUM(J$4:J171)-SUM(K$4:K171))</f>
        <v/>
      </c>
      <c r="M171" s="56" t="str">
        <f aca="false">IF($W171="","",N(INDEX(发票统计!M$4:M$1003,$W171)))</f>
        <v/>
      </c>
      <c r="N171" s="56" t="str">
        <f aca="false">IF($W171="","",N(INDEX(发票统计!N$4:N$1003,$W171)))</f>
        <v/>
      </c>
      <c r="O171" s="56" t="str">
        <f aca="false">IF($W171="","",N(INDEX(发票统计!O$4:O$1003,$W171)))</f>
        <v/>
      </c>
      <c r="P171" s="56" t="str">
        <f aca="false">IF($W171="","",SUM(M$4:M171)-SUM(N$4:N171)-SUM(O$4:O171))</f>
        <v/>
      </c>
      <c r="Q171" s="56" t="str">
        <f aca="false">IF($W171="","",N(INDEX(发票统计!Q$4:Q$1003,$W171)))</f>
        <v/>
      </c>
      <c r="R171" s="56" t="str">
        <f aca="false">IF($W171="","",N(INDEX(发票统计!R$4:R$1003,$W171)))</f>
        <v/>
      </c>
      <c r="S171" s="56" t="str">
        <f aca="false">IF($W171="","",N(INDEX(发票统计!S$4:S$1003,$W171)))</f>
        <v/>
      </c>
      <c r="T171" s="56" t="str">
        <f aca="false">IF($W171="","",SUM(Q$4:Q171)-SUM(R$4:R171)-SUM(S$4:S171))</f>
        <v/>
      </c>
      <c r="U171" s="56" t="str">
        <f aca="false">IF($W171="","",INDEX(发票统计!U$4:U$1003,$W171)&amp;"")</f>
        <v/>
      </c>
      <c r="W171" s="1" t="str">
        <f aca="false">IF($V$3="","",IFERROR(MATCH($V$3&amp;"#"&amp;ROWS(W$4:W171),发票统计!$W$4:$W$1003,0),""))</f>
        <v/>
      </c>
    </row>
    <row r="172" customFormat="false" ht="16.5" hidden="false" customHeight="false" outlineLevel="0" collapsed="false">
      <c r="A172" s="3" t="str">
        <f aca="false">IF($W172="","",INDEX(发票统计!A$4:A$1003,$W172)&amp;"")</f>
        <v/>
      </c>
      <c r="B172" s="3" t="str">
        <f aca="false">IF($W172="","",INDEX(发票统计!B$4:B$1003,$W172)&amp;"")</f>
        <v/>
      </c>
      <c r="C172" s="3" t="str">
        <f aca="false">IF($W172="","",INDEX(发票统计!C$4:C$1003,$W172)&amp;"")</f>
        <v/>
      </c>
      <c r="D172" s="3" t="str">
        <f aca="false">IF($W172="","",INDEX(发票统计!D$4:D$1003,$W172)&amp;"")</f>
        <v/>
      </c>
      <c r="E172" s="67" t="str">
        <f aca="false">IF($W172="","",INDEX(发票统计!E$4:E$1003,$W172)&amp;"")</f>
        <v/>
      </c>
      <c r="F172" s="68" t="str">
        <f aca="false">IF($W172="","",INDEX(发票统计!F$4:F$1003,$W172)&amp;"")</f>
        <v/>
      </c>
      <c r="G172" s="68" t="str">
        <f aca="false">IF($W172="","",IF(INDEX(发票统计!G$4:G$1003,$W172)="","",INDEX(发票统计!G$4:G$1003,$W172)))</f>
        <v/>
      </c>
      <c r="H172" s="56" t="str">
        <f aca="false">IF($W172="","",N(INDEX(发票统计!H$4:H$1003,$W172)))</f>
        <v/>
      </c>
      <c r="I172" s="56" t="str">
        <f aca="false">IF($W172="","",N(INDEX(发票统计!I$4:I$1003,$W172)))</f>
        <v/>
      </c>
      <c r="J172" s="56" t="str">
        <f aca="false">IF($W172="","",N(INDEX(发票统计!J$4:J$1003,$W172)))</f>
        <v/>
      </c>
      <c r="K172" s="56" t="str">
        <f aca="false">IF($W172="","",N(INDEX(发票统计!K$4:K$1003,$W172)))</f>
        <v/>
      </c>
      <c r="L172" s="56" t="str">
        <f aca="false">IF($W172="","",SUM(J$4:J172)-SUM(K$4:K172))</f>
        <v/>
      </c>
      <c r="M172" s="56" t="str">
        <f aca="false">IF($W172="","",N(INDEX(发票统计!M$4:M$1003,$W172)))</f>
        <v/>
      </c>
      <c r="N172" s="56" t="str">
        <f aca="false">IF($W172="","",N(INDEX(发票统计!N$4:N$1003,$W172)))</f>
        <v/>
      </c>
      <c r="O172" s="56" t="str">
        <f aca="false">IF($W172="","",N(INDEX(发票统计!O$4:O$1003,$W172)))</f>
        <v/>
      </c>
      <c r="P172" s="56" t="str">
        <f aca="false">IF($W172="","",SUM(M$4:M172)-SUM(N$4:N172)-SUM(O$4:O172))</f>
        <v/>
      </c>
      <c r="Q172" s="56" t="str">
        <f aca="false">IF($W172="","",N(INDEX(发票统计!Q$4:Q$1003,$W172)))</f>
        <v/>
      </c>
      <c r="R172" s="56" t="str">
        <f aca="false">IF($W172="","",N(INDEX(发票统计!R$4:R$1003,$W172)))</f>
        <v/>
      </c>
      <c r="S172" s="56" t="str">
        <f aca="false">IF($W172="","",N(INDEX(发票统计!S$4:S$1003,$W172)))</f>
        <v/>
      </c>
      <c r="T172" s="56" t="str">
        <f aca="false">IF($W172="","",SUM(Q$4:Q172)-SUM(R$4:R172)-SUM(S$4:S172))</f>
        <v/>
      </c>
      <c r="U172" s="56" t="str">
        <f aca="false">IF($W172="","",INDEX(发票统计!U$4:U$1003,$W172)&amp;"")</f>
        <v/>
      </c>
      <c r="W172" s="1" t="str">
        <f aca="false">IF($V$3="","",IFERROR(MATCH($V$3&amp;"#"&amp;ROWS(W$4:W172),发票统计!$W$4:$W$1003,0),""))</f>
        <v/>
      </c>
    </row>
    <row r="173" customFormat="false" ht="16.5" hidden="false" customHeight="false" outlineLevel="0" collapsed="false">
      <c r="A173" s="3" t="str">
        <f aca="false">IF($W173="","",INDEX(发票统计!A$4:A$1003,$W173)&amp;"")</f>
        <v/>
      </c>
      <c r="B173" s="3" t="str">
        <f aca="false">IF($W173="","",INDEX(发票统计!B$4:B$1003,$W173)&amp;"")</f>
        <v/>
      </c>
      <c r="C173" s="3" t="str">
        <f aca="false">IF($W173="","",INDEX(发票统计!C$4:C$1003,$W173)&amp;"")</f>
        <v/>
      </c>
      <c r="D173" s="3" t="str">
        <f aca="false">IF($W173="","",INDEX(发票统计!D$4:D$1003,$W173)&amp;"")</f>
        <v/>
      </c>
      <c r="E173" s="67" t="str">
        <f aca="false">IF($W173="","",INDEX(发票统计!E$4:E$1003,$W173)&amp;"")</f>
        <v/>
      </c>
      <c r="F173" s="68" t="str">
        <f aca="false">IF($W173="","",INDEX(发票统计!F$4:F$1003,$W173)&amp;"")</f>
        <v/>
      </c>
      <c r="G173" s="68" t="str">
        <f aca="false">IF($W173="","",IF(INDEX(发票统计!G$4:G$1003,$W173)="","",INDEX(发票统计!G$4:G$1003,$W173)))</f>
        <v/>
      </c>
      <c r="H173" s="56" t="str">
        <f aca="false">IF($W173="","",N(INDEX(发票统计!H$4:H$1003,$W173)))</f>
        <v/>
      </c>
      <c r="I173" s="56" t="str">
        <f aca="false">IF($W173="","",N(INDEX(发票统计!I$4:I$1003,$W173)))</f>
        <v/>
      </c>
      <c r="J173" s="56" t="str">
        <f aca="false">IF($W173="","",N(INDEX(发票统计!J$4:J$1003,$W173)))</f>
        <v/>
      </c>
      <c r="K173" s="56" t="str">
        <f aca="false">IF($W173="","",N(INDEX(发票统计!K$4:K$1003,$W173)))</f>
        <v/>
      </c>
      <c r="L173" s="56" t="str">
        <f aca="false">IF($W173="","",SUM(J$4:J173)-SUM(K$4:K173))</f>
        <v/>
      </c>
      <c r="M173" s="56" t="str">
        <f aca="false">IF($W173="","",N(INDEX(发票统计!M$4:M$1003,$W173)))</f>
        <v/>
      </c>
      <c r="N173" s="56" t="str">
        <f aca="false">IF($W173="","",N(INDEX(发票统计!N$4:N$1003,$W173)))</f>
        <v/>
      </c>
      <c r="O173" s="56" t="str">
        <f aca="false">IF($W173="","",N(INDEX(发票统计!O$4:O$1003,$W173)))</f>
        <v/>
      </c>
      <c r="P173" s="56" t="str">
        <f aca="false">IF($W173="","",SUM(M$4:M173)-SUM(N$4:N173)-SUM(O$4:O173))</f>
        <v/>
      </c>
      <c r="Q173" s="56" t="str">
        <f aca="false">IF($W173="","",N(INDEX(发票统计!Q$4:Q$1003,$W173)))</f>
        <v/>
      </c>
      <c r="R173" s="56" t="str">
        <f aca="false">IF($W173="","",N(INDEX(发票统计!R$4:R$1003,$W173)))</f>
        <v/>
      </c>
      <c r="S173" s="56" t="str">
        <f aca="false">IF($W173="","",N(INDEX(发票统计!S$4:S$1003,$W173)))</f>
        <v/>
      </c>
      <c r="T173" s="56" t="str">
        <f aca="false">IF($W173="","",SUM(Q$4:Q173)-SUM(R$4:R173)-SUM(S$4:S173))</f>
        <v/>
      </c>
      <c r="U173" s="56" t="str">
        <f aca="false">IF($W173="","",INDEX(发票统计!U$4:U$1003,$W173)&amp;"")</f>
        <v/>
      </c>
      <c r="W173" s="1" t="str">
        <f aca="false">IF($V$3="","",IFERROR(MATCH($V$3&amp;"#"&amp;ROWS(W$4:W173),发票统计!$W$4:$W$1003,0),""))</f>
        <v/>
      </c>
    </row>
    <row r="174" customFormat="false" ht="16.5" hidden="false" customHeight="false" outlineLevel="0" collapsed="false">
      <c r="A174" s="3" t="str">
        <f aca="false">IF($W174="","",INDEX(发票统计!A$4:A$1003,$W174)&amp;"")</f>
        <v/>
      </c>
      <c r="B174" s="3" t="str">
        <f aca="false">IF($W174="","",INDEX(发票统计!B$4:B$1003,$W174)&amp;"")</f>
        <v/>
      </c>
      <c r="C174" s="3" t="str">
        <f aca="false">IF($W174="","",INDEX(发票统计!C$4:C$1003,$W174)&amp;"")</f>
        <v/>
      </c>
      <c r="D174" s="3" t="str">
        <f aca="false">IF($W174="","",INDEX(发票统计!D$4:D$1003,$W174)&amp;"")</f>
        <v/>
      </c>
      <c r="E174" s="67" t="str">
        <f aca="false">IF($W174="","",INDEX(发票统计!E$4:E$1003,$W174)&amp;"")</f>
        <v/>
      </c>
      <c r="F174" s="68" t="str">
        <f aca="false">IF($W174="","",INDEX(发票统计!F$4:F$1003,$W174)&amp;"")</f>
        <v/>
      </c>
      <c r="G174" s="68" t="str">
        <f aca="false">IF($W174="","",IF(INDEX(发票统计!G$4:G$1003,$W174)="","",INDEX(发票统计!G$4:G$1003,$W174)))</f>
        <v/>
      </c>
      <c r="H174" s="56" t="str">
        <f aca="false">IF($W174="","",N(INDEX(发票统计!H$4:H$1003,$W174)))</f>
        <v/>
      </c>
      <c r="I174" s="56" t="str">
        <f aca="false">IF($W174="","",N(INDEX(发票统计!I$4:I$1003,$W174)))</f>
        <v/>
      </c>
      <c r="J174" s="56" t="str">
        <f aca="false">IF($W174="","",N(INDEX(发票统计!J$4:J$1003,$W174)))</f>
        <v/>
      </c>
      <c r="K174" s="56" t="str">
        <f aca="false">IF($W174="","",N(INDEX(发票统计!K$4:K$1003,$W174)))</f>
        <v/>
      </c>
      <c r="L174" s="56" t="str">
        <f aca="false">IF($W174="","",SUM(J$4:J174)-SUM(K$4:K174))</f>
        <v/>
      </c>
      <c r="M174" s="56" t="str">
        <f aca="false">IF($W174="","",N(INDEX(发票统计!M$4:M$1003,$W174)))</f>
        <v/>
      </c>
      <c r="N174" s="56" t="str">
        <f aca="false">IF($W174="","",N(INDEX(发票统计!N$4:N$1003,$W174)))</f>
        <v/>
      </c>
      <c r="O174" s="56" t="str">
        <f aca="false">IF($W174="","",N(INDEX(发票统计!O$4:O$1003,$W174)))</f>
        <v/>
      </c>
      <c r="P174" s="56" t="str">
        <f aca="false">IF($W174="","",SUM(M$4:M174)-SUM(N$4:N174)-SUM(O$4:O174))</f>
        <v/>
      </c>
      <c r="Q174" s="56" t="str">
        <f aca="false">IF($W174="","",N(INDEX(发票统计!Q$4:Q$1003,$W174)))</f>
        <v/>
      </c>
      <c r="R174" s="56" t="str">
        <f aca="false">IF($W174="","",N(INDEX(发票统计!R$4:R$1003,$W174)))</f>
        <v/>
      </c>
      <c r="S174" s="56" t="str">
        <f aca="false">IF($W174="","",N(INDEX(发票统计!S$4:S$1003,$W174)))</f>
        <v/>
      </c>
      <c r="T174" s="56" t="str">
        <f aca="false">IF($W174="","",SUM(Q$4:Q174)-SUM(R$4:R174)-SUM(S$4:S174))</f>
        <v/>
      </c>
      <c r="U174" s="56" t="str">
        <f aca="false">IF($W174="","",INDEX(发票统计!U$4:U$1003,$W174)&amp;"")</f>
        <v/>
      </c>
      <c r="W174" s="1" t="str">
        <f aca="false">IF($V$3="","",IFERROR(MATCH($V$3&amp;"#"&amp;ROWS(W$4:W174),发票统计!$W$4:$W$1003,0),""))</f>
        <v/>
      </c>
    </row>
    <row r="175" customFormat="false" ht="16.5" hidden="false" customHeight="false" outlineLevel="0" collapsed="false">
      <c r="A175" s="3" t="str">
        <f aca="false">IF($W175="","",INDEX(发票统计!A$4:A$1003,$W175)&amp;"")</f>
        <v/>
      </c>
      <c r="B175" s="3" t="str">
        <f aca="false">IF($W175="","",INDEX(发票统计!B$4:B$1003,$W175)&amp;"")</f>
        <v/>
      </c>
      <c r="C175" s="3" t="str">
        <f aca="false">IF($W175="","",INDEX(发票统计!C$4:C$1003,$W175)&amp;"")</f>
        <v/>
      </c>
      <c r="D175" s="3" t="str">
        <f aca="false">IF($W175="","",INDEX(发票统计!D$4:D$1003,$W175)&amp;"")</f>
        <v/>
      </c>
      <c r="E175" s="67" t="str">
        <f aca="false">IF($W175="","",INDEX(发票统计!E$4:E$1003,$W175)&amp;"")</f>
        <v/>
      </c>
      <c r="F175" s="68" t="str">
        <f aca="false">IF($W175="","",INDEX(发票统计!F$4:F$1003,$W175)&amp;"")</f>
        <v/>
      </c>
      <c r="G175" s="68" t="str">
        <f aca="false">IF($W175="","",IF(INDEX(发票统计!G$4:G$1003,$W175)="","",INDEX(发票统计!G$4:G$1003,$W175)))</f>
        <v/>
      </c>
      <c r="H175" s="56" t="str">
        <f aca="false">IF($W175="","",N(INDEX(发票统计!H$4:H$1003,$W175)))</f>
        <v/>
      </c>
      <c r="I175" s="56" t="str">
        <f aca="false">IF($W175="","",N(INDEX(发票统计!I$4:I$1003,$W175)))</f>
        <v/>
      </c>
      <c r="J175" s="56" t="str">
        <f aca="false">IF($W175="","",N(INDEX(发票统计!J$4:J$1003,$W175)))</f>
        <v/>
      </c>
      <c r="K175" s="56" t="str">
        <f aca="false">IF($W175="","",N(INDEX(发票统计!K$4:K$1003,$W175)))</f>
        <v/>
      </c>
      <c r="L175" s="56" t="str">
        <f aca="false">IF($W175="","",SUM(J$4:J175)-SUM(K$4:K175))</f>
        <v/>
      </c>
      <c r="M175" s="56" t="str">
        <f aca="false">IF($W175="","",N(INDEX(发票统计!M$4:M$1003,$W175)))</f>
        <v/>
      </c>
      <c r="N175" s="56" t="str">
        <f aca="false">IF($W175="","",N(INDEX(发票统计!N$4:N$1003,$W175)))</f>
        <v/>
      </c>
      <c r="O175" s="56" t="str">
        <f aca="false">IF($W175="","",N(INDEX(发票统计!O$4:O$1003,$W175)))</f>
        <v/>
      </c>
      <c r="P175" s="56" t="str">
        <f aca="false">IF($W175="","",SUM(M$4:M175)-SUM(N$4:N175)-SUM(O$4:O175))</f>
        <v/>
      </c>
      <c r="Q175" s="56" t="str">
        <f aca="false">IF($W175="","",N(INDEX(发票统计!Q$4:Q$1003,$W175)))</f>
        <v/>
      </c>
      <c r="R175" s="56" t="str">
        <f aca="false">IF($W175="","",N(INDEX(发票统计!R$4:R$1003,$W175)))</f>
        <v/>
      </c>
      <c r="S175" s="56" t="str">
        <f aca="false">IF($W175="","",N(INDEX(发票统计!S$4:S$1003,$W175)))</f>
        <v/>
      </c>
      <c r="T175" s="56" t="str">
        <f aca="false">IF($W175="","",SUM(Q$4:Q175)-SUM(R$4:R175)-SUM(S$4:S175))</f>
        <v/>
      </c>
      <c r="U175" s="56" t="str">
        <f aca="false">IF($W175="","",INDEX(发票统计!U$4:U$1003,$W175)&amp;"")</f>
        <v/>
      </c>
      <c r="W175" s="1" t="str">
        <f aca="false">IF($V$3="","",IFERROR(MATCH($V$3&amp;"#"&amp;ROWS(W$4:W175),发票统计!$W$4:$W$1003,0),""))</f>
        <v/>
      </c>
    </row>
    <row r="176" customFormat="false" ht="16.5" hidden="false" customHeight="false" outlineLevel="0" collapsed="false">
      <c r="A176" s="3" t="str">
        <f aca="false">IF($W176="","",INDEX(发票统计!A$4:A$1003,$W176)&amp;"")</f>
        <v/>
      </c>
      <c r="B176" s="3" t="str">
        <f aca="false">IF($W176="","",INDEX(发票统计!B$4:B$1003,$W176)&amp;"")</f>
        <v/>
      </c>
      <c r="C176" s="3" t="str">
        <f aca="false">IF($W176="","",INDEX(发票统计!C$4:C$1003,$W176)&amp;"")</f>
        <v/>
      </c>
      <c r="D176" s="3" t="str">
        <f aca="false">IF($W176="","",INDEX(发票统计!D$4:D$1003,$W176)&amp;"")</f>
        <v/>
      </c>
      <c r="E176" s="67" t="str">
        <f aca="false">IF($W176="","",INDEX(发票统计!E$4:E$1003,$W176)&amp;"")</f>
        <v/>
      </c>
      <c r="F176" s="68" t="str">
        <f aca="false">IF($W176="","",INDEX(发票统计!F$4:F$1003,$W176)&amp;"")</f>
        <v/>
      </c>
      <c r="G176" s="68" t="str">
        <f aca="false">IF($W176="","",IF(INDEX(发票统计!G$4:G$1003,$W176)="","",INDEX(发票统计!G$4:G$1003,$W176)))</f>
        <v/>
      </c>
      <c r="H176" s="56" t="str">
        <f aca="false">IF($W176="","",N(INDEX(发票统计!H$4:H$1003,$W176)))</f>
        <v/>
      </c>
      <c r="I176" s="56" t="str">
        <f aca="false">IF($W176="","",N(INDEX(发票统计!I$4:I$1003,$W176)))</f>
        <v/>
      </c>
      <c r="J176" s="56" t="str">
        <f aca="false">IF($W176="","",N(INDEX(发票统计!J$4:J$1003,$W176)))</f>
        <v/>
      </c>
      <c r="K176" s="56" t="str">
        <f aca="false">IF($W176="","",N(INDEX(发票统计!K$4:K$1003,$W176)))</f>
        <v/>
      </c>
      <c r="L176" s="56" t="str">
        <f aca="false">IF($W176="","",SUM(J$4:J176)-SUM(K$4:K176))</f>
        <v/>
      </c>
      <c r="M176" s="56" t="str">
        <f aca="false">IF($W176="","",N(INDEX(发票统计!M$4:M$1003,$W176)))</f>
        <v/>
      </c>
      <c r="N176" s="56" t="str">
        <f aca="false">IF($W176="","",N(INDEX(发票统计!N$4:N$1003,$W176)))</f>
        <v/>
      </c>
      <c r="O176" s="56" t="str">
        <f aca="false">IF($W176="","",N(INDEX(发票统计!O$4:O$1003,$W176)))</f>
        <v/>
      </c>
      <c r="P176" s="56" t="str">
        <f aca="false">IF($W176="","",SUM(M$4:M176)-SUM(N$4:N176)-SUM(O$4:O176))</f>
        <v/>
      </c>
      <c r="Q176" s="56" t="str">
        <f aca="false">IF($W176="","",N(INDEX(发票统计!Q$4:Q$1003,$W176)))</f>
        <v/>
      </c>
      <c r="R176" s="56" t="str">
        <f aca="false">IF($W176="","",N(INDEX(发票统计!R$4:R$1003,$W176)))</f>
        <v/>
      </c>
      <c r="S176" s="56" t="str">
        <f aca="false">IF($W176="","",N(INDEX(发票统计!S$4:S$1003,$W176)))</f>
        <v/>
      </c>
      <c r="T176" s="56" t="str">
        <f aca="false">IF($W176="","",SUM(Q$4:Q176)-SUM(R$4:R176)-SUM(S$4:S176))</f>
        <v/>
      </c>
      <c r="U176" s="56" t="str">
        <f aca="false">IF($W176="","",INDEX(发票统计!U$4:U$1003,$W176)&amp;"")</f>
        <v/>
      </c>
      <c r="W176" s="1" t="str">
        <f aca="false">IF($V$3="","",IFERROR(MATCH($V$3&amp;"#"&amp;ROWS(W$4:W176),发票统计!$W$4:$W$1003,0),""))</f>
        <v/>
      </c>
    </row>
    <row r="177" customFormat="false" ht="16.5" hidden="false" customHeight="false" outlineLevel="0" collapsed="false">
      <c r="A177" s="3" t="str">
        <f aca="false">IF($W177="","",INDEX(发票统计!A$4:A$1003,$W177)&amp;"")</f>
        <v/>
      </c>
      <c r="B177" s="3" t="str">
        <f aca="false">IF($W177="","",INDEX(发票统计!B$4:B$1003,$W177)&amp;"")</f>
        <v/>
      </c>
      <c r="C177" s="3" t="str">
        <f aca="false">IF($W177="","",INDEX(发票统计!C$4:C$1003,$W177)&amp;"")</f>
        <v/>
      </c>
      <c r="D177" s="3" t="str">
        <f aca="false">IF($W177="","",INDEX(发票统计!D$4:D$1003,$W177)&amp;"")</f>
        <v/>
      </c>
      <c r="E177" s="67" t="str">
        <f aca="false">IF($W177="","",INDEX(发票统计!E$4:E$1003,$W177)&amp;"")</f>
        <v/>
      </c>
      <c r="F177" s="68" t="str">
        <f aca="false">IF($W177="","",INDEX(发票统计!F$4:F$1003,$W177)&amp;"")</f>
        <v/>
      </c>
      <c r="G177" s="68" t="str">
        <f aca="false">IF($W177="","",IF(INDEX(发票统计!G$4:G$1003,$W177)="","",INDEX(发票统计!G$4:G$1003,$W177)))</f>
        <v/>
      </c>
      <c r="H177" s="56" t="str">
        <f aca="false">IF($W177="","",N(INDEX(发票统计!H$4:H$1003,$W177)))</f>
        <v/>
      </c>
      <c r="I177" s="56" t="str">
        <f aca="false">IF($W177="","",N(INDEX(发票统计!I$4:I$1003,$W177)))</f>
        <v/>
      </c>
      <c r="J177" s="56" t="str">
        <f aca="false">IF($W177="","",N(INDEX(发票统计!J$4:J$1003,$W177)))</f>
        <v/>
      </c>
      <c r="K177" s="56" t="str">
        <f aca="false">IF($W177="","",N(INDEX(发票统计!K$4:K$1003,$W177)))</f>
        <v/>
      </c>
      <c r="L177" s="56" t="str">
        <f aca="false">IF($W177="","",SUM(J$4:J177)-SUM(K$4:K177))</f>
        <v/>
      </c>
      <c r="M177" s="56" t="str">
        <f aca="false">IF($W177="","",N(INDEX(发票统计!M$4:M$1003,$W177)))</f>
        <v/>
      </c>
      <c r="N177" s="56" t="str">
        <f aca="false">IF($W177="","",N(INDEX(发票统计!N$4:N$1003,$W177)))</f>
        <v/>
      </c>
      <c r="O177" s="56" t="str">
        <f aca="false">IF($W177="","",N(INDEX(发票统计!O$4:O$1003,$W177)))</f>
        <v/>
      </c>
      <c r="P177" s="56" t="str">
        <f aca="false">IF($W177="","",SUM(M$4:M177)-SUM(N$4:N177)-SUM(O$4:O177))</f>
        <v/>
      </c>
      <c r="Q177" s="56" t="str">
        <f aca="false">IF($W177="","",N(INDEX(发票统计!Q$4:Q$1003,$W177)))</f>
        <v/>
      </c>
      <c r="R177" s="56" t="str">
        <f aca="false">IF($W177="","",N(INDEX(发票统计!R$4:R$1003,$W177)))</f>
        <v/>
      </c>
      <c r="S177" s="56" t="str">
        <f aca="false">IF($W177="","",N(INDEX(发票统计!S$4:S$1003,$W177)))</f>
        <v/>
      </c>
      <c r="T177" s="56" t="str">
        <f aca="false">IF($W177="","",SUM(Q$4:Q177)-SUM(R$4:R177)-SUM(S$4:S177))</f>
        <v/>
      </c>
      <c r="U177" s="56" t="str">
        <f aca="false">IF($W177="","",INDEX(发票统计!U$4:U$1003,$W177)&amp;"")</f>
        <v/>
      </c>
      <c r="W177" s="1" t="str">
        <f aca="false">IF($V$3="","",IFERROR(MATCH($V$3&amp;"#"&amp;ROWS(W$4:W177),发票统计!$W$4:$W$1003,0),""))</f>
        <v/>
      </c>
    </row>
    <row r="178" customFormat="false" ht="16.5" hidden="false" customHeight="false" outlineLevel="0" collapsed="false">
      <c r="A178" s="3" t="str">
        <f aca="false">IF($W178="","",INDEX(发票统计!A$4:A$1003,$W178)&amp;"")</f>
        <v/>
      </c>
      <c r="B178" s="3" t="str">
        <f aca="false">IF($W178="","",INDEX(发票统计!B$4:B$1003,$W178)&amp;"")</f>
        <v/>
      </c>
      <c r="C178" s="3" t="str">
        <f aca="false">IF($W178="","",INDEX(发票统计!C$4:C$1003,$W178)&amp;"")</f>
        <v/>
      </c>
      <c r="D178" s="3" t="str">
        <f aca="false">IF($W178="","",INDEX(发票统计!D$4:D$1003,$W178)&amp;"")</f>
        <v/>
      </c>
      <c r="E178" s="67" t="str">
        <f aca="false">IF($W178="","",INDEX(发票统计!E$4:E$1003,$W178)&amp;"")</f>
        <v/>
      </c>
      <c r="F178" s="68" t="str">
        <f aca="false">IF($W178="","",INDEX(发票统计!F$4:F$1003,$W178)&amp;"")</f>
        <v/>
      </c>
      <c r="G178" s="68" t="str">
        <f aca="false">IF($W178="","",IF(INDEX(发票统计!G$4:G$1003,$W178)="","",INDEX(发票统计!G$4:G$1003,$W178)))</f>
        <v/>
      </c>
      <c r="H178" s="56" t="str">
        <f aca="false">IF($W178="","",N(INDEX(发票统计!H$4:H$1003,$W178)))</f>
        <v/>
      </c>
      <c r="I178" s="56" t="str">
        <f aca="false">IF($W178="","",N(INDEX(发票统计!I$4:I$1003,$W178)))</f>
        <v/>
      </c>
      <c r="J178" s="56" t="str">
        <f aca="false">IF($W178="","",N(INDEX(发票统计!J$4:J$1003,$W178)))</f>
        <v/>
      </c>
      <c r="K178" s="56" t="str">
        <f aca="false">IF($W178="","",N(INDEX(发票统计!K$4:K$1003,$W178)))</f>
        <v/>
      </c>
      <c r="L178" s="56" t="str">
        <f aca="false">IF($W178="","",SUM(J$4:J178)-SUM(K$4:K178))</f>
        <v/>
      </c>
      <c r="M178" s="56" t="str">
        <f aca="false">IF($W178="","",N(INDEX(发票统计!M$4:M$1003,$W178)))</f>
        <v/>
      </c>
      <c r="N178" s="56" t="str">
        <f aca="false">IF($W178="","",N(INDEX(发票统计!N$4:N$1003,$W178)))</f>
        <v/>
      </c>
      <c r="O178" s="56" t="str">
        <f aca="false">IF($W178="","",N(INDEX(发票统计!O$4:O$1003,$W178)))</f>
        <v/>
      </c>
      <c r="P178" s="56" t="str">
        <f aca="false">IF($W178="","",SUM(M$4:M178)-SUM(N$4:N178)-SUM(O$4:O178))</f>
        <v/>
      </c>
      <c r="Q178" s="56" t="str">
        <f aca="false">IF($W178="","",N(INDEX(发票统计!Q$4:Q$1003,$W178)))</f>
        <v/>
      </c>
      <c r="R178" s="56" t="str">
        <f aca="false">IF($W178="","",N(INDEX(发票统计!R$4:R$1003,$W178)))</f>
        <v/>
      </c>
      <c r="S178" s="56" t="str">
        <f aca="false">IF($W178="","",N(INDEX(发票统计!S$4:S$1003,$W178)))</f>
        <v/>
      </c>
      <c r="T178" s="56" t="str">
        <f aca="false">IF($W178="","",SUM(Q$4:Q178)-SUM(R$4:R178)-SUM(S$4:S178))</f>
        <v/>
      </c>
      <c r="U178" s="56" t="str">
        <f aca="false">IF($W178="","",INDEX(发票统计!U$4:U$1003,$W178)&amp;"")</f>
        <v/>
      </c>
      <c r="W178" s="1" t="str">
        <f aca="false">IF($V$3="","",IFERROR(MATCH($V$3&amp;"#"&amp;ROWS(W$4:W178),发票统计!$W$4:$W$1003,0),""))</f>
        <v/>
      </c>
    </row>
    <row r="179" customFormat="false" ht="16.5" hidden="false" customHeight="false" outlineLevel="0" collapsed="false">
      <c r="A179" s="3" t="str">
        <f aca="false">IF($W179="","",INDEX(发票统计!A$4:A$1003,$W179)&amp;"")</f>
        <v/>
      </c>
      <c r="B179" s="3" t="str">
        <f aca="false">IF($W179="","",INDEX(发票统计!B$4:B$1003,$W179)&amp;"")</f>
        <v/>
      </c>
      <c r="C179" s="3" t="str">
        <f aca="false">IF($W179="","",INDEX(发票统计!C$4:C$1003,$W179)&amp;"")</f>
        <v/>
      </c>
      <c r="D179" s="3" t="str">
        <f aca="false">IF($W179="","",INDEX(发票统计!D$4:D$1003,$W179)&amp;"")</f>
        <v/>
      </c>
      <c r="E179" s="67" t="str">
        <f aca="false">IF($W179="","",INDEX(发票统计!E$4:E$1003,$W179)&amp;"")</f>
        <v/>
      </c>
      <c r="F179" s="68" t="str">
        <f aca="false">IF($W179="","",INDEX(发票统计!F$4:F$1003,$W179)&amp;"")</f>
        <v/>
      </c>
      <c r="G179" s="68" t="str">
        <f aca="false">IF($W179="","",IF(INDEX(发票统计!G$4:G$1003,$W179)="","",INDEX(发票统计!G$4:G$1003,$W179)))</f>
        <v/>
      </c>
      <c r="H179" s="56" t="str">
        <f aca="false">IF($W179="","",N(INDEX(发票统计!H$4:H$1003,$W179)))</f>
        <v/>
      </c>
      <c r="I179" s="56" t="str">
        <f aca="false">IF($W179="","",N(INDEX(发票统计!I$4:I$1003,$W179)))</f>
        <v/>
      </c>
      <c r="J179" s="56" t="str">
        <f aca="false">IF($W179="","",N(INDEX(发票统计!J$4:J$1003,$W179)))</f>
        <v/>
      </c>
      <c r="K179" s="56" t="str">
        <f aca="false">IF($W179="","",N(INDEX(发票统计!K$4:K$1003,$W179)))</f>
        <v/>
      </c>
      <c r="L179" s="56" t="str">
        <f aca="false">IF($W179="","",SUM(J$4:J179)-SUM(K$4:K179))</f>
        <v/>
      </c>
      <c r="M179" s="56" t="str">
        <f aca="false">IF($W179="","",N(INDEX(发票统计!M$4:M$1003,$W179)))</f>
        <v/>
      </c>
      <c r="N179" s="56" t="str">
        <f aca="false">IF($W179="","",N(INDEX(发票统计!N$4:N$1003,$W179)))</f>
        <v/>
      </c>
      <c r="O179" s="56" t="str">
        <f aca="false">IF($W179="","",N(INDEX(发票统计!O$4:O$1003,$W179)))</f>
        <v/>
      </c>
      <c r="P179" s="56" t="str">
        <f aca="false">IF($W179="","",SUM(M$4:M179)-SUM(N$4:N179)-SUM(O$4:O179))</f>
        <v/>
      </c>
      <c r="Q179" s="56" t="str">
        <f aca="false">IF($W179="","",N(INDEX(发票统计!Q$4:Q$1003,$W179)))</f>
        <v/>
      </c>
      <c r="R179" s="56" t="str">
        <f aca="false">IF($W179="","",N(INDEX(发票统计!R$4:R$1003,$W179)))</f>
        <v/>
      </c>
      <c r="S179" s="56" t="str">
        <f aca="false">IF($W179="","",N(INDEX(发票统计!S$4:S$1003,$W179)))</f>
        <v/>
      </c>
      <c r="T179" s="56" t="str">
        <f aca="false">IF($W179="","",SUM(Q$4:Q179)-SUM(R$4:R179)-SUM(S$4:S179))</f>
        <v/>
      </c>
      <c r="U179" s="56" t="str">
        <f aca="false">IF($W179="","",INDEX(发票统计!U$4:U$1003,$W179)&amp;"")</f>
        <v/>
      </c>
      <c r="W179" s="1" t="str">
        <f aca="false">IF($V$3="","",IFERROR(MATCH($V$3&amp;"#"&amp;ROWS(W$4:W179),发票统计!$W$4:$W$1003,0),""))</f>
        <v/>
      </c>
    </row>
    <row r="180" customFormat="false" ht="16.5" hidden="false" customHeight="false" outlineLevel="0" collapsed="false">
      <c r="A180" s="3" t="str">
        <f aca="false">IF($W180="","",INDEX(发票统计!A$4:A$1003,$W180)&amp;"")</f>
        <v/>
      </c>
      <c r="B180" s="3" t="str">
        <f aca="false">IF($W180="","",INDEX(发票统计!B$4:B$1003,$W180)&amp;"")</f>
        <v/>
      </c>
      <c r="C180" s="3" t="str">
        <f aca="false">IF($W180="","",INDEX(发票统计!C$4:C$1003,$W180)&amp;"")</f>
        <v/>
      </c>
      <c r="D180" s="3" t="str">
        <f aca="false">IF($W180="","",INDEX(发票统计!D$4:D$1003,$W180)&amp;"")</f>
        <v/>
      </c>
      <c r="E180" s="67" t="str">
        <f aca="false">IF($W180="","",INDEX(发票统计!E$4:E$1003,$W180)&amp;"")</f>
        <v/>
      </c>
      <c r="F180" s="68" t="str">
        <f aca="false">IF($W180="","",INDEX(发票统计!F$4:F$1003,$W180)&amp;"")</f>
        <v/>
      </c>
      <c r="G180" s="68" t="str">
        <f aca="false">IF($W180="","",IF(INDEX(发票统计!G$4:G$1003,$W180)="","",INDEX(发票统计!G$4:G$1003,$W180)))</f>
        <v/>
      </c>
      <c r="H180" s="56" t="str">
        <f aca="false">IF($W180="","",N(INDEX(发票统计!H$4:H$1003,$W180)))</f>
        <v/>
      </c>
      <c r="I180" s="56" t="str">
        <f aca="false">IF($W180="","",N(INDEX(发票统计!I$4:I$1003,$W180)))</f>
        <v/>
      </c>
      <c r="J180" s="56" t="str">
        <f aca="false">IF($W180="","",N(INDEX(发票统计!J$4:J$1003,$W180)))</f>
        <v/>
      </c>
      <c r="K180" s="56" t="str">
        <f aca="false">IF($W180="","",N(INDEX(发票统计!K$4:K$1003,$W180)))</f>
        <v/>
      </c>
      <c r="L180" s="56" t="str">
        <f aca="false">IF($W180="","",SUM(J$4:J180)-SUM(K$4:K180))</f>
        <v/>
      </c>
      <c r="M180" s="56" t="str">
        <f aca="false">IF($W180="","",N(INDEX(发票统计!M$4:M$1003,$W180)))</f>
        <v/>
      </c>
      <c r="N180" s="56" t="str">
        <f aca="false">IF($W180="","",N(INDEX(发票统计!N$4:N$1003,$W180)))</f>
        <v/>
      </c>
      <c r="O180" s="56" t="str">
        <f aca="false">IF($W180="","",N(INDEX(发票统计!O$4:O$1003,$W180)))</f>
        <v/>
      </c>
      <c r="P180" s="56" t="str">
        <f aca="false">IF($W180="","",SUM(M$4:M180)-SUM(N$4:N180)-SUM(O$4:O180))</f>
        <v/>
      </c>
      <c r="Q180" s="56" t="str">
        <f aca="false">IF($W180="","",N(INDEX(发票统计!Q$4:Q$1003,$W180)))</f>
        <v/>
      </c>
      <c r="R180" s="56" t="str">
        <f aca="false">IF($W180="","",N(INDEX(发票统计!R$4:R$1003,$W180)))</f>
        <v/>
      </c>
      <c r="S180" s="56" t="str">
        <f aca="false">IF($W180="","",N(INDEX(发票统计!S$4:S$1003,$W180)))</f>
        <v/>
      </c>
      <c r="T180" s="56" t="str">
        <f aca="false">IF($W180="","",SUM(Q$4:Q180)-SUM(R$4:R180)-SUM(S$4:S180))</f>
        <v/>
      </c>
      <c r="U180" s="56" t="str">
        <f aca="false">IF($W180="","",INDEX(发票统计!U$4:U$1003,$W180)&amp;"")</f>
        <v/>
      </c>
      <c r="W180" s="1" t="str">
        <f aca="false">IF($V$3="","",IFERROR(MATCH($V$3&amp;"#"&amp;ROWS(W$4:W180),发票统计!$W$4:$W$1003,0),""))</f>
        <v/>
      </c>
    </row>
    <row r="181" customFormat="false" ht="16.5" hidden="false" customHeight="false" outlineLevel="0" collapsed="false">
      <c r="A181" s="3" t="str">
        <f aca="false">IF($W181="","",INDEX(发票统计!A$4:A$1003,$W181)&amp;"")</f>
        <v/>
      </c>
      <c r="B181" s="3" t="str">
        <f aca="false">IF($W181="","",INDEX(发票统计!B$4:B$1003,$W181)&amp;"")</f>
        <v/>
      </c>
      <c r="C181" s="3" t="str">
        <f aca="false">IF($W181="","",INDEX(发票统计!C$4:C$1003,$W181)&amp;"")</f>
        <v/>
      </c>
      <c r="D181" s="3" t="str">
        <f aca="false">IF($W181="","",INDEX(发票统计!D$4:D$1003,$W181)&amp;"")</f>
        <v/>
      </c>
      <c r="E181" s="67" t="str">
        <f aca="false">IF($W181="","",INDEX(发票统计!E$4:E$1003,$W181)&amp;"")</f>
        <v/>
      </c>
      <c r="F181" s="68" t="str">
        <f aca="false">IF($W181="","",INDEX(发票统计!F$4:F$1003,$W181)&amp;"")</f>
        <v/>
      </c>
      <c r="G181" s="68" t="str">
        <f aca="false">IF($W181="","",IF(INDEX(发票统计!G$4:G$1003,$W181)="","",INDEX(发票统计!G$4:G$1003,$W181)))</f>
        <v/>
      </c>
      <c r="H181" s="56" t="str">
        <f aca="false">IF($W181="","",N(INDEX(发票统计!H$4:H$1003,$W181)))</f>
        <v/>
      </c>
      <c r="I181" s="56" t="str">
        <f aca="false">IF($W181="","",N(INDEX(发票统计!I$4:I$1003,$W181)))</f>
        <v/>
      </c>
      <c r="J181" s="56" t="str">
        <f aca="false">IF($W181="","",N(INDEX(发票统计!J$4:J$1003,$W181)))</f>
        <v/>
      </c>
      <c r="K181" s="56" t="str">
        <f aca="false">IF($W181="","",N(INDEX(发票统计!K$4:K$1003,$W181)))</f>
        <v/>
      </c>
      <c r="L181" s="56" t="str">
        <f aca="false">IF($W181="","",SUM(J$4:J181)-SUM(K$4:K181))</f>
        <v/>
      </c>
      <c r="M181" s="56" t="str">
        <f aca="false">IF($W181="","",N(INDEX(发票统计!M$4:M$1003,$W181)))</f>
        <v/>
      </c>
      <c r="N181" s="56" t="str">
        <f aca="false">IF($W181="","",N(INDEX(发票统计!N$4:N$1003,$W181)))</f>
        <v/>
      </c>
      <c r="O181" s="56" t="str">
        <f aca="false">IF($W181="","",N(INDEX(发票统计!O$4:O$1003,$W181)))</f>
        <v/>
      </c>
      <c r="P181" s="56" t="str">
        <f aca="false">IF($W181="","",SUM(M$4:M181)-SUM(N$4:N181)-SUM(O$4:O181))</f>
        <v/>
      </c>
      <c r="Q181" s="56" t="str">
        <f aca="false">IF($W181="","",N(INDEX(发票统计!Q$4:Q$1003,$W181)))</f>
        <v/>
      </c>
      <c r="R181" s="56" t="str">
        <f aca="false">IF($W181="","",N(INDEX(发票统计!R$4:R$1003,$W181)))</f>
        <v/>
      </c>
      <c r="S181" s="56" t="str">
        <f aca="false">IF($W181="","",N(INDEX(发票统计!S$4:S$1003,$W181)))</f>
        <v/>
      </c>
      <c r="T181" s="56" t="str">
        <f aca="false">IF($W181="","",SUM(Q$4:Q181)-SUM(R$4:R181)-SUM(S$4:S181))</f>
        <v/>
      </c>
      <c r="U181" s="56" t="str">
        <f aca="false">IF($W181="","",INDEX(发票统计!U$4:U$1003,$W181)&amp;"")</f>
        <v/>
      </c>
      <c r="W181" s="1" t="str">
        <f aca="false">IF($V$3="","",IFERROR(MATCH($V$3&amp;"#"&amp;ROWS(W$4:W181),发票统计!$W$4:$W$1003,0),""))</f>
        <v/>
      </c>
    </row>
    <row r="182" customFormat="false" ht="16.5" hidden="false" customHeight="false" outlineLevel="0" collapsed="false">
      <c r="A182" s="3" t="str">
        <f aca="false">IF($W182="","",INDEX(发票统计!A$4:A$1003,$W182)&amp;"")</f>
        <v/>
      </c>
      <c r="B182" s="3" t="str">
        <f aca="false">IF($W182="","",INDEX(发票统计!B$4:B$1003,$W182)&amp;"")</f>
        <v/>
      </c>
      <c r="C182" s="3" t="str">
        <f aca="false">IF($W182="","",INDEX(发票统计!C$4:C$1003,$W182)&amp;"")</f>
        <v/>
      </c>
      <c r="D182" s="3" t="str">
        <f aca="false">IF($W182="","",INDEX(发票统计!D$4:D$1003,$W182)&amp;"")</f>
        <v/>
      </c>
      <c r="E182" s="67" t="str">
        <f aca="false">IF($W182="","",INDEX(发票统计!E$4:E$1003,$W182)&amp;"")</f>
        <v/>
      </c>
      <c r="F182" s="68" t="str">
        <f aca="false">IF($W182="","",INDEX(发票统计!F$4:F$1003,$W182)&amp;"")</f>
        <v/>
      </c>
      <c r="G182" s="68" t="str">
        <f aca="false">IF($W182="","",IF(INDEX(发票统计!G$4:G$1003,$W182)="","",INDEX(发票统计!G$4:G$1003,$W182)))</f>
        <v/>
      </c>
      <c r="H182" s="56" t="str">
        <f aca="false">IF($W182="","",N(INDEX(发票统计!H$4:H$1003,$W182)))</f>
        <v/>
      </c>
      <c r="I182" s="56" t="str">
        <f aca="false">IF($W182="","",N(INDEX(发票统计!I$4:I$1003,$W182)))</f>
        <v/>
      </c>
      <c r="J182" s="56" t="str">
        <f aca="false">IF($W182="","",N(INDEX(发票统计!J$4:J$1003,$W182)))</f>
        <v/>
      </c>
      <c r="K182" s="56" t="str">
        <f aca="false">IF($W182="","",N(INDEX(发票统计!K$4:K$1003,$W182)))</f>
        <v/>
      </c>
      <c r="L182" s="56" t="str">
        <f aca="false">IF($W182="","",SUM(J$4:J182)-SUM(K$4:K182))</f>
        <v/>
      </c>
      <c r="M182" s="56" t="str">
        <f aca="false">IF($W182="","",N(INDEX(发票统计!M$4:M$1003,$W182)))</f>
        <v/>
      </c>
      <c r="N182" s="56" t="str">
        <f aca="false">IF($W182="","",N(INDEX(发票统计!N$4:N$1003,$W182)))</f>
        <v/>
      </c>
      <c r="O182" s="56" t="str">
        <f aca="false">IF($W182="","",N(INDEX(发票统计!O$4:O$1003,$W182)))</f>
        <v/>
      </c>
      <c r="P182" s="56" t="str">
        <f aca="false">IF($W182="","",SUM(M$4:M182)-SUM(N$4:N182)-SUM(O$4:O182))</f>
        <v/>
      </c>
      <c r="Q182" s="56" t="str">
        <f aca="false">IF($W182="","",N(INDEX(发票统计!Q$4:Q$1003,$W182)))</f>
        <v/>
      </c>
      <c r="R182" s="56" t="str">
        <f aca="false">IF($W182="","",N(INDEX(发票统计!R$4:R$1003,$W182)))</f>
        <v/>
      </c>
      <c r="S182" s="56" t="str">
        <f aca="false">IF($W182="","",N(INDEX(发票统计!S$4:S$1003,$W182)))</f>
        <v/>
      </c>
      <c r="T182" s="56" t="str">
        <f aca="false">IF($W182="","",SUM(Q$4:Q182)-SUM(R$4:R182)-SUM(S$4:S182))</f>
        <v/>
      </c>
      <c r="U182" s="56" t="str">
        <f aca="false">IF($W182="","",INDEX(发票统计!U$4:U$1003,$W182)&amp;"")</f>
        <v/>
      </c>
      <c r="W182" s="1" t="str">
        <f aca="false">IF($V$3="","",IFERROR(MATCH($V$3&amp;"#"&amp;ROWS(W$4:W182),发票统计!$W$4:$W$1003,0),""))</f>
        <v/>
      </c>
    </row>
    <row r="183" customFormat="false" ht="16.5" hidden="false" customHeight="false" outlineLevel="0" collapsed="false">
      <c r="A183" s="3" t="str">
        <f aca="false">IF($W183="","",INDEX(发票统计!A$4:A$1003,$W183)&amp;"")</f>
        <v/>
      </c>
      <c r="B183" s="3" t="str">
        <f aca="false">IF($W183="","",INDEX(发票统计!B$4:B$1003,$W183)&amp;"")</f>
        <v/>
      </c>
      <c r="C183" s="3" t="str">
        <f aca="false">IF($W183="","",INDEX(发票统计!C$4:C$1003,$W183)&amp;"")</f>
        <v/>
      </c>
      <c r="D183" s="3" t="str">
        <f aca="false">IF($W183="","",INDEX(发票统计!D$4:D$1003,$W183)&amp;"")</f>
        <v/>
      </c>
      <c r="E183" s="67" t="str">
        <f aca="false">IF($W183="","",INDEX(发票统计!E$4:E$1003,$W183)&amp;"")</f>
        <v/>
      </c>
      <c r="F183" s="68" t="str">
        <f aca="false">IF($W183="","",INDEX(发票统计!F$4:F$1003,$W183)&amp;"")</f>
        <v/>
      </c>
      <c r="G183" s="68" t="str">
        <f aca="false">IF($W183="","",IF(INDEX(发票统计!G$4:G$1003,$W183)="","",INDEX(发票统计!G$4:G$1003,$W183)))</f>
        <v/>
      </c>
      <c r="H183" s="56" t="str">
        <f aca="false">IF($W183="","",N(INDEX(发票统计!H$4:H$1003,$W183)))</f>
        <v/>
      </c>
      <c r="I183" s="56" t="str">
        <f aca="false">IF($W183="","",N(INDEX(发票统计!I$4:I$1003,$W183)))</f>
        <v/>
      </c>
      <c r="J183" s="56" t="str">
        <f aca="false">IF($W183="","",N(INDEX(发票统计!J$4:J$1003,$W183)))</f>
        <v/>
      </c>
      <c r="K183" s="56" t="str">
        <f aca="false">IF($W183="","",N(INDEX(发票统计!K$4:K$1003,$W183)))</f>
        <v/>
      </c>
      <c r="L183" s="56" t="str">
        <f aca="false">IF($W183="","",SUM(J$4:J183)-SUM(K$4:K183))</f>
        <v/>
      </c>
      <c r="M183" s="56" t="str">
        <f aca="false">IF($W183="","",N(INDEX(发票统计!M$4:M$1003,$W183)))</f>
        <v/>
      </c>
      <c r="N183" s="56" t="str">
        <f aca="false">IF($W183="","",N(INDEX(发票统计!N$4:N$1003,$W183)))</f>
        <v/>
      </c>
      <c r="O183" s="56" t="str">
        <f aca="false">IF($W183="","",N(INDEX(发票统计!O$4:O$1003,$W183)))</f>
        <v/>
      </c>
      <c r="P183" s="56" t="str">
        <f aca="false">IF($W183="","",SUM(M$4:M183)-SUM(N$4:N183)-SUM(O$4:O183))</f>
        <v/>
      </c>
      <c r="Q183" s="56" t="str">
        <f aca="false">IF($W183="","",N(INDEX(发票统计!Q$4:Q$1003,$W183)))</f>
        <v/>
      </c>
      <c r="R183" s="56" t="str">
        <f aca="false">IF($W183="","",N(INDEX(发票统计!R$4:R$1003,$W183)))</f>
        <v/>
      </c>
      <c r="S183" s="56" t="str">
        <f aca="false">IF($W183="","",N(INDEX(发票统计!S$4:S$1003,$W183)))</f>
        <v/>
      </c>
      <c r="T183" s="56" t="str">
        <f aca="false">IF($W183="","",SUM(Q$4:Q183)-SUM(R$4:R183)-SUM(S$4:S183))</f>
        <v/>
      </c>
      <c r="U183" s="56" t="str">
        <f aca="false">IF($W183="","",INDEX(发票统计!U$4:U$1003,$W183)&amp;"")</f>
        <v/>
      </c>
      <c r="W183" s="1" t="str">
        <f aca="false">IF($V$3="","",IFERROR(MATCH($V$3&amp;"#"&amp;ROWS(W$4:W183),发票统计!$W$4:$W$1003,0),""))</f>
        <v/>
      </c>
    </row>
    <row r="184" customFormat="false" ht="16.5" hidden="false" customHeight="false" outlineLevel="0" collapsed="false">
      <c r="A184" s="3" t="str">
        <f aca="false">IF($W184="","",INDEX(发票统计!A$4:A$1003,$W184)&amp;"")</f>
        <v/>
      </c>
      <c r="B184" s="3" t="str">
        <f aca="false">IF($W184="","",INDEX(发票统计!B$4:B$1003,$W184)&amp;"")</f>
        <v/>
      </c>
      <c r="C184" s="3" t="str">
        <f aca="false">IF($W184="","",INDEX(发票统计!C$4:C$1003,$W184)&amp;"")</f>
        <v/>
      </c>
      <c r="D184" s="3" t="str">
        <f aca="false">IF($W184="","",INDEX(发票统计!D$4:D$1003,$W184)&amp;"")</f>
        <v/>
      </c>
      <c r="E184" s="67" t="str">
        <f aca="false">IF($W184="","",INDEX(发票统计!E$4:E$1003,$W184)&amp;"")</f>
        <v/>
      </c>
      <c r="F184" s="68" t="str">
        <f aca="false">IF($W184="","",INDEX(发票统计!F$4:F$1003,$W184)&amp;"")</f>
        <v/>
      </c>
      <c r="G184" s="68" t="str">
        <f aca="false">IF($W184="","",IF(INDEX(发票统计!G$4:G$1003,$W184)="","",INDEX(发票统计!G$4:G$1003,$W184)))</f>
        <v/>
      </c>
      <c r="H184" s="56" t="str">
        <f aca="false">IF($W184="","",N(INDEX(发票统计!H$4:H$1003,$W184)))</f>
        <v/>
      </c>
      <c r="I184" s="56" t="str">
        <f aca="false">IF($W184="","",N(INDEX(发票统计!I$4:I$1003,$W184)))</f>
        <v/>
      </c>
      <c r="J184" s="56" t="str">
        <f aca="false">IF($W184="","",N(INDEX(发票统计!J$4:J$1003,$W184)))</f>
        <v/>
      </c>
      <c r="K184" s="56" t="str">
        <f aca="false">IF($W184="","",N(INDEX(发票统计!K$4:K$1003,$W184)))</f>
        <v/>
      </c>
      <c r="L184" s="56" t="str">
        <f aca="false">IF($W184="","",SUM(J$4:J184)-SUM(K$4:K184))</f>
        <v/>
      </c>
      <c r="M184" s="56" t="str">
        <f aca="false">IF($W184="","",N(INDEX(发票统计!M$4:M$1003,$W184)))</f>
        <v/>
      </c>
      <c r="N184" s="56" t="str">
        <f aca="false">IF($W184="","",N(INDEX(发票统计!N$4:N$1003,$W184)))</f>
        <v/>
      </c>
      <c r="O184" s="56" t="str">
        <f aca="false">IF($W184="","",N(INDEX(发票统计!O$4:O$1003,$W184)))</f>
        <v/>
      </c>
      <c r="P184" s="56" t="str">
        <f aca="false">IF($W184="","",SUM(M$4:M184)-SUM(N$4:N184)-SUM(O$4:O184))</f>
        <v/>
      </c>
      <c r="Q184" s="56" t="str">
        <f aca="false">IF($W184="","",N(INDEX(发票统计!Q$4:Q$1003,$W184)))</f>
        <v/>
      </c>
      <c r="R184" s="56" t="str">
        <f aca="false">IF($W184="","",N(INDEX(发票统计!R$4:R$1003,$W184)))</f>
        <v/>
      </c>
      <c r="S184" s="56" t="str">
        <f aca="false">IF($W184="","",N(INDEX(发票统计!S$4:S$1003,$W184)))</f>
        <v/>
      </c>
      <c r="T184" s="56" t="str">
        <f aca="false">IF($W184="","",SUM(Q$4:Q184)-SUM(R$4:R184)-SUM(S$4:S184))</f>
        <v/>
      </c>
      <c r="U184" s="56" t="str">
        <f aca="false">IF($W184="","",INDEX(发票统计!U$4:U$1003,$W184)&amp;"")</f>
        <v/>
      </c>
      <c r="W184" s="1" t="str">
        <f aca="false">IF($V$3="","",IFERROR(MATCH($V$3&amp;"#"&amp;ROWS(W$4:W184),发票统计!$W$4:$W$1003,0),""))</f>
        <v/>
      </c>
    </row>
    <row r="185" customFormat="false" ht="16.5" hidden="false" customHeight="false" outlineLevel="0" collapsed="false">
      <c r="A185" s="3" t="str">
        <f aca="false">IF($W185="","",INDEX(发票统计!A$4:A$1003,$W185)&amp;"")</f>
        <v/>
      </c>
      <c r="B185" s="3" t="str">
        <f aca="false">IF($W185="","",INDEX(发票统计!B$4:B$1003,$W185)&amp;"")</f>
        <v/>
      </c>
      <c r="C185" s="3" t="str">
        <f aca="false">IF($W185="","",INDEX(发票统计!C$4:C$1003,$W185)&amp;"")</f>
        <v/>
      </c>
      <c r="D185" s="3" t="str">
        <f aca="false">IF($W185="","",INDEX(发票统计!D$4:D$1003,$W185)&amp;"")</f>
        <v/>
      </c>
      <c r="E185" s="67" t="str">
        <f aca="false">IF($W185="","",INDEX(发票统计!E$4:E$1003,$W185)&amp;"")</f>
        <v/>
      </c>
      <c r="F185" s="68" t="str">
        <f aca="false">IF($W185="","",INDEX(发票统计!F$4:F$1003,$W185)&amp;"")</f>
        <v/>
      </c>
      <c r="G185" s="68" t="str">
        <f aca="false">IF($W185="","",IF(INDEX(发票统计!G$4:G$1003,$W185)="","",INDEX(发票统计!G$4:G$1003,$W185)))</f>
        <v/>
      </c>
      <c r="H185" s="56" t="str">
        <f aca="false">IF($W185="","",N(INDEX(发票统计!H$4:H$1003,$W185)))</f>
        <v/>
      </c>
      <c r="I185" s="56" t="str">
        <f aca="false">IF($W185="","",N(INDEX(发票统计!I$4:I$1003,$W185)))</f>
        <v/>
      </c>
      <c r="J185" s="56" t="str">
        <f aca="false">IF($W185="","",N(INDEX(发票统计!J$4:J$1003,$W185)))</f>
        <v/>
      </c>
      <c r="K185" s="56" t="str">
        <f aca="false">IF($W185="","",N(INDEX(发票统计!K$4:K$1003,$W185)))</f>
        <v/>
      </c>
      <c r="L185" s="56" t="str">
        <f aca="false">IF($W185="","",SUM(J$4:J185)-SUM(K$4:K185))</f>
        <v/>
      </c>
      <c r="M185" s="56" t="str">
        <f aca="false">IF($W185="","",N(INDEX(发票统计!M$4:M$1003,$W185)))</f>
        <v/>
      </c>
      <c r="N185" s="56" t="str">
        <f aca="false">IF($W185="","",N(INDEX(发票统计!N$4:N$1003,$W185)))</f>
        <v/>
      </c>
      <c r="O185" s="56" t="str">
        <f aca="false">IF($W185="","",N(INDEX(发票统计!O$4:O$1003,$W185)))</f>
        <v/>
      </c>
      <c r="P185" s="56" t="str">
        <f aca="false">IF($W185="","",SUM(M$4:M185)-SUM(N$4:N185)-SUM(O$4:O185))</f>
        <v/>
      </c>
      <c r="Q185" s="56" t="str">
        <f aca="false">IF($W185="","",N(INDEX(发票统计!Q$4:Q$1003,$W185)))</f>
        <v/>
      </c>
      <c r="R185" s="56" t="str">
        <f aca="false">IF($W185="","",N(INDEX(发票统计!R$4:R$1003,$W185)))</f>
        <v/>
      </c>
      <c r="S185" s="56" t="str">
        <f aca="false">IF($W185="","",N(INDEX(发票统计!S$4:S$1003,$W185)))</f>
        <v/>
      </c>
      <c r="T185" s="56" t="str">
        <f aca="false">IF($W185="","",SUM(Q$4:Q185)-SUM(R$4:R185)-SUM(S$4:S185))</f>
        <v/>
      </c>
      <c r="U185" s="56" t="str">
        <f aca="false">IF($W185="","",INDEX(发票统计!U$4:U$1003,$W185)&amp;"")</f>
        <v/>
      </c>
      <c r="W185" s="1" t="str">
        <f aca="false">IF($V$3="","",IFERROR(MATCH($V$3&amp;"#"&amp;ROWS(W$4:W185),发票统计!$W$4:$W$1003,0),""))</f>
        <v/>
      </c>
    </row>
    <row r="186" customFormat="false" ht="16.5" hidden="false" customHeight="false" outlineLevel="0" collapsed="false">
      <c r="A186" s="3" t="str">
        <f aca="false">IF($W186="","",INDEX(发票统计!A$4:A$1003,$W186)&amp;"")</f>
        <v/>
      </c>
      <c r="B186" s="3" t="str">
        <f aca="false">IF($W186="","",INDEX(发票统计!B$4:B$1003,$W186)&amp;"")</f>
        <v/>
      </c>
      <c r="C186" s="3" t="str">
        <f aca="false">IF($W186="","",INDEX(发票统计!C$4:C$1003,$W186)&amp;"")</f>
        <v/>
      </c>
      <c r="D186" s="3" t="str">
        <f aca="false">IF($W186="","",INDEX(发票统计!D$4:D$1003,$W186)&amp;"")</f>
        <v/>
      </c>
      <c r="E186" s="67" t="str">
        <f aca="false">IF($W186="","",INDEX(发票统计!E$4:E$1003,$W186)&amp;"")</f>
        <v/>
      </c>
      <c r="F186" s="68" t="str">
        <f aca="false">IF($W186="","",INDEX(发票统计!F$4:F$1003,$W186)&amp;"")</f>
        <v/>
      </c>
      <c r="G186" s="68" t="str">
        <f aca="false">IF($W186="","",IF(INDEX(发票统计!G$4:G$1003,$W186)="","",INDEX(发票统计!G$4:G$1003,$W186)))</f>
        <v/>
      </c>
      <c r="H186" s="56" t="str">
        <f aca="false">IF($W186="","",N(INDEX(发票统计!H$4:H$1003,$W186)))</f>
        <v/>
      </c>
      <c r="I186" s="56" t="str">
        <f aca="false">IF($W186="","",N(INDEX(发票统计!I$4:I$1003,$W186)))</f>
        <v/>
      </c>
      <c r="J186" s="56" t="str">
        <f aca="false">IF($W186="","",N(INDEX(发票统计!J$4:J$1003,$W186)))</f>
        <v/>
      </c>
      <c r="K186" s="56" t="str">
        <f aca="false">IF($W186="","",N(INDEX(发票统计!K$4:K$1003,$W186)))</f>
        <v/>
      </c>
      <c r="L186" s="56" t="str">
        <f aca="false">IF($W186="","",SUM(J$4:J186)-SUM(K$4:K186))</f>
        <v/>
      </c>
      <c r="M186" s="56" t="str">
        <f aca="false">IF($W186="","",N(INDEX(发票统计!M$4:M$1003,$W186)))</f>
        <v/>
      </c>
      <c r="N186" s="56" t="str">
        <f aca="false">IF($W186="","",N(INDEX(发票统计!N$4:N$1003,$W186)))</f>
        <v/>
      </c>
      <c r="O186" s="56" t="str">
        <f aca="false">IF($W186="","",N(INDEX(发票统计!O$4:O$1003,$W186)))</f>
        <v/>
      </c>
      <c r="P186" s="56" t="str">
        <f aca="false">IF($W186="","",SUM(M$4:M186)-SUM(N$4:N186)-SUM(O$4:O186))</f>
        <v/>
      </c>
      <c r="Q186" s="56" t="str">
        <f aca="false">IF($W186="","",N(INDEX(发票统计!Q$4:Q$1003,$W186)))</f>
        <v/>
      </c>
      <c r="R186" s="56" t="str">
        <f aca="false">IF($W186="","",N(INDEX(发票统计!R$4:R$1003,$W186)))</f>
        <v/>
      </c>
      <c r="S186" s="56" t="str">
        <f aca="false">IF($W186="","",N(INDEX(发票统计!S$4:S$1003,$W186)))</f>
        <v/>
      </c>
      <c r="T186" s="56" t="str">
        <f aca="false">IF($W186="","",SUM(Q$4:Q186)-SUM(R$4:R186)-SUM(S$4:S186))</f>
        <v/>
      </c>
      <c r="U186" s="56" t="str">
        <f aca="false">IF($W186="","",INDEX(发票统计!U$4:U$1003,$W186)&amp;"")</f>
        <v/>
      </c>
      <c r="W186" s="1" t="str">
        <f aca="false">IF($V$3="","",IFERROR(MATCH($V$3&amp;"#"&amp;ROWS(W$4:W186),发票统计!$W$4:$W$1003,0),""))</f>
        <v/>
      </c>
    </row>
    <row r="187" customFormat="false" ht="16.5" hidden="false" customHeight="false" outlineLevel="0" collapsed="false">
      <c r="A187" s="3" t="str">
        <f aca="false">IF($W187="","",INDEX(发票统计!A$4:A$1003,$W187)&amp;"")</f>
        <v/>
      </c>
      <c r="B187" s="3" t="str">
        <f aca="false">IF($W187="","",INDEX(发票统计!B$4:B$1003,$W187)&amp;"")</f>
        <v/>
      </c>
      <c r="C187" s="3" t="str">
        <f aca="false">IF($W187="","",INDEX(发票统计!C$4:C$1003,$W187)&amp;"")</f>
        <v/>
      </c>
      <c r="D187" s="3" t="str">
        <f aca="false">IF($W187="","",INDEX(发票统计!D$4:D$1003,$W187)&amp;"")</f>
        <v/>
      </c>
      <c r="E187" s="67" t="str">
        <f aca="false">IF($W187="","",INDEX(发票统计!E$4:E$1003,$W187)&amp;"")</f>
        <v/>
      </c>
      <c r="F187" s="68" t="str">
        <f aca="false">IF($W187="","",INDEX(发票统计!F$4:F$1003,$W187)&amp;"")</f>
        <v/>
      </c>
      <c r="G187" s="68" t="str">
        <f aca="false">IF($W187="","",IF(INDEX(发票统计!G$4:G$1003,$W187)="","",INDEX(发票统计!G$4:G$1003,$W187)))</f>
        <v/>
      </c>
      <c r="H187" s="56" t="str">
        <f aca="false">IF($W187="","",N(INDEX(发票统计!H$4:H$1003,$W187)))</f>
        <v/>
      </c>
      <c r="I187" s="56" t="str">
        <f aca="false">IF($W187="","",N(INDEX(发票统计!I$4:I$1003,$W187)))</f>
        <v/>
      </c>
      <c r="J187" s="56" t="str">
        <f aca="false">IF($W187="","",N(INDEX(发票统计!J$4:J$1003,$W187)))</f>
        <v/>
      </c>
      <c r="K187" s="56" t="str">
        <f aca="false">IF($W187="","",N(INDEX(发票统计!K$4:K$1003,$W187)))</f>
        <v/>
      </c>
      <c r="L187" s="56" t="str">
        <f aca="false">IF($W187="","",SUM(J$4:J187)-SUM(K$4:K187))</f>
        <v/>
      </c>
      <c r="M187" s="56" t="str">
        <f aca="false">IF($W187="","",N(INDEX(发票统计!M$4:M$1003,$W187)))</f>
        <v/>
      </c>
      <c r="N187" s="56" t="str">
        <f aca="false">IF($W187="","",N(INDEX(发票统计!N$4:N$1003,$W187)))</f>
        <v/>
      </c>
      <c r="O187" s="56" t="str">
        <f aca="false">IF($W187="","",N(INDEX(发票统计!O$4:O$1003,$W187)))</f>
        <v/>
      </c>
      <c r="P187" s="56" t="str">
        <f aca="false">IF($W187="","",SUM(M$4:M187)-SUM(N$4:N187)-SUM(O$4:O187))</f>
        <v/>
      </c>
      <c r="Q187" s="56" t="str">
        <f aca="false">IF($W187="","",N(INDEX(发票统计!Q$4:Q$1003,$W187)))</f>
        <v/>
      </c>
      <c r="R187" s="56" t="str">
        <f aca="false">IF($W187="","",N(INDEX(发票统计!R$4:R$1003,$W187)))</f>
        <v/>
      </c>
      <c r="S187" s="56" t="str">
        <f aca="false">IF($W187="","",N(INDEX(发票统计!S$4:S$1003,$W187)))</f>
        <v/>
      </c>
      <c r="T187" s="56" t="str">
        <f aca="false">IF($W187="","",SUM(Q$4:Q187)-SUM(R$4:R187)-SUM(S$4:S187))</f>
        <v/>
      </c>
      <c r="U187" s="56" t="str">
        <f aca="false">IF($W187="","",INDEX(发票统计!U$4:U$1003,$W187)&amp;"")</f>
        <v/>
      </c>
      <c r="W187" s="1" t="str">
        <f aca="false">IF($V$3="","",IFERROR(MATCH($V$3&amp;"#"&amp;ROWS(W$4:W187),发票统计!$W$4:$W$1003,0),""))</f>
        <v/>
      </c>
    </row>
    <row r="188" customFormat="false" ht="16.5" hidden="false" customHeight="false" outlineLevel="0" collapsed="false">
      <c r="A188" s="3" t="str">
        <f aca="false">IF($W188="","",INDEX(发票统计!A$4:A$1003,$W188)&amp;"")</f>
        <v/>
      </c>
      <c r="B188" s="3" t="str">
        <f aca="false">IF($W188="","",INDEX(发票统计!B$4:B$1003,$W188)&amp;"")</f>
        <v/>
      </c>
      <c r="C188" s="3" t="str">
        <f aca="false">IF($W188="","",INDEX(发票统计!C$4:C$1003,$W188)&amp;"")</f>
        <v/>
      </c>
      <c r="D188" s="3" t="str">
        <f aca="false">IF($W188="","",INDEX(发票统计!D$4:D$1003,$W188)&amp;"")</f>
        <v/>
      </c>
      <c r="E188" s="67" t="str">
        <f aca="false">IF($W188="","",INDEX(发票统计!E$4:E$1003,$W188)&amp;"")</f>
        <v/>
      </c>
      <c r="F188" s="68" t="str">
        <f aca="false">IF($W188="","",INDEX(发票统计!F$4:F$1003,$W188)&amp;"")</f>
        <v/>
      </c>
      <c r="G188" s="68" t="str">
        <f aca="false">IF($W188="","",IF(INDEX(发票统计!G$4:G$1003,$W188)="","",INDEX(发票统计!G$4:G$1003,$W188)))</f>
        <v/>
      </c>
      <c r="H188" s="56" t="str">
        <f aca="false">IF($W188="","",N(INDEX(发票统计!H$4:H$1003,$W188)))</f>
        <v/>
      </c>
      <c r="I188" s="56" t="str">
        <f aca="false">IF($W188="","",N(INDEX(发票统计!I$4:I$1003,$W188)))</f>
        <v/>
      </c>
      <c r="J188" s="56" t="str">
        <f aca="false">IF($W188="","",N(INDEX(发票统计!J$4:J$1003,$W188)))</f>
        <v/>
      </c>
      <c r="K188" s="56" t="str">
        <f aca="false">IF($W188="","",N(INDEX(发票统计!K$4:K$1003,$W188)))</f>
        <v/>
      </c>
      <c r="L188" s="56" t="str">
        <f aca="false">IF($W188="","",SUM(J$4:J188)-SUM(K$4:K188))</f>
        <v/>
      </c>
      <c r="M188" s="56" t="str">
        <f aca="false">IF($W188="","",N(INDEX(发票统计!M$4:M$1003,$W188)))</f>
        <v/>
      </c>
      <c r="N188" s="56" t="str">
        <f aca="false">IF($W188="","",N(INDEX(发票统计!N$4:N$1003,$W188)))</f>
        <v/>
      </c>
      <c r="O188" s="56" t="str">
        <f aca="false">IF($W188="","",N(INDEX(发票统计!O$4:O$1003,$W188)))</f>
        <v/>
      </c>
      <c r="P188" s="56" t="str">
        <f aca="false">IF($W188="","",SUM(M$4:M188)-SUM(N$4:N188)-SUM(O$4:O188))</f>
        <v/>
      </c>
      <c r="Q188" s="56" t="str">
        <f aca="false">IF($W188="","",N(INDEX(发票统计!Q$4:Q$1003,$W188)))</f>
        <v/>
      </c>
      <c r="R188" s="56" t="str">
        <f aca="false">IF($W188="","",N(INDEX(发票统计!R$4:R$1003,$W188)))</f>
        <v/>
      </c>
      <c r="S188" s="56" t="str">
        <f aca="false">IF($W188="","",N(INDEX(发票统计!S$4:S$1003,$W188)))</f>
        <v/>
      </c>
      <c r="T188" s="56" t="str">
        <f aca="false">IF($W188="","",SUM(Q$4:Q188)-SUM(R$4:R188)-SUM(S$4:S188))</f>
        <v/>
      </c>
      <c r="U188" s="56" t="str">
        <f aca="false">IF($W188="","",INDEX(发票统计!U$4:U$1003,$W188)&amp;"")</f>
        <v/>
      </c>
      <c r="W188" s="1" t="str">
        <f aca="false">IF($V$3="","",IFERROR(MATCH($V$3&amp;"#"&amp;ROWS(W$4:W188),发票统计!$W$4:$W$1003,0),""))</f>
        <v/>
      </c>
    </row>
    <row r="189" customFormat="false" ht="16.5" hidden="false" customHeight="false" outlineLevel="0" collapsed="false">
      <c r="A189" s="3" t="str">
        <f aca="false">IF($W189="","",INDEX(发票统计!A$4:A$1003,$W189)&amp;"")</f>
        <v/>
      </c>
      <c r="B189" s="3" t="str">
        <f aca="false">IF($W189="","",INDEX(发票统计!B$4:B$1003,$W189)&amp;"")</f>
        <v/>
      </c>
      <c r="C189" s="3" t="str">
        <f aca="false">IF($W189="","",INDEX(发票统计!C$4:C$1003,$W189)&amp;"")</f>
        <v/>
      </c>
      <c r="D189" s="3" t="str">
        <f aca="false">IF($W189="","",INDEX(发票统计!D$4:D$1003,$W189)&amp;"")</f>
        <v/>
      </c>
      <c r="E189" s="67" t="str">
        <f aca="false">IF($W189="","",INDEX(发票统计!E$4:E$1003,$W189)&amp;"")</f>
        <v/>
      </c>
      <c r="F189" s="68" t="str">
        <f aca="false">IF($W189="","",INDEX(发票统计!F$4:F$1003,$W189)&amp;"")</f>
        <v/>
      </c>
      <c r="G189" s="68" t="str">
        <f aca="false">IF($W189="","",IF(INDEX(发票统计!G$4:G$1003,$W189)="","",INDEX(发票统计!G$4:G$1003,$W189)))</f>
        <v/>
      </c>
      <c r="H189" s="56" t="str">
        <f aca="false">IF($W189="","",N(INDEX(发票统计!H$4:H$1003,$W189)))</f>
        <v/>
      </c>
      <c r="I189" s="56" t="str">
        <f aca="false">IF($W189="","",N(INDEX(发票统计!I$4:I$1003,$W189)))</f>
        <v/>
      </c>
      <c r="J189" s="56" t="str">
        <f aca="false">IF($W189="","",N(INDEX(发票统计!J$4:J$1003,$W189)))</f>
        <v/>
      </c>
      <c r="K189" s="56" t="str">
        <f aca="false">IF($W189="","",N(INDEX(发票统计!K$4:K$1003,$W189)))</f>
        <v/>
      </c>
      <c r="L189" s="56" t="str">
        <f aca="false">IF($W189="","",SUM(J$4:J189)-SUM(K$4:K189))</f>
        <v/>
      </c>
      <c r="M189" s="56" t="str">
        <f aca="false">IF($W189="","",N(INDEX(发票统计!M$4:M$1003,$W189)))</f>
        <v/>
      </c>
      <c r="N189" s="56" t="str">
        <f aca="false">IF($W189="","",N(INDEX(发票统计!N$4:N$1003,$W189)))</f>
        <v/>
      </c>
      <c r="O189" s="56" t="str">
        <f aca="false">IF($W189="","",N(INDEX(发票统计!O$4:O$1003,$W189)))</f>
        <v/>
      </c>
      <c r="P189" s="56" t="str">
        <f aca="false">IF($W189="","",SUM(M$4:M189)-SUM(N$4:N189)-SUM(O$4:O189))</f>
        <v/>
      </c>
      <c r="Q189" s="56" t="str">
        <f aca="false">IF($W189="","",N(INDEX(发票统计!Q$4:Q$1003,$W189)))</f>
        <v/>
      </c>
      <c r="R189" s="56" t="str">
        <f aca="false">IF($W189="","",N(INDEX(发票统计!R$4:R$1003,$W189)))</f>
        <v/>
      </c>
      <c r="S189" s="56" t="str">
        <f aca="false">IF($W189="","",N(INDEX(发票统计!S$4:S$1003,$W189)))</f>
        <v/>
      </c>
      <c r="T189" s="56" t="str">
        <f aca="false">IF($W189="","",SUM(Q$4:Q189)-SUM(R$4:R189)-SUM(S$4:S189))</f>
        <v/>
      </c>
      <c r="U189" s="56" t="str">
        <f aca="false">IF($W189="","",INDEX(发票统计!U$4:U$1003,$W189)&amp;"")</f>
        <v/>
      </c>
      <c r="W189" s="1" t="str">
        <f aca="false">IF($V$3="","",IFERROR(MATCH($V$3&amp;"#"&amp;ROWS(W$4:W189),发票统计!$W$4:$W$1003,0),""))</f>
        <v/>
      </c>
    </row>
    <row r="190" customFormat="false" ht="16.5" hidden="false" customHeight="false" outlineLevel="0" collapsed="false">
      <c r="A190" s="3" t="str">
        <f aca="false">IF($W190="","",INDEX(发票统计!A$4:A$1003,$W190)&amp;"")</f>
        <v/>
      </c>
      <c r="B190" s="3" t="str">
        <f aca="false">IF($W190="","",INDEX(发票统计!B$4:B$1003,$W190)&amp;"")</f>
        <v/>
      </c>
      <c r="C190" s="3" t="str">
        <f aca="false">IF($W190="","",INDEX(发票统计!C$4:C$1003,$W190)&amp;"")</f>
        <v/>
      </c>
      <c r="D190" s="3" t="str">
        <f aca="false">IF($W190="","",INDEX(发票统计!D$4:D$1003,$W190)&amp;"")</f>
        <v/>
      </c>
      <c r="E190" s="67" t="str">
        <f aca="false">IF($W190="","",INDEX(发票统计!E$4:E$1003,$W190)&amp;"")</f>
        <v/>
      </c>
      <c r="F190" s="68" t="str">
        <f aca="false">IF($W190="","",INDEX(发票统计!F$4:F$1003,$W190)&amp;"")</f>
        <v/>
      </c>
      <c r="G190" s="68" t="str">
        <f aca="false">IF($W190="","",IF(INDEX(发票统计!G$4:G$1003,$W190)="","",INDEX(发票统计!G$4:G$1003,$W190)))</f>
        <v/>
      </c>
      <c r="H190" s="56" t="str">
        <f aca="false">IF($W190="","",N(INDEX(发票统计!H$4:H$1003,$W190)))</f>
        <v/>
      </c>
      <c r="I190" s="56" t="str">
        <f aca="false">IF($W190="","",N(INDEX(发票统计!I$4:I$1003,$W190)))</f>
        <v/>
      </c>
      <c r="J190" s="56" t="str">
        <f aca="false">IF($W190="","",N(INDEX(发票统计!J$4:J$1003,$W190)))</f>
        <v/>
      </c>
      <c r="K190" s="56" t="str">
        <f aca="false">IF($W190="","",N(INDEX(发票统计!K$4:K$1003,$W190)))</f>
        <v/>
      </c>
      <c r="L190" s="56" t="str">
        <f aca="false">IF($W190="","",SUM(J$4:J190)-SUM(K$4:K190))</f>
        <v/>
      </c>
      <c r="M190" s="56" t="str">
        <f aca="false">IF($W190="","",N(INDEX(发票统计!M$4:M$1003,$W190)))</f>
        <v/>
      </c>
      <c r="N190" s="56" t="str">
        <f aca="false">IF($W190="","",N(INDEX(发票统计!N$4:N$1003,$W190)))</f>
        <v/>
      </c>
      <c r="O190" s="56" t="str">
        <f aca="false">IF($W190="","",N(INDEX(发票统计!O$4:O$1003,$W190)))</f>
        <v/>
      </c>
      <c r="P190" s="56" t="str">
        <f aca="false">IF($W190="","",SUM(M$4:M190)-SUM(N$4:N190)-SUM(O$4:O190))</f>
        <v/>
      </c>
      <c r="Q190" s="56" t="str">
        <f aca="false">IF($W190="","",N(INDEX(发票统计!Q$4:Q$1003,$W190)))</f>
        <v/>
      </c>
      <c r="R190" s="56" t="str">
        <f aca="false">IF($W190="","",N(INDEX(发票统计!R$4:R$1003,$W190)))</f>
        <v/>
      </c>
      <c r="S190" s="56" t="str">
        <f aca="false">IF($W190="","",N(INDEX(发票统计!S$4:S$1003,$W190)))</f>
        <v/>
      </c>
      <c r="T190" s="56" t="str">
        <f aca="false">IF($W190="","",SUM(Q$4:Q190)-SUM(R$4:R190)-SUM(S$4:S190))</f>
        <v/>
      </c>
      <c r="U190" s="56" t="str">
        <f aca="false">IF($W190="","",INDEX(发票统计!U$4:U$1003,$W190)&amp;"")</f>
        <v/>
      </c>
      <c r="W190" s="1" t="str">
        <f aca="false">IF($V$3="","",IFERROR(MATCH($V$3&amp;"#"&amp;ROWS(W$4:W190),发票统计!$W$4:$W$1003,0),""))</f>
        <v/>
      </c>
    </row>
    <row r="191" customFormat="false" ht="16.5" hidden="false" customHeight="false" outlineLevel="0" collapsed="false">
      <c r="A191" s="3" t="str">
        <f aca="false">IF($W191="","",INDEX(发票统计!A$4:A$1003,$W191)&amp;"")</f>
        <v/>
      </c>
      <c r="B191" s="3" t="str">
        <f aca="false">IF($W191="","",INDEX(发票统计!B$4:B$1003,$W191)&amp;"")</f>
        <v/>
      </c>
      <c r="C191" s="3" t="str">
        <f aca="false">IF($W191="","",INDEX(发票统计!C$4:C$1003,$W191)&amp;"")</f>
        <v/>
      </c>
      <c r="D191" s="3" t="str">
        <f aca="false">IF($W191="","",INDEX(发票统计!D$4:D$1003,$W191)&amp;"")</f>
        <v/>
      </c>
      <c r="E191" s="67" t="str">
        <f aca="false">IF($W191="","",INDEX(发票统计!E$4:E$1003,$W191)&amp;"")</f>
        <v/>
      </c>
      <c r="F191" s="68" t="str">
        <f aca="false">IF($W191="","",INDEX(发票统计!F$4:F$1003,$W191)&amp;"")</f>
        <v/>
      </c>
      <c r="G191" s="68" t="str">
        <f aca="false">IF($W191="","",IF(INDEX(发票统计!G$4:G$1003,$W191)="","",INDEX(发票统计!G$4:G$1003,$W191)))</f>
        <v/>
      </c>
      <c r="H191" s="56" t="str">
        <f aca="false">IF($W191="","",N(INDEX(发票统计!H$4:H$1003,$W191)))</f>
        <v/>
      </c>
      <c r="I191" s="56" t="str">
        <f aca="false">IF($W191="","",N(INDEX(发票统计!I$4:I$1003,$W191)))</f>
        <v/>
      </c>
      <c r="J191" s="56" t="str">
        <f aca="false">IF($W191="","",N(INDEX(发票统计!J$4:J$1003,$W191)))</f>
        <v/>
      </c>
      <c r="K191" s="56" t="str">
        <f aca="false">IF($W191="","",N(INDEX(发票统计!K$4:K$1003,$W191)))</f>
        <v/>
      </c>
      <c r="L191" s="56" t="str">
        <f aca="false">IF($W191="","",SUM(J$4:J191)-SUM(K$4:K191))</f>
        <v/>
      </c>
      <c r="M191" s="56" t="str">
        <f aca="false">IF($W191="","",N(INDEX(发票统计!M$4:M$1003,$W191)))</f>
        <v/>
      </c>
      <c r="N191" s="56" t="str">
        <f aca="false">IF($W191="","",N(INDEX(发票统计!N$4:N$1003,$W191)))</f>
        <v/>
      </c>
      <c r="O191" s="56" t="str">
        <f aca="false">IF($W191="","",N(INDEX(发票统计!O$4:O$1003,$W191)))</f>
        <v/>
      </c>
      <c r="P191" s="56" t="str">
        <f aca="false">IF($W191="","",SUM(M$4:M191)-SUM(N$4:N191)-SUM(O$4:O191))</f>
        <v/>
      </c>
      <c r="Q191" s="56" t="str">
        <f aca="false">IF($W191="","",N(INDEX(发票统计!Q$4:Q$1003,$W191)))</f>
        <v/>
      </c>
      <c r="R191" s="56" t="str">
        <f aca="false">IF($W191="","",N(INDEX(发票统计!R$4:R$1003,$W191)))</f>
        <v/>
      </c>
      <c r="S191" s="56" t="str">
        <f aca="false">IF($W191="","",N(INDEX(发票统计!S$4:S$1003,$W191)))</f>
        <v/>
      </c>
      <c r="T191" s="56" t="str">
        <f aca="false">IF($W191="","",SUM(Q$4:Q191)-SUM(R$4:R191)-SUM(S$4:S191))</f>
        <v/>
      </c>
      <c r="U191" s="56" t="str">
        <f aca="false">IF($W191="","",INDEX(发票统计!U$4:U$1003,$W191)&amp;"")</f>
        <v/>
      </c>
      <c r="W191" s="1" t="str">
        <f aca="false">IF($V$3="","",IFERROR(MATCH($V$3&amp;"#"&amp;ROWS(W$4:W191),发票统计!$W$4:$W$1003,0),""))</f>
        <v/>
      </c>
    </row>
    <row r="192" customFormat="false" ht="16.5" hidden="false" customHeight="false" outlineLevel="0" collapsed="false">
      <c r="A192" s="3" t="str">
        <f aca="false">IF($W192="","",INDEX(发票统计!A$4:A$1003,$W192)&amp;"")</f>
        <v/>
      </c>
      <c r="B192" s="3" t="str">
        <f aca="false">IF($W192="","",INDEX(发票统计!B$4:B$1003,$W192)&amp;"")</f>
        <v/>
      </c>
      <c r="C192" s="3" t="str">
        <f aca="false">IF($W192="","",INDEX(发票统计!C$4:C$1003,$W192)&amp;"")</f>
        <v/>
      </c>
      <c r="D192" s="3" t="str">
        <f aca="false">IF($W192="","",INDEX(发票统计!D$4:D$1003,$W192)&amp;"")</f>
        <v/>
      </c>
      <c r="E192" s="67" t="str">
        <f aca="false">IF($W192="","",INDEX(发票统计!E$4:E$1003,$W192)&amp;"")</f>
        <v/>
      </c>
      <c r="F192" s="68" t="str">
        <f aca="false">IF($W192="","",INDEX(发票统计!F$4:F$1003,$W192)&amp;"")</f>
        <v/>
      </c>
      <c r="G192" s="68" t="str">
        <f aca="false">IF($W192="","",IF(INDEX(发票统计!G$4:G$1003,$W192)="","",INDEX(发票统计!G$4:G$1003,$W192)))</f>
        <v/>
      </c>
      <c r="H192" s="56" t="str">
        <f aca="false">IF($W192="","",N(INDEX(发票统计!H$4:H$1003,$W192)))</f>
        <v/>
      </c>
      <c r="I192" s="56" t="str">
        <f aca="false">IF($W192="","",N(INDEX(发票统计!I$4:I$1003,$W192)))</f>
        <v/>
      </c>
      <c r="J192" s="56" t="str">
        <f aca="false">IF($W192="","",N(INDEX(发票统计!J$4:J$1003,$W192)))</f>
        <v/>
      </c>
      <c r="K192" s="56" t="str">
        <f aca="false">IF($W192="","",N(INDEX(发票统计!K$4:K$1003,$W192)))</f>
        <v/>
      </c>
      <c r="L192" s="56" t="str">
        <f aca="false">IF($W192="","",SUM(J$4:J192)-SUM(K$4:K192))</f>
        <v/>
      </c>
      <c r="M192" s="56" t="str">
        <f aca="false">IF($W192="","",N(INDEX(发票统计!M$4:M$1003,$W192)))</f>
        <v/>
      </c>
      <c r="N192" s="56" t="str">
        <f aca="false">IF($W192="","",N(INDEX(发票统计!N$4:N$1003,$W192)))</f>
        <v/>
      </c>
      <c r="O192" s="56" t="str">
        <f aca="false">IF($W192="","",N(INDEX(发票统计!O$4:O$1003,$W192)))</f>
        <v/>
      </c>
      <c r="P192" s="56" t="str">
        <f aca="false">IF($W192="","",SUM(M$4:M192)-SUM(N$4:N192)-SUM(O$4:O192))</f>
        <v/>
      </c>
      <c r="Q192" s="56" t="str">
        <f aca="false">IF($W192="","",N(INDEX(发票统计!Q$4:Q$1003,$W192)))</f>
        <v/>
      </c>
      <c r="R192" s="56" t="str">
        <f aca="false">IF($W192="","",N(INDEX(发票统计!R$4:R$1003,$W192)))</f>
        <v/>
      </c>
      <c r="S192" s="56" t="str">
        <f aca="false">IF($W192="","",N(INDEX(发票统计!S$4:S$1003,$W192)))</f>
        <v/>
      </c>
      <c r="T192" s="56" t="str">
        <f aca="false">IF($W192="","",SUM(Q$4:Q192)-SUM(R$4:R192)-SUM(S$4:S192))</f>
        <v/>
      </c>
      <c r="U192" s="56" t="str">
        <f aca="false">IF($W192="","",INDEX(发票统计!U$4:U$1003,$W192)&amp;"")</f>
        <v/>
      </c>
      <c r="W192" s="1" t="str">
        <f aca="false">IF($V$3="","",IFERROR(MATCH($V$3&amp;"#"&amp;ROWS(W$4:W192),发票统计!$W$4:$W$1003,0),""))</f>
        <v/>
      </c>
    </row>
    <row r="193" customFormat="false" ht="16.5" hidden="false" customHeight="false" outlineLevel="0" collapsed="false">
      <c r="A193" s="3" t="str">
        <f aca="false">IF($W193="","",INDEX(发票统计!A$4:A$1003,$W193)&amp;"")</f>
        <v/>
      </c>
      <c r="B193" s="3" t="str">
        <f aca="false">IF($W193="","",INDEX(发票统计!B$4:B$1003,$W193)&amp;"")</f>
        <v/>
      </c>
      <c r="C193" s="3" t="str">
        <f aca="false">IF($W193="","",INDEX(发票统计!C$4:C$1003,$W193)&amp;"")</f>
        <v/>
      </c>
      <c r="D193" s="3" t="str">
        <f aca="false">IF($W193="","",INDEX(发票统计!D$4:D$1003,$W193)&amp;"")</f>
        <v/>
      </c>
      <c r="E193" s="67" t="str">
        <f aca="false">IF($W193="","",INDEX(发票统计!E$4:E$1003,$W193)&amp;"")</f>
        <v/>
      </c>
      <c r="F193" s="68" t="str">
        <f aca="false">IF($W193="","",INDEX(发票统计!F$4:F$1003,$W193)&amp;"")</f>
        <v/>
      </c>
      <c r="G193" s="68" t="str">
        <f aca="false">IF($W193="","",IF(INDEX(发票统计!G$4:G$1003,$W193)="","",INDEX(发票统计!G$4:G$1003,$W193)))</f>
        <v/>
      </c>
      <c r="H193" s="56" t="str">
        <f aca="false">IF($W193="","",N(INDEX(发票统计!H$4:H$1003,$W193)))</f>
        <v/>
      </c>
      <c r="I193" s="56" t="str">
        <f aca="false">IF($W193="","",N(INDEX(发票统计!I$4:I$1003,$W193)))</f>
        <v/>
      </c>
      <c r="J193" s="56" t="str">
        <f aca="false">IF($W193="","",N(INDEX(发票统计!J$4:J$1003,$W193)))</f>
        <v/>
      </c>
      <c r="K193" s="56" t="str">
        <f aca="false">IF($W193="","",N(INDEX(发票统计!K$4:K$1003,$W193)))</f>
        <v/>
      </c>
      <c r="L193" s="56" t="str">
        <f aca="false">IF($W193="","",SUM(J$4:J193)-SUM(K$4:K193))</f>
        <v/>
      </c>
      <c r="M193" s="56" t="str">
        <f aca="false">IF($W193="","",N(INDEX(发票统计!M$4:M$1003,$W193)))</f>
        <v/>
      </c>
      <c r="N193" s="56" t="str">
        <f aca="false">IF($W193="","",N(INDEX(发票统计!N$4:N$1003,$W193)))</f>
        <v/>
      </c>
      <c r="O193" s="56" t="str">
        <f aca="false">IF($W193="","",N(INDEX(发票统计!O$4:O$1003,$W193)))</f>
        <v/>
      </c>
      <c r="P193" s="56" t="str">
        <f aca="false">IF($W193="","",SUM(M$4:M193)-SUM(N$4:N193)-SUM(O$4:O193))</f>
        <v/>
      </c>
      <c r="Q193" s="56" t="str">
        <f aca="false">IF($W193="","",N(INDEX(发票统计!Q$4:Q$1003,$W193)))</f>
        <v/>
      </c>
      <c r="R193" s="56" t="str">
        <f aca="false">IF($W193="","",N(INDEX(发票统计!R$4:R$1003,$W193)))</f>
        <v/>
      </c>
      <c r="S193" s="56" t="str">
        <f aca="false">IF($W193="","",N(INDEX(发票统计!S$4:S$1003,$W193)))</f>
        <v/>
      </c>
      <c r="T193" s="56" t="str">
        <f aca="false">IF($W193="","",SUM(Q$4:Q193)-SUM(R$4:R193)-SUM(S$4:S193))</f>
        <v/>
      </c>
      <c r="U193" s="56" t="str">
        <f aca="false">IF($W193="","",INDEX(发票统计!U$4:U$1003,$W193)&amp;"")</f>
        <v/>
      </c>
      <c r="W193" s="1" t="str">
        <f aca="false">IF($V$3="","",IFERROR(MATCH($V$3&amp;"#"&amp;ROWS(W$4:W193),发票统计!$W$4:$W$1003,0),""))</f>
        <v/>
      </c>
    </row>
    <row r="194" customFormat="false" ht="16.5" hidden="false" customHeight="false" outlineLevel="0" collapsed="false">
      <c r="A194" s="3" t="str">
        <f aca="false">IF($W194="","",INDEX(发票统计!A$4:A$1003,$W194)&amp;"")</f>
        <v/>
      </c>
      <c r="B194" s="3" t="str">
        <f aca="false">IF($W194="","",INDEX(发票统计!B$4:B$1003,$W194)&amp;"")</f>
        <v/>
      </c>
      <c r="C194" s="3" t="str">
        <f aca="false">IF($W194="","",INDEX(发票统计!C$4:C$1003,$W194)&amp;"")</f>
        <v/>
      </c>
      <c r="D194" s="3" t="str">
        <f aca="false">IF($W194="","",INDEX(发票统计!D$4:D$1003,$W194)&amp;"")</f>
        <v/>
      </c>
      <c r="E194" s="67" t="str">
        <f aca="false">IF($W194="","",INDEX(发票统计!E$4:E$1003,$W194)&amp;"")</f>
        <v/>
      </c>
      <c r="F194" s="68" t="str">
        <f aca="false">IF($W194="","",INDEX(发票统计!F$4:F$1003,$W194)&amp;"")</f>
        <v/>
      </c>
      <c r="G194" s="68" t="str">
        <f aca="false">IF($W194="","",IF(INDEX(发票统计!G$4:G$1003,$W194)="","",INDEX(发票统计!G$4:G$1003,$W194)))</f>
        <v/>
      </c>
      <c r="H194" s="56" t="str">
        <f aca="false">IF($W194="","",N(INDEX(发票统计!H$4:H$1003,$W194)))</f>
        <v/>
      </c>
      <c r="I194" s="56" t="str">
        <f aca="false">IF($W194="","",N(INDEX(发票统计!I$4:I$1003,$W194)))</f>
        <v/>
      </c>
      <c r="J194" s="56" t="str">
        <f aca="false">IF($W194="","",N(INDEX(发票统计!J$4:J$1003,$W194)))</f>
        <v/>
      </c>
      <c r="K194" s="56" t="str">
        <f aca="false">IF($W194="","",N(INDEX(发票统计!K$4:K$1003,$W194)))</f>
        <v/>
      </c>
      <c r="L194" s="56" t="str">
        <f aca="false">IF($W194="","",SUM(J$4:J194)-SUM(K$4:K194))</f>
        <v/>
      </c>
      <c r="M194" s="56" t="str">
        <f aca="false">IF($W194="","",N(INDEX(发票统计!M$4:M$1003,$W194)))</f>
        <v/>
      </c>
      <c r="N194" s="56" t="str">
        <f aca="false">IF($W194="","",N(INDEX(发票统计!N$4:N$1003,$W194)))</f>
        <v/>
      </c>
      <c r="O194" s="56" t="str">
        <f aca="false">IF($W194="","",N(INDEX(发票统计!O$4:O$1003,$W194)))</f>
        <v/>
      </c>
      <c r="P194" s="56" t="str">
        <f aca="false">IF($W194="","",SUM(M$4:M194)-SUM(N$4:N194)-SUM(O$4:O194))</f>
        <v/>
      </c>
      <c r="Q194" s="56" t="str">
        <f aca="false">IF($W194="","",N(INDEX(发票统计!Q$4:Q$1003,$W194)))</f>
        <v/>
      </c>
      <c r="R194" s="56" t="str">
        <f aca="false">IF($W194="","",N(INDEX(发票统计!R$4:R$1003,$W194)))</f>
        <v/>
      </c>
      <c r="S194" s="56" t="str">
        <f aca="false">IF($W194="","",N(INDEX(发票统计!S$4:S$1003,$W194)))</f>
        <v/>
      </c>
      <c r="T194" s="56" t="str">
        <f aca="false">IF($W194="","",SUM(Q$4:Q194)-SUM(R$4:R194)-SUM(S$4:S194))</f>
        <v/>
      </c>
      <c r="U194" s="56" t="str">
        <f aca="false">IF($W194="","",INDEX(发票统计!U$4:U$1003,$W194)&amp;"")</f>
        <v/>
      </c>
      <c r="W194" s="1" t="str">
        <f aca="false">IF($V$3="","",IFERROR(MATCH($V$3&amp;"#"&amp;ROWS(W$4:W194),发票统计!$W$4:$W$1003,0),""))</f>
        <v/>
      </c>
    </row>
    <row r="195" customFormat="false" ht="16.5" hidden="false" customHeight="false" outlineLevel="0" collapsed="false">
      <c r="A195" s="3" t="str">
        <f aca="false">IF($W195="","",INDEX(发票统计!A$4:A$1003,$W195)&amp;"")</f>
        <v/>
      </c>
      <c r="B195" s="3" t="str">
        <f aca="false">IF($W195="","",INDEX(发票统计!B$4:B$1003,$W195)&amp;"")</f>
        <v/>
      </c>
      <c r="C195" s="3" t="str">
        <f aca="false">IF($W195="","",INDEX(发票统计!C$4:C$1003,$W195)&amp;"")</f>
        <v/>
      </c>
      <c r="D195" s="3" t="str">
        <f aca="false">IF($W195="","",INDEX(发票统计!D$4:D$1003,$W195)&amp;"")</f>
        <v/>
      </c>
      <c r="E195" s="67" t="str">
        <f aca="false">IF($W195="","",INDEX(发票统计!E$4:E$1003,$W195)&amp;"")</f>
        <v/>
      </c>
      <c r="F195" s="68" t="str">
        <f aca="false">IF($W195="","",INDEX(发票统计!F$4:F$1003,$W195)&amp;"")</f>
        <v/>
      </c>
      <c r="G195" s="68" t="str">
        <f aca="false">IF($W195="","",IF(INDEX(发票统计!G$4:G$1003,$W195)="","",INDEX(发票统计!G$4:G$1003,$W195)))</f>
        <v/>
      </c>
      <c r="H195" s="56" t="str">
        <f aca="false">IF($W195="","",N(INDEX(发票统计!H$4:H$1003,$W195)))</f>
        <v/>
      </c>
      <c r="I195" s="56" t="str">
        <f aca="false">IF($W195="","",N(INDEX(发票统计!I$4:I$1003,$W195)))</f>
        <v/>
      </c>
      <c r="J195" s="56" t="str">
        <f aca="false">IF($W195="","",N(INDEX(发票统计!J$4:J$1003,$W195)))</f>
        <v/>
      </c>
      <c r="K195" s="56" t="str">
        <f aca="false">IF($W195="","",N(INDEX(发票统计!K$4:K$1003,$W195)))</f>
        <v/>
      </c>
      <c r="L195" s="56" t="str">
        <f aca="false">IF($W195="","",SUM(J$4:J195)-SUM(K$4:K195))</f>
        <v/>
      </c>
      <c r="M195" s="56" t="str">
        <f aca="false">IF($W195="","",N(INDEX(发票统计!M$4:M$1003,$W195)))</f>
        <v/>
      </c>
      <c r="N195" s="56" t="str">
        <f aca="false">IF($W195="","",N(INDEX(发票统计!N$4:N$1003,$W195)))</f>
        <v/>
      </c>
      <c r="O195" s="56" t="str">
        <f aca="false">IF($W195="","",N(INDEX(发票统计!O$4:O$1003,$W195)))</f>
        <v/>
      </c>
      <c r="P195" s="56" t="str">
        <f aca="false">IF($W195="","",SUM(M$4:M195)-SUM(N$4:N195)-SUM(O$4:O195))</f>
        <v/>
      </c>
      <c r="Q195" s="56" t="str">
        <f aca="false">IF($W195="","",N(INDEX(发票统计!Q$4:Q$1003,$W195)))</f>
        <v/>
      </c>
      <c r="R195" s="56" t="str">
        <f aca="false">IF($W195="","",N(INDEX(发票统计!R$4:R$1003,$W195)))</f>
        <v/>
      </c>
      <c r="S195" s="56" t="str">
        <f aca="false">IF($W195="","",N(INDEX(发票统计!S$4:S$1003,$W195)))</f>
        <v/>
      </c>
      <c r="T195" s="56" t="str">
        <f aca="false">IF($W195="","",SUM(Q$4:Q195)-SUM(R$4:R195)-SUM(S$4:S195))</f>
        <v/>
      </c>
      <c r="U195" s="56" t="str">
        <f aca="false">IF($W195="","",INDEX(发票统计!U$4:U$1003,$W195)&amp;"")</f>
        <v/>
      </c>
      <c r="W195" s="1" t="str">
        <f aca="false">IF($V$3="","",IFERROR(MATCH($V$3&amp;"#"&amp;ROWS(W$4:W195),发票统计!$W$4:$W$1003,0),""))</f>
        <v/>
      </c>
    </row>
    <row r="196" customFormat="false" ht="16.5" hidden="false" customHeight="false" outlineLevel="0" collapsed="false">
      <c r="A196" s="3" t="str">
        <f aca="false">IF($W196="","",INDEX(发票统计!A$4:A$1003,$W196)&amp;"")</f>
        <v/>
      </c>
      <c r="B196" s="3" t="str">
        <f aca="false">IF($W196="","",INDEX(发票统计!B$4:B$1003,$W196)&amp;"")</f>
        <v/>
      </c>
      <c r="C196" s="3" t="str">
        <f aca="false">IF($W196="","",INDEX(发票统计!C$4:C$1003,$W196)&amp;"")</f>
        <v/>
      </c>
      <c r="D196" s="3" t="str">
        <f aca="false">IF($W196="","",INDEX(发票统计!D$4:D$1003,$W196)&amp;"")</f>
        <v/>
      </c>
      <c r="E196" s="67" t="str">
        <f aca="false">IF($W196="","",INDEX(发票统计!E$4:E$1003,$W196)&amp;"")</f>
        <v/>
      </c>
      <c r="F196" s="68" t="str">
        <f aca="false">IF($W196="","",INDEX(发票统计!F$4:F$1003,$W196)&amp;"")</f>
        <v/>
      </c>
      <c r="G196" s="68" t="str">
        <f aca="false">IF($W196="","",IF(INDEX(发票统计!G$4:G$1003,$W196)="","",INDEX(发票统计!G$4:G$1003,$W196)))</f>
        <v/>
      </c>
      <c r="H196" s="56" t="str">
        <f aca="false">IF($W196="","",N(INDEX(发票统计!H$4:H$1003,$W196)))</f>
        <v/>
      </c>
      <c r="I196" s="56" t="str">
        <f aca="false">IF($W196="","",N(INDEX(发票统计!I$4:I$1003,$W196)))</f>
        <v/>
      </c>
      <c r="J196" s="56" t="str">
        <f aca="false">IF($W196="","",N(INDEX(发票统计!J$4:J$1003,$W196)))</f>
        <v/>
      </c>
      <c r="K196" s="56" t="str">
        <f aca="false">IF($W196="","",N(INDEX(发票统计!K$4:K$1003,$W196)))</f>
        <v/>
      </c>
      <c r="L196" s="56" t="str">
        <f aca="false">IF($W196="","",SUM(J$4:J196)-SUM(K$4:K196))</f>
        <v/>
      </c>
      <c r="M196" s="56" t="str">
        <f aca="false">IF($W196="","",N(INDEX(发票统计!M$4:M$1003,$W196)))</f>
        <v/>
      </c>
      <c r="N196" s="56" t="str">
        <f aca="false">IF($W196="","",N(INDEX(发票统计!N$4:N$1003,$W196)))</f>
        <v/>
      </c>
      <c r="O196" s="56" t="str">
        <f aca="false">IF($W196="","",N(INDEX(发票统计!O$4:O$1003,$W196)))</f>
        <v/>
      </c>
      <c r="P196" s="56" t="str">
        <f aca="false">IF($W196="","",SUM(M$4:M196)-SUM(N$4:N196)-SUM(O$4:O196))</f>
        <v/>
      </c>
      <c r="Q196" s="56" t="str">
        <f aca="false">IF($W196="","",N(INDEX(发票统计!Q$4:Q$1003,$W196)))</f>
        <v/>
      </c>
      <c r="R196" s="56" t="str">
        <f aca="false">IF($W196="","",N(INDEX(发票统计!R$4:R$1003,$W196)))</f>
        <v/>
      </c>
      <c r="S196" s="56" t="str">
        <f aca="false">IF($W196="","",N(INDEX(发票统计!S$4:S$1003,$W196)))</f>
        <v/>
      </c>
      <c r="T196" s="56" t="str">
        <f aca="false">IF($W196="","",SUM(Q$4:Q196)-SUM(R$4:R196)-SUM(S$4:S196))</f>
        <v/>
      </c>
      <c r="U196" s="56" t="str">
        <f aca="false">IF($W196="","",INDEX(发票统计!U$4:U$1003,$W196)&amp;"")</f>
        <v/>
      </c>
      <c r="W196" s="1" t="str">
        <f aca="false">IF($V$3="","",IFERROR(MATCH($V$3&amp;"#"&amp;ROWS(W$4:W196),发票统计!$W$4:$W$1003,0),""))</f>
        <v/>
      </c>
    </row>
    <row r="197" customFormat="false" ht="16.5" hidden="false" customHeight="false" outlineLevel="0" collapsed="false">
      <c r="A197" s="3" t="str">
        <f aca="false">IF($W197="","",INDEX(发票统计!A$4:A$1003,$W197)&amp;"")</f>
        <v/>
      </c>
      <c r="B197" s="3" t="str">
        <f aca="false">IF($W197="","",INDEX(发票统计!B$4:B$1003,$W197)&amp;"")</f>
        <v/>
      </c>
      <c r="C197" s="3" t="str">
        <f aca="false">IF($W197="","",INDEX(发票统计!C$4:C$1003,$W197)&amp;"")</f>
        <v/>
      </c>
      <c r="D197" s="3" t="str">
        <f aca="false">IF($W197="","",INDEX(发票统计!D$4:D$1003,$W197)&amp;"")</f>
        <v/>
      </c>
      <c r="E197" s="67" t="str">
        <f aca="false">IF($W197="","",INDEX(发票统计!E$4:E$1003,$W197)&amp;"")</f>
        <v/>
      </c>
      <c r="F197" s="68" t="str">
        <f aca="false">IF($W197="","",INDEX(发票统计!F$4:F$1003,$W197)&amp;"")</f>
        <v/>
      </c>
      <c r="G197" s="68" t="str">
        <f aca="false">IF($W197="","",IF(INDEX(发票统计!G$4:G$1003,$W197)="","",INDEX(发票统计!G$4:G$1003,$W197)))</f>
        <v/>
      </c>
      <c r="H197" s="56" t="str">
        <f aca="false">IF($W197="","",N(INDEX(发票统计!H$4:H$1003,$W197)))</f>
        <v/>
      </c>
      <c r="I197" s="56" t="str">
        <f aca="false">IF($W197="","",N(INDEX(发票统计!I$4:I$1003,$W197)))</f>
        <v/>
      </c>
      <c r="J197" s="56" t="str">
        <f aca="false">IF($W197="","",N(INDEX(发票统计!J$4:J$1003,$W197)))</f>
        <v/>
      </c>
      <c r="K197" s="56" t="str">
        <f aca="false">IF($W197="","",N(INDEX(发票统计!K$4:K$1003,$W197)))</f>
        <v/>
      </c>
      <c r="L197" s="56" t="str">
        <f aca="false">IF($W197="","",SUM(J$4:J197)-SUM(K$4:K197))</f>
        <v/>
      </c>
      <c r="M197" s="56" t="str">
        <f aca="false">IF($W197="","",N(INDEX(发票统计!M$4:M$1003,$W197)))</f>
        <v/>
      </c>
      <c r="N197" s="56" t="str">
        <f aca="false">IF($W197="","",N(INDEX(发票统计!N$4:N$1003,$W197)))</f>
        <v/>
      </c>
      <c r="O197" s="56" t="str">
        <f aca="false">IF($W197="","",N(INDEX(发票统计!O$4:O$1003,$W197)))</f>
        <v/>
      </c>
      <c r="P197" s="56" t="str">
        <f aca="false">IF($W197="","",SUM(M$4:M197)-SUM(N$4:N197)-SUM(O$4:O197))</f>
        <v/>
      </c>
      <c r="Q197" s="56" t="str">
        <f aca="false">IF($W197="","",N(INDEX(发票统计!Q$4:Q$1003,$W197)))</f>
        <v/>
      </c>
      <c r="R197" s="56" t="str">
        <f aca="false">IF($W197="","",N(INDEX(发票统计!R$4:R$1003,$W197)))</f>
        <v/>
      </c>
      <c r="S197" s="56" t="str">
        <f aca="false">IF($W197="","",N(INDEX(发票统计!S$4:S$1003,$W197)))</f>
        <v/>
      </c>
      <c r="T197" s="56" t="str">
        <f aca="false">IF($W197="","",SUM(Q$4:Q197)-SUM(R$4:R197)-SUM(S$4:S197))</f>
        <v/>
      </c>
      <c r="U197" s="56" t="str">
        <f aca="false">IF($W197="","",INDEX(发票统计!U$4:U$1003,$W197)&amp;"")</f>
        <v/>
      </c>
      <c r="W197" s="1" t="str">
        <f aca="false">IF($V$3="","",IFERROR(MATCH($V$3&amp;"#"&amp;ROWS(W$4:W197),发票统计!$W$4:$W$1003,0),""))</f>
        <v/>
      </c>
    </row>
    <row r="198" customFormat="false" ht="16.5" hidden="false" customHeight="false" outlineLevel="0" collapsed="false">
      <c r="A198" s="3" t="str">
        <f aca="false">IF($W198="","",INDEX(发票统计!A$4:A$1003,$W198)&amp;"")</f>
        <v/>
      </c>
      <c r="B198" s="3" t="str">
        <f aca="false">IF($W198="","",INDEX(发票统计!B$4:B$1003,$W198)&amp;"")</f>
        <v/>
      </c>
      <c r="C198" s="3" t="str">
        <f aca="false">IF($W198="","",INDEX(发票统计!C$4:C$1003,$W198)&amp;"")</f>
        <v/>
      </c>
      <c r="D198" s="3" t="str">
        <f aca="false">IF($W198="","",INDEX(发票统计!D$4:D$1003,$W198)&amp;"")</f>
        <v/>
      </c>
      <c r="E198" s="67" t="str">
        <f aca="false">IF($W198="","",INDEX(发票统计!E$4:E$1003,$W198)&amp;"")</f>
        <v/>
      </c>
      <c r="F198" s="68" t="str">
        <f aca="false">IF($W198="","",INDEX(发票统计!F$4:F$1003,$W198)&amp;"")</f>
        <v/>
      </c>
      <c r="G198" s="68" t="str">
        <f aca="false">IF($W198="","",IF(INDEX(发票统计!G$4:G$1003,$W198)="","",INDEX(发票统计!G$4:G$1003,$W198)))</f>
        <v/>
      </c>
      <c r="H198" s="56" t="str">
        <f aca="false">IF($W198="","",N(INDEX(发票统计!H$4:H$1003,$W198)))</f>
        <v/>
      </c>
      <c r="I198" s="56" t="str">
        <f aca="false">IF($W198="","",N(INDEX(发票统计!I$4:I$1003,$W198)))</f>
        <v/>
      </c>
      <c r="J198" s="56" t="str">
        <f aca="false">IF($W198="","",N(INDEX(发票统计!J$4:J$1003,$W198)))</f>
        <v/>
      </c>
      <c r="K198" s="56" t="str">
        <f aca="false">IF($W198="","",N(INDEX(发票统计!K$4:K$1003,$W198)))</f>
        <v/>
      </c>
      <c r="L198" s="56" t="str">
        <f aca="false">IF($W198="","",SUM(J$4:J198)-SUM(K$4:K198))</f>
        <v/>
      </c>
      <c r="M198" s="56" t="str">
        <f aca="false">IF($W198="","",N(INDEX(发票统计!M$4:M$1003,$W198)))</f>
        <v/>
      </c>
      <c r="N198" s="56" t="str">
        <f aca="false">IF($W198="","",N(INDEX(发票统计!N$4:N$1003,$W198)))</f>
        <v/>
      </c>
      <c r="O198" s="56" t="str">
        <f aca="false">IF($W198="","",N(INDEX(发票统计!O$4:O$1003,$W198)))</f>
        <v/>
      </c>
      <c r="P198" s="56" t="str">
        <f aca="false">IF($W198="","",SUM(M$4:M198)-SUM(N$4:N198)-SUM(O$4:O198))</f>
        <v/>
      </c>
      <c r="Q198" s="56" t="str">
        <f aca="false">IF($W198="","",N(INDEX(发票统计!Q$4:Q$1003,$W198)))</f>
        <v/>
      </c>
      <c r="R198" s="56" t="str">
        <f aca="false">IF($W198="","",N(INDEX(发票统计!R$4:R$1003,$W198)))</f>
        <v/>
      </c>
      <c r="S198" s="56" t="str">
        <f aca="false">IF($W198="","",N(INDEX(发票统计!S$4:S$1003,$W198)))</f>
        <v/>
      </c>
      <c r="T198" s="56" t="str">
        <f aca="false">IF($W198="","",SUM(Q$4:Q198)-SUM(R$4:R198)-SUM(S$4:S198))</f>
        <v/>
      </c>
      <c r="U198" s="56" t="str">
        <f aca="false">IF($W198="","",INDEX(发票统计!U$4:U$1003,$W198)&amp;"")</f>
        <v/>
      </c>
      <c r="W198" s="1" t="str">
        <f aca="false">IF($V$3="","",IFERROR(MATCH($V$3&amp;"#"&amp;ROWS(W$4:W198),发票统计!$W$4:$W$1003,0),""))</f>
        <v/>
      </c>
    </row>
    <row r="199" customFormat="false" ht="16.5" hidden="false" customHeight="false" outlineLevel="0" collapsed="false">
      <c r="A199" s="3" t="str">
        <f aca="false">IF($W199="","",INDEX(发票统计!A$4:A$1003,$W199)&amp;"")</f>
        <v/>
      </c>
      <c r="B199" s="3" t="str">
        <f aca="false">IF($W199="","",INDEX(发票统计!B$4:B$1003,$W199)&amp;"")</f>
        <v/>
      </c>
      <c r="C199" s="3" t="str">
        <f aca="false">IF($W199="","",INDEX(发票统计!C$4:C$1003,$W199)&amp;"")</f>
        <v/>
      </c>
      <c r="D199" s="3" t="str">
        <f aca="false">IF($W199="","",INDEX(发票统计!D$4:D$1003,$W199)&amp;"")</f>
        <v/>
      </c>
      <c r="E199" s="67" t="str">
        <f aca="false">IF($W199="","",INDEX(发票统计!E$4:E$1003,$W199)&amp;"")</f>
        <v/>
      </c>
      <c r="F199" s="68" t="str">
        <f aca="false">IF($W199="","",INDEX(发票统计!F$4:F$1003,$W199)&amp;"")</f>
        <v/>
      </c>
      <c r="G199" s="68" t="str">
        <f aca="false">IF($W199="","",IF(INDEX(发票统计!G$4:G$1003,$W199)="","",INDEX(发票统计!G$4:G$1003,$W199)))</f>
        <v/>
      </c>
      <c r="H199" s="56" t="str">
        <f aca="false">IF($W199="","",N(INDEX(发票统计!H$4:H$1003,$W199)))</f>
        <v/>
      </c>
      <c r="I199" s="56" t="str">
        <f aca="false">IF($W199="","",N(INDEX(发票统计!I$4:I$1003,$W199)))</f>
        <v/>
      </c>
      <c r="J199" s="56" t="str">
        <f aca="false">IF($W199="","",N(INDEX(发票统计!J$4:J$1003,$W199)))</f>
        <v/>
      </c>
      <c r="K199" s="56" t="str">
        <f aca="false">IF($W199="","",N(INDEX(发票统计!K$4:K$1003,$W199)))</f>
        <v/>
      </c>
      <c r="L199" s="56" t="str">
        <f aca="false">IF($W199="","",SUM(J$4:J199)-SUM(K$4:K199))</f>
        <v/>
      </c>
      <c r="M199" s="56" t="str">
        <f aca="false">IF($W199="","",N(INDEX(发票统计!M$4:M$1003,$W199)))</f>
        <v/>
      </c>
      <c r="N199" s="56" t="str">
        <f aca="false">IF($W199="","",N(INDEX(发票统计!N$4:N$1003,$W199)))</f>
        <v/>
      </c>
      <c r="O199" s="56" t="str">
        <f aca="false">IF($W199="","",N(INDEX(发票统计!O$4:O$1003,$W199)))</f>
        <v/>
      </c>
      <c r="P199" s="56" t="str">
        <f aca="false">IF($W199="","",SUM(M$4:M199)-SUM(N$4:N199)-SUM(O$4:O199))</f>
        <v/>
      </c>
      <c r="Q199" s="56" t="str">
        <f aca="false">IF($W199="","",N(INDEX(发票统计!Q$4:Q$1003,$W199)))</f>
        <v/>
      </c>
      <c r="R199" s="56" t="str">
        <f aca="false">IF($W199="","",N(INDEX(发票统计!R$4:R$1003,$W199)))</f>
        <v/>
      </c>
      <c r="S199" s="56" t="str">
        <f aca="false">IF($W199="","",N(INDEX(发票统计!S$4:S$1003,$W199)))</f>
        <v/>
      </c>
      <c r="T199" s="56" t="str">
        <f aca="false">IF($W199="","",SUM(Q$4:Q199)-SUM(R$4:R199)-SUM(S$4:S199))</f>
        <v/>
      </c>
      <c r="U199" s="56" t="str">
        <f aca="false">IF($W199="","",INDEX(发票统计!U$4:U$1003,$W199)&amp;"")</f>
        <v/>
      </c>
      <c r="W199" s="1" t="str">
        <f aca="false">IF($V$3="","",IFERROR(MATCH($V$3&amp;"#"&amp;ROWS(W$4:W199),发票统计!$W$4:$W$1003,0),""))</f>
        <v/>
      </c>
    </row>
    <row r="200" customFormat="false" ht="16.5" hidden="false" customHeight="false" outlineLevel="0" collapsed="false">
      <c r="A200" s="3" t="str">
        <f aca="false">IF($W200="","",INDEX(发票统计!A$4:A$1003,$W200)&amp;"")</f>
        <v/>
      </c>
      <c r="B200" s="3" t="str">
        <f aca="false">IF($W200="","",INDEX(发票统计!B$4:B$1003,$W200)&amp;"")</f>
        <v/>
      </c>
      <c r="C200" s="3" t="str">
        <f aca="false">IF($W200="","",INDEX(发票统计!C$4:C$1003,$W200)&amp;"")</f>
        <v/>
      </c>
      <c r="D200" s="3" t="str">
        <f aca="false">IF($W200="","",INDEX(发票统计!D$4:D$1003,$W200)&amp;"")</f>
        <v/>
      </c>
      <c r="E200" s="67" t="str">
        <f aca="false">IF($W200="","",INDEX(发票统计!E$4:E$1003,$W200)&amp;"")</f>
        <v/>
      </c>
      <c r="F200" s="68" t="str">
        <f aca="false">IF($W200="","",INDEX(发票统计!F$4:F$1003,$W200)&amp;"")</f>
        <v/>
      </c>
      <c r="G200" s="68" t="str">
        <f aca="false">IF($W200="","",IF(INDEX(发票统计!G$4:G$1003,$W200)="","",INDEX(发票统计!G$4:G$1003,$W200)))</f>
        <v/>
      </c>
      <c r="H200" s="56" t="str">
        <f aca="false">IF($W200="","",N(INDEX(发票统计!H$4:H$1003,$W200)))</f>
        <v/>
      </c>
      <c r="I200" s="56" t="str">
        <f aca="false">IF($W200="","",N(INDEX(发票统计!I$4:I$1003,$W200)))</f>
        <v/>
      </c>
      <c r="J200" s="56" t="str">
        <f aca="false">IF($W200="","",N(INDEX(发票统计!J$4:J$1003,$W200)))</f>
        <v/>
      </c>
      <c r="K200" s="56" t="str">
        <f aca="false">IF($W200="","",N(INDEX(发票统计!K$4:K$1003,$W200)))</f>
        <v/>
      </c>
      <c r="L200" s="56" t="str">
        <f aca="false">IF($W200="","",SUM(J$4:J200)-SUM(K$4:K200))</f>
        <v/>
      </c>
      <c r="M200" s="56" t="str">
        <f aca="false">IF($W200="","",N(INDEX(发票统计!M$4:M$1003,$W200)))</f>
        <v/>
      </c>
      <c r="N200" s="56" t="str">
        <f aca="false">IF($W200="","",N(INDEX(发票统计!N$4:N$1003,$W200)))</f>
        <v/>
      </c>
      <c r="O200" s="56" t="str">
        <f aca="false">IF($W200="","",N(INDEX(发票统计!O$4:O$1003,$W200)))</f>
        <v/>
      </c>
      <c r="P200" s="56" t="str">
        <f aca="false">IF($W200="","",SUM(M$4:M200)-SUM(N$4:N200)-SUM(O$4:O200))</f>
        <v/>
      </c>
      <c r="Q200" s="56" t="str">
        <f aca="false">IF($W200="","",N(INDEX(发票统计!Q$4:Q$1003,$W200)))</f>
        <v/>
      </c>
      <c r="R200" s="56" t="str">
        <f aca="false">IF($W200="","",N(INDEX(发票统计!R$4:R$1003,$W200)))</f>
        <v/>
      </c>
      <c r="S200" s="56" t="str">
        <f aca="false">IF($W200="","",N(INDEX(发票统计!S$4:S$1003,$W200)))</f>
        <v/>
      </c>
      <c r="T200" s="56" t="str">
        <f aca="false">IF($W200="","",SUM(Q$4:Q200)-SUM(R$4:R200)-SUM(S$4:S200))</f>
        <v/>
      </c>
      <c r="U200" s="56" t="str">
        <f aca="false">IF($W200="","",INDEX(发票统计!U$4:U$1003,$W200)&amp;"")</f>
        <v/>
      </c>
      <c r="W200" s="1" t="str">
        <f aca="false">IF($V$3="","",IFERROR(MATCH($V$3&amp;"#"&amp;ROWS(W$4:W200),发票统计!$W$4:$W$1003,0),""))</f>
        <v/>
      </c>
    </row>
    <row r="201" customFormat="false" ht="16.5" hidden="false" customHeight="false" outlineLevel="0" collapsed="false">
      <c r="A201" s="3" t="str">
        <f aca="false">IF($W201="","",INDEX(发票统计!A$4:A$1003,$W201)&amp;"")</f>
        <v/>
      </c>
      <c r="B201" s="3" t="str">
        <f aca="false">IF($W201="","",INDEX(发票统计!B$4:B$1003,$W201)&amp;"")</f>
        <v/>
      </c>
      <c r="C201" s="3" t="str">
        <f aca="false">IF($W201="","",INDEX(发票统计!C$4:C$1003,$W201)&amp;"")</f>
        <v/>
      </c>
      <c r="D201" s="3" t="str">
        <f aca="false">IF($W201="","",INDEX(发票统计!D$4:D$1003,$W201)&amp;"")</f>
        <v/>
      </c>
      <c r="E201" s="67" t="str">
        <f aca="false">IF($W201="","",INDEX(发票统计!E$4:E$1003,$W201)&amp;"")</f>
        <v/>
      </c>
      <c r="F201" s="68" t="str">
        <f aca="false">IF($W201="","",INDEX(发票统计!F$4:F$1003,$W201)&amp;"")</f>
        <v/>
      </c>
      <c r="G201" s="68" t="str">
        <f aca="false">IF($W201="","",IF(INDEX(发票统计!G$4:G$1003,$W201)="","",INDEX(发票统计!G$4:G$1003,$W201)))</f>
        <v/>
      </c>
      <c r="H201" s="56" t="str">
        <f aca="false">IF($W201="","",N(INDEX(发票统计!H$4:H$1003,$W201)))</f>
        <v/>
      </c>
      <c r="I201" s="56" t="str">
        <f aca="false">IF($W201="","",N(INDEX(发票统计!I$4:I$1003,$W201)))</f>
        <v/>
      </c>
      <c r="J201" s="56" t="str">
        <f aca="false">IF($W201="","",N(INDEX(发票统计!J$4:J$1003,$W201)))</f>
        <v/>
      </c>
      <c r="K201" s="56" t="str">
        <f aca="false">IF($W201="","",N(INDEX(发票统计!K$4:K$1003,$W201)))</f>
        <v/>
      </c>
      <c r="L201" s="56" t="str">
        <f aca="false">IF($W201="","",SUM(J$4:J201)-SUM(K$4:K201))</f>
        <v/>
      </c>
      <c r="M201" s="56" t="str">
        <f aca="false">IF($W201="","",N(INDEX(发票统计!M$4:M$1003,$W201)))</f>
        <v/>
      </c>
      <c r="N201" s="56" t="str">
        <f aca="false">IF($W201="","",N(INDEX(发票统计!N$4:N$1003,$W201)))</f>
        <v/>
      </c>
      <c r="O201" s="56" t="str">
        <f aca="false">IF($W201="","",N(INDEX(发票统计!O$4:O$1003,$W201)))</f>
        <v/>
      </c>
      <c r="P201" s="56" t="str">
        <f aca="false">IF($W201="","",SUM(M$4:M201)-SUM(N$4:N201)-SUM(O$4:O201))</f>
        <v/>
      </c>
      <c r="Q201" s="56" t="str">
        <f aca="false">IF($W201="","",N(INDEX(发票统计!Q$4:Q$1003,$W201)))</f>
        <v/>
      </c>
      <c r="R201" s="56" t="str">
        <f aca="false">IF($W201="","",N(INDEX(发票统计!R$4:R$1003,$W201)))</f>
        <v/>
      </c>
      <c r="S201" s="56" t="str">
        <f aca="false">IF($W201="","",N(INDEX(发票统计!S$4:S$1003,$W201)))</f>
        <v/>
      </c>
      <c r="T201" s="56" t="str">
        <f aca="false">IF($W201="","",SUM(Q$4:Q201)-SUM(R$4:R201)-SUM(S$4:S201))</f>
        <v/>
      </c>
      <c r="U201" s="56" t="str">
        <f aca="false">IF($W201="","",INDEX(发票统计!U$4:U$1003,$W201)&amp;"")</f>
        <v/>
      </c>
      <c r="W201" s="1" t="str">
        <f aca="false">IF($V$3="","",IFERROR(MATCH($V$3&amp;"#"&amp;ROWS(W$4:W201),发票统计!$W$4:$W$1003,0),""))</f>
        <v/>
      </c>
    </row>
    <row r="202" customFormat="false" ht="16.5" hidden="false" customHeight="false" outlineLevel="0" collapsed="false">
      <c r="A202" s="3" t="str">
        <f aca="false">IF($W202="","",INDEX(发票统计!A$4:A$1003,$W202)&amp;"")</f>
        <v/>
      </c>
      <c r="B202" s="3" t="str">
        <f aca="false">IF($W202="","",INDEX(发票统计!B$4:B$1003,$W202)&amp;"")</f>
        <v/>
      </c>
      <c r="C202" s="3" t="str">
        <f aca="false">IF($W202="","",INDEX(发票统计!C$4:C$1003,$W202)&amp;"")</f>
        <v/>
      </c>
      <c r="D202" s="3" t="str">
        <f aca="false">IF($W202="","",INDEX(发票统计!D$4:D$1003,$W202)&amp;"")</f>
        <v/>
      </c>
      <c r="E202" s="67" t="str">
        <f aca="false">IF($W202="","",INDEX(发票统计!E$4:E$1003,$W202)&amp;"")</f>
        <v/>
      </c>
      <c r="F202" s="68" t="str">
        <f aca="false">IF($W202="","",INDEX(发票统计!F$4:F$1003,$W202)&amp;"")</f>
        <v/>
      </c>
      <c r="G202" s="68" t="str">
        <f aca="false">IF($W202="","",IF(INDEX(发票统计!G$4:G$1003,$W202)="","",INDEX(发票统计!G$4:G$1003,$W202)))</f>
        <v/>
      </c>
      <c r="H202" s="56" t="str">
        <f aca="false">IF($W202="","",N(INDEX(发票统计!H$4:H$1003,$W202)))</f>
        <v/>
      </c>
      <c r="I202" s="56" t="str">
        <f aca="false">IF($W202="","",N(INDEX(发票统计!I$4:I$1003,$W202)))</f>
        <v/>
      </c>
      <c r="J202" s="56" t="str">
        <f aca="false">IF($W202="","",N(INDEX(发票统计!J$4:J$1003,$W202)))</f>
        <v/>
      </c>
      <c r="K202" s="56" t="str">
        <f aca="false">IF($W202="","",N(INDEX(发票统计!K$4:K$1003,$W202)))</f>
        <v/>
      </c>
      <c r="L202" s="56" t="str">
        <f aca="false">IF($W202="","",SUM(J$4:J202)-SUM(K$4:K202))</f>
        <v/>
      </c>
      <c r="M202" s="56" t="str">
        <f aca="false">IF($W202="","",N(INDEX(发票统计!M$4:M$1003,$W202)))</f>
        <v/>
      </c>
      <c r="N202" s="56" t="str">
        <f aca="false">IF($W202="","",N(INDEX(发票统计!N$4:N$1003,$W202)))</f>
        <v/>
      </c>
      <c r="O202" s="56" t="str">
        <f aca="false">IF($W202="","",N(INDEX(发票统计!O$4:O$1003,$W202)))</f>
        <v/>
      </c>
      <c r="P202" s="56" t="str">
        <f aca="false">IF($W202="","",SUM(M$4:M202)-SUM(N$4:N202)-SUM(O$4:O202))</f>
        <v/>
      </c>
      <c r="Q202" s="56" t="str">
        <f aca="false">IF($W202="","",N(INDEX(发票统计!Q$4:Q$1003,$W202)))</f>
        <v/>
      </c>
      <c r="R202" s="56" t="str">
        <f aca="false">IF($W202="","",N(INDEX(发票统计!R$4:R$1003,$W202)))</f>
        <v/>
      </c>
      <c r="S202" s="56" t="str">
        <f aca="false">IF($W202="","",N(INDEX(发票统计!S$4:S$1003,$W202)))</f>
        <v/>
      </c>
      <c r="T202" s="56" t="str">
        <f aca="false">IF($W202="","",SUM(Q$4:Q202)-SUM(R$4:R202)-SUM(S$4:S202))</f>
        <v/>
      </c>
      <c r="U202" s="56" t="str">
        <f aca="false">IF($W202="","",INDEX(发票统计!U$4:U$1003,$W202)&amp;"")</f>
        <v/>
      </c>
      <c r="W202" s="1" t="str">
        <f aca="false">IF($V$3="","",IFERROR(MATCH($V$3&amp;"#"&amp;ROWS(W$4:W202),发票统计!$W$4:$W$1003,0),""))</f>
        <v/>
      </c>
    </row>
    <row r="203" customFormat="false" ht="16.5" hidden="false" customHeight="false" outlineLevel="0" collapsed="false">
      <c r="A203" s="3" t="str">
        <f aca="false">IF($W203="","",INDEX(发票统计!A$4:A$1003,$W203)&amp;"")</f>
        <v/>
      </c>
      <c r="B203" s="3" t="str">
        <f aca="false">IF($W203="","",INDEX(发票统计!B$4:B$1003,$W203)&amp;"")</f>
        <v/>
      </c>
      <c r="C203" s="3" t="str">
        <f aca="false">IF($W203="","",INDEX(发票统计!C$4:C$1003,$W203)&amp;"")</f>
        <v/>
      </c>
      <c r="D203" s="3" t="str">
        <f aca="false">IF($W203="","",INDEX(发票统计!D$4:D$1003,$W203)&amp;"")</f>
        <v/>
      </c>
      <c r="E203" s="67" t="str">
        <f aca="false">IF($W203="","",INDEX(发票统计!E$4:E$1003,$W203)&amp;"")</f>
        <v/>
      </c>
      <c r="F203" s="68" t="str">
        <f aca="false">IF($W203="","",INDEX(发票统计!F$4:F$1003,$W203)&amp;"")</f>
        <v/>
      </c>
      <c r="G203" s="68" t="str">
        <f aca="false">IF($W203="","",IF(INDEX(发票统计!G$4:G$1003,$W203)="","",INDEX(发票统计!G$4:G$1003,$W203)))</f>
        <v/>
      </c>
      <c r="H203" s="56" t="str">
        <f aca="false">IF($W203="","",N(INDEX(发票统计!H$4:H$1003,$W203)))</f>
        <v/>
      </c>
      <c r="I203" s="56" t="str">
        <f aca="false">IF($W203="","",N(INDEX(发票统计!I$4:I$1003,$W203)))</f>
        <v/>
      </c>
      <c r="J203" s="56" t="str">
        <f aca="false">IF($W203="","",N(INDEX(发票统计!J$4:J$1003,$W203)))</f>
        <v/>
      </c>
      <c r="K203" s="56" t="str">
        <f aca="false">IF($W203="","",N(INDEX(发票统计!K$4:K$1003,$W203)))</f>
        <v/>
      </c>
      <c r="L203" s="56" t="str">
        <f aca="false">IF($W203="","",SUM(J$4:J203)-SUM(K$4:K203))</f>
        <v/>
      </c>
      <c r="M203" s="56" t="str">
        <f aca="false">IF($W203="","",N(INDEX(发票统计!M$4:M$1003,$W203)))</f>
        <v/>
      </c>
      <c r="N203" s="56" t="str">
        <f aca="false">IF($W203="","",N(INDEX(发票统计!N$4:N$1003,$W203)))</f>
        <v/>
      </c>
      <c r="O203" s="56" t="str">
        <f aca="false">IF($W203="","",N(INDEX(发票统计!O$4:O$1003,$W203)))</f>
        <v/>
      </c>
      <c r="P203" s="56" t="str">
        <f aca="false">IF($W203="","",SUM(M$4:M203)-SUM(N$4:N203)-SUM(O$4:O203))</f>
        <v/>
      </c>
      <c r="Q203" s="56" t="str">
        <f aca="false">IF($W203="","",N(INDEX(发票统计!Q$4:Q$1003,$W203)))</f>
        <v/>
      </c>
      <c r="R203" s="56" t="str">
        <f aca="false">IF($W203="","",N(INDEX(发票统计!R$4:R$1003,$W203)))</f>
        <v/>
      </c>
      <c r="S203" s="56" t="str">
        <f aca="false">IF($W203="","",N(INDEX(发票统计!S$4:S$1003,$W203)))</f>
        <v/>
      </c>
      <c r="T203" s="56" t="str">
        <f aca="false">IF($W203="","",SUM(Q$4:Q203)-SUM(R$4:R203)-SUM(S$4:S203))</f>
        <v/>
      </c>
      <c r="U203" s="56" t="str">
        <f aca="false">IF($W203="","",INDEX(发票统计!U$4:U$1003,$W203)&amp;"")</f>
        <v/>
      </c>
      <c r="W203" s="1" t="str">
        <f aca="false">IF($V$3="","",IFERROR(MATCH($V$3&amp;"#"&amp;ROWS(W$4:W203),发票统计!$W$4:$W$1003,0),""))</f>
        <v/>
      </c>
    </row>
    <row r="204" customFormat="false" ht="16.5" hidden="false" customHeight="false" outlineLevel="0" collapsed="false">
      <c r="A204" s="3" t="str">
        <f aca="false">IF($W204="","",INDEX(发票统计!A$4:A$1003,$W204)&amp;"")</f>
        <v/>
      </c>
      <c r="B204" s="3" t="str">
        <f aca="false">IF($W204="","",INDEX(发票统计!B$4:B$1003,$W204)&amp;"")</f>
        <v/>
      </c>
      <c r="C204" s="3" t="str">
        <f aca="false">IF($W204="","",INDEX(发票统计!C$4:C$1003,$W204)&amp;"")</f>
        <v/>
      </c>
      <c r="D204" s="3" t="str">
        <f aca="false">IF($W204="","",INDEX(发票统计!D$4:D$1003,$W204)&amp;"")</f>
        <v/>
      </c>
      <c r="E204" s="67" t="str">
        <f aca="false">IF($W204="","",INDEX(发票统计!E$4:E$1003,$W204)&amp;"")</f>
        <v/>
      </c>
      <c r="F204" s="68" t="str">
        <f aca="false">IF($W204="","",INDEX(发票统计!F$4:F$1003,$W204)&amp;"")</f>
        <v/>
      </c>
      <c r="G204" s="68" t="str">
        <f aca="false">IF($W204="","",IF(INDEX(发票统计!G$4:G$1003,$W204)="","",INDEX(发票统计!G$4:G$1003,$W204)))</f>
        <v/>
      </c>
      <c r="H204" s="56" t="str">
        <f aca="false">IF($W204="","",N(INDEX(发票统计!H$4:H$1003,$W204)))</f>
        <v/>
      </c>
      <c r="I204" s="56" t="str">
        <f aca="false">IF($W204="","",N(INDEX(发票统计!I$4:I$1003,$W204)))</f>
        <v/>
      </c>
      <c r="J204" s="56" t="str">
        <f aca="false">IF($W204="","",N(INDEX(发票统计!J$4:J$1003,$W204)))</f>
        <v/>
      </c>
      <c r="K204" s="56" t="str">
        <f aca="false">IF($W204="","",N(INDEX(发票统计!K$4:K$1003,$W204)))</f>
        <v/>
      </c>
      <c r="L204" s="56" t="str">
        <f aca="false">IF($W204="","",SUM(J$4:J204)-SUM(K$4:K204))</f>
        <v/>
      </c>
      <c r="M204" s="56" t="str">
        <f aca="false">IF($W204="","",N(INDEX(发票统计!M$4:M$1003,$W204)))</f>
        <v/>
      </c>
      <c r="N204" s="56" t="str">
        <f aca="false">IF($W204="","",N(INDEX(发票统计!N$4:N$1003,$W204)))</f>
        <v/>
      </c>
      <c r="O204" s="56" t="str">
        <f aca="false">IF($W204="","",N(INDEX(发票统计!O$4:O$1003,$W204)))</f>
        <v/>
      </c>
      <c r="P204" s="56" t="str">
        <f aca="false">IF($W204="","",SUM(M$4:M204)-SUM(N$4:N204)-SUM(O$4:O204))</f>
        <v/>
      </c>
      <c r="Q204" s="56" t="str">
        <f aca="false">IF($W204="","",N(INDEX(发票统计!Q$4:Q$1003,$W204)))</f>
        <v/>
      </c>
      <c r="R204" s="56" t="str">
        <f aca="false">IF($W204="","",N(INDEX(发票统计!R$4:R$1003,$W204)))</f>
        <v/>
      </c>
      <c r="S204" s="56" t="str">
        <f aca="false">IF($W204="","",N(INDEX(发票统计!S$4:S$1003,$W204)))</f>
        <v/>
      </c>
      <c r="T204" s="56" t="str">
        <f aca="false">IF($W204="","",SUM(Q$4:Q204)-SUM(R$4:R204)-SUM(S$4:S204))</f>
        <v/>
      </c>
      <c r="U204" s="56" t="str">
        <f aca="false">IF($W204="","",INDEX(发票统计!U$4:U$1003,$W204)&amp;"")</f>
        <v/>
      </c>
      <c r="W204" s="1" t="str">
        <f aca="false">IF($V$3="","",IFERROR(MATCH($V$3&amp;"#"&amp;ROWS(W$4:W204),发票统计!$W$4:$W$1003,0),""))</f>
        <v/>
      </c>
    </row>
    <row r="205" customFormat="false" ht="16.5" hidden="false" customHeight="false" outlineLevel="0" collapsed="false">
      <c r="A205" s="3" t="str">
        <f aca="false">IF($W205="","",INDEX(发票统计!A$4:A$1003,$W205)&amp;"")</f>
        <v/>
      </c>
      <c r="B205" s="3" t="str">
        <f aca="false">IF($W205="","",INDEX(发票统计!B$4:B$1003,$W205)&amp;"")</f>
        <v/>
      </c>
      <c r="C205" s="3" t="str">
        <f aca="false">IF($W205="","",INDEX(发票统计!C$4:C$1003,$W205)&amp;"")</f>
        <v/>
      </c>
      <c r="D205" s="3" t="str">
        <f aca="false">IF($W205="","",INDEX(发票统计!D$4:D$1003,$W205)&amp;"")</f>
        <v/>
      </c>
      <c r="E205" s="67" t="str">
        <f aca="false">IF($W205="","",INDEX(发票统计!E$4:E$1003,$W205)&amp;"")</f>
        <v/>
      </c>
      <c r="F205" s="68" t="str">
        <f aca="false">IF($W205="","",INDEX(发票统计!F$4:F$1003,$W205)&amp;"")</f>
        <v/>
      </c>
      <c r="G205" s="68" t="str">
        <f aca="false">IF($W205="","",IF(INDEX(发票统计!G$4:G$1003,$W205)="","",INDEX(发票统计!G$4:G$1003,$W205)))</f>
        <v/>
      </c>
      <c r="H205" s="56" t="str">
        <f aca="false">IF($W205="","",N(INDEX(发票统计!H$4:H$1003,$W205)))</f>
        <v/>
      </c>
      <c r="I205" s="56" t="str">
        <f aca="false">IF($W205="","",N(INDEX(发票统计!I$4:I$1003,$W205)))</f>
        <v/>
      </c>
      <c r="J205" s="56" t="str">
        <f aca="false">IF($W205="","",N(INDEX(发票统计!J$4:J$1003,$W205)))</f>
        <v/>
      </c>
      <c r="K205" s="56" t="str">
        <f aca="false">IF($W205="","",N(INDEX(发票统计!K$4:K$1003,$W205)))</f>
        <v/>
      </c>
      <c r="L205" s="56" t="str">
        <f aca="false">IF($W205="","",SUM(J$4:J205)-SUM(K$4:K205))</f>
        <v/>
      </c>
      <c r="M205" s="56" t="str">
        <f aca="false">IF($W205="","",N(INDEX(发票统计!M$4:M$1003,$W205)))</f>
        <v/>
      </c>
      <c r="N205" s="56" t="str">
        <f aca="false">IF($W205="","",N(INDEX(发票统计!N$4:N$1003,$W205)))</f>
        <v/>
      </c>
      <c r="O205" s="56" t="str">
        <f aca="false">IF($W205="","",N(INDEX(发票统计!O$4:O$1003,$W205)))</f>
        <v/>
      </c>
      <c r="P205" s="56" t="str">
        <f aca="false">IF($W205="","",SUM(M$4:M205)-SUM(N$4:N205)-SUM(O$4:O205))</f>
        <v/>
      </c>
      <c r="Q205" s="56" t="str">
        <f aca="false">IF($W205="","",N(INDEX(发票统计!Q$4:Q$1003,$W205)))</f>
        <v/>
      </c>
      <c r="R205" s="56" t="str">
        <f aca="false">IF($W205="","",N(INDEX(发票统计!R$4:R$1003,$W205)))</f>
        <v/>
      </c>
      <c r="S205" s="56" t="str">
        <f aca="false">IF($W205="","",N(INDEX(发票统计!S$4:S$1003,$W205)))</f>
        <v/>
      </c>
      <c r="T205" s="56" t="str">
        <f aca="false">IF($W205="","",SUM(Q$4:Q205)-SUM(R$4:R205)-SUM(S$4:S205))</f>
        <v/>
      </c>
      <c r="U205" s="56" t="str">
        <f aca="false">IF($W205="","",INDEX(发票统计!U$4:U$1003,$W205)&amp;"")</f>
        <v/>
      </c>
      <c r="W205" s="1" t="str">
        <f aca="false">IF($V$3="","",IFERROR(MATCH($V$3&amp;"#"&amp;ROWS(W$4:W205),发票统计!$W$4:$W$1003,0),""))</f>
        <v/>
      </c>
    </row>
    <row r="206" customFormat="false" ht="16.5" hidden="false" customHeight="false" outlineLevel="0" collapsed="false">
      <c r="A206" s="3" t="str">
        <f aca="false">IF($W206="","",INDEX(发票统计!A$4:A$1003,$W206)&amp;"")</f>
        <v/>
      </c>
      <c r="B206" s="3" t="str">
        <f aca="false">IF($W206="","",INDEX(发票统计!B$4:B$1003,$W206)&amp;"")</f>
        <v/>
      </c>
      <c r="C206" s="3" t="str">
        <f aca="false">IF($W206="","",INDEX(发票统计!C$4:C$1003,$W206)&amp;"")</f>
        <v/>
      </c>
      <c r="D206" s="3" t="str">
        <f aca="false">IF($W206="","",INDEX(发票统计!D$4:D$1003,$W206)&amp;"")</f>
        <v/>
      </c>
      <c r="E206" s="67" t="str">
        <f aca="false">IF($W206="","",INDEX(发票统计!E$4:E$1003,$W206)&amp;"")</f>
        <v/>
      </c>
      <c r="F206" s="68" t="str">
        <f aca="false">IF($W206="","",INDEX(发票统计!F$4:F$1003,$W206)&amp;"")</f>
        <v/>
      </c>
      <c r="G206" s="68" t="str">
        <f aca="false">IF($W206="","",IF(INDEX(发票统计!G$4:G$1003,$W206)="","",INDEX(发票统计!G$4:G$1003,$W206)))</f>
        <v/>
      </c>
      <c r="H206" s="56" t="str">
        <f aca="false">IF($W206="","",N(INDEX(发票统计!H$4:H$1003,$W206)))</f>
        <v/>
      </c>
      <c r="I206" s="56" t="str">
        <f aca="false">IF($W206="","",N(INDEX(发票统计!I$4:I$1003,$W206)))</f>
        <v/>
      </c>
      <c r="J206" s="56" t="str">
        <f aca="false">IF($W206="","",N(INDEX(发票统计!J$4:J$1003,$W206)))</f>
        <v/>
      </c>
      <c r="K206" s="56" t="str">
        <f aca="false">IF($W206="","",N(INDEX(发票统计!K$4:K$1003,$W206)))</f>
        <v/>
      </c>
      <c r="L206" s="56" t="str">
        <f aca="false">IF($W206="","",SUM(J$4:J206)-SUM(K$4:K206))</f>
        <v/>
      </c>
      <c r="M206" s="56" t="str">
        <f aca="false">IF($W206="","",N(INDEX(发票统计!M$4:M$1003,$W206)))</f>
        <v/>
      </c>
      <c r="N206" s="56" t="str">
        <f aca="false">IF($W206="","",N(INDEX(发票统计!N$4:N$1003,$W206)))</f>
        <v/>
      </c>
      <c r="O206" s="56" t="str">
        <f aca="false">IF($W206="","",N(INDEX(发票统计!O$4:O$1003,$W206)))</f>
        <v/>
      </c>
      <c r="P206" s="56" t="str">
        <f aca="false">IF($W206="","",SUM(M$4:M206)-SUM(N$4:N206)-SUM(O$4:O206))</f>
        <v/>
      </c>
      <c r="Q206" s="56" t="str">
        <f aca="false">IF($W206="","",N(INDEX(发票统计!Q$4:Q$1003,$W206)))</f>
        <v/>
      </c>
      <c r="R206" s="56" t="str">
        <f aca="false">IF($W206="","",N(INDEX(发票统计!R$4:R$1003,$W206)))</f>
        <v/>
      </c>
      <c r="S206" s="56" t="str">
        <f aca="false">IF($W206="","",N(INDEX(发票统计!S$4:S$1003,$W206)))</f>
        <v/>
      </c>
      <c r="T206" s="56" t="str">
        <f aca="false">IF($W206="","",SUM(Q$4:Q206)-SUM(R$4:R206)-SUM(S$4:S206))</f>
        <v/>
      </c>
      <c r="U206" s="56" t="str">
        <f aca="false">IF($W206="","",INDEX(发票统计!U$4:U$1003,$W206)&amp;"")</f>
        <v/>
      </c>
      <c r="W206" s="1" t="str">
        <f aca="false">IF($V$3="","",IFERROR(MATCH($V$3&amp;"#"&amp;ROWS(W$4:W206),发票统计!$W$4:$W$1003,0),""))</f>
        <v/>
      </c>
    </row>
    <row r="207" customFormat="false" ht="16.5" hidden="false" customHeight="false" outlineLevel="0" collapsed="false">
      <c r="A207" s="3" t="str">
        <f aca="false">IF($W207="","",INDEX(发票统计!A$4:A$1003,$W207)&amp;"")</f>
        <v/>
      </c>
      <c r="B207" s="3" t="str">
        <f aca="false">IF($W207="","",INDEX(发票统计!B$4:B$1003,$W207)&amp;"")</f>
        <v/>
      </c>
      <c r="C207" s="3" t="str">
        <f aca="false">IF($W207="","",INDEX(发票统计!C$4:C$1003,$W207)&amp;"")</f>
        <v/>
      </c>
      <c r="D207" s="3" t="str">
        <f aca="false">IF($W207="","",INDEX(发票统计!D$4:D$1003,$W207)&amp;"")</f>
        <v/>
      </c>
      <c r="E207" s="67" t="str">
        <f aca="false">IF($W207="","",INDEX(发票统计!E$4:E$1003,$W207)&amp;"")</f>
        <v/>
      </c>
      <c r="F207" s="68" t="str">
        <f aca="false">IF($W207="","",INDEX(发票统计!F$4:F$1003,$W207)&amp;"")</f>
        <v/>
      </c>
      <c r="G207" s="68" t="str">
        <f aca="false">IF($W207="","",IF(INDEX(发票统计!G$4:G$1003,$W207)="","",INDEX(发票统计!G$4:G$1003,$W207)))</f>
        <v/>
      </c>
      <c r="H207" s="56" t="str">
        <f aca="false">IF($W207="","",N(INDEX(发票统计!H$4:H$1003,$W207)))</f>
        <v/>
      </c>
      <c r="I207" s="56" t="str">
        <f aca="false">IF($W207="","",N(INDEX(发票统计!I$4:I$1003,$W207)))</f>
        <v/>
      </c>
      <c r="J207" s="56" t="str">
        <f aca="false">IF($W207="","",N(INDEX(发票统计!J$4:J$1003,$W207)))</f>
        <v/>
      </c>
      <c r="K207" s="56" t="str">
        <f aca="false">IF($W207="","",N(INDEX(发票统计!K$4:K$1003,$W207)))</f>
        <v/>
      </c>
      <c r="L207" s="56" t="str">
        <f aca="false">IF($W207="","",SUM(J$4:J207)-SUM(K$4:K207))</f>
        <v/>
      </c>
      <c r="M207" s="56" t="str">
        <f aca="false">IF($W207="","",N(INDEX(发票统计!M$4:M$1003,$W207)))</f>
        <v/>
      </c>
      <c r="N207" s="56" t="str">
        <f aca="false">IF($W207="","",N(INDEX(发票统计!N$4:N$1003,$W207)))</f>
        <v/>
      </c>
      <c r="O207" s="56" t="str">
        <f aca="false">IF($W207="","",N(INDEX(发票统计!O$4:O$1003,$W207)))</f>
        <v/>
      </c>
      <c r="P207" s="56" t="str">
        <f aca="false">IF($W207="","",SUM(M$4:M207)-SUM(N$4:N207)-SUM(O$4:O207))</f>
        <v/>
      </c>
      <c r="Q207" s="56" t="str">
        <f aca="false">IF($W207="","",N(INDEX(发票统计!Q$4:Q$1003,$W207)))</f>
        <v/>
      </c>
      <c r="R207" s="56" t="str">
        <f aca="false">IF($W207="","",N(INDEX(发票统计!R$4:R$1003,$W207)))</f>
        <v/>
      </c>
      <c r="S207" s="56" t="str">
        <f aca="false">IF($W207="","",N(INDEX(发票统计!S$4:S$1003,$W207)))</f>
        <v/>
      </c>
      <c r="T207" s="56" t="str">
        <f aca="false">IF($W207="","",SUM(Q$4:Q207)-SUM(R$4:R207)-SUM(S$4:S207))</f>
        <v/>
      </c>
      <c r="U207" s="56" t="str">
        <f aca="false">IF($W207="","",INDEX(发票统计!U$4:U$1003,$W207)&amp;"")</f>
        <v/>
      </c>
      <c r="W207" s="1" t="str">
        <f aca="false">IF($V$3="","",IFERROR(MATCH($V$3&amp;"#"&amp;ROWS(W$4:W207),发票统计!$W$4:$W$1003,0),""))</f>
        <v/>
      </c>
    </row>
    <row r="208" customFormat="false" ht="16.5" hidden="false" customHeight="false" outlineLevel="0" collapsed="false">
      <c r="A208" s="3" t="str">
        <f aca="false">IF($W208="","",INDEX(发票统计!A$4:A$1003,$W208)&amp;"")</f>
        <v/>
      </c>
      <c r="B208" s="3" t="str">
        <f aca="false">IF($W208="","",INDEX(发票统计!B$4:B$1003,$W208)&amp;"")</f>
        <v/>
      </c>
      <c r="C208" s="3" t="str">
        <f aca="false">IF($W208="","",INDEX(发票统计!C$4:C$1003,$W208)&amp;"")</f>
        <v/>
      </c>
      <c r="D208" s="3" t="str">
        <f aca="false">IF($W208="","",INDEX(发票统计!D$4:D$1003,$W208)&amp;"")</f>
        <v/>
      </c>
      <c r="E208" s="67" t="str">
        <f aca="false">IF($W208="","",INDEX(发票统计!E$4:E$1003,$W208)&amp;"")</f>
        <v/>
      </c>
      <c r="F208" s="68" t="str">
        <f aca="false">IF($W208="","",INDEX(发票统计!F$4:F$1003,$W208)&amp;"")</f>
        <v/>
      </c>
      <c r="G208" s="68" t="str">
        <f aca="false">IF($W208="","",IF(INDEX(发票统计!G$4:G$1003,$W208)="","",INDEX(发票统计!G$4:G$1003,$W208)))</f>
        <v/>
      </c>
      <c r="H208" s="56" t="str">
        <f aca="false">IF($W208="","",N(INDEX(发票统计!H$4:H$1003,$W208)))</f>
        <v/>
      </c>
      <c r="I208" s="56" t="str">
        <f aca="false">IF($W208="","",N(INDEX(发票统计!I$4:I$1003,$W208)))</f>
        <v/>
      </c>
      <c r="J208" s="56" t="str">
        <f aca="false">IF($W208="","",N(INDEX(发票统计!J$4:J$1003,$W208)))</f>
        <v/>
      </c>
      <c r="K208" s="56" t="str">
        <f aca="false">IF($W208="","",N(INDEX(发票统计!K$4:K$1003,$W208)))</f>
        <v/>
      </c>
      <c r="L208" s="56" t="str">
        <f aca="false">IF($W208="","",SUM(J$4:J208)-SUM(K$4:K208))</f>
        <v/>
      </c>
      <c r="M208" s="56" t="str">
        <f aca="false">IF($W208="","",N(INDEX(发票统计!M$4:M$1003,$W208)))</f>
        <v/>
      </c>
      <c r="N208" s="56" t="str">
        <f aca="false">IF($W208="","",N(INDEX(发票统计!N$4:N$1003,$W208)))</f>
        <v/>
      </c>
      <c r="O208" s="56" t="str">
        <f aca="false">IF($W208="","",N(INDEX(发票统计!O$4:O$1003,$W208)))</f>
        <v/>
      </c>
      <c r="P208" s="56" t="str">
        <f aca="false">IF($W208="","",SUM(M$4:M208)-SUM(N$4:N208)-SUM(O$4:O208))</f>
        <v/>
      </c>
      <c r="Q208" s="56" t="str">
        <f aca="false">IF($W208="","",N(INDEX(发票统计!Q$4:Q$1003,$W208)))</f>
        <v/>
      </c>
      <c r="R208" s="56" t="str">
        <f aca="false">IF($W208="","",N(INDEX(发票统计!R$4:R$1003,$W208)))</f>
        <v/>
      </c>
      <c r="S208" s="56" t="str">
        <f aca="false">IF($W208="","",N(INDEX(发票统计!S$4:S$1003,$W208)))</f>
        <v/>
      </c>
      <c r="T208" s="56" t="str">
        <f aca="false">IF($W208="","",SUM(Q$4:Q208)-SUM(R$4:R208)-SUM(S$4:S208))</f>
        <v/>
      </c>
      <c r="U208" s="56" t="str">
        <f aca="false">IF($W208="","",INDEX(发票统计!U$4:U$1003,$W208)&amp;"")</f>
        <v/>
      </c>
      <c r="W208" s="1" t="str">
        <f aca="false">IF($V$3="","",IFERROR(MATCH($V$3&amp;"#"&amp;ROWS(W$4:W208),发票统计!$W$4:$W$1003,0),""))</f>
        <v/>
      </c>
    </row>
    <row r="209" customFormat="false" ht="16.5" hidden="false" customHeight="false" outlineLevel="0" collapsed="false">
      <c r="A209" s="3" t="str">
        <f aca="false">IF($W209="","",INDEX(发票统计!A$4:A$1003,$W209)&amp;"")</f>
        <v/>
      </c>
      <c r="B209" s="3" t="str">
        <f aca="false">IF($W209="","",INDEX(发票统计!B$4:B$1003,$W209)&amp;"")</f>
        <v/>
      </c>
      <c r="C209" s="3" t="str">
        <f aca="false">IF($W209="","",INDEX(发票统计!C$4:C$1003,$W209)&amp;"")</f>
        <v/>
      </c>
      <c r="D209" s="3" t="str">
        <f aca="false">IF($W209="","",INDEX(发票统计!D$4:D$1003,$W209)&amp;"")</f>
        <v/>
      </c>
      <c r="E209" s="67" t="str">
        <f aca="false">IF($W209="","",INDEX(发票统计!E$4:E$1003,$W209)&amp;"")</f>
        <v/>
      </c>
      <c r="F209" s="68" t="str">
        <f aca="false">IF($W209="","",INDEX(发票统计!F$4:F$1003,$W209)&amp;"")</f>
        <v/>
      </c>
      <c r="G209" s="68" t="str">
        <f aca="false">IF($W209="","",IF(INDEX(发票统计!G$4:G$1003,$W209)="","",INDEX(发票统计!G$4:G$1003,$W209)))</f>
        <v/>
      </c>
      <c r="H209" s="56" t="str">
        <f aca="false">IF($W209="","",N(INDEX(发票统计!H$4:H$1003,$W209)))</f>
        <v/>
      </c>
      <c r="I209" s="56" t="str">
        <f aca="false">IF($W209="","",N(INDEX(发票统计!I$4:I$1003,$W209)))</f>
        <v/>
      </c>
      <c r="J209" s="56" t="str">
        <f aca="false">IF($W209="","",N(INDEX(发票统计!J$4:J$1003,$W209)))</f>
        <v/>
      </c>
      <c r="K209" s="56" t="str">
        <f aca="false">IF($W209="","",N(INDEX(发票统计!K$4:K$1003,$W209)))</f>
        <v/>
      </c>
      <c r="L209" s="56" t="str">
        <f aca="false">IF($W209="","",SUM(J$4:J209)-SUM(K$4:K209))</f>
        <v/>
      </c>
      <c r="M209" s="56" t="str">
        <f aca="false">IF($W209="","",N(INDEX(发票统计!M$4:M$1003,$W209)))</f>
        <v/>
      </c>
      <c r="N209" s="56" t="str">
        <f aca="false">IF($W209="","",N(INDEX(发票统计!N$4:N$1003,$W209)))</f>
        <v/>
      </c>
      <c r="O209" s="56" t="str">
        <f aca="false">IF($W209="","",N(INDEX(发票统计!O$4:O$1003,$W209)))</f>
        <v/>
      </c>
      <c r="P209" s="56" t="str">
        <f aca="false">IF($W209="","",SUM(M$4:M209)-SUM(N$4:N209)-SUM(O$4:O209))</f>
        <v/>
      </c>
      <c r="Q209" s="56" t="str">
        <f aca="false">IF($W209="","",N(INDEX(发票统计!Q$4:Q$1003,$W209)))</f>
        <v/>
      </c>
      <c r="R209" s="56" t="str">
        <f aca="false">IF($W209="","",N(INDEX(发票统计!R$4:R$1003,$W209)))</f>
        <v/>
      </c>
      <c r="S209" s="56" t="str">
        <f aca="false">IF($W209="","",N(INDEX(发票统计!S$4:S$1003,$W209)))</f>
        <v/>
      </c>
      <c r="T209" s="56" t="str">
        <f aca="false">IF($W209="","",SUM(Q$4:Q209)-SUM(R$4:R209)-SUM(S$4:S209))</f>
        <v/>
      </c>
      <c r="U209" s="56" t="str">
        <f aca="false">IF($W209="","",INDEX(发票统计!U$4:U$1003,$W209)&amp;"")</f>
        <v/>
      </c>
      <c r="W209" s="1" t="str">
        <f aca="false">IF($V$3="","",IFERROR(MATCH($V$3&amp;"#"&amp;ROWS(W$4:W209),发票统计!$W$4:$W$1003,0),""))</f>
        <v/>
      </c>
    </row>
    <row r="210" customFormat="false" ht="16.5" hidden="false" customHeight="false" outlineLevel="0" collapsed="false">
      <c r="A210" s="3" t="str">
        <f aca="false">IF($W210="","",INDEX(发票统计!A$4:A$1003,$W210)&amp;"")</f>
        <v/>
      </c>
      <c r="B210" s="3" t="str">
        <f aca="false">IF($W210="","",INDEX(发票统计!B$4:B$1003,$W210)&amp;"")</f>
        <v/>
      </c>
      <c r="C210" s="3" t="str">
        <f aca="false">IF($W210="","",INDEX(发票统计!C$4:C$1003,$W210)&amp;"")</f>
        <v/>
      </c>
      <c r="D210" s="3" t="str">
        <f aca="false">IF($W210="","",INDEX(发票统计!D$4:D$1003,$W210)&amp;"")</f>
        <v/>
      </c>
      <c r="E210" s="67" t="str">
        <f aca="false">IF($W210="","",INDEX(发票统计!E$4:E$1003,$W210)&amp;"")</f>
        <v/>
      </c>
      <c r="F210" s="68" t="str">
        <f aca="false">IF($W210="","",INDEX(发票统计!F$4:F$1003,$W210)&amp;"")</f>
        <v/>
      </c>
      <c r="G210" s="68" t="str">
        <f aca="false">IF($W210="","",IF(INDEX(发票统计!G$4:G$1003,$W210)="","",INDEX(发票统计!G$4:G$1003,$W210)))</f>
        <v/>
      </c>
      <c r="H210" s="56" t="str">
        <f aca="false">IF($W210="","",N(INDEX(发票统计!H$4:H$1003,$W210)))</f>
        <v/>
      </c>
      <c r="I210" s="56" t="str">
        <f aca="false">IF($W210="","",N(INDEX(发票统计!I$4:I$1003,$W210)))</f>
        <v/>
      </c>
      <c r="J210" s="56" t="str">
        <f aca="false">IF($W210="","",N(INDEX(发票统计!J$4:J$1003,$W210)))</f>
        <v/>
      </c>
      <c r="K210" s="56" t="str">
        <f aca="false">IF($W210="","",N(INDEX(发票统计!K$4:K$1003,$W210)))</f>
        <v/>
      </c>
      <c r="L210" s="56" t="str">
        <f aca="false">IF($W210="","",SUM(J$4:J210)-SUM(K$4:K210))</f>
        <v/>
      </c>
      <c r="M210" s="56" t="str">
        <f aca="false">IF($W210="","",N(INDEX(发票统计!M$4:M$1003,$W210)))</f>
        <v/>
      </c>
      <c r="N210" s="56" t="str">
        <f aca="false">IF($W210="","",N(INDEX(发票统计!N$4:N$1003,$W210)))</f>
        <v/>
      </c>
      <c r="O210" s="56" t="str">
        <f aca="false">IF($W210="","",N(INDEX(发票统计!O$4:O$1003,$W210)))</f>
        <v/>
      </c>
      <c r="P210" s="56" t="str">
        <f aca="false">IF($W210="","",SUM(M$4:M210)-SUM(N$4:N210)-SUM(O$4:O210))</f>
        <v/>
      </c>
      <c r="Q210" s="56" t="str">
        <f aca="false">IF($W210="","",N(INDEX(发票统计!Q$4:Q$1003,$W210)))</f>
        <v/>
      </c>
      <c r="R210" s="56" t="str">
        <f aca="false">IF($W210="","",N(INDEX(发票统计!R$4:R$1003,$W210)))</f>
        <v/>
      </c>
      <c r="S210" s="56" t="str">
        <f aca="false">IF($W210="","",N(INDEX(发票统计!S$4:S$1003,$W210)))</f>
        <v/>
      </c>
      <c r="T210" s="56" t="str">
        <f aca="false">IF($W210="","",SUM(Q$4:Q210)-SUM(R$4:R210)-SUM(S$4:S210))</f>
        <v/>
      </c>
      <c r="U210" s="56" t="str">
        <f aca="false">IF($W210="","",INDEX(发票统计!U$4:U$1003,$W210)&amp;"")</f>
        <v/>
      </c>
      <c r="W210" s="1" t="str">
        <f aca="false">IF($V$3="","",IFERROR(MATCH($V$3&amp;"#"&amp;ROWS(W$4:W210),发票统计!$W$4:$W$1003,0),""))</f>
        <v/>
      </c>
    </row>
    <row r="211" customFormat="false" ht="16.5" hidden="false" customHeight="false" outlineLevel="0" collapsed="false">
      <c r="A211" s="3" t="str">
        <f aca="false">IF($W211="","",INDEX(发票统计!A$4:A$1003,$W211)&amp;"")</f>
        <v/>
      </c>
      <c r="B211" s="3" t="str">
        <f aca="false">IF($W211="","",INDEX(发票统计!B$4:B$1003,$W211)&amp;"")</f>
        <v/>
      </c>
      <c r="C211" s="3" t="str">
        <f aca="false">IF($W211="","",INDEX(发票统计!C$4:C$1003,$W211)&amp;"")</f>
        <v/>
      </c>
      <c r="D211" s="3" t="str">
        <f aca="false">IF($W211="","",INDEX(发票统计!D$4:D$1003,$W211)&amp;"")</f>
        <v/>
      </c>
      <c r="E211" s="67" t="str">
        <f aca="false">IF($W211="","",INDEX(发票统计!E$4:E$1003,$W211)&amp;"")</f>
        <v/>
      </c>
      <c r="F211" s="68" t="str">
        <f aca="false">IF($W211="","",INDEX(发票统计!F$4:F$1003,$W211)&amp;"")</f>
        <v/>
      </c>
      <c r="G211" s="68" t="str">
        <f aca="false">IF($W211="","",IF(INDEX(发票统计!G$4:G$1003,$W211)="","",INDEX(发票统计!G$4:G$1003,$W211)))</f>
        <v/>
      </c>
      <c r="H211" s="56" t="str">
        <f aca="false">IF($W211="","",N(INDEX(发票统计!H$4:H$1003,$W211)))</f>
        <v/>
      </c>
      <c r="I211" s="56" t="str">
        <f aca="false">IF($W211="","",N(INDEX(发票统计!I$4:I$1003,$W211)))</f>
        <v/>
      </c>
      <c r="J211" s="56" t="str">
        <f aca="false">IF($W211="","",N(INDEX(发票统计!J$4:J$1003,$W211)))</f>
        <v/>
      </c>
      <c r="K211" s="56" t="str">
        <f aca="false">IF($W211="","",N(INDEX(发票统计!K$4:K$1003,$W211)))</f>
        <v/>
      </c>
      <c r="L211" s="56" t="str">
        <f aca="false">IF($W211="","",SUM(J$4:J211)-SUM(K$4:K211))</f>
        <v/>
      </c>
      <c r="M211" s="56" t="str">
        <f aca="false">IF($W211="","",N(INDEX(发票统计!M$4:M$1003,$W211)))</f>
        <v/>
      </c>
      <c r="N211" s="56" t="str">
        <f aca="false">IF($W211="","",N(INDEX(发票统计!N$4:N$1003,$W211)))</f>
        <v/>
      </c>
      <c r="O211" s="56" t="str">
        <f aca="false">IF($W211="","",N(INDEX(发票统计!O$4:O$1003,$W211)))</f>
        <v/>
      </c>
      <c r="P211" s="56" t="str">
        <f aca="false">IF($W211="","",SUM(M$4:M211)-SUM(N$4:N211)-SUM(O$4:O211))</f>
        <v/>
      </c>
      <c r="Q211" s="56" t="str">
        <f aca="false">IF($W211="","",N(INDEX(发票统计!Q$4:Q$1003,$W211)))</f>
        <v/>
      </c>
      <c r="R211" s="56" t="str">
        <f aca="false">IF($W211="","",N(INDEX(发票统计!R$4:R$1003,$W211)))</f>
        <v/>
      </c>
      <c r="S211" s="56" t="str">
        <f aca="false">IF($W211="","",N(INDEX(发票统计!S$4:S$1003,$W211)))</f>
        <v/>
      </c>
      <c r="T211" s="56" t="str">
        <f aca="false">IF($W211="","",SUM(Q$4:Q211)-SUM(R$4:R211)-SUM(S$4:S211))</f>
        <v/>
      </c>
      <c r="U211" s="56" t="str">
        <f aca="false">IF($W211="","",INDEX(发票统计!U$4:U$1003,$W211)&amp;"")</f>
        <v/>
      </c>
      <c r="W211" s="1" t="str">
        <f aca="false">IF($V$3="","",IFERROR(MATCH($V$3&amp;"#"&amp;ROWS(W$4:W211),发票统计!$W$4:$W$1003,0),""))</f>
        <v/>
      </c>
    </row>
    <row r="212" customFormat="false" ht="16.5" hidden="false" customHeight="false" outlineLevel="0" collapsed="false">
      <c r="A212" s="3" t="str">
        <f aca="false">IF($W212="","",INDEX(发票统计!A$4:A$1003,$W212)&amp;"")</f>
        <v/>
      </c>
      <c r="B212" s="3" t="str">
        <f aca="false">IF($W212="","",INDEX(发票统计!B$4:B$1003,$W212)&amp;"")</f>
        <v/>
      </c>
      <c r="C212" s="3" t="str">
        <f aca="false">IF($W212="","",INDEX(发票统计!C$4:C$1003,$W212)&amp;"")</f>
        <v/>
      </c>
      <c r="D212" s="3" t="str">
        <f aca="false">IF($W212="","",INDEX(发票统计!D$4:D$1003,$W212)&amp;"")</f>
        <v/>
      </c>
      <c r="E212" s="67" t="str">
        <f aca="false">IF($W212="","",INDEX(发票统计!E$4:E$1003,$W212)&amp;"")</f>
        <v/>
      </c>
      <c r="F212" s="68" t="str">
        <f aca="false">IF($W212="","",INDEX(发票统计!F$4:F$1003,$W212)&amp;"")</f>
        <v/>
      </c>
      <c r="G212" s="68" t="str">
        <f aca="false">IF($W212="","",IF(INDEX(发票统计!G$4:G$1003,$W212)="","",INDEX(发票统计!G$4:G$1003,$W212)))</f>
        <v/>
      </c>
      <c r="H212" s="56" t="str">
        <f aca="false">IF($W212="","",N(INDEX(发票统计!H$4:H$1003,$W212)))</f>
        <v/>
      </c>
      <c r="I212" s="56" t="str">
        <f aca="false">IF($W212="","",N(INDEX(发票统计!I$4:I$1003,$W212)))</f>
        <v/>
      </c>
      <c r="J212" s="56" t="str">
        <f aca="false">IF($W212="","",N(INDEX(发票统计!J$4:J$1003,$W212)))</f>
        <v/>
      </c>
      <c r="K212" s="56" t="str">
        <f aca="false">IF($W212="","",N(INDEX(发票统计!K$4:K$1003,$W212)))</f>
        <v/>
      </c>
      <c r="L212" s="56" t="str">
        <f aca="false">IF($W212="","",SUM(J$4:J212)-SUM(K$4:K212))</f>
        <v/>
      </c>
      <c r="M212" s="56" t="str">
        <f aca="false">IF($W212="","",N(INDEX(发票统计!M$4:M$1003,$W212)))</f>
        <v/>
      </c>
      <c r="N212" s="56" t="str">
        <f aca="false">IF($W212="","",N(INDEX(发票统计!N$4:N$1003,$W212)))</f>
        <v/>
      </c>
      <c r="O212" s="56" t="str">
        <f aca="false">IF($W212="","",N(INDEX(发票统计!O$4:O$1003,$W212)))</f>
        <v/>
      </c>
      <c r="P212" s="56" t="str">
        <f aca="false">IF($W212="","",SUM(M$4:M212)-SUM(N$4:N212)-SUM(O$4:O212))</f>
        <v/>
      </c>
      <c r="Q212" s="56" t="str">
        <f aca="false">IF($W212="","",N(INDEX(发票统计!Q$4:Q$1003,$W212)))</f>
        <v/>
      </c>
      <c r="R212" s="56" t="str">
        <f aca="false">IF($W212="","",N(INDEX(发票统计!R$4:R$1003,$W212)))</f>
        <v/>
      </c>
      <c r="S212" s="56" t="str">
        <f aca="false">IF($W212="","",N(INDEX(发票统计!S$4:S$1003,$W212)))</f>
        <v/>
      </c>
      <c r="T212" s="56" t="str">
        <f aca="false">IF($W212="","",SUM(Q$4:Q212)-SUM(R$4:R212)-SUM(S$4:S212))</f>
        <v/>
      </c>
      <c r="U212" s="56" t="str">
        <f aca="false">IF($W212="","",INDEX(发票统计!U$4:U$1003,$W212)&amp;"")</f>
        <v/>
      </c>
      <c r="W212" s="1" t="str">
        <f aca="false">IF($V$3="","",IFERROR(MATCH($V$3&amp;"#"&amp;ROWS(W$4:W212),发票统计!$W$4:$W$1003,0),""))</f>
        <v/>
      </c>
    </row>
    <row r="213" customFormat="false" ht="16.5" hidden="false" customHeight="false" outlineLevel="0" collapsed="false">
      <c r="A213" s="3" t="str">
        <f aca="false">IF($W213="","",INDEX(发票统计!A$4:A$1003,$W213)&amp;"")</f>
        <v/>
      </c>
      <c r="B213" s="3" t="str">
        <f aca="false">IF($W213="","",INDEX(发票统计!B$4:B$1003,$W213)&amp;"")</f>
        <v/>
      </c>
      <c r="C213" s="3" t="str">
        <f aca="false">IF($W213="","",INDEX(发票统计!C$4:C$1003,$W213)&amp;"")</f>
        <v/>
      </c>
      <c r="D213" s="3" t="str">
        <f aca="false">IF($W213="","",INDEX(发票统计!D$4:D$1003,$W213)&amp;"")</f>
        <v/>
      </c>
      <c r="E213" s="67" t="str">
        <f aca="false">IF($W213="","",INDEX(发票统计!E$4:E$1003,$W213)&amp;"")</f>
        <v/>
      </c>
      <c r="F213" s="68" t="str">
        <f aca="false">IF($W213="","",INDEX(发票统计!F$4:F$1003,$W213)&amp;"")</f>
        <v/>
      </c>
      <c r="G213" s="68" t="str">
        <f aca="false">IF($W213="","",IF(INDEX(发票统计!G$4:G$1003,$W213)="","",INDEX(发票统计!G$4:G$1003,$W213)))</f>
        <v/>
      </c>
      <c r="H213" s="56" t="str">
        <f aca="false">IF($W213="","",N(INDEX(发票统计!H$4:H$1003,$W213)))</f>
        <v/>
      </c>
      <c r="I213" s="56" t="str">
        <f aca="false">IF($W213="","",N(INDEX(发票统计!I$4:I$1003,$W213)))</f>
        <v/>
      </c>
      <c r="J213" s="56" t="str">
        <f aca="false">IF($W213="","",N(INDEX(发票统计!J$4:J$1003,$W213)))</f>
        <v/>
      </c>
      <c r="K213" s="56" t="str">
        <f aca="false">IF($W213="","",N(INDEX(发票统计!K$4:K$1003,$W213)))</f>
        <v/>
      </c>
      <c r="L213" s="56" t="str">
        <f aca="false">IF($W213="","",SUM(J$4:J213)-SUM(K$4:K213))</f>
        <v/>
      </c>
      <c r="M213" s="56" t="str">
        <f aca="false">IF($W213="","",N(INDEX(发票统计!M$4:M$1003,$W213)))</f>
        <v/>
      </c>
      <c r="N213" s="56" t="str">
        <f aca="false">IF($W213="","",N(INDEX(发票统计!N$4:N$1003,$W213)))</f>
        <v/>
      </c>
      <c r="O213" s="56" t="str">
        <f aca="false">IF($W213="","",N(INDEX(发票统计!O$4:O$1003,$W213)))</f>
        <v/>
      </c>
      <c r="P213" s="56" t="str">
        <f aca="false">IF($W213="","",SUM(M$4:M213)-SUM(N$4:N213)-SUM(O$4:O213))</f>
        <v/>
      </c>
      <c r="Q213" s="56" t="str">
        <f aca="false">IF($W213="","",N(INDEX(发票统计!Q$4:Q$1003,$W213)))</f>
        <v/>
      </c>
      <c r="R213" s="56" t="str">
        <f aca="false">IF($W213="","",N(INDEX(发票统计!R$4:R$1003,$W213)))</f>
        <v/>
      </c>
      <c r="S213" s="56" t="str">
        <f aca="false">IF($W213="","",N(INDEX(发票统计!S$4:S$1003,$W213)))</f>
        <v/>
      </c>
      <c r="T213" s="56" t="str">
        <f aca="false">IF($W213="","",SUM(Q$4:Q213)-SUM(R$4:R213)-SUM(S$4:S213))</f>
        <v/>
      </c>
      <c r="U213" s="56" t="str">
        <f aca="false">IF($W213="","",INDEX(发票统计!U$4:U$1003,$W213)&amp;"")</f>
        <v/>
      </c>
      <c r="W213" s="1" t="str">
        <f aca="false">IF($V$3="","",IFERROR(MATCH($V$3&amp;"#"&amp;ROWS(W$4:W213),发票统计!$W$4:$W$1003,0),""))</f>
        <v/>
      </c>
    </row>
    <row r="214" customFormat="false" ht="16.5" hidden="false" customHeight="false" outlineLevel="0" collapsed="false">
      <c r="A214" s="3" t="str">
        <f aca="false">IF($W214="","",INDEX(发票统计!A$4:A$1003,$W214)&amp;"")</f>
        <v/>
      </c>
      <c r="B214" s="3" t="str">
        <f aca="false">IF($W214="","",INDEX(发票统计!B$4:B$1003,$W214)&amp;"")</f>
        <v/>
      </c>
      <c r="C214" s="3" t="str">
        <f aca="false">IF($W214="","",INDEX(发票统计!C$4:C$1003,$W214)&amp;"")</f>
        <v/>
      </c>
      <c r="D214" s="3" t="str">
        <f aca="false">IF($W214="","",INDEX(发票统计!D$4:D$1003,$W214)&amp;"")</f>
        <v/>
      </c>
      <c r="E214" s="67" t="str">
        <f aca="false">IF($W214="","",INDEX(发票统计!E$4:E$1003,$W214)&amp;"")</f>
        <v/>
      </c>
      <c r="F214" s="68" t="str">
        <f aca="false">IF($W214="","",INDEX(发票统计!F$4:F$1003,$W214)&amp;"")</f>
        <v/>
      </c>
      <c r="G214" s="68" t="str">
        <f aca="false">IF($W214="","",IF(INDEX(发票统计!G$4:G$1003,$W214)="","",INDEX(发票统计!G$4:G$1003,$W214)))</f>
        <v/>
      </c>
      <c r="H214" s="56" t="str">
        <f aca="false">IF($W214="","",N(INDEX(发票统计!H$4:H$1003,$W214)))</f>
        <v/>
      </c>
      <c r="I214" s="56" t="str">
        <f aca="false">IF($W214="","",N(INDEX(发票统计!I$4:I$1003,$W214)))</f>
        <v/>
      </c>
      <c r="J214" s="56" t="str">
        <f aca="false">IF($W214="","",N(INDEX(发票统计!J$4:J$1003,$W214)))</f>
        <v/>
      </c>
      <c r="K214" s="56" t="str">
        <f aca="false">IF($W214="","",N(INDEX(发票统计!K$4:K$1003,$W214)))</f>
        <v/>
      </c>
      <c r="L214" s="56" t="str">
        <f aca="false">IF($W214="","",SUM(J$4:J214)-SUM(K$4:K214))</f>
        <v/>
      </c>
      <c r="M214" s="56" t="str">
        <f aca="false">IF($W214="","",N(INDEX(发票统计!M$4:M$1003,$W214)))</f>
        <v/>
      </c>
      <c r="N214" s="56" t="str">
        <f aca="false">IF($W214="","",N(INDEX(发票统计!N$4:N$1003,$W214)))</f>
        <v/>
      </c>
      <c r="O214" s="56" t="str">
        <f aca="false">IF($W214="","",N(INDEX(发票统计!O$4:O$1003,$W214)))</f>
        <v/>
      </c>
      <c r="P214" s="56" t="str">
        <f aca="false">IF($W214="","",SUM(M$4:M214)-SUM(N$4:N214)-SUM(O$4:O214))</f>
        <v/>
      </c>
      <c r="Q214" s="56" t="str">
        <f aca="false">IF($W214="","",N(INDEX(发票统计!Q$4:Q$1003,$W214)))</f>
        <v/>
      </c>
      <c r="R214" s="56" t="str">
        <f aca="false">IF($W214="","",N(INDEX(发票统计!R$4:R$1003,$W214)))</f>
        <v/>
      </c>
      <c r="S214" s="56" t="str">
        <f aca="false">IF($W214="","",N(INDEX(发票统计!S$4:S$1003,$W214)))</f>
        <v/>
      </c>
      <c r="T214" s="56" t="str">
        <f aca="false">IF($W214="","",SUM(Q$4:Q214)-SUM(R$4:R214)-SUM(S$4:S214))</f>
        <v/>
      </c>
      <c r="U214" s="56" t="str">
        <f aca="false">IF($W214="","",INDEX(发票统计!U$4:U$1003,$W214)&amp;"")</f>
        <v/>
      </c>
      <c r="W214" s="1" t="str">
        <f aca="false">IF($V$3="","",IFERROR(MATCH($V$3&amp;"#"&amp;ROWS(W$4:W214),发票统计!$W$4:$W$1003,0),""))</f>
        <v/>
      </c>
    </row>
    <row r="215" customFormat="false" ht="16.5" hidden="false" customHeight="false" outlineLevel="0" collapsed="false">
      <c r="A215" s="3" t="str">
        <f aca="false">IF($W215="","",INDEX(发票统计!A$4:A$1003,$W215)&amp;"")</f>
        <v/>
      </c>
      <c r="B215" s="3" t="str">
        <f aca="false">IF($W215="","",INDEX(发票统计!B$4:B$1003,$W215)&amp;"")</f>
        <v/>
      </c>
      <c r="C215" s="3" t="str">
        <f aca="false">IF($W215="","",INDEX(发票统计!C$4:C$1003,$W215)&amp;"")</f>
        <v/>
      </c>
      <c r="D215" s="3" t="str">
        <f aca="false">IF($W215="","",INDEX(发票统计!D$4:D$1003,$W215)&amp;"")</f>
        <v/>
      </c>
      <c r="E215" s="67" t="str">
        <f aca="false">IF($W215="","",INDEX(发票统计!E$4:E$1003,$W215)&amp;"")</f>
        <v/>
      </c>
      <c r="F215" s="68" t="str">
        <f aca="false">IF($W215="","",INDEX(发票统计!F$4:F$1003,$W215)&amp;"")</f>
        <v/>
      </c>
      <c r="G215" s="68" t="str">
        <f aca="false">IF($W215="","",IF(INDEX(发票统计!G$4:G$1003,$W215)="","",INDEX(发票统计!G$4:G$1003,$W215)))</f>
        <v/>
      </c>
      <c r="H215" s="56" t="str">
        <f aca="false">IF($W215="","",N(INDEX(发票统计!H$4:H$1003,$W215)))</f>
        <v/>
      </c>
      <c r="I215" s="56" t="str">
        <f aca="false">IF($W215="","",N(INDEX(发票统计!I$4:I$1003,$W215)))</f>
        <v/>
      </c>
      <c r="J215" s="56" t="str">
        <f aca="false">IF($W215="","",N(INDEX(发票统计!J$4:J$1003,$W215)))</f>
        <v/>
      </c>
      <c r="K215" s="56" t="str">
        <f aca="false">IF($W215="","",N(INDEX(发票统计!K$4:K$1003,$W215)))</f>
        <v/>
      </c>
      <c r="L215" s="56" t="str">
        <f aca="false">IF($W215="","",SUM(J$4:J215)-SUM(K$4:K215))</f>
        <v/>
      </c>
      <c r="M215" s="56" t="str">
        <f aca="false">IF($W215="","",N(INDEX(发票统计!M$4:M$1003,$W215)))</f>
        <v/>
      </c>
      <c r="N215" s="56" t="str">
        <f aca="false">IF($W215="","",N(INDEX(发票统计!N$4:N$1003,$W215)))</f>
        <v/>
      </c>
      <c r="O215" s="56" t="str">
        <f aca="false">IF($W215="","",N(INDEX(发票统计!O$4:O$1003,$W215)))</f>
        <v/>
      </c>
      <c r="P215" s="56" t="str">
        <f aca="false">IF($W215="","",SUM(M$4:M215)-SUM(N$4:N215)-SUM(O$4:O215))</f>
        <v/>
      </c>
      <c r="Q215" s="56" t="str">
        <f aca="false">IF($W215="","",N(INDEX(发票统计!Q$4:Q$1003,$W215)))</f>
        <v/>
      </c>
      <c r="R215" s="56" t="str">
        <f aca="false">IF($W215="","",N(INDEX(发票统计!R$4:R$1003,$W215)))</f>
        <v/>
      </c>
      <c r="S215" s="56" t="str">
        <f aca="false">IF($W215="","",N(INDEX(发票统计!S$4:S$1003,$W215)))</f>
        <v/>
      </c>
      <c r="T215" s="56" t="str">
        <f aca="false">IF($W215="","",SUM(Q$4:Q215)-SUM(R$4:R215)-SUM(S$4:S215))</f>
        <v/>
      </c>
      <c r="U215" s="56" t="str">
        <f aca="false">IF($W215="","",INDEX(发票统计!U$4:U$1003,$W215)&amp;"")</f>
        <v/>
      </c>
      <c r="W215" s="1" t="str">
        <f aca="false">IF($V$3="","",IFERROR(MATCH($V$3&amp;"#"&amp;ROWS(W$4:W215),发票统计!$W$4:$W$1003,0),""))</f>
        <v/>
      </c>
    </row>
    <row r="216" customFormat="false" ht="16.5" hidden="false" customHeight="false" outlineLevel="0" collapsed="false">
      <c r="A216" s="3" t="str">
        <f aca="false">IF($W216="","",INDEX(发票统计!A$4:A$1003,$W216)&amp;"")</f>
        <v/>
      </c>
      <c r="B216" s="3" t="str">
        <f aca="false">IF($W216="","",INDEX(发票统计!B$4:B$1003,$W216)&amp;"")</f>
        <v/>
      </c>
      <c r="C216" s="3" t="str">
        <f aca="false">IF($W216="","",INDEX(发票统计!C$4:C$1003,$W216)&amp;"")</f>
        <v/>
      </c>
      <c r="D216" s="3" t="str">
        <f aca="false">IF($W216="","",INDEX(发票统计!D$4:D$1003,$W216)&amp;"")</f>
        <v/>
      </c>
      <c r="E216" s="67" t="str">
        <f aca="false">IF($W216="","",INDEX(发票统计!E$4:E$1003,$W216)&amp;"")</f>
        <v/>
      </c>
      <c r="F216" s="68" t="str">
        <f aca="false">IF($W216="","",INDEX(发票统计!F$4:F$1003,$W216)&amp;"")</f>
        <v/>
      </c>
      <c r="G216" s="68" t="str">
        <f aca="false">IF($W216="","",IF(INDEX(发票统计!G$4:G$1003,$W216)="","",INDEX(发票统计!G$4:G$1003,$W216)))</f>
        <v/>
      </c>
      <c r="H216" s="56" t="str">
        <f aca="false">IF($W216="","",N(INDEX(发票统计!H$4:H$1003,$W216)))</f>
        <v/>
      </c>
      <c r="I216" s="56" t="str">
        <f aca="false">IF($W216="","",N(INDEX(发票统计!I$4:I$1003,$W216)))</f>
        <v/>
      </c>
      <c r="J216" s="56" t="str">
        <f aca="false">IF($W216="","",N(INDEX(发票统计!J$4:J$1003,$W216)))</f>
        <v/>
      </c>
      <c r="K216" s="56" t="str">
        <f aca="false">IF($W216="","",N(INDEX(发票统计!K$4:K$1003,$W216)))</f>
        <v/>
      </c>
      <c r="L216" s="56" t="str">
        <f aca="false">IF($W216="","",SUM(J$4:J216)-SUM(K$4:K216))</f>
        <v/>
      </c>
      <c r="M216" s="56" t="str">
        <f aca="false">IF($W216="","",N(INDEX(发票统计!M$4:M$1003,$W216)))</f>
        <v/>
      </c>
      <c r="N216" s="56" t="str">
        <f aca="false">IF($W216="","",N(INDEX(发票统计!N$4:N$1003,$W216)))</f>
        <v/>
      </c>
      <c r="O216" s="56" t="str">
        <f aca="false">IF($W216="","",N(INDEX(发票统计!O$4:O$1003,$W216)))</f>
        <v/>
      </c>
      <c r="P216" s="56" t="str">
        <f aca="false">IF($W216="","",SUM(M$4:M216)-SUM(N$4:N216)-SUM(O$4:O216))</f>
        <v/>
      </c>
      <c r="Q216" s="56" t="str">
        <f aca="false">IF($W216="","",N(INDEX(发票统计!Q$4:Q$1003,$W216)))</f>
        <v/>
      </c>
      <c r="R216" s="56" t="str">
        <f aca="false">IF($W216="","",N(INDEX(发票统计!R$4:R$1003,$W216)))</f>
        <v/>
      </c>
      <c r="S216" s="56" t="str">
        <f aca="false">IF($W216="","",N(INDEX(发票统计!S$4:S$1003,$W216)))</f>
        <v/>
      </c>
      <c r="T216" s="56" t="str">
        <f aca="false">IF($W216="","",SUM(Q$4:Q216)-SUM(R$4:R216)-SUM(S$4:S216))</f>
        <v/>
      </c>
      <c r="U216" s="56" t="str">
        <f aca="false">IF($W216="","",INDEX(发票统计!U$4:U$1003,$W216)&amp;"")</f>
        <v/>
      </c>
      <c r="W216" s="1" t="str">
        <f aca="false">IF($V$3="","",IFERROR(MATCH($V$3&amp;"#"&amp;ROWS(W$4:W216),发票统计!$W$4:$W$1003,0),""))</f>
        <v/>
      </c>
    </row>
    <row r="217" customFormat="false" ht="16.5" hidden="false" customHeight="false" outlineLevel="0" collapsed="false">
      <c r="A217" s="3" t="str">
        <f aca="false">IF($W217="","",INDEX(发票统计!A$4:A$1003,$W217)&amp;"")</f>
        <v/>
      </c>
      <c r="B217" s="3" t="str">
        <f aca="false">IF($W217="","",INDEX(发票统计!B$4:B$1003,$W217)&amp;"")</f>
        <v/>
      </c>
      <c r="C217" s="3" t="str">
        <f aca="false">IF($W217="","",INDEX(发票统计!C$4:C$1003,$W217)&amp;"")</f>
        <v/>
      </c>
      <c r="D217" s="3" t="str">
        <f aca="false">IF($W217="","",INDEX(发票统计!D$4:D$1003,$W217)&amp;"")</f>
        <v/>
      </c>
      <c r="E217" s="67" t="str">
        <f aca="false">IF($W217="","",INDEX(发票统计!E$4:E$1003,$W217)&amp;"")</f>
        <v/>
      </c>
      <c r="F217" s="68" t="str">
        <f aca="false">IF($W217="","",INDEX(发票统计!F$4:F$1003,$W217)&amp;"")</f>
        <v/>
      </c>
      <c r="G217" s="68" t="str">
        <f aca="false">IF($W217="","",IF(INDEX(发票统计!G$4:G$1003,$W217)="","",INDEX(发票统计!G$4:G$1003,$W217)))</f>
        <v/>
      </c>
      <c r="H217" s="56" t="str">
        <f aca="false">IF($W217="","",N(INDEX(发票统计!H$4:H$1003,$W217)))</f>
        <v/>
      </c>
      <c r="I217" s="56" t="str">
        <f aca="false">IF($W217="","",N(INDEX(发票统计!I$4:I$1003,$W217)))</f>
        <v/>
      </c>
      <c r="J217" s="56" t="str">
        <f aca="false">IF($W217="","",N(INDEX(发票统计!J$4:J$1003,$W217)))</f>
        <v/>
      </c>
      <c r="K217" s="56" t="str">
        <f aca="false">IF($W217="","",N(INDEX(发票统计!K$4:K$1003,$W217)))</f>
        <v/>
      </c>
      <c r="L217" s="56" t="str">
        <f aca="false">IF($W217="","",SUM(J$4:J217)-SUM(K$4:K217))</f>
        <v/>
      </c>
      <c r="M217" s="56" t="str">
        <f aca="false">IF($W217="","",N(INDEX(发票统计!M$4:M$1003,$W217)))</f>
        <v/>
      </c>
      <c r="N217" s="56" t="str">
        <f aca="false">IF($W217="","",N(INDEX(发票统计!N$4:N$1003,$W217)))</f>
        <v/>
      </c>
      <c r="O217" s="56" t="str">
        <f aca="false">IF($W217="","",N(INDEX(发票统计!O$4:O$1003,$W217)))</f>
        <v/>
      </c>
      <c r="P217" s="56" t="str">
        <f aca="false">IF($W217="","",SUM(M$4:M217)-SUM(N$4:N217)-SUM(O$4:O217))</f>
        <v/>
      </c>
      <c r="Q217" s="56" t="str">
        <f aca="false">IF($W217="","",N(INDEX(发票统计!Q$4:Q$1003,$W217)))</f>
        <v/>
      </c>
      <c r="R217" s="56" t="str">
        <f aca="false">IF($W217="","",N(INDEX(发票统计!R$4:R$1003,$W217)))</f>
        <v/>
      </c>
      <c r="S217" s="56" t="str">
        <f aca="false">IF($W217="","",N(INDEX(发票统计!S$4:S$1003,$W217)))</f>
        <v/>
      </c>
      <c r="T217" s="56" t="str">
        <f aca="false">IF($W217="","",SUM(Q$4:Q217)-SUM(R$4:R217)-SUM(S$4:S217))</f>
        <v/>
      </c>
      <c r="U217" s="56" t="str">
        <f aca="false">IF($W217="","",INDEX(发票统计!U$4:U$1003,$W217)&amp;"")</f>
        <v/>
      </c>
      <c r="W217" s="1" t="str">
        <f aca="false">IF($V$3="","",IFERROR(MATCH($V$3&amp;"#"&amp;ROWS(W$4:W217),发票统计!$W$4:$W$1003,0),""))</f>
        <v/>
      </c>
    </row>
    <row r="218" customFormat="false" ht="16.5" hidden="false" customHeight="false" outlineLevel="0" collapsed="false">
      <c r="A218" s="3" t="str">
        <f aca="false">IF($W218="","",INDEX(发票统计!A$4:A$1003,$W218)&amp;"")</f>
        <v/>
      </c>
      <c r="B218" s="3" t="str">
        <f aca="false">IF($W218="","",INDEX(发票统计!B$4:B$1003,$W218)&amp;"")</f>
        <v/>
      </c>
      <c r="C218" s="3" t="str">
        <f aca="false">IF($W218="","",INDEX(发票统计!C$4:C$1003,$W218)&amp;"")</f>
        <v/>
      </c>
      <c r="D218" s="3" t="str">
        <f aca="false">IF($W218="","",INDEX(发票统计!D$4:D$1003,$W218)&amp;"")</f>
        <v/>
      </c>
      <c r="E218" s="67" t="str">
        <f aca="false">IF($W218="","",INDEX(发票统计!E$4:E$1003,$W218)&amp;"")</f>
        <v/>
      </c>
      <c r="F218" s="68" t="str">
        <f aca="false">IF($W218="","",INDEX(发票统计!F$4:F$1003,$W218)&amp;"")</f>
        <v/>
      </c>
      <c r="G218" s="68" t="str">
        <f aca="false">IF($W218="","",IF(INDEX(发票统计!G$4:G$1003,$W218)="","",INDEX(发票统计!G$4:G$1003,$W218)))</f>
        <v/>
      </c>
      <c r="H218" s="56" t="str">
        <f aca="false">IF($W218="","",N(INDEX(发票统计!H$4:H$1003,$W218)))</f>
        <v/>
      </c>
      <c r="I218" s="56" t="str">
        <f aca="false">IF($W218="","",N(INDEX(发票统计!I$4:I$1003,$W218)))</f>
        <v/>
      </c>
      <c r="J218" s="56" t="str">
        <f aca="false">IF($W218="","",N(INDEX(发票统计!J$4:J$1003,$W218)))</f>
        <v/>
      </c>
      <c r="K218" s="56" t="str">
        <f aca="false">IF($W218="","",N(INDEX(发票统计!K$4:K$1003,$W218)))</f>
        <v/>
      </c>
      <c r="L218" s="56" t="str">
        <f aca="false">IF($W218="","",SUM(J$4:J218)-SUM(K$4:K218))</f>
        <v/>
      </c>
      <c r="M218" s="56" t="str">
        <f aca="false">IF($W218="","",N(INDEX(发票统计!M$4:M$1003,$W218)))</f>
        <v/>
      </c>
      <c r="N218" s="56" t="str">
        <f aca="false">IF($W218="","",N(INDEX(发票统计!N$4:N$1003,$W218)))</f>
        <v/>
      </c>
      <c r="O218" s="56" t="str">
        <f aca="false">IF($W218="","",N(INDEX(发票统计!O$4:O$1003,$W218)))</f>
        <v/>
      </c>
      <c r="P218" s="56" t="str">
        <f aca="false">IF($W218="","",SUM(M$4:M218)-SUM(N$4:N218)-SUM(O$4:O218))</f>
        <v/>
      </c>
      <c r="Q218" s="56" t="str">
        <f aca="false">IF($W218="","",N(INDEX(发票统计!Q$4:Q$1003,$W218)))</f>
        <v/>
      </c>
      <c r="R218" s="56" t="str">
        <f aca="false">IF($W218="","",N(INDEX(发票统计!R$4:R$1003,$W218)))</f>
        <v/>
      </c>
      <c r="S218" s="56" t="str">
        <f aca="false">IF($W218="","",N(INDEX(发票统计!S$4:S$1003,$W218)))</f>
        <v/>
      </c>
      <c r="T218" s="56" t="str">
        <f aca="false">IF($W218="","",SUM(Q$4:Q218)-SUM(R$4:R218)-SUM(S$4:S218))</f>
        <v/>
      </c>
      <c r="U218" s="56" t="str">
        <f aca="false">IF($W218="","",INDEX(发票统计!U$4:U$1003,$W218)&amp;"")</f>
        <v/>
      </c>
      <c r="W218" s="1" t="str">
        <f aca="false">IF($V$3="","",IFERROR(MATCH($V$3&amp;"#"&amp;ROWS(W$4:W218),发票统计!$W$4:$W$1003,0),""))</f>
        <v/>
      </c>
    </row>
    <row r="219" customFormat="false" ht="16.5" hidden="false" customHeight="false" outlineLevel="0" collapsed="false">
      <c r="A219" s="3" t="str">
        <f aca="false">IF($W219="","",INDEX(发票统计!A$4:A$1003,$W219)&amp;"")</f>
        <v/>
      </c>
      <c r="B219" s="3" t="str">
        <f aca="false">IF($W219="","",INDEX(发票统计!B$4:B$1003,$W219)&amp;"")</f>
        <v/>
      </c>
      <c r="C219" s="3" t="str">
        <f aca="false">IF($W219="","",INDEX(发票统计!C$4:C$1003,$W219)&amp;"")</f>
        <v/>
      </c>
      <c r="D219" s="3" t="str">
        <f aca="false">IF($W219="","",INDEX(发票统计!D$4:D$1003,$W219)&amp;"")</f>
        <v/>
      </c>
      <c r="E219" s="67" t="str">
        <f aca="false">IF($W219="","",INDEX(发票统计!E$4:E$1003,$W219)&amp;"")</f>
        <v/>
      </c>
      <c r="F219" s="68" t="str">
        <f aca="false">IF($W219="","",INDEX(发票统计!F$4:F$1003,$W219)&amp;"")</f>
        <v/>
      </c>
      <c r="G219" s="68" t="str">
        <f aca="false">IF($W219="","",IF(INDEX(发票统计!G$4:G$1003,$W219)="","",INDEX(发票统计!G$4:G$1003,$W219)))</f>
        <v/>
      </c>
      <c r="H219" s="56" t="str">
        <f aca="false">IF($W219="","",N(INDEX(发票统计!H$4:H$1003,$W219)))</f>
        <v/>
      </c>
      <c r="I219" s="56" t="str">
        <f aca="false">IF($W219="","",N(INDEX(发票统计!I$4:I$1003,$W219)))</f>
        <v/>
      </c>
      <c r="J219" s="56" t="str">
        <f aca="false">IF($W219="","",N(INDEX(发票统计!J$4:J$1003,$W219)))</f>
        <v/>
      </c>
      <c r="K219" s="56" t="str">
        <f aca="false">IF($W219="","",N(INDEX(发票统计!K$4:K$1003,$W219)))</f>
        <v/>
      </c>
      <c r="L219" s="56" t="str">
        <f aca="false">IF($W219="","",SUM(J$4:J219)-SUM(K$4:K219))</f>
        <v/>
      </c>
      <c r="M219" s="56" t="str">
        <f aca="false">IF($W219="","",N(INDEX(发票统计!M$4:M$1003,$W219)))</f>
        <v/>
      </c>
      <c r="N219" s="56" t="str">
        <f aca="false">IF($W219="","",N(INDEX(发票统计!N$4:N$1003,$W219)))</f>
        <v/>
      </c>
      <c r="O219" s="56" t="str">
        <f aca="false">IF($W219="","",N(INDEX(发票统计!O$4:O$1003,$W219)))</f>
        <v/>
      </c>
      <c r="P219" s="56" t="str">
        <f aca="false">IF($W219="","",SUM(M$4:M219)-SUM(N$4:N219)-SUM(O$4:O219))</f>
        <v/>
      </c>
      <c r="Q219" s="56" t="str">
        <f aca="false">IF($W219="","",N(INDEX(发票统计!Q$4:Q$1003,$W219)))</f>
        <v/>
      </c>
      <c r="R219" s="56" t="str">
        <f aca="false">IF($W219="","",N(INDEX(发票统计!R$4:R$1003,$W219)))</f>
        <v/>
      </c>
      <c r="S219" s="56" t="str">
        <f aca="false">IF($W219="","",N(INDEX(发票统计!S$4:S$1003,$W219)))</f>
        <v/>
      </c>
      <c r="T219" s="56" t="str">
        <f aca="false">IF($W219="","",SUM(Q$4:Q219)-SUM(R$4:R219)-SUM(S$4:S219))</f>
        <v/>
      </c>
      <c r="U219" s="56" t="str">
        <f aca="false">IF($W219="","",INDEX(发票统计!U$4:U$1003,$W219)&amp;"")</f>
        <v/>
      </c>
      <c r="W219" s="1" t="str">
        <f aca="false">IF($V$3="","",IFERROR(MATCH($V$3&amp;"#"&amp;ROWS(W$4:W219),发票统计!$W$4:$W$1003,0),""))</f>
        <v/>
      </c>
    </row>
    <row r="220" customFormat="false" ht="16.5" hidden="false" customHeight="false" outlineLevel="0" collapsed="false">
      <c r="A220" s="3" t="str">
        <f aca="false">IF($W220="","",INDEX(发票统计!A$4:A$1003,$W220)&amp;"")</f>
        <v/>
      </c>
      <c r="B220" s="3" t="str">
        <f aca="false">IF($W220="","",INDEX(发票统计!B$4:B$1003,$W220)&amp;"")</f>
        <v/>
      </c>
      <c r="C220" s="3" t="str">
        <f aca="false">IF($W220="","",INDEX(发票统计!C$4:C$1003,$W220)&amp;"")</f>
        <v/>
      </c>
      <c r="D220" s="3" t="str">
        <f aca="false">IF($W220="","",INDEX(发票统计!D$4:D$1003,$W220)&amp;"")</f>
        <v/>
      </c>
      <c r="E220" s="67" t="str">
        <f aca="false">IF($W220="","",INDEX(发票统计!E$4:E$1003,$W220)&amp;"")</f>
        <v/>
      </c>
      <c r="F220" s="68" t="str">
        <f aca="false">IF($W220="","",INDEX(发票统计!F$4:F$1003,$W220)&amp;"")</f>
        <v/>
      </c>
      <c r="G220" s="68" t="str">
        <f aca="false">IF($W220="","",IF(INDEX(发票统计!G$4:G$1003,$W220)="","",INDEX(发票统计!G$4:G$1003,$W220)))</f>
        <v/>
      </c>
      <c r="H220" s="56" t="str">
        <f aca="false">IF($W220="","",N(INDEX(发票统计!H$4:H$1003,$W220)))</f>
        <v/>
      </c>
      <c r="I220" s="56" t="str">
        <f aca="false">IF($W220="","",N(INDEX(发票统计!I$4:I$1003,$W220)))</f>
        <v/>
      </c>
      <c r="J220" s="56" t="str">
        <f aca="false">IF($W220="","",N(INDEX(发票统计!J$4:J$1003,$W220)))</f>
        <v/>
      </c>
      <c r="K220" s="56" t="str">
        <f aca="false">IF($W220="","",N(INDEX(发票统计!K$4:K$1003,$W220)))</f>
        <v/>
      </c>
      <c r="L220" s="56" t="str">
        <f aca="false">IF($W220="","",SUM(J$4:J220)-SUM(K$4:K220))</f>
        <v/>
      </c>
      <c r="M220" s="56" t="str">
        <f aca="false">IF($W220="","",N(INDEX(发票统计!M$4:M$1003,$W220)))</f>
        <v/>
      </c>
      <c r="N220" s="56" t="str">
        <f aca="false">IF($W220="","",N(INDEX(发票统计!N$4:N$1003,$W220)))</f>
        <v/>
      </c>
      <c r="O220" s="56" t="str">
        <f aca="false">IF($W220="","",N(INDEX(发票统计!O$4:O$1003,$W220)))</f>
        <v/>
      </c>
      <c r="P220" s="56" t="str">
        <f aca="false">IF($W220="","",SUM(M$4:M220)-SUM(N$4:N220)-SUM(O$4:O220))</f>
        <v/>
      </c>
      <c r="Q220" s="56" t="str">
        <f aca="false">IF($W220="","",N(INDEX(发票统计!Q$4:Q$1003,$W220)))</f>
        <v/>
      </c>
      <c r="R220" s="56" t="str">
        <f aca="false">IF($W220="","",N(INDEX(发票统计!R$4:R$1003,$W220)))</f>
        <v/>
      </c>
      <c r="S220" s="56" t="str">
        <f aca="false">IF($W220="","",N(INDEX(发票统计!S$4:S$1003,$W220)))</f>
        <v/>
      </c>
      <c r="T220" s="56" t="str">
        <f aca="false">IF($W220="","",SUM(Q$4:Q220)-SUM(R$4:R220)-SUM(S$4:S220))</f>
        <v/>
      </c>
      <c r="U220" s="56" t="str">
        <f aca="false">IF($W220="","",INDEX(发票统计!U$4:U$1003,$W220)&amp;"")</f>
        <v/>
      </c>
      <c r="W220" s="1" t="str">
        <f aca="false">IF($V$3="","",IFERROR(MATCH($V$3&amp;"#"&amp;ROWS(W$4:W220),发票统计!$W$4:$W$1003,0),""))</f>
        <v/>
      </c>
    </row>
    <row r="221" customFormat="false" ht="16.5" hidden="false" customHeight="false" outlineLevel="0" collapsed="false">
      <c r="A221" s="3" t="str">
        <f aca="false">IF($W221="","",INDEX(发票统计!A$4:A$1003,$W221)&amp;"")</f>
        <v/>
      </c>
      <c r="B221" s="3" t="str">
        <f aca="false">IF($W221="","",INDEX(发票统计!B$4:B$1003,$W221)&amp;"")</f>
        <v/>
      </c>
      <c r="C221" s="3" t="str">
        <f aca="false">IF($W221="","",INDEX(发票统计!C$4:C$1003,$W221)&amp;"")</f>
        <v/>
      </c>
      <c r="D221" s="3" t="str">
        <f aca="false">IF($W221="","",INDEX(发票统计!D$4:D$1003,$W221)&amp;"")</f>
        <v/>
      </c>
      <c r="E221" s="67" t="str">
        <f aca="false">IF($W221="","",INDEX(发票统计!E$4:E$1003,$W221)&amp;"")</f>
        <v/>
      </c>
      <c r="F221" s="68" t="str">
        <f aca="false">IF($W221="","",INDEX(发票统计!F$4:F$1003,$W221)&amp;"")</f>
        <v/>
      </c>
      <c r="G221" s="68" t="str">
        <f aca="false">IF($W221="","",IF(INDEX(发票统计!G$4:G$1003,$W221)="","",INDEX(发票统计!G$4:G$1003,$W221)))</f>
        <v/>
      </c>
      <c r="H221" s="56" t="str">
        <f aca="false">IF($W221="","",N(INDEX(发票统计!H$4:H$1003,$W221)))</f>
        <v/>
      </c>
      <c r="I221" s="56" t="str">
        <f aca="false">IF($W221="","",N(INDEX(发票统计!I$4:I$1003,$W221)))</f>
        <v/>
      </c>
      <c r="J221" s="56" t="str">
        <f aca="false">IF($W221="","",N(INDEX(发票统计!J$4:J$1003,$W221)))</f>
        <v/>
      </c>
      <c r="K221" s="56" t="str">
        <f aca="false">IF($W221="","",N(INDEX(发票统计!K$4:K$1003,$W221)))</f>
        <v/>
      </c>
      <c r="L221" s="56" t="str">
        <f aca="false">IF($W221="","",SUM(J$4:J221)-SUM(K$4:K221))</f>
        <v/>
      </c>
      <c r="M221" s="56" t="str">
        <f aca="false">IF($W221="","",N(INDEX(发票统计!M$4:M$1003,$W221)))</f>
        <v/>
      </c>
      <c r="N221" s="56" t="str">
        <f aca="false">IF($W221="","",N(INDEX(发票统计!N$4:N$1003,$W221)))</f>
        <v/>
      </c>
      <c r="O221" s="56" t="str">
        <f aca="false">IF($W221="","",N(INDEX(发票统计!O$4:O$1003,$W221)))</f>
        <v/>
      </c>
      <c r="P221" s="56" t="str">
        <f aca="false">IF($W221="","",SUM(M$4:M221)-SUM(N$4:N221)-SUM(O$4:O221))</f>
        <v/>
      </c>
      <c r="Q221" s="56" t="str">
        <f aca="false">IF($W221="","",N(INDEX(发票统计!Q$4:Q$1003,$W221)))</f>
        <v/>
      </c>
      <c r="R221" s="56" t="str">
        <f aca="false">IF($W221="","",N(INDEX(发票统计!R$4:R$1003,$W221)))</f>
        <v/>
      </c>
      <c r="S221" s="56" t="str">
        <f aca="false">IF($W221="","",N(INDEX(发票统计!S$4:S$1003,$W221)))</f>
        <v/>
      </c>
      <c r="T221" s="56" t="str">
        <f aca="false">IF($W221="","",SUM(Q$4:Q221)-SUM(R$4:R221)-SUM(S$4:S221))</f>
        <v/>
      </c>
      <c r="U221" s="56" t="str">
        <f aca="false">IF($W221="","",INDEX(发票统计!U$4:U$1003,$W221)&amp;"")</f>
        <v/>
      </c>
      <c r="W221" s="1" t="str">
        <f aca="false">IF($V$3="","",IFERROR(MATCH($V$3&amp;"#"&amp;ROWS(W$4:W221),发票统计!$W$4:$W$1003,0),""))</f>
        <v/>
      </c>
    </row>
    <row r="222" customFormat="false" ht="16.5" hidden="false" customHeight="false" outlineLevel="0" collapsed="false">
      <c r="A222" s="3" t="str">
        <f aca="false">IF($W222="","",INDEX(发票统计!A$4:A$1003,$W222)&amp;"")</f>
        <v/>
      </c>
      <c r="B222" s="3" t="str">
        <f aca="false">IF($W222="","",INDEX(发票统计!B$4:B$1003,$W222)&amp;"")</f>
        <v/>
      </c>
      <c r="C222" s="3" t="str">
        <f aca="false">IF($W222="","",INDEX(发票统计!C$4:C$1003,$W222)&amp;"")</f>
        <v/>
      </c>
      <c r="D222" s="3" t="str">
        <f aca="false">IF($W222="","",INDEX(发票统计!D$4:D$1003,$W222)&amp;"")</f>
        <v/>
      </c>
      <c r="E222" s="67" t="str">
        <f aca="false">IF($W222="","",INDEX(发票统计!E$4:E$1003,$W222)&amp;"")</f>
        <v/>
      </c>
      <c r="F222" s="68" t="str">
        <f aca="false">IF($W222="","",INDEX(发票统计!F$4:F$1003,$W222)&amp;"")</f>
        <v/>
      </c>
      <c r="G222" s="68" t="str">
        <f aca="false">IF($W222="","",IF(INDEX(发票统计!G$4:G$1003,$W222)="","",INDEX(发票统计!G$4:G$1003,$W222)))</f>
        <v/>
      </c>
      <c r="H222" s="56" t="str">
        <f aca="false">IF($W222="","",N(INDEX(发票统计!H$4:H$1003,$W222)))</f>
        <v/>
      </c>
      <c r="I222" s="56" t="str">
        <f aca="false">IF($W222="","",N(INDEX(发票统计!I$4:I$1003,$W222)))</f>
        <v/>
      </c>
      <c r="J222" s="56" t="str">
        <f aca="false">IF($W222="","",N(INDEX(发票统计!J$4:J$1003,$W222)))</f>
        <v/>
      </c>
      <c r="K222" s="56" t="str">
        <f aca="false">IF($W222="","",N(INDEX(发票统计!K$4:K$1003,$W222)))</f>
        <v/>
      </c>
      <c r="L222" s="56" t="str">
        <f aca="false">IF($W222="","",SUM(J$4:J222)-SUM(K$4:K222))</f>
        <v/>
      </c>
      <c r="M222" s="56" t="str">
        <f aca="false">IF($W222="","",N(INDEX(发票统计!M$4:M$1003,$W222)))</f>
        <v/>
      </c>
      <c r="N222" s="56" t="str">
        <f aca="false">IF($W222="","",N(INDEX(发票统计!N$4:N$1003,$W222)))</f>
        <v/>
      </c>
      <c r="O222" s="56" t="str">
        <f aca="false">IF($W222="","",N(INDEX(发票统计!O$4:O$1003,$W222)))</f>
        <v/>
      </c>
      <c r="P222" s="56" t="str">
        <f aca="false">IF($W222="","",SUM(M$4:M222)-SUM(N$4:N222)-SUM(O$4:O222))</f>
        <v/>
      </c>
      <c r="Q222" s="56" t="str">
        <f aca="false">IF($W222="","",N(INDEX(发票统计!Q$4:Q$1003,$W222)))</f>
        <v/>
      </c>
      <c r="R222" s="56" t="str">
        <f aca="false">IF($W222="","",N(INDEX(发票统计!R$4:R$1003,$W222)))</f>
        <v/>
      </c>
      <c r="S222" s="56" t="str">
        <f aca="false">IF($W222="","",N(INDEX(发票统计!S$4:S$1003,$W222)))</f>
        <v/>
      </c>
      <c r="T222" s="56" t="str">
        <f aca="false">IF($W222="","",SUM(Q$4:Q222)-SUM(R$4:R222)-SUM(S$4:S222))</f>
        <v/>
      </c>
      <c r="U222" s="56" t="str">
        <f aca="false">IF($W222="","",INDEX(发票统计!U$4:U$1003,$W222)&amp;"")</f>
        <v/>
      </c>
      <c r="W222" s="1" t="str">
        <f aca="false">IF($V$3="","",IFERROR(MATCH($V$3&amp;"#"&amp;ROWS(W$4:W222),发票统计!$W$4:$W$1003,0),""))</f>
        <v/>
      </c>
    </row>
    <row r="223" customFormat="false" ht="16.5" hidden="false" customHeight="false" outlineLevel="0" collapsed="false">
      <c r="A223" s="3" t="str">
        <f aca="false">IF($W223="","",INDEX(发票统计!A$4:A$1003,$W223)&amp;"")</f>
        <v/>
      </c>
      <c r="B223" s="3" t="str">
        <f aca="false">IF($W223="","",INDEX(发票统计!B$4:B$1003,$W223)&amp;"")</f>
        <v/>
      </c>
      <c r="C223" s="3" t="str">
        <f aca="false">IF($W223="","",INDEX(发票统计!C$4:C$1003,$W223)&amp;"")</f>
        <v/>
      </c>
      <c r="D223" s="3" t="str">
        <f aca="false">IF($W223="","",INDEX(发票统计!D$4:D$1003,$W223)&amp;"")</f>
        <v/>
      </c>
      <c r="E223" s="67" t="str">
        <f aca="false">IF($W223="","",INDEX(发票统计!E$4:E$1003,$W223)&amp;"")</f>
        <v/>
      </c>
      <c r="F223" s="68" t="str">
        <f aca="false">IF($W223="","",INDEX(发票统计!F$4:F$1003,$W223)&amp;"")</f>
        <v/>
      </c>
      <c r="G223" s="68" t="str">
        <f aca="false">IF($W223="","",IF(INDEX(发票统计!G$4:G$1003,$W223)="","",INDEX(发票统计!G$4:G$1003,$W223)))</f>
        <v/>
      </c>
      <c r="H223" s="56" t="str">
        <f aca="false">IF($W223="","",N(INDEX(发票统计!H$4:H$1003,$W223)))</f>
        <v/>
      </c>
      <c r="I223" s="56" t="str">
        <f aca="false">IF($W223="","",N(INDEX(发票统计!I$4:I$1003,$W223)))</f>
        <v/>
      </c>
      <c r="J223" s="56" t="str">
        <f aca="false">IF($W223="","",N(INDEX(发票统计!J$4:J$1003,$W223)))</f>
        <v/>
      </c>
      <c r="K223" s="56" t="str">
        <f aca="false">IF($W223="","",N(INDEX(发票统计!K$4:K$1003,$W223)))</f>
        <v/>
      </c>
      <c r="L223" s="56" t="str">
        <f aca="false">IF($W223="","",SUM(J$4:J223)-SUM(K$4:K223))</f>
        <v/>
      </c>
      <c r="M223" s="56" t="str">
        <f aca="false">IF($W223="","",N(INDEX(发票统计!M$4:M$1003,$W223)))</f>
        <v/>
      </c>
      <c r="N223" s="56" t="str">
        <f aca="false">IF($W223="","",N(INDEX(发票统计!N$4:N$1003,$W223)))</f>
        <v/>
      </c>
      <c r="O223" s="56" t="str">
        <f aca="false">IF($W223="","",N(INDEX(发票统计!O$4:O$1003,$W223)))</f>
        <v/>
      </c>
      <c r="P223" s="56" t="str">
        <f aca="false">IF($W223="","",SUM(M$4:M223)-SUM(N$4:N223)-SUM(O$4:O223))</f>
        <v/>
      </c>
      <c r="Q223" s="56" t="str">
        <f aca="false">IF($W223="","",N(INDEX(发票统计!Q$4:Q$1003,$W223)))</f>
        <v/>
      </c>
      <c r="R223" s="56" t="str">
        <f aca="false">IF($W223="","",N(INDEX(发票统计!R$4:R$1003,$W223)))</f>
        <v/>
      </c>
      <c r="S223" s="56" t="str">
        <f aca="false">IF($W223="","",N(INDEX(发票统计!S$4:S$1003,$W223)))</f>
        <v/>
      </c>
      <c r="T223" s="56" t="str">
        <f aca="false">IF($W223="","",SUM(Q$4:Q223)-SUM(R$4:R223)-SUM(S$4:S223))</f>
        <v/>
      </c>
      <c r="U223" s="56" t="str">
        <f aca="false">IF($W223="","",INDEX(发票统计!U$4:U$1003,$W223)&amp;"")</f>
        <v/>
      </c>
      <c r="W223" s="1" t="str">
        <f aca="false">IF($V$3="","",IFERROR(MATCH($V$3&amp;"#"&amp;ROWS(W$4:W223),发票统计!$W$4:$W$1003,0),""))</f>
        <v/>
      </c>
    </row>
    <row r="224" customFormat="false" ht="16.5" hidden="false" customHeight="false" outlineLevel="0" collapsed="false">
      <c r="A224" s="3" t="str">
        <f aca="false">IF($W224="","",INDEX(发票统计!A$4:A$1003,$W224)&amp;"")</f>
        <v/>
      </c>
      <c r="B224" s="3" t="str">
        <f aca="false">IF($W224="","",INDEX(发票统计!B$4:B$1003,$W224)&amp;"")</f>
        <v/>
      </c>
      <c r="C224" s="3" t="str">
        <f aca="false">IF($W224="","",INDEX(发票统计!C$4:C$1003,$W224)&amp;"")</f>
        <v/>
      </c>
      <c r="D224" s="3" t="str">
        <f aca="false">IF($W224="","",INDEX(发票统计!D$4:D$1003,$W224)&amp;"")</f>
        <v/>
      </c>
      <c r="E224" s="67" t="str">
        <f aca="false">IF($W224="","",INDEX(发票统计!E$4:E$1003,$W224)&amp;"")</f>
        <v/>
      </c>
      <c r="F224" s="68" t="str">
        <f aca="false">IF($W224="","",INDEX(发票统计!F$4:F$1003,$W224)&amp;"")</f>
        <v/>
      </c>
      <c r="G224" s="68" t="str">
        <f aca="false">IF($W224="","",IF(INDEX(发票统计!G$4:G$1003,$W224)="","",INDEX(发票统计!G$4:G$1003,$W224)))</f>
        <v/>
      </c>
      <c r="H224" s="56" t="str">
        <f aca="false">IF($W224="","",N(INDEX(发票统计!H$4:H$1003,$W224)))</f>
        <v/>
      </c>
      <c r="I224" s="56" t="str">
        <f aca="false">IF($W224="","",N(INDEX(发票统计!I$4:I$1003,$W224)))</f>
        <v/>
      </c>
      <c r="J224" s="56" t="str">
        <f aca="false">IF($W224="","",N(INDEX(发票统计!J$4:J$1003,$W224)))</f>
        <v/>
      </c>
      <c r="K224" s="56" t="str">
        <f aca="false">IF($W224="","",N(INDEX(发票统计!K$4:K$1003,$W224)))</f>
        <v/>
      </c>
      <c r="L224" s="56" t="str">
        <f aca="false">IF($W224="","",SUM(J$4:J224)-SUM(K$4:K224))</f>
        <v/>
      </c>
      <c r="M224" s="56" t="str">
        <f aca="false">IF($W224="","",N(INDEX(发票统计!M$4:M$1003,$W224)))</f>
        <v/>
      </c>
      <c r="N224" s="56" t="str">
        <f aca="false">IF($W224="","",N(INDEX(发票统计!N$4:N$1003,$W224)))</f>
        <v/>
      </c>
      <c r="O224" s="56" t="str">
        <f aca="false">IF($W224="","",N(INDEX(发票统计!O$4:O$1003,$W224)))</f>
        <v/>
      </c>
      <c r="P224" s="56" t="str">
        <f aca="false">IF($W224="","",SUM(M$4:M224)-SUM(N$4:N224)-SUM(O$4:O224))</f>
        <v/>
      </c>
      <c r="Q224" s="56" t="str">
        <f aca="false">IF($W224="","",N(INDEX(发票统计!Q$4:Q$1003,$W224)))</f>
        <v/>
      </c>
      <c r="R224" s="56" t="str">
        <f aca="false">IF($W224="","",N(INDEX(发票统计!R$4:R$1003,$W224)))</f>
        <v/>
      </c>
      <c r="S224" s="56" t="str">
        <f aca="false">IF($W224="","",N(INDEX(发票统计!S$4:S$1003,$W224)))</f>
        <v/>
      </c>
      <c r="T224" s="56" t="str">
        <f aca="false">IF($W224="","",SUM(Q$4:Q224)-SUM(R$4:R224)-SUM(S$4:S224))</f>
        <v/>
      </c>
      <c r="U224" s="56" t="str">
        <f aca="false">IF($W224="","",INDEX(发票统计!U$4:U$1003,$W224)&amp;"")</f>
        <v/>
      </c>
      <c r="W224" s="1" t="str">
        <f aca="false">IF($V$3="","",IFERROR(MATCH($V$3&amp;"#"&amp;ROWS(W$4:W224),发票统计!$W$4:$W$1003,0),""))</f>
        <v/>
      </c>
    </row>
    <row r="225" customFormat="false" ht="16.5" hidden="false" customHeight="false" outlineLevel="0" collapsed="false">
      <c r="A225" s="3" t="str">
        <f aca="false">IF($W225="","",INDEX(发票统计!A$4:A$1003,$W225)&amp;"")</f>
        <v/>
      </c>
      <c r="B225" s="3" t="str">
        <f aca="false">IF($W225="","",INDEX(发票统计!B$4:B$1003,$W225)&amp;"")</f>
        <v/>
      </c>
      <c r="C225" s="3" t="str">
        <f aca="false">IF($W225="","",INDEX(发票统计!C$4:C$1003,$W225)&amp;"")</f>
        <v/>
      </c>
      <c r="D225" s="3" t="str">
        <f aca="false">IF($W225="","",INDEX(发票统计!D$4:D$1003,$W225)&amp;"")</f>
        <v/>
      </c>
      <c r="E225" s="67" t="str">
        <f aca="false">IF($W225="","",INDEX(发票统计!E$4:E$1003,$W225)&amp;"")</f>
        <v/>
      </c>
      <c r="F225" s="68" t="str">
        <f aca="false">IF($W225="","",INDEX(发票统计!F$4:F$1003,$W225)&amp;"")</f>
        <v/>
      </c>
      <c r="G225" s="68" t="str">
        <f aca="false">IF($W225="","",IF(INDEX(发票统计!G$4:G$1003,$W225)="","",INDEX(发票统计!G$4:G$1003,$W225)))</f>
        <v/>
      </c>
      <c r="H225" s="56" t="str">
        <f aca="false">IF($W225="","",N(INDEX(发票统计!H$4:H$1003,$W225)))</f>
        <v/>
      </c>
      <c r="I225" s="56" t="str">
        <f aca="false">IF($W225="","",N(INDEX(发票统计!I$4:I$1003,$W225)))</f>
        <v/>
      </c>
      <c r="J225" s="56" t="str">
        <f aca="false">IF($W225="","",N(INDEX(发票统计!J$4:J$1003,$W225)))</f>
        <v/>
      </c>
      <c r="K225" s="56" t="str">
        <f aca="false">IF($W225="","",N(INDEX(发票统计!K$4:K$1003,$W225)))</f>
        <v/>
      </c>
      <c r="L225" s="56" t="str">
        <f aca="false">IF($W225="","",SUM(J$4:J225)-SUM(K$4:K225))</f>
        <v/>
      </c>
      <c r="M225" s="56" t="str">
        <f aca="false">IF($W225="","",N(INDEX(发票统计!M$4:M$1003,$W225)))</f>
        <v/>
      </c>
      <c r="N225" s="56" t="str">
        <f aca="false">IF($W225="","",N(INDEX(发票统计!N$4:N$1003,$W225)))</f>
        <v/>
      </c>
      <c r="O225" s="56" t="str">
        <f aca="false">IF($W225="","",N(INDEX(发票统计!O$4:O$1003,$W225)))</f>
        <v/>
      </c>
      <c r="P225" s="56" t="str">
        <f aca="false">IF($W225="","",SUM(M$4:M225)-SUM(N$4:N225)-SUM(O$4:O225))</f>
        <v/>
      </c>
      <c r="Q225" s="56" t="str">
        <f aca="false">IF($W225="","",N(INDEX(发票统计!Q$4:Q$1003,$W225)))</f>
        <v/>
      </c>
      <c r="R225" s="56" t="str">
        <f aca="false">IF($W225="","",N(INDEX(发票统计!R$4:R$1003,$W225)))</f>
        <v/>
      </c>
      <c r="S225" s="56" t="str">
        <f aca="false">IF($W225="","",N(INDEX(发票统计!S$4:S$1003,$W225)))</f>
        <v/>
      </c>
      <c r="T225" s="56" t="str">
        <f aca="false">IF($W225="","",SUM(Q$4:Q225)-SUM(R$4:R225)-SUM(S$4:S225))</f>
        <v/>
      </c>
      <c r="U225" s="56" t="str">
        <f aca="false">IF($W225="","",INDEX(发票统计!U$4:U$1003,$W225)&amp;"")</f>
        <v/>
      </c>
      <c r="W225" s="1" t="str">
        <f aca="false">IF($V$3="","",IFERROR(MATCH($V$3&amp;"#"&amp;ROWS(W$4:W225),发票统计!$W$4:$W$1003,0),""))</f>
        <v/>
      </c>
    </row>
    <row r="226" customFormat="false" ht="16.5" hidden="false" customHeight="false" outlineLevel="0" collapsed="false">
      <c r="A226" s="3" t="str">
        <f aca="false">IF($W226="","",INDEX(发票统计!A$4:A$1003,$W226)&amp;"")</f>
        <v/>
      </c>
      <c r="B226" s="3" t="str">
        <f aca="false">IF($W226="","",INDEX(发票统计!B$4:B$1003,$W226)&amp;"")</f>
        <v/>
      </c>
      <c r="C226" s="3" t="str">
        <f aca="false">IF($W226="","",INDEX(发票统计!C$4:C$1003,$W226)&amp;"")</f>
        <v/>
      </c>
      <c r="D226" s="3" t="str">
        <f aca="false">IF($W226="","",INDEX(发票统计!D$4:D$1003,$W226)&amp;"")</f>
        <v/>
      </c>
      <c r="E226" s="67" t="str">
        <f aca="false">IF($W226="","",INDEX(发票统计!E$4:E$1003,$W226)&amp;"")</f>
        <v/>
      </c>
      <c r="F226" s="68" t="str">
        <f aca="false">IF($W226="","",INDEX(发票统计!F$4:F$1003,$W226)&amp;"")</f>
        <v/>
      </c>
      <c r="G226" s="68" t="str">
        <f aca="false">IF($W226="","",IF(INDEX(发票统计!G$4:G$1003,$W226)="","",INDEX(发票统计!G$4:G$1003,$W226)))</f>
        <v/>
      </c>
      <c r="H226" s="56" t="str">
        <f aca="false">IF($W226="","",N(INDEX(发票统计!H$4:H$1003,$W226)))</f>
        <v/>
      </c>
      <c r="I226" s="56" t="str">
        <f aca="false">IF($W226="","",N(INDEX(发票统计!I$4:I$1003,$W226)))</f>
        <v/>
      </c>
      <c r="J226" s="56" t="str">
        <f aca="false">IF($W226="","",N(INDEX(发票统计!J$4:J$1003,$W226)))</f>
        <v/>
      </c>
      <c r="K226" s="56" t="str">
        <f aca="false">IF($W226="","",N(INDEX(发票统计!K$4:K$1003,$W226)))</f>
        <v/>
      </c>
      <c r="L226" s="56" t="str">
        <f aca="false">IF($W226="","",SUM(J$4:J226)-SUM(K$4:K226))</f>
        <v/>
      </c>
      <c r="M226" s="56" t="str">
        <f aca="false">IF($W226="","",N(INDEX(发票统计!M$4:M$1003,$W226)))</f>
        <v/>
      </c>
      <c r="N226" s="56" t="str">
        <f aca="false">IF($W226="","",N(INDEX(发票统计!N$4:N$1003,$W226)))</f>
        <v/>
      </c>
      <c r="O226" s="56" t="str">
        <f aca="false">IF($W226="","",N(INDEX(发票统计!O$4:O$1003,$W226)))</f>
        <v/>
      </c>
      <c r="P226" s="56" t="str">
        <f aca="false">IF($W226="","",SUM(M$4:M226)-SUM(N$4:N226)-SUM(O$4:O226))</f>
        <v/>
      </c>
      <c r="Q226" s="56" t="str">
        <f aca="false">IF($W226="","",N(INDEX(发票统计!Q$4:Q$1003,$W226)))</f>
        <v/>
      </c>
      <c r="R226" s="56" t="str">
        <f aca="false">IF($W226="","",N(INDEX(发票统计!R$4:R$1003,$W226)))</f>
        <v/>
      </c>
      <c r="S226" s="56" t="str">
        <f aca="false">IF($W226="","",N(INDEX(发票统计!S$4:S$1003,$W226)))</f>
        <v/>
      </c>
      <c r="T226" s="56" t="str">
        <f aca="false">IF($W226="","",SUM(Q$4:Q226)-SUM(R$4:R226)-SUM(S$4:S226))</f>
        <v/>
      </c>
      <c r="U226" s="56" t="str">
        <f aca="false">IF($W226="","",INDEX(发票统计!U$4:U$1003,$W226)&amp;"")</f>
        <v/>
      </c>
      <c r="W226" s="1" t="str">
        <f aca="false">IF($V$3="","",IFERROR(MATCH($V$3&amp;"#"&amp;ROWS(W$4:W226),发票统计!$W$4:$W$1003,0),""))</f>
        <v/>
      </c>
    </row>
    <row r="227" customFormat="false" ht="16.5" hidden="false" customHeight="false" outlineLevel="0" collapsed="false">
      <c r="A227" s="3" t="str">
        <f aca="false">IF($W227="","",INDEX(发票统计!A$4:A$1003,$W227)&amp;"")</f>
        <v/>
      </c>
      <c r="B227" s="3" t="str">
        <f aca="false">IF($W227="","",INDEX(发票统计!B$4:B$1003,$W227)&amp;"")</f>
        <v/>
      </c>
      <c r="C227" s="3" t="str">
        <f aca="false">IF($W227="","",INDEX(发票统计!C$4:C$1003,$W227)&amp;"")</f>
        <v/>
      </c>
      <c r="D227" s="3" t="str">
        <f aca="false">IF($W227="","",INDEX(发票统计!D$4:D$1003,$W227)&amp;"")</f>
        <v/>
      </c>
      <c r="E227" s="67" t="str">
        <f aca="false">IF($W227="","",INDEX(发票统计!E$4:E$1003,$W227)&amp;"")</f>
        <v/>
      </c>
      <c r="F227" s="68" t="str">
        <f aca="false">IF($W227="","",INDEX(发票统计!F$4:F$1003,$W227)&amp;"")</f>
        <v/>
      </c>
      <c r="G227" s="68" t="str">
        <f aca="false">IF($W227="","",IF(INDEX(发票统计!G$4:G$1003,$W227)="","",INDEX(发票统计!G$4:G$1003,$W227)))</f>
        <v/>
      </c>
      <c r="H227" s="56" t="str">
        <f aca="false">IF($W227="","",N(INDEX(发票统计!H$4:H$1003,$W227)))</f>
        <v/>
      </c>
      <c r="I227" s="56" t="str">
        <f aca="false">IF($W227="","",N(INDEX(发票统计!I$4:I$1003,$W227)))</f>
        <v/>
      </c>
      <c r="J227" s="56" t="str">
        <f aca="false">IF($W227="","",N(INDEX(发票统计!J$4:J$1003,$W227)))</f>
        <v/>
      </c>
      <c r="K227" s="56" t="str">
        <f aca="false">IF($W227="","",N(INDEX(发票统计!K$4:K$1003,$W227)))</f>
        <v/>
      </c>
      <c r="L227" s="56" t="str">
        <f aca="false">IF($W227="","",SUM(J$4:J227)-SUM(K$4:K227))</f>
        <v/>
      </c>
      <c r="M227" s="56" t="str">
        <f aca="false">IF($W227="","",N(INDEX(发票统计!M$4:M$1003,$W227)))</f>
        <v/>
      </c>
      <c r="N227" s="56" t="str">
        <f aca="false">IF($W227="","",N(INDEX(发票统计!N$4:N$1003,$W227)))</f>
        <v/>
      </c>
      <c r="O227" s="56" t="str">
        <f aca="false">IF($W227="","",N(INDEX(发票统计!O$4:O$1003,$W227)))</f>
        <v/>
      </c>
      <c r="P227" s="56" t="str">
        <f aca="false">IF($W227="","",SUM(M$4:M227)-SUM(N$4:N227)-SUM(O$4:O227))</f>
        <v/>
      </c>
      <c r="Q227" s="56" t="str">
        <f aca="false">IF($W227="","",N(INDEX(发票统计!Q$4:Q$1003,$W227)))</f>
        <v/>
      </c>
      <c r="R227" s="56" t="str">
        <f aca="false">IF($W227="","",N(INDEX(发票统计!R$4:R$1003,$W227)))</f>
        <v/>
      </c>
      <c r="S227" s="56" t="str">
        <f aca="false">IF($W227="","",N(INDEX(发票统计!S$4:S$1003,$W227)))</f>
        <v/>
      </c>
      <c r="T227" s="56" t="str">
        <f aca="false">IF($W227="","",SUM(Q$4:Q227)-SUM(R$4:R227)-SUM(S$4:S227))</f>
        <v/>
      </c>
      <c r="U227" s="56" t="str">
        <f aca="false">IF($W227="","",INDEX(发票统计!U$4:U$1003,$W227)&amp;"")</f>
        <v/>
      </c>
      <c r="W227" s="1" t="str">
        <f aca="false">IF($V$3="","",IFERROR(MATCH($V$3&amp;"#"&amp;ROWS(W$4:W227),发票统计!$W$4:$W$1003,0),""))</f>
        <v/>
      </c>
    </row>
    <row r="228" customFormat="false" ht="16.5" hidden="false" customHeight="false" outlineLevel="0" collapsed="false">
      <c r="A228" s="3" t="str">
        <f aca="false">IF($W228="","",INDEX(发票统计!A$4:A$1003,$W228)&amp;"")</f>
        <v/>
      </c>
      <c r="B228" s="3" t="str">
        <f aca="false">IF($W228="","",INDEX(发票统计!B$4:B$1003,$W228)&amp;"")</f>
        <v/>
      </c>
      <c r="C228" s="3" t="str">
        <f aca="false">IF($W228="","",INDEX(发票统计!C$4:C$1003,$W228)&amp;"")</f>
        <v/>
      </c>
      <c r="D228" s="3" t="str">
        <f aca="false">IF($W228="","",INDEX(发票统计!D$4:D$1003,$W228)&amp;"")</f>
        <v/>
      </c>
      <c r="E228" s="67" t="str">
        <f aca="false">IF($W228="","",INDEX(发票统计!E$4:E$1003,$W228)&amp;"")</f>
        <v/>
      </c>
      <c r="F228" s="68" t="str">
        <f aca="false">IF($W228="","",INDEX(发票统计!F$4:F$1003,$W228)&amp;"")</f>
        <v/>
      </c>
      <c r="G228" s="68" t="str">
        <f aca="false">IF($W228="","",IF(INDEX(发票统计!G$4:G$1003,$W228)="","",INDEX(发票统计!G$4:G$1003,$W228)))</f>
        <v/>
      </c>
      <c r="H228" s="56" t="str">
        <f aca="false">IF($W228="","",N(INDEX(发票统计!H$4:H$1003,$W228)))</f>
        <v/>
      </c>
      <c r="I228" s="56" t="str">
        <f aca="false">IF($W228="","",N(INDEX(发票统计!I$4:I$1003,$W228)))</f>
        <v/>
      </c>
      <c r="J228" s="56" t="str">
        <f aca="false">IF($W228="","",N(INDEX(发票统计!J$4:J$1003,$W228)))</f>
        <v/>
      </c>
      <c r="K228" s="56" t="str">
        <f aca="false">IF($W228="","",N(INDEX(发票统计!K$4:K$1003,$W228)))</f>
        <v/>
      </c>
      <c r="L228" s="56" t="str">
        <f aca="false">IF($W228="","",SUM(J$4:J228)-SUM(K$4:K228))</f>
        <v/>
      </c>
      <c r="M228" s="56" t="str">
        <f aca="false">IF($W228="","",N(INDEX(发票统计!M$4:M$1003,$W228)))</f>
        <v/>
      </c>
      <c r="N228" s="56" t="str">
        <f aca="false">IF($W228="","",N(INDEX(发票统计!N$4:N$1003,$W228)))</f>
        <v/>
      </c>
      <c r="O228" s="56" t="str">
        <f aca="false">IF($W228="","",N(INDEX(发票统计!O$4:O$1003,$W228)))</f>
        <v/>
      </c>
      <c r="P228" s="56" t="str">
        <f aca="false">IF($W228="","",SUM(M$4:M228)-SUM(N$4:N228)-SUM(O$4:O228))</f>
        <v/>
      </c>
      <c r="Q228" s="56" t="str">
        <f aca="false">IF($W228="","",N(INDEX(发票统计!Q$4:Q$1003,$W228)))</f>
        <v/>
      </c>
      <c r="R228" s="56" t="str">
        <f aca="false">IF($W228="","",N(INDEX(发票统计!R$4:R$1003,$W228)))</f>
        <v/>
      </c>
      <c r="S228" s="56" t="str">
        <f aca="false">IF($W228="","",N(INDEX(发票统计!S$4:S$1003,$W228)))</f>
        <v/>
      </c>
      <c r="T228" s="56" t="str">
        <f aca="false">IF($W228="","",SUM(Q$4:Q228)-SUM(R$4:R228)-SUM(S$4:S228))</f>
        <v/>
      </c>
      <c r="U228" s="56" t="str">
        <f aca="false">IF($W228="","",INDEX(发票统计!U$4:U$1003,$W228)&amp;"")</f>
        <v/>
      </c>
      <c r="W228" s="1" t="str">
        <f aca="false">IF($V$3="","",IFERROR(MATCH($V$3&amp;"#"&amp;ROWS(W$4:W228),发票统计!$W$4:$W$1003,0),""))</f>
        <v/>
      </c>
    </row>
    <row r="229" customFormat="false" ht="16.5" hidden="false" customHeight="false" outlineLevel="0" collapsed="false">
      <c r="A229" s="3" t="str">
        <f aca="false">IF($W229="","",INDEX(发票统计!A$4:A$1003,$W229)&amp;"")</f>
        <v/>
      </c>
      <c r="B229" s="3" t="str">
        <f aca="false">IF($W229="","",INDEX(发票统计!B$4:B$1003,$W229)&amp;"")</f>
        <v/>
      </c>
      <c r="C229" s="3" t="str">
        <f aca="false">IF($W229="","",INDEX(发票统计!C$4:C$1003,$W229)&amp;"")</f>
        <v/>
      </c>
      <c r="D229" s="3" t="str">
        <f aca="false">IF($W229="","",INDEX(发票统计!D$4:D$1003,$W229)&amp;"")</f>
        <v/>
      </c>
      <c r="E229" s="67" t="str">
        <f aca="false">IF($W229="","",INDEX(发票统计!E$4:E$1003,$W229)&amp;"")</f>
        <v/>
      </c>
      <c r="F229" s="68" t="str">
        <f aca="false">IF($W229="","",INDEX(发票统计!F$4:F$1003,$W229)&amp;"")</f>
        <v/>
      </c>
      <c r="G229" s="68" t="str">
        <f aca="false">IF($W229="","",IF(INDEX(发票统计!G$4:G$1003,$W229)="","",INDEX(发票统计!G$4:G$1003,$W229)))</f>
        <v/>
      </c>
      <c r="H229" s="56" t="str">
        <f aca="false">IF($W229="","",N(INDEX(发票统计!H$4:H$1003,$W229)))</f>
        <v/>
      </c>
      <c r="I229" s="56" t="str">
        <f aca="false">IF($W229="","",N(INDEX(发票统计!I$4:I$1003,$W229)))</f>
        <v/>
      </c>
      <c r="J229" s="56" t="str">
        <f aca="false">IF($W229="","",N(INDEX(发票统计!J$4:J$1003,$W229)))</f>
        <v/>
      </c>
      <c r="K229" s="56" t="str">
        <f aca="false">IF($W229="","",N(INDEX(发票统计!K$4:K$1003,$W229)))</f>
        <v/>
      </c>
      <c r="L229" s="56" t="str">
        <f aca="false">IF($W229="","",SUM(J$4:J229)-SUM(K$4:K229))</f>
        <v/>
      </c>
      <c r="M229" s="56" t="str">
        <f aca="false">IF($W229="","",N(INDEX(发票统计!M$4:M$1003,$W229)))</f>
        <v/>
      </c>
      <c r="N229" s="56" t="str">
        <f aca="false">IF($W229="","",N(INDEX(发票统计!N$4:N$1003,$W229)))</f>
        <v/>
      </c>
      <c r="O229" s="56" t="str">
        <f aca="false">IF($W229="","",N(INDEX(发票统计!O$4:O$1003,$W229)))</f>
        <v/>
      </c>
      <c r="P229" s="56" t="str">
        <f aca="false">IF($W229="","",SUM(M$4:M229)-SUM(N$4:N229)-SUM(O$4:O229))</f>
        <v/>
      </c>
      <c r="Q229" s="56" t="str">
        <f aca="false">IF($W229="","",N(INDEX(发票统计!Q$4:Q$1003,$W229)))</f>
        <v/>
      </c>
      <c r="R229" s="56" t="str">
        <f aca="false">IF($W229="","",N(INDEX(发票统计!R$4:R$1003,$W229)))</f>
        <v/>
      </c>
      <c r="S229" s="56" t="str">
        <f aca="false">IF($W229="","",N(INDEX(发票统计!S$4:S$1003,$W229)))</f>
        <v/>
      </c>
      <c r="T229" s="56" t="str">
        <f aca="false">IF($W229="","",SUM(Q$4:Q229)-SUM(R$4:R229)-SUM(S$4:S229))</f>
        <v/>
      </c>
      <c r="U229" s="56" t="str">
        <f aca="false">IF($W229="","",INDEX(发票统计!U$4:U$1003,$W229)&amp;"")</f>
        <v/>
      </c>
      <c r="W229" s="1" t="str">
        <f aca="false">IF($V$3="","",IFERROR(MATCH($V$3&amp;"#"&amp;ROWS(W$4:W229),发票统计!$W$4:$W$1003,0),""))</f>
        <v/>
      </c>
    </row>
    <row r="230" customFormat="false" ht="16.5" hidden="false" customHeight="false" outlineLevel="0" collapsed="false">
      <c r="A230" s="3" t="str">
        <f aca="false">IF($W230="","",INDEX(发票统计!A$4:A$1003,$W230)&amp;"")</f>
        <v/>
      </c>
      <c r="B230" s="3" t="str">
        <f aca="false">IF($W230="","",INDEX(发票统计!B$4:B$1003,$W230)&amp;"")</f>
        <v/>
      </c>
      <c r="C230" s="3" t="str">
        <f aca="false">IF($W230="","",INDEX(发票统计!C$4:C$1003,$W230)&amp;"")</f>
        <v/>
      </c>
      <c r="D230" s="3" t="str">
        <f aca="false">IF($W230="","",INDEX(发票统计!D$4:D$1003,$W230)&amp;"")</f>
        <v/>
      </c>
      <c r="E230" s="67" t="str">
        <f aca="false">IF($W230="","",INDEX(发票统计!E$4:E$1003,$W230)&amp;"")</f>
        <v/>
      </c>
      <c r="F230" s="68" t="str">
        <f aca="false">IF($W230="","",INDEX(发票统计!F$4:F$1003,$W230)&amp;"")</f>
        <v/>
      </c>
      <c r="G230" s="68" t="str">
        <f aca="false">IF($W230="","",IF(INDEX(发票统计!G$4:G$1003,$W230)="","",INDEX(发票统计!G$4:G$1003,$W230)))</f>
        <v/>
      </c>
      <c r="H230" s="56" t="str">
        <f aca="false">IF($W230="","",N(INDEX(发票统计!H$4:H$1003,$W230)))</f>
        <v/>
      </c>
      <c r="I230" s="56" t="str">
        <f aca="false">IF($W230="","",N(INDEX(发票统计!I$4:I$1003,$W230)))</f>
        <v/>
      </c>
      <c r="J230" s="56" t="str">
        <f aca="false">IF($W230="","",N(INDEX(发票统计!J$4:J$1003,$W230)))</f>
        <v/>
      </c>
      <c r="K230" s="56" t="str">
        <f aca="false">IF($W230="","",N(INDEX(发票统计!K$4:K$1003,$W230)))</f>
        <v/>
      </c>
      <c r="L230" s="56" t="str">
        <f aca="false">IF($W230="","",SUM(J$4:J230)-SUM(K$4:K230))</f>
        <v/>
      </c>
      <c r="M230" s="56" t="str">
        <f aca="false">IF($W230="","",N(INDEX(发票统计!M$4:M$1003,$W230)))</f>
        <v/>
      </c>
      <c r="N230" s="56" t="str">
        <f aca="false">IF($W230="","",N(INDEX(发票统计!N$4:N$1003,$W230)))</f>
        <v/>
      </c>
      <c r="O230" s="56" t="str">
        <f aca="false">IF($W230="","",N(INDEX(发票统计!O$4:O$1003,$W230)))</f>
        <v/>
      </c>
      <c r="P230" s="56" t="str">
        <f aca="false">IF($W230="","",SUM(M$4:M230)-SUM(N$4:N230)-SUM(O$4:O230))</f>
        <v/>
      </c>
      <c r="Q230" s="56" t="str">
        <f aca="false">IF($W230="","",N(INDEX(发票统计!Q$4:Q$1003,$W230)))</f>
        <v/>
      </c>
      <c r="R230" s="56" t="str">
        <f aca="false">IF($W230="","",N(INDEX(发票统计!R$4:R$1003,$W230)))</f>
        <v/>
      </c>
      <c r="S230" s="56" t="str">
        <f aca="false">IF($W230="","",N(INDEX(发票统计!S$4:S$1003,$W230)))</f>
        <v/>
      </c>
      <c r="T230" s="56" t="str">
        <f aca="false">IF($W230="","",SUM(Q$4:Q230)-SUM(R$4:R230)-SUM(S$4:S230))</f>
        <v/>
      </c>
      <c r="U230" s="56" t="str">
        <f aca="false">IF($W230="","",INDEX(发票统计!U$4:U$1003,$W230)&amp;"")</f>
        <v/>
      </c>
      <c r="W230" s="1" t="str">
        <f aca="false">IF($V$3="","",IFERROR(MATCH($V$3&amp;"#"&amp;ROWS(W$4:W230),发票统计!$W$4:$W$1003,0),""))</f>
        <v/>
      </c>
    </row>
    <row r="231" customFormat="false" ht="16.5" hidden="false" customHeight="false" outlineLevel="0" collapsed="false">
      <c r="A231" s="3" t="str">
        <f aca="false">IF($W231="","",INDEX(发票统计!A$4:A$1003,$W231)&amp;"")</f>
        <v/>
      </c>
      <c r="B231" s="3" t="str">
        <f aca="false">IF($W231="","",INDEX(发票统计!B$4:B$1003,$W231)&amp;"")</f>
        <v/>
      </c>
      <c r="C231" s="3" t="str">
        <f aca="false">IF($W231="","",INDEX(发票统计!C$4:C$1003,$W231)&amp;"")</f>
        <v/>
      </c>
      <c r="D231" s="3" t="str">
        <f aca="false">IF($W231="","",INDEX(发票统计!D$4:D$1003,$W231)&amp;"")</f>
        <v/>
      </c>
      <c r="E231" s="67" t="str">
        <f aca="false">IF($W231="","",INDEX(发票统计!E$4:E$1003,$W231)&amp;"")</f>
        <v/>
      </c>
      <c r="F231" s="68" t="str">
        <f aca="false">IF($W231="","",INDEX(发票统计!F$4:F$1003,$W231)&amp;"")</f>
        <v/>
      </c>
      <c r="G231" s="68" t="str">
        <f aca="false">IF($W231="","",IF(INDEX(发票统计!G$4:G$1003,$W231)="","",INDEX(发票统计!G$4:G$1003,$W231)))</f>
        <v/>
      </c>
      <c r="H231" s="56" t="str">
        <f aca="false">IF($W231="","",N(INDEX(发票统计!H$4:H$1003,$W231)))</f>
        <v/>
      </c>
      <c r="I231" s="56" t="str">
        <f aca="false">IF($W231="","",N(INDEX(发票统计!I$4:I$1003,$W231)))</f>
        <v/>
      </c>
      <c r="J231" s="56" t="str">
        <f aca="false">IF($W231="","",N(INDEX(发票统计!J$4:J$1003,$W231)))</f>
        <v/>
      </c>
      <c r="K231" s="56" t="str">
        <f aca="false">IF($W231="","",N(INDEX(发票统计!K$4:K$1003,$W231)))</f>
        <v/>
      </c>
      <c r="L231" s="56" t="str">
        <f aca="false">IF($W231="","",SUM(J$4:J231)-SUM(K$4:K231))</f>
        <v/>
      </c>
      <c r="M231" s="56" t="str">
        <f aca="false">IF($W231="","",N(INDEX(发票统计!M$4:M$1003,$W231)))</f>
        <v/>
      </c>
      <c r="N231" s="56" t="str">
        <f aca="false">IF($W231="","",N(INDEX(发票统计!N$4:N$1003,$W231)))</f>
        <v/>
      </c>
      <c r="O231" s="56" t="str">
        <f aca="false">IF($W231="","",N(INDEX(发票统计!O$4:O$1003,$W231)))</f>
        <v/>
      </c>
      <c r="P231" s="56" t="str">
        <f aca="false">IF($W231="","",SUM(M$4:M231)-SUM(N$4:N231)-SUM(O$4:O231))</f>
        <v/>
      </c>
      <c r="Q231" s="56" t="str">
        <f aca="false">IF($W231="","",N(INDEX(发票统计!Q$4:Q$1003,$W231)))</f>
        <v/>
      </c>
      <c r="R231" s="56" t="str">
        <f aca="false">IF($W231="","",N(INDEX(发票统计!R$4:R$1003,$W231)))</f>
        <v/>
      </c>
      <c r="S231" s="56" t="str">
        <f aca="false">IF($W231="","",N(INDEX(发票统计!S$4:S$1003,$W231)))</f>
        <v/>
      </c>
      <c r="T231" s="56" t="str">
        <f aca="false">IF($W231="","",SUM(Q$4:Q231)-SUM(R$4:R231)-SUM(S$4:S231))</f>
        <v/>
      </c>
      <c r="U231" s="56" t="str">
        <f aca="false">IF($W231="","",INDEX(发票统计!U$4:U$1003,$W231)&amp;"")</f>
        <v/>
      </c>
      <c r="W231" s="1" t="str">
        <f aca="false">IF($V$3="","",IFERROR(MATCH($V$3&amp;"#"&amp;ROWS(W$4:W231),发票统计!$W$4:$W$1003,0),""))</f>
        <v/>
      </c>
    </row>
    <row r="232" customFormat="false" ht="16.5" hidden="false" customHeight="false" outlineLevel="0" collapsed="false">
      <c r="A232" s="3" t="str">
        <f aca="false">IF($W232="","",INDEX(发票统计!A$4:A$1003,$W232)&amp;"")</f>
        <v/>
      </c>
      <c r="B232" s="3" t="str">
        <f aca="false">IF($W232="","",INDEX(发票统计!B$4:B$1003,$W232)&amp;"")</f>
        <v/>
      </c>
      <c r="C232" s="3" t="str">
        <f aca="false">IF($W232="","",INDEX(发票统计!C$4:C$1003,$W232)&amp;"")</f>
        <v/>
      </c>
      <c r="D232" s="3" t="str">
        <f aca="false">IF($W232="","",INDEX(发票统计!D$4:D$1003,$W232)&amp;"")</f>
        <v/>
      </c>
      <c r="E232" s="67" t="str">
        <f aca="false">IF($W232="","",INDEX(发票统计!E$4:E$1003,$W232)&amp;"")</f>
        <v/>
      </c>
      <c r="F232" s="68" t="str">
        <f aca="false">IF($W232="","",INDEX(发票统计!F$4:F$1003,$W232)&amp;"")</f>
        <v/>
      </c>
      <c r="G232" s="68" t="str">
        <f aca="false">IF($W232="","",IF(INDEX(发票统计!G$4:G$1003,$W232)="","",INDEX(发票统计!G$4:G$1003,$W232)))</f>
        <v/>
      </c>
      <c r="H232" s="56" t="str">
        <f aca="false">IF($W232="","",N(INDEX(发票统计!H$4:H$1003,$W232)))</f>
        <v/>
      </c>
      <c r="I232" s="56" t="str">
        <f aca="false">IF($W232="","",N(INDEX(发票统计!I$4:I$1003,$W232)))</f>
        <v/>
      </c>
      <c r="J232" s="56" t="str">
        <f aca="false">IF($W232="","",N(INDEX(发票统计!J$4:J$1003,$W232)))</f>
        <v/>
      </c>
      <c r="K232" s="56" t="str">
        <f aca="false">IF($W232="","",N(INDEX(发票统计!K$4:K$1003,$W232)))</f>
        <v/>
      </c>
      <c r="L232" s="56" t="str">
        <f aca="false">IF($W232="","",SUM(J$4:J232)-SUM(K$4:K232))</f>
        <v/>
      </c>
      <c r="M232" s="56" t="str">
        <f aca="false">IF($W232="","",N(INDEX(发票统计!M$4:M$1003,$W232)))</f>
        <v/>
      </c>
      <c r="N232" s="56" t="str">
        <f aca="false">IF($W232="","",N(INDEX(发票统计!N$4:N$1003,$W232)))</f>
        <v/>
      </c>
      <c r="O232" s="56" t="str">
        <f aca="false">IF($W232="","",N(INDEX(发票统计!O$4:O$1003,$W232)))</f>
        <v/>
      </c>
      <c r="P232" s="56" t="str">
        <f aca="false">IF($W232="","",SUM(M$4:M232)-SUM(N$4:N232)-SUM(O$4:O232))</f>
        <v/>
      </c>
      <c r="Q232" s="56" t="str">
        <f aca="false">IF($W232="","",N(INDEX(发票统计!Q$4:Q$1003,$W232)))</f>
        <v/>
      </c>
      <c r="R232" s="56" t="str">
        <f aca="false">IF($W232="","",N(INDEX(发票统计!R$4:R$1003,$W232)))</f>
        <v/>
      </c>
      <c r="S232" s="56" t="str">
        <f aca="false">IF($W232="","",N(INDEX(发票统计!S$4:S$1003,$W232)))</f>
        <v/>
      </c>
      <c r="T232" s="56" t="str">
        <f aca="false">IF($W232="","",SUM(Q$4:Q232)-SUM(R$4:R232)-SUM(S$4:S232))</f>
        <v/>
      </c>
      <c r="U232" s="56" t="str">
        <f aca="false">IF($W232="","",INDEX(发票统计!U$4:U$1003,$W232)&amp;"")</f>
        <v/>
      </c>
      <c r="W232" s="1" t="str">
        <f aca="false">IF($V$3="","",IFERROR(MATCH($V$3&amp;"#"&amp;ROWS(W$4:W232),发票统计!$W$4:$W$1003,0),""))</f>
        <v/>
      </c>
    </row>
    <row r="233" customFormat="false" ht="16.5" hidden="false" customHeight="false" outlineLevel="0" collapsed="false">
      <c r="A233" s="3" t="str">
        <f aca="false">IF($W233="","",INDEX(发票统计!A$4:A$1003,$W233)&amp;"")</f>
        <v/>
      </c>
      <c r="B233" s="3" t="str">
        <f aca="false">IF($W233="","",INDEX(发票统计!B$4:B$1003,$W233)&amp;"")</f>
        <v/>
      </c>
      <c r="C233" s="3" t="str">
        <f aca="false">IF($W233="","",INDEX(发票统计!C$4:C$1003,$W233)&amp;"")</f>
        <v/>
      </c>
      <c r="D233" s="3" t="str">
        <f aca="false">IF($W233="","",INDEX(发票统计!D$4:D$1003,$W233)&amp;"")</f>
        <v/>
      </c>
      <c r="E233" s="67" t="str">
        <f aca="false">IF($W233="","",INDEX(发票统计!E$4:E$1003,$W233)&amp;"")</f>
        <v/>
      </c>
      <c r="F233" s="68" t="str">
        <f aca="false">IF($W233="","",INDEX(发票统计!F$4:F$1003,$W233)&amp;"")</f>
        <v/>
      </c>
      <c r="G233" s="68" t="str">
        <f aca="false">IF($W233="","",IF(INDEX(发票统计!G$4:G$1003,$W233)="","",INDEX(发票统计!G$4:G$1003,$W233)))</f>
        <v/>
      </c>
      <c r="H233" s="56" t="str">
        <f aca="false">IF($W233="","",N(INDEX(发票统计!H$4:H$1003,$W233)))</f>
        <v/>
      </c>
      <c r="I233" s="56" t="str">
        <f aca="false">IF($W233="","",N(INDEX(发票统计!I$4:I$1003,$W233)))</f>
        <v/>
      </c>
      <c r="J233" s="56" t="str">
        <f aca="false">IF($W233="","",N(INDEX(发票统计!J$4:J$1003,$W233)))</f>
        <v/>
      </c>
      <c r="K233" s="56" t="str">
        <f aca="false">IF($W233="","",N(INDEX(发票统计!K$4:K$1003,$W233)))</f>
        <v/>
      </c>
      <c r="L233" s="56" t="str">
        <f aca="false">IF($W233="","",SUM(J$4:J233)-SUM(K$4:K233))</f>
        <v/>
      </c>
      <c r="M233" s="56" t="str">
        <f aca="false">IF($W233="","",N(INDEX(发票统计!M$4:M$1003,$W233)))</f>
        <v/>
      </c>
      <c r="N233" s="56" t="str">
        <f aca="false">IF($W233="","",N(INDEX(发票统计!N$4:N$1003,$W233)))</f>
        <v/>
      </c>
      <c r="O233" s="56" t="str">
        <f aca="false">IF($W233="","",N(INDEX(发票统计!O$4:O$1003,$W233)))</f>
        <v/>
      </c>
      <c r="P233" s="56" t="str">
        <f aca="false">IF($W233="","",SUM(M$4:M233)-SUM(N$4:N233)-SUM(O$4:O233))</f>
        <v/>
      </c>
      <c r="Q233" s="56" t="str">
        <f aca="false">IF($W233="","",N(INDEX(发票统计!Q$4:Q$1003,$W233)))</f>
        <v/>
      </c>
      <c r="R233" s="56" t="str">
        <f aca="false">IF($W233="","",N(INDEX(发票统计!R$4:R$1003,$W233)))</f>
        <v/>
      </c>
      <c r="S233" s="56" t="str">
        <f aca="false">IF($W233="","",N(INDEX(发票统计!S$4:S$1003,$W233)))</f>
        <v/>
      </c>
      <c r="T233" s="56" t="str">
        <f aca="false">IF($W233="","",SUM(Q$4:Q233)-SUM(R$4:R233)-SUM(S$4:S233))</f>
        <v/>
      </c>
      <c r="U233" s="56" t="str">
        <f aca="false">IF($W233="","",INDEX(发票统计!U$4:U$1003,$W233)&amp;"")</f>
        <v/>
      </c>
      <c r="W233" s="1" t="str">
        <f aca="false">IF($V$3="","",IFERROR(MATCH($V$3&amp;"#"&amp;ROWS(W$4:W233),发票统计!$W$4:$W$1003,0),""))</f>
        <v/>
      </c>
    </row>
    <row r="234" customFormat="false" ht="16.5" hidden="false" customHeight="false" outlineLevel="0" collapsed="false">
      <c r="A234" s="3" t="str">
        <f aca="false">IF($W234="","",INDEX(发票统计!A$4:A$1003,$W234)&amp;"")</f>
        <v/>
      </c>
      <c r="B234" s="3" t="str">
        <f aca="false">IF($W234="","",INDEX(发票统计!B$4:B$1003,$W234)&amp;"")</f>
        <v/>
      </c>
      <c r="C234" s="3" t="str">
        <f aca="false">IF($W234="","",INDEX(发票统计!C$4:C$1003,$W234)&amp;"")</f>
        <v/>
      </c>
      <c r="D234" s="3" t="str">
        <f aca="false">IF($W234="","",INDEX(发票统计!D$4:D$1003,$W234)&amp;"")</f>
        <v/>
      </c>
      <c r="E234" s="67" t="str">
        <f aca="false">IF($W234="","",INDEX(发票统计!E$4:E$1003,$W234)&amp;"")</f>
        <v/>
      </c>
      <c r="F234" s="68" t="str">
        <f aca="false">IF($W234="","",INDEX(发票统计!F$4:F$1003,$W234)&amp;"")</f>
        <v/>
      </c>
      <c r="G234" s="68" t="str">
        <f aca="false">IF($W234="","",IF(INDEX(发票统计!G$4:G$1003,$W234)="","",INDEX(发票统计!G$4:G$1003,$W234)))</f>
        <v/>
      </c>
      <c r="H234" s="56" t="str">
        <f aca="false">IF($W234="","",N(INDEX(发票统计!H$4:H$1003,$W234)))</f>
        <v/>
      </c>
      <c r="I234" s="56" t="str">
        <f aca="false">IF($W234="","",N(INDEX(发票统计!I$4:I$1003,$W234)))</f>
        <v/>
      </c>
      <c r="J234" s="56" t="str">
        <f aca="false">IF($W234="","",N(INDEX(发票统计!J$4:J$1003,$W234)))</f>
        <v/>
      </c>
      <c r="K234" s="56" t="str">
        <f aca="false">IF($W234="","",N(INDEX(发票统计!K$4:K$1003,$W234)))</f>
        <v/>
      </c>
      <c r="L234" s="56" t="str">
        <f aca="false">IF($W234="","",SUM(J$4:J234)-SUM(K$4:K234))</f>
        <v/>
      </c>
      <c r="M234" s="56" t="str">
        <f aca="false">IF($W234="","",N(INDEX(发票统计!M$4:M$1003,$W234)))</f>
        <v/>
      </c>
      <c r="N234" s="56" t="str">
        <f aca="false">IF($W234="","",N(INDEX(发票统计!N$4:N$1003,$W234)))</f>
        <v/>
      </c>
      <c r="O234" s="56" t="str">
        <f aca="false">IF($W234="","",N(INDEX(发票统计!O$4:O$1003,$W234)))</f>
        <v/>
      </c>
      <c r="P234" s="56" t="str">
        <f aca="false">IF($W234="","",SUM(M$4:M234)-SUM(N$4:N234)-SUM(O$4:O234))</f>
        <v/>
      </c>
      <c r="Q234" s="56" t="str">
        <f aca="false">IF($W234="","",N(INDEX(发票统计!Q$4:Q$1003,$W234)))</f>
        <v/>
      </c>
      <c r="R234" s="56" t="str">
        <f aca="false">IF($W234="","",N(INDEX(发票统计!R$4:R$1003,$W234)))</f>
        <v/>
      </c>
      <c r="S234" s="56" t="str">
        <f aca="false">IF($W234="","",N(INDEX(发票统计!S$4:S$1003,$W234)))</f>
        <v/>
      </c>
      <c r="T234" s="56" t="str">
        <f aca="false">IF($W234="","",SUM(Q$4:Q234)-SUM(R$4:R234)-SUM(S$4:S234))</f>
        <v/>
      </c>
      <c r="U234" s="56" t="str">
        <f aca="false">IF($W234="","",INDEX(发票统计!U$4:U$1003,$W234)&amp;"")</f>
        <v/>
      </c>
      <c r="W234" s="1" t="str">
        <f aca="false">IF($V$3="","",IFERROR(MATCH($V$3&amp;"#"&amp;ROWS(W$4:W234),发票统计!$W$4:$W$1003,0),""))</f>
        <v/>
      </c>
    </row>
    <row r="235" customFormat="false" ht="16.5" hidden="false" customHeight="false" outlineLevel="0" collapsed="false">
      <c r="A235" s="3" t="str">
        <f aca="false">IF($W235="","",INDEX(发票统计!A$4:A$1003,$W235)&amp;"")</f>
        <v/>
      </c>
      <c r="B235" s="3" t="str">
        <f aca="false">IF($W235="","",INDEX(发票统计!B$4:B$1003,$W235)&amp;"")</f>
        <v/>
      </c>
      <c r="C235" s="3" t="str">
        <f aca="false">IF($W235="","",INDEX(发票统计!C$4:C$1003,$W235)&amp;"")</f>
        <v/>
      </c>
      <c r="D235" s="3" t="str">
        <f aca="false">IF($W235="","",INDEX(发票统计!D$4:D$1003,$W235)&amp;"")</f>
        <v/>
      </c>
      <c r="E235" s="67" t="str">
        <f aca="false">IF($W235="","",INDEX(发票统计!E$4:E$1003,$W235)&amp;"")</f>
        <v/>
      </c>
      <c r="F235" s="68" t="str">
        <f aca="false">IF($W235="","",INDEX(发票统计!F$4:F$1003,$W235)&amp;"")</f>
        <v/>
      </c>
      <c r="G235" s="68" t="str">
        <f aca="false">IF($W235="","",IF(INDEX(发票统计!G$4:G$1003,$W235)="","",INDEX(发票统计!G$4:G$1003,$W235)))</f>
        <v/>
      </c>
      <c r="H235" s="56" t="str">
        <f aca="false">IF($W235="","",N(INDEX(发票统计!H$4:H$1003,$W235)))</f>
        <v/>
      </c>
      <c r="I235" s="56" t="str">
        <f aca="false">IF($W235="","",N(INDEX(发票统计!I$4:I$1003,$W235)))</f>
        <v/>
      </c>
      <c r="J235" s="56" t="str">
        <f aca="false">IF($W235="","",N(INDEX(发票统计!J$4:J$1003,$W235)))</f>
        <v/>
      </c>
      <c r="K235" s="56" t="str">
        <f aca="false">IF($W235="","",N(INDEX(发票统计!K$4:K$1003,$W235)))</f>
        <v/>
      </c>
      <c r="L235" s="56" t="str">
        <f aca="false">IF($W235="","",SUM(J$4:J235)-SUM(K$4:K235))</f>
        <v/>
      </c>
      <c r="M235" s="56" t="str">
        <f aca="false">IF($W235="","",N(INDEX(发票统计!M$4:M$1003,$W235)))</f>
        <v/>
      </c>
      <c r="N235" s="56" t="str">
        <f aca="false">IF($W235="","",N(INDEX(发票统计!N$4:N$1003,$W235)))</f>
        <v/>
      </c>
      <c r="O235" s="56" t="str">
        <f aca="false">IF($W235="","",N(INDEX(发票统计!O$4:O$1003,$W235)))</f>
        <v/>
      </c>
      <c r="P235" s="56" t="str">
        <f aca="false">IF($W235="","",SUM(M$4:M235)-SUM(N$4:N235)-SUM(O$4:O235))</f>
        <v/>
      </c>
      <c r="Q235" s="56" t="str">
        <f aca="false">IF($W235="","",N(INDEX(发票统计!Q$4:Q$1003,$W235)))</f>
        <v/>
      </c>
      <c r="R235" s="56" t="str">
        <f aca="false">IF($W235="","",N(INDEX(发票统计!R$4:R$1003,$W235)))</f>
        <v/>
      </c>
      <c r="S235" s="56" t="str">
        <f aca="false">IF($W235="","",N(INDEX(发票统计!S$4:S$1003,$W235)))</f>
        <v/>
      </c>
      <c r="T235" s="56" t="str">
        <f aca="false">IF($W235="","",SUM(Q$4:Q235)-SUM(R$4:R235)-SUM(S$4:S235))</f>
        <v/>
      </c>
      <c r="U235" s="56" t="str">
        <f aca="false">IF($W235="","",INDEX(发票统计!U$4:U$1003,$W235)&amp;"")</f>
        <v/>
      </c>
      <c r="W235" s="1" t="str">
        <f aca="false">IF($V$3="","",IFERROR(MATCH($V$3&amp;"#"&amp;ROWS(W$4:W235),发票统计!$W$4:$W$1003,0),""))</f>
        <v/>
      </c>
    </row>
    <row r="236" customFormat="false" ht="16.5" hidden="false" customHeight="false" outlineLevel="0" collapsed="false">
      <c r="A236" s="3" t="str">
        <f aca="false">IF($W236="","",INDEX(发票统计!A$4:A$1003,$W236)&amp;"")</f>
        <v/>
      </c>
      <c r="B236" s="3" t="str">
        <f aca="false">IF($W236="","",INDEX(发票统计!B$4:B$1003,$W236)&amp;"")</f>
        <v/>
      </c>
      <c r="C236" s="3" t="str">
        <f aca="false">IF($W236="","",INDEX(发票统计!C$4:C$1003,$W236)&amp;"")</f>
        <v/>
      </c>
      <c r="D236" s="3" t="str">
        <f aca="false">IF($W236="","",INDEX(发票统计!D$4:D$1003,$W236)&amp;"")</f>
        <v/>
      </c>
      <c r="E236" s="67" t="str">
        <f aca="false">IF($W236="","",INDEX(发票统计!E$4:E$1003,$W236)&amp;"")</f>
        <v/>
      </c>
      <c r="F236" s="68" t="str">
        <f aca="false">IF($W236="","",INDEX(发票统计!F$4:F$1003,$W236)&amp;"")</f>
        <v/>
      </c>
      <c r="G236" s="68" t="str">
        <f aca="false">IF($W236="","",IF(INDEX(发票统计!G$4:G$1003,$W236)="","",INDEX(发票统计!G$4:G$1003,$W236)))</f>
        <v/>
      </c>
      <c r="H236" s="56" t="str">
        <f aca="false">IF($W236="","",N(INDEX(发票统计!H$4:H$1003,$W236)))</f>
        <v/>
      </c>
      <c r="I236" s="56" t="str">
        <f aca="false">IF($W236="","",N(INDEX(发票统计!I$4:I$1003,$W236)))</f>
        <v/>
      </c>
      <c r="J236" s="56" t="str">
        <f aca="false">IF($W236="","",N(INDEX(发票统计!J$4:J$1003,$W236)))</f>
        <v/>
      </c>
      <c r="K236" s="56" t="str">
        <f aca="false">IF($W236="","",N(INDEX(发票统计!K$4:K$1003,$W236)))</f>
        <v/>
      </c>
      <c r="L236" s="56" t="str">
        <f aca="false">IF($W236="","",SUM(J$4:J236)-SUM(K$4:K236))</f>
        <v/>
      </c>
      <c r="M236" s="56" t="str">
        <f aca="false">IF($W236="","",N(INDEX(发票统计!M$4:M$1003,$W236)))</f>
        <v/>
      </c>
      <c r="N236" s="56" t="str">
        <f aca="false">IF($W236="","",N(INDEX(发票统计!N$4:N$1003,$W236)))</f>
        <v/>
      </c>
      <c r="O236" s="56" t="str">
        <f aca="false">IF($W236="","",N(INDEX(发票统计!O$4:O$1003,$W236)))</f>
        <v/>
      </c>
      <c r="P236" s="56" t="str">
        <f aca="false">IF($W236="","",SUM(M$4:M236)-SUM(N$4:N236)-SUM(O$4:O236))</f>
        <v/>
      </c>
      <c r="Q236" s="56" t="str">
        <f aca="false">IF($W236="","",N(INDEX(发票统计!Q$4:Q$1003,$W236)))</f>
        <v/>
      </c>
      <c r="R236" s="56" t="str">
        <f aca="false">IF($W236="","",N(INDEX(发票统计!R$4:R$1003,$W236)))</f>
        <v/>
      </c>
      <c r="S236" s="56" t="str">
        <f aca="false">IF($W236="","",N(INDEX(发票统计!S$4:S$1003,$W236)))</f>
        <v/>
      </c>
      <c r="T236" s="56" t="str">
        <f aca="false">IF($W236="","",SUM(Q$4:Q236)-SUM(R$4:R236)-SUM(S$4:S236))</f>
        <v/>
      </c>
      <c r="U236" s="56" t="str">
        <f aca="false">IF($W236="","",INDEX(发票统计!U$4:U$1003,$W236)&amp;"")</f>
        <v/>
      </c>
      <c r="W236" s="1" t="str">
        <f aca="false">IF($V$3="","",IFERROR(MATCH($V$3&amp;"#"&amp;ROWS(W$4:W236),发票统计!$W$4:$W$1003,0),""))</f>
        <v/>
      </c>
    </row>
    <row r="237" customFormat="false" ht="16.5" hidden="false" customHeight="false" outlineLevel="0" collapsed="false">
      <c r="A237" s="3" t="str">
        <f aca="false">IF($W237="","",INDEX(发票统计!A$4:A$1003,$W237)&amp;"")</f>
        <v/>
      </c>
      <c r="B237" s="3" t="str">
        <f aca="false">IF($W237="","",INDEX(发票统计!B$4:B$1003,$W237)&amp;"")</f>
        <v/>
      </c>
      <c r="C237" s="3" t="str">
        <f aca="false">IF($W237="","",INDEX(发票统计!C$4:C$1003,$W237)&amp;"")</f>
        <v/>
      </c>
      <c r="D237" s="3" t="str">
        <f aca="false">IF($W237="","",INDEX(发票统计!D$4:D$1003,$W237)&amp;"")</f>
        <v/>
      </c>
      <c r="E237" s="67" t="str">
        <f aca="false">IF($W237="","",INDEX(发票统计!E$4:E$1003,$W237)&amp;"")</f>
        <v/>
      </c>
      <c r="F237" s="68" t="str">
        <f aca="false">IF($W237="","",INDEX(发票统计!F$4:F$1003,$W237)&amp;"")</f>
        <v/>
      </c>
      <c r="G237" s="68" t="str">
        <f aca="false">IF($W237="","",IF(INDEX(发票统计!G$4:G$1003,$W237)="","",INDEX(发票统计!G$4:G$1003,$W237)))</f>
        <v/>
      </c>
      <c r="H237" s="56" t="str">
        <f aca="false">IF($W237="","",N(INDEX(发票统计!H$4:H$1003,$W237)))</f>
        <v/>
      </c>
      <c r="I237" s="56" t="str">
        <f aca="false">IF($W237="","",N(INDEX(发票统计!I$4:I$1003,$W237)))</f>
        <v/>
      </c>
      <c r="J237" s="56" t="str">
        <f aca="false">IF($W237="","",N(INDEX(发票统计!J$4:J$1003,$W237)))</f>
        <v/>
      </c>
      <c r="K237" s="56" t="str">
        <f aca="false">IF($W237="","",N(INDEX(发票统计!K$4:K$1003,$W237)))</f>
        <v/>
      </c>
      <c r="L237" s="56" t="str">
        <f aca="false">IF($W237="","",SUM(J$4:J237)-SUM(K$4:K237))</f>
        <v/>
      </c>
      <c r="M237" s="56" t="str">
        <f aca="false">IF($W237="","",N(INDEX(发票统计!M$4:M$1003,$W237)))</f>
        <v/>
      </c>
      <c r="N237" s="56" t="str">
        <f aca="false">IF($W237="","",N(INDEX(发票统计!N$4:N$1003,$W237)))</f>
        <v/>
      </c>
      <c r="O237" s="56" t="str">
        <f aca="false">IF($W237="","",N(INDEX(发票统计!O$4:O$1003,$W237)))</f>
        <v/>
      </c>
      <c r="P237" s="56" t="str">
        <f aca="false">IF($W237="","",SUM(M$4:M237)-SUM(N$4:N237)-SUM(O$4:O237))</f>
        <v/>
      </c>
      <c r="Q237" s="56" t="str">
        <f aca="false">IF($W237="","",N(INDEX(发票统计!Q$4:Q$1003,$W237)))</f>
        <v/>
      </c>
      <c r="R237" s="56" t="str">
        <f aca="false">IF($W237="","",N(INDEX(发票统计!R$4:R$1003,$W237)))</f>
        <v/>
      </c>
      <c r="S237" s="56" t="str">
        <f aca="false">IF($W237="","",N(INDEX(发票统计!S$4:S$1003,$W237)))</f>
        <v/>
      </c>
      <c r="T237" s="56" t="str">
        <f aca="false">IF($W237="","",SUM(Q$4:Q237)-SUM(R$4:R237)-SUM(S$4:S237))</f>
        <v/>
      </c>
      <c r="U237" s="56" t="str">
        <f aca="false">IF($W237="","",INDEX(发票统计!U$4:U$1003,$W237)&amp;"")</f>
        <v/>
      </c>
      <c r="W237" s="1" t="str">
        <f aca="false">IF($V$3="","",IFERROR(MATCH($V$3&amp;"#"&amp;ROWS(W$4:W237),发票统计!$W$4:$W$1003,0),""))</f>
        <v/>
      </c>
    </row>
    <row r="238" customFormat="false" ht="16.5" hidden="false" customHeight="false" outlineLevel="0" collapsed="false">
      <c r="A238" s="3" t="str">
        <f aca="false">IF($W238="","",INDEX(发票统计!A$4:A$1003,$W238)&amp;"")</f>
        <v/>
      </c>
      <c r="B238" s="3" t="str">
        <f aca="false">IF($W238="","",INDEX(发票统计!B$4:B$1003,$W238)&amp;"")</f>
        <v/>
      </c>
      <c r="C238" s="3" t="str">
        <f aca="false">IF($W238="","",INDEX(发票统计!C$4:C$1003,$W238)&amp;"")</f>
        <v/>
      </c>
      <c r="D238" s="3" t="str">
        <f aca="false">IF($W238="","",INDEX(发票统计!D$4:D$1003,$W238)&amp;"")</f>
        <v/>
      </c>
      <c r="E238" s="67" t="str">
        <f aca="false">IF($W238="","",INDEX(发票统计!E$4:E$1003,$W238)&amp;"")</f>
        <v/>
      </c>
      <c r="F238" s="68" t="str">
        <f aca="false">IF($W238="","",INDEX(发票统计!F$4:F$1003,$W238)&amp;"")</f>
        <v/>
      </c>
      <c r="G238" s="68" t="str">
        <f aca="false">IF($W238="","",IF(INDEX(发票统计!G$4:G$1003,$W238)="","",INDEX(发票统计!G$4:G$1003,$W238)))</f>
        <v/>
      </c>
      <c r="H238" s="56" t="str">
        <f aca="false">IF($W238="","",N(INDEX(发票统计!H$4:H$1003,$W238)))</f>
        <v/>
      </c>
      <c r="I238" s="56" t="str">
        <f aca="false">IF($W238="","",N(INDEX(发票统计!I$4:I$1003,$W238)))</f>
        <v/>
      </c>
      <c r="J238" s="56" t="str">
        <f aca="false">IF($W238="","",N(INDEX(发票统计!J$4:J$1003,$W238)))</f>
        <v/>
      </c>
      <c r="K238" s="56" t="str">
        <f aca="false">IF($W238="","",N(INDEX(发票统计!K$4:K$1003,$W238)))</f>
        <v/>
      </c>
      <c r="L238" s="56" t="str">
        <f aca="false">IF($W238="","",SUM(J$4:J238)-SUM(K$4:K238))</f>
        <v/>
      </c>
      <c r="M238" s="56" t="str">
        <f aca="false">IF($W238="","",N(INDEX(发票统计!M$4:M$1003,$W238)))</f>
        <v/>
      </c>
      <c r="N238" s="56" t="str">
        <f aca="false">IF($W238="","",N(INDEX(发票统计!N$4:N$1003,$W238)))</f>
        <v/>
      </c>
      <c r="O238" s="56" t="str">
        <f aca="false">IF($W238="","",N(INDEX(发票统计!O$4:O$1003,$W238)))</f>
        <v/>
      </c>
      <c r="P238" s="56" t="str">
        <f aca="false">IF($W238="","",SUM(M$4:M238)-SUM(N$4:N238)-SUM(O$4:O238))</f>
        <v/>
      </c>
      <c r="Q238" s="56" t="str">
        <f aca="false">IF($W238="","",N(INDEX(发票统计!Q$4:Q$1003,$W238)))</f>
        <v/>
      </c>
      <c r="R238" s="56" t="str">
        <f aca="false">IF($W238="","",N(INDEX(发票统计!R$4:R$1003,$W238)))</f>
        <v/>
      </c>
      <c r="S238" s="56" t="str">
        <f aca="false">IF($W238="","",N(INDEX(发票统计!S$4:S$1003,$W238)))</f>
        <v/>
      </c>
      <c r="T238" s="56" t="str">
        <f aca="false">IF($W238="","",SUM(Q$4:Q238)-SUM(R$4:R238)-SUM(S$4:S238))</f>
        <v/>
      </c>
      <c r="U238" s="56" t="str">
        <f aca="false">IF($W238="","",INDEX(发票统计!U$4:U$1003,$W238)&amp;"")</f>
        <v/>
      </c>
      <c r="W238" s="1" t="str">
        <f aca="false">IF($V$3="","",IFERROR(MATCH($V$3&amp;"#"&amp;ROWS(W$4:W238),发票统计!$W$4:$W$1003,0),""))</f>
        <v/>
      </c>
    </row>
    <row r="239" customFormat="false" ht="16.5" hidden="false" customHeight="false" outlineLevel="0" collapsed="false">
      <c r="A239" s="3" t="str">
        <f aca="false">IF($W239="","",INDEX(发票统计!A$4:A$1003,$W239)&amp;"")</f>
        <v/>
      </c>
      <c r="B239" s="3" t="str">
        <f aca="false">IF($W239="","",INDEX(发票统计!B$4:B$1003,$W239)&amp;"")</f>
        <v/>
      </c>
      <c r="C239" s="3" t="str">
        <f aca="false">IF($W239="","",INDEX(发票统计!C$4:C$1003,$W239)&amp;"")</f>
        <v/>
      </c>
      <c r="D239" s="3" t="str">
        <f aca="false">IF($W239="","",INDEX(发票统计!D$4:D$1003,$W239)&amp;"")</f>
        <v/>
      </c>
      <c r="E239" s="67" t="str">
        <f aca="false">IF($W239="","",INDEX(发票统计!E$4:E$1003,$W239)&amp;"")</f>
        <v/>
      </c>
      <c r="F239" s="68" t="str">
        <f aca="false">IF($W239="","",INDEX(发票统计!F$4:F$1003,$W239)&amp;"")</f>
        <v/>
      </c>
      <c r="G239" s="68" t="str">
        <f aca="false">IF($W239="","",IF(INDEX(发票统计!G$4:G$1003,$W239)="","",INDEX(发票统计!G$4:G$1003,$W239)))</f>
        <v/>
      </c>
      <c r="H239" s="56" t="str">
        <f aca="false">IF($W239="","",N(INDEX(发票统计!H$4:H$1003,$W239)))</f>
        <v/>
      </c>
      <c r="I239" s="56" t="str">
        <f aca="false">IF($W239="","",N(INDEX(发票统计!I$4:I$1003,$W239)))</f>
        <v/>
      </c>
      <c r="J239" s="56" t="str">
        <f aca="false">IF($W239="","",N(INDEX(发票统计!J$4:J$1003,$W239)))</f>
        <v/>
      </c>
      <c r="K239" s="56" t="str">
        <f aca="false">IF($W239="","",N(INDEX(发票统计!K$4:K$1003,$W239)))</f>
        <v/>
      </c>
      <c r="L239" s="56" t="str">
        <f aca="false">IF($W239="","",SUM(J$4:J239)-SUM(K$4:K239))</f>
        <v/>
      </c>
      <c r="M239" s="56" t="str">
        <f aca="false">IF($W239="","",N(INDEX(发票统计!M$4:M$1003,$W239)))</f>
        <v/>
      </c>
      <c r="N239" s="56" t="str">
        <f aca="false">IF($W239="","",N(INDEX(发票统计!N$4:N$1003,$W239)))</f>
        <v/>
      </c>
      <c r="O239" s="56" t="str">
        <f aca="false">IF($W239="","",N(INDEX(发票统计!O$4:O$1003,$W239)))</f>
        <v/>
      </c>
      <c r="P239" s="56" t="str">
        <f aca="false">IF($W239="","",SUM(M$4:M239)-SUM(N$4:N239)-SUM(O$4:O239))</f>
        <v/>
      </c>
      <c r="Q239" s="56" t="str">
        <f aca="false">IF($W239="","",N(INDEX(发票统计!Q$4:Q$1003,$W239)))</f>
        <v/>
      </c>
      <c r="R239" s="56" t="str">
        <f aca="false">IF($W239="","",N(INDEX(发票统计!R$4:R$1003,$W239)))</f>
        <v/>
      </c>
      <c r="S239" s="56" t="str">
        <f aca="false">IF($W239="","",N(INDEX(发票统计!S$4:S$1003,$W239)))</f>
        <v/>
      </c>
      <c r="T239" s="56" t="str">
        <f aca="false">IF($W239="","",SUM(Q$4:Q239)-SUM(R$4:R239)-SUM(S$4:S239))</f>
        <v/>
      </c>
      <c r="U239" s="56" t="str">
        <f aca="false">IF($W239="","",INDEX(发票统计!U$4:U$1003,$W239)&amp;"")</f>
        <v/>
      </c>
      <c r="W239" s="1" t="str">
        <f aca="false">IF($V$3="","",IFERROR(MATCH($V$3&amp;"#"&amp;ROWS(W$4:W239),发票统计!$W$4:$W$1003,0),""))</f>
        <v/>
      </c>
    </row>
    <row r="240" customFormat="false" ht="16.5" hidden="false" customHeight="false" outlineLevel="0" collapsed="false">
      <c r="A240" s="3" t="str">
        <f aca="false">IF($W240="","",INDEX(发票统计!A$4:A$1003,$W240)&amp;"")</f>
        <v/>
      </c>
      <c r="B240" s="3" t="str">
        <f aca="false">IF($W240="","",INDEX(发票统计!B$4:B$1003,$W240)&amp;"")</f>
        <v/>
      </c>
      <c r="C240" s="3" t="str">
        <f aca="false">IF($W240="","",INDEX(发票统计!C$4:C$1003,$W240)&amp;"")</f>
        <v/>
      </c>
      <c r="D240" s="3" t="str">
        <f aca="false">IF($W240="","",INDEX(发票统计!D$4:D$1003,$W240)&amp;"")</f>
        <v/>
      </c>
      <c r="E240" s="67" t="str">
        <f aca="false">IF($W240="","",INDEX(发票统计!E$4:E$1003,$W240)&amp;"")</f>
        <v/>
      </c>
      <c r="F240" s="68" t="str">
        <f aca="false">IF($W240="","",INDEX(发票统计!F$4:F$1003,$W240)&amp;"")</f>
        <v/>
      </c>
      <c r="G240" s="68" t="str">
        <f aca="false">IF($W240="","",IF(INDEX(发票统计!G$4:G$1003,$W240)="","",INDEX(发票统计!G$4:G$1003,$W240)))</f>
        <v/>
      </c>
      <c r="H240" s="56" t="str">
        <f aca="false">IF($W240="","",N(INDEX(发票统计!H$4:H$1003,$W240)))</f>
        <v/>
      </c>
      <c r="I240" s="56" t="str">
        <f aca="false">IF($W240="","",N(INDEX(发票统计!I$4:I$1003,$W240)))</f>
        <v/>
      </c>
      <c r="J240" s="56" t="str">
        <f aca="false">IF($W240="","",N(INDEX(发票统计!J$4:J$1003,$W240)))</f>
        <v/>
      </c>
      <c r="K240" s="56" t="str">
        <f aca="false">IF($W240="","",N(INDEX(发票统计!K$4:K$1003,$W240)))</f>
        <v/>
      </c>
      <c r="L240" s="56" t="str">
        <f aca="false">IF($W240="","",SUM(J$4:J240)-SUM(K$4:K240))</f>
        <v/>
      </c>
      <c r="M240" s="56" t="str">
        <f aca="false">IF($W240="","",N(INDEX(发票统计!M$4:M$1003,$W240)))</f>
        <v/>
      </c>
      <c r="N240" s="56" t="str">
        <f aca="false">IF($W240="","",N(INDEX(发票统计!N$4:N$1003,$W240)))</f>
        <v/>
      </c>
      <c r="O240" s="56" t="str">
        <f aca="false">IF($W240="","",N(INDEX(发票统计!O$4:O$1003,$W240)))</f>
        <v/>
      </c>
      <c r="P240" s="56" t="str">
        <f aca="false">IF($W240="","",SUM(M$4:M240)-SUM(N$4:N240)-SUM(O$4:O240))</f>
        <v/>
      </c>
      <c r="Q240" s="56" t="str">
        <f aca="false">IF($W240="","",N(INDEX(发票统计!Q$4:Q$1003,$W240)))</f>
        <v/>
      </c>
      <c r="R240" s="56" t="str">
        <f aca="false">IF($W240="","",N(INDEX(发票统计!R$4:R$1003,$W240)))</f>
        <v/>
      </c>
      <c r="S240" s="56" t="str">
        <f aca="false">IF($W240="","",N(INDEX(发票统计!S$4:S$1003,$W240)))</f>
        <v/>
      </c>
      <c r="T240" s="56" t="str">
        <f aca="false">IF($W240="","",SUM(Q$4:Q240)-SUM(R$4:R240)-SUM(S$4:S240))</f>
        <v/>
      </c>
      <c r="U240" s="56" t="str">
        <f aca="false">IF($W240="","",INDEX(发票统计!U$4:U$1003,$W240)&amp;"")</f>
        <v/>
      </c>
      <c r="W240" s="1" t="str">
        <f aca="false">IF($V$3="","",IFERROR(MATCH($V$3&amp;"#"&amp;ROWS(W$4:W240),发票统计!$W$4:$W$1003,0),""))</f>
        <v/>
      </c>
    </row>
    <row r="241" customFormat="false" ht="16.5" hidden="false" customHeight="false" outlineLevel="0" collapsed="false">
      <c r="A241" s="3" t="str">
        <f aca="false">IF($W241="","",INDEX(发票统计!A$4:A$1003,$W241)&amp;"")</f>
        <v/>
      </c>
      <c r="B241" s="3" t="str">
        <f aca="false">IF($W241="","",INDEX(发票统计!B$4:B$1003,$W241)&amp;"")</f>
        <v/>
      </c>
      <c r="C241" s="3" t="str">
        <f aca="false">IF($W241="","",INDEX(发票统计!C$4:C$1003,$W241)&amp;"")</f>
        <v/>
      </c>
      <c r="D241" s="3" t="str">
        <f aca="false">IF($W241="","",INDEX(发票统计!D$4:D$1003,$W241)&amp;"")</f>
        <v/>
      </c>
      <c r="E241" s="67" t="str">
        <f aca="false">IF($W241="","",INDEX(发票统计!E$4:E$1003,$W241)&amp;"")</f>
        <v/>
      </c>
      <c r="F241" s="68" t="str">
        <f aca="false">IF($W241="","",INDEX(发票统计!F$4:F$1003,$W241)&amp;"")</f>
        <v/>
      </c>
      <c r="G241" s="68" t="str">
        <f aca="false">IF($W241="","",IF(INDEX(发票统计!G$4:G$1003,$W241)="","",INDEX(发票统计!G$4:G$1003,$W241)))</f>
        <v/>
      </c>
      <c r="H241" s="56" t="str">
        <f aca="false">IF($W241="","",N(INDEX(发票统计!H$4:H$1003,$W241)))</f>
        <v/>
      </c>
      <c r="I241" s="56" t="str">
        <f aca="false">IF($W241="","",N(INDEX(发票统计!I$4:I$1003,$W241)))</f>
        <v/>
      </c>
      <c r="J241" s="56" t="str">
        <f aca="false">IF($W241="","",N(INDEX(发票统计!J$4:J$1003,$W241)))</f>
        <v/>
      </c>
      <c r="K241" s="56" t="str">
        <f aca="false">IF($W241="","",N(INDEX(发票统计!K$4:K$1003,$W241)))</f>
        <v/>
      </c>
      <c r="L241" s="56" t="str">
        <f aca="false">IF($W241="","",SUM(J$4:J241)-SUM(K$4:K241))</f>
        <v/>
      </c>
      <c r="M241" s="56" t="str">
        <f aca="false">IF($W241="","",N(INDEX(发票统计!M$4:M$1003,$W241)))</f>
        <v/>
      </c>
      <c r="N241" s="56" t="str">
        <f aca="false">IF($W241="","",N(INDEX(发票统计!N$4:N$1003,$W241)))</f>
        <v/>
      </c>
      <c r="O241" s="56" t="str">
        <f aca="false">IF($W241="","",N(INDEX(发票统计!O$4:O$1003,$W241)))</f>
        <v/>
      </c>
      <c r="P241" s="56" t="str">
        <f aca="false">IF($W241="","",SUM(M$4:M241)-SUM(N$4:N241)-SUM(O$4:O241))</f>
        <v/>
      </c>
      <c r="Q241" s="56" t="str">
        <f aca="false">IF($W241="","",N(INDEX(发票统计!Q$4:Q$1003,$W241)))</f>
        <v/>
      </c>
      <c r="R241" s="56" t="str">
        <f aca="false">IF($W241="","",N(INDEX(发票统计!R$4:R$1003,$W241)))</f>
        <v/>
      </c>
      <c r="S241" s="56" t="str">
        <f aca="false">IF($W241="","",N(INDEX(发票统计!S$4:S$1003,$W241)))</f>
        <v/>
      </c>
      <c r="T241" s="56" t="str">
        <f aca="false">IF($W241="","",SUM(Q$4:Q241)-SUM(R$4:R241)-SUM(S$4:S241))</f>
        <v/>
      </c>
      <c r="U241" s="56" t="str">
        <f aca="false">IF($W241="","",INDEX(发票统计!U$4:U$1003,$W241)&amp;"")</f>
        <v/>
      </c>
      <c r="W241" s="1" t="str">
        <f aca="false">IF($V$3="","",IFERROR(MATCH($V$3&amp;"#"&amp;ROWS(W$4:W241),发票统计!$W$4:$W$1003,0),""))</f>
        <v/>
      </c>
    </row>
    <row r="242" customFormat="false" ht="16.5" hidden="false" customHeight="false" outlineLevel="0" collapsed="false">
      <c r="A242" s="3" t="str">
        <f aca="false">IF($W242="","",INDEX(发票统计!A$4:A$1003,$W242)&amp;"")</f>
        <v/>
      </c>
      <c r="B242" s="3" t="str">
        <f aca="false">IF($W242="","",INDEX(发票统计!B$4:B$1003,$W242)&amp;"")</f>
        <v/>
      </c>
      <c r="C242" s="3" t="str">
        <f aca="false">IF($W242="","",INDEX(发票统计!C$4:C$1003,$W242)&amp;"")</f>
        <v/>
      </c>
      <c r="D242" s="3" t="str">
        <f aca="false">IF($W242="","",INDEX(发票统计!D$4:D$1003,$W242)&amp;"")</f>
        <v/>
      </c>
      <c r="E242" s="67" t="str">
        <f aca="false">IF($W242="","",INDEX(发票统计!E$4:E$1003,$W242)&amp;"")</f>
        <v/>
      </c>
      <c r="F242" s="68" t="str">
        <f aca="false">IF($W242="","",INDEX(发票统计!F$4:F$1003,$W242)&amp;"")</f>
        <v/>
      </c>
      <c r="G242" s="68" t="str">
        <f aca="false">IF($W242="","",IF(INDEX(发票统计!G$4:G$1003,$W242)="","",INDEX(发票统计!G$4:G$1003,$W242)))</f>
        <v/>
      </c>
      <c r="H242" s="56" t="str">
        <f aca="false">IF($W242="","",N(INDEX(发票统计!H$4:H$1003,$W242)))</f>
        <v/>
      </c>
      <c r="I242" s="56" t="str">
        <f aca="false">IF($W242="","",N(INDEX(发票统计!I$4:I$1003,$W242)))</f>
        <v/>
      </c>
      <c r="J242" s="56" t="str">
        <f aca="false">IF($W242="","",N(INDEX(发票统计!J$4:J$1003,$W242)))</f>
        <v/>
      </c>
      <c r="K242" s="56" t="str">
        <f aca="false">IF($W242="","",N(INDEX(发票统计!K$4:K$1003,$W242)))</f>
        <v/>
      </c>
      <c r="L242" s="56" t="str">
        <f aca="false">IF($W242="","",SUM(J$4:J242)-SUM(K$4:K242))</f>
        <v/>
      </c>
      <c r="M242" s="56" t="str">
        <f aca="false">IF($W242="","",N(INDEX(发票统计!M$4:M$1003,$W242)))</f>
        <v/>
      </c>
      <c r="N242" s="56" t="str">
        <f aca="false">IF($W242="","",N(INDEX(发票统计!N$4:N$1003,$W242)))</f>
        <v/>
      </c>
      <c r="O242" s="56" t="str">
        <f aca="false">IF($W242="","",N(INDEX(发票统计!O$4:O$1003,$W242)))</f>
        <v/>
      </c>
      <c r="P242" s="56" t="str">
        <f aca="false">IF($W242="","",SUM(M$4:M242)-SUM(N$4:N242)-SUM(O$4:O242))</f>
        <v/>
      </c>
      <c r="Q242" s="56" t="str">
        <f aca="false">IF($W242="","",N(INDEX(发票统计!Q$4:Q$1003,$W242)))</f>
        <v/>
      </c>
      <c r="R242" s="56" t="str">
        <f aca="false">IF($W242="","",N(INDEX(发票统计!R$4:R$1003,$W242)))</f>
        <v/>
      </c>
      <c r="S242" s="56" t="str">
        <f aca="false">IF($W242="","",N(INDEX(发票统计!S$4:S$1003,$W242)))</f>
        <v/>
      </c>
      <c r="T242" s="56" t="str">
        <f aca="false">IF($W242="","",SUM(Q$4:Q242)-SUM(R$4:R242)-SUM(S$4:S242))</f>
        <v/>
      </c>
      <c r="U242" s="56" t="str">
        <f aca="false">IF($W242="","",INDEX(发票统计!U$4:U$1003,$W242)&amp;"")</f>
        <v/>
      </c>
      <c r="W242" s="1" t="str">
        <f aca="false">IF($V$3="","",IFERROR(MATCH($V$3&amp;"#"&amp;ROWS(W$4:W242),发票统计!$W$4:$W$1003,0),""))</f>
        <v/>
      </c>
    </row>
    <row r="243" customFormat="false" ht="16.5" hidden="false" customHeight="false" outlineLevel="0" collapsed="false">
      <c r="A243" s="3" t="str">
        <f aca="false">IF($W243="","",INDEX(发票统计!A$4:A$1003,$W243)&amp;"")</f>
        <v/>
      </c>
      <c r="B243" s="3" t="str">
        <f aca="false">IF($W243="","",INDEX(发票统计!B$4:B$1003,$W243)&amp;"")</f>
        <v/>
      </c>
      <c r="C243" s="3" t="str">
        <f aca="false">IF($W243="","",INDEX(发票统计!C$4:C$1003,$W243)&amp;"")</f>
        <v/>
      </c>
      <c r="D243" s="3" t="str">
        <f aca="false">IF($W243="","",INDEX(发票统计!D$4:D$1003,$W243)&amp;"")</f>
        <v/>
      </c>
      <c r="E243" s="67" t="str">
        <f aca="false">IF($W243="","",INDEX(发票统计!E$4:E$1003,$W243)&amp;"")</f>
        <v/>
      </c>
      <c r="F243" s="68" t="str">
        <f aca="false">IF($W243="","",INDEX(发票统计!F$4:F$1003,$W243)&amp;"")</f>
        <v/>
      </c>
      <c r="G243" s="68" t="str">
        <f aca="false">IF($W243="","",IF(INDEX(发票统计!G$4:G$1003,$W243)="","",INDEX(发票统计!G$4:G$1003,$W243)))</f>
        <v/>
      </c>
      <c r="H243" s="56" t="str">
        <f aca="false">IF($W243="","",N(INDEX(发票统计!H$4:H$1003,$W243)))</f>
        <v/>
      </c>
      <c r="I243" s="56" t="str">
        <f aca="false">IF($W243="","",N(INDEX(发票统计!I$4:I$1003,$W243)))</f>
        <v/>
      </c>
      <c r="J243" s="56" t="str">
        <f aca="false">IF($W243="","",N(INDEX(发票统计!J$4:J$1003,$W243)))</f>
        <v/>
      </c>
      <c r="K243" s="56" t="str">
        <f aca="false">IF($W243="","",N(INDEX(发票统计!K$4:K$1003,$W243)))</f>
        <v/>
      </c>
      <c r="L243" s="56" t="str">
        <f aca="false">IF($W243="","",SUM(J$4:J243)-SUM(K$4:K243))</f>
        <v/>
      </c>
      <c r="M243" s="56" t="str">
        <f aca="false">IF($W243="","",N(INDEX(发票统计!M$4:M$1003,$W243)))</f>
        <v/>
      </c>
      <c r="N243" s="56" t="str">
        <f aca="false">IF($W243="","",N(INDEX(发票统计!N$4:N$1003,$W243)))</f>
        <v/>
      </c>
      <c r="O243" s="56" t="str">
        <f aca="false">IF($W243="","",N(INDEX(发票统计!O$4:O$1003,$W243)))</f>
        <v/>
      </c>
      <c r="P243" s="56" t="str">
        <f aca="false">IF($W243="","",SUM(M$4:M243)-SUM(N$4:N243)-SUM(O$4:O243))</f>
        <v/>
      </c>
      <c r="Q243" s="56" t="str">
        <f aca="false">IF($W243="","",N(INDEX(发票统计!Q$4:Q$1003,$W243)))</f>
        <v/>
      </c>
      <c r="R243" s="56" t="str">
        <f aca="false">IF($W243="","",N(INDEX(发票统计!R$4:R$1003,$W243)))</f>
        <v/>
      </c>
      <c r="S243" s="56" t="str">
        <f aca="false">IF($W243="","",N(INDEX(发票统计!S$4:S$1003,$W243)))</f>
        <v/>
      </c>
      <c r="T243" s="56" t="str">
        <f aca="false">IF($W243="","",SUM(Q$4:Q243)-SUM(R$4:R243)-SUM(S$4:S243))</f>
        <v/>
      </c>
      <c r="U243" s="56" t="str">
        <f aca="false">IF($W243="","",INDEX(发票统计!U$4:U$1003,$W243)&amp;"")</f>
        <v/>
      </c>
      <c r="W243" s="1" t="str">
        <f aca="false">IF($V$3="","",IFERROR(MATCH($V$3&amp;"#"&amp;ROWS(W$4:W243),发票统计!$W$4:$W$1003,0),""))</f>
        <v/>
      </c>
    </row>
    <row r="244" customFormat="false" ht="16.5" hidden="false" customHeight="false" outlineLevel="0" collapsed="false">
      <c r="A244" s="3" t="str">
        <f aca="false">IF($W244="","",INDEX(发票统计!A$4:A$1003,$W244)&amp;"")</f>
        <v/>
      </c>
      <c r="B244" s="3" t="str">
        <f aca="false">IF($W244="","",INDEX(发票统计!B$4:B$1003,$W244)&amp;"")</f>
        <v/>
      </c>
      <c r="C244" s="3" t="str">
        <f aca="false">IF($W244="","",INDEX(发票统计!C$4:C$1003,$W244)&amp;"")</f>
        <v/>
      </c>
      <c r="D244" s="3" t="str">
        <f aca="false">IF($W244="","",INDEX(发票统计!D$4:D$1003,$W244)&amp;"")</f>
        <v/>
      </c>
      <c r="E244" s="67" t="str">
        <f aca="false">IF($W244="","",INDEX(发票统计!E$4:E$1003,$W244)&amp;"")</f>
        <v/>
      </c>
      <c r="F244" s="68" t="str">
        <f aca="false">IF($W244="","",INDEX(发票统计!F$4:F$1003,$W244)&amp;"")</f>
        <v/>
      </c>
      <c r="G244" s="68" t="str">
        <f aca="false">IF($W244="","",IF(INDEX(发票统计!G$4:G$1003,$W244)="","",INDEX(发票统计!G$4:G$1003,$W244)))</f>
        <v/>
      </c>
      <c r="H244" s="56" t="str">
        <f aca="false">IF($W244="","",N(INDEX(发票统计!H$4:H$1003,$W244)))</f>
        <v/>
      </c>
      <c r="I244" s="56" t="str">
        <f aca="false">IF($W244="","",N(INDEX(发票统计!I$4:I$1003,$W244)))</f>
        <v/>
      </c>
      <c r="J244" s="56" t="str">
        <f aca="false">IF($W244="","",N(INDEX(发票统计!J$4:J$1003,$W244)))</f>
        <v/>
      </c>
      <c r="K244" s="56" t="str">
        <f aca="false">IF($W244="","",N(INDEX(发票统计!K$4:K$1003,$W244)))</f>
        <v/>
      </c>
      <c r="L244" s="56" t="str">
        <f aca="false">IF($W244="","",SUM(J$4:J244)-SUM(K$4:K244))</f>
        <v/>
      </c>
      <c r="M244" s="56" t="str">
        <f aca="false">IF($W244="","",N(INDEX(发票统计!M$4:M$1003,$W244)))</f>
        <v/>
      </c>
      <c r="N244" s="56" t="str">
        <f aca="false">IF($W244="","",N(INDEX(发票统计!N$4:N$1003,$W244)))</f>
        <v/>
      </c>
      <c r="O244" s="56" t="str">
        <f aca="false">IF($W244="","",N(INDEX(发票统计!O$4:O$1003,$W244)))</f>
        <v/>
      </c>
      <c r="P244" s="56" t="str">
        <f aca="false">IF($W244="","",SUM(M$4:M244)-SUM(N$4:N244)-SUM(O$4:O244))</f>
        <v/>
      </c>
      <c r="Q244" s="56" t="str">
        <f aca="false">IF($W244="","",N(INDEX(发票统计!Q$4:Q$1003,$W244)))</f>
        <v/>
      </c>
      <c r="R244" s="56" t="str">
        <f aca="false">IF($W244="","",N(INDEX(发票统计!R$4:R$1003,$W244)))</f>
        <v/>
      </c>
      <c r="S244" s="56" t="str">
        <f aca="false">IF($W244="","",N(INDEX(发票统计!S$4:S$1003,$W244)))</f>
        <v/>
      </c>
      <c r="T244" s="56" t="str">
        <f aca="false">IF($W244="","",SUM(Q$4:Q244)-SUM(R$4:R244)-SUM(S$4:S244))</f>
        <v/>
      </c>
      <c r="U244" s="56" t="str">
        <f aca="false">IF($W244="","",INDEX(发票统计!U$4:U$1003,$W244)&amp;"")</f>
        <v/>
      </c>
      <c r="W244" s="1" t="str">
        <f aca="false">IF($V$3="","",IFERROR(MATCH($V$3&amp;"#"&amp;ROWS(W$4:W244),发票统计!$W$4:$W$1003,0),""))</f>
        <v/>
      </c>
    </row>
    <row r="245" customFormat="false" ht="16.5" hidden="false" customHeight="false" outlineLevel="0" collapsed="false">
      <c r="A245" s="3" t="str">
        <f aca="false">IF($W245="","",INDEX(发票统计!A$4:A$1003,$W245)&amp;"")</f>
        <v/>
      </c>
      <c r="B245" s="3" t="str">
        <f aca="false">IF($W245="","",INDEX(发票统计!B$4:B$1003,$W245)&amp;"")</f>
        <v/>
      </c>
      <c r="C245" s="3" t="str">
        <f aca="false">IF($W245="","",INDEX(发票统计!C$4:C$1003,$W245)&amp;"")</f>
        <v/>
      </c>
      <c r="D245" s="3" t="str">
        <f aca="false">IF($W245="","",INDEX(发票统计!D$4:D$1003,$W245)&amp;"")</f>
        <v/>
      </c>
      <c r="E245" s="67" t="str">
        <f aca="false">IF($W245="","",INDEX(发票统计!E$4:E$1003,$W245)&amp;"")</f>
        <v/>
      </c>
      <c r="F245" s="68" t="str">
        <f aca="false">IF($W245="","",INDEX(发票统计!F$4:F$1003,$W245)&amp;"")</f>
        <v/>
      </c>
      <c r="G245" s="68" t="str">
        <f aca="false">IF($W245="","",IF(INDEX(发票统计!G$4:G$1003,$W245)="","",INDEX(发票统计!G$4:G$1003,$W245)))</f>
        <v/>
      </c>
      <c r="H245" s="56" t="str">
        <f aca="false">IF($W245="","",N(INDEX(发票统计!H$4:H$1003,$W245)))</f>
        <v/>
      </c>
      <c r="I245" s="56" t="str">
        <f aca="false">IF($W245="","",N(INDEX(发票统计!I$4:I$1003,$W245)))</f>
        <v/>
      </c>
      <c r="J245" s="56" t="str">
        <f aca="false">IF($W245="","",N(INDEX(发票统计!J$4:J$1003,$W245)))</f>
        <v/>
      </c>
      <c r="K245" s="56" t="str">
        <f aca="false">IF($W245="","",N(INDEX(发票统计!K$4:K$1003,$W245)))</f>
        <v/>
      </c>
      <c r="L245" s="56" t="str">
        <f aca="false">IF($W245="","",SUM(J$4:J245)-SUM(K$4:K245))</f>
        <v/>
      </c>
      <c r="M245" s="56" t="str">
        <f aca="false">IF($W245="","",N(INDEX(发票统计!M$4:M$1003,$W245)))</f>
        <v/>
      </c>
      <c r="N245" s="56" t="str">
        <f aca="false">IF($W245="","",N(INDEX(发票统计!N$4:N$1003,$W245)))</f>
        <v/>
      </c>
      <c r="O245" s="56" t="str">
        <f aca="false">IF($W245="","",N(INDEX(发票统计!O$4:O$1003,$W245)))</f>
        <v/>
      </c>
      <c r="P245" s="56" t="str">
        <f aca="false">IF($W245="","",SUM(M$4:M245)-SUM(N$4:N245)-SUM(O$4:O245))</f>
        <v/>
      </c>
      <c r="Q245" s="56" t="str">
        <f aca="false">IF($W245="","",N(INDEX(发票统计!Q$4:Q$1003,$W245)))</f>
        <v/>
      </c>
      <c r="R245" s="56" t="str">
        <f aca="false">IF($W245="","",N(INDEX(发票统计!R$4:R$1003,$W245)))</f>
        <v/>
      </c>
      <c r="S245" s="56" t="str">
        <f aca="false">IF($W245="","",N(INDEX(发票统计!S$4:S$1003,$W245)))</f>
        <v/>
      </c>
      <c r="T245" s="56" t="str">
        <f aca="false">IF($W245="","",SUM(Q$4:Q245)-SUM(R$4:R245)-SUM(S$4:S245))</f>
        <v/>
      </c>
      <c r="U245" s="56" t="str">
        <f aca="false">IF($W245="","",INDEX(发票统计!U$4:U$1003,$W245)&amp;"")</f>
        <v/>
      </c>
      <c r="W245" s="1" t="str">
        <f aca="false">IF($V$3="","",IFERROR(MATCH($V$3&amp;"#"&amp;ROWS(W$4:W245),发票统计!$W$4:$W$1003,0),""))</f>
        <v/>
      </c>
    </row>
    <row r="246" customFormat="false" ht="16.5" hidden="false" customHeight="false" outlineLevel="0" collapsed="false">
      <c r="A246" s="3" t="str">
        <f aca="false">IF($W246="","",INDEX(发票统计!A$4:A$1003,$W246)&amp;"")</f>
        <v/>
      </c>
      <c r="B246" s="3" t="str">
        <f aca="false">IF($W246="","",INDEX(发票统计!B$4:B$1003,$W246)&amp;"")</f>
        <v/>
      </c>
      <c r="C246" s="3" t="str">
        <f aca="false">IF($W246="","",INDEX(发票统计!C$4:C$1003,$W246)&amp;"")</f>
        <v/>
      </c>
      <c r="D246" s="3" t="str">
        <f aca="false">IF($W246="","",INDEX(发票统计!D$4:D$1003,$W246)&amp;"")</f>
        <v/>
      </c>
      <c r="E246" s="67" t="str">
        <f aca="false">IF($W246="","",INDEX(发票统计!E$4:E$1003,$W246)&amp;"")</f>
        <v/>
      </c>
      <c r="F246" s="68" t="str">
        <f aca="false">IF($W246="","",INDEX(发票统计!F$4:F$1003,$W246)&amp;"")</f>
        <v/>
      </c>
      <c r="G246" s="68" t="str">
        <f aca="false">IF($W246="","",IF(INDEX(发票统计!G$4:G$1003,$W246)="","",INDEX(发票统计!G$4:G$1003,$W246)))</f>
        <v/>
      </c>
      <c r="H246" s="56" t="str">
        <f aca="false">IF($W246="","",N(INDEX(发票统计!H$4:H$1003,$W246)))</f>
        <v/>
      </c>
      <c r="I246" s="56" t="str">
        <f aca="false">IF($W246="","",N(INDEX(发票统计!I$4:I$1003,$W246)))</f>
        <v/>
      </c>
      <c r="J246" s="56" t="str">
        <f aca="false">IF($W246="","",N(INDEX(发票统计!J$4:J$1003,$W246)))</f>
        <v/>
      </c>
      <c r="K246" s="56" t="str">
        <f aca="false">IF($W246="","",N(INDEX(发票统计!K$4:K$1003,$W246)))</f>
        <v/>
      </c>
      <c r="L246" s="56" t="str">
        <f aca="false">IF($W246="","",SUM(J$4:J246)-SUM(K$4:K246))</f>
        <v/>
      </c>
      <c r="M246" s="56" t="str">
        <f aca="false">IF($W246="","",N(INDEX(发票统计!M$4:M$1003,$W246)))</f>
        <v/>
      </c>
      <c r="N246" s="56" t="str">
        <f aca="false">IF($W246="","",N(INDEX(发票统计!N$4:N$1003,$W246)))</f>
        <v/>
      </c>
      <c r="O246" s="56" t="str">
        <f aca="false">IF($W246="","",N(INDEX(发票统计!O$4:O$1003,$W246)))</f>
        <v/>
      </c>
      <c r="P246" s="56" t="str">
        <f aca="false">IF($W246="","",SUM(M$4:M246)-SUM(N$4:N246)-SUM(O$4:O246))</f>
        <v/>
      </c>
      <c r="Q246" s="56" t="str">
        <f aca="false">IF($W246="","",N(INDEX(发票统计!Q$4:Q$1003,$W246)))</f>
        <v/>
      </c>
      <c r="R246" s="56" t="str">
        <f aca="false">IF($W246="","",N(INDEX(发票统计!R$4:R$1003,$W246)))</f>
        <v/>
      </c>
      <c r="S246" s="56" t="str">
        <f aca="false">IF($W246="","",N(INDEX(发票统计!S$4:S$1003,$W246)))</f>
        <v/>
      </c>
      <c r="T246" s="56" t="str">
        <f aca="false">IF($W246="","",SUM(Q$4:Q246)-SUM(R$4:R246)-SUM(S$4:S246))</f>
        <v/>
      </c>
      <c r="U246" s="56" t="str">
        <f aca="false">IF($W246="","",INDEX(发票统计!U$4:U$1003,$W246)&amp;"")</f>
        <v/>
      </c>
      <c r="W246" s="1" t="str">
        <f aca="false">IF($V$3="","",IFERROR(MATCH($V$3&amp;"#"&amp;ROWS(W$4:W246),发票统计!$W$4:$W$1003,0),""))</f>
        <v/>
      </c>
    </row>
    <row r="247" customFormat="false" ht="16.5" hidden="false" customHeight="false" outlineLevel="0" collapsed="false">
      <c r="A247" s="3" t="str">
        <f aca="false">IF($W247="","",INDEX(发票统计!A$4:A$1003,$W247)&amp;"")</f>
        <v/>
      </c>
      <c r="B247" s="3" t="str">
        <f aca="false">IF($W247="","",INDEX(发票统计!B$4:B$1003,$W247)&amp;"")</f>
        <v/>
      </c>
      <c r="C247" s="3" t="str">
        <f aca="false">IF($W247="","",INDEX(发票统计!C$4:C$1003,$W247)&amp;"")</f>
        <v/>
      </c>
      <c r="D247" s="3" t="str">
        <f aca="false">IF($W247="","",INDEX(发票统计!D$4:D$1003,$W247)&amp;"")</f>
        <v/>
      </c>
      <c r="E247" s="67" t="str">
        <f aca="false">IF($W247="","",INDEX(发票统计!E$4:E$1003,$W247)&amp;"")</f>
        <v/>
      </c>
      <c r="F247" s="68" t="str">
        <f aca="false">IF($W247="","",INDEX(发票统计!F$4:F$1003,$W247)&amp;"")</f>
        <v/>
      </c>
      <c r="G247" s="68" t="str">
        <f aca="false">IF($W247="","",IF(INDEX(发票统计!G$4:G$1003,$W247)="","",INDEX(发票统计!G$4:G$1003,$W247)))</f>
        <v/>
      </c>
      <c r="H247" s="56" t="str">
        <f aca="false">IF($W247="","",N(INDEX(发票统计!H$4:H$1003,$W247)))</f>
        <v/>
      </c>
      <c r="I247" s="56" t="str">
        <f aca="false">IF($W247="","",N(INDEX(发票统计!I$4:I$1003,$W247)))</f>
        <v/>
      </c>
      <c r="J247" s="56" t="str">
        <f aca="false">IF($W247="","",N(INDEX(发票统计!J$4:J$1003,$W247)))</f>
        <v/>
      </c>
      <c r="K247" s="56" t="str">
        <f aca="false">IF($W247="","",N(INDEX(发票统计!K$4:K$1003,$W247)))</f>
        <v/>
      </c>
      <c r="L247" s="56" t="str">
        <f aca="false">IF($W247="","",SUM(J$4:J247)-SUM(K$4:K247))</f>
        <v/>
      </c>
      <c r="M247" s="56" t="str">
        <f aca="false">IF($W247="","",N(INDEX(发票统计!M$4:M$1003,$W247)))</f>
        <v/>
      </c>
      <c r="N247" s="56" t="str">
        <f aca="false">IF($W247="","",N(INDEX(发票统计!N$4:N$1003,$W247)))</f>
        <v/>
      </c>
      <c r="O247" s="56" t="str">
        <f aca="false">IF($W247="","",N(INDEX(发票统计!O$4:O$1003,$W247)))</f>
        <v/>
      </c>
      <c r="P247" s="56" t="str">
        <f aca="false">IF($W247="","",SUM(M$4:M247)-SUM(N$4:N247)-SUM(O$4:O247))</f>
        <v/>
      </c>
      <c r="Q247" s="56" t="str">
        <f aca="false">IF($W247="","",N(INDEX(发票统计!Q$4:Q$1003,$W247)))</f>
        <v/>
      </c>
      <c r="R247" s="56" t="str">
        <f aca="false">IF($W247="","",N(INDEX(发票统计!R$4:R$1003,$W247)))</f>
        <v/>
      </c>
      <c r="S247" s="56" t="str">
        <f aca="false">IF($W247="","",N(INDEX(发票统计!S$4:S$1003,$W247)))</f>
        <v/>
      </c>
      <c r="T247" s="56" t="str">
        <f aca="false">IF($W247="","",SUM(Q$4:Q247)-SUM(R$4:R247)-SUM(S$4:S247))</f>
        <v/>
      </c>
      <c r="U247" s="56" t="str">
        <f aca="false">IF($W247="","",INDEX(发票统计!U$4:U$1003,$W247)&amp;"")</f>
        <v/>
      </c>
      <c r="W247" s="1" t="str">
        <f aca="false">IF($V$3="","",IFERROR(MATCH($V$3&amp;"#"&amp;ROWS(W$4:W247),发票统计!$W$4:$W$1003,0),""))</f>
        <v/>
      </c>
    </row>
    <row r="248" customFormat="false" ht="16.5" hidden="false" customHeight="false" outlineLevel="0" collapsed="false">
      <c r="A248" s="3" t="str">
        <f aca="false">IF($W248="","",INDEX(发票统计!A$4:A$1003,$W248)&amp;"")</f>
        <v/>
      </c>
      <c r="B248" s="3" t="str">
        <f aca="false">IF($W248="","",INDEX(发票统计!B$4:B$1003,$W248)&amp;"")</f>
        <v/>
      </c>
      <c r="C248" s="3" t="str">
        <f aca="false">IF($W248="","",INDEX(发票统计!C$4:C$1003,$W248)&amp;"")</f>
        <v/>
      </c>
      <c r="D248" s="3" t="str">
        <f aca="false">IF($W248="","",INDEX(发票统计!D$4:D$1003,$W248)&amp;"")</f>
        <v/>
      </c>
      <c r="E248" s="67" t="str">
        <f aca="false">IF($W248="","",INDEX(发票统计!E$4:E$1003,$W248)&amp;"")</f>
        <v/>
      </c>
      <c r="F248" s="68" t="str">
        <f aca="false">IF($W248="","",INDEX(发票统计!F$4:F$1003,$W248)&amp;"")</f>
        <v/>
      </c>
      <c r="G248" s="68" t="str">
        <f aca="false">IF($W248="","",IF(INDEX(发票统计!G$4:G$1003,$W248)="","",INDEX(发票统计!G$4:G$1003,$W248)))</f>
        <v/>
      </c>
      <c r="H248" s="56" t="str">
        <f aca="false">IF($W248="","",N(INDEX(发票统计!H$4:H$1003,$W248)))</f>
        <v/>
      </c>
      <c r="I248" s="56" t="str">
        <f aca="false">IF($W248="","",N(INDEX(发票统计!I$4:I$1003,$W248)))</f>
        <v/>
      </c>
      <c r="J248" s="56" t="str">
        <f aca="false">IF($W248="","",N(INDEX(发票统计!J$4:J$1003,$W248)))</f>
        <v/>
      </c>
      <c r="K248" s="56" t="str">
        <f aca="false">IF($W248="","",N(INDEX(发票统计!K$4:K$1003,$W248)))</f>
        <v/>
      </c>
      <c r="L248" s="56" t="str">
        <f aca="false">IF($W248="","",SUM(J$4:J248)-SUM(K$4:K248))</f>
        <v/>
      </c>
      <c r="M248" s="56" t="str">
        <f aca="false">IF($W248="","",N(INDEX(发票统计!M$4:M$1003,$W248)))</f>
        <v/>
      </c>
      <c r="N248" s="56" t="str">
        <f aca="false">IF($W248="","",N(INDEX(发票统计!N$4:N$1003,$W248)))</f>
        <v/>
      </c>
      <c r="O248" s="56" t="str">
        <f aca="false">IF($W248="","",N(INDEX(发票统计!O$4:O$1003,$W248)))</f>
        <v/>
      </c>
      <c r="P248" s="56" t="str">
        <f aca="false">IF($W248="","",SUM(M$4:M248)-SUM(N$4:N248)-SUM(O$4:O248))</f>
        <v/>
      </c>
      <c r="Q248" s="56" t="str">
        <f aca="false">IF($W248="","",N(INDEX(发票统计!Q$4:Q$1003,$W248)))</f>
        <v/>
      </c>
      <c r="R248" s="56" t="str">
        <f aca="false">IF($W248="","",N(INDEX(发票统计!R$4:R$1003,$W248)))</f>
        <v/>
      </c>
      <c r="S248" s="56" t="str">
        <f aca="false">IF($W248="","",N(INDEX(发票统计!S$4:S$1003,$W248)))</f>
        <v/>
      </c>
      <c r="T248" s="56" t="str">
        <f aca="false">IF($W248="","",SUM(Q$4:Q248)-SUM(R$4:R248)-SUM(S$4:S248))</f>
        <v/>
      </c>
      <c r="U248" s="56" t="str">
        <f aca="false">IF($W248="","",INDEX(发票统计!U$4:U$1003,$W248)&amp;"")</f>
        <v/>
      </c>
      <c r="W248" s="1" t="str">
        <f aca="false">IF($V$3="","",IFERROR(MATCH($V$3&amp;"#"&amp;ROWS(W$4:W248),发票统计!$W$4:$W$1003,0),""))</f>
        <v/>
      </c>
    </row>
    <row r="249" customFormat="false" ht="16.5" hidden="false" customHeight="false" outlineLevel="0" collapsed="false">
      <c r="A249" s="3" t="str">
        <f aca="false">IF($W249="","",INDEX(发票统计!A$4:A$1003,$W249)&amp;"")</f>
        <v/>
      </c>
      <c r="B249" s="3" t="str">
        <f aca="false">IF($W249="","",INDEX(发票统计!B$4:B$1003,$W249)&amp;"")</f>
        <v/>
      </c>
      <c r="C249" s="3" t="str">
        <f aca="false">IF($W249="","",INDEX(发票统计!C$4:C$1003,$W249)&amp;"")</f>
        <v/>
      </c>
      <c r="D249" s="3" t="str">
        <f aca="false">IF($W249="","",INDEX(发票统计!D$4:D$1003,$W249)&amp;"")</f>
        <v/>
      </c>
      <c r="E249" s="67" t="str">
        <f aca="false">IF($W249="","",INDEX(发票统计!E$4:E$1003,$W249)&amp;"")</f>
        <v/>
      </c>
      <c r="F249" s="68" t="str">
        <f aca="false">IF($W249="","",INDEX(发票统计!F$4:F$1003,$W249)&amp;"")</f>
        <v/>
      </c>
      <c r="G249" s="68" t="str">
        <f aca="false">IF($W249="","",IF(INDEX(发票统计!G$4:G$1003,$W249)="","",INDEX(发票统计!G$4:G$1003,$W249)))</f>
        <v/>
      </c>
      <c r="H249" s="56" t="str">
        <f aca="false">IF($W249="","",N(INDEX(发票统计!H$4:H$1003,$W249)))</f>
        <v/>
      </c>
      <c r="I249" s="56" t="str">
        <f aca="false">IF($W249="","",N(INDEX(发票统计!I$4:I$1003,$W249)))</f>
        <v/>
      </c>
      <c r="J249" s="56" t="str">
        <f aca="false">IF($W249="","",N(INDEX(发票统计!J$4:J$1003,$W249)))</f>
        <v/>
      </c>
      <c r="K249" s="56" t="str">
        <f aca="false">IF($W249="","",N(INDEX(发票统计!K$4:K$1003,$W249)))</f>
        <v/>
      </c>
      <c r="L249" s="56" t="str">
        <f aca="false">IF($W249="","",SUM(J$4:J249)-SUM(K$4:K249))</f>
        <v/>
      </c>
      <c r="M249" s="56" t="str">
        <f aca="false">IF($W249="","",N(INDEX(发票统计!M$4:M$1003,$W249)))</f>
        <v/>
      </c>
      <c r="N249" s="56" t="str">
        <f aca="false">IF($W249="","",N(INDEX(发票统计!N$4:N$1003,$W249)))</f>
        <v/>
      </c>
      <c r="O249" s="56" t="str">
        <f aca="false">IF($W249="","",N(INDEX(发票统计!O$4:O$1003,$W249)))</f>
        <v/>
      </c>
      <c r="P249" s="56" t="str">
        <f aca="false">IF($W249="","",SUM(M$4:M249)-SUM(N$4:N249)-SUM(O$4:O249))</f>
        <v/>
      </c>
      <c r="Q249" s="56" t="str">
        <f aca="false">IF($W249="","",N(INDEX(发票统计!Q$4:Q$1003,$W249)))</f>
        <v/>
      </c>
      <c r="R249" s="56" t="str">
        <f aca="false">IF($W249="","",N(INDEX(发票统计!R$4:R$1003,$W249)))</f>
        <v/>
      </c>
      <c r="S249" s="56" t="str">
        <f aca="false">IF($W249="","",N(INDEX(发票统计!S$4:S$1003,$W249)))</f>
        <v/>
      </c>
      <c r="T249" s="56" t="str">
        <f aca="false">IF($W249="","",SUM(Q$4:Q249)-SUM(R$4:R249)-SUM(S$4:S249))</f>
        <v/>
      </c>
      <c r="U249" s="56" t="str">
        <f aca="false">IF($W249="","",INDEX(发票统计!U$4:U$1003,$W249)&amp;"")</f>
        <v/>
      </c>
      <c r="W249" s="1" t="str">
        <f aca="false">IF($V$3="","",IFERROR(MATCH($V$3&amp;"#"&amp;ROWS(W$4:W249),发票统计!$W$4:$W$1003,0),""))</f>
        <v/>
      </c>
    </row>
    <row r="250" customFormat="false" ht="16.5" hidden="false" customHeight="false" outlineLevel="0" collapsed="false">
      <c r="A250" s="3" t="str">
        <f aca="false">IF($W250="","",INDEX(发票统计!A$4:A$1003,$W250)&amp;"")</f>
        <v/>
      </c>
      <c r="B250" s="3" t="str">
        <f aca="false">IF($W250="","",INDEX(发票统计!B$4:B$1003,$W250)&amp;"")</f>
        <v/>
      </c>
      <c r="C250" s="3" t="str">
        <f aca="false">IF($W250="","",INDEX(发票统计!C$4:C$1003,$W250)&amp;"")</f>
        <v/>
      </c>
      <c r="D250" s="3" t="str">
        <f aca="false">IF($W250="","",INDEX(发票统计!D$4:D$1003,$W250)&amp;"")</f>
        <v/>
      </c>
      <c r="E250" s="67" t="str">
        <f aca="false">IF($W250="","",INDEX(发票统计!E$4:E$1003,$W250)&amp;"")</f>
        <v/>
      </c>
      <c r="F250" s="68" t="str">
        <f aca="false">IF($W250="","",INDEX(发票统计!F$4:F$1003,$W250)&amp;"")</f>
        <v/>
      </c>
      <c r="G250" s="68" t="str">
        <f aca="false">IF($W250="","",IF(INDEX(发票统计!G$4:G$1003,$W250)="","",INDEX(发票统计!G$4:G$1003,$W250)))</f>
        <v/>
      </c>
      <c r="H250" s="56" t="str">
        <f aca="false">IF($W250="","",N(INDEX(发票统计!H$4:H$1003,$W250)))</f>
        <v/>
      </c>
      <c r="I250" s="56" t="str">
        <f aca="false">IF($W250="","",N(INDEX(发票统计!I$4:I$1003,$W250)))</f>
        <v/>
      </c>
      <c r="J250" s="56" t="str">
        <f aca="false">IF($W250="","",N(INDEX(发票统计!J$4:J$1003,$W250)))</f>
        <v/>
      </c>
      <c r="K250" s="56" t="str">
        <f aca="false">IF($W250="","",N(INDEX(发票统计!K$4:K$1003,$W250)))</f>
        <v/>
      </c>
      <c r="L250" s="56" t="str">
        <f aca="false">IF($W250="","",SUM(J$4:J250)-SUM(K$4:K250))</f>
        <v/>
      </c>
      <c r="M250" s="56" t="str">
        <f aca="false">IF($W250="","",N(INDEX(发票统计!M$4:M$1003,$W250)))</f>
        <v/>
      </c>
      <c r="N250" s="56" t="str">
        <f aca="false">IF($W250="","",N(INDEX(发票统计!N$4:N$1003,$W250)))</f>
        <v/>
      </c>
      <c r="O250" s="56" t="str">
        <f aca="false">IF($W250="","",N(INDEX(发票统计!O$4:O$1003,$W250)))</f>
        <v/>
      </c>
      <c r="P250" s="56" t="str">
        <f aca="false">IF($W250="","",SUM(M$4:M250)-SUM(N$4:N250)-SUM(O$4:O250))</f>
        <v/>
      </c>
      <c r="Q250" s="56" t="str">
        <f aca="false">IF($W250="","",N(INDEX(发票统计!Q$4:Q$1003,$W250)))</f>
        <v/>
      </c>
      <c r="R250" s="56" t="str">
        <f aca="false">IF($W250="","",N(INDEX(发票统计!R$4:R$1003,$W250)))</f>
        <v/>
      </c>
      <c r="S250" s="56" t="str">
        <f aca="false">IF($W250="","",N(INDEX(发票统计!S$4:S$1003,$W250)))</f>
        <v/>
      </c>
      <c r="T250" s="56" t="str">
        <f aca="false">IF($W250="","",SUM(Q$4:Q250)-SUM(R$4:R250)-SUM(S$4:S250))</f>
        <v/>
      </c>
      <c r="U250" s="56" t="str">
        <f aca="false">IF($W250="","",INDEX(发票统计!U$4:U$1003,$W250)&amp;"")</f>
        <v/>
      </c>
      <c r="W250" s="1" t="str">
        <f aca="false">IF($V$3="","",IFERROR(MATCH($V$3&amp;"#"&amp;ROWS(W$4:W250),发票统计!$W$4:$W$1003,0),""))</f>
        <v/>
      </c>
    </row>
    <row r="251" customFormat="false" ht="16.5" hidden="false" customHeight="false" outlineLevel="0" collapsed="false">
      <c r="A251" s="3" t="str">
        <f aca="false">IF($W251="","",INDEX(发票统计!A$4:A$1003,$W251)&amp;"")</f>
        <v/>
      </c>
      <c r="B251" s="3" t="str">
        <f aca="false">IF($W251="","",INDEX(发票统计!B$4:B$1003,$W251)&amp;"")</f>
        <v/>
      </c>
      <c r="C251" s="3" t="str">
        <f aca="false">IF($W251="","",INDEX(发票统计!C$4:C$1003,$W251)&amp;"")</f>
        <v/>
      </c>
      <c r="D251" s="3" t="str">
        <f aca="false">IF($W251="","",INDEX(发票统计!D$4:D$1003,$W251)&amp;"")</f>
        <v/>
      </c>
      <c r="E251" s="67" t="str">
        <f aca="false">IF($W251="","",INDEX(发票统计!E$4:E$1003,$W251)&amp;"")</f>
        <v/>
      </c>
      <c r="F251" s="68" t="str">
        <f aca="false">IF($W251="","",INDEX(发票统计!F$4:F$1003,$W251)&amp;"")</f>
        <v/>
      </c>
      <c r="G251" s="68" t="str">
        <f aca="false">IF($W251="","",IF(INDEX(发票统计!G$4:G$1003,$W251)="","",INDEX(发票统计!G$4:G$1003,$W251)))</f>
        <v/>
      </c>
      <c r="H251" s="56" t="str">
        <f aca="false">IF($W251="","",N(INDEX(发票统计!H$4:H$1003,$W251)))</f>
        <v/>
      </c>
      <c r="I251" s="56" t="str">
        <f aca="false">IF($W251="","",N(INDEX(发票统计!I$4:I$1003,$W251)))</f>
        <v/>
      </c>
      <c r="J251" s="56" t="str">
        <f aca="false">IF($W251="","",N(INDEX(发票统计!J$4:J$1003,$W251)))</f>
        <v/>
      </c>
      <c r="K251" s="56" t="str">
        <f aca="false">IF($W251="","",N(INDEX(发票统计!K$4:K$1003,$W251)))</f>
        <v/>
      </c>
      <c r="L251" s="56" t="str">
        <f aca="false">IF($W251="","",SUM(J$4:J251)-SUM(K$4:K251))</f>
        <v/>
      </c>
      <c r="M251" s="56" t="str">
        <f aca="false">IF($W251="","",N(INDEX(发票统计!M$4:M$1003,$W251)))</f>
        <v/>
      </c>
      <c r="N251" s="56" t="str">
        <f aca="false">IF($W251="","",N(INDEX(发票统计!N$4:N$1003,$W251)))</f>
        <v/>
      </c>
      <c r="O251" s="56" t="str">
        <f aca="false">IF($W251="","",N(INDEX(发票统计!O$4:O$1003,$W251)))</f>
        <v/>
      </c>
      <c r="P251" s="56" t="str">
        <f aca="false">IF($W251="","",SUM(M$4:M251)-SUM(N$4:N251)-SUM(O$4:O251))</f>
        <v/>
      </c>
      <c r="Q251" s="56" t="str">
        <f aca="false">IF($W251="","",N(INDEX(发票统计!Q$4:Q$1003,$W251)))</f>
        <v/>
      </c>
      <c r="R251" s="56" t="str">
        <f aca="false">IF($W251="","",N(INDEX(发票统计!R$4:R$1003,$W251)))</f>
        <v/>
      </c>
      <c r="S251" s="56" t="str">
        <f aca="false">IF($W251="","",N(INDEX(发票统计!S$4:S$1003,$W251)))</f>
        <v/>
      </c>
      <c r="T251" s="56" t="str">
        <f aca="false">IF($W251="","",SUM(Q$4:Q251)-SUM(R$4:R251)-SUM(S$4:S251))</f>
        <v/>
      </c>
      <c r="U251" s="56" t="str">
        <f aca="false">IF($W251="","",INDEX(发票统计!U$4:U$1003,$W251)&amp;"")</f>
        <v/>
      </c>
      <c r="W251" s="1" t="str">
        <f aca="false">IF($V$3="","",IFERROR(MATCH($V$3&amp;"#"&amp;ROWS(W$4:W251),发票统计!$W$4:$W$1003,0),""))</f>
        <v/>
      </c>
    </row>
    <row r="252" customFormat="false" ht="16.5" hidden="false" customHeight="false" outlineLevel="0" collapsed="false">
      <c r="A252" s="3" t="str">
        <f aca="false">IF($W252="","",INDEX(发票统计!A$4:A$1003,$W252)&amp;"")</f>
        <v/>
      </c>
      <c r="B252" s="3" t="str">
        <f aca="false">IF($W252="","",INDEX(发票统计!B$4:B$1003,$W252)&amp;"")</f>
        <v/>
      </c>
      <c r="C252" s="3" t="str">
        <f aca="false">IF($W252="","",INDEX(发票统计!C$4:C$1003,$W252)&amp;"")</f>
        <v/>
      </c>
      <c r="D252" s="3" t="str">
        <f aca="false">IF($W252="","",INDEX(发票统计!D$4:D$1003,$W252)&amp;"")</f>
        <v/>
      </c>
      <c r="E252" s="67" t="str">
        <f aca="false">IF($W252="","",INDEX(发票统计!E$4:E$1003,$W252)&amp;"")</f>
        <v/>
      </c>
      <c r="F252" s="68" t="str">
        <f aca="false">IF($W252="","",INDEX(发票统计!F$4:F$1003,$W252)&amp;"")</f>
        <v/>
      </c>
      <c r="G252" s="68" t="str">
        <f aca="false">IF($W252="","",IF(INDEX(发票统计!G$4:G$1003,$W252)="","",INDEX(发票统计!G$4:G$1003,$W252)))</f>
        <v/>
      </c>
      <c r="H252" s="56" t="str">
        <f aca="false">IF($W252="","",N(INDEX(发票统计!H$4:H$1003,$W252)))</f>
        <v/>
      </c>
      <c r="I252" s="56" t="str">
        <f aca="false">IF($W252="","",N(INDEX(发票统计!I$4:I$1003,$W252)))</f>
        <v/>
      </c>
      <c r="J252" s="56" t="str">
        <f aca="false">IF($W252="","",N(INDEX(发票统计!J$4:J$1003,$W252)))</f>
        <v/>
      </c>
      <c r="K252" s="56" t="str">
        <f aca="false">IF($W252="","",N(INDEX(发票统计!K$4:K$1003,$W252)))</f>
        <v/>
      </c>
      <c r="L252" s="56" t="str">
        <f aca="false">IF($W252="","",SUM(J$4:J252)-SUM(K$4:K252))</f>
        <v/>
      </c>
      <c r="M252" s="56" t="str">
        <f aca="false">IF($W252="","",N(INDEX(发票统计!M$4:M$1003,$W252)))</f>
        <v/>
      </c>
      <c r="N252" s="56" t="str">
        <f aca="false">IF($W252="","",N(INDEX(发票统计!N$4:N$1003,$W252)))</f>
        <v/>
      </c>
      <c r="O252" s="56" t="str">
        <f aca="false">IF($W252="","",N(INDEX(发票统计!O$4:O$1003,$W252)))</f>
        <v/>
      </c>
      <c r="P252" s="56" t="str">
        <f aca="false">IF($W252="","",SUM(M$4:M252)-SUM(N$4:N252)-SUM(O$4:O252))</f>
        <v/>
      </c>
      <c r="Q252" s="56" t="str">
        <f aca="false">IF($W252="","",N(INDEX(发票统计!Q$4:Q$1003,$W252)))</f>
        <v/>
      </c>
      <c r="R252" s="56" t="str">
        <f aca="false">IF($W252="","",N(INDEX(发票统计!R$4:R$1003,$W252)))</f>
        <v/>
      </c>
      <c r="S252" s="56" t="str">
        <f aca="false">IF($W252="","",N(INDEX(发票统计!S$4:S$1003,$W252)))</f>
        <v/>
      </c>
      <c r="T252" s="56" t="str">
        <f aca="false">IF($W252="","",SUM(Q$4:Q252)-SUM(R$4:R252)-SUM(S$4:S252))</f>
        <v/>
      </c>
      <c r="U252" s="56" t="str">
        <f aca="false">IF($W252="","",INDEX(发票统计!U$4:U$1003,$W252)&amp;"")</f>
        <v/>
      </c>
      <c r="W252" s="1" t="str">
        <f aca="false">IF($V$3="","",IFERROR(MATCH($V$3&amp;"#"&amp;ROWS(W$4:W252),发票统计!$W$4:$W$1003,0),""))</f>
        <v/>
      </c>
    </row>
    <row r="253" customFormat="false" ht="16.5" hidden="false" customHeight="false" outlineLevel="0" collapsed="false">
      <c r="A253" s="3" t="str">
        <f aca="false">IF($W253="","",INDEX(发票统计!A$4:A$1003,$W253)&amp;"")</f>
        <v/>
      </c>
      <c r="B253" s="3" t="str">
        <f aca="false">IF($W253="","",INDEX(发票统计!B$4:B$1003,$W253)&amp;"")</f>
        <v/>
      </c>
      <c r="C253" s="3" t="str">
        <f aca="false">IF($W253="","",INDEX(发票统计!C$4:C$1003,$W253)&amp;"")</f>
        <v/>
      </c>
      <c r="D253" s="3" t="str">
        <f aca="false">IF($W253="","",INDEX(发票统计!D$4:D$1003,$W253)&amp;"")</f>
        <v/>
      </c>
      <c r="E253" s="67" t="str">
        <f aca="false">IF($W253="","",INDEX(发票统计!E$4:E$1003,$W253)&amp;"")</f>
        <v/>
      </c>
      <c r="F253" s="68" t="str">
        <f aca="false">IF($W253="","",INDEX(发票统计!F$4:F$1003,$W253)&amp;"")</f>
        <v/>
      </c>
      <c r="G253" s="68" t="str">
        <f aca="false">IF($W253="","",IF(INDEX(发票统计!G$4:G$1003,$W253)="","",INDEX(发票统计!G$4:G$1003,$W253)))</f>
        <v/>
      </c>
      <c r="H253" s="56" t="str">
        <f aca="false">IF($W253="","",N(INDEX(发票统计!H$4:H$1003,$W253)))</f>
        <v/>
      </c>
      <c r="I253" s="56" t="str">
        <f aca="false">IF($W253="","",N(INDEX(发票统计!I$4:I$1003,$W253)))</f>
        <v/>
      </c>
      <c r="J253" s="56" t="str">
        <f aca="false">IF($W253="","",N(INDEX(发票统计!J$4:J$1003,$W253)))</f>
        <v/>
      </c>
      <c r="K253" s="56" t="str">
        <f aca="false">IF($W253="","",N(INDEX(发票统计!K$4:K$1003,$W253)))</f>
        <v/>
      </c>
      <c r="L253" s="56" t="str">
        <f aca="false">IF($W253="","",SUM(J$4:J253)-SUM(K$4:K253))</f>
        <v/>
      </c>
      <c r="M253" s="56" t="str">
        <f aca="false">IF($W253="","",N(INDEX(发票统计!M$4:M$1003,$W253)))</f>
        <v/>
      </c>
      <c r="N253" s="56" t="str">
        <f aca="false">IF($W253="","",N(INDEX(发票统计!N$4:N$1003,$W253)))</f>
        <v/>
      </c>
      <c r="O253" s="56" t="str">
        <f aca="false">IF($W253="","",N(INDEX(发票统计!O$4:O$1003,$W253)))</f>
        <v/>
      </c>
      <c r="P253" s="56" t="str">
        <f aca="false">IF($W253="","",SUM(M$4:M253)-SUM(N$4:N253)-SUM(O$4:O253))</f>
        <v/>
      </c>
      <c r="Q253" s="56" t="str">
        <f aca="false">IF($W253="","",N(INDEX(发票统计!Q$4:Q$1003,$W253)))</f>
        <v/>
      </c>
      <c r="R253" s="56" t="str">
        <f aca="false">IF($W253="","",N(INDEX(发票统计!R$4:R$1003,$W253)))</f>
        <v/>
      </c>
      <c r="S253" s="56" t="str">
        <f aca="false">IF($W253="","",N(INDEX(发票统计!S$4:S$1003,$W253)))</f>
        <v/>
      </c>
      <c r="T253" s="56" t="str">
        <f aca="false">IF($W253="","",SUM(Q$4:Q253)-SUM(R$4:R253)-SUM(S$4:S253))</f>
        <v/>
      </c>
      <c r="U253" s="56" t="str">
        <f aca="false">IF($W253="","",INDEX(发票统计!U$4:U$1003,$W253)&amp;"")</f>
        <v/>
      </c>
      <c r="W253" s="1" t="str">
        <f aca="false">IF($V$3="","",IFERROR(MATCH($V$3&amp;"#"&amp;ROWS(W$4:W253),发票统计!$W$4:$W$1003,0),""))</f>
        <v/>
      </c>
    </row>
    <row r="254" customFormat="false" ht="16.5" hidden="false" customHeight="false" outlineLevel="0" collapsed="false">
      <c r="A254" s="3" t="str">
        <f aca="false">IF($W254="","",INDEX(发票统计!A$4:A$1003,$W254)&amp;"")</f>
        <v/>
      </c>
      <c r="B254" s="3" t="str">
        <f aca="false">IF($W254="","",INDEX(发票统计!B$4:B$1003,$W254)&amp;"")</f>
        <v/>
      </c>
      <c r="C254" s="3" t="str">
        <f aca="false">IF($W254="","",INDEX(发票统计!C$4:C$1003,$W254)&amp;"")</f>
        <v/>
      </c>
      <c r="D254" s="3" t="str">
        <f aca="false">IF($W254="","",INDEX(发票统计!D$4:D$1003,$W254)&amp;"")</f>
        <v/>
      </c>
      <c r="E254" s="67" t="str">
        <f aca="false">IF($W254="","",INDEX(发票统计!E$4:E$1003,$W254)&amp;"")</f>
        <v/>
      </c>
      <c r="F254" s="68" t="str">
        <f aca="false">IF($W254="","",INDEX(发票统计!F$4:F$1003,$W254)&amp;"")</f>
        <v/>
      </c>
      <c r="G254" s="68" t="str">
        <f aca="false">IF($W254="","",IF(INDEX(发票统计!G$4:G$1003,$W254)="","",INDEX(发票统计!G$4:G$1003,$W254)))</f>
        <v/>
      </c>
      <c r="H254" s="56" t="str">
        <f aca="false">IF($W254="","",N(INDEX(发票统计!H$4:H$1003,$W254)))</f>
        <v/>
      </c>
      <c r="I254" s="56" t="str">
        <f aca="false">IF($W254="","",N(INDEX(发票统计!I$4:I$1003,$W254)))</f>
        <v/>
      </c>
      <c r="J254" s="56" t="str">
        <f aca="false">IF($W254="","",N(INDEX(发票统计!J$4:J$1003,$W254)))</f>
        <v/>
      </c>
      <c r="K254" s="56" t="str">
        <f aca="false">IF($W254="","",N(INDEX(发票统计!K$4:K$1003,$W254)))</f>
        <v/>
      </c>
      <c r="L254" s="56" t="str">
        <f aca="false">IF($W254="","",SUM(J$4:J254)-SUM(K$4:K254))</f>
        <v/>
      </c>
      <c r="M254" s="56" t="str">
        <f aca="false">IF($W254="","",N(INDEX(发票统计!M$4:M$1003,$W254)))</f>
        <v/>
      </c>
      <c r="N254" s="56" t="str">
        <f aca="false">IF($W254="","",N(INDEX(发票统计!N$4:N$1003,$W254)))</f>
        <v/>
      </c>
      <c r="O254" s="56" t="str">
        <f aca="false">IF($W254="","",N(INDEX(发票统计!O$4:O$1003,$W254)))</f>
        <v/>
      </c>
      <c r="P254" s="56" t="str">
        <f aca="false">IF($W254="","",SUM(M$4:M254)-SUM(N$4:N254)-SUM(O$4:O254))</f>
        <v/>
      </c>
      <c r="Q254" s="56" t="str">
        <f aca="false">IF($W254="","",N(INDEX(发票统计!Q$4:Q$1003,$W254)))</f>
        <v/>
      </c>
      <c r="R254" s="56" t="str">
        <f aca="false">IF($W254="","",N(INDEX(发票统计!R$4:R$1003,$W254)))</f>
        <v/>
      </c>
      <c r="S254" s="56" t="str">
        <f aca="false">IF($W254="","",N(INDEX(发票统计!S$4:S$1003,$W254)))</f>
        <v/>
      </c>
      <c r="T254" s="56" t="str">
        <f aca="false">IF($W254="","",SUM(Q$4:Q254)-SUM(R$4:R254)-SUM(S$4:S254))</f>
        <v/>
      </c>
      <c r="U254" s="56" t="str">
        <f aca="false">IF($W254="","",INDEX(发票统计!U$4:U$1003,$W254)&amp;"")</f>
        <v/>
      </c>
      <c r="W254" s="1" t="str">
        <f aca="false">IF($V$3="","",IFERROR(MATCH($V$3&amp;"#"&amp;ROWS(W$4:W254),发票统计!$W$4:$W$1003,0),""))</f>
        <v/>
      </c>
    </row>
    <row r="255" customFormat="false" ht="16.5" hidden="false" customHeight="false" outlineLevel="0" collapsed="false">
      <c r="A255" s="3" t="str">
        <f aca="false">IF($W255="","",INDEX(发票统计!A$4:A$1003,$W255)&amp;"")</f>
        <v/>
      </c>
      <c r="B255" s="3" t="str">
        <f aca="false">IF($W255="","",INDEX(发票统计!B$4:B$1003,$W255)&amp;"")</f>
        <v/>
      </c>
      <c r="C255" s="3" t="str">
        <f aca="false">IF($W255="","",INDEX(发票统计!C$4:C$1003,$W255)&amp;"")</f>
        <v/>
      </c>
      <c r="D255" s="3" t="str">
        <f aca="false">IF($W255="","",INDEX(发票统计!D$4:D$1003,$W255)&amp;"")</f>
        <v/>
      </c>
      <c r="E255" s="67" t="str">
        <f aca="false">IF($W255="","",INDEX(发票统计!E$4:E$1003,$W255)&amp;"")</f>
        <v/>
      </c>
      <c r="F255" s="68" t="str">
        <f aca="false">IF($W255="","",INDEX(发票统计!F$4:F$1003,$W255)&amp;"")</f>
        <v/>
      </c>
      <c r="G255" s="68" t="str">
        <f aca="false">IF($W255="","",IF(INDEX(发票统计!G$4:G$1003,$W255)="","",INDEX(发票统计!G$4:G$1003,$W255)))</f>
        <v/>
      </c>
      <c r="H255" s="56" t="str">
        <f aca="false">IF($W255="","",N(INDEX(发票统计!H$4:H$1003,$W255)))</f>
        <v/>
      </c>
      <c r="I255" s="56" t="str">
        <f aca="false">IF($W255="","",N(INDEX(发票统计!I$4:I$1003,$W255)))</f>
        <v/>
      </c>
      <c r="J255" s="56" t="str">
        <f aca="false">IF($W255="","",N(INDEX(发票统计!J$4:J$1003,$W255)))</f>
        <v/>
      </c>
      <c r="K255" s="56" t="str">
        <f aca="false">IF($W255="","",N(INDEX(发票统计!K$4:K$1003,$W255)))</f>
        <v/>
      </c>
      <c r="L255" s="56" t="str">
        <f aca="false">IF($W255="","",SUM(J$4:J255)-SUM(K$4:K255))</f>
        <v/>
      </c>
      <c r="M255" s="56" t="str">
        <f aca="false">IF($W255="","",N(INDEX(发票统计!M$4:M$1003,$W255)))</f>
        <v/>
      </c>
      <c r="N255" s="56" t="str">
        <f aca="false">IF($W255="","",N(INDEX(发票统计!N$4:N$1003,$W255)))</f>
        <v/>
      </c>
      <c r="O255" s="56" t="str">
        <f aca="false">IF($W255="","",N(INDEX(发票统计!O$4:O$1003,$W255)))</f>
        <v/>
      </c>
      <c r="P255" s="56" t="str">
        <f aca="false">IF($W255="","",SUM(M$4:M255)-SUM(N$4:N255)-SUM(O$4:O255))</f>
        <v/>
      </c>
      <c r="Q255" s="56" t="str">
        <f aca="false">IF($W255="","",N(INDEX(发票统计!Q$4:Q$1003,$W255)))</f>
        <v/>
      </c>
      <c r="R255" s="56" t="str">
        <f aca="false">IF($W255="","",N(INDEX(发票统计!R$4:R$1003,$W255)))</f>
        <v/>
      </c>
      <c r="S255" s="56" t="str">
        <f aca="false">IF($W255="","",N(INDEX(发票统计!S$4:S$1003,$W255)))</f>
        <v/>
      </c>
      <c r="T255" s="56" t="str">
        <f aca="false">IF($W255="","",SUM(Q$4:Q255)-SUM(R$4:R255)-SUM(S$4:S255))</f>
        <v/>
      </c>
      <c r="U255" s="56" t="str">
        <f aca="false">IF($W255="","",INDEX(发票统计!U$4:U$1003,$W255)&amp;"")</f>
        <v/>
      </c>
      <c r="W255" s="1" t="str">
        <f aca="false">IF($V$3="","",IFERROR(MATCH($V$3&amp;"#"&amp;ROWS(W$4:W255),发票统计!$W$4:$W$1003,0),""))</f>
        <v/>
      </c>
    </row>
    <row r="256" customFormat="false" ht="16.5" hidden="false" customHeight="false" outlineLevel="0" collapsed="false">
      <c r="A256" s="3" t="str">
        <f aca="false">IF($W256="","",INDEX(发票统计!A$4:A$1003,$W256)&amp;"")</f>
        <v/>
      </c>
      <c r="B256" s="3" t="str">
        <f aca="false">IF($W256="","",INDEX(发票统计!B$4:B$1003,$W256)&amp;"")</f>
        <v/>
      </c>
      <c r="C256" s="3" t="str">
        <f aca="false">IF($W256="","",INDEX(发票统计!C$4:C$1003,$W256)&amp;"")</f>
        <v/>
      </c>
      <c r="D256" s="3" t="str">
        <f aca="false">IF($W256="","",INDEX(发票统计!D$4:D$1003,$W256)&amp;"")</f>
        <v/>
      </c>
      <c r="E256" s="67" t="str">
        <f aca="false">IF($W256="","",INDEX(发票统计!E$4:E$1003,$W256)&amp;"")</f>
        <v/>
      </c>
      <c r="F256" s="68" t="str">
        <f aca="false">IF($W256="","",INDEX(发票统计!F$4:F$1003,$W256)&amp;"")</f>
        <v/>
      </c>
      <c r="G256" s="68" t="str">
        <f aca="false">IF($W256="","",IF(INDEX(发票统计!G$4:G$1003,$W256)="","",INDEX(发票统计!G$4:G$1003,$W256)))</f>
        <v/>
      </c>
      <c r="H256" s="56" t="str">
        <f aca="false">IF($W256="","",N(INDEX(发票统计!H$4:H$1003,$W256)))</f>
        <v/>
      </c>
      <c r="I256" s="56" t="str">
        <f aca="false">IF($W256="","",N(INDEX(发票统计!I$4:I$1003,$W256)))</f>
        <v/>
      </c>
      <c r="J256" s="56" t="str">
        <f aca="false">IF($W256="","",N(INDEX(发票统计!J$4:J$1003,$W256)))</f>
        <v/>
      </c>
      <c r="K256" s="56" t="str">
        <f aca="false">IF($W256="","",N(INDEX(发票统计!K$4:K$1003,$W256)))</f>
        <v/>
      </c>
      <c r="L256" s="56" t="str">
        <f aca="false">IF($W256="","",SUM(J$4:J256)-SUM(K$4:K256))</f>
        <v/>
      </c>
      <c r="M256" s="56" t="str">
        <f aca="false">IF($W256="","",N(INDEX(发票统计!M$4:M$1003,$W256)))</f>
        <v/>
      </c>
      <c r="N256" s="56" t="str">
        <f aca="false">IF($W256="","",N(INDEX(发票统计!N$4:N$1003,$W256)))</f>
        <v/>
      </c>
      <c r="O256" s="56" t="str">
        <f aca="false">IF($W256="","",N(INDEX(发票统计!O$4:O$1003,$W256)))</f>
        <v/>
      </c>
      <c r="P256" s="56" t="str">
        <f aca="false">IF($W256="","",SUM(M$4:M256)-SUM(N$4:N256)-SUM(O$4:O256))</f>
        <v/>
      </c>
      <c r="Q256" s="56" t="str">
        <f aca="false">IF($W256="","",N(INDEX(发票统计!Q$4:Q$1003,$W256)))</f>
        <v/>
      </c>
      <c r="R256" s="56" t="str">
        <f aca="false">IF($W256="","",N(INDEX(发票统计!R$4:R$1003,$W256)))</f>
        <v/>
      </c>
      <c r="S256" s="56" t="str">
        <f aca="false">IF($W256="","",N(INDEX(发票统计!S$4:S$1003,$W256)))</f>
        <v/>
      </c>
      <c r="T256" s="56" t="str">
        <f aca="false">IF($W256="","",SUM(Q$4:Q256)-SUM(R$4:R256)-SUM(S$4:S256))</f>
        <v/>
      </c>
      <c r="U256" s="56" t="str">
        <f aca="false">IF($W256="","",INDEX(发票统计!U$4:U$1003,$W256)&amp;"")</f>
        <v/>
      </c>
      <c r="W256" s="1" t="str">
        <f aca="false">IF($V$3="","",IFERROR(MATCH($V$3&amp;"#"&amp;ROWS(W$4:W256),发票统计!$W$4:$W$1003,0),""))</f>
        <v/>
      </c>
    </row>
    <row r="257" customFormat="false" ht="16.5" hidden="false" customHeight="false" outlineLevel="0" collapsed="false">
      <c r="A257" s="3" t="str">
        <f aca="false">IF($W257="","",INDEX(发票统计!A$4:A$1003,$W257)&amp;"")</f>
        <v/>
      </c>
      <c r="B257" s="3" t="str">
        <f aca="false">IF($W257="","",INDEX(发票统计!B$4:B$1003,$W257)&amp;"")</f>
        <v/>
      </c>
      <c r="C257" s="3" t="str">
        <f aca="false">IF($W257="","",INDEX(发票统计!C$4:C$1003,$W257)&amp;"")</f>
        <v/>
      </c>
      <c r="D257" s="3" t="str">
        <f aca="false">IF($W257="","",INDEX(发票统计!D$4:D$1003,$W257)&amp;"")</f>
        <v/>
      </c>
      <c r="E257" s="67" t="str">
        <f aca="false">IF($W257="","",INDEX(发票统计!E$4:E$1003,$W257)&amp;"")</f>
        <v/>
      </c>
      <c r="F257" s="68" t="str">
        <f aca="false">IF($W257="","",INDEX(发票统计!F$4:F$1003,$W257)&amp;"")</f>
        <v/>
      </c>
      <c r="G257" s="68" t="str">
        <f aca="false">IF($W257="","",IF(INDEX(发票统计!G$4:G$1003,$W257)="","",INDEX(发票统计!G$4:G$1003,$W257)))</f>
        <v/>
      </c>
      <c r="H257" s="56" t="str">
        <f aca="false">IF($W257="","",N(INDEX(发票统计!H$4:H$1003,$W257)))</f>
        <v/>
      </c>
      <c r="I257" s="56" t="str">
        <f aca="false">IF($W257="","",N(INDEX(发票统计!I$4:I$1003,$W257)))</f>
        <v/>
      </c>
      <c r="J257" s="56" t="str">
        <f aca="false">IF($W257="","",N(INDEX(发票统计!J$4:J$1003,$W257)))</f>
        <v/>
      </c>
      <c r="K257" s="56" t="str">
        <f aca="false">IF($W257="","",N(INDEX(发票统计!K$4:K$1003,$W257)))</f>
        <v/>
      </c>
      <c r="L257" s="56" t="str">
        <f aca="false">IF($W257="","",SUM(J$4:J257)-SUM(K$4:K257))</f>
        <v/>
      </c>
      <c r="M257" s="56" t="str">
        <f aca="false">IF($W257="","",N(INDEX(发票统计!M$4:M$1003,$W257)))</f>
        <v/>
      </c>
      <c r="N257" s="56" t="str">
        <f aca="false">IF($W257="","",N(INDEX(发票统计!N$4:N$1003,$W257)))</f>
        <v/>
      </c>
      <c r="O257" s="56" t="str">
        <f aca="false">IF($W257="","",N(INDEX(发票统计!O$4:O$1003,$W257)))</f>
        <v/>
      </c>
      <c r="P257" s="56" t="str">
        <f aca="false">IF($W257="","",SUM(M$4:M257)-SUM(N$4:N257)-SUM(O$4:O257))</f>
        <v/>
      </c>
      <c r="Q257" s="56" t="str">
        <f aca="false">IF($W257="","",N(INDEX(发票统计!Q$4:Q$1003,$W257)))</f>
        <v/>
      </c>
      <c r="R257" s="56" t="str">
        <f aca="false">IF($W257="","",N(INDEX(发票统计!R$4:R$1003,$W257)))</f>
        <v/>
      </c>
      <c r="S257" s="56" t="str">
        <f aca="false">IF($W257="","",N(INDEX(发票统计!S$4:S$1003,$W257)))</f>
        <v/>
      </c>
      <c r="T257" s="56" t="str">
        <f aca="false">IF($W257="","",SUM(Q$4:Q257)-SUM(R$4:R257)-SUM(S$4:S257))</f>
        <v/>
      </c>
      <c r="U257" s="56" t="str">
        <f aca="false">IF($W257="","",INDEX(发票统计!U$4:U$1003,$W257)&amp;"")</f>
        <v/>
      </c>
      <c r="W257" s="1" t="str">
        <f aca="false">IF($V$3="","",IFERROR(MATCH($V$3&amp;"#"&amp;ROWS(W$4:W257),发票统计!$W$4:$W$1003,0),""))</f>
        <v/>
      </c>
    </row>
    <row r="258" customFormat="false" ht="16.5" hidden="false" customHeight="false" outlineLevel="0" collapsed="false">
      <c r="A258" s="3" t="str">
        <f aca="false">IF($W258="","",INDEX(发票统计!A$4:A$1003,$W258)&amp;"")</f>
        <v/>
      </c>
      <c r="B258" s="3" t="str">
        <f aca="false">IF($W258="","",INDEX(发票统计!B$4:B$1003,$W258)&amp;"")</f>
        <v/>
      </c>
      <c r="C258" s="3" t="str">
        <f aca="false">IF($W258="","",INDEX(发票统计!C$4:C$1003,$W258)&amp;"")</f>
        <v/>
      </c>
      <c r="D258" s="3" t="str">
        <f aca="false">IF($W258="","",INDEX(发票统计!D$4:D$1003,$W258)&amp;"")</f>
        <v/>
      </c>
      <c r="E258" s="67" t="str">
        <f aca="false">IF($W258="","",INDEX(发票统计!E$4:E$1003,$W258)&amp;"")</f>
        <v/>
      </c>
      <c r="F258" s="68" t="str">
        <f aca="false">IF($W258="","",INDEX(发票统计!F$4:F$1003,$W258)&amp;"")</f>
        <v/>
      </c>
      <c r="G258" s="68" t="str">
        <f aca="false">IF($W258="","",IF(INDEX(发票统计!G$4:G$1003,$W258)="","",INDEX(发票统计!G$4:G$1003,$W258)))</f>
        <v/>
      </c>
      <c r="H258" s="56" t="str">
        <f aca="false">IF($W258="","",N(INDEX(发票统计!H$4:H$1003,$W258)))</f>
        <v/>
      </c>
      <c r="I258" s="56" t="str">
        <f aca="false">IF($W258="","",N(INDEX(发票统计!I$4:I$1003,$W258)))</f>
        <v/>
      </c>
      <c r="J258" s="56" t="str">
        <f aca="false">IF($W258="","",N(INDEX(发票统计!J$4:J$1003,$W258)))</f>
        <v/>
      </c>
      <c r="K258" s="56" t="str">
        <f aca="false">IF($W258="","",N(INDEX(发票统计!K$4:K$1003,$W258)))</f>
        <v/>
      </c>
      <c r="L258" s="56" t="str">
        <f aca="false">IF($W258="","",SUM(J$4:J258)-SUM(K$4:K258))</f>
        <v/>
      </c>
      <c r="M258" s="56" t="str">
        <f aca="false">IF($W258="","",N(INDEX(发票统计!M$4:M$1003,$W258)))</f>
        <v/>
      </c>
      <c r="N258" s="56" t="str">
        <f aca="false">IF($W258="","",N(INDEX(发票统计!N$4:N$1003,$W258)))</f>
        <v/>
      </c>
      <c r="O258" s="56" t="str">
        <f aca="false">IF($W258="","",N(INDEX(发票统计!O$4:O$1003,$W258)))</f>
        <v/>
      </c>
      <c r="P258" s="56" t="str">
        <f aca="false">IF($W258="","",SUM(M$4:M258)-SUM(N$4:N258)-SUM(O$4:O258))</f>
        <v/>
      </c>
      <c r="Q258" s="56" t="str">
        <f aca="false">IF($W258="","",N(INDEX(发票统计!Q$4:Q$1003,$W258)))</f>
        <v/>
      </c>
      <c r="R258" s="56" t="str">
        <f aca="false">IF($W258="","",N(INDEX(发票统计!R$4:R$1003,$W258)))</f>
        <v/>
      </c>
      <c r="S258" s="56" t="str">
        <f aca="false">IF($W258="","",N(INDEX(发票统计!S$4:S$1003,$W258)))</f>
        <v/>
      </c>
      <c r="T258" s="56" t="str">
        <f aca="false">IF($W258="","",SUM(Q$4:Q258)-SUM(R$4:R258)-SUM(S$4:S258))</f>
        <v/>
      </c>
      <c r="U258" s="56" t="str">
        <f aca="false">IF($W258="","",INDEX(发票统计!U$4:U$1003,$W258)&amp;"")</f>
        <v/>
      </c>
      <c r="W258" s="1" t="str">
        <f aca="false">IF($V$3="","",IFERROR(MATCH($V$3&amp;"#"&amp;ROWS(W$4:W258),发票统计!$W$4:$W$1003,0),""))</f>
        <v/>
      </c>
    </row>
    <row r="259" customFormat="false" ht="16.5" hidden="false" customHeight="false" outlineLevel="0" collapsed="false">
      <c r="A259" s="3" t="str">
        <f aca="false">IF($W259="","",INDEX(发票统计!A$4:A$1003,$W259)&amp;"")</f>
        <v/>
      </c>
      <c r="B259" s="3" t="str">
        <f aca="false">IF($W259="","",INDEX(发票统计!B$4:B$1003,$W259)&amp;"")</f>
        <v/>
      </c>
      <c r="C259" s="3" t="str">
        <f aca="false">IF($W259="","",INDEX(发票统计!C$4:C$1003,$W259)&amp;"")</f>
        <v/>
      </c>
      <c r="D259" s="3" t="str">
        <f aca="false">IF($W259="","",INDEX(发票统计!D$4:D$1003,$W259)&amp;"")</f>
        <v/>
      </c>
      <c r="E259" s="67" t="str">
        <f aca="false">IF($W259="","",INDEX(发票统计!E$4:E$1003,$W259)&amp;"")</f>
        <v/>
      </c>
      <c r="F259" s="68" t="str">
        <f aca="false">IF($W259="","",INDEX(发票统计!F$4:F$1003,$W259)&amp;"")</f>
        <v/>
      </c>
      <c r="G259" s="68" t="str">
        <f aca="false">IF($W259="","",IF(INDEX(发票统计!G$4:G$1003,$W259)="","",INDEX(发票统计!G$4:G$1003,$W259)))</f>
        <v/>
      </c>
      <c r="H259" s="56" t="str">
        <f aca="false">IF($W259="","",N(INDEX(发票统计!H$4:H$1003,$W259)))</f>
        <v/>
      </c>
      <c r="I259" s="56" t="str">
        <f aca="false">IF($W259="","",N(INDEX(发票统计!I$4:I$1003,$W259)))</f>
        <v/>
      </c>
      <c r="J259" s="56" t="str">
        <f aca="false">IF($W259="","",N(INDEX(发票统计!J$4:J$1003,$W259)))</f>
        <v/>
      </c>
      <c r="K259" s="56" t="str">
        <f aca="false">IF($W259="","",N(INDEX(发票统计!K$4:K$1003,$W259)))</f>
        <v/>
      </c>
      <c r="L259" s="56" t="str">
        <f aca="false">IF($W259="","",SUM(J$4:J259)-SUM(K$4:K259))</f>
        <v/>
      </c>
      <c r="M259" s="56" t="str">
        <f aca="false">IF($W259="","",N(INDEX(发票统计!M$4:M$1003,$W259)))</f>
        <v/>
      </c>
      <c r="N259" s="56" t="str">
        <f aca="false">IF($W259="","",N(INDEX(发票统计!N$4:N$1003,$W259)))</f>
        <v/>
      </c>
      <c r="O259" s="56" t="str">
        <f aca="false">IF($W259="","",N(INDEX(发票统计!O$4:O$1003,$W259)))</f>
        <v/>
      </c>
      <c r="P259" s="56" t="str">
        <f aca="false">IF($W259="","",SUM(M$4:M259)-SUM(N$4:N259)-SUM(O$4:O259))</f>
        <v/>
      </c>
      <c r="Q259" s="56" t="str">
        <f aca="false">IF($W259="","",N(INDEX(发票统计!Q$4:Q$1003,$W259)))</f>
        <v/>
      </c>
      <c r="R259" s="56" t="str">
        <f aca="false">IF($W259="","",N(INDEX(发票统计!R$4:R$1003,$W259)))</f>
        <v/>
      </c>
      <c r="S259" s="56" t="str">
        <f aca="false">IF($W259="","",N(INDEX(发票统计!S$4:S$1003,$W259)))</f>
        <v/>
      </c>
      <c r="T259" s="56" t="str">
        <f aca="false">IF($W259="","",SUM(Q$4:Q259)-SUM(R$4:R259)-SUM(S$4:S259))</f>
        <v/>
      </c>
      <c r="U259" s="56" t="str">
        <f aca="false">IF($W259="","",INDEX(发票统计!U$4:U$1003,$W259)&amp;"")</f>
        <v/>
      </c>
      <c r="W259" s="1" t="str">
        <f aca="false">IF($V$3="","",IFERROR(MATCH($V$3&amp;"#"&amp;ROWS(W$4:W259),发票统计!$W$4:$W$1003,0),""))</f>
        <v/>
      </c>
    </row>
    <row r="260" customFormat="false" ht="16.5" hidden="false" customHeight="false" outlineLevel="0" collapsed="false">
      <c r="A260" s="3" t="str">
        <f aca="false">IF($W260="","",INDEX(发票统计!A$4:A$1003,$W260)&amp;"")</f>
        <v/>
      </c>
      <c r="B260" s="3" t="str">
        <f aca="false">IF($W260="","",INDEX(发票统计!B$4:B$1003,$W260)&amp;"")</f>
        <v/>
      </c>
      <c r="C260" s="3" t="str">
        <f aca="false">IF($W260="","",INDEX(发票统计!C$4:C$1003,$W260)&amp;"")</f>
        <v/>
      </c>
      <c r="D260" s="3" t="str">
        <f aca="false">IF($W260="","",INDEX(发票统计!D$4:D$1003,$W260)&amp;"")</f>
        <v/>
      </c>
      <c r="E260" s="67" t="str">
        <f aca="false">IF($W260="","",INDEX(发票统计!E$4:E$1003,$W260)&amp;"")</f>
        <v/>
      </c>
      <c r="F260" s="68" t="str">
        <f aca="false">IF($W260="","",INDEX(发票统计!F$4:F$1003,$W260)&amp;"")</f>
        <v/>
      </c>
      <c r="G260" s="68" t="str">
        <f aca="false">IF($W260="","",IF(INDEX(发票统计!G$4:G$1003,$W260)="","",INDEX(发票统计!G$4:G$1003,$W260)))</f>
        <v/>
      </c>
      <c r="H260" s="56" t="str">
        <f aca="false">IF($W260="","",N(INDEX(发票统计!H$4:H$1003,$W260)))</f>
        <v/>
      </c>
      <c r="I260" s="56" t="str">
        <f aca="false">IF($W260="","",N(INDEX(发票统计!I$4:I$1003,$W260)))</f>
        <v/>
      </c>
      <c r="J260" s="56" t="str">
        <f aca="false">IF($W260="","",N(INDEX(发票统计!J$4:J$1003,$W260)))</f>
        <v/>
      </c>
      <c r="K260" s="56" t="str">
        <f aca="false">IF($W260="","",N(INDEX(发票统计!K$4:K$1003,$W260)))</f>
        <v/>
      </c>
      <c r="L260" s="56" t="str">
        <f aca="false">IF($W260="","",SUM(J$4:J260)-SUM(K$4:K260))</f>
        <v/>
      </c>
      <c r="M260" s="56" t="str">
        <f aca="false">IF($W260="","",N(INDEX(发票统计!M$4:M$1003,$W260)))</f>
        <v/>
      </c>
      <c r="N260" s="56" t="str">
        <f aca="false">IF($W260="","",N(INDEX(发票统计!N$4:N$1003,$W260)))</f>
        <v/>
      </c>
      <c r="O260" s="56" t="str">
        <f aca="false">IF($W260="","",N(INDEX(发票统计!O$4:O$1003,$W260)))</f>
        <v/>
      </c>
      <c r="P260" s="56" t="str">
        <f aca="false">IF($W260="","",SUM(M$4:M260)-SUM(N$4:N260)-SUM(O$4:O260))</f>
        <v/>
      </c>
      <c r="Q260" s="56" t="str">
        <f aca="false">IF($W260="","",N(INDEX(发票统计!Q$4:Q$1003,$W260)))</f>
        <v/>
      </c>
      <c r="R260" s="56" t="str">
        <f aca="false">IF($W260="","",N(INDEX(发票统计!R$4:R$1003,$W260)))</f>
        <v/>
      </c>
      <c r="S260" s="56" t="str">
        <f aca="false">IF($W260="","",N(INDEX(发票统计!S$4:S$1003,$W260)))</f>
        <v/>
      </c>
      <c r="T260" s="56" t="str">
        <f aca="false">IF($W260="","",SUM(Q$4:Q260)-SUM(R$4:R260)-SUM(S$4:S260))</f>
        <v/>
      </c>
      <c r="U260" s="56" t="str">
        <f aca="false">IF($W260="","",INDEX(发票统计!U$4:U$1003,$W260)&amp;"")</f>
        <v/>
      </c>
      <c r="W260" s="1" t="str">
        <f aca="false">IF($V$3="","",IFERROR(MATCH($V$3&amp;"#"&amp;ROWS(W$4:W260),发票统计!$W$4:$W$1003,0),""))</f>
        <v/>
      </c>
    </row>
    <row r="261" customFormat="false" ht="16.5" hidden="false" customHeight="false" outlineLevel="0" collapsed="false">
      <c r="A261" s="3" t="str">
        <f aca="false">IF($W261="","",INDEX(发票统计!A$4:A$1003,$W261)&amp;"")</f>
        <v/>
      </c>
      <c r="B261" s="3" t="str">
        <f aca="false">IF($W261="","",INDEX(发票统计!B$4:B$1003,$W261)&amp;"")</f>
        <v/>
      </c>
      <c r="C261" s="3" t="str">
        <f aca="false">IF($W261="","",INDEX(发票统计!C$4:C$1003,$W261)&amp;"")</f>
        <v/>
      </c>
      <c r="D261" s="3" t="str">
        <f aca="false">IF($W261="","",INDEX(发票统计!D$4:D$1003,$W261)&amp;"")</f>
        <v/>
      </c>
      <c r="E261" s="67" t="str">
        <f aca="false">IF($W261="","",INDEX(发票统计!E$4:E$1003,$W261)&amp;"")</f>
        <v/>
      </c>
      <c r="F261" s="68" t="str">
        <f aca="false">IF($W261="","",INDEX(发票统计!F$4:F$1003,$W261)&amp;"")</f>
        <v/>
      </c>
      <c r="G261" s="68" t="str">
        <f aca="false">IF($W261="","",IF(INDEX(发票统计!G$4:G$1003,$W261)="","",INDEX(发票统计!G$4:G$1003,$W261)))</f>
        <v/>
      </c>
      <c r="H261" s="56" t="str">
        <f aca="false">IF($W261="","",N(INDEX(发票统计!H$4:H$1003,$W261)))</f>
        <v/>
      </c>
      <c r="I261" s="56" t="str">
        <f aca="false">IF($W261="","",N(INDEX(发票统计!I$4:I$1003,$W261)))</f>
        <v/>
      </c>
      <c r="J261" s="56" t="str">
        <f aca="false">IF($W261="","",N(INDEX(发票统计!J$4:J$1003,$W261)))</f>
        <v/>
      </c>
      <c r="K261" s="56" t="str">
        <f aca="false">IF($W261="","",N(INDEX(发票统计!K$4:K$1003,$W261)))</f>
        <v/>
      </c>
      <c r="L261" s="56" t="str">
        <f aca="false">IF($W261="","",SUM(J$4:J261)-SUM(K$4:K261))</f>
        <v/>
      </c>
      <c r="M261" s="56" t="str">
        <f aca="false">IF($W261="","",N(INDEX(发票统计!M$4:M$1003,$W261)))</f>
        <v/>
      </c>
      <c r="N261" s="56" t="str">
        <f aca="false">IF($W261="","",N(INDEX(发票统计!N$4:N$1003,$W261)))</f>
        <v/>
      </c>
      <c r="O261" s="56" t="str">
        <f aca="false">IF($W261="","",N(INDEX(发票统计!O$4:O$1003,$W261)))</f>
        <v/>
      </c>
      <c r="P261" s="56" t="str">
        <f aca="false">IF($W261="","",SUM(M$4:M261)-SUM(N$4:N261)-SUM(O$4:O261))</f>
        <v/>
      </c>
      <c r="Q261" s="56" t="str">
        <f aca="false">IF($W261="","",N(INDEX(发票统计!Q$4:Q$1003,$W261)))</f>
        <v/>
      </c>
      <c r="R261" s="56" t="str">
        <f aca="false">IF($W261="","",N(INDEX(发票统计!R$4:R$1003,$W261)))</f>
        <v/>
      </c>
      <c r="S261" s="56" t="str">
        <f aca="false">IF($W261="","",N(INDEX(发票统计!S$4:S$1003,$W261)))</f>
        <v/>
      </c>
      <c r="T261" s="56" t="str">
        <f aca="false">IF($W261="","",SUM(Q$4:Q261)-SUM(R$4:R261)-SUM(S$4:S261))</f>
        <v/>
      </c>
      <c r="U261" s="56" t="str">
        <f aca="false">IF($W261="","",INDEX(发票统计!U$4:U$1003,$W261)&amp;"")</f>
        <v/>
      </c>
      <c r="W261" s="1" t="str">
        <f aca="false">IF($V$3="","",IFERROR(MATCH($V$3&amp;"#"&amp;ROWS(W$4:W261),发票统计!$W$4:$W$1003,0),""))</f>
        <v/>
      </c>
    </row>
    <row r="262" customFormat="false" ht="16.5" hidden="false" customHeight="false" outlineLevel="0" collapsed="false">
      <c r="A262" s="3" t="str">
        <f aca="false">IF($W262="","",INDEX(发票统计!A$4:A$1003,$W262)&amp;"")</f>
        <v/>
      </c>
      <c r="B262" s="3" t="str">
        <f aca="false">IF($W262="","",INDEX(发票统计!B$4:B$1003,$W262)&amp;"")</f>
        <v/>
      </c>
      <c r="C262" s="3" t="str">
        <f aca="false">IF($W262="","",INDEX(发票统计!C$4:C$1003,$W262)&amp;"")</f>
        <v/>
      </c>
      <c r="D262" s="3" t="str">
        <f aca="false">IF($W262="","",INDEX(发票统计!D$4:D$1003,$W262)&amp;"")</f>
        <v/>
      </c>
      <c r="E262" s="67" t="str">
        <f aca="false">IF($W262="","",INDEX(发票统计!E$4:E$1003,$W262)&amp;"")</f>
        <v/>
      </c>
      <c r="F262" s="68" t="str">
        <f aca="false">IF($W262="","",INDEX(发票统计!F$4:F$1003,$W262)&amp;"")</f>
        <v/>
      </c>
      <c r="G262" s="68" t="str">
        <f aca="false">IF($W262="","",IF(INDEX(发票统计!G$4:G$1003,$W262)="","",INDEX(发票统计!G$4:G$1003,$W262)))</f>
        <v/>
      </c>
      <c r="H262" s="56" t="str">
        <f aca="false">IF($W262="","",N(INDEX(发票统计!H$4:H$1003,$W262)))</f>
        <v/>
      </c>
      <c r="I262" s="56" t="str">
        <f aca="false">IF($W262="","",N(INDEX(发票统计!I$4:I$1003,$W262)))</f>
        <v/>
      </c>
      <c r="J262" s="56" t="str">
        <f aca="false">IF($W262="","",N(INDEX(发票统计!J$4:J$1003,$W262)))</f>
        <v/>
      </c>
      <c r="K262" s="56" t="str">
        <f aca="false">IF($W262="","",N(INDEX(发票统计!K$4:K$1003,$W262)))</f>
        <v/>
      </c>
      <c r="L262" s="56" t="str">
        <f aca="false">IF($W262="","",SUM(J$4:J262)-SUM(K$4:K262))</f>
        <v/>
      </c>
      <c r="M262" s="56" t="str">
        <f aca="false">IF($W262="","",N(INDEX(发票统计!M$4:M$1003,$W262)))</f>
        <v/>
      </c>
      <c r="N262" s="56" t="str">
        <f aca="false">IF($W262="","",N(INDEX(发票统计!N$4:N$1003,$W262)))</f>
        <v/>
      </c>
      <c r="O262" s="56" t="str">
        <f aca="false">IF($W262="","",N(INDEX(发票统计!O$4:O$1003,$W262)))</f>
        <v/>
      </c>
      <c r="P262" s="56" t="str">
        <f aca="false">IF($W262="","",SUM(M$4:M262)-SUM(N$4:N262)-SUM(O$4:O262))</f>
        <v/>
      </c>
      <c r="Q262" s="56" t="str">
        <f aca="false">IF($W262="","",N(INDEX(发票统计!Q$4:Q$1003,$W262)))</f>
        <v/>
      </c>
      <c r="R262" s="56" t="str">
        <f aca="false">IF($W262="","",N(INDEX(发票统计!R$4:R$1003,$W262)))</f>
        <v/>
      </c>
      <c r="S262" s="56" t="str">
        <f aca="false">IF($W262="","",N(INDEX(发票统计!S$4:S$1003,$W262)))</f>
        <v/>
      </c>
      <c r="T262" s="56" t="str">
        <f aca="false">IF($W262="","",SUM(Q$4:Q262)-SUM(R$4:R262)-SUM(S$4:S262))</f>
        <v/>
      </c>
      <c r="U262" s="56" t="str">
        <f aca="false">IF($W262="","",INDEX(发票统计!U$4:U$1003,$W262)&amp;"")</f>
        <v/>
      </c>
      <c r="W262" s="1" t="str">
        <f aca="false">IF($V$3="","",IFERROR(MATCH($V$3&amp;"#"&amp;ROWS(W$4:W262),发票统计!$W$4:$W$1003,0),""))</f>
        <v/>
      </c>
    </row>
    <row r="263" customFormat="false" ht="16.5" hidden="false" customHeight="false" outlineLevel="0" collapsed="false">
      <c r="A263" s="3" t="str">
        <f aca="false">IF($W263="","",INDEX(发票统计!A$4:A$1003,$W263)&amp;"")</f>
        <v/>
      </c>
      <c r="B263" s="3" t="str">
        <f aca="false">IF($W263="","",INDEX(发票统计!B$4:B$1003,$W263)&amp;"")</f>
        <v/>
      </c>
      <c r="C263" s="3" t="str">
        <f aca="false">IF($W263="","",INDEX(发票统计!C$4:C$1003,$W263)&amp;"")</f>
        <v/>
      </c>
      <c r="D263" s="3" t="str">
        <f aca="false">IF($W263="","",INDEX(发票统计!D$4:D$1003,$W263)&amp;"")</f>
        <v/>
      </c>
      <c r="E263" s="67" t="str">
        <f aca="false">IF($W263="","",INDEX(发票统计!E$4:E$1003,$W263)&amp;"")</f>
        <v/>
      </c>
      <c r="F263" s="68" t="str">
        <f aca="false">IF($W263="","",INDEX(发票统计!F$4:F$1003,$W263)&amp;"")</f>
        <v/>
      </c>
      <c r="G263" s="68" t="str">
        <f aca="false">IF($W263="","",IF(INDEX(发票统计!G$4:G$1003,$W263)="","",INDEX(发票统计!G$4:G$1003,$W263)))</f>
        <v/>
      </c>
      <c r="H263" s="56" t="str">
        <f aca="false">IF($W263="","",N(INDEX(发票统计!H$4:H$1003,$W263)))</f>
        <v/>
      </c>
      <c r="I263" s="56" t="str">
        <f aca="false">IF($W263="","",N(INDEX(发票统计!I$4:I$1003,$W263)))</f>
        <v/>
      </c>
      <c r="J263" s="56" t="str">
        <f aca="false">IF($W263="","",N(INDEX(发票统计!J$4:J$1003,$W263)))</f>
        <v/>
      </c>
      <c r="K263" s="56" t="str">
        <f aca="false">IF($W263="","",N(INDEX(发票统计!K$4:K$1003,$W263)))</f>
        <v/>
      </c>
      <c r="L263" s="56" t="str">
        <f aca="false">IF($W263="","",SUM(J$4:J263)-SUM(K$4:K263))</f>
        <v/>
      </c>
      <c r="M263" s="56" t="str">
        <f aca="false">IF($W263="","",N(INDEX(发票统计!M$4:M$1003,$W263)))</f>
        <v/>
      </c>
      <c r="N263" s="56" t="str">
        <f aca="false">IF($W263="","",N(INDEX(发票统计!N$4:N$1003,$W263)))</f>
        <v/>
      </c>
      <c r="O263" s="56" t="str">
        <f aca="false">IF($W263="","",N(INDEX(发票统计!O$4:O$1003,$W263)))</f>
        <v/>
      </c>
      <c r="P263" s="56" t="str">
        <f aca="false">IF($W263="","",SUM(M$4:M263)-SUM(N$4:N263)-SUM(O$4:O263))</f>
        <v/>
      </c>
      <c r="Q263" s="56" t="str">
        <f aca="false">IF($W263="","",N(INDEX(发票统计!Q$4:Q$1003,$W263)))</f>
        <v/>
      </c>
      <c r="R263" s="56" t="str">
        <f aca="false">IF($W263="","",N(INDEX(发票统计!R$4:R$1003,$W263)))</f>
        <v/>
      </c>
      <c r="S263" s="56" t="str">
        <f aca="false">IF($W263="","",N(INDEX(发票统计!S$4:S$1003,$W263)))</f>
        <v/>
      </c>
      <c r="T263" s="56" t="str">
        <f aca="false">IF($W263="","",SUM(Q$4:Q263)-SUM(R$4:R263)-SUM(S$4:S263))</f>
        <v/>
      </c>
      <c r="U263" s="56" t="str">
        <f aca="false">IF($W263="","",INDEX(发票统计!U$4:U$1003,$W263)&amp;"")</f>
        <v/>
      </c>
      <c r="W263" s="1" t="str">
        <f aca="false">IF($V$3="","",IFERROR(MATCH($V$3&amp;"#"&amp;ROWS(W$4:W263),发票统计!$W$4:$W$1003,0),""))</f>
        <v/>
      </c>
    </row>
    <row r="264" customFormat="false" ht="16.5" hidden="false" customHeight="false" outlineLevel="0" collapsed="false">
      <c r="A264" s="3" t="str">
        <f aca="false">IF($W264="","",INDEX(发票统计!A$4:A$1003,$W264)&amp;"")</f>
        <v/>
      </c>
      <c r="B264" s="3" t="str">
        <f aca="false">IF($W264="","",INDEX(发票统计!B$4:B$1003,$W264)&amp;"")</f>
        <v/>
      </c>
      <c r="C264" s="3" t="str">
        <f aca="false">IF($W264="","",INDEX(发票统计!C$4:C$1003,$W264)&amp;"")</f>
        <v/>
      </c>
      <c r="D264" s="3" t="str">
        <f aca="false">IF($W264="","",INDEX(发票统计!D$4:D$1003,$W264)&amp;"")</f>
        <v/>
      </c>
      <c r="E264" s="67" t="str">
        <f aca="false">IF($W264="","",INDEX(发票统计!E$4:E$1003,$W264)&amp;"")</f>
        <v/>
      </c>
      <c r="F264" s="68" t="str">
        <f aca="false">IF($W264="","",INDEX(发票统计!F$4:F$1003,$W264)&amp;"")</f>
        <v/>
      </c>
      <c r="G264" s="68" t="str">
        <f aca="false">IF($W264="","",IF(INDEX(发票统计!G$4:G$1003,$W264)="","",INDEX(发票统计!G$4:G$1003,$W264)))</f>
        <v/>
      </c>
      <c r="H264" s="56" t="str">
        <f aca="false">IF($W264="","",N(INDEX(发票统计!H$4:H$1003,$W264)))</f>
        <v/>
      </c>
      <c r="I264" s="56" t="str">
        <f aca="false">IF($W264="","",N(INDEX(发票统计!I$4:I$1003,$W264)))</f>
        <v/>
      </c>
      <c r="J264" s="56" t="str">
        <f aca="false">IF($W264="","",N(INDEX(发票统计!J$4:J$1003,$W264)))</f>
        <v/>
      </c>
      <c r="K264" s="56" t="str">
        <f aca="false">IF($W264="","",N(INDEX(发票统计!K$4:K$1003,$W264)))</f>
        <v/>
      </c>
      <c r="L264" s="56" t="str">
        <f aca="false">IF($W264="","",SUM(J$4:J264)-SUM(K$4:K264))</f>
        <v/>
      </c>
      <c r="M264" s="56" t="str">
        <f aca="false">IF($W264="","",N(INDEX(发票统计!M$4:M$1003,$W264)))</f>
        <v/>
      </c>
      <c r="N264" s="56" t="str">
        <f aca="false">IF($W264="","",N(INDEX(发票统计!N$4:N$1003,$W264)))</f>
        <v/>
      </c>
      <c r="O264" s="56" t="str">
        <f aca="false">IF($W264="","",N(INDEX(发票统计!O$4:O$1003,$W264)))</f>
        <v/>
      </c>
      <c r="P264" s="56" t="str">
        <f aca="false">IF($W264="","",SUM(M$4:M264)-SUM(N$4:N264)-SUM(O$4:O264))</f>
        <v/>
      </c>
      <c r="Q264" s="56" t="str">
        <f aca="false">IF($W264="","",N(INDEX(发票统计!Q$4:Q$1003,$W264)))</f>
        <v/>
      </c>
      <c r="R264" s="56" t="str">
        <f aca="false">IF($W264="","",N(INDEX(发票统计!R$4:R$1003,$W264)))</f>
        <v/>
      </c>
      <c r="S264" s="56" t="str">
        <f aca="false">IF($W264="","",N(INDEX(发票统计!S$4:S$1003,$W264)))</f>
        <v/>
      </c>
      <c r="T264" s="56" t="str">
        <f aca="false">IF($W264="","",SUM(Q$4:Q264)-SUM(R$4:R264)-SUM(S$4:S264))</f>
        <v/>
      </c>
      <c r="U264" s="56" t="str">
        <f aca="false">IF($W264="","",INDEX(发票统计!U$4:U$1003,$W264)&amp;"")</f>
        <v/>
      </c>
      <c r="W264" s="1" t="str">
        <f aca="false">IF($V$3="","",IFERROR(MATCH($V$3&amp;"#"&amp;ROWS(W$4:W264),发票统计!$W$4:$W$1003,0),""))</f>
        <v/>
      </c>
    </row>
    <row r="265" customFormat="false" ht="16.5" hidden="false" customHeight="false" outlineLevel="0" collapsed="false">
      <c r="A265" s="3" t="str">
        <f aca="false">IF($W265="","",INDEX(发票统计!A$4:A$1003,$W265)&amp;"")</f>
        <v/>
      </c>
      <c r="B265" s="3" t="str">
        <f aca="false">IF($W265="","",INDEX(发票统计!B$4:B$1003,$W265)&amp;"")</f>
        <v/>
      </c>
      <c r="C265" s="3" t="str">
        <f aca="false">IF($W265="","",INDEX(发票统计!C$4:C$1003,$W265)&amp;"")</f>
        <v/>
      </c>
      <c r="D265" s="3" t="str">
        <f aca="false">IF($W265="","",INDEX(发票统计!D$4:D$1003,$W265)&amp;"")</f>
        <v/>
      </c>
      <c r="E265" s="67" t="str">
        <f aca="false">IF($W265="","",INDEX(发票统计!E$4:E$1003,$W265)&amp;"")</f>
        <v/>
      </c>
      <c r="F265" s="68" t="str">
        <f aca="false">IF($W265="","",INDEX(发票统计!F$4:F$1003,$W265)&amp;"")</f>
        <v/>
      </c>
      <c r="G265" s="68" t="str">
        <f aca="false">IF($W265="","",IF(INDEX(发票统计!G$4:G$1003,$W265)="","",INDEX(发票统计!G$4:G$1003,$W265)))</f>
        <v/>
      </c>
      <c r="H265" s="56" t="str">
        <f aca="false">IF($W265="","",N(INDEX(发票统计!H$4:H$1003,$W265)))</f>
        <v/>
      </c>
      <c r="I265" s="56" t="str">
        <f aca="false">IF($W265="","",N(INDEX(发票统计!I$4:I$1003,$W265)))</f>
        <v/>
      </c>
      <c r="J265" s="56" t="str">
        <f aca="false">IF($W265="","",N(INDEX(发票统计!J$4:J$1003,$W265)))</f>
        <v/>
      </c>
      <c r="K265" s="56" t="str">
        <f aca="false">IF($W265="","",N(INDEX(发票统计!K$4:K$1003,$W265)))</f>
        <v/>
      </c>
      <c r="L265" s="56" t="str">
        <f aca="false">IF($W265="","",SUM(J$4:J265)-SUM(K$4:K265))</f>
        <v/>
      </c>
      <c r="M265" s="56" t="str">
        <f aca="false">IF($W265="","",N(INDEX(发票统计!M$4:M$1003,$W265)))</f>
        <v/>
      </c>
      <c r="N265" s="56" t="str">
        <f aca="false">IF($W265="","",N(INDEX(发票统计!N$4:N$1003,$W265)))</f>
        <v/>
      </c>
      <c r="O265" s="56" t="str">
        <f aca="false">IF($W265="","",N(INDEX(发票统计!O$4:O$1003,$W265)))</f>
        <v/>
      </c>
      <c r="P265" s="56" t="str">
        <f aca="false">IF($W265="","",SUM(M$4:M265)-SUM(N$4:N265)-SUM(O$4:O265))</f>
        <v/>
      </c>
      <c r="Q265" s="56" t="str">
        <f aca="false">IF($W265="","",N(INDEX(发票统计!Q$4:Q$1003,$W265)))</f>
        <v/>
      </c>
      <c r="R265" s="56" t="str">
        <f aca="false">IF($W265="","",N(INDEX(发票统计!R$4:R$1003,$W265)))</f>
        <v/>
      </c>
      <c r="S265" s="56" t="str">
        <f aca="false">IF($W265="","",N(INDEX(发票统计!S$4:S$1003,$W265)))</f>
        <v/>
      </c>
      <c r="T265" s="56" t="str">
        <f aca="false">IF($W265="","",SUM(Q$4:Q265)-SUM(R$4:R265)-SUM(S$4:S265))</f>
        <v/>
      </c>
      <c r="U265" s="56" t="str">
        <f aca="false">IF($W265="","",INDEX(发票统计!U$4:U$1003,$W265)&amp;"")</f>
        <v/>
      </c>
      <c r="W265" s="1" t="str">
        <f aca="false">IF($V$3="","",IFERROR(MATCH($V$3&amp;"#"&amp;ROWS(W$4:W265),发票统计!$W$4:$W$1003,0),""))</f>
        <v/>
      </c>
    </row>
    <row r="266" customFormat="false" ht="16.5" hidden="false" customHeight="false" outlineLevel="0" collapsed="false">
      <c r="A266" s="3" t="str">
        <f aca="false">IF($W266="","",INDEX(发票统计!A$4:A$1003,$W266)&amp;"")</f>
        <v/>
      </c>
      <c r="B266" s="3" t="str">
        <f aca="false">IF($W266="","",INDEX(发票统计!B$4:B$1003,$W266)&amp;"")</f>
        <v/>
      </c>
      <c r="C266" s="3" t="str">
        <f aca="false">IF($W266="","",INDEX(发票统计!C$4:C$1003,$W266)&amp;"")</f>
        <v/>
      </c>
      <c r="D266" s="3" t="str">
        <f aca="false">IF($W266="","",INDEX(发票统计!D$4:D$1003,$W266)&amp;"")</f>
        <v/>
      </c>
      <c r="E266" s="67" t="str">
        <f aca="false">IF($W266="","",INDEX(发票统计!E$4:E$1003,$W266)&amp;"")</f>
        <v/>
      </c>
      <c r="F266" s="68" t="str">
        <f aca="false">IF($W266="","",INDEX(发票统计!F$4:F$1003,$W266)&amp;"")</f>
        <v/>
      </c>
      <c r="G266" s="68" t="str">
        <f aca="false">IF($W266="","",IF(INDEX(发票统计!G$4:G$1003,$W266)="","",INDEX(发票统计!G$4:G$1003,$W266)))</f>
        <v/>
      </c>
      <c r="H266" s="56" t="str">
        <f aca="false">IF($W266="","",N(INDEX(发票统计!H$4:H$1003,$W266)))</f>
        <v/>
      </c>
      <c r="I266" s="56" t="str">
        <f aca="false">IF($W266="","",N(INDEX(发票统计!I$4:I$1003,$W266)))</f>
        <v/>
      </c>
      <c r="J266" s="56" t="str">
        <f aca="false">IF($W266="","",N(INDEX(发票统计!J$4:J$1003,$W266)))</f>
        <v/>
      </c>
      <c r="K266" s="56" t="str">
        <f aca="false">IF($W266="","",N(INDEX(发票统计!K$4:K$1003,$W266)))</f>
        <v/>
      </c>
      <c r="L266" s="56" t="str">
        <f aca="false">IF($W266="","",SUM(J$4:J266)-SUM(K$4:K266))</f>
        <v/>
      </c>
      <c r="M266" s="56" t="str">
        <f aca="false">IF($W266="","",N(INDEX(发票统计!M$4:M$1003,$W266)))</f>
        <v/>
      </c>
      <c r="N266" s="56" t="str">
        <f aca="false">IF($W266="","",N(INDEX(发票统计!N$4:N$1003,$W266)))</f>
        <v/>
      </c>
      <c r="O266" s="56" t="str">
        <f aca="false">IF($W266="","",N(INDEX(发票统计!O$4:O$1003,$W266)))</f>
        <v/>
      </c>
      <c r="P266" s="56" t="str">
        <f aca="false">IF($W266="","",SUM(M$4:M266)-SUM(N$4:N266)-SUM(O$4:O266))</f>
        <v/>
      </c>
      <c r="Q266" s="56" t="str">
        <f aca="false">IF($W266="","",N(INDEX(发票统计!Q$4:Q$1003,$W266)))</f>
        <v/>
      </c>
      <c r="R266" s="56" t="str">
        <f aca="false">IF($W266="","",N(INDEX(发票统计!R$4:R$1003,$W266)))</f>
        <v/>
      </c>
      <c r="S266" s="56" t="str">
        <f aca="false">IF($W266="","",N(INDEX(发票统计!S$4:S$1003,$W266)))</f>
        <v/>
      </c>
      <c r="T266" s="56" t="str">
        <f aca="false">IF($W266="","",SUM(Q$4:Q266)-SUM(R$4:R266)-SUM(S$4:S266))</f>
        <v/>
      </c>
      <c r="U266" s="56" t="str">
        <f aca="false">IF($W266="","",INDEX(发票统计!U$4:U$1003,$W266)&amp;"")</f>
        <v/>
      </c>
      <c r="W266" s="1" t="str">
        <f aca="false">IF($V$3="","",IFERROR(MATCH($V$3&amp;"#"&amp;ROWS(W$4:W266),发票统计!$W$4:$W$1003,0),""))</f>
        <v/>
      </c>
    </row>
    <row r="267" customFormat="false" ht="16.5" hidden="false" customHeight="false" outlineLevel="0" collapsed="false">
      <c r="A267" s="3" t="str">
        <f aca="false">IF($W267="","",INDEX(发票统计!A$4:A$1003,$W267)&amp;"")</f>
        <v/>
      </c>
      <c r="B267" s="3" t="str">
        <f aca="false">IF($W267="","",INDEX(发票统计!B$4:B$1003,$W267)&amp;"")</f>
        <v/>
      </c>
      <c r="C267" s="3" t="str">
        <f aca="false">IF($W267="","",INDEX(发票统计!C$4:C$1003,$W267)&amp;"")</f>
        <v/>
      </c>
      <c r="D267" s="3" t="str">
        <f aca="false">IF($W267="","",INDEX(发票统计!D$4:D$1003,$W267)&amp;"")</f>
        <v/>
      </c>
      <c r="E267" s="67" t="str">
        <f aca="false">IF($W267="","",INDEX(发票统计!E$4:E$1003,$W267)&amp;"")</f>
        <v/>
      </c>
      <c r="F267" s="68" t="str">
        <f aca="false">IF($W267="","",INDEX(发票统计!F$4:F$1003,$W267)&amp;"")</f>
        <v/>
      </c>
      <c r="G267" s="68" t="str">
        <f aca="false">IF($W267="","",IF(INDEX(发票统计!G$4:G$1003,$W267)="","",INDEX(发票统计!G$4:G$1003,$W267)))</f>
        <v/>
      </c>
      <c r="H267" s="56" t="str">
        <f aca="false">IF($W267="","",N(INDEX(发票统计!H$4:H$1003,$W267)))</f>
        <v/>
      </c>
      <c r="I267" s="56" t="str">
        <f aca="false">IF($W267="","",N(INDEX(发票统计!I$4:I$1003,$W267)))</f>
        <v/>
      </c>
      <c r="J267" s="56" t="str">
        <f aca="false">IF($W267="","",N(INDEX(发票统计!J$4:J$1003,$W267)))</f>
        <v/>
      </c>
      <c r="K267" s="56" t="str">
        <f aca="false">IF($W267="","",N(INDEX(发票统计!K$4:K$1003,$W267)))</f>
        <v/>
      </c>
      <c r="L267" s="56" t="str">
        <f aca="false">IF($W267="","",SUM(J$4:J267)-SUM(K$4:K267))</f>
        <v/>
      </c>
      <c r="M267" s="56" t="str">
        <f aca="false">IF($W267="","",N(INDEX(发票统计!M$4:M$1003,$W267)))</f>
        <v/>
      </c>
      <c r="N267" s="56" t="str">
        <f aca="false">IF($W267="","",N(INDEX(发票统计!N$4:N$1003,$W267)))</f>
        <v/>
      </c>
      <c r="O267" s="56" t="str">
        <f aca="false">IF($W267="","",N(INDEX(发票统计!O$4:O$1003,$W267)))</f>
        <v/>
      </c>
      <c r="P267" s="56" t="str">
        <f aca="false">IF($W267="","",SUM(M$4:M267)-SUM(N$4:N267)-SUM(O$4:O267))</f>
        <v/>
      </c>
      <c r="Q267" s="56" t="str">
        <f aca="false">IF($W267="","",N(INDEX(发票统计!Q$4:Q$1003,$W267)))</f>
        <v/>
      </c>
      <c r="R267" s="56" t="str">
        <f aca="false">IF($W267="","",N(INDEX(发票统计!R$4:R$1003,$W267)))</f>
        <v/>
      </c>
      <c r="S267" s="56" t="str">
        <f aca="false">IF($W267="","",N(INDEX(发票统计!S$4:S$1003,$W267)))</f>
        <v/>
      </c>
      <c r="T267" s="56" t="str">
        <f aca="false">IF($W267="","",SUM(Q$4:Q267)-SUM(R$4:R267)-SUM(S$4:S267))</f>
        <v/>
      </c>
      <c r="U267" s="56" t="str">
        <f aca="false">IF($W267="","",INDEX(发票统计!U$4:U$1003,$W267)&amp;"")</f>
        <v/>
      </c>
      <c r="W267" s="1" t="str">
        <f aca="false">IF($V$3="","",IFERROR(MATCH($V$3&amp;"#"&amp;ROWS(W$4:W267),发票统计!$W$4:$W$1003,0),""))</f>
        <v/>
      </c>
    </row>
    <row r="268" customFormat="false" ht="16.5" hidden="false" customHeight="false" outlineLevel="0" collapsed="false">
      <c r="A268" s="3" t="str">
        <f aca="false">IF($W268="","",INDEX(发票统计!A$4:A$1003,$W268)&amp;"")</f>
        <v/>
      </c>
      <c r="B268" s="3" t="str">
        <f aca="false">IF($W268="","",INDEX(发票统计!B$4:B$1003,$W268)&amp;"")</f>
        <v/>
      </c>
      <c r="C268" s="3" t="str">
        <f aca="false">IF($W268="","",INDEX(发票统计!C$4:C$1003,$W268)&amp;"")</f>
        <v/>
      </c>
      <c r="D268" s="3" t="str">
        <f aca="false">IF($W268="","",INDEX(发票统计!D$4:D$1003,$W268)&amp;"")</f>
        <v/>
      </c>
      <c r="E268" s="67" t="str">
        <f aca="false">IF($W268="","",INDEX(发票统计!E$4:E$1003,$W268)&amp;"")</f>
        <v/>
      </c>
      <c r="F268" s="68" t="str">
        <f aca="false">IF($W268="","",INDEX(发票统计!F$4:F$1003,$W268)&amp;"")</f>
        <v/>
      </c>
      <c r="G268" s="68" t="str">
        <f aca="false">IF($W268="","",IF(INDEX(发票统计!G$4:G$1003,$W268)="","",INDEX(发票统计!G$4:G$1003,$W268)))</f>
        <v/>
      </c>
      <c r="H268" s="56" t="str">
        <f aca="false">IF($W268="","",N(INDEX(发票统计!H$4:H$1003,$W268)))</f>
        <v/>
      </c>
      <c r="I268" s="56" t="str">
        <f aca="false">IF($W268="","",N(INDEX(发票统计!I$4:I$1003,$W268)))</f>
        <v/>
      </c>
      <c r="J268" s="56" t="str">
        <f aca="false">IF($W268="","",N(INDEX(发票统计!J$4:J$1003,$W268)))</f>
        <v/>
      </c>
      <c r="K268" s="56" t="str">
        <f aca="false">IF($W268="","",N(INDEX(发票统计!K$4:K$1003,$W268)))</f>
        <v/>
      </c>
      <c r="L268" s="56" t="str">
        <f aca="false">IF($W268="","",SUM(J$4:J268)-SUM(K$4:K268))</f>
        <v/>
      </c>
      <c r="M268" s="56" t="str">
        <f aca="false">IF($W268="","",N(INDEX(发票统计!M$4:M$1003,$W268)))</f>
        <v/>
      </c>
      <c r="N268" s="56" t="str">
        <f aca="false">IF($W268="","",N(INDEX(发票统计!N$4:N$1003,$W268)))</f>
        <v/>
      </c>
      <c r="O268" s="56" t="str">
        <f aca="false">IF($W268="","",N(INDEX(发票统计!O$4:O$1003,$W268)))</f>
        <v/>
      </c>
      <c r="P268" s="56" t="str">
        <f aca="false">IF($W268="","",SUM(M$4:M268)-SUM(N$4:N268)-SUM(O$4:O268))</f>
        <v/>
      </c>
      <c r="Q268" s="56" t="str">
        <f aca="false">IF($W268="","",N(INDEX(发票统计!Q$4:Q$1003,$W268)))</f>
        <v/>
      </c>
      <c r="R268" s="56" t="str">
        <f aca="false">IF($W268="","",N(INDEX(发票统计!R$4:R$1003,$W268)))</f>
        <v/>
      </c>
      <c r="S268" s="56" t="str">
        <f aca="false">IF($W268="","",N(INDEX(发票统计!S$4:S$1003,$W268)))</f>
        <v/>
      </c>
      <c r="T268" s="56" t="str">
        <f aca="false">IF($W268="","",SUM(Q$4:Q268)-SUM(R$4:R268)-SUM(S$4:S268))</f>
        <v/>
      </c>
      <c r="U268" s="56" t="str">
        <f aca="false">IF($W268="","",INDEX(发票统计!U$4:U$1003,$W268)&amp;"")</f>
        <v/>
      </c>
      <c r="W268" s="1" t="str">
        <f aca="false">IF($V$3="","",IFERROR(MATCH($V$3&amp;"#"&amp;ROWS(W$4:W268),发票统计!$W$4:$W$1003,0),""))</f>
        <v/>
      </c>
    </row>
    <row r="269" customFormat="false" ht="16.5" hidden="false" customHeight="false" outlineLevel="0" collapsed="false">
      <c r="A269" s="3" t="str">
        <f aca="false">IF($W269="","",INDEX(发票统计!A$4:A$1003,$W269)&amp;"")</f>
        <v/>
      </c>
      <c r="B269" s="3" t="str">
        <f aca="false">IF($W269="","",INDEX(发票统计!B$4:B$1003,$W269)&amp;"")</f>
        <v/>
      </c>
      <c r="C269" s="3" t="str">
        <f aca="false">IF($W269="","",INDEX(发票统计!C$4:C$1003,$W269)&amp;"")</f>
        <v/>
      </c>
      <c r="D269" s="3" t="str">
        <f aca="false">IF($W269="","",INDEX(发票统计!D$4:D$1003,$W269)&amp;"")</f>
        <v/>
      </c>
      <c r="E269" s="67" t="str">
        <f aca="false">IF($W269="","",INDEX(发票统计!E$4:E$1003,$W269)&amp;"")</f>
        <v/>
      </c>
      <c r="F269" s="68" t="str">
        <f aca="false">IF($W269="","",INDEX(发票统计!F$4:F$1003,$W269)&amp;"")</f>
        <v/>
      </c>
      <c r="G269" s="68" t="str">
        <f aca="false">IF($W269="","",IF(INDEX(发票统计!G$4:G$1003,$W269)="","",INDEX(发票统计!G$4:G$1003,$W269)))</f>
        <v/>
      </c>
      <c r="H269" s="56" t="str">
        <f aca="false">IF($W269="","",N(INDEX(发票统计!H$4:H$1003,$W269)))</f>
        <v/>
      </c>
      <c r="I269" s="56" t="str">
        <f aca="false">IF($W269="","",N(INDEX(发票统计!I$4:I$1003,$W269)))</f>
        <v/>
      </c>
      <c r="J269" s="56" t="str">
        <f aca="false">IF($W269="","",N(INDEX(发票统计!J$4:J$1003,$W269)))</f>
        <v/>
      </c>
      <c r="K269" s="56" t="str">
        <f aca="false">IF($W269="","",N(INDEX(发票统计!K$4:K$1003,$W269)))</f>
        <v/>
      </c>
      <c r="L269" s="56" t="str">
        <f aca="false">IF($W269="","",SUM(J$4:J269)-SUM(K$4:K269))</f>
        <v/>
      </c>
      <c r="M269" s="56" t="str">
        <f aca="false">IF($W269="","",N(INDEX(发票统计!M$4:M$1003,$W269)))</f>
        <v/>
      </c>
      <c r="N269" s="56" t="str">
        <f aca="false">IF($W269="","",N(INDEX(发票统计!N$4:N$1003,$W269)))</f>
        <v/>
      </c>
      <c r="O269" s="56" t="str">
        <f aca="false">IF($W269="","",N(INDEX(发票统计!O$4:O$1003,$W269)))</f>
        <v/>
      </c>
      <c r="P269" s="56" t="str">
        <f aca="false">IF($W269="","",SUM(M$4:M269)-SUM(N$4:N269)-SUM(O$4:O269))</f>
        <v/>
      </c>
      <c r="Q269" s="56" t="str">
        <f aca="false">IF($W269="","",N(INDEX(发票统计!Q$4:Q$1003,$W269)))</f>
        <v/>
      </c>
      <c r="R269" s="56" t="str">
        <f aca="false">IF($W269="","",N(INDEX(发票统计!R$4:R$1003,$W269)))</f>
        <v/>
      </c>
      <c r="S269" s="56" t="str">
        <f aca="false">IF($W269="","",N(INDEX(发票统计!S$4:S$1003,$W269)))</f>
        <v/>
      </c>
      <c r="T269" s="56" t="str">
        <f aca="false">IF($W269="","",SUM(Q$4:Q269)-SUM(R$4:R269)-SUM(S$4:S269))</f>
        <v/>
      </c>
      <c r="U269" s="56" t="str">
        <f aca="false">IF($W269="","",INDEX(发票统计!U$4:U$1003,$W269)&amp;"")</f>
        <v/>
      </c>
      <c r="W269" s="1" t="str">
        <f aca="false">IF($V$3="","",IFERROR(MATCH($V$3&amp;"#"&amp;ROWS(W$4:W269),发票统计!$W$4:$W$1003,0),""))</f>
        <v/>
      </c>
    </row>
    <row r="270" customFormat="false" ht="16.5" hidden="false" customHeight="false" outlineLevel="0" collapsed="false">
      <c r="A270" s="3" t="str">
        <f aca="false">IF($W270="","",INDEX(发票统计!A$4:A$1003,$W270)&amp;"")</f>
        <v/>
      </c>
      <c r="B270" s="3" t="str">
        <f aca="false">IF($W270="","",INDEX(发票统计!B$4:B$1003,$W270)&amp;"")</f>
        <v/>
      </c>
      <c r="C270" s="3" t="str">
        <f aca="false">IF($W270="","",INDEX(发票统计!C$4:C$1003,$W270)&amp;"")</f>
        <v/>
      </c>
      <c r="D270" s="3" t="str">
        <f aca="false">IF($W270="","",INDEX(发票统计!D$4:D$1003,$W270)&amp;"")</f>
        <v/>
      </c>
      <c r="E270" s="67" t="str">
        <f aca="false">IF($W270="","",INDEX(发票统计!E$4:E$1003,$W270)&amp;"")</f>
        <v/>
      </c>
      <c r="F270" s="68" t="str">
        <f aca="false">IF($W270="","",INDEX(发票统计!F$4:F$1003,$W270)&amp;"")</f>
        <v/>
      </c>
      <c r="G270" s="68" t="str">
        <f aca="false">IF($W270="","",IF(INDEX(发票统计!G$4:G$1003,$W270)="","",INDEX(发票统计!G$4:G$1003,$W270)))</f>
        <v/>
      </c>
      <c r="H270" s="56" t="str">
        <f aca="false">IF($W270="","",N(INDEX(发票统计!H$4:H$1003,$W270)))</f>
        <v/>
      </c>
      <c r="I270" s="56" t="str">
        <f aca="false">IF($W270="","",N(INDEX(发票统计!I$4:I$1003,$W270)))</f>
        <v/>
      </c>
      <c r="J270" s="56" t="str">
        <f aca="false">IF($W270="","",N(INDEX(发票统计!J$4:J$1003,$W270)))</f>
        <v/>
      </c>
      <c r="K270" s="56" t="str">
        <f aca="false">IF($W270="","",N(INDEX(发票统计!K$4:K$1003,$W270)))</f>
        <v/>
      </c>
      <c r="L270" s="56" t="str">
        <f aca="false">IF($W270="","",SUM(J$4:J270)-SUM(K$4:K270))</f>
        <v/>
      </c>
      <c r="M270" s="56" t="str">
        <f aca="false">IF($W270="","",N(INDEX(发票统计!M$4:M$1003,$W270)))</f>
        <v/>
      </c>
      <c r="N270" s="56" t="str">
        <f aca="false">IF($W270="","",N(INDEX(发票统计!N$4:N$1003,$W270)))</f>
        <v/>
      </c>
      <c r="O270" s="56" t="str">
        <f aca="false">IF($W270="","",N(INDEX(发票统计!O$4:O$1003,$W270)))</f>
        <v/>
      </c>
      <c r="P270" s="56" t="str">
        <f aca="false">IF($W270="","",SUM(M$4:M270)-SUM(N$4:N270)-SUM(O$4:O270))</f>
        <v/>
      </c>
      <c r="Q270" s="56" t="str">
        <f aca="false">IF($W270="","",N(INDEX(发票统计!Q$4:Q$1003,$W270)))</f>
        <v/>
      </c>
      <c r="R270" s="56" t="str">
        <f aca="false">IF($W270="","",N(INDEX(发票统计!R$4:R$1003,$W270)))</f>
        <v/>
      </c>
      <c r="S270" s="56" t="str">
        <f aca="false">IF($W270="","",N(INDEX(发票统计!S$4:S$1003,$W270)))</f>
        <v/>
      </c>
      <c r="T270" s="56" t="str">
        <f aca="false">IF($W270="","",SUM(Q$4:Q270)-SUM(R$4:R270)-SUM(S$4:S270))</f>
        <v/>
      </c>
      <c r="U270" s="56" t="str">
        <f aca="false">IF($W270="","",INDEX(发票统计!U$4:U$1003,$W270)&amp;"")</f>
        <v/>
      </c>
      <c r="W270" s="1" t="str">
        <f aca="false">IF($V$3="","",IFERROR(MATCH($V$3&amp;"#"&amp;ROWS(W$4:W270),发票统计!$W$4:$W$1003,0),""))</f>
        <v/>
      </c>
    </row>
    <row r="271" customFormat="false" ht="16.5" hidden="false" customHeight="false" outlineLevel="0" collapsed="false">
      <c r="A271" s="3" t="str">
        <f aca="false">IF($W271="","",INDEX(发票统计!A$4:A$1003,$W271)&amp;"")</f>
        <v/>
      </c>
      <c r="B271" s="3" t="str">
        <f aca="false">IF($W271="","",INDEX(发票统计!B$4:B$1003,$W271)&amp;"")</f>
        <v/>
      </c>
      <c r="C271" s="3" t="str">
        <f aca="false">IF($W271="","",INDEX(发票统计!C$4:C$1003,$W271)&amp;"")</f>
        <v/>
      </c>
      <c r="D271" s="3" t="str">
        <f aca="false">IF($W271="","",INDEX(发票统计!D$4:D$1003,$W271)&amp;"")</f>
        <v/>
      </c>
      <c r="E271" s="67" t="str">
        <f aca="false">IF($W271="","",INDEX(发票统计!E$4:E$1003,$W271)&amp;"")</f>
        <v/>
      </c>
      <c r="F271" s="68" t="str">
        <f aca="false">IF($W271="","",INDEX(发票统计!F$4:F$1003,$W271)&amp;"")</f>
        <v/>
      </c>
      <c r="G271" s="68" t="str">
        <f aca="false">IF($W271="","",IF(INDEX(发票统计!G$4:G$1003,$W271)="","",INDEX(发票统计!G$4:G$1003,$W271)))</f>
        <v/>
      </c>
      <c r="H271" s="56" t="str">
        <f aca="false">IF($W271="","",N(INDEX(发票统计!H$4:H$1003,$W271)))</f>
        <v/>
      </c>
      <c r="I271" s="56" t="str">
        <f aca="false">IF($W271="","",N(INDEX(发票统计!I$4:I$1003,$W271)))</f>
        <v/>
      </c>
      <c r="J271" s="56" t="str">
        <f aca="false">IF($W271="","",N(INDEX(发票统计!J$4:J$1003,$W271)))</f>
        <v/>
      </c>
      <c r="K271" s="56" t="str">
        <f aca="false">IF($W271="","",N(INDEX(发票统计!K$4:K$1003,$W271)))</f>
        <v/>
      </c>
      <c r="L271" s="56" t="str">
        <f aca="false">IF($W271="","",SUM(J$4:J271)-SUM(K$4:K271))</f>
        <v/>
      </c>
      <c r="M271" s="56" t="str">
        <f aca="false">IF($W271="","",N(INDEX(发票统计!M$4:M$1003,$W271)))</f>
        <v/>
      </c>
      <c r="N271" s="56" t="str">
        <f aca="false">IF($W271="","",N(INDEX(发票统计!N$4:N$1003,$W271)))</f>
        <v/>
      </c>
      <c r="O271" s="56" t="str">
        <f aca="false">IF($W271="","",N(INDEX(发票统计!O$4:O$1003,$W271)))</f>
        <v/>
      </c>
      <c r="P271" s="56" t="str">
        <f aca="false">IF($W271="","",SUM(M$4:M271)-SUM(N$4:N271)-SUM(O$4:O271))</f>
        <v/>
      </c>
      <c r="Q271" s="56" t="str">
        <f aca="false">IF($W271="","",N(INDEX(发票统计!Q$4:Q$1003,$W271)))</f>
        <v/>
      </c>
      <c r="R271" s="56" t="str">
        <f aca="false">IF($W271="","",N(INDEX(发票统计!R$4:R$1003,$W271)))</f>
        <v/>
      </c>
      <c r="S271" s="56" t="str">
        <f aca="false">IF($W271="","",N(INDEX(发票统计!S$4:S$1003,$W271)))</f>
        <v/>
      </c>
      <c r="T271" s="56" t="str">
        <f aca="false">IF($W271="","",SUM(Q$4:Q271)-SUM(R$4:R271)-SUM(S$4:S271))</f>
        <v/>
      </c>
      <c r="U271" s="56" t="str">
        <f aca="false">IF($W271="","",INDEX(发票统计!U$4:U$1003,$W271)&amp;"")</f>
        <v/>
      </c>
      <c r="W271" s="1" t="str">
        <f aca="false">IF($V$3="","",IFERROR(MATCH($V$3&amp;"#"&amp;ROWS(W$4:W271),发票统计!$W$4:$W$1003,0),""))</f>
        <v/>
      </c>
    </row>
    <row r="272" customFormat="false" ht="16.5" hidden="false" customHeight="false" outlineLevel="0" collapsed="false">
      <c r="A272" s="3" t="str">
        <f aca="false">IF($W272="","",INDEX(发票统计!A$4:A$1003,$W272)&amp;"")</f>
        <v/>
      </c>
      <c r="B272" s="3" t="str">
        <f aca="false">IF($W272="","",INDEX(发票统计!B$4:B$1003,$W272)&amp;"")</f>
        <v/>
      </c>
      <c r="C272" s="3" t="str">
        <f aca="false">IF($W272="","",INDEX(发票统计!C$4:C$1003,$W272)&amp;"")</f>
        <v/>
      </c>
      <c r="D272" s="3" t="str">
        <f aca="false">IF($W272="","",INDEX(发票统计!D$4:D$1003,$W272)&amp;"")</f>
        <v/>
      </c>
      <c r="E272" s="67" t="str">
        <f aca="false">IF($W272="","",INDEX(发票统计!E$4:E$1003,$W272)&amp;"")</f>
        <v/>
      </c>
      <c r="F272" s="68" t="str">
        <f aca="false">IF($W272="","",INDEX(发票统计!F$4:F$1003,$W272)&amp;"")</f>
        <v/>
      </c>
      <c r="G272" s="68" t="str">
        <f aca="false">IF($W272="","",IF(INDEX(发票统计!G$4:G$1003,$W272)="","",INDEX(发票统计!G$4:G$1003,$W272)))</f>
        <v/>
      </c>
      <c r="H272" s="56" t="str">
        <f aca="false">IF($W272="","",N(INDEX(发票统计!H$4:H$1003,$W272)))</f>
        <v/>
      </c>
      <c r="I272" s="56" t="str">
        <f aca="false">IF($W272="","",N(INDEX(发票统计!I$4:I$1003,$W272)))</f>
        <v/>
      </c>
      <c r="J272" s="56" t="str">
        <f aca="false">IF($W272="","",N(INDEX(发票统计!J$4:J$1003,$W272)))</f>
        <v/>
      </c>
      <c r="K272" s="56" t="str">
        <f aca="false">IF($W272="","",N(INDEX(发票统计!K$4:K$1003,$W272)))</f>
        <v/>
      </c>
      <c r="L272" s="56" t="str">
        <f aca="false">IF($W272="","",SUM(J$4:J272)-SUM(K$4:K272))</f>
        <v/>
      </c>
      <c r="M272" s="56" t="str">
        <f aca="false">IF($W272="","",N(INDEX(发票统计!M$4:M$1003,$W272)))</f>
        <v/>
      </c>
      <c r="N272" s="56" t="str">
        <f aca="false">IF($W272="","",N(INDEX(发票统计!N$4:N$1003,$W272)))</f>
        <v/>
      </c>
      <c r="O272" s="56" t="str">
        <f aca="false">IF($W272="","",N(INDEX(发票统计!O$4:O$1003,$W272)))</f>
        <v/>
      </c>
      <c r="P272" s="56" t="str">
        <f aca="false">IF($W272="","",SUM(M$4:M272)-SUM(N$4:N272)-SUM(O$4:O272))</f>
        <v/>
      </c>
      <c r="Q272" s="56" t="str">
        <f aca="false">IF($W272="","",N(INDEX(发票统计!Q$4:Q$1003,$W272)))</f>
        <v/>
      </c>
      <c r="R272" s="56" t="str">
        <f aca="false">IF($W272="","",N(INDEX(发票统计!R$4:R$1003,$W272)))</f>
        <v/>
      </c>
      <c r="S272" s="56" t="str">
        <f aca="false">IF($W272="","",N(INDEX(发票统计!S$4:S$1003,$W272)))</f>
        <v/>
      </c>
      <c r="T272" s="56" t="str">
        <f aca="false">IF($W272="","",SUM(Q$4:Q272)-SUM(R$4:R272)-SUM(S$4:S272))</f>
        <v/>
      </c>
      <c r="U272" s="56" t="str">
        <f aca="false">IF($W272="","",INDEX(发票统计!U$4:U$1003,$W272)&amp;"")</f>
        <v/>
      </c>
      <c r="W272" s="1" t="str">
        <f aca="false">IF($V$3="","",IFERROR(MATCH($V$3&amp;"#"&amp;ROWS(W$4:W272),发票统计!$W$4:$W$1003,0),""))</f>
        <v/>
      </c>
    </row>
    <row r="273" customFormat="false" ht="16.5" hidden="false" customHeight="false" outlineLevel="0" collapsed="false">
      <c r="A273" s="3" t="str">
        <f aca="false">IF($W273="","",INDEX(发票统计!A$4:A$1003,$W273)&amp;"")</f>
        <v/>
      </c>
      <c r="B273" s="3" t="str">
        <f aca="false">IF($W273="","",INDEX(发票统计!B$4:B$1003,$W273)&amp;"")</f>
        <v/>
      </c>
      <c r="C273" s="3" t="str">
        <f aca="false">IF($W273="","",INDEX(发票统计!C$4:C$1003,$W273)&amp;"")</f>
        <v/>
      </c>
      <c r="D273" s="3" t="str">
        <f aca="false">IF($W273="","",INDEX(发票统计!D$4:D$1003,$W273)&amp;"")</f>
        <v/>
      </c>
      <c r="E273" s="67" t="str">
        <f aca="false">IF($W273="","",INDEX(发票统计!E$4:E$1003,$W273)&amp;"")</f>
        <v/>
      </c>
      <c r="F273" s="68" t="str">
        <f aca="false">IF($W273="","",INDEX(发票统计!F$4:F$1003,$W273)&amp;"")</f>
        <v/>
      </c>
      <c r="G273" s="68" t="str">
        <f aca="false">IF($W273="","",IF(INDEX(发票统计!G$4:G$1003,$W273)="","",INDEX(发票统计!G$4:G$1003,$W273)))</f>
        <v/>
      </c>
      <c r="H273" s="56" t="str">
        <f aca="false">IF($W273="","",N(INDEX(发票统计!H$4:H$1003,$W273)))</f>
        <v/>
      </c>
      <c r="I273" s="56" t="str">
        <f aca="false">IF($W273="","",N(INDEX(发票统计!I$4:I$1003,$W273)))</f>
        <v/>
      </c>
      <c r="J273" s="56" t="str">
        <f aca="false">IF($W273="","",N(INDEX(发票统计!J$4:J$1003,$W273)))</f>
        <v/>
      </c>
      <c r="K273" s="56" t="str">
        <f aca="false">IF($W273="","",N(INDEX(发票统计!K$4:K$1003,$W273)))</f>
        <v/>
      </c>
      <c r="L273" s="56" t="str">
        <f aca="false">IF($W273="","",SUM(J$4:J273)-SUM(K$4:K273))</f>
        <v/>
      </c>
      <c r="M273" s="56" t="str">
        <f aca="false">IF($W273="","",N(INDEX(发票统计!M$4:M$1003,$W273)))</f>
        <v/>
      </c>
      <c r="N273" s="56" t="str">
        <f aca="false">IF($W273="","",N(INDEX(发票统计!N$4:N$1003,$W273)))</f>
        <v/>
      </c>
      <c r="O273" s="56" t="str">
        <f aca="false">IF($W273="","",N(INDEX(发票统计!O$4:O$1003,$W273)))</f>
        <v/>
      </c>
      <c r="P273" s="56" t="str">
        <f aca="false">IF($W273="","",SUM(M$4:M273)-SUM(N$4:N273)-SUM(O$4:O273))</f>
        <v/>
      </c>
      <c r="Q273" s="56" t="str">
        <f aca="false">IF($W273="","",N(INDEX(发票统计!Q$4:Q$1003,$W273)))</f>
        <v/>
      </c>
      <c r="R273" s="56" t="str">
        <f aca="false">IF($W273="","",N(INDEX(发票统计!R$4:R$1003,$W273)))</f>
        <v/>
      </c>
      <c r="S273" s="56" t="str">
        <f aca="false">IF($W273="","",N(INDEX(发票统计!S$4:S$1003,$W273)))</f>
        <v/>
      </c>
      <c r="T273" s="56" t="str">
        <f aca="false">IF($W273="","",SUM(Q$4:Q273)-SUM(R$4:R273)-SUM(S$4:S273))</f>
        <v/>
      </c>
      <c r="U273" s="56" t="str">
        <f aca="false">IF($W273="","",INDEX(发票统计!U$4:U$1003,$W273)&amp;"")</f>
        <v/>
      </c>
      <c r="W273" s="1" t="str">
        <f aca="false">IF($V$3="","",IFERROR(MATCH($V$3&amp;"#"&amp;ROWS(W$4:W273),发票统计!$W$4:$W$1003,0),""))</f>
        <v/>
      </c>
    </row>
    <row r="274" customFormat="false" ht="16.5" hidden="false" customHeight="false" outlineLevel="0" collapsed="false">
      <c r="A274" s="3" t="str">
        <f aca="false">IF($W274="","",INDEX(发票统计!A$4:A$1003,$W274)&amp;"")</f>
        <v/>
      </c>
      <c r="B274" s="3" t="str">
        <f aca="false">IF($W274="","",INDEX(发票统计!B$4:B$1003,$W274)&amp;"")</f>
        <v/>
      </c>
      <c r="C274" s="3" t="str">
        <f aca="false">IF($W274="","",INDEX(发票统计!C$4:C$1003,$W274)&amp;"")</f>
        <v/>
      </c>
      <c r="D274" s="3" t="str">
        <f aca="false">IF($W274="","",INDEX(发票统计!D$4:D$1003,$W274)&amp;"")</f>
        <v/>
      </c>
      <c r="E274" s="67" t="str">
        <f aca="false">IF($W274="","",INDEX(发票统计!E$4:E$1003,$W274)&amp;"")</f>
        <v/>
      </c>
      <c r="F274" s="68" t="str">
        <f aca="false">IF($W274="","",INDEX(发票统计!F$4:F$1003,$W274)&amp;"")</f>
        <v/>
      </c>
      <c r="G274" s="68" t="str">
        <f aca="false">IF($W274="","",IF(INDEX(发票统计!G$4:G$1003,$W274)="","",INDEX(发票统计!G$4:G$1003,$W274)))</f>
        <v/>
      </c>
      <c r="H274" s="56" t="str">
        <f aca="false">IF($W274="","",N(INDEX(发票统计!H$4:H$1003,$W274)))</f>
        <v/>
      </c>
      <c r="I274" s="56" t="str">
        <f aca="false">IF($W274="","",N(INDEX(发票统计!I$4:I$1003,$W274)))</f>
        <v/>
      </c>
      <c r="J274" s="56" t="str">
        <f aca="false">IF($W274="","",N(INDEX(发票统计!J$4:J$1003,$W274)))</f>
        <v/>
      </c>
      <c r="K274" s="56" t="str">
        <f aca="false">IF($W274="","",N(INDEX(发票统计!K$4:K$1003,$W274)))</f>
        <v/>
      </c>
      <c r="L274" s="56" t="str">
        <f aca="false">IF($W274="","",SUM(J$4:J274)-SUM(K$4:K274))</f>
        <v/>
      </c>
      <c r="M274" s="56" t="str">
        <f aca="false">IF($W274="","",N(INDEX(发票统计!M$4:M$1003,$W274)))</f>
        <v/>
      </c>
      <c r="N274" s="56" t="str">
        <f aca="false">IF($W274="","",N(INDEX(发票统计!N$4:N$1003,$W274)))</f>
        <v/>
      </c>
      <c r="O274" s="56" t="str">
        <f aca="false">IF($W274="","",N(INDEX(发票统计!O$4:O$1003,$W274)))</f>
        <v/>
      </c>
      <c r="P274" s="56" t="str">
        <f aca="false">IF($W274="","",SUM(M$4:M274)-SUM(N$4:N274)-SUM(O$4:O274))</f>
        <v/>
      </c>
      <c r="Q274" s="56" t="str">
        <f aca="false">IF($W274="","",N(INDEX(发票统计!Q$4:Q$1003,$W274)))</f>
        <v/>
      </c>
      <c r="R274" s="56" t="str">
        <f aca="false">IF($W274="","",N(INDEX(发票统计!R$4:R$1003,$W274)))</f>
        <v/>
      </c>
      <c r="S274" s="56" t="str">
        <f aca="false">IF($W274="","",N(INDEX(发票统计!S$4:S$1003,$W274)))</f>
        <v/>
      </c>
      <c r="T274" s="56" t="str">
        <f aca="false">IF($W274="","",SUM(Q$4:Q274)-SUM(R$4:R274)-SUM(S$4:S274))</f>
        <v/>
      </c>
      <c r="U274" s="56" t="str">
        <f aca="false">IF($W274="","",INDEX(发票统计!U$4:U$1003,$W274)&amp;"")</f>
        <v/>
      </c>
      <c r="W274" s="1" t="str">
        <f aca="false">IF($V$3="","",IFERROR(MATCH($V$3&amp;"#"&amp;ROWS(W$4:W274),发票统计!$W$4:$W$1003,0),""))</f>
        <v/>
      </c>
    </row>
    <row r="275" customFormat="false" ht="16.5" hidden="false" customHeight="false" outlineLevel="0" collapsed="false">
      <c r="A275" s="3" t="str">
        <f aca="false">IF($W275="","",INDEX(发票统计!A$4:A$1003,$W275)&amp;"")</f>
        <v/>
      </c>
      <c r="B275" s="3" t="str">
        <f aca="false">IF($W275="","",INDEX(发票统计!B$4:B$1003,$W275)&amp;"")</f>
        <v/>
      </c>
      <c r="C275" s="3" t="str">
        <f aca="false">IF($W275="","",INDEX(发票统计!C$4:C$1003,$W275)&amp;"")</f>
        <v/>
      </c>
      <c r="D275" s="3" t="str">
        <f aca="false">IF($W275="","",INDEX(发票统计!D$4:D$1003,$W275)&amp;"")</f>
        <v/>
      </c>
      <c r="E275" s="67" t="str">
        <f aca="false">IF($W275="","",INDEX(发票统计!E$4:E$1003,$W275)&amp;"")</f>
        <v/>
      </c>
      <c r="F275" s="68" t="str">
        <f aca="false">IF($W275="","",INDEX(发票统计!F$4:F$1003,$W275)&amp;"")</f>
        <v/>
      </c>
      <c r="G275" s="68" t="str">
        <f aca="false">IF($W275="","",IF(INDEX(发票统计!G$4:G$1003,$W275)="","",INDEX(发票统计!G$4:G$1003,$W275)))</f>
        <v/>
      </c>
      <c r="H275" s="56" t="str">
        <f aca="false">IF($W275="","",N(INDEX(发票统计!H$4:H$1003,$W275)))</f>
        <v/>
      </c>
      <c r="I275" s="56" t="str">
        <f aca="false">IF($W275="","",N(INDEX(发票统计!I$4:I$1003,$W275)))</f>
        <v/>
      </c>
      <c r="J275" s="56" t="str">
        <f aca="false">IF($W275="","",N(INDEX(发票统计!J$4:J$1003,$W275)))</f>
        <v/>
      </c>
      <c r="K275" s="56" t="str">
        <f aca="false">IF($W275="","",N(INDEX(发票统计!K$4:K$1003,$W275)))</f>
        <v/>
      </c>
      <c r="L275" s="56" t="str">
        <f aca="false">IF($W275="","",SUM(J$4:J275)-SUM(K$4:K275))</f>
        <v/>
      </c>
      <c r="M275" s="56" t="str">
        <f aca="false">IF($W275="","",N(INDEX(发票统计!M$4:M$1003,$W275)))</f>
        <v/>
      </c>
      <c r="N275" s="56" t="str">
        <f aca="false">IF($W275="","",N(INDEX(发票统计!N$4:N$1003,$W275)))</f>
        <v/>
      </c>
      <c r="O275" s="56" t="str">
        <f aca="false">IF($W275="","",N(INDEX(发票统计!O$4:O$1003,$W275)))</f>
        <v/>
      </c>
      <c r="P275" s="56" t="str">
        <f aca="false">IF($W275="","",SUM(M$4:M275)-SUM(N$4:N275)-SUM(O$4:O275))</f>
        <v/>
      </c>
      <c r="Q275" s="56" t="str">
        <f aca="false">IF($W275="","",N(INDEX(发票统计!Q$4:Q$1003,$W275)))</f>
        <v/>
      </c>
      <c r="R275" s="56" t="str">
        <f aca="false">IF($W275="","",N(INDEX(发票统计!R$4:R$1003,$W275)))</f>
        <v/>
      </c>
      <c r="S275" s="56" t="str">
        <f aca="false">IF($W275="","",N(INDEX(发票统计!S$4:S$1003,$W275)))</f>
        <v/>
      </c>
      <c r="T275" s="56" t="str">
        <f aca="false">IF($W275="","",SUM(Q$4:Q275)-SUM(R$4:R275)-SUM(S$4:S275))</f>
        <v/>
      </c>
      <c r="U275" s="56" t="str">
        <f aca="false">IF($W275="","",INDEX(发票统计!U$4:U$1003,$W275)&amp;"")</f>
        <v/>
      </c>
      <c r="W275" s="1" t="str">
        <f aca="false">IF($V$3="","",IFERROR(MATCH($V$3&amp;"#"&amp;ROWS(W$4:W275),发票统计!$W$4:$W$1003,0),""))</f>
        <v/>
      </c>
    </row>
    <row r="276" customFormat="false" ht="16.5" hidden="false" customHeight="false" outlineLevel="0" collapsed="false">
      <c r="A276" s="3" t="str">
        <f aca="false">IF($W276="","",INDEX(发票统计!A$4:A$1003,$W276)&amp;"")</f>
        <v/>
      </c>
      <c r="B276" s="3" t="str">
        <f aca="false">IF($W276="","",INDEX(发票统计!B$4:B$1003,$W276)&amp;"")</f>
        <v/>
      </c>
      <c r="C276" s="3" t="str">
        <f aca="false">IF($W276="","",INDEX(发票统计!C$4:C$1003,$W276)&amp;"")</f>
        <v/>
      </c>
      <c r="D276" s="3" t="str">
        <f aca="false">IF($W276="","",INDEX(发票统计!D$4:D$1003,$W276)&amp;"")</f>
        <v/>
      </c>
      <c r="E276" s="67" t="str">
        <f aca="false">IF($W276="","",INDEX(发票统计!E$4:E$1003,$W276)&amp;"")</f>
        <v/>
      </c>
      <c r="F276" s="68" t="str">
        <f aca="false">IF($W276="","",INDEX(发票统计!F$4:F$1003,$W276)&amp;"")</f>
        <v/>
      </c>
      <c r="G276" s="68" t="str">
        <f aca="false">IF($W276="","",IF(INDEX(发票统计!G$4:G$1003,$W276)="","",INDEX(发票统计!G$4:G$1003,$W276)))</f>
        <v/>
      </c>
      <c r="H276" s="56" t="str">
        <f aca="false">IF($W276="","",N(INDEX(发票统计!H$4:H$1003,$W276)))</f>
        <v/>
      </c>
      <c r="I276" s="56" t="str">
        <f aca="false">IF($W276="","",N(INDEX(发票统计!I$4:I$1003,$W276)))</f>
        <v/>
      </c>
      <c r="J276" s="56" t="str">
        <f aca="false">IF($W276="","",N(INDEX(发票统计!J$4:J$1003,$W276)))</f>
        <v/>
      </c>
      <c r="K276" s="56" t="str">
        <f aca="false">IF($W276="","",N(INDEX(发票统计!K$4:K$1003,$W276)))</f>
        <v/>
      </c>
      <c r="L276" s="56" t="str">
        <f aca="false">IF($W276="","",SUM(J$4:J276)-SUM(K$4:K276))</f>
        <v/>
      </c>
      <c r="M276" s="56" t="str">
        <f aca="false">IF($W276="","",N(INDEX(发票统计!M$4:M$1003,$W276)))</f>
        <v/>
      </c>
      <c r="N276" s="56" t="str">
        <f aca="false">IF($W276="","",N(INDEX(发票统计!N$4:N$1003,$W276)))</f>
        <v/>
      </c>
      <c r="O276" s="56" t="str">
        <f aca="false">IF($W276="","",N(INDEX(发票统计!O$4:O$1003,$W276)))</f>
        <v/>
      </c>
      <c r="P276" s="56" t="str">
        <f aca="false">IF($W276="","",SUM(M$4:M276)-SUM(N$4:N276)-SUM(O$4:O276))</f>
        <v/>
      </c>
      <c r="Q276" s="56" t="str">
        <f aca="false">IF($W276="","",N(INDEX(发票统计!Q$4:Q$1003,$W276)))</f>
        <v/>
      </c>
      <c r="R276" s="56" t="str">
        <f aca="false">IF($W276="","",N(INDEX(发票统计!R$4:R$1003,$W276)))</f>
        <v/>
      </c>
      <c r="S276" s="56" t="str">
        <f aca="false">IF($W276="","",N(INDEX(发票统计!S$4:S$1003,$W276)))</f>
        <v/>
      </c>
      <c r="T276" s="56" t="str">
        <f aca="false">IF($W276="","",SUM(Q$4:Q276)-SUM(R$4:R276)-SUM(S$4:S276))</f>
        <v/>
      </c>
      <c r="U276" s="56" t="str">
        <f aca="false">IF($W276="","",INDEX(发票统计!U$4:U$1003,$W276)&amp;"")</f>
        <v/>
      </c>
      <c r="W276" s="1" t="str">
        <f aca="false">IF($V$3="","",IFERROR(MATCH($V$3&amp;"#"&amp;ROWS(W$4:W276),发票统计!$W$4:$W$1003,0),""))</f>
        <v/>
      </c>
    </row>
    <row r="277" customFormat="false" ht="16.5" hidden="false" customHeight="false" outlineLevel="0" collapsed="false">
      <c r="A277" s="3" t="str">
        <f aca="false">IF($W277="","",INDEX(发票统计!A$4:A$1003,$W277)&amp;"")</f>
        <v/>
      </c>
      <c r="B277" s="3" t="str">
        <f aca="false">IF($W277="","",INDEX(发票统计!B$4:B$1003,$W277)&amp;"")</f>
        <v/>
      </c>
      <c r="C277" s="3" t="str">
        <f aca="false">IF($W277="","",INDEX(发票统计!C$4:C$1003,$W277)&amp;"")</f>
        <v/>
      </c>
      <c r="D277" s="3" t="str">
        <f aca="false">IF($W277="","",INDEX(发票统计!D$4:D$1003,$W277)&amp;"")</f>
        <v/>
      </c>
      <c r="E277" s="67" t="str">
        <f aca="false">IF($W277="","",INDEX(发票统计!E$4:E$1003,$W277)&amp;"")</f>
        <v/>
      </c>
      <c r="F277" s="68" t="str">
        <f aca="false">IF($W277="","",INDEX(发票统计!F$4:F$1003,$W277)&amp;"")</f>
        <v/>
      </c>
      <c r="G277" s="68" t="str">
        <f aca="false">IF($W277="","",IF(INDEX(发票统计!G$4:G$1003,$W277)="","",INDEX(发票统计!G$4:G$1003,$W277)))</f>
        <v/>
      </c>
      <c r="H277" s="56" t="str">
        <f aca="false">IF($W277="","",N(INDEX(发票统计!H$4:H$1003,$W277)))</f>
        <v/>
      </c>
      <c r="I277" s="56" t="str">
        <f aca="false">IF($W277="","",N(INDEX(发票统计!I$4:I$1003,$W277)))</f>
        <v/>
      </c>
      <c r="J277" s="56" t="str">
        <f aca="false">IF($W277="","",N(INDEX(发票统计!J$4:J$1003,$W277)))</f>
        <v/>
      </c>
      <c r="K277" s="56" t="str">
        <f aca="false">IF($W277="","",N(INDEX(发票统计!K$4:K$1003,$W277)))</f>
        <v/>
      </c>
      <c r="L277" s="56" t="str">
        <f aca="false">IF($W277="","",SUM(J$4:J277)-SUM(K$4:K277))</f>
        <v/>
      </c>
      <c r="M277" s="56" t="str">
        <f aca="false">IF($W277="","",N(INDEX(发票统计!M$4:M$1003,$W277)))</f>
        <v/>
      </c>
      <c r="N277" s="56" t="str">
        <f aca="false">IF($W277="","",N(INDEX(发票统计!N$4:N$1003,$W277)))</f>
        <v/>
      </c>
      <c r="O277" s="56" t="str">
        <f aca="false">IF($W277="","",N(INDEX(发票统计!O$4:O$1003,$W277)))</f>
        <v/>
      </c>
      <c r="P277" s="56" t="str">
        <f aca="false">IF($W277="","",SUM(M$4:M277)-SUM(N$4:N277)-SUM(O$4:O277))</f>
        <v/>
      </c>
      <c r="Q277" s="56" t="str">
        <f aca="false">IF($W277="","",N(INDEX(发票统计!Q$4:Q$1003,$W277)))</f>
        <v/>
      </c>
      <c r="R277" s="56" t="str">
        <f aca="false">IF($W277="","",N(INDEX(发票统计!R$4:R$1003,$W277)))</f>
        <v/>
      </c>
      <c r="S277" s="56" t="str">
        <f aca="false">IF($W277="","",N(INDEX(发票统计!S$4:S$1003,$W277)))</f>
        <v/>
      </c>
      <c r="T277" s="56" t="str">
        <f aca="false">IF($W277="","",SUM(Q$4:Q277)-SUM(R$4:R277)-SUM(S$4:S277))</f>
        <v/>
      </c>
      <c r="U277" s="56" t="str">
        <f aca="false">IF($W277="","",INDEX(发票统计!U$4:U$1003,$W277)&amp;"")</f>
        <v/>
      </c>
      <c r="W277" s="1" t="str">
        <f aca="false">IF($V$3="","",IFERROR(MATCH($V$3&amp;"#"&amp;ROWS(W$4:W277),发票统计!$W$4:$W$1003,0),""))</f>
        <v/>
      </c>
    </row>
    <row r="278" customFormat="false" ht="16.5" hidden="false" customHeight="false" outlineLevel="0" collapsed="false">
      <c r="A278" s="3" t="str">
        <f aca="false">IF($W278="","",INDEX(发票统计!A$4:A$1003,$W278)&amp;"")</f>
        <v/>
      </c>
      <c r="B278" s="3" t="str">
        <f aca="false">IF($W278="","",INDEX(发票统计!B$4:B$1003,$W278)&amp;"")</f>
        <v/>
      </c>
      <c r="C278" s="3" t="str">
        <f aca="false">IF($W278="","",INDEX(发票统计!C$4:C$1003,$W278)&amp;"")</f>
        <v/>
      </c>
      <c r="D278" s="3" t="str">
        <f aca="false">IF($W278="","",INDEX(发票统计!D$4:D$1003,$W278)&amp;"")</f>
        <v/>
      </c>
      <c r="E278" s="67" t="str">
        <f aca="false">IF($W278="","",INDEX(发票统计!E$4:E$1003,$W278)&amp;"")</f>
        <v/>
      </c>
      <c r="F278" s="68" t="str">
        <f aca="false">IF($W278="","",INDEX(发票统计!F$4:F$1003,$W278)&amp;"")</f>
        <v/>
      </c>
      <c r="G278" s="68" t="str">
        <f aca="false">IF($W278="","",IF(INDEX(发票统计!G$4:G$1003,$W278)="","",INDEX(发票统计!G$4:G$1003,$W278)))</f>
        <v/>
      </c>
      <c r="H278" s="56" t="str">
        <f aca="false">IF($W278="","",N(INDEX(发票统计!H$4:H$1003,$W278)))</f>
        <v/>
      </c>
      <c r="I278" s="56" t="str">
        <f aca="false">IF($W278="","",N(INDEX(发票统计!I$4:I$1003,$W278)))</f>
        <v/>
      </c>
      <c r="J278" s="56" t="str">
        <f aca="false">IF($W278="","",N(INDEX(发票统计!J$4:J$1003,$W278)))</f>
        <v/>
      </c>
      <c r="K278" s="56" t="str">
        <f aca="false">IF($W278="","",N(INDEX(发票统计!K$4:K$1003,$W278)))</f>
        <v/>
      </c>
      <c r="L278" s="56" t="str">
        <f aca="false">IF($W278="","",SUM(J$4:J278)-SUM(K$4:K278))</f>
        <v/>
      </c>
      <c r="M278" s="56" t="str">
        <f aca="false">IF($W278="","",N(INDEX(发票统计!M$4:M$1003,$W278)))</f>
        <v/>
      </c>
      <c r="N278" s="56" t="str">
        <f aca="false">IF($W278="","",N(INDEX(发票统计!N$4:N$1003,$W278)))</f>
        <v/>
      </c>
      <c r="O278" s="56" t="str">
        <f aca="false">IF($W278="","",N(INDEX(发票统计!O$4:O$1003,$W278)))</f>
        <v/>
      </c>
      <c r="P278" s="56" t="str">
        <f aca="false">IF($W278="","",SUM(M$4:M278)-SUM(N$4:N278)-SUM(O$4:O278))</f>
        <v/>
      </c>
      <c r="Q278" s="56" t="str">
        <f aca="false">IF($W278="","",N(INDEX(发票统计!Q$4:Q$1003,$W278)))</f>
        <v/>
      </c>
      <c r="R278" s="56" t="str">
        <f aca="false">IF($W278="","",N(INDEX(发票统计!R$4:R$1003,$W278)))</f>
        <v/>
      </c>
      <c r="S278" s="56" t="str">
        <f aca="false">IF($W278="","",N(INDEX(发票统计!S$4:S$1003,$W278)))</f>
        <v/>
      </c>
      <c r="T278" s="56" t="str">
        <f aca="false">IF($W278="","",SUM(Q$4:Q278)-SUM(R$4:R278)-SUM(S$4:S278))</f>
        <v/>
      </c>
      <c r="U278" s="56" t="str">
        <f aca="false">IF($W278="","",INDEX(发票统计!U$4:U$1003,$W278)&amp;"")</f>
        <v/>
      </c>
      <c r="W278" s="1" t="str">
        <f aca="false">IF($V$3="","",IFERROR(MATCH($V$3&amp;"#"&amp;ROWS(W$4:W278),发票统计!$W$4:$W$1003,0),""))</f>
        <v/>
      </c>
    </row>
    <row r="279" customFormat="false" ht="16.5" hidden="false" customHeight="false" outlineLevel="0" collapsed="false">
      <c r="A279" s="3" t="str">
        <f aca="false">IF($W279="","",INDEX(发票统计!A$4:A$1003,$W279)&amp;"")</f>
        <v/>
      </c>
      <c r="B279" s="3" t="str">
        <f aca="false">IF($W279="","",INDEX(发票统计!B$4:B$1003,$W279)&amp;"")</f>
        <v/>
      </c>
      <c r="C279" s="3" t="str">
        <f aca="false">IF($W279="","",INDEX(发票统计!C$4:C$1003,$W279)&amp;"")</f>
        <v/>
      </c>
      <c r="D279" s="3" t="str">
        <f aca="false">IF($W279="","",INDEX(发票统计!D$4:D$1003,$W279)&amp;"")</f>
        <v/>
      </c>
      <c r="E279" s="67" t="str">
        <f aca="false">IF($W279="","",INDEX(发票统计!E$4:E$1003,$W279)&amp;"")</f>
        <v/>
      </c>
      <c r="F279" s="68" t="str">
        <f aca="false">IF($W279="","",INDEX(发票统计!F$4:F$1003,$W279)&amp;"")</f>
        <v/>
      </c>
      <c r="G279" s="68" t="str">
        <f aca="false">IF($W279="","",IF(INDEX(发票统计!G$4:G$1003,$W279)="","",INDEX(发票统计!G$4:G$1003,$W279)))</f>
        <v/>
      </c>
      <c r="H279" s="56" t="str">
        <f aca="false">IF($W279="","",N(INDEX(发票统计!H$4:H$1003,$W279)))</f>
        <v/>
      </c>
      <c r="I279" s="56" t="str">
        <f aca="false">IF($W279="","",N(INDEX(发票统计!I$4:I$1003,$W279)))</f>
        <v/>
      </c>
      <c r="J279" s="56" t="str">
        <f aca="false">IF($W279="","",N(INDEX(发票统计!J$4:J$1003,$W279)))</f>
        <v/>
      </c>
      <c r="K279" s="56" t="str">
        <f aca="false">IF($W279="","",N(INDEX(发票统计!K$4:K$1003,$W279)))</f>
        <v/>
      </c>
      <c r="L279" s="56" t="str">
        <f aca="false">IF($W279="","",SUM(J$4:J279)-SUM(K$4:K279))</f>
        <v/>
      </c>
      <c r="M279" s="56" t="str">
        <f aca="false">IF($W279="","",N(INDEX(发票统计!M$4:M$1003,$W279)))</f>
        <v/>
      </c>
      <c r="N279" s="56" t="str">
        <f aca="false">IF($W279="","",N(INDEX(发票统计!N$4:N$1003,$W279)))</f>
        <v/>
      </c>
      <c r="O279" s="56" t="str">
        <f aca="false">IF($W279="","",N(INDEX(发票统计!O$4:O$1003,$W279)))</f>
        <v/>
      </c>
      <c r="P279" s="56" t="str">
        <f aca="false">IF($W279="","",SUM(M$4:M279)-SUM(N$4:N279)-SUM(O$4:O279))</f>
        <v/>
      </c>
      <c r="Q279" s="56" t="str">
        <f aca="false">IF($W279="","",N(INDEX(发票统计!Q$4:Q$1003,$W279)))</f>
        <v/>
      </c>
      <c r="R279" s="56" t="str">
        <f aca="false">IF($W279="","",N(INDEX(发票统计!R$4:R$1003,$W279)))</f>
        <v/>
      </c>
      <c r="S279" s="56" t="str">
        <f aca="false">IF($W279="","",N(INDEX(发票统计!S$4:S$1003,$W279)))</f>
        <v/>
      </c>
      <c r="T279" s="56" t="str">
        <f aca="false">IF($W279="","",SUM(Q$4:Q279)-SUM(R$4:R279)-SUM(S$4:S279))</f>
        <v/>
      </c>
      <c r="U279" s="56" t="str">
        <f aca="false">IF($W279="","",INDEX(发票统计!U$4:U$1003,$W279)&amp;"")</f>
        <v/>
      </c>
      <c r="W279" s="1" t="str">
        <f aca="false">IF($V$3="","",IFERROR(MATCH($V$3&amp;"#"&amp;ROWS(W$4:W279),发票统计!$W$4:$W$1003,0),""))</f>
        <v/>
      </c>
    </row>
    <row r="280" customFormat="false" ht="16.5" hidden="false" customHeight="false" outlineLevel="0" collapsed="false">
      <c r="A280" s="3" t="str">
        <f aca="false">IF($W280="","",INDEX(发票统计!A$4:A$1003,$W280)&amp;"")</f>
        <v/>
      </c>
      <c r="B280" s="3" t="str">
        <f aca="false">IF($W280="","",INDEX(发票统计!B$4:B$1003,$W280)&amp;"")</f>
        <v/>
      </c>
      <c r="C280" s="3" t="str">
        <f aca="false">IF($W280="","",INDEX(发票统计!C$4:C$1003,$W280)&amp;"")</f>
        <v/>
      </c>
      <c r="D280" s="3" t="str">
        <f aca="false">IF($W280="","",INDEX(发票统计!D$4:D$1003,$W280)&amp;"")</f>
        <v/>
      </c>
      <c r="E280" s="67" t="str">
        <f aca="false">IF($W280="","",INDEX(发票统计!E$4:E$1003,$W280)&amp;"")</f>
        <v/>
      </c>
      <c r="F280" s="68" t="str">
        <f aca="false">IF($W280="","",INDEX(发票统计!F$4:F$1003,$W280)&amp;"")</f>
        <v/>
      </c>
      <c r="G280" s="68" t="str">
        <f aca="false">IF($W280="","",IF(INDEX(发票统计!G$4:G$1003,$W280)="","",INDEX(发票统计!G$4:G$1003,$W280)))</f>
        <v/>
      </c>
      <c r="H280" s="56" t="str">
        <f aca="false">IF($W280="","",N(INDEX(发票统计!H$4:H$1003,$W280)))</f>
        <v/>
      </c>
      <c r="I280" s="56" t="str">
        <f aca="false">IF($W280="","",N(INDEX(发票统计!I$4:I$1003,$W280)))</f>
        <v/>
      </c>
      <c r="J280" s="56" t="str">
        <f aca="false">IF($W280="","",N(INDEX(发票统计!J$4:J$1003,$W280)))</f>
        <v/>
      </c>
      <c r="K280" s="56" t="str">
        <f aca="false">IF($W280="","",N(INDEX(发票统计!K$4:K$1003,$W280)))</f>
        <v/>
      </c>
      <c r="L280" s="56" t="str">
        <f aca="false">IF($W280="","",SUM(J$4:J280)-SUM(K$4:K280))</f>
        <v/>
      </c>
      <c r="M280" s="56" t="str">
        <f aca="false">IF($W280="","",N(INDEX(发票统计!M$4:M$1003,$W280)))</f>
        <v/>
      </c>
      <c r="N280" s="56" t="str">
        <f aca="false">IF($W280="","",N(INDEX(发票统计!N$4:N$1003,$W280)))</f>
        <v/>
      </c>
      <c r="O280" s="56" t="str">
        <f aca="false">IF($W280="","",N(INDEX(发票统计!O$4:O$1003,$W280)))</f>
        <v/>
      </c>
      <c r="P280" s="56" t="str">
        <f aca="false">IF($W280="","",SUM(M$4:M280)-SUM(N$4:N280)-SUM(O$4:O280))</f>
        <v/>
      </c>
      <c r="Q280" s="56" t="str">
        <f aca="false">IF($W280="","",N(INDEX(发票统计!Q$4:Q$1003,$W280)))</f>
        <v/>
      </c>
      <c r="R280" s="56" t="str">
        <f aca="false">IF($W280="","",N(INDEX(发票统计!R$4:R$1003,$W280)))</f>
        <v/>
      </c>
      <c r="S280" s="56" t="str">
        <f aca="false">IF($W280="","",N(INDEX(发票统计!S$4:S$1003,$W280)))</f>
        <v/>
      </c>
      <c r="T280" s="56" t="str">
        <f aca="false">IF($W280="","",SUM(Q$4:Q280)-SUM(R$4:R280)-SUM(S$4:S280))</f>
        <v/>
      </c>
      <c r="U280" s="56" t="str">
        <f aca="false">IF($W280="","",INDEX(发票统计!U$4:U$1003,$W280)&amp;"")</f>
        <v/>
      </c>
      <c r="W280" s="1" t="str">
        <f aca="false">IF($V$3="","",IFERROR(MATCH($V$3&amp;"#"&amp;ROWS(W$4:W280),发票统计!$W$4:$W$1003,0),""))</f>
        <v/>
      </c>
    </row>
    <row r="281" customFormat="false" ht="16.5" hidden="false" customHeight="false" outlineLevel="0" collapsed="false">
      <c r="A281" s="3" t="str">
        <f aca="false">IF($W281="","",INDEX(发票统计!A$4:A$1003,$W281)&amp;"")</f>
        <v/>
      </c>
      <c r="B281" s="3" t="str">
        <f aca="false">IF($W281="","",INDEX(发票统计!B$4:B$1003,$W281)&amp;"")</f>
        <v/>
      </c>
      <c r="C281" s="3" t="str">
        <f aca="false">IF($W281="","",INDEX(发票统计!C$4:C$1003,$W281)&amp;"")</f>
        <v/>
      </c>
      <c r="D281" s="3" t="str">
        <f aca="false">IF($W281="","",INDEX(发票统计!D$4:D$1003,$W281)&amp;"")</f>
        <v/>
      </c>
      <c r="E281" s="67" t="str">
        <f aca="false">IF($W281="","",INDEX(发票统计!E$4:E$1003,$W281)&amp;"")</f>
        <v/>
      </c>
      <c r="F281" s="68" t="str">
        <f aca="false">IF($W281="","",INDEX(发票统计!F$4:F$1003,$W281)&amp;"")</f>
        <v/>
      </c>
      <c r="G281" s="68" t="str">
        <f aca="false">IF($W281="","",IF(INDEX(发票统计!G$4:G$1003,$W281)="","",INDEX(发票统计!G$4:G$1003,$W281)))</f>
        <v/>
      </c>
      <c r="H281" s="56" t="str">
        <f aca="false">IF($W281="","",N(INDEX(发票统计!H$4:H$1003,$W281)))</f>
        <v/>
      </c>
      <c r="I281" s="56" t="str">
        <f aca="false">IF($W281="","",N(INDEX(发票统计!I$4:I$1003,$W281)))</f>
        <v/>
      </c>
      <c r="J281" s="56" t="str">
        <f aca="false">IF($W281="","",N(INDEX(发票统计!J$4:J$1003,$W281)))</f>
        <v/>
      </c>
      <c r="K281" s="56" t="str">
        <f aca="false">IF($W281="","",N(INDEX(发票统计!K$4:K$1003,$W281)))</f>
        <v/>
      </c>
      <c r="L281" s="56" t="str">
        <f aca="false">IF($W281="","",SUM(J$4:J281)-SUM(K$4:K281))</f>
        <v/>
      </c>
      <c r="M281" s="56" t="str">
        <f aca="false">IF($W281="","",N(INDEX(发票统计!M$4:M$1003,$W281)))</f>
        <v/>
      </c>
      <c r="N281" s="56" t="str">
        <f aca="false">IF($W281="","",N(INDEX(发票统计!N$4:N$1003,$W281)))</f>
        <v/>
      </c>
      <c r="O281" s="56" t="str">
        <f aca="false">IF($W281="","",N(INDEX(发票统计!O$4:O$1003,$W281)))</f>
        <v/>
      </c>
      <c r="P281" s="56" t="str">
        <f aca="false">IF($W281="","",SUM(M$4:M281)-SUM(N$4:N281)-SUM(O$4:O281))</f>
        <v/>
      </c>
      <c r="Q281" s="56" t="str">
        <f aca="false">IF($W281="","",N(INDEX(发票统计!Q$4:Q$1003,$W281)))</f>
        <v/>
      </c>
      <c r="R281" s="56" t="str">
        <f aca="false">IF($W281="","",N(INDEX(发票统计!R$4:R$1003,$W281)))</f>
        <v/>
      </c>
      <c r="S281" s="56" t="str">
        <f aca="false">IF($W281="","",N(INDEX(发票统计!S$4:S$1003,$W281)))</f>
        <v/>
      </c>
      <c r="T281" s="56" t="str">
        <f aca="false">IF($W281="","",SUM(Q$4:Q281)-SUM(R$4:R281)-SUM(S$4:S281))</f>
        <v/>
      </c>
      <c r="U281" s="56" t="str">
        <f aca="false">IF($W281="","",INDEX(发票统计!U$4:U$1003,$W281)&amp;"")</f>
        <v/>
      </c>
      <c r="W281" s="1" t="str">
        <f aca="false">IF($V$3="","",IFERROR(MATCH($V$3&amp;"#"&amp;ROWS(W$4:W281),发票统计!$W$4:$W$1003,0),""))</f>
        <v/>
      </c>
    </row>
    <row r="282" customFormat="false" ht="16.5" hidden="false" customHeight="false" outlineLevel="0" collapsed="false">
      <c r="A282" s="3" t="str">
        <f aca="false">IF($W282="","",INDEX(发票统计!A$4:A$1003,$W282)&amp;"")</f>
        <v/>
      </c>
      <c r="B282" s="3" t="str">
        <f aca="false">IF($W282="","",INDEX(发票统计!B$4:B$1003,$W282)&amp;"")</f>
        <v/>
      </c>
      <c r="C282" s="3" t="str">
        <f aca="false">IF($W282="","",INDEX(发票统计!C$4:C$1003,$W282)&amp;"")</f>
        <v/>
      </c>
      <c r="D282" s="3" t="str">
        <f aca="false">IF($W282="","",INDEX(发票统计!D$4:D$1003,$W282)&amp;"")</f>
        <v/>
      </c>
      <c r="E282" s="67" t="str">
        <f aca="false">IF($W282="","",INDEX(发票统计!E$4:E$1003,$W282)&amp;"")</f>
        <v/>
      </c>
      <c r="F282" s="68" t="str">
        <f aca="false">IF($W282="","",INDEX(发票统计!F$4:F$1003,$W282)&amp;"")</f>
        <v/>
      </c>
      <c r="G282" s="68" t="str">
        <f aca="false">IF($W282="","",IF(INDEX(发票统计!G$4:G$1003,$W282)="","",INDEX(发票统计!G$4:G$1003,$W282)))</f>
        <v/>
      </c>
      <c r="H282" s="56" t="str">
        <f aca="false">IF($W282="","",N(INDEX(发票统计!H$4:H$1003,$W282)))</f>
        <v/>
      </c>
      <c r="I282" s="56" t="str">
        <f aca="false">IF($W282="","",N(INDEX(发票统计!I$4:I$1003,$W282)))</f>
        <v/>
      </c>
      <c r="J282" s="56" t="str">
        <f aca="false">IF($W282="","",N(INDEX(发票统计!J$4:J$1003,$W282)))</f>
        <v/>
      </c>
      <c r="K282" s="56" t="str">
        <f aca="false">IF($W282="","",N(INDEX(发票统计!K$4:K$1003,$W282)))</f>
        <v/>
      </c>
      <c r="L282" s="56" t="str">
        <f aca="false">IF($W282="","",SUM(J$4:J282)-SUM(K$4:K282))</f>
        <v/>
      </c>
      <c r="M282" s="56" t="str">
        <f aca="false">IF($W282="","",N(INDEX(发票统计!M$4:M$1003,$W282)))</f>
        <v/>
      </c>
      <c r="N282" s="56" t="str">
        <f aca="false">IF($W282="","",N(INDEX(发票统计!N$4:N$1003,$W282)))</f>
        <v/>
      </c>
      <c r="O282" s="56" t="str">
        <f aca="false">IF($W282="","",N(INDEX(发票统计!O$4:O$1003,$W282)))</f>
        <v/>
      </c>
      <c r="P282" s="56" t="str">
        <f aca="false">IF($W282="","",SUM(M$4:M282)-SUM(N$4:N282)-SUM(O$4:O282))</f>
        <v/>
      </c>
      <c r="Q282" s="56" t="str">
        <f aca="false">IF($W282="","",N(INDEX(发票统计!Q$4:Q$1003,$W282)))</f>
        <v/>
      </c>
      <c r="R282" s="56" t="str">
        <f aca="false">IF($W282="","",N(INDEX(发票统计!R$4:R$1003,$W282)))</f>
        <v/>
      </c>
      <c r="S282" s="56" t="str">
        <f aca="false">IF($W282="","",N(INDEX(发票统计!S$4:S$1003,$W282)))</f>
        <v/>
      </c>
      <c r="T282" s="56" t="str">
        <f aca="false">IF($W282="","",SUM(Q$4:Q282)-SUM(R$4:R282)-SUM(S$4:S282))</f>
        <v/>
      </c>
      <c r="U282" s="56" t="str">
        <f aca="false">IF($W282="","",INDEX(发票统计!U$4:U$1003,$W282)&amp;"")</f>
        <v/>
      </c>
      <c r="W282" s="1" t="str">
        <f aca="false">IF($V$3="","",IFERROR(MATCH($V$3&amp;"#"&amp;ROWS(W$4:W282),发票统计!$W$4:$W$1003,0),""))</f>
        <v/>
      </c>
    </row>
    <row r="283" customFormat="false" ht="16.5" hidden="false" customHeight="false" outlineLevel="0" collapsed="false">
      <c r="A283" s="3" t="str">
        <f aca="false">IF($W283="","",INDEX(发票统计!A$4:A$1003,$W283)&amp;"")</f>
        <v/>
      </c>
      <c r="B283" s="3" t="str">
        <f aca="false">IF($W283="","",INDEX(发票统计!B$4:B$1003,$W283)&amp;"")</f>
        <v/>
      </c>
      <c r="C283" s="3" t="str">
        <f aca="false">IF($W283="","",INDEX(发票统计!C$4:C$1003,$W283)&amp;"")</f>
        <v/>
      </c>
      <c r="D283" s="3" t="str">
        <f aca="false">IF($W283="","",INDEX(发票统计!D$4:D$1003,$W283)&amp;"")</f>
        <v/>
      </c>
      <c r="E283" s="67" t="str">
        <f aca="false">IF($W283="","",INDEX(发票统计!E$4:E$1003,$W283)&amp;"")</f>
        <v/>
      </c>
      <c r="F283" s="68" t="str">
        <f aca="false">IF($W283="","",INDEX(发票统计!F$4:F$1003,$W283)&amp;"")</f>
        <v/>
      </c>
      <c r="G283" s="68" t="str">
        <f aca="false">IF($W283="","",IF(INDEX(发票统计!G$4:G$1003,$W283)="","",INDEX(发票统计!G$4:G$1003,$W283)))</f>
        <v/>
      </c>
      <c r="H283" s="56" t="str">
        <f aca="false">IF($W283="","",N(INDEX(发票统计!H$4:H$1003,$W283)))</f>
        <v/>
      </c>
      <c r="I283" s="56" t="str">
        <f aca="false">IF($W283="","",N(INDEX(发票统计!I$4:I$1003,$W283)))</f>
        <v/>
      </c>
      <c r="J283" s="56" t="str">
        <f aca="false">IF($W283="","",N(INDEX(发票统计!J$4:J$1003,$W283)))</f>
        <v/>
      </c>
      <c r="K283" s="56" t="str">
        <f aca="false">IF($W283="","",N(INDEX(发票统计!K$4:K$1003,$W283)))</f>
        <v/>
      </c>
      <c r="L283" s="56" t="str">
        <f aca="false">IF($W283="","",SUM(J$4:J283)-SUM(K$4:K283))</f>
        <v/>
      </c>
      <c r="M283" s="56" t="str">
        <f aca="false">IF($W283="","",N(INDEX(发票统计!M$4:M$1003,$W283)))</f>
        <v/>
      </c>
      <c r="N283" s="56" t="str">
        <f aca="false">IF($W283="","",N(INDEX(发票统计!N$4:N$1003,$W283)))</f>
        <v/>
      </c>
      <c r="O283" s="56" t="str">
        <f aca="false">IF($W283="","",N(INDEX(发票统计!O$4:O$1003,$W283)))</f>
        <v/>
      </c>
      <c r="P283" s="56" t="str">
        <f aca="false">IF($W283="","",SUM(M$4:M283)-SUM(N$4:N283)-SUM(O$4:O283))</f>
        <v/>
      </c>
      <c r="Q283" s="56" t="str">
        <f aca="false">IF($W283="","",N(INDEX(发票统计!Q$4:Q$1003,$W283)))</f>
        <v/>
      </c>
      <c r="R283" s="56" t="str">
        <f aca="false">IF($W283="","",N(INDEX(发票统计!R$4:R$1003,$W283)))</f>
        <v/>
      </c>
      <c r="S283" s="56" t="str">
        <f aca="false">IF($W283="","",N(INDEX(发票统计!S$4:S$1003,$W283)))</f>
        <v/>
      </c>
      <c r="T283" s="56" t="str">
        <f aca="false">IF($W283="","",SUM(Q$4:Q283)-SUM(R$4:R283)-SUM(S$4:S283))</f>
        <v/>
      </c>
      <c r="U283" s="56" t="str">
        <f aca="false">IF($W283="","",INDEX(发票统计!U$4:U$1003,$W283)&amp;"")</f>
        <v/>
      </c>
      <c r="W283" s="1" t="str">
        <f aca="false">IF($V$3="","",IFERROR(MATCH($V$3&amp;"#"&amp;ROWS(W$4:W283),发票统计!$W$4:$W$1003,0),""))</f>
        <v/>
      </c>
    </row>
    <row r="284" customFormat="false" ht="16.5" hidden="false" customHeight="false" outlineLevel="0" collapsed="false">
      <c r="A284" s="3" t="str">
        <f aca="false">IF($W284="","",INDEX(发票统计!A$4:A$1003,$W284)&amp;"")</f>
        <v/>
      </c>
      <c r="B284" s="3" t="str">
        <f aca="false">IF($W284="","",INDEX(发票统计!B$4:B$1003,$W284)&amp;"")</f>
        <v/>
      </c>
      <c r="C284" s="3" t="str">
        <f aca="false">IF($W284="","",INDEX(发票统计!C$4:C$1003,$W284)&amp;"")</f>
        <v/>
      </c>
      <c r="D284" s="3" t="str">
        <f aca="false">IF($W284="","",INDEX(发票统计!D$4:D$1003,$W284)&amp;"")</f>
        <v/>
      </c>
      <c r="E284" s="67" t="str">
        <f aca="false">IF($W284="","",INDEX(发票统计!E$4:E$1003,$W284)&amp;"")</f>
        <v/>
      </c>
      <c r="F284" s="68" t="str">
        <f aca="false">IF($W284="","",INDEX(发票统计!F$4:F$1003,$W284)&amp;"")</f>
        <v/>
      </c>
      <c r="G284" s="68" t="str">
        <f aca="false">IF($W284="","",IF(INDEX(发票统计!G$4:G$1003,$W284)="","",INDEX(发票统计!G$4:G$1003,$W284)))</f>
        <v/>
      </c>
      <c r="H284" s="56" t="str">
        <f aca="false">IF($W284="","",N(INDEX(发票统计!H$4:H$1003,$W284)))</f>
        <v/>
      </c>
      <c r="I284" s="56" t="str">
        <f aca="false">IF($W284="","",N(INDEX(发票统计!I$4:I$1003,$W284)))</f>
        <v/>
      </c>
      <c r="J284" s="56" t="str">
        <f aca="false">IF($W284="","",N(INDEX(发票统计!J$4:J$1003,$W284)))</f>
        <v/>
      </c>
      <c r="K284" s="56" t="str">
        <f aca="false">IF($W284="","",N(INDEX(发票统计!K$4:K$1003,$W284)))</f>
        <v/>
      </c>
      <c r="L284" s="56" t="str">
        <f aca="false">IF($W284="","",SUM(J$4:J284)-SUM(K$4:K284))</f>
        <v/>
      </c>
      <c r="M284" s="56" t="str">
        <f aca="false">IF($W284="","",N(INDEX(发票统计!M$4:M$1003,$W284)))</f>
        <v/>
      </c>
      <c r="N284" s="56" t="str">
        <f aca="false">IF($W284="","",N(INDEX(发票统计!N$4:N$1003,$W284)))</f>
        <v/>
      </c>
      <c r="O284" s="56" t="str">
        <f aca="false">IF($W284="","",N(INDEX(发票统计!O$4:O$1003,$W284)))</f>
        <v/>
      </c>
      <c r="P284" s="56" t="str">
        <f aca="false">IF($W284="","",SUM(M$4:M284)-SUM(N$4:N284)-SUM(O$4:O284))</f>
        <v/>
      </c>
      <c r="Q284" s="56" t="str">
        <f aca="false">IF($W284="","",N(INDEX(发票统计!Q$4:Q$1003,$W284)))</f>
        <v/>
      </c>
      <c r="R284" s="56" t="str">
        <f aca="false">IF($W284="","",N(INDEX(发票统计!R$4:R$1003,$W284)))</f>
        <v/>
      </c>
      <c r="S284" s="56" t="str">
        <f aca="false">IF($W284="","",N(INDEX(发票统计!S$4:S$1003,$W284)))</f>
        <v/>
      </c>
      <c r="T284" s="56" t="str">
        <f aca="false">IF($W284="","",SUM(Q$4:Q284)-SUM(R$4:R284)-SUM(S$4:S284))</f>
        <v/>
      </c>
      <c r="U284" s="56" t="str">
        <f aca="false">IF($W284="","",INDEX(发票统计!U$4:U$1003,$W284)&amp;"")</f>
        <v/>
      </c>
      <c r="W284" s="1" t="str">
        <f aca="false">IF($V$3="","",IFERROR(MATCH($V$3&amp;"#"&amp;ROWS(W$4:W284),发票统计!$W$4:$W$1003,0),""))</f>
        <v/>
      </c>
    </row>
    <row r="285" customFormat="false" ht="16.5" hidden="false" customHeight="false" outlineLevel="0" collapsed="false">
      <c r="A285" s="3" t="str">
        <f aca="false">IF($W285="","",INDEX(发票统计!A$4:A$1003,$W285)&amp;"")</f>
        <v/>
      </c>
      <c r="B285" s="3" t="str">
        <f aca="false">IF($W285="","",INDEX(发票统计!B$4:B$1003,$W285)&amp;"")</f>
        <v/>
      </c>
      <c r="C285" s="3" t="str">
        <f aca="false">IF($W285="","",INDEX(发票统计!C$4:C$1003,$W285)&amp;"")</f>
        <v/>
      </c>
      <c r="D285" s="3" t="str">
        <f aca="false">IF($W285="","",INDEX(发票统计!D$4:D$1003,$W285)&amp;"")</f>
        <v/>
      </c>
      <c r="E285" s="67" t="str">
        <f aca="false">IF($W285="","",INDEX(发票统计!E$4:E$1003,$W285)&amp;"")</f>
        <v/>
      </c>
      <c r="F285" s="68" t="str">
        <f aca="false">IF($W285="","",INDEX(发票统计!F$4:F$1003,$W285)&amp;"")</f>
        <v/>
      </c>
      <c r="G285" s="68" t="str">
        <f aca="false">IF($W285="","",IF(INDEX(发票统计!G$4:G$1003,$W285)="","",INDEX(发票统计!G$4:G$1003,$W285)))</f>
        <v/>
      </c>
      <c r="H285" s="56" t="str">
        <f aca="false">IF($W285="","",N(INDEX(发票统计!H$4:H$1003,$W285)))</f>
        <v/>
      </c>
      <c r="I285" s="56" t="str">
        <f aca="false">IF($W285="","",N(INDEX(发票统计!I$4:I$1003,$W285)))</f>
        <v/>
      </c>
      <c r="J285" s="56" t="str">
        <f aca="false">IF($W285="","",N(INDEX(发票统计!J$4:J$1003,$W285)))</f>
        <v/>
      </c>
      <c r="K285" s="56" t="str">
        <f aca="false">IF($W285="","",N(INDEX(发票统计!K$4:K$1003,$W285)))</f>
        <v/>
      </c>
      <c r="L285" s="56" t="str">
        <f aca="false">IF($W285="","",SUM(J$4:J285)-SUM(K$4:K285))</f>
        <v/>
      </c>
      <c r="M285" s="56" t="str">
        <f aca="false">IF($W285="","",N(INDEX(发票统计!M$4:M$1003,$W285)))</f>
        <v/>
      </c>
      <c r="N285" s="56" t="str">
        <f aca="false">IF($W285="","",N(INDEX(发票统计!N$4:N$1003,$W285)))</f>
        <v/>
      </c>
      <c r="O285" s="56" t="str">
        <f aca="false">IF($W285="","",N(INDEX(发票统计!O$4:O$1003,$W285)))</f>
        <v/>
      </c>
      <c r="P285" s="56" t="str">
        <f aca="false">IF($W285="","",SUM(M$4:M285)-SUM(N$4:N285)-SUM(O$4:O285))</f>
        <v/>
      </c>
      <c r="Q285" s="56" t="str">
        <f aca="false">IF($W285="","",N(INDEX(发票统计!Q$4:Q$1003,$W285)))</f>
        <v/>
      </c>
      <c r="R285" s="56" t="str">
        <f aca="false">IF($W285="","",N(INDEX(发票统计!R$4:R$1003,$W285)))</f>
        <v/>
      </c>
      <c r="S285" s="56" t="str">
        <f aca="false">IF($W285="","",N(INDEX(发票统计!S$4:S$1003,$W285)))</f>
        <v/>
      </c>
      <c r="T285" s="56" t="str">
        <f aca="false">IF($W285="","",SUM(Q$4:Q285)-SUM(R$4:R285)-SUM(S$4:S285))</f>
        <v/>
      </c>
      <c r="U285" s="56" t="str">
        <f aca="false">IF($W285="","",INDEX(发票统计!U$4:U$1003,$W285)&amp;"")</f>
        <v/>
      </c>
      <c r="W285" s="1" t="str">
        <f aca="false">IF($V$3="","",IFERROR(MATCH($V$3&amp;"#"&amp;ROWS(W$4:W285),发票统计!$W$4:$W$1003,0),""))</f>
        <v/>
      </c>
    </row>
    <row r="286" customFormat="false" ht="16.5" hidden="false" customHeight="false" outlineLevel="0" collapsed="false">
      <c r="A286" s="3" t="str">
        <f aca="false">IF($W286="","",INDEX(发票统计!A$4:A$1003,$W286)&amp;"")</f>
        <v/>
      </c>
      <c r="B286" s="3" t="str">
        <f aca="false">IF($W286="","",INDEX(发票统计!B$4:B$1003,$W286)&amp;"")</f>
        <v/>
      </c>
      <c r="C286" s="3" t="str">
        <f aca="false">IF($W286="","",INDEX(发票统计!C$4:C$1003,$W286)&amp;"")</f>
        <v/>
      </c>
      <c r="D286" s="3" t="str">
        <f aca="false">IF($W286="","",INDEX(发票统计!D$4:D$1003,$W286)&amp;"")</f>
        <v/>
      </c>
      <c r="E286" s="67" t="str">
        <f aca="false">IF($W286="","",INDEX(发票统计!E$4:E$1003,$W286)&amp;"")</f>
        <v/>
      </c>
      <c r="F286" s="68" t="str">
        <f aca="false">IF($W286="","",INDEX(发票统计!F$4:F$1003,$W286)&amp;"")</f>
        <v/>
      </c>
      <c r="G286" s="68" t="str">
        <f aca="false">IF($W286="","",IF(INDEX(发票统计!G$4:G$1003,$W286)="","",INDEX(发票统计!G$4:G$1003,$W286)))</f>
        <v/>
      </c>
      <c r="H286" s="56" t="str">
        <f aca="false">IF($W286="","",N(INDEX(发票统计!H$4:H$1003,$W286)))</f>
        <v/>
      </c>
      <c r="I286" s="56" t="str">
        <f aca="false">IF($W286="","",N(INDEX(发票统计!I$4:I$1003,$W286)))</f>
        <v/>
      </c>
      <c r="J286" s="56" t="str">
        <f aca="false">IF($W286="","",N(INDEX(发票统计!J$4:J$1003,$W286)))</f>
        <v/>
      </c>
      <c r="K286" s="56" t="str">
        <f aca="false">IF($W286="","",N(INDEX(发票统计!K$4:K$1003,$W286)))</f>
        <v/>
      </c>
      <c r="L286" s="56" t="str">
        <f aca="false">IF($W286="","",SUM(J$4:J286)-SUM(K$4:K286))</f>
        <v/>
      </c>
      <c r="M286" s="56" t="str">
        <f aca="false">IF($W286="","",N(INDEX(发票统计!M$4:M$1003,$W286)))</f>
        <v/>
      </c>
      <c r="N286" s="56" t="str">
        <f aca="false">IF($W286="","",N(INDEX(发票统计!N$4:N$1003,$W286)))</f>
        <v/>
      </c>
      <c r="O286" s="56" t="str">
        <f aca="false">IF($W286="","",N(INDEX(发票统计!O$4:O$1003,$W286)))</f>
        <v/>
      </c>
      <c r="P286" s="56" t="str">
        <f aca="false">IF($W286="","",SUM(M$4:M286)-SUM(N$4:N286)-SUM(O$4:O286))</f>
        <v/>
      </c>
      <c r="Q286" s="56" t="str">
        <f aca="false">IF($W286="","",N(INDEX(发票统计!Q$4:Q$1003,$W286)))</f>
        <v/>
      </c>
      <c r="R286" s="56" t="str">
        <f aca="false">IF($W286="","",N(INDEX(发票统计!R$4:R$1003,$W286)))</f>
        <v/>
      </c>
      <c r="S286" s="56" t="str">
        <f aca="false">IF($W286="","",N(INDEX(发票统计!S$4:S$1003,$W286)))</f>
        <v/>
      </c>
      <c r="T286" s="56" t="str">
        <f aca="false">IF($W286="","",SUM(Q$4:Q286)-SUM(R$4:R286)-SUM(S$4:S286))</f>
        <v/>
      </c>
      <c r="U286" s="56" t="str">
        <f aca="false">IF($W286="","",INDEX(发票统计!U$4:U$1003,$W286)&amp;"")</f>
        <v/>
      </c>
      <c r="W286" s="1" t="str">
        <f aca="false">IF($V$3="","",IFERROR(MATCH($V$3&amp;"#"&amp;ROWS(W$4:W286),发票统计!$W$4:$W$1003,0),""))</f>
        <v/>
      </c>
    </row>
    <row r="287" customFormat="false" ht="16.5" hidden="false" customHeight="false" outlineLevel="0" collapsed="false">
      <c r="A287" s="3" t="str">
        <f aca="false">IF($W287="","",INDEX(发票统计!A$4:A$1003,$W287)&amp;"")</f>
        <v/>
      </c>
      <c r="B287" s="3" t="str">
        <f aca="false">IF($W287="","",INDEX(发票统计!B$4:B$1003,$W287)&amp;"")</f>
        <v/>
      </c>
      <c r="C287" s="3" t="str">
        <f aca="false">IF($W287="","",INDEX(发票统计!C$4:C$1003,$W287)&amp;"")</f>
        <v/>
      </c>
      <c r="D287" s="3" t="str">
        <f aca="false">IF($W287="","",INDEX(发票统计!D$4:D$1003,$W287)&amp;"")</f>
        <v/>
      </c>
      <c r="E287" s="67" t="str">
        <f aca="false">IF($W287="","",INDEX(发票统计!E$4:E$1003,$W287)&amp;"")</f>
        <v/>
      </c>
      <c r="F287" s="68" t="str">
        <f aca="false">IF($W287="","",INDEX(发票统计!F$4:F$1003,$W287)&amp;"")</f>
        <v/>
      </c>
      <c r="G287" s="68" t="str">
        <f aca="false">IF($W287="","",IF(INDEX(发票统计!G$4:G$1003,$W287)="","",INDEX(发票统计!G$4:G$1003,$W287)))</f>
        <v/>
      </c>
      <c r="H287" s="56" t="str">
        <f aca="false">IF($W287="","",N(INDEX(发票统计!H$4:H$1003,$W287)))</f>
        <v/>
      </c>
      <c r="I287" s="56" t="str">
        <f aca="false">IF($W287="","",N(INDEX(发票统计!I$4:I$1003,$W287)))</f>
        <v/>
      </c>
      <c r="J287" s="56" t="str">
        <f aca="false">IF($W287="","",N(INDEX(发票统计!J$4:J$1003,$W287)))</f>
        <v/>
      </c>
      <c r="K287" s="56" t="str">
        <f aca="false">IF($W287="","",N(INDEX(发票统计!K$4:K$1003,$W287)))</f>
        <v/>
      </c>
      <c r="L287" s="56" t="str">
        <f aca="false">IF($W287="","",SUM(J$4:J287)-SUM(K$4:K287))</f>
        <v/>
      </c>
      <c r="M287" s="56" t="str">
        <f aca="false">IF($W287="","",N(INDEX(发票统计!M$4:M$1003,$W287)))</f>
        <v/>
      </c>
      <c r="N287" s="56" t="str">
        <f aca="false">IF($W287="","",N(INDEX(发票统计!N$4:N$1003,$W287)))</f>
        <v/>
      </c>
      <c r="O287" s="56" t="str">
        <f aca="false">IF($W287="","",N(INDEX(发票统计!O$4:O$1003,$W287)))</f>
        <v/>
      </c>
      <c r="P287" s="56" t="str">
        <f aca="false">IF($W287="","",SUM(M$4:M287)-SUM(N$4:N287)-SUM(O$4:O287))</f>
        <v/>
      </c>
      <c r="Q287" s="56" t="str">
        <f aca="false">IF($W287="","",N(INDEX(发票统计!Q$4:Q$1003,$W287)))</f>
        <v/>
      </c>
      <c r="R287" s="56" t="str">
        <f aca="false">IF($W287="","",N(INDEX(发票统计!R$4:R$1003,$W287)))</f>
        <v/>
      </c>
      <c r="S287" s="56" t="str">
        <f aca="false">IF($W287="","",N(INDEX(发票统计!S$4:S$1003,$W287)))</f>
        <v/>
      </c>
      <c r="T287" s="56" t="str">
        <f aca="false">IF($W287="","",SUM(Q$4:Q287)-SUM(R$4:R287)-SUM(S$4:S287))</f>
        <v/>
      </c>
      <c r="U287" s="56" t="str">
        <f aca="false">IF($W287="","",INDEX(发票统计!U$4:U$1003,$W287)&amp;"")</f>
        <v/>
      </c>
      <c r="W287" s="1" t="str">
        <f aca="false">IF($V$3="","",IFERROR(MATCH($V$3&amp;"#"&amp;ROWS(W$4:W287),发票统计!$W$4:$W$1003,0),""))</f>
        <v/>
      </c>
    </row>
    <row r="288" customFormat="false" ht="16.5" hidden="false" customHeight="false" outlineLevel="0" collapsed="false">
      <c r="A288" s="3" t="str">
        <f aca="false">IF($W288="","",INDEX(发票统计!A$4:A$1003,$W288)&amp;"")</f>
        <v/>
      </c>
      <c r="B288" s="3" t="str">
        <f aca="false">IF($W288="","",INDEX(发票统计!B$4:B$1003,$W288)&amp;"")</f>
        <v/>
      </c>
      <c r="C288" s="3" t="str">
        <f aca="false">IF($W288="","",INDEX(发票统计!C$4:C$1003,$W288)&amp;"")</f>
        <v/>
      </c>
      <c r="D288" s="3" t="str">
        <f aca="false">IF($W288="","",INDEX(发票统计!D$4:D$1003,$W288)&amp;"")</f>
        <v/>
      </c>
      <c r="E288" s="67" t="str">
        <f aca="false">IF($W288="","",INDEX(发票统计!E$4:E$1003,$W288)&amp;"")</f>
        <v/>
      </c>
      <c r="F288" s="68" t="str">
        <f aca="false">IF($W288="","",INDEX(发票统计!F$4:F$1003,$W288)&amp;"")</f>
        <v/>
      </c>
      <c r="G288" s="68" t="str">
        <f aca="false">IF($W288="","",IF(INDEX(发票统计!G$4:G$1003,$W288)="","",INDEX(发票统计!G$4:G$1003,$W288)))</f>
        <v/>
      </c>
      <c r="H288" s="56" t="str">
        <f aca="false">IF($W288="","",N(INDEX(发票统计!H$4:H$1003,$W288)))</f>
        <v/>
      </c>
      <c r="I288" s="56" t="str">
        <f aca="false">IF($W288="","",N(INDEX(发票统计!I$4:I$1003,$W288)))</f>
        <v/>
      </c>
      <c r="J288" s="56" t="str">
        <f aca="false">IF($W288="","",N(INDEX(发票统计!J$4:J$1003,$W288)))</f>
        <v/>
      </c>
      <c r="K288" s="56" t="str">
        <f aca="false">IF($W288="","",N(INDEX(发票统计!K$4:K$1003,$W288)))</f>
        <v/>
      </c>
      <c r="L288" s="56" t="str">
        <f aca="false">IF($W288="","",SUM(J$4:J288)-SUM(K$4:K288))</f>
        <v/>
      </c>
      <c r="M288" s="56" t="str">
        <f aca="false">IF($W288="","",N(INDEX(发票统计!M$4:M$1003,$W288)))</f>
        <v/>
      </c>
      <c r="N288" s="56" t="str">
        <f aca="false">IF($W288="","",N(INDEX(发票统计!N$4:N$1003,$W288)))</f>
        <v/>
      </c>
      <c r="O288" s="56" t="str">
        <f aca="false">IF($W288="","",N(INDEX(发票统计!O$4:O$1003,$W288)))</f>
        <v/>
      </c>
      <c r="P288" s="56" t="str">
        <f aca="false">IF($W288="","",SUM(M$4:M288)-SUM(N$4:N288)-SUM(O$4:O288))</f>
        <v/>
      </c>
      <c r="Q288" s="56" t="str">
        <f aca="false">IF($W288="","",N(INDEX(发票统计!Q$4:Q$1003,$W288)))</f>
        <v/>
      </c>
      <c r="R288" s="56" t="str">
        <f aca="false">IF($W288="","",N(INDEX(发票统计!R$4:R$1003,$W288)))</f>
        <v/>
      </c>
      <c r="S288" s="56" t="str">
        <f aca="false">IF($W288="","",N(INDEX(发票统计!S$4:S$1003,$W288)))</f>
        <v/>
      </c>
      <c r="T288" s="56" t="str">
        <f aca="false">IF($W288="","",SUM(Q$4:Q288)-SUM(R$4:R288)-SUM(S$4:S288))</f>
        <v/>
      </c>
      <c r="U288" s="56" t="str">
        <f aca="false">IF($W288="","",INDEX(发票统计!U$4:U$1003,$W288)&amp;"")</f>
        <v/>
      </c>
      <c r="W288" s="1" t="str">
        <f aca="false">IF($V$3="","",IFERROR(MATCH($V$3&amp;"#"&amp;ROWS(W$4:W288),发票统计!$W$4:$W$1003,0),""))</f>
        <v/>
      </c>
    </row>
    <row r="289" customFormat="false" ht="16.5" hidden="false" customHeight="false" outlineLevel="0" collapsed="false">
      <c r="A289" s="3" t="str">
        <f aca="false">IF($W289="","",INDEX(发票统计!A$4:A$1003,$W289)&amp;"")</f>
        <v/>
      </c>
      <c r="B289" s="3" t="str">
        <f aca="false">IF($W289="","",INDEX(发票统计!B$4:B$1003,$W289)&amp;"")</f>
        <v/>
      </c>
      <c r="C289" s="3" t="str">
        <f aca="false">IF($W289="","",INDEX(发票统计!C$4:C$1003,$W289)&amp;"")</f>
        <v/>
      </c>
      <c r="D289" s="3" t="str">
        <f aca="false">IF($W289="","",INDEX(发票统计!D$4:D$1003,$W289)&amp;"")</f>
        <v/>
      </c>
      <c r="E289" s="67" t="str">
        <f aca="false">IF($W289="","",INDEX(发票统计!E$4:E$1003,$W289)&amp;"")</f>
        <v/>
      </c>
      <c r="F289" s="68" t="str">
        <f aca="false">IF($W289="","",INDEX(发票统计!F$4:F$1003,$W289)&amp;"")</f>
        <v/>
      </c>
      <c r="G289" s="68" t="str">
        <f aca="false">IF($W289="","",IF(INDEX(发票统计!G$4:G$1003,$W289)="","",INDEX(发票统计!G$4:G$1003,$W289)))</f>
        <v/>
      </c>
      <c r="H289" s="56" t="str">
        <f aca="false">IF($W289="","",N(INDEX(发票统计!H$4:H$1003,$W289)))</f>
        <v/>
      </c>
      <c r="I289" s="56" t="str">
        <f aca="false">IF($W289="","",N(INDEX(发票统计!I$4:I$1003,$W289)))</f>
        <v/>
      </c>
      <c r="J289" s="56" t="str">
        <f aca="false">IF($W289="","",N(INDEX(发票统计!J$4:J$1003,$W289)))</f>
        <v/>
      </c>
      <c r="K289" s="56" t="str">
        <f aca="false">IF($W289="","",N(INDEX(发票统计!K$4:K$1003,$W289)))</f>
        <v/>
      </c>
      <c r="L289" s="56" t="str">
        <f aca="false">IF($W289="","",SUM(J$4:J289)-SUM(K$4:K289))</f>
        <v/>
      </c>
      <c r="M289" s="56" t="str">
        <f aca="false">IF($W289="","",N(INDEX(发票统计!M$4:M$1003,$W289)))</f>
        <v/>
      </c>
      <c r="N289" s="56" t="str">
        <f aca="false">IF($W289="","",N(INDEX(发票统计!N$4:N$1003,$W289)))</f>
        <v/>
      </c>
      <c r="O289" s="56" t="str">
        <f aca="false">IF($W289="","",N(INDEX(发票统计!O$4:O$1003,$W289)))</f>
        <v/>
      </c>
      <c r="P289" s="56" t="str">
        <f aca="false">IF($W289="","",SUM(M$4:M289)-SUM(N$4:N289)-SUM(O$4:O289))</f>
        <v/>
      </c>
      <c r="Q289" s="56" t="str">
        <f aca="false">IF($W289="","",N(INDEX(发票统计!Q$4:Q$1003,$W289)))</f>
        <v/>
      </c>
      <c r="R289" s="56" t="str">
        <f aca="false">IF($W289="","",N(INDEX(发票统计!R$4:R$1003,$W289)))</f>
        <v/>
      </c>
      <c r="S289" s="56" t="str">
        <f aca="false">IF($W289="","",N(INDEX(发票统计!S$4:S$1003,$W289)))</f>
        <v/>
      </c>
      <c r="T289" s="56" t="str">
        <f aca="false">IF($W289="","",SUM(Q$4:Q289)-SUM(R$4:R289)-SUM(S$4:S289))</f>
        <v/>
      </c>
      <c r="U289" s="56" t="str">
        <f aca="false">IF($W289="","",INDEX(发票统计!U$4:U$1003,$W289)&amp;"")</f>
        <v/>
      </c>
      <c r="W289" s="1" t="str">
        <f aca="false">IF($V$3="","",IFERROR(MATCH($V$3&amp;"#"&amp;ROWS(W$4:W289),发票统计!$W$4:$W$1003,0),""))</f>
        <v/>
      </c>
    </row>
    <row r="290" customFormat="false" ht="16.5" hidden="false" customHeight="false" outlineLevel="0" collapsed="false">
      <c r="A290" s="3" t="str">
        <f aca="false">IF($W290="","",INDEX(发票统计!A$4:A$1003,$W290)&amp;"")</f>
        <v/>
      </c>
      <c r="B290" s="3" t="str">
        <f aca="false">IF($W290="","",INDEX(发票统计!B$4:B$1003,$W290)&amp;"")</f>
        <v/>
      </c>
      <c r="C290" s="3" t="str">
        <f aca="false">IF($W290="","",INDEX(发票统计!C$4:C$1003,$W290)&amp;"")</f>
        <v/>
      </c>
      <c r="D290" s="3" t="str">
        <f aca="false">IF($W290="","",INDEX(发票统计!D$4:D$1003,$W290)&amp;"")</f>
        <v/>
      </c>
      <c r="E290" s="67" t="str">
        <f aca="false">IF($W290="","",INDEX(发票统计!E$4:E$1003,$W290)&amp;"")</f>
        <v/>
      </c>
      <c r="F290" s="68" t="str">
        <f aca="false">IF($W290="","",INDEX(发票统计!F$4:F$1003,$W290)&amp;"")</f>
        <v/>
      </c>
      <c r="G290" s="68" t="str">
        <f aca="false">IF($W290="","",IF(INDEX(发票统计!G$4:G$1003,$W290)="","",INDEX(发票统计!G$4:G$1003,$W290)))</f>
        <v/>
      </c>
      <c r="H290" s="56" t="str">
        <f aca="false">IF($W290="","",N(INDEX(发票统计!H$4:H$1003,$W290)))</f>
        <v/>
      </c>
      <c r="I290" s="56" t="str">
        <f aca="false">IF($W290="","",N(INDEX(发票统计!I$4:I$1003,$W290)))</f>
        <v/>
      </c>
      <c r="J290" s="56" t="str">
        <f aca="false">IF($W290="","",N(INDEX(发票统计!J$4:J$1003,$W290)))</f>
        <v/>
      </c>
      <c r="K290" s="56" t="str">
        <f aca="false">IF($W290="","",N(INDEX(发票统计!K$4:K$1003,$W290)))</f>
        <v/>
      </c>
      <c r="L290" s="56" t="str">
        <f aca="false">IF($W290="","",SUM(J$4:J290)-SUM(K$4:K290))</f>
        <v/>
      </c>
      <c r="M290" s="56" t="str">
        <f aca="false">IF($W290="","",N(INDEX(发票统计!M$4:M$1003,$W290)))</f>
        <v/>
      </c>
      <c r="N290" s="56" t="str">
        <f aca="false">IF($W290="","",N(INDEX(发票统计!N$4:N$1003,$W290)))</f>
        <v/>
      </c>
      <c r="O290" s="56" t="str">
        <f aca="false">IF($W290="","",N(INDEX(发票统计!O$4:O$1003,$W290)))</f>
        <v/>
      </c>
      <c r="P290" s="56" t="str">
        <f aca="false">IF($W290="","",SUM(M$4:M290)-SUM(N$4:N290)-SUM(O$4:O290))</f>
        <v/>
      </c>
      <c r="Q290" s="56" t="str">
        <f aca="false">IF($W290="","",N(INDEX(发票统计!Q$4:Q$1003,$W290)))</f>
        <v/>
      </c>
      <c r="R290" s="56" t="str">
        <f aca="false">IF($W290="","",N(INDEX(发票统计!R$4:R$1003,$W290)))</f>
        <v/>
      </c>
      <c r="S290" s="56" t="str">
        <f aca="false">IF($W290="","",N(INDEX(发票统计!S$4:S$1003,$W290)))</f>
        <v/>
      </c>
      <c r="T290" s="56" t="str">
        <f aca="false">IF($W290="","",SUM(Q$4:Q290)-SUM(R$4:R290)-SUM(S$4:S290))</f>
        <v/>
      </c>
      <c r="U290" s="56" t="str">
        <f aca="false">IF($W290="","",INDEX(发票统计!U$4:U$1003,$W290)&amp;"")</f>
        <v/>
      </c>
      <c r="W290" s="1" t="str">
        <f aca="false">IF($V$3="","",IFERROR(MATCH($V$3&amp;"#"&amp;ROWS(W$4:W290),发票统计!$W$4:$W$1003,0),""))</f>
        <v/>
      </c>
    </row>
    <row r="291" customFormat="false" ht="16.5" hidden="false" customHeight="false" outlineLevel="0" collapsed="false">
      <c r="A291" s="3" t="str">
        <f aca="false">IF($W291="","",INDEX(发票统计!A$4:A$1003,$W291)&amp;"")</f>
        <v/>
      </c>
      <c r="B291" s="3" t="str">
        <f aca="false">IF($W291="","",INDEX(发票统计!B$4:B$1003,$W291)&amp;"")</f>
        <v/>
      </c>
      <c r="C291" s="3" t="str">
        <f aca="false">IF($W291="","",INDEX(发票统计!C$4:C$1003,$W291)&amp;"")</f>
        <v/>
      </c>
      <c r="D291" s="3" t="str">
        <f aca="false">IF($W291="","",INDEX(发票统计!D$4:D$1003,$W291)&amp;"")</f>
        <v/>
      </c>
      <c r="E291" s="67" t="str">
        <f aca="false">IF($W291="","",INDEX(发票统计!E$4:E$1003,$W291)&amp;"")</f>
        <v/>
      </c>
      <c r="F291" s="68" t="str">
        <f aca="false">IF($W291="","",INDEX(发票统计!F$4:F$1003,$W291)&amp;"")</f>
        <v/>
      </c>
      <c r="G291" s="68" t="str">
        <f aca="false">IF($W291="","",IF(INDEX(发票统计!G$4:G$1003,$W291)="","",INDEX(发票统计!G$4:G$1003,$W291)))</f>
        <v/>
      </c>
      <c r="H291" s="56" t="str">
        <f aca="false">IF($W291="","",N(INDEX(发票统计!H$4:H$1003,$W291)))</f>
        <v/>
      </c>
      <c r="I291" s="56" t="str">
        <f aca="false">IF($W291="","",N(INDEX(发票统计!I$4:I$1003,$W291)))</f>
        <v/>
      </c>
      <c r="J291" s="56" t="str">
        <f aca="false">IF($W291="","",N(INDEX(发票统计!J$4:J$1003,$W291)))</f>
        <v/>
      </c>
      <c r="K291" s="56" t="str">
        <f aca="false">IF($W291="","",N(INDEX(发票统计!K$4:K$1003,$W291)))</f>
        <v/>
      </c>
      <c r="L291" s="56" t="str">
        <f aca="false">IF($W291="","",SUM(J$4:J291)-SUM(K$4:K291))</f>
        <v/>
      </c>
      <c r="M291" s="56" t="str">
        <f aca="false">IF($W291="","",N(INDEX(发票统计!M$4:M$1003,$W291)))</f>
        <v/>
      </c>
      <c r="N291" s="56" t="str">
        <f aca="false">IF($W291="","",N(INDEX(发票统计!N$4:N$1003,$W291)))</f>
        <v/>
      </c>
      <c r="O291" s="56" t="str">
        <f aca="false">IF($W291="","",N(INDEX(发票统计!O$4:O$1003,$W291)))</f>
        <v/>
      </c>
      <c r="P291" s="56" t="str">
        <f aca="false">IF($W291="","",SUM(M$4:M291)-SUM(N$4:N291)-SUM(O$4:O291))</f>
        <v/>
      </c>
      <c r="Q291" s="56" t="str">
        <f aca="false">IF($W291="","",N(INDEX(发票统计!Q$4:Q$1003,$W291)))</f>
        <v/>
      </c>
      <c r="R291" s="56" t="str">
        <f aca="false">IF($W291="","",N(INDEX(发票统计!R$4:R$1003,$W291)))</f>
        <v/>
      </c>
      <c r="S291" s="56" t="str">
        <f aca="false">IF($W291="","",N(INDEX(发票统计!S$4:S$1003,$W291)))</f>
        <v/>
      </c>
      <c r="T291" s="56" t="str">
        <f aca="false">IF($W291="","",SUM(Q$4:Q291)-SUM(R$4:R291)-SUM(S$4:S291))</f>
        <v/>
      </c>
      <c r="U291" s="56" t="str">
        <f aca="false">IF($W291="","",INDEX(发票统计!U$4:U$1003,$W291)&amp;"")</f>
        <v/>
      </c>
      <c r="W291" s="1" t="str">
        <f aca="false">IF($V$3="","",IFERROR(MATCH($V$3&amp;"#"&amp;ROWS(W$4:W291),发票统计!$W$4:$W$1003,0),""))</f>
        <v/>
      </c>
    </row>
    <row r="292" customFormat="false" ht="16.5" hidden="false" customHeight="false" outlineLevel="0" collapsed="false">
      <c r="A292" s="3" t="str">
        <f aca="false">IF($W292="","",INDEX(发票统计!A$4:A$1003,$W292)&amp;"")</f>
        <v/>
      </c>
      <c r="B292" s="3" t="str">
        <f aca="false">IF($W292="","",INDEX(发票统计!B$4:B$1003,$W292)&amp;"")</f>
        <v/>
      </c>
      <c r="C292" s="3" t="str">
        <f aca="false">IF($W292="","",INDEX(发票统计!C$4:C$1003,$W292)&amp;"")</f>
        <v/>
      </c>
      <c r="D292" s="3" t="str">
        <f aca="false">IF($W292="","",INDEX(发票统计!D$4:D$1003,$W292)&amp;"")</f>
        <v/>
      </c>
      <c r="E292" s="67" t="str">
        <f aca="false">IF($W292="","",INDEX(发票统计!E$4:E$1003,$W292)&amp;"")</f>
        <v/>
      </c>
      <c r="F292" s="68" t="str">
        <f aca="false">IF($W292="","",INDEX(发票统计!F$4:F$1003,$W292)&amp;"")</f>
        <v/>
      </c>
      <c r="G292" s="68" t="str">
        <f aca="false">IF($W292="","",IF(INDEX(发票统计!G$4:G$1003,$W292)="","",INDEX(发票统计!G$4:G$1003,$W292)))</f>
        <v/>
      </c>
      <c r="H292" s="56" t="str">
        <f aca="false">IF($W292="","",N(INDEX(发票统计!H$4:H$1003,$W292)))</f>
        <v/>
      </c>
      <c r="I292" s="56" t="str">
        <f aca="false">IF($W292="","",N(INDEX(发票统计!I$4:I$1003,$W292)))</f>
        <v/>
      </c>
      <c r="J292" s="56" t="str">
        <f aca="false">IF($W292="","",N(INDEX(发票统计!J$4:J$1003,$W292)))</f>
        <v/>
      </c>
      <c r="K292" s="56" t="str">
        <f aca="false">IF($W292="","",N(INDEX(发票统计!K$4:K$1003,$W292)))</f>
        <v/>
      </c>
      <c r="L292" s="56" t="str">
        <f aca="false">IF($W292="","",SUM(J$4:J292)-SUM(K$4:K292))</f>
        <v/>
      </c>
      <c r="M292" s="56" t="str">
        <f aca="false">IF($W292="","",N(INDEX(发票统计!M$4:M$1003,$W292)))</f>
        <v/>
      </c>
      <c r="N292" s="56" t="str">
        <f aca="false">IF($W292="","",N(INDEX(发票统计!N$4:N$1003,$W292)))</f>
        <v/>
      </c>
      <c r="O292" s="56" t="str">
        <f aca="false">IF($W292="","",N(INDEX(发票统计!O$4:O$1003,$W292)))</f>
        <v/>
      </c>
      <c r="P292" s="56" t="str">
        <f aca="false">IF($W292="","",SUM(M$4:M292)-SUM(N$4:N292)-SUM(O$4:O292))</f>
        <v/>
      </c>
      <c r="Q292" s="56" t="str">
        <f aca="false">IF($W292="","",N(INDEX(发票统计!Q$4:Q$1003,$W292)))</f>
        <v/>
      </c>
      <c r="R292" s="56" t="str">
        <f aca="false">IF($W292="","",N(INDEX(发票统计!R$4:R$1003,$W292)))</f>
        <v/>
      </c>
      <c r="S292" s="56" t="str">
        <f aca="false">IF($W292="","",N(INDEX(发票统计!S$4:S$1003,$W292)))</f>
        <v/>
      </c>
      <c r="T292" s="56" t="str">
        <f aca="false">IF($W292="","",SUM(Q$4:Q292)-SUM(R$4:R292)-SUM(S$4:S292))</f>
        <v/>
      </c>
      <c r="U292" s="56" t="str">
        <f aca="false">IF($W292="","",INDEX(发票统计!U$4:U$1003,$W292)&amp;"")</f>
        <v/>
      </c>
      <c r="W292" s="1" t="str">
        <f aca="false">IF($V$3="","",IFERROR(MATCH($V$3&amp;"#"&amp;ROWS(W$4:W292),发票统计!$W$4:$W$1003,0),""))</f>
        <v/>
      </c>
    </row>
    <row r="293" customFormat="false" ht="16.5" hidden="false" customHeight="false" outlineLevel="0" collapsed="false">
      <c r="A293" s="3" t="str">
        <f aca="false">IF($W293="","",INDEX(发票统计!A$4:A$1003,$W293)&amp;"")</f>
        <v/>
      </c>
      <c r="B293" s="3" t="str">
        <f aca="false">IF($W293="","",INDEX(发票统计!B$4:B$1003,$W293)&amp;"")</f>
        <v/>
      </c>
      <c r="C293" s="3" t="str">
        <f aca="false">IF($W293="","",INDEX(发票统计!C$4:C$1003,$W293)&amp;"")</f>
        <v/>
      </c>
      <c r="D293" s="3" t="str">
        <f aca="false">IF($W293="","",INDEX(发票统计!D$4:D$1003,$W293)&amp;"")</f>
        <v/>
      </c>
      <c r="E293" s="67" t="str">
        <f aca="false">IF($W293="","",INDEX(发票统计!E$4:E$1003,$W293)&amp;"")</f>
        <v/>
      </c>
      <c r="F293" s="68" t="str">
        <f aca="false">IF($W293="","",INDEX(发票统计!F$4:F$1003,$W293)&amp;"")</f>
        <v/>
      </c>
      <c r="G293" s="68" t="str">
        <f aca="false">IF($W293="","",IF(INDEX(发票统计!G$4:G$1003,$W293)="","",INDEX(发票统计!G$4:G$1003,$W293)))</f>
        <v/>
      </c>
      <c r="H293" s="56" t="str">
        <f aca="false">IF($W293="","",N(INDEX(发票统计!H$4:H$1003,$W293)))</f>
        <v/>
      </c>
      <c r="I293" s="56" t="str">
        <f aca="false">IF($W293="","",N(INDEX(发票统计!I$4:I$1003,$W293)))</f>
        <v/>
      </c>
      <c r="J293" s="56" t="str">
        <f aca="false">IF($W293="","",N(INDEX(发票统计!J$4:J$1003,$W293)))</f>
        <v/>
      </c>
      <c r="K293" s="56" t="str">
        <f aca="false">IF($W293="","",N(INDEX(发票统计!K$4:K$1003,$W293)))</f>
        <v/>
      </c>
      <c r="L293" s="56" t="str">
        <f aca="false">IF($W293="","",SUM(J$4:J293)-SUM(K$4:K293))</f>
        <v/>
      </c>
      <c r="M293" s="56" t="str">
        <f aca="false">IF($W293="","",N(INDEX(发票统计!M$4:M$1003,$W293)))</f>
        <v/>
      </c>
      <c r="N293" s="56" t="str">
        <f aca="false">IF($W293="","",N(INDEX(发票统计!N$4:N$1003,$W293)))</f>
        <v/>
      </c>
      <c r="O293" s="56" t="str">
        <f aca="false">IF($W293="","",N(INDEX(发票统计!O$4:O$1003,$W293)))</f>
        <v/>
      </c>
      <c r="P293" s="56" t="str">
        <f aca="false">IF($W293="","",SUM(M$4:M293)-SUM(N$4:N293)-SUM(O$4:O293))</f>
        <v/>
      </c>
      <c r="Q293" s="56" t="str">
        <f aca="false">IF($W293="","",N(INDEX(发票统计!Q$4:Q$1003,$W293)))</f>
        <v/>
      </c>
      <c r="R293" s="56" t="str">
        <f aca="false">IF($W293="","",N(INDEX(发票统计!R$4:R$1003,$W293)))</f>
        <v/>
      </c>
      <c r="S293" s="56" t="str">
        <f aca="false">IF($W293="","",N(INDEX(发票统计!S$4:S$1003,$W293)))</f>
        <v/>
      </c>
      <c r="T293" s="56" t="str">
        <f aca="false">IF($W293="","",SUM(Q$4:Q293)-SUM(R$4:R293)-SUM(S$4:S293))</f>
        <v/>
      </c>
      <c r="U293" s="56" t="str">
        <f aca="false">IF($W293="","",INDEX(发票统计!U$4:U$1003,$W293)&amp;"")</f>
        <v/>
      </c>
      <c r="W293" s="1" t="str">
        <f aca="false">IF($V$3="","",IFERROR(MATCH($V$3&amp;"#"&amp;ROWS(W$4:W293),发票统计!$W$4:$W$1003,0),""))</f>
        <v/>
      </c>
    </row>
    <row r="294" customFormat="false" ht="16.5" hidden="false" customHeight="false" outlineLevel="0" collapsed="false">
      <c r="A294" s="3" t="str">
        <f aca="false">IF($W294="","",INDEX(发票统计!A$4:A$1003,$W294)&amp;"")</f>
        <v/>
      </c>
      <c r="B294" s="3" t="str">
        <f aca="false">IF($W294="","",INDEX(发票统计!B$4:B$1003,$W294)&amp;"")</f>
        <v/>
      </c>
      <c r="C294" s="3" t="str">
        <f aca="false">IF($W294="","",INDEX(发票统计!C$4:C$1003,$W294)&amp;"")</f>
        <v/>
      </c>
      <c r="D294" s="3" t="str">
        <f aca="false">IF($W294="","",INDEX(发票统计!D$4:D$1003,$W294)&amp;"")</f>
        <v/>
      </c>
      <c r="E294" s="67" t="str">
        <f aca="false">IF($W294="","",INDEX(发票统计!E$4:E$1003,$W294)&amp;"")</f>
        <v/>
      </c>
      <c r="F294" s="68" t="str">
        <f aca="false">IF($W294="","",INDEX(发票统计!F$4:F$1003,$W294)&amp;"")</f>
        <v/>
      </c>
      <c r="G294" s="68" t="str">
        <f aca="false">IF($W294="","",IF(INDEX(发票统计!G$4:G$1003,$W294)="","",INDEX(发票统计!G$4:G$1003,$W294)))</f>
        <v/>
      </c>
      <c r="H294" s="56" t="str">
        <f aca="false">IF($W294="","",N(INDEX(发票统计!H$4:H$1003,$W294)))</f>
        <v/>
      </c>
      <c r="I294" s="56" t="str">
        <f aca="false">IF($W294="","",N(INDEX(发票统计!I$4:I$1003,$W294)))</f>
        <v/>
      </c>
      <c r="J294" s="56" t="str">
        <f aca="false">IF($W294="","",N(INDEX(发票统计!J$4:J$1003,$W294)))</f>
        <v/>
      </c>
      <c r="K294" s="56" t="str">
        <f aca="false">IF($W294="","",N(INDEX(发票统计!K$4:K$1003,$W294)))</f>
        <v/>
      </c>
      <c r="L294" s="56" t="str">
        <f aca="false">IF($W294="","",SUM(J$4:J294)-SUM(K$4:K294))</f>
        <v/>
      </c>
      <c r="M294" s="56" t="str">
        <f aca="false">IF($W294="","",N(INDEX(发票统计!M$4:M$1003,$W294)))</f>
        <v/>
      </c>
      <c r="N294" s="56" t="str">
        <f aca="false">IF($W294="","",N(INDEX(发票统计!N$4:N$1003,$W294)))</f>
        <v/>
      </c>
      <c r="O294" s="56" t="str">
        <f aca="false">IF($W294="","",N(INDEX(发票统计!O$4:O$1003,$W294)))</f>
        <v/>
      </c>
      <c r="P294" s="56" t="str">
        <f aca="false">IF($W294="","",SUM(M$4:M294)-SUM(N$4:N294)-SUM(O$4:O294))</f>
        <v/>
      </c>
      <c r="Q294" s="56" t="str">
        <f aca="false">IF($W294="","",N(INDEX(发票统计!Q$4:Q$1003,$W294)))</f>
        <v/>
      </c>
      <c r="R294" s="56" t="str">
        <f aca="false">IF($W294="","",N(INDEX(发票统计!R$4:R$1003,$W294)))</f>
        <v/>
      </c>
      <c r="S294" s="56" t="str">
        <f aca="false">IF($W294="","",N(INDEX(发票统计!S$4:S$1003,$W294)))</f>
        <v/>
      </c>
      <c r="T294" s="56" t="str">
        <f aca="false">IF($W294="","",SUM(Q$4:Q294)-SUM(R$4:R294)-SUM(S$4:S294))</f>
        <v/>
      </c>
      <c r="U294" s="56" t="str">
        <f aca="false">IF($W294="","",INDEX(发票统计!U$4:U$1003,$W294)&amp;"")</f>
        <v/>
      </c>
      <c r="W294" s="1" t="str">
        <f aca="false">IF($V$3="","",IFERROR(MATCH($V$3&amp;"#"&amp;ROWS(W$4:W294),发票统计!$W$4:$W$1003,0),""))</f>
        <v/>
      </c>
    </row>
    <row r="295" customFormat="false" ht="16.5" hidden="false" customHeight="false" outlineLevel="0" collapsed="false">
      <c r="A295" s="3" t="str">
        <f aca="false">IF($W295="","",INDEX(发票统计!A$4:A$1003,$W295)&amp;"")</f>
        <v/>
      </c>
      <c r="B295" s="3" t="str">
        <f aca="false">IF($W295="","",INDEX(发票统计!B$4:B$1003,$W295)&amp;"")</f>
        <v/>
      </c>
      <c r="C295" s="3" t="str">
        <f aca="false">IF($W295="","",INDEX(发票统计!C$4:C$1003,$W295)&amp;"")</f>
        <v/>
      </c>
      <c r="D295" s="3" t="str">
        <f aca="false">IF($W295="","",INDEX(发票统计!D$4:D$1003,$W295)&amp;"")</f>
        <v/>
      </c>
      <c r="E295" s="67" t="str">
        <f aca="false">IF($W295="","",INDEX(发票统计!E$4:E$1003,$W295)&amp;"")</f>
        <v/>
      </c>
      <c r="F295" s="68" t="str">
        <f aca="false">IF($W295="","",INDEX(发票统计!F$4:F$1003,$W295)&amp;"")</f>
        <v/>
      </c>
      <c r="G295" s="68" t="str">
        <f aca="false">IF($W295="","",IF(INDEX(发票统计!G$4:G$1003,$W295)="","",INDEX(发票统计!G$4:G$1003,$W295)))</f>
        <v/>
      </c>
      <c r="H295" s="56" t="str">
        <f aca="false">IF($W295="","",N(INDEX(发票统计!H$4:H$1003,$W295)))</f>
        <v/>
      </c>
      <c r="I295" s="56" t="str">
        <f aca="false">IF($W295="","",N(INDEX(发票统计!I$4:I$1003,$W295)))</f>
        <v/>
      </c>
      <c r="J295" s="56" t="str">
        <f aca="false">IF($W295="","",N(INDEX(发票统计!J$4:J$1003,$W295)))</f>
        <v/>
      </c>
      <c r="K295" s="56" t="str">
        <f aca="false">IF($W295="","",N(INDEX(发票统计!K$4:K$1003,$W295)))</f>
        <v/>
      </c>
      <c r="L295" s="56" t="str">
        <f aca="false">IF($W295="","",SUM(J$4:J295)-SUM(K$4:K295))</f>
        <v/>
      </c>
      <c r="M295" s="56" t="str">
        <f aca="false">IF($W295="","",N(INDEX(发票统计!M$4:M$1003,$W295)))</f>
        <v/>
      </c>
      <c r="N295" s="56" t="str">
        <f aca="false">IF($W295="","",N(INDEX(发票统计!N$4:N$1003,$W295)))</f>
        <v/>
      </c>
      <c r="O295" s="56" t="str">
        <f aca="false">IF($W295="","",N(INDEX(发票统计!O$4:O$1003,$W295)))</f>
        <v/>
      </c>
      <c r="P295" s="56" t="str">
        <f aca="false">IF($W295="","",SUM(M$4:M295)-SUM(N$4:N295)-SUM(O$4:O295))</f>
        <v/>
      </c>
      <c r="Q295" s="56" t="str">
        <f aca="false">IF($W295="","",N(INDEX(发票统计!Q$4:Q$1003,$W295)))</f>
        <v/>
      </c>
      <c r="R295" s="56" t="str">
        <f aca="false">IF($W295="","",N(INDEX(发票统计!R$4:R$1003,$W295)))</f>
        <v/>
      </c>
      <c r="S295" s="56" t="str">
        <f aca="false">IF($W295="","",N(INDEX(发票统计!S$4:S$1003,$W295)))</f>
        <v/>
      </c>
      <c r="T295" s="56" t="str">
        <f aca="false">IF($W295="","",SUM(Q$4:Q295)-SUM(R$4:R295)-SUM(S$4:S295))</f>
        <v/>
      </c>
      <c r="U295" s="56" t="str">
        <f aca="false">IF($W295="","",INDEX(发票统计!U$4:U$1003,$W295)&amp;"")</f>
        <v/>
      </c>
      <c r="W295" s="1" t="str">
        <f aca="false">IF($V$3="","",IFERROR(MATCH($V$3&amp;"#"&amp;ROWS(W$4:W295),发票统计!$W$4:$W$1003,0),""))</f>
        <v/>
      </c>
    </row>
    <row r="296" customFormat="false" ht="16.5" hidden="false" customHeight="false" outlineLevel="0" collapsed="false">
      <c r="A296" s="3" t="str">
        <f aca="false">IF($W296="","",INDEX(发票统计!A$4:A$1003,$W296)&amp;"")</f>
        <v/>
      </c>
      <c r="B296" s="3" t="str">
        <f aca="false">IF($W296="","",INDEX(发票统计!B$4:B$1003,$W296)&amp;"")</f>
        <v/>
      </c>
      <c r="C296" s="3" t="str">
        <f aca="false">IF($W296="","",INDEX(发票统计!C$4:C$1003,$W296)&amp;"")</f>
        <v/>
      </c>
      <c r="D296" s="3" t="str">
        <f aca="false">IF($W296="","",INDEX(发票统计!D$4:D$1003,$W296)&amp;"")</f>
        <v/>
      </c>
      <c r="E296" s="67" t="str">
        <f aca="false">IF($W296="","",INDEX(发票统计!E$4:E$1003,$W296)&amp;"")</f>
        <v/>
      </c>
      <c r="F296" s="68" t="str">
        <f aca="false">IF($W296="","",INDEX(发票统计!F$4:F$1003,$W296)&amp;"")</f>
        <v/>
      </c>
      <c r="G296" s="68" t="str">
        <f aca="false">IF($W296="","",IF(INDEX(发票统计!G$4:G$1003,$W296)="","",INDEX(发票统计!G$4:G$1003,$W296)))</f>
        <v/>
      </c>
      <c r="H296" s="56" t="str">
        <f aca="false">IF($W296="","",N(INDEX(发票统计!H$4:H$1003,$W296)))</f>
        <v/>
      </c>
      <c r="I296" s="56" t="str">
        <f aca="false">IF($W296="","",N(INDEX(发票统计!I$4:I$1003,$W296)))</f>
        <v/>
      </c>
      <c r="J296" s="56" t="str">
        <f aca="false">IF($W296="","",N(INDEX(发票统计!J$4:J$1003,$W296)))</f>
        <v/>
      </c>
      <c r="K296" s="56" t="str">
        <f aca="false">IF($W296="","",N(INDEX(发票统计!K$4:K$1003,$W296)))</f>
        <v/>
      </c>
      <c r="L296" s="56" t="str">
        <f aca="false">IF($W296="","",SUM(J$4:J296)-SUM(K$4:K296))</f>
        <v/>
      </c>
      <c r="M296" s="56" t="str">
        <f aca="false">IF($W296="","",N(INDEX(发票统计!M$4:M$1003,$W296)))</f>
        <v/>
      </c>
      <c r="N296" s="56" t="str">
        <f aca="false">IF($W296="","",N(INDEX(发票统计!N$4:N$1003,$W296)))</f>
        <v/>
      </c>
      <c r="O296" s="56" t="str">
        <f aca="false">IF($W296="","",N(INDEX(发票统计!O$4:O$1003,$W296)))</f>
        <v/>
      </c>
      <c r="P296" s="56" t="str">
        <f aca="false">IF($W296="","",SUM(M$4:M296)-SUM(N$4:N296)-SUM(O$4:O296))</f>
        <v/>
      </c>
      <c r="Q296" s="56" t="str">
        <f aca="false">IF($W296="","",N(INDEX(发票统计!Q$4:Q$1003,$W296)))</f>
        <v/>
      </c>
      <c r="R296" s="56" t="str">
        <f aca="false">IF($W296="","",N(INDEX(发票统计!R$4:R$1003,$W296)))</f>
        <v/>
      </c>
      <c r="S296" s="56" t="str">
        <f aca="false">IF($W296="","",N(INDEX(发票统计!S$4:S$1003,$W296)))</f>
        <v/>
      </c>
      <c r="T296" s="56" t="str">
        <f aca="false">IF($W296="","",SUM(Q$4:Q296)-SUM(R$4:R296)-SUM(S$4:S296))</f>
        <v/>
      </c>
      <c r="U296" s="56" t="str">
        <f aca="false">IF($W296="","",INDEX(发票统计!U$4:U$1003,$W296)&amp;"")</f>
        <v/>
      </c>
      <c r="W296" s="1" t="str">
        <f aca="false">IF($V$3="","",IFERROR(MATCH($V$3&amp;"#"&amp;ROWS(W$4:W296),发票统计!$W$4:$W$1003,0),""))</f>
        <v/>
      </c>
    </row>
    <row r="297" customFormat="false" ht="16.5" hidden="false" customHeight="false" outlineLevel="0" collapsed="false">
      <c r="A297" s="3" t="str">
        <f aca="false">IF($W297="","",INDEX(发票统计!A$4:A$1003,$W297)&amp;"")</f>
        <v/>
      </c>
      <c r="B297" s="3" t="str">
        <f aca="false">IF($W297="","",INDEX(发票统计!B$4:B$1003,$W297)&amp;"")</f>
        <v/>
      </c>
      <c r="C297" s="3" t="str">
        <f aca="false">IF($W297="","",INDEX(发票统计!C$4:C$1003,$W297)&amp;"")</f>
        <v/>
      </c>
      <c r="D297" s="3" t="str">
        <f aca="false">IF($W297="","",INDEX(发票统计!D$4:D$1003,$W297)&amp;"")</f>
        <v/>
      </c>
      <c r="E297" s="67" t="str">
        <f aca="false">IF($W297="","",INDEX(发票统计!E$4:E$1003,$W297)&amp;"")</f>
        <v/>
      </c>
      <c r="F297" s="68" t="str">
        <f aca="false">IF($W297="","",INDEX(发票统计!F$4:F$1003,$W297)&amp;"")</f>
        <v/>
      </c>
      <c r="G297" s="68" t="str">
        <f aca="false">IF($W297="","",IF(INDEX(发票统计!G$4:G$1003,$W297)="","",INDEX(发票统计!G$4:G$1003,$W297)))</f>
        <v/>
      </c>
      <c r="H297" s="56" t="str">
        <f aca="false">IF($W297="","",N(INDEX(发票统计!H$4:H$1003,$W297)))</f>
        <v/>
      </c>
      <c r="I297" s="56" t="str">
        <f aca="false">IF($W297="","",N(INDEX(发票统计!I$4:I$1003,$W297)))</f>
        <v/>
      </c>
      <c r="J297" s="56" t="str">
        <f aca="false">IF($W297="","",N(INDEX(发票统计!J$4:J$1003,$W297)))</f>
        <v/>
      </c>
      <c r="K297" s="56" t="str">
        <f aca="false">IF($W297="","",N(INDEX(发票统计!K$4:K$1003,$W297)))</f>
        <v/>
      </c>
      <c r="L297" s="56" t="str">
        <f aca="false">IF($W297="","",SUM(J$4:J297)-SUM(K$4:K297))</f>
        <v/>
      </c>
      <c r="M297" s="56" t="str">
        <f aca="false">IF($W297="","",N(INDEX(发票统计!M$4:M$1003,$W297)))</f>
        <v/>
      </c>
      <c r="N297" s="56" t="str">
        <f aca="false">IF($W297="","",N(INDEX(发票统计!N$4:N$1003,$W297)))</f>
        <v/>
      </c>
      <c r="O297" s="56" t="str">
        <f aca="false">IF($W297="","",N(INDEX(发票统计!O$4:O$1003,$W297)))</f>
        <v/>
      </c>
      <c r="P297" s="56" t="str">
        <f aca="false">IF($W297="","",SUM(M$4:M297)-SUM(N$4:N297)-SUM(O$4:O297))</f>
        <v/>
      </c>
      <c r="Q297" s="56" t="str">
        <f aca="false">IF($W297="","",N(INDEX(发票统计!Q$4:Q$1003,$W297)))</f>
        <v/>
      </c>
      <c r="R297" s="56" t="str">
        <f aca="false">IF($W297="","",N(INDEX(发票统计!R$4:R$1003,$W297)))</f>
        <v/>
      </c>
      <c r="S297" s="56" t="str">
        <f aca="false">IF($W297="","",N(INDEX(发票统计!S$4:S$1003,$W297)))</f>
        <v/>
      </c>
      <c r="T297" s="56" t="str">
        <f aca="false">IF($W297="","",SUM(Q$4:Q297)-SUM(R$4:R297)-SUM(S$4:S297))</f>
        <v/>
      </c>
      <c r="U297" s="56" t="str">
        <f aca="false">IF($W297="","",INDEX(发票统计!U$4:U$1003,$W297)&amp;"")</f>
        <v/>
      </c>
      <c r="W297" s="1" t="str">
        <f aca="false">IF($V$3="","",IFERROR(MATCH($V$3&amp;"#"&amp;ROWS(W$4:W297),发票统计!$W$4:$W$1003,0),""))</f>
        <v/>
      </c>
    </row>
    <row r="298" customFormat="false" ht="16.5" hidden="false" customHeight="false" outlineLevel="0" collapsed="false">
      <c r="A298" s="3" t="str">
        <f aca="false">IF($W298="","",INDEX(发票统计!A$4:A$1003,$W298)&amp;"")</f>
        <v/>
      </c>
      <c r="B298" s="3" t="str">
        <f aca="false">IF($W298="","",INDEX(发票统计!B$4:B$1003,$W298)&amp;"")</f>
        <v/>
      </c>
      <c r="C298" s="3" t="str">
        <f aca="false">IF($W298="","",INDEX(发票统计!C$4:C$1003,$W298)&amp;"")</f>
        <v/>
      </c>
      <c r="D298" s="3" t="str">
        <f aca="false">IF($W298="","",INDEX(发票统计!D$4:D$1003,$W298)&amp;"")</f>
        <v/>
      </c>
      <c r="E298" s="67" t="str">
        <f aca="false">IF($W298="","",INDEX(发票统计!E$4:E$1003,$W298)&amp;"")</f>
        <v/>
      </c>
      <c r="F298" s="68" t="str">
        <f aca="false">IF($W298="","",INDEX(发票统计!F$4:F$1003,$W298)&amp;"")</f>
        <v/>
      </c>
      <c r="G298" s="68" t="str">
        <f aca="false">IF($W298="","",IF(INDEX(发票统计!G$4:G$1003,$W298)="","",INDEX(发票统计!G$4:G$1003,$W298)))</f>
        <v/>
      </c>
      <c r="H298" s="56" t="str">
        <f aca="false">IF($W298="","",N(INDEX(发票统计!H$4:H$1003,$W298)))</f>
        <v/>
      </c>
      <c r="I298" s="56" t="str">
        <f aca="false">IF($W298="","",N(INDEX(发票统计!I$4:I$1003,$W298)))</f>
        <v/>
      </c>
      <c r="J298" s="56" t="str">
        <f aca="false">IF($W298="","",N(INDEX(发票统计!J$4:J$1003,$W298)))</f>
        <v/>
      </c>
      <c r="K298" s="56" t="str">
        <f aca="false">IF($W298="","",N(INDEX(发票统计!K$4:K$1003,$W298)))</f>
        <v/>
      </c>
      <c r="L298" s="56" t="str">
        <f aca="false">IF($W298="","",SUM(J$4:J298)-SUM(K$4:K298))</f>
        <v/>
      </c>
      <c r="M298" s="56" t="str">
        <f aca="false">IF($W298="","",N(INDEX(发票统计!M$4:M$1003,$W298)))</f>
        <v/>
      </c>
      <c r="N298" s="56" t="str">
        <f aca="false">IF($W298="","",N(INDEX(发票统计!N$4:N$1003,$W298)))</f>
        <v/>
      </c>
      <c r="O298" s="56" t="str">
        <f aca="false">IF($W298="","",N(INDEX(发票统计!O$4:O$1003,$W298)))</f>
        <v/>
      </c>
      <c r="P298" s="56" t="str">
        <f aca="false">IF($W298="","",SUM(M$4:M298)-SUM(N$4:N298)-SUM(O$4:O298))</f>
        <v/>
      </c>
      <c r="Q298" s="56" t="str">
        <f aca="false">IF($W298="","",N(INDEX(发票统计!Q$4:Q$1003,$W298)))</f>
        <v/>
      </c>
      <c r="R298" s="56" t="str">
        <f aca="false">IF($W298="","",N(INDEX(发票统计!R$4:R$1003,$W298)))</f>
        <v/>
      </c>
      <c r="S298" s="56" t="str">
        <f aca="false">IF($W298="","",N(INDEX(发票统计!S$4:S$1003,$W298)))</f>
        <v/>
      </c>
      <c r="T298" s="56" t="str">
        <f aca="false">IF($W298="","",SUM(Q$4:Q298)-SUM(R$4:R298)-SUM(S$4:S298))</f>
        <v/>
      </c>
      <c r="U298" s="56" t="str">
        <f aca="false">IF($W298="","",INDEX(发票统计!U$4:U$1003,$W298)&amp;"")</f>
        <v/>
      </c>
      <c r="W298" s="1" t="str">
        <f aca="false">IF($V$3="","",IFERROR(MATCH($V$3&amp;"#"&amp;ROWS(W$4:W298),发票统计!$W$4:$W$1003,0),""))</f>
        <v/>
      </c>
    </row>
    <row r="299" customFormat="false" ht="16.5" hidden="false" customHeight="false" outlineLevel="0" collapsed="false">
      <c r="A299" s="3" t="str">
        <f aca="false">IF($W299="","",INDEX(发票统计!A$4:A$1003,$W299)&amp;"")</f>
        <v/>
      </c>
      <c r="B299" s="3" t="str">
        <f aca="false">IF($W299="","",INDEX(发票统计!B$4:B$1003,$W299)&amp;"")</f>
        <v/>
      </c>
      <c r="C299" s="3" t="str">
        <f aca="false">IF($W299="","",INDEX(发票统计!C$4:C$1003,$W299)&amp;"")</f>
        <v/>
      </c>
      <c r="D299" s="3" t="str">
        <f aca="false">IF($W299="","",INDEX(发票统计!D$4:D$1003,$W299)&amp;"")</f>
        <v/>
      </c>
      <c r="E299" s="67" t="str">
        <f aca="false">IF($W299="","",INDEX(发票统计!E$4:E$1003,$W299)&amp;"")</f>
        <v/>
      </c>
      <c r="F299" s="68" t="str">
        <f aca="false">IF($W299="","",INDEX(发票统计!F$4:F$1003,$W299)&amp;"")</f>
        <v/>
      </c>
      <c r="G299" s="68" t="str">
        <f aca="false">IF($W299="","",IF(INDEX(发票统计!G$4:G$1003,$W299)="","",INDEX(发票统计!G$4:G$1003,$W299)))</f>
        <v/>
      </c>
      <c r="H299" s="56" t="str">
        <f aca="false">IF($W299="","",N(INDEX(发票统计!H$4:H$1003,$W299)))</f>
        <v/>
      </c>
      <c r="I299" s="56" t="str">
        <f aca="false">IF($W299="","",N(INDEX(发票统计!I$4:I$1003,$W299)))</f>
        <v/>
      </c>
      <c r="J299" s="56" t="str">
        <f aca="false">IF($W299="","",N(INDEX(发票统计!J$4:J$1003,$W299)))</f>
        <v/>
      </c>
      <c r="K299" s="56" t="str">
        <f aca="false">IF($W299="","",N(INDEX(发票统计!K$4:K$1003,$W299)))</f>
        <v/>
      </c>
      <c r="L299" s="56" t="str">
        <f aca="false">IF($W299="","",SUM(J$4:J299)-SUM(K$4:K299))</f>
        <v/>
      </c>
      <c r="M299" s="56" t="str">
        <f aca="false">IF($W299="","",N(INDEX(发票统计!M$4:M$1003,$W299)))</f>
        <v/>
      </c>
      <c r="N299" s="56" t="str">
        <f aca="false">IF($W299="","",N(INDEX(发票统计!N$4:N$1003,$W299)))</f>
        <v/>
      </c>
      <c r="O299" s="56" t="str">
        <f aca="false">IF($W299="","",N(INDEX(发票统计!O$4:O$1003,$W299)))</f>
        <v/>
      </c>
      <c r="P299" s="56" t="str">
        <f aca="false">IF($W299="","",SUM(M$4:M299)-SUM(N$4:N299)-SUM(O$4:O299))</f>
        <v/>
      </c>
      <c r="Q299" s="56" t="str">
        <f aca="false">IF($W299="","",N(INDEX(发票统计!Q$4:Q$1003,$W299)))</f>
        <v/>
      </c>
      <c r="R299" s="56" t="str">
        <f aca="false">IF($W299="","",N(INDEX(发票统计!R$4:R$1003,$W299)))</f>
        <v/>
      </c>
      <c r="S299" s="56" t="str">
        <f aca="false">IF($W299="","",N(INDEX(发票统计!S$4:S$1003,$W299)))</f>
        <v/>
      </c>
      <c r="T299" s="56" t="str">
        <f aca="false">IF($W299="","",SUM(Q$4:Q299)-SUM(R$4:R299)-SUM(S$4:S299))</f>
        <v/>
      </c>
      <c r="U299" s="56" t="str">
        <f aca="false">IF($W299="","",INDEX(发票统计!U$4:U$1003,$W299)&amp;"")</f>
        <v/>
      </c>
      <c r="W299" s="1" t="str">
        <f aca="false">IF($V$3="","",IFERROR(MATCH($V$3&amp;"#"&amp;ROWS(W$4:W299),发票统计!$W$4:$W$1003,0),""))</f>
        <v/>
      </c>
    </row>
    <row r="300" customFormat="false" ht="16.5" hidden="false" customHeight="false" outlineLevel="0" collapsed="false">
      <c r="A300" s="3" t="str">
        <f aca="false">IF($W300="","",INDEX(发票统计!A$4:A$1003,$W300)&amp;"")</f>
        <v/>
      </c>
      <c r="B300" s="3" t="str">
        <f aca="false">IF($W300="","",INDEX(发票统计!B$4:B$1003,$W300)&amp;"")</f>
        <v/>
      </c>
      <c r="C300" s="3" t="str">
        <f aca="false">IF($W300="","",INDEX(发票统计!C$4:C$1003,$W300)&amp;"")</f>
        <v/>
      </c>
      <c r="D300" s="3" t="str">
        <f aca="false">IF($W300="","",INDEX(发票统计!D$4:D$1003,$W300)&amp;"")</f>
        <v/>
      </c>
      <c r="E300" s="67" t="str">
        <f aca="false">IF($W300="","",INDEX(发票统计!E$4:E$1003,$W300)&amp;"")</f>
        <v/>
      </c>
      <c r="F300" s="68" t="str">
        <f aca="false">IF($W300="","",INDEX(发票统计!F$4:F$1003,$W300)&amp;"")</f>
        <v/>
      </c>
      <c r="G300" s="68" t="str">
        <f aca="false">IF($W300="","",IF(INDEX(发票统计!G$4:G$1003,$W300)="","",INDEX(发票统计!G$4:G$1003,$W300)))</f>
        <v/>
      </c>
      <c r="H300" s="56" t="str">
        <f aca="false">IF($W300="","",N(INDEX(发票统计!H$4:H$1003,$W300)))</f>
        <v/>
      </c>
      <c r="I300" s="56" t="str">
        <f aca="false">IF($W300="","",N(INDEX(发票统计!I$4:I$1003,$W300)))</f>
        <v/>
      </c>
      <c r="J300" s="56" t="str">
        <f aca="false">IF($W300="","",N(INDEX(发票统计!J$4:J$1003,$W300)))</f>
        <v/>
      </c>
      <c r="K300" s="56" t="str">
        <f aca="false">IF($W300="","",N(INDEX(发票统计!K$4:K$1003,$W300)))</f>
        <v/>
      </c>
      <c r="L300" s="56" t="str">
        <f aca="false">IF($W300="","",SUM(J$4:J300)-SUM(K$4:K300))</f>
        <v/>
      </c>
      <c r="M300" s="56" t="str">
        <f aca="false">IF($W300="","",N(INDEX(发票统计!M$4:M$1003,$W300)))</f>
        <v/>
      </c>
      <c r="N300" s="56" t="str">
        <f aca="false">IF($W300="","",N(INDEX(发票统计!N$4:N$1003,$W300)))</f>
        <v/>
      </c>
      <c r="O300" s="56" t="str">
        <f aca="false">IF($W300="","",N(INDEX(发票统计!O$4:O$1003,$W300)))</f>
        <v/>
      </c>
      <c r="P300" s="56" t="str">
        <f aca="false">IF($W300="","",SUM(M$4:M300)-SUM(N$4:N300)-SUM(O$4:O300))</f>
        <v/>
      </c>
      <c r="Q300" s="56" t="str">
        <f aca="false">IF($W300="","",N(INDEX(发票统计!Q$4:Q$1003,$W300)))</f>
        <v/>
      </c>
      <c r="R300" s="56" t="str">
        <f aca="false">IF($W300="","",N(INDEX(发票统计!R$4:R$1003,$W300)))</f>
        <v/>
      </c>
      <c r="S300" s="56" t="str">
        <f aca="false">IF($W300="","",N(INDEX(发票统计!S$4:S$1003,$W300)))</f>
        <v/>
      </c>
      <c r="T300" s="56" t="str">
        <f aca="false">IF($W300="","",SUM(Q$4:Q300)-SUM(R$4:R300)-SUM(S$4:S300))</f>
        <v/>
      </c>
      <c r="U300" s="56" t="str">
        <f aca="false">IF($W300="","",INDEX(发票统计!U$4:U$1003,$W300)&amp;"")</f>
        <v/>
      </c>
      <c r="W300" s="1" t="str">
        <f aca="false">IF($V$3="","",IFERROR(MATCH($V$3&amp;"#"&amp;ROWS(W$4:W300),发票统计!$W$4:$W$1003,0),""))</f>
        <v/>
      </c>
    </row>
    <row r="301" customFormat="false" ht="16.5" hidden="false" customHeight="false" outlineLevel="0" collapsed="false">
      <c r="A301" s="3" t="str">
        <f aca="false">IF($W301="","",INDEX(发票统计!A$4:A$1003,$W301)&amp;"")</f>
        <v/>
      </c>
      <c r="B301" s="3" t="str">
        <f aca="false">IF($W301="","",INDEX(发票统计!B$4:B$1003,$W301)&amp;"")</f>
        <v/>
      </c>
      <c r="C301" s="3" t="str">
        <f aca="false">IF($W301="","",INDEX(发票统计!C$4:C$1003,$W301)&amp;"")</f>
        <v/>
      </c>
      <c r="D301" s="3" t="str">
        <f aca="false">IF($W301="","",INDEX(发票统计!D$4:D$1003,$W301)&amp;"")</f>
        <v/>
      </c>
      <c r="E301" s="67" t="str">
        <f aca="false">IF($W301="","",INDEX(发票统计!E$4:E$1003,$W301)&amp;"")</f>
        <v/>
      </c>
      <c r="F301" s="68" t="str">
        <f aca="false">IF($W301="","",INDEX(发票统计!F$4:F$1003,$W301)&amp;"")</f>
        <v/>
      </c>
      <c r="G301" s="68" t="str">
        <f aca="false">IF($W301="","",IF(INDEX(发票统计!G$4:G$1003,$W301)="","",INDEX(发票统计!G$4:G$1003,$W301)))</f>
        <v/>
      </c>
      <c r="H301" s="56" t="str">
        <f aca="false">IF($W301="","",N(INDEX(发票统计!H$4:H$1003,$W301)))</f>
        <v/>
      </c>
      <c r="I301" s="56" t="str">
        <f aca="false">IF($W301="","",N(INDEX(发票统计!I$4:I$1003,$W301)))</f>
        <v/>
      </c>
      <c r="J301" s="56" t="str">
        <f aca="false">IF($W301="","",N(INDEX(发票统计!J$4:J$1003,$W301)))</f>
        <v/>
      </c>
      <c r="K301" s="56" t="str">
        <f aca="false">IF($W301="","",N(INDEX(发票统计!K$4:K$1003,$W301)))</f>
        <v/>
      </c>
      <c r="L301" s="56" t="str">
        <f aca="false">IF($W301="","",SUM(J$4:J301)-SUM(K$4:K301))</f>
        <v/>
      </c>
      <c r="M301" s="56" t="str">
        <f aca="false">IF($W301="","",N(INDEX(发票统计!M$4:M$1003,$W301)))</f>
        <v/>
      </c>
      <c r="N301" s="56" t="str">
        <f aca="false">IF($W301="","",N(INDEX(发票统计!N$4:N$1003,$W301)))</f>
        <v/>
      </c>
      <c r="O301" s="56" t="str">
        <f aca="false">IF($W301="","",N(INDEX(发票统计!O$4:O$1003,$W301)))</f>
        <v/>
      </c>
      <c r="P301" s="56" t="str">
        <f aca="false">IF($W301="","",SUM(M$4:M301)-SUM(N$4:N301)-SUM(O$4:O301))</f>
        <v/>
      </c>
      <c r="Q301" s="56" t="str">
        <f aca="false">IF($W301="","",N(INDEX(发票统计!Q$4:Q$1003,$W301)))</f>
        <v/>
      </c>
      <c r="R301" s="56" t="str">
        <f aca="false">IF($W301="","",N(INDEX(发票统计!R$4:R$1003,$W301)))</f>
        <v/>
      </c>
      <c r="S301" s="56" t="str">
        <f aca="false">IF($W301="","",N(INDEX(发票统计!S$4:S$1003,$W301)))</f>
        <v/>
      </c>
      <c r="T301" s="56" t="str">
        <f aca="false">IF($W301="","",SUM(Q$4:Q301)-SUM(R$4:R301)-SUM(S$4:S301))</f>
        <v/>
      </c>
      <c r="U301" s="56" t="str">
        <f aca="false">IF($W301="","",INDEX(发票统计!U$4:U$1003,$W301)&amp;"")</f>
        <v/>
      </c>
      <c r="W301" s="1" t="str">
        <f aca="false">IF($V$3="","",IFERROR(MATCH($V$3&amp;"#"&amp;ROWS(W$4:W301),发票统计!$W$4:$W$1003,0),""))</f>
        <v/>
      </c>
    </row>
    <row r="302" customFormat="false" ht="16.5" hidden="false" customHeight="false" outlineLevel="0" collapsed="false">
      <c r="A302" s="3" t="str">
        <f aca="false">IF($W302="","",INDEX(发票统计!A$4:A$1003,$W302)&amp;"")</f>
        <v/>
      </c>
      <c r="B302" s="3" t="str">
        <f aca="false">IF($W302="","",INDEX(发票统计!B$4:B$1003,$W302)&amp;"")</f>
        <v/>
      </c>
      <c r="C302" s="3" t="str">
        <f aca="false">IF($W302="","",INDEX(发票统计!C$4:C$1003,$W302)&amp;"")</f>
        <v/>
      </c>
      <c r="D302" s="3" t="str">
        <f aca="false">IF($W302="","",INDEX(发票统计!D$4:D$1003,$W302)&amp;"")</f>
        <v/>
      </c>
      <c r="E302" s="67" t="str">
        <f aca="false">IF($W302="","",INDEX(发票统计!E$4:E$1003,$W302)&amp;"")</f>
        <v/>
      </c>
      <c r="F302" s="68" t="str">
        <f aca="false">IF($W302="","",INDEX(发票统计!F$4:F$1003,$W302)&amp;"")</f>
        <v/>
      </c>
      <c r="G302" s="68" t="str">
        <f aca="false">IF($W302="","",IF(INDEX(发票统计!G$4:G$1003,$W302)="","",INDEX(发票统计!G$4:G$1003,$W302)))</f>
        <v/>
      </c>
      <c r="H302" s="56" t="str">
        <f aca="false">IF($W302="","",N(INDEX(发票统计!H$4:H$1003,$W302)))</f>
        <v/>
      </c>
      <c r="I302" s="56" t="str">
        <f aca="false">IF($W302="","",N(INDEX(发票统计!I$4:I$1003,$W302)))</f>
        <v/>
      </c>
      <c r="J302" s="56" t="str">
        <f aca="false">IF($W302="","",N(INDEX(发票统计!J$4:J$1003,$W302)))</f>
        <v/>
      </c>
      <c r="K302" s="56" t="str">
        <f aca="false">IF($W302="","",N(INDEX(发票统计!K$4:K$1003,$W302)))</f>
        <v/>
      </c>
      <c r="L302" s="56" t="str">
        <f aca="false">IF($W302="","",SUM(J$4:J302)-SUM(K$4:K302))</f>
        <v/>
      </c>
      <c r="M302" s="56" t="str">
        <f aca="false">IF($W302="","",N(INDEX(发票统计!M$4:M$1003,$W302)))</f>
        <v/>
      </c>
      <c r="N302" s="56" t="str">
        <f aca="false">IF($W302="","",N(INDEX(发票统计!N$4:N$1003,$W302)))</f>
        <v/>
      </c>
      <c r="O302" s="56" t="str">
        <f aca="false">IF($W302="","",N(INDEX(发票统计!O$4:O$1003,$W302)))</f>
        <v/>
      </c>
      <c r="P302" s="56" t="str">
        <f aca="false">IF($W302="","",SUM(M$4:M302)-SUM(N$4:N302)-SUM(O$4:O302))</f>
        <v/>
      </c>
      <c r="Q302" s="56" t="str">
        <f aca="false">IF($W302="","",N(INDEX(发票统计!Q$4:Q$1003,$W302)))</f>
        <v/>
      </c>
      <c r="R302" s="56" t="str">
        <f aca="false">IF($W302="","",N(INDEX(发票统计!R$4:R$1003,$W302)))</f>
        <v/>
      </c>
      <c r="S302" s="56" t="str">
        <f aca="false">IF($W302="","",N(INDEX(发票统计!S$4:S$1003,$W302)))</f>
        <v/>
      </c>
      <c r="T302" s="56" t="str">
        <f aca="false">IF($W302="","",SUM(Q$4:Q302)-SUM(R$4:R302)-SUM(S$4:S302))</f>
        <v/>
      </c>
      <c r="U302" s="56" t="str">
        <f aca="false">IF($W302="","",INDEX(发票统计!U$4:U$1003,$W302)&amp;"")</f>
        <v/>
      </c>
      <c r="W302" s="1" t="str">
        <f aca="false">IF($V$3="","",IFERROR(MATCH($V$3&amp;"#"&amp;ROWS(W$4:W302),发票统计!$W$4:$W$1003,0),""))</f>
        <v/>
      </c>
    </row>
    <row r="303" customFormat="false" ht="16.5" hidden="false" customHeight="false" outlineLevel="0" collapsed="false">
      <c r="A303" s="3" t="str">
        <f aca="false">IF($W303="","",INDEX(发票统计!A$4:A$1003,$W303)&amp;"")</f>
        <v/>
      </c>
      <c r="B303" s="3" t="str">
        <f aca="false">IF($W303="","",INDEX(发票统计!B$4:B$1003,$W303)&amp;"")</f>
        <v/>
      </c>
      <c r="C303" s="3" t="str">
        <f aca="false">IF($W303="","",INDEX(发票统计!C$4:C$1003,$W303)&amp;"")</f>
        <v/>
      </c>
      <c r="D303" s="3" t="str">
        <f aca="false">IF($W303="","",INDEX(发票统计!D$4:D$1003,$W303)&amp;"")</f>
        <v/>
      </c>
      <c r="E303" s="67" t="str">
        <f aca="false">IF($W303="","",INDEX(发票统计!E$4:E$1003,$W303)&amp;"")</f>
        <v/>
      </c>
      <c r="F303" s="68" t="str">
        <f aca="false">IF($W303="","",INDEX(发票统计!F$4:F$1003,$W303)&amp;"")</f>
        <v/>
      </c>
      <c r="G303" s="68" t="str">
        <f aca="false">IF($W303="","",IF(INDEX(发票统计!G$4:G$1003,$W303)="","",INDEX(发票统计!G$4:G$1003,$W303)))</f>
        <v/>
      </c>
      <c r="H303" s="56" t="str">
        <f aca="false">IF($W303="","",N(INDEX(发票统计!H$4:H$1003,$W303)))</f>
        <v/>
      </c>
      <c r="I303" s="56" t="str">
        <f aca="false">IF($W303="","",N(INDEX(发票统计!I$4:I$1003,$W303)))</f>
        <v/>
      </c>
      <c r="J303" s="56" t="str">
        <f aca="false">IF($W303="","",N(INDEX(发票统计!J$4:J$1003,$W303)))</f>
        <v/>
      </c>
      <c r="K303" s="56" t="str">
        <f aca="false">IF($W303="","",N(INDEX(发票统计!K$4:K$1003,$W303)))</f>
        <v/>
      </c>
      <c r="L303" s="56" t="str">
        <f aca="false">IF($W303="","",SUM(J$4:J303)-SUM(K$4:K303))</f>
        <v/>
      </c>
      <c r="M303" s="56" t="str">
        <f aca="false">IF($W303="","",N(INDEX(发票统计!M$4:M$1003,$W303)))</f>
        <v/>
      </c>
      <c r="N303" s="56" t="str">
        <f aca="false">IF($W303="","",N(INDEX(发票统计!N$4:N$1003,$W303)))</f>
        <v/>
      </c>
      <c r="O303" s="56" t="str">
        <f aca="false">IF($W303="","",N(INDEX(发票统计!O$4:O$1003,$W303)))</f>
        <v/>
      </c>
      <c r="P303" s="56" t="str">
        <f aca="false">IF($W303="","",SUM(M$4:M303)-SUM(N$4:N303)-SUM(O$4:O303))</f>
        <v/>
      </c>
      <c r="Q303" s="56" t="str">
        <f aca="false">IF($W303="","",N(INDEX(发票统计!Q$4:Q$1003,$W303)))</f>
        <v/>
      </c>
      <c r="R303" s="56" t="str">
        <f aca="false">IF($W303="","",N(INDEX(发票统计!R$4:R$1003,$W303)))</f>
        <v/>
      </c>
      <c r="S303" s="56" t="str">
        <f aca="false">IF($W303="","",N(INDEX(发票统计!S$4:S$1003,$W303)))</f>
        <v/>
      </c>
      <c r="T303" s="56" t="str">
        <f aca="false">IF($W303="","",SUM(Q$4:Q303)-SUM(R$4:R303)-SUM(S$4:S303))</f>
        <v/>
      </c>
      <c r="U303" s="56" t="str">
        <f aca="false">IF($W303="","",INDEX(发票统计!U$4:U$1003,$W303)&amp;"")</f>
        <v/>
      </c>
      <c r="W303" s="1" t="str">
        <f aca="false">IF($V$3="","",IFERROR(MATCH($V$3&amp;"#"&amp;ROWS(W$4:W303),发票统计!$W$4:$W$1003,0),""))</f>
        <v/>
      </c>
    </row>
  </sheetData>
  <autoFilter ref="A2:V36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3"/>
  <sheetViews>
    <sheetView showFormulas="false" showGridLines="true" showRowColHeaders="true" showZeros="true" rightToLeft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6.5" zeroHeight="false" outlineLevelRow="0" outlineLevelCol="0"/>
  <cols>
    <col collapsed="false" customWidth="true" hidden="false" outlineLevel="0" max="1" min="1" style="1" width="7.73"/>
    <col collapsed="false" customWidth="true" hidden="false" outlineLevel="0" max="2" min="2" style="1" width="5.73"/>
    <col collapsed="false" customWidth="true" hidden="true" outlineLevel="0" max="3" min="3" style="1" width="57.46"/>
    <col collapsed="false" customWidth="true" hidden="false" outlineLevel="0" max="4" min="4" style="1" width="44.82"/>
    <col collapsed="false" customWidth="true" hidden="false" outlineLevel="0" max="6" min="5" style="63" width="8.64"/>
    <col collapsed="false" customWidth="true" hidden="false" outlineLevel="0" max="7" min="7" style="64" width="7"/>
    <col collapsed="false" customWidth="true" hidden="false" outlineLevel="0" max="8" min="8" style="63" width="12.63"/>
    <col collapsed="false" customWidth="true" hidden="false" outlineLevel="0" max="9" min="9" style="63" width="11.27"/>
    <col collapsed="false" customWidth="true" hidden="false" outlineLevel="0" max="11" min="10" style="63" width="12.63"/>
    <col collapsed="false" customWidth="true" hidden="false" outlineLevel="0" max="12" min="12" style="63" width="13.91"/>
    <col collapsed="false" customWidth="true" hidden="false" outlineLevel="0" max="14" min="13" style="1" width="13.91"/>
    <col collapsed="false" customWidth="true" hidden="false" outlineLevel="0" max="15" min="15" style="1" width="12.54"/>
    <col collapsed="false" customWidth="true" hidden="false" outlineLevel="0" max="16" min="16" style="1" width="14.82"/>
    <col collapsed="false" customWidth="true" hidden="true" outlineLevel="0" max="17" min="17" style="1" width="14.82"/>
    <col collapsed="false" customWidth="true" hidden="true" outlineLevel="0" max="20" min="18" style="1" width="12.54"/>
    <col collapsed="false" customWidth="true" hidden="false" outlineLevel="0" max="21" min="21" style="1" width="26.73"/>
    <col collapsed="false" customWidth="true" hidden="false" outlineLevel="0" max="22" min="22" style="1" width="24"/>
    <col collapsed="false" customWidth="false" hidden="true" outlineLevel="0" max="23" min="23" style="1" width="9"/>
    <col collapsed="false" customWidth="false" hidden="false" outlineLevel="0" max="16379" min="24" style="1" width="9"/>
  </cols>
  <sheetData>
    <row r="1" customFormat="false" ht="48" hidden="false" customHeight="true" outlineLevel="0" collapsed="false">
      <c r="A1" s="65" t="s">
        <v>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="8" customFormat="true" ht="33" hidden="false" customHeight="true" outlineLevel="0" collapsed="false">
      <c r="A2" s="10" t="s">
        <v>148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66" t="s">
        <v>149</v>
      </c>
    </row>
    <row r="3" s="8" customFormat="true" ht="16.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SUM(H4:H303)</f>
        <v>107944.61</v>
      </c>
      <c r="I3" s="15" t="n">
        <f aca="false">SUM(I4:I303)</f>
        <v>0</v>
      </c>
      <c r="J3" s="15" t="n">
        <f aca="false">SUM(J4:J303)</f>
        <v>107944.61</v>
      </c>
      <c r="K3" s="15" t="n">
        <f aca="false">SUM(K4:K303)</f>
        <v>107944.61</v>
      </c>
      <c r="L3" s="15" t="n">
        <f aca="false">J3-K3</f>
        <v>0</v>
      </c>
      <c r="M3" s="15" t="n">
        <f aca="false">SUM(M4:M303)</f>
        <v>107944.61</v>
      </c>
      <c r="N3" s="15" t="n">
        <f aca="false">SUM(N4:N303)</f>
        <v>0</v>
      </c>
      <c r="O3" s="15" t="n">
        <f aca="false">SUM(O4:O303)</f>
        <v>0</v>
      </c>
      <c r="P3" s="15" t="n">
        <f aca="false">M3-N3-O3</f>
        <v>107944.61</v>
      </c>
      <c r="Q3" s="15" t="n">
        <f aca="false">SUM(Q4:Q303)</f>
        <v>0</v>
      </c>
      <c r="R3" s="15" t="n">
        <f aca="false">SUM(R4:R303)</f>
        <v>0</v>
      </c>
      <c r="S3" s="15" t="n">
        <f aca="false">SUM(S4:S303)</f>
        <v>0</v>
      </c>
      <c r="T3" s="15" t="n">
        <f aca="false">Q3-R3-S3</f>
        <v>0</v>
      </c>
      <c r="U3" s="15"/>
      <c r="V3" s="16" t="str">
        <f aca="true">IFERROR(MID(CELL("filename",$A$1),FIND("]",CELL("filename",$A$1))+1,99),IFERROR(SUBSTITUTE(MID(CELL("filename",$A$1),FIND("#$",CELL("filename",$A$1))+2,99),"'",""),""))</f>
        <v>淮阳站阳高线</v>
      </c>
    </row>
    <row r="4" customFormat="false" ht="16.5" hidden="false" customHeight="false" outlineLevel="0" collapsed="false">
      <c r="A4" s="3" t="str">
        <f aca="false">IF($W4="","",INDEX(发票统计!A$4:A$1003,$W4)&amp;"")</f>
        <v>淮阳站阳高线</v>
      </c>
      <c r="B4" s="3" t="str">
        <f aca="false">IF($W4="","",INDEX(发票统计!B$4:B$1003,$W4)&amp;"")</f>
        <v>3月</v>
      </c>
      <c r="C4" s="3" t="str">
        <f aca="false">IF($W4="","",INDEX(发票统计!C$4:C$1003,$W4)&amp;"")</f>
        <v>重庆铜梁110kV淮阳站阳高线10kV配套送出工程（安装）</v>
      </c>
      <c r="D4" s="3" t="str">
        <f aca="false">IF($W4="","",INDEX(发票统计!D$4:D$1003,$W4)&amp;"")</f>
        <v>2026.3.25新德润开票到民能：淮阳站阳高线</v>
      </c>
      <c r="E4" s="67" t="str">
        <f aca="false">IF($W4="","",INDEX(发票统计!E$4:E$1003,$W4)&amp;"")</f>
        <v>民能</v>
      </c>
      <c r="F4" s="68" t="str">
        <f aca="false">IF($W4="","",INDEX(发票统计!F$4:F$1003,$W4)&amp;"")</f>
        <v>3%专票</v>
      </c>
      <c r="G4" s="68" t="str">
        <f aca="false">IF($W4="","",IF(INDEX(发票统计!G$4:G$1003,$W4)="","",INDEX(发票统计!G$4:G$1003,$W4)))</f>
        <v/>
      </c>
      <c r="H4" s="56" t="n">
        <f aca="false">IF($W4="","",N(INDEX(发票统计!H$4:H$1003,$W4)))</f>
        <v>57824</v>
      </c>
      <c r="I4" s="56" t="n">
        <f aca="false">IF($W4="","",N(INDEX(发票统计!I$4:I$1003,$W4)))</f>
        <v>0</v>
      </c>
      <c r="J4" s="56" t="n">
        <f aca="false">IF($W4="","",N(INDEX(发票统计!J$4:J$1003,$W4)))</f>
        <v>57824</v>
      </c>
      <c r="K4" s="56" t="n">
        <f aca="false">IF($W4="","",N(INDEX(发票统计!K$4:K$1003,$W4)))</f>
        <v>57824</v>
      </c>
      <c r="L4" s="56" t="n">
        <f aca="false">IF($W4="","",SUM(J$4:J4)-SUM(K$4:K4))</f>
        <v>0</v>
      </c>
      <c r="M4" s="56" t="n">
        <f aca="false">IF($W4="","",N(INDEX(发票统计!M$4:M$1003,$W4)))</f>
        <v>57824</v>
      </c>
      <c r="N4" s="56" t="n">
        <f aca="false">IF($W4="","",N(INDEX(发票统计!N$4:N$1003,$W4)))</f>
        <v>0</v>
      </c>
      <c r="O4" s="56" t="n">
        <f aca="false">IF($W4="","",N(INDEX(发票统计!O$4:O$1003,$W4)))</f>
        <v>0</v>
      </c>
      <c r="P4" s="56" t="n">
        <f aca="false">IF($W4="","",SUM(M$4:M4)-SUM(N$4:N4)-SUM(O$4:O4))</f>
        <v>57824</v>
      </c>
      <c r="Q4" s="56" t="n">
        <f aca="false">IF($W4="","",N(INDEX(发票统计!Q$4:Q$1003,$W4)))</f>
        <v>0</v>
      </c>
      <c r="R4" s="56" t="n">
        <f aca="false">IF($W4="","",N(INDEX(发票统计!R$4:R$1003,$W4)))</f>
        <v>0</v>
      </c>
      <c r="S4" s="56" t="n">
        <f aca="false">IF($W4="","",N(INDEX(发票统计!S$4:S$1003,$W4)))</f>
        <v>0</v>
      </c>
      <c r="T4" s="56" t="n">
        <f aca="false">IF($W4="","",SUM(Q$4:Q4)-SUM(R$4:R4)-SUM(S$4:S4))</f>
        <v>0</v>
      </c>
      <c r="U4" s="56" t="str">
        <f aca="false">IF($W4="","",INDEX(发票统计!U$4:U$1003,$W4)&amp;"")</f>
        <v/>
      </c>
      <c r="V4" s="69" t="str">
        <f aca="false">IF($V$3="","⚠ 取不到表名，请在 V3 手填项目简称",IF(COUNTIF(发票统计!$A$4:$A$1003,$V$3)=0,"⚠ 发票统计里没有「"&amp;$V$3&amp;"」的行，表名要和目录里的简称一样",IF(COUNTIF(发票统计!$A$4:$A$1003,$V$3)&gt;300,"⚠ 本项目超过 300 行，后面的没显示","共 "&amp;COUNTIF(发票统计!$A$4:$A$1003,$V$3)&amp;" 笔")))</f>
        <v>共 2 笔</v>
      </c>
      <c r="W4" s="1" t="n">
        <f aca="false">IF($V$3="","",IFERROR(MATCH($V$3&amp;"#"&amp;ROWS(W$4:W4),发票统计!$W$4:$W$1003,0),""))</f>
        <v>1</v>
      </c>
    </row>
    <row r="5" customFormat="false" ht="16.5" hidden="false" customHeight="false" outlineLevel="0" collapsed="false">
      <c r="A5" s="3" t="str">
        <f aca="false">IF($W5="","",INDEX(发票统计!A$4:A$1003,$W5)&amp;"")</f>
        <v>淮阳站阳高线</v>
      </c>
      <c r="B5" s="3" t="str">
        <f aca="false">IF($W5="","",INDEX(发票统计!B$4:B$1003,$W5)&amp;"")</f>
        <v>3月</v>
      </c>
      <c r="C5" s="3" t="str">
        <f aca="false">IF($W5="","",INDEX(发票统计!C$4:C$1003,$W5)&amp;"")</f>
        <v>重庆铜梁110kV淮阳站阳高线10kV配套送出工程（安装）</v>
      </c>
      <c r="D5" s="3" t="str">
        <f aca="false">IF($W5="","",INDEX(发票统计!D$4:D$1003,$W5)&amp;"")</f>
        <v>2026.3.25张氏机电-新德润：淮阳站阳高线</v>
      </c>
      <c r="E5" s="67" t="str">
        <f aca="false">IF($W5="","",INDEX(发票统计!E$4:E$1003,$W5)&amp;"")</f>
        <v>新德润</v>
      </c>
      <c r="F5" s="68" t="str">
        <f aca="false">IF($W5="","",INDEX(发票统计!F$4:F$1003,$W5)&amp;"")</f>
        <v/>
      </c>
      <c r="G5" s="68" t="str">
        <f aca="false">IF($W5="","",IF(INDEX(发票统计!G$4:G$1003,$W5)="","",INDEX(发票统计!G$4:G$1003,$W5)))</f>
        <v/>
      </c>
      <c r="H5" s="56" t="n">
        <f aca="false">IF($W5="","",N(INDEX(发票统计!H$4:H$1003,$W5)))</f>
        <v>50120.61</v>
      </c>
      <c r="I5" s="56" t="n">
        <f aca="false">IF($W5="","",N(INDEX(发票统计!I$4:I$1003,$W5)))</f>
        <v>0</v>
      </c>
      <c r="J5" s="56" t="n">
        <f aca="false">IF($W5="","",N(INDEX(发票统计!J$4:J$1003,$W5)))</f>
        <v>50120.61</v>
      </c>
      <c r="K5" s="56" t="n">
        <f aca="false">IF($W5="","",N(INDEX(发票统计!K$4:K$1003,$W5)))</f>
        <v>50120.61</v>
      </c>
      <c r="L5" s="56" t="n">
        <f aca="false">IF($W5="","",SUM(J$4:J5)-SUM(K$4:K5))</f>
        <v>0</v>
      </c>
      <c r="M5" s="56" t="n">
        <f aca="false">IF($W5="","",N(INDEX(发票统计!M$4:M$1003,$W5)))</f>
        <v>50120.61</v>
      </c>
      <c r="N5" s="56" t="n">
        <f aca="false">IF($W5="","",N(INDEX(发票统计!N$4:N$1003,$W5)))</f>
        <v>0</v>
      </c>
      <c r="O5" s="56" t="n">
        <f aca="false">IF($W5="","",N(INDEX(发票统计!O$4:O$1003,$W5)))</f>
        <v>0</v>
      </c>
      <c r="P5" s="56" t="n">
        <f aca="false">IF($W5="","",SUM(M$4:M5)-SUM(N$4:N5)-SUM(O$4:O5))</f>
        <v>107944.61</v>
      </c>
      <c r="Q5" s="56" t="n">
        <f aca="false">IF($W5="","",N(INDEX(发票统计!Q$4:Q$1003,$W5)))</f>
        <v>0</v>
      </c>
      <c r="R5" s="56" t="n">
        <f aca="false">IF($W5="","",N(INDEX(发票统计!R$4:R$1003,$W5)))</f>
        <v>0</v>
      </c>
      <c r="S5" s="56" t="n">
        <f aca="false">IF($W5="","",N(INDEX(发票统计!S$4:S$1003,$W5)))</f>
        <v>0</v>
      </c>
      <c r="T5" s="56" t="n">
        <f aca="false">IF($W5="","",SUM(Q$4:Q5)-SUM(R$4:R5)-SUM(S$4:S5))</f>
        <v>0</v>
      </c>
      <c r="U5" s="56" t="str">
        <f aca="false">IF($W5="","",INDEX(发票统计!U$4:U$1003,$W5)&amp;"")</f>
        <v/>
      </c>
      <c r="W5" s="1" t="n">
        <f aca="false">IF($V$3="","",IFERROR(MATCH($V$3&amp;"#"&amp;ROWS(W$4:W5),发票统计!$W$4:$W$1003,0),""))</f>
        <v>2</v>
      </c>
    </row>
    <row r="6" customFormat="false" ht="16.5" hidden="false" customHeight="false" outlineLevel="0" collapsed="false">
      <c r="A6" s="3" t="str">
        <f aca="false">IF($W6="","",INDEX(发票统计!A$4:A$1003,$W6)&amp;"")</f>
        <v/>
      </c>
      <c r="B6" s="3" t="str">
        <f aca="false">IF($W6="","",INDEX(发票统计!B$4:B$1003,$W6)&amp;"")</f>
        <v/>
      </c>
      <c r="C6" s="3" t="str">
        <f aca="false">IF($W6="","",INDEX(发票统计!C$4:C$1003,$W6)&amp;"")</f>
        <v/>
      </c>
      <c r="D6" s="3" t="str">
        <f aca="false">IF($W6="","",INDEX(发票统计!D$4:D$1003,$W6)&amp;"")</f>
        <v/>
      </c>
      <c r="E6" s="67" t="str">
        <f aca="false">IF($W6="","",INDEX(发票统计!E$4:E$1003,$W6)&amp;"")</f>
        <v/>
      </c>
      <c r="F6" s="68" t="str">
        <f aca="false">IF($W6="","",INDEX(发票统计!F$4:F$1003,$W6)&amp;"")</f>
        <v/>
      </c>
      <c r="G6" s="68" t="str">
        <f aca="false">IF($W6="","",IF(INDEX(发票统计!G$4:G$1003,$W6)="","",INDEX(发票统计!G$4:G$1003,$W6)))</f>
        <v/>
      </c>
      <c r="H6" s="56" t="str">
        <f aca="false">IF($W6="","",N(INDEX(发票统计!H$4:H$1003,$W6)))</f>
        <v/>
      </c>
      <c r="I6" s="56" t="str">
        <f aca="false">IF($W6="","",N(INDEX(发票统计!I$4:I$1003,$W6)))</f>
        <v/>
      </c>
      <c r="J6" s="56" t="str">
        <f aca="false">IF($W6="","",N(INDEX(发票统计!J$4:J$1003,$W6)))</f>
        <v/>
      </c>
      <c r="K6" s="56" t="str">
        <f aca="false">IF($W6="","",N(INDEX(发票统计!K$4:K$1003,$W6)))</f>
        <v/>
      </c>
      <c r="L6" s="56" t="str">
        <f aca="false">IF($W6="","",SUM(J$4:J6)-SUM(K$4:K6))</f>
        <v/>
      </c>
      <c r="M6" s="56" t="str">
        <f aca="false">IF($W6="","",N(INDEX(发票统计!M$4:M$1003,$W6)))</f>
        <v/>
      </c>
      <c r="N6" s="56" t="str">
        <f aca="false">IF($W6="","",N(INDEX(发票统计!N$4:N$1003,$W6)))</f>
        <v/>
      </c>
      <c r="O6" s="56" t="str">
        <f aca="false">IF($W6="","",N(INDEX(发票统计!O$4:O$1003,$W6)))</f>
        <v/>
      </c>
      <c r="P6" s="56" t="str">
        <f aca="false">IF($W6="","",SUM(M$4:M6)-SUM(N$4:N6)-SUM(O$4:O6))</f>
        <v/>
      </c>
      <c r="Q6" s="56" t="str">
        <f aca="false">IF($W6="","",N(INDEX(发票统计!Q$4:Q$1003,$W6)))</f>
        <v/>
      </c>
      <c r="R6" s="56" t="str">
        <f aca="false">IF($W6="","",N(INDEX(发票统计!R$4:R$1003,$W6)))</f>
        <v/>
      </c>
      <c r="S6" s="56" t="str">
        <f aca="false">IF($W6="","",N(INDEX(发票统计!S$4:S$1003,$W6)))</f>
        <v/>
      </c>
      <c r="T6" s="56" t="str">
        <f aca="false">IF($W6="","",SUM(Q$4:Q6)-SUM(R$4:R6)-SUM(S$4:S6))</f>
        <v/>
      </c>
      <c r="U6" s="56" t="str">
        <f aca="false">IF($W6="","",INDEX(发票统计!U$4:U$1003,$W6)&amp;"")</f>
        <v/>
      </c>
      <c r="W6" s="1" t="str">
        <f aca="false">IF($V$3="","",IFERROR(MATCH($V$3&amp;"#"&amp;ROWS(W$4:W6),发票统计!$W$4:$W$1003,0),""))</f>
        <v/>
      </c>
    </row>
    <row r="7" customFormat="false" ht="16.5" hidden="false" customHeight="false" outlineLevel="0" collapsed="false">
      <c r="A7" s="3" t="str">
        <f aca="false">IF($W7="","",INDEX(发票统计!A$4:A$1003,$W7)&amp;"")</f>
        <v/>
      </c>
      <c r="B7" s="3" t="str">
        <f aca="false">IF($W7="","",INDEX(发票统计!B$4:B$1003,$W7)&amp;"")</f>
        <v/>
      </c>
      <c r="C7" s="3" t="str">
        <f aca="false">IF($W7="","",INDEX(发票统计!C$4:C$1003,$W7)&amp;"")</f>
        <v/>
      </c>
      <c r="D7" s="3" t="str">
        <f aca="false">IF($W7="","",INDEX(发票统计!D$4:D$1003,$W7)&amp;"")</f>
        <v/>
      </c>
      <c r="E7" s="67" t="str">
        <f aca="false">IF($W7="","",INDEX(发票统计!E$4:E$1003,$W7)&amp;"")</f>
        <v/>
      </c>
      <c r="F7" s="68" t="str">
        <f aca="false">IF($W7="","",INDEX(发票统计!F$4:F$1003,$W7)&amp;"")</f>
        <v/>
      </c>
      <c r="G7" s="68" t="str">
        <f aca="false">IF($W7="","",IF(INDEX(发票统计!G$4:G$1003,$W7)="","",INDEX(发票统计!G$4:G$1003,$W7)))</f>
        <v/>
      </c>
      <c r="H7" s="56" t="str">
        <f aca="false">IF($W7="","",N(INDEX(发票统计!H$4:H$1003,$W7)))</f>
        <v/>
      </c>
      <c r="I7" s="56" t="str">
        <f aca="false">IF($W7="","",N(INDEX(发票统计!I$4:I$1003,$W7)))</f>
        <v/>
      </c>
      <c r="J7" s="56" t="str">
        <f aca="false">IF($W7="","",N(INDEX(发票统计!J$4:J$1003,$W7)))</f>
        <v/>
      </c>
      <c r="K7" s="56" t="str">
        <f aca="false">IF($W7="","",N(INDEX(发票统计!K$4:K$1003,$W7)))</f>
        <v/>
      </c>
      <c r="L7" s="56" t="str">
        <f aca="false">IF($W7="","",SUM(J$4:J7)-SUM(K$4:K7))</f>
        <v/>
      </c>
      <c r="M7" s="56" t="str">
        <f aca="false">IF($W7="","",N(INDEX(发票统计!M$4:M$1003,$W7)))</f>
        <v/>
      </c>
      <c r="N7" s="56" t="str">
        <f aca="false">IF($W7="","",N(INDEX(发票统计!N$4:N$1003,$W7)))</f>
        <v/>
      </c>
      <c r="O7" s="56" t="str">
        <f aca="false">IF($W7="","",N(INDEX(发票统计!O$4:O$1003,$W7)))</f>
        <v/>
      </c>
      <c r="P7" s="56" t="str">
        <f aca="false">IF($W7="","",SUM(M$4:M7)-SUM(N$4:N7)-SUM(O$4:O7))</f>
        <v/>
      </c>
      <c r="Q7" s="56" t="str">
        <f aca="false">IF($W7="","",N(INDEX(发票统计!Q$4:Q$1003,$W7)))</f>
        <v/>
      </c>
      <c r="R7" s="56" t="str">
        <f aca="false">IF($W7="","",N(INDEX(发票统计!R$4:R$1003,$W7)))</f>
        <v/>
      </c>
      <c r="S7" s="56" t="str">
        <f aca="false">IF($W7="","",N(INDEX(发票统计!S$4:S$1003,$W7)))</f>
        <v/>
      </c>
      <c r="T7" s="56" t="str">
        <f aca="false">IF($W7="","",SUM(Q$4:Q7)-SUM(R$4:R7)-SUM(S$4:S7))</f>
        <v/>
      </c>
      <c r="U7" s="56" t="str">
        <f aca="false">IF($W7="","",INDEX(发票统计!U$4:U$1003,$W7)&amp;"")</f>
        <v/>
      </c>
      <c r="W7" s="1" t="str">
        <f aca="false">IF($V$3="","",IFERROR(MATCH($V$3&amp;"#"&amp;ROWS(W$4:W7),发票统计!$W$4:$W$1003,0),""))</f>
        <v/>
      </c>
    </row>
    <row r="8" customFormat="false" ht="16.5" hidden="false" customHeight="false" outlineLevel="0" collapsed="false">
      <c r="A8" s="3" t="str">
        <f aca="false">IF($W8="","",INDEX(发票统计!A$4:A$1003,$W8)&amp;"")</f>
        <v/>
      </c>
      <c r="B8" s="3" t="str">
        <f aca="false">IF($W8="","",INDEX(发票统计!B$4:B$1003,$W8)&amp;"")</f>
        <v/>
      </c>
      <c r="C8" s="3" t="str">
        <f aca="false">IF($W8="","",INDEX(发票统计!C$4:C$1003,$W8)&amp;"")</f>
        <v/>
      </c>
      <c r="D8" s="3" t="str">
        <f aca="false">IF($W8="","",INDEX(发票统计!D$4:D$1003,$W8)&amp;"")</f>
        <v/>
      </c>
      <c r="E8" s="67" t="str">
        <f aca="false">IF($W8="","",INDEX(发票统计!E$4:E$1003,$W8)&amp;"")</f>
        <v/>
      </c>
      <c r="F8" s="68" t="str">
        <f aca="false">IF($W8="","",INDEX(发票统计!F$4:F$1003,$W8)&amp;"")</f>
        <v/>
      </c>
      <c r="G8" s="68" t="str">
        <f aca="false">IF($W8="","",IF(INDEX(发票统计!G$4:G$1003,$W8)="","",INDEX(发票统计!G$4:G$1003,$W8)))</f>
        <v/>
      </c>
      <c r="H8" s="56" t="str">
        <f aca="false">IF($W8="","",N(INDEX(发票统计!H$4:H$1003,$W8)))</f>
        <v/>
      </c>
      <c r="I8" s="56" t="str">
        <f aca="false">IF($W8="","",N(INDEX(发票统计!I$4:I$1003,$W8)))</f>
        <v/>
      </c>
      <c r="J8" s="56" t="str">
        <f aca="false">IF($W8="","",N(INDEX(发票统计!J$4:J$1003,$W8)))</f>
        <v/>
      </c>
      <c r="K8" s="56" t="str">
        <f aca="false">IF($W8="","",N(INDEX(发票统计!K$4:K$1003,$W8)))</f>
        <v/>
      </c>
      <c r="L8" s="56" t="str">
        <f aca="false">IF($W8="","",SUM(J$4:J8)-SUM(K$4:K8))</f>
        <v/>
      </c>
      <c r="M8" s="56" t="str">
        <f aca="false">IF($W8="","",N(INDEX(发票统计!M$4:M$1003,$W8)))</f>
        <v/>
      </c>
      <c r="N8" s="56" t="str">
        <f aca="false">IF($W8="","",N(INDEX(发票统计!N$4:N$1003,$W8)))</f>
        <v/>
      </c>
      <c r="O8" s="56" t="str">
        <f aca="false">IF($W8="","",N(INDEX(发票统计!O$4:O$1003,$W8)))</f>
        <v/>
      </c>
      <c r="P8" s="56" t="str">
        <f aca="false">IF($W8="","",SUM(M$4:M8)-SUM(N$4:N8)-SUM(O$4:O8))</f>
        <v/>
      </c>
      <c r="Q8" s="56" t="str">
        <f aca="false">IF($W8="","",N(INDEX(发票统计!Q$4:Q$1003,$W8)))</f>
        <v/>
      </c>
      <c r="R8" s="56" t="str">
        <f aca="false">IF($W8="","",N(INDEX(发票统计!R$4:R$1003,$W8)))</f>
        <v/>
      </c>
      <c r="S8" s="56" t="str">
        <f aca="false">IF($W8="","",N(INDEX(发票统计!S$4:S$1003,$W8)))</f>
        <v/>
      </c>
      <c r="T8" s="56" t="str">
        <f aca="false">IF($W8="","",SUM(Q$4:Q8)-SUM(R$4:R8)-SUM(S$4:S8))</f>
        <v/>
      </c>
      <c r="U8" s="56" t="str">
        <f aca="false">IF($W8="","",INDEX(发票统计!U$4:U$1003,$W8)&amp;"")</f>
        <v/>
      </c>
      <c r="W8" s="1" t="str">
        <f aca="false">IF($V$3="","",IFERROR(MATCH($V$3&amp;"#"&amp;ROWS(W$4:W8),发票统计!$W$4:$W$1003,0),""))</f>
        <v/>
      </c>
    </row>
    <row r="9" customFormat="false" ht="16.5" hidden="false" customHeight="false" outlineLevel="0" collapsed="false">
      <c r="A9" s="3" t="str">
        <f aca="false">IF($W9="","",INDEX(发票统计!A$4:A$1003,$W9)&amp;"")</f>
        <v/>
      </c>
      <c r="B9" s="3" t="str">
        <f aca="false">IF($W9="","",INDEX(发票统计!B$4:B$1003,$W9)&amp;"")</f>
        <v/>
      </c>
      <c r="C9" s="3" t="str">
        <f aca="false">IF($W9="","",INDEX(发票统计!C$4:C$1003,$W9)&amp;"")</f>
        <v/>
      </c>
      <c r="D9" s="3" t="str">
        <f aca="false">IF($W9="","",INDEX(发票统计!D$4:D$1003,$W9)&amp;"")</f>
        <v/>
      </c>
      <c r="E9" s="67" t="str">
        <f aca="false">IF($W9="","",INDEX(发票统计!E$4:E$1003,$W9)&amp;"")</f>
        <v/>
      </c>
      <c r="F9" s="68" t="str">
        <f aca="false">IF($W9="","",INDEX(发票统计!F$4:F$1003,$W9)&amp;"")</f>
        <v/>
      </c>
      <c r="G9" s="68" t="str">
        <f aca="false">IF($W9="","",IF(INDEX(发票统计!G$4:G$1003,$W9)="","",INDEX(发票统计!G$4:G$1003,$W9)))</f>
        <v/>
      </c>
      <c r="H9" s="56" t="str">
        <f aca="false">IF($W9="","",N(INDEX(发票统计!H$4:H$1003,$W9)))</f>
        <v/>
      </c>
      <c r="I9" s="56" t="str">
        <f aca="false">IF($W9="","",N(INDEX(发票统计!I$4:I$1003,$W9)))</f>
        <v/>
      </c>
      <c r="J9" s="56" t="str">
        <f aca="false">IF($W9="","",N(INDEX(发票统计!J$4:J$1003,$W9)))</f>
        <v/>
      </c>
      <c r="K9" s="56" t="str">
        <f aca="false">IF($W9="","",N(INDEX(发票统计!K$4:K$1003,$W9)))</f>
        <v/>
      </c>
      <c r="L9" s="56" t="str">
        <f aca="false">IF($W9="","",SUM(J$4:J9)-SUM(K$4:K9))</f>
        <v/>
      </c>
      <c r="M9" s="56" t="str">
        <f aca="false">IF($W9="","",N(INDEX(发票统计!M$4:M$1003,$W9)))</f>
        <v/>
      </c>
      <c r="N9" s="56" t="str">
        <f aca="false">IF($W9="","",N(INDEX(发票统计!N$4:N$1003,$W9)))</f>
        <v/>
      </c>
      <c r="O9" s="56" t="str">
        <f aca="false">IF($W9="","",N(INDEX(发票统计!O$4:O$1003,$W9)))</f>
        <v/>
      </c>
      <c r="P9" s="56" t="str">
        <f aca="false">IF($W9="","",SUM(M$4:M9)-SUM(N$4:N9)-SUM(O$4:O9))</f>
        <v/>
      </c>
      <c r="Q9" s="56" t="str">
        <f aca="false">IF($W9="","",N(INDEX(发票统计!Q$4:Q$1003,$W9)))</f>
        <v/>
      </c>
      <c r="R9" s="56" t="str">
        <f aca="false">IF($W9="","",N(INDEX(发票统计!R$4:R$1003,$W9)))</f>
        <v/>
      </c>
      <c r="S9" s="56" t="str">
        <f aca="false">IF($W9="","",N(INDEX(发票统计!S$4:S$1003,$W9)))</f>
        <v/>
      </c>
      <c r="T9" s="56" t="str">
        <f aca="false">IF($W9="","",SUM(Q$4:Q9)-SUM(R$4:R9)-SUM(S$4:S9))</f>
        <v/>
      </c>
      <c r="U9" s="56" t="str">
        <f aca="false">IF($W9="","",INDEX(发票统计!U$4:U$1003,$W9)&amp;"")</f>
        <v/>
      </c>
      <c r="W9" s="1" t="str">
        <f aca="false">IF($V$3="","",IFERROR(MATCH($V$3&amp;"#"&amp;ROWS(W$4:W9),发票统计!$W$4:$W$1003,0),""))</f>
        <v/>
      </c>
    </row>
    <row r="10" customFormat="false" ht="16.5" hidden="false" customHeight="false" outlineLevel="0" collapsed="false">
      <c r="A10" s="3" t="str">
        <f aca="false">IF($W10="","",INDEX(发票统计!A$4:A$1003,$W10)&amp;"")</f>
        <v/>
      </c>
      <c r="B10" s="3" t="str">
        <f aca="false">IF($W10="","",INDEX(发票统计!B$4:B$1003,$W10)&amp;"")</f>
        <v/>
      </c>
      <c r="C10" s="3" t="str">
        <f aca="false">IF($W10="","",INDEX(发票统计!C$4:C$1003,$W10)&amp;"")</f>
        <v/>
      </c>
      <c r="D10" s="3" t="str">
        <f aca="false">IF($W10="","",INDEX(发票统计!D$4:D$1003,$W10)&amp;"")</f>
        <v/>
      </c>
      <c r="E10" s="67" t="str">
        <f aca="false">IF($W10="","",INDEX(发票统计!E$4:E$1003,$W10)&amp;"")</f>
        <v/>
      </c>
      <c r="F10" s="68" t="str">
        <f aca="false">IF($W10="","",INDEX(发票统计!F$4:F$1003,$W10)&amp;"")</f>
        <v/>
      </c>
      <c r="G10" s="68" t="str">
        <f aca="false">IF($W10="","",IF(INDEX(发票统计!G$4:G$1003,$W10)="","",INDEX(发票统计!G$4:G$1003,$W10)))</f>
        <v/>
      </c>
      <c r="H10" s="56" t="str">
        <f aca="false">IF($W10="","",N(INDEX(发票统计!H$4:H$1003,$W10)))</f>
        <v/>
      </c>
      <c r="I10" s="56" t="str">
        <f aca="false">IF($W10="","",N(INDEX(发票统计!I$4:I$1003,$W10)))</f>
        <v/>
      </c>
      <c r="J10" s="56" t="str">
        <f aca="false">IF($W10="","",N(INDEX(发票统计!J$4:J$1003,$W10)))</f>
        <v/>
      </c>
      <c r="K10" s="56" t="str">
        <f aca="false">IF($W10="","",N(INDEX(发票统计!K$4:K$1003,$W10)))</f>
        <v/>
      </c>
      <c r="L10" s="56" t="str">
        <f aca="false">IF($W10="","",SUM(J$4:J10)-SUM(K$4:K10))</f>
        <v/>
      </c>
      <c r="M10" s="56" t="str">
        <f aca="false">IF($W10="","",N(INDEX(发票统计!M$4:M$1003,$W10)))</f>
        <v/>
      </c>
      <c r="N10" s="56" t="str">
        <f aca="false">IF($W10="","",N(INDEX(发票统计!N$4:N$1003,$W10)))</f>
        <v/>
      </c>
      <c r="O10" s="56" t="str">
        <f aca="false">IF($W10="","",N(INDEX(发票统计!O$4:O$1003,$W10)))</f>
        <v/>
      </c>
      <c r="P10" s="56" t="str">
        <f aca="false">IF($W10="","",SUM(M$4:M10)-SUM(N$4:N10)-SUM(O$4:O10))</f>
        <v/>
      </c>
      <c r="Q10" s="56" t="str">
        <f aca="false">IF($W10="","",N(INDEX(发票统计!Q$4:Q$1003,$W10)))</f>
        <v/>
      </c>
      <c r="R10" s="56" t="str">
        <f aca="false">IF($W10="","",N(INDEX(发票统计!R$4:R$1003,$W10)))</f>
        <v/>
      </c>
      <c r="S10" s="56" t="str">
        <f aca="false">IF($W10="","",N(INDEX(发票统计!S$4:S$1003,$W10)))</f>
        <v/>
      </c>
      <c r="T10" s="56" t="str">
        <f aca="false">IF($W10="","",SUM(Q$4:Q10)-SUM(R$4:R10)-SUM(S$4:S10))</f>
        <v/>
      </c>
      <c r="U10" s="56" t="str">
        <f aca="false">IF($W10="","",INDEX(发票统计!U$4:U$1003,$W10)&amp;"")</f>
        <v/>
      </c>
      <c r="W10" s="1" t="str">
        <f aca="false">IF($V$3="","",IFERROR(MATCH($V$3&amp;"#"&amp;ROWS(W$4:W10),发票统计!$W$4:$W$1003,0),""))</f>
        <v/>
      </c>
    </row>
    <row r="11" customFormat="false" ht="16.5" hidden="false" customHeight="false" outlineLevel="0" collapsed="false">
      <c r="A11" s="3" t="str">
        <f aca="false">IF($W11="","",INDEX(发票统计!A$4:A$1003,$W11)&amp;"")</f>
        <v/>
      </c>
      <c r="B11" s="3" t="str">
        <f aca="false">IF($W11="","",INDEX(发票统计!B$4:B$1003,$W11)&amp;"")</f>
        <v/>
      </c>
      <c r="C11" s="3" t="str">
        <f aca="false">IF($W11="","",INDEX(发票统计!C$4:C$1003,$W11)&amp;"")</f>
        <v/>
      </c>
      <c r="D11" s="3" t="str">
        <f aca="false">IF($W11="","",INDEX(发票统计!D$4:D$1003,$W11)&amp;"")</f>
        <v/>
      </c>
      <c r="E11" s="67" t="str">
        <f aca="false">IF($W11="","",INDEX(发票统计!E$4:E$1003,$W11)&amp;"")</f>
        <v/>
      </c>
      <c r="F11" s="68" t="str">
        <f aca="false">IF($W11="","",INDEX(发票统计!F$4:F$1003,$W11)&amp;"")</f>
        <v/>
      </c>
      <c r="G11" s="68" t="str">
        <f aca="false">IF($W11="","",IF(INDEX(发票统计!G$4:G$1003,$W11)="","",INDEX(发票统计!G$4:G$1003,$W11)))</f>
        <v/>
      </c>
      <c r="H11" s="56" t="str">
        <f aca="false">IF($W11="","",N(INDEX(发票统计!H$4:H$1003,$W11)))</f>
        <v/>
      </c>
      <c r="I11" s="56" t="str">
        <f aca="false">IF($W11="","",N(INDEX(发票统计!I$4:I$1003,$W11)))</f>
        <v/>
      </c>
      <c r="J11" s="56" t="str">
        <f aca="false">IF($W11="","",N(INDEX(发票统计!J$4:J$1003,$W11)))</f>
        <v/>
      </c>
      <c r="K11" s="56" t="str">
        <f aca="false">IF($W11="","",N(INDEX(发票统计!K$4:K$1003,$W11)))</f>
        <v/>
      </c>
      <c r="L11" s="56" t="str">
        <f aca="false">IF($W11="","",SUM(J$4:J11)-SUM(K$4:K11))</f>
        <v/>
      </c>
      <c r="M11" s="56" t="str">
        <f aca="false">IF($W11="","",N(INDEX(发票统计!M$4:M$1003,$W11)))</f>
        <v/>
      </c>
      <c r="N11" s="56" t="str">
        <f aca="false">IF($W11="","",N(INDEX(发票统计!N$4:N$1003,$W11)))</f>
        <v/>
      </c>
      <c r="O11" s="56" t="str">
        <f aca="false">IF($W11="","",N(INDEX(发票统计!O$4:O$1003,$W11)))</f>
        <v/>
      </c>
      <c r="P11" s="56" t="str">
        <f aca="false">IF($W11="","",SUM(M$4:M11)-SUM(N$4:N11)-SUM(O$4:O11))</f>
        <v/>
      </c>
      <c r="Q11" s="56" t="str">
        <f aca="false">IF($W11="","",N(INDEX(发票统计!Q$4:Q$1003,$W11)))</f>
        <v/>
      </c>
      <c r="R11" s="56" t="str">
        <f aca="false">IF($W11="","",N(INDEX(发票统计!R$4:R$1003,$W11)))</f>
        <v/>
      </c>
      <c r="S11" s="56" t="str">
        <f aca="false">IF($W11="","",N(INDEX(发票统计!S$4:S$1003,$W11)))</f>
        <v/>
      </c>
      <c r="T11" s="56" t="str">
        <f aca="false">IF($W11="","",SUM(Q$4:Q11)-SUM(R$4:R11)-SUM(S$4:S11))</f>
        <v/>
      </c>
      <c r="U11" s="56" t="str">
        <f aca="false">IF($W11="","",INDEX(发票统计!U$4:U$1003,$W11)&amp;"")</f>
        <v/>
      </c>
      <c r="W11" s="1" t="str">
        <f aca="false">IF($V$3="","",IFERROR(MATCH($V$3&amp;"#"&amp;ROWS(W$4:W11),发票统计!$W$4:$W$1003,0),""))</f>
        <v/>
      </c>
    </row>
    <row r="12" customFormat="false" ht="16.5" hidden="false" customHeight="false" outlineLevel="0" collapsed="false">
      <c r="A12" s="3" t="str">
        <f aca="false">IF($W12="","",INDEX(发票统计!A$4:A$1003,$W12)&amp;"")</f>
        <v/>
      </c>
      <c r="B12" s="3" t="str">
        <f aca="false">IF($W12="","",INDEX(发票统计!B$4:B$1003,$W12)&amp;"")</f>
        <v/>
      </c>
      <c r="C12" s="3" t="str">
        <f aca="false">IF($W12="","",INDEX(发票统计!C$4:C$1003,$W12)&amp;"")</f>
        <v/>
      </c>
      <c r="D12" s="3" t="str">
        <f aca="false">IF($W12="","",INDEX(发票统计!D$4:D$1003,$W12)&amp;"")</f>
        <v/>
      </c>
      <c r="E12" s="67" t="str">
        <f aca="false">IF($W12="","",INDEX(发票统计!E$4:E$1003,$W12)&amp;"")</f>
        <v/>
      </c>
      <c r="F12" s="68" t="str">
        <f aca="false">IF($W12="","",INDEX(发票统计!F$4:F$1003,$W12)&amp;"")</f>
        <v/>
      </c>
      <c r="G12" s="68" t="str">
        <f aca="false">IF($W12="","",IF(INDEX(发票统计!G$4:G$1003,$W12)="","",INDEX(发票统计!G$4:G$1003,$W12)))</f>
        <v/>
      </c>
      <c r="H12" s="56" t="str">
        <f aca="false">IF($W12="","",N(INDEX(发票统计!H$4:H$1003,$W12)))</f>
        <v/>
      </c>
      <c r="I12" s="56" t="str">
        <f aca="false">IF($W12="","",N(INDEX(发票统计!I$4:I$1003,$W12)))</f>
        <v/>
      </c>
      <c r="J12" s="56" t="str">
        <f aca="false">IF($W12="","",N(INDEX(发票统计!J$4:J$1003,$W12)))</f>
        <v/>
      </c>
      <c r="K12" s="56" t="str">
        <f aca="false">IF($W12="","",N(INDEX(发票统计!K$4:K$1003,$W12)))</f>
        <v/>
      </c>
      <c r="L12" s="56" t="str">
        <f aca="false">IF($W12="","",SUM(J$4:J12)-SUM(K$4:K12))</f>
        <v/>
      </c>
      <c r="M12" s="56" t="str">
        <f aca="false">IF($W12="","",N(INDEX(发票统计!M$4:M$1003,$W12)))</f>
        <v/>
      </c>
      <c r="N12" s="56" t="str">
        <f aca="false">IF($W12="","",N(INDEX(发票统计!N$4:N$1003,$W12)))</f>
        <v/>
      </c>
      <c r="O12" s="56" t="str">
        <f aca="false">IF($W12="","",N(INDEX(发票统计!O$4:O$1003,$W12)))</f>
        <v/>
      </c>
      <c r="P12" s="56" t="str">
        <f aca="false">IF($W12="","",SUM(M$4:M12)-SUM(N$4:N12)-SUM(O$4:O12))</f>
        <v/>
      </c>
      <c r="Q12" s="56" t="str">
        <f aca="false">IF($W12="","",N(INDEX(发票统计!Q$4:Q$1003,$W12)))</f>
        <v/>
      </c>
      <c r="R12" s="56" t="str">
        <f aca="false">IF($W12="","",N(INDEX(发票统计!R$4:R$1003,$W12)))</f>
        <v/>
      </c>
      <c r="S12" s="56" t="str">
        <f aca="false">IF($W12="","",N(INDEX(发票统计!S$4:S$1003,$W12)))</f>
        <v/>
      </c>
      <c r="T12" s="56" t="str">
        <f aca="false">IF($W12="","",SUM(Q$4:Q12)-SUM(R$4:R12)-SUM(S$4:S12))</f>
        <v/>
      </c>
      <c r="U12" s="56" t="str">
        <f aca="false">IF($W12="","",INDEX(发票统计!U$4:U$1003,$W12)&amp;"")</f>
        <v/>
      </c>
      <c r="W12" s="1" t="str">
        <f aca="false">IF($V$3="","",IFERROR(MATCH($V$3&amp;"#"&amp;ROWS(W$4:W12),发票统计!$W$4:$W$1003,0),""))</f>
        <v/>
      </c>
    </row>
    <row r="13" customFormat="false" ht="16.5" hidden="false" customHeight="false" outlineLevel="0" collapsed="false">
      <c r="A13" s="3" t="str">
        <f aca="false">IF($W13="","",INDEX(发票统计!A$4:A$1003,$W13)&amp;"")</f>
        <v/>
      </c>
      <c r="B13" s="3" t="str">
        <f aca="false">IF($W13="","",INDEX(发票统计!B$4:B$1003,$W13)&amp;"")</f>
        <v/>
      </c>
      <c r="C13" s="3" t="str">
        <f aca="false">IF($W13="","",INDEX(发票统计!C$4:C$1003,$W13)&amp;"")</f>
        <v/>
      </c>
      <c r="D13" s="3" t="str">
        <f aca="false">IF($W13="","",INDEX(发票统计!D$4:D$1003,$W13)&amp;"")</f>
        <v/>
      </c>
      <c r="E13" s="67" t="str">
        <f aca="false">IF($W13="","",INDEX(发票统计!E$4:E$1003,$W13)&amp;"")</f>
        <v/>
      </c>
      <c r="F13" s="68" t="str">
        <f aca="false">IF($W13="","",INDEX(发票统计!F$4:F$1003,$W13)&amp;"")</f>
        <v/>
      </c>
      <c r="G13" s="68" t="str">
        <f aca="false">IF($W13="","",IF(INDEX(发票统计!G$4:G$1003,$W13)="","",INDEX(发票统计!G$4:G$1003,$W13)))</f>
        <v/>
      </c>
      <c r="H13" s="56" t="str">
        <f aca="false">IF($W13="","",N(INDEX(发票统计!H$4:H$1003,$W13)))</f>
        <v/>
      </c>
      <c r="I13" s="56" t="str">
        <f aca="false">IF($W13="","",N(INDEX(发票统计!I$4:I$1003,$W13)))</f>
        <v/>
      </c>
      <c r="J13" s="56" t="str">
        <f aca="false">IF($W13="","",N(INDEX(发票统计!J$4:J$1003,$W13)))</f>
        <v/>
      </c>
      <c r="K13" s="56" t="str">
        <f aca="false">IF($W13="","",N(INDEX(发票统计!K$4:K$1003,$W13)))</f>
        <v/>
      </c>
      <c r="L13" s="56" t="str">
        <f aca="false">IF($W13="","",SUM(J$4:J13)-SUM(K$4:K13))</f>
        <v/>
      </c>
      <c r="M13" s="56" t="str">
        <f aca="false">IF($W13="","",N(INDEX(发票统计!M$4:M$1003,$W13)))</f>
        <v/>
      </c>
      <c r="N13" s="56" t="str">
        <f aca="false">IF($W13="","",N(INDEX(发票统计!N$4:N$1003,$W13)))</f>
        <v/>
      </c>
      <c r="O13" s="56" t="str">
        <f aca="false">IF($W13="","",N(INDEX(发票统计!O$4:O$1003,$W13)))</f>
        <v/>
      </c>
      <c r="P13" s="56" t="str">
        <f aca="false">IF($W13="","",SUM(M$4:M13)-SUM(N$4:N13)-SUM(O$4:O13))</f>
        <v/>
      </c>
      <c r="Q13" s="56" t="str">
        <f aca="false">IF($W13="","",N(INDEX(发票统计!Q$4:Q$1003,$W13)))</f>
        <v/>
      </c>
      <c r="R13" s="56" t="str">
        <f aca="false">IF($W13="","",N(INDEX(发票统计!R$4:R$1003,$W13)))</f>
        <v/>
      </c>
      <c r="S13" s="56" t="str">
        <f aca="false">IF($W13="","",N(INDEX(发票统计!S$4:S$1003,$W13)))</f>
        <v/>
      </c>
      <c r="T13" s="56" t="str">
        <f aca="false">IF($W13="","",SUM(Q$4:Q13)-SUM(R$4:R13)-SUM(S$4:S13))</f>
        <v/>
      </c>
      <c r="U13" s="56" t="str">
        <f aca="false">IF($W13="","",INDEX(发票统计!U$4:U$1003,$W13)&amp;"")</f>
        <v/>
      </c>
      <c r="W13" s="1" t="str">
        <f aca="false">IF($V$3="","",IFERROR(MATCH($V$3&amp;"#"&amp;ROWS(W$4:W13),发票统计!$W$4:$W$1003,0),""))</f>
        <v/>
      </c>
    </row>
    <row r="14" customFormat="false" ht="16.5" hidden="false" customHeight="false" outlineLevel="0" collapsed="false">
      <c r="A14" s="3" t="str">
        <f aca="false">IF($W14="","",INDEX(发票统计!A$4:A$1003,$W14)&amp;"")</f>
        <v/>
      </c>
      <c r="B14" s="3" t="str">
        <f aca="false">IF($W14="","",INDEX(发票统计!B$4:B$1003,$W14)&amp;"")</f>
        <v/>
      </c>
      <c r="C14" s="3" t="str">
        <f aca="false">IF($W14="","",INDEX(发票统计!C$4:C$1003,$W14)&amp;"")</f>
        <v/>
      </c>
      <c r="D14" s="3" t="str">
        <f aca="false">IF($W14="","",INDEX(发票统计!D$4:D$1003,$W14)&amp;"")</f>
        <v/>
      </c>
      <c r="E14" s="67" t="str">
        <f aca="false">IF($W14="","",INDEX(发票统计!E$4:E$1003,$W14)&amp;"")</f>
        <v/>
      </c>
      <c r="F14" s="68" t="str">
        <f aca="false">IF($W14="","",INDEX(发票统计!F$4:F$1003,$W14)&amp;"")</f>
        <v/>
      </c>
      <c r="G14" s="68" t="str">
        <f aca="false">IF($W14="","",IF(INDEX(发票统计!G$4:G$1003,$W14)="","",INDEX(发票统计!G$4:G$1003,$W14)))</f>
        <v/>
      </c>
      <c r="H14" s="56" t="str">
        <f aca="false">IF($W14="","",N(INDEX(发票统计!H$4:H$1003,$W14)))</f>
        <v/>
      </c>
      <c r="I14" s="56" t="str">
        <f aca="false">IF($W14="","",N(INDEX(发票统计!I$4:I$1003,$W14)))</f>
        <v/>
      </c>
      <c r="J14" s="56" t="str">
        <f aca="false">IF($W14="","",N(INDEX(发票统计!J$4:J$1003,$W14)))</f>
        <v/>
      </c>
      <c r="K14" s="56" t="str">
        <f aca="false">IF($W14="","",N(INDEX(发票统计!K$4:K$1003,$W14)))</f>
        <v/>
      </c>
      <c r="L14" s="56" t="str">
        <f aca="false">IF($W14="","",SUM(J$4:J14)-SUM(K$4:K14))</f>
        <v/>
      </c>
      <c r="M14" s="56" t="str">
        <f aca="false">IF($W14="","",N(INDEX(发票统计!M$4:M$1003,$W14)))</f>
        <v/>
      </c>
      <c r="N14" s="56" t="str">
        <f aca="false">IF($W14="","",N(INDEX(发票统计!N$4:N$1003,$W14)))</f>
        <v/>
      </c>
      <c r="O14" s="56" t="str">
        <f aca="false">IF($W14="","",N(INDEX(发票统计!O$4:O$1003,$W14)))</f>
        <v/>
      </c>
      <c r="P14" s="56" t="str">
        <f aca="false">IF($W14="","",SUM(M$4:M14)-SUM(N$4:N14)-SUM(O$4:O14))</f>
        <v/>
      </c>
      <c r="Q14" s="56" t="str">
        <f aca="false">IF($W14="","",N(INDEX(发票统计!Q$4:Q$1003,$W14)))</f>
        <v/>
      </c>
      <c r="R14" s="56" t="str">
        <f aca="false">IF($W14="","",N(INDEX(发票统计!R$4:R$1003,$W14)))</f>
        <v/>
      </c>
      <c r="S14" s="56" t="str">
        <f aca="false">IF($W14="","",N(INDEX(发票统计!S$4:S$1003,$W14)))</f>
        <v/>
      </c>
      <c r="T14" s="56" t="str">
        <f aca="false">IF($W14="","",SUM(Q$4:Q14)-SUM(R$4:R14)-SUM(S$4:S14))</f>
        <v/>
      </c>
      <c r="U14" s="56" t="str">
        <f aca="false">IF($W14="","",INDEX(发票统计!U$4:U$1003,$W14)&amp;"")</f>
        <v/>
      </c>
      <c r="W14" s="1" t="str">
        <f aca="false">IF($V$3="","",IFERROR(MATCH($V$3&amp;"#"&amp;ROWS(W$4:W14),发票统计!$W$4:$W$1003,0),""))</f>
        <v/>
      </c>
    </row>
    <row r="15" customFormat="false" ht="16.5" hidden="false" customHeight="false" outlineLevel="0" collapsed="false">
      <c r="A15" s="3" t="str">
        <f aca="false">IF($W15="","",INDEX(发票统计!A$4:A$1003,$W15)&amp;"")</f>
        <v/>
      </c>
      <c r="B15" s="3" t="str">
        <f aca="false">IF($W15="","",INDEX(发票统计!B$4:B$1003,$W15)&amp;"")</f>
        <v/>
      </c>
      <c r="C15" s="3" t="str">
        <f aca="false">IF($W15="","",INDEX(发票统计!C$4:C$1003,$W15)&amp;"")</f>
        <v/>
      </c>
      <c r="D15" s="3" t="str">
        <f aca="false">IF($W15="","",INDEX(发票统计!D$4:D$1003,$W15)&amp;"")</f>
        <v/>
      </c>
      <c r="E15" s="67" t="str">
        <f aca="false">IF($W15="","",INDEX(发票统计!E$4:E$1003,$W15)&amp;"")</f>
        <v/>
      </c>
      <c r="F15" s="68" t="str">
        <f aca="false">IF($W15="","",INDEX(发票统计!F$4:F$1003,$W15)&amp;"")</f>
        <v/>
      </c>
      <c r="G15" s="68" t="str">
        <f aca="false">IF($W15="","",IF(INDEX(发票统计!G$4:G$1003,$W15)="","",INDEX(发票统计!G$4:G$1003,$W15)))</f>
        <v/>
      </c>
      <c r="H15" s="56" t="str">
        <f aca="false">IF($W15="","",N(INDEX(发票统计!H$4:H$1003,$W15)))</f>
        <v/>
      </c>
      <c r="I15" s="56" t="str">
        <f aca="false">IF($W15="","",N(INDEX(发票统计!I$4:I$1003,$W15)))</f>
        <v/>
      </c>
      <c r="J15" s="56" t="str">
        <f aca="false">IF($W15="","",N(INDEX(发票统计!J$4:J$1003,$W15)))</f>
        <v/>
      </c>
      <c r="K15" s="56" t="str">
        <f aca="false">IF($W15="","",N(INDEX(发票统计!K$4:K$1003,$W15)))</f>
        <v/>
      </c>
      <c r="L15" s="56" t="str">
        <f aca="false">IF($W15="","",SUM(J$4:J15)-SUM(K$4:K15))</f>
        <v/>
      </c>
      <c r="M15" s="56" t="str">
        <f aca="false">IF($W15="","",N(INDEX(发票统计!M$4:M$1003,$W15)))</f>
        <v/>
      </c>
      <c r="N15" s="56" t="str">
        <f aca="false">IF($W15="","",N(INDEX(发票统计!N$4:N$1003,$W15)))</f>
        <v/>
      </c>
      <c r="O15" s="56" t="str">
        <f aca="false">IF($W15="","",N(INDEX(发票统计!O$4:O$1003,$W15)))</f>
        <v/>
      </c>
      <c r="P15" s="56" t="str">
        <f aca="false">IF($W15="","",SUM(M$4:M15)-SUM(N$4:N15)-SUM(O$4:O15))</f>
        <v/>
      </c>
      <c r="Q15" s="56" t="str">
        <f aca="false">IF($W15="","",N(INDEX(发票统计!Q$4:Q$1003,$W15)))</f>
        <v/>
      </c>
      <c r="R15" s="56" t="str">
        <f aca="false">IF($W15="","",N(INDEX(发票统计!R$4:R$1003,$W15)))</f>
        <v/>
      </c>
      <c r="S15" s="56" t="str">
        <f aca="false">IF($W15="","",N(INDEX(发票统计!S$4:S$1003,$W15)))</f>
        <v/>
      </c>
      <c r="T15" s="56" t="str">
        <f aca="false">IF($W15="","",SUM(Q$4:Q15)-SUM(R$4:R15)-SUM(S$4:S15))</f>
        <v/>
      </c>
      <c r="U15" s="56" t="str">
        <f aca="false">IF($W15="","",INDEX(发票统计!U$4:U$1003,$W15)&amp;"")</f>
        <v/>
      </c>
      <c r="W15" s="1" t="str">
        <f aca="false">IF($V$3="","",IFERROR(MATCH($V$3&amp;"#"&amp;ROWS(W$4:W15),发票统计!$W$4:$W$1003,0),""))</f>
        <v/>
      </c>
    </row>
    <row r="16" customFormat="false" ht="16.5" hidden="false" customHeight="false" outlineLevel="0" collapsed="false">
      <c r="A16" s="3" t="str">
        <f aca="false">IF($W16="","",INDEX(发票统计!A$4:A$1003,$W16)&amp;"")</f>
        <v/>
      </c>
      <c r="B16" s="3" t="str">
        <f aca="false">IF($W16="","",INDEX(发票统计!B$4:B$1003,$W16)&amp;"")</f>
        <v/>
      </c>
      <c r="C16" s="3" t="str">
        <f aca="false">IF($W16="","",INDEX(发票统计!C$4:C$1003,$W16)&amp;"")</f>
        <v/>
      </c>
      <c r="D16" s="3" t="str">
        <f aca="false">IF($W16="","",INDEX(发票统计!D$4:D$1003,$W16)&amp;"")</f>
        <v/>
      </c>
      <c r="E16" s="67" t="str">
        <f aca="false">IF($W16="","",INDEX(发票统计!E$4:E$1003,$W16)&amp;"")</f>
        <v/>
      </c>
      <c r="F16" s="67" t="str">
        <f aca="false">IF($W16="","",INDEX(发票统计!F$4:F$1003,$W16)&amp;"")</f>
        <v/>
      </c>
      <c r="G16" s="68" t="str">
        <f aca="false">IF($W16="","",IF(INDEX(发票统计!G$4:G$1003,$W16)="","",INDEX(发票统计!G$4:G$1003,$W16)))</f>
        <v/>
      </c>
      <c r="H16" s="56" t="str">
        <f aca="false">IF($W16="","",N(INDEX(发票统计!H$4:H$1003,$W16)))</f>
        <v/>
      </c>
      <c r="I16" s="56" t="str">
        <f aca="false">IF($W16="","",N(INDEX(发票统计!I$4:I$1003,$W16)))</f>
        <v/>
      </c>
      <c r="J16" s="56" t="str">
        <f aca="false">IF($W16="","",N(INDEX(发票统计!J$4:J$1003,$W16)))</f>
        <v/>
      </c>
      <c r="K16" s="56" t="str">
        <f aca="false">IF($W16="","",N(INDEX(发票统计!K$4:K$1003,$W16)))</f>
        <v/>
      </c>
      <c r="L16" s="56" t="str">
        <f aca="false">IF($W16="","",SUM(J$4:J16)-SUM(K$4:K16))</f>
        <v/>
      </c>
      <c r="M16" s="56" t="str">
        <f aca="false">IF($W16="","",N(INDEX(发票统计!M$4:M$1003,$W16)))</f>
        <v/>
      </c>
      <c r="N16" s="56" t="str">
        <f aca="false">IF($W16="","",N(INDEX(发票统计!N$4:N$1003,$W16)))</f>
        <v/>
      </c>
      <c r="O16" s="56" t="str">
        <f aca="false">IF($W16="","",N(INDEX(发票统计!O$4:O$1003,$W16)))</f>
        <v/>
      </c>
      <c r="P16" s="56" t="str">
        <f aca="false">IF($W16="","",SUM(M$4:M16)-SUM(N$4:N16)-SUM(O$4:O16))</f>
        <v/>
      </c>
      <c r="Q16" s="56" t="str">
        <f aca="false">IF($W16="","",N(INDEX(发票统计!Q$4:Q$1003,$W16)))</f>
        <v/>
      </c>
      <c r="R16" s="56" t="str">
        <f aca="false">IF($W16="","",N(INDEX(发票统计!R$4:R$1003,$W16)))</f>
        <v/>
      </c>
      <c r="S16" s="56" t="str">
        <f aca="false">IF($W16="","",N(INDEX(发票统计!S$4:S$1003,$W16)))</f>
        <v/>
      </c>
      <c r="T16" s="56" t="str">
        <f aca="false">IF($W16="","",SUM(Q$4:Q16)-SUM(R$4:R16)-SUM(S$4:S16))</f>
        <v/>
      </c>
      <c r="U16" s="56" t="str">
        <f aca="false">IF($W16="","",INDEX(发票统计!U$4:U$1003,$W16)&amp;"")</f>
        <v/>
      </c>
      <c r="W16" s="1" t="str">
        <f aca="false">IF($V$3="","",IFERROR(MATCH($V$3&amp;"#"&amp;ROWS(W$4:W16),发票统计!$W$4:$W$1003,0),""))</f>
        <v/>
      </c>
    </row>
    <row r="17" customFormat="false" ht="16.5" hidden="false" customHeight="false" outlineLevel="0" collapsed="false">
      <c r="A17" s="3" t="str">
        <f aca="false">IF($W17="","",INDEX(发票统计!A$4:A$1003,$W17)&amp;"")</f>
        <v/>
      </c>
      <c r="B17" s="3" t="str">
        <f aca="false">IF($W17="","",INDEX(发票统计!B$4:B$1003,$W17)&amp;"")</f>
        <v/>
      </c>
      <c r="C17" s="3" t="str">
        <f aca="false">IF($W17="","",INDEX(发票统计!C$4:C$1003,$W17)&amp;"")</f>
        <v/>
      </c>
      <c r="D17" s="3" t="str">
        <f aca="false">IF($W17="","",INDEX(发票统计!D$4:D$1003,$W17)&amp;"")</f>
        <v/>
      </c>
      <c r="E17" s="67" t="str">
        <f aca="false">IF($W17="","",INDEX(发票统计!E$4:E$1003,$W17)&amp;"")</f>
        <v/>
      </c>
      <c r="F17" s="67" t="str">
        <f aca="false">IF($W17="","",INDEX(发票统计!F$4:F$1003,$W17)&amp;"")</f>
        <v/>
      </c>
      <c r="G17" s="68" t="str">
        <f aca="false">IF($W17="","",IF(INDEX(发票统计!G$4:G$1003,$W17)="","",INDEX(发票统计!G$4:G$1003,$W17)))</f>
        <v/>
      </c>
      <c r="H17" s="56" t="str">
        <f aca="false">IF($W17="","",N(INDEX(发票统计!H$4:H$1003,$W17)))</f>
        <v/>
      </c>
      <c r="I17" s="56" t="str">
        <f aca="false">IF($W17="","",N(INDEX(发票统计!I$4:I$1003,$W17)))</f>
        <v/>
      </c>
      <c r="J17" s="56" t="str">
        <f aca="false">IF($W17="","",N(INDEX(发票统计!J$4:J$1003,$W17)))</f>
        <v/>
      </c>
      <c r="K17" s="56" t="str">
        <f aca="false">IF($W17="","",N(INDEX(发票统计!K$4:K$1003,$W17)))</f>
        <v/>
      </c>
      <c r="L17" s="56" t="str">
        <f aca="false">IF($W17="","",SUM(J$4:J17)-SUM(K$4:K17))</f>
        <v/>
      </c>
      <c r="M17" s="56" t="str">
        <f aca="false">IF($W17="","",N(INDEX(发票统计!M$4:M$1003,$W17)))</f>
        <v/>
      </c>
      <c r="N17" s="56" t="str">
        <f aca="false">IF($W17="","",N(INDEX(发票统计!N$4:N$1003,$W17)))</f>
        <v/>
      </c>
      <c r="O17" s="56" t="str">
        <f aca="false">IF($W17="","",N(INDEX(发票统计!O$4:O$1003,$W17)))</f>
        <v/>
      </c>
      <c r="P17" s="56" t="str">
        <f aca="false">IF($W17="","",SUM(M$4:M17)-SUM(N$4:N17)-SUM(O$4:O17))</f>
        <v/>
      </c>
      <c r="Q17" s="56" t="str">
        <f aca="false">IF($W17="","",N(INDEX(发票统计!Q$4:Q$1003,$W17)))</f>
        <v/>
      </c>
      <c r="R17" s="56" t="str">
        <f aca="false">IF($W17="","",N(INDEX(发票统计!R$4:R$1003,$W17)))</f>
        <v/>
      </c>
      <c r="S17" s="56" t="str">
        <f aca="false">IF($W17="","",N(INDEX(发票统计!S$4:S$1003,$W17)))</f>
        <v/>
      </c>
      <c r="T17" s="56" t="str">
        <f aca="false">IF($W17="","",SUM(Q$4:Q17)-SUM(R$4:R17)-SUM(S$4:S17))</f>
        <v/>
      </c>
      <c r="U17" s="56" t="str">
        <f aca="false">IF($W17="","",INDEX(发票统计!U$4:U$1003,$W17)&amp;"")</f>
        <v/>
      </c>
      <c r="W17" s="1" t="str">
        <f aca="false">IF($V$3="","",IFERROR(MATCH($V$3&amp;"#"&amp;ROWS(W$4:W17),发票统计!$W$4:$W$1003,0),""))</f>
        <v/>
      </c>
    </row>
    <row r="18" customFormat="false" ht="16.5" hidden="false" customHeight="false" outlineLevel="0" collapsed="false">
      <c r="A18" s="3" t="str">
        <f aca="false">IF($W18="","",INDEX(发票统计!A$4:A$1003,$W18)&amp;"")</f>
        <v/>
      </c>
      <c r="B18" s="3" t="str">
        <f aca="false">IF($W18="","",INDEX(发票统计!B$4:B$1003,$W18)&amp;"")</f>
        <v/>
      </c>
      <c r="C18" s="3" t="str">
        <f aca="false">IF($W18="","",INDEX(发票统计!C$4:C$1003,$W18)&amp;"")</f>
        <v/>
      </c>
      <c r="D18" s="3" t="str">
        <f aca="false">IF($W18="","",INDEX(发票统计!D$4:D$1003,$W18)&amp;"")</f>
        <v/>
      </c>
      <c r="E18" s="67" t="str">
        <f aca="false">IF($W18="","",INDEX(发票统计!E$4:E$1003,$W18)&amp;"")</f>
        <v/>
      </c>
      <c r="F18" s="67" t="str">
        <f aca="false">IF($W18="","",INDEX(发票统计!F$4:F$1003,$W18)&amp;"")</f>
        <v/>
      </c>
      <c r="G18" s="68" t="str">
        <f aca="false">IF($W18="","",IF(INDEX(发票统计!G$4:G$1003,$W18)="","",INDEX(发票统计!G$4:G$1003,$W18)))</f>
        <v/>
      </c>
      <c r="H18" s="56" t="str">
        <f aca="false">IF($W18="","",N(INDEX(发票统计!H$4:H$1003,$W18)))</f>
        <v/>
      </c>
      <c r="I18" s="56" t="str">
        <f aca="false">IF($W18="","",N(INDEX(发票统计!I$4:I$1003,$W18)))</f>
        <v/>
      </c>
      <c r="J18" s="56" t="str">
        <f aca="false">IF($W18="","",N(INDEX(发票统计!J$4:J$1003,$W18)))</f>
        <v/>
      </c>
      <c r="K18" s="56" t="str">
        <f aca="false">IF($W18="","",N(INDEX(发票统计!K$4:K$1003,$W18)))</f>
        <v/>
      </c>
      <c r="L18" s="56" t="str">
        <f aca="false">IF($W18="","",SUM(J$4:J18)-SUM(K$4:K18))</f>
        <v/>
      </c>
      <c r="M18" s="56" t="str">
        <f aca="false">IF($W18="","",N(INDEX(发票统计!M$4:M$1003,$W18)))</f>
        <v/>
      </c>
      <c r="N18" s="56" t="str">
        <f aca="false">IF($W18="","",N(INDEX(发票统计!N$4:N$1003,$W18)))</f>
        <v/>
      </c>
      <c r="O18" s="56" t="str">
        <f aca="false">IF($W18="","",N(INDEX(发票统计!O$4:O$1003,$W18)))</f>
        <v/>
      </c>
      <c r="P18" s="56" t="str">
        <f aca="false">IF($W18="","",SUM(M$4:M18)-SUM(N$4:N18)-SUM(O$4:O18))</f>
        <v/>
      </c>
      <c r="Q18" s="56" t="str">
        <f aca="false">IF($W18="","",N(INDEX(发票统计!Q$4:Q$1003,$W18)))</f>
        <v/>
      </c>
      <c r="R18" s="56" t="str">
        <f aca="false">IF($W18="","",N(INDEX(发票统计!R$4:R$1003,$W18)))</f>
        <v/>
      </c>
      <c r="S18" s="56" t="str">
        <f aca="false">IF($W18="","",N(INDEX(发票统计!S$4:S$1003,$W18)))</f>
        <v/>
      </c>
      <c r="T18" s="56" t="str">
        <f aca="false">IF($W18="","",SUM(Q$4:Q18)-SUM(R$4:R18)-SUM(S$4:S18))</f>
        <v/>
      </c>
      <c r="U18" s="56" t="str">
        <f aca="false">IF($W18="","",INDEX(发票统计!U$4:U$1003,$W18)&amp;"")</f>
        <v/>
      </c>
      <c r="W18" s="1" t="str">
        <f aca="false">IF($V$3="","",IFERROR(MATCH($V$3&amp;"#"&amp;ROWS(W$4:W18),发票统计!$W$4:$W$1003,0),""))</f>
        <v/>
      </c>
    </row>
    <row r="19" customFormat="false" ht="16.5" hidden="false" customHeight="false" outlineLevel="0" collapsed="false">
      <c r="A19" s="3" t="str">
        <f aca="false">IF($W19="","",INDEX(发票统计!A$4:A$1003,$W19)&amp;"")</f>
        <v/>
      </c>
      <c r="B19" s="3" t="str">
        <f aca="false">IF($W19="","",INDEX(发票统计!B$4:B$1003,$W19)&amp;"")</f>
        <v/>
      </c>
      <c r="C19" s="3" t="str">
        <f aca="false">IF($W19="","",INDEX(发票统计!C$4:C$1003,$W19)&amp;"")</f>
        <v/>
      </c>
      <c r="D19" s="3" t="str">
        <f aca="false">IF($W19="","",INDEX(发票统计!D$4:D$1003,$W19)&amp;"")</f>
        <v/>
      </c>
      <c r="E19" s="67" t="str">
        <f aca="false">IF($W19="","",INDEX(发票统计!E$4:E$1003,$W19)&amp;"")</f>
        <v/>
      </c>
      <c r="F19" s="67" t="str">
        <f aca="false">IF($W19="","",INDEX(发票统计!F$4:F$1003,$W19)&amp;"")</f>
        <v/>
      </c>
      <c r="G19" s="68" t="str">
        <f aca="false">IF($W19="","",IF(INDEX(发票统计!G$4:G$1003,$W19)="","",INDEX(发票统计!G$4:G$1003,$W19)))</f>
        <v/>
      </c>
      <c r="H19" s="56" t="str">
        <f aca="false">IF($W19="","",N(INDEX(发票统计!H$4:H$1003,$W19)))</f>
        <v/>
      </c>
      <c r="I19" s="56" t="str">
        <f aca="false">IF($W19="","",N(INDEX(发票统计!I$4:I$1003,$W19)))</f>
        <v/>
      </c>
      <c r="J19" s="56" t="str">
        <f aca="false">IF($W19="","",N(INDEX(发票统计!J$4:J$1003,$W19)))</f>
        <v/>
      </c>
      <c r="K19" s="56" t="str">
        <f aca="false">IF($W19="","",N(INDEX(发票统计!K$4:K$1003,$W19)))</f>
        <v/>
      </c>
      <c r="L19" s="56" t="str">
        <f aca="false">IF($W19="","",SUM(J$4:J19)-SUM(K$4:K19))</f>
        <v/>
      </c>
      <c r="M19" s="56" t="str">
        <f aca="false">IF($W19="","",N(INDEX(发票统计!M$4:M$1003,$W19)))</f>
        <v/>
      </c>
      <c r="N19" s="56" t="str">
        <f aca="false">IF($W19="","",N(INDEX(发票统计!N$4:N$1003,$W19)))</f>
        <v/>
      </c>
      <c r="O19" s="56" t="str">
        <f aca="false">IF($W19="","",N(INDEX(发票统计!O$4:O$1003,$W19)))</f>
        <v/>
      </c>
      <c r="P19" s="56" t="str">
        <f aca="false">IF($W19="","",SUM(M$4:M19)-SUM(N$4:N19)-SUM(O$4:O19))</f>
        <v/>
      </c>
      <c r="Q19" s="56" t="str">
        <f aca="false">IF($W19="","",N(INDEX(发票统计!Q$4:Q$1003,$W19)))</f>
        <v/>
      </c>
      <c r="R19" s="56" t="str">
        <f aca="false">IF($W19="","",N(INDEX(发票统计!R$4:R$1003,$W19)))</f>
        <v/>
      </c>
      <c r="S19" s="56" t="str">
        <f aca="false">IF($W19="","",N(INDEX(发票统计!S$4:S$1003,$W19)))</f>
        <v/>
      </c>
      <c r="T19" s="56" t="str">
        <f aca="false">IF($W19="","",SUM(Q$4:Q19)-SUM(R$4:R19)-SUM(S$4:S19))</f>
        <v/>
      </c>
      <c r="U19" s="56" t="str">
        <f aca="false">IF($W19="","",INDEX(发票统计!U$4:U$1003,$W19)&amp;"")</f>
        <v/>
      </c>
      <c r="W19" s="1" t="str">
        <f aca="false">IF($V$3="","",IFERROR(MATCH($V$3&amp;"#"&amp;ROWS(W$4:W19),发票统计!$W$4:$W$1003,0),""))</f>
        <v/>
      </c>
    </row>
    <row r="20" customFormat="false" ht="16.5" hidden="false" customHeight="false" outlineLevel="0" collapsed="false">
      <c r="A20" s="3" t="str">
        <f aca="false">IF($W20="","",INDEX(发票统计!A$4:A$1003,$W20)&amp;"")</f>
        <v/>
      </c>
      <c r="B20" s="3" t="str">
        <f aca="false">IF($W20="","",INDEX(发票统计!B$4:B$1003,$W20)&amp;"")</f>
        <v/>
      </c>
      <c r="C20" s="3" t="str">
        <f aca="false">IF($W20="","",INDEX(发票统计!C$4:C$1003,$W20)&amp;"")</f>
        <v/>
      </c>
      <c r="D20" s="3" t="str">
        <f aca="false">IF($W20="","",INDEX(发票统计!D$4:D$1003,$W20)&amp;"")</f>
        <v/>
      </c>
      <c r="E20" s="67" t="str">
        <f aca="false">IF($W20="","",INDEX(发票统计!E$4:E$1003,$W20)&amp;"")</f>
        <v/>
      </c>
      <c r="F20" s="67" t="str">
        <f aca="false">IF($W20="","",INDEX(发票统计!F$4:F$1003,$W20)&amp;"")</f>
        <v/>
      </c>
      <c r="G20" s="68" t="str">
        <f aca="false">IF($W20="","",IF(INDEX(发票统计!G$4:G$1003,$W20)="","",INDEX(发票统计!G$4:G$1003,$W20)))</f>
        <v/>
      </c>
      <c r="H20" s="56" t="str">
        <f aca="false">IF($W20="","",N(INDEX(发票统计!H$4:H$1003,$W20)))</f>
        <v/>
      </c>
      <c r="I20" s="56" t="str">
        <f aca="false">IF($W20="","",N(INDEX(发票统计!I$4:I$1003,$W20)))</f>
        <v/>
      </c>
      <c r="J20" s="56" t="str">
        <f aca="false">IF($W20="","",N(INDEX(发票统计!J$4:J$1003,$W20)))</f>
        <v/>
      </c>
      <c r="K20" s="56" t="str">
        <f aca="false">IF($W20="","",N(INDEX(发票统计!K$4:K$1003,$W20)))</f>
        <v/>
      </c>
      <c r="L20" s="56" t="str">
        <f aca="false">IF($W20="","",SUM(J$4:J20)-SUM(K$4:K20))</f>
        <v/>
      </c>
      <c r="M20" s="56" t="str">
        <f aca="false">IF($W20="","",N(INDEX(发票统计!M$4:M$1003,$W20)))</f>
        <v/>
      </c>
      <c r="N20" s="56" t="str">
        <f aca="false">IF($W20="","",N(INDEX(发票统计!N$4:N$1003,$W20)))</f>
        <v/>
      </c>
      <c r="O20" s="56" t="str">
        <f aca="false">IF($W20="","",N(INDEX(发票统计!O$4:O$1003,$W20)))</f>
        <v/>
      </c>
      <c r="P20" s="56" t="str">
        <f aca="false">IF($W20="","",SUM(M$4:M20)-SUM(N$4:N20)-SUM(O$4:O20))</f>
        <v/>
      </c>
      <c r="Q20" s="56" t="str">
        <f aca="false">IF($W20="","",N(INDEX(发票统计!Q$4:Q$1003,$W20)))</f>
        <v/>
      </c>
      <c r="R20" s="56" t="str">
        <f aca="false">IF($W20="","",N(INDEX(发票统计!R$4:R$1003,$W20)))</f>
        <v/>
      </c>
      <c r="S20" s="56" t="str">
        <f aca="false">IF($W20="","",N(INDEX(发票统计!S$4:S$1003,$W20)))</f>
        <v/>
      </c>
      <c r="T20" s="56" t="str">
        <f aca="false">IF($W20="","",SUM(Q$4:Q20)-SUM(R$4:R20)-SUM(S$4:S20))</f>
        <v/>
      </c>
      <c r="U20" s="56" t="str">
        <f aca="false">IF($W20="","",INDEX(发票统计!U$4:U$1003,$W20)&amp;"")</f>
        <v/>
      </c>
      <c r="W20" s="1" t="str">
        <f aca="false">IF($V$3="","",IFERROR(MATCH($V$3&amp;"#"&amp;ROWS(W$4:W20),发票统计!$W$4:$W$1003,0),""))</f>
        <v/>
      </c>
    </row>
    <row r="21" customFormat="false" ht="16.5" hidden="false" customHeight="false" outlineLevel="0" collapsed="false">
      <c r="A21" s="3" t="str">
        <f aca="false">IF($W21="","",INDEX(发票统计!A$4:A$1003,$W21)&amp;"")</f>
        <v/>
      </c>
      <c r="B21" s="3" t="str">
        <f aca="false">IF($W21="","",INDEX(发票统计!B$4:B$1003,$W21)&amp;"")</f>
        <v/>
      </c>
      <c r="C21" s="3" t="str">
        <f aca="false">IF($W21="","",INDEX(发票统计!C$4:C$1003,$W21)&amp;"")</f>
        <v/>
      </c>
      <c r="D21" s="3" t="str">
        <f aca="false">IF($W21="","",INDEX(发票统计!D$4:D$1003,$W21)&amp;"")</f>
        <v/>
      </c>
      <c r="E21" s="67" t="str">
        <f aca="false">IF($W21="","",INDEX(发票统计!E$4:E$1003,$W21)&amp;"")</f>
        <v/>
      </c>
      <c r="F21" s="67" t="str">
        <f aca="false">IF($W21="","",INDEX(发票统计!F$4:F$1003,$W21)&amp;"")</f>
        <v/>
      </c>
      <c r="G21" s="68" t="str">
        <f aca="false">IF($W21="","",IF(INDEX(发票统计!G$4:G$1003,$W21)="","",INDEX(发票统计!G$4:G$1003,$W21)))</f>
        <v/>
      </c>
      <c r="H21" s="56" t="str">
        <f aca="false">IF($W21="","",N(INDEX(发票统计!H$4:H$1003,$W21)))</f>
        <v/>
      </c>
      <c r="I21" s="56" t="str">
        <f aca="false">IF($W21="","",N(INDEX(发票统计!I$4:I$1003,$W21)))</f>
        <v/>
      </c>
      <c r="J21" s="56" t="str">
        <f aca="false">IF($W21="","",N(INDEX(发票统计!J$4:J$1003,$W21)))</f>
        <v/>
      </c>
      <c r="K21" s="56" t="str">
        <f aca="false">IF($W21="","",N(INDEX(发票统计!K$4:K$1003,$W21)))</f>
        <v/>
      </c>
      <c r="L21" s="56" t="str">
        <f aca="false">IF($W21="","",SUM(J$4:J21)-SUM(K$4:K21))</f>
        <v/>
      </c>
      <c r="M21" s="56" t="str">
        <f aca="false">IF($W21="","",N(INDEX(发票统计!M$4:M$1003,$W21)))</f>
        <v/>
      </c>
      <c r="N21" s="56" t="str">
        <f aca="false">IF($W21="","",N(INDEX(发票统计!N$4:N$1003,$W21)))</f>
        <v/>
      </c>
      <c r="O21" s="56" t="str">
        <f aca="false">IF($W21="","",N(INDEX(发票统计!O$4:O$1003,$W21)))</f>
        <v/>
      </c>
      <c r="P21" s="56" t="str">
        <f aca="false">IF($W21="","",SUM(M$4:M21)-SUM(N$4:N21)-SUM(O$4:O21))</f>
        <v/>
      </c>
      <c r="Q21" s="56" t="str">
        <f aca="false">IF($W21="","",N(INDEX(发票统计!Q$4:Q$1003,$W21)))</f>
        <v/>
      </c>
      <c r="R21" s="56" t="str">
        <f aca="false">IF($W21="","",N(INDEX(发票统计!R$4:R$1003,$W21)))</f>
        <v/>
      </c>
      <c r="S21" s="56" t="str">
        <f aca="false">IF($W21="","",N(INDEX(发票统计!S$4:S$1003,$W21)))</f>
        <v/>
      </c>
      <c r="T21" s="56" t="str">
        <f aca="false">IF($W21="","",SUM(Q$4:Q21)-SUM(R$4:R21)-SUM(S$4:S21))</f>
        <v/>
      </c>
      <c r="U21" s="56" t="str">
        <f aca="false">IF($W21="","",INDEX(发票统计!U$4:U$1003,$W21)&amp;"")</f>
        <v/>
      </c>
      <c r="W21" s="1" t="str">
        <f aca="false">IF($V$3="","",IFERROR(MATCH($V$3&amp;"#"&amp;ROWS(W$4:W21),发票统计!$W$4:$W$1003,0),""))</f>
        <v/>
      </c>
    </row>
    <row r="22" customFormat="false" ht="16.5" hidden="false" customHeight="false" outlineLevel="0" collapsed="false">
      <c r="A22" s="3" t="str">
        <f aca="false">IF($W22="","",INDEX(发票统计!A$4:A$1003,$W22)&amp;"")</f>
        <v/>
      </c>
      <c r="B22" s="3" t="str">
        <f aca="false">IF($W22="","",INDEX(发票统计!B$4:B$1003,$W22)&amp;"")</f>
        <v/>
      </c>
      <c r="C22" s="3" t="str">
        <f aca="false">IF($W22="","",INDEX(发票统计!C$4:C$1003,$W22)&amp;"")</f>
        <v/>
      </c>
      <c r="D22" s="3" t="str">
        <f aca="false">IF($W22="","",INDEX(发票统计!D$4:D$1003,$W22)&amp;"")</f>
        <v/>
      </c>
      <c r="E22" s="67" t="str">
        <f aca="false">IF($W22="","",INDEX(发票统计!E$4:E$1003,$W22)&amp;"")</f>
        <v/>
      </c>
      <c r="F22" s="67" t="str">
        <f aca="false">IF($W22="","",INDEX(发票统计!F$4:F$1003,$W22)&amp;"")</f>
        <v/>
      </c>
      <c r="G22" s="68" t="str">
        <f aca="false">IF($W22="","",IF(INDEX(发票统计!G$4:G$1003,$W22)="","",INDEX(发票统计!G$4:G$1003,$W22)))</f>
        <v/>
      </c>
      <c r="H22" s="56" t="str">
        <f aca="false">IF($W22="","",N(INDEX(发票统计!H$4:H$1003,$W22)))</f>
        <v/>
      </c>
      <c r="I22" s="56" t="str">
        <f aca="false">IF($W22="","",N(INDEX(发票统计!I$4:I$1003,$W22)))</f>
        <v/>
      </c>
      <c r="J22" s="56" t="str">
        <f aca="false">IF($W22="","",N(INDEX(发票统计!J$4:J$1003,$W22)))</f>
        <v/>
      </c>
      <c r="K22" s="56" t="str">
        <f aca="false">IF($W22="","",N(INDEX(发票统计!K$4:K$1003,$W22)))</f>
        <v/>
      </c>
      <c r="L22" s="56" t="str">
        <f aca="false">IF($W22="","",SUM(J$4:J22)-SUM(K$4:K22))</f>
        <v/>
      </c>
      <c r="M22" s="56" t="str">
        <f aca="false">IF($W22="","",N(INDEX(发票统计!M$4:M$1003,$W22)))</f>
        <v/>
      </c>
      <c r="N22" s="56" t="str">
        <f aca="false">IF($W22="","",N(INDEX(发票统计!N$4:N$1003,$W22)))</f>
        <v/>
      </c>
      <c r="O22" s="56" t="str">
        <f aca="false">IF($W22="","",N(INDEX(发票统计!O$4:O$1003,$W22)))</f>
        <v/>
      </c>
      <c r="P22" s="56" t="str">
        <f aca="false">IF($W22="","",SUM(M$4:M22)-SUM(N$4:N22)-SUM(O$4:O22))</f>
        <v/>
      </c>
      <c r="Q22" s="56" t="str">
        <f aca="false">IF($W22="","",N(INDEX(发票统计!Q$4:Q$1003,$W22)))</f>
        <v/>
      </c>
      <c r="R22" s="56" t="str">
        <f aca="false">IF($W22="","",N(INDEX(发票统计!R$4:R$1003,$W22)))</f>
        <v/>
      </c>
      <c r="S22" s="56" t="str">
        <f aca="false">IF($W22="","",N(INDEX(发票统计!S$4:S$1003,$W22)))</f>
        <v/>
      </c>
      <c r="T22" s="56" t="str">
        <f aca="false">IF($W22="","",SUM(Q$4:Q22)-SUM(R$4:R22)-SUM(S$4:S22))</f>
        <v/>
      </c>
      <c r="U22" s="56" t="str">
        <f aca="false">IF($W22="","",INDEX(发票统计!U$4:U$1003,$W22)&amp;"")</f>
        <v/>
      </c>
      <c r="W22" s="1" t="str">
        <f aca="false">IF($V$3="","",IFERROR(MATCH($V$3&amp;"#"&amp;ROWS(W$4:W22),发票统计!$W$4:$W$1003,0),""))</f>
        <v/>
      </c>
    </row>
    <row r="23" customFormat="false" ht="16.5" hidden="false" customHeight="false" outlineLevel="0" collapsed="false">
      <c r="A23" s="3" t="str">
        <f aca="false">IF($W23="","",INDEX(发票统计!A$4:A$1003,$W23)&amp;"")</f>
        <v/>
      </c>
      <c r="B23" s="3" t="str">
        <f aca="false">IF($W23="","",INDEX(发票统计!B$4:B$1003,$W23)&amp;"")</f>
        <v/>
      </c>
      <c r="C23" s="3" t="str">
        <f aca="false">IF($W23="","",INDEX(发票统计!C$4:C$1003,$W23)&amp;"")</f>
        <v/>
      </c>
      <c r="D23" s="3" t="str">
        <f aca="false">IF($W23="","",INDEX(发票统计!D$4:D$1003,$W23)&amp;"")</f>
        <v/>
      </c>
      <c r="E23" s="67" t="str">
        <f aca="false">IF($W23="","",INDEX(发票统计!E$4:E$1003,$W23)&amp;"")</f>
        <v/>
      </c>
      <c r="F23" s="67" t="str">
        <f aca="false">IF($W23="","",INDEX(发票统计!F$4:F$1003,$W23)&amp;"")</f>
        <v/>
      </c>
      <c r="G23" s="68" t="str">
        <f aca="false">IF($W23="","",IF(INDEX(发票统计!G$4:G$1003,$W23)="","",INDEX(发票统计!G$4:G$1003,$W23)))</f>
        <v/>
      </c>
      <c r="H23" s="56" t="str">
        <f aca="false">IF($W23="","",N(INDEX(发票统计!H$4:H$1003,$W23)))</f>
        <v/>
      </c>
      <c r="I23" s="56" t="str">
        <f aca="false">IF($W23="","",N(INDEX(发票统计!I$4:I$1003,$W23)))</f>
        <v/>
      </c>
      <c r="J23" s="56" t="str">
        <f aca="false">IF($W23="","",N(INDEX(发票统计!J$4:J$1003,$W23)))</f>
        <v/>
      </c>
      <c r="K23" s="56" t="str">
        <f aca="false">IF($W23="","",N(INDEX(发票统计!K$4:K$1003,$W23)))</f>
        <v/>
      </c>
      <c r="L23" s="56" t="str">
        <f aca="false">IF($W23="","",SUM(J$4:J23)-SUM(K$4:K23))</f>
        <v/>
      </c>
      <c r="M23" s="56" t="str">
        <f aca="false">IF($W23="","",N(INDEX(发票统计!M$4:M$1003,$W23)))</f>
        <v/>
      </c>
      <c r="N23" s="56" t="str">
        <f aca="false">IF($W23="","",N(INDEX(发票统计!N$4:N$1003,$W23)))</f>
        <v/>
      </c>
      <c r="O23" s="56" t="str">
        <f aca="false">IF($W23="","",N(INDEX(发票统计!O$4:O$1003,$W23)))</f>
        <v/>
      </c>
      <c r="P23" s="56" t="str">
        <f aca="false">IF($W23="","",SUM(M$4:M23)-SUM(N$4:N23)-SUM(O$4:O23))</f>
        <v/>
      </c>
      <c r="Q23" s="56" t="str">
        <f aca="false">IF($W23="","",N(INDEX(发票统计!Q$4:Q$1003,$W23)))</f>
        <v/>
      </c>
      <c r="R23" s="56" t="str">
        <f aca="false">IF($W23="","",N(INDEX(发票统计!R$4:R$1003,$W23)))</f>
        <v/>
      </c>
      <c r="S23" s="56" t="str">
        <f aca="false">IF($W23="","",N(INDEX(发票统计!S$4:S$1003,$W23)))</f>
        <v/>
      </c>
      <c r="T23" s="56" t="str">
        <f aca="false">IF($W23="","",SUM(Q$4:Q23)-SUM(R$4:R23)-SUM(S$4:S23))</f>
        <v/>
      </c>
      <c r="U23" s="56" t="str">
        <f aca="false">IF($W23="","",INDEX(发票统计!U$4:U$1003,$W23)&amp;"")</f>
        <v/>
      </c>
      <c r="W23" s="1" t="str">
        <f aca="false">IF($V$3="","",IFERROR(MATCH($V$3&amp;"#"&amp;ROWS(W$4:W23),发票统计!$W$4:$W$1003,0),""))</f>
        <v/>
      </c>
    </row>
    <row r="24" customFormat="false" ht="16.5" hidden="false" customHeight="false" outlineLevel="0" collapsed="false">
      <c r="A24" s="3" t="str">
        <f aca="false">IF($W24="","",INDEX(发票统计!A$4:A$1003,$W24)&amp;"")</f>
        <v/>
      </c>
      <c r="B24" s="3" t="str">
        <f aca="false">IF($W24="","",INDEX(发票统计!B$4:B$1003,$W24)&amp;"")</f>
        <v/>
      </c>
      <c r="C24" s="3" t="str">
        <f aca="false">IF($W24="","",INDEX(发票统计!C$4:C$1003,$W24)&amp;"")</f>
        <v/>
      </c>
      <c r="D24" s="3" t="str">
        <f aca="false">IF($W24="","",INDEX(发票统计!D$4:D$1003,$W24)&amp;"")</f>
        <v/>
      </c>
      <c r="E24" s="67" t="str">
        <f aca="false">IF($W24="","",INDEX(发票统计!E$4:E$1003,$W24)&amp;"")</f>
        <v/>
      </c>
      <c r="F24" s="67" t="str">
        <f aca="false">IF($W24="","",INDEX(发票统计!F$4:F$1003,$W24)&amp;"")</f>
        <v/>
      </c>
      <c r="G24" s="68" t="str">
        <f aca="false">IF($W24="","",IF(INDEX(发票统计!G$4:G$1003,$W24)="","",INDEX(发票统计!G$4:G$1003,$W24)))</f>
        <v/>
      </c>
      <c r="H24" s="56" t="str">
        <f aca="false">IF($W24="","",N(INDEX(发票统计!H$4:H$1003,$W24)))</f>
        <v/>
      </c>
      <c r="I24" s="56" t="str">
        <f aca="false">IF($W24="","",N(INDEX(发票统计!I$4:I$1003,$W24)))</f>
        <v/>
      </c>
      <c r="J24" s="56" t="str">
        <f aca="false">IF($W24="","",N(INDEX(发票统计!J$4:J$1003,$W24)))</f>
        <v/>
      </c>
      <c r="K24" s="56" t="str">
        <f aca="false">IF($W24="","",N(INDEX(发票统计!K$4:K$1003,$W24)))</f>
        <v/>
      </c>
      <c r="L24" s="56" t="str">
        <f aca="false">IF($W24="","",SUM(J$4:J24)-SUM(K$4:K24))</f>
        <v/>
      </c>
      <c r="M24" s="56" t="str">
        <f aca="false">IF($W24="","",N(INDEX(发票统计!M$4:M$1003,$W24)))</f>
        <v/>
      </c>
      <c r="N24" s="56" t="str">
        <f aca="false">IF($W24="","",N(INDEX(发票统计!N$4:N$1003,$W24)))</f>
        <v/>
      </c>
      <c r="O24" s="56" t="str">
        <f aca="false">IF($W24="","",N(INDEX(发票统计!O$4:O$1003,$W24)))</f>
        <v/>
      </c>
      <c r="P24" s="56" t="str">
        <f aca="false">IF($W24="","",SUM(M$4:M24)-SUM(N$4:N24)-SUM(O$4:O24))</f>
        <v/>
      </c>
      <c r="Q24" s="56" t="str">
        <f aca="false">IF($W24="","",N(INDEX(发票统计!Q$4:Q$1003,$W24)))</f>
        <v/>
      </c>
      <c r="R24" s="56" t="str">
        <f aca="false">IF($W24="","",N(INDEX(发票统计!R$4:R$1003,$W24)))</f>
        <v/>
      </c>
      <c r="S24" s="56" t="str">
        <f aca="false">IF($W24="","",N(INDEX(发票统计!S$4:S$1003,$W24)))</f>
        <v/>
      </c>
      <c r="T24" s="56" t="str">
        <f aca="false">IF($W24="","",SUM(Q$4:Q24)-SUM(R$4:R24)-SUM(S$4:S24))</f>
        <v/>
      </c>
      <c r="U24" s="56" t="str">
        <f aca="false">IF($W24="","",INDEX(发票统计!U$4:U$1003,$W24)&amp;"")</f>
        <v/>
      </c>
      <c r="W24" s="1" t="str">
        <f aca="false">IF($V$3="","",IFERROR(MATCH($V$3&amp;"#"&amp;ROWS(W$4:W24),发票统计!$W$4:$W$1003,0),""))</f>
        <v/>
      </c>
    </row>
    <row r="25" customFormat="false" ht="16.5" hidden="false" customHeight="false" outlineLevel="0" collapsed="false">
      <c r="A25" s="3" t="str">
        <f aca="false">IF($W25="","",INDEX(发票统计!A$4:A$1003,$W25)&amp;"")</f>
        <v/>
      </c>
      <c r="B25" s="3" t="str">
        <f aca="false">IF($W25="","",INDEX(发票统计!B$4:B$1003,$W25)&amp;"")</f>
        <v/>
      </c>
      <c r="C25" s="3" t="str">
        <f aca="false">IF($W25="","",INDEX(发票统计!C$4:C$1003,$W25)&amp;"")</f>
        <v/>
      </c>
      <c r="D25" s="3" t="str">
        <f aca="false">IF($W25="","",INDEX(发票统计!D$4:D$1003,$W25)&amp;"")</f>
        <v/>
      </c>
      <c r="E25" s="67" t="str">
        <f aca="false">IF($W25="","",INDEX(发票统计!E$4:E$1003,$W25)&amp;"")</f>
        <v/>
      </c>
      <c r="F25" s="67" t="str">
        <f aca="false">IF($W25="","",INDEX(发票统计!F$4:F$1003,$W25)&amp;"")</f>
        <v/>
      </c>
      <c r="G25" s="68" t="str">
        <f aca="false">IF($W25="","",IF(INDEX(发票统计!G$4:G$1003,$W25)="","",INDEX(发票统计!G$4:G$1003,$W25)))</f>
        <v/>
      </c>
      <c r="H25" s="56" t="str">
        <f aca="false">IF($W25="","",N(INDEX(发票统计!H$4:H$1003,$W25)))</f>
        <v/>
      </c>
      <c r="I25" s="56" t="str">
        <f aca="false">IF($W25="","",N(INDEX(发票统计!I$4:I$1003,$W25)))</f>
        <v/>
      </c>
      <c r="J25" s="56" t="str">
        <f aca="false">IF($W25="","",N(INDEX(发票统计!J$4:J$1003,$W25)))</f>
        <v/>
      </c>
      <c r="K25" s="56" t="str">
        <f aca="false">IF($W25="","",N(INDEX(发票统计!K$4:K$1003,$W25)))</f>
        <v/>
      </c>
      <c r="L25" s="56" t="str">
        <f aca="false">IF($W25="","",SUM(J$4:J25)-SUM(K$4:K25))</f>
        <v/>
      </c>
      <c r="M25" s="56" t="str">
        <f aca="false">IF($W25="","",N(INDEX(发票统计!M$4:M$1003,$W25)))</f>
        <v/>
      </c>
      <c r="N25" s="56" t="str">
        <f aca="false">IF($W25="","",N(INDEX(发票统计!N$4:N$1003,$W25)))</f>
        <v/>
      </c>
      <c r="O25" s="56" t="str">
        <f aca="false">IF($W25="","",N(INDEX(发票统计!O$4:O$1003,$W25)))</f>
        <v/>
      </c>
      <c r="P25" s="56" t="str">
        <f aca="false">IF($W25="","",SUM(M$4:M25)-SUM(N$4:N25)-SUM(O$4:O25))</f>
        <v/>
      </c>
      <c r="Q25" s="56" t="str">
        <f aca="false">IF($W25="","",N(INDEX(发票统计!Q$4:Q$1003,$W25)))</f>
        <v/>
      </c>
      <c r="R25" s="56" t="str">
        <f aca="false">IF($W25="","",N(INDEX(发票统计!R$4:R$1003,$W25)))</f>
        <v/>
      </c>
      <c r="S25" s="56" t="str">
        <f aca="false">IF($W25="","",N(INDEX(发票统计!S$4:S$1003,$W25)))</f>
        <v/>
      </c>
      <c r="T25" s="56" t="str">
        <f aca="false">IF($W25="","",SUM(Q$4:Q25)-SUM(R$4:R25)-SUM(S$4:S25))</f>
        <v/>
      </c>
      <c r="U25" s="56" t="str">
        <f aca="false">IF($W25="","",INDEX(发票统计!U$4:U$1003,$W25)&amp;"")</f>
        <v/>
      </c>
      <c r="W25" s="1" t="str">
        <f aca="false">IF($V$3="","",IFERROR(MATCH($V$3&amp;"#"&amp;ROWS(W$4:W25),发票统计!$W$4:$W$1003,0),""))</f>
        <v/>
      </c>
    </row>
    <row r="26" customFormat="false" ht="16.5" hidden="false" customHeight="false" outlineLevel="0" collapsed="false">
      <c r="A26" s="3" t="str">
        <f aca="false">IF($W26="","",INDEX(发票统计!A$4:A$1003,$W26)&amp;"")</f>
        <v/>
      </c>
      <c r="B26" s="3" t="str">
        <f aca="false">IF($W26="","",INDEX(发票统计!B$4:B$1003,$W26)&amp;"")</f>
        <v/>
      </c>
      <c r="C26" s="3" t="str">
        <f aca="false">IF($W26="","",INDEX(发票统计!C$4:C$1003,$W26)&amp;"")</f>
        <v/>
      </c>
      <c r="D26" s="3" t="str">
        <f aca="false">IF($W26="","",INDEX(发票统计!D$4:D$1003,$W26)&amp;"")</f>
        <v/>
      </c>
      <c r="E26" s="67" t="str">
        <f aca="false">IF($W26="","",INDEX(发票统计!E$4:E$1003,$W26)&amp;"")</f>
        <v/>
      </c>
      <c r="F26" s="67" t="str">
        <f aca="false">IF($W26="","",INDEX(发票统计!F$4:F$1003,$W26)&amp;"")</f>
        <v/>
      </c>
      <c r="G26" s="68" t="str">
        <f aca="false">IF($W26="","",IF(INDEX(发票统计!G$4:G$1003,$W26)="","",INDEX(发票统计!G$4:G$1003,$W26)))</f>
        <v/>
      </c>
      <c r="H26" s="56" t="str">
        <f aca="false">IF($W26="","",N(INDEX(发票统计!H$4:H$1003,$W26)))</f>
        <v/>
      </c>
      <c r="I26" s="56" t="str">
        <f aca="false">IF($W26="","",N(INDEX(发票统计!I$4:I$1003,$W26)))</f>
        <v/>
      </c>
      <c r="J26" s="56" t="str">
        <f aca="false">IF($W26="","",N(INDEX(发票统计!J$4:J$1003,$W26)))</f>
        <v/>
      </c>
      <c r="K26" s="56" t="str">
        <f aca="false">IF($W26="","",N(INDEX(发票统计!K$4:K$1003,$W26)))</f>
        <v/>
      </c>
      <c r="L26" s="56" t="str">
        <f aca="false">IF($W26="","",SUM(J$4:J26)-SUM(K$4:K26))</f>
        <v/>
      </c>
      <c r="M26" s="56" t="str">
        <f aca="false">IF($W26="","",N(INDEX(发票统计!M$4:M$1003,$W26)))</f>
        <v/>
      </c>
      <c r="N26" s="56" t="str">
        <f aca="false">IF($W26="","",N(INDEX(发票统计!N$4:N$1003,$W26)))</f>
        <v/>
      </c>
      <c r="O26" s="56" t="str">
        <f aca="false">IF($W26="","",N(INDEX(发票统计!O$4:O$1003,$W26)))</f>
        <v/>
      </c>
      <c r="P26" s="56" t="str">
        <f aca="false">IF($W26="","",SUM(M$4:M26)-SUM(N$4:N26)-SUM(O$4:O26))</f>
        <v/>
      </c>
      <c r="Q26" s="56" t="str">
        <f aca="false">IF($W26="","",N(INDEX(发票统计!Q$4:Q$1003,$W26)))</f>
        <v/>
      </c>
      <c r="R26" s="56" t="str">
        <f aca="false">IF($W26="","",N(INDEX(发票统计!R$4:R$1003,$W26)))</f>
        <v/>
      </c>
      <c r="S26" s="56" t="str">
        <f aca="false">IF($W26="","",N(INDEX(发票统计!S$4:S$1003,$W26)))</f>
        <v/>
      </c>
      <c r="T26" s="56" t="str">
        <f aca="false">IF($W26="","",SUM(Q$4:Q26)-SUM(R$4:R26)-SUM(S$4:S26))</f>
        <v/>
      </c>
      <c r="U26" s="56" t="str">
        <f aca="false">IF($W26="","",INDEX(发票统计!U$4:U$1003,$W26)&amp;"")</f>
        <v/>
      </c>
      <c r="W26" s="1" t="str">
        <f aca="false">IF($V$3="","",IFERROR(MATCH($V$3&amp;"#"&amp;ROWS(W$4:W26),发票统计!$W$4:$W$1003,0),""))</f>
        <v/>
      </c>
    </row>
    <row r="27" customFormat="false" ht="16.5" hidden="false" customHeight="false" outlineLevel="0" collapsed="false">
      <c r="A27" s="3" t="str">
        <f aca="false">IF($W27="","",INDEX(发票统计!A$4:A$1003,$W27)&amp;"")</f>
        <v/>
      </c>
      <c r="B27" s="3" t="str">
        <f aca="false">IF($W27="","",INDEX(发票统计!B$4:B$1003,$W27)&amp;"")</f>
        <v/>
      </c>
      <c r="C27" s="3" t="str">
        <f aca="false">IF($W27="","",INDEX(发票统计!C$4:C$1003,$W27)&amp;"")</f>
        <v/>
      </c>
      <c r="D27" s="3" t="str">
        <f aca="false">IF($W27="","",INDEX(发票统计!D$4:D$1003,$W27)&amp;"")</f>
        <v/>
      </c>
      <c r="E27" s="67" t="str">
        <f aca="false">IF($W27="","",INDEX(发票统计!E$4:E$1003,$W27)&amp;"")</f>
        <v/>
      </c>
      <c r="F27" s="67" t="str">
        <f aca="false">IF($W27="","",INDEX(发票统计!F$4:F$1003,$W27)&amp;"")</f>
        <v/>
      </c>
      <c r="G27" s="68" t="str">
        <f aca="false">IF($W27="","",IF(INDEX(发票统计!G$4:G$1003,$W27)="","",INDEX(发票统计!G$4:G$1003,$W27)))</f>
        <v/>
      </c>
      <c r="H27" s="56" t="str">
        <f aca="false">IF($W27="","",N(INDEX(发票统计!H$4:H$1003,$W27)))</f>
        <v/>
      </c>
      <c r="I27" s="56" t="str">
        <f aca="false">IF($W27="","",N(INDEX(发票统计!I$4:I$1003,$W27)))</f>
        <v/>
      </c>
      <c r="J27" s="56" t="str">
        <f aca="false">IF($W27="","",N(INDEX(发票统计!J$4:J$1003,$W27)))</f>
        <v/>
      </c>
      <c r="K27" s="56" t="str">
        <f aca="false">IF($W27="","",N(INDEX(发票统计!K$4:K$1003,$W27)))</f>
        <v/>
      </c>
      <c r="L27" s="56" t="str">
        <f aca="false">IF($W27="","",SUM(J$4:J27)-SUM(K$4:K27))</f>
        <v/>
      </c>
      <c r="M27" s="56" t="str">
        <f aca="false">IF($W27="","",N(INDEX(发票统计!M$4:M$1003,$W27)))</f>
        <v/>
      </c>
      <c r="N27" s="56" t="str">
        <f aca="false">IF($W27="","",N(INDEX(发票统计!N$4:N$1003,$W27)))</f>
        <v/>
      </c>
      <c r="O27" s="56" t="str">
        <f aca="false">IF($W27="","",N(INDEX(发票统计!O$4:O$1003,$W27)))</f>
        <v/>
      </c>
      <c r="P27" s="56" t="str">
        <f aca="false">IF($W27="","",SUM(M$4:M27)-SUM(N$4:N27)-SUM(O$4:O27))</f>
        <v/>
      </c>
      <c r="Q27" s="56" t="str">
        <f aca="false">IF($W27="","",N(INDEX(发票统计!Q$4:Q$1003,$W27)))</f>
        <v/>
      </c>
      <c r="R27" s="56" t="str">
        <f aca="false">IF($W27="","",N(INDEX(发票统计!R$4:R$1003,$W27)))</f>
        <v/>
      </c>
      <c r="S27" s="56" t="str">
        <f aca="false">IF($W27="","",N(INDEX(发票统计!S$4:S$1003,$W27)))</f>
        <v/>
      </c>
      <c r="T27" s="56" t="str">
        <f aca="false">IF($W27="","",SUM(Q$4:Q27)-SUM(R$4:R27)-SUM(S$4:S27))</f>
        <v/>
      </c>
      <c r="U27" s="56" t="str">
        <f aca="false">IF($W27="","",INDEX(发票统计!U$4:U$1003,$W27)&amp;"")</f>
        <v/>
      </c>
      <c r="W27" s="1" t="str">
        <f aca="false">IF($V$3="","",IFERROR(MATCH($V$3&amp;"#"&amp;ROWS(W$4:W27),发票统计!$W$4:$W$1003,0),""))</f>
        <v/>
      </c>
    </row>
    <row r="28" customFormat="false" ht="16.5" hidden="false" customHeight="false" outlineLevel="0" collapsed="false">
      <c r="A28" s="3" t="str">
        <f aca="false">IF($W28="","",INDEX(发票统计!A$4:A$1003,$W28)&amp;"")</f>
        <v/>
      </c>
      <c r="B28" s="3" t="str">
        <f aca="false">IF($W28="","",INDEX(发票统计!B$4:B$1003,$W28)&amp;"")</f>
        <v/>
      </c>
      <c r="C28" s="3" t="str">
        <f aca="false">IF($W28="","",INDEX(发票统计!C$4:C$1003,$W28)&amp;"")</f>
        <v/>
      </c>
      <c r="D28" s="3" t="str">
        <f aca="false">IF($W28="","",INDEX(发票统计!D$4:D$1003,$W28)&amp;"")</f>
        <v/>
      </c>
      <c r="E28" s="67" t="str">
        <f aca="false">IF($W28="","",INDEX(发票统计!E$4:E$1003,$W28)&amp;"")</f>
        <v/>
      </c>
      <c r="F28" s="67" t="str">
        <f aca="false">IF($W28="","",INDEX(发票统计!F$4:F$1003,$W28)&amp;"")</f>
        <v/>
      </c>
      <c r="G28" s="68" t="str">
        <f aca="false">IF($W28="","",IF(INDEX(发票统计!G$4:G$1003,$W28)="","",INDEX(发票统计!G$4:G$1003,$W28)))</f>
        <v/>
      </c>
      <c r="H28" s="56" t="str">
        <f aca="false">IF($W28="","",N(INDEX(发票统计!H$4:H$1003,$W28)))</f>
        <v/>
      </c>
      <c r="I28" s="56" t="str">
        <f aca="false">IF($W28="","",N(INDEX(发票统计!I$4:I$1003,$W28)))</f>
        <v/>
      </c>
      <c r="J28" s="56" t="str">
        <f aca="false">IF($W28="","",N(INDEX(发票统计!J$4:J$1003,$W28)))</f>
        <v/>
      </c>
      <c r="K28" s="56" t="str">
        <f aca="false">IF($W28="","",N(INDEX(发票统计!K$4:K$1003,$W28)))</f>
        <v/>
      </c>
      <c r="L28" s="56" t="str">
        <f aca="false">IF($W28="","",SUM(J$4:J28)-SUM(K$4:K28))</f>
        <v/>
      </c>
      <c r="M28" s="56" t="str">
        <f aca="false">IF($W28="","",N(INDEX(发票统计!M$4:M$1003,$W28)))</f>
        <v/>
      </c>
      <c r="N28" s="56" t="str">
        <f aca="false">IF($W28="","",N(INDEX(发票统计!N$4:N$1003,$W28)))</f>
        <v/>
      </c>
      <c r="O28" s="56" t="str">
        <f aca="false">IF($W28="","",N(INDEX(发票统计!O$4:O$1003,$W28)))</f>
        <v/>
      </c>
      <c r="P28" s="56" t="str">
        <f aca="false">IF($W28="","",SUM(M$4:M28)-SUM(N$4:N28)-SUM(O$4:O28))</f>
        <v/>
      </c>
      <c r="Q28" s="56" t="str">
        <f aca="false">IF($W28="","",N(INDEX(发票统计!Q$4:Q$1003,$W28)))</f>
        <v/>
      </c>
      <c r="R28" s="56" t="str">
        <f aca="false">IF($W28="","",N(INDEX(发票统计!R$4:R$1003,$W28)))</f>
        <v/>
      </c>
      <c r="S28" s="56" t="str">
        <f aca="false">IF($W28="","",N(INDEX(发票统计!S$4:S$1003,$W28)))</f>
        <v/>
      </c>
      <c r="T28" s="56" t="str">
        <f aca="false">IF($W28="","",SUM(Q$4:Q28)-SUM(R$4:R28)-SUM(S$4:S28))</f>
        <v/>
      </c>
      <c r="U28" s="56" t="str">
        <f aca="false">IF($W28="","",INDEX(发票统计!U$4:U$1003,$W28)&amp;"")</f>
        <v/>
      </c>
      <c r="W28" s="1" t="str">
        <f aca="false">IF($V$3="","",IFERROR(MATCH($V$3&amp;"#"&amp;ROWS(W$4:W28),发票统计!$W$4:$W$1003,0),""))</f>
        <v/>
      </c>
    </row>
    <row r="29" customFormat="false" ht="16.5" hidden="false" customHeight="false" outlineLevel="0" collapsed="false">
      <c r="A29" s="3" t="str">
        <f aca="false">IF($W29="","",INDEX(发票统计!A$4:A$1003,$W29)&amp;"")</f>
        <v/>
      </c>
      <c r="B29" s="3" t="str">
        <f aca="false">IF($W29="","",INDEX(发票统计!B$4:B$1003,$W29)&amp;"")</f>
        <v/>
      </c>
      <c r="C29" s="3" t="str">
        <f aca="false">IF($W29="","",INDEX(发票统计!C$4:C$1003,$W29)&amp;"")</f>
        <v/>
      </c>
      <c r="D29" s="3" t="str">
        <f aca="false">IF($W29="","",INDEX(发票统计!D$4:D$1003,$W29)&amp;"")</f>
        <v/>
      </c>
      <c r="E29" s="67" t="str">
        <f aca="false">IF($W29="","",INDEX(发票统计!E$4:E$1003,$W29)&amp;"")</f>
        <v/>
      </c>
      <c r="F29" s="67" t="str">
        <f aca="false">IF($W29="","",INDEX(发票统计!F$4:F$1003,$W29)&amp;"")</f>
        <v/>
      </c>
      <c r="G29" s="68" t="str">
        <f aca="false">IF($W29="","",IF(INDEX(发票统计!G$4:G$1003,$W29)="","",INDEX(发票统计!G$4:G$1003,$W29)))</f>
        <v/>
      </c>
      <c r="H29" s="56" t="str">
        <f aca="false">IF($W29="","",N(INDEX(发票统计!H$4:H$1003,$W29)))</f>
        <v/>
      </c>
      <c r="I29" s="56" t="str">
        <f aca="false">IF($W29="","",N(INDEX(发票统计!I$4:I$1003,$W29)))</f>
        <v/>
      </c>
      <c r="J29" s="56" t="str">
        <f aca="false">IF($W29="","",N(INDEX(发票统计!J$4:J$1003,$W29)))</f>
        <v/>
      </c>
      <c r="K29" s="56" t="str">
        <f aca="false">IF($W29="","",N(INDEX(发票统计!K$4:K$1003,$W29)))</f>
        <v/>
      </c>
      <c r="L29" s="56" t="str">
        <f aca="false">IF($W29="","",SUM(J$4:J29)-SUM(K$4:K29))</f>
        <v/>
      </c>
      <c r="M29" s="56" t="str">
        <f aca="false">IF($W29="","",N(INDEX(发票统计!M$4:M$1003,$W29)))</f>
        <v/>
      </c>
      <c r="N29" s="56" t="str">
        <f aca="false">IF($W29="","",N(INDEX(发票统计!N$4:N$1003,$W29)))</f>
        <v/>
      </c>
      <c r="O29" s="56" t="str">
        <f aca="false">IF($W29="","",N(INDEX(发票统计!O$4:O$1003,$W29)))</f>
        <v/>
      </c>
      <c r="P29" s="56" t="str">
        <f aca="false">IF($W29="","",SUM(M$4:M29)-SUM(N$4:N29)-SUM(O$4:O29))</f>
        <v/>
      </c>
      <c r="Q29" s="56" t="str">
        <f aca="false">IF($W29="","",N(INDEX(发票统计!Q$4:Q$1003,$W29)))</f>
        <v/>
      </c>
      <c r="R29" s="56" t="str">
        <f aca="false">IF($W29="","",N(INDEX(发票统计!R$4:R$1003,$W29)))</f>
        <v/>
      </c>
      <c r="S29" s="56" t="str">
        <f aca="false">IF($W29="","",N(INDEX(发票统计!S$4:S$1003,$W29)))</f>
        <v/>
      </c>
      <c r="T29" s="56" t="str">
        <f aca="false">IF($W29="","",SUM(Q$4:Q29)-SUM(R$4:R29)-SUM(S$4:S29))</f>
        <v/>
      </c>
      <c r="U29" s="56" t="str">
        <f aca="false">IF($W29="","",INDEX(发票统计!U$4:U$1003,$W29)&amp;"")</f>
        <v/>
      </c>
      <c r="W29" s="1" t="str">
        <f aca="false">IF($V$3="","",IFERROR(MATCH($V$3&amp;"#"&amp;ROWS(W$4:W29),发票统计!$W$4:$W$1003,0),""))</f>
        <v/>
      </c>
    </row>
    <row r="30" customFormat="false" ht="16.5" hidden="false" customHeight="false" outlineLevel="0" collapsed="false">
      <c r="A30" s="3" t="str">
        <f aca="false">IF($W30="","",INDEX(发票统计!A$4:A$1003,$W30)&amp;"")</f>
        <v/>
      </c>
      <c r="B30" s="3" t="str">
        <f aca="false">IF($W30="","",INDEX(发票统计!B$4:B$1003,$W30)&amp;"")</f>
        <v/>
      </c>
      <c r="C30" s="3" t="str">
        <f aca="false">IF($W30="","",INDEX(发票统计!C$4:C$1003,$W30)&amp;"")</f>
        <v/>
      </c>
      <c r="D30" s="3" t="str">
        <f aca="false">IF($W30="","",INDEX(发票统计!D$4:D$1003,$W30)&amp;"")</f>
        <v/>
      </c>
      <c r="E30" s="67" t="str">
        <f aca="false">IF($W30="","",INDEX(发票统计!E$4:E$1003,$W30)&amp;"")</f>
        <v/>
      </c>
      <c r="F30" s="67" t="str">
        <f aca="false">IF($W30="","",INDEX(发票统计!F$4:F$1003,$W30)&amp;"")</f>
        <v/>
      </c>
      <c r="G30" s="68" t="str">
        <f aca="false">IF($W30="","",IF(INDEX(发票统计!G$4:G$1003,$W30)="","",INDEX(发票统计!G$4:G$1003,$W30)))</f>
        <v/>
      </c>
      <c r="H30" s="56" t="str">
        <f aca="false">IF($W30="","",N(INDEX(发票统计!H$4:H$1003,$W30)))</f>
        <v/>
      </c>
      <c r="I30" s="56" t="str">
        <f aca="false">IF($W30="","",N(INDEX(发票统计!I$4:I$1003,$W30)))</f>
        <v/>
      </c>
      <c r="J30" s="56" t="str">
        <f aca="false">IF($W30="","",N(INDEX(发票统计!J$4:J$1003,$W30)))</f>
        <v/>
      </c>
      <c r="K30" s="56" t="str">
        <f aca="false">IF($W30="","",N(INDEX(发票统计!K$4:K$1003,$W30)))</f>
        <v/>
      </c>
      <c r="L30" s="56" t="str">
        <f aca="false">IF($W30="","",SUM(J$4:J30)-SUM(K$4:K30))</f>
        <v/>
      </c>
      <c r="M30" s="56" t="str">
        <f aca="false">IF($W30="","",N(INDEX(发票统计!M$4:M$1003,$W30)))</f>
        <v/>
      </c>
      <c r="N30" s="56" t="str">
        <f aca="false">IF($W30="","",N(INDEX(发票统计!N$4:N$1003,$W30)))</f>
        <v/>
      </c>
      <c r="O30" s="56" t="str">
        <f aca="false">IF($W30="","",N(INDEX(发票统计!O$4:O$1003,$W30)))</f>
        <v/>
      </c>
      <c r="P30" s="56" t="str">
        <f aca="false">IF($W30="","",SUM(M$4:M30)-SUM(N$4:N30)-SUM(O$4:O30))</f>
        <v/>
      </c>
      <c r="Q30" s="56" t="str">
        <f aca="false">IF($W30="","",N(INDEX(发票统计!Q$4:Q$1003,$W30)))</f>
        <v/>
      </c>
      <c r="R30" s="56" t="str">
        <f aca="false">IF($W30="","",N(INDEX(发票统计!R$4:R$1003,$W30)))</f>
        <v/>
      </c>
      <c r="S30" s="56" t="str">
        <f aca="false">IF($W30="","",N(INDEX(发票统计!S$4:S$1003,$W30)))</f>
        <v/>
      </c>
      <c r="T30" s="56" t="str">
        <f aca="false">IF($W30="","",SUM(Q$4:Q30)-SUM(R$4:R30)-SUM(S$4:S30))</f>
        <v/>
      </c>
      <c r="U30" s="56" t="str">
        <f aca="false">IF($W30="","",INDEX(发票统计!U$4:U$1003,$W30)&amp;"")</f>
        <v/>
      </c>
      <c r="W30" s="1" t="str">
        <f aca="false">IF($V$3="","",IFERROR(MATCH($V$3&amp;"#"&amp;ROWS(W$4:W30),发票统计!$W$4:$W$1003,0),""))</f>
        <v/>
      </c>
    </row>
    <row r="31" customFormat="false" ht="16.5" hidden="false" customHeight="false" outlineLevel="0" collapsed="false">
      <c r="A31" s="3" t="str">
        <f aca="false">IF($W31="","",INDEX(发票统计!A$4:A$1003,$W31)&amp;"")</f>
        <v/>
      </c>
      <c r="B31" s="3" t="str">
        <f aca="false">IF($W31="","",INDEX(发票统计!B$4:B$1003,$W31)&amp;"")</f>
        <v/>
      </c>
      <c r="C31" s="3" t="str">
        <f aca="false">IF($W31="","",INDEX(发票统计!C$4:C$1003,$W31)&amp;"")</f>
        <v/>
      </c>
      <c r="D31" s="3" t="str">
        <f aca="false">IF($W31="","",INDEX(发票统计!D$4:D$1003,$W31)&amp;"")</f>
        <v/>
      </c>
      <c r="E31" s="67" t="str">
        <f aca="false">IF($W31="","",INDEX(发票统计!E$4:E$1003,$W31)&amp;"")</f>
        <v/>
      </c>
      <c r="F31" s="67" t="str">
        <f aca="false">IF($W31="","",INDEX(发票统计!F$4:F$1003,$W31)&amp;"")</f>
        <v/>
      </c>
      <c r="G31" s="68" t="str">
        <f aca="false">IF($W31="","",IF(INDEX(发票统计!G$4:G$1003,$W31)="","",INDEX(发票统计!G$4:G$1003,$W31)))</f>
        <v/>
      </c>
      <c r="H31" s="56" t="str">
        <f aca="false">IF($W31="","",N(INDEX(发票统计!H$4:H$1003,$W31)))</f>
        <v/>
      </c>
      <c r="I31" s="56" t="str">
        <f aca="false">IF($W31="","",N(INDEX(发票统计!I$4:I$1003,$W31)))</f>
        <v/>
      </c>
      <c r="J31" s="56" t="str">
        <f aca="false">IF($W31="","",N(INDEX(发票统计!J$4:J$1003,$W31)))</f>
        <v/>
      </c>
      <c r="K31" s="56" t="str">
        <f aca="false">IF($W31="","",N(INDEX(发票统计!K$4:K$1003,$W31)))</f>
        <v/>
      </c>
      <c r="L31" s="56" t="str">
        <f aca="false">IF($W31="","",SUM(J$4:J31)-SUM(K$4:K31))</f>
        <v/>
      </c>
      <c r="M31" s="56" t="str">
        <f aca="false">IF($W31="","",N(INDEX(发票统计!M$4:M$1003,$W31)))</f>
        <v/>
      </c>
      <c r="N31" s="56" t="str">
        <f aca="false">IF($W31="","",N(INDEX(发票统计!N$4:N$1003,$W31)))</f>
        <v/>
      </c>
      <c r="O31" s="56" t="str">
        <f aca="false">IF($W31="","",N(INDEX(发票统计!O$4:O$1003,$W31)))</f>
        <v/>
      </c>
      <c r="P31" s="56" t="str">
        <f aca="false">IF($W31="","",SUM(M$4:M31)-SUM(N$4:N31)-SUM(O$4:O31))</f>
        <v/>
      </c>
      <c r="Q31" s="56" t="str">
        <f aca="false">IF($W31="","",N(INDEX(发票统计!Q$4:Q$1003,$W31)))</f>
        <v/>
      </c>
      <c r="R31" s="56" t="str">
        <f aca="false">IF($W31="","",N(INDEX(发票统计!R$4:R$1003,$W31)))</f>
        <v/>
      </c>
      <c r="S31" s="56" t="str">
        <f aca="false">IF($W31="","",N(INDEX(发票统计!S$4:S$1003,$W31)))</f>
        <v/>
      </c>
      <c r="T31" s="56" t="str">
        <f aca="false">IF($W31="","",SUM(Q$4:Q31)-SUM(R$4:R31)-SUM(S$4:S31))</f>
        <v/>
      </c>
      <c r="U31" s="56" t="str">
        <f aca="false">IF($W31="","",INDEX(发票统计!U$4:U$1003,$W31)&amp;"")</f>
        <v/>
      </c>
      <c r="W31" s="1" t="str">
        <f aca="false">IF($V$3="","",IFERROR(MATCH($V$3&amp;"#"&amp;ROWS(W$4:W31),发票统计!$W$4:$W$1003,0),""))</f>
        <v/>
      </c>
    </row>
    <row r="32" customFormat="false" ht="16.5" hidden="false" customHeight="false" outlineLevel="0" collapsed="false">
      <c r="A32" s="3" t="str">
        <f aca="false">IF($W32="","",INDEX(发票统计!A$4:A$1003,$W32)&amp;"")</f>
        <v/>
      </c>
      <c r="B32" s="3" t="str">
        <f aca="false">IF($W32="","",INDEX(发票统计!B$4:B$1003,$W32)&amp;"")</f>
        <v/>
      </c>
      <c r="C32" s="3" t="str">
        <f aca="false">IF($W32="","",INDEX(发票统计!C$4:C$1003,$W32)&amp;"")</f>
        <v/>
      </c>
      <c r="D32" s="3" t="str">
        <f aca="false">IF($W32="","",INDEX(发票统计!D$4:D$1003,$W32)&amp;"")</f>
        <v/>
      </c>
      <c r="E32" s="67" t="str">
        <f aca="false">IF($W32="","",INDEX(发票统计!E$4:E$1003,$W32)&amp;"")</f>
        <v/>
      </c>
      <c r="F32" s="67" t="str">
        <f aca="false">IF($W32="","",INDEX(发票统计!F$4:F$1003,$W32)&amp;"")</f>
        <v/>
      </c>
      <c r="G32" s="68" t="str">
        <f aca="false">IF($W32="","",IF(INDEX(发票统计!G$4:G$1003,$W32)="","",INDEX(发票统计!G$4:G$1003,$W32)))</f>
        <v/>
      </c>
      <c r="H32" s="56" t="str">
        <f aca="false">IF($W32="","",N(INDEX(发票统计!H$4:H$1003,$W32)))</f>
        <v/>
      </c>
      <c r="I32" s="56" t="str">
        <f aca="false">IF($W32="","",N(INDEX(发票统计!I$4:I$1003,$W32)))</f>
        <v/>
      </c>
      <c r="J32" s="56" t="str">
        <f aca="false">IF($W32="","",N(INDEX(发票统计!J$4:J$1003,$W32)))</f>
        <v/>
      </c>
      <c r="K32" s="56" t="str">
        <f aca="false">IF($W32="","",N(INDEX(发票统计!K$4:K$1003,$W32)))</f>
        <v/>
      </c>
      <c r="L32" s="56" t="str">
        <f aca="false">IF($W32="","",SUM(J$4:J32)-SUM(K$4:K32))</f>
        <v/>
      </c>
      <c r="M32" s="56" t="str">
        <f aca="false">IF($W32="","",N(INDEX(发票统计!M$4:M$1003,$W32)))</f>
        <v/>
      </c>
      <c r="N32" s="56" t="str">
        <f aca="false">IF($W32="","",N(INDEX(发票统计!N$4:N$1003,$W32)))</f>
        <v/>
      </c>
      <c r="O32" s="56" t="str">
        <f aca="false">IF($W32="","",N(INDEX(发票统计!O$4:O$1003,$W32)))</f>
        <v/>
      </c>
      <c r="P32" s="56" t="str">
        <f aca="false">IF($W32="","",SUM(M$4:M32)-SUM(N$4:N32)-SUM(O$4:O32))</f>
        <v/>
      </c>
      <c r="Q32" s="56" t="str">
        <f aca="false">IF($W32="","",N(INDEX(发票统计!Q$4:Q$1003,$W32)))</f>
        <v/>
      </c>
      <c r="R32" s="56" t="str">
        <f aca="false">IF($W32="","",N(INDEX(发票统计!R$4:R$1003,$W32)))</f>
        <v/>
      </c>
      <c r="S32" s="56" t="str">
        <f aca="false">IF($W32="","",N(INDEX(发票统计!S$4:S$1003,$W32)))</f>
        <v/>
      </c>
      <c r="T32" s="56" t="str">
        <f aca="false">IF($W32="","",SUM(Q$4:Q32)-SUM(R$4:R32)-SUM(S$4:S32))</f>
        <v/>
      </c>
      <c r="U32" s="56" t="str">
        <f aca="false">IF($W32="","",INDEX(发票统计!U$4:U$1003,$W32)&amp;"")</f>
        <v/>
      </c>
      <c r="W32" s="1" t="str">
        <f aca="false">IF($V$3="","",IFERROR(MATCH($V$3&amp;"#"&amp;ROWS(W$4:W32),发票统计!$W$4:$W$1003,0),""))</f>
        <v/>
      </c>
    </row>
    <row r="33" customFormat="false" ht="16.5" hidden="false" customHeight="false" outlineLevel="0" collapsed="false">
      <c r="A33" s="3" t="str">
        <f aca="false">IF($W33="","",INDEX(发票统计!A$4:A$1003,$W33)&amp;"")</f>
        <v/>
      </c>
      <c r="B33" s="3" t="str">
        <f aca="false">IF($W33="","",INDEX(发票统计!B$4:B$1003,$W33)&amp;"")</f>
        <v/>
      </c>
      <c r="C33" s="3" t="str">
        <f aca="false">IF($W33="","",INDEX(发票统计!C$4:C$1003,$W33)&amp;"")</f>
        <v/>
      </c>
      <c r="D33" s="3" t="str">
        <f aca="false">IF($W33="","",INDEX(发票统计!D$4:D$1003,$W33)&amp;"")</f>
        <v/>
      </c>
      <c r="E33" s="56" t="str">
        <f aca="false">IF($W33="","",INDEX(发票统计!E$4:E$1003,$W33)&amp;"")</f>
        <v/>
      </c>
      <c r="F33" s="56" t="str">
        <f aca="false">IF($W33="","",INDEX(发票统计!F$4:F$1003,$W33)&amp;"")</f>
        <v/>
      </c>
      <c r="G33" s="68" t="str">
        <f aca="false">IF($W33="","",IF(INDEX(发票统计!G$4:G$1003,$W33)="","",INDEX(发票统计!G$4:G$1003,$W33)))</f>
        <v/>
      </c>
      <c r="H33" s="56" t="str">
        <f aca="false">IF($W33="","",N(INDEX(发票统计!H$4:H$1003,$W33)))</f>
        <v/>
      </c>
      <c r="I33" s="56" t="str">
        <f aca="false">IF($W33="","",N(INDEX(发票统计!I$4:I$1003,$W33)))</f>
        <v/>
      </c>
      <c r="J33" s="56" t="str">
        <f aca="false">IF($W33="","",N(INDEX(发票统计!J$4:J$1003,$W33)))</f>
        <v/>
      </c>
      <c r="K33" s="56" t="str">
        <f aca="false">IF($W33="","",N(INDEX(发票统计!K$4:K$1003,$W33)))</f>
        <v/>
      </c>
      <c r="L33" s="56" t="str">
        <f aca="false">IF($W33="","",SUM(J$4:J33)-SUM(K$4:K33))</f>
        <v/>
      </c>
      <c r="M33" s="56" t="str">
        <f aca="false">IF($W33="","",N(INDEX(发票统计!M$4:M$1003,$W33)))</f>
        <v/>
      </c>
      <c r="N33" s="56" t="str">
        <f aca="false">IF($W33="","",N(INDEX(发票统计!N$4:N$1003,$W33)))</f>
        <v/>
      </c>
      <c r="O33" s="56" t="str">
        <f aca="false">IF($W33="","",N(INDEX(发票统计!O$4:O$1003,$W33)))</f>
        <v/>
      </c>
      <c r="P33" s="56" t="str">
        <f aca="false">IF($W33="","",SUM(M$4:M33)-SUM(N$4:N33)-SUM(O$4:O33))</f>
        <v/>
      </c>
      <c r="Q33" s="56" t="str">
        <f aca="false">IF($W33="","",N(INDEX(发票统计!Q$4:Q$1003,$W33)))</f>
        <v/>
      </c>
      <c r="R33" s="56" t="str">
        <f aca="false">IF($W33="","",N(INDEX(发票统计!R$4:R$1003,$W33)))</f>
        <v/>
      </c>
      <c r="S33" s="56" t="str">
        <f aca="false">IF($W33="","",N(INDEX(发票统计!S$4:S$1003,$W33)))</f>
        <v/>
      </c>
      <c r="T33" s="56" t="str">
        <f aca="false">IF($W33="","",SUM(Q$4:Q33)-SUM(R$4:R33)-SUM(S$4:S33))</f>
        <v/>
      </c>
      <c r="U33" s="56" t="str">
        <f aca="false">IF($W33="","",INDEX(发票统计!U$4:U$1003,$W33)&amp;"")</f>
        <v/>
      </c>
      <c r="W33" s="1" t="str">
        <f aca="false">IF($V$3="","",IFERROR(MATCH($V$3&amp;"#"&amp;ROWS(W$4:W33),发票统计!$W$4:$W$1003,0),""))</f>
        <v/>
      </c>
    </row>
    <row r="34" customFormat="false" ht="16.5" hidden="false" customHeight="false" outlineLevel="0" collapsed="false">
      <c r="A34" s="3" t="str">
        <f aca="false">IF($W34="","",INDEX(发票统计!A$4:A$1003,$W34)&amp;"")</f>
        <v/>
      </c>
      <c r="B34" s="3" t="str">
        <f aca="false">IF($W34="","",INDEX(发票统计!B$4:B$1003,$W34)&amp;"")</f>
        <v/>
      </c>
      <c r="C34" s="3" t="str">
        <f aca="false">IF($W34="","",INDEX(发票统计!C$4:C$1003,$W34)&amp;"")</f>
        <v/>
      </c>
      <c r="D34" s="3" t="str">
        <f aca="false">IF($W34="","",INDEX(发票统计!D$4:D$1003,$W34)&amp;"")</f>
        <v/>
      </c>
      <c r="E34" s="56" t="str">
        <f aca="false">IF($W34="","",INDEX(发票统计!E$4:E$1003,$W34)&amp;"")</f>
        <v/>
      </c>
      <c r="F34" s="56" t="str">
        <f aca="false">IF($W34="","",INDEX(发票统计!F$4:F$1003,$W34)&amp;"")</f>
        <v/>
      </c>
      <c r="G34" s="68" t="str">
        <f aca="false">IF($W34="","",IF(INDEX(发票统计!G$4:G$1003,$W34)="","",INDEX(发票统计!G$4:G$1003,$W34)))</f>
        <v/>
      </c>
      <c r="H34" s="56" t="str">
        <f aca="false">IF($W34="","",N(INDEX(发票统计!H$4:H$1003,$W34)))</f>
        <v/>
      </c>
      <c r="I34" s="56" t="str">
        <f aca="false">IF($W34="","",N(INDEX(发票统计!I$4:I$1003,$W34)))</f>
        <v/>
      </c>
      <c r="J34" s="56" t="str">
        <f aca="false">IF($W34="","",N(INDEX(发票统计!J$4:J$1003,$W34)))</f>
        <v/>
      </c>
      <c r="K34" s="56" t="str">
        <f aca="false">IF($W34="","",N(INDEX(发票统计!K$4:K$1003,$W34)))</f>
        <v/>
      </c>
      <c r="L34" s="56" t="str">
        <f aca="false">IF($W34="","",SUM(J$4:J34)-SUM(K$4:K34))</f>
        <v/>
      </c>
      <c r="M34" s="56" t="str">
        <f aca="false">IF($W34="","",N(INDEX(发票统计!M$4:M$1003,$W34)))</f>
        <v/>
      </c>
      <c r="N34" s="56" t="str">
        <f aca="false">IF($W34="","",N(INDEX(发票统计!N$4:N$1003,$W34)))</f>
        <v/>
      </c>
      <c r="O34" s="56" t="str">
        <f aca="false">IF($W34="","",N(INDEX(发票统计!O$4:O$1003,$W34)))</f>
        <v/>
      </c>
      <c r="P34" s="56" t="str">
        <f aca="false">IF($W34="","",SUM(M$4:M34)-SUM(N$4:N34)-SUM(O$4:O34))</f>
        <v/>
      </c>
      <c r="Q34" s="56" t="str">
        <f aca="false">IF($W34="","",N(INDEX(发票统计!Q$4:Q$1003,$W34)))</f>
        <v/>
      </c>
      <c r="R34" s="56" t="str">
        <f aca="false">IF($W34="","",N(INDEX(发票统计!R$4:R$1003,$W34)))</f>
        <v/>
      </c>
      <c r="S34" s="56" t="str">
        <f aca="false">IF($W34="","",N(INDEX(发票统计!S$4:S$1003,$W34)))</f>
        <v/>
      </c>
      <c r="T34" s="56" t="str">
        <f aca="false">IF($W34="","",SUM(Q$4:Q34)-SUM(R$4:R34)-SUM(S$4:S34))</f>
        <v/>
      </c>
      <c r="U34" s="56" t="str">
        <f aca="false">IF($W34="","",INDEX(发票统计!U$4:U$1003,$W34)&amp;"")</f>
        <v/>
      </c>
      <c r="W34" s="1" t="str">
        <f aca="false">IF($V$3="","",IFERROR(MATCH($V$3&amp;"#"&amp;ROWS(W$4:W34),发票统计!$W$4:$W$1003,0),""))</f>
        <v/>
      </c>
    </row>
    <row r="35" customFormat="false" ht="16.5" hidden="false" customHeight="false" outlineLevel="0" collapsed="false">
      <c r="A35" s="3" t="str">
        <f aca="false">IF($W35="","",INDEX(发票统计!A$4:A$1003,$W35)&amp;"")</f>
        <v/>
      </c>
      <c r="B35" s="3" t="str">
        <f aca="false">IF($W35="","",INDEX(发票统计!B$4:B$1003,$W35)&amp;"")</f>
        <v/>
      </c>
      <c r="C35" s="3" t="str">
        <f aca="false">IF($W35="","",INDEX(发票统计!C$4:C$1003,$W35)&amp;"")</f>
        <v/>
      </c>
      <c r="D35" s="3" t="str">
        <f aca="false">IF($W35="","",INDEX(发票统计!D$4:D$1003,$W35)&amp;"")</f>
        <v/>
      </c>
      <c r="E35" s="56" t="str">
        <f aca="false">IF($W35="","",INDEX(发票统计!E$4:E$1003,$W35)&amp;"")</f>
        <v/>
      </c>
      <c r="F35" s="56" t="str">
        <f aca="false">IF($W35="","",INDEX(发票统计!F$4:F$1003,$W35)&amp;"")</f>
        <v/>
      </c>
      <c r="G35" s="68" t="str">
        <f aca="false">IF($W35="","",IF(INDEX(发票统计!G$4:G$1003,$W35)="","",INDEX(发票统计!G$4:G$1003,$W35)))</f>
        <v/>
      </c>
      <c r="H35" s="56" t="str">
        <f aca="false">IF($W35="","",N(INDEX(发票统计!H$4:H$1003,$W35)))</f>
        <v/>
      </c>
      <c r="I35" s="56" t="str">
        <f aca="false">IF($W35="","",N(INDEX(发票统计!I$4:I$1003,$W35)))</f>
        <v/>
      </c>
      <c r="J35" s="56" t="str">
        <f aca="false">IF($W35="","",N(INDEX(发票统计!J$4:J$1003,$W35)))</f>
        <v/>
      </c>
      <c r="K35" s="56" t="str">
        <f aca="false">IF($W35="","",N(INDEX(发票统计!K$4:K$1003,$W35)))</f>
        <v/>
      </c>
      <c r="L35" s="56" t="str">
        <f aca="false">IF($W35="","",SUM(J$4:J35)-SUM(K$4:K35))</f>
        <v/>
      </c>
      <c r="M35" s="56" t="str">
        <f aca="false">IF($W35="","",N(INDEX(发票统计!M$4:M$1003,$W35)))</f>
        <v/>
      </c>
      <c r="N35" s="56" t="str">
        <f aca="false">IF($W35="","",N(INDEX(发票统计!N$4:N$1003,$W35)))</f>
        <v/>
      </c>
      <c r="O35" s="56" t="str">
        <f aca="false">IF($W35="","",N(INDEX(发票统计!O$4:O$1003,$W35)))</f>
        <v/>
      </c>
      <c r="P35" s="56" t="str">
        <f aca="false">IF($W35="","",SUM(M$4:M35)-SUM(N$4:N35)-SUM(O$4:O35))</f>
        <v/>
      </c>
      <c r="Q35" s="56" t="str">
        <f aca="false">IF($W35="","",N(INDEX(发票统计!Q$4:Q$1003,$W35)))</f>
        <v/>
      </c>
      <c r="R35" s="56" t="str">
        <f aca="false">IF($W35="","",N(INDEX(发票统计!R$4:R$1003,$W35)))</f>
        <v/>
      </c>
      <c r="S35" s="56" t="str">
        <f aca="false">IF($W35="","",N(INDEX(发票统计!S$4:S$1003,$W35)))</f>
        <v/>
      </c>
      <c r="T35" s="56" t="str">
        <f aca="false">IF($W35="","",SUM(Q$4:Q35)-SUM(R$4:R35)-SUM(S$4:S35))</f>
        <v/>
      </c>
      <c r="U35" s="56" t="str">
        <f aca="false">IF($W35="","",INDEX(发票统计!U$4:U$1003,$W35)&amp;"")</f>
        <v/>
      </c>
      <c r="W35" s="1" t="str">
        <f aca="false">IF($V$3="","",IFERROR(MATCH($V$3&amp;"#"&amp;ROWS(W$4:W35),发票统计!$W$4:$W$1003,0),""))</f>
        <v/>
      </c>
    </row>
    <row r="36" customFormat="false" ht="16.5" hidden="false" customHeight="false" outlineLevel="0" collapsed="false">
      <c r="A36" s="3" t="str">
        <f aca="false">IF($W36="","",INDEX(发票统计!A$4:A$1003,$W36)&amp;"")</f>
        <v/>
      </c>
      <c r="B36" s="3" t="str">
        <f aca="false">IF($W36="","",INDEX(发票统计!B$4:B$1003,$W36)&amp;"")</f>
        <v/>
      </c>
      <c r="C36" s="3" t="str">
        <f aca="false">IF($W36="","",INDEX(发票统计!C$4:C$1003,$W36)&amp;"")</f>
        <v/>
      </c>
      <c r="D36" s="3" t="str">
        <f aca="false">IF($W36="","",INDEX(发票统计!D$4:D$1003,$W36)&amp;"")</f>
        <v/>
      </c>
      <c r="E36" s="67" t="str">
        <f aca="false">IF($W36="","",INDEX(发票统计!E$4:E$1003,$W36)&amp;"")</f>
        <v/>
      </c>
      <c r="F36" s="67" t="str">
        <f aca="false">IF($W36="","",INDEX(发票统计!F$4:F$1003,$W36)&amp;"")</f>
        <v/>
      </c>
      <c r="G36" s="68" t="str">
        <f aca="false">IF($W36="","",IF(INDEX(发票统计!G$4:G$1003,$W36)="","",INDEX(发票统计!G$4:G$1003,$W36)))</f>
        <v/>
      </c>
      <c r="H36" s="56" t="str">
        <f aca="false">IF($W36="","",N(INDEX(发票统计!H$4:H$1003,$W36)))</f>
        <v/>
      </c>
      <c r="I36" s="56" t="str">
        <f aca="false">IF($W36="","",N(INDEX(发票统计!I$4:I$1003,$W36)))</f>
        <v/>
      </c>
      <c r="J36" s="56" t="str">
        <f aca="false">IF($W36="","",N(INDEX(发票统计!J$4:J$1003,$W36)))</f>
        <v/>
      </c>
      <c r="K36" s="56" t="str">
        <f aca="false">IF($W36="","",N(INDEX(发票统计!K$4:K$1003,$W36)))</f>
        <v/>
      </c>
      <c r="L36" s="56" t="str">
        <f aca="false">IF($W36="","",SUM(J$4:J36)-SUM(K$4:K36))</f>
        <v/>
      </c>
      <c r="M36" s="56" t="str">
        <f aca="false">IF($W36="","",N(INDEX(发票统计!M$4:M$1003,$W36)))</f>
        <v/>
      </c>
      <c r="N36" s="56" t="str">
        <f aca="false">IF($W36="","",N(INDEX(发票统计!N$4:N$1003,$W36)))</f>
        <v/>
      </c>
      <c r="O36" s="56" t="str">
        <f aca="false">IF($W36="","",N(INDEX(发票统计!O$4:O$1003,$W36)))</f>
        <v/>
      </c>
      <c r="P36" s="56" t="str">
        <f aca="false">IF($W36="","",SUM(M$4:M36)-SUM(N$4:N36)-SUM(O$4:O36))</f>
        <v/>
      </c>
      <c r="Q36" s="56" t="str">
        <f aca="false">IF($W36="","",N(INDEX(发票统计!Q$4:Q$1003,$W36)))</f>
        <v/>
      </c>
      <c r="R36" s="56" t="str">
        <f aca="false">IF($W36="","",N(INDEX(发票统计!R$4:R$1003,$W36)))</f>
        <v/>
      </c>
      <c r="S36" s="56" t="str">
        <f aca="false">IF($W36="","",N(INDEX(发票统计!S$4:S$1003,$W36)))</f>
        <v/>
      </c>
      <c r="T36" s="56" t="str">
        <f aca="false">IF($W36="","",SUM(Q$4:Q36)-SUM(R$4:R36)-SUM(S$4:S36))</f>
        <v/>
      </c>
      <c r="U36" s="56" t="str">
        <f aca="false">IF($W36="","",INDEX(发票统计!U$4:U$1003,$W36)&amp;"")</f>
        <v/>
      </c>
      <c r="W36" s="1" t="str">
        <f aca="false">IF($V$3="","",IFERROR(MATCH($V$3&amp;"#"&amp;ROWS(W$4:W36),发票统计!$W$4:$W$1003,0),""))</f>
        <v/>
      </c>
    </row>
    <row r="37" customFormat="false" ht="16.5" hidden="false" customHeight="false" outlineLevel="0" collapsed="false">
      <c r="A37" s="3" t="str">
        <f aca="false">IF($W37="","",INDEX(发票统计!A$4:A$1003,$W37)&amp;"")</f>
        <v/>
      </c>
      <c r="B37" s="3" t="str">
        <f aca="false">IF($W37="","",INDEX(发票统计!B$4:B$1003,$W37)&amp;"")</f>
        <v/>
      </c>
      <c r="C37" s="3" t="str">
        <f aca="false">IF($W37="","",INDEX(发票统计!C$4:C$1003,$W37)&amp;"")</f>
        <v/>
      </c>
      <c r="D37" s="3" t="str">
        <f aca="false">IF($W37="","",INDEX(发票统计!D$4:D$1003,$W37)&amp;"")</f>
        <v/>
      </c>
      <c r="E37" s="67" t="str">
        <f aca="false">IF($W37="","",INDEX(发票统计!E$4:E$1003,$W37)&amp;"")</f>
        <v/>
      </c>
      <c r="F37" s="67" t="str">
        <f aca="false">IF($W37="","",INDEX(发票统计!F$4:F$1003,$W37)&amp;"")</f>
        <v/>
      </c>
      <c r="G37" s="68" t="str">
        <f aca="false">IF($W37="","",IF(INDEX(发票统计!G$4:G$1003,$W37)="","",INDEX(发票统计!G$4:G$1003,$W37)))</f>
        <v/>
      </c>
      <c r="H37" s="56" t="str">
        <f aca="false">IF($W37="","",N(INDEX(发票统计!H$4:H$1003,$W37)))</f>
        <v/>
      </c>
      <c r="I37" s="56" t="str">
        <f aca="false">IF($W37="","",N(INDEX(发票统计!I$4:I$1003,$W37)))</f>
        <v/>
      </c>
      <c r="J37" s="56" t="str">
        <f aca="false">IF($W37="","",N(INDEX(发票统计!J$4:J$1003,$W37)))</f>
        <v/>
      </c>
      <c r="K37" s="56" t="str">
        <f aca="false">IF($W37="","",N(INDEX(发票统计!K$4:K$1003,$W37)))</f>
        <v/>
      </c>
      <c r="L37" s="56" t="str">
        <f aca="false">IF($W37="","",SUM(J$4:J37)-SUM(K$4:K37))</f>
        <v/>
      </c>
      <c r="M37" s="56" t="str">
        <f aca="false">IF($W37="","",N(INDEX(发票统计!M$4:M$1003,$W37)))</f>
        <v/>
      </c>
      <c r="N37" s="56" t="str">
        <f aca="false">IF($W37="","",N(INDEX(发票统计!N$4:N$1003,$W37)))</f>
        <v/>
      </c>
      <c r="O37" s="56" t="str">
        <f aca="false">IF($W37="","",N(INDEX(发票统计!O$4:O$1003,$W37)))</f>
        <v/>
      </c>
      <c r="P37" s="56" t="str">
        <f aca="false">IF($W37="","",SUM(M$4:M37)-SUM(N$4:N37)-SUM(O$4:O37))</f>
        <v/>
      </c>
      <c r="Q37" s="56" t="str">
        <f aca="false">IF($W37="","",N(INDEX(发票统计!Q$4:Q$1003,$W37)))</f>
        <v/>
      </c>
      <c r="R37" s="56" t="str">
        <f aca="false">IF($W37="","",N(INDEX(发票统计!R$4:R$1003,$W37)))</f>
        <v/>
      </c>
      <c r="S37" s="56" t="str">
        <f aca="false">IF($W37="","",N(INDEX(发票统计!S$4:S$1003,$W37)))</f>
        <v/>
      </c>
      <c r="T37" s="56" t="str">
        <f aca="false">IF($W37="","",SUM(Q$4:Q37)-SUM(R$4:R37)-SUM(S$4:S37))</f>
        <v/>
      </c>
      <c r="U37" s="56" t="str">
        <f aca="false">IF($W37="","",INDEX(发票统计!U$4:U$1003,$W37)&amp;"")</f>
        <v/>
      </c>
      <c r="W37" s="1" t="str">
        <f aca="false">IF($V$3="","",IFERROR(MATCH($V$3&amp;"#"&amp;ROWS(W$4:W37),发票统计!$W$4:$W$1003,0),""))</f>
        <v/>
      </c>
    </row>
    <row r="38" customFormat="false" ht="16.5" hidden="false" customHeight="false" outlineLevel="0" collapsed="false">
      <c r="A38" s="3" t="str">
        <f aca="false">IF($W38="","",INDEX(发票统计!A$4:A$1003,$W38)&amp;"")</f>
        <v/>
      </c>
      <c r="B38" s="3" t="str">
        <f aca="false">IF($W38="","",INDEX(发票统计!B$4:B$1003,$W38)&amp;"")</f>
        <v/>
      </c>
      <c r="C38" s="3" t="str">
        <f aca="false">IF($W38="","",INDEX(发票统计!C$4:C$1003,$W38)&amp;"")</f>
        <v/>
      </c>
      <c r="D38" s="3" t="str">
        <f aca="false">IF($W38="","",INDEX(发票统计!D$4:D$1003,$W38)&amp;"")</f>
        <v/>
      </c>
      <c r="E38" s="67" t="str">
        <f aca="false">IF($W38="","",INDEX(发票统计!E$4:E$1003,$W38)&amp;"")</f>
        <v/>
      </c>
      <c r="F38" s="67" t="str">
        <f aca="false">IF($W38="","",INDEX(发票统计!F$4:F$1003,$W38)&amp;"")</f>
        <v/>
      </c>
      <c r="G38" s="68" t="str">
        <f aca="false">IF($W38="","",IF(INDEX(发票统计!G$4:G$1003,$W38)="","",INDEX(发票统计!G$4:G$1003,$W38)))</f>
        <v/>
      </c>
      <c r="H38" s="56" t="str">
        <f aca="false">IF($W38="","",N(INDEX(发票统计!H$4:H$1003,$W38)))</f>
        <v/>
      </c>
      <c r="I38" s="56" t="str">
        <f aca="false">IF($W38="","",N(INDEX(发票统计!I$4:I$1003,$W38)))</f>
        <v/>
      </c>
      <c r="J38" s="56" t="str">
        <f aca="false">IF($W38="","",N(INDEX(发票统计!J$4:J$1003,$W38)))</f>
        <v/>
      </c>
      <c r="K38" s="56" t="str">
        <f aca="false">IF($W38="","",N(INDEX(发票统计!K$4:K$1003,$W38)))</f>
        <v/>
      </c>
      <c r="L38" s="56" t="str">
        <f aca="false">IF($W38="","",SUM(J$4:J38)-SUM(K$4:K38))</f>
        <v/>
      </c>
      <c r="M38" s="56" t="str">
        <f aca="false">IF($W38="","",N(INDEX(发票统计!M$4:M$1003,$W38)))</f>
        <v/>
      </c>
      <c r="N38" s="56" t="str">
        <f aca="false">IF($W38="","",N(INDEX(发票统计!N$4:N$1003,$W38)))</f>
        <v/>
      </c>
      <c r="O38" s="56" t="str">
        <f aca="false">IF($W38="","",N(INDEX(发票统计!O$4:O$1003,$W38)))</f>
        <v/>
      </c>
      <c r="P38" s="56" t="str">
        <f aca="false">IF($W38="","",SUM(M$4:M38)-SUM(N$4:N38)-SUM(O$4:O38))</f>
        <v/>
      </c>
      <c r="Q38" s="56" t="str">
        <f aca="false">IF($W38="","",N(INDEX(发票统计!Q$4:Q$1003,$W38)))</f>
        <v/>
      </c>
      <c r="R38" s="56" t="str">
        <f aca="false">IF($W38="","",N(INDEX(发票统计!R$4:R$1003,$W38)))</f>
        <v/>
      </c>
      <c r="S38" s="56" t="str">
        <f aca="false">IF($W38="","",N(INDEX(发票统计!S$4:S$1003,$W38)))</f>
        <v/>
      </c>
      <c r="T38" s="56" t="str">
        <f aca="false">IF($W38="","",SUM(Q$4:Q38)-SUM(R$4:R38)-SUM(S$4:S38))</f>
        <v/>
      </c>
      <c r="U38" s="56" t="str">
        <f aca="false">IF($W38="","",INDEX(发票统计!U$4:U$1003,$W38)&amp;"")</f>
        <v/>
      </c>
      <c r="W38" s="1" t="str">
        <f aca="false">IF($V$3="","",IFERROR(MATCH($V$3&amp;"#"&amp;ROWS(W$4:W38),发票统计!$W$4:$W$1003,0),""))</f>
        <v/>
      </c>
    </row>
    <row r="39" customFormat="false" ht="16.5" hidden="false" customHeight="false" outlineLevel="0" collapsed="false">
      <c r="A39" s="3" t="str">
        <f aca="false">IF($W39="","",INDEX(发票统计!A$4:A$1003,$W39)&amp;"")</f>
        <v/>
      </c>
      <c r="B39" s="3" t="str">
        <f aca="false">IF($W39="","",INDEX(发票统计!B$4:B$1003,$W39)&amp;"")</f>
        <v/>
      </c>
      <c r="C39" s="3" t="str">
        <f aca="false">IF($W39="","",INDEX(发票统计!C$4:C$1003,$W39)&amp;"")</f>
        <v/>
      </c>
      <c r="D39" s="3" t="str">
        <f aca="false">IF($W39="","",INDEX(发票统计!D$4:D$1003,$W39)&amp;"")</f>
        <v/>
      </c>
      <c r="E39" s="67" t="str">
        <f aca="false">IF($W39="","",INDEX(发票统计!E$4:E$1003,$W39)&amp;"")</f>
        <v/>
      </c>
      <c r="F39" s="67" t="str">
        <f aca="false">IF($W39="","",INDEX(发票统计!F$4:F$1003,$W39)&amp;"")</f>
        <v/>
      </c>
      <c r="G39" s="68" t="str">
        <f aca="false">IF($W39="","",IF(INDEX(发票统计!G$4:G$1003,$W39)="","",INDEX(发票统计!G$4:G$1003,$W39)))</f>
        <v/>
      </c>
      <c r="H39" s="56" t="str">
        <f aca="false">IF($W39="","",N(INDEX(发票统计!H$4:H$1003,$W39)))</f>
        <v/>
      </c>
      <c r="I39" s="56" t="str">
        <f aca="false">IF($W39="","",N(INDEX(发票统计!I$4:I$1003,$W39)))</f>
        <v/>
      </c>
      <c r="J39" s="56" t="str">
        <f aca="false">IF($W39="","",N(INDEX(发票统计!J$4:J$1003,$W39)))</f>
        <v/>
      </c>
      <c r="K39" s="56" t="str">
        <f aca="false">IF($W39="","",N(INDEX(发票统计!K$4:K$1003,$W39)))</f>
        <v/>
      </c>
      <c r="L39" s="56" t="str">
        <f aca="false">IF($W39="","",SUM(J$4:J39)-SUM(K$4:K39))</f>
        <v/>
      </c>
      <c r="M39" s="56" t="str">
        <f aca="false">IF($W39="","",N(INDEX(发票统计!M$4:M$1003,$W39)))</f>
        <v/>
      </c>
      <c r="N39" s="56" t="str">
        <f aca="false">IF($W39="","",N(INDEX(发票统计!N$4:N$1003,$W39)))</f>
        <v/>
      </c>
      <c r="O39" s="56" t="str">
        <f aca="false">IF($W39="","",N(INDEX(发票统计!O$4:O$1003,$W39)))</f>
        <v/>
      </c>
      <c r="P39" s="56" t="str">
        <f aca="false">IF($W39="","",SUM(M$4:M39)-SUM(N$4:N39)-SUM(O$4:O39))</f>
        <v/>
      </c>
      <c r="Q39" s="56" t="str">
        <f aca="false">IF($W39="","",N(INDEX(发票统计!Q$4:Q$1003,$W39)))</f>
        <v/>
      </c>
      <c r="R39" s="56" t="str">
        <f aca="false">IF($W39="","",N(INDEX(发票统计!R$4:R$1003,$W39)))</f>
        <v/>
      </c>
      <c r="S39" s="56" t="str">
        <f aca="false">IF($W39="","",N(INDEX(发票统计!S$4:S$1003,$W39)))</f>
        <v/>
      </c>
      <c r="T39" s="56" t="str">
        <f aca="false">IF($W39="","",SUM(Q$4:Q39)-SUM(R$4:R39)-SUM(S$4:S39))</f>
        <v/>
      </c>
      <c r="U39" s="56" t="str">
        <f aca="false">IF($W39="","",INDEX(发票统计!U$4:U$1003,$W39)&amp;"")</f>
        <v/>
      </c>
      <c r="W39" s="1" t="str">
        <f aca="false">IF($V$3="","",IFERROR(MATCH($V$3&amp;"#"&amp;ROWS(W$4:W39),发票统计!$W$4:$W$1003,0),""))</f>
        <v/>
      </c>
    </row>
    <row r="40" customFormat="false" ht="16.5" hidden="false" customHeight="false" outlineLevel="0" collapsed="false">
      <c r="A40" s="3" t="str">
        <f aca="false">IF($W40="","",INDEX(发票统计!A$4:A$1003,$W40)&amp;"")</f>
        <v/>
      </c>
      <c r="B40" s="3" t="str">
        <f aca="false">IF($W40="","",INDEX(发票统计!B$4:B$1003,$W40)&amp;"")</f>
        <v/>
      </c>
      <c r="C40" s="3" t="str">
        <f aca="false">IF($W40="","",INDEX(发票统计!C$4:C$1003,$W40)&amp;"")</f>
        <v/>
      </c>
      <c r="D40" s="3" t="str">
        <f aca="false">IF($W40="","",INDEX(发票统计!D$4:D$1003,$W40)&amp;"")</f>
        <v/>
      </c>
      <c r="E40" s="67" t="str">
        <f aca="false">IF($W40="","",INDEX(发票统计!E$4:E$1003,$W40)&amp;"")</f>
        <v/>
      </c>
      <c r="F40" s="67" t="str">
        <f aca="false">IF($W40="","",INDEX(发票统计!F$4:F$1003,$W40)&amp;"")</f>
        <v/>
      </c>
      <c r="G40" s="68" t="str">
        <f aca="false">IF($W40="","",IF(INDEX(发票统计!G$4:G$1003,$W40)="","",INDEX(发票统计!G$4:G$1003,$W40)))</f>
        <v/>
      </c>
      <c r="H40" s="56" t="str">
        <f aca="false">IF($W40="","",N(INDEX(发票统计!H$4:H$1003,$W40)))</f>
        <v/>
      </c>
      <c r="I40" s="56" t="str">
        <f aca="false">IF($W40="","",N(INDEX(发票统计!I$4:I$1003,$W40)))</f>
        <v/>
      </c>
      <c r="J40" s="56" t="str">
        <f aca="false">IF($W40="","",N(INDEX(发票统计!J$4:J$1003,$W40)))</f>
        <v/>
      </c>
      <c r="K40" s="56" t="str">
        <f aca="false">IF($W40="","",N(INDEX(发票统计!K$4:K$1003,$W40)))</f>
        <v/>
      </c>
      <c r="L40" s="56" t="str">
        <f aca="false">IF($W40="","",SUM(J$4:J40)-SUM(K$4:K40))</f>
        <v/>
      </c>
      <c r="M40" s="56" t="str">
        <f aca="false">IF($W40="","",N(INDEX(发票统计!M$4:M$1003,$W40)))</f>
        <v/>
      </c>
      <c r="N40" s="56" t="str">
        <f aca="false">IF($W40="","",N(INDEX(发票统计!N$4:N$1003,$W40)))</f>
        <v/>
      </c>
      <c r="O40" s="56" t="str">
        <f aca="false">IF($W40="","",N(INDEX(发票统计!O$4:O$1003,$W40)))</f>
        <v/>
      </c>
      <c r="P40" s="56" t="str">
        <f aca="false">IF($W40="","",SUM(M$4:M40)-SUM(N$4:N40)-SUM(O$4:O40))</f>
        <v/>
      </c>
      <c r="Q40" s="56" t="str">
        <f aca="false">IF($W40="","",N(INDEX(发票统计!Q$4:Q$1003,$W40)))</f>
        <v/>
      </c>
      <c r="R40" s="56" t="str">
        <f aca="false">IF($W40="","",N(INDEX(发票统计!R$4:R$1003,$W40)))</f>
        <v/>
      </c>
      <c r="S40" s="56" t="str">
        <f aca="false">IF($W40="","",N(INDEX(发票统计!S$4:S$1003,$W40)))</f>
        <v/>
      </c>
      <c r="T40" s="56" t="str">
        <f aca="false">IF($W40="","",SUM(Q$4:Q40)-SUM(R$4:R40)-SUM(S$4:S40))</f>
        <v/>
      </c>
      <c r="U40" s="56" t="str">
        <f aca="false">IF($W40="","",INDEX(发票统计!U$4:U$1003,$W40)&amp;"")</f>
        <v/>
      </c>
      <c r="W40" s="1" t="str">
        <f aca="false">IF($V$3="","",IFERROR(MATCH($V$3&amp;"#"&amp;ROWS(W$4:W40),发票统计!$W$4:$W$1003,0),""))</f>
        <v/>
      </c>
    </row>
    <row r="41" customFormat="false" ht="16.5" hidden="false" customHeight="false" outlineLevel="0" collapsed="false">
      <c r="A41" s="3" t="str">
        <f aca="false">IF($W41="","",INDEX(发票统计!A$4:A$1003,$W41)&amp;"")</f>
        <v/>
      </c>
      <c r="B41" s="3" t="str">
        <f aca="false">IF($W41="","",INDEX(发票统计!B$4:B$1003,$W41)&amp;"")</f>
        <v/>
      </c>
      <c r="C41" s="3" t="str">
        <f aca="false">IF($W41="","",INDEX(发票统计!C$4:C$1003,$W41)&amp;"")</f>
        <v/>
      </c>
      <c r="D41" s="3" t="str">
        <f aca="false">IF($W41="","",INDEX(发票统计!D$4:D$1003,$W41)&amp;"")</f>
        <v/>
      </c>
      <c r="E41" s="67" t="str">
        <f aca="false">IF($W41="","",INDEX(发票统计!E$4:E$1003,$W41)&amp;"")</f>
        <v/>
      </c>
      <c r="F41" s="67" t="str">
        <f aca="false">IF($W41="","",INDEX(发票统计!F$4:F$1003,$W41)&amp;"")</f>
        <v/>
      </c>
      <c r="G41" s="68" t="str">
        <f aca="false">IF($W41="","",IF(INDEX(发票统计!G$4:G$1003,$W41)="","",INDEX(发票统计!G$4:G$1003,$W41)))</f>
        <v/>
      </c>
      <c r="H41" s="56" t="str">
        <f aca="false">IF($W41="","",N(INDEX(发票统计!H$4:H$1003,$W41)))</f>
        <v/>
      </c>
      <c r="I41" s="56" t="str">
        <f aca="false">IF($W41="","",N(INDEX(发票统计!I$4:I$1003,$W41)))</f>
        <v/>
      </c>
      <c r="J41" s="56" t="str">
        <f aca="false">IF($W41="","",N(INDEX(发票统计!J$4:J$1003,$W41)))</f>
        <v/>
      </c>
      <c r="K41" s="56" t="str">
        <f aca="false">IF($W41="","",N(INDEX(发票统计!K$4:K$1003,$W41)))</f>
        <v/>
      </c>
      <c r="L41" s="56" t="str">
        <f aca="false">IF($W41="","",SUM(J$4:J41)-SUM(K$4:K41))</f>
        <v/>
      </c>
      <c r="M41" s="56" t="str">
        <f aca="false">IF($W41="","",N(INDEX(发票统计!M$4:M$1003,$W41)))</f>
        <v/>
      </c>
      <c r="N41" s="56" t="str">
        <f aca="false">IF($W41="","",N(INDEX(发票统计!N$4:N$1003,$W41)))</f>
        <v/>
      </c>
      <c r="O41" s="56" t="str">
        <f aca="false">IF($W41="","",N(INDEX(发票统计!O$4:O$1003,$W41)))</f>
        <v/>
      </c>
      <c r="P41" s="56" t="str">
        <f aca="false">IF($W41="","",SUM(M$4:M41)-SUM(N$4:N41)-SUM(O$4:O41))</f>
        <v/>
      </c>
      <c r="Q41" s="56" t="str">
        <f aca="false">IF($W41="","",N(INDEX(发票统计!Q$4:Q$1003,$W41)))</f>
        <v/>
      </c>
      <c r="R41" s="56" t="str">
        <f aca="false">IF($W41="","",N(INDEX(发票统计!R$4:R$1003,$W41)))</f>
        <v/>
      </c>
      <c r="S41" s="56" t="str">
        <f aca="false">IF($W41="","",N(INDEX(发票统计!S$4:S$1003,$W41)))</f>
        <v/>
      </c>
      <c r="T41" s="56" t="str">
        <f aca="false">IF($W41="","",SUM(Q$4:Q41)-SUM(R$4:R41)-SUM(S$4:S41))</f>
        <v/>
      </c>
      <c r="U41" s="56" t="str">
        <f aca="false">IF($W41="","",INDEX(发票统计!U$4:U$1003,$W41)&amp;"")</f>
        <v/>
      </c>
      <c r="W41" s="1" t="str">
        <f aca="false">IF($V$3="","",IFERROR(MATCH($V$3&amp;"#"&amp;ROWS(W$4:W41),发票统计!$W$4:$W$1003,0),""))</f>
        <v/>
      </c>
    </row>
    <row r="42" customFormat="false" ht="16.5" hidden="false" customHeight="false" outlineLevel="0" collapsed="false">
      <c r="A42" s="3" t="str">
        <f aca="false">IF($W42="","",INDEX(发票统计!A$4:A$1003,$W42)&amp;"")</f>
        <v/>
      </c>
      <c r="B42" s="3" t="str">
        <f aca="false">IF($W42="","",INDEX(发票统计!B$4:B$1003,$W42)&amp;"")</f>
        <v/>
      </c>
      <c r="C42" s="3" t="str">
        <f aca="false">IF($W42="","",INDEX(发票统计!C$4:C$1003,$W42)&amp;"")</f>
        <v/>
      </c>
      <c r="D42" s="3" t="str">
        <f aca="false">IF($W42="","",INDEX(发票统计!D$4:D$1003,$W42)&amp;"")</f>
        <v/>
      </c>
      <c r="E42" s="67" t="str">
        <f aca="false">IF($W42="","",INDEX(发票统计!E$4:E$1003,$W42)&amp;"")</f>
        <v/>
      </c>
      <c r="F42" s="67" t="str">
        <f aca="false">IF($W42="","",INDEX(发票统计!F$4:F$1003,$W42)&amp;"")</f>
        <v/>
      </c>
      <c r="G42" s="68" t="str">
        <f aca="false">IF($W42="","",IF(INDEX(发票统计!G$4:G$1003,$W42)="","",INDEX(发票统计!G$4:G$1003,$W42)))</f>
        <v/>
      </c>
      <c r="H42" s="56" t="str">
        <f aca="false">IF($W42="","",N(INDEX(发票统计!H$4:H$1003,$W42)))</f>
        <v/>
      </c>
      <c r="I42" s="56" t="str">
        <f aca="false">IF($W42="","",N(INDEX(发票统计!I$4:I$1003,$W42)))</f>
        <v/>
      </c>
      <c r="J42" s="56" t="str">
        <f aca="false">IF($W42="","",N(INDEX(发票统计!J$4:J$1003,$W42)))</f>
        <v/>
      </c>
      <c r="K42" s="56" t="str">
        <f aca="false">IF($W42="","",N(INDEX(发票统计!K$4:K$1003,$W42)))</f>
        <v/>
      </c>
      <c r="L42" s="56" t="str">
        <f aca="false">IF($W42="","",SUM(J$4:J42)-SUM(K$4:K42))</f>
        <v/>
      </c>
      <c r="M42" s="56" t="str">
        <f aca="false">IF($W42="","",N(INDEX(发票统计!M$4:M$1003,$W42)))</f>
        <v/>
      </c>
      <c r="N42" s="56" t="str">
        <f aca="false">IF($W42="","",N(INDEX(发票统计!N$4:N$1003,$W42)))</f>
        <v/>
      </c>
      <c r="O42" s="56" t="str">
        <f aca="false">IF($W42="","",N(INDEX(发票统计!O$4:O$1003,$W42)))</f>
        <v/>
      </c>
      <c r="P42" s="56" t="str">
        <f aca="false">IF($W42="","",SUM(M$4:M42)-SUM(N$4:N42)-SUM(O$4:O42))</f>
        <v/>
      </c>
      <c r="Q42" s="56" t="str">
        <f aca="false">IF($W42="","",N(INDEX(发票统计!Q$4:Q$1003,$W42)))</f>
        <v/>
      </c>
      <c r="R42" s="56" t="str">
        <f aca="false">IF($W42="","",N(INDEX(发票统计!R$4:R$1003,$W42)))</f>
        <v/>
      </c>
      <c r="S42" s="56" t="str">
        <f aca="false">IF($W42="","",N(INDEX(发票统计!S$4:S$1003,$W42)))</f>
        <v/>
      </c>
      <c r="T42" s="56" t="str">
        <f aca="false">IF($W42="","",SUM(Q$4:Q42)-SUM(R$4:R42)-SUM(S$4:S42))</f>
        <v/>
      </c>
      <c r="U42" s="56" t="str">
        <f aca="false">IF($W42="","",INDEX(发票统计!U$4:U$1003,$W42)&amp;"")</f>
        <v/>
      </c>
      <c r="W42" s="1" t="str">
        <f aca="false">IF($V$3="","",IFERROR(MATCH($V$3&amp;"#"&amp;ROWS(W$4:W42),发票统计!$W$4:$W$1003,0),""))</f>
        <v/>
      </c>
    </row>
    <row r="43" customFormat="false" ht="16.5" hidden="false" customHeight="false" outlineLevel="0" collapsed="false">
      <c r="A43" s="3" t="str">
        <f aca="false">IF($W43="","",INDEX(发票统计!A$4:A$1003,$W43)&amp;"")</f>
        <v/>
      </c>
      <c r="B43" s="3" t="str">
        <f aca="false">IF($W43="","",INDEX(发票统计!B$4:B$1003,$W43)&amp;"")</f>
        <v/>
      </c>
      <c r="C43" s="3" t="str">
        <f aca="false">IF($W43="","",INDEX(发票统计!C$4:C$1003,$W43)&amp;"")</f>
        <v/>
      </c>
      <c r="D43" s="3" t="str">
        <f aca="false">IF($W43="","",INDEX(发票统计!D$4:D$1003,$W43)&amp;"")</f>
        <v/>
      </c>
      <c r="E43" s="67" t="str">
        <f aca="false">IF($W43="","",INDEX(发票统计!E$4:E$1003,$W43)&amp;"")</f>
        <v/>
      </c>
      <c r="F43" s="67" t="str">
        <f aca="false">IF($W43="","",INDEX(发票统计!F$4:F$1003,$W43)&amp;"")</f>
        <v/>
      </c>
      <c r="G43" s="68" t="str">
        <f aca="false">IF($W43="","",IF(INDEX(发票统计!G$4:G$1003,$W43)="","",INDEX(发票统计!G$4:G$1003,$W43)))</f>
        <v/>
      </c>
      <c r="H43" s="56" t="str">
        <f aca="false">IF($W43="","",N(INDEX(发票统计!H$4:H$1003,$W43)))</f>
        <v/>
      </c>
      <c r="I43" s="56" t="str">
        <f aca="false">IF($W43="","",N(INDEX(发票统计!I$4:I$1003,$W43)))</f>
        <v/>
      </c>
      <c r="J43" s="56" t="str">
        <f aca="false">IF($W43="","",N(INDEX(发票统计!J$4:J$1003,$W43)))</f>
        <v/>
      </c>
      <c r="K43" s="56" t="str">
        <f aca="false">IF($W43="","",N(INDEX(发票统计!K$4:K$1003,$W43)))</f>
        <v/>
      </c>
      <c r="L43" s="56" t="str">
        <f aca="false">IF($W43="","",SUM(J$4:J43)-SUM(K$4:K43))</f>
        <v/>
      </c>
      <c r="M43" s="56" t="str">
        <f aca="false">IF($W43="","",N(INDEX(发票统计!M$4:M$1003,$W43)))</f>
        <v/>
      </c>
      <c r="N43" s="56" t="str">
        <f aca="false">IF($W43="","",N(INDEX(发票统计!N$4:N$1003,$W43)))</f>
        <v/>
      </c>
      <c r="O43" s="56" t="str">
        <f aca="false">IF($W43="","",N(INDEX(发票统计!O$4:O$1003,$W43)))</f>
        <v/>
      </c>
      <c r="P43" s="56" t="str">
        <f aca="false">IF($W43="","",SUM(M$4:M43)-SUM(N$4:N43)-SUM(O$4:O43))</f>
        <v/>
      </c>
      <c r="Q43" s="56" t="str">
        <f aca="false">IF($W43="","",N(INDEX(发票统计!Q$4:Q$1003,$W43)))</f>
        <v/>
      </c>
      <c r="R43" s="56" t="str">
        <f aca="false">IF($W43="","",N(INDEX(发票统计!R$4:R$1003,$W43)))</f>
        <v/>
      </c>
      <c r="S43" s="56" t="str">
        <f aca="false">IF($W43="","",N(INDEX(发票统计!S$4:S$1003,$W43)))</f>
        <v/>
      </c>
      <c r="T43" s="56" t="str">
        <f aca="false">IF($W43="","",SUM(Q$4:Q43)-SUM(R$4:R43)-SUM(S$4:S43))</f>
        <v/>
      </c>
      <c r="U43" s="56" t="str">
        <f aca="false">IF($W43="","",INDEX(发票统计!U$4:U$1003,$W43)&amp;"")</f>
        <v/>
      </c>
      <c r="W43" s="1" t="str">
        <f aca="false">IF($V$3="","",IFERROR(MATCH($V$3&amp;"#"&amp;ROWS(W$4:W43),发票统计!$W$4:$W$1003,0),""))</f>
        <v/>
      </c>
    </row>
    <row r="44" customFormat="false" ht="16.5" hidden="false" customHeight="false" outlineLevel="0" collapsed="false">
      <c r="A44" s="3" t="str">
        <f aca="false">IF($W44="","",INDEX(发票统计!A$4:A$1003,$W44)&amp;"")</f>
        <v/>
      </c>
      <c r="B44" s="3" t="str">
        <f aca="false">IF($W44="","",INDEX(发票统计!B$4:B$1003,$W44)&amp;"")</f>
        <v/>
      </c>
      <c r="C44" s="3" t="str">
        <f aca="false">IF($W44="","",INDEX(发票统计!C$4:C$1003,$W44)&amp;"")</f>
        <v/>
      </c>
      <c r="D44" s="3" t="str">
        <f aca="false">IF($W44="","",INDEX(发票统计!D$4:D$1003,$W44)&amp;"")</f>
        <v/>
      </c>
      <c r="E44" s="67" t="str">
        <f aca="false">IF($W44="","",INDEX(发票统计!E$4:E$1003,$W44)&amp;"")</f>
        <v/>
      </c>
      <c r="F44" s="67" t="str">
        <f aca="false">IF($W44="","",INDEX(发票统计!F$4:F$1003,$W44)&amp;"")</f>
        <v/>
      </c>
      <c r="G44" s="68" t="str">
        <f aca="false">IF($W44="","",IF(INDEX(发票统计!G$4:G$1003,$W44)="","",INDEX(发票统计!G$4:G$1003,$W44)))</f>
        <v/>
      </c>
      <c r="H44" s="56" t="str">
        <f aca="false">IF($W44="","",N(INDEX(发票统计!H$4:H$1003,$W44)))</f>
        <v/>
      </c>
      <c r="I44" s="56" t="str">
        <f aca="false">IF($W44="","",N(INDEX(发票统计!I$4:I$1003,$W44)))</f>
        <v/>
      </c>
      <c r="J44" s="56" t="str">
        <f aca="false">IF($W44="","",N(INDEX(发票统计!J$4:J$1003,$W44)))</f>
        <v/>
      </c>
      <c r="K44" s="56" t="str">
        <f aca="false">IF($W44="","",N(INDEX(发票统计!K$4:K$1003,$W44)))</f>
        <v/>
      </c>
      <c r="L44" s="56" t="str">
        <f aca="false">IF($W44="","",SUM(J$4:J44)-SUM(K$4:K44))</f>
        <v/>
      </c>
      <c r="M44" s="56" t="str">
        <f aca="false">IF($W44="","",N(INDEX(发票统计!M$4:M$1003,$W44)))</f>
        <v/>
      </c>
      <c r="N44" s="56" t="str">
        <f aca="false">IF($W44="","",N(INDEX(发票统计!N$4:N$1003,$W44)))</f>
        <v/>
      </c>
      <c r="O44" s="56" t="str">
        <f aca="false">IF($W44="","",N(INDEX(发票统计!O$4:O$1003,$W44)))</f>
        <v/>
      </c>
      <c r="P44" s="56" t="str">
        <f aca="false">IF($W44="","",SUM(M$4:M44)-SUM(N$4:N44)-SUM(O$4:O44))</f>
        <v/>
      </c>
      <c r="Q44" s="56" t="str">
        <f aca="false">IF($W44="","",N(INDEX(发票统计!Q$4:Q$1003,$W44)))</f>
        <v/>
      </c>
      <c r="R44" s="56" t="str">
        <f aca="false">IF($W44="","",N(INDEX(发票统计!R$4:R$1003,$W44)))</f>
        <v/>
      </c>
      <c r="S44" s="56" t="str">
        <f aca="false">IF($W44="","",N(INDEX(发票统计!S$4:S$1003,$W44)))</f>
        <v/>
      </c>
      <c r="T44" s="56" t="str">
        <f aca="false">IF($W44="","",SUM(Q$4:Q44)-SUM(R$4:R44)-SUM(S$4:S44))</f>
        <v/>
      </c>
      <c r="U44" s="56" t="str">
        <f aca="false">IF($W44="","",INDEX(发票统计!U$4:U$1003,$W44)&amp;"")</f>
        <v/>
      </c>
      <c r="W44" s="1" t="str">
        <f aca="false">IF($V$3="","",IFERROR(MATCH($V$3&amp;"#"&amp;ROWS(W$4:W44),发票统计!$W$4:$W$1003,0),""))</f>
        <v/>
      </c>
    </row>
    <row r="45" customFormat="false" ht="16.5" hidden="false" customHeight="false" outlineLevel="0" collapsed="false">
      <c r="A45" s="3" t="str">
        <f aca="false">IF($W45="","",INDEX(发票统计!A$4:A$1003,$W45)&amp;"")</f>
        <v/>
      </c>
      <c r="B45" s="3" t="str">
        <f aca="false">IF($W45="","",INDEX(发票统计!B$4:B$1003,$W45)&amp;"")</f>
        <v/>
      </c>
      <c r="C45" s="3" t="str">
        <f aca="false">IF($W45="","",INDEX(发票统计!C$4:C$1003,$W45)&amp;"")</f>
        <v/>
      </c>
      <c r="D45" s="3" t="str">
        <f aca="false">IF($W45="","",INDEX(发票统计!D$4:D$1003,$W45)&amp;"")</f>
        <v/>
      </c>
      <c r="E45" s="67" t="str">
        <f aca="false">IF($W45="","",INDEX(发票统计!E$4:E$1003,$W45)&amp;"")</f>
        <v/>
      </c>
      <c r="F45" s="67" t="str">
        <f aca="false">IF($W45="","",INDEX(发票统计!F$4:F$1003,$W45)&amp;"")</f>
        <v/>
      </c>
      <c r="G45" s="68" t="str">
        <f aca="false">IF($W45="","",IF(INDEX(发票统计!G$4:G$1003,$W45)="","",INDEX(发票统计!G$4:G$1003,$W45)))</f>
        <v/>
      </c>
      <c r="H45" s="56" t="str">
        <f aca="false">IF($W45="","",N(INDEX(发票统计!H$4:H$1003,$W45)))</f>
        <v/>
      </c>
      <c r="I45" s="56" t="str">
        <f aca="false">IF($W45="","",N(INDEX(发票统计!I$4:I$1003,$W45)))</f>
        <v/>
      </c>
      <c r="J45" s="56" t="str">
        <f aca="false">IF($W45="","",N(INDEX(发票统计!J$4:J$1003,$W45)))</f>
        <v/>
      </c>
      <c r="K45" s="56" t="str">
        <f aca="false">IF($W45="","",N(INDEX(发票统计!K$4:K$1003,$W45)))</f>
        <v/>
      </c>
      <c r="L45" s="56" t="str">
        <f aca="false">IF($W45="","",SUM(J$4:J45)-SUM(K$4:K45))</f>
        <v/>
      </c>
      <c r="M45" s="56" t="str">
        <f aca="false">IF($W45="","",N(INDEX(发票统计!M$4:M$1003,$W45)))</f>
        <v/>
      </c>
      <c r="N45" s="56" t="str">
        <f aca="false">IF($W45="","",N(INDEX(发票统计!N$4:N$1003,$W45)))</f>
        <v/>
      </c>
      <c r="O45" s="56" t="str">
        <f aca="false">IF($W45="","",N(INDEX(发票统计!O$4:O$1003,$W45)))</f>
        <v/>
      </c>
      <c r="P45" s="56" t="str">
        <f aca="false">IF($W45="","",SUM(M$4:M45)-SUM(N$4:N45)-SUM(O$4:O45))</f>
        <v/>
      </c>
      <c r="Q45" s="56" t="str">
        <f aca="false">IF($W45="","",N(INDEX(发票统计!Q$4:Q$1003,$W45)))</f>
        <v/>
      </c>
      <c r="R45" s="56" t="str">
        <f aca="false">IF($W45="","",N(INDEX(发票统计!R$4:R$1003,$W45)))</f>
        <v/>
      </c>
      <c r="S45" s="56" t="str">
        <f aca="false">IF($W45="","",N(INDEX(发票统计!S$4:S$1003,$W45)))</f>
        <v/>
      </c>
      <c r="T45" s="56" t="str">
        <f aca="false">IF($W45="","",SUM(Q$4:Q45)-SUM(R$4:R45)-SUM(S$4:S45))</f>
        <v/>
      </c>
      <c r="U45" s="56" t="str">
        <f aca="false">IF($W45="","",INDEX(发票统计!U$4:U$1003,$W45)&amp;"")</f>
        <v/>
      </c>
      <c r="W45" s="1" t="str">
        <f aca="false">IF($V$3="","",IFERROR(MATCH($V$3&amp;"#"&amp;ROWS(W$4:W45),发票统计!$W$4:$W$1003,0),""))</f>
        <v/>
      </c>
    </row>
    <row r="46" customFormat="false" ht="16.5" hidden="false" customHeight="false" outlineLevel="0" collapsed="false">
      <c r="A46" s="3" t="str">
        <f aca="false">IF($W46="","",INDEX(发票统计!A$4:A$1003,$W46)&amp;"")</f>
        <v/>
      </c>
      <c r="B46" s="3" t="str">
        <f aca="false">IF($W46="","",INDEX(发票统计!B$4:B$1003,$W46)&amp;"")</f>
        <v/>
      </c>
      <c r="C46" s="3" t="str">
        <f aca="false">IF($W46="","",INDEX(发票统计!C$4:C$1003,$W46)&amp;"")</f>
        <v/>
      </c>
      <c r="D46" s="3" t="str">
        <f aca="false">IF($W46="","",INDEX(发票统计!D$4:D$1003,$W46)&amp;"")</f>
        <v/>
      </c>
      <c r="E46" s="67" t="str">
        <f aca="false">IF($W46="","",INDEX(发票统计!E$4:E$1003,$W46)&amp;"")</f>
        <v/>
      </c>
      <c r="F46" s="67" t="str">
        <f aca="false">IF($W46="","",INDEX(发票统计!F$4:F$1003,$W46)&amp;"")</f>
        <v/>
      </c>
      <c r="G46" s="68" t="str">
        <f aca="false">IF($W46="","",IF(INDEX(发票统计!G$4:G$1003,$W46)="","",INDEX(发票统计!G$4:G$1003,$W46)))</f>
        <v/>
      </c>
      <c r="H46" s="56" t="str">
        <f aca="false">IF($W46="","",N(INDEX(发票统计!H$4:H$1003,$W46)))</f>
        <v/>
      </c>
      <c r="I46" s="56" t="str">
        <f aca="false">IF($W46="","",N(INDEX(发票统计!I$4:I$1003,$W46)))</f>
        <v/>
      </c>
      <c r="J46" s="56" t="str">
        <f aca="false">IF($W46="","",N(INDEX(发票统计!J$4:J$1003,$W46)))</f>
        <v/>
      </c>
      <c r="K46" s="56" t="str">
        <f aca="false">IF($W46="","",N(INDEX(发票统计!K$4:K$1003,$W46)))</f>
        <v/>
      </c>
      <c r="L46" s="56" t="str">
        <f aca="false">IF($W46="","",SUM(J$4:J46)-SUM(K$4:K46))</f>
        <v/>
      </c>
      <c r="M46" s="56" t="str">
        <f aca="false">IF($W46="","",N(INDEX(发票统计!M$4:M$1003,$W46)))</f>
        <v/>
      </c>
      <c r="N46" s="56" t="str">
        <f aca="false">IF($W46="","",N(INDEX(发票统计!N$4:N$1003,$W46)))</f>
        <v/>
      </c>
      <c r="O46" s="56" t="str">
        <f aca="false">IF($W46="","",N(INDEX(发票统计!O$4:O$1003,$W46)))</f>
        <v/>
      </c>
      <c r="P46" s="56" t="str">
        <f aca="false">IF($W46="","",SUM(M$4:M46)-SUM(N$4:N46)-SUM(O$4:O46))</f>
        <v/>
      </c>
      <c r="Q46" s="56" t="str">
        <f aca="false">IF($W46="","",N(INDEX(发票统计!Q$4:Q$1003,$W46)))</f>
        <v/>
      </c>
      <c r="R46" s="56" t="str">
        <f aca="false">IF($W46="","",N(INDEX(发票统计!R$4:R$1003,$W46)))</f>
        <v/>
      </c>
      <c r="S46" s="56" t="str">
        <f aca="false">IF($W46="","",N(INDEX(发票统计!S$4:S$1003,$W46)))</f>
        <v/>
      </c>
      <c r="T46" s="56" t="str">
        <f aca="false">IF($W46="","",SUM(Q$4:Q46)-SUM(R$4:R46)-SUM(S$4:S46))</f>
        <v/>
      </c>
      <c r="U46" s="56" t="str">
        <f aca="false">IF($W46="","",INDEX(发票统计!U$4:U$1003,$W46)&amp;"")</f>
        <v/>
      </c>
      <c r="W46" s="1" t="str">
        <f aca="false">IF($V$3="","",IFERROR(MATCH($V$3&amp;"#"&amp;ROWS(W$4:W46),发票统计!$W$4:$W$1003,0),""))</f>
        <v/>
      </c>
    </row>
    <row r="47" customFormat="false" ht="16.5" hidden="false" customHeight="false" outlineLevel="0" collapsed="false">
      <c r="A47" s="3" t="str">
        <f aca="false">IF($W47="","",INDEX(发票统计!A$4:A$1003,$W47)&amp;"")</f>
        <v/>
      </c>
      <c r="B47" s="3" t="str">
        <f aca="false">IF($W47="","",INDEX(发票统计!B$4:B$1003,$W47)&amp;"")</f>
        <v/>
      </c>
      <c r="C47" s="3" t="str">
        <f aca="false">IF($W47="","",INDEX(发票统计!C$4:C$1003,$W47)&amp;"")</f>
        <v/>
      </c>
      <c r="D47" s="3" t="str">
        <f aca="false">IF($W47="","",INDEX(发票统计!D$4:D$1003,$W47)&amp;"")</f>
        <v/>
      </c>
      <c r="E47" s="67" t="str">
        <f aca="false">IF($W47="","",INDEX(发票统计!E$4:E$1003,$W47)&amp;"")</f>
        <v/>
      </c>
      <c r="F47" s="67" t="str">
        <f aca="false">IF($W47="","",INDEX(发票统计!F$4:F$1003,$W47)&amp;"")</f>
        <v/>
      </c>
      <c r="G47" s="68" t="str">
        <f aca="false">IF($W47="","",IF(INDEX(发票统计!G$4:G$1003,$W47)="","",INDEX(发票统计!G$4:G$1003,$W47)))</f>
        <v/>
      </c>
      <c r="H47" s="56" t="str">
        <f aca="false">IF($W47="","",N(INDEX(发票统计!H$4:H$1003,$W47)))</f>
        <v/>
      </c>
      <c r="I47" s="56" t="str">
        <f aca="false">IF($W47="","",N(INDEX(发票统计!I$4:I$1003,$W47)))</f>
        <v/>
      </c>
      <c r="J47" s="56" t="str">
        <f aca="false">IF($W47="","",N(INDEX(发票统计!J$4:J$1003,$W47)))</f>
        <v/>
      </c>
      <c r="K47" s="56" t="str">
        <f aca="false">IF($W47="","",N(INDEX(发票统计!K$4:K$1003,$W47)))</f>
        <v/>
      </c>
      <c r="L47" s="56" t="str">
        <f aca="false">IF($W47="","",SUM(J$4:J47)-SUM(K$4:K47))</f>
        <v/>
      </c>
      <c r="M47" s="56" t="str">
        <f aca="false">IF($W47="","",N(INDEX(发票统计!M$4:M$1003,$W47)))</f>
        <v/>
      </c>
      <c r="N47" s="56" t="str">
        <f aca="false">IF($W47="","",N(INDEX(发票统计!N$4:N$1003,$W47)))</f>
        <v/>
      </c>
      <c r="O47" s="56" t="str">
        <f aca="false">IF($W47="","",N(INDEX(发票统计!O$4:O$1003,$W47)))</f>
        <v/>
      </c>
      <c r="P47" s="56" t="str">
        <f aca="false">IF($W47="","",SUM(M$4:M47)-SUM(N$4:N47)-SUM(O$4:O47))</f>
        <v/>
      </c>
      <c r="Q47" s="56" t="str">
        <f aca="false">IF($W47="","",N(INDEX(发票统计!Q$4:Q$1003,$W47)))</f>
        <v/>
      </c>
      <c r="R47" s="56" t="str">
        <f aca="false">IF($W47="","",N(INDEX(发票统计!R$4:R$1003,$W47)))</f>
        <v/>
      </c>
      <c r="S47" s="56" t="str">
        <f aca="false">IF($W47="","",N(INDEX(发票统计!S$4:S$1003,$W47)))</f>
        <v/>
      </c>
      <c r="T47" s="56" t="str">
        <f aca="false">IF($W47="","",SUM(Q$4:Q47)-SUM(R$4:R47)-SUM(S$4:S47))</f>
        <v/>
      </c>
      <c r="U47" s="56" t="str">
        <f aca="false">IF($W47="","",INDEX(发票统计!U$4:U$1003,$W47)&amp;"")</f>
        <v/>
      </c>
      <c r="W47" s="1" t="str">
        <f aca="false">IF($V$3="","",IFERROR(MATCH($V$3&amp;"#"&amp;ROWS(W$4:W47),发票统计!$W$4:$W$1003,0),""))</f>
        <v/>
      </c>
    </row>
    <row r="48" customFormat="false" ht="16.5" hidden="false" customHeight="false" outlineLevel="0" collapsed="false">
      <c r="A48" s="3" t="str">
        <f aca="false">IF($W48="","",INDEX(发票统计!A$4:A$1003,$W48)&amp;"")</f>
        <v/>
      </c>
      <c r="B48" s="3" t="str">
        <f aca="false">IF($W48="","",INDEX(发票统计!B$4:B$1003,$W48)&amp;"")</f>
        <v/>
      </c>
      <c r="C48" s="3" t="str">
        <f aca="false">IF($W48="","",INDEX(发票统计!C$4:C$1003,$W48)&amp;"")</f>
        <v/>
      </c>
      <c r="D48" s="3" t="str">
        <f aca="false">IF($W48="","",INDEX(发票统计!D$4:D$1003,$W48)&amp;"")</f>
        <v/>
      </c>
      <c r="E48" s="67" t="str">
        <f aca="false">IF($W48="","",INDEX(发票统计!E$4:E$1003,$W48)&amp;"")</f>
        <v/>
      </c>
      <c r="F48" s="67" t="str">
        <f aca="false">IF($W48="","",INDEX(发票统计!F$4:F$1003,$W48)&amp;"")</f>
        <v/>
      </c>
      <c r="G48" s="68" t="str">
        <f aca="false">IF($W48="","",IF(INDEX(发票统计!G$4:G$1003,$W48)="","",INDEX(发票统计!G$4:G$1003,$W48)))</f>
        <v/>
      </c>
      <c r="H48" s="56" t="str">
        <f aca="false">IF($W48="","",N(INDEX(发票统计!H$4:H$1003,$W48)))</f>
        <v/>
      </c>
      <c r="I48" s="56" t="str">
        <f aca="false">IF($W48="","",N(INDEX(发票统计!I$4:I$1003,$W48)))</f>
        <v/>
      </c>
      <c r="J48" s="56" t="str">
        <f aca="false">IF($W48="","",N(INDEX(发票统计!J$4:J$1003,$W48)))</f>
        <v/>
      </c>
      <c r="K48" s="56" t="str">
        <f aca="false">IF($W48="","",N(INDEX(发票统计!K$4:K$1003,$W48)))</f>
        <v/>
      </c>
      <c r="L48" s="56" t="str">
        <f aca="false">IF($W48="","",SUM(J$4:J48)-SUM(K$4:K48))</f>
        <v/>
      </c>
      <c r="M48" s="56" t="str">
        <f aca="false">IF($W48="","",N(INDEX(发票统计!M$4:M$1003,$W48)))</f>
        <v/>
      </c>
      <c r="N48" s="56" t="str">
        <f aca="false">IF($W48="","",N(INDEX(发票统计!N$4:N$1003,$W48)))</f>
        <v/>
      </c>
      <c r="O48" s="56" t="str">
        <f aca="false">IF($W48="","",N(INDEX(发票统计!O$4:O$1003,$W48)))</f>
        <v/>
      </c>
      <c r="P48" s="56" t="str">
        <f aca="false">IF($W48="","",SUM(M$4:M48)-SUM(N$4:N48)-SUM(O$4:O48))</f>
        <v/>
      </c>
      <c r="Q48" s="56" t="str">
        <f aca="false">IF($W48="","",N(INDEX(发票统计!Q$4:Q$1003,$W48)))</f>
        <v/>
      </c>
      <c r="R48" s="56" t="str">
        <f aca="false">IF($W48="","",N(INDEX(发票统计!R$4:R$1003,$W48)))</f>
        <v/>
      </c>
      <c r="S48" s="56" t="str">
        <f aca="false">IF($W48="","",N(INDEX(发票统计!S$4:S$1003,$W48)))</f>
        <v/>
      </c>
      <c r="T48" s="56" t="str">
        <f aca="false">IF($W48="","",SUM(Q$4:Q48)-SUM(R$4:R48)-SUM(S$4:S48))</f>
        <v/>
      </c>
      <c r="U48" s="56" t="str">
        <f aca="false">IF($W48="","",INDEX(发票统计!U$4:U$1003,$W48)&amp;"")</f>
        <v/>
      </c>
      <c r="W48" s="1" t="str">
        <f aca="false">IF($V$3="","",IFERROR(MATCH($V$3&amp;"#"&amp;ROWS(W$4:W48),发票统计!$W$4:$W$1003,0),""))</f>
        <v/>
      </c>
    </row>
    <row r="49" customFormat="false" ht="16.5" hidden="false" customHeight="false" outlineLevel="0" collapsed="false">
      <c r="A49" s="3" t="str">
        <f aca="false">IF($W49="","",INDEX(发票统计!A$4:A$1003,$W49)&amp;"")</f>
        <v/>
      </c>
      <c r="B49" s="3" t="str">
        <f aca="false">IF($W49="","",INDEX(发票统计!B$4:B$1003,$W49)&amp;"")</f>
        <v/>
      </c>
      <c r="C49" s="3" t="str">
        <f aca="false">IF($W49="","",INDEX(发票统计!C$4:C$1003,$W49)&amp;"")</f>
        <v/>
      </c>
      <c r="D49" s="3" t="str">
        <f aca="false">IF($W49="","",INDEX(发票统计!D$4:D$1003,$W49)&amp;"")</f>
        <v/>
      </c>
      <c r="E49" s="67" t="str">
        <f aca="false">IF($W49="","",INDEX(发票统计!E$4:E$1003,$W49)&amp;"")</f>
        <v/>
      </c>
      <c r="F49" s="68" t="str">
        <f aca="false">IF($W49="","",INDEX(发票统计!F$4:F$1003,$W49)&amp;"")</f>
        <v/>
      </c>
      <c r="G49" s="68" t="str">
        <f aca="false">IF($W49="","",IF(INDEX(发票统计!G$4:G$1003,$W49)="","",INDEX(发票统计!G$4:G$1003,$W49)))</f>
        <v/>
      </c>
      <c r="H49" s="56" t="str">
        <f aca="false">IF($W49="","",N(INDEX(发票统计!H$4:H$1003,$W49)))</f>
        <v/>
      </c>
      <c r="I49" s="56" t="str">
        <f aca="false">IF($W49="","",N(INDEX(发票统计!I$4:I$1003,$W49)))</f>
        <v/>
      </c>
      <c r="J49" s="56" t="str">
        <f aca="false">IF($W49="","",N(INDEX(发票统计!J$4:J$1003,$W49)))</f>
        <v/>
      </c>
      <c r="K49" s="56" t="str">
        <f aca="false">IF($W49="","",N(INDEX(发票统计!K$4:K$1003,$W49)))</f>
        <v/>
      </c>
      <c r="L49" s="56" t="str">
        <f aca="false">IF($W49="","",SUM(J$4:J49)-SUM(K$4:K49))</f>
        <v/>
      </c>
      <c r="M49" s="56" t="str">
        <f aca="false">IF($W49="","",N(INDEX(发票统计!M$4:M$1003,$W49)))</f>
        <v/>
      </c>
      <c r="N49" s="56" t="str">
        <f aca="false">IF($W49="","",N(INDEX(发票统计!N$4:N$1003,$W49)))</f>
        <v/>
      </c>
      <c r="O49" s="56" t="str">
        <f aca="false">IF($W49="","",N(INDEX(发票统计!O$4:O$1003,$W49)))</f>
        <v/>
      </c>
      <c r="P49" s="56" t="str">
        <f aca="false">IF($W49="","",SUM(M$4:M49)-SUM(N$4:N49)-SUM(O$4:O49))</f>
        <v/>
      </c>
      <c r="Q49" s="56" t="str">
        <f aca="false">IF($W49="","",N(INDEX(发票统计!Q$4:Q$1003,$W49)))</f>
        <v/>
      </c>
      <c r="R49" s="56" t="str">
        <f aca="false">IF($W49="","",N(INDEX(发票统计!R$4:R$1003,$W49)))</f>
        <v/>
      </c>
      <c r="S49" s="56" t="str">
        <f aca="false">IF($W49="","",N(INDEX(发票统计!S$4:S$1003,$W49)))</f>
        <v/>
      </c>
      <c r="T49" s="56" t="str">
        <f aca="false">IF($W49="","",SUM(Q$4:Q49)-SUM(R$4:R49)-SUM(S$4:S49))</f>
        <v/>
      </c>
      <c r="U49" s="56" t="str">
        <f aca="false">IF($W49="","",INDEX(发票统计!U$4:U$1003,$W49)&amp;"")</f>
        <v/>
      </c>
      <c r="W49" s="1" t="str">
        <f aca="false">IF($V$3="","",IFERROR(MATCH($V$3&amp;"#"&amp;ROWS(W$4:W49),发票统计!$W$4:$W$1003,0),""))</f>
        <v/>
      </c>
    </row>
    <row r="50" customFormat="false" ht="16.5" hidden="false" customHeight="false" outlineLevel="0" collapsed="false">
      <c r="A50" s="3" t="str">
        <f aca="false">IF($W50="","",INDEX(发票统计!A$4:A$1003,$W50)&amp;"")</f>
        <v/>
      </c>
      <c r="B50" s="3" t="str">
        <f aca="false">IF($W50="","",INDEX(发票统计!B$4:B$1003,$W50)&amp;"")</f>
        <v/>
      </c>
      <c r="C50" s="3" t="str">
        <f aca="false">IF($W50="","",INDEX(发票统计!C$4:C$1003,$W50)&amp;"")</f>
        <v/>
      </c>
      <c r="D50" s="3" t="str">
        <f aca="false">IF($W50="","",INDEX(发票统计!D$4:D$1003,$W50)&amp;"")</f>
        <v/>
      </c>
      <c r="E50" s="67" t="str">
        <f aca="false">IF($W50="","",INDEX(发票统计!E$4:E$1003,$W50)&amp;"")</f>
        <v/>
      </c>
      <c r="F50" s="68" t="str">
        <f aca="false">IF($W50="","",INDEX(发票统计!F$4:F$1003,$W50)&amp;"")</f>
        <v/>
      </c>
      <c r="G50" s="68" t="str">
        <f aca="false">IF($W50="","",IF(INDEX(发票统计!G$4:G$1003,$W50)="","",INDEX(发票统计!G$4:G$1003,$W50)))</f>
        <v/>
      </c>
      <c r="H50" s="56" t="str">
        <f aca="false">IF($W50="","",N(INDEX(发票统计!H$4:H$1003,$W50)))</f>
        <v/>
      </c>
      <c r="I50" s="56" t="str">
        <f aca="false">IF($W50="","",N(INDEX(发票统计!I$4:I$1003,$W50)))</f>
        <v/>
      </c>
      <c r="J50" s="56" t="str">
        <f aca="false">IF($W50="","",N(INDEX(发票统计!J$4:J$1003,$W50)))</f>
        <v/>
      </c>
      <c r="K50" s="56" t="str">
        <f aca="false">IF($W50="","",N(INDEX(发票统计!K$4:K$1003,$W50)))</f>
        <v/>
      </c>
      <c r="L50" s="56" t="str">
        <f aca="false">IF($W50="","",SUM(J$4:J50)-SUM(K$4:K50))</f>
        <v/>
      </c>
      <c r="M50" s="56" t="str">
        <f aca="false">IF($W50="","",N(INDEX(发票统计!M$4:M$1003,$W50)))</f>
        <v/>
      </c>
      <c r="N50" s="56" t="str">
        <f aca="false">IF($W50="","",N(INDEX(发票统计!N$4:N$1003,$W50)))</f>
        <v/>
      </c>
      <c r="O50" s="56" t="str">
        <f aca="false">IF($W50="","",N(INDEX(发票统计!O$4:O$1003,$W50)))</f>
        <v/>
      </c>
      <c r="P50" s="56" t="str">
        <f aca="false">IF($W50="","",SUM(M$4:M50)-SUM(N$4:N50)-SUM(O$4:O50))</f>
        <v/>
      </c>
      <c r="Q50" s="56" t="str">
        <f aca="false">IF($W50="","",N(INDEX(发票统计!Q$4:Q$1003,$W50)))</f>
        <v/>
      </c>
      <c r="R50" s="56" t="str">
        <f aca="false">IF($W50="","",N(INDEX(发票统计!R$4:R$1003,$W50)))</f>
        <v/>
      </c>
      <c r="S50" s="56" t="str">
        <f aca="false">IF($W50="","",N(INDEX(发票统计!S$4:S$1003,$W50)))</f>
        <v/>
      </c>
      <c r="T50" s="56" t="str">
        <f aca="false">IF($W50="","",SUM(Q$4:Q50)-SUM(R$4:R50)-SUM(S$4:S50))</f>
        <v/>
      </c>
      <c r="U50" s="56" t="str">
        <f aca="false">IF($W50="","",INDEX(发票统计!U$4:U$1003,$W50)&amp;"")</f>
        <v/>
      </c>
      <c r="W50" s="1" t="str">
        <f aca="false">IF($V$3="","",IFERROR(MATCH($V$3&amp;"#"&amp;ROWS(W$4:W50),发票统计!$W$4:$W$1003,0),""))</f>
        <v/>
      </c>
    </row>
    <row r="51" customFormat="false" ht="16.5" hidden="false" customHeight="false" outlineLevel="0" collapsed="false">
      <c r="A51" s="3" t="str">
        <f aca="false">IF($W51="","",INDEX(发票统计!A$4:A$1003,$W51)&amp;"")</f>
        <v/>
      </c>
      <c r="B51" s="3" t="str">
        <f aca="false">IF($W51="","",INDEX(发票统计!B$4:B$1003,$W51)&amp;"")</f>
        <v/>
      </c>
      <c r="C51" s="3" t="str">
        <f aca="false">IF($W51="","",INDEX(发票统计!C$4:C$1003,$W51)&amp;"")</f>
        <v/>
      </c>
      <c r="D51" s="3" t="str">
        <f aca="false">IF($W51="","",INDEX(发票统计!D$4:D$1003,$W51)&amp;"")</f>
        <v/>
      </c>
      <c r="E51" s="67" t="str">
        <f aca="false">IF($W51="","",INDEX(发票统计!E$4:E$1003,$W51)&amp;"")</f>
        <v/>
      </c>
      <c r="F51" s="68" t="str">
        <f aca="false">IF($W51="","",INDEX(发票统计!F$4:F$1003,$W51)&amp;"")</f>
        <v/>
      </c>
      <c r="G51" s="68" t="str">
        <f aca="false">IF($W51="","",IF(INDEX(发票统计!G$4:G$1003,$W51)="","",INDEX(发票统计!G$4:G$1003,$W51)))</f>
        <v/>
      </c>
      <c r="H51" s="56" t="str">
        <f aca="false">IF($W51="","",N(INDEX(发票统计!H$4:H$1003,$W51)))</f>
        <v/>
      </c>
      <c r="I51" s="56" t="str">
        <f aca="false">IF($W51="","",N(INDEX(发票统计!I$4:I$1003,$W51)))</f>
        <v/>
      </c>
      <c r="J51" s="56" t="str">
        <f aca="false">IF($W51="","",N(INDEX(发票统计!J$4:J$1003,$W51)))</f>
        <v/>
      </c>
      <c r="K51" s="56" t="str">
        <f aca="false">IF($W51="","",N(INDEX(发票统计!K$4:K$1003,$W51)))</f>
        <v/>
      </c>
      <c r="L51" s="56" t="str">
        <f aca="false">IF($W51="","",SUM(J$4:J51)-SUM(K$4:K51))</f>
        <v/>
      </c>
      <c r="M51" s="56" t="str">
        <f aca="false">IF($W51="","",N(INDEX(发票统计!M$4:M$1003,$W51)))</f>
        <v/>
      </c>
      <c r="N51" s="56" t="str">
        <f aca="false">IF($W51="","",N(INDEX(发票统计!N$4:N$1003,$W51)))</f>
        <v/>
      </c>
      <c r="O51" s="56" t="str">
        <f aca="false">IF($W51="","",N(INDEX(发票统计!O$4:O$1003,$W51)))</f>
        <v/>
      </c>
      <c r="P51" s="56" t="str">
        <f aca="false">IF($W51="","",SUM(M$4:M51)-SUM(N$4:N51)-SUM(O$4:O51))</f>
        <v/>
      </c>
      <c r="Q51" s="56" t="str">
        <f aca="false">IF($W51="","",N(INDEX(发票统计!Q$4:Q$1003,$W51)))</f>
        <v/>
      </c>
      <c r="R51" s="56" t="str">
        <f aca="false">IF($W51="","",N(INDEX(发票统计!R$4:R$1003,$W51)))</f>
        <v/>
      </c>
      <c r="S51" s="56" t="str">
        <f aca="false">IF($W51="","",N(INDEX(发票统计!S$4:S$1003,$W51)))</f>
        <v/>
      </c>
      <c r="T51" s="56" t="str">
        <f aca="false">IF($W51="","",SUM(Q$4:Q51)-SUM(R$4:R51)-SUM(S$4:S51))</f>
        <v/>
      </c>
      <c r="U51" s="56" t="str">
        <f aca="false">IF($W51="","",INDEX(发票统计!U$4:U$1003,$W51)&amp;"")</f>
        <v/>
      </c>
      <c r="W51" s="1" t="str">
        <f aca="false">IF($V$3="","",IFERROR(MATCH($V$3&amp;"#"&amp;ROWS(W$4:W51),发票统计!$W$4:$W$1003,0),""))</f>
        <v/>
      </c>
    </row>
    <row r="52" customFormat="false" ht="16.5" hidden="false" customHeight="false" outlineLevel="0" collapsed="false">
      <c r="A52" s="3" t="str">
        <f aca="false">IF($W52="","",INDEX(发票统计!A$4:A$1003,$W52)&amp;"")</f>
        <v/>
      </c>
      <c r="B52" s="3" t="str">
        <f aca="false">IF($W52="","",INDEX(发票统计!B$4:B$1003,$W52)&amp;"")</f>
        <v/>
      </c>
      <c r="C52" s="3" t="str">
        <f aca="false">IF($W52="","",INDEX(发票统计!C$4:C$1003,$W52)&amp;"")</f>
        <v/>
      </c>
      <c r="D52" s="3" t="str">
        <f aca="false">IF($W52="","",INDEX(发票统计!D$4:D$1003,$W52)&amp;"")</f>
        <v/>
      </c>
      <c r="E52" s="67" t="str">
        <f aca="false">IF($W52="","",INDEX(发票统计!E$4:E$1003,$W52)&amp;"")</f>
        <v/>
      </c>
      <c r="F52" s="68" t="str">
        <f aca="false">IF($W52="","",INDEX(发票统计!F$4:F$1003,$W52)&amp;"")</f>
        <v/>
      </c>
      <c r="G52" s="68" t="str">
        <f aca="false">IF($W52="","",IF(INDEX(发票统计!G$4:G$1003,$W52)="","",INDEX(发票统计!G$4:G$1003,$W52)))</f>
        <v/>
      </c>
      <c r="H52" s="56" t="str">
        <f aca="false">IF($W52="","",N(INDEX(发票统计!H$4:H$1003,$W52)))</f>
        <v/>
      </c>
      <c r="I52" s="56" t="str">
        <f aca="false">IF($W52="","",N(INDEX(发票统计!I$4:I$1003,$W52)))</f>
        <v/>
      </c>
      <c r="J52" s="56" t="str">
        <f aca="false">IF($W52="","",N(INDEX(发票统计!J$4:J$1003,$W52)))</f>
        <v/>
      </c>
      <c r="K52" s="56" t="str">
        <f aca="false">IF($W52="","",N(INDEX(发票统计!K$4:K$1003,$W52)))</f>
        <v/>
      </c>
      <c r="L52" s="56" t="str">
        <f aca="false">IF($W52="","",SUM(J$4:J52)-SUM(K$4:K52))</f>
        <v/>
      </c>
      <c r="M52" s="56" t="str">
        <f aca="false">IF($W52="","",N(INDEX(发票统计!M$4:M$1003,$W52)))</f>
        <v/>
      </c>
      <c r="N52" s="56" t="str">
        <f aca="false">IF($W52="","",N(INDEX(发票统计!N$4:N$1003,$W52)))</f>
        <v/>
      </c>
      <c r="O52" s="56" t="str">
        <f aca="false">IF($W52="","",N(INDEX(发票统计!O$4:O$1003,$W52)))</f>
        <v/>
      </c>
      <c r="P52" s="56" t="str">
        <f aca="false">IF($W52="","",SUM(M$4:M52)-SUM(N$4:N52)-SUM(O$4:O52))</f>
        <v/>
      </c>
      <c r="Q52" s="56" t="str">
        <f aca="false">IF($W52="","",N(INDEX(发票统计!Q$4:Q$1003,$W52)))</f>
        <v/>
      </c>
      <c r="R52" s="56" t="str">
        <f aca="false">IF($W52="","",N(INDEX(发票统计!R$4:R$1003,$W52)))</f>
        <v/>
      </c>
      <c r="S52" s="56" t="str">
        <f aca="false">IF($W52="","",N(INDEX(发票统计!S$4:S$1003,$W52)))</f>
        <v/>
      </c>
      <c r="T52" s="56" t="str">
        <f aca="false">IF($W52="","",SUM(Q$4:Q52)-SUM(R$4:R52)-SUM(S$4:S52))</f>
        <v/>
      </c>
      <c r="U52" s="56" t="str">
        <f aca="false">IF($W52="","",INDEX(发票统计!U$4:U$1003,$W52)&amp;"")</f>
        <v/>
      </c>
      <c r="W52" s="1" t="str">
        <f aca="false">IF($V$3="","",IFERROR(MATCH($V$3&amp;"#"&amp;ROWS(W$4:W52),发票统计!$W$4:$W$1003,0),""))</f>
        <v/>
      </c>
    </row>
    <row r="53" customFormat="false" ht="16.5" hidden="false" customHeight="false" outlineLevel="0" collapsed="false">
      <c r="A53" s="3" t="str">
        <f aca="false">IF($W53="","",INDEX(发票统计!A$4:A$1003,$W53)&amp;"")</f>
        <v/>
      </c>
      <c r="B53" s="3" t="str">
        <f aca="false">IF($W53="","",INDEX(发票统计!B$4:B$1003,$W53)&amp;"")</f>
        <v/>
      </c>
      <c r="C53" s="3" t="str">
        <f aca="false">IF($W53="","",INDEX(发票统计!C$4:C$1003,$W53)&amp;"")</f>
        <v/>
      </c>
      <c r="D53" s="3" t="str">
        <f aca="false">IF($W53="","",INDEX(发票统计!D$4:D$1003,$W53)&amp;"")</f>
        <v/>
      </c>
      <c r="E53" s="67" t="str">
        <f aca="false">IF($W53="","",INDEX(发票统计!E$4:E$1003,$W53)&amp;"")</f>
        <v/>
      </c>
      <c r="F53" s="68" t="str">
        <f aca="false">IF($W53="","",INDEX(发票统计!F$4:F$1003,$W53)&amp;"")</f>
        <v/>
      </c>
      <c r="G53" s="68" t="str">
        <f aca="false">IF($W53="","",IF(INDEX(发票统计!G$4:G$1003,$W53)="","",INDEX(发票统计!G$4:G$1003,$W53)))</f>
        <v/>
      </c>
      <c r="H53" s="56" t="str">
        <f aca="false">IF($W53="","",N(INDEX(发票统计!H$4:H$1003,$W53)))</f>
        <v/>
      </c>
      <c r="I53" s="56" t="str">
        <f aca="false">IF($W53="","",N(INDEX(发票统计!I$4:I$1003,$W53)))</f>
        <v/>
      </c>
      <c r="J53" s="56" t="str">
        <f aca="false">IF($W53="","",N(INDEX(发票统计!J$4:J$1003,$W53)))</f>
        <v/>
      </c>
      <c r="K53" s="56" t="str">
        <f aca="false">IF($W53="","",N(INDEX(发票统计!K$4:K$1003,$W53)))</f>
        <v/>
      </c>
      <c r="L53" s="56" t="str">
        <f aca="false">IF($W53="","",SUM(J$4:J53)-SUM(K$4:K53))</f>
        <v/>
      </c>
      <c r="M53" s="56" t="str">
        <f aca="false">IF($W53="","",N(INDEX(发票统计!M$4:M$1003,$W53)))</f>
        <v/>
      </c>
      <c r="N53" s="56" t="str">
        <f aca="false">IF($W53="","",N(INDEX(发票统计!N$4:N$1003,$W53)))</f>
        <v/>
      </c>
      <c r="O53" s="56" t="str">
        <f aca="false">IF($W53="","",N(INDEX(发票统计!O$4:O$1003,$W53)))</f>
        <v/>
      </c>
      <c r="P53" s="56" t="str">
        <f aca="false">IF($W53="","",SUM(M$4:M53)-SUM(N$4:N53)-SUM(O$4:O53))</f>
        <v/>
      </c>
      <c r="Q53" s="56" t="str">
        <f aca="false">IF($W53="","",N(INDEX(发票统计!Q$4:Q$1003,$W53)))</f>
        <v/>
      </c>
      <c r="R53" s="56" t="str">
        <f aca="false">IF($W53="","",N(INDEX(发票统计!R$4:R$1003,$W53)))</f>
        <v/>
      </c>
      <c r="S53" s="56" t="str">
        <f aca="false">IF($W53="","",N(INDEX(发票统计!S$4:S$1003,$W53)))</f>
        <v/>
      </c>
      <c r="T53" s="56" t="str">
        <f aca="false">IF($W53="","",SUM(Q$4:Q53)-SUM(R$4:R53)-SUM(S$4:S53))</f>
        <v/>
      </c>
      <c r="U53" s="56" t="str">
        <f aca="false">IF($W53="","",INDEX(发票统计!U$4:U$1003,$W53)&amp;"")</f>
        <v/>
      </c>
      <c r="W53" s="1" t="str">
        <f aca="false">IF($V$3="","",IFERROR(MATCH($V$3&amp;"#"&amp;ROWS(W$4:W53),发票统计!$W$4:$W$1003,0),""))</f>
        <v/>
      </c>
    </row>
    <row r="54" customFormat="false" ht="16.5" hidden="false" customHeight="false" outlineLevel="0" collapsed="false">
      <c r="A54" s="3" t="str">
        <f aca="false">IF($W54="","",INDEX(发票统计!A$4:A$1003,$W54)&amp;"")</f>
        <v/>
      </c>
      <c r="B54" s="3" t="str">
        <f aca="false">IF($W54="","",INDEX(发票统计!B$4:B$1003,$W54)&amp;"")</f>
        <v/>
      </c>
      <c r="C54" s="3" t="str">
        <f aca="false">IF($W54="","",INDEX(发票统计!C$4:C$1003,$W54)&amp;"")</f>
        <v/>
      </c>
      <c r="D54" s="3" t="str">
        <f aca="false">IF($W54="","",INDEX(发票统计!D$4:D$1003,$W54)&amp;"")</f>
        <v/>
      </c>
      <c r="E54" s="67" t="str">
        <f aca="false">IF($W54="","",INDEX(发票统计!E$4:E$1003,$W54)&amp;"")</f>
        <v/>
      </c>
      <c r="F54" s="68" t="str">
        <f aca="false">IF($W54="","",INDEX(发票统计!F$4:F$1003,$W54)&amp;"")</f>
        <v/>
      </c>
      <c r="G54" s="68" t="str">
        <f aca="false">IF($W54="","",IF(INDEX(发票统计!G$4:G$1003,$W54)="","",INDEX(发票统计!G$4:G$1003,$W54)))</f>
        <v/>
      </c>
      <c r="H54" s="56" t="str">
        <f aca="false">IF($W54="","",N(INDEX(发票统计!H$4:H$1003,$W54)))</f>
        <v/>
      </c>
      <c r="I54" s="56" t="str">
        <f aca="false">IF($W54="","",N(INDEX(发票统计!I$4:I$1003,$W54)))</f>
        <v/>
      </c>
      <c r="J54" s="56" t="str">
        <f aca="false">IF($W54="","",N(INDEX(发票统计!J$4:J$1003,$W54)))</f>
        <v/>
      </c>
      <c r="K54" s="56" t="str">
        <f aca="false">IF($W54="","",N(INDEX(发票统计!K$4:K$1003,$W54)))</f>
        <v/>
      </c>
      <c r="L54" s="56" t="str">
        <f aca="false">IF($W54="","",SUM(J$4:J54)-SUM(K$4:K54))</f>
        <v/>
      </c>
      <c r="M54" s="56" t="str">
        <f aca="false">IF($W54="","",N(INDEX(发票统计!M$4:M$1003,$W54)))</f>
        <v/>
      </c>
      <c r="N54" s="56" t="str">
        <f aca="false">IF($W54="","",N(INDEX(发票统计!N$4:N$1003,$W54)))</f>
        <v/>
      </c>
      <c r="O54" s="56" t="str">
        <f aca="false">IF($W54="","",N(INDEX(发票统计!O$4:O$1003,$W54)))</f>
        <v/>
      </c>
      <c r="P54" s="56" t="str">
        <f aca="false">IF($W54="","",SUM(M$4:M54)-SUM(N$4:N54)-SUM(O$4:O54))</f>
        <v/>
      </c>
      <c r="Q54" s="56" t="str">
        <f aca="false">IF($W54="","",N(INDEX(发票统计!Q$4:Q$1003,$W54)))</f>
        <v/>
      </c>
      <c r="R54" s="56" t="str">
        <f aca="false">IF($W54="","",N(INDEX(发票统计!R$4:R$1003,$W54)))</f>
        <v/>
      </c>
      <c r="S54" s="56" t="str">
        <f aca="false">IF($W54="","",N(INDEX(发票统计!S$4:S$1003,$W54)))</f>
        <v/>
      </c>
      <c r="T54" s="56" t="str">
        <f aca="false">IF($W54="","",SUM(Q$4:Q54)-SUM(R$4:R54)-SUM(S$4:S54))</f>
        <v/>
      </c>
      <c r="U54" s="56" t="str">
        <f aca="false">IF($W54="","",INDEX(发票统计!U$4:U$1003,$W54)&amp;"")</f>
        <v/>
      </c>
      <c r="W54" s="1" t="str">
        <f aca="false">IF($V$3="","",IFERROR(MATCH($V$3&amp;"#"&amp;ROWS(W$4:W54),发票统计!$W$4:$W$1003,0),""))</f>
        <v/>
      </c>
    </row>
    <row r="55" customFormat="false" ht="16.5" hidden="false" customHeight="false" outlineLevel="0" collapsed="false">
      <c r="A55" s="3" t="str">
        <f aca="false">IF($W55="","",INDEX(发票统计!A$4:A$1003,$W55)&amp;"")</f>
        <v/>
      </c>
      <c r="B55" s="3" t="str">
        <f aca="false">IF($W55="","",INDEX(发票统计!B$4:B$1003,$W55)&amp;"")</f>
        <v/>
      </c>
      <c r="C55" s="3" t="str">
        <f aca="false">IF($W55="","",INDEX(发票统计!C$4:C$1003,$W55)&amp;"")</f>
        <v/>
      </c>
      <c r="D55" s="3" t="str">
        <f aca="false">IF($W55="","",INDEX(发票统计!D$4:D$1003,$W55)&amp;"")</f>
        <v/>
      </c>
      <c r="E55" s="67" t="str">
        <f aca="false">IF($W55="","",INDEX(发票统计!E$4:E$1003,$W55)&amp;"")</f>
        <v/>
      </c>
      <c r="F55" s="68" t="str">
        <f aca="false">IF($W55="","",INDEX(发票统计!F$4:F$1003,$W55)&amp;"")</f>
        <v/>
      </c>
      <c r="G55" s="68" t="str">
        <f aca="false">IF($W55="","",IF(INDEX(发票统计!G$4:G$1003,$W55)="","",INDEX(发票统计!G$4:G$1003,$W55)))</f>
        <v/>
      </c>
      <c r="H55" s="56" t="str">
        <f aca="false">IF($W55="","",N(INDEX(发票统计!H$4:H$1003,$W55)))</f>
        <v/>
      </c>
      <c r="I55" s="56" t="str">
        <f aca="false">IF($W55="","",N(INDEX(发票统计!I$4:I$1003,$W55)))</f>
        <v/>
      </c>
      <c r="J55" s="56" t="str">
        <f aca="false">IF($W55="","",N(INDEX(发票统计!J$4:J$1003,$W55)))</f>
        <v/>
      </c>
      <c r="K55" s="56" t="str">
        <f aca="false">IF($W55="","",N(INDEX(发票统计!K$4:K$1003,$W55)))</f>
        <v/>
      </c>
      <c r="L55" s="56" t="str">
        <f aca="false">IF($W55="","",SUM(J$4:J55)-SUM(K$4:K55))</f>
        <v/>
      </c>
      <c r="M55" s="56" t="str">
        <f aca="false">IF($W55="","",N(INDEX(发票统计!M$4:M$1003,$W55)))</f>
        <v/>
      </c>
      <c r="N55" s="56" t="str">
        <f aca="false">IF($W55="","",N(INDEX(发票统计!N$4:N$1003,$W55)))</f>
        <v/>
      </c>
      <c r="O55" s="56" t="str">
        <f aca="false">IF($W55="","",N(INDEX(发票统计!O$4:O$1003,$W55)))</f>
        <v/>
      </c>
      <c r="P55" s="56" t="str">
        <f aca="false">IF($W55="","",SUM(M$4:M55)-SUM(N$4:N55)-SUM(O$4:O55))</f>
        <v/>
      </c>
      <c r="Q55" s="56" t="str">
        <f aca="false">IF($W55="","",N(INDEX(发票统计!Q$4:Q$1003,$W55)))</f>
        <v/>
      </c>
      <c r="R55" s="56" t="str">
        <f aca="false">IF($W55="","",N(INDEX(发票统计!R$4:R$1003,$W55)))</f>
        <v/>
      </c>
      <c r="S55" s="56" t="str">
        <f aca="false">IF($W55="","",N(INDEX(发票统计!S$4:S$1003,$W55)))</f>
        <v/>
      </c>
      <c r="T55" s="56" t="str">
        <f aca="false">IF($W55="","",SUM(Q$4:Q55)-SUM(R$4:R55)-SUM(S$4:S55))</f>
        <v/>
      </c>
      <c r="U55" s="56" t="str">
        <f aca="false">IF($W55="","",INDEX(发票统计!U$4:U$1003,$W55)&amp;"")</f>
        <v/>
      </c>
      <c r="W55" s="1" t="str">
        <f aca="false">IF($V$3="","",IFERROR(MATCH($V$3&amp;"#"&amp;ROWS(W$4:W55),发票统计!$W$4:$W$1003,0),""))</f>
        <v/>
      </c>
    </row>
    <row r="56" customFormat="false" ht="16.5" hidden="false" customHeight="false" outlineLevel="0" collapsed="false">
      <c r="A56" s="3" t="str">
        <f aca="false">IF($W56="","",INDEX(发票统计!A$4:A$1003,$W56)&amp;"")</f>
        <v/>
      </c>
      <c r="B56" s="3" t="str">
        <f aca="false">IF($W56="","",INDEX(发票统计!B$4:B$1003,$W56)&amp;"")</f>
        <v/>
      </c>
      <c r="C56" s="3" t="str">
        <f aca="false">IF($W56="","",INDEX(发票统计!C$4:C$1003,$W56)&amp;"")</f>
        <v/>
      </c>
      <c r="D56" s="3" t="str">
        <f aca="false">IF($W56="","",INDEX(发票统计!D$4:D$1003,$W56)&amp;"")</f>
        <v/>
      </c>
      <c r="E56" s="67" t="str">
        <f aca="false">IF($W56="","",INDEX(发票统计!E$4:E$1003,$W56)&amp;"")</f>
        <v/>
      </c>
      <c r="F56" s="68" t="str">
        <f aca="false">IF($W56="","",INDEX(发票统计!F$4:F$1003,$W56)&amp;"")</f>
        <v/>
      </c>
      <c r="G56" s="68" t="str">
        <f aca="false">IF($W56="","",IF(INDEX(发票统计!G$4:G$1003,$W56)="","",INDEX(发票统计!G$4:G$1003,$W56)))</f>
        <v/>
      </c>
      <c r="H56" s="56" t="str">
        <f aca="false">IF($W56="","",N(INDEX(发票统计!H$4:H$1003,$W56)))</f>
        <v/>
      </c>
      <c r="I56" s="56" t="str">
        <f aca="false">IF($W56="","",N(INDEX(发票统计!I$4:I$1003,$W56)))</f>
        <v/>
      </c>
      <c r="J56" s="56" t="str">
        <f aca="false">IF($W56="","",N(INDEX(发票统计!J$4:J$1003,$W56)))</f>
        <v/>
      </c>
      <c r="K56" s="56" t="str">
        <f aca="false">IF($W56="","",N(INDEX(发票统计!K$4:K$1003,$W56)))</f>
        <v/>
      </c>
      <c r="L56" s="56" t="str">
        <f aca="false">IF($W56="","",SUM(J$4:J56)-SUM(K$4:K56))</f>
        <v/>
      </c>
      <c r="M56" s="56" t="str">
        <f aca="false">IF($W56="","",N(INDEX(发票统计!M$4:M$1003,$W56)))</f>
        <v/>
      </c>
      <c r="N56" s="56" t="str">
        <f aca="false">IF($W56="","",N(INDEX(发票统计!N$4:N$1003,$W56)))</f>
        <v/>
      </c>
      <c r="O56" s="56" t="str">
        <f aca="false">IF($W56="","",N(INDEX(发票统计!O$4:O$1003,$W56)))</f>
        <v/>
      </c>
      <c r="P56" s="56" t="str">
        <f aca="false">IF($W56="","",SUM(M$4:M56)-SUM(N$4:N56)-SUM(O$4:O56))</f>
        <v/>
      </c>
      <c r="Q56" s="56" t="str">
        <f aca="false">IF($W56="","",N(INDEX(发票统计!Q$4:Q$1003,$W56)))</f>
        <v/>
      </c>
      <c r="R56" s="56" t="str">
        <f aca="false">IF($W56="","",N(INDEX(发票统计!R$4:R$1003,$W56)))</f>
        <v/>
      </c>
      <c r="S56" s="56" t="str">
        <f aca="false">IF($W56="","",N(INDEX(发票统计!S$4:S$1003,$W56)))</f>
        <v/>
      </c>
      <c r="T56" s="56" t="str">
        <f aca="false">IF($W56="","",SUM(Q$4:Q56)-SUM(R$4:R56)-SUM(S$4:S56))</f>
        <v/>
      </c>
      <c r="U56" s="56" t="str">
        <f aca="false">IF($W56="","",INDEX(发票统计!U$4:U$1003,$W56)&amp;"")</f>
        <v/>
      </c>
      <c r="W56" s="1" t="str">
        <f aca="false">IF($V$3="","",IFERROR(MATCH($V$3&amp;"#"&amp;ROWS(W$4:W56),发票统计!$W$4:$W$1003,0),""))</f>
        <v/>
      </c>
    </row>
    <row r="57" customFormat="false" ht="16.5" hidden="false" customHeight="false" outlineLevel="0" collapsed="false">
      <c r="A57" s="3" t="str">
        <f aca="false">IF($W57="","",INDEX(发票统计!A$4:A$1003,$W57)&amp;"")</f>
        <v/>
      </c>
      <c r="B57" s="3" t="str">
        <f aca="false">IF($W57="","",INDEX(发票统计!B$4:B$1003,$W57)&amp;"")</f>
        <v/>
      </c>
      <c r="C57" s="3" t="str">
        <f aca="false">IF($W57="","",INDEX(发票统计!C$4:C$1003,$W57)&amp;"")</f>
        <v/>
      </c>
      <c r="D57" s="3" t="str">
        <f aca="false">IF($W57="","",INDEX(发票统计!D$4:D$1003,$W57)&amp;"")</f>
        <v/>
      </c>
      <c r="E57" s="67" t="str">
        <f aca="false">IF($W57="","",INDEX(发票统计!E$4:E$1003,$W57)&amp;"")</f>
        <v/>
      </c>
      <c r="F57" s="68" t="str">
        <f aca="false">IF($W57="","",INDEX(发票统计!F$4:F$1003,$W57)&amp;"")</f>
        <v/>
      </c>
      <c r="G57" s="68" t="str">
        <f aca="false">IF($W57="","",IF(INDEX(发票统计!G$4:G$1003,$W57)="","",INDEX(发票统计!G$4:G$1003,$W57)))</f>
        <v/>
      </c>
      <c r="H57" s="56" t="str">
        <f aca="false">IF($W57="","",N(INDEX(发票统计!H$4:H$1003,$W57)))</f>
        <v/>
      </c>
      <c r="I57" s="56" t="str">
        <f aca="false">IF($W57="","",N(INDEX(发票统计!I$4:I$1003,$W57)))</f>
        <v/>
      </c>
      <c r="J57" s="56" t="str">
        <f aca="false">IF($W57="","",N(INDEX(发票统计!J$4:J$1003,$W57)))</f>
        <v/>
      </c>
      <c r="K57" s="56" t="str">
        <f aca="false">IF($W57="","",N(INDEX(发票统计!K$4:K$1003,$W57)))</f>
        <v/>
      </c>
      <c r="L57" s="56" t="str">
        <f aca="false">IF($W57="","",SUM(J$4:J57)-SUM(K$4:K57))</f>
        <v/>
      </c>
      <c r="M57" s="56" t="str">
        <f aca="false">IF($W57="","",N(INDEX(发票统计!M$4:M$1003,$W57)))</f>
        <v/>
      </c>
      <c r="N57" s="56" t="str">
        <f aca="false">IF($W57="","",N(INDEX(发票统计!N$4:N$1003,$W57)))</f>
        <v/>
      </c>
      <c r="O57" s="56" t="str">
        <f aca="false">IF($W57="","",N(INDEX(发票统计!O$4:O$1003,$W57)))</f>
        <v/>
      </c>
      <c r="P57" s="56" t="str">
        <f aca="false">IF($W57="","",SUM(M$4:M57)-SUM(N$4:N57)-SUM(O$4:O57))</f>
        <v/>
      </c>
      <c r="Q57" s="56" t="str">
        <f aca="false">IF($W57="","",N(INDEX(发票统计!Q$4:Q$1003,$W57)))</f>
        <v/>
      </c>
      <c r="R57" s="56" t="str">
        <f aca="false">IF($W57="","",N(INDEX(发票统计!R$4:R$1003,$W57)))</f>
        <v/>
      </c>
      <c r="S57" s="56" t="str">
        <f aca="false">IF($W57="","",N(INDEX(发票统计!S$4:S$1003,$W57)))</f>
        <v/>
      </c>
      <c r="T57" s="56" t="str">
        <f aca="false">IF($W57="","",SUM(Q$4:Q57)-SUM(R$4:R57)-SUM(S$4:S57))</f>
        <v/>
      </c>
      <c r="U57" s="56" t="str">
        <f aca="false">IF($W57="","",INDEX(发票统计!U$4:U$1003,$W57)&amp;"")</f>
        <v/>
      </c>
      <c r="W57" s="1" t="str">
        <f aca="false">IF($V$3="","",IFERROR(MATCH($V$3&amp;"#"&amp;ROWS(W$4:W57),发票统计!$W$4:$W$1003,0),""))</f>
        <v/>
      </c>
    </row>
    <row r="58" customFormat="false" ht="16.5" hidden="false" customHeight="false" outlineLevel="0" collapsed="false">
      <c r="A58" s="3" t="str">
        <f aca="false">IF($W58="","",INDEX(发票统计!A$4:A$1003,$W58)&amp;"")</f>
        <v/>
      </c>
      <c r="B58" s="3" t="str">
        <f aca="false">IF($W58="","",INDEX(发票统计!B$4:B$1003,$W58)&amp;"")</f>
        <v/>
      </c>
      <c r="C58" s="3" t="str">
        <f aca="false">IF($W58="","",INDEX(发票统计!C$4:C$1003,$W58)&amp;"")</f>
        <v/>
      </c>
      <c r="D58" s="3" t="str">
        <f aca="false">IF($W58="","",INDEX(发票统计!D$4:D$1003,$W58)&amp;"")</f>
        <v/>
      </c>
      <c r="E58" s="67" t="str">
        <f aca="false">IF($W58="","",INDEX(发票统计!E$4:E$1003,$W58)&amp;"")</f>
        <v/>
      </c>
      <c r="F58" s="68" t="str">
        <f aca="false">IF($W58="","",INDEX(发票统计!F$4:F$1003,$W58)&amp;"")</f>
        <v/>
      </c>
      <c r="G58" s="68" t="str">
        <f aca="false">IF($W58="","",IF(INDEX(发票统计!G$4:G$1003,$W58)="","",INDEX(发票统计!G$4:G$1003,$W58)))</f>
        <v/>
      </c>
      <c r="H58" s="56" t="str">
        <f aca="false">IF($W58="","",N(INDEX(发票统计!H$4:H$1003,$W58)))</f>
        <v/>
      </c>
      <c r="I58" s="56" t="str">
        <f aca="false">IF($W58="","",N(INDEX(发票统计!I$4:I$1003,$W58)))</f>
        <v/>
      </c>
      <c r="J58" s="56" t="str">
        <f aca="false">IF($W58="","",N(INDEX(发票统计!J$4:J$1003,$W58)))</f>
        <v/>
      </c>
      <c r="K58" s="56" t="str">
        <f aca="false">IF($W58="","",N(INDEX(发票统计!K$4:K$1003,$W58)))</f>
        <v/>
      </c>
      <c r="L58" s="56" t="str">
        <f aca="false">IF($W58="","",SUM(J$4:J58)-SUM(K$4:K58))</f>
        <v/>
      </c>
      <c r="M58" s="56" t="str">
        <f aca="false">IF($W58="","",N(INDEX(发票统计!M$4:M$1003,$W58)))</f>
        <v/>
      </c>
      <c r="N58" s="56" t="str">
        <f aca="false">IF($W58="","",N(INDEX(发票统计!N$4:N$1003,$W58)))</f>
        <v/>
      </c>
      <c r="O58" s="56" t="str">
        <f aca="false">IF($W58="","",N(INDEX(发票统计!O$4:O$1003,$W58)))</f>
        <v/>
      </c>
      <c r="P58" s="56" t="str">
        <f aca="false">IF($W58="","",SUM(M$4:M58)-SUM(N$4:N58)-SUM(O$4:O58))</f>
        <v/>
      </c>
      <c r="Q58" s="56" t="str">
        <f aca="false">IF($W58="","",N(INDEX(发票统计!Q$4:Q$1003,$W58)))</f>
        <v/>
      </c>
      <c r="R58" s="56" t="str">
        <f aca="false">IF($W58="","",N(INDEX(发票统计!R$4:R$1003,$W58)))</f>
        <v/>
      </c>
      <c r="S58" s="56" t="str">
        <f aca="false">IF($W58="","",N(INDEX(发票统计!S$4:S$1003,$W58)))</f>
        <v/>
      </c>
      <c r="T58" s="56" t="str">
        <f aca="false">IF($W58="","",SUM(Q$4:Q58)-SUM(R$4:R58)-SUM(S$4:S58))</f>
        <v/>
      </c>
      <c r="U58" s="56" t="str">
        <f aca="false">IF($W58="","",INDEX(发票统计!U$4:U$1003,$W58)&amp;"")</f>
        <v/>
      </c>
      <c r="W58" s="1" t="str">
        <f aca="false">IF($V$3="","",IFERROR(MATCH($V$3&amp;"#"&amp;ROWS(W$4:W58),发票统计!$W$4:$W$1003,0),""))</f>
        <v/>
      </c>
    </row>
    <row r="59" customFormat="false" ht="16.5" hidden="false" customHeight="false" outlineLevel="0" collapsed="false">
      <c r="A59" s="3" t="str">
        <f aca="false">IF($W59="","",INDEX(发票统计!A$4:A$1003,$W59)&amp;"")</f>
        <v/>
      </c>
      <c r="B59" s="3" t="str">
        <f aca="false">IF($W59="","",INDEX(发票统计!B$4:B$1003,$W59)&amp;"")</f>
        <v/>
      </c>
      <c r="C59" s="3" t="str">
        <f aca="false">IF($W59="","",INDEX(发票统计!C$4:C$1003,$W59)&amp;"")</f>
        <v/>
      </c>
      <c r="D59" s="3" t="str">
        <f aca="false">IF($W59="","",INDEX(发票统计!D$4:D$1003,$W59)&amp;"")</f>
        <v/>
      </c>
      <c r="E59" s="67" t="str">
        <f aca="false">IF($W59="","",INDEX(发票统计!E$4:E$1003,$W59)&amp;"")</f>
        <v/>
      </c>
      <c r="F59" s="68" t="str">
        <f aca="false">IF($W59="","",INDEX(发票统计!F$4:F$1003,$W59)&amp;"")</f>
        <v/>
      </c>
      <c r="G59" s="68" t="str">
        <f aca="false">IF($W59="","",IF(INDEX(发票统计!G$4:G$1003,$W59)="","",INDEX(发票统计!G$4:G$1003,$W59)))</f>
        <v/>
      </c>
      <c r="H59" s="56" t="str">
        <f aca="false">IF($W59="","",N(INDEX(发票统计!H$4:H$1003,$W59)))</f>
        <v/>
      </c>
      <c r="I59" s="56" t="str">
        <f aca="false">IF($W59="","",N(INDEX(发票统计!I$4:I$1003,$W59)))</f>
        <v/>
      </c>
      <c r="J59" s="56" t="str">
        <f aca="false">IF($W59="","",N(INDEX(发票统计!J$4:J$1003,$W59)))</f>
        <v/>
      </c>
      <c r="K59" s="56" t="str">
        <f aca="false">IF($W59="","",N(INDEX(发票统计!K$4:K$1003,$W59)))</f>
        <v/>
      </c>
      <c r="L59" s="56" t="str">
        <f aca="false">IF($W59="","",SUM(J$4:J59)-SUM(K$4:K59))</f>
        <v/>
      </c>
      <c r="M59" s="56" t="str">
        <f aca="false">IF($W59="","",N(INDEX(发票统计!M$4:M$1003,$W59)))</f>
        <v/>
      </c>
      <c r="N59" s="56" t="str">
        <f aca="false">IF($W59="","",N(INDEX(发票统计!N$4:N$1003,$W59)))</f>
        <v/>
      </c>
      <c r="O59" s="56" t="str">
        <f aca="false">IF($W59="","",N(INDEX(发票统计!O$4:O$1003,$W59)))</f>
        <v/>
      </c>
      <c r="P59" s="56" t="str">
        <f aca="false">IF($W59="","",SUM(M$4:M59)-SUM(N$4:N59)-SUM(O$4:O59))</f>
        <v/>
      </c>
      <c r="Q59" s="56" t="str">
        <f aca="false">IF($W59="","",N(INDEX(发票统计!Q$4:Q$1003,$W59)))</f>
        <v/>
      </c>
      <c r="R59" s="56" t="str">
        <f aca="false">IF($W59="","",N(INDEX(发票统计!R$4:R$1003,$W59)))</f>
        <v/>
      </c>
      <c r="S59" s="56" t="str">
        <f aca="false">IF($W59="","",N(INDEX(发票统计!S$4:S$1003,$W59)))</f>
        <v/>
      </c>
      <c r="T59" s="56" t="str">
        <f aca="false">IF($W59="","",SUM(Q$4:Q59)-SUM(R$4:R59)-SUM(S$4:S59))</f>
        <v/>
      </c>
      <c r="U59" s="56" t="str">
        <f aca="false">IF($W59="","",INDEX(发票统计!U$4:U$1003,$W59)&amp;"")</f>
        <v/>
      </c>
      <c r="W59" s="1" t="str">
        <f aca="false">IF($V$3="","",IFERROR(MATCH($V$3&amp;"#"&amp;ROWS(W$4:W59),发票统计!$W$4:$W$1003,0),""))</f>
        <v/>
      </c>
    </row>
    <row r="60" customFormat="false" ht="16.5" hidden="false" customHeight="false" outlineLevel="0" collapsed="false">
      <c r="A60" s="3" t="str">
        <f aca="false">IF($W60="","",INDEX(发票统计!A$4:A$1003,$W60)&amp;"")</f>
        <v/>
      </c>
      <c r="B60" s="3" t="str">
        <f aca="false">IF($W60="","",INDEX(发票统计!B$4:B$1003,$W60)&amp;"")</f>
        <v/>
      </c>
      <c r="C60" s="3" t="str">
        <f aca="false">IF($W60="","",INDEX(发票统计!C$4:C$1003,$W60)&amp;"")</f>
        <v/>
      </c>
      <c r="D60" s="3" t="str">
        <f aca="false">IF($W60="","",INDEX(发票统计!D$4:D$1003,$W60)&amp;"")</f>
        <v/>
      </c>
      <c r="E60" s="67" t="str">
        <f aca="false">IF($W60="","",INDEX(发票统计!E$4:E$1003,$W60)&amp;"")</f>
        <v/>
      </c>
      <c r="F60" s="68" t="str">
        <f aca="false">IF($W60="","",INDEX(发票统计!F$4:F$1003,$W60)&amp;"")</f>
        <v/>
      </c>
      <c r="G60" s="68" t="str">
        <f aca="false">IF($W60="","",IF(INDEX(发票统计!G$4:G$1003,$W60)="","",INDEX(发票统计!G$4:G$1003,$W60)))</f>
        <v/>
      </c>
      <c r="H60" s="56" t="str">
        <f aca="false">IF($W60="","",N(INDEX(发票统计!H$4:H$1003,$W60)))</f>
        <v/>
      </c>
      <c r="I60" s="56" t="str">
        <f aca="false">IF($W60="","",N(INDEX(发票统计!I$4:I$1003,$W60)))</f>
        <v/>
      </c>
      <c r="J60" s="56" t="str">
        <f aca="false">IF($W60="","",N(INDEX(发票统计!J$4:J$1003,$W60)))</f>
        <v/>
      </c>
      <c r="K60" s="56" t="str">
        <f aca="false">IF($W60="","",N(INDEX(发票统计!K$4:K$1003,$W60)))</f>
        <v/>
      </c>
      <c r="L60" s="56" t="str">
        <f aca="false">IF($W60="","",SUM(J$4:J60)-SUM(K$4:K60))</f>
        <v/>
      </c>
      <c r="M60" s="56" t="str">
        <f aca="false">IF($W60="","",N(INDEX(发票统计!M$4:M$1003,$W60)))</f>
        <v/>
      </c>
      <c r="N60" s="56" t="str">
        <f aca="false">IF($W60="","",N(INDEX(发票统计!N$4:N$1003,$W60)))</f>
        <v/>
      </c>
      <c r="O60" s="56" t="str">
        <f aca="false">IF($W60="","",N(INDEX(发票统计!O$4:O$1003,$W60)))</f>
        <v/>
      </c>
      <c r="P60" s="56" t="str">
        <f aca="false">IF($W60="","",SUM(M$4:M60)-SUM(N$4:N60)-SUM(O$4:O60))</f>
        <v/>
      </c>
      <c r="Q60" s="56" t="str">
        <f aca="false">IF($W60="","",N(INDEX(发票统计!Q$4:Q$1003,$W60)))</f>
        <v/>
      </c>
      <c r="R60" s="56" t="str">
        <f aca="false">IF($W60="","",N(INDEX(发票统计!R$4:R$1003,$W60)))</f>
        <v/>
      </c>
      <c r="S60" s="56" t="str">
        <f aca="false">IF($W60="","",N(INDEX(发票统计!S$4:S$1003,$W60)))</f>
        <v/>
      </c>
      <c r="T60" s="56" t="str">
        <f aca="false">IF($W60="","",SUM(Q$4:Q60)-SUM(R$4:R60)-SUM(S$4:S60))</f>
        <v/>
      </c>
      <c r="U60" s="56" t="str">
        <f aca="false">IF($W60="","",INDEX(发票统计!U$4:U$1003,$W60)&amp;"")</f>
        <v/>
      </c>
      <c r="W60" s="1" t="str">
        <f aca="false">IF($V$3="","",IFERROR(MATCH($V$3&amp;"#"&amp;ROWS(W$4:W60),发票统计!$W$4:$W$1003,0),""))</f>
        <v/>
      </c>
    </row>
    <row r="61" customFormat="false" ht="16.5" hidden="false" customHeight="false" outlineLevel="0" collapsed="false">
      <c r="A61" s="3" t="str">
        <f aca="false">IF($W61="","",INDEX(发票统计!A$4:A$1003,$W61)&amp;"")</f>
        <v/>
      </c>
      <c r="B61" s="3" t="str">
        <f aca="false">IF($W61="","",INDEX(发票统计!B$4:B$1003,$W61)&amp;"")</f>
        <v/>
      </c>
      <c r="C61" s="3" t="str">
        <f aca="false">IF($W61="","",INDEX(发票统计!C$4:C$1003,$W61)&amp;"")</f>
        <v/>
      </c>
      <c r="D61" s="3" t="str">
        <f aca="false">IF($W61="","",INDEX(发票统计!D$4:D$1003,$W61)&amp;"")</f>
        <v/>
      </c>
      <c r="E61" s="67" t="str">
        <f aca="false">IF($W61="","",INDEX(发票统计!E$4:E$1003,$W61)&amp;"")</f>
        <v/>
      </c>
      <c r="F61" s="68" t="str">
        <f aca="false">IF($W61="","",INDEX(发票统计!F$4:F$1003,$W61)&amp;"")</f>
        <v/>
      </c>
      <c r="G61" s="68" t="str">
        <f aca="false">IF($W61="","",IF(INDEX(发票统计!G$4:G$1003,$W61)="","",INDEX(发票统计!G$4:G$1003,$W61)))</f>
        <v/>
      </c>
      <c r="H61" s="56" t="str">
        <f aca="false">IF($W61="","",N(INDEX(发票统计!H$4:H$1003,$W61)))</f>
        <v/>
      </c>
      <c r="I61" s="56" t="str">
        <f aca="false">IF($W61="","",N(INDEX(发票统计!I$4:I$1003,$W61)))</f>
        <v/>
      </c>
      <c r="J61" s="56" t="str">
        <f aca="false">IF($W61="","",N(INDEX(发票统计!J$4:J$1003,$W61)))</f>
        <v/>
      </c>
      <c r="K61" s="56" t="str">
        <f aca="false">IF($W61="","",N(INDEX(发票统计!K$4:K$1003,$W61)))</f>
        <v/>
      </c>
      <c r="L61" s="56" t="str">
        <f aca="false">IF($W61="","",SUM(J$4:J61)-SUM(K$4:K61))</f>
        <v/>
      </c>
      <c r="M61" s="56" t="str">
        <f aca="false">IF($W61="","",N(INDEX(发票统计!M$4:M$1003,$W61)))</f>
        <v/>
      </c>
      <c r="N61" s="56" t="str">
        <f aca="false">IF($W61="","",N(INDEX(发票统计!N$4:N$1003,$W61)))</f>
        <v/>
      </c>
      <c r="O61" s="56" t="str">
        <f aca="false">IF($W61="","",N(INDEX(发票统计!O$4:O$1003,$W61)))</f>
        <v/>
      </c>
      <c r="P61" s="56" t="str">
        <f aca="false">IF($W61="","",SUM(M$4:M61)-SUM(N$4:N61)-SUM(O$4:O61))</f>
        <v/>
      </c>
      <c r="Q61" s="56" t="str">
        <f aca="false">IF($W61="","",N(INDEX(发票统计!Q$4:Q$1003,$W61)))</f>
        <v/>
      </c>
      <c r="R61" s="56" t="str">
        <f aca="false">IF($W61="","",N(INDEX(发票统计!R$4:R$1003,$W61)))</f>
        <v/>
      </c>
      <c r="S61" s="56" t="str">
        <f aca="false">IF($W61="","",N(INDEX(发票统计!S$4:S$1003,$W61)))</f>
        <v/>
      </c>
      <c r="T61" s="56" t="str">
        <f aca="false">IF($W61="","",SUM(Q$4:Q61)-SUM(R$4:R61)-SUM(S$4:S61))</f>
        <v/>
      </c>
      <c r="U61" s="56" t="str">
        <f aca="false">IF($W61="","",INDEX(发票统计!U$4:U$1003,$W61)&amp;"")</f>
        <v/>
      </c>
      <c r="W61" s="1" t="str">
        <f aca="false">IF($V$3="","",IFERROR(MATCH($V$3&amp;"#"&amp;ROWS(W$4:W61),发票统计!$W$4:$W$1003,0),""))</f>
        <v/>
      </c>
    </row>
    <row r="62" customFormat="false" ht="16.5" hidden="false" customHeight="false" outlineLevel="0" collapsed="false">
      <c r="A62" s="3" t="str">
        <f aca="false">IF($W62="","",INDEX(发票统计!A$4:A$1003,$W62)&amp;"")</f>
        <v/>
      </c>
      <c r="B62" s="3" t="str">
        <f aca="false">IF($W62="","",INDEX(发票统计!B$4:B$1003,$W62)&amp;"")</f>
        <v/>
      </c>
      <c r="C62" s="3" t="str">
        <f aca="false">IF($W62="","",INDEX(发票统计!C$4:C$1003,$W62)&amp;"")</f>
        <v/>
      </c>
      <c r="D62" s="3" t="str">
        <f aca="false">IF($W62="","",INDEX(发票统计!D$4:D$1003,$W62)&amp;"")</f>
        <v/>
      </c>
      <c r="E62" s="67" t="str">
        <f aca="false">IF($W62="","",INDEX(发票统计!E$4:E$1003,$W62)&amp;"")</f>
        <v/>
      </c>
      <c r="F62" s="68" t="str">
        <f aca="false">IF($W62="","",INDEX(发票统计!F$4:F$1003,$W62)&amp;"")</f>
        <v/>
      </c>
      <c r="G62" s="68" t="str">
        <f aca="false">IF($W62="","",IF(INDEX(发票统计!G$4:G$1003,$W62)="","",INDEX(发票统计!G$4:G$1003,$W62)))</f>
        <v/>
      </c>
      <c r="H62" s="56" t="str">
        <f aca="false">IF($W62="","",N(INDEX(发票统计!H$4:H$1003,$W62)))</f>
        <v/>
      </c>
      <c r="I62" s="56" t="str">
        <f aca="false">IF($W62="","",N(INDEX(发票统计!I$4:I$1003,$W62)))</f>
        <v/>
      </c>
      <c r="J62" s="56" t="str">
        <f aca="false">IF($W62="","",N(INDEX(发票统计!J$4:J$1003,$W62)))</f>
        <v/>
      </c>
      <c r="K62" s="56" t="str">
        <f aca="false">IF($W62="","",N(INDEX(发票统计!K$4:K$1003,$W62)))</f>
        <v/>
      </c>
      <c r="L62" s="56" t="str">
        <f aca="false">IF($W62="","",SUM(J$4:J62)-SUM(K$4:K62))</f>
        <v/>
      </c>
      <c r="M62" s="56" t="str">
        <f aca="false">IF($W62="","",N(INDEX(发票统计!M$4:M$1003,$W62)))</f>
        <v/>
      </c>
      <c r="N62" s="56" t="str">
        <f aca="false">IF($W62="","",N(INDEX(发票统计!N$4:N$1003,$W62)))</f>
        <v/>
      </c>
      <c r="O62" s="56" t="str">
        <f aca="false">IF($W62="","",N(INDEX(发票统计!O$4:O$1003,$W62)))</f>
        <v/>
      </c>
      <c r="P62" s="56" t="str">
        <f aca="false">IF($W62="","",SUM(M$4:M62)-SUM(N$4:N62)-SUM(O$4:O62))</f>
        <v/>
      </c>
      <c r="Q62" s="56" t="str">
        <f aca="false">IF($W62="","",N(INDEX(发票统计!Q$4:Q$1003,$W62)))</f>
        <v/>
      </c>
      <c r="R62" s="56" t="str">
        <f aca="false">IF($W62="","",N(INDEX(发票统计!R$4:R$1003,$W62)))</f>
        <v/>
      </c>
      <c r="S62" s="56" t="str">
        <f aca="false">IF($W62="","",N(INDEX(发票统计!S$4:S$1003,$W62)))</f>
        <v/>
      </c>
      <c r="T62" s="56" t="str">
        <f aca="false">IF($W62="","",SUM(Q$4:Q62)-SUM(R$4:R62)-SUM(S$4:S62))</f>
        <v/>
      </c>
      <c r="U62" s="56" t="str">
        <f aca="false">IF($W62="","",INDEX(发票统计!U$4:U$1003,$W62)&amp;"")</f>
        <v/>
      </c>
      <c r="W62" s="1" t="str">
        <f aca="false">IF($V$3="","",IFERROR(MATCH($V$3&amp;"#"&amp;ROWS(W$4:W62),发票统计!$W$4:$W$1003,0),""))</f>
        <v/>
      </c>
    </row>
    <row r="63" customFormat="false" ht="16.5" hidden="false" customHeight="false" outlineLevel="0" collapsed="false">
      <c r="A63" s="3" t="str">
        <f aca="false">IF($W63="","",INDEX(发票统计!A$4:A$1003,$W63)&amp;"")</f>
        <v/>
      </c>
      <c r="B63" s="3" t="str">
        <f aca="false">IF($W63="","",INDEX(发票统计!B$4:B$1003,$W63)&amp;"")</f>
        <v/>
      </c>
      <c r="C63" s="3" t="str">
        <f aca="false">IF($W63="","",INDEX(发票统计!C$4:C$1003,$W63)&amp;"")</f>
        <v/>
      </c>
      <c r="D63" s="3" t="str">
        <f aca="false">IF($W63="","",INDEX(发票统计!D$4:D$1003,$W63)&amp;"")</f>
        <v/>
      </c>
      <c r="E63" s="67" t="str">
        <f aca="false">IF($W63="","",INDEX(发票统计!E$4:E$1003,$W63)&amp;"")</f>
        <v/>
      </c>
      <c r="F63" s="68" t="str">
        <f aca="false">IF($W63="","",INDEX(发票统计!F$4:F$1003,$W63)&amp;"")</f>
        <v/>
      </c>
      <c r="G63" s="68" t="str">
        <f aca="false">IF($W63="","",IF(INDEX(发票统计!G$4:G$1003,$W63)="","",INDEX(发票统计!G$4:G$1003,$W63)))</f>
        <v/>
      </c>
      <c r="H63" s="56" t="str">
        <f aca="false">IF($W63="","",N(INDEX(发票统计!H$4:H$1003,$W63)))</f>
        <v/>
      </c>
      <c r="I63" s="56" t="str">
        <f aca="false">IF($W63="","",N(INDEX(发票统计!I$4:I$1003,$W63)))</f>
        <v/>
      </c>
      <c r="J63" s="56" t="str">
        <f aca="false">IF($W63="","",N(INDEX(发票统计!J$4:J$1003,$W63)))</f>
        <v/>
      </c>
      <c r="K63" s="56" t="str">
        <f aca="false">IF($W63="","",N(INDEX(发票统计!K$4:K$1003,$W63)))</f>
        <v/>
      </c>
      <c r="L63" s="56" t="str">
        <f aca="false">IF($W63="","",SUM(J$4:J63)-SUM(K$4:K63))</f>
        <v/>
      </c>
      <c r="M63" s="56" t="str">
        <f aca="false">IF($W63="","",N(INDEX(发票统计!M$4:M$1003,$W63)))</f>
        <v/>
      </c>
      <c r="N63" s="56" t="str">
        <f aca="false">IF($W63="","",N(INDEX(发票统计!N$4:N$1003,$W63)))</f>
        <v/>
      </c>
      <c r="O63" s="56" t="str">
        <f aca="false">IF($W63="","",N(INDEX(发票统计!O$4:O$1003,$W63)))</f>
        <v/>
      </c>
      <c r="P63" s="56" t="str">
        <f aca="false">IF($W63="","",SUM(M$4:M63)-SUM(N$4:N63)-SUM(O$4:O63))</f>
        <v/>
      </c>
      <c r="Q63" s="56" t="str">
        <f aca="false">IF($W63="","",N(INDEX(发票统计!Q$4:Q$1003,$W63)))</f>
        <v/>
      </c>
      <c r="R63" s="56" t="str">
        <f aca="false">IF($W63="","",N(INDEX(发票统计!R$4:R$1003,$W63)))</f>
        <v/>
      </c>
      <c r="S63" s="56" t="str">
        <f aca="false">IF($W63="","",N(INDEX(发票统计!S$4:S$1003,$W63)))</f>
        <v/>
      </c>
      <c r="T63" s="56" t="str">
        <f aca="false">IF($W63="","",SUM(Q$4:Q63)-SUM(R$4:R63)-SUM(S$4:S63))</f>
        <v/>
      </c>
      <c r="U63" s="56" t="str">
        <f aca="false">IF($W63="","",INDEX(发票统计!U$4:U$1003,$W63)&amp;"")</f>
        <v/>
      </c>
      <c r="W63" s="1" t="str">
        <f aca="false">IF($V$3="","",IFERROR(MATCH($V$3&amp;"#"&amp;ROWS(W$4:W63),发票统计!$W$4:$W$1003,0),""))</f>
        <v/>
      </c>
    </row>
    <row r="64" customFormat="false" ht="16.5" hidden="false" customHeight="false" outlineLevel="0" collapsed="false">
      <c r="A64" s="3" t="str">
        <f aca="false">IF($W64="","",INDEX(发票统计!A$4:A$1003,$W64)&amp;"")</f>
        <v/>
      </c>
      <c r="B64" s="3" t="str">
        <f aca="false">IF($W64="","",INDEX(发票统计!B$4:B$1003,$W64)&amp;"")</f>
        <v/>
      </c>
      <c r="C64" s="3" t="str">
        <f aca="false">IF($W64="","",INDEX(发票统计!C$4:C$1003,$W64)&amp;"")</f>
        <v/>
      </c>
      <c r="D64" s="3" t="str">
        <f aca="false">IF($W64="","",INDEX(发票统计!D$4:D$1003,$W64)&amp;"")</f>
        <v/>
      </c>
      <c r="E64" s="67" t="str">
        <f aca="false">IF($W64="","",INDEX(发票统计!E$4:E$1003,$W64)&amp;"")</f>
        <v/>
      </c>
      <c r="F64" s="68" t="str">
        <f aca="false">IF($W64="","",INDEX(发票统计!F$4:F$1003,$W64)&amp;"")</f>
        <v/>
      </c>
      <c r="G64" s="68" t="str">
        <f aca="false">IF($W64="","",IF(INDEX(发票统计!G$4:G$1003,$W64)="","",INDEX(发票统计!G$4:G$1003,$W64)))</f>
        <v/>
      </c>
      <c r="H64" s="56" t="str">
        <f aca="false">IF($W64="","",N(INDEX(发票统计!H$4:H$1003,$W64)))</f>
        <v/>
      </c>
      <c r="I64" s="56" t="str">
        <f aca="false">IF($W64="","",N(INDEX(发票统计!I$4:I$1003,$W64)))</f>
        <v/>
      </c>
      <c r="J64" s="56" t="str">
        <f aca="false">IF($W64="","",N(INDEX(发票统计!J$4:J$1003,$W64)))</f>
        <v/>
      </c>
      <c r="K64" s="56" t="str">
        <f aca="false">IF($W64="","",N(INDEX(发票统计!K$4:K$1003,$W64)))</f>
        <v/>
      </c>
      <c r="L64" s="56" t="str">
        <f aca="false">IF($W64="","",SUM(J$4:J64)-SUM(K$4:K64))</f>
        <v/>
      </c>
      <c r="M64" s="56" t="str">
        <f aca="false">IF($W64="","",N(INDEX(发票统计!M$4:M$1003,$W64)))</f>
        <v/>
      </c>
      <c r="N64" s="56" t="str">
        <f aca="false">IF($W64="","",N(INDEX(发票统计!N$4:N$1003,$W64)))</f>
        <v/>
      </c>
      <c r="O64" s="56" t="str">
        <f aca="false">IF($W64="","",N(INDEX(发票统计!O$4:O$1003,$W64)))</f>
        <v/>
      </c>
      <c r="P64" s="56" t="str">
        <f aca="false">IF($W64="","",SUM(M$4:M64)-SUM(N$4:N64)-SUM(O$4:O64))</f>
        <v/>
      </c>
      <c r="Q64" s="56" t="str">
        <f aca="false">IF($W64="","",N(INDEX(发票统计!Q$4:Q$1003,$W64)))</f>
        <v/>
      </c>
      <c r="R64" s="56" t="str">
        <f aca="false">IF($W64="","",N(INDEX(发票统计!R$4:R$1003,$W64)))</f>
        <v/>
      </c>
      <c r="S64" s="56" t="str">
        <f aca="false">IF($W64="","",N(INDEX(发票统计!S$4:S$1003,$W64)))</f>
        <v/>
      </c>
      <c r="T64" s="56" t="str">
        <f aca="false">IF($W64="","",SUM(Q$4:Q64)-SUM(R$4:R64)-SUM(S$4:S64))</f>
        <v/>
      </c>
      <c r="U64" s="56" t="str">
        <f aca="false">IF($W64="","",INDEX(发票统计!U$4:U$1003,$W64)&amp;"")</f>
        <v/>
      </c>
      <c r="W64" s="1" t="str">
        <f aca="false">IF($V$3="","",IFERROR(MATCH($V$3&amp;"#"&amp;ROWS(W$4:W64),发票统计!$W$4:$W$1003,0),""))</f>
        <v/>
      </c>
    </row>
    <row r="65" customFormat="false" ht="16.5" hidden="false" customHeight="false" outlineLevel="0" collapsed="false">
      <c r="A65" s="3" t="str">
        <f aca="false">IF($W65="","",INDEX(发票统计!A$4:A$1003,$W65)&amp;"")</f>
        <v/>
      </c>
      <c r="B65" s="3" t="str">
        <f aca="false">IF($W65="","",INDEX(发票统计!B$4:B$1003,$W65)&amp;"")</f>
        <v/>
      </c>
      <c r="C65" s="3" t="str">
        <f aca="false">IF($W65="","",INDEX(发票统计!C$4:C$1003,$W65)&amp;"")</f>
        <v/>
      </c>
      <c r="D65" s="3" t="str">
        <f aca="false">IF($W65="","",INDEX(发票统计!D$4:D$1003,$W65)&amp;"")</f>
        <v/>
      </c>
      <c r="E65" s="67" t="str">
        <f aca="false">IF($W65="","",INDEX(发票统计!E$4:E$1003,$W65)&amp;"")</f>
        <v/>
      </c>
      <c r="F65" s="68" t="str">
        <f aca="false">IF($W65="","",INDEX(发票统计!F$4:F$1003,$W65)&amp;"")</f>
        <v/>
      </c>
      <c r="G65" s="68" t="str">
        <f aca="false">IF($W65="","",IF(INDEX(发票统计!G$4:G$1003,$W65)="","",INDEX(发票统计!G$4:G$1003,$W65)))</f>
        <v/>
      </c>
      <c r="H65" s="56" t="str">
        <f aca="false">IF($W65="","",N(INDEX(发票统计!H$4:H$1003,$W65)))</f>
        <v/>
      </c>
      <c r="I65" s="56" t="str">
        <f aca="false">IF($W65="","",N(INDEX(发票统计!I$4:I$1003,$W65)))</f>
        <v/>
      </c>
      <c r="J65" s="56" t="str">
        <f aca="false">IF($W65="","",N(INDEX(发票统计!J$4:J$1003,$W65)))</f>
        <v/>
      </c>
      <c r="K65" s="56" t="str">
        <f aca="false">IF($W65="","",N(INDEX(发票统计!K$4:K$1003,$W65)))</f>
        <v/>
      </c>
      <c r="L65" s="56" t="str">
        <f aca="false">IF($W65="","",SUM(J$4:J65)-SUM(K$4:K65))</f>
        <v/>
      </c>
      <c r="M65" s="56" t="str">
        <f aca="false">IF($W65="","",N(INDEX(发票统计!M$4:M$1003,$W65)))</f>
        <v/>
      </c>
      <c r="N65" s="56" t="str">
        <f aca="false">IF($W65="","",N(INDEX(发票统计!N$4:N$1003,$W65)))</f>
        <v/>
      </c>
      <c r="O65" s="56" t="str">
        <f aca="false">IF($W65="","",N(INDEX(发票统计!O$4:O$1003,$W65)))</f>
        <v/>
      </c>
      <c r="P65" s="56" t="str">
        <f aca="false">IF($W65="","",SUM(M$4:M65)-SUM(N$4:N65)-SUM(O$4:O65))</f>
        <v/>
      </c>
      <c r="Q65" s="56" t="str">
        <f aca="false">IF($W65="","",N(INDEX(发票统计!Q$4:Q$1003,$W65)))</f>
        <v/>
      </c>
      <c r="R65" s="56" t="str">
        <f aca="false">IF($W65="","",N(INDEX(发票统计!R$4:R$1003,$W65)))</f>
        <v/>
      </c>
      <c r="S65" s="56" t="str">
        <f aca="false">IF($W65="","",N(INDEX(发票统计!S$4:S$1003,$W65)))</f>
        <v/>
      </c>
      <c r="T65" s="56" t="str">
        <f aca="false">IF($W65="","",SUM(Q$4:Q65)-SUM(R$4:R65)-SUM(S$4:S65))</f>
        <v/>
      </c>
      <c r="U65" s="56" t="str">
        <f aca="false">IF($W65="","",INDEX(发票统计!U$4:U$1003,$W65)&amp;"")</f>
        <v/>
      </c>
      <c r="W65" s="1" t="str">
        <f aca="false">IF($V$3="","",IFERROR(MATCH($V$3&amp;"#"&amp;ROWS(W$4:W65),发票统计!$W$4:$W$1003,0),""))</f>
        <v/>
      </c>
    </row>
    <row r="66" customFormat="false" ht="16.5" hidden="false" customHeight="false" outlineLevel="0" collapsed="false">
      <c r="A66" s="3" t="str">
        <f aca="false">IF($W66="","",INDEX(发票统计!A$4:A$1003,$W66)&amp;"")</f>
        <v/>
      </c>
      <c r="B66" s="3" t="str">
        <f aca="false">IF($W66="","",INDEX(发票统计!B$4:B$1003,$W66)&amp;"")</f>
        <v/>
      </c>
      <c r="C66" s="3" t="str">
        <f aca="false">IF($W66="","",INDEX(发票统计!C$4:C$1003,$W66)&amp;"")</f>
        <v/>
      </c>
      <c r="D66" s="3" t="str">
        <f aca="false">IF($W66="","",INDEX(发票统计!D$4:D$1003,$W66)&amp;"")</f>
        <v/>
      </c>
      <c r="E66" s="67" t="str">
        <f aca="false">IF($W66="","",INDEX(发票统计!E$4:E$1003,$W66)&amp;"")</f>
        <v/>
      </c>
      <c r="F66" s="68" t="str">
        <f aca="false">IF($W66="","",INDEX(发票统计!F$4:F$1003,$W66)&amp;"")</f>
        <v/>
      </c>
      <c r="G66" s="68" t="str">
        <f aca="false">IF($W66="","",IF(INDEX(发票统计!G$4:G$1003,$W66)="","",INDEX(发票统计!G$4:G$1003,$W66)))</f>
        <v/>
      </c>
      <c r="H66" s="56" t="str">
        <f aca="false">IF($W66="","",N(INDEX(发票统计!H$4:H$1003,$W66)))</f>
        <v/>
      </c>
      <c r="I66" s="56" t="str">
        <f aca="false">IF($W66="","",N(INDEX(发票统计!I$4:I$1003,$W66)))</f>
        <v/>
      </c>
      <c r="J66" s="56" t="str">
        <f aca="false">IF($W66="","",N(INDEX(发票统计!J$4:J$1003,$W66)))</f>
        <v/>
      </c>
      <c r="K66" s="56" t="str">
        <f aca="false">IF($W66="","",N(INDEX(发票统计!K$4:K$1003,$W66)))</f>
        <v/>
      </c>
      <c r="L66" s="56" t="str">
        <f aca="false">IF($W66="","",SUM(J$4:J66)-SUM(K$4:K66))</f>
        <v/>
      </c>
      <c r="M66" s="56" t="str">
        <f aca="false">IF($W66="","",N(INDEX(发票统计!M$4:M$1003,$W66)))</f>
        <v/>
      </c>
      <c r="N66" s="56" t="str">
        <f aca="false">IF($W66="","",N(INDEX(发票统计!N$4:N$1003,$W66)))</f>
        <v/>
      </c>
      <c r="O66" s="56" t="str">
        <f aca="false">IF($W66="","",N(INDEX(发票统计!O$4:O$1003,$W66)))</f>
        <v/>
      </c>
      <c r="P66" s="56" t="str">
        <f aca="false">IF($W66="","",SUM(M$4:M66)-SUM(N$4:N66)-SUM(O$4:O66))</f>
        <v/>
      </c>
      <c r="Q66" s="56" t="str">
        <f aca="false">IF($W66="","",N(INDEX(发票统计!Q$4:Q$1003,$W66)))</f>
        <v/>
      </c>
      <c r="R66" s="56" t="str">
        <f aca="false">IF($W66="","",N(INDEX(发票统计!R$4:R$1003,$W66)))</f>
        <v/>
      </c>
      <c r="S66" s="56" t="str">
        <f aca="false">IF($W66="","",N(INDEX(发票统计!S$4:S$1003,$W66)))</f>
        <v/>
      </c>
      <c r="T66" s="56" t="str">
        <f aca="false">IF($W66="","",SUM(Q$4:Q66)-SUM(R$4:R66)-SUM(S$4:S66))</f>
        <v/>
      </c>
      <c r="U66" s="56" t="str">
        <f aca="false">IF($W66="","",INDEX(发票统计!U$4:U$1003,$W66)&amp;"")</f>
        <v/>
      </c>
      <c r="W66" s="1" t="str">
        <f aca="false">IF($V$3="","",IFERROR(MATCH($V$3&amp;"#"&amp;ROWS(W$4:W66),发票统计!$W$4:$W$1003,0),""))</f>
        <v/>
      </c>
    </row>
    <row r="67" customFormat="false" ht="16.5" hidden="false" customHeight="false" outlineLevel="0" collapsed="false">
      <c r="A67" s="3" t="str">
        <f aca="false">IF($W67="","",INDEX(发票统计!A$4:A$1003,$W67)&amp;"")</f>
        <v/>
      </c>
      <c r="B67" s="3" t="str">
        <f aca="false">IF($W67="","",INDEX(发票统计!B$4:B$1003,$W67)&amp;"")</f>
        <v/>
      </c>
      <c r="C67" s="3" t="str">
        <f aca="false">IF($W67="","",INDEX(发票统计!C$4:C$1003,$W67)&amp;"")</f>
        <v/>
      </c>
      <c r="D67" s="3" t="str">
        <f aca="false">IF($W67="","",INDEX(发票统计!D$4:D$1003,$W67)&amp;"")</f>
        <v/>
      </c>
      <c r="E67" s="67" t="str">
        <f aca="false">IF($W67="","",INDEX(发票统计!E$4:E$1003,$W67)&amp;"")</f>
        <v/>
      </c>
      <c r="F67" s="68" t="str">
        <f aca="false">IF($W67="","",INDEX(发票统计!F$4:F$1003,$W67)&amp;"")</f>
        <v/>
      </c>
      <c r="G67" s="68" t="str">
        <f aca="false">IF($W67="","",IF(INDEX(发票统计!G$4:G$1003,$W67)="","",INDEX(发票统计!G$4:G$1003,$W67)))</f>
        <v/>
      </c>
      <c r="H67" s="56" t="str">
        <f aca="false">IF($W67="","",N(INDEX(发票统计!H$4:H$1003,$W67)))</f>
        <v/>
      </c>
      <c r="I67" s="56" t="str">
        <f aca="false">IF($W67="","",N(INDEX(发票统计!I$4:I$1003,$W67)))</f>
        <v/>
      </c>
      <c r="J67" s="56" t="str">
        <f aca="false">IF($W67="","",N(INDEX(发票统计!J$4:J$1003,$W67)))</f>
        <v/>
      </c>
      <c r="K67" s="56" t="str">
        <f aca="false">IF($W67="","",N(INDEX(发票统计!K$4:K$1003,$W67)))</f>
        <v/>
      </c>
      <c r="L67" s="56" t="str">
        <f aca="false">IF($W67="","",SUM(J$4:J67)-SUM(K$4:K67))</f>
        <v/>
      </c>
      <c r="M67" s="56" t="str">
        <f aca="false">IF($W67="","",N(INDEX(发票统计!M$4:M$1003,$W67)))</f>
        <v/>
      </c>
      <c r="N67" s="56" t="str">
        <f aca="false">IF($W67="","",N(INDEX(发票统计!N$4:N$1003,$W67)))</f>
        <v/>
      </c>
      <c r="O67" s="56" t="str">
        <f aca="false">IF($W67="","",N(INDEX(发票统计!O$4:O$1003,$W67)))</f>
        <v/>
      </c>
      <c r="P67" s="56" t="str">
        <f aca="false">IF($W67="","",SUM(M$4:M67)-SUM(N$4:N67)-SUM(O$4:O67))</f>
        <v/>
      </c>
      <c r="Q67" s="56" t="str">
        <f aca="false">IF($W67="","",N(INDEX(发票统计!Q$4:Q$1003,$W67)))</f>
        <v/>
      </c>
      <c r="R67" s="56" t="str">
        <f aca="false">IF($W67="","",N(INDEX(发票统计!R$4:R$1003,$W67)))</f>
        <v/>
      </c>
      <c r="S67" s="56" t="str">
        <f aca="false">IF($W67="","",N(INDEX(发票统计!S$4:S$1003,$W67)))</f>
        <v/>
      </c>
      <c r="T67" s="56" t="str">
        <f aca="false">IF($W67="","",SUM(Q$4:Q67)-SUM(R$4:R67)-SUM(S$4:S67))</f>
        <v/>
      </c>
      <c r="U67" s="56" t="str">
        <f aca="false">IF($W67="","",INDEX(发票统计!U$4:U$1003,$W67)&amp;"")</f>
        <v/>
      </c>
      <c r="W67" s="1" t="str">
        <f aca="false">IF($V$3="","",IFERROR(MATCH($V$3&amp;"#"&amp;ROWS(W$4:W67),发票统计!$W$4:$W$1003,0),""))</f>
        <v/>
      </c>
    </row>
    <row r="68" customFormat="false" ht="16.5" hidden="false" customHeight="false" outlineLevel="0" collapsed="false">
      <c r="A68" s="3" t="str">
        <f aca="false">IF($W68="","",INDEX(发票统计!A$4:A$1003,$W68)&amp;"")</f>
        <v/>
      </c>
      <c r="B68" s="3" t="str">
        <f aca="false">IF($W68="","",INDEX(发票统计!B$4:B$1003,$W68)&amp;"")</f>
        <v/>
      </c>
      <c r="C68" s="3" t="str">
        <f aca="false">IF($W68="","",INDEX(发票统计!C$4:C$1003,$W68)&amp;"")</f>
        <v/>
      </c>
      <c r="D68" s="3" t="str">
        <f aca="false">IF($W68="","",INDEX(发票统计!D$4:D$1003,$W68)&amp;"")</f>
        <v/>
      </c>
      <c r="E68" s="67" t="str">
        <f aca="false">IF($W68="","",INDEX(发票统计!E$4:E$1003,$W68)&amp;"")</f>
        <v/>
      </c>
      <c r="F68" s="68" t="str">
        <f aca="false">IF($W68="","",INDEX(发票统计!F$4:F$1003,$W68)&amp;"")</f>
        <v/>
      </c>
      <c r="G68" s="68" t="str">
        <f aca="false">IF($W68="","",IF(INDEX(发票统计!G$4:G$1003,$W68)="","",INDEX(发票统计!G$4:G$1003,$W68)))</f>
        <v/>
      </c>
      <c r="H68" s="56" t="str">
        <f aca="false">IF($W68="","",N(INDEX(发票统计!H$4:H$1003,$W68)))</f>
        <v/>
      </c>
      <c r="I68" s="56" t="str">
        <f aca="false">IF($W68="","",N(INDEX(发票统计!I$4:I$1003,$W68)))</f>
        <v/>
      </c>
      <c r="J68" s="56" t="str">
        <f aca="false">IF($W68="","",N(INDEX(发票统计!J$4:J$1003,$W68)))</f>
        <v/>
      </c>
      <c r="K68" s="56" t="str">
        <f aca="false">IF($W68="","",N(INDEX(发票统计!K$4:K$1003,$W68)))</f>
        <v/>
      </c>
      <c r="L68" s="56" t="str">
        <f aca="false">IF($W68="","",SUM(J$4:J68)-SUM(K$4:K68))</f>
        <v/>
      </c>
      <c r="M68" s="56" t="str">
        <f aca="false">IF($W68="","",N(INDEX(发票统计!M$4:M$1003,$W68)))</f>
        <v/>
      </c>
      <c r="N68" s="56" t="str">
        <f aca="false">IF($W68="","",N(INDEX(发票统计!N$4:N$1003,$W68)))</f>
        <v/>
      </c>
      <c r="O68" s="56" t="str">
        <f aca="false">IF($W68="","",N(INDEX(发票统计!O$4:O$1003,$W68)))</f>
        <v/>
      </c>
      <c r="P68" s="56" t="str">
        <f aca="false">IF($W68="","",SUM(M$4:M68)-SUM(N$4:N68)-SUM(O$4:O68))</f>
        <v/>
      </c>
      <c r="Q68" s="56" t="str">
        <f aca="false">IF($W68="","",N(INDEX(发票统计!Q$4:Q$1003,$W68)))</f>
        <v/>
      </c>
      <c r="R68" s="56" t="str">
        <f aca="false">IF($W68="","",N(INDEX(发票统计!R$4:R$1003,$W68)))</f>
        <v/>
      </c>
      <c r="S68" s="56" t="str">
        <f aca="false">IF($W68="","",N(INDEX(发票统计!S$4:S$1003,$W68)))</f>
        <v/>
      </c>
      <c r="T68" s="56" t="str">
        <f aca="false">IF($W68="","",SUM(Q$4:Q68)-SUM(R$4:R68)-SUM(S$4:S68))</f>
        <v/>
      </c>
      <c r="U68" s="56" t="str">
        <f aca="false">IF($W68="","",INDEX(发票统计!U$4:U$1003,$W68)&amp;"")</f>
        <v/>
      </c>
      <c r="W68" s="1" t="str">
        <f aca="false">IF($V$3="","",IFERROR(MATCH($V$3&amp;"#"&amp;ROWS(W$4:W68),发票统计!$W$4:$W$1003,0),""))</f>
        <v/>
      </c>
    </row>
    <row r="69" customFormat="false" ht="16.5" hidden="false" customHeight="false" outlineLevel="0" collapsed="false">
      <c r="A69" s="3" t="str">
        <f aca="false">IF($W69="","",INDEX(发票统计!A$4:A$1003,$W69)&amp;"")</f>
        <v/>
      </c>
      <c r="B69" s="3" t="str">
        <f aca="false">IF($W69="","",INDEX(发票统计!B$4:B$1003,$W69)&amp;"")</f>
        <v/>
      </c>
      <c r="C69" s="3" t="str">
        <f aca="false">IF($W69="","",INDEX(发票统计!C$4:C$1003,$W69)&amp;"")</f>
        <v/>
      </c>
      <c r="D69" s="3" t="str">
        <f aca="false">IF($W69="","",INDEX(发票统计!D$4:D$1003,$W69)&amp;"")</f>
        <v/>
      </c>
      <c r="E69" s="67" t="str">
        <f aca="false">IF($W69="","",INDEX(发票统计!E$4:E$1003,$W69)&amp;"")</f>
        <v/>
      </c>
      <c r="F69" s="68" t="str">
        <f aca="false">IF($W69="","",INDEX(发票统计!F$4:F$1003,$W69)&amp;"")</f>
        <v/>
      </c>
      <c r="G69" s="68" t="str">
        <f aca="false">IF($W69="","",IF(INDEX(发票统计!G$4:G$1003,$W69)="","",INDEX(发票统计!G$4:G$1003,$W69)))</f>
        <v/>
      </c>
      <c r="H69" s="56" t="str">
        <f aca="false">IF($W69="","",N(INDEX(发票统计!H$4:H$1003,$W69)))</f>
        <v/>
      </c>
      <c r="I69" s="56" t="str">
        <f aca="false">IF($W69="","",N(INDEX(发票统计!I$4:I$1003,$W69)))</f>
        <v/>
      </c>
      <c r="J69" s="56" t="str">
        <f aca="false">IF($W69="","",N(INDEX(发票统计!J$4:J$1003,$W69)))</f>
        <v/>
      </c>
      <c r="K69" s="56" t="str">
        <f aca="false">IF($W69="","",N(INDEX(发票统计!K$4:K$1003,$W69)))</f>
        <v/>
      </c>
      <c r="L69" s="56" t="str">
        <f aca="false">IF($W69="","",SUM(J$4:J69)-SUM(K$4:K69))</f>
        <v/>
      </c>
      <c r="M69" s="56" t="str">
        <f aca="false">IF($W69="","",N(INDEX(发票统计!M$4:M$1003,$W69)))</f>
        <v/>
      </c>
      <c r="N69" s="56" t="str">
        <f aca="false">IF($W69="","",N(INDEX(发票统计!N$4:N$1003,$W69)))</f>
        <v/>
      </c>
      <c r="O69" s="56" t="str">
        <f aca="false">IF($W69="","",N(INDEX(发票统计!O$4:O$1003,$W69)))</f>
        <v/>
      </c>
      <c r="P69" s="56" t="str">
        <f aca="false">IF($W69="","",SUM(M$4:M69)-SUM(N$4:N69)-SUM(O$4:O69))</f>
        <v/>
      </c>
      <c r="Q69" s="56" t="str">
        <f aca="false">IF($W69="","",N(INDEX(发票统计!Q$4:Q$1003,$W69)))</f>
        <v/>
      </c>
      <c r="R69" s="56" t="str">
        <f aca="false">IF($W69="","",N(INDEX(发票统计!R$4:R$1003,$W69)))</f>
        <v/>
      </c>
      <c r="S69" s="56" t="str">
        <f aca="false">IF($W69="","",N(INDEX(发票统计!S$4:S$1003,$W69)))</f>
        <v/>
      </c>
      <c r="T69" s="56" t="str">
        <f aca="false">IF($W69="","",SUM(Q$4:Q69)-SUM(R$4:R69)-SUM(S$4:S69))</f>
        <v/>
      </c>
      <c r="U69" s="56" t="str">
        <f aca="false">IF($W69="","",INDEX(发票统计!U$4:U$1003,$W69)&amp;"")</f>
        <v/>
      </c>
      <c r="W69" s="1" t="str">
        <f aca="false">IF($V$3="","",IFERROR(MATCH($V$3&amp;"#"&amp;ROWS(W$4:W69),发票统计!$W$4:$W$1003,0),""))</f>
        <v/>
      </c>
    </row>
    <row r="70" customFormat="false" ht="16.5" hidden="false" customHeight="false" outlineLevel="0" collapsed="false">
      <c r="A70" s="3" t="str">
        <f aca="false">IF($W70="","",INDEX(发票统计!A$4:A$1003,$W70)&amp;"")</f>
        <v/>
      </c>
      <c r="B70" s="3" t="str">
        <f aca="false">IF($W70="","",INDEX(发票统计!B$4:B$1003,$W70)&amp;"")</f>
        <v/>
      </c>
      <c r="C70" s="3" t="str">
        <f aca="false">IF($W70="","",INDEX(发票统计!C$4:C$1003,$W70)&amp;"")</f>
        <v/>
      </c>
      <c r="D70" s="3" t="str">
        <f aca="false">IF($W70="","",INDEX(发票统计!D$4:D$1003,$W70)&amp;"")</f>
        <v/>
      </c>
      <c r="E70" s="67" t="str">
        <f aca="false">IF($W70="","",INDEX(发票统计!E$4:E$1003,$W70)&amp;"")</f>
        <v/>
      </c>
      <c r="F70" s="68" t="str">
        <f aca="false">IF($W70="","",INDEX(发票统计!F$4:F$1003,$W70)&amp;"")</f>
        <v/>
      </c>
      <c r="G70" s="68" t="str">
        <f aca="false">IF($W70="","",IF(INDEX(发票统计!G$4:G$1003,$W70)="","",INDEX(发票统计!G$4:G$1003,$W70)))</f>
        <v/>
      </c>
      <c r="H70" s="56" t="str">
        <f aca="false">IF($W70="","",N(INDEX(发票统计!H$4:H$1003,$W70)))</f>
        <v/>
      </c>
      <c r="I70" s="56" t="str">
        <f aca="false">IF($W70="","",N(INDEX(发票统计!I$4:I$1003,$W70)))</f>
        <v/>
      </c>
      <c r="J70" s="56" t="str">
        <f aca="false">IF($W70="","",N(INDEX(发票统计!J$4:J$1003,$W70)))</f>
        <v/>
      </c>
      <c r="K70" s="56" t="str">
        <f aca="false">IF($W70="","",N(INDEX(发票统计!K$4:K$1003,$W70)))</f>
        <v/>
      </c>
      <c r="L70" s="56" t="str">
        <f aca="false">IF($W70="","",SUM(J$4:J70)-SUM(K$4:K70))</f>
        <v/>
      </c>
      <c r="M70" s="56" t="str">
        <f aca="false">IF($W70="","",N(INDEX(发票统计!M$4:M$1003,$W70)))</f>
        <v/>
      </c>
      <c r="N70" s="56" t="str">
        <f aca="false">IF($W70="","",N(INDEX(发票统计!N$4:N$1003,$W70)))</f>
        <v/>
      </c>
      <c r="O70" s="56" t="str">
        <f aca="false">IF($W70="","",N(INDEX(发票统计!O$4:O$1003,$W70)))</f>
        <v/>
      </c>
      <c r="P70" s="56" t="str">
        <f aca="false">IF($W70="","",SUM(M$4:M70)-SUM(N$4:N70)-SUM(O$4:O70))</f>
        <v/>
      </c>
      <c r="Q70" s="56" t="str">
        <f aca="false">IF($W70="","",N(INDEX(发票统计!Q$4:Q$1003,$W70)))</f>
        <v/>
      </c>
      <c r="R70" s="56" t="str">
        <f aca="false">IF($W70="","",N(INDEX(发票统计!R$4:R$1003,$W70)))</f>
        <v/>
      </c>
      <c r="S70" s="56" t="str">
        <f aca="false">IF($W70="","",N(INDEX(发票统计!S$4:S$1003,$W70)))</f>
        <v/>
      </c>
      <c r="T70" s="56" t="str">
        <f aca="false">IF($W70="","",SUM(Q$4:Q70)-SUM(R$4:R70)-SUM(S$4:S70))</f>
        <v/>
      </c>
      <c r="U70" s="56" t="str">
        <f aca="false">IF($W70="","",INDEX(发票统计!U$4:U$1003,$W70)&amp;"")</f>
        <v/>
      </c>
      <c r="W70" s="1" t="str">
        <f aca="false">IF($V$3="","",IFERROR(MATCH($V$3&amp;"#"&amp;ROWS(W$4:W70),发票统计!$W$4:$W$1003,0),""))</f>
        <v/>
      </c>
    </row>
    <row r="71" customFormat="false" ht="16.5" hidden="false" customHeight="false" outlineLevel="0" collapsed="false">
      <c r="A71" s="3" t="str">
        <f aca="false">IF($W71="","",INDEX(发票统计!A$4:A$1003,$W71)&amp;"")</f>
        <v/>
      </c>
      <c r="B71" s="3" t="str">
        <f aca="false">IF($W71="","",INDEX(发票统计!B$4:B$1003,$W71)&amp;"")</f>
        <v/>
      </c>
      <c r="C71" s="3" t="str">
        <f aca="false">IF($W71="","",INDEX(发票统计!C$4:C$1003,$W71)&amp;"")</f>
        <v/>
      </c>
      <c r="D71" s="3" t="str">
        <f aca="false">IF($W71="","",INDEX(发票统计!D$4:D$1003,$W71)&amp;"")</f>
        <v/>
      </c>
      <c r="E71" s="67" t="str">
        <f aca="false">IF($W71="","",INDEX(发票统计!E$4:E$1003,$W71)&amp;"")</f>
        <v/>
      </c>
      <c r="F71" s="68" t="str">
        <f aca="false">IF($W71="","",INDEX(发票统计!F$4:F$1003,$W71)&amp;"")</f>
        <v/>
      </c>
      <c r="G71" s="68" t="str">
        <f aca="false">IF($W71="","",IF(INDEX(发票统计!G$4:G$1003,$W71)="","",INDEX(发票统计!G$4:G$1003,$W71)))</f>
        <v/>
      </c>
      <c r="H71" s="56" t="str">
        <f aca="false">IF($W71="","",N(INDEX(发票统计!H$4:H$1003,$W71)))</f>
        <v/>
      </c>
      <c r="I71" s="56" t="str">
        <f aca="false">IF($W71="","",N(INDEX(发票统计!I$4:I$1003,$W71)))</f>
        <v/>
      </c>
      <c r="J71" s="56" t="str">
        <f aca="false">IF($W71="","",N(INDEX(发票统计!J$4:J$1003,$W71)))</f>
        <v/>
      </c>
      <c r="K71" s="56" t="str">
        <f aca="false">IF($W71="","",N(INDEX(发票统计!K$4:K$1003,$W71)))</f>
        <v/>
      </c>
      <c r="L71" s="56" t="str">
        <f aca="false">IF($W71="","",SUM(J$4:J71)-SUM(K$4:K71))</f>
        <v/>
      </c>
      <c r="M71" s="56" t="str">
        <f aca="false">IF($W71="","",N(INDEX(发票统计!M$4:M$1003,$W71)))</f>
        <v/>
      </c>
      <c r="N71" s="56" t="str">
        <f aca="false">IF($W71="","",N(INDEX(发票统计!N$4:N$1003,$W71)))</f>
        <v/>
      </c>
      <c r="O71" s="56" t="str">
        <f aca="false">IF($W71="","",N(INDEX(发票统计!O$4:O$1003,$W71)))</f>
        <v/>
      </c>
      <c r="P71" s="56" t="str">
        <f aca="false">IF($W71="","",SUM(M$4:M71)-SUM(N$4:N71)-SUM(O$4:O71))</f>
        <v/>
      </c>
      <c r="Q71" s="56" t="str">
        <f aca="false">IF($W71="","",N(INDEX(发票统计!Q$4:Q$1003,$W71)))</f>
        <v/>
      </c>
      <c r="R71" s="56" t="str">
        <f aca="false">IF($W71="","",N(INDEX(发票统计!R$4:R$1003,$W71)))</f>
        <v/>
      </c>
      <c r="S71" s="56" t="str">
        <f aca="false">IF($W71="","",N(INDEX(发票统计!S$4:S$1003,$W71)))</f>
        <v/>
      </c>
      <c r="T71" s="56" t="str">
        <f aca="false">IF($W71="","",SUM(Q$4:Q71)-SUM(R$4:R71)-SUM(S$4:S71))</f>
        <v/>
      </c>
      <c r="U71" s="56" t="str">
        <f aca="false">IF($W71="","",INDEX(发票统计!U$4:U$1003,$W71)&amp;"")</f>
        <v/>
      </c>
      <c r="W71" s="1" t="str">
        <f aca="false">IF($V$3="","",IFERROR(MATCH($V$3&amp;"#"&amp;ROWS(W$4:W71),发票统计!$W$4:$W$1003,0),""))</f>
        <v/>
      </c>
    </row>
    <row r="72" customFormat="false" ht="16.5" hidden="false" customHeight="false" outlineLevel="0" collapsed="false">
      <c r="A72" s="3" t="str">
        <f aca="false">IF($W72="","",INDEX(发票统计!A$4:A$1003,$W72)&amp;"")</f>
        <v/>
      </c>
      <c r="B72" s="3" t="str">
        <f aca="false">IF($W72="","",INDEX(发票统计!B$4:B$1003,$W72)&amp;"")</f>
        <v/>
      </c>
      <c r="C72" s="3" t="str">
        <f aca="false">IF($W72="","",INDEX(发票统计!C$4:C$1003,$W72)&amp;"")</f>
        <v/>
      </c>
      <c r="D72" s="3" t="str">
        <f aca="false">IF($W72="","",INDEX(发票统计!D$4:D$1003,$W72)&amp;"")</f>
        <v/>
      </c>
      <c r="E72" s="67" t="str">
        <f aca="false">IF($W72="","",INDEX(发票统计!E$4:E$1003,$W72)&amp;"")</f>
        <v/>
      </c>
      <c r="F72" s="68" t="str">
        <f aca="false">IF($W72="","",INDEX(发票统计!F$4:F$1003,$W72)&amp;"")</f>
        <v/>
      </c>
      <c r="G72" s="68" t="str">
        <f aca="false">IF($W72="","",IF(INDEX(发票统计!G$4:G$1003,$W72)="","",INDEX(发票统计!G$4:G$1003,$W72)))</f>
        <v/>
      </c>
      <c r="H72" s="56" t="str">
        <f aca="false">IF($W72="","",N(INDEX(发票统计!H$4:H$1003,$W72)))</f>
        <v/>
      </c>
      <c r="I72" s="56" t="str">
        <f aca="false">IF($W72="","",N(INDEX(发票统计!I$4:I$1003,$W72)))</f>
        <v/>
      </c>
      <c r="J72" s="56" t="str">
        <f aca="false">IF($W72="","",N(INDEX(发票统计!J$4:J$1003,$W72)))</f>
        <v/>
      </c>
      <c r="K72" s="56" t="str">
        <f aca="false">IF($W72="","",N(INDEX(发票统计!K$4:K$1003,$W72)))</f>
        <v/>
      </c>
      <c r="L72" s="56" t="str">
        <f aca="false">IF($W72="","",SUM(J$4:J72)-SUM(K$4:K72))</f>
        <v/>
      </c>
      <c r="M72" s="56" t="str">
        <f aca="false">IF($W72="","",N(INDEX(发票统计!M$4:M$1003,$W72)))</f>
        <v/>
      </c>
      <c r="N72" s="56" t="str">
        <f aca="false">IF($W72="","",N(INDEX(发票统计!N$4:N$1003,$W72)))</f>
        <v/>
      </c>
      <c r="O72" s="56" t="str">
        <f aca="false">IF($W72="","",N(INDEX(发票统计!O$4:O$1003,$W72)))</f>
        <v/>
      </c>
      <c r="P72" s="56" t="str">
        <f aca="false">IF($W72="","",SUM(M$4:M72)-SUM(N$4:N72)-SUM(O$4:O72))</f>
        <v/>
      </c>
      <c r="Q72" s="56" t="str">
        <f aca="false">IF($W72="","",N(INDEX(发票统计!Q$4:Q$1003,$W72)))</f>
        <v/>
      </c>
      <c r="R72" s="56" t="str">
        <f aca="false">IF($W72="","",N(INDEX(发票统计!R$4:R$1003,$W72)))</f>
        <v/>
      </c>
      <c r="S72" s="56" t="str">
        <f aca="false">IF($W72="","",N(INDEX(发票统计!S$4:S$1003,$W72)))</f>
        <v/>
      </c>
      <c r="T72" s="56" t="str">
        <f aca="false">IF($W72="","",SUM(Q$4:Q72)-SUM(R$4:R72)-SUM(S$4:S72))</f>
        <v/>
      </c>
      <c r="U72" s="56" t="str">
        <f aca="false">IF($W72="","",INDEX(发票统计!U$4:U$1003,$W72)&amp;"")</f>
        <v/>
      </c>
      <c r="W72" s="1" t="str">
        <f aca="false">IF($V$3="","",IFERROR(MATCH($V$3&amp;"#"&amp;ROWS(W$4:W72),发票统计!$W$4:$W$1003,0),""))</f>
        <v/>
      </c>
    </row>
    <row r="73" customFormat="false" ht="16.5" hidden="false" customHeight="false" outlineLevel="0" collapsed="false">
      <c r="A73" s="3" t="str">
        <f aca="false">IF($W73="","",INDEX(发票统计!A$4:A$1003,$W73)&amp;"")</f>
        <v/>
      </c>
      <c r="B73" s="3" t="str">
        <f aca="false">IF($W73="","",INDEX(发票统计!B$4:B$1003,$W73)&amp;"")</f>
        <v/>
      </c>
      <c r="C73" s="3" t="str">
        <f aca="false">IF($W73="","",INDEX(发票统计!C$4:C$1003,$W73)&amp;"")</f>
        <v/>
      </c>
      <c r="D73" s="3" t="str">
        <f aca="false">IF($W73="","",INDEX(发票统计!D$4:D$1003,$W73)&amp;"")</f>
        <v/>
      </c>
      <c r="E73" s="67" t="str">
        <f aca="false">IF($W73="","",INDEX(发票统计!E$4:E$1003,$W73)&amp;"")</f>
        <v/>
      </c>
      <c r="F73" s="68" t="str">
        <f aca="false">IF($W73="","",INDEX(发票统计!F$4:F$1003,$W73)&amp;"")</f>
        <v/>
      </c>
      <c r="G73" s="68" t="str">
        <f aca="false">IF($W73="","",IF(INDEX(发票统计!G$4:G$1003,$W73)="","",INDEX(发票统计!G$4:G$1003,$W73)))</f>
        <v/>
      </c>
      <c r="H73" s="56" t="str">
        <f aca="false">IF($W73="","",N(INDEX(发票统计!H$4:H$1003,$W73)))</f>
        <v/>
      </c>
      <c r="I73" s="56" t="str">
        <f aca="false">IF($W73="","",N(INDEX(发票统计!I$4:I$1003,$W73)))</f>
        <v/>
      </c>
      <c r="J73" s="56" t="str">
        <f aca="false">IF($W73="","",N(INDEX(发票统计!J$4:J$1003,$W73)))</f>
        <v/>
      </c>
      <c r="K73" s="56" t="str">
        <f aca="false">IF($W73="","",N(INDEX(发票统计!K$4:K$1003,$W73)))</f>
        <v/>
      </c>
      <c r="L73" s="56" t="str">
        <f aca="false">IF($W73="","",SUM(J$4:J73)-SUM(K$4:K73))</f>
        <v/>
      </c>
      <c r="M73" s="56" t="str">
        <f aca="false">IF($W73="","",N(INDEX(发票统计!M$4:M$1003,$W73)))</f>
        <v/>
      </c>
      <c r="N73" s="56" t="str">
        <f aca="false">IF($W73="","",N(INDEX(发票统计!N$4:N$1003,$W73)))</f>
        <v/>
      </c>
      <c r="O73" s="56" t="str">
        <f aca="false">IF($W73="","",N(INDEX(发票统计!O$4:O$1003,$W73)))</f>
        <v/>
      </c>
      <c r="P73" s="56" t="str">
        <f aca="false">IF($W73="","",SUM(M$4:M73)-SUM(N$4:N73)-SUM(O$4:O73))</f>
        <v/>
      </c>
      <c r="Q73" s="56" t="str">
        <f aca="false">IF($W73="","",N(INDEX(发票统计!Q$4:Q$1003,$W73)))</f>
        <v/>
      </c>
      <c r="R73" s="56" t="str">
        <f aca="false">IF($W73="","",N(INDEX(发票统计!R$4:R$1003,$W73)))</f>
        <v/>
      </c>
      <c r="S73" s="56" t="str">
        <f aca="false">IF($W73="","",N(INDEX(发票统计!S$4:S$1003,$W73)))</f>
        <v/>
      </c>
      <c r="T73" s="56" t="str">
        <f aca="false">IF($W73="","",SUM(Q$4:Q73)-SUM(R$4:R73)-SUM(S$4:S73))</f>
        <v/>
      </c>
      <c r="U73" s="56" t="str">
        <f aca="false">IF($W73="","",INDEX(发票统计!U$4:U$1003,$W73)&amp;"")</f>
        <v/>
      </c>
      <c r="W73" s="1" t="str">
        <f aca="false">IF($V$3="","",IFERROR(MATCH($V$3&amp;"#"&amp;ROWS(W$4:W73),发票统计!$W$4:$W$1003,0),""))</f>
        <v/>
      </c>
    </row>
    <row r="74" customFormat="false" ht="16.5" hidden="false" customHeight="false" outlineLevel="0" collapsed="false">
      <c r="A74" s="3" t="str">
        <f aca="false">IF($W74="","",INDEX(发票统计!A$4:A$1003,$W74)&amp;"")</f>
        <v/>
      </c>
      <c r="B74" s="3" t="str">
        <f aca="false">IF($W74="","",INDEX(发票统计!B$4:B$1003,$W74)&amp;"")</f>
        <v/>
      </c>
      <c r="C74" s="3" t="str">
        <f aca="false">IF($W74="","",INDEX(发票统计!C$4:C$1003,$W74)&amp;"")</f>
        <v/>
      </c>
      <c r="D74" s="3" t="str">
        <f aca="false">IF($W74="","",INDEX(发票统计!D$4:D$1003,$W74)&amp;"")</f>
        <v/>
      </c>
      <c r="E74" s="67" t="str">
        <f aca="false">IF($W74="","",INDEX(发票统计!E$4:E$1003,$W74)&amp;"")</f>
        <v/>
      </c>
      <c r="F74" s="68" t="str">
        <f aca="false">IF($W74="","",INDEX(发票统计!F$4:F$1003,$W74)&amp;"")</f>
        <v/>
      </c>
      <c r="G74" s="68" t="str">
        <f aca="false">IF($W74="","",IF(INDEX(发票统计!G$4:G$1003,$W74)="","",INDEX(发票统计!G$4:G$1003,$W74)))</f>
        <v/>
      </c>
      <c r="H74" s="56" t="str">
        <f aca="false">IF($W74="","",N(INDEX(发票统计!H$4:H$1003,$W74)))</f>
        <v/>
      </c>
      <c r="I74" s="56" t="str">
        <f aca="false">IF($W74="","",N(INDEX(发票统计!I$4:I$1003,$W74)))</f>
        <v/>
      </c>
      <c r="J74" s="56" t="str">
        <f aca="false">IF($W74="","",N(INDEX(发票统计!J$4:J$1003,$W74)))</f>
        <v/>
      </c>
      <c r="K74" s="56" t="str">
        <f aca="false">IF($W74="","",N(INDEX(发票统计!K$4:K$1003,$W74)))</f>
        <v/>
      </c>
      <c r="L74" s="56" t="str">
        <f aca="false">IF($W74="","",SUM(J$4:J74)-SUM(K$4:K74))</f>
        <v/>
      </c>
      <c r="M74" s="56" t="str">
        <f aca="false">IF($W74="","",N(INDEX(发票统计!M$4:M$1003,$W74)))</f>
        <v/>
      </c>
      <c r="N74" s="56" t="str">
        <f aca="false">IF($W74="","",N(INDEX(发票统计!N$4:N$1003,$W74)))</f>
        <v/>
      </c>
      <c r="O74" s="56" t="str">
        <f aca="false">IF($W74="","",N(INDEX(发票统计!O$4:O$1003,$W74)))</f>
        <v/>
      </c>
      <c r="P74" s="56" t="str">
        <f aca="false">IF($W74="","",SUM(M$4:M74)-SUM(N$4:N74)-SUM(O$4:O74))</f>
        <v/>
      </c>
      <c r="Q74" s="56" t="str">
        <f aca="false">IF($W74="","",N(INDEX(发票统计!Q$4:Q$1003,$W74)))</f>
        <v/>
      </c>
      <c r="R74" s="56" t="str">
        <f aca="false">IF($W74="","",N(INDEX(发票统计!R$4:R$1003,$W74)))</f>
        <v/>
      </c>
      <c r="S74" s="56" t="str">
        <f aca="false">IF($W74="","",N(INDEX(发票统计!S$4:S$1003,$W74)))</f>
        <v/>
      </c>
      <c r="T74" s="56" t="str">
        <f aca="false">IF($W74="","",SUM(Q$4:Q74)-SUM(R$4:R74)-SUM(S$4:S74))</f>
        <v/>
      </c>
      <c r="U74" s="56" t="str">
        <f aca="false">IF($W74="","",INDEX(发票统计!U$4:U$1003,$W74)&amp;"")</f>
        <v/>
      </c>
      <c r="W74" s="1" t="str">
        <f aca="false">IF($V$3="","",IFERROR(MATCH($V$3&amp;"#"&amp;ROWS(W$4:W74),发票统计!$W$4:$W$1003,0),""))</f>
        <v/>
      </c>
    </row>
    <row r="75" customFormat="false" ht="16.5" hidden="false" customHeight="false" outlineLevel="0" collapsed="false">
      <c r="A75" s="3" t="str">
        <f aca="false">IF($W75="","",INDEX(发票统计!A$4:A$1003,$W75)&amp;"")</f>
        <v/>
      </c>
      <c r="B75" s="3" t="str">
        <f aca="false">IF($W75="","",INDEX(发票统计!B$4:B$1003,$W75)&amp;"")</f>
        <v/>
      </c>
      <c r="C75" s="3" t="str">
        <f aca="false">IF($W75="","",INDEX(发票统计!C$4:C$1003,$W75)&amp;"")</f>
        <v/>
      </c>
      <c r="D75" s="3" t="str">
        <f aca="false">IF($W75="","",INDEX(发票统计!D$4:D$1003,$W75)&amp;"")</f>
        <v/>
      </c>
      <c r="E75" s="67" t="str">
        <f aca="false">IF($W75="","",INDEX(发票统计!E$4:E$1003,$W75)&amp;"")</f>
        <v/>
      </c>
      <c r="F75" s="68" t="str">
        <f aca="false">IF($W75="","",INDEX(发票统计!F$4:F$1003,$W75)&amp;"")</f>
        <v/>
      </c>
      <c r="G75" s="68" t="str">
        <f aca="false">IF($W75="","",IF(INDEX(发票统计!G$4:G$1003,$W75)="","",INDEX(发票统计!G$4:G$1003,$W75)))</f>
        <v/>
      </c>
      <c r="H75" s="56" t="str">
        <f aca="false">IF($W75="","",N(INDEX(发票统计!H$4:H$1003,$W75)))</f>
        <v/>
      </c>
      <c r="I75" s="56" t="str">
        <f aca="false">IF($W75="","",N(INDEX(发票统计!I$4:I$1003,$W75)))</f>
        <v/>
      </c>
      <c r="J75" s="56" t="str">
        <f aca="false">IF($W75="","",N(INDEX(发票统计!J$4:J$1003,$W75)))</f>
        <v/>
      </c>
      <c r="K75" s="56" t="str">
        <f aca="false">IF($W75="","",N(INDEX(发票统计!K$4:K$1003,$W75)))</f>
        <v/>
      </c>
      <c r="L75" s="56" t="str">
        <f aca="false">IF($W75="","",SUM(J$4:J75)-SUM(K$4:K75))</f>
        <v/>
      </c>
      <c r="M75" s="56" t="str">
        <f aca="false">IF($W75="","",N(INDEX(发票统计!M$4:M$1003,$W75)))</f>
        <v/>
      </c>
      <c r="N75" s="56" t="str">
        <f aca="false">IF($W75="","",N(INDEX(发票统计!N$4:N$1003,$W75)))</f>
        <v/>
      </c>
      <c r="O75" s="56" t="str">
        <f aca="false">IF($W75="","",N(INDEX(发票统计!O$4:O$1003,$W75)))</f>
        <v/>
      </c>
      <c r="P75" s="56" t="str">
        <f aca="false">IF($W75="","",SUM(M$4:M75)-SUM(N$4:N75)-SUM(O$4:O75))</f>
        <v/>
      </c>
      <c r="Q75" s="56" t="str">
        <f aca="false">IF($W75="","",N(INDEX(发票统计!Q$4:Q$1003,$W75)))</f>
        <v/>
      </c>
      <c r="R75" s="56" t="str">
        <f aca="false">IF($W75="","",N(INDEX(发票统计!R$4:R$1003,$W75)))</f>
        <v/>
      </c>
      <c r="S75" s="56" t="str">
        <f aca="false">IF($W75="","",N(INDEX(发票统计!S$4:S$1003,$W75)))</f>
        <v/>
      </c>
      <c r="T75" s="56" t="str">
        <f aca="false">IF($W75="","",SUM(Q$4:Q75)-SUM(R$4:R75)-SUM(S$4:S75))</f>
        <v/>
      </c>
      <c r="U75" s="56" t="str">
        <f aca="false">IF($W75="","",INDEX(发票统计!U$4:U$1003,$W75)&amp;"")</f>
        <v/>
      </c>
      <c r="W75" s="1" t="str">
        <f aca="false">IF($V$3="","",IFERROR(MATCH($V$3&amp;"#"&amp;ROWS(W$4:W75),发票统计!$W$4:$W$1003,0),""))</f>
        <v/>
      </c>
    </row>
    <row r="76" customFormat="false" ht="16.5" hidden="false" customHeight="false" outlineLevel="0" collapsed="false">
      <c r="A76" s="3" t="str">
        <f aca="false">IF($W76="","",INDEX(发票统计!A$4:A$1003,$W76)&amp;"")</f>
        <v/>
      </c>
      <c r="B76" s="3" t="str">
        <f aca="false">IF($W76="","",INDEX(发票统计!B$4:B$1003,$W76)&amp;"")</f>
        <v/>
      </c>
      <c r="C76" s="3" t="str">
        <f aca="false">IF($W76="","",INDEX(发票统计!C$4:C$1003,$W76)&amp;"")</f>
        <v/>
      </c>
      <c r="D76" s="3" t="str">
        <f aca="false">IF($W76="","",INDEX(发票统计!D$4:D$1003,$W76)&amp;"")</f>
        <v/>
      </c>
      <c r="E76" s="67" t="str">
        <f aca="false">IF($W76="","",INDEX(发票统计!E$4:E$1003,$W76)&amp;"")</f>
        <v/>
      </c>
      <c r="F76" s="68" t="str">
        <f aca="false">IF($W76="","",INDEX(发票统计!F$4:F$1003,$W76)&amp;"")</f>
        <v/>
      </c>
      <c r="G76" s="68" t="str">
        <f aca="false">IF($W76="","",IF(INDEX(发票统计!G$4:G$1003,$W76)="","",INDEX(发票统计!G$4:G$1003,$W76)))</f>
        <v/>
      </c>
      <c r="H76" s="56" t="str">
        <f aca="false">IF($W76="","",N(INDEX(发票统计!H$4:H$1003,$W76)))</f>
        <v/>
      </c>
      <c r="I76" s="56" t="str">
        <f aca="false">IF($W76="","",N(INDEX(发票统计!I$4:I$1003,$W76)))</f>
        <v/>
      </c>
      <c r="J76" s="56" t="str">
        <f aca="false">IF($W76="","",N(INDEX(发票统计!J$4:J$1003,$W76)))</f>
        <v/>
      </c>
      <c r="K76" s="56" t="str">
        <f aca="false">IF($W76="","",N(INDEX(发票统计!K$4:K$1003,$W76)))</f>
        <v/>
      </c>
      <c r="L76" s="56" t="str">
        <f aca="false">IF($W76="","",SUM(J$4:J76)-SUM(K$4:K76))</f>
        <v/>
      </c>
      <c r="M76" s="56" t="str">
        <f aca="false">IF($W76="","",N(INDEX(发票统计!M$4:M$1003,$W76)))</f>
        <v/>
      </c>
      <c r="N76" s="56" t="str">
        <f aca="false">IF($W76="","",N(INDEX(发票统计!N$4:N$1003,$W76)))</f>
        <v/>
      </c>
      <c r="O76" s="56" t="str">
        <f aca="false">IF($W76="","",N(INDEX(发票统计!O$4:O$1003,$W76)))</f>
        <v/>
      </c>
      <c r="P76" s="56" t="str">
        <f aca="false">IF($W76="","",SUM(M$4:M76)-SUM(N$4:N76)-SUM(O$4:O76))</f>
        <v/>
      </c>
      <c r="Q76" s="56" t="str">
        <f aca="false">IF($W76="","",N(INDEX(发票统计!Q$4:Q$1003,$W76)))</f>
        <v/>
      </c>
      <c r="R76" s="56" t="str">
        <f aca="false">IF($W76="","",N(INDEX(发票统计!R$4:R$1003,$W76)))</f>
        <v/>
      </c>
      <c r="S76" s="56" t="str">
        <f aca="false">IF($W76="","",N(INDEX(发票统计!S$4:S$1003,$W76)))</f>
        <v/>
      </c>
      <c r="T76" s="56" t="str">
        <f aca="false">IF($W76="","",SUM(Q$4:Q76)-SUM(R$4:R76)-SUM(S$4:S76))</f>
        <v/>
      </c>
      <c r="U76" s="56" t="str">
        <f aca="false">IF($W76="","",INDEX(发票统计!U$4:U$1003,$W76)&amp;"")</f>
        <v/>
      </c>
      <c r="W76" s="1" t="str">
        <f aca="false">IF($V$3="","",IFERROR(MATCH($V$3&amp;"#"&amp;ROWS(W$4:W76),发票统计!$W$4:$W$1003,0),""))</f>
        <v/>
      </c>
    </row>
    <row r="77" customFormat="false" ht="16.5" hidden="false" customHeight="false" outlineLevel="0" collapsed="false">
      <c r="A77" s="3" t="str">
        <f aca="false">IF($W77="","",INDEX(发票统计!A$4:A$1003,$W77)&amp;"")</f>
        <v/>
      </c>
      <c r="B77" s="3" t="str">
        <f aca="false">IF($W77="","",INDEX(发票统计!B$4:B$1003,$W77)&amp;"")</f>
        <v/>
      </c>
      <c r="C77" s="3" t="str">
        <f aca="false">IF($W77="","",INDEX(发票统计!C$4:C$1003,$W77)&amp;"")</f>
        <v/>
      </c>
      <c r="D77" s="3" t="str">
        <f aca="false">IF($W77="","",INDEX(发票统计!D$4:D$1003,$W77)&amp;"")</f>
        <v/>
      </c>
      <c r="E77" s="67" t="str">
        <f aca="false">IF($W77="","",INDEX(发票统计!E$4:E$1003,$W77)&amp;"")</f>
        <v/>
      </c>
      <c r="F77" s="68" t="str">
        <f aca="false">IF($W77="","",INDEX(发票统计!F$4:F$1003,$W77)&amp;"")</f>
        <v/>
      </c>
      <c r="G77" s="68" t="str">
        <f aca="false">IF($W77="","",IF(INDEX(发票统计!G$4:G$1003,$W77)="","",INDEX(发票统计!G$4:G$1003,$W77)))</f>
        <v/>
      </c>
      <c r="H77" s="56" t="str">
        <f aca="false">IF($W77="","",N(INDEX(发票统计!H$4:H$1003,$W77)))</f>
        <v/>
      </c>
      <c r="I77" s="56" t="str">
        <f aca="false">IF($W77="","",N(INDEX(发票统计!I$4:I$1003,$W77)))</f>
        <v/>
      </c>
      <c r="J77" s="56" t="str">
        <f aca="false">IF($W77="","",N(INDEX(发票统计!J$4:J$1003,$W77)))</f>
        <v/>
      </c>
      <c r="K77" s="56" t="str">
        <f aca="false">IF($W77="","",N(INDEX(发票统计!K$4:K$1003,$W77)))</f>
        <v/>
      </c>
      <c r="L77" s="56" t="str">
        <f aca="false">IF($W77="","",SUM(J$4:J77)-SUM(K$4:K77))</f>
        <v/>
      </c>
      <c r="M77" s="56" t="str">
        <f aca="false">IF($W77="","",N(INDEX(发票统计!M$4:M$1003,$W77)))</f>
        <v/>
      </c>
      <c r="N77" s="56" t="str">
        <f aca="false">IF($W77="","",N(INDEX(发票统计!N$4:N$1003,$W77)))</f>
        <v/>
      </c>
      <c r="O77" s="56" t="str">
        <f aca="false">IF($W77="","",N(INDEX(发票统计!O$4:O$1003,$W77)))</f>
        <v/>
      </c>
      <c r="P77" s="56" t="str">
        <f aca="false">IF($W77="","",SUM(M$4:M77)-SUM(N$4:N77)-SUM(O$4:O77))</f>
        <v/>
      </c>
      <c r="Q77" s="56" t="str">
        <f aca="false">IF($W77="","",N(INDEX(发票统计!Q$4:Q$1003,$W77)))</f>
        <v/>
      </c>
      <c r="R77" s="56" t="str">
        <f aca="false">IF($W77="","",N(INDEX(发票统计!R$4:R$1003,$W77)))</f>
        <v/>
      </c>
      <c r="S77" s="56" t="str">
        <f aca="false">IF($W77="","",N(INDEX(发票统计!S$4:S$1003,$W77)))</f>
        <v/>
      </c>
      <c r="T77" s="56" t="str">
        <f aca="false">IF($W77="","",SUM(Q$4:Q77)-SUM(R$4:R77)-SUM(S$4:S77))</f>
        <v/>
      </c>
      <c r="U77" s="56" t="str">
        <f aca="false">IF($W77="","",INDEX(发票统计!U$4:U$1003,$W77)&amp;"")</f>
        <v/>
      </c>
      <c r="W77" s="1" t="str">
        <f aca="false">IF($V$3="","",IFERROR(MATCH($V$3&amp;"#"&amp;ROWS(W$4:W77),发票统计!$W$4:$W$1003,0),""))</f>
        <v/>
      </c>
    </row>
    <row r="78" customFormat="false" ht="16.5" hidden="false" customHeight="false" outlineLevel="0" collapsed="false">
      <c r="A78" s="3" t="str">
        <f aca="false">IF($W78="","",INDEX(发票统计!A$4:A$1003,$W78)&amp;"")</f>
        <v/>
      </c>
      <c r="B78" s="3" t="str">
        <f aca="false">IF($W78="","",INDEX(发票统计!B$4:B$1003,$W78)&amp;"")</f>
        <v/>
      </c>
      <c r="C78" s="3" t="str">
        <f aca="false">IF($W78="","",INDEX(发票统计!C$4:C$1003,$W78)&amp;"")</f>
        <v/>
      </c>
      <c r="D78" s="3" t="str">
        <f aca="false">IF($W78="","",INDEX(发票统计!D$4:D$1003,$W78)&amp;"")</f>
        <v/>
      </c>
      <c r="E78" s="67" t="str">
        <f aca="false">IF($W78="","",INDEX(发票统计!E$4:E$1003,$W78)&amp;"")</f>
        <v/>
      </c>
      <c r="F78" s="68" t="str">
        <f aca="false">IF($W78="","",INDEX(发票统计!F$4:F$1003,$W78)&amp;"")</f>
        <v/>
      </c>
      <c r="G78" s="68" t="str">
        <f aca="false">IF($W78="","",IF(INDEX(发票统计!G$4:G$1003,$W78)="","",INDEX(发票统计!G$4:G$1003,$W78)))</f>
        <v/>
      </c>
      <c r="H78" s="56" t="str">
        <f aca="false">IF($W78="","",N(INDEX(发票统计!H$4:H$1003,$W78)))</f>
        <v/>
      </c>
      <c r="I78" s="56" t="str">
        <f aca="false">IF($W78="","",N(INDEX(发票统计!I$4:I$1003,$W78)))</f>
        <v/>
      </c>
      <c r="J78" s="56" t="str">
        <f aca="false">IF($W78="","",N(INDEX(发票统计!J$4:J$1003,$W78)))</f>
        <v/>
      </c>
      <c r="K78" s="56" t="str">
        <f aca="false">IF($W78="","",N(INDEX(发票统计!K$4:K$1003,$W78)))</f>
        <v/>
      </c>
      <c r="L78" s="56" t="str">
        <f aca="false">IF($W78="","",SUM(J$4:J78)-SUM(K$4:K78))</f>
        <v/>
      </c>
      <c r="M78" s="56" t="str">
        <f aca="false">IF($W78="","",N(INDEX(发票统计!M$4:M$1003,$W78)))</f>
        <v/>
      </c>
      <c r="N78" s="56" t="str">
        <f aca="false">IF($W78="","",N(INDEX(发票统计!N$4:N$1003,$W78)))</f>
        <v/>
      </c>
      <c r="O78" s="56" t="str">
        <f aca="false">IF($W78="","",N(INDEX(发票统计!O$4:O$1003,$W78)))</f>
        <v/>
      </c>
      <c r="P78" s="56" t="str">
        <f aca="false">IF($W78="","",SUM(M$4:M78)-SUM(N$4:N78)-SUM(O$4:O78))</f>
        <v/>
      </c>
      <c r="Q78" s="56" t="str">
        <f aca="false">IF($W78="","",N(INDEX(发票统计!Q$4:Q$1003,$W78)))</f>
        <v/>
      </c>
      <c r="R78" s="56" t="str">
        <f aca="false">IF($W78="","",N(INDEX(发票统计!R$4:R$1003,$W78)))</f>
        <v/>
      </c>
      <c r="S78" s="56" t="str">
        <f aca="false">IF($W78="","",N(INDEX(发票统计!S$4:S$1003,$W78)))</f>
        <v/>
      </c>
      <c r="T78" s="56" t="str">
        <f aca="false">IF($W78="","",SUM(Q$4:Q78)-SUM(R$4:R78)-SUM(S$4:S78))</f>
        <v/>
      </c>
      <c r="U78" s="56" t="str">
        <f aca="false">IF($W78="","",INDEX(发票统计!U$4:U$1003,$W78)&amp;"")</f>
        <v/>
      </c>
      <c r="W78" s="1" t="str">
        <f aca="false">IF($V$3="","",IFERROR(MATCH($V$3&amp;"#"&amp;ROWS(W$4:W78),发票统计!$W$4:$W$1003,0),""))</f>
        <v/>
      </c>
    </row>
    <row r="79" customFormat="false" ht="16.5" hidden="false" customHeight="false" outlineLevel="0" collapsed="false">
      <c r="A79" s="3" t="str">
        <f aca="false">IF($W79="","",INDEX(发票统计!A$4:A$1003,$W79)&amp;"")</f>
        <v/>
      </c>
      <c r="B79" s="3" t="str">
        <f aca="false">IF($W79="","",INDEX(发票统计!B$4:B$1003,$W79)&amp;"")</f>
        <v/>
      </c>
      <c r="C79" s="3" t="str">
        <f aca="false">IF($W79="","",INDEX(发票统计!C$4:C$1003,$W79)&amp;"")</f>
        <v/>
      </c>
      <c r="D79" s="3" t="str">
        <f aca="false">IF($W79="","",INDEX(发票统计!D$4:D$1003,$W79)&amp;"")</f>
        <v/>
      </c>
      <c r="E79" s="67" t="str">
        <f aca="false">IF($W79="","",INDEX(发票统计!E$4:E$1003,$W79)&amp;"")</f>
        <v/>
      </c>
      <c r="F79" s="68" t="str">
        <f aca="false">IF($W79="","",INDEX(发票统计!F$4:F$1003,$W79)&amp;"")</f>
        <v/>
      </c>
      <c r="G79" s="68" t="str">
        <f aca="false">IF($W79="","",IF(INDEX(发票统计!G$4:G$1003,$W79)="","",INDEX(发票统计!G$4:G$1003,$W79)))</f>
        <v/>
      </c>
      <c r="H79" s="56" t="str">
        <f aca="false">IF($W79="","",N(INDEX(发票统计!H$4:H$1003,$W79)))</f>
        <v/>
      </c>
      <c r="I79" s="56" t="str">
        <f aca="false">IF($W79="","",N(INDEX(发票统计!I$4:I$1003,$W79)))</f>
        <v/>
      </c>
      <c r="J79" s="56" t="str">
        <f aca="false">IF($W79="","",N(INDEX(发票统计!J$4:J$1003,$W79)))</f>
        <v/>
      </c>
      <c r="K79" s="56" t="str">
        <f aca="false">IF($W79="","",N(INDEX(发票统计!K$4:K$1003,$W79)))</f>
        <v/>
      </c>
      <c r="L79" s="56" t="str">
        <f aca="false">IF($W79="","",SUM(J$4:J79)-SUM(K$4:K79))</f>
        <v/>
      </c>
      <c r="M79" s="56" t="str">
        <f aca="false">IF($W79="","",N(INDEX(发票统计!M$4:M$1003,$W79)))</f>
        <v/>
      </c>
      <c r="N79" s="56" t="str">
        <f aca="false">IF($W79="","",N(INDEX(发票统计!N$4:N$1003,$W79)))</f>
        <v/>
      </c>
      <c r="O79" s="56" t="str">
        <f aca="false">IF($W79="","",N(INDEX(发票统计!O$4:O$1003,$W79)))</f>
        <v/>
      </c>
      <c r="P79" s="56" t="str">
        <f aca="false">IF($W79="","",SUM(M$4:M79)-SUM(N$4:N79)-SUM(O$4:O79))</f>
        <v/>
      </c>
      <c r="Q79" s="56" t="str">
        <f aca="false">IF($W79="","",N(INDEX(发票统计!Q$4:Q$1003,$W79)))</f>
        <v/>
      </c>
      <c r="R79" s="56" t="str">
        <f aca="false">IF($W79="","",N(INDEX(发票统计!R$4:R$1003,$W79)))</f>
        <v/>
      </c>
      <c r="S79" s="56" t="str">
        <f aca="false">IF($W79="","",N(INDEX(发票统计!S$4:S$1003,$W79)))</f>
        <v/>
      </c>
      <c r="T79" s="56" t="str">
        <f aca="false">IF($W79="","",SUM(Q$4:Q79)-SUM(R$4:R79)-SUM(S$4:S79))</f>
        <v/>
      </c>
      <c r="U79" s="56" t="str">
        <f aca="false">IF($W79="","",INDEX(发票统计!U$4:U$1003,$W79)&amp;"")</f>
        <v/>
      </c>
      <c r="W79" s="1" t="str">
        <f aca="false">IF($V$3="","",IFERROR(MATCH($V$3&amp;"#"&amp;ROWS(W$4:W79),发票统计!$W$4:$W$1003,0),""))</f>
        <v/>
      </c>
    </row>
    <row r="80" customFormat="false" ht="16.5" hidden="false" customHeight="false" outlineLevel="0" collapsed="false">
      <c r="A80" s="3" t="str">
        <f aca="false">IF($W80="","",INDEX(发票统计!A$4:A$1003,$W80)&amp;"")</f>
        <v/>
      </c>
      <c r="B80" s="3" t="str">
        <f aca="false">IF($W80="","",INDEX(发票统计!B$4:B$1003,$W80)&amp;"")</f>
        <v/>
      </c>
      <c r="C80" s="3" t="str">
        <f aca="false">IF($W80="","",INDEX(发票统计!C$4:C$1003,$W80)&amp;"")</f>
        <v/>
      </c>
      <c r="D80" s="3" t="str">
        <f aca="false">IF($W80="","",INDEX(发票统计!D$4:D$1003,$W80)&amp;"")</f>
        <v/>
      </c>
      <c r="E80" s="67" t="str">
        <f aca="false">IF($W80="","",INDEX(发票统计!E$4:E$1003,$W80)&amp;"")</f>
        <v/>
      </c>
      <c r="F80" s="68" t="str">
        <f aca="false">IF($W80="","",INDEX(发票统计!F$4:F$1003,$W80)&amp;"")</f>
        <v/>
      </c>
      <c r="G80" s="68" t="str">
        <f aca="false">IF($W80="","",IF(INDEX(发票统计!G$4:G$1003,$W80)="","",INDEX(发票统计!G$4:G$1003,$W80)))</f>
        <v/>
      </c>
      <c r="H80" s="56" t="str">
        <f aca="false">IF($W80="","",N(INDEX(发票统计!H$4:H$1003,$W80)))</f>
        <v/>
      </c>
      <c r="I80" s="56" t="str">
        <f aca="false">IF($W80="","",N(INDEX(发票统计!I$4:I$1003,$W80)))</f>
        <v/>
      </c>
      <c r="J80" s="56" t="str">
        <f aca="false">IF($W80="","",N(INDEX(发票统计!J$4:J$1003,$W80)))</f>
        <v/>
      </c>
      <c r="K80" s="56" t="str">
        <f aca="false">IF($W80="","",N(INDEX(发票统计!K$4:K$1003,$W80)))</f>
        <v/>
      </c>
      <c r="L80" s="56" t="str">
        <f aca="false">IF($W80="","",SUM(J$4:J80)-SUM(K$4:K80))</f>
        <v/>
      </c>
      <c r="M80" s="56" t="str">
        <f aca="false">IF($W80="","",N(INDEX(发票统计!M$4:M$1003,$W80)))</f>
        <v/>
      </c>
      <c r="N80" s="56" t="str">
        <f aca="false">IF($W80="","",N(INDEX(发票统计!N$4:N$1003,$W80)))</f>
        <v/>
      </c>
      <c r="O80" s="56" t="str">
        <f aca="false">IF($W80="","",N(INDEX(发票统计!O$4:O$1003,$W80)))</f>
        <v/>
      </c>
      <c r="P80" s="56" t="str">
        <f aca="false">IF($W80="","",SUM(M$4:M80)-SUM(N$4:N80)-SUM(O$4:O80))</f>
        <v/>
      </c>
      <c r="Q80" s="56" t="str">
        <f aca="false">IF($W80="","",N(INDEX(发票统计!Q$4:Q$1003,$W80)))</f>
        <v/>
      </c>
      <c r="R80" s="56" t="str">
        <f aca="false">IF($W80="","",N(INDEX(发票统计!R$4:R$1003,$W80)))</f>
        <v/>
      </c>
      <c r="S80" s="56" t="str">
        <f aca="false">IF($W80="","",N(INDEX(发票统计!S$4:S$1003,$W80)))</f>
        <v/>
      </c>
      <c r="T80" s="56" t="str">
        <f aca="false">IF($W80="","",SUM(Q$4:Q80)-SUM(R$4:R80)-SUM(S$4:S80))</f>
        <v/>
      </c>
      <c r="U80" s="56" t="str">
        <f aca="false">IF($W80="","",INDEX(发票统计!U$4:U$1003,$W80)&amp;"")</f>
        <v/>
      </c>
      <c r="W80" s="1" t="str">
        <f aca="false">IF($V$3="","",IFERROR(MATCH($V$3&amp;"#"&amp;ROWS(W$4:W80),发票统计!$W$4:$W$1003,0),""))</f>
        <v/>
      </c>
    </row>
    <row r="81" customFormat="false" ht="16.5" hidden="false" customHeight="false" outlineLevel="0" collapsed="false">
      <c r="A81" s="3" t="str">
        <f aca="false">IF($W81="","",INDEX(发票统计!A$4:A$1003,$W81)&amp;"")</f>
        <v/>
      </c>
      <c r="B81" s="3" t="str">
        <f aca="false">IF($W81="","",INDEX(发票统计!B$4:B$1003,$W81)&amp;"")</f>
        <v/>
      </c>
      <c r="C81" s="3" t="str">
        <f aca="false">IF($W81="","",INDEX(发票统计!C$4:C$1003,$W81)&amp;"")</f>
        <v/>
      </c>
      <c r="D81" s="3" t="str">
        <f aca="false">IF($W81="","",INDEX(发票统计!D$4:D$1003,$W81)&amp;"")</f>
        <v/>
      </c>
      <c r="E81" s="67" t="str">
        <f aca="false">IF($W81="","",INDEX(发票统计!E$4:E$1003,$W81)&amp;"")</f>
        <v/>
      </c>
      <c r="F81" s="68" t="str">
        <f aca="false">IF($W81="","",INDEX(发票统计!F$4:F$1003,$W81)&amp;"")</f>
        <v/>
      </c>
      <c r="G81" s="68" t="str">
        <f aca="false">IF($W81="","",IF(INDEX(发票统计!G$4:G$1003,$W81)="","",INDEX(发票统计!G$4:G$1003,$W81)))</f>
        <v/>
      </c>
      <c r="H81" s="56" t="str">
        <f aca="false">IF($W81="","",N(INDEX(发票统计!H$4:H$1003,$W81)))</f>
        <v/>
      </c>
      <c r="I81" s="56" t="str">
        <f aca="false">IF($W81="","",N(INDEX(发票统计!I$4:I$1003,$W81)))</f>
        <v/>
      </c>
      <c r="J81" s="56" t="str">
        <f aca="false">IF($W81="","",N(INDEX(发票统计!J$4:J$1003,$W81)))</f>
        <v/>
      </c>
      <c r="K81" s="56" t="str">
        <f aca="false">IF($W81="","",N(INDEX(发票统计!K$4:K$1003,$W81)))</f>
        <v/>
      </c>
      <c r="L81" s="56" t="str">
        <f aca="false">IF($W81="","",SUM(J$4:J81)-SUM(K$4:K81))</f>
        <v/>
      </c>
      <c r="M81" s="56" t="str">
        <f aca="false">IF($W81="","",N(INDEX(发票统计!M$4:M$1003,$W81)))</f>
        <v/>
      </c>
      <c r="N81" s="56" t="str">
        <f aca="false">IF($W81="","",N(INDEX(发票统计!N$4:N$1003,$W81)))</f>
        <v/>
      </c>
      <c r="O81" s="56" t="str">
        <f aca="false">IF($W81="","",N(INDEX(发票统计!O$4:O$1003,$W81)))</f>
        <v/>
      </c>
      <c r="P81" s="56" t="str">
        <f aca="false">IF($W81="","",SUM(M$4:M81)-SUM(N$4:N81)-SUM(O$4:O81))</f>
        <v/>
      </c>
      <c r="Q81" s="56" t="str">
        <f aca="false">IF($W81="","",N(INDEX(发票统计!Q$4:Q$1003,$W81)))</f>
        <v/>
      </c>
      <c r="R81" s="56" t="str">
        <f aca="false">IF($W81="","",N(INDEX(发票统计!R$4:R$1003,$W81)))</f>
        <v/>
      </c>
      <c r="S81" s="56" t="str">
        <f aca="false">IF($W81="","",N(INDEX(发票统计!S$4:S$1003,$W81)))</f>
        <v/>
      </c>
      <c r="T81" s="56" t="str">
        <f aca="false">IF($W81="","",SUM(Q$4:Q81)-SUM(R$4:R81)-SUM(S$4:S81))</f>
        <v/>
      </c>
      <c r="U81" s="56" t="str">
        <f aca="false">IF($W81="","",INDEX(发票统计!U$4:U$1003,$W81)&amp;"")</f>
        <v/>
      </c>
      <c r="W81" s="1" t="str">
        <f aca="false">IF($V$3="","",IFERROR(MATCH($V$3&amp;"#"&amp;ROWS(W$4:W81),发票统计!$W$4:$W$1003,0),""))</f>
        <v/>
      </c>
    </row>
    <row r="82" customFormat="false" ht="16.5" hidden="false" customHeight="false" outlineLevel="0" collapsed="false">
      <c r="A82" s="3" t="str">
        <f aca="false">IF($W82="","",INDEX(发票统计!A$4:A$1003,$W82)&amp;"")</f>
        <v/>
      </c>
      <c r="B82" s="3" t="str">
        <f aca="false">IF($W82="","",INDEX(发票统计!B$4:B$1003,$W82)&amp;"")</f>
        <v/>
      </c>
      <c r="C82" s="3" t="str">
        <f aca="false">IF($W82="","",INDEX(发票统计!C$4:C$1003,$W82)&amp;"")</f>
        <v/>
      </c>
      <c r="D82" s="3" t="str">
        <f aca="false">IF($W82="","",INDEX(发票统计!D$4:D$1003,$W82)&amp;"")</f>
        <v/>
      </c>
      <c r="E82" s="67" t="str">
        <f aca="false">IF($W82="","",INDEX(发票统计!E$4:E$1003,$W82)&amp;"")</f>
        <v/>
      </c>
      <c r="F82" s="68" t="str">
        <f aca="false">IF($W82="","",INDEX(发票统计!F$4:F$1003,$W82)&amp;"")</f>
        <v/>
      </c>
      <c r="G82" s="68" t="str">
        <f aca="false">IF($W82="","",IF(INDEX(发票统计!G$4:G$1003,$W82)="","",INDEX(发票统计!G$4:G$1003,$W82)))</f>
        <v/>
      </c>
      <c r="H82" s="56" t="str">
        <f aca="false">IF($W82="","",N(INDEX(发票统计!H$4:H$1003,$W82)))</f>
        <v/>
      </c>
      <c r="I82" s="56" t="str">
        <f aca="false">IF($W82="","",N(INDEX(发票统计!I$4:I$1003,$W82)))</f>
        <v/>
      </c>
      <c r="J82" s="56" t="str">
        <f aca="false">IF($W82="","",N(INDEX(发票统计!J$4:J$1003,$W82)))</f>
        <v/>
      </c>
      <c r="K82" s="56" t="str">
        <f aca="false">IF($W82="","",N(INDEX(发票统计!K$4:K$1003,$W82)))</f>
        <v/>
      </c>
      <c r="L82" s="56" t="str">
        <f aca="false">IF($W82="","",SUM(J$4:J82)-SUM(K$4:K82))</f>
        <v/>
      </c>
      <c r="M82" s="56" t="str">
        <f aca="false">IF($W82="","",N(INDEX(发票统计!M$4:M$1003,$W82)))</f>
        <v/>
      </c>
      <c r="N82" s="56" t="str">
        <f aca="false">IF($W82="","",N(INDEX(发票统计!N$4:N$1003,$W82)))</f>
        <v/>
      </c>
      <c r="O82" s="56" t="str">
        <f aca="false">IF($W82="","",N(INDEX(发票统计!O$4:O$1003,$W82)))</f>
        <v/>
      </c>
      <c r="P82" s="56" t="str">
        <f aca="false">IF($W82="","",SUM(M$4:M82)-SUM(N$4:N82)-SUM(O$4:O82))</f>
        <v/>
      </c>
      <c r="Q82" s="56" t="str">
        <f aca="false">IF($W82="","",N(INDEX(发票统计!Q$4:Q$1003,$W82)))</f>
        <v/>
      </c>
      <c r="R82" s="56" t="str">
        <f aca="false">IF($W82="","",N(INDEX(发票统计!R$4:R$1003,$W82)))</f>
        <v/>
      </c>
      <c r="S82" s="56" t="str">
        <f aca="false">IF($W82="","",N(INDEX(发票统计!S$4:S$1003,$W82)))</f>
        <v/>
      </c>
      <c r="T82" s="56" t="str">
        <f aca="false">IF($W82="","",SUM(Q$4:Q82)-SUM(R$4:R82)-SUM(S$4:S82))</f>
        <v/>
      </c>
      <c r="U82" s="56" t="str">
        <f aca="false">IF($W82="","",INDEX(发票统计!U$4:U$1003,$W82)&amp;"")</f>
        <v/>
      </c>
      <c r="W82" s="1" t="str">
        <f aca="false">IF($V$3="","",IFERROR(MATCH($V$3&amp;"#"&amp;ROWS(W$4:W82),发票统计!$W$4:$W$1003,0),""))</f>
        <v/>
      </c>
    </row>
    <row r="83" customFormat="false" ht="16.5" hidden="false" customHeight="false" outlineLevel="0" collapsed="false">
      <c r="A83" s="3" t="str">
        <f aca="false">IF($W83="","",INDEX(发票统计!A$4:A$1003,$W83)&amp;"")</f>
        <v/>
      </c>
      <c r="B83" s="3" t="str">
        <f aca="false">IF($W83="","",INDEX(发票统计!B$4:B$1003,$W83)&amp;"")</f>
        <v/>
      </c>
      <c r="C83" s="3" t="str">
        <f aca="false">IF($W83="","",INDEX(发票统计!C$4:C$1003,$W83)&amp;"")</f>
        <v/>
      </c>
      <c r="D83" s="3" t="str">
        <f aca="false">IF($W83="","",INDEX(发票统计!D$4:D$1003,$W83)&amp;"")</f>
        <v/>
      </c>
      <c r="E83" s="67" t="str">
        <f aca="false">IF($W83="","",INDEX(发票统计!E$4:E$1003,$W83)&amp;"")</f>
        <v/>
      </c>
      <c r="F83" s="68" t="str">
        <f aca="false">IF($W83="","",INDEX(发票统计!F$4:F$1003,$W83)&amp;"")</f>
        <v/>
      </c>
      <c r="G83" s="68" t="str">
        <f aca="false">IF($W83="","",IF(INDEX(发票统计!G$4:G$1003,$W83)="","",INDEX(发票统计!G$4:G$1003,$W83)))</f>
        <v/>
      </c>
      <c r="H83" s="56" t="str">
        <f aca="false">IF($W83="","",N(INDEX(发票统计!H$4:H$1003,$W83)))</f>
        <v/>
      </c>
      <c r="I83" s="56" t="str">
        <f aca="false">IF($W83="","",N(INDEX(发票统计!I$4:I$1003,$W83)))</f>
        <v/>
      </c>
      <c r="J83" s="56" t="str">
        <f aca="false">IF($W83="","",N(INDEX(发票统计!J$4:J$1003,$W83)))</f>
        <v/>
      </c>
      <c r="K83" s="56" t="str">
        <f aca="false">IF($W83="","",N(INDEX(发票统计!K$4:K$1003,$W83)))</f>
        <v/>
      </c>
      <c r="L83" s="56" t="str">
        <f aca="false">IF($W83="","",SUM(J$4:J83)-SUM(K$4:K83))</f>
        <v/>
      </c>
      <c r="M83" s="56" t="str">
        <f aca="false">IF($W83="","",N(INDEX(发票统计!M$4:M$1003,$W83)))</f>
        <v/>
      </c>
      <c r="N83" s="56" t="str">
        <f aca="false">IF($W83="","",N(INDEX(发票统计!N$4:N$1003,$W83)))</f>
        <v/>
      </c>
      <c r="O83" s="56" t="str">
        <f aca="false">IF($W83="","",N(INDEX(发票统计!O$4:O$1003,$W83)))</f>
        <v/>
      </c>
      <c r="P83" s="56" t="str">
        <f aca="false">IF($W83="","",SUM(M$4:M83)-SUM(N$4:N83)-SUM(O$4:O83))</f>
        <v/>
      </c>
      <c r="Q83" s="56" t="str">
        <f aca="false">IF($W83="","",N(INDEX(发票统计!Q$4:Q$1003,$W83)))</f>
        <v/>
      </c>
      <c r="R83" s="56" t="str">
        <f aca="false">IF($W83="","",N(INDEX(发票统计!R$4:R$1003,$W83)))</f>
        <v/>
      </c>
      <c r="S83" s="56" t="str">
        <f aca="false">IF($W83="","",N(INDEX(发票统计!S$4:S$1003,$W83)))</f>
        <v/>
      </c>
      <c r="T83" s="56" t="str">
        <f aca="false">IF($W83="","",SUM(Q$4:Q83)-SUM(R$4:R83)-SUM(S$4:S83))</f>
        <v/>
      </c>
      <c r="U83" s="56" t="str">
        <f aca="false">IF($W83="","",INDEX(发票统计!U$4:U$1003,$W83)&amp;"")</f>
        <v/>
      </c>
      <c r="W83" s="1" t="str">
        <f aca="false">IF($V$3="","",IFERROR(MATCH($V$3&amp;"#"&amp;ROWS(W$4:W83),发票统计!$W$4:$W$1003,0),""))</f>
        <v/>
      </c>
    </row>
    <row r="84" customFormat="false" ht="16.5" hidden="false" customHeight="false" outlineLevel="0" collapsed="false">
      <c r="A84" s="3" t="str">
        <f aca="false">IF($W84="","",INDEX(发票统计!A$4:A$1003,$W84)&amp;"")</f>
        <v/>
      </c>
      <c r="B84" s="3" t="str">
        <f aca="false">IF($W84="","",INDEX(发票统计!B$4:B$1003,$W84)&amp;"")</f>
        <v/>
      </c>
      <c r="C84" s="3" t="str">
        <f aca="false">IF($W84="","",INDEX(发票统计!C$4:C$1003,$W84)&amp;"")</f>
        <v/>
      </c>
      <c r="D84" s="3" t="str">
        <f aca="false">IF($W84="","",INDEX(发票统计!D$4:D$1003,$W84)&amp;"")</f>
        <v/>
      </c>
      <c r="E84" s="67" t="str">
        <f aca="false">IF($W84="","",INDEX(发票统计!E$4:E$1003,$W84)&amp;"")</f>
        <v/>
      </c>
      <c r="F84" s="68" t="str">
        <f aca="false">IF($W84="","",INDEX(发票统计!F$4:F$1003,$W84)&amp;"")</f>
        <v/>
      </c>
      <c r="G84" s="68" t="str">
        <f aca="false">IF($W84="","",IF(INDEX(发票统计!G$4:G$1003,$W84)="","",INDEX(发票统计!G$4:G$1003,$W84)))</f>
        <v/>
      </c>
      <c r="H84" s="56" t="str">
        <f aca="false">IF($W84="","",N(INDEX(发票统计!H$4:H$1003,$W84)))</f>
        <v/>
      </c>
      <c r="I84" s="56" t="str">
        <f aca="false">IF($W84="","",N(INDEX(发票统计!I$4:I$1003,$W84)))</f>
        <v/>
      </c>
      <c r="J84" s="56" t="str">
        <f aca="false">IF($W84="","",N(INDEX(发票统计!J$4:J$1003,$W84)))</f>
        <v/>
      </c>
      <c r="K84" s="56" t="str">
        <f aca="false">IF($W84="","",N(INDEX(发票统计!K$4:K$1003,$W84)))</f>
        <v/>
      </c>
      <c r="L84" s="56" t="str">
        <f aca="false">IF($W84="","",SUM(J$4:J84)-SUM(K$4:K84))</f>
        <v/>
      </c>
      <c r="M84" s="56" t="str">
        <f aca="false">IF($W84="","",N(INDEX(发票统计!M$4:M$1003,$W84)))</f>
        <v/>
      </c>
      <c r="N84" s="56" t="str">
        <f aca="false">IF($W84="","",N(INDEX(发票统计!N$4:N$1003,$W84)))</f>
        <v/>
      </c>
      <c r="O84" s="56" t="str">
        <f aca="false">IF($W84="","",N(INDEX(发票统计!O$4:O$1003,$W84)))</f>
        <v/>
      </c>
      <c r="P84" s="56" t="str">
        <f aca="false">IF($W84="","",SUM(M$4:M84)-SUM(N$4:N84)-SUM(O$4:O84))</f>
        <v/>
      </c>
      <c r="Q84" s="56" t="str">
        <f aca="false">IF($W84="","",N(INDEX(发票统计!Q$4:Q$1003,$W84)))</f>
        <v/>
      </c>
      <c r="R84" s="56" t="str">
        <f aca="false">IF($W84="","",N(INDEX(发票统计!R$4:R$1003,$W84)))</f>
        <v/>
      </c>
      <c r="S84" s="56" t="str">
        <f aca="false">IF($W84="","",N(INDEX(发票统计!S$4:S$1003,$W84)))</f>
        <v/>
      </c>
      <c r="T84" s="56" t="str">
        <f aca="false">IF($W84="","",SUM(Q$4:Q84)-SUM(R$4:R84)-SUM(S$4:S84))</f>
        <v/>
      </c>
      <c r="U84" s="56" t="str">
        <f aca="false">IF($W84="","",INDEX(发票统计!U$4:U$1003,$W84)&amp;"")</f>
        <v/>
      </c>
      <c r="W84" s="1" t="str">
        <f aca="false">IF($V$3="","",IFERROR(MATCH($V$3&amp;"#"&amp;ROWS(W$4:W84),发票统计!$W$4:$W$1003,0),""))</f>
        <v/>
      </c>
    </row>
    <row r="85" customFormat="false" ht="16.5" hidden="false" customHeight="false" outlineLevel="0" collapsed="false">
      <c r="A85" s="3" t="str">
        <f aca="false">IF($W85="","",INDEX(发票统计!A$4:A$1003,$W85)&amp;"")</f>
        <v/>
      </c>
      <c r="B85" s="3" t="str">
        <f aca="false">IF($W85="","",INDEX(发票统计!B$4:B$1003,$W85)&amp;"")</f>
        <v/>
      </c>
      <c r="C85" s="3" t="str">
        <f aca="false">IF($W85="","",INDEX(发票统计!C$4:C$1003,$W85)&amp;"")</f>
        <v/>
      </c>
      <c r="D85" s="3" t="str">
        <f aca="false">IF($W85="","",INDEX(发票统计!D$4:D$1003,$W85)&amp;"")</f>
        <v/>
      </c>
      <c r="E85" s="67" t="str">
        <f aca="false">IF($W85="","",INDEX(发票统计!E$4:E$1003,$W85)&amp;"")</f>
        <v/>
      </c>
      <c r="F85" s="68" t="str">
        <f aca="false">IF($W85="","",INDEX(发票统计!F$4:F$1003,$W85)&amp;"")</f>
        <v/>
      </c>
      <c r="G85" s="68" t="str">
        <f aca="false">IF($W85="","",IF(INDEX(发票统计!G$4:G$1003,$W85)="","",INDEX(发票统计!G$4:G$1003,$W85)))</f>
        <v/>
      </c>
      <c r="H85" s="56" t="str">
        <f aca="false">IF($W85="","",N(INDEX(发票统计!H$4:H$1003,$W85)))</f>
        <v/>
      </c>
      <c r="I85" s="56" t="str">
        <f aca="false">IF($W85="","",N(INDEX(发票统计!I$4:I$1003,$W85)))</f>
        <v/>
      </c>
      <c r="J85" s="56" t="str">
        <f aca="false">IF($W85="","",N(INDEX(发票统计!J$4:J$1003,$W85)))</f>
        <v/>
      </c>
      <c r="K85" s="56" t="str">
        <f aca="false">IF($W85="","",N(INDEX(发票统计!K$4:K$1003,$W85)))</f>
        <v/>
      </c>
      <c r="L85" s="56" t="str">
        <f aca="false">IF($W85="","",SUM(J$4:J85)-SUM(K$4:K85))</f>
        <v/>
      </c>
      <c r="M85" s="56" t="str">
        <f aca="false">IF($W85="","",N(INDEX(发票统计!M$4:M$1003,$W85)))</f>
        <v/>
      </c>
      <c r="N85" s="56" t="str">
        <f aca="false">IF($W85="","",N(INDEX(发票统计!N$4:N$1003,$W85)))</f>
        <v/>
      </c>
      <c r="O85" s="56" t="str">
        <f aca="false">IF($W85="","",N(INDEX(发票统计!O$4:O$1003,$W85)))</f>
        <v/>
      </c>
      <c r="P85" s="56" t="str">
        <f aca="false">IF($W85="","",SUM(M$4:M85)-SUM(N$4:N85)-SUM(O$4:O85))</f>
        <v/>
      </c>
      <c r="Q85" s="56" t="str">
        <f aca="false">IF($W85="","",N(INDEX(发票统计!Q$4:Q$1003,$W85)))</f>
        <v/>
      </c>
      <c r="R85" s="56" t="str">
        <f aca="false">IF($W85="","",N(INDEX(发票统计!R$4:R$1003,$W85)))</f>
        <v/>
      </c>
      <c r="S85" s="56" t="str">
        <f aca="false">IF($W85="","",N(INDEX(发票统计!S$4:S$1003,$W85)))</f>
        <v/>
      </c>
      <c r="T85" s="56" t="str">
        <f aca="false">IF($W85="","",SUM(Q$4:Q85)-SUM(R$4:R85)-SUM(S$4:S85))</f>
        <v/>
      </c>
      <c r="U85" s="56" t="str">
        <f aca="false">IF($W85="","",INDEX(发票统计!U$4:U$1003,$W85)&amp;"")</f>
        <v/>
      </c>
      <c r="W85" s="1" t="str">
        <f aca="false">IF($V$3="","",IFERROR(MATCH($V$3&amp;"#"&amp;ROWS(W$4:W85),发票统计!$W$4:$W$1003,0),""))</f>
        <v/>
      </c>
    </row>
    <row r="86" customFormat="false" ht="16.5" hidden="false" customHeight="false" outlineLevel="0" collapsed="false">
      <c r="A86" s="3" t="str">
        <f aca="false">IF($W86="","",INDEX(发票统计!A$4:A$1003,$W86)&amp;"")</f>
        <v/>
      </c>
      <c r="B86" s="3" t="str">
        <f aca="false">IF($W86="","",INDEX(发票统计!B$4:B$1003,$W86)&amp;"")</f>
        <v/>
      </c>
      <c r="C86" s="3" t="str">
        <f aca="false">IF($W86="","",INDEX(发票统计!C$4:C$1003,$W86)&amp;"")</f>
        <v/>
      </c>
      <c r="D86" s="3" t="str">
        <f aca="false">IF($W86="","",INDEX(发票统计!D$4:D$1003,$W86)&amp;"")</f>
        <v/>
      </c>
      <c r="E86" s="67" t="str">
        <f aca="false">IF($W86="","",INDEX(发票统计!E$4:E$1003,$W86)&amp;"")</f>
        <v/>
      </c>
      <c r="F86" s="68" t="str">
        <f aca="false">IF($W86="","",INDEX(发票统计!F$4:F$1003,$W86)&amp;"")</f>
        <v/>
      </c>
      <c r="G86" s="68" t="str">
        <f aca="false">IF($W86="","",IF(INDEX(发票统计!G$4:G$1003,$W86)="","",INDEX(发票统计!G$4:G$1003,$W86)))</f>
        <v/>
      </c>
      <c r="H86" s="56" t="str">
        <f aca="false">IF($W86="","",N(INDEX(发票统计!H$4:H$1003,$W86)))</f>
        <v/>
      </c>
      <c r="I86" s="56" t="str">
        <f aca="false">IF($W86="","",N(INDEX(发票统计!I$4:I$1003,$W86)))</f>
        <v/>
      </c>
      <c r="J86" s="56" t="str">
        <f aca="false">IF($W86="","",N(INDEX(发票统计!J$4:J$1003,$W86)))</f>
        <v/>
      </c>
      <c r="K86" s="56" t="str">
        <f aca="false">IF($W86="","",N(INDEX(发票统计!K$4:K$1003,$W86)))</f>
        <v/>
      </c>
      <c r="L86" s="56" t="str">
        <f aca="false">IF($W86="","",SUM(J$4:J86)-SUM(K$4:K86))</f>
        <v/>
      </c>
      <c r="M86" s="56" t="str">
        <f aca="false">IF($W86="","",N(INDEX(发票统计!M$4:M$1003,$W86)))</f>
        <v/>
      </c>
      <c r="N86" s="56" t="str">
        <f aca="false">IF($W86="","",N(INDEX(发票统计!N$4:N$1003,$W86)))</f>
        <v/>
      </c>
      <c r="O86" s="56" t="str">
        <f aca="false">IF($W86="","",N(INDEX(发票统计!O$4:O$1003,$W86)))</f>
        <v/>
      </c>
      <c r="P86" s="56" t="str">
        <f aca="false">IF($W86="","",SUM(M$4:M86)-SUM(N$4:N86)-SUM(O$4:O86))</f>
        <v/>
      </c>
      <c r="Q86" s="56" t="str">
        <f aca="false">IF($W86="","",N(INDEX(发票统计!Q$4:Q$1003,$W86)))</f>
        <v/>
      </c>
      <c r="R86" s="56" t="str">
        <f aca="false">IF($W86="","",N(INDEX(发票统计!R$4:R$1003,$W86)))</f>
        <v/>
      </c>
      <c r="S86" s="56" t="str">
        <f aca="false">IF($W86="","",N(INDEX(发票统计!S$4:S$1003,$W86)))</f>
        <v/>
      </c>
      <c r="T86" s="56" t="str">
        <f aca="false">IF($W86="","",SUM(Q$4:Q86)-SUM(R$4:R86)-SUM(S$4:S86))</f>
        <v/>
      </c>
      <c r="U86" s="56" t="str">
        <f aca="false">IF($W86="","",INDEX(发票统计!U$4:U$1003,$W86)&amp;"")</f>
        <v/>
      </c>
      <c r="W86" s="1" t="str">
        <f aca="false">IF($V$3="","",IFERROR(MATCH($V$3&amp;"#"&amp;ROWS(W$4:W86),发票统计!$W$4:$W$1003,0),""))</f>
        <v/>
      </c>
    </row>
    <row r="87" customFormat="false" ht="16.5" hidden="false" customHeight="false" outlineLevel="0" collapsed="false">
      <c r="A87" s="3" t="str">
        <f aca="false">IF($W87="","",INDEX(发票统计!A$4:A$1003,$W87)&amp;"")</f>
        <v/>
      </c>
      <c r="B87" s="3" t="str">
        <f aca="false">IF($W87="","",INDEX(发票统计!B$4:B$1003,$W87)&amp;"")</f>
        <v/>
      </c>
      <c r="C87" s="3" t="str">
        <f aca="false">IF($W87="","",INDEX(发票统计!C$4:C$1003,$W87)&amp;"")</f>
        <v/>
      </c>
      <c r="D87" s="3" t="str">
        <f aca="false">IF($W87="","",INDEX(发票统计!D$4:D$1003,$W87)&amp;"")</f>
        <v/>
      </c>
      <c r="E87" s="67" t="str">
        <f aca="false">IF($W87="","",INDEX(发票统计!E$4:E$1003,$W87)&amp;"")</f>
        <v/>
      </c>
      <c r="F87" s="68" t="str">
        <f aca="false">IF($W87="","",INDEX(发票统计!F$4:F$1003,$W87)&amp;"")</f>
        <v/>
      </c>
      <c r="G87" s="68" t="str">
        <f aca="false">IF($W87="","",IF(INDEX(发票统计!G$4:G$1003,$W87)="","",INDEX(发票统计!G$4:G$1003,$W87)))</f>
        <v/>
      </c>
      <c r="H87" s="56" t="str">
        <f aca="false">IF($W87="","",N(INDEX(发票统计!H$4:H$1003,$W87)))</f>
        <v/>
      </c>
      <c r="I87" s="56" t="str">
        <f aca="false">IF($W87="","",N(INDEX(发票统计!I$4:I$1003,$W87)))</f>
        <v/>
      </c>
      <c r="J87" s="56" t="str">
        <f aca="false">IF($W87="","",N(INDEX(发票统计!J$4:J$1003,$W87)))</f>
        <v/>
      </c>
      <c r="K87" s="56" t="str">
        <f aca="false">IF($W87="","",N(INDEX(发票统计!K$4:K$1003,$W87)))</f>
        <v/>
      </c>
      <c r="L87" s="56" t="str">
        <f aca="false">IF($W87="","",SUM(J$4:J87)-SUM(K$4:K87))</f>
        <v/>
      </c>
      <c r="M87" s="56" t="str">
        <f aca="false">IF($W87="","",N(INDEX(发票统计!M$4:M$1003,$W87)))</f>
        <v/>
      </c>
      <c r="N87" s="56" t="str">
        <f aca="false">IF($W87="","",N(INDEX(发票统计!N$4:N$1003,$W87)))</f>
        <v/>
      </c>
      <c r="O87" s="56" t="str">
        <f aca="false">IF($W87="","",N(INDEX(发票统计!O$4:O$1003,$W87)))</f>
        <v/>
      </c>
      <c r="P87" s="56" t="str">
        <f aca="false">IF($W87="","",SUM(M$4:M87)-SUM(N$4:N87)-SUM(O$4:O87))</f>
        <v/>
      </c>
      <c r="Q87" s="56" t="str">
        <f aca="false">IF($W87="","",N(INDEX(发票统计!Q$4:Q$1003,$W87)))</f>
        <v/>
      </c>
      <c r="R87" s="56" t="str">
        <f aca="false">IF($W87="","",N(INDEX(发票统计!R$4:R$1003,$W87)))</f>
        <v/>
      </c>
      <c r="S87" s="56" t="str">
        <f aca="false">IF($W87="","",N(INDEX(发票统计!S$4:S$1003,$W87)))</f>
        <v/>
      </c>
      <c r="T87" s="56" t="str">
        <f aca="false">IF($W87="","",SUM(Q$4:Q87)-SUM(R$4:R87)-SUM(S$4:S87))</f>
        <v/>
      </c>
      <c r="U87" s="56" t="str">
        <f aca="false">IF($W87="","",INDEX(发票统计!U$4:U$1003,$W87)&amp;"")</f>
        <v/>
      </c>
      <c r="W87" s="1" t="str">
        <f aca="false">IF($V$3="","",IFERROR(MATCH($V$3&amp;"#"&amp;ROWS(W$4:W87),发票统计!$W$4:$W$1003,0),""))</f>
        <v/>
      </c>
    </row>
    <row r="88" customFormat="false" ht="16.5" hidden="false" customHeight="false" outlineLevel="0" collapsed="false">
      <c r="A88" s="3" t="str">
        <f aca="false">IF($W88="","",INDEX(发票统计!A$4:A$1003,$W88)&amp;"")</f>
        <v/>
      </c>
      <c r="B88" s="3" t="str">
        <f aca="false">IF($W88="","",INDEX(发票统计!B$4:B$1003,$W88)&amp;"")</f>
        <v/>
      </c>
      <c r="C88" s="3" t="str">
        <f aca="false">IF($W88="","",INDEX(发票统计!C$4:C$1003,$W88)&amp;"")</f>
        <v/>
      </c>
      <c r="D88" s="3" t="str">
        <f aca="false">IF($W88="","",INDEX(发票统计!D$4:D$1003,$W88)&amp;"")</f>
        <v/>
      </c>
      <c r="E88" s="67" t="str">
        <f aca="false">IF($W88="","",INDEX(发票统计!E$4:E$1003,$W88)&amp;"")</f>
        <v/>
      </c>
      <c r="F88" s="68" t="str">
        <f aca="false">IF($W88="","",INDEX(发票统计!F$4:F$1003,$W88)&amp;"")</f>
        <v/>
      </c>
      <c r="G88" s="68" t="str">
        <f aca="false">IF($W88="","",IF(INDEX(发票统计!G$4:G$1003,$W88)="","",INDEX(发票统计!G$4:G$1003,$W88)))</f>
        <v/>
      </c>
      <c r="H88" s="56" t="str">
        <f aca="false">IF($W88="","",N(INDEX(发票统计!H$4:H$1003,$W88)))</f>
        <v/>
      </c>
      <c r="I88" s="56" t="str">
        <f aca="false">IF($W88="","",N(INDEX(发票统计!I$4:I$1003,$W88)))</f>
        <v/>
      </c>
      <c r="J88" s="56" t="str">
        <f aca="false">IF($W88="","",N(INDEX(发票统计!J$4:J$1003,$W88)))</f>
        <v/>
      </c>
      <c r="K88" s="56" t="str">
        <f aca="false">IF($W88="","",N(INDEX(发票统计!K$4:K$1003,$W88)))</f>
        <v/>
      </c>
      <c r="L88" s="56" t="str">
        <f aca="false">IF($W88="","",SUM(J$4:J88)-SUM(K$4:K88))</f>
        <v/>
      </c>
      <c r="M88" s="56" t="str">
        <f aca="false">IF($W88="","",N(INDEX(发票统计!M$4:M$1003,$W88)))</f>
        <v/>
      </c>
      <c r="N88" s="56" t="str">
        <f aca="false">IF($W88="","",N(INDEX(发票统计!N$4:N$1003,$W88)))</f>
        <v/>
      </c>
      <c r="O88" s="56" t="str">
        <f aca="false">IF($W88="","",N(INDEX(发票统计!O$4:O$1003,$W88)))</f>
        <v/>
      </c>
      <c r="P88" s="56" t="str">
        <f aca="false">IF($W88="","",SUM(M$4:M88)-SUM(N$4:N88)-SUM(O$4:O88))</f>
        <v/>
      </c>
      <c r="Q88" s="56" t="str">
        <f aca="false">IF($W88="","",N(INDEX(发票统计!Q$4:Q$1003,$W88)))</f>
        <v/>
      </c>
      <c r="R88" s="56" t="str">
        <f aca="false">IF($W88="","",N(INDEX(发票统计!R$4:R$1003,$W88)))</f>
        <v/>
      </c>
      <c r="S88" s="56" t="str">
        <f aca="false">IF($W88="","",N(INDEX(发票统计!S$4:S$1003,$W88)))</f>
        <v/>
      </c>
      <c r="T88" s="56" t="str">
        <f aca="false">IF($W88="","",SUM(Q$4:Q88)-SUM(R$4:R88)-SUM(S$4:S88))</f>
        <v/>
      </c>
      <c r="U88" s="56" t="str">
        <f aca="false">IF($W88="","",INDEX(发票统计!U$4:U$1003,$W88)&amp;"")</f>
        <v/>
      </c>
      <c r="W88" s="1" t="str">
        <f aca="false">IF($V$3="","",IFERROR(MATCH($V$3&amp;"#"&amp;ROWS(W$4:W88),发票统计!$W$4:$W$1003,0),""))</f>
        <v/>
      </c>
    </row>
    <row r="89" customFormat="false" ht="16.5" hidden="false" customHeight="false" outlineLevel="0" collapsed="false">
      <c r="A89" s="3" t="str">
        <f aca="false">IF($W89="","",INDEX(发票统计!A$4:A$1003,$W89)&amp;"")</f>
        <v/>
      </c>
      <c r="B89" s="3" t="str">
        <f aca="false">IF($W89="","",INDEX(发票统计!B$4:B$1003,$W89)&amp;"")</f>
        <v/>
      </c>
      <c r="C89" s="3" t="str">
        <f aca="false">IF($W89="","",INDEX(发票统计!C$4:C$1003,$W89)&amp;"")</f>
        <v/>
      </c>
      <c r="D89" s="3" t="str">
        <f aca="false">IF($W89="","",INDEX(发票统计!D$4:D$1003,$W89)&amp;"")</f>
        <v/>
      </c>
      <c r="E89" s="67" t="str">
        <f aca="false">IF($W89="","",INDEX(发票统计!E$4:E$1003,$W89)&amp;"")</f>
        <v/>
      </c>
      <c r="F89" s="68" t="str">
        <f aca="false">IF($W89="","",INDEX(发票统计!F$4:F$1003,$W89)&amp;"")</f>
        <v/>
      </c>
      <c r="G89" s="68" t="str">
        <f aca="false">IF($W89="","",IF(INDEX(发票统计!G$4:G$1003,$W89)="","",INDEX(发票统计!G$4:G$1003,$W89)))</f>
        <v/>
      </c>
      <c r="H89" s="56" t="str">
        <f aca="false">IF($W89="","",N(INDEX(发票统计!H$4:H$1003,$W89)))</f>
        <v/>
      </c>
      <c r="I89" s="56" t="str">
        <f aca="false">IF($W89="","",N(INDEX(发票统计!I$4:I$1003,$W89)))</f>
        <v/>
      </c>
      <c r="J89" s="56" t="str">
        <f aca="false">IF($W89="","",N(INDEX(发票统计!J$4:J$1003,$W89)))</f>
        <v/>
      </c>
      <c r="K89" s="56" t="str">
        <f aca="false">IF($W89="","",N(INDEX(发票统计!K$4:K$1003,$W89)))</f>
        <v/>
      </c>
      <c r="L89" s="56" t="str">
        <f aca="false">IF($W89="","",SUM(J$4:J89)-SUM(K$4:K89))</f>
        <v/>
      </c>
      <c r="M89" s="56" t="str">
        <f aca="false">IF($W89="","",N(INDEX(发票统计!M$4:M$1003,$W89)))</f>
        <v/>
      </c>
      <c r="N89" s="56" t="str">
        <f aca="false">IF($W89="","",N(INDEX(发票统计!N$4:N$1003,$W89)))</f>
        <v/>
      </c>
      <c r="O89" s="56" t="str">
        <f aca="false">IF($W89="","",N(INDEX(发票统计!O$4:O$1003,$W89)))</f>
        <v/>
      </c>
      <c r="P89" s="56" t="str">
        <f aca="false">IF($W89="","",SUM(M$4:M89)-SUM(N$4:N89)-SUM(O$4:O89))</f>
        <v/>
      </c>
      <c r="Q89" s="56" t="str">
        <f aca="false">IF($W89="","",N(INDEX(发票统计!Q$4:Q$1003,$W89)))</f>
        <v/>
      </c>
      <c r="R89" s="56" t="str">
        <f aca="false">IF($W89="","",N(INDEX(发票统计!R$4:R$1003,$W89)))</f>
        <v/>
      </c>
      <c r="S89" s="56" t="str">
        <f aca="false">IF($W89="","",N(INDEX(发票统计!S$4:S$1003,$W89)))</f>
        <v/>
      </c>
      <c r="T89" s="56" t="str">
        <f aca="false">IF($W89="","",SUM(Q$4:Q89)-SUM(R$4:R89)-SUM(S$4:S89))</f>
        <v/>
      </c>
      <c r="U89" s="56" t="str">
        <f aca="false">IF($W89="","",INDEX(发票统计!U$4:U$1003,$W89)&amp;"")</f>
        <v/>
      </c>
      <c r="W89" s="1" t="str">
        <f aca="false">IF($V$3="","",IFERROR(MATCH($V$3&amp;"#"&amp;ROWS(W$4:W89),发票统计!$W$4:$W$1003,0),""))</f>
        <v/>
      </c>
    </row>
    <row r="90" customFormat="false" ht="16.5" hidden="false" customHeight="false" outlineLevel="0" collapsed="false">
      <c r="A90" s="3" t="str">
        <f aca="false">IF($W90="","",INDEX(发票统计!A$4:A$1003,$W90)&amp;"")</f>
        <v/>
      </c>
      <c r="B90" s="3" t="str">
        <f aca="false">IF($W90="","",INDEX(发票统计!B$4:B$1003,$W90)&amp;"")</f>
        <v/>
      </c>
      <c r="C90" s="3" t="str">
        <f aca="false">IF($W90="","",INDEX(发票统计!C$4:C$1003,$W90)&amp;"")</f>
        <v/>
      </c>
      <c r="D90" s="3" t="str">
        <f aca="false">IF($W90="","",INDEX(发票统计!D$4:D$1003,$W90)&amp;"")</f>
        <v/>
      </c>
      <c r="E90" s="67" t="str">
        <f aca="false">IF($W90="","",INDEX(发票统计!E$4:E$1003,$W90)&amp;"")</f>
        <v/>
      </c>
      <c r="F90" s="68" t="str">
        <f aca="false">IF($W90="","",INDEX(发票统计!F$4:F$1003,$W90)&amp;"")</f>
        <v/>
      </c>
      <c r="G90" s="68" t="str">
        <f aca="false">IF($W90="","",IF(INDEX(发票统计!G$4:G$1003,$W90)="","",INDEX(发票统计!G$4:G$1003,$W90)))</f>
        <v/>
      </c>
      <c r="H90" s="56" t="str">
        <f aca="false">IF($W90="","",N(INDEX(发票统计!H$4:H$1003,$W90)))</f>
        <v/>
      </c>
      <c r="I90" s="56" t="str">
        <f aca="false">IF($W90="","",N(INDEX(发票统计!I$4:I$1003,$W90)))</f>
        <v/>
      </c>
      <c r="J90" s="56" t="str">
        <f aca="false">IF($W90="","",N(INDEX(发票统计!J$4:J$1003,$W90)))</f>
        <v/>
      </c>
      <c r="K90" s="56" t="str">
        <f aca="false">IF($W90="","",N(INDEX(发票统计!K$4:K$1003,$W90)))</f>
        <v/>
      </c>
      <c r="L90" s="56" t="str">
        <f aca="false">IF($W90="","",SUM(J$4:J90)-SUM(K$4:K90))</f>
        <v/>
      </c>
      <c r="M90" s="56" t="str">
        <f aca="false">IF($W90="","",N(INDEX(发票统计!M$4:M$1003,$W90)))</f>
        <v/>
      </c>
      <c r="N90" s="56" t="str">
        <f aca="false">IF($W90="","",N(INDEX(发票统计!N$4:N$1003,$W90)))</f>
        <v/>
      </c>
      <c r="O90" s="56" t="str">
        <f aca="false">IF($W90="","",N(INDEX(发票统计!O$4:O$1003,$W90)))</f>
        <v/>
      </c>
      <c r="P90" s="56" t="str">
        <f aca="false">IF($W90="","",SUM(M$4:M90)-SUM(N$4:N90)-SUM(O$4:O90))</f>
        <v/>
      </c>
      <c r="Q90" s="56" t="str">
        <f aca="false">IF($W90="","",N(INDEX(发票统计!Q$4:Q$1003,$W90)))</f>
        <v/>
      </c>
      <c r="R90" s="56" t="str">
        <f aca="false">IF($W90="","",N(INDEX(发票统计!R$4:R$1003,$W90)))</f>
        <v/>
      </c>
      <c r="S90" s="56" t="str">
        <f aca="false">IF($W90="","",N(INDEX(发票统计!S$4:S$1003,$W90)))</f>
        <v/>
      </c>
      <c r="T90" s="56" t="str">
        <f aca="false">IF($W90="","",SUM(Q$4:Q90)-SUM(R$4:R90)-SUM(S$4:S90))</f>
        <v/>
      </c>
      <c r="U90" s="56" t="str">
        <f aca="false">IF($W90="","",INDEX(发票统计!U$4:U$1003,$W90)&amp;"")</f>
        <v/>
      </c>
      <c r="W90" s="1" t="str">
        <f aca="false">IF($V$3="","",IFERROR(MATCH($V$3&amp;"#"&amp;ROWS(W$4:W90),发票统计!$W$4:$W$1003,0),""))</f>
        <v/>
      </c>
    </row>
    <row r="91" customFormat="false" ht="16.5" hidden="false" customHeight="false" outlineLevel="0" collapsed="false">
      <c r="A91" s="3" t="str">
        <f aca="false">IF($W91="","",INDEX(发票统计!A$4:A$1003,$W91)&amp;"")</f>
        <v/>
      </c>
      <c r="B91" s="3" t="str">
        <f aca="false">IF($W91="","",INDEX(发票统计!B$4:B$1003,$W91)&amp;"")</f>
        <v/>
      </c>
      <c r="C91" s="3" t="str">
        <f aca="false">IF($W91="","",INDEX(发票统计!C$4:C$1003,$W91)&amp;"")</f>
        <v/>
      </c>
      <c r="D91" s="3" t="str">
        <f aca="false">IF($W91="","",INDEX(发票统计!D$4:D$1003,$W91)&amp;"")</f>
        <v/>
      </c>
      <c r="E91" s="67" t="str">
        <f aca="false">IF($W91="","",INDEX(发票统计!E$4:E$1003,$W91)&amp;"")</f>
        <v/>
      </c>
      <c r="F91" s="68" t="str">
        <f aca="false">IF($W91="","",INDEX(发票统计!F$4:F$1003,$W91)&amp;"")</f>
        <v/>
      </c>
      <c r="G91" s="68" t="str">
        <f aca="false">IF($W91="","",IF(INDEX(发票统计!G$4:G$1003,$W91)="","",INDEX(发票统计!G$4:G$1003,$W91)))</f>
        <v/>
      </c>
      <c r="H91" s="56" t="str">
        <f aca="false">IF($W91="","",N(INDEX(发票统计!H$4:H$1003,$W91)))</f>
        <v/>
      </c>
      <c r="I91" s="56" t="str">
        <f aca="false">IF($W91="","",N(INDEX(发票统计!I$4:I$1003,$W91)))</f>
        <v/>
      </c>
      <c r="J91" s="56" t="str">
        <f aca="false">IF($W91="","",N(INDEX(发票统计!J$4:J$1003,$W91)))</f>
        <v/>
      </c>
      <c r="K91" s="56" t="str">
        <f aca="false">IF($W91="","",N(INDEX(发票统计!K$4:K$1003,$W91)))</f>
        <v/>
      </c>
      <c r="L91" s="56" t="str">
        <f aca="false">IF($W91="","",SUM(J$4:J91)-SUM(K$4:K91))</f>
        <v/>
      </c>
      <c r="M91" s="56" t="str">
        <f aca="false">IF($W91="","",N(INDEX(发票统计!M$4:M$1003,$W91)))</f>
        <v/>
      </c>
      <c r="N91" s="56" t="str">
        <f aca="false">IF($W91="","",N(INDEX(发票统计!N$4:N$1003,$W91)))</f>
        <v/>
      </c>
      <c r="O91" s="56" t="str">
        <f aca="false">IF($W91="","",N(INDEX(发票统计!O$4:O$1003,$W91)))</f>
        <v/>
      </c>
      <c r="P91" s="56" t="str">
        <f aca="false">IF($W91="","",SUM(M$4:M91)-SUM(N$4:N91)-SUM(O$4:O91))</f>
        <v/>
      </c>
      <c r="Q91" s="56" t="str">
        <f aca="false">IF($W91="","",N(INDEX(发票统计!Q$4:Q$1003,$W91)))</f>
        <v/>
      </c>
      <c r="R91" s="56" t="str">
        <f aca="false">IF($W91="","",N(INDEX(发票统计!R$4:R$1003,$W91)))</f>
        <v/>
      </c>
      <c r="S91" s="56" t="str">
        <f aca="false">IF($W91="","",N(INDEX(发票统计!S$4:S$1003,$W91)))</f>
        <v/>
      </c>
      <c r="T91" s="56" t="str">
        <f aca="false">IF($W91="","",SUM(Q$4:Q91)-SUM(R$4:R91)-SUM(S$4:S91))</f>
        <v/>
      </c>
      <c r="U91" s="56" t="str">
        <f aca="false">IF($W91="","",INDEX(发票统计!U$4:U$1003,$W91)&amp;"")</f>
        <v/>
      </c>
      <c r="W91" s="1" t="str">
        <f aca="false">IF($V$3="","",IFERROR(MATCH($V$3&amp;"#"&amp;ROWS(W$4:W91),发票统计!$W$4:$W$1003,0),""))</f>
        <v/>
      </c>
    </row>
    <row r="92" customFormat="false" ht="16.5" hidden="false" customHeight="false" outlineLevel="0" collapsed="false">
      <c r="A92" s="3" t="str">
        <f aca="false">IF($W92="","",INDEX(发票统计!A$4:A$1003,$W92)&amp;"")</f>
        <v/>
      </c>
      <c r="B92" s="3" t="str">
        <f aca="false">IF($W92="","",INDEX(发票统计!B$4:B$1003,$W92)&amp;"")</f>
        <v/>
      </c>
      <c r="C92" s="3" t="str">
        <f aca="false">IF($W92="","",INDEX(发票统计!C$4:C$1003,$W92)&amp;"")</f>
        <v/>
      </c>
      <c r="D92" s="3" t="str">
        <f aca="false">IF($W92="","",INDEX(发票统计!D$4:D$1003,$W92)&amp;"")</f>
        <v/>
      </c>
      <c r="E92" s="67" t="str">
        <f aca="false">IF($W92="","",INDEX(发票统计!E$4:E$1003,$W92)&amp;"")</f>
        <v/>
      </c>
      <c r="F92" s="68" t="str">
        <f aca="false">IF($W92="","",INDEX(发票统计!F$4:F$1003,$W92)&amp;"")</f>
        <v/>
      </c>
      <c r="G92" s="68" t="str">
        <f aca="false">IF($W92="","",IF(INDEX(发票统计!G$4:G$1003,$W92)="","",INDEX(发票统计!G$4:G$1003,$W92)))</f>
        <v/>
      </c>
      <c r="H92" s="56" t="str">
        <f aca="false">IF($W92="","",N(INDEX(发票统计!H$4:H$1003,$W92)))</f>
        <v/>
      </c>
      <c r="I92" s="56" t="str">
        <f aca="false">IF($W92="","",N(INDEX(发票统计!I$4:I$1003,$W92)))</f>
        <v/>
      </c>
      <c r="J92" s="56" t="str">
        <f aca="false">IF($W92="","",N(INDEX(发票统计!J$4:J$1003,$W92)))</f>
        <v/>
      </c>
      <c r="K92" s="56" t="str">
        <f aca="false">IF($W92="","",N(INDEX(发票统计!K$4:K$1003,$W92)))</f>
        <v/>
      </c>
      <c r="L92" s="56" t="str">
        <f aca="false">IF($W92="","",SUM(J$4:J92)-SUM(K$4:K92))</f>
        <v/>
      </c>
      <c r="M92" s="56" t="str">
        <f aca="false">IF($W92="","",N(INDEX(发票统计!M$4:M$1003,$W92)))</f>
        <v/>
      </c>
      <c r="N92" s="56" t="str">
        <f aca="false">IF($W92="","",N(INDEX(发票统计!N$4:N$1003,$W92)))</f>
        <v/>
      </c>
      <c r="O92" s="56" t="str">
        <f aca="false">IF($W92="","",N(INDEX(发票统计!O$4:O$1003,$W92)))</f>
        <v/>
      </c>
      <c r="P92" s="56" t="str">
        <f aca="false">IF($W92="","",SUM(M$4:M92)-SUM(N$4:N92)-SUM(O$4:O92))</f>
        <v/>
      </c>
      <c r="Q92" s="56" t="str">
        <f aca="false">IF($W92="","",N(INDEX(发票统计!Q$4:Q$1003,$W92)))</f>
        <v/>
      </c>
      <c r="R92" s="56" t="str">
        <f aca="false">IF($W92="","",N(INDEX(发票统计!R$4:R$1003,$W92)))</f>
        <v/>
      </c>
      <c r="S92" s="56" t="str">
        <f aca="false">IF($W92="","",N(INDEX(发票统计!S$4:S$1003,$W92)))</f>
        <v/>
      </c>
      <c r="T92" s="56" t="str">
        <f aca="false">IF($W92="","",SUM(Q$4:Q92)-SUM(R$4:R92)-SUM(S$4:S92))</f>
        <v/>
      </c>
      <c r="U92" s="56" t="str">
        <f aca="false">IF($W92="","",INDEX(发票统计!U$4:U$1003,$W92)&amp;"")</f>
        <v/>
      </c>
      <c r="W92" s="1" t="str">
        <f aca="false">IF($V$3="","",IFERROR(MATCH($V$3&amp;"#"&amp;ROWS(W$4:W92),发票统计!$W$4:$W$1003,0),""))</f>
        <v/>
      </c>
    </row>
    <row r="93" customFormat="false" ht="16.5" hidden="false" customHeight="false" outlineLevel="0" collapsed="false">
      <c r="A93" s="3" t="str">
        <f aca="false">IF($W93="","",INDEX(发票统计!A$4:A$1003,$W93)&amp;"")</f>
        <v/>
      </c>
      <c r="B93" s="3" t="str">
        <f aca="false">IF($W93="","",INDEX(发票统计!B$4:B$1003,$W93)&amp;"")</f>
        <v/>
      </c>
      <c r="C93" s="3" t="str">
        <f aca="false">IF($W93="","",INDEX(发票统计!C$4:C$1003,$W93)&amp;"")</f>
        <v/>
      </c>
      <c r="D93" s="3" t="str">
        <f aca="false">IF($W93="","",INDEX(发票统计!D$4:D$1003,$W93)&amp;"")</f>
        <v/>
      </c>
      <c r="E93" s="67" t="str">
        <f aca="false">IF($W93="","",INDEX(发票统计!E$4:E$1003,$W93)&amp;"")</f>
        <v/>
      </c>
      <c r="F93" s="68" t="str">
        <f aca="false">IF($W93="","",INDEX(发票统计!F$4:F$1003,$W93)&amp;"")</f>
        <v/>
      </c>
      <c r="G93" s="68" t="str">
        <f aca="false">IF($W93="","",IF(INDEX(发票统计!G$4:G$1003,$W93)="","",INDEX(发票统计!G$4:G$1003,$W93)))</f>
        <v/>
      </c>
      <c r="H93" s="56" t="str">
        <f aca="false">IF($W93="","",N(INDEX(发票统计!H$4:H$1003,$W93)))</f>
        <v/>
      </c>
      <c r="I93" s="56" t="str">
        <f aca="false">IF($W93="","",N(INDEX(发票统计!I$4:I$1003,$W93)))</f>
        <v/>
      </c>
      <c r="J93" s="56" t="str">
        <f aca="false">IF($W93="","",N(INDEX(发票统计!J$4:J$1003,$W93)))</f>
        <v/>
      </c>
      <c r="K93" s="56" t="str">
        <f aca="false">IF($W93="","",N(INDEX(发票统计!K$4:K$1003,$W93)))</f>
        <v/>
      </c>
      <c r="L93" s="56" t="str">
        <f aca="false">IF($W93="","",SUM(J$4:J93)-SUM(K$4:K93))</f>
        <v/>
      </c>
      <c r="M93" s="56" t="str">
        <f aca="false">IF($W93="","",N(INDEX(发票统计!M$4:M$1003,$W93)))</f>
        <v/>
      </c>
      <c r="N93" s="56" t="str">
        <f aca="false">IF($W93="","",N(INDEX(发票统计!N$4:N$1003,$W93)))</f>
        <v/>
      </c>
      <c r="O93" s="56" t="str">
        <f aca="false">IF($W93="","",N(INDEX(发票统计!O$4:O$1003,$W93)))</f>
        <v/>
      </c>
      <c r="P93" s="56" t="str">
        <f aca="false">IF($W93="","",SUM(M$4:M93)-SUM(N$4:N93)-SUM(O$4:O93))</f>
        <v/>
      </c>
      <c r="Q93" s="56" t="str">
        <f aca="false">IF($W93="","",N(INDEX(发票统计!Q$4:Q$1003,$W93)))</f>
        <v/>
      </c>
      <c r="R93" s="56" t="str">
        <f aca="false">IF($W93="","",N(INDEX(发票统计!R$4:R$1003,$W93)))</f>
        <v/>
      </c>
      <c r="S93" s="56" t="str">
        <f aca="false">IF($W93="","",N(INDEX(发票统计!S$4:S$1003,$W93)))</f>
        <v/>
      </c>
      <c r="T93" s="56" t="str">
        <f aca="false">IF($W93="","",SUM(Q$4:Q93)-SUM(R$4:R93)-SUM(S$4:S93))</f>
        <v/>
      </c>
      <c r="U93" s="56" t="str">
        <f aca="false">IF($W93="","",INDEX(发票统计!U$4:U$1003,$W93)&amp;"")</f>
        <v/>
      </c>
      <c r="W93" s="1" t="str">
        <f aca="false">IF($V$3="","",IFERROR(MATCH($V$3&amp;"#"&amp;ROWS(W$4:W93),发票统计!$W$4:$W$1003,0),""))</f>
        <v/>
      </c>
    </row>
    <row r="94" customFormat="false" ht="16.5" hidden="false" customHeight="false" outlineLevel="0" collapsed="false">
      <c r="A94" s="3" t="str">
        <f aca="false">IF($W94="","",INDEX(发票统计!A$4:A$1003,$W94)&amp;"")</f>
        <v/>
      </c>
      <c r="B94" s="3" t="str">
        <f aca="false">IF($W94="","",INDEX(发票统计!B$4:B$1003,$W94)&amp;"")</f>
        <v/>
      </c>
      <c r="C94" s="3" t="str">
        <f aca="false">IF($W94="","",INDEX(发票统计!C$4:C$1003,$W94)&amp;"")</f>
        <v/>
      </c>
      <c r="D94" s="3" t="str">
        <f aca="false">IF($W94="","",INDEX(发票统计!D$4:D$1003,$W94)&amp;"")</f>
        <v/>
      </c>
      <c r="E94" s="67" t="str">
        <f aca="false">IF($W94="","",INDEX(发票统计!E$4:E$1003,$W94)&amp;"")</f>
        <v/>
      </c>
      <c r="F94" s="68" t="str">
        <f aca="false">IF($W94="","",INDEX(发票统计!F$4:F$1003,$W94)&amp;"")</f>
        <v/>
      </c>
      <c r="G94" s="68" t="str">
        <f aca="false">IF($W94="","",IF(INDEX(发票统计!G$4:G$1003,$W94)="","",INDEX(发票统计!G$4:G$1003,$W94)))</f>
        <v/>
      </c>
      <c r="H94" s="56" t="str">
        <f aca="false">IF($W94="","",N(INDEX(发票统计!H$4:H$1003,$W94)))</f>
        <v/>
      </c>
      <c r="I94" s="56" t="str">
        <f aca="false">IF($W94="","",N(INDEX(发票统计!I$4:I$1003,$W94)))</f>
        <v/>
      </c>
      <c r="J94" s="56" t="str">
        <f aca="false">IF($W94="","",N(INDEX(发票统计!J$4:J$1003,$W94)))</f>
        <v/>
      </c>
      <c r="K94" s="56" t="str">
        <f aca="false">IF($W94="","",N(INDEX(发票统计!K$4:K$1003,$W94)))</f>
        <v/>
      </c>
      <c r="L94" s="56" t="str">
        <f aca="false">IF($W94="","",SUM(J$4:J94)-SUM(K$4:K94))</f>
        <v/>
      </c>
      <c r="M94" s="56" t="str">
        <f aca="false">IF($W94="","",N(INDEX(发票统计!M$4:M$1003,$W94)))</f>
        <v/>
      </c>
      <c r="N94" s="56" t="str">
        <f aca="false">IF($W94="","",N(INDEX(发票统计!N$4:N$1003,$W94)))</f>
        <v/>
      </c>
      <c r="O94" s="56" t="str">
        <f aca="false">IF($W94="","",N(INDEX(发票统计!O$4:O$1003,$W94)))</f>
        <v/>
      </c>
      <c r="P94" s="56" t="str">
        <f aca="false">IF($W94="","",SUM(M$4:M94)-SUM(N$4:N94)-SUM(O$4:O94))</f>
        <v/>
      </c>
      <c r="Q94" s="56" t="str">
        <f aca="false">IF($W94="","",N(INDEX(发票统计!Q$4:Q$1003,$W94)))</f>
        <v/>
      </c>
      <c r="R94" s="56" t="str">
        <f aca="false">IF($W94="","",N(INDEX(发票统计!R$4:R$1003,$W94)))</f>
        <v/>
      </c>
      <c r="S94" s="56" t="str">
        <f aca="false">IF($W94="","",N(INDEX(发票统计!S$4:S$1003,$W94)))</f>
        <v/>
      </c>
      <c r="T94" s="56" t="str">
        <f aca="false">IF($W94="","",SUM(Q$4:Q94)-SUM(R$4:R94)-SUM(S$4:S94))</f>
        <v/>
      </c>
      <c r="U94" s="56" t="str">
        <f aca="false">IF($W94="","",INDEX(发票统计!U$4:U$1003,$W94)&amp;"")</f>
        <v/>
      </c>
      <c r="W94" s="1" t="str">
        <f aca="false">IF($V$3="","",IFERROR(MATCH($V$3&amp;"#"&amp;ROWS(W$4:W94),发票统计!$W$4:$W$1003,0),""))</f>
        <v/>
      </c>
    </row>
    <row r="95" customFormat="false" ht="16.5" hidden="false" customHeight="false" outlineLevel="0" collapsed="false">
      <c r="A95" s="3" t="str">
        <f aca="false">IF($W95="","",INDEX(发票统计!A$4:A$1003,$W95)&amp;"")</f>
        <v/>
      </c>
      <c r="B95" s="3" t="str">
        <f aca="false">IF($W95="","",INDEX(发票统计!B$4:B$1003,$W95)&amp;"")</f>
        <v/>
      </c>
      <c r="C95" s="3" t="str">
        <f aca="false">IF($W95="","",INDEX(发票统计!C$4:C$1003,$W95)&amp;"")</f>
        <v/>
      </c>
      <c r="D95" s="3" t="str">
        <f aca="false">IF($W95="","",INDEX(发票统计!D$4:D$1003,$W95)&amp;"")</f>
        <v/>
      </c>
      <c r="E95" s="67" t="str">
        <f aca="false">IF($W95="","",INDEX(发票统计!E$4:E$1003,$W95)&amp;"")</f>
        <v/>
      </c>
      <c r="F95" s="68" t="str">
        <f aca="false">IF($W95="","",INDEX(发票统计!F$4:F$1003,$W95)&amp;"")</f>
        <v/>
      </c>
      <c r="G95" s="68" t="str">
        <f aca="false">IF($W95="","",IF(INDEX(发票统计!G$4:G$1003,$W95)="","",INDEX(发票统计!G$4:G$1003,$W95)))</f>
        <v/>
      </c>
      <c r="H95" s="56" t="str">
        <f aca="false">IF($W95="","",N(INDEX(发票统计!H$4:H$1003,$W95)))</f>
        <v/>
      </c>
      <c r="I95" s="56" t="str">
        <f aca="false">IF($W95="","",N(INDEX(发票统计!I$4:I$1003,$W95)))</f>
        <v/>
      </c>
      <c r="J95" s="56" t="str">
        <f aca="false">IF($W95="","",N(INDEX(发票统计!J$4:J$1003,$W95)))</f>
        <v/>
      </c>
      <c r="K95" s="56" t="str">
        <f aca="false">IF($W95="","",N(INDEX(发票统计!K$4:K$1003,$W95)))</f>
        <v/>
      </c>
      <c r="L95" s="56" t="str">
        <f aca="false">IF($W95="","",SUM(J$4:J95)-SUM(K$4:K95))</f>
        <v/>
      </c>
      <c r="M95" s="56" t="str">
        <f aca="false">IF($W95="","",N(INDEX(发票统计!M$4:M$1003,$W95)))</f>
        <v/>
      </c>
      <c r="N95" s="56" t="str">
        <f aca="false">IF($W95="","",N(INDEX(发票统计!N$4:N$1003,$W95)))</f>
        <v/>
      </c>
      <c r="O95" s="56" t="str">
        <f aca="false">IF($W95="","",N(INDEX(发票统计!O$4:O$1003,$W95)))</f>
        <v/>
      </c>
      <c r="P95" s="56" t="str">
        <f aca="false">IF($W95="","",SUM(M$4:M95)-SUM(N$4:N95)-SUM(O$4:O95))</f>
        <v/>
      </c>
      <c r="Q95" s="56" t="str">
        <f aca="false">IF($W95="","",N(INDEX(发票统计!Q$4:Q$1003,$W95)))</f>
        <v/>
      </c>
      <c r="R95" s="56" t="str">
        <f aca="false">IF($W95="","",N(INDEX(发票统计!R$4:R$1003,$W95)))</f>
        <v/>
      </c>
      <c r="S95" s="56" t="str">
        <f aca="false">IF($W95="","",N(INDEX(发票统计!S$4:S$1003,$W95)))</f>
        <v/>
      </c>
      <c r="T95" s="56" t="str">
        <f aca="false">IF($W95="","",SUM(Q$4:Q95)-SUM(R$4:R95)-SUM(S$4:S95))</f>
        <v/>
      </c>
      <c r="U95" s="56" t="str">
        <f aca="false">IF($W95="","",INDEX(发票统计!U$4:U$1003,$W95)&amp;"")</f>
        <v/>
      </c>
      <c r="W95" s="1" t="str">
        <f aca="false">IF($V$3="","",IFERROR(MATCH($V$3&amp;"#"&amp;ROWS(W$4:W95),发票统计!$W$4:$W$1003,0),""))</f>
        <v/>
      </c>
    </row>
    <row r="96" customFormat="false" ht="16.5" hidden="false" customHeight="false" outlineLevel="0" collapsed="false">
      <c r="A96" s="3" t="str">
        <f aca="false">IF($W96="","",INDEX(发票统计!A$4:A$1003,$W96)&amp;"")</f>
        <v/>
      </c>
      <c r="B96" s="3" t="str">
        <f aca="false">IF($W96="","",INDEX(发票统计!B$4:B$1003,$W96)&amp;"")</f>
        <v/>
      </c>
      <c r="C96" s="3" t="str">
        <f aca="false">IF($W96="","",INDEX(发票统计!C$4:C$1003,$W96)&amp;"")</f>
        <v/>
      </c>
      <c r="D96" s="3" t="str">
        <f aca="false">IF($W96="","",INDEX(发票统计!D$4:D$1003,$W96)&amp;"")</f>
        <v/>
      </c>
      <c r="E96" s="67" t="str">
        <f aca="false">IF($W96="","",INDEX(发票统计!E$4:E$1003,$W96)&amp;"")</f>
        <v/>
      </c>
      <c r="F96" s="68" t="str">
        <f aca="false">IF($W96="","",INDEX(发票统计!F$4:F$1003,$W96)&amp;"")</f>
        <v/>
      </c>
      <c r="G96" s="68" t="str">
        <f aca="false">IF($W96="","",IF(INDEX(发票统计!G$4:G$1003,$W96)="","",INDEX(发票统计!G$4:G$1003,$W96)))</f>
        <v/>
      </c>
      <c r="H96" s="56" t="str">
        <f aca="false">IF($W96="","",N(INDEX(发票统计!H$4:H$1003,$W96)))</f>
        <v/>
      </c>
      <c r="I96" s="56" t="str">
        <f aca="false">IF($W96="","",N(INDEX(发票统计!I$4:I$1003,$W96)))</f>
        <v/>
      </c>
      <c r="J96" s="56" t="str">
        <f aca="false">IF($W96="","",N(INDEX(发票统计!J$4:J$1003,$W96)))</f>
        <v/>
      </c>
      <c r="K96" s="56" t="str">
        <f aca="false">IF($W96="","",N(INDEX(发票统计!K$4:K$1003,$W96)))</f>
        <v/>
      </c>
      <c r="L96" s="56" t="str">
        <f aca="false">IF($W96="","",SUM(J$4:J96)-SUM(K$4:K96))</f>
        <v/>
      </c>
      <c r="M96" s="56" t="str">
        <f aca="false">IF($W96="","",N(INDEX(发票统计!M$4:M$1003,$W96)))</f>
        <v/>
      </c>
      <c r="N96" s="56" t="str">
        <f aca="false">IF($W96="","",N(INDEX(发票统计!N$4:N$1003,$W96)))</f>
        <v/>
      </c>
      <c r="O96" s="56" t="str">
        <f aca="false">IF($W96="","",N(INDEX(发票统计!O$4:O$1003,$W96)))</f>
        <v/>
      </c>
      <c r="P96" s="56" t="str">
        <f aca="false">IF($W96="","",SUM(M$4:M96)-SUM(N$4:N96)-SUM(O$4:O96))</f>
        <v/>
      </c>
      <c r="Q96" s="56" t="str">
        <f aca="false">IF($W96="","",N(INDEX(发票统计!Q$4:Q$1003,$W96)))</f>
        <v/>
      </c>
      <c r="R96" s="56" t="str">
        <f aca="false">IF($W96="","",N(INDEX(发票统计!R$4:R$1003,$W96)))</f>
        <v/>
      </c>
      <c r="S96" s="56" t="str">
        <f aca="false">IF($W96="","",N(INDEX(发票统计!S$4:S$1003,$W96)))</f>
        <v/>
      </c>
      <c r="T96" s="56" t="str">
        <f aca="false">IF($W96="","",SUM(Q$4:Q96)-SUM(R$4:R96)-SUM(S$4:S96))</f>
        <v/>
      </c>
      <c r="U96" s="56" t="str">
        <f aca="false">IF($W96="","",INDEX(发票统计!U$4:U$1003,$W96)&amp;"")</f>
        <v/>
      </c>
      <c r="W96" s="1" t="str">
        <f aca="false">IF($V$3="","",IFERROR(MATCH($V$3&amp;"#"&amp;ROWS(W$4:W96),发票统计!$W$4:$W$1003,0),""))</f>
        <v/>
      </c>
    </row>
    <row r="97" customFormat="false" ht="16.5" hidden="false" customHeight="false" outlineLevel="0" collapsed="false">
      <c r="A97" s="3" t="str">
        <f aca="false">IF($W97="","",INDEX(发票统计!A$4:A$1003,$W97)&amp;"")</f>
        <v/>
      </c>
      <c r="B97" s="3" t="str">
        <f aca="false">IF($W97="","",INDEX(发票统计!B$4:B$1003,$W97)&amp;"")</f>
        <v/>
      </c>
      <c r="C97" s="3" t="str">
        <f aca="false">IF($W97="","",INDEX(发票统计!C$4:C$1003,$W97)&amp;"")</f>
        <v/>
      </c>
      <c r="D97" s="3" t="str">
        <f aca="false">IF($W97="","",INDEX(发票统计!D$4:D$1003,$W97)&amp;"")</f>
        <v/>
      </c>
      <c r="E97" s="67" t="str">
        <f aca="false">IF($W97="","",INDEX(发票统计!E$4:E$1003,$W97)&amp;"")</f>
        <v/>
      </c>
      <c r="F97" s="68" t="str">
        <f aca="false">IF($W97="","",INDEX(发票统计!F$4:F$1003,$W97)&amp;"")</f>
        <v/>
      </c>
      <c r="G97" s="68" t="str">
        <f aca="false">IF($W97="","",IF(INDEX(发票统计!G$4:G$1003,$W97)="","",INDEX(发票统计!G$4:G$1003,$W97)))</f>
        <v/>
      </c>
      <c r="H97" s="56" t="str">
        <f aca="false">IF($W97="","",N(INDEX(发票统计!H$4:H$1003,$W97)))</f>
        <v/>
      </c>
      <c r="I97" s="56" t="str">
        <f aca="false">IF($W97="","",N(INDEX(发票统计!I$4:I$1003,$W97)))</f>
        <v/>
      </c>
      <c r="J97" s="56" t="str">
        <f aca="false">IF($W97="","",N(INDEX(发票统计!J$4:J$1003,$W97)))</f>
        <v/>
      </c>
      <c r="K97" s="56" t="str">
        <f aca="false">IF($W97="","",N(INDEX(发票统计!K$4:K$1003,$W97)))</f>
        <v/>
      </c>
      <c r="L97" s="56" t="str">
        <f aca="false">IF($W97="","",SUM(J$4:J97)-SUM(K$4:K97))</f>
        <v/>
      </c>
      <c r="M97" s="56" t="str">
        <f aca="false">IF($W97="","",N(INDEX(发票统计!M$4:M$1003,$W97)))</f>
        <v/>
      </c>
      <c r="N97" s="56" t="str">
        <f aca="false">IF($W97="","",N(INDEX(发票统计!N$4:N$1003,$W97)))</f>
        <v/>
      </c>
      <c r="O97" s="56" t="str">
        <f aca="false">IF($W97="","",N(INDEX(发票统计!O$4:O$1003,$W97)))</f>
        <v/>
      </c>
      <c r="P97" s="56" t="str">
        <f aca="false">IF($W97="","",SUM(M$4:M97)-SUM(N$4:N97)-SUM(O$4:O97))</f>
        <v/>
      </c>
      <c r="Q97" s="56" t="str">
        <f aca="false">IF($W97="","",N(INDEX(发票统计!Q$4:Q$1003,$W97)))</f>
        <v/>
      </c>
      <c r="R97" s="56" t="str">
        <f aca="false">IF($W97="","",N(INDEX(发票统计!R$4:R$1003,$W97)))</f>
        <v/>
      </c>
      <c r="S97" s="56" t="str">
        <f aca="false">IF($W97="","",N(INDEX(发票统计!S$4:S$1003,$W97)))</f>
        <v/>
      </c>
      <c r="T97" s="56" t="str">
        <f aca="false">IF($W97="","",SUM(Q$4:Q97)-SUM(R$4:R97)-SUM(S$4:S97))</f>
        <v/>
      </c>
      <c r="U97" s="56" t="str">
        <f aca="false">IF($W97="","",INDEX(发票统计!U$4:U$1003,$W97)&amp;"")</f>
        <v/>
      </c>
      <c r="W97" s="1" t="str">
        <f aca="false">IF($V$3="","",IFERROR(MATCH($V$3&amp;"#"&amp;ROWS(W$4:W97),发票统计!$W$4:$W$1003,0),""))</f>
        <v/>
      </c>
    </row>
    <row r="98" customFormat="false" ht="16.5" hidden="false" customHeight="false" outlineLevel="0" collapsed="false">
      <c r="A98" s="3" t="str">
        <f aca="false">IF($W98="","",INDEX(发票统计!A$4:A$1003,$W98)&amp;"")</f>
        <v/>
      </c>
      <c r="B98" s="3" t="str">
        <f aca="false">IF($W98="","",INDEX(发票统计!B$4:B$1003,$W98)&amp;"")</f>
        <v/>
      </c>
      <c r="C98" s="3" t="str">
        <f aca="false">IF($W98="","",INDEX(发票统计!C$4:C$1003,$W98)&amp;"")</f>
        <v/>
      </c>
      <c r="D98" s="3" t="str">
        <f aca="false">IF($W98="","",INDEX(发票统计!D$4:D$1003,$W98)&amp;"")</f>
        <v/>
      </c>
      <c r="E98" s="67" t="str">
        <f aca="false">IF($W98="","",INDEX(发票统计!E$4:E$1003,$W98)&amp;"")</f>
        <v/>
      </c>
      <c r="F98" s="68" t="str">
        <f aca="false">IF($W98="","",INDEX(发票统计!F$4:F$1003,$W98)&amp;"")</f>
        <v/>
      </c>
      <c r="G98" s="68" t="str">
        <f aca="false">IF($W98="","",IF(INDEX(发票统计!G$4:G$1003,$W98)="","",INDEX(发票统计!G$4:G$1003,$W98)))</f>
        <v/>
      </c>
      <c r="H98" s="56" t="str">
        <f aca="false">IF($W98="","",N(INDEX(发票统计!H$4:H$1003,$W98)))</f>
        <v/>
      </c>
      <c r="I98" s="56" t="str">
        <f aca="false">IF($W98="","",N(INDEX(发票统计!I$4:I$1003,$W98)))</f>
        <v/>
      </c>
      <c r="J98" s="56" t="str">
        <f aca="false">IF($W98="","",N(INDEX(发票统计!J$4:J$1003,$W98)))</f>
        <v/>
      </c>
      <c r="K98" s="56" t="str">
        <f aca="false">IF($W98="","",N(INDEX(发票统计!K$4:K$1003,$W98)))</f>
        <v/>
      </c>
      <c r="L98" s="56" t="str">
        <f aca="false">IF($W98="","",SUM(J$4:J98)-SUM(K$4:K98))</f>
        <v/>
      </c>
      <c r="M98" s="56" t="str">
        <f aca="false">IF($W98="","",N(INDEX(发票统计!M$4:M$1003,$W98)))</f>
        <v/>
      </c>
      <c r="N98" s="56" t="str">
        <f aca="false">IF($W98="","",N(INDEX(发票统计!N$4:N$1003,$W98)))</f>
        <v/>
      </c>
      <c r="O98" s="56" t="str">
        <f aca="false">IF($W98="","",N(INDEX(发票统计!O$4:O$1003,$W98)))</f>
        <v/>
      </c>
      <c r="P98" s="56" t="str">
        <f aca="false">IF($W98="","",SUM(M$4:M98)-SUM(N$4:N98)-SUM(O$4:O98))</f>
        <v/>
      </c>
      <c r="Q98" s="56" t="str">
        <f aca="false">IF($W98="","",N(INDEX(发票统计!Q$4:Q$1003,$W98)))</f>
        <v/>
      </c>
      <c r="R98" s="56" t="str">
        <f aca="false">IF($W98="","",N(INDEX(发票统计!R$4:R$1003,$W98)))</f>
        <v/>
      </c>
      <c r="S98" s="56" t="str">
        <f aca="false">IF($W98="","",N(INDEX(发票统计!S$4:S$1003,$W98)))</f>
        <v/>
      </c>
      <c r="T98" s="56" t="str">
        <f aca="false">IF($W98="","",SUM(Q$4:Q98)-SUM(R$4:R98)-SUM(S$4:S98))</f>
        <v/>
      </c>
      <c r="U98" s="56" t="str">
        <f aca="false">IF($W98="","",INDEX(发票统计!U$4:U$1003,$W98)&amp;"")</f>
        <v/>
      </c>
      <c r="W98" s="1" t="str">
        <f aca="false">IF($V$3="","",IFERROR(MATCH($V$3&amp;"#"&amp;ROWS(W$4:W98),发票统计!$W$4:$W$1003,0),""))</f>
        <v/>
      </c>
    </row>
    <row r="99" customFormat="false" ht="16.5" hidden="false" customHeight="false" outlineLevel="0" collapsed="false">
      <c r="A99" s="3" t="str">
        <f aca="false">IF($W99="","",INDEX(发票统计!A$4:A$1003,$W99)&amp;"")</f>
        <v/>
      </c>
      <c r="B99" s="3" t="str">
        <f aca="false">IF($W99="","",INDEX(发票统计!B$4:B$1003,$W99)&amp;"")</f>
        <v/>
      </c>
      <c r="C99" s="3" t="str">
        <f aca="false">IF($W99="","",INDEX(发票统计!C$4:C$1003,$W99)&amp;"")</f>
        <v/>
      </c>
      <c r="D99" s="3" t="str">
        <f aca="false">IF($W99="","",INDEX(发票统计!D$4:D$1003,$W99)&amp;"")</f>
        <v/>
      </c>
      <c r="E99" s="67" t="str">
        <f aca="false">IF($W99="","",INDEX(发票统计!E$4:E$1003,$W99)&amp;"")</f>
        <v/>
      </c>
      <c r="F99" s="68" t="str">
        <f aca="false">IF($W99="","",INDEX(发票统计!F$4:F$1003,$W99)&amp;"")</f>
        <v/>
      </c>
      <c r="G99" s="68" t="str">
        <f aca="false">IF($W99="","",IF(INDEX(发票统计!G$4:G$1003,$W99)="","",INDEX(发票统计!G$4:G$1003,$W99)))</f>
        <v/>
      </c>
      <c r="H99" s="56" t="str">
        <f aca="false">IF($W99="","",N(INDEX(发票统计!H$4:H$1003,$W99)))</f>
        <v/>
      </c>
      <c r="I99" s="56" t="str">
        <f aca="false">IF($W99="","",N(INDEX(发票统计!I$4:I$1003,$W99)))</f>
        <v/>
      </c>
      <c r="J99" s="56" t="str">
        <f aca="false">IF($W99="","",N(INDEX(发票统计!J$4:J$1003,$W99)))</f>
        <v/>
      </c>
      <c r="K99" s="56" t="str">
        <f aca="false">IF($W99="","",N(INDEX(发票统计!K$4:K$1003,$W99)))</f>
        <v/>
      </c>
      <c r="L99" s="56" t="str">
        <f aca="false">IF($W99="","",SUM(J$4:J99)-SUM(K$4:K99))</f>
        <v/>
      </c>
      <c r="M99" s="56" t="str">
        <f aca="false">IF($W99="","",N(INDEX(发票统计!M$4:M$1003,$W99)))</f>
        <v/>
      </c>
      <c r="N99" s="56" t="str">
        <f aca="false">IF($W99="","",N(INDEX(发票统计!N$4:N$1003,$W99)))</f>
        <v/>
      </c>
      <c r="O99" s="56" t="str">
        <f aca="false">IF($W99="","",N(INDEX(发票统计!O$4:O$1003,$W99)))</f>
        <v/>
      </c>
      <c r="P99" s="56" t="str">
        <f aca="false">IF($W99="","",SUM(M$4:M99)-SUM(N$4:N99)-SUM(O$4:O99))</f>
        <v/>
      </c>
      <c r="Q99" s="56" t="str">
        <f aca="false">IF($W99="","",N(INDEX(发票统计!Q$4:Q$1003,$W99)))</f>
        <v/>
      </c>
      <c r="R99" s="56" t="str">
        <f aca="false">IF($W99="","",N(INDEX(发票统计!R$4:R$1003,$W99)))</f>
        <v/>
      </c>
      <c r="S99" s="56" t="str">
        <f aca="false">IF($W99="","",N(INDEX(发票统计!S$4:S$1003,$W99)))</f>
        <v/>
      </c>
      <c r="T99" s="56" t="str">
        <f aca="false">IF($W99="","",SUM(Q$4:Q99)-SUM(R$4:R99)-SUM(S$4:S99))</f>
        <v/>
      </c>
      <c r="U99" s="56" t="str">
        <f aca="false">IF($W99="","",INDEX(发票统计!U$4:U$1003,$W99)&amp;"")</f>
        <v/>
      </c>
      <c r="W99" s="1" t="str">
        <f aca="false">IF($V$3="","",IFERROR(MATCH($V$3&amp;"#"&amp;ROWS(W$4:W99),发票统计!$W$4:$W$1003,0),""))</f>
        <v/>
      </c>
    </row>
    <row r="100" customFormat="false" ht="16.5" hidden="false" customHeight="false" outlineLevel="0" collapsed="false">
      <c r="A100" s="3" t="str">
        <f aca="false">IF($W100="","",INDEX(发票统计!A$4:A$1003,$W100)&amp;"")</f>
        <v/>
      </c>
      <c r="B100" s="3" t="str">
        <f aca="false">IF($W100="","",INDEX(发票统计!B$4:B$1003,$W100)&amp;"")</f>
        <v/>
      </c>
      <c r="C100" s="3" t="str">
        <f aca="false">IF($W100="","",INDEX(发票统计!C$4:C$1003,$W100)&amp;"")</f>
        <v/>
      </c>
      <c r="D100" s="3" t="str">
        <f aca="false">IF($W100="","",INDEX(发票统计!D$4:D$1003,$W100)&amp;"")</f>
        <v/>
      </c>
      <c r="E100" s="67" t="str">
        <f aca="false">IF($W100="","",INDEX(发票统计!E$4:E$1003,$W100)&amp;"")</f>
        <v/>
      </c>
      <c r="F100" s="68" t="str">
        <f aca="false">IF($W100="","",INDEX(发票统计!F$4:F$1003,$W100)&amp;"")</f>
        <v/>
      </c>
      <c r="G100" s="68" t="str">
        <f aca="false">IF($W100="","",IF(INDEX(发票统计!G$4:G$1003,$W100)="","",INDEX(发票统计!G$4:G$1003,$W100)))</f>
        <v/>
      </c>
      <c r="H100" s="56" t="str">
        <f aca="false">IF($W100="","",N(INDEX(发票统计!H$4:H$1003,$W100)))</f>
        <v/>
      </c>
      <c r="I100" s="56" t="str">
        <f aca="false">IF($W100="","",N(INDEX(发票统计!I$4:I$1003,$W100)))</f>
        <v/>
      </c>
      <c r="J100" s="56" t="str">
        <f aca="false">IF($W100="","",N(INDEX(发票统计!J$4:J$1003,$W100)))</f>
        <v/>
      </c>
      <c r="K100" s="56" t="str">
        <f aca="false">IF($W100="","",N(INDEX(发票统计!K$4:K$1003,$W100)))</f>
        <v/>
      </c>
      <c r="L100" s="56" t="str">
        <f aca="false">IF($W100="","",SUM(J$4:J100)-SUM(K$4:K100))</f>
        <v/>
      </c>
      <c r="M100" s="56" t="str">
        <f aca="false">IF($W100="","",N(INDEX(发票统计!M$4:M$1003,$W100)))</f>
        <v/>
      </c>
      <c r="N100" s="56" t="str">
        <f aca="false">IF($W100="","",N(INDEX(发票统计!N$4:N$1003,$W100)))</f>
        <v/>
      </c>
      <c r="O100" s="56" t="str">
        <f aca="false">IF($W100="","",N(INDEX(发票统计!O$4:O$1003,$W100)))</f>
        <v/>
      </c>
      <c r="P100" s="56" t="str">
        <f aca="false">IF($W100="","",SUM(M$4:M100)-SUM(N$4:N100)-SUM(O$4:O100))</f>
        <v/>
      </c>
      <c r="Q100" s="56" t="str">
        <f aca="false">IF($W100="","",N(INDEX(发票统计!Q$4:Q$1003,$W100)))</f>
        <v/>
      </c>
      <c r="R100" s="56" t="str">
        <f aca="false">IF($W100="","",N(INDEX(发票统计!R$4:R$1003,$W100)))</f>
        <v/>
      </c>
      <c r="S100" s="56" t="str">
        <f aca="false">IF($W100="","",N(INDEX(发票统计!S$4:S$1003,$W100)))</f>
        <v/>
      </c>
      <c r="T100" s="56" t="str">
        <f aca="false">IF($W100="","",SUM(Q$4:Q100)-SUM(R$4:R100)-SUM(S$4:S100))</f>
        <v/>
      </c>
      <c r="U100" s="56" t="str">
        <f aca="false">IF($W100="","",INDEX(发票统计!U$4:U$1003,$W100)&amp;"")</f>
        <v/>
      </c>
      <c r="W100" s="1" t="str">
        <f aca="false">IF($V$3="","",IFERROR(MATCH($V$3&amp;"#"&amp;ROWS(W$4:W100),发票统计!$W$4:$W$1003,0),""))</f>
        <v/>
      </c>
    </row>
    <row r="101" customFormat="false" ht="16.5" hidden="false" customHeight="false" outlineLevel="0" collapsed="false">
      <c r="A101" s="3" t="str">
        <f aca="false">IF($W101="","",INDEX(发票统计!A$4:A$1003,$W101)&amp;"")</f>
        <v/>
      </c>
      <c r="B101" s="3" t="str">
        <f aca="false">IF($W101="","",INDEX(发票统计!B$4:B$1003,$W101)&amp;"")</f>
        <v/>
      </c>
      <c r="C101" s="3" t="str">
        <f aca="false">IF($W101="","",INDEX(发票统计!C$4:C$1003,$W101)&amp;"")</f>
        <v/>
      </c>
      <c r="D101" s="3" t="str">
        <f aca="false">IF($W101="","",INDEX(发票统计!D$4:D$1003,$W101)&amp;"")</f>
        <v/>
      </c>
      <c r="E101" s="67" t="str">
        <f aca="false">IF($W101="","",INDEX(发票统计!E$4:E$1003,$W101)&amp;"")</f>
        <v/>
      </c>
      <c r="F101" s="68" t="str">
        <f aca="false">IF($W101="","",INDEX(发票统计!F$4:F$1003,$W101)&amp;"")</f>
        <v/>
      </c>
      <c r="G101" s="68" t="str">
        <f aca="false">IF($W101="","",IF(INDEX(发票统计!G$4:G$1003,$W101)="","",INDEX(发票统计!G$4:G$1003,$W101)))</f>
        <v/>
      </c>
      <c r="H101" s="56" t="str">
        <f aca="false">IF($W101="","",N(INDEX(发票统计!H$4:H$1003,$W101)))</f>
        <v/>
      </c>
      <c r="I101" s="56" t="str">
        <f aca="false">IF($W101="","",N(INDEX(发票统计!I$4:I$1003,$W101)))</f>
        <v/>
      </c>
      <c r="J101" s="56" t="str">
        <f aca="false">IF($W101="","",N(INDEX(发票统计!J$4:J$1003,$W101)))</f>
        <v/>
      </c>
      <c r="K101" s="56" t="str">
        <f aca="false">IF($W101="","",N(INDEX(发票统计!K$4:K$1003,$W101)))</f>
        <v/>
      </c>
      <c r="L101" s="56" t="str">
        <f aca="false">IF($W101="","",SUM(J$4:J101)-SUM(K$4:K101))</f>
        <v/>
      </c>
      <c r="M101" s="56" t="str">
        <f aca="false">IF($W101="","",N(INDEX(发票统计!M$4:M$1003,$W101)))</f>
        <v/>
      </c>
      <c r="N101" s="56" t="str">
        <f aca="false">IF($W101="","",N(INDEX(发票统计!N$4:N$1003,$W101)))</f>
        <v/>
      </c>
      <c r="O101" s="56" t="str">
        <f aca="false">IF($W101="","",N(INDEX(发票统计!O$4:O$1003,$W101)))</f>
        <v/>
      </c>
      <c r="P101" s="56" t="str">
        <f aca="false">IF($W101="","",SUM(M$4:M101)-SUM(N$4:N101)-SUM(O$4:O101))</f>
        <v/>
      </c>
      <c r="Q101" s="56" t="str">
        <f aca="false">IF($W101="","",N(INDEX(发票统计!Q$4:Q$1003,$W101)))</f>
        <v/>
      </c>
      <c r="R101" s="56" t="str">
        <f aca="false">IF($W101="","",N(INDEX(发票统计!R$4:R$1003,$W101)))</f>
        <v/>
      </c>
      <c r="S101" s="56" t="str">
        <f aca="false">IF($W101="","",N(INDEX(发票统计!S$4:S$1003,$W101)))</f>
        <v/>
      </c>
      <c r="T101" s="56" t="str">
        <f aca="false">IF($W101="","",SUM(Q$4:Q101)-SUM(R$4:R101)-SUM(S$4:S101))</f>
        <v/>
      </c>
      <c r="U101" s="56" t="str">
        <f aca="false">IF($W101="","",INDEX(发票统计!U$4:U$1003,$W101)&amp;"")</f>
        <v/>
      </c>
      <c r="W101" s="1" t="str">
        <f aca="false">IF($V$3="","",IFERROR(MATCH($V$3&amp;"#"&amp;ROWS(W$4:W101),发票统计!$W$4:$W$1003,0),""))</f>
        <v/>
      </c>
    </row>
    <row r="102" customFormat="false" ht="16.5" hidden="false" customHeight="false" outlineLevel="0" collapsed="false">
      <c r="A102" s="3" t="str">
        <f aca="false">IF($W102="","",INDEX(发票统计!A$4:A$1003,$W102)&amp;"")</f>
        <v/>
      </c>
      <c r="B102" s="3" t="str">
        <f aca="false">IF($W102="","",INDEX(发票统计!B$4:B$1003,$W102)&amp;"")</f>
        <v/>
      </c>
      <c r="C102" s="3" t="str">
        <f aca="false">IF($W102="","",INDEX(发票统计!C$4:C$1003,$W102)&amp;"")</f>
        <v/>
      </c>
      <c r="D102" s="3" t="str">
        <f aca="false">IF($W102="","",INDEX(发票统计!D$4:D$1003,$W102)&amp;"")</f>
        <v/>
      </c>
      <c r="E102" s="67" t="str">
        <f aca="false">IF($W102="","",INDEX(发票统计!E$4:E$1003,$W102)&amp;"")</f>
        <v/>
      </c>
      <c r="F102" s="68" t="str">
        <f aca="false">IF($W102="","",INDEX(发票统计!F$4:F$1003,$W102)&amp;"")</f>
        <v/>
      </c>
      <c r="G102" s="68" t="str">
        <f aca="false">IF($W102="","",IF(INDEX(发票统计!G$4:G$1003,$W102)="","",INDEX(发票统计!G$4:G$1003,$W102)))</f>
        <v/>
      </c>
      <c r="H102" s="56" t="str">
        <f aca="false">IF($W102="","",N(INDEX(发票统计!H$4:H$1003,$W102)))</f>
        <v/>
      </c>
      <c r="I102" s="56" t="str">
        <f aca="false">IF($W102="","",N(INDEX(发票统计!I$4:I$1003,$W102)))</f>
        <v/>
      </c>
      <c r="J102" s="56" t="str">
        <f aca="false">IF($W102="","",N(INDEX(发票统计!J$4:J$1003,$W102)))</f>
        <v/>
      </c>
      <c r="K102" s="56" t="str">
        <f aca="false">IF($W102="","",N(INDEX(发票统计!K$4:K$1003,$W102)))</f>
        <v/>
      </c>
      <c r="L102" s="56" t="str">
        <f aca="false">IF($W102="","",SUM(J$4:J102)-SUM(K$4:K102))</f>
        <v/>
      </c>
      <c r="M102" s="56" t="str">
        <f aca="false">IF($W102="","",N(INDEX(发票统计!M$4:M$1003,$W102)))</f>
        <v/>
      </c>
      <c r="N102" s="56" t="str">
        <f aca="false">IF($W102="","",N(INDEX(发票统计!N$4:N$1003,$W102)))</f>
        <v/>
      </c>
      <c r="O102" s="56" t="str">
        <f aca="false">IF($W102="","",N(INDEX(发票统计!O$4:O$1003,$W102)))</f>
        <v/>
      </c>
      <c r="P102" s="56" t="str">
        <f aca="false">IF($W102="","",SUM(M$4:M102)-SUM(N$4:N102)-SUM(O$4:O102))</f>
        <v/>
      </c>
      <c r="Q102" s="56" t="str">
        <f aca="false">IF($W102="","",N(INDEX(发票统计!Q$4:Q$1003,$W102)))</f>
        <v/>
      </c>
      <c r="R102" s="56" t="str">
        <f aca="false">IF($W102="","",N(INDEX(发票统计!R$4:R$1003,$W102)))</f>
        <v/>
      </c>
      <c r="S102" s="56" t="str">
        <f aca="false">IF($W102="","",N(INDEX(发票统计!S$4:S$1003,$W102)))</f>
        <v/>
      </c>
      <c r="T102" s="56" t="str">
        <f aca="false">IF($W102="","",SUM(Q$4:Q102)-SUM(R$4:R102)-SUM(S$4:S102))</f>
        <v/>
      </c>
      <c r="U102" s="56" t="str">
        <f aca="false">IF($W102="","",INDEX(发票统计!U$4:U$1003,$W102)&amp;"")</f>
        <v/>
      </c>
      <c r="W102" s="1" t="str">
        <f aca="false">IF($V$3="","",IFERROR(MATCH($V$3&amp;"#"&amp;ROWS(W$4:W102),发票统计!$W$4:$W$1003,0),""))</f>
        <v/>
      </c>
    </row>
    <row r="103" customFormat="false" ht="16.5" hidden="false" customHeight="false" outlineLevel="0" collapsed="false">
      <c r="A103" s="3" t="str">
        <f aca="false">IF($W103="","",INDEX(发票统计!A$4:A$1003,$W103)&amp;"")</f>
        <v/>
      </c>
      <c r="B103" s="3" t="str">
        <f aca="false">IF($W103="","",INDEX(发票统计!B$4:B$1003,$W103)&amp;"")</f>
        <v/>
      </c>
      <c r="C103" s="3" t="str">
        <f aca="false">IF($W103="","",INDEX(发票统计!C$4:C$1003,$W103)&amp;"")</f>
        <v/>
      </c>
      <c r="D103" s="3" t="str">
        <f aca="false">IF($W103="","",INDEX(发票统计!D$4:D$1003,$W103)&amp;"")</f>
        <v/>
      </c>
      <c r="E103" s="67" t="str">
        <f aca="false">IF($W103="","",INDEX(发票统计!E$4:E$1003,$W103)&amp;"")</f>
        <v/>
      </c>
      <c r="F103" s="68" t="str">
        <f aca="false">IF($W103="","",INDEX(发票统计!F$4:F$1003,$W103)&amp;"")</f>
        <v/>
      </c>
      <c r="G103" s="68" t="str">
        <f aca="false">IF($W103="","",IF(INDEX(发票统计!G$4:G$1003,$W103)="","",INDEX(发票统计!G$4:G$1003,$W103)))</f>
        <v/>
      </c>
      <c r="H103" s="56" t="str">
        <f aca="false">IF($W103="","",N(INDEX(发票统计!H$4:H$1003,$W103)))</f>
        <v/>
      </c>
      <c r="I103" s="56" t="str">
        <f aca="false">IF($W103="","",N(INDEX(发票统计!I$4:I$1003,$W103)))</f>
        <v/>
      </c>
      <c r="J103" s="56" t="str">
        <f aca="false">IF($W103="","",N(INDEX(发票统计!J$4:J$1003,$W103)))</f>
        <v/>
      </c>
      <c r="K103" s="56" t="str">
        <f aca="false">IF($W103="","",N(INDEX(发票统计!K$4:K$1003,$W103)))</f>
        <v/>
      </c>
      <c r="L103" s="56" t="str">
        <f aca="false">IF($W103="","",SUM(J$4:J103)-SUM(K$4:K103))</f>
        <v/>
      </c>
      <c r="M103" s="56" t="str">
        <f aca="false">IF($W103="","",N(INDEX(发票统计!M$4:M$1003,$W103)))</f>
        <v/>
      </c>
      <c r="N103" s="56" t="str">
        <f aca="false">IF($W103="","",N(INDEX(发票统计!N$4:N$1003,$W103)))</f>
        <v/>
      </c>
      <c r="O103" s="56" t="str">
        <f aca="false">IF($W103="","",N(INDEX(发票统计!O$4:O$1003,$W103)))</f>
        <v/>
      </c>
      <c r="P103" s="56" t="str">
        <f aca="false">IF($W103="","",SUM(M$4:M103)-SUM(N$4:N103)-SUM(O$4:O103))</f>
        <v/>
      </c>
      <c r="Q103" s="56" t="str">
        <f aca="false">IF($W103="","",N(INDEX(发票统计!Q$4:Q$1003,$W103)))</f>
        <v/>
      </c>
      <c r="R103" s="56" t="str">
        <f aca="false">IF($W103="","",N(INDEX(发票统计!R$4:R$1003,$W103)))</f>
        <v/>
      </c>
      <c r="S103" s="56" t="str">
        <f aca="false">IF($W103="","",N(INDEX(发票统计!S$4:S$1003,$W103)))</f>
        <v/>
      </c>
      <c r="T103" s="56" t="str">
        <f aca="false">IF($W103="","",SUM(Q$4:Q103)-SUM(R$4:R103)-SUM(S$4:S103))</f>
        <v/>
      </c>
      <c r="U103" s="56" t="str">
        <f aca="false">IF($W103="","",INDEX(发票统计!U$4:U$1003,$W103)&amp;"")</f>
        <v/>
      </c>
      <c r="W103" s="1" t="str">
        <f aca="false">IF($V$3="","",IFERROR(MATCH($V$3&amp;"#"&amp;ROWS(W$4:W103),发票统计!$W$4:$W$1003,0),""))</f>
        <v/>
      </c>
    </row>
    <row r="104" customFormat="false" ht="16.5" hidden="false" customHeight="false" outlineLevel="0" collapsed="false">
      <c r="A104" s="3" t="str">
        <f aca="false">IF($W104="","",INDEX(发票统计!A$4:A$1003,$W104)&amp;"")</f>
        <v/>
      </c>
      <c r="B104" s="3" t="str">
        <f aca="false">IF($W104="","",INDEX(发票统计!B$4:B$1003,$W104)&amp;"")</f>
        <v/>
      </c>
      <c r="C104" s="3" t="str">
        <f aca="false">IF($W104="","",INDEX(发票统计!C$4:C$1003,$W104)&amp;"")</f>
        <v/>
      </c>
      <c r="D104" s="3" t="str">
        <f aca="false">IF($W104="","",INDEX(发票统计!D$4:D$1003,$W104)&amp;"")</f>
        <v/>
      </c>
      <c r="E104" s="67" t="str">
        <f aca="false">IF($W104="","",INDEX(发票统计!E$4:E$1003,$W104)&amp;"")</f>
        <v/>
      </c>
      <c r="F104" s="68" t="str">
        <f aca="false">IF($W104="","",INDEX(发票统计!F$4:F$1003,$W104)&amp;"")</f>
        <v/>
      </c>
      <c r="G104" s="68" t="str">
        <f aca="false">IF($W104="","",IF(INDEX(发票统计!G$4:G$1003,$W104)="","",INDEX(发票统计!G$4:G$1003,$W104)))</f>
        <v/>
      </c>
      <c r="H104" s="56" t="str">
        <f aca="false">IF($W104="","",N(INDEX(发票统计!H$4:H$1003,$W104)))</f>
        <v/>
      </c>
      <c r="I104" s="56" t="str">
        <f aca="false">IF($W104="","",N(INDEX(发票统计!I$4:I$1003,$W104)))</f>
        <v/>
      </c>
      <c r="J104" s="56" t="str">
        <f aca="false">IF($W104="","",N(INDEX(发票统计!J$4:J$1003,$W104)))</f>
        <v/>
      </c>
      <c r="K104" s="56" t="str">
        <f aca="false">IF($W104="","",N(INDEX(发票统计!K$4:K$1003,$W104)))</f>
        <v/>
      </c>
      <c r="L104" s="56" t="str">
        <f aca="false">IF($W104="","",SUM(J$4:J104)-SUM(K$4:K104))</f>
        <v/>
      </c>
      <c r="M104" s="56" t="str">
        <f aca="false">IF($W104="","",N(INDEX(发票统计!M$4:M$1003,$W104)))</f>
        <v/>
      </c>
      <c r="N104" s="56" t="str">
        <f aca="false">IF($W104="","",N(INDEX(发票统计!N$4:N$1003,$W104)))</f>
        <v/>
      </c>
      <c r="O104" s="56" t="str">
        <f aca="false">IF($W104="","",N(INDEX(发票统计!O$4:O$1003,$W104)))</f>
        <v/>
      </c>
      <c r="P104" s="56" t="str">
        <f aca="false">IF($W104="","",SUM(M$4:M104)-SUM(N$4:N104)-SUM(O$4:O104))</f>
        <v/>
      </c>
      <c r="Q104" s="56" t="str">
        <f aca="false">IF($W104="","",N(INDEX(发票统计!Q$4:Q$1003,$W104)))</f>
        <v/>
      </c>
      <c r="R104" s="56" t="str">
        <f aca="false">IF($W104="","",N(INDEX(发票统计!R$4:R$1003,$W104)))</f>
        <v/>
      </c>
      <c r="S104" s="56" t="str">
        <f aca="false">IF($W104="","",N(INDEX(发票统计!S$4:S$1003,$W104)))</f>
        <v/>
      </c>
      <c r="T104" s="56" t="str">
        <f aca="false">IF($W104="","",SUM(Q$4:Q104)-SUM(R$4:R104)-SUM(S$4:S104))</f>
        <v/>
      </c>
      <c r="U104" s="56" t="str">
        <f aca="false">IF($W104="","",INDEX(发票统计!U$4:U$1003,$W104)&amp;"")</f>
        <v/>
      </c>
      <c r="W104" s="1" t="str">
        <f aca="false">IF($V$3="","",IFERROR(MATCH($V$3&amp;"#"&amp;ROWS(W$4:W104),发票统计!$W$4:$W$1003,0),""))</f>
        <v/>
      </c>
    </row>
    <row r="105" customFormat="false" ht="16.5" hidden="false" customHeight="false" outlineLevel="0" collapsed="false">
      <c r="A105" s="3" t="str">
        <f aca="false">IF($W105="","",INDEX(发票统计!A$4:A$1003,$W105)&amp;"")</f>
        <v/>
      </c>
      <c r="B105" s="3" t="str">
        <f aca="false">IF($W105="","",INDEX(发票统计!B$4:B$1003,$W105)&amp;"")</f>
        <v/>
      </c>
      <c r="C105" s="3" t="str">
        <f aca="false">IF($W105="","",INDEX(发票统计!C$4:C$1003,$W105)&amp;"")</f>
        <v/>
      </c>
      <c r="D105" s="3" t="str">
        <f aca="false">IF($W105="","",INDEX(发票统计!D$4:D$1003,$W105)&amp;"")</f>
        <v/>
      </c>
      <c r="E105" s="67" t="str">
        <f aca="false">IF($W105="","",INDEX(发票统计!E$4:E$1003,$W105)&amp;"")</f>
        <v/>
      </c>
      <c r="F105" s="68" t="str">
        <f aca="false">IF($W105="","",INDEX(发票统计!F$4:F$1003,$W105)&amp;"")</f>
        <v/>
      </c>
      <c r="G105" s="68" t="str">
        <f aca="false">IF($W105="","",IF(INDEX(发票统计!G$4:G$1003,$W105)="","",INDEX(发票统计!G$4:G$1003,$W105)))</f>
        <v/>
      </c>
      <c r="H105" s="56" t="str">
        <f aca="false">IF($W105="","",N(INDEX(发票统计!H$4:H$1003,$W105)))</f>
        <v/>
      </c>
      <c r="I105" s="56" t="str">
        <f aca="false">IF($W105="","",N(INDEX(发票统计!I$4:I$1003,$W105)))</f>
        <v/>
      </c>
      <c r="J105" s="56" t="str">
        <f aca="false">IF($W105="","",N(INDEX(发票统计!J$4:J$1003,$W105)))</f>
        <v/>
      </c>
      <c r="K105" s="56" t="str">
        <f aca="false">IF($W105="","",N(INDEX(发票统计!K$4:K$1003,$W105)))</f>
        <v/>
      </c>
      <c r="L105" s="56" t="str">
        <f aca="false">IF($W105="","",SUM(J$4:J105)-SUM(K$4:K105))</f>
        <v/>
      </c>
      <c r="M105" s="56" t="str">
        <f aca="false">IF($W105="","",N(INDEX(发票统计!M$4:M$1003,$W105)))</f>
        <v/>
      </c>
      <c r="N105" s="56" t="str">
        <f aca="false">IF($W105="","",N(INDEX(发票统计!N$4:N$1003,$W105)))</f>
        <v/>
      </c>
      <c r="O105" s="56" t="str">
        <f aca="false">IF($W105="","",N(INDEX(发票统计!O$4:O$1003,$W105)))</f>
        <v/>
      </c>
      <c r="P105" s="56" t="str">
        <f aca="false">IF($W105="","",SUM(M$4:M105)-SUM(N$4:N105)-SUM(O$4:O105))</f>
        <v/>
      </c>
      <c r="Q105" s="56" t="str">
        <f aca="false">IF($W105="","",N(INDEX(发票统计!Q$4:Q$1003,$W105)))</f>
        <v/>
      </c>
      <c r="R105" s="56" t="str">
        <f aca="false">IF($W105="","",N(INDEX(发票统计!R$4:R$1003,$W105)))</f>
        <v/>
      </c>
      <c r="S105" s="56" t="str">
        <f aca="false">IF($W105="","",N(INDEX(发票统计!S$4:S$1003,$W105)))</f>
        <v/>
      </c>
      <c r="T105" s="56" t="str">
        <f aca="false">IF($W105="","",SUM(Q$4:Q105)-SUM(R$4:R105)-SUM(S$4:S105))</f>
        <v/>
      </c>
      <c r="U105" s="56" t="str">
        <f aca="false">IF($W105="","",INDEX(发票统计!U$4:U$1003,$W105)&amp;"")</f>
        <v/>
      </c>
      <c r="W105" s="1" t="str">
        <f aca="false">IF($V$3="","",IFERROR(MATCH($V$3&amp;"#"&amp;ROWS(W$4:W105),发票统计!$W$4:$W$1003,0),""))</f>
        <v/>
      </c>
    </row>
    <row r="106" customFormat="false" ht="16.5" hidden="false" customHeight="false" outlineLevel="0" collapsed="false">
      <c r="A106" s="3" t="str">
        <f aca="false">IF($W106="","",INDEX(发票统计!A$4:A$1003,$W106)&amp;"")</f>
        <v/>
      </c>
      <c r="B106" s="3" t="str">
        <f aca="false">IF($W106="","",INDEX(发票统计!B$4:B$1003,$W106)&amp;"")</f>
        <v/>
      </c>
      <c r="C106" s="3" t="str">
        <f aca="false">IF($W106="","",INDEX(发票统计!C$4:C$1003,$W106)&amp;"")</f>
        <v/>
      </c>
      <c r="D106" s="3" t="str">
        <f aca="false">IF($W106="","",INDEX(发票统计!D$4:D$1003,$W106)&amp;"")</f>
        <v/>
      </c>
      <c r="E106" s="67" t="str">
        <f aca="false">IF($W106="","",INDEX(发票统计!E$4:E$1003,$W106)&amp;"")</f>
        <v/>
      </c>
      <c r="F106" s="68" t="str">
        <f aca="false">IF($W106="","",INDEX(发票统计!F$4:F$1003,$W106)&amp;"")</f>
        <v/>
      </c>
      <c r="G106" s="68" t="str">
        <f aca="false">IF($W106="","",IF(INDEX(发票统计!G$4:G$1003,$W106)="","",INDEX(发票统计!G$4:G$1003,$W106)))</f>
        <v/>
      </c>
      <c r="H106" s="56" t="str">
        <f aca="false">IF($W106="","",N(INDEX(发票统计!H$4:H$1003,$W106)))</f>
        <v/>
      </c>
      <c r="I106" s="56" t="str">
        <f aca="false">IF($W106="","",N(INDEX(发票统计!I$4:I$1003,$W106)))</f>
        <v/>
      </c>
      <c r="J106" s="56" t="str">
        <f aca="false">IF($W106="","",N(INDEX(发票统计!J$4:J$1003,$W106)))</f>
        <v/>
      </c>
      <c r="K106" s="56" t="str">
        <f aca="false">IF($W106="","",N(INDEX(发票统计!K$4:K$1003,$W106)))</f>
        <v/>
      </c>
      <c r="L106" s="56" t="str">
        <f aca="false">IF($W106="","",SUM(J$4:J106)-SUM(K$4:K106))</f>
        <v/>
      </c>
      <c r="M106" s="56" t="str">
        <f aca="false">IF($W106="","",N(INDEX(发票统计!M$4:M$1003,$W106)))</f>
        <v/>
      </c>
      <c r="N106" s="56" t="str">
        <f aca="false">IF($W106="","",N(INDEX(发票统计!N$4:N$1003,$W106)))</f>
        <v/>
      </c>
      <c r="O106" s="56" t="str">
        <f aca="false">IF($W106="","",N(INDEX(发票统计!O$4:O$1003,$W106)))</f>
        <v/>
      </c>
      <c r="P106" s="56" t="str">
        <f aca="false">IF($W106="","",SUM(M$4:M106)-SUM(N$4:N106)-SUM(O$4:O106))</f>
        <v/>
      </c>
      <c r="Q106" s="56" t="str">
        <f aca="false">IF($W106="","",N(INDEX(发票统计!Q$4:Q$1003,$W106)))</f>
        <v/>
      </c>
      <c r="R106" s="56" t="str">
        <f aca="false">IF($W106="","",N(INDEX(发票统计!R$4:R$1003,$W106)))</f>
        <v/>
      </c>
      <c r="S106" s="56" t="str">
        <f aca="false">IF($W106="","",N(INDEX(发票统计!S$4:S$1003,$W106)))</f>
        <v/>
      </c>
      <c r="T106" s="56" t="str">
        <f aca="false">IF($W106="","",SUM(Q$4:Q106)-SUM(R$4:R106)-SUM(S$4:S106))</f>
        <v/>
      </c>
      <c r="U106" s="56" t="str">
        <f aca="false">IF($W106="","",INDEX(发票统计!U$4:U$1003,$W106)&amp;"")</f>
        <v/>
      </c>
      <c r="W106" s="1" t="str">
        <f aca="false">IF($V$3="","",IFERROR(MATCH($V$3&amp;"#"&amp;ROWS(W$4:W106),发票统计!$W$4:$W$1003,0),""))</f>
        <v/>
      </c>
    </row>
    <row r="107" customFormat="false" ht="16.5" hidden="false" customHeight="false" outlineLevel="0" collapsed="false">
      <c r="A107" s="3" t="str">
        <f aca="false">IF($W107="","",INDEX(发票统计!A$4:A$1003,$W107)&amp;"")</f>
        <v/>
      </c>
      <c r="B107" s="3" t="str">
        <f aca="false">IF($W107="","",INDEX(发票统计!B$4:B$1003,$W107)&amp;"")</f>
        <v/>
      </c>
      <c r="C107" s="3" t="str">
        <f aca="false">IF($W107="","",INDEX(发票统计!C$4:C$1003,$W107)&amp;"")</f>
        <v/>
      </c>
      <c r="D107" s="3" t="str">
        <f aca="false">IF($W107="","",INDEX(发票统计!D$4:D$1003,$W107)&amp;"")</f>
        <v/>
      </c>
      <c r="E107" s="67" t="str">
        <f aca="false">IF($W107="","",INDEX(发票统计!E$4:E$1003,$W107)&amp;"")</f>
        <v/>
      </c>
      <c r="F107" s="68" t="str">
        <f aca="false">IF($W107="","",INDEX(发票统计!F$4:F$1003,$W107)&amp;"")</f>
        <v/>
      </c>
      <c r="G107" s="68" t="str">
        <f aca="false">IF($W107="","",IF(INDEX(发票统计!G$4:G$1003,$W107)="","",INDEX(发票统计!G$4:G$1003,$W107)))</f>
        <v/>
      </c>
      <c r="H107" s="56" t="str">
        <f aca="false">IF($W107="","",N(INDEX(发票统计!H$4:H$1003,$W107)))</f>
        <v/>
      </c>
      <c r="I107" s="56" t="str">
        <f aca="false">IF($W107="","",N(INDEX(发票统计!I$4:I$1003,$W107)))</f>
        <v/>
      </c>
      <c r="J107" s="56" t="str">
        <f aca="false">IF($W107="","",N(INDEX(发票统计!J$4:J$1003,$W107)))</f>
        <v/>
      </c>
      <c r="K107" s="56" t="str">
        <f aca="false">IF($W107="","",N(INDEX(发票统计!K$4:K$1003,$W107)))</f>
        <v/>
      </c>
      <c r="L107" s="56" t="str">
        <f aca="false">IF($W107="","",SUM(J$4:J107)-SUM(K$4:K107))</f>
        <v/>
      </c>
      <c r="M107" s="56" t="str">
        <f aca="false">IF($W107="","",N(INDEX(发票统计!M$4:M$1003,$W107)))</f>
        <v/>
      </c>
      <c r="N107" s="56" t="str">
        <f aca="false">IF($W107="","",N(INDEX(发票统计!N$4:N$1003,$W107)))</f>
        <v/>
      </c>
      <c r="O107" s="56" t="str">
        <f aca="false">IF($W107="","",N(INDEX(发票统计!O$4:O$1003,$W107)))</f>
        <v/>
      </c>
      <c r="P107" s="56" t="str">
        <f aca="false">IF($W107="","",SUM(M$4:M107)-SUM(N$4:N107)-SUM(O$4:O107))</f>
        <v/>
      </c>
      <c r="Q107" s="56" t="str">
        <f aca="false">IF($W107="","",N(INDEX(发票统计!Q$4:Q$1003,$W107)))</f>
        <v/>
      </c>
      <c r="R107" s="56" t="str">
        <f aca="false">IF($W107="","",N(INDEX(发票统计!R$4:R$1003,$W107)))</f>
        <v/>
      </c>
      <c r="S107" s="56" t="str">
        <f aca="false">IF($W107="","",N(INDEX(发票统计!S$4:S$1003,$W107)))</f>
        <v/>
      </c>
      <c r="T107" s="56" t="str">
        <f aca="false">IF($W107="","",SUM(Q$4:Q107)-SUM(R$4:R107)-SUM(S$4:S107))</f>
        <v/>
      </c>
      <c r="U107" s="56" t="str">
        <f aca="false">IF($W107="","",INDEX(发票统计!U$4:U$1003,$W107)&amp;"")</f>
        <v/>
      </c>
      <c r="W107" s="1" t="str">
        <f aca="false">IF($V$3="","",IFERROR(MATCH($V$3&amp;"#"&amp;ROWS(W$4:W107),发票统计!$W$4:$W$1003,0),""))</f>
        <v/>
      </c>
    </row>
    <row r="108" customFormat="false" ht="16.5" hidden="false" customHeight="false" outlineLevel="0" collapsed="false">
      <c r="A108" s="3" t="str">
        <f aca="false">IF($W108="","",INDEX(发票统计!A$4:A$1003,$W108)&amp;"")</f>
        <v/>
      </c>
      <c r="B108" s="3" t="str">
        <f aca="false">IF($W108="","",INDEX(发票统计!B$4:B$1003,$W108)&amp;"")</f>
        <v/>
      </c>
      <c r="C108" s="3" t="str">
        <f aca="false">IF($W108="","",INDEX(发票统计!C$4:C$1003,$W108)&amp;"")</f>
        <v/>
      </c>
      <c r="D108" s="3" t="str">
        <f aca="false">IF($W108="","",INDEX(发票统计!D$4:D$1003,$W108)&amp;"")</f>
        <v/>
      </c>
      <c r="E108" s="67" t="str">
        <f aca="false">IF($W108="","",INDEX(发票统计!E$4:E$1003,$W108)&amp;"")</f>
        <v/>
      </c>
      <c r="F108" s="68" t="str">
        <f aca="false">IF($W108="","",INDEX(发票统计!F$4:F$1003,$W108)&amp;"")</f>
        <v/>
      </c>
      <c r="G108" s="68" t="str">
        <f aca="false">IF($W108="","",IF(INDEX(发票统计!G$4:G$1003,$W108)="","",INDEX(发票统计!G$4:G$1003,$W108)))</f>
        <v/>
      </c>
      <c r="H108" s="56" t="str">
        <f aca="false">IF($W108="","",N(INDEX(发票统计!H$4:H$1003,$W108)))</f>
        <v/>
      </c>
      <c r="I108" s="56" t="str">
        <f aca="false">IF($W108="","",N(INDEX(发票统计!I$4:I$1003,$W108)))</f>
        <v/>
      </c>
      <c r="J108" s="56" t="str">
        <f aca="false">IF($W108="","",N(INDEX(发票统计!J$4:J$1003,$W108)))</f>
        <v/>
      </c>
      <c r="K108" s="56" t="str">
        <f aca="false">IF($W108="","",N(INDEX(发票统计!K$4:K$1003,$W108)))</f>
        <v/>
      </c>
      <c r="L108" s="56" t="str">
        <f aca="false">IF($W108="","",SUM(J$4:J108)-SUM(K$4:K108))</f>
        <v/>
      </c>
      <c r="M108" s="56" t="str">
        <f aca="false">IF($W108="","",N(INDEX(发票统计!M$4:M$1003,$W108)))</f>
        <v/>
      </c>
      <c r="N108" s="56" t="str">
        <f aca="false">IF($W108="","",N(INDEX(发票统计!N$4:N$1003,$W108)))</f>
        <v/>
      </c>
      <c r="O108" s="56" t="str">
        <f aca="false">IF($W108="","",N(INDEX(发票统计!O$4:O$1003,$W108)))</f>
        <v/>
      </c>
      <c r="P108" s="56" t="str">
        <f aca="false">IF($W108="","",SUM(M$4:M108)-SUM(N$4:N108)-SUM(O$4:O108))</f>
        <v/>
      </c>
      <c r="Q108" s="56" t="str">
        <f aca="false">IF($W108="","",N(INDEX(发票统计!Q$4:Q$1003,$W108)))</f>
        <v/>
      </c>
      <c r="R108" s="56" t="str">
        <f aca="false">IF($W108="","",N(INDEX(发票统计!R$4:R$1003,$W108)))</f>
        <v/>
      </c>
      <c r="S108" s="56" t="str">
        <f aca="false">IF($W108="","",N(INDEX(发票统计!S$4:S$1003,$W108)))</f>
        <v/>
      </c>
      <c r="T108" s="56" t="str">
        <f aca="false">IF($W108="","",SUM(Q$4:Q108)-SUM(R$4:R108)-SUM(S$4:S108))</f>
        <v/>
      </c>
      <c r="U108" s="56" t="str">
        <f aca="false">IF($W108="","",INDEX(发票统计!U$4:U$1003,$W108)&amp;"")</f>
        <v/>
      </c>
      <c r="W108" s="1" t="str">
        <f aca="false">IF($V$3="","",IFERROR(MATCH($V$3&amp;"#"&amp;ROWS(W$4:W108),发票统计!$W$4:$W$1003,0),""))</f>
        <v/>
      </c>
    </row>
    <row r="109" customFormat="false" ht="16.5" hidden="false" customHeight="false" outlineLevel="0" collapsed="false">
      <c r="A109" s="3" t="str">
        <f aca="false">IF($W109="","",INDEX(发票统计!A$4:A$1003,$W109)&amp;"")</f>
        <v/>
      </c>
      <c r="B109" s="3" t="str">
        <f aca="false">IF($W109="","",INDEX(发票统计!B$4:B$1003,$W109)&amp;"")</f>
        <v/>
      </c>
      <c r="C109" s="3" t="str">
        <f aca="false">IF($W109="","",INDEX(发票统计!C$4:C$1003,$W109)&amp;"")</f>
        <v/>
      </c>
      <c r="D109" s="3" t="str">
        <f aca="false">IF($W109="","",INDEX(发票统计!D$4:D$1003,$W109)&amp;"")</f>
        <v/>
      </c>
      <c r="E109" s="67" t="str">
        <f aca="false">IF($W109="","",INDEX(发票统计!E$4:E$1003,$W109)&amp;"")</f>
        <v/>
      </c>
      <c r="F109" s="68" t="str">
        <f aca="false">IF($W109="","",INDEX(发票统计!F$4:F$1003,$W109)&amp;"")</f>
        <v/>
      </c>
      <c r="G109" s="68" t="str">
        <f aca="false">IF($W109="","",IF(INDEX(发票统计!G$4:G$1003,$W109)="","",INDEX(发票统计!G$4:G$1003,$W109)))</f>
        <v/>
      </c>
      <c r="H109" s="56" t="str">
        <f aca="false">IF($W109="","",N(INDEX(发票统计!H$4:H$1003,$W109)))</f>
        <v/>
      </c>
      <c r="I109" s="56" t="str">
        <f aca="false">IF($W109="","",N(INDEX(发票统计!I$4:I$1003,$W109)))</f>
        <v/>
      </c>
      <c r="J109" s="56" t="str">
        <f aca="false">IF($W109="","",N(INDEX(发票统计!J$4:J$1003,$W109)))</f>
        <v/>
      </c>
      <c r="K109" s="56" t="str">
        <f aca="false">IF($W109="","",N(INDEX(发票统计!K$4:K$1003,$W109)))</f>
        <v/>
      </c>
      <c r="L109" s="56" t="str">
        <f aca="false">IF($W109="","",SUM(J$4:J109)-SUM(K$4:K109))</f>
        <v/>
      </c>
      <c r="M109" s="56" t="str">
        <f aca="false">IF($W109="","",N(INDEX(发票统计!M$4:M$1003,$W109)))</f>
        <v/>
      </c>
      <c r="N109" s="56" t="str">
        <f aca="false">IF($W109="","",N(INDEX(发票统计!N$4:N$1003,$W109)))</f>
        <v/>
      </c>
      <c r="O109" s="56" t="str">
        <f aca="false">IF($W109="","",N(INDEX(发票统计!O$4:O$1003,$W109)))</f>
        <v/>
      </c>
      <c r="P109" s="56" t="str">
        <f aca="false">IF($W109="","",SUM(M$4:M109)-SUM(N$4:N109)-SUM(O$4:O109))</f>
        <v/>
      </c>
      <c r="Q109" s="56" t="str">
        <f aca="false">IF($W109="","",N(INDEX(发票统计!Q$4:Q$1003,$W109)))</f>
        <v/>
      </c>
      <c r="R109" s="56" t="str">
        <f aca="false">IF($W109="","",N(INDEX(发票统计!R$4:R$1003,$W109)))</f>
        <v/>
      </c>
      <c r="S109" s="56" t="str">
        <f aca="false">IF($W109="","",N(INDEX(发票统计!S$4:S$1003,$W109)))</f>
        <v/>
      </c>
      <c r="T109" s="56" t="str">
        <f aca="false">IF($W109="","",SUM(Q$4:Q109)-SUM(R$4:R109)-SUM(S$4:S109))</f>
        <v/>
      </c>
      <c r="U109" s="56" t="str">
        <f aca="false">IF($W109="","",INDEX(发票统计!U$4:U$1003,$W109)&amp;"")</f>
        <v/>
      </c>
      <c r="W109" s="1" t="str">
        <f aca="false">IF($V$3="","",IFERROR(MATCH($V$3&amp;"#"&amp;ROWS(W$4:W109),发票统计!$W$4:$W$1003,0),""))</f>
        <v/>
      </c>
    </row>
    <row r="110" customFormat="false" ht="16.5" hidden="false" customHeight="false" outlineLevel="0" collapsed="false">
      <c r="A110" s="3" t="str">
        <f aca="false">IF($W110="","",INDEX(发票统计!A$4:A$1003,$W110)&amp;"")</f>
        <v/>
      </c>
      <c r="B110" s="3" t="str">
        <f aca="false">IF($W110="","",INDEX(发票统计!B$4:B$1003,$W110)&amp;"")</f>
        <v/>
      </c>
      <c r="C110" s="3" t="str">
        <f aca="false">IF($W110="","",INDEX(发票统计!C$4:C$1003,$W110)&amp;"")</f>
        <v/>
      </c>
      <c r="D110" s="3" t="str">
        <f aca="false">IF($W110="","",INDEX(发票统计!D$4:D$1003,$W110)&amp;"")</f>
        <v/>
      </c>
      <c r="E110" s="67" t="str">
        <f aca="false">IF($W110="","",INDEX(发票统计!E$4:E$1003,$W110)&amp;"")</f>
        <v/>
      </c>
      <c r="F110" s="68" t="str">
        <f aca="false">IF($W110="","",INDEX(发票统计!F$4:F$1003,$W110)&amp;"")</f>
        <v/>
      </c>
      <c r="G110" s="68" t="str">
        <f aca="false">IF($W110="","",IF(INDEX(发票统计!G$4:G$1003,$W110)="","",INDEX(发票统计!G$4:G$1003,$W110)))</f>
        <v/>
      </c>
      <c r="H110" s="56" t="str">
        <f aca="false">IF($W110="","",N(INDEX(发票统计!H$4:H$1003,$W110)))</f>
        <v/>
      </c>
      <c r="I110" s="56" t="str">
        <f aca="false">IF($W110="","",N(INDEX(发票统计!I$4:I$1003,$W110)))</f>
        <v/>
      </c>
      <c r="J110" s="56" t="str">
        <f aca="false">IF($W110="","",N(INDEX(发票统计!J$4:J$1003,$W110)))</f>
        <v/>
      </c>
      <c r="K110" s="56" t="str">
        <f aca="false">IF($W110="","",N(INDEX(发票统计!K$4:K$1003,$W110)))</f>
        <v/>
      </c>
      <c r="L110" s="56" t="str">
        <f aca="false">IF($W110="","",SUM(J$4:J110)-SUM(K$4:K110))</f>
        <v/>
      </c>
      <c r="M110" s="56" t="str">
        <f aca="false">IF($W110="","",N(INDEX(发票统计!M$4:M$1003,$W110)))</f>
        <v/>
      </c>
      <c r="N110" s="56" t="str">
        <f aca="false">IF($W110="","",N(INDEX(发票统计!N$4:N$1003,$W110)))</f>
        <v/>
      </c>
      <c r="O110" s="56" t="str">
        <f aca="false">IF($W110="","",N(INDEX(发票统计!O$4:O$1003,$W110)))</f>
        <v/>
      </c>
      <c r="P110" s="56" t="str">
        <f aca="false">IF($W110="","",SUM(M$4:M110)-SUM(N$4:N110)-SUM(O$4:O110))</f>
        <v/>
      </c>
      <c r="Q110" s="56" t="str">
        <f aca="false">IF($W110="","",N(INDEX(发票统计!Q$4:Q$1003,$W110)))</f>
        <v/>
      </c>
      <c r="R110" s="56" t="str">
        <f aca="false">IF($W110="","",N(INDEX(发票统计!R$4:R$1003,$W110)))</f>
        <v/>
      </c>
      <c r="S110" s="56" t="str">
        <f aca="false">IF($W110="","",N(INDEX(发票统计!S$4:S$1003,$W110)))</f>
        <v/>
      </c>
      <c r="T110" s="56" t="str">
        <f aca="false">IF($W110="","",SUM(Q$4:Q110)-SUM(R$4:R110)-SUM(S$4:S110))</f>
        <v/>
      </c>
      <c r="U110" s="56" t="str">
        <f aca="false">IF($W110="","",INDEX(发票统计!U$4:U$1003,$W110)&amp;"")</f>
        <v/>
      </c>
      <c r="W110" s="1" t="str">
        <f aca="false">IF($V$3="","",IFERROR(MATCH($V$3&amp;"#"&amp;ROWS(W$4:W110),发票统计!$W$4:$W$1003,0),""))</f>
        <v/>
      </c>
    </row>
    <row r="111" customFormat="false" ht="16.5" hidden="false" customHeight="false" outlineLevel="0" collapsed="false">
      <c r="A111" s="3" t="str">
        <f aca="false">IF($W111="","",INDEX(发票统计!A$4:A$1003,$W111)&amp;"")</f>
        <v/>
      </c>
      <c r="B111" s="3" t="str">
        <f aca="false">IF($W111="","",INDEX(发票统计!B$4:B$1003,$W111)&amp;"")</f>
        <v/>
      </c>
      <c r="C111" s="3" t="str">
        <f aca="false">IF($W111="","",INDEX(发票统计!C$4:C$1003,$W111)&amp;"")</f>
        <v/>
      </c>
      <c r="D111" s="3" t="str">
        <f aca="false">IF($W111="","",INDEX(发票统计!D$4:D$1003,$W111)&amp;"")</f>
        <v/>
      </c>
      <c r="E111" s="67" t="str">
        <f aca="false">IF($W111="","",INDEX(发票统计!E$4:E$1003,$W111)&amp;"")</f>
        <v/>
      </c>
      <c r="F111" s="68" t="str">
        <f aca="false">IF($W111="","",INDEX(发票统计!F$4:F$1003,$W111)&amp;"")</f>
        <v/>
      </c>
      <c r="G111" s="68" t="str">
        <f aca="false">IF($W111="","",IF(INDEX(发票统计!G$4:G$1003,$W111)="","",INDEX(发票统计!G$4:G$1003,$W111)))</f>
        <v/>
      </c>
      <c r="H111" s="56" t="str">
        <f aca="false">IF($W111="","",N(INDEX(发票统计!H$4:H$1003,$W111)))</f>
        <v/>
      </c>
      <c r="I111" s="56" t="str">
        <f aca="false">IF($W111="","",N(INDEX(发票统计!I$4:I$1003,$W111)))</f>
        <v/>
      </c>
      <c r="J111" s="56" t="str">
        <f aca="false">IF($W111="","",N(INDEX(发票统计!J$4:J$1003,$W111)))</f>
        <v/>
      </c>
      <c r="K111" s="56" t="str">
        <f aca="false">IF($W111="","",N(INDEX(发票统计!K$4:K$1003,$W111)))</f>
        <v/>
      </c>
      <c r="L111" s="56" t="str">
        <f aca="false">IF($W111="","",SUM(J$4:J111)-SUM(K$4:K111))</f>
        <v/>
      </c>
      <c r="M111" s="56" t="str">
        <f aca="false">IF($W111="","",N(INDEX(发票统计!M$4:M$1003,$W111)))</f>
        <v/>
      </c>
      <c r="N111" s="56" t="str">
        <f aca="false">IF($W111="","",N(INDEX(发票统计!N$4:N$1003,$W111)))</f>
        <v/>
      </c>
      <c r="O111" s="56" t="str">
        <f aca="false">IF($W111="","",N(INDEX(发票统计!O$4:O$1003,$W111)))</f>
        <v/>
      </c>
      <c r="P111" s="56" t="str">
        <f aca="false">IF($W111="","",SUM(M$4:M111)-SUM(N$4:N111)-SUM(O$4:O111))</f>
        <v/>
      </c>
      <c r="Q111" s="56" t="str">
        <f aca="false">IF($W111="","",N(INDEX(发票统计!Q$4:Q$1003,$W111)))</f>
        <v/>
      </c>
      <c r="R111" s="56" t="str">
        <f aca="false">IF($W111="","",N(INDEX(发票统计!R$4:R$1003,$W111)))</f>
        <v/>
      </c>
      <c r="S111" s="56" t="str">
        <f aca="false">IF($W111="","",N(INDEX(发票统计!S$4:S$1003,$W111)))</f>
        <v/>
      </c>
      <c r="T111" s="56" t="str">
        <f aca="false">IF($W111="","",SUM(Q$4:Q111)-SUM(R$4:R111)-SUM(S$4:S111))</f>
        <v/>
      </c>
      <c r="U111" s="56" t="str">
        <f aca="false">IF($W111="","",INDEX(发票统计!U$4:U$1003,$W111)&amp;"")</f>
        <v/>
      </c>
      <c r="W111" s="1" t="str">
        <f aca="false">IF($V$3="","",IFERROR(MATCH($V$3&amp;"#"&amp;ROWS(W$4:W111),发票统计!$W$4:$W$1003,0),""))</f>
        <v/>
      </c>
    </row>
    <row r="112" customFormat="false" ht="16.5" hidden="false" customHeight="false" outlineLevel="0" collapsed="false">
      <c r="A112" s="3" t="str">
        <f aca="false">IF($W112="","",INDEX(发票统计!A$4:A$1003,$W112)&amp;"")</f>
        <v/>
      </c>
      <c r="B112" s="3" t="str">
        <f aca="false">IF($W112="","",INDEX(发票统计!B$4:B$1003,$W112)&amp;"")</f>
        <v/>
      </c>
      <c r="C112" s="3" t="str">
        <f aca="false">IF($W112="","",INDEX(发票统计!C$4:C$1003,$W112)&amp;"")</f>
        <v/>
      </c>
      <c r="D112" s="3" t="str">
        <f aca="false">IF($W112="","",INDEX(发票统计!D$4:D$1003,$W112)&amp;"")</f>
        <v/>
      </c>
      <c r="E112" s="67" t="str">
        <f aca="false">IF($W112="","",INDEX(发票统计!E$4:E$1003,$W112)&amp;"")</f>
        <v/>
      </c>
      <c r="F112" s="68" t="str">
        <f aca="false">IF($W112="","",INDEX(发票统计!F$4:F$1003,$W112)&amp;"")</f>
        <v/>
      </c>
      <c r="G112" s="68" t="str">
        <f aca="false">IF($W112="","",IF(INDEX(发票统计!G$4:G$1003,$W112)="","",INDEX(发票统计!G$4:G$1003,$W112)))</f>
        <v/>
      </c>
      <c r="H112" s="56" t="str">
        <f aca="false">IF($W112="","",N(INDEX(发票统计!H$4:H$1003,$W112)))</f>
        <v/>
      </c>
      <c r="I112" s="56" t="str">
        <f aca="false">IF($W112="","",N(INDEX(发票统计!I$4:I$1003,$W112)))</f>
        <v/>
      </c>
      <c r="J112" s="56" t="str">
        <f aca="false">IF($W112="","",N(INDEX(发票统计!J$4:J$1003,$W112)))</f>
        <v/>
      </c>
      <c r="K112" s="56" t="str">
        <f aca="false">IF($W112="","",N(INDEX(发票统计!K$4:K$1003,$W112)))</f>
        <v/>
      </c>
      <c r="L112" s="56" t="str">
        <f aca="false">IF($W112="","",SUM(J$4:J112)-SUM(K$4:K112))</f>
        <v/>
      </c>
      <c r="M112" s="56" t="str">
        <f aca="false">IF($W112="","",N(INDEX(发票统计!M$4:M$1003,$W112)))</f>
        <v/>
      </c>
      <c r="N112" s="56" t="str">
        <f aca="false">IF($W112="","",N(INDEX(发票统计!N$4:N$1003,$W112)))</f>
        <v/>
      </c>
      <c r="O112" s="56" t="str">
        <f aca="false">IF($W112="","",N(INDEX(发票统计!O$4:O$1003,$W112)))</f>
        <v/>
      </c>
      <c r="P112" s="56" t="str">
        <f aca="false">IF($W112="","",SUM(M$4:M112)-SUM(N$4:N112)-SUM(O$4:O112))</f>
        <v/>
      </c>
      <c r="Q112" s="56" t="str">
        <f aca="false">IF($W112="","",N(INDEX(发票统计!Q$4:Q$1003,$W112)))</f>
        <v/>
      </c>
      <c r="R112" s="56" t="str">
        <f aca="false">IF($W112="","",N(INDEX(发票统计!R$4:R$1003,$W112)))</f>
        <v/>
      </c>
      <c r="S112" s="56" t="str">
        <f aca="false">IF($W112="","",N(INDEX(发票统计!S$4:S$1003,$W112)))</f>
        <v/>
      </c>
      <c r="T112" s="56" t="str">
        <f aca="false">IF($W112="","",SUM(Q$4:Q112)-SUM(R$4:R112)-SUM(S$4:S112))</f>
        <v/>
      </c>
      <c r="U112" s="56" t="str">
        <f aca="false">IF($W112="","",INDEX(发票统计!U$4:U$1003,$W112)&amp;"")</f>
        <v/>
      </c>
      <c r="W112" s="1" t="str">
        <f aca="false">IF($V$3="","",IFERROR(MATCH($V$3&amp;"#"&amp;ROWS(W$4:W112),发票统计!$W$4:$W$1003,0),""))</f>
        <v/>
      </c>
    </row>
    <row r="113" customFormat="false" ht="16.5" hidden="false" customHeight="false" outlineLevel="0" collapsed="false">
      <c r="A113" s="3" t="str">
        <f aca="false">IF($W113="","",INDEX(发票统计!A$4:A$1003,$W113)&amp;"")</f>
        <v/>
      </c>
      <c r="B113" s="3" t="str">
        <f aca="false">IF($W113="","",INDEX(发票统计!B$4:B$1003,$W113)&amp;"")</f>
        <v/>
      </c>
      <c r="C113" s="3" t="str">
        <f aca="false">IF($W113="","",INDEX(发票统计!C$4:C$1003,$W113)&amp;"")</f>
        <v/>
      </c>
      <c r="D113" s="3" t="str">
        <f aca="false">IF($W113="","",INDEX(发票统计!D$4:D$1003,$W113)&amp;"")</f>
        <v/>
      </c>
      <c r="E113" s="67" t="str">
        <f aca="false">IF($W113="","",INDEX(发票统计!E$4:E$1003,$W113)&amp;"")</f>
        <v/>
      </c>
      <c r="F113" s="68" t="str">
        <f aca="false">IF($W113="","",INDEX(发票统计!F$4:F$1003,$W113)&amp;"")</f>
        <v/>
      </c>
      <c r="G113" s="68" t="str">
        <f aca="false">IF($W113="","",IF(INDEX(发票统计!G$4:G$1003,$W113)="","",INDEX(发票统计!G$4:G$1003,$W113)))</f>
        <v/>
      </c>
      <c r="H113" s="56" t="str">
        <f aca="false">IF($W113="","",N(INDEX(发票统计!H$4:H$1003,$W113)))</f>
        <v/>
      </c>
      <c r="I113" s="56" t="str">
        <f aca="false">IF($W113="","",N(INDEX(发票统计!I$4:I$1003,$W113)))</f>
        <v/>
      </c>
      <c r="J113" s="56" t="str">
        <f aca="false">IF($W113="","",N(INDEX(发票统计!J$4:J$1003,$W113)))</f>
        <v/>
      </c>
      <c r="K113" s="56" t="str">
        <f aca="false">IF($W113="","",N(INDEX(发票统计!K$4:K$1003,$W113)))</f>
        <v/>
      </c>
      <c r="L113" s="56" t="str">
        <f aca="false">IF($W113="","",SUM(J$4:J113)-SUM(K$4:K113))</f>
        <v/>
      </c>
      <c r="M113" s="56" t="str">
        <f aca="false">IF($W113="","",N(INDEX(发票统计!M$4:M$1003,$W113)))</f>
        <v/>
      </c>
      <c r="N113" s="56" t="str">
        <f aca="false">IF($W113="","",N(INDEX(发票统计!N$4:N$1003,$W113)))</f>
        <v/>
      </c>
      <c r="O113" s="56" t="str">
        <f aca="false">IF($W113="","",N(INDEX(发票统计!O$4:O$1003,$W113)))</f>
        <v/>
      </c>
      <c r="P113" s="56" t="str">
        <f aca="false">IF($W113="","",SUM(M$4:M113)-SUM(N$4:N113)-SUM(O$4:O113))</f>
        <v/>
      </c>
      <c r="Q113" s="56" t="str">
        <f aca="false">IF($W113="","",N(INDEX(发票统计!Q$4:Q$1003,$W113)))</f>
        <v/>
      </c>
      <c r="R113" s="56" t="str">
        <f aca="false">IF($W113="","",N(INDEX(发票统计!R$4:R$1003,$W113)))</f>
        <v/>
      </c>
      <c r="S113" s="56" t="str">
        <f aca="false">IF($W113="","",N(INDEX(发票统计!S$4:S$1003,$W113)))</f>
        <v/>
      </c>
      <c r="T113" s="56" t="str">
        <f aca="false">IF($W113="","",SUM(Q$4:Q113)-SUM(R$4:R113)-SUM(S$4:S113))</f>
        <v/>
      </c>
      <c r="U113" s="56" t="str">
        <f aca="false">IF($W113="","",INDEX(发票统计!U$4:U$1003,$W113)&amp;"")</f>
        <v/>
      </c>
      <c r="W113" s="1" t="str">
        <f aca="false">IF($V$3="","",IFERROR(MATCH($V$3&amp;"#"&amp;ROWS(W$4:W113),发票统计!$W$4:$W$1003,0),""))</f>
        <v/>
      </c>
    </row>
    <row r="114" customFormat="false" ht="16.5" hidden="false" customHeight="false" outlineLevel="0" collapsed="false">
      <c r="A114" s="3" t="str">
        <f aca="false">IF($W114="","",INDEX(发票统计!A$4:A$1003,$W114)&amp;"")</f>
        <v/>
      </c>
      <c r="B114" s="3" t="str">
        <f aca="false">IF($W114="","",INDEX(发票统计!B$4:B$1003,$W114)&amp;"")</f>
        <v/>
      </c>
      <c r="C114" s="3" t="str">
        <f aca="false">IF($W114="","",INDEX(发票统计!C$4:C$1003,$W114)&amp;"")</f>
        <v/>
      </c>
      <c r="D114" s="3" t="str">
        <f aca="false">IF($W114="","",INDEX(发票统计!D$4:D$1003,$W114)&amp;"")</f>
        <v/>
      </c>
      <c r="E114" s="67" t="str">
        <f aca="false">IF($W114="","",INDEX(发票统计!E$4:E$1003,$W114)&amp;"")</f>
        <v/>
      </c>
      <c r="F114" s="68" t="str">
        <f aca="false">IF($W114="","",INDEX(发票统计!F$4:F$1003,$W114)&amp;"")</f>
        <v/>
      </c>
      <c r="G114" s="68" t="str">
        <f aca="false">IF($W114="","",IF(INDEX(发票统计!G$4:G$1003,$W114)="","",INDEX(发票统计!G$4:G$1003,$W114)))</f>
        <v/>
      </c>
      <c r="H114" s="56" t="str">
        <f aca="false">IF($W114="","",N(INDEX(发票统计!H$4:H$1003,$W114)))</f>
        <v/>
      </c>
      <c r="I114" s="56" t="str">
        <f aca="false">IF($W114="","",N(INDEX(发票统计!I$4:I$1003,$W114)))</f>
        <v/>
      </c>
      <c r="J114" s="56" t="str">
        <f aca="false">IF($W114="","",N(INDEX(发票统计!J$4:J$1003,$W114)))</f>
        <v/>
      </c>
      <c r="K114" s="56" t="str">
        <f aca="false">IF($W114="","",N(INDEX(发票统计!K$4:K$1003,$W114)))</f>
        <v/>
      </c>
      <c r="L114" s="56" t="str">
        <f aca="false">IF($W114="","",SUM(J$4:J114)-SUM(K$4:K114))</f>
        <v/>
      </c>
      <c r="M114" s="56" t="str">
        <f aca="false">IF($W114="","",N(INDEX(发票统计!M$4:M$1003,$W114)))</f>
        <v/>
      </c>
      <c r="N114" s="56" t="str">
        <f aca="false">IF($W114="","",N(INDEX(发票统计!N$4:N$1003,$W114)))</f>
        <v/>
      </c>
      <c r="O114" s="56" t="str">
        <f aca="false">IF($W114="","",N(INDEX(发票统计!O$4:O$1003,$W114)))</f>
        <v/>
      </c>
      <c r="P114" s="56" t="str">
        <f aca="false">IF($W114="","",SUM(M$4:M114)-SUM(N$4:N114)-SUM(O$4:O114))</f>
        <v/>
      </c>
      <c r="Q114" s="56" t="str">
        <f aca="false">IF($W114="","",N(INDEX(发票统计!Q$4:Q$1003,$W114)))</f>
        <v/>
      </c>
      <c r="R114" s="56" t="str">
        <f aca="false">IF($W114="","",N(INDEX(发票统计!R$4:R$1003,$W114)))</f>
        <v/>
      </c>
      <c r="S114" s="56" t="str">
        <f aca="false">IF($W114="","",N(INDEX(发票统计!S$4:S$1003,$W114)))</f>
        <v/>
      </c>
      <c r="T114" s="56" t="str">
        <f aca="false">IF($W114="","",SUM(Q$4:Q114)-SUM(R$4:R114)-SUM(S$4:S114))</f>
        <v/>
      </c>
      <c r="U114" s="56" t="str">
        <f aca="false">IF($W114="","",INDEX(发票统计!U$4:U$1003,$W114)&amp;"")</f>
        <v/>
      </c>
      <c r="W114" s="1" t="str">
        <f aca="false">IF($V$3="","",IFERROR(MATCH($V$3&amp;"#"&amp;ROWS(W$4:W114),发票统计!$W$4:$W$1003,0),""))</f>
        <v/>
      </c>
    </row>
    <row r="115" customFormat="false" ht="16.5" hidden="false" customHeight="false" outlineLevel="0" collapsed="false">
      <c r="A115" s="3" t="str">
        <f aca="false">IF($W115="","",INDEX(发票统计!A$4:A$1003,$W115)&amp;"")</f>
        <v/>
      </c>
      <c r="B115" s="3" t="str">
        <f aca="false">IF($W115="","",INDEX(发票统计!B$4:B$1003,$W115)&amp;"")</f>
        <v/>
      </c>
      <c r="C115" s="3" t="str">
        <f aca="false">IF($W115="","",INDEX(发票统计!C$4:C$1003,$W115)&amp;"")</f>
        <v/>
      </c>
      <c r="D115" s="3" t="str">
        <f aca="false">IF($W115="","",INDEX(发票统计!D$4:D$1003,$W115)&amp;"")</f>
        <v/>
      </c>
      <c r="E115" s="67" t="str">
        <f aca="false">IF($W115="","",INDEX(发票统计!E$4:E$1003,$W115)&amp;"")</f>
        <v/>
      </c>
      <c r="F115" s="68" t="str">
        <f aca="false">IF($W115="","",INDEX(发票统计!F$4:F$1003,$W115)&amp;"")</f>
        <v/>
      </c>
      <c r="G115" s="68" t="str">
        <f aca="false">IF($W115="","",IF(INDEX(发票统计!G$4:G$1003,$W115)="","",INDEX(发票统计!G$4:G$1003,$W115)))</f>
        <v/>
      </c>
      <c r="H115" s="56" t="str">
        <f aca="false">IF($W115="","",N(INDEX(发票统计!H$4:H$1003,$W115)))</f>
        <v/>
      </c>
      <c r="I115" s="56" t="str">
        <f aca="false">IF($W115="","",N(INDEX(发票统计!I$4:I$1003,$W115)))</f>
        <v/>
      </c>
      <c r="J115" s="56" t="str">
        <f aca="false">IF($W115="","",N(INDEX(发票统计!J$4:J$1003,$W115)))</f>
        <v/>
      </c>
      <c r="K115" s="56" t="str">
        <f aca="false">IF($W115="","",N(INDEX(发票统计!K$4:K$1003,$W115)))</f>
        <v/>
      </c>
      <c r="L115" s="56" t="str">
        <f aca="false">IF($W115="","",SUM(J$4:J115)-SUM(K$4:K115))</f>
        <v/>
      </c>
      <c r="M115" s="56" t="str">
        <f aca="false">IF($W115="","",N(INDEX(发票统计!M$4:M$1003,$W115)))</f>
        <v/>
      </c>
      <c r="N115" s="56" t="str">
        <f aca="false">IF($W115="","",N(INDEX(发票统计!N$4:N$1003,$W115)))</f>
        <v/>
      </c>
      <c r="O115" s="56" t="str">
        <f aca="false">IF($W115="","",N(INDEX(发票统计!O$4:O$1003,$W115)))</f>
        <v/>
      </c>
      <c r="P115" s="56" t="str">
        <f aca="false">IF($W115="","",SUM(M$4:M115)-SUM(N$4:N115)-SUM(O$4:O115))</f>
        <v/>
      </c>
      <c r="Q115" s="56" t="str">
        <f aca="false">IF($W115="","",N(INDEX(发票统计!Q$4:Q$1003,$W115)))</f>
        <v/>
      </c>
      <c r="R115" s="56" t="str">
        <f aca="false">IF($W115="","",N(INDEX(发票统计!R$4:R$1003,$W115)))</f>
        <v/>
      </c>
      <c r="S115" s="56" t="str">
        <f aca="false">IF($W115="","",N(INDEX(发票统计!S$4:S$1003,$W115)))</f>
        <v/>
      </c>
      <c r="T115" s="56" t="str">
        <f aca="false">IF($W115="","",SUM(Q$4:Q115)-SUM(R$4:R115)-SUM(S$4:S115))</f>
        <v/>
      </c>
      <c r="U115" s="56" t="str">
        <f aca="false">IF($W115="","",INDEX(发票统计!U$4:U$1003,$W115)&amp;"")</f>
        <v/>
      </c>
      <c r="W115" s="1" t="str">
        <f aca="false">IF($V$3="","",IFERROR(MATCH($V$3&amp;"#"&amp;ROWS(W$4:W115),发票统计!$W$4:$W$1003,0),""))</f>
        <v/>
      </c>
    </row>
    <row r="116" customFormat="false" ht="16.5" hidden="false" customHeight="false" outlineLevel="0" collapsed="false">
      <c r="A116" s="3" t="str">
        <f aca="false">IF($W116="","",INDEX(发票统计!A$4:A$1003,$W116)&amp;"")</f>
        <v/>
      </c>
      <c r="B116" s="3" t="str">
        <f aca="false">IF($W116="","",INDEX(发票统计!B$4:B$1003,$W116)&amp;"")</f>
        <v/>
      </c>
      <c r="C116" s="3" t="str">
        <f aca="false">IF($W116="","",INDEX(发票统计!C$4:C$1003,$W116)&amp;"")</f>
        <v/>
      </c>
      <c r="D116" s="3" t="str">
        <f aca="false">IF($W116="","",INDEX(发票统计!D$4:D$1003,$W116)&amp;"")</f>
        <v/>
      </c>
      <c r="E116" s="67" t="str">
        <f aca="false">IF($W116="","",INDEX(发票统计!E$4:E$1003,$W116)&amp;"")</f>
        <v/>
      </c>
      <c r="F116" s="68" t="str">
        <f aca="false">IF($W116="","",INDEX(发票统计!F$4:F$1003,$W116)&amp;"")</f>
        <v/>
      </c>
      <c r="G116" s="68" t="str">
        <f aca="false">IF($W116="","",IF(INDEX(发票统计!G$4:G$1003,$W116)="","",INDEX(发票统计!G$4:G$1003,$W116)))</f>
        <v/>
      </c>
      <c r="H116" s="56" t="str">
        <f aca="false">IF($W116="","",N(INDEX(发票统计!H$4:H$1003,$W116)))</f>
        <v/>
      </c>
      <c r="I116" s="56" t="str">
        <f aca="false">IF($W116="","",N(INDEX(发票统计!I$4:I$1003,$W116)))</f>
        <v/>
      </c>
      <c r="J116" s="56" t="str">
        <f aca="false">IF($W116="","",N(INDEX(发票统计!J$4:J$1003,$W116)))</f>
        <v/>
      </c>
      <c r="K116" s="56" t="str">
        <f aca="false">IF($W116="","",N(INDEX(发票统计!K$4:K$1003,$W116)))</f>
        <v/>
      </c>
      <c r="L116" s="56" t="str">
        <f aca="false">IF($W116="","",SUM(J$4:J116)-SUM(K$4:K116))</f>
        <v/>
      </c>
      <c r="M116" s="56" t="str">
        <f aca="false">IF($W116="","",N(INDEX(发票统计!M$4:M$1003,$W116)))</f>
        <v/>
      </c>
      <c r="N116" s="56" t="str">
        <f aca="false">IF($W116="","",N(INDEX(发票统计!N$4:N$1003,$W116)))</f>
        <v/>
      </c>
      <c r="O116" s="56" t="str">
        <f aca="false">IF($W116="","",N(INDEX(发票统计!O$4:O$1003,$W116)))</f>
        <v/>
      </c>
      <c r="P116" s="56" t="str">
        <f aca="false">IF($W116="","",SUM(M$4:M116)-SUM(N$4:N116)-SUM(O$4:O116))</f>
        <v/>
      </c>
      <c r="Q116" s="56" t="str">
        <f aca="false">IF($W116="","",N(INDEX(发票统计!Q$4:Q$1003,$W116)))</f>
        <v/>
      </c>
      <c r="R116" s="56" t="str">
        <f aca="false">IF($W116="","",N(INDEX(发票统计!R$4:R$1003,$W116)))</f>
        <v/>
      </c>
      <c r="S116" s="56" t="str">
        <f aca="false">IF($W116="","",N(INDEX(发票统计!S$4:S$1003,$W116)))</f>
        <v/>
      </c>
      <c r="T116" s="56" t="str">
        <f aca="false">IF($W116="","",SUM(Q$4:Q116)-SUM(R$4:R116)-SUM(S$4:S116))</f>
        <v/>
      </c>
      <c r="U116" s="56" t="str">
        <f aca="false">IF($W116="","",INDEX(发票统计!U$4:U$1003,$W116)&amp;"")</f>
        <v/>
      </c>
      <c r="W116" s="1" t="str">
        <f aca="false">IF($V$3="","",IFERROR(MATCH($V$3&amp;"#"&amp;ROWS(W$4:W116),发票统计!$W$4:$W$1003,0),""))</f>
        <v/>
      </c>
    </row>
    <row r="117" customFormat="false" ht="16.5" hidden="false" customHeight="false" outlineLevel="0" collapsed="false">
      <c r="A117" s="3" t="str">
        <f aca="false">IF($W117="","",INDEX(发票统计!A$4:A$1003,$W117)&amp;"")</f>
        <v/>
      </c>
      <c r="B117" s="3" t="str">
        <f aca="false">IF($W117="","",INDEX(发票统计!B$4:B$1003,$W117)&amp;"")</f>
        <v/>
      </c>
      <c r="C117" s="3" t="str">
        <f aca="false">IF($W117="","",INDEX(发票统计!C$4:C$1003,$W117)&amp;"")</f>
        <v/>
      </c>
      <c r="D117" s="3" t="str">
        <f aca="false">IF($W117="","",INDEX(发票统计!D$4:D$1003,$W117)&amp;"")</f>
        <v/>
      </c>
      <c r="E117" s="67" t="str">
        <f aca="false">IF($W117="","",INDEX(发票统计!E$4:E$1003,$W117)&amp;"")</f>
        <v/>
      </c>
      <c r="F117" s="68" t="str">
        <f aca="false">IF($W117="","",INDEX(发票统计!F$4:F$1003,$W117)&amp;"")</f>
        <v/>
      </c>
      <c r="G117" s="68" t="str">
        <f aca="false">IF($W117="","",IF(INDEX(发票统计!G$4:G$1003,$W117)="","",INDEX(发票统计!G$4:G$1003,$W117)))</f>
        <v/>
      </c>
      <c r="H117" s="56" t="str">
        <f aca="false">IF($W117="","",N(INDEX(发票统计!H$4:H$1003,$W117)))</f>
        <v/>
      </c>
      <c r="I117" s="56" t="str">
        <f aca="false">IF($W117="","",N(INDEX(发票统计!I$4:I$1003,$W117)))</f>
        <v/>
      </c>
      <c r="J117" s="56" t="str">
        <f aca="false">IF($W117="","",N(INDEX(发票统计!J$4:J$1003,$W117)))</f>
        <v/>
      </c>
      <c r="K117" s="56" t="str">
        <f aca="false">IF($W117="","",N(INDEX(发票统计!K$4:K$1003,$W117)))</f>
        <v/>
      </c>
      <c r="L117" s="56" t="str">
        <f aca="false">IF($W117="","",SUM(J$4:J117)-SUM(K$4:K117))</f>
        <v/>
      </c>
      <c r="M117" s="56" t="str">
        <f aca="false">IF($W117="","",N(INDEX(发票统计!M$4:M$1003,$W117)))</f>
        <v/>
      </c>
      <c r="N117" s="56" t="str">
        <f aca="false">IF($W117="","",N(INDEX(发票统计!N$4:N$1003,$W117)))</f>
        <v/>
      </c>
      <c r="O117" s="56" t="str">
        <f aca="false">IF($W117="","",N(INDEX(发票统计!O$4:O$1003,$W117)))</f>
        <v/>
      </c>
      <c r="P117" s="56" t="str">
        <f aca="false">IF($W117="","",SUM(M$4:M117)-SUM(N$4:N117)-SUM(O$4:O117))</f>
        <v/>
      </c>
      <c r="Q117" s="56" t="str">
        <f aca="false">IF($W117="","",N(INDEX(发票统计!Q$4:Q$1003,$W117)))</f>
        <v/>
      </c>
      <c r="R117" s="56" t="str">
        <f aca="false">IF($W117="","",N(INDEX(发票统计!R$4:R$1003,$W117)))</f>
        <v/>
      </c>
      <c r="S117" s="56" t="str">
        <f aca="false">IF($W117="","",N(INDEX(发票统计!S$4:S$1003,$W117)))</f>
        <v/>
      </c>
      <c r="T117" s="56" t="str">
        <f aca="false">IF($W117="","",SUM(Q$4:Q117)-SUM(R$4:R117)-SUM(S$4:S117))</f>
        <v/>
      </c>
      <c r="U117" s="56" t="str">
        <f aca="false">IF($W117="","",INDEX(发票统计!U$4:U$1003,$W117)&amp;"")</f>
        <v/>
      </c>
      <c r="W117" s="1" t="str">
        <f aca="false">IF($V$3="","",IFERROR(MATCH($V$3&amp;"#"&amp;ROWS(W$4:W117),发票统计!$W$4:$W$1003,0),""))</f>
        <v/>
      </c>
    </row>
    <row r="118" customFormat="false" ht="16.5" hidden="false" customHeight="false" outlineLevel="0" collapsed="false">
      <c r="A118" s="3" t="str">
        <f aca="false">IF($W118="","",INDEX(发票统计!A$4:A$1003,$W118)&amp;"")</f>
        <v/>
      </c>
      <c r="B118" s="3" t="str">
        <f aca="false">IF($W118="","",INDEX(发票统计!B$4:B$1003,$W118)&amp;"")</f>
        <v/>
      </c>
      <c r="C118" s="3" t="str">
        <f aca="false">IF($W118="","",INDEX(发票统计!C$4:C$1003,$W118)&amp;"")</f>
        <v/>
      </c>
      <c r="D118" s="3" t="str">
        <f aca="false">IF($W118="","",INDEX(发票统计!D$4:D$1003,$W118)&amp;"")</f>
        <v/>
      </c>
      <c r="E118" s="67" t="str">
        <f aca="false">IF($W118="","",INDEX(发票统计!E$4:E$1003,$W118)&amp;"")</f>
        <v/>
      </c>
      <c r="F118" s="68" t="str">
        <f aca="false">IF($W118="","",INDEX(发票统计!F$4:F$1003,$W118)&amp;"")</f>
        <v/>
      </c>
      <c r="G118" s="68" t="str">
        <f aca="false">IF($W118="","",IF(INDEX(发票统计!G$4:G$1003,$W118)="","",INDEX(发票统计!G$4:G$1003,$W118)))</f>
        <v/>
      </c>
      <c r="H118" s="56" t="str">
        <f aca="false">IF($W118="","",N(INDEX(发票统计!H$4:H$1003,$W118)))</f>
        <v/>
      </c>
      <c r="I118" s="56" t="str">
        <f aca="false">IF($W118="","",N(INDEX(发票统计!I$4:I$1003,$W118)))</f>
        <v/>
      </c>
      <c r="J118" s="56" t="str">
        <f aca="false">IF($W118="","",N(INDEX(发票统计!J$4:J$1003,$W118)))</f>
        <v/>
      </c>
      <c r="K118" s="56" t="str">
        <f aca="false">IF($W118="","",N(INDEX(发票统计!K$4:K$1003,$W118)))</f>
        <v/>
      </c>
      <c r="L118" s="56" t="str">
        <f aca="false">IF($W118="","",SUM(J$4:J118)-SUM(K$4:K118))</f>
        <v/>
      </c>
      <c r="M118" s="56" t="str">
        <f aca="false">IF($W118="","",N(INDEX(发票统计!M$4:M$1003,$W118)))</f>
        <v/>
      </c>
      <c r="N118" s="56" t="str">
        <f aca="false">IF($W118="","",N(INDEX(发票统计!N$4:N$1003,$W118)))</f>
        <v/>
      </c>
      <c r="O118" s="56" t="str">
        <f aca="false">IF($W118="","",N(INDEX(发票统计!O$4:O$1003,$W118)))</f>
        <v/>
      </c>
      <c r="P118" s="56" t="str">
        <f aca="false">IF($W118="","",SUM(M$4:M118)-SUM(N$4:N118)-SUM(O$4:O118))</f>
        <v/>
      </c>
      <c r="Q118" s="56" t="str">
        <f aca="false">IF($W118="","",N(INDEX(发票统计!Q$4:Q$1003,$W118)))</f>
        <v/>
      </c>
      <c r="R118" s="56" t="str">
        <f aca="false">IF($W118="","",N(INDEX(发票统计!R$4:R$1003,$W118)))</f>
        <v/>
      </c>
      <c r="S118" s="56" t="str">
        <f aca="false">IF($W118="","",N(INDEX(发票统计!S$4:S$1003,$W118)))</f>
        <v/>
      </c>
      <c r="T118" s="56" t="str">
        <f aca="false">IF($W118="","",SUM(Q$4:Q118)-SUM(R$4:R118)-SUM(S$4:S118))</f>
        <v/>
      </c>
      <c r="U118" s="56" t="str">
        <f aca="false">IF($W118="","",INDEX(发票统计!U$4:U$1003,$W118)&amp;"")</f>
        <v/>
      </c>
      <c r="W118" s="1" t="str">
        <f aca="false">IF($V$3="","",IFERROR(MATCH($V$3&amp;"#"&amp;ROWS(W$4:W118),发票统计!$W$4:$W$1003,0),""))</f>
        <v/>
      </c>
    </row>
    <row r="119" customFormat="false" ht="16.5" hidden="false" customHeight="false" outlineLevel="0" collapsed="false">
      <c r="A119" s="3" t="str">
        <f aca="false">IF($W119="","",INDEX(发票统计!A$4:A$1003,$W119)&amp;"")</f>
        <v/>
      </c>
      <c r="B119" s="3" t="str">
        <f aca="false">IF($W119="","",INDEX(发票统计!B$4:B$1003,$W119)&amp;"")</f>
        <v/>
      </c>
      <c r="C119" s="3" t="str">
        <f aca="false">IF($W119="","",INDEX(发票统计!C$4:C$1003,$W119)&amp;"")</f>
        <v/>
      </c>
      <c r="D119" s="3" t="str">
        <f aca="false">IF($W119="","",INDEX(发票统计!D$4:D$1003,$W119)&amp;"")</f>
        <v/>
      </c>
      <c r="E119" s="67" t="str">
        <f aca="false">IF($W119="","",INDEX(发票统计!E$4:E$1003,$W119)&amp;"")</f>
        <v/>
      </c>
      <c r="F119" s="68" t="str">
        <f aca="false">IF($W119="","",INDEX(发票统计!F$4:F$1003,$W119)&amp;"")</f>
        <v/>
      </c>
      <c r="G119" s="68" t="str">
        <f aca="false">IF($W119="","",IF(INDEX(发票统计!G$4:G$1003,$W119)="","",INDEX(发票统计!G$4:G$1003,$W119)))</f>
        <v/>
      </c>
      <c r="H119" s="56" t="str">
        <f aca="false">IF($W119="","",N(INDEX(发票统计!H$4:H$1003,$W119)))</f>
        <v/>
      </c>
      <c r="I119" s="56" t="str">
        <f aca="false">IF($W119="","",N(INDEX(发票统计!I$4:I$1003,$W119)))</f>
        <v/>
      </c>
      <c r="J119" s="56" t="str">
        <f aca="false">IF($W119="","",N(INDEX(发票统计!J$4:J$1003,$W119)))</f>
        <v/>
      </c>
      <c r="K119" s="56" t="str">
        <f aca="false">IF($W119="","",N(INDEX(发票统计!K$4:K$1003,$W119)))</f>
        <v/>
      </c>
      <c r="L119" s="56" t="str">
        <f aca="false">IF($W119="","",SUM(J$4:J119)-SUM(K$4:K119))</f>
        <v/>
      </c>
      <c r="M119" s="56" t="str">
        <f aca="false">IF($W119="","",N(INDEX(发票统计!M$4:M$1003,$W119)))</f>
        <v/>
      </c>
      <c r="N119" s="56" t="str">
        <f aca="false">IF($W119="","",N(INDEX(发票统计!N$4:N$1003,$W119)))</f>
        <v/>
      </c>
      <c r="O119" s="56" t="str">
        <f aca="false">IF($W119="","",N(INDEX(发票统计!O$4:O$1003,$W119)))</f>
        <v/>
      </c>
      <c r="P119" s="56" t="str">
        <f aca="false">IF($W119="","",SUM(M$4:M119)-SUM(N$4:N119)-SUM(O$4:O119))</f>
        <v/>
      </c>
      <c r="Q119" s="56" t="str">
        <f aca="false">IF($W119="","",N(INDEX(发票统计!Q$4:Q$1003,$W119)))</f>
        <v/>
      </c>
      <c r="R119" s="56" t="str">
        <f aca="false">IF($W119="","",N(INDEX(发票统计!R$4:R$1003,$W119)))</f>
        <v/>
      </c>
      <c r="S119" s="56" t="str">
        <f aca="false">IF($W119="","",N(INDEX(发票统计!S$4:S$1003,$W119)))</f>
        <v/>
      </c>
      <c r="T119" s="56" t="str">
        <f aca="false">IF($W119="","",SUM(Q$4:Q119)-SUM(R$4:R119)-SUM(S$4:S119))</f>
        <v/>
      </c>
      <c r="U119" s="56" t="str">
        <f aca="false">IF($W119="","",INDEX(发票统计!U$4:U$1003,$W119)&amp;"")</f>
        <v/>
      </c>
      <c r="W119" s="1" t="str">
        <f aca="false">IF($V$3="","",IFERROR(MATCH($V$3&amp;"#"&amp;ROWS(W$4:W119),发票统计!$W$4:$W$1003,0),""))</f>
        <v/>
      </c>
    </row>
    <row r="120" customFormat="false" ht="16.5" hidden="false" customHeight="false" outlineLevel="0" collapsed="false">
      <c r="A120" s="3" t="str">
        <f aca="false">IF($W120="","",INDEX(发票统计!A$4:A$1003,$W120)&amp;"")</f>
        <v/>
      </c>
      <c r="B120" s="3" t="str">
        <f aca="false">IF($W120="","",INDEX(发票统计!B$4:B$1003,$W120)&amp;"")</f>
        <v/>
      </c>
      <c r="C120" s="3" t="str">
        <f aca="false">IF($W120="","",INDEX(发票统计!C$4:C$1003,$W120)&amp;"")</f>
        <v/>
      </c>
      <c r="D120" s="3" t="str">
        <f aca="false">IF($W120="","",INDEX(发票统计!D$4:D$1003,$W120)&amp;"")</f>
        <v/>
      </c>
      <c r="E120" s="67" t="str">
        <f aca="false">IF($W120="","",INDEX(发票统计!E$4:E$1003,$W120)&amp;"")</f>
        <v/>
      </c>
      <c r="F120" s="68" t="str">
        <f aca="false">IF($W120="","",INDEX(发票统计!F$4:F$1003,$W120)&amp;"")</f>
        <v/>
      </c>
      <c r="G120" s="68" t="str">
        <f aca="false">IF($W120="","",IF(INDEX(发票统计!G$4:G$1003,$W120)="","",INDEX(发票统计!G$4:G$1003,$W120)))</f>
        <v/>
      </c>
      <c r="H120" s="56" t="str">
        <f aca="false">IF($W120="","",N(INDEX(发票统计!H$4:H$1003,$W120)))</f>
        <v/>
      </c>
      <c r="I120" s="56" t="str">
        <f aca="false">IF($W120="","",N(INDEX(发票统计!I$4:I$1003,$W120)))</f>
        <v/>
      </c>
      <c r="J120" s="56" t="str">
        <f aca="false">IF($W120="","",N(INDEX(发票统计!J$4:J$1003,$W120)))</f>
        <v/>
      </c>
      <c r="K120" s="56" t="str">
        <f aca="false">IF($W120="","",N(INDEX(发票统计!K$4:K$1003,$W120)))</f>
        <v/>
      </c>
      <c r="L120" s="56" t="str">
        <f aca="false">IF($W120="","",SUM(J$4:J120)-SUM(K$4:K120))</f>
        <v/>
      </c>
      <c r="M120" s="56" t="str">
        <f aca="false">IF($W120="","",N(INDEX(发票统计!M$4:M$1003,$W120)))</f>
        <v/>
      </c>
      <c r="N120" s="56" t="str">
        <f aca="false">IF($W120="","",N(INDEX(发票统计!N$4:N$1003,$W120)))</f>
        <v/>
      </c>
      <c r="O120" s="56" t="str">
        <f aca="false">IF($W120="","",N(INDEX(发票统计!O$4:O$1003,$W120)))</f>
        <v/>
      </c>
      <c r="P120" s="56" t="str">
        <f aca="false">IF($W120="","",SUM(M$4:M120)-SUM(N$4:N120)-SUM(O$4:O120))</f>
        <v/>
      </c>
      <c r="Q120" s="56" t="str">
        <f aca="false">IF($W120="","",N(INDEX(发票统计!Q$4:Q$1003,$W120)))</f>
        <v/>
      </c>
      <c r="R120" s="56" t="str">
        <f aca="false">IF($W120="","",N(INDEX(发票统计!R$4:R$1003,$W120)))</f>
        <v/>
      </c>
      <c r="S120" s="56" t="str">
        <f aca="false">IF($W120="","",N(INDEX(发票统计!S$4:S$1003,$W120)))</f>
        <v/>
      </c>
      <c r="T120" s="56" t="str">
        <f aca="false">IF($W120="","",SUM(Q$4:Q120)-SUM(R$4:R120)-SUM(S$4:S120))</f>
        <v/>
      </c>
      <c r="U120" s="56" t="str">
        <f aca="false">IF($W120="","",INDEX(发票统计!U$4:U$1003,$W120)&amp;"")</f>
        <v/>
      </c>
      <c r="W120" s="1" t="str">
        <f aca="false">IF($V$3="","",IFERROR(MATCH($V$3&amp;"#"&amp;ROWS(W$4:W120),发票统计!$W$4:$W$1003,0),""))</f>
        <v/>
      </c>
    </row>
    <row r="121" customFormat="false" ht="16.5" hidden="false" customHeight="false" outlineLevel="0" collapsed="false">
      <c r="A121" s="3" t="str">
        <f aca="false">IF($W121="","",INDEX(发票统计!A$4:A$1003,$W121)&amp;"")</f>
        <v/>
      </c>
      <c r="B121" s="3" t="str">
        <f aca="false">IF($W121="","",INDEX(发票统计!B$4:B$1003,$W121)&amp;"")</f>
        <v/>
      </c>
      <c r="C121" s="3" t="str">
        <f aca="false">IF($W121="","",INDEX(发票统计!C$4:C$1003,$W121)&amp;"")</f>
        <v/>
      </c>
      <c r="D121" s="3" t="str">
        <f aca="false">IF($W121="","",INDEX(发票统计!D$4:D$1003,$W121)&amp;"")</f>
        <v/>
      </c>
      <c r="E121" s="67" t="str">
        <f aca="false">IF($W121="","",INDEX(发票统计!E$4:E$1003,$W121)&amp;"")</f>
        <v/>
      </c>
      <c r="F121" s="68" t="str">
        <f aca="false">IF($W121="","",INDEX(发票统计!F$4:F$1003,$W121)&amp;"")</f>
        <v/>
      </c>
      <c r="G121" s="68" t="str">
        <f aca="false">IF($W121="","",IF(INDEX(发票统计!G$4:G$1003,$W121)="","",INDEX(发票统计!G$4:G$1003,$W121)))</f>
        <v/>
      </c>
      <c r="H121" s="56" t="str">
        <f aca="false">IF($W121="","",N(INDEX(发票统计!H$4:H$1003,$W121)))</f>
        <v/>
      </c>
      <c r="I121" s="56" t="str">
        <f aca="false">IF($W121="","",N(INDEX(发票统计!I$4:I$1003,$W121)))</f>
        <v/>
      </c>
      <c r="J121" s="56" t="str">
        <f aca="false">IF($W121="","",N(INDEX(发票统计!J$4:J$1003,$W121)))</f>
        <v/>
      </c>
      <c r="K121" s="56" t="str">
        <f aca="false">IF($W121="","",N(INDEX(发票统计!K$4:K$1003,$W121)))</f>
        <v/>
      </c>
      <c r="L121" s="56" t="str">
        <f aca="false">IF($W121="","",SUM(J$4:J121)-SUM(K$4:K121))</f>
        <v/>
      </c>
      <c r="M121" s="56" t="str">
        <f aca="false">IF($W121="","",N(INDEX(发票统计!M$4:M$1003,$W121)))</f>
        <v/>
      </c>
      <c r="N121" s="56" t="str">
        <f aca="false">IF($W121="","",N(INDEX(发票统计!N$4:N$1003,$W121)))</f>
        <v/>
      </c>
      <c r="O121" s="56" t="str">
        <f aca="false">IF($W121="","",N(INDEX(发票统计!O$4:O$1003,$W121)))</f>
        <v/>
      </c>
      <c r="P121" s="56" t="str">
        <f aca="false">IF($W121="","",SUM(M$4:M121)-SUM(N$4:N121)-SUM(O$4:O121))</f>
        <v/>
      </c>
      <c r="Q121" s="56" t="str">
        <f aca="false">IF($W121="","",N(INDEX(发票统计!Q$4:Q$1003,$W121)))</f>
        <v/>
      </c>
      <c r="R121" s="56" t="str">
        <f aca="false">IF($W121="","",N(INDEX(发票统计!R$4:R$1003,$W121)))</f>
        <v/>
      </c>
      <c r="S121" s="56" t="str">
        <f aca="false">IF($W121="","",N(INDEX(发票统计!S$4:S$1003,$W121)))</f>
        <v/>
      </c>
      <c r="T121" s="56" t="str">
        <f aca="false">IF($W121="","",SUM(Q$4:Q121)-SUM(R$4:R121)-SUM(S$4:S121))</f>
        <v/>
      </c>
      <c r="U121" s="56" t="str">
        <f aca="false">IF($W121="","",INDEX(发票统计!U$4:U$1003,$W121)&amp;"")</f>
        <v/>
      </c>
      <c r="W121" s="1" t="str">
        <f aca="false">IF($V$3="","",IFERROR(MATCH($V$3&amp;"#"&amp;ROWS(W$4:W121),发票统计!$W$4:$W$1003,0),""))</f>
        <v/>
      </c>
    </row>
    <row r="122" customFormat="false" ht="16.5" hidden="false" customHeight="false" outlineLevel="0" collapsed="false">
      <c r="A122" s="3" t="str">
        <f aca="false">IF($W122="","",INDEX(发票统计!A$4:A$1003,$W122)&amp;"")</f>
        <v/>
      </c>
      <c r="B122" s="3" t="str">
        <f aca="false">IF($W122="","",INDEX(发票统计!B$4:B$1003,$W122)&amp;"")</f>
        <v/>
      </c>
      <c r="C122" s="3" t="str">
        <f aca="false">IF($W122="","",INDEX(发票统计!C$4:C$1003,$W122)&amp;"")</f>
        <v/>
      </c>
      <c r="D122" s="3" t="str">
        <f aca="false">IF($W122="","",INDEX(发票统计!D$4:D$1003,$W122)&amp;"")</f>
        <v/>
      </c>
      <c r="E122" s="67" t="str">
        <f aca="false">IF($W122="","",INDEX(发票统计!E$4:E$1003,$W122)&amp;"")</f>
        <v/>
      </c>
      <c r="F122" s="68" t="str">
        <f aca="false">IF($W122="","",INDEX(发票统计!F$4:F$1003,$W122)&amp;"")</f>
        <v/>
      </c>
      <c r="G122" s="68" t="str">
        <f aca="false">IF($W122="","",IF(INDEX(发票统计!G$4:G$1003,$W122)="","",INDEX(发票统计!G$4:G$1003,$W122)))</f>
        <v/>
      </c>
      <c r="H122" s="56" t="str">
        <f aca="false">IF($W122="","",N(INDEX(发票统计!H$4:H$1003,$W122)))</f>
        <v/>
      </c>
      <c r="I122" s="56" t="str">
        <f aca="false">IF($W122="","",N(INDEX(发票统计!I$4:I$1003,$W122)))</f>
        <v/>
      </c>
      <c r="J122" s="56" t="str">
        <f aca="false">IF($W122="","",N(INDEX(发票统计!J$4:J$1003,$W122)))</f>
        <v/>
      </c>
      <c r="K122" s="56" t="str">
        <f aca="false">IF($W122="","",N(INDEX(发票统计!K$4:K$1003,$W122)))</f>
        <v/>
      </c>
      <c r="L122" s="56" t="str">
        <f aca="false">IF($W122="","",SUM(J$4:J122)-SUM(K$4:K122))</f>
        <v/>
      </c>
      <c r="M122" s="56" t="str">
        <f aca="false">IF($W122="","",N(INDEX(发票统计!M$4:M$1003,$W122)))</f>
        <v/>
      </c>
      <c r="N122" s="56" t="str">
        <f aca="false">IF($W122="","",N(INDEX(发票统计!N$4:N$1003,$W122)))</f>
        <v/>
      </c>
      <c r="O122" s="56" t="str">
        <f aca="false">IF($W122="","",N(INDEX(发票统计!O$4:O$1003,$W122)))</f>
        <v/>
      </c>
      <c r="P122" s="56" t="str">
        <f aca="false">IF($W122="","",SUM(M$4:M122)-SUM(N$4:N122)-SUM(O$4:O122))</f>
        <v/>
      </c>
      <c r="Q122" s="56" t="str">
        <f aca="false">IF($W122="","",N(INDEX(发票统计!Q$4:Q$1003,$W122)))</f>
        <v/>
      </c>
      <c r="R122" s="56" t="str">
        <f aca="false">IF($W122="","",N(INDEX(发票统计!R$4:R$1003,$W122)))</f>
        <v/>
      </c>
      <c r="S122" s="56" t="str">
        <f aca="false">IF($W122="","",N(INDEX(发票统计!S$4:S$1003,$W122)))</f>
        <v/>
      </c>
      <c r="T122" s="56" t="str">
        <f aca="false">IF($W122="","",SUM(Q$4:Q122)-SUM(R$4:R122)-SUM(S$4:S122))</f>
        <v/>
      </c>
      <c r="U122" s="56" t="str">
        <f aca="false">IF($W122="","",INDEX(发票统计!U$4:U$1003,$W122)&amp;"")</f>
        <v/>
      </c>
      <c r="W122" s="1" t="str">
        <f aca="false">IF($V$3="","",IFERROR(MATCH($V$3&amp;"#"&amp;ROWS(W$4:W122),发票统计!$W$4:$W$1003,0),""))</f>
        <v/>
      </c>
    </row>
    <row r="123" customFormat="false" ht="16.5" hidden="false" customHeight="false" outlineLevel="0" collapsed="false">
      <c r="A123" s="3" t="str">
        <f aca="false">IF($W123="","",INDEX(发票统计!A$4:A$1003,$W123)&amp;"")</f>
        <v/>
      </c>
      <c r="B123" s="3" t="str">
        <f aca="false">IF($W123="","",INDEX(发票统计!B$4:B$1003,$W123)&amp;"")</f>
        <v/>
      </c>
      <c r="C123" s="3" t="str">
        <f aca="false">IF($W123="","",INDEX(发票统计!C$4:C$1003,$W123)&amp;"")</f>
        <v/>
      </c>
      <c r="D123" s="3" t="str">
        <f aca="false">IF($W123="","",INDEX(发票统计!D$4:D$1003,$W123)&amp;"")</f>
        <v/>
      </c>
      <c r="E123" s="67" t="str">
        <f aca="false">IF($W123="","",INDEX(发票统计!E$4:E$1003,$W123)&amp;"")</f>
        <v/>
      </c>
      <c r="F123" s="68" t="str">
        <f aca="false">IF($W123="","",INDEX(发票统计!F$4:F$1003,$W123)&amp;"")</f>
        <v/>
      </c>
      <c r="G123" s="68" t="str">
        <f aca="false">IF($W123="","",IF(INDEX(发票统计!G$4:G$1003,$W123)="","",INDEX(发票统计!G$4:G$1003,$W123)))</f>
        <v/>
      </c>
      <c r="H123" s="56" t="str">
        <f aca="false">IF($W123="","",N(INDEX(发票统计!H$4:H$1003,$W123)))</f>
        <v/>
      </c>
      <c r="I123" s="56" t="str">
        <f aca="false">IF($W123="","",N(INDEX(发票统计!I$4:I$1003,$W123)))</f>
        <v/>
      </c>
      <c r="J123" s="56" t="str">
        <f aca="false">IF($W123="","",N(INDEX(发票统计!J$4:J$1003,$W123)))</f>
        <v/>
      </c>
      <c r="K123" s="56" t="str">
        <f aca="false">IF($W123="","",N(INDEX(发票统计!K$4:K$1003,$W123)))</f>
        <v/>
      </c>
      <c r="L123" s="56" t="str">
        <f aca="false">IF($W123="","",SUM(J$4:J123)-SUM(K$4:K123))</f>
        <v/>
      </c>
      <c r="M123" s="56" t="str">
        <f aca="false">IF($W123="","",N(INDEX(发票统计!M$4:M$1003,$W123)))</f>
        <v/>
      </c>
      <c r="N123" s="56" t="str">
        <f aca="false">IF($W123="","",N(INDEX(发票统计!N$4:N$1003,$W123)))</f>
        <v/>
      </c>
      <c r="O123" s="56" t="str">
        <f aca="false">IF($W123="","",N(INDEX(发票统计!O$4:O$1003,$W123)))</f>
        <v/>
      </c>
      <c r="P123" s="56" t="str">
        <f aca="false">IF($W123="","",SUM(M$4:M123)-SUM(N$4:N123)-SUM(O$4:O123))</f>
        <v/>
      </c>
      <c r="Q123" s="56" t="str">
        <f aca="false">IF($W123="","",N(INDEX(发票统计!Q$4:Q$1003,$W123)))</f>
        <v/>
      </c>
      <c r="R123" s="56" t="str">
        <f aca="false">IF($W123="","",N(INDEX(发票统计!R$4:R$1003,$W123)))</f>
        <v/>
      </c>
      <c r="S123" s="56" t="str">
        <f aca="false">IF($W123="","",N(INDEX(发票统计!S$4:S$1003,$W123)))</f>
        <v/>
      </c>
      <c r="T123" s="56" t="str">
        <f aca="false">IF($W123="","",SUM(Q$4:Q123)-SUM(R$4:R123)-SUM(S$4:S123))</f>
        <v/>
      </c>
      <c r="U123" s="56" t="str">
        <f aca="false">IF($W123="","",INDEX(发票统计!U$4:U$1003,$W123)&amp;"")</f>
        <v/>
      </c>
      <c r="W123" s="1" t="str">
        <f aca="false">IF($V$3="","",IFERROR(MATCH($V$3&amp;"#"&amp;ROWS(W$4:W123),发票统计!$W$4:$W$1003,0),""))</f>
        <v/>
      </c>
    </row>
    <row r="124" customFormat="false" ht="16.5" hidden="false" customHeight="false" outlineLevel="0" collapsed="false">
      <c r="A124" s="3" t="str">
        <f aca="false">IF($W124="","",INDEX(发票统计!A$4:A$1003,$W124)&amp;"")</f>
        <v/>
      </c>
      <c r="B124" s="3" t="str">
        <f aca="false">IF($W124="","",INDEX(发票统计!B$4:B$1003,$W124)&amp;"")</f>
        <v/>
      </c>
      <c r="C124" s="3" t="str">
        <f aca="false">IF($W124="","",INDEX(发票统计!C$4:C$1003,$W124)&amp;"")</f>
        <v/>
      </c>
      <c r="D124" s="3" t="str">
        <f aca="false">IF($W124="","",INDEX(发票统计!D$4:D$1003,$W124)&amp;"")</f>
        <v/>
      </c>
      <c r="E124" s="67" t="str">
        <f aca="false">IF($W124="","",INDEX(发票统计!E$4:E$1003,$W124)&amp;"")</f>
        <v/>
      </c>
      <c r="F124" s="68" t="str">
        <f aca="false">IF($W124="","",INDEX(发票统计!F$4:F$1003,$W124)&amp;"")</f>
        <v/>
      </c>
      <c r="G124" s="68" t="str">
        <f aca="false">IF($W124="","",IF(INDEX(发票统计!G$4:G$1003,$W124)="","",INDEX(发票统计!G$4:G$1003,$W124)))</f>
        <v/>
      </c>
      <c r="H124" s="56" t="str">
        <f aca="false">IF($W124="","",N(INDEX(发票统计!H$4:H$1003,$W124)))</f>
        <v/>
      </c>
      <c r="I124" s="56" t="str">
        <f aca="false">IF($W124="","",N(INDEX(发票统计!I$4:I$1003,$W124)))</f>
        <v/>
      </c>
      <c r="J124" s="56" t="str">
        <f aca="false">IF($W124="","",N(INDEX(发票统计!J$4:J$1003,$W124)))</f>
        <v/>
      </c>
      <c r="K124" s="56" t="str">
        <f aca="false">IF($W124="","",N(INDEX(发票统计!K$4:K$1003,$W124)))</f>
        <v/>
      </c>
      <c r="L124" s="56" t="str">
        <f aca="false">IF($W124="","",SUM(J$4:J124)-SUM(K$4:K124))</f>
        <v/>
      </c>
      <c r="M124" s="56" t="str">
        <f aca="false">IF($W124="","",N(INDEX(发票统计!M$4:M$1003,$W124)))</f>
        <v/>
      </c>
      <c r="N124" s="56" t="str">
        <f aca="false">IF($W124="","",N(INDEX(发票统计!N$4:N$1003,$W124)))</f>
        <v/>
      </c>
      <c r="O124" s="56" t="str">
        <f aca="false">IF($W124="","",N(INDEX(发票统计!O$4:O$1003,$W124)))</f>
        <v/>
      </c>
      <c r="P124" s="56" t="str">
        <f aca="false">IF($W124="","",SUM(M$4:M124)-SUM(N$4:N124)-SUM(O$4:O124))</f>
        <v/>
      </c>
      <c r="Q124" s="56" t="str">
        <f aca="false">IF($W124="","",N(INDEX(发票统计!Q$4:Q$1003,$W124)))</f>
        <v/>
      </c>
      <c r="R124" s="56" t="str">
        <f aca="false">IF($W124="","",N(INDEX(发票统计!R$4:R$1003,$W124)))</f>
        <v/>
      </c>
      <c r="S124" s="56" t="str">
        <f aca="false">IF($W124="","",N(INDEX(发票统计!S$4:S$1003,$W124)))</f>
        <v/>
      </c>
      <c r="T124" s="56" t="str">
        <f aca="false">IF($W124="","",SUM(Q$4:Q124)-SUM(R$4:R124)-SUM(S$4:S124))</f>
        <v/>
      </c>
      <c r="U124" s="56" t="str">
        <f aca="false">IF($W124="","",INDEX(发票统计!U$4:U$1003,$W124)&amp;"")</f>
        <v/>
      </c>
      <c r="W124" s="1" t="str">
        <f aca="false">IF($V$3="","",IFERROR(MATCH($V$3&amp;"#"&amp;ROWS(W$4:W124),发票统计!$W$4:$W$1003,0),""))</f>
        <v/>
      </c>
    </row>
    <row r="125" customFormat="false" ht="16.5" hidden="false" customHeight="false" outlineLevel="0" collapsed="false">
      <c r="A125" s="3" t="str">
        <f aca="false">IF($W125="","",INDEX(发票统计!A$4:A$1003,$W125)&amp;"")</f>
        <v/>
      </c>
      <c r="B125" s="3" t="str">
        <f aca="false">IF($W125="","",INDEX(发票统计!B$4:B$1003,$W125)&amp;"")</f>
        <v/>
      </c>
      <c r="C125" s="3" t="str">
        <f aca="false">IF($W125="","",INDEX(发票统计!C$4:C$1003,$W125)&amp;"")</f>
        <v/>
      </c>
      <c r="D125" s="3" t="str">
        <f aca="false">IF($W125="","",INDEX(发票统计!D$4:D$1003,$W125)&amp;"")</f>
        <v/>
      </c>
      <c r="E125" s="67" t="str">
        <f aca="false">IF($W125="","",INDEX(发票统计!E$4:E$1003,$W125)&amp;"")</f>
        <v/>
      </c>
      <c r="F125" s="68" t="str">
        <f aca="false">IF($W125="","",INDEX(发票统计!F$4:F$1003,$W125)&amp;"")</f>
        <v/>
      </c>
      <c r="G125" s="68" t="str">
        <f aca="false">IF($W125="","",IF(INDEX(发票统计!G$4:G$1003,$W125)="","",INDEX(发票统计!G$4:G$1003,$W125)))</f>
        <v/>
      </c>
      <c r="H125" s="56" t="str">
        <f aca="false">IF($W125="","",N(INDEX(发票统计!H$4:H$1003,$W125)))</f>
        <v/>
      </c>
      <c r="I125" s="56" t="str">
        <f aca="false">IF($W125="","",N(INDEX(发票统计!I$4:I$1003,$W125)))</f>
        <v/>
      </c>
      <c r="J125" s="56" t="str">
        <f aca="false">IF($W125="","",N(INDEX(发票统计!J$4:J$1003,$W125)))</f>
        <v/>
      </c>
      <c r="K125" s="56" t="str">
        <f aca="false">IF($W125="","",N(INDEX(发票统计!K$4:K$1003,$W125)))</f>
        <v/>
      </c>
      <c r="L125" s="56" t="str">
        <f aca="false">IF($W125="","",SUM(J$4:J125)-SUM(K$4:K125))</f>
        <v/>
      </c>
      <c r="M125" s="56" t="str">
        <f aca="false">IF($W125="","",N(INDEX(发票统计!M$4:M$1003,$W125)))</f>
        <v/>
      </c>
      <c r="N125" s="56" t="str">
        <f aca="false">IF($W125="","",N(INDEX(发票统计!N$4:N$1003,$W125)))</f>
        <v/>
      </c>
      <c r="O125" s="56" t="str">
        <f aca="false">IF($W125="","",N(INDEX(发票统计!O$4:O$1003,$W125)))</f>
        <v/>
      </c>
      <c r="P125" s="56" t="str">
        <f aca="false">IF($W125="","",SUM(M$4:M125)-SUM(N$4:N125)-SUM(O$4:O125))</f>
        <v/>
      </c>
      <c r="Q125" s="56" t="str">
        <f aca="false">IF($W125="","",N(INDEX(发票统计!Q$4:Q$1003,$W125)))</f>
        <v/>
      </c>
      <c r="R125" s="56" t="str">
        <f aca="false">IF($W125="","",N(INDEX(发票统计!R$4:R$1003,$W125)))</f>
        <v/>
      </c>
      <c r="S125" s="56" t="str">
        <f aca="false">IF($W125="","",N(INDEX(发票统计!S$4:S$1003,$W125)))</f>
        <v/>
      </c>
      <c r="T125" s="56" t="str">
        <f aca="false">IF($W125="","",SUM(Q$4:Q125)-SUM(R$4:R125)-SUM(S$4:S125))</f>
        <v/>
      </c>
      <c r="U125" s="56" t="str">
        <f aca="false">IF($W125="","",INDEX(发票统计!U$4:U$1003,$W125)&amp;"")</f>
        <v/>
      </c>
      <c r="W125" s="1" t="str">
        <f aca="false">IF($V$3="","",IFERROR(MATCH($V$3&amp;"#"&amp;ROWS(W$4:W125),发票统计!$W$4:$W$1003,0),""))</f>
        <v/>
      </c>
    </row>
    <row r="126" customFormat="false" ht="16.5" hidden="false" customHeight="false" outlineLevel="0" collapsed="false">
      <c r="A126" s="3" t="str">
        <f aca="false">IF($W126="","",INDEX(发票统计!A$4:A$1003,$W126)&amp;"")</f>
        <v/>
      </c>
      <c r="B126" s="3" t="str">
        <f aca="false">IF($W126="","",INDEX(发票统计!B$4:B$1003,$W126)&amp;"")</f>
        <v/>
      </c>
      <c r="C126" s="3" t="str">
        <f aca="false">IF($W126="","",INDEX(发票统计!C$4:C$1003,$W126)&amp;"")</f>
        <v/>
      </c>
      <c r="D126" s="3" t="str">
        <f aca="false">IF($W126="","",INDEX(发票统计!D$4:D$1003,$W126)&amp;"")</f>
        <v/>
      </c>
      <c r="E126" s="67" t="str">
        <f aca="false">IF($W126="","",INDEX(发票统计!E$4:E$1003,$W126)&amp;"")</f>
        <v/>
      </c>
      <c r="F126" s="68" t="str">
        <f aca="false">IF($W126="","",INDEX(发票统计!F$4:F$1003,$W126)&amp;"")</f>
        <v/>
      </c>
      <c r="G126" s="68" t="str">
        <f aca="false">IF($W126="","",IF(INDEX(发票统计!G$4:G$1003,$W126)="","",INDEX(发票统计!G$4:G$1003,$W126)))</f>
        <v/>
      </c>
      <c r="H126" s="56" t="str">
        <f aca="false">IF($W126="","",N(INDEX(发票统计!H$4:H$1003,$W126)))</f>
        <v/>
      </c>
      <c r="I126" s="56" t="str">
        <f aca="false">IF($W126="","",N(INDEX(发票统计!I$4:I$1003,$W126)))</f>
        <v/>
      </c>
      <c r="J126" s="56" t="str">
        <f aca="false">IF($W126="","",N(INDEX(发票统计!J$4:J$1003,$W126)))</f>
        <v/>
      </c>
      <c r="K126" s="56" t="str">
        <f aca="false">IF($W126="","",N(INDEX(发票统计!K$4:K$1003,$W126)))</f>
        <v/>
      </c>
      <c r="L126" s="56" t="str">
        <f aca="false">IF($W126="","",SUM(J$4:J126)-SUM(K$4:K126))</f>
        <v/>
      </c>
      <c r="M126" s="56" t="str">
        <f aca="false">IF($W126="","",N(INDEX(发票统计!M$4:M$1003,$W126)))</f>
        <v/>
      </c>
      <c r="N126" s="56" t="str">
        <f aca="false">IF($W126="","",N(INDEX(发票统计!N$4:N$1003,$W126)))</f>
        <v/>
      </c>
      <c r="O126" s="56" t="str">
        <f aca="false">IF($W126="","",N(INDEX(发票统计!O$4:O$1003,$W126)))</f>
        <v/>
      </c>
      <c r="P126" s="56" t="str">
        <f aca="false">IF($W126="","",SUM(M$4:M126)-SUM(N$4:N126)-SUM(O$4:O126))</f>
        <v/>
      </c>
      <c r="Q126" s="56" t="str">
        <f aca="false">IF($W126="","",N(INDEX(发票统计!Q$4:Q$1003,$W126)))</f>
        <v/>
      </c>
      <c r="R126" s="56" t="str">
        <f aca="false">IF($W126="","",N(INDEX(发票统计!R$4:R$1003,$W126)))</f>
        <v/>
      </c>
      <c r="S126" s="56" t="str">
        <f aca="false">IF($W126="","",N(INDEX(发票统计!S$4:S$1003,$W126)))</f>
        <v/>
      </c>
      <c r="T126" s="56" t="str">
        <f aca="false">IF($W126="","",SUM(Q$4:Q126)-SUM(R$4:R126)-SUM(S$4:S126))</f>
        <v/>
      </c>
      <c r="U126" s="56" t="str">
        <f aca="false">IF($W126="","",INDEX(发票统计!U$4:U$1003,$W126)&amp;"")</f>
        <v/>
      </c>
      <c r="W126" s="1" t="str">
        <f aca="false">IF($V$3="","",IFERROR(MATCH($V$3&amp;"#"&amp;ROWS(W$4:W126),发票统计!$W$4:$W$1003,0),""))</f>
        <v/>
      </c>
    </row>
    <row r="127" customFormat="false" ht="16.5" hidden="false" customHeight="false" outlineLevel="0" collapsed="false">
      <c r="A127" s="3" t="str">
        <f aca="false">IF($W127="","",INDEX(发票统计!A$4:A$1003,$W127)&amp;"")</f>
        <v/>
      </c>
      <c r="B127" s="3" t="str">
        <f aca="false">IF($W127="","",INDEX(发票统计!B$4:B$1003,$W127)&amp;"")</f>
        <v/>
      </c>
      <c r="C127" s="3" t="str">
        <f aca="false">IF($W127="","",INDEX(发票统计!C$4:C$1003,$W127)&amp;"")</f>
        <v/>
      </c>
      <c r="D127" s="3" t="str">
        <f aca="false">IF($W127="","",INDEX(发票统计!D$4:D$1003,$W127)&amp;"")</f>
        <v/>
      </c>
      <c r="E127" s="67" t="str">
        <f aca="false">IF($W127="","",INDEX(发票统计!E$4:E$1003,$W127)&amp;"")</f>
        <v/>
      </c>
      <c r="F127" s="68" t="str">
        <f aca="false">IF($W127="","",INDEX(发票统计!F$4:F$1003,$W127)&amp;"")</f>
        <v/>
      </c>
      <c r="G127" s="68" t="str">
        <f aca="false">IF($W127="","",IF(INDEX(发票统计!G$4:G$1003,$W127)="","",INDEX(发票统计!G$4:G$1003,$W127)))</f>
        <v/>
      </c>
      <c r="H127" s="56" t="str">
        <f aca="false">IF($W127="","",N(INDEX(发票统计!H$4:H$1003,$W127)))</f>
        <v/>
      </c>
      <c r="I127" s="56" t="str">
        <f aca="false">IF($W127="","",N(INDEX(发票统计!I$4:I$1003,$W127)))</f>
        <v/>
      </c>
      <c r="J127" s="56" t="str">
        <f aca="false">IF($W127="","",N(INDEX(发票统计!J$4:J$1003,$W127)))</f>
        <v/>
      </c>
      <c r="K127" s="56" t="str">
        <f aca="false">IF($W127="","",N(INDEX(发票统计!K$4:K$1003,$W127)))</f>
        <v/>
      </c>
      <c r="L127" s="56" t="str">
        <f aca="false">IF($W127="","",SUM(J$4:J127)-SUM(K$4:K127))</f>
        <v/>
      </c>
      <c r="M127" s="56" t="str">
        <f aca="false">IF($W127="","",N(INDEX(发票统计!M$4:M$1003,$W127)))</f>
        <v/>
      </c>
      <c r="N127" s="56" t="str">
        <f aca="false">IF($W127="","",N(INDEX(发票统计!N$4:N$1003,$W127)))</f>
        <v/>
      </c>
      <c r="O127" s="56" t="str">
        <f aca="false">IF($W127="","",N(INDEX(发票统计!O$4:O$1003,$W127)))</f>
        <v/>
      </c>
      <c r="P127" s="56" t="str">
        <f aca="false">IF($W127="","",SUM(M$4:M127)-SUM(N$4:N127)-SUM(O$4:O127))</f>
        <v/>
      </c>
      <c r="Q127" s="56" t="str">
        <f aca="false">IF($W127="","",N(INDEX(发票统计!Q$4:Q$1003,$W127)))</f>
        <v/>
      </c>
      <c r="R127" s="56" t="str">
        <f aca="false">IF($W127="","",N(INDEX(发票统计!R$4:R$1003,$W127)))</f>
        <v/>
      </c>
      <c r="S127" s="56" t="str">
        <f aca="false">IF($W127="","",N(INDEX(发票统计!S$4:S$1003,$W127)))</f>
        <v/>
      </c>
      <c r="T127" s="56" t="str">
        <f aca="false">IF($W127="","",SUM(Q$4:Q127)-SUM(R$4:R127)-SUM(S$4:S127))</f>
        <v/>
      </c>
      <c r="U127" s="56" t="str">
        <f aca="false">IF($W127="","",INDEX(发票统计!U$4:U$1003,$W127)&amp;"")</f>
        <v/>
      </c>
      <c r="W127" s="1" t="str">
        <f aca="false">IF($V$3="","",IFERROR(MATCH($V$3&amp;"#"&amp;ROWS(W$4:W127),发票统计!$W$4:$W$1003,0),""))</f>
        <v/>
      </c>
    </row>
    <row r="128" customFormat="false" ht="16.5" hidden="false" customHeight="false" outlineLevel="0" collapsed="false">
      <c r="A128" s="3" t="str">
        <f aca="false">IF($W128="","",INDEX(发票统计!A$4:A$1003,$W128)&amp;"")</f>
        <v/>
      </c>
      <c r="B128" s="3" t="str">
        <f aca="false">IF($W128="","",INDEX(发票统计!B$4:B$1003,$W128)&amp;"")</f>
        <v/>
      </c>
      <c r="C128" s="3" t="str">
        <f aca="false">IF($W128="","",INDEX(发票统计!C$4:C$1003,$W128)&amp;"")</f>
        <v/>
      </c>
      <c r="D128" s="3" t="str">
        <f aca="false">IF($W128="","",INDEX(发票统计!D$4:D$1003,$W128)&amp;"")</f>
        <v/>
      </c>
      <c r="E128" s="67" t="str">
        <f aca="false">IF($W128="","",INDEX(发票统计!E$4:E$1003,$W128)&amp;"")</f>
        <v/>
      </c>
      <c r="F128" s="68" t="str">
        <f aca="false">IF($W128="","",INDEX(发票统计!F$4:F$1003,$W128)&amp;"")</f>
        <v/>
      </c>
      <c r="G128" s="68" t="str">
        <f aca="false">IF($W128="","",IF(INDEX(发票统计!G$4:G$1003,$W128)="","",INDEX(发票统计!G$4:G$1003,$W128)))</f>
        <v/>
      </c>
      <c r="H128" s="56" t="str">
        <f aca="false">IF($W128="","",N(INDEX(发票统计!H$4:H$1003,$W128)))</f>
        <v/>
      </c>
      <c r="I128" s="56" t="str">
        <f aca="false">IF($W128="","",N(INDEX(发票统计!I$4:I$1003,$W128)))</f>
        <v/>
      </c>
      <c r="J128" s="56" t="str">
        <f aca="false">IF($W128="","",N(INDEX(发票统计!J$4:J$1003,$W128)))</f>
        <v/>
      </c>
      <c r="K128" s="56" t="str">
        <f aca="false">IF($W128="","",N(INDEX(发票统计!K$4:K$1003,$W128)))</f>
        <v/>
      </c>
      <c r="L128" s="56" t="str">
        <f aca="false">IF($W128="","",SUM(J$4:J128)-SUM(K$4:K128))</f>
        <v/>
      </c>
      <c r="M128" s="56" t="str">
        <f aca="false">IF($W128="","",N(INDEX(发票统计!M$4:M$1003,$W128)))</f>
        <v/>
      </c>
      <c r="N128" s="56" t="str">
        <f aca="false">IF($W128="","",N(INDEX(发票统计!N$4:N$1003,$W128)))</f>
        <v/>
      </c>
      <c r="O128" s="56" t="str">
        <f aca="false">IF($W128="","",N(INDEX(发票统计!O$4:O$1003,$W128)))</f>
        <v/>
      </c>
      <c r="P128" s="56" t="str">
        <f aca="false">IF($W128="","",SUM(M$4:M128)-SUM(N$4:N128)-SUM(O$4:O128))</f>
        <v/>
      </c>
      <c r="Q128" s="56" t="str">
        <f aca="false">IF($W128="","",N(INDEX(发票统计!Q$4:Q$1003,$W128)))</f>
        <v/>
      </c>
      <c r="R128" s="56" t="str">
        <f aca="false">IF($W128="","",N(INDEX(发票统计!R$4:R$1003,$W128)))</f>
        <v/>
      </c>
      <c r="S128" s="56" t="str">
        <f aca="false">IF($W128="","",N(INDEX(发票统计!S$4:S$1003,$W128)))</f>
        <v/>
      </c>
      <c r="T128" s="56" t="str">
        <f aca="false">IF($W128="","",SUM(Q$4:Q128)-SUM(R$4:R128)-SUM(S$4:S128))</f>
        <v/>
      </c>
      <c r="U128" s="56" t="str">
        <f aca="false">IF($W128="","",INDEX(发票统计!U$4:U$1003,$W128)&amp;"")</f>
        <v/>
      </c>
      <c r="W128" s="1" t="str">
        <f aca="false">IF($V$3="","",IFERROR(MATCH($V$3&amp;"#"&amp;ROWS(W$4:W128),发票统计!$W$4:$W$1003,0),""))</f>
        <v/>
      </c>
    </row>
    <row r="129" customFormat="false" ht="16.5" hidden="false" customHeight="false" outlineLevel="0" collapsed="false">
      <c r="A129" s="3" t="str">
        <f aca="false">IF($W129="","",INDEX(发票统计!A$4:A$1003,$W129)&amp;"")</f>
        <v/>
      </c>
      <c r="B129" s="3" t="str">
        <f aca="false">IF($W129="","",INDEX(发票统计!B$4:B$1003,$W129)&amp;"")</f>
        <v/>
      </c>
      <c r="C129" s="3" t="str">
        <f aca="false">IF($W129="","",INDEX(发票统计!C$4:C$1003,$W129)&amp;"")</f>
        <v/>
      </c>
      <c r="D129" s="3" t="str">
        <f aca="false">IF($W129="","",INDEX(发票统计!D$4:D$1003,$W129)&amp;"")</f>
        <v/>
      </c>
      <c r="E129" s="67" t="str">
        <f aca="false">IF($W129="","",INDEX(发票统计!E$4:E$1003,$W129)&amp;"")</f>
        <v/>
      </c>
      <c r="F129" s="68" t="str">
        <f aca="false">IF($W129="","",INDEX(发票统计!F$4:F$1003,$W129)&amp;"")</f>
        <v/>
      </c>
      <c r="G129" s="68" t="str">
        <f aca="false">IF($W129="","",IF(INDEX(发票统计!G$4:G$1003,$W129)="","",INDEX(发票统计!G$4:G$1003,$W129)))</f>
        <v/>
      </c>
      <c r="H129" s="56" t="str">
        <f aca="false">IF($W129="","",N(INDEX(发票统计!H$4:H$1003,$W129)))</f>
        <v/>
      </c>
      <c r="I129" s="56" t="str">
        <f aca="false">IF($W129="","",N(INDEX(发票统计!I$4:I$1003,$W129)))</f>
        <v/>
      </c>
      <c r="J129" s="56" t="str">
        <f aca="false">IF($W129="","",N(INDEX(发票统计!J$4:J$1003,$W129)))</f>
        <v/>
      </c>
      <c r="K129" s="56" t="str">
        <f aca="false">IF($W129="","",N(INDEX(发票统计!K$4:K$1003,$W129)))</f>
        <v/>
      </c>
      <c r="L129" s="56" t="str">
        <f aca="false">IF($W129="","",SUM(J$4:J129)-SUM(K$4:K129))</f>
        <v/>
      </c>
      <c r="M129" s="56" t="str">
        <f aca="false">IF($W129="","",N(INDEX(发票统计!M$4:M$1003,$W129)))</f>
        <v/>
      </c>
      <c r="N129" s="56" t="str">
        <f aca="false">IF($W129="","",N(INDEX(发票统计!N$4:N$1003,$W129)))</f>
        <v/>
      </c>
      <c r="O129" s="56" t="str">
        <f aca="false">IF($W129="","",N(INDEX(发票统计!O$4:O$1003,$W129)))</f>
        <v/>
      </c>
      <c r="P129" s="56" t="str">
        <f aca="false">IF($W129="","",SUM(M$4:M129)-SUM(N$4:N129)-SUM(O$4:O129))</f>
        <v/>
      </c>
      <c r="Q129" s="56" t="str">
        <f aca="false">IF($W129="","",N(INDEX(发票统计!Q$4:Q$1003,$W129)))</f>
        <v/>
      </c>
      <c r="R129" s="56" t="str">
        <f aca="false">IF($W129="","",N(INDEX(发票统计!R$4:R$1003,$W129)))</f>
        <v/>
      </c>
      <c r="S129" s="56" t="str">
        <f aca="false">IF($W129="","",N(INDEX(发票统计!S$4:S$1003,$W129)))</f>
        <v/>
      </c>
      <c r="T129" s="56" t="str">
        <f aca="false">IF($W129="","",SUM(Q$4:Q129)-SUM(R$4:R129)-SUM(S$4:S129))</f>
        <v/>
      </c>
      <c r="U129" s="56" t="str">
        <f aca="false">IF($W129="","",INDEX(发票统计!U$4:U$1003,$W129)&amp;"")</f>
        <v/>
      </c>
      <c r="W129" s="1" t="str">
        <f aca="false">IF($V$3="","",IFERROR(MATCH($V$3&amp;"#"&amp;ROWS(W$4:W129),发票统计!$W$4:$W$1003,0),""))</f>
        <v/>
      </c>
    </row>
    <row r="130" customFormat="false" ht="16.5" hidden="false" customHeight="false" outlineLevel="0" collapsed="false">
      <c r="A130" s="3" t="str">
        <f aca="false">IF($W130="","",INDEX(发票统计!A$4:A$1003,$W130)&amp;"")</f>
        <v/>
      </c>
      <c r="B130" s="3" t="str">
        <f aca="false">IF($W130="","",INDEX(发票统计!B$4:B$1003,$W130)&amp;"")</f>
        <v/>
      </c>
      <c r="C130" s="3" t="str">
        <f aca="false">IF($W130="","",INDEX(发票统计!C$4:C$1003,$W130)&amp;"")</f>
        <v/>
      </c>
      <c r="D130" s="3" t="str">
        <f aca="false">IF($W130="","",INDEX(发票统计!D$4:D$1003,$W130)&amp;"")</f>
        <v/>
      </c>
      <c r="E130" s="67" t="str">
        <f aca="false">IF($W130="","",INDEX(发票统计!E$4:E$1003,$W130)&amp;"")</f>
        <v/>
      </c>
      <c r="F130" s="68" t="str">
        <f aca="false">IF($W130="","",INDEX(发票统计!F$4:F$1003,$W130)&amp;"")</f>
        <v/>
      </c>
      <c r="G130" s="68" t="str">
        <f aca="false">IF($W130="","",IF(INDEX(发票统计!G$4:G$1003,$W130)="","",INDEX(发票统计!G$4:G$1003,$W130)))</f>
        <v/>
      </c>
      <c r="H130" s="56" t="str">
        <f aca="false">IF($W130="","",N(INDEX(发票统计!H$4:H$1003,$W130)))</f>
        <v/>
      </c>
      <c r="I130" s="56" t="str">
        <f aca="false">IF($W130="","",N(INDEX(发票统计!I$4:I$1003,$W130)))</f>
        <v/>
      </c>
      <c r="J130" s="56" t="str">
        <f aca="false">IF($W130="","",N(INDEX(发票统计!J$4:J$1003,$W130)))</f>
        <v/>
      </c>
      <c r="K130" s="56" t="str">
        <f aca="false">IF($W130="","",N(INDEX(发票统计!K$4:K$1003,$W130)))</f>
        <v/>
      </c>
      <c r="L130" s="56" t="str">
        <f aca="false">IF($W130="","",SUM(J$4:J130)-SUM(K$4:K130))</f>
        <v/>
      </c>
      <c r="M130" s="56" t="str">
        <f aca="false">IF($W130="","",N(INDEX(发票统计!M$4:M$1003,$W130)))</f>
        <v/>
      </c>
      <c r="N130" s="56" t="str">
        <f aca="false">IF($W130="","",N(INDEX(发票统计!N$4:N$1003,$W130)))</f>
        <v/>
      </c>
      <c r="O130" s="56" t="str">
        <f aca="false">IF($W130="","",N(INDEX(发票统计!O$4:O$1003,$W130)))</f>
        <v/>
      </c>
      <c r="P130" s="56" t="str">
        <f aca="false">IF($W130="","",SUM(M$4:M130)-SUM(N$4:N130)-SUM(O$4:O130))</f>
        <v/>
      </c>
      <c r="Q130" s="56" t="str">
        <f aca="false">IF($W130="","",N(INDEX(发票统计!Q$4:Q$1003,$W130)))</f>
        <v/>
      </c>
      <c r="R130" s="56" t="str">
        <f aca="false">IF($W130="","",N(INDEX(发票统计!R$4:R$1003,$W130)))</f>
        <v/>
      </c>
      <c r="S130" s="56" t="str">
        <f aca="false">IF($W130="","",N(INDEX(发票统计!S$4:S$1003,$W130)))</f>
        <v/>
      </c>
      <c r="T130" s="56" t="str">
        <f aca="false">IF($W130="","",SUM(Q$4:Q130)-SUM(R$4:R130)-SUM(S$4:S130))</f>
        <v/>
      </c>
      <c r="U130" s="56" t="str">
        <f aca="false">IF($W130="","",INDEX(发票统计!U$4:U$1003,$W130)&amp;"")</f>
        <v/>
      </c>
      <c r="W130" s="1" t="str">
        <f aca="false">IF($V$3="","",IFERROR(MATCH($V$3&amp;"#"&amp;ROWS(W$4:W130),发票统计!$W$4:$W$1003,0),""))</f>
        <v/>
      </c>
    </row>
    <row r="131" customFormat="false" ht="16.5" hidden="false" customHeight="false" outlineLevel="0" collapsed="false">
      <c r="A131" s="3" t="str">
        <f aca="false">IF($W131="","",INDEX(发票统计!A$4:A$1003,$W131)&amp;"")</f>
        <v/>
      </c>
      <c r="B131" s="3" t="str">
        <f aca="false">IF($W131="","",INDEX(发票统计!B$4:B$1003,$W131)&amp;"")</f>
        <v/>
      </c>
      <c r="C131" s="3" t="str">
        <f aca="false">IF($W131="","",INDEX(发票统计!C$4:C$1003,$W131)&amp;"")</f>
        <v/>
      </c>
      <c r="D131" s="3" t="str">
        <f aca="false">IF($W131="","",INDEX(发票统计!D$4:D$1003,$W131)&amp;"")</f>
        <v/>
      </c>
      <c r="E131" s="67" t="str">
        <f aca="false">IF($W131="","",INDEX(发票统计!E$4:E$1003,$W131)&amp;"")</f>
        <v/>
      </c>
      <c r="F131" s="68" t="str">
        <f aca="false">IF($W131="","",INDEX(发票统计!F$4:F$1003,$W131)&amp;"")</f>
        <v/>
      </c>
      <c r="G131" s="68" t="str">
        <f aca="false">IF($W131="","",IF(INDEX(发票统计!G$4:G$1003,$W131)="","",INDEX(发票统计!G$4:G$1003,$W131)))</f>
        <v/>
      </c>
      <c r="H131" s="56" t="str">
        <f aca="false">IF($W131="","",N(INDEX(发票统计!H$4:H$1003,$W131)))</f>
        <v/>
      </c>
      <c r="I131" s="56" t="str">
        <f aca="false">IF($W131="","",N(INDEX(发票统计!I$4:I$1003,$W131)))</f>
        <v/>
      </c>
      <c r="J131" s="56" t="str">
        <f aca="false">IF($W131="","",N(INDEX(发票统计!J$4:J$1003,$W131)))</f>
        <v/>
      </c>
      <c r="K131" s="56" t="str">
        <f aca="false">IF($W131="","",N(INDEX(发票统计!K$4:K$1003,$W131)))</f>
        <v/>
      </c>
      <c r="L131" s="56" t="str">
        <f aca="false">IF($W131="","",SUM(J$4:J131)-SUM(K$4:K131))</f>
        <v/>
      </c>
      <c r="M131" s="56" t="str">
        <f aca="false">IF($W131="","",N(INDEX(发票统计!M$4:M$1003,$W131)))</f>
        <v/>
      </c>
      <c r="N131" s="56" t="str">
        <f aca="false">IF($W131="","",N(INDEX(发票统计!N$4:N$1003,$W131)))</f>
        <v/>
      </c>
      <c r="O131" s="56" t="str">
        <f aca="false">IF($W131="","",N(INDEX(发票统计!O$4:O$1003,$W131)))</f>
        <v/>
      </c>
      <c r="P131" s="56" t="str">
        <f aca="false">IF($W131="","",SUM(M$4:M131)-SUM(N$4:N131)-SUM(O$4:O131))</f>
        <v/>
      </c>
      <c r="Q131" s="56" t="str">
        <f aca="false">IF($W131="","",N(INDEX(发票统计!Q$4:Q$1003,$W131)))</f>
        <v/>
      </c>
      <c r="R131" s="56" t="str">
        <f aca="false">IF($W131="","",N(INDEX(发票统计!R$4:R$1003,$W131)))</f>
        <v/>
      </c>
      <c r="S131" s="56" t="str">
        <f aca="false">IF($W131="","",N(INDEX(发票统计!S$4:S$1003,$W131)))</f>
        <v/>
      </c>
      <c r="T131" s="56" t="str">
        <f aca="false">IF($W131="","",SUM(Q$4:Q131)-SUM(R$4:R131)-SUM(S$4:S131))</f>
        <v/>
      </c>
      <c r="U131" s="56" t="str">
        <f aca="false">IF($W131="","",INDEX(发票统计!U$4:U$1003,$W131)&amp;"")</f>
        <v/>
      </c>
      <c r="W131" s="1" t="str">
        <f aca="false">IF($V$3="","",IFERROR(MATCH($V$3&amp;"#"&amp;ROWS(W$4:W131),发票统计!$W$4:$W$1003,0),""))</f>
        <v/>
      </c>
    </row>
    <row r="132" customFormat="false" ht="16.5" hidden="false" customHeight="false" outlineLevel="0" collapsed="false">
      <c r="A132" s="3" t="str">
        <f aca="false">IF($W132="","",INDEX(发票统计!A$4:A$1003,$W132)&amp;"")</f>
        <v/>
      </c>
      <c r="B132" s="3" t="str">
        <f aca="false">IF($W132="","",INDEX(发票统计!B$4:B$1003,$W132)&amp;"")</f>
        <v/>
      </c>
      <c r="C132" s="3" t="str">
        <f aca="false">IF($W132="","",INDEX(发票统计!C$4:C$1003,$W132)&amp;"")</f>
        <v/>
      </c>
      <c r="D132" s="3" t="str">
        <f aca="false">IF($W132="","",INDEX(发票统计!D$4:D$1003,$W132)&amp;"")</f>
        <v/>
      </c>
      <c r="E132" s="67" t="str">
        <f aca="false">IF($W132="","",INDEX(发票统计!E$4:E$1003,$W132)&amp;"")</f>
        <v/>
      </c>
      <c r="F132" s="68" t="str">
        <f aca="false">IF($W132="","",INDEX(发票统计!F$4:F$1003,$W132)&amp;"")</f>
        <v/>
      </c>
      <c r="G132" s="68" t="str">
        <f aca="false">IF($W132="","",IF(INDEX(发票统计!G$4:G$1003,$W132)="","",INDEX(发票统计!G$4:G$1003,$W132)))</f>
        <v/>
      </c>
      <c r="H132" s="56" t="str">
        <f aca="false">IF($W132="","",N(INDEX(发票统计!H$4:H$1003,$W132)))</f>
        <v/>
      </c>
      <c r="I132" s="56" t="str">
        <f aca="false">IF($W132="","",N(INDEX(发票统计!I$4:I$1003,$W132)))</f>
        <v/>
      </c>
      <c r="J132" s="56" t="str">
        <f aca="false">IF($W132="","",N(INDEX(发票统计!J$4:J$1003,$W132)))</f>
        <v/>
      </c>
      <c r="K132" s="56" t="str">
        <f aca="false">IF($W132="","",N(INDEX(发票统计!K$4:K$1003,$W132)))</f>
        <v/>
      </c>
      <c r="L132" s="56" t="str">
        <f aca="false">IF($W132="","",SUM(J$4:J132)-SUM(K$4:K132))</f>
        <v/>
      </c>
      <c r="M132" s="56" t="str">
        <f aca="false">IF($W132="","",N(INDEX(发票统计!M$4:M$1003,$W132)))</f>
        <v/>
      </c>
      <c r="N132" s="56" t="str">
        <f aca="false">IF($W132="","",N(INDEX(发票统计!N$4:N$1003,$W132)))</f>
        <v/>
      </c>
      <c r="O132" s="56" t="str">
        <f aca="false">IF($W132="","",N(INDEX(发票统计!O$4:O$1003,$W132)))</f>
        <v/>
      </c>
      <c r="P132" s="56" t="str">
        <f aca="false">IF($W132="","",SUM(M$4:M132)-SUM(N$4:N132)-SUM(O$4:O132))</f>
        <v/>
      </c>
      <c r="Q132" s="56" t="str">
        <f aca="false">IF($W132="","",N(INDEX(发票统计!Q$4:Q$1003,$W132)))</f>
        <v/>
      </c>
      <c r="R132" s="56" t="str">
        <f aca="false">IF($W132="","",N(INDEX(发票统计!R$4:R$1003,$W132)))</f>
        <v/>
      </c>
      <c r="S132" s="56" t="str">
        <f aca="false">IF($W132="","",N(INDEX(发票统计!S$4:S$1003,$W132)))</f>
        <v/>
      </c>
      <c r="T132" s="56" t="str">
        <f aca="false">IF($W132="","",SUM(Q$4:Q132)-SUM(R$4:R132)-SUM(S$4:S132))</f>
        <v/>
      </c>
      <c r="U132" s="56" t="str">
        <f aca="false">IF($W132="","",INDEX(发票统计!U$4:U$1003,$W132)&amp;"")</f>
        <v/>
      </c>
      <c r="W132" s="1" t="str">
        <f aca="false">IF($V$3="","",IFERROR(MATCH($V$3&amp;"#"&amp;ROWS(W$4:W132),发票统计!$W$4:$W$1003,0),""))</f>
        <v/>
      </c>
    </row>
    <row r="133" customFormat="false" ht="16.5" hidden="false" customHeight="false" outlineLevel="0" collapsed="false">
      <c r="A133" s="3" t="str">
        <f aca="false">IF($W133="","",INDEX(发票统计!A$4:A$1003,$W133)&amp;"")</f>
        <v/>
      </c>
      <c r="B133" s="3" t="str">
        <f aca="false">IF($W133="","",INDEX(发票统计!B$4:B$1003,$W133)&amp;"")</f>
        <v/>
      </c>
      <c r="C133" s="3" t="str">
        <f aca="false">IF($W133="","",INDEX(发票统计!C$4:C$1003,$W133)&amp;"")</f>
        <v/>
      </c>
      <c r="D133" s="3" t="str">
        <f aca="false">IF($W133="","",INDEX(发票统计!D$4:D$1003,$W133)&amp;"")</f>
        <v/>
      </c>
      <c r="E133" s="67" t="str">
        <f aca="false">IF($W133="","",INDEX(发票统计!E$4:E$1003,$W133)&amp;"")</f>
        <v/>
      </c>
      <c r="F133" s="68" t="str">
        <f aca="false">IF($W133="","",INDEX(发票统计!F$4:F$1003,$W133)&amp;"")</f>
        <v/>
      </c>
      <c r="G133" s="68" t="str">
        <f aca="false">IF($W133="","",IF(INDEX(发票统计!G$4:G$1003,$W133)="","",INDEX(发票统计!G$4:G$1003,$W133)))</f>
        <v/>
      </c>
      <c r="H133" s="56" t="str">
        <f aca="false">IF($W133="","",N(INDEX(发票统计!H$4:H$1003,$W133)))</f>
        <v/>
      </c>
      <c r="I133" s="56" t="str">
        <f aca="false">IF($W133="","",N(INDEX(发票统计!I$4:I$1003,$W133)))</f>
        <v/>
      </c>
      <c r="J133" s="56" t="str">
        <f aca="false">IF($W133="","",N(INDEX(发票统计!J$4:J$1003,$W133)))</f>
        <v/>
      </c>
      <c r="K133" s="56" t="str">
        <f aca="false">IF($W133="","",N(INDEX(发票统计!K$4:K$1003,$W133)))</f>
        <v/>
      </c>
      <c r="L133" s="56" t="str">
        <f aca="false">IF($W133="","",SUM(J$4:J133)-SUM(K$4:K133))</f>
        <v/>
      </c>
      <c r="M133" s="56" t="str">
        <f aca="false">IF($W133="","",N(INDEX(发票统计!M$4:M$1003,$W133)))</f>
        <v/>
      </c>
      <c r="N133" s="56" t="str">
        <f aca="false">IF($W133="","",N(INDEX(发票统计!N$4:N$1003,$W133)))</f>
        <v/>
      </c>
      <c r="O133" s="56" t="str">
        <f aca="false">IF($W133="","",N(INDEX(发票统计!O$4:O$1003,$W133)))</f>
        <v/>
      </c>
      <c r="P133" s="56" t="str">
        <f aca="false">IF($W133="","",SUM(M$4:M133)-SUM(N$4:N133)-SUM(O$4:O133))</f>
        <v/>
      </c>
      <c r="Q133" s="56" t="str">
        <f aca="false">IF($W133="","",N(INDEX(发票统计!Q$4:Q$1003,$W133)))</f>
        <v/>
      </c>
      <c r="R133" s="56" t="str">
        <f aca="false">IF($W133="","",N(INDEX(发票统计!R$4:R$1003,$W133)))</f>
        <v/>
      </c>
      <c r="S133" s="56" t="str">
        <f aca="false">IF($W133="","",N(INDEX(发票统计!S$4:S$1003,$W133)))</f>
        <v/>
      </c>
      <c r="T133" s="56" t="str">
        <f aca="false">IF($W133="","",SUM(Q$4:Q133)-SUM(R$4:R133)-SUM(S$4:S133))</f>
        <v/>
      </c>
      <c r="U133" s="56" t="str">
        <f aca="false">IF($W133="","",INDEX(发票统计!U$4:U$1003,$W133)&amp;"")</f>
        <v/>
      </c>
      <c r="W133" s="1" t="str">
        <f aca="false">IF($V$3="","",IFERROR(MATCH($V$3&amp;"#"&amp;ROWS(W$4:W133),发票统计!$W$4:$W$1003,0),""))</f>
        <v/>
      </c>
    </row>
    <row r="134" customFormat="false" ht="16.5" hidden="false" customHeight="false" outlineLevel="0" collapsed="false">
      <c r="A134" s="3" t="str">
        <f aca="false">IF($W134="","",INDEX(发票统计!A$4:A$1003,$W134)&amp;"")</f>
        <v/>
      </c>
      <c r="B134" s="3" t="str">
        <f aca="false">IF($W134="","",INDEX(发票统计!B$4:B$1003,$W134)&amp;"")</f>
        <v/>
      </c>
      <c r="C134" s="3" t="str">
        <f aca="false">IF($W134="","",INDEX(发票统计!C$4:C$1003,$W134)&amp;"")</f>
        <v/>
      </c>
      <c r="D134" s="3" t="str">
        <f aca="false">IF($W134="","",INDEX(发票统计!D$4:D$1003,$W134)&amp;"")</f>
        <v/>
      </c>
      <c r="E134" s="67" t="str">
        <f aca="false">IF($W134="","",INDEX(发票统计!E$4:E$1003,$W134)&amp;"")</f>
        <v/>
      </c>
      <c r="F134" s="68" t="str">
        <f aca="false">IF($W134="","",INDEX(发票统计!F$4:F$1003,$W134)&amp;"")</f>
        <v/>
      </c>
      <c r="G134" s="68" t="str">
        <f aca="false">IF($W134="","",IF(INDEX(发票统计!G$4:G$1003,$W134)="","",INDEX(发票统计!G$4:G$1003,$W134)))</f>
        <v/>
      </c>
      <c r="H134" s="56" t="str">
        <f aca="false">IF($W134="","",N(INDEX(发票统计!H$4:H$1003,$W134)))</f>
        <v/>
      </c>
      <c r="I134" s="56" t="str">
        <f aca="false">IF($W134="","",N(INDEX(发票统计!I$4:I$1003,$W134)))</f>
        <v/>
      </c>
      <c r="J134" s="56" t="str">
        <f aca="false">IF($W134="","",N(INDEX(发票统计!J$4:J$1003,$W134)))</f>
        <v/>
      </c>
      <c r="K134" s="56" t="str">
        <f aca="false">IF($W134="","",N(INDEX(发票统计!K$4:K$1003,$W134)))</f>
        <v/>
      </c>
      <c r="L134" s="56" t="str">
        <f aca="false">IF($W134="","",SUM(J$4:J134)-SUM(K$4:K134))</f>
        <v/>
      </c>
      <c r="M134" s="56" t="str">
        <f aca="false">IF($W134="","",N(INDEX(发票统计!M$4:M$1003,$W134)))</f>
        <v/>
      </c>
      <c r="N134" s="56" t="str">
        <f aca="false">IF($W134="","",N(INDEX(发票统计!N$4:N$1003,$W134)))</f>
        <v/>
      </c>
      <c r="O134" s="56" t="str">
        <f aca="false">IF($W134="","",N(INDEX(发票统计!O$4:O$1003,$W134)))</f>
        <v/>
      </c>
      <c r="P134" s="56" t="str">
        <f aca="false">IF($W134="","",SUM(M$4:M134)-SUM(N$4:N134)-SUM(O$4:O134))</f>
        <v/>
      </c>
      <c r="Q134" s="56" t="str">
        <f aca="false">IF($W134="","",N(INDEX(发票统计!Q$4:Q$1003,$W134)))</f>
        <v/>
      </c>
      <c r="R134" s="56" t="str">
        <f aca="false">IF($W134="","",N(INDEX(发票统计!R$4:R$1003,$W134)))</f>
        <v/>
      </c>
      <c r="S134" s="56" t="str">
        <f aca="false">IF($W134="","",N(INDEX(发票统计!S$4:S$1003,$W134)))</f>
        <v/>
      </c>
      <c r="T134" s="56" t="str">
        <f aca="false">IF($W134="","",SUM(Q$4:Q134)-SUM(R$4:R134)-SUM(S$4:S134))</f>
        <v/>
      </c>
      <c r="U134" s="56" t="str">
        <f aca="false">IF($W134="","",INDEX(发票统计!U$4:U$1003,$W134)&amp;"")</f>
        <v/>
      </c>
      <c r="W134" s="1" t="str">
        <f aca="false">IF($V$3="","",IFERROR(MATCH($V$3&amp;"#"&amp;ROWS(W$4:W134),发票统计!$W$4:$W$1003,0),""))</f>
        <v/>
      </c>
    </row>
    <row r="135" customFormat="false" ht="16.5" hidden="false" customHeight="false" outlineLevel="0" collapsed="false">
      <c r="A135" s="3" t="str">
        <f aca="false">IF($W135="","",INDEX(发票统计!A$4:A$1003,$W135)&amp;"")</f>
        <v/>
      </c>
      <c r="B135" s="3" t="str">
        <f aca="false">IF($W135="","",INDEX(发票统计!B$4:B$1003,$W135)&amp;"")</f>
        <v/>
      </c>
      <c r="C135" s="3" t="str">
        <f aca="false">IF($W135="","",INDEX(发票统计!C$4:C$1003,$W135)&amp;"")</f>
        <v/>
      </c>
      <c r="D135" s="3" t="str">
        <f aca="false">IF($W135="","",INDEX(发票统计!D$4:D$1003,$W135)&amp;"")</f>
        <v/>
      </c>
      <c r="E135" s="67" t="str">
        <f aca="false">IF($W135="","",INDEX(发票统计!E$4:E$1003,$W135)&amp;"")</f>
        <v/>
      </c>
      <c r="F135" s="68" t="str">
        <f aca="false">IF($W135="","",INDEX(发票统计!F$4:F$1003,$W135)&amp;"")</f>
        <v/>
      </c>
      <c r="G135" s="68" t="str">
        <f aca="false">IF($W135="","",IF(INDEX(发票统计!G$4:G$1003,$W135)="","",INDEX(发票统计!G$4:G$1003,$W135)))</f>
        <v/>
      </c>
      <c r="H135" s="56" t="str">
        <f aca="false">IF($W135="","",N(INDEX(发票统计!H$4:H$1003,$W135)))</f>
        <v/>
      </c>
      <c r="I135" s="56" t="str">
        <f aca="false">IF($W135="","",N(INDEX(发票统计!I$4:I$1003,$W135)))</f>
        <v/>
      </c>
      <c r="J135" s="56" t="str">
        <f aca="false">IF($W135="","",N(INDEX(发票统计!J$4:J$1003,$W135)))</f>
        <v/>
      </c>
      <c r="K135" s="56" t="str">
        <f aca="false">IF($W135="","",N(INDEX(发票统计!K$4:K$1003,$W135)))</f>
        <v/>
      </c>
      <c r="L135" s="56" t="str">
        <f aca="false">IF($W135="","",SUM(J$4:J135)-SUM(K$4:K135))</f>
        <v/>
      </c>
      <c r="M135" s="56" t="str">
        <f aca="false">IF($W135="","",N(INDEX(发票统计!M$4:M$1003,$W135)))</f>
        <v/>
      </c>
      <c r="N135" s="56" t="str">
        <f aca="false">IF($W135="","",N(INDEX(发票统计!N$4:N$1003,$W135)))</f>
        <v/>
      </c>
      <c r="O135" s="56" t="str">
        <f aca="false">IF($W135="","",N(INDEX(发票统计!O$4:O$1003,$W135)))</f>
        <v/>
      </c>
      <c r="P135" s="56" t="str">
        <f aca="false">IF($W135="","",SUM(M$4:M135)-SUM(N$4:N135)-SUM(O$4:O135))</f>
        <v/>
      </c>
      <c r="Q135" s="56" t="str">
        <f aca="false">IF($W135="","",N(INDEX(发票统计!Q$4:Q$1003,$W135)))</f>
        <v/>
      </c>
      <c r="R135" s="56" t="str">
        <f aca="false">IF($W135="","",N(INDEX(发票统计!R$4:R$1003,$W135)))</f>
        <v/>
      </c>
      <c r="S135" s="56" t="str">
        <f aca="false">IF($W135="","",N(INDEX(发票统计!S$4:S$1003,$W135)))</f>
        <v/>
      </c>
      <c r="T135" s="56" t="str">
        <f aca="false">IF($W135="","",SUM(Q$4:Q135)-SUM(R$4:R135)-SUM(S$4:S135))</f>
        <v/>
      </c>
      <c r="U135" s="56" t="str">
        <f aca="false">IF($W135="","",INDEX(发票统计!U$4:U$1003,$W135)&amp;"")</f>
        <v/>
      </c>
      <c r="W135" s="1" t="str">
        <f aca="false">IF($V$3="","",IFERROR(MATCH($V$3&amp;"#"&amp;ROWS(W$4:W135),发票统计!$W$4:$W$1003,0),""))</f>
        <v/>
      </c>
    </row>
    <row r="136" customFormat="false" ht="16.5" hidden="false" customHeight="false" outlineLevel="0" collapsed="false">
      <c r="A136" s="3" t="str">
        <f aca="false">IF($W136="","",INDEX(发票统计!A$4:A$1003,$W136)&amp;"")</f>
        <v/>
      </c>
      <c r="B136" s="3" t="str">
        <f aca="false">IF($W136="","",INDEX(发票统计!B$4:B$1003,$W136)&amp;"")</f>
        <v/>
      </c>
      <c r="C136" s="3" t="str">
        <f aca="false">IF($W136="","",INDEX(发票统计!C$4:C$1003,$W136)&amp;"")</f>
        <v/>
      </c>
      <c r="D136" s="3" t="str">
        <f aca="false">IF($W136="","",INDEX(发票统计!D$4:D$1003,$W136)&amp;"")</f>
        <v/>
      </c>
      <c r="E136" s="67" t="str">
        <f aca="false">IF($W136="","",INDEX(发票统计!E$4:E$1003,$W136)&amp;"")</f>
        <v/>
      </c>
      <c r="F136" s="68" t="str">
        <f aca="false">IF($W136="","",INDEX(发票统计!F$4:F$1003,$W136)&amp;"")</f>
        <v/>
      </c>
      <c r="G136" s="68" t="str">
        <f aca="false">IF($W136="","",IF(INDEX(发票统计!G$4:G$1003,$W136)="","",INDEX(发票统计!G$4:G$1003,$W136)))</f>
        <v/>
      </c>
      <c r="H136" s="56" t="str">
        <f aca="false">IF($W136="","",N(INDEX(发票统计!H$4:H$1003,$W136)))</f>
        <v/>
      </c>
      <c r="I136" s="56" t="str">
        <f aca="false">IF($W136="","",N(INDEX(发票统计!I$4:I$1003,$W136)))</f>
        <v/>
      </c>
      <c r="J136" s="56" t="str">
        <f aca="false">IF($W136="","",N(INDEX(发票统计!J$4:J$1003,$W136)))</f>
        <v/>
      </c>
      <c r="K136" s="56" t="str">
        <f aca="false">IF($W136="","",N(INDEX(发票统计!K$4:K$1003,$W136)))</f>
        <v/>
      </c>
      <c r="L136" s="56" t="str">
        <f aca="false">IF($W136="","",SUM(J$4:J136)-SUM(K$4:K136))</f>
        <v/>
      </c>
      <c r="M136" s="56" t="str">
        <f aca="false">IF($W136="","",N(INDEX(发票统计!M$4:M$1003,$W136)))</f>
        <v/>
      </c>
      <c r="N136" s="56" t="str">
        <f aca="false">IF($W136="","",N(INDEX(发票统计!N$4:N$1003,$W136)))</f>
        <v/>
      </c>
      <c r="O136" s="56" t="str">
        <f aca="false">IF($W136="","",N(INDEX(发票统计!O$4:O$1003,$W136)))</f>
        <v/>
      </c>
      <c r="P136" s="56" t="str">
        <f aca="false">IF($W136="","",SUM(M$4:M136)-SUM(N$4:N136)-SUM(O$4:O136))</f>
        <v/>
      </c>
      <c r="Q136" s="56" t="str">
        <f aca="false">IF($W136="","",N(INDEX(发票统计!Q$4:Q$1003,$W136)))</f>
        <v/>
      </c>
      <c r="R136" s="56" t="str">
        <f aca="false">IF($W136="","",N(INDEX(发票统计!R$4:R$1003,$W136)))</f>
        <v/>
      </c>
      <c r="S136" s="56" t="str">
        <f aca="false">IF($W136="","",N(INDEX(发票统计!S$4:S$1003,$W136)))</f>
        <v/>
      </c>
      <c r="T136" s="56" t="str">
        <f aca="false">IF($W136="","",SUM(Q$4:Q136)-SUM(R$4:R136)-SUM(S$4:S136))</f>
        <v/>
      </c>
      <c r="U136" s="56" t="str">
        <f aca="false">IF($W136="","",INDEX(发票统计!U$4:U$1003,$W136)&amp;"")</f>
        <v/>
      </c>
      <c r="W136" s="1" t="str">
        <f aca="false">IF($V$3="","",IFERROR(MATCH($V$3&amp;"#"&amp;ROWS(W$4:W136),发票统计!$W$4:$W$1003,0),""))</f>
        <v/>
      </c>
    </row>
    <row r="137" customFormat="false" ht="16.5" hidden="false" customHeight="false" outlineLevel="0" collapsed="false">
      <c r="A137" s="3" t="str">
        <f aca="false">IF($W137="","",INDEX(发票统计!A$4:A$1003,$W137)&amp;"")</f>
        <v/>
      </c>
      <c r="B137" s="3" t="str">
        <f aca="false">IF($W137="","",INDEX(发票统计!B$4:B$1003,$W137)&amp;"")</f>
        <v/>
      </c>
      <c r="C137" s="3" t="str">
        <f aca="false">IF($W137="","",INDEX(发票统计!C$4:C$1003,$W137)&amp;"")</f>
        <v/>
      </c>
      <c r="D137" s="3" t="str">
        <f aca="false">IF($W137="","",INDEX(发票统计!D$4:D$1003,$W137)&amp;"")</f>
        <v/>
      </c>
      <c r="E137" s="67" t="str">
        <f aca="false">IF($W137="","",INDEX(发票统计!E$4:E$1003,$W137)&amp;"")</f>
        <v/>
      </c>
      <c r="F137" s="68" t="str">
        <f aca="false">IF($W137="","",INDEX(发票统计!F$4:F$1003,$W137)&amp;"")</f>
        <v/>
      </c>
      <c r="G137" s="68" t="str">
        <f aca="false">IF($W137="","",IF(INDEX(发票统计!G$4:G$1003,$W137)="","",INDEX(发票统计!G$4:G$1003,$W137)))</f>
        <v/>
      </c>
      <c r="H137" s="56" t="str">
        <f aca="false">IF($W137="","",N(INDEX(发票统计!H$4:H$1003,$W137)))</f>
        <v/>
      </c>
      <c r="I137" s="56" t="str">
        <f aca="false">IF($W137="","",N(INDEX(发票统计!I$4:I$1003,$W137)))</f>
        <v/>
      </c>
      <c r="J137" s="56" t="str">
        <f aca="false">IF($W137="","",N(INDEX(发票统计!J$4:J$1003,$W137)))</f>
        <v/>
      </c>
      <c r="K137" s="56" t="str">
        <f aca="false">IF($W137="","",N(INDEX(发票统计!K$4:K$1003,$W137)))</f>
        <v/>
      </c>
      <c r="L137" s="56" t="str">
        <f aca="false">IF($W137="","",SUM(J$4:J137)-SUM(K$4:K137))</f>
        <v/>
      </c>
      <c r="M137" s="56" t="str">
        <f aca="false">IF($W137="","",N(INDEX(发票统计!M$4:M$1003,$W137)))</f>
        <v/>
      </c>
      <c r="N137" s="56" t="str">
        <f aca="false">IF($W137="","",N(INDEX(发票统计!N$4:N$1003,$W137)))</f>
        <v/>
      </c>
      <c r="O137" s="56" t="str">
        <f aca="false">IF($W137="","",N(INDEX(发票统计!O$4:O$1003,$W137)))</f>
        <v/>
      </c>
      <c r="P137" s="56" t="str">
        <f aca="false">IF($W137="","",SUM(M$4:M137)-SUM(N$4:N137)-SUM(O$4:O137))</f>
        <v/>
      </c>
      <c r="Q137" s="56" t="str">
        <f aca="false">IF($W137="","",N(INDEX(发票统计!Q$4:Q$1003,$W137)))</f>
        <v/>
      </c>
      <c r="R137" s="56" t="str">
        <f aca="false">IF($W137="","",N(INDEX(发票统计!R$4:R$1003,$W137)))</f>
        <v/>
      </c>
      <c r="S137" s="56" t="str">
        <f aca="false">IF($W137="","",N(INDEX(发票统计!S$4:S$1003,$W137)))</f>
        <v/>
      </c>
      <c r="T137" s="56" t="str">
        <f aca="false">IF($W137="","",SUM(Q$4:Q137)-SUM(R$4:R137)-SUM(S$4:S137))</f>
        <v/>
      </c>
      <c r="U137" s="56" t="str">
        <f aca="false">IF($W137="","",INDEX(发票统计!U$4:U$1003,$W137)&amp;"")</f>
        <v/>
      </c>
      <c r="W137" s="1" t="str">
        <f aca="false">IF($V$3="","",IFERROR(MATCH($V$3&amp;"#"&amp;ROWS(W$4:W137),发票统计!$W$4:$W$1003,0),""))</f>
        <v/>
      </c>
    </row>
    <row r="138" customFormat="false" ht="16.5" hidden="false" customHeight="false" outlineLevel="0" collapsed="false">
      <c r="A138" s="3" t="str">
        <f aca="false">IF($W138="","",INDEX(发票统计!A$4:A$1003,$W138)&amp;"")</f>
        <v/>
      </c>
      <c r="B138" s="3" t="str">
        <f aca="false">IF($W138="","",INDEX(发票统计!B$4:B$1003,$W138)&amp;"")</f>
        <v/>
      </c>
      <c r="C138" s="3" t="str">
        <f aca="false">IF($W138="","",INDEX(发票统计!C$4:C$1003,$W138)&amp;"")</f>
        <v/>
      </c>
      <c r="D138" s="3" t="str">
        <f aca="false">IF($W138="","",INDEX(发票统计!D$4:D$1003,$W138)&amp;"")</f>
        <v/>
      </c>
      <c r="E138" s="67" t="str">
        <f aca="false">IF($W138="","",INDEX(发票统计!E$4:E$1003,$W138)&amp;"")</f>
        <v/>
      </c>
      <c r="F138" s="68" t="str">
        <f aca="false">IF($W138="","",INDEX(发票统计!F$4:F$1003,$W138)&amp;"")</f>
        <v/>
      </c>
      <c r="G138" s="68" t="str">
        <f aca="false">IF($W138="","",IF(INDEX(发票统计!G$4:G$1003,$W138)="","",INDEX(发票统计!G$4:G$1003,$W138)))</f>
        <v/>
      </c>
      <c r="H138" s="56" t="str">
        <f aca="false">IF($W138="","",N(INDEX(发票统计!H$4:H$1003,$W138)))</f>
        <v/>
      </c>
      <c r="I138" s="56" t="str">
        <f aca="false">IF($W138="","",N(INDEX(发票统计!I$4:I$1003,$W138)))</f>
        <v/>
      </c>
      <c r="J138" s="56" t="str">
        <f aca="false">IF($W138="","",N(INDEX(发票统计!J$4:J$1003,$W138)))</f>
        <v/>
      </c>
      <c r="K138" s="56" t="str">
        <f aca="false">IF($W138="","",N(INDEX(发票统计!K$4:K$1003,$W138)))</f>
        <v/>
      </c>
      <c r="L138" s="56" t="str">
        <f aca="false">IF($W138="","",SUM(J$4:J138)-SUM(K$4:K138))</f>
        <v/>
      </c>
      <c r="M138" s="56" t="str">
        <f aca="false">IF($W138="","",N(INDEX(发票统计!M$4:M$1003,$W138)))</f>
        <v/>
      </c>
      <c r="N138" s="56" t="str">
        <f aca="false">IF($W138="","",N(INDEX(发票统计!N$4:N$1003,$W138)))</f>
        <v/>
      </c>
      <c r="O138" s="56" t="str">
        <f aca="false">IF($W138="","",N(INDEX(发票统计!O$4:O$1003,$W138)))</f>
        <v/>
      </c>
      <c r="P138" s="56" t="str">
        <f aca="false">IF($W138="","",SUM(M$4:M138)-SUM(N$4:N138)-SUM(O$4:O138))</f>
        <v/>
      </c>
      <c r="Q138" s="56" t="str">
        <f aca="false">IF($W138="","",N(INDEX(发票统计!Q$4:Q$1003,$W138)))</f>
        <v/>
      </c>
      <c r="R138" s="56" t="str">
        <f aca="false">IF($W138="","",N(INDEX(发票统计!R$4:R$1003,$W138)))</f>
        <v/>
      </c>
      <c r="S138" s="56" t="str">
        <f aca="false">IF($W138="","",N(INDEX(发票统计!S$4:S$1003,$W138)))</f>
        <v/>
      </c>
      <c r="T138" s="56" t="str">
        <f aca="false">IF($W138="","",SUM(Q$4:Q138)-SUM(R$4:R138)-SUM(S$4:S138))</f>
        <v/>
      </c>
      <c r="U138" s="56" t="str">
        <f aca="false">IF($W138="","",INDEX(发票统计!U$4:U$1003,$W138)&amp;"")</f>
        <v/>
      </c>
      <c r="W138" s="1" t="str">
        <f aca="false">IF($V$3="","",IFERROR(MATCH($V$3&amp;"#"&amp;ROWS(W$4:W138),发票统计!$W$4:$W$1003,0),""))</f>
        <v/>
      </c>
    </row>
    <row r="139" customFormat="false" ht="16.5" hidden="false" customHeight="false" outlineLevel="0" collapsed="false">
      <c r="A139" s="3" t="str">
        <f aca="false">IF($W139="","",INDEX(发票统计!A$4:A$1003,$W139)&amp;"")</f>
        <v/>
      </c>
      <c r="B139" s="3" t="str">
        <f aca="false">IF($W139="","",INDEX(发票统计!B$4:B$1003,$W139)&amp;"")</f>
        <v/>
      </c>
      <c r="C139" s="3" t="str">
        <f aca="false">IF($W139="","",INDEX(发票统计!C$4:C$1003,$W139)&amp;"")</f>
        <v/>
      </c>
      <c r="D139" s="3" t="str">
        <f aca="false">IF($W139="","",INDEX(发票统计!D$4:D$1003,$W139)&amp;"")</f>
        <v/>
      </c>
      <c r="E139" s="67" t="str">
        <f aca="false">IF($W139="","",INDEX(发票统计!E$4:E$1003,$W139)&amp;"")</f>
        <v/>
      </c>
      <c r="F139" s="68" t="str">
        <f aca="false">IF($W139="","",INDEX(发票统计!F$4:F$1003,$W139)&amp;"")</f>
        <v/>
      </c>
      <c r="G139" s="68" t="str">
        <f aca="false">IF($W139="","",IF(INDEX(发票统计!G$4:G$1003,$W139)="","",INDEX(发票统计!G$4:G$1003,$W139)))</f>
        <v/>
      </c>
      <c r="H139" s="56" t="str">
        <f aca="false">IF($W139="","",N(INDEX(发票统计!H$4:H$1003,$W139)))</f>
        <v/>
      </c>
      <c r="I139" s="56" t="str">
        <f aca="false">IF($W139="","",N(INDEX(发票统计!I$4:I$1003,$W139)))</f>
        <v/>
      </c>
      <c r="J139" s="56" t="str">
        <f aca="false">IF($W139="","",N(INDEX(发票统计!J$4:J$1003,$W139)))</f>
        <v/>
      </c>
      <c r="K139" s="56" t="str">
        <f aca="false">IF($W139="","",N(INDEX(发票统计!K$4:K$1003,$W139)))</f>
        <v/>
      </c>
      <c r="L139" s="56" t="str">
        <f aca="false">IF($W139="","",SUM(J$4:J139)-SUM(K$4:K139))</f>
        <v/>
      </c>
      <c r="M139" s="56" t="str">
        <f aca="false">IF($W139="","",N(INDEX(发票统计!M$4:M$1003,$W139)))</f>
        <v/>
      </c>
      <c r="N139" s="56" t="str">
        <f aca="false">IF($W139="","",N(INDEX(发票统计!N$4:N$1003,$W139)))</f>
        <v/>
      </c>
      <c r="O139" s="56" t="str">
        <f aca="false">IF($W139="","",N(INDEX(发票统计!O$4:O$1003,$W139)))</f>
        <v/>
      </c>
      <c r="P139" s="56" t="str">
        <f aca="false">IF($W139="","",SUM(M$4:M139)-SUM(N$4:N139)-SUM(O$4:O139))</f>
        <v/>
      </c>
      <c r="Q139" s="56" t="str">
        <f aca="false">IF($W139="","",N(INDEX(发票统计!Q$4:Q$1003,$W139)))</f>
        <v/>
      </c>
      <c r="R139" s="56" t="str">
        <f aca="false">IF($W139="","",N(INDEX(发票统计!R$4:R$1003,$W139)))</f>
        <v/>
      </c>
      <c r="S139" s="56" t="str">
        <f aca="false">IF($W139="","",N(INDEX(发票统计!S$4:S$1003,$W139)))</f>
        <v/>
      </c>
      <c r="T139" s="56" t="str">
        <f aca="false">IF($W139="","",SUM(Q$4:Q139)-SUM(R$4:R139)-SUM(S$4:S139))</f>
        <v/>
      </c>
      <c r="U139" s="56" t="str">
        <f aca="false">IF($W139="","",INDEX(发票统计!U$4:U$1003,$W139)&amp;"")</f>
        <v/>
      </c>
      <c r="W139" s="1" t="str">
        <f aca="false">IF($V$3="","",IFERROR(MATCH($V$3&amp;"#"&amp;ROWS(W$4:W139),发票统计!$W$4:$W$1003,0),""))</f>
        <v/>
      </c>
    </row>
    <row r="140" customFormat="false" ht="16.5" hidden="false" customHeight="false" outlineLevel="0" collapsed="false">
      <c r="A140" s="3" t="str">
        <f aca="false">IF($W140="","",INDEX(发票统计!A$4:A$1003,$W140)&amp;"")</f>
        <v/>
      </c>
      <c r="B140" s="3" t="str">
        <f aca="false">IF($W140="","",INDEX(发票统计!B$4:B$1003,$W140)&amp;"")</f>
        <v/>
      </c>
      <c r="C140" s="3" t="str">
        <f aca="false">IF($W140="","",INDEX(发票统计!C$4:C$1003,$W140)&amp;"")</f>
        <v/>
      </c>
      <c r="D140" s="3" t="str">
        <f aca="false">IF($W140="","",INDEX(发票统计!D$4:D$1003,$W140)&amp;"")</f>
        <v/>
      </c>
      <c r="E140" s="67" t="str">
        <f aca="false">IF($W140="","",INDEX(发票统计!E$4:E$1003,$W140)&amp;"")</f>
        <v/>
      </c>
      <c r="F140" s="68" t="str">
        <f aca="false">IF($W140="","",INDEX(发票统计!F$4:F$1003,$W140)&amp;"")</f>
        <v/>
      </c>
      <c r="G140" s="68" t="str">
        <f aca="false">IF($W140="","",IF(INDEX(发票统计!G$4:G$1003,$W140)="","",INDEX(发票统计!G$4:G$1003,$W140)))</f>
        <v/>
      </c>
      <c r="H140" s="56" t="str">
        <f aca="false">IF($W140="","",N(INDEX(发票统计!H$4:H$1003,$W140)))</f>
        <v/>
      </c>
      <c r="I140" s="56" t="str">
        <f aca="false">IF($W140="","",N(INDEX(发票统计!I$4:I$1003,$W140)))</f>
        <v/>
      </c>
      <c r="J140" s="56" t="str">
        <f aca="false">IF($W140="","",N(INDEX(发票统计!J$4:J$1003,$W140)))</f>
        <v/>
      </c>
      <c r="K140" s="56" t="str">
        <f aca="false">IF($W140="","",N(INDEX(发票统计!K$4:K$1003,$W140)))</f>
        <v/>
      </c>
      <c r="L140" s="56" t="str">
        <f aca="false">IF($W140="","",SUM(J$4:J140)-SUM(K$4:K140))</f>
        <v/>
      </c>
      <c r="M140" s="56" t="str">
        <f aca="false">IF($W140="","",N(INDEX(发票统计!M$4:M$1003,$W140)))</f>
        <v/>
      </c>
      <c r="N140" s="56" t="str">
        <f aca="false">IF($W140="","",N(INDEX(发票统计!N$4:N$1003,$W140)))</f>
        <v/>
      </c>
      <c r="O140" s="56" t="str">
        <f aca="false">IF($W140="","",N(INDEX(发票统计!O$4:O$1003,$W140)))</f>
        <v/>
      </c>
      <c r="P140" s="56" t="str">
        <f aca="false">IF($W140="","",SUM(M$4:M140)-SUM(N$4:N140)-SUM(O$4:O140))</f>
        <v/>
      </c>
      <c r="Q140" s="56" t="str">
        <f aca="false">IF($W140="","",N(INDEX(发票统计!Q$4:Q$1003,$W140)))</f>
        <v/>
      </c>
      <c r="R140" s="56" t="str">
        <f aca="false">IF($W140="","",N(INDEX(发票统计!R$4:R$1003,$W140)))</f>
        <v/>
      </c>
      <c r="S140" s="56" t="str">
        <f aca="false">IF($W140="","",N(INDEX(发票统计!S$4:S$1003,$W140)))</f>
        <v/>
      </c>
      <c r="T140" s="56" t="str">
        <f aca="false">IF($W140="","",SUM(Q$4:Q140)-SUM(R$4:R140)-SUM(S$4:S140))</f>
        <v/>
      </c>
      <c r="U140" s="56" t="str">
        <f aca="false">IF($W140="","",INDEX(发票统计!U$4:U$1003,$W140)&amp;"")</f>
        <v/>
      </c>
      <c r="W140" s="1" t="str">
        <f aca="false">IF($V$3="","",IFERROR(MATCH($V$3&amp;"#"&amp;ROWS(W$4:W140),发票统计!$W$4:$W$1003,0),""))</f>
        <v/>
      </c>
    </row>
    <row r="141" customFormat="false" ht="16.5" hidden="false" customHeight="false" outlineLevel="0" collapsed="false">
      <c r="A141" s="3" t="str">
        <f aca="false">IF($W141="","",INDEX(发票统计!A$4:A$1003,$W141)&amp;"")</f>
        <v/>
      </c>
      <c r="B141" s="3" t="str">
        <f aca="false">IF($W141="","",INDEX(发票统计!B$4:B$1003,$W141)&amp;"")</f>
        <v/>
      </c>
      <c r="C141" s="3" t="str">
        <f aca="false">IF($W141="","",INDEX(发票统计!C$4:C$1003,$W141)&amp;"")</f>
        <v/>
      </c>
      <c r="D141" s="3" t="str">
        <f aca="false">IF($W141="","",INDEX(发票统计!D$4:D$1003,$W141)&amp;"")</f>
        <v/>
      </c>
      <c r="E141" s="67" t="str">
        <f aca="false">IF($W141="","",INDEX(发票统计!E$4:E$1003,$W141)&amp;"")</f>
        <v/>
      </c>
      <c r="F141" s="68" t="str">
        <f aca="false">IF($W141="","",INDEX(发票统计!F$4:F$1003,$W141)&amp;"")</f>
        <v/>
      </c>
      <c r="G141" s="68" t="str">
        <f aca="false">IF($W141="","",IF(INDEX(发票统计!G$4:G$1003,$W141)="","",INDEX(发票统计!G$4:G$1003,$W141)))</f>
        <v/>
      </c>
      <c r="H141" s="56" t="str">
        <f aca="false">IF($W141="","",N(INDEX(发票统计!H$4:H$1003,$W141)))</f>
        <v/>
      </c>
      <c r="I141" s="56" t="str">
        <f aca="false">IF($W141="","",N(INDEX(发票统计!I$4:I$1003,$W141)))</f>
        <v/>
      </c>
      <c r="J141" s="56" t="str">
        <f aca="false">IF($W141="","",N(INDEX(发票统计!J$4:J$1003,$W141)))</f>
        <v/>
      </c>
      <c r="K141" s="56" t="str">
        <f aca="false">IF($W141="","",N(INDEX(发票统计!K$4:K$1003,$W141)))</f>
        <v/>
      </c>
      <c r="L141" s="56" t="str">
        <f aca="false">IF($W141="","",SUM(J$4:J141)-SUM(K$4:K141))</f>
        <v/>
      </c>
      <c r="M141" s="56" t="str">
        <f aca="false">IF($W141="","",N(INDEX(发票统计!M$4:M$1003,$W141)))</f>
        <v/>
      </c>
      <c r="N141" s="56" t="str">
        <f aca="false">IF($W141="","",N(INDEX(发票统计!N$4:N$1003,$W141)))</f>
        <v/>
      </c>
      <c r="O141" s="56" t="str">
        <f aca="false">IF($W141="","",N(INDEX(发票统计!O$4:O$1003,$W141)))</f>
        <v/>
      </c>
      <c r="P141" s="56" t="str">
        <f aca="false">IF($W141="","",SUM(M$4:M141)-SUM(N$4:N141)-SUM(O$4:O141))</f>
        <v/>
      </c>
      <c r="Q141" s="56" t="str">
        <f aca="false">IF($W141="","",N(INDEX(发票统计!Q$4:Q$1003,$W141)))</f>
        <v/>
      </c>
      <c r="R141" s="56" t="str">
        <f aca="false">IF($W141="","",N(INDEX(发票统计!R$4:R$1003,$W141)))</f>
        <v/>
      </c>
      <c r="S141" s="56" t="str">
        <f aca="false">IF($W141="","",N(INDEX(发票统计!S$4:S$1003,$W141)))</f>
        <v/>
      </c>
      <c r="T141" s="56" t="str">
        <f aca="false">IF($W141="","",SUM(Q$4:Q141)-SUM(R$4:R141)-SUM(S$4:S141))</f>
        <v/>
      </c>
      <c r="U141" s="56" t="str">
        <f aca="false">IF($W141="","",INDEX(发票统计!U$4:U$1003,$W141)&amp;"")</f>
        <v/>
      </c>
      <c r="W141" s="1" t="str">
        <f aca="false">IF($V$3="","",IFERROR(MATCH($V$3&amp;"#"&amp;ROWS(W$4:W141),发票统计!$W$4:$W$1003,0),""))</f>
        <v/>
      </c>
    </row>
    <row r="142" customFormat="false" ht="16.5" hidden="false" customHeight="false" outlineLevel="0" collapsed="false">
      <c r="A142" s="3" t="str">
        <f aca="false">IF($W142="","",INDEX(发票统计!A$4:A$1003,$W142)&amp;"")</f>
        <v/>
      </c>
      <c r="B142" s="3" t="str">
        <f aca="false">IF($W142="","",INDEX(发票统计!B$4:B$1003,$W142)&amp;"")</f>
        <v/>
      </c>
      <c r="C142" s="3" t="str">
        <f aca="false">IF($W142="","",INDEX(发票统计!C$4:C$1003,$W142)&amp;"")</f>
        <v/>
      </c>
      <c r="D142" s="3" t="str">
        <f aca="false">IF($W142="","",INDEX(发票统计!D$4:D$1003,$W142)&amp;"")</f>
        <v/>
      </c>
      <c r="E142" s="67" t="str">
        <f aca="false">IF($W142="","",INDEX(发票统计!E$4:E$1003,$W142)&amp;"")</f>
        <v/>
      </c>
      <c r="F142" s="68" t="str">
        <f aca="false">IF($W142="","",INDEX(发票统计!F$4:F$1003,$W142)&amp;"")</f>
        <v/>
      </c>
      <c r="G142" s="68" t="str">
        <f aca="false">IF($W142="","",IF(INDEX(发票统计!G$4:G$1003,$W142)="","",INDEX(发票统计!G$4:G$1003,$W142)))</f>
        <v/>
      </c>
      <c r="H142" s="56" t="str">
        <f aca="false">IF($W142="","",N(INDEX(发票统计!H$4:H$1003,$W142)))</f>
        <v/>
      </c>
      <c r="I142" s="56" t="str">
        <f aca="false">IF($W142="","",N(INDEX(发票统计!I$4:I$1003,$W142)))</f>
        <v/>
      </c>
      <c r="J142" s="56" t="str">
        <f aca="false">IF($W142="","",N(INDEX(发票统计!J$4:J$1003,$W142)))</f>
        <v/>
      </c>
      <c r="K142" s="56" t="str">
        <f aca="false">IF($W142="","",N(INDEX(发票统计!K$4:K$1003,$W142)))</f>
        <v/>
      </c>
      <c r="L142" s="56" t="str">
        <f aca="false">IF($W142="","",SUM(J$4:J142)-SUM(K$4:K142))</f>
        <v/>
      </c>
      <c r="M142" s="56" t="str">
        <f aca="false">IF($W142="","",N(INDEX(发票统计!M$4:M$1003,$W142)))</f>
        <v/>
      </c>
      <c r="N142" s="56" t="str">
        <f aca="false">IF($W142="","",N(INDEX(发票统计!N$4:N$1003,$W142)))</f>
        <v/>
      </c>
      <c r="O142" s="56" t="str">
        <f aca="false">IF($W142="","",N(INDEX(发票统计!O$4:O$1003,$W142)))</f>
        <v/>
      </c>
      <c r="P142" s="56" t="str">
        <f aca="false">IF($W142="","",SUM(M$4:M142)-SUM(N$4:N142)-SUM(O$4:O142))</f>
        <v/>
      </c>
      <c r="Q142" s="56" t="str">
        <f aca="false">IF($W142="","",N(INDEX(发票统计!Q$4:Q$1003,$W142)))</f>
        <v/>
      </c>
      <c r="R142" s="56" t="str">
        <f aca="false">IF($W142="","",N(INDEX(发票统计!R$4:R$1003,$W142)))</f>
        <v/>
      </c>
      <c r="S142" s="56" t="str">
        <f aca="false">IF($W142="","",N(INDEX(发票统计!S$4:S$1003,$W142)))</f>
        <v/>
      </c>
      <c r="T142" s="56" t="str">
        <f aca="false">IF($W142="","",SUM(Q$4:Q142)-SUM(R$4:R142)-SUM(S$4:S142))</f>
        <v/>
      </c>
      <c r="U142" s="56" t="str">
        <f aca="false">IF($W142="","",INDEX(发票统计!U$4:U$1003,$W142)&amp;"")</f>
        <v/>
      </c>
      <c r="W142" s="1" t="str">
        <f aca="false">IF($V$3="","",IFERROR(MATCH($V$3&amp;"#"&amp;ROWS(W$4:W142),发票统计!$W$4:$W$1003,0),""))</f>
        <v/>
      </c>
    </row>
    <row r="143" customFormat="false" ht="16.5" hidden="false" customHeight="false" outlineLevel="0" collapsed="false">
      <c r="A143" s="3" t="str">
        <f aca="false">IF($W143="","",INDEX(发票统计!A$4:A$1003,$W143)&amp;"")</f>
        <v/>
      </c>
      <c r="B143" s="3" t="str">
        <f aca="false">IF($W143="","",INDEX(发票统计!B$4:B$1003,$W143)&amp;"")</f>
        <v/>
      </c>
      <c r="C143" s="3" t="str">
        <f aca="false">IF($W143="","",INDEX(发票统计!C$4:C$1003,$W143)&amp;"")</f>
        <v/>
      </c>
      <c r="D143" s="3" t="str">
        <f aca="false">IF($W143="","",INDEX(发票统计!D$4:D$1003,$W143)&amp;"")</f>
        <v/>
      </c>
      <c r="E143" s="67" t="str">
        <f aca="false">IF($W143="","",INDEX(发票统计!E$4:E$1003,$W143)&amp;"")</f>
        <v/>
      </c>
      <c r="F143" s="68" t="str">
        <f aca="false">IF($W143="","",INDEX(发票统计!F$4:F$1003,$W143)&amp;"")</f>
        <v/>
      </c>
      <c r="G143" s="68" t="str">
        <f aca="false">IF($W143="","",IF(INDEX(发票统计!G$4:G$1003,$W143)="","",INDEX(发票统计!G$4:G$1003,$W143)))</f>
        <v/>
      </c>
      <c r="H143" s="56" t="str">
        <f aca="false">IF($W143="","",N(INDEX(发票统计!H$4:H$1003,$W143)))</f>
        <v/>
      </c>
      <c r="I143" s="56" t="str">
        <f aca="false">IF($W143="","",N(INDEX(发票统计!I$4:I$1003,$W143)))</f>
        <v/>
      </c>
      <c r="J143" s="56" t="str">
        <f aca="false">IF($W143="","",N(INDEX(发票统计!J$4:J$1003,$W143)))</f>
        <v/>
      </c>
      <c r="K143" s="56" t="str">
        <f aca="false">IF($W143="","",N(INDEX(发票统计!K$4:K$1003,$W143)))</f>
        <v/>
      </c>
      <c r="L143" s="56" t="str">
        <f aca="false">IF($W143="","",SUM(J$4:J143)-SUM(K$4:K143))</f>
        <v/>
      </c>
      <c r="M143" s="56" t="str">
        <f aca="false">IF($W143="","",N(INDEX(发票统计!M$4:M$1003,$W143)))</f>
        <v/>
      </c>
      <c r="N143" s="56" t="str">
        <f aca="false">IF($W143="","",N(INDEX(发票统计!N$4:N$1003,$W143)))</f>
        <v/>
      </c>
      <c r="O143" s="56" t="str">
        <f aca="false">IF($W143="","",N(INDEX(发票统计!O$4:O$1003,$W143)))</f>
        <v/>
      </c>
      <c r="P143" s="56" t="str">
        <f aca="false">IF($W143="","",SUM(M$4:M143)-SUM(N$4:N143)-SUM(O$4:O143))</f>
        <v/>
      </c>
      <c r="Q143" s="56" t="str">
        <f aca="false">IF($W143="","",N(INDEX(发票统计!Q$4:Q$1003,$W143)))</f>
        <v/>
      </c>
      <c r="R143" s="56" t="str">
        <f aca="false">IF($W143="","",N(INDEX(发票统计!R$4:R$1003,$W143)))</f>
        <v/>
      </c>
      <c r="S143" s="56" t="str">
        <f aca="false">IF($W143="","",N(INDEX(发票统计!S$4:S$1003,$W143)))</f>
        <v/>
      </c>
      <c r="T143" s="56" t="str">
        <f aca="false">IF($W143="","",SUM(Q$4:Q143)-SUM(R$4:R143)-SUM(S$4:S143))</f>
        <v/>
      </c>
      <c r="U143" s="56" t="str">
        <f aca="false">IF($W143="","",INDEX(发票统计!U$4:U$1003,$W143)&amp;"")</f>
        <v/>
      </c>
      <c r="W143" s="1" t="str">
        <f aca="false">IF($V$3="","",IFERROR(MATCH($V$3&amp;"#"&amp;ROWS(W$4:W143),发票统计!$W$4:$W$1003,0),""))</f>
        <v/>
      </c>
    </row>
    <row r="144" customFormat="false" ht="16.5" hidden="false" customHeight="false" outlineLevel="0" collapsed="false">
      <c r="A144" s="3" t="str">
        <f aca="false">IF($W144="","",INDEX(发票统计!A$4:A$1003,$W144)&amp;"")</f>
        <v/>
      </c>
      <c r="B144" s="3" t="str">
        <f aca="false">IF($W144="","",INDEX(发票统计!B$4:B$1003,$W144)&amp;"")</f>
        <v/>
      </c>
      <c r="C144" s="3" t="str">
        <f aca="false">IF($W144="","",INDEX(发票统计!C$4:C$1003,$W144)&amp;"")</f>
        <v/>
      </c>
      <c r="D144" s="3" t="str">
        <f aca="false">IF($W144="","",INDEX(发票统计!D$4:D$1003,$W144)&amp;"")</f>
        <v/>
      </c>
      <c r="E144" s="67" t="str">
        <f aca="false">IF($W144="","",INDEX(发票统计!E$4:E$1003,$W144)&amp;"")</f>
        <v/>
      </c>
      <c r="F144" s="68" t="str">
        <f aca="false">IF($W144="","",INDEX(发票统计!F$4:F$1003,$W144)&amp;"")</f>
        <v/>
      </c>
      <c r="G144" s="68" t="str">
        <f aca="false">IF($W144="","",IF(INDEX(发票统计!G$4:G$1003,$W144)="","",INDEX(发票统计!G$4:G$1003,$W144)))</f>
        <v/>
      </c>
      <c r="H144" s="56" t="str">
        <f aca="false">IF($W144="","",N(INDEX(发票统计!H$4:H$1003,$W144)))</f>
        <v/>
      </c>
      <c r="I144" s="56" t="str">
        <f aca="false">IF($W144="","",N(INDEX(发票统计!I$4:I$1003,$W144)))</f>
        <v/>
      </c>
      <c r="J144" s="56" t="str">
        <f aca="false">IF($W144="","",N(INDEX(发票统计!J$4:J$1003,$W144)))</f>
        <v/>
      </c>
      <c r="K144" s="56" t="str">
        <f aca="false">IF($W144="","",N(INDEX(发票统计!K$4:K$1003,$W144)))</f>
        <v/>
      </c>
      <c r="L144" s="56" t="str">
        <f aca="false">IF($W144="","",SUM(J$4:J144)-SUM(K$4:K144))</f>
        <v/>
      </c>
      <c r="M144" s="56" t="str">
        <f aca="false">IF($W144="","",N(INDEX(发票统计!M$4:M$1003,$W144)))</f>
        <v/>
      </c>
      <c r="N144" s="56" t="str">
        <f aca="false">IF($W144="","",N(INDEX(发票统计!N$4:N$1003,$W144)))</f>
        <v/>
      </c>
      <c r="O144" s="56" t="str">
        <f aca="false">IF($W144="","",N(INDEX(发票统计!O$4:O$1003,$W144)))</f>
        <v/>
      </c>
      <c r="P144" s="56" t="str">
        <f aca="false">IF($W144="","",SUM(M$4:M144)-SUM(N$4:N144)-SUM(O$4:O144))</f>
        <v/>
      </c>
      <c r="Q144" s="56" t="str">
        <f aca="false">IF($W144="","",N(INDEX(发票统计!Q$4:Q$1003,$W144)))</f>
        <v/>
      </c>
      <c r="R144" s="56" t="str">
        <f aca="false">IF($W144="","",N(INDEX(发票统计!R$4:R$1003,$W144)))</f>
        <v/>
      </c>
      <c r="S144" s="56" t="str">
        <f aca="false">IF($W144="","",N(INDEX(发票统计!S$4:S$1003,$W144)))</f>
        <v/>
      </c>
      <c r="T144" s="56" t="str">
        <f aca="false">IF($W144="","",SUM(Q$4:Q144)-SUM(R$4:R144)-SUM(S$4:S144))</f>
        <v/>
      </c>
      <c r="U144" s="56" t="str">
        <f aca="false">IF($W144="","",INDEX(发票统计!U$4:U$1003,$W144)&amp;"")</f>
        <v/>
      </c>
      <c r="W144" s="1" t="str">
        <f aca="false">IF($V$3="","",IFERROR(MATCH($V$3&amp;"#"&amp;ROWS(W$4:W144),发票统计!$W$4:$W$1003,0),""))</f>
        <v/>
      </c>
    </row>
    <row r="145" customFormat="false" ht="16.5" hidden="false" customHeight="false" outlineLevel="0" collapsed="false">
      <c r="A145" s="3" t="str">
        <f aca="false">IF($W145="","",INDEX(发票统计!A$4:A$1003,$W145)&amp;"")</f>
        <v/>
      </c>
      <c r="B145" s="3" t="str">
        <f aca="false">IF($W145="","",INDEX(发票统计!B$4:B$1003,$W145)&amp;"")</f>
        <v/>
      </c>
      <c r="C145" s="3" t="str">
        <f aca="false">IF($W145="","",INDEX(发票统计!C$4:C$1003,$W145)&amp;"")</f>
        <v/>
      </c>
      <c r="D145" s="3" t="str">
        <f aca="false">IF($W145="","",INDEX(发票统计!D$4:D$1003,$W145)&amp;"")</f>
        <v/>
      </c>
      <c r="E145" s="67" t="str">
        <f aca="false">IF($W145="","",INDEX(发票统计!E$4:E$1003,$W145)&amp;"")</f>
        <v/>
      </c>
      <c r="F145" s="68" t="str">
        <f aca="false">IF($W145="","",INDEX(发票统计!F$4:F$1003,$W145)&amp;"")</f>
        <v/>
      </c>
      <c r="G145" s="68" t="str">
        <f aca="false">IF($W145="","",IF(INDEX(发票统计!G$4:G$1003,$W145)="","",INDEX(发票统计!G$4:G$1003,$W145)))</f>
        <v/>
      </c>
      <c r="H145" s="56" t="str">
        <f aca="false">IF($W145="","",N(INDEX(发票统计!H$4:H$1003,$W145)))</f>
        <v/>
      </c>
      <c r="I145" s="56" t="str">
        <f aca="false">IF($W145="","",N(INDEX(发票统计!I$4:I$1003,$W145)))</f>
        <v/>
      </c>
      <c r="J145" s="56" t="str">
        <f aca="false">IF($W145="","",N(INDEX(发票统计!J$4:J$1003,$W145)))</f>
        <v/>
      </c>
      <c r="K145" s="56" t="str">
        <f aca="false">IF($W145="","",N(INDEX(发票统计!K$4:K$1003,$W145)))</f>
        <v/>
      </c>
      <c r="L145" s="56" t="str">
        <f aca="false">IF($W145="","",SUM(J$4:J145)-SUM(K$4:K145))</f>
        <v/>
      </c>
      <c r="M145" s="56" t="str">
        <f aca="false">IF($W145="","",N(INDEX(发票统计!M$4:M$1003,$W145)))</f>
        <v/>
      </c>
      <c r="N145" s="56" t="str">
        <f aca="false">IF($W145="","",N(INDEX(发票统计!N$4:N$1003,$W145)))</f>
        <v/>
      </c>
      <c r="O145" s="56" t="str">
        <f aca="false">IF($W145="","",N(INDEX(发票统计!O$4:O$1003,$W145)))</f>
        <v/>
      </c>
      <c r="P145" s="56" t="str">
        <f aca="false">IF($W145="","",SUM(M$4:M145)-SUM(N$4:N145)-SUM(O$4:O145))</f>
        <v/>
      </c>
      <c r="Q145" s="56" t="str">
        <f aca="false">IF($W145="","",N(INDEX(发票统计!Q$4:Q$1003,$W145)))</f>
        <v/>
      </c>
      <c r="R145" s="56" t="str">
        <f aca="false">IF($W145="","",N(INDEX(发票统计!R$4:R$1003,$W145)))</f>
        <v/>
      </c>
      <c r="S145" s="56" t="str">
        <f aca="false">IF($W145="","",N(INDEX(发票统计!S$4:S$1003,$W145)))</f>
        <v/>
      </c>
      <c r="T145" s="56" t="str">
        <f aca="false">IF($W145="","",SUM(Q$4:Q145)-SUM(R$4:R145)-SUM(S$4:S145))</f>
        <v/>
      </c>
      <c r="U145" s="56" t="str">
        <f aca="false">IF($W145="","",INDEX(发票统计!U$4:U$1003,$W145)&amp;"")</f>
        <v/>
      </c>
      <c r="W145" s="1" t="str">
        <f aca="false">IF($V$3="","",IFERROR(MATCH($V$3&amp;"#"&amp;ROWS(W$4:W145),发票统计!$W$4:$W$1003,0),""))</f>
        <v/>
      </c>
    </row>
    <row r="146" customFormat="false" ht="16.5" hidden="false" customHeight="false" outlineLevel="0" collapsed="false">
      <c r="A146" s="3" t="str">
        <f aca="false">IF($W146="","",INDEX(发票统计!A$4:A$1003,$W146)&amp;"")</f>
        <v/>
      </c>
      <c r="B146" s="3" t="str">
        <f aca="false">IF($W146="","",INDEX(发票统计!B$4:B$1003,$W146)&amp;"")</f>
        <v/>
      </c>
      <c r="C146" s="3" t="str">
        <f aca="false">IF($W146="","",INDEX(发票统计!C$4:C$1003,$W146)&amp;"")</f>
        <v/>
      </c>
      <c r="D146" s="3" t="str">
        <f aca="false">IF($W146="","",INDEX(发票统计!D$4:D$1003,$W146)&amp;"")</f>
        <v/>
      </c>
      <c r="E146" s="67" t="str">
        <f aca="false">IF($W146="","",INDEX(发票统计!E$4:E$1003,$W146)&amp;"")</f>
        <v/>
      </c>
      <c r="F146" s="68" t="str">
        <f aca="false">IF($W146="","",INDEX(发票统计!F$4:F$1003,$W146)&amp;"")</f>
        <v/>
      </c>
      <c r="G146" s="68" t="str">
        <f aca="false">IF($W146="","",IF(INDEX(发票统计!G$4:G$1003,$W146)="","",INDEX(发票统计!G$4:G$1003,$W146)))</f>
        <v/>
      </c>
      <c r="H146" s="56" t="str">
        <f aca="false">IF($W146="","",N(INDEX(发票统计!H$4:H$1003,$W146)))</f>
        <v/>
      </c>
      <c r="I146" s="56" t="str">
        <f aca="false">IF($W146="","",N(INDEX(发票统计!I$4:I$1003,$W146)))</f>
        <v/>
      </c>
      <c r="J146" s="56" t="str">
        <f aca="false">IF($W146="","",N(INDEX(发票统计!J$4:J$1003,$W146)))</f>
        <v/>
      </c>
      <c r="K146" s="56" t="str">
        <f aca="false">IF($W146="","",N(INDEX(发票统计!K$4:K$1003,$W146)))</f>
        <v/>
      </c>
      <c r="L146" s="56" t="str">
        <f aca="false">IF($W146="","",SUM(J$4:J146)-SUM(K$4:K146))</f>
        <v/>
      </c>
      <c r="M146" s="56" t="str">
        <f aca="false">IF($W146="","",N(INDEX(发票统计!M$4:M$1003,$W146)))</f>
        <v/>
      </c>
      <c r="N146" s="56" t="str">
        <f aca="false">IF($W146="","",N(INDEX(发票统计!N$4:N$1003,$W146)))</f>
        <v/>
      </c>
      <c r="O146" s="56" t="str">
        <f aca="false">IF($W146="","",N(INDEX(发票统计!O$4:O$1003,$W146)))</f>
        <v/>
      </c>
      <c r="P146" s="56" t="str">
        <f aca="false">IF($W146="","",SUM(M$4:M146)-SUM(N$4:N146)-SUM(O$4:O146))</f>
        <v/>
      </c>
      <c r="Q146" s="56" t="str">
        <f aca="false">IF($W146="","",N(INDEX(发票统计!Q$4:Q$1003,$W146)))</f>
        <v/>
      </c>
      <c r="R146" s="56" t="str">
        <f aca="false">IF($W146="","",N(INDEX(发票统计!R$4:R$1003,$W146)))</f>
        <v/>
      </c>
      <c r="S146" s="56" t="str">
        <f aca="false">IF($W146="","",N(INDEX(发票统计!S$4:S$1003,$W146)))</f>
        <v/>
      </c>
      <c r="T146" s="56" t="str">
        <f aca="false">IF($W146="","",SUM(Q$4:Q146)-SUM(R$4:R146)-SUM(S$4:S146))</f>
        <v/>
      </c>
      <c r="U146" s="56" t="str">
        <f aca="false">IF($W146="","",INDEX(发票统计!U$4:U$1003,$W146)&amp;"")</f>
        <v/>
      </c>
      <c r="W146" s="1" t="str">
        <f aca="false">IF($V$3="","",IFERROR(MATCH($V$3&amp;"#"&amp;ROWS(W$4:W146),发票统计!$W$4:$W$1003,0),""))</f>
        <v/>
      </c>
    </row>
    <row r="147" customFormat="false" ht="16.5" hidden="false" customHeight="false" outlineLevel="0" collapsed="false">
      <c r="A147" s="3" t="str">
        <f aca="false">IF($W147="","",INDEX(发票统计!A$4:A$1003,$W147)&amp;"")</f>
        <v/>
      </c>
      <c r="B147" s="3" t="str">
        <f aca="false">IF($W147="","",INDEX(发票统计!B$4:B$1003,$W147)&amp;"")</f>
        <v/>
      </c>
      <c r="C147" s="3" t="str">
        <f aca="false">IF($W147="","",INDEX(发票统计!C$4:C$1003,$W147)&amp;"")</f>
        <v/>
      </c>
      <c r="D147" s="3" t="str">
        <f aca="false">IF($W147="","",INDEX(发票统计!D$4:D$1003,$W147)&amp;"")</f>
        <v/>
      </c>
      <c r="E147" s="67" t="str">
        <f aca="false">IF($W147="","",INDEX(发票统计!E$4:E$1003,$W147)&amp;"")</f>
        <v/>
      </c>
      <c r="F147" s="68" t="str">
        <f aca="false">IF($W147="","",INDEX(发票统计!F$4:F$1003,$W147)&amp;"")</f>
        <v/>
      </c>
      <c r="G147" s="68" t="str">
        <f aca="false">IF($W147="","",IF(INDEX(发票统计!G$4:G$1003,$W147)="","",INDEX(发票统计!G$4:G$1003,$W147)))</f>
        <v/>
      </c>
      <c r="H147" s="56" t="str">
        <f aca="false">IF($W147="","",N(INDEX(发票统计!H$4:H$1003,$W147)))</f>
        <v/>
      </c>
      <c r="I147" s="56" t="str">
        <f aca="false">IF($W147="","",N(INDEX(发票统计!I$4:I$1003,$W147)))</f>
        <v/>
      </c>
      <c r="J147" s="56" t="str">
        <f aca="false">IF($W147="","",N(INDEX(发票统计!J$4:J$1003,$W147)))</f>
        <v/>
      </c>
      <c r="K147" s="56" t="str">
        <f aca="false">IF($W147="","",N(INDEX(发票统计!K$4:K$1003,$W147)))</f>
        <v/>
      </c>
      <c r="L147" s="56" t="str">
        <f aca="false">IF($W147="","",SUM(J$4:J147)-SUM(K$4:K147))</f>
        <v/>
      </c>
      <c r="M147" s="56" t="str">
        <f aca="false">IF($W147="","",N(INDEX(发票统计!M$4:M$1003,$W147)))</f>
        <v/>
      </c>
      <c r="N147" s="56" t="str">
        <f aca="false">IF($W147="","",N(INDEX(发票统计!N$4:N$1003,$W147)))</f>
        <v/>
      </c>
      <c r="O147" s="56" t="str">
        <f aca="false">IF($W147="","",N(INDEX(发票统计!O$4:O$1003,$W147)))</f>
        <v/>
      </c>
      <c r="P147" s="56" t="str">
        <f aca="false">IF($W147="","",SUM(M$4:M147)-SUM(N$4:N147)-SUM(O$4:O147))</f>
        <v/>
      </c>
      <c r="Q147" s="56" t="str">
        <f aca="false">IF($W147="","",N(INDEX(发票统计!Q$4:Q$1003,$W147)))</f>
        <v/>
      </c>
      <c r="R147" s="56" t="str">
        <f aca="false">IF($W147="","",N(INDEX(发票统计!R$4:R$1003,$W147)))</f>
        <v/>
      </c>
      <c r="S147" s="56" t="str">
        <f aca="false">IF($W147="","",N(INDEX(发票统计!S$4:S$1003,$W147)))</f>
        <v/>
      </c>
      <c r="T147" s="56" t="str">
        <f aca="false">IF($W147="","",SUM(Q$4:Q147)-SUM(R$4:R147)-SUM(S$4:S147))</f>
        <v/>
      </c>
      <c r="U147" s="56" t="str">
        <f aca="false">IF($W147="","",INDEX(发票统计!U$4:U$1003,$W147)&amp;"")</f>
        <v/>
      </c>
      <c r="W147" s="1" t="str">
        <f aca="false">IF($V$3="","",IFERROR(MATCH($V$3&amp;"#"&amp;ROWS(W$4:W147),发票统计!$W$4:$W$1003,0),""))</f>
        <v/>
      </c>
    </row>
    <row r="148" customFormat="false" ht="16.5" hidden="false" customHeight="false" outlineLevel="0" collapsed="false">
      <c r="A148" s="3" t="str">
        <f aca="false">IF($W148="","",INDEX(发票统计!A$4:A$1003,$W148)&amp;"")</f>
        <v/>
      </c>
      <c r="B148" s="3" t="str">
        <f aca="false">IF($W148="","",INDEX(发票统计!B$4:B$1003,$W148)&amp;"")</f>
        <v/>
      </c>
      <c r="C148" s="3" t="str">
        <f aca="false">IF($W148="","",INDEX(发票统计!C$4:C$1003,$W148)&amp;"")</f>
        <v/>
      </c>
      <c r="D148" s="3" t="str">
        <f aca="false">IF($W148="","",INDEX(发票统计!D$4:D$1003,$W148)&amp;"")</f>
        <v/>
      </c>
      <c r="E148" s="67" t="str">
        <f aca="false">IF($W148="","",INDEX(发票统计!E$4:E$1003,$W148)&amp;"")</f>
        <v/>
      </c>
      <c r="F148" s="68" t="str">
        <f aca="false">IF($W148="","",INDEX(发票统计!F$4:F$1003,$W148)&amp;"")</f>
        <v/>
      </c>
      <c r="G148" s="68" t="str">
        <f aca="false">IF($W148="","",IF(INDEX(发票统计!G$4:G$1003,$W148)="","",INDEX(发票统计!G$4:G$1003,$W148)))</f>
        <v/>
      </c>
      <c r="H148" s="56" t="str">
        <f aca="false">IF($W148="","",N(INDEX(发票统计!H$4:H$1003,$W148)))</f>
        <v/>
      </c>
      <c r="I148" s="56" t="str">
        <f aca="false">IF($W148="","",N(INDEX(发票统计!I$4:I$1003,$W148)))</f>
        <v/>
      </c>
      <c r="J148" s="56" t="str">
        <f aca="false">IF($W148="","",N(INDEX(发票统计!J$4:J$1003,$W148)))</f>
        <v/>
      </c>
      <c r="K148" s="56" t="str">
        <f aca="false">IF($W148="","",N(INDEX(发票统计!K$4:K$1003,$W148)))</f>
        <v/>
      </c>
      <c r="L148" s="56" t="str">
        <f aca="false">IF($W148="","",SUM(J$4:J148)-SUM(K$4:K148))</f>
        <v/>
      </c>
      <c r="M148" s="56" t="str">
        <f aca="false">IF($W148="","",N(INDEX(发票统计!M$4:M$1003,$W148)))</f>
        <v/>
      </c>
      <c r="N148" s="56" t="str">
        <f aca="false">IF($W148="","",N(INDEX(发票统计!N$4:N$1003,$W148)))</f>
        <v/>
      </c>
      <c r="O148" s="56" t="str">
        <f aca="false">IF($W148="","",N(INDEX(发票统计!O$4:O$1003,$W148)))</f>
        <v/>
      </c>
      <c r="P148" s="56" t="str">
        <f aca="false">IF($W148="","",SUM(M$4:M148)-SUM(N$4:N148)-SUM(O$4:O148))</f>
        <v/>
      </c>
      <c r="Q148" s="56" t="str">
        <f aca="false">IF($W148="","",N(INDEX(发票统计!Q$4:Q$1003,$W148)))</f>
        <v/>
      </c>
      <c r="R148" s="56" t="str">
        <f aca="false">IF($W148="","",N(INDEX(发票统计!R$4:R$1003,$W148)))</f>
        <v/>
      </c>
      <c r="S148" s="56" t="str">
        <f aca="false">IF($W148="","",N(INDEX(发票统计!S$4:S$1003,$W148)))</f>
        <v/>
      </c>
      <c r="T148" s="56" t="str">
        <f aca="false">IF($W148="","",SUM(Q$4:Q148)-SUM(R$4:R148)-SUM(S$4:S148))</f>
        <v/>
      </c>
      <c r="U148" s="56" t="str">
        <f aca="false">IF($W148="","",INDEX(发票统计!U$4:U$1003,$W148)&amp;"")</f>
        <v/>
      </c>
      <c r="W148" s="1" t="str">
        <f aca="false">IF($V$3="","",IFERROR(MATCH($V$3&amp;"#"&amp;ROWS(W$4:W148),发票统计!$W$4:$W$1003,0),""))</f>
        <v/>
      </c>
    </row>
    <row r="149" customFormat="false" ht="16.5" hidden="false" customHeight="false" outlineLevel="0" collapsed="false">
      <c r="A149" s="3" t="str">
        <f aca="false">IF($W149="","",INDEX(发票统计!A$4:A$1003,$W149)&amp;"")</f>
        <v/>
      </c>
      <c r="B149" s="3" t="str">
        <f aca="false">IF($W149="","",INDEX(发票统计!B$4:B$1003,$W149)&amp;"")</f>
        <v/>
      </c>
      <c r="C149" s="3" t="str">
        <f aca="false">IF($W149="","",INDEX(发票统计!C$4:C$1003,$W149)&amp;"")</f>
        <v/>
      </c>
      <c r="D149" s="3" t="str">
        <f aca="false">IF($W149="","",INDEX(发票统计!D$4:D$1003,$W149)&amp;"")</f>
        <v/>
      </c>
      <c r="E149" s="67" t="str">
        <f aca="false">IF($W149="","",INDEX(发票统计!E$4:E$1003,$W149)&amp;"")</f>
        <v/>
      </c>
      <c r="F149" s="68" t="str">
        <f aca="false">IF($W149="","",INDEX(发票统计!F$4:F$1003,$W149)&amp;"")</f>
        <v/>
      </c>
      <c r="G149" s="68" t="str">
        <f aca="false">IF($W149="","",IF(INDEX(发票统计!G$4:G$1003,$W149)="","",INDEX(发票统计!G$4:G$1003,$W149)))</f>
        <v/>
      </c>
      <c r="H149" s="56" t="str">
        <f aca="false">IF($W149="","",N(INDEX(发票统计!H$4:H$1003,$W149)))</f>
        <v/>
      </c>
      <c r="I149" s="56" t="str">
        <f aca="false">IF($W149="","",N(INDEX(发票统计!I$4:I$1003,$W149)))</f>
        <v/>
      </c>
      <c r="J149" s="56" t="str">
        <f aca="false">IF($W149="","",N(INDEX(发票统计!J$4:J$1003,$W149)))</f>
        <v/>
      </c>
      <c r="K149" s="56" t="str">
        <f aca="false">IF($W149="","",N(INDEX(发票统计!K$4:K$1003,$W149)))</f>
        <v/>
      </c>
      <c r="L149" s="56" t="str">
        <f aca="false">IF($W149="","",SUM(J$4:J149)-SUM(K$4:K149))</f>
        <v/>
      </c>
      <c r="M149" s="56" t="str">
        <f aca="false">IF($W149="","",N(INDEX(发票统计!M$4:M$1003,$W149)))</f>
        <v/>
      </c>
      <c r="N149" s="56" t="str">
        <f aca="false">IF($W149="","",N(INDEX(发票统计!N$4:N$1003,$W149)))</f>
        <v/>
      </c>
      <c r="O149" s="56" t="str">
        <f aca="false">IF($W149="","",N(INDEX(发票统计!O$4:O$1003,$W149)))</f>
        <v/>
      </c>
      <c r="P149" s="56" t="str">
        <f aca="false">IF($W149="","",SUM(M$4:M149)-SUM(N$4:N149)-SUM(O$4:O149))</f>
        <v/>
      </c>
      <c r="Q149" s="56" t="str">
        <f aca="false">IF($W149="","",N(INDEX(发票统计!Q$4:Q$1003,$W149)))</f>
        <v/>
      </c>
      <c r="R149" s="56" t="str">
        <f aca="false">IF($W149="","",N(INDEX(发票统计!R$4:R$1003,$W149)))</f>
        <v/>
      </c>
      <c r="S149" s="56" t="str">
        <f aca="false">IF($W149="","",N(INDEX(发票统计!S$4:S$1003,$W149)))</f>
        <v/>
      </c>
      <c r="T149" s="56" t="str">
        <f aca="false">IF($W149="","",SUM(Q$4:Q149)-SUM(R$4:R149)-SUM(S$4:S149))</f>
        <v/>
      </c>
      <c r="U149" s="56" t="str">
        <f aca="false">IF($W149="","",INDEX(发票统计!U$4:U$1003,$W149)&amp;"")</f>
        <v/>
      </c>
      <c r="W149" s="1" t="str">
        <f aca="false">IF($V$3="","",IFERROR(MATCH($V$3&amp;"#"&amp;ROWS(W$4:W149),发票统计!$W$4:$W$1003,0),""))</f>
        <v/>
      </c>
    </row>
    <row r="150" customFormat="false" ht="16.5" hidden="false" customHeight="false" outlineLevel="0" collapsed="false">
      <c r="A150" s="3" t="str">
        <f aca="false">IF($W150="","",INDEX(发票统计!A$4:A$1003,$W150)&amp;"")</f>
        <v/>
      </c>
      <c r="B150" s="3" t="str">
        <f aca="false">IF($W150="","",INDEX(发票统计!B$4:B$1003,$W150)&amp;"")</f>
        <v/>
      </c>
      <c r="C150" s="3" t="str">
        <f aca="false">IF($W150="","",INDEX(发票统计!C$4:C$1003,$W150)&amp;"")</f>
        <v/>
      </c>
      <c r="D150" s="3" t="str">
        <f aca="false">IF($W150="","",INDEX(发票统计!D$4:D$1003,$W150)&amp;"")</f>
        <v/>
      </c>
      <c r="E150" s="67" t="str">
        <f aca="false">IF($W150="","",INDEX(发票统计!E$4:E$1003,$W150)&amp;"")</f>
        <v/>
      </c>
      <c r="F150" s="68" t="str">
        <f aca="false">IF($W150="","",INDEX(发票统计!F$4:F$1003,$W150)&amp;"")</f>
        <v/>
      </c>
      <c r="G150" s="68" t="str">
        <f aca="false">IF($W150="","",IF(INDEX(发票统计!G$4:G$1003,$W150)="","",INDEX(发票统计!G$4:G$1003,$W150)))</f>
        <v/>
      </c>
      <c r="H150" s="56" t="str">
        <f aca="false">IF($W150="","",N(INDEX(发票统计!H$4:H$1003,$W150)))</f>
        <v/>
      </c>
      <c r="I150" s="56" t="str">
        <f aca="false">IF($W150="","",N(INDEX(发票统计!I$4:I$1003,$W150)))</f>
        <v/>
      </c>
      <c r="J150" s="56" t="str">
        <f aca="false">IF($W150="","",N(INDEX(发票统计!J$4:J$1003,$W150)))</f>
        <v/>
      </c>
      <c r="K150" s="56" t="str">
        <f aca="false">IF($W150="","",N(INDEX(发票统计!K$4:K$1003,$W150)))</f>
        <v/>
      </c>
      <c r="L150" s="56" t="str">
        <f aca="false">IF($W150="","",SUM(J$4:J150)-SUM(K$4:K150))</f>
        <v/>
      </c>
      <c r="M150" s="56" t="str">
        <f aca="false">IF($W150="","",N(INDEX(发票统计!M$4:M$1003,$W150)))</f>
        <v/>
      </c>
      <c r="N150" s="56" t="str">
        <f aca="false">IF($W150="","",N(INDEX(发票统计!N$4:N$1003,$W150)))</f>
        <v/>
      </c>
      <c r="O150" s="56" t="str">
        <f aca="false">IF($W150="","",N(INDEX(发票统计!O$4:O$1003,$W150)))</f>
        <v/>
      </c>
      <c r="P150" s="56" t="str">
        <f aca="false">IF($W150="","",SUM(M$4:M150)-SUM(N$4:N150)-SUM(O$4:O150))</f>
        <v/>
      </c>
      <c r="Q150" s="56" t="str">
        <f aca="false">IF($W150="","",N(INDEX(发票统计!Q$4:Q$1003,$W150)))</f>
        <v/>
      </c>
      <c r="R150" s="56" t="str">
        <f aca="false">IF($W150="","",N(INDEX(发票统计!R$4:R$1003,$W150)))</f>
        <v/>
      </c>
      <c r="S150" s="56" t="str">
        <f aca="false">IF($W150="","",N(INDEX(发票统计!S$4:S$1003,$W150)))</f>
        <v/>
      </c>
      <c r="T150" s="56" t="str">
        <f aca="false">IF($W150="","",SUM(Q$4:Q150)-SUM(R$4:R150)-SUM(S$4:S150))</f>
        <v/>
      </c>
      <c r="U150" s="56" t="str">
        <f aca="false">IF($W150="","",INDEX(发票统计!U$4:U$1003,$W150)&amp;"")</f>
        <v/>
      </c>
      <c r="W150" s="1" t="str">
        <f aca="false">IF($V$3="","",IFERROR(MATCH($V$3&amp;"#"&amp;ROWS(W$4:W150),发票统计!$W$4:$W$1003,0),""))</f>
        <v/>
      </c>
    </row>
    <row r="151" customFormat="false" ht="16.5" hidden="false" customHeight="false" outlineLevel="0" collapsed="false">
      <c r="A151" s="3" t="str">
        <f aca="false">IF($W151="","",INDEX(发票统计!A$4:A$1003,$W151)&amp;"")</f>
        <v/>
      </c>
      <c r="B151" s="3" t="str">
        <f aca="false">IF($W151="","",INDEX(发票统计!B$4:B$1003,$W151)&amp;"")</f>
        <v/>
      </c>
      <c r="C151" s="3" t="str">
        <f aca="false">IF($W151="","",INDEX(发票统计!C$4:C$1003,$W151)&amp;"")</f>
        <v/>
      </c>
      <c r="D151" s="3" t="str">
        <f aca="false">IF($W151="","",INDEX(发票统计!D$4:D$1003,$W151)&amp;"")</f>
        <v/>
      </c>
      <c r="E151" s="67" t="str">
        <f aca="false">IF($W151="","",INDEX(发票统计!E$4:E$1003,$W151)&amp;"")</f>
        <v/>
      </c>
      <c r="F151" s="68" t="str">
        <f aca="false">IF($W151="","",INDEX(发票统计!F$4:F$1003,$W151)&amp;"")</f>
        <v/>
      </c>
      <c r="G151" s="68" t="str">
        <f aca="false">IF($W151="","",IF(INDEX(发票统计!G$4:G$1003,$W151)="","",INDEX(发票统计!G$4:G$1003,$W151)))</f>
        <v/>
      </c>
      <c r="H151" s="56" t="str">
        <f aca="false">IF($W151="","",N(INDEX(发票统计!H$4:H$1003,$W151)))</f>
        <v/>
      </c>
      <c r="I151" s="56" t="str">
        <f aca="false">IF($W151="","",N(INDEX(发票统计!I$4:I$1003,$W151)))</f>
        <v/>
      </c>
      <c r="J151" s="56" t="str">
        <f aca="false">IF($W151="","",N(INDEX(发票统计!J$4:J$1003,$W151)))</f>
        <v/>
      </c>
      <c r="K151" s="56" t="str">
        <f aca="false">IF($W151="","",N(INDEX(发票统计!K$4:K$1003,$W151)))</f>
        <v/>
      </c>
      <c r="L151" s="56" t="str">
        <f aca="false">IF($W151="","",SUM(J$4:J151)-SUM(K$4:K151))</f>
        <v/>
      </c>
      <c r="M151" s="56" t="str">
        <f aca="false">IF($W151="","",N(INDEX(发票统计!M$4:M$1003,$W151)))</f>
        <v/>
      </c>
      <c r="N151" s="56" t="str">
        <f aca="false">IF($W151="","",N(INDEX(发票统计!N$4:N$1003,$W151)))</f>
        <v/>
      </c>
      <c r="O151" s="56" t="str">
        <f aca="false">IF($W151="","",N(INDEX(发票统计!O$4:O$1003,$W151)))</f>
        <v/>
      </c>
      <c r="P151" s="56" t="str">
        <f aca="false">IF($W151="","",SUM(M$4:M151)-SUM(N$4:N151)-SUM(O$4:O151))</f>
        <v/>
      </c>
      <c r="Q151" s="56" t="str">
        <f aca="false">IF($W151="","",N(INDEX(发票统计!Q$4:Q$1003,$W151)))</f>
        <v/>
      </c>
      <c r="R151" s="56" t="str">
        <f aca="false">IF($W151="","",N(INDEX(发票统计!R$4:R$1003,$W151)))</f>
        <v/>
      </c>
      <c r="S151" s="56" t="str">
        <f aca="false">IF($W151="","",N(INDEX(发票统计!S$4:S$1003,$W151)))</f>
        <v/>
      </c>
      <c r="T151" s="56" t="str">
        <f aca="false">IF($W151="","",SUM(Q$4:Q151)-SUM(R$4:R151)-SUM(S$4:S151))</f>
        <v/>
      </c>
      <c r="U151" s="56" t="str">
        <f aca="false">IF($W151="","",INDEX(发票统计!U$4:U$1003,$W151)&amp;"")</f>
        <v/>
      </c>
      <c r="W151" s="1" t="str">
        <f aca="false">IF($V$3="","",IFERROR(MATCH($V$3&amp;"#"&amp;ROWS(W$4:W151),发票统计!$W$4:$W$1003,0),""))</f>
        <v/>
      </c>
    </row>
    <row r="152" customFormat="false" ht="16.5" hidden="false" customHeight="false" outlineLevel="0" collapsed="false">
      <c r="A152" s="3" t="str">
        <f aca="false">IF($W152="","",INDEX(发票统计!A$4:A$1003,$W152)&amp;"")</f>
        <v/>
      </c>
      <c r="B152" s="3" t="str">
        <f aca="false">IF($W152="","",INDEX(发票统计!B$4:B$1003,$W152)&amp;"")</f>
        <v/>
      </c>
      <c r="C152" s="3" t="str">
        <f aca="false">IF($W152="","",INDEX(发票统计!C$4:C$1003,$W152)&amp;"")</f>
        <v/>
      </c>
      <c r="D152" s="3" t="str">
        <f aca="false">IF($W152="","",INDEX(发票统计!D$4:D$1003,$W152)&amp;"")</f>
        <v/>
      </c>
      <c r="E152" s="67" t="str">
        <f aca="false">IF($W152="","",INDEX(发票统计!E$4:E$1003,$W152)&amp;"")</f>
        <v/>
      </c>
      <c r="F152" s="68" t="str">
        <f aca="false">IF($W152="","",INDEX(发票统计!F$4:F$1003,$W152)&amp;"")</f>
        <v/>
      </c>
      <c r="G152" s="68" t="str">
        <f aca="false">IF($W152="","",IF(INDEX(发票统计!G$4:G$1003,$W152)="","",INDEX(发票统计!G$4:G$1003,$W152)))</f>
        <v/>
      </c>
      <c r="H152" s="56" t="str">
        <f aca="false">IF($W152="","",N(INDEX(发票统计!H$4:H$1003,$W152)))</f>
        <v/>
      </c>
      <c r="I152" s="56" t="str">
        <f aca="false">IF($W152="","",N(INDEX(发票统计!I$4:I$1003,$W152)))</f>
        <v/>
      </c>
      <c r="J152" s="56" t="str">
        <f aca="false">IF($W152="","",N(INDEX(发票统计!J$4:J$1003,$W152)))</f>
        <v/>
      </c>
      <c r="K152" s="56" t="str">
        <f aca="false">IF($W152="","",N(INDEX(发票统计!K$4:K$1003,$W152)))</f>
        <v/>
      </c>
      <c r="L152" s="56" t="str">
        <f aca="false">IF($W152="","",SUM(J$4:J152)-SUM(K$4:K152))</f>
        <v/>
      </c>
      <c r="M152" s="56" t="str">
        <f aca="false">IF($W152="","",N(INDEX(发票统计!M$4:M$1003,$W152)))</f>
        <v/>
      </c>
      <c r="N152" s="56" t="str">
        <f aca="false">IF($W152="","",N(INDEX(发票统计!N$4:N$1003,$W152)))</f>
        <v/>
      </c>
      <c r="O152" s="56" t="str">
        <f aca="false">IF($W152="","",N(INDEX(发票统计!O$4:O$1003,$W152)))</f>
        <v/>
      </c>
      <c r="P152" s="56" t="str">
        <f aca="false">IF($W152="","",SUM(M$4:M152)-SUM(N$4:N152)-SUM(O$4:O152))</f>
        <v/>
      </c>
      <c r="Q152" s="56" t="str">
        <f aca="false">IF($W152="","",N(INDEX(发票统计!Q$4:Q$1003,$W152)))</f>
        <v/>
      </c>
      <c r="R152" s="56" t="str">
        <f aca="false">IF($W152="","",N(INDEX(发票统计!R$4:R$1003,$W152)))</f>
        <v/>
      </c>
      <c r="S152" s="56" t="str">
        <f aca="false">IF($W152="","",N(INDEX(发票统计!S$4:S$1003,$W152)))</f>
        <v/>
      </c>
      <c r="T152" s="56" t="str">
        <f aca="false">IF($W152="","",SUM(Q$4:Q152)-SUM(R$4:R152)-SUM(S$4:S152))</f>
        <v/>
      </c>
      <c r="U152" s="56" t="str">
        <f aca="false">IF($W152="","",INDEX(发票统计!U$4:U$1003,$W152)&amp;"")</f>
        <v/>
      </c>
      <c r="W152" s="1" t="str">
        <f aca="false">IF($V$3="","",IFERROR(MATCH($V$3&amp;"#"&amp;ROWS(W$4:W152),发票统计!$W$4:$W$1003,0),""))</f>
        <v/>
      </c>
    </row>
    <row r="153" customFormat="false" ht="16.5" hidden="false" customHeight="false" outlineLevel="0" collapsed="false">
      <c r="A153" s="3" t="str">
        <f aca="false">IF($W153="","",INDEX(发票统计!A$4:A$1003,$W153)&amp;"")</f>
        <v/>
      </c>
      <c r="B153" s="3" t="str">
        <f aca="false">IF($W153="","",INDEX(发票统计!B$4:B$1003,$W153)&amp;"")</f>
        <v/>
      </c>
      <c r="C153" s="3" t="str">
        <f aca="false">IF($W153="","",INDEX(发票统计!C$4:C$1003,$W153)&amp;"")</f>
        <v/>
      </c>
      <c r="D153" s="3" t="str">
        <f aca="false">IF($W153="","",INDEX(发票统计!D$4:D$1003,$W153)&amp;"")</f>
        <v/>
      </c>
      <c r="E153" s="67" t="str">
        <f aca="false">IF($W153="","",INDEX(发票统计!E$4:E$1003,$W153)&amp;"")</f>
        <v/>
      </c>
      <c r="F153" s="68" t="str">
        <f aca="false">IF($W153="","",INDEX(发票统计!F$4:F$1003,$W153)&amp;"")</f>
        <v/>
      </c>
      <c r="G153" s="68" t="str">
        <f aca="false">IF($W153="","",IF(INDEX(发票统计!G$4:G$1003,$W153)="","",INDEX(发票统计!G$4:G$1003,$W153)))</f>
        <v/>
      </c>
      <c r="H153" s="56" t="str">
        <f aca="false">IF($W153="","",N(INDEX(发票统计!H$4:H$1003,$W153)))</f>
        <v/>
      </c>
      <c r="I153" s="56" t="str">
        <f aca="false">IF($W153="","",N(INDEX(发票统计!I$4:I$1003,$W153)))</f>
        <v/>
      </c>
      <c r="J153" s="56" t="str">
        <f aca="false">IF($W153="","",N(INDEX(发票统计!J$4:J$1003,$W153)))</f>
        <v/>
      </c>
      <c r="K153" s="56" t="str">
        <f aca="false">IF($W153="","",N(INDEX(发票统计!K$4:K$1003,$W153)))</f>
        <v/>
      </c>
      <c r="L153" s="56" t="str">
        <f aca="false">IF($W153="","",SUM(J$4:J153)-SUM(K$4:K153))</f>
        <v/>
      </c>
      <c r="M153" s="56" t="str">
        <f aca="false">IF($W153="","",N(INDEX(发票统计!M$4:M$1003,$W153)))</f>
        <v/>
      </c>
      <c r="N153" s="56" t="str">
        <f aca="false">IF($W153="","",N(INDEX(发票统计!N$4:N$1003,$W153)))</f>
        <v/>
      </c>
      <c r="O153" s="56" t="str">
        <f aca="false">IF($W153="","",N(INDEX(发票统计!O$4:O$1003,$W153)))</f>
        <v/>
      </c>
      <c r="P153" s="56" t="str">
        <f aca="false">IF($W153="","",SUM(M$4:M153)-SUM(N$4:N153)-SUM(O$4:O153))</f>
        <v/>
      </c>
      <c r="Q153" s="56" t="str">
        <f aca="false">IF($W153="","",N(INDEX(发票统计!Q$4:Q$1003,$W153)))</f>
        <v/>
      </c>
      <c r="R153" s="56" t="str">
        <f aca="false">IF($W153="","",N(INDEX(发票统计!R$4:R$1003,$W153)))</f>
        <v/>
      </c>
      <c r="S153" s="56" t="str">
        <f aca="false">IF($W153="","",N(INDEX(发票统计!S$4:S$1003,$W153)))</f>
        <v/>
      </c>
      <c r="T153" s="56" t="str">
        <f aca="false">IF($W153="","",SUM(Q$4:Q153)-SUM(R$4:R153)-SUM(S$4:S153))</f>
        <v/>
      </c>
      <c r="U153" s="56" t="str">
        <f aca="false">IF($W153="","",INDEX(发票统计!U$4:U$1003,$W153)&amp;"")</f>
        <v/>
      </c>
      <c r="W153" s="1" t="str">
        <f aca="false">IF($V$3="","",IFERROR(MATCH($V$3&amp;"#"&amp;ROWS(W$4:W153),发票统计!$W$4:$W$1003,0),""))</f>
        <v/>
      </c>
    </row>
    <row r="154" customFormat="false" ht="16.5" hidden="false" customHeight="false" outlineLevel="0" collapsed="false">
      <c r="A154" s="3" t="str">
        <f aca="false">IF($W154="","",INDEX(发票统计!A$4:A$1003,$W154)&amp;"")</f>
        <v/>
      </c>
      <c r="B154" s="3" t="str">
        <f aca="false">IF($W154="","",INDEX(发票统计!B$4:B$1003,$W154)&amp;"")</f>
        <v/>
      </c>
      <c r="C154" s="3" t="str">
        <f aca="false">IF($W154="","",INDEX(发票统计!C$4:C$1003,$W154)&amp;"")</f>
        <v/>
      </c>
      <c r="D154" s="3" t="str">
        <f aca="false">IF($W154="","",INDEX(发票统计!D$4:D$1003,$W154)&amp;"")</f>
        <v/>
      </c>
      <c r="E154" s="67" t="str">
        <f aca="false">IF($W154="","",INDEX(发票统计!E$4:E$1003,$W154)&amp;"")</f>
        <v/>
      </c>
      <c r="F154" s="68" t="str">
        <f aca="false">IF($W154="","",INDEX(发票统计!F$4:F$1003,$W154)&amp;"")</f>
        <v/>
      </c>
      <c r="G154" s="68" t="str">
        <f aca="false">IF($W154="","",IF(INDEX(发票统计!G$4:G$1003,$W154)="","",INDEX(发票统计!G$4:G$1003,$W154)))</f>
        <v/>
      </c>
      <c r="H154" s="56" t="str">
        <f aca="false">IF($W154="","",N(INDEX(发票统计!H$4:H$1003,$W154)))</f>
        <v/>
      </c>
      <c r="I154" s="56" t="str">
        <f aca="false">IF($W154="","",N(INDEX(发票统计!I$4:I$1003,$W154)))</f>
        <v/>
      </c>
      <c r="J154" s="56" t="str">
        <f aca="false">IF($W154="","",N(INDEX(发票统计!J$4:J$1003,$W154)))</f>
        <v/>
      </c>
      <c r="K154" s="56" t="str">
        <f aca="false">IF($W154="","",N(INDEX(发票统计!K$4:K$1003,$W154)))</f>
        <v/>
      </c>
      <c r="L154" s="56" t="str">
        <f aca="false">IF($W154="","",SUM(J$4:J154)-SUM(K$4:K154))</f>
        <v/>
      </c>
      <c r="M154" s="56" t="str">
        <f aca="false">IF($W154="","",N(INDEX(发票统计!M$4:M$1003,$W154)))</f>
        <v/>
      </c>
      <c r="N154" s="56" t="str">
        <f aca="false">IF($W154="","",N(INDEX(发票统计!N$4:N$1003,$W154)))</f>
        <v/>
      </c>
      <c r="O154" s="56" t="str">
        <f aca="false">IF($W154="","",N(INDEX(发票统计!O$4:O$1003,$W154)))</f>
        <v/>
      </c>
      <c r="P154" s="56" t="str">
        <f aca="false">IF($W154="","",SUM(M$4:M154)-SUM(N$4:N154)-SUM(O$4:O154))</f>
        <v/>
      </c>
      <c r="Q154" s="56" t="str">
        <f aca="false">IF($W154="","",N(INDEX(发票统计!Q$4:Q$1003,$W154)))</f>
        <v/>
      </c>
      <c r="R154" s="56" t="str">
        <f aca="false">IF($W154="","",N(INDEX(发票统计!R$4:R$1003,$W154)))</f>
        <v/>
      </c>
      <c r="S154" s="56" t="str">
        <f aca="false">IF($W154="","",N(INDEX(发票统计!S$4:S$1003,$W154)))</f>
        <v/>
      </c>
      <c r="T154" s="56" t="str">
        <f aca="false">IF($W154="","",SUM(Q$4:Q154)-SUM(R$4:R154)-SUM(S$4:S154))</f>
        <v/>
      </c>
      <c r="U154" s="56" t="str">
        <f aca="false">IF($W154="","",INDEX(发票统计!U$4:U$1003,$W154)&amp;"")</f>
        <v/>
      </c>
      <c r="W154" s="1" t="str">
        <f aca="false">IF($V$3="","",IFERROR(MATCH($V$3&amp;"#"&amp;ROWS(W$4:W154),发票统计!$W$4:$W$1003,0),""))</f>
        <v/>
      </c>
    </row>
    <row r="155" customFormat="false" ht="16.5" hidden="false" customHeight="false" outlineLevel="0" collapsed="false">
      <c r="A155" s="3" t="str">
        <f aca="false">IF($W155="","",INDEX(发票统计!A$4:A$1003,$W155)&amp;"")</f>
        <v/>
      </c>
      <c r="B155" s="3" t="str">
        <f aca="false">IF($W155="","",INDEX(发票统计!B$4:B$1003,$W155)&amp;"")</f>
        <v/>
      </c>
      <c r="C155" s="3" t="str">
        <f aca="false">IF($W155="","",INDEX(发票统计!C$4:C$1003,$W155)&amp;"")</f>
        <v/>
      </c>
      <c r="D155" s="3" t="str">
        <f aca="false">IF($W155="","",INDEX(发票统计!D$4:D$1003,$W155)&amp;"")</f>
        <v/>
      </c>
      <c r="E155" s="67" t="str">
        <f aca="false">IF($W155="","",INDEX(发票统计!E$4:E$1003,$W155)&amp;"")</f>
        <v/>
      </c>
      <c r="F155" s="68" t="str">
        <f aca="false">IF($W155="","",INDEX(发票统计!F$4:F$1003,$W155)&amp;"")</f>
        <v/>
      </c>
      <c r="G155" s="68" t="str">
        <f aca="false">IF($W155="","",IF(INDEX(发票统计!G$4:G$1003,$W155)="","",INDEX(发票统计!G$4:G$1003,$W155)))</f>
        <v/>
      </c>
      <c r="H155" s="56" t="str">
        <f aca="false">IF($W155="","",N(INDEX(发票统计!H$4:H$1003,$W155)))</f>
        <v/>
      </c>
      <c r="I155" s="56" t="str">
        <f aca="false">IF($W155="","",N(INDEX(发票统计!I$4:I$1003,$W155)))</f>
        <v/>
      </c>
      <c r="J155" s="56" t="str">
        <f aca="false">IF($W155="","",N(INDEX(发票统计!J$4:J$1003,$W155)))</f>
        <v/>
      </c>
      <c r="K155" s="56" t="str">
        <f aca="false">IF($W155="","",N(INDEX(发票统计!K$4:K$1003,$W155)))</f>
        <v/>
      </c>
      <c r="L155" s="56" t="str">
        <f aca="false">IF($W155="","",SUM(J$4:J155)-SUM(K$4:K155))</f>
        <v/>
      </c>
      <c r="M155" s="56" t="str">
        <f aca="false">IF($W155="","",N(INDEX(发票统计!M$4:M$1003,$W155)))</f>
        <v/>
      </c>
      <c r="N155" s="56" t="str">
        <f aca="false">IF($W155="","",N(INDEX(发票统计!N$4:N$1003,$W155)))</f>
        <v/>
      </c>
      <c r="O155" s="56" t="str">
        <f aca="false">IF($W155="","",N(INDEX(发票统计!O$4:O$1003,$W155)))</f>
        <v/>
      </c>
      <c r="P155" s="56" t="str">
        <f aca="false">IF($W155="","",SUM(M$4:M155)-SUM(N$4:N155)-SUM(O$4:O155))</f>
        <v/>
      </c>
      <c r="Q155" s="56" t="str">
        <f aca="false">IF($W155="","",N(INDEX(发票统计!Q$4:Q$1003,$W155)))</f>
        <v/>
      </c>
      <c r="R155" s="56" t="str">
        <f aca="false">IF($W155="","",N(INDEX(发票统计!R$4:R$1003,$W155)))</f>
        <v/>
      </c>
      <c r="S155" s="56" t="str">
        <f aca="false">IF($W155="","",N(INDEX(发票统计!S$4:S$1003,$W155)))</f>
        <v/>
      </c>
      <c r="T155" s="56" t="str">
        <f aca="false">IF($W155="","",SUM(Q$4:Q155)-SUM(R$4:R155)-SUM(S$4:S155))</f>
        <v/>
      </c>
      <c r="U155" s="56" t="str">
        <f aca="false">IF($W155="","",INDEX(发票统计!U$4:U$1003,$W155)&amp;"")</f>
        <v/>
      </c>
      <c r="W155" s="1" t="str">
        <f aca="false">IF($V$3="","",IFERROR(MATCH($V$3&amp;"#"&amp;ROWS(W$4:W155),发票统计!$W$4:$W$1003,0),""))</f>
        <v/>
      </c>
    </row>
    <row r="156" customFormat="false" ht="16.5" hidden="false" customHeight="false" outlineLevel="0" collapsed="false">
      <c r="A156" s="3" t="str">
        <f aca="false">IF($W156="","",INDEX(发票统计!A$4:A$1003,$W156)&amp;"")</f>
        <v/>
      </c>
      <c r="B156" s="3" t="str">
        <f aca="false">IF($W156="","",INDEX(发票统计!B$4:B$1003,$W156)&amp;"")</f>
        <v/>
      </c>
      <c r="C156" s="3" t="str">
        <f aca="false">IF($W156="","",INDEX(发票统计!C$4:C$1003,$W156)&amp;"")</f>
        <v/>
      </c>
      <c r="D156" s="3" t="str">
        <f aca="false">IF($W156="","",INDEX(发票统计!D$4:D$1003,$W156)&amp;"")</f>
        <v/>
      </c>
      <c r="E156" s="67" t="str">
        <f aca="false">IF($W156="","",INDEX(发票统计!E$4:E$1003,$W156)&amp;"")</f>
        <v/>
      </c>
      <c r="F156" s="68" t="str">
        <f aca="false">IF($W156="","",INDEX(发票统计!F$4:F$1003,$W156)&amp;"")</f>
        <v/>
      </c>
      <c r="G156" s="68" t="str">
        <f aca="false">IF($W156="","",IF(INDEX(发票统计!G$4:G$1003,$W156)="","",INDEX(发票统计!G$4:G$1003,$W156)))</f>
        <v/>
      </c>
      <c r="H156" s="56" t="str">
        <f aca="false">IF($W156="","",N(INDEX(发票统计!H$4:H$1003,$W156)))</f>
        <v/>
      </c>
      <c r="I156" s="56" t="str">
        <f aca="false">IF($W156="","",N(INDEX(发票统计!I$4:I$1003,$W156)))</f>
        <v/>
      </c>
      <c r="J156" s="56" t="str">
        <f aca="false">IF($W156="","",N(INDEX(发票统计!J$4:J$1003,$W156)))</f>
        <v/>
      </c>
      <c r="K156" s="56" t="str">
        <f aca="false">IF($W156="","",N(INDEX(发票统计!K$4:K$1003,$W156)))</f>
        <v/>
      </c>
      <c r="L156" s="56" t="str">
        <f aca="false">IF($W156="","",SUM(J$4:J156)-SUM(K$4:K156))</f>
        <v/>
      </c>
      <c r="M156" s="56" t="str">
        <f aca="false">IF($W156="","",N(INDEX(发票统计!M$4:M$1003,$W156)))</f>
        <v/>
      </c>
      <c r="N156" s="56" t="str">
        <f aca="false">IF($W156="","",N(INDEX(发票统计!N$4:N$1003,$W156)))</f>
        <v/>
      </c>
      <c r="O156" s="56" t="str">
        <f aca="false">IF($W156="","",N(INDEX(发票统计!O$4:O$1003,$W156)))</f>
        <v/>
      </c>
      <c r="P156" s="56" t="str">
        <f aca="false">IF($W156="","",SUM(M$4:M156)-SUM(N$4:N156)-SUM(O$4:O156))</f>
        <v/>
      </c>
      <c r="Q156" s="56" t="str">
        <f aca="false">IF($W156="","",N(INDEX(发票统计!Q$4:Q$1003,$W156)))</f>
        <v/>
      </c>
      <c r="R156" s="56" t="str">
        <f aca="false">IF($W156="","",N(INDEX(发票统计!R$4:R$1003,$W156)))</f>
        <v/>
      </c>
      <c r="S156" s="56" t="str">
        <f aca="false">IF($W156="","",N(INDEX(发票统计!S$4:S$1003,$W156)))</f>
        <v/>
      </c>
      <c r="T156" s="56" t="str">
        <f aca="false">IF($W156="","",SUM(Q$4:Q156)-SUM(R$4:R156)-SUM(S$4:S156))</f>
        <v/>
      </c>
      <c r="U156" s="56" t="str">
        <f aca="false">IF($W156="","",INDEX(发票统计!U$4:U$1003,$W156)&amp;"")</f>
        <v/>
      </c>
      <c r="W156" s="1" t="str">
        <f aca="false">IF($V$3="","",IFERROR(MATCH($V$3&amp;"#"&amp;ROWS(W$4:W156),发票统计!$W$4:$W$1003,0),""))</f>
        <v/>
      </c>
    </row>
    <row r="157" customFormat="false" ht="16.5" hidden="false" customHeight="false" outlineLevel="0" collapsed="false">
      <c r="A157" s="3" t="str">
        <f aca="false">IF($W157="","",INDEX(发票统计!A$4:A$1003,$W157)&amp;"")</f>
        <v/>
      </c>
      <c r="B157" s="3" t="str">
        <f aca="false">IF($W157="","",INDEX(发票统计!B$4:B$1003,$W157)&amp;"")</f>
        <v/>
      </c>
      <c r="C157" s="3" t="str">
        <f aca="false">IF($W157="","",INDEX(发票统计!C$4:C$1003,$W157)&amp;"")</f>
        <v/>
      </c>
      <c r="D157" s="3" t="str">
        <f aca="false">IF($W157="","",INDEX(发票统计!D$4:D$1003,$W157)&amp;"")</f>
        <v/>
      </c>
      <c r="E157" s="67" t="str">
        <f aca="false">IF($W157="","",INDEX(发票统计!E$4:E$1003,$W157)&amp;"")</f>
        <v/>
      </c>
      <c r="F157" s="68" t="str">
        <f aca="false">IF($W157="","",INDEX(发票统计!F$4:F$1003,$W157)&amp;"")</f>
        <v/>
      </c>
      <c r="G157" s="68" t="str">
        <f aca="false">IF($W157="","",IF(INDEX(发票统计!G$4:G$1003,$W157)="","",INDEX(发票统计!G$4:G$1003,$W157)))</f>
        <v/>
      </c>
      <c r="H157" s="56" t="str">
        <f aca="false">IF($W157="","",N(INDEX(发票统计!H$4:H$1003,$W157)))</f>
        <v/>
      </c>
      <c r="I157" s="56" t="str">
        <f aca="false">IF($W157="","",N(INDEX(发票统计!I$4:I$1003,$W157)))</f>
        <v/>
      </c>
      <c r="J157" s="56" t="str">
        <f aca="false">IF($W157="","",N(INDEX(发票统计!J$4:J$1003,$W157)))</f>
        <v/>
      </c>
      <c r="K157" s="56" t="str">
        <f aca="false">IF($W157="","",N(INDEX(发票统计!K$4:K$1003,$W157)))</f>
        <v/>
      </c>
      <c r="L157" s="56" t="str">
        <f aca="false">IF($W157="","",SUM(J$4:J157)-SUM(K$4:K157))</f>
        <v/>
      </c>
      <c r="M157" s="56" t="str">
        <f aca="false">IF($W157="","",N(INDEX(发票统计!M$4:M$1003,$W157)))</f>
        <v/>
      </c>
      <c r="N157" s="56" t="str">
        <f aca="false">IF($W157="","",N(INDEX(发票统计!N$4:N$1003,$W157)))</f>
        <v/>
      </c>
      <c r="O157" s="56" t="str">
        <f aca="false">IF($W157="","",N(INDEX(发票统计!O$4:O$1003,$W157)))</f>
        <v/>
      </c>
      <c r="P157" s="56" t="str">
        <f aca="false">IF($W157="","",SUM(M$4:M157)-SUM(N$4:N157)-SUM(O$4:O157))</f>
        <v/>
      </c>
      <c r="Q157" s="56" t="str">
        <f aca="false">IF($W157="","",N(INDEX(发票统计!Q$4:Q$1003,$W157)))</f>
        <v/>
      </c>
      <c r="R157" s="56" t="str">
        <f aca="false">IF($W157="","",N(INDEX(发票统计!R$4:R$1003,$W157)))</f>
        <v/>
      </c>
      <c r="S157" s="56" t="str">
        <f aca="false">IF($W157="","",N(INDEX(发票统计!S$4:S$1003,$W157)))</f>
        <v/>
      </c>
      <c r="T157" s="56" t="str">
        <f aca="false">IF($W157="","",SUM(Q$4:Q157)-SUM(R$4:R157)-SUM(S$4:S157))</f>
        <v/>
      </c>
      <c r="U157" s="56" t="str">
        <f aca="false">IF($W157="","",INDEX(发票统计!U$4:U$1003,$W157)&amp;"")</f>
        <v/>
      </c>
      <c r="W157" s="1" t="str">
        <f aca="false">IF($V$3="","",IFERROR(MATCH($V$3&amp;"#"&amp;ROWS(W$4:W157),发票统计!$W$4:$W$1003,0),""))</f>
        <v/>
      </c>
    </row>
    <row r="158" customFormat="false" ht="16.5" hidden="false" customHeight="false" outlineLevel="0" collapsed="false">
      <c r="A158" s="3" t="str">
        <f aca="false">IF($W158="","",INDEX(发票统计!A$4:A$1003,$W158)&amp;"")</f>
        <v/>
      </c>
      <c r="B158" s="3" t="str">
        <f aca="false">IF($W158="","",INDEX(发票统计!B$4:B$1003,$W158)&amp;"")</f>
        <v/>
      </c>
      <c r="C158" s="3" t="str">
        <f aca="false">IF($W158="","",INDEX(发票统计!C$4:C$1003,$W158)&amp;"")</f>
        <v/>
      </c>
      <c r="D158" s="3" t="str">
        <f aca="false">IF($W158="","",INDEX(发票统计!D$4:D$1003,$W158)&amp;"")</f>
        <v/>
      </c>
      <c r="E158" s="67" t="str">
        <f aca="false">IF($W158="","",INDEX(发票统计!E$4:E$1003,$W158)&amp;"")</f>
        <v/>
      </c>
      <c r="F158" s="68" t="str">
        <f aca="false">IF($W158="","",INDEX(发票统计!F$4:F$1003,$W158)&amp;"")</f>
        <v/>
      </c>
      <c r="G158" s="68" t="str">
        <f aca="false">IF($W158="","",IF(INDEX(发票统计!G$4:G$1003,$W158)="","",INDEX(发票统计!G$4:G$1003,$W158)))</f>
        <v/>
      </c>
      <c r="H158" s="56" t="str">
        <f aca="false">IF($W158="","",N(INDEX(发票统计!H$4:H$1003,$W158)))</f>
        <v/>
      </c>
      <c r="I158" s="56" t="str">
        <f aca="false">IF($W158="","",N(INDEX(发票统计!I$4:I$1003,$W158)))</f>
        <v/>
      </c>
      <c r="J158" s="56" t="str">
        <f aca="false">IF($W158="","",N(INDEX(发票统计!J$4:J$1003,$W158)))</f>
        <v/>
      </c>
      <c r="K158" s="56" t="str">
        <f aca="false">IF($W158="","",N(INDEX(发票统计!K$4:K$1003,$W158)))</f>
        <v/>
      </c>
      <c r="L158" s="56" t="str">
        <f aca="false">IF($W158="","",SUM(J$4:J158)-SUM(K$4:K158))</f>
        <v/>
      </c>
      <c r="M158" s="56" t="str">
        <f aca="false">IF($W158="","",N(INDEX(发票统计!M$4:M$1003,$W158)))</f>
        <v/>
      </c>
      <c r="N158" s="56" t="str">
        <f aca="false">IF($W158="","",N(INDEX(发票统计!N$4:N$1003,$W158)))</f>
        <v/>
      </c>
      <c r="O158" s="56" t="str">
        <f aca="false">IF($W158="","",N(INDEX(发票统计!O$4:O$1003,$W158)))</f>
        <v/>
      </c>
      <c r="P158" s="56" t="str">
        <f aca="false">IF($W158="","",SUM(M$4:M158)-SUM(N$4:N158)-SUM(O$4:O158))</f>
        <v/>
      </c>
      <c r="Q158" s="56" t="str">
        <f aca="false">IF($W158="","",N(INDEX(发票统计!Q$4:Q$1003,$W158)))</f>
        <v/>
      </c>
      <c r="R158" s="56" t="str">
        <f aca="false">IF($W158="","",N(INDEX(发票统计!R$4:R$1003,$W158)))</f>
        <v/>
      </c>
      <c r="S158" s="56" t="str">
        <f aca="false">IF($W158="","",N(INDEX(发票统计!S$4:S$1003,$W158)))</f>
        <v/>
      </c>
      <c r="T158" s="56" t="str">
        <f aca="false">IF($W158="","",SUM(Q$4:Q158)-SUM(R$4:R158)-SUM(S$4:S158))</f>
        <v/>
      </c>
      <c r="U158" s="56" t="str">
        <f aca="false">IF($W158="","",INDEX(发票统计!U$4:U$1003,$W158)&amp;"")</f>
        <v/>
      </c>
      <c r="W158" s="1" t="str">
        <f aca="false">IF($V$3="","",IFERROR(MATCH($V$3&amp;"#"&amp;ROWS(W$4:W158),发票统计!$W$4:$W$1003,0),""))</f>
        <v/>
      </c>
    </row>
    <row r="159" customFormat="false" ht="16.5" hidden="false" customHeight="false" outlineLevel="0" collapsed="false">
      <c r="A159" s="3" t="str">
        <f aca="false">IF($W159="","",INDEX(发票统计!A$4:A$1003,$W159)&amp;"")</f>
        <v/>
      </c>
      <c r="B159" s="3" t="str">
        <f aca="false">IF($W159="","",INDEX(发票统计!B$4:B$1003,$W159)&amp;"")</f>
        <v/>
      </c>
      <c r="C159" s="3" t="str">
        <f aca="false">IF($W159="","",INDEX(发票统计!C$4:C$1003,$W159)&amp;"")</f>
        <v/>
      </c>
      <c r="D159" s="3" t="str">
        <f aca="false">IF($W159="","",INDEX(发票统计!D$4:D$1003,$W159)&amp;"")</f>
        <v/>
      </c>
      <c r="E159" s="67" t="str">
        <f aca="false">IF($W159="","",INDEX(发票统计!E$4:E$1003,$W159)&amp;"")</f>
        <v/>
      </c>
      <c r="F159" s="68" t="str">
        <f aca="false">IF($W159="","",INDEX(发票统计!F$4:F$1003,$W159)&amp;"")</f>
        <v/>
      </c>
      <c r="G159" s="68" t="str">
        <f aca="false">IF($W159="","",IF(INDEX(发票统计!G$4:G$1003,$W159)="","",INDEX(发票统计!G$4:G$1003,$W159)))</f>
        <v/>
      </c>
      <c r="H159" s="56" t="str">
        <f aca="false">IF($W159="","",N(INDEX(发票统计!H$4:H$1003,$W159)))</f>
        <v/>
      </c>
      <c r="I159" s="56" t="str">
        <f aca="false">IF($W159="","",N(INDEX(发票统计!I$4:I$1003,$W159)))</f>
        <v/>
      </c>
      <c r="J159" s="56" t="str">
        <f aca="false">IF($W159="","",N(INDEX(发票统计!J$4:J$1003,$W159)))</f>
        <v/>
      </c>
      <c r="K159" s="56" t="str">
        <f aca="false">IF($W159="","",N(INDEX(发票统计!K$4:K$1003,$W159)))</f>
        <v/>
      </c>
      <c r="L159" s="56" t="str">
        <f aca="false">IF($W159="","",SUM(J$4:J159)-SUM(K$4:K159))</f>
        <v/>
      </c>
      <c r="M159" s="56" t="str">
        <f aca="false">IF($W159="","",N(INDEX(发票统计!M$4:M$1003,$W159)))</f>
        <v/>
      </c>
      <c r="N159" s="56" t="str">
        <f aca="false">IF($W159="","",N(INDEX(发票统计!N$4:N$1003,$W159)))</f>
        <v/>
      </c>
      <c r="O159" s="56" t="str">
        <f aca="false">IF($W159="","",N(INDEX(发票统计!O$4:O$1003,$W159)))</f>
        <v/>
      </c>
      <c r="P159" s="56" t="str">
        <f aca="false">IF($W159="","",SUM(M$4:M159)-SUM(N$4:N159)-SUM(O$4:O159))</f>
        <v/>
      </c>
      <c r="Q159" s="56" t="str">
        <f aca="false">IF($W159="","",N(INDEX(发票统计!Q$4:Q$1003,$W159)))</f>
        <v/>
      </c>
      <c r="R159" s="56" t="str">
        <f aca="false">IF($W159="","",N(INDEX(发票统计!R$4:R$1003,$W159)))</f>
        <v/>
      </c>
      <c r="S159" s="56" t="str">
        <f aca="false">IF($W159="","",N(INDEX(发票统计!S$4:S$1003,$W159)))</f>
        <v/>
      </c>
      <c r="T159" s="56" t="str">
        <f aca="false">IF($W159="","",SUM(Q$4:Q159)-SUM(R$4:R159)-SUM(S$4:S159))</f>
        <v/>
      </c>
      <c r="U159" s="56" t="str">
        <f aca="false">IF($W159="","",INDEX(发票统计!U$4:U$1003,$W159)&amp;"")</f>
        <v/>
      </c>
      <c r="W159" s="1" t="str">
        <f aca="false">IF($V$3="","",IFERROR(MATCH($V$3&amp;"#"&amp;ROWS(W$4:W159),发票统计!$W$4:$W$1003,0),""))</f>
        <v/>
      </c>
    </row>
    <row r="160" customFormat="false" ht="16.5" hidden="false" customHeight="false" outlineLevel="0" collapsed="false">
      <c r="A160" s="3" t="str">
        <f aca="false">IF($W160="","",INDEX(发票统计!A$4:A$1003,$W160)&amp;"")</f>
        <v/>
      </c>
      <c r="B160" s="3" t="str">
        <f aca="false">IF($W160="","",INDEX(发票统计!B$4:B$1003,$W160)&amp;"")</f>
        <v/>
      </c>
      <c r="C160" s="3" t="str">
        <f aca="false">IF($W160="","",INDEX(发票统计!C$4:C$1003,$W160)&amp;"")</f>
        <v/>
      </c>
      <c r="D160" s="3" t="str">
        <f aca="false">IF($W160="","",INDEX(发票统计!D$4:D$1003,$W160)&amp;"")</f>
        <v/>
      </c>
      <c r="E160" s="67" t="str">
        <f aca="false">IF($W160="","",INDEX(发票统计!E$4:E$1003,$W160)&amp;"")</f>
        <v/>
      </c>
      <c r="F160" s="68" t="str">
        <f aca="false">IF($W160="","",INDEX(发票统计!F$4:F$1003,$W160)&amp;"")</f>
        <v/>
      </c>
      <c r="G160" s="68" t="str">
        <f aca="false">IF($W160="","",IF(INDEX(发票统计!G$4:G$1003,$W160)="","",INDEX(发票统计!G$4:G$1003,$W160)))</f>
        <v/>
      </c>
      <c r="H160" s="56" t="str">
        <f aca="false">IF($W160="","",N(INDEX(发票统计!H$4:H$1003,$W160)))</f>
        <v/>
      </c>
      <c r="I160" s="56" t="str">
        <f aca="false">IF($W160="","",N(INDEX(发票统计!I$4:I$1003,$W160)))</f>
        <v/>
      </c>
      <c r="J160" s="56" t="str">
        <f aca="false">IF($W160="","",N(INDEX(发票统计!J$4:J$1003,$W160)))</f>
        <v/>
      </c>
      <c r="K160" s="56" t="str">
        <f aca="false">IF($W160="","",N(INDEX(发票统计!K$4:K$1003,$W160)))</f>
        <v/>
      </c>
      <c r="L160" s="56" t="str">
        <f aca="false">IF($W160="","",SUM(J$4:J160)-SUM(K$4:K160))</f>
        <v/>
      </c>
      <c r="M160" s="56" t="str">
        <f aca="false">IF($W160="","",N(INDEX(发票统计!M$4:M$1003,$W160)))</f>
        <v/>
      </c>
      <c r="N160" s="56" t="str">
        <f aca="false">IF($W160="","",N(INDEX(发票统计!N$4:N$1003,$W160)))</f>
        <v/>
      </c>
      <c r="O160" s="56" t="str">
        <f aca="false">IF($W160="","",N(INDEX(发票统计!O$4:O$1003,$W160)))</f>
        <v/>
      </c>
      <c r="P160" s="56" t="str">
        <f aca="false">IF($W160="","",SUM(M$4:M160)-SUM(N$4:N160)-SUM(O$4:O160))</f>
        <v/>
      </c>
      <c r="Q160" s="56" t="str">
        <f aca="false">IF($W160="","",N(INDEX(发票统计!Q$4:Q$1003,$W160)))</f>
        <v/>
      </c>
      <c r="R160" s="56" t="str">
        <f aca="false">IF($W160="","",N(INDEX(发票统计!R$4:R$1003,$W160)))</f>
        <v/>
      </c>
      <c r="S160" s="56" t="str">
        <f aca="false">IF($W160="","",N(INDEX(发票统计!S$4:S$1003,$W160)))</f>
        <v/>
      </c>
      <c r="T160" s="56" t="str">
        <f aca="false">IF($W160="","",SUM(Q$4:Q160)-SUM(R$4:R160)-SUM(S$4:S160))</f>
        <v/>
      </c>
      <c r="U160" s="56" t="str">
        <f aca="false">IF($W160="","",INDEX(发票统计!U$4:U$1003,$W160)&amp;"")</f>
        <v/>
      </c>
      <c r="W160" s="1" t="str">
        <f aca="false">IF($V$3="","",IFERROR(MATCH($V$3&amp;"#"&amp;ROWS(W$4:W160),发票统计!$W$4:$W$1003,0),""))</f>
        <v/>
      </c>
    </row>
    <row r="161" customFormat="false" ht="16.5" hidden="false" customHeight="false" outlineLevel="0" collapsed="false">
      <c r="A161" s="3" t="str">
        <f aca="false">IF($W161="","",INDEX(发票统计!A$4:A$1003,$W161)&amp;"")</f>
        <v/>
      </c>
      <c r="B161" s="3" t="str">
        <f aca="false">IF($W161="","",INDEX(发票统计!B$4:B$1003,$W161)&amp;"")</f>
        <v/>
      </c>
      <c r="C161" s="3" t="str">
        <f aca="false">IF($W161="","",INDEX(发票统计!C$4:C$1003,$W161)&amp;"")</f>
        <v/>
      </c>
      <c r="D161" s="3" t="str">
        <f aca="false">IF($W161="","",INDEX(发票统计!D$4:D$1003,$W161)&amp;"")</f>
        <v/>
      </c>
      <c r="E161" s="67" t="str">
        <f aca="false">IF($W161="","",INDEX(发票统计!E$4:E$1003,$W161)&amp;"")</f>
        <v/>
      </c>
      <c r="F161" s="68" t="str">
        <f aca="false">IF($W161="","",INDEX(发票统计!F$4:F$1003,$W161)&amp;"")</f>
        <v/>
      </c>
      <c r="G161" s="68" t="str">
        <f aca="false">IF($W161="","",IF(INDEX(发票统计!G$4:G$1003,$W161)="","",INDEX(发票统计!G$4:G$1003,$W161)))</f>
        <v/>
      </c>
      <c r="H161" s="56" t="str">
        <f aca="false">IF($W161="","",N(INDEX(发票统计!H$4:H$1003,$W161)))</f>
        <v/>
      </c>
      <c r="I161" s="56" t="str">
        <f aca="false">IF($W161="","",N(INDEX(发票统计!I$4:I$1003,$W161)))</f>
        <v/>
      </c>
      <c r="J161" s="56" t="str">
        <f aca="false">IF($W161="","",N(INDEX(发票统计!J$4:J$1003,$W161)))</f>
        <v/>
      </c>
      <c r="K161" s="56" t="str">
        <f aca="false">IF($W161="","",N(INDEX(发票统计!K$4:K$1003,$W161)))</f>
        <v/>
      </c>
      <c r="L161" s="56" t="str">
        <f aca="false">IF($W161="","",SUM(J$4:J161)-SUM(K$4:K161))</f>
        <v/>
      </c>
      <c r="M161" s="56" t="str">
        <f aca="false">IF($W161="","",N(INDEX(发票统计!M$4:M$1003,$W161)))</f>
        <v/>
      </c>
      <c r="N161" s="56" t="str">
        <f aca="false">IF($W161="","",N(INDEX(发票统计!N$4:N$1003,$W161)))</f>
        <v/>
      </c>
      <c r="O161" s="56" t="str">
        <f aca="false">IF($W161="","",N(INDEX(发票统计!O$4:O$1003,$W161)))</f>
        <v/>
      </c>
      <c r="P161" s="56" t="str">
        <f aca="false">IF($W161="","",SUM(M$4:M161)-SUM(N$4:N161)-SUM(O$4:O161))</f>
        <v/>
      </c>
      <c r="Q161" s="56" t="str">
        <f aca="false">IF($W161="","",N(INDEX(发票统计!Q$4:Q$1003,$W161)))</f>
        <v/>
      </c>
      <c r="R161" s="56" t="str">
        <f aca="false">IF($W161="","",N(INDEX(发票统计!R$4:R$1003,$W161)))</f>
        <v/>
      </c>
      <c r="S161" s="56" t="str">
        <f aca="false">IF($W161="","",N(INDEX(发票统计!S$4:S$1003,$W161)))</f>
        <v/>
      </c>
      <c r="T161" s="56" t="str">
        <f aca="false">IF($W161="","",SUM(Q$4:Q161)-SUM(R$4:R161)-SUM(S$4:S161))</f>
        <v/>
      </c>
      <c r="U161" s="56" t="str">
        <f aca="false">IF($W161="","",INDEX(发票统计!U$4:U$1003,$W161)&amp;"")</f>
        <v/>
      </c>
      <c r="W161" s="1" t="str">
        <f aca="false">IF($V$3="","",IFERROR(MATCH($V$3&amp;"#"&amp;ROWS(W$4:W161),发票统计!$W$4:$W$1003,0),""))</f>
        <v/>
      </c>
    </row>
    <row r="162" customFormat="false" ht="16.5" hidden="false" customHeight="false" outlineLevel="0" collapsed="false">
      <c r="A162" s="3" t="str">
        <f aca="false">IF($W162="","",INDEX(发票统计!A$4:A$1003,$W162)&amp;"")</f>
        <v/>
      </c>
      <c r="B162" s="3" t="str">
        <f aca="false">IF($W162="","",INDEX(发票统计!B$4:B$1003,$W162)&amp;"")</f>
        <v/>
      </c>
      <c r="C162" s="3" t="str">
        <f aca="false">IF($W162="","",INDEX(发票统计!C$4:C$1003,$W162)&amp;"")</f>
        <v/>
      </c>
      <c r="D162" s="3" t="str">
        <f aca="false">IF($W162="","",INDEX(发票统计!D$4:D$1003,$W162)&amp;"")</f>
        <v/>
      </c>
      <c r="E162" s="67" t="str">
        <f aca="false">IF($W162="","",INDEX(发票统计!E$4:E$1003,$W162)&amp;"")</f>
        <v/>
      </c>
      <c r="F162" s="68" t="str">
        <f aca="false">IF($W162="","",INDEX(发票统计!F$4:F$1003,$W162)&amp;"")</f>
        <v/>
      </c>
      <c r="G162" s="68" t="str">
        <f aca="false">IF($W162="","",IF(INDEX(发票统计!G$4:G$1003,$W162)="","",INDEX(发票统计!G$4:G$1003,$W162)))</f>
        <v/>
      </c>
      <c r="H162" s="56" t="str">
        <f aca="false">IF($W162="","",N(INDEX(发票统计!H$4:H$1003,$W162)))</f>
        <v/>
      </c>
      <c r="I162" s="56" t="str">
        <f aca="false">IF($W162="","",N(INDEX(发票统计!I$4:I$1003,$W162)))</f>
        <v/>
      </c>
      <c r="J162" s="56" t="str">
        <f aca="false">IF($W162="","",N(INDEX(发票统计!J$4:J$1003,$W162)))</f>
        <v/>
      </c>
      <c r="K162" s="56" t="str">
        <f aca="false">IF($W162="","",N(INDEX(发票统计!K$4:K$1003,$W162)))</f>
        <v/>
      </c>
      <c r="L162" s="56" t="str">
        <f aca="false">IF($W162="","",SUM(J$4:J162)-SUM(K$4:K162))</f>
        <v/>
      </c>
      <c r="M162" s="56" t="str">
        <f aca="false">IF($W162="","",N(INDEX(发票统计!M$4:M$1003,$W162)))</f>
        <v/>
      </c>
      <c r="N162" s="56" t="str">
        <f aca="false">IF($W162="","",N(INDEX(发票统计!N$4:N$1003,$W162)))</f>
        <v/>
      </c>
      <c r="O162" s="56" t="str">
        <f aca="false">IF($W162="","",N(INDEX(发票统计!O$4:O$1003,$W162)))</f>
        <v/>
      </c>
      <c r="P162" s="56" t="str">
        <f aca="false">IF($W162="","",SUM(M$4:M162)-SUM(N$4:N162)-SUM(O$4:O162))</f>
        <v/>
      </c>
      <c r="Q162" s="56" t="str">
        <f aca="false">IF($W162="","",N(INDEX(发票统计!Q$4:Q$1003,$W162)))</f>
        <v/>
      </c>
      <c r="R162" s="56" t="str">
        <f aca="false">IF($W162="","",N(INDEX(发票统计!R$4:R$1003,$W162)))</f>
        <v/>
      </c>
      <c r="S162" s="56" t="str">
        <f aca="false">IF($W162="","",N(INDEX(发票统计!S$4:S$1003,$W162)))</f>
        <v/>
      </c>
      <c r="T162" s="56" t="str">
        <f aca="false">IF($W162="","",SUM(Q$4:Q162)-SUM(R$4:R162)-SUM(S$4:S162))</f>
        <v/>
      </c>
      <c r="U162" s="56" t="str">
        <f aca="false">IF($W162="","",INDEX(发票统计!U$4:U$1003,$W162)&amp;"")</f>
        <v/>
      </c>
      <c r="W162" s="1" t="str">
        <f aca="false">IF($V$3="","",IFERROR(MATCH($V$3&amp;"#"&amp;ROWS(W$4:W162),发票统计!$W$4:$W$1003,0),""))</f>
        <v/>
      </c>
    </row>
    <row r="163" customFormat="false" ht="16.5" hidden="false" customHeight="false" outlineLevel="0" collapsed="false">
      <c r="A163" s="3" t="str">
        <f aca="false">IF($W163="","",INDEX(发票统计!A$4:A$1003,$W163)&amp;"")</f>
        <v/>
      </c>
      <c r="B163" s="3" t="str">
        <f aca="false">IF($W163="","",INDEX(发票统计!B$4:B$1003,$W163)&amp;"")</f>
        <v/>
      </c>
      <c r="C163" s="3" t="str">
        <f aca="false">IF($W163="","",INDEX(发票统计!C$4:C$1003,$W163)&amp;"")</f>
        <v/>
      </c>
      <c r="D163" s="3" t="str">
        <f aca="false">IF($W163="","",INDEX(发票统计!D$4:D$1003,$W163)&amp;"")</f>
        <v/>
      </c>
      <c r="E163" s="67" t="str">
        <f aca="false">IF($W163="","",INDEX(发票统计!E$4:E$1003,$W163)&amp;"")</f>
        <v/>
      </c>
      <c r="F163" s="68" t="str">
        <f aca="false">IF($W163="","",INDEX(发票统计!F$4:F$1003,$W163)&amp;"")</f>
        <v/>
      </c>
      <c r="G163" s="68" t="str">
        <f aca="false">IF($W163="","",IF(INDEX(发票统计!G$4:G$1003,$W163)="","",INDEX(发票统计!G$4:G$1003,$W163)))</f>
        <v/>
      </c>
      <c r="H163" s="56" t="str">
        <f aca="false">IF($W163="","",N(INDEX(发票统计!H$4:H$1003,$W163)))</f>
        <v/>
      </c>
      <c r="I163" s="56" t="str">
        <f aca="false">IF($W163="","",N(INDEX(发票统计!I$4:I$1003,$W163)))</f>
        <v/>
      </c>
      <c r="J163" s="56" t="str">
        <f aca="false">IF($W163="","",N(INDEX(发票统计!J$4:J$1003,$W163)))</f>
        <v/>
      </c>
      <c r="K163" s="56" t="str">
        <f aca="false">IF($W163="","",N(INDEX(发票统计!K$4:K$1003,$W163)))</f>
        <v/>
      </c>
      <c r="L163" s="56" t="str">
        <f aca="false">IF($W163="","",SUM(J$4:J163)-SUM(K$4:K163))</f>
        <v/>
      </c>
      <c r="M163" s="56" t="str">
        <f aca="false">IF($W163="","",N(INDEX(发票统计!M$4:M$1003,$W163)))</f>
        <v/>
      </c>
      <c r="N163" s="56" t="str">
        <f aca="false">IF($W163="","",N(INDEX(发票统计!N$4:N$1003,$W163)))</f>
        <v/>
      </c>
      <c r="O163" s="56" t="str">
        <f aca="false">IF($W163="","",N(INDEX(发票统计!O$4:O$1003,$W163)))</f>
        <v/>
      </c>
      <c r="P163" s="56" t="str">
        <f aca="false">IF($W163="","",SUM(M$4:M163)-SUM(N$4:N163)-SUM(O$4:O163))</f>
        <v/>
      </c>
      <c r="Q163" s="56" t="str">
        <f aca="false">IF($W163="","",N(INDEX(发票统计!Q$4:Q$1003,$W163)))</f>
        <v/>
      </c>
      <c r="R163" s="56" t="str">
        <f aca="false">IF($W163="","",N(INDEX(发票统计!R$4:R$1003,$W163)))</f>
        <v/>
      </c>
      <c r="S163" s="56" t="str">
        <f aca="false">IF($W163="","",N(INDEX(发票统计!S$4:S$1003,$W163)))</f>
        <v/>
      </c>
      <c r="T163" s="56" t="str">
        <f aca="false">IF($W163="","",SUM(Q$4:Q163)-SUM(R$4:R163)-SUM(S$4:S163))</f>
        <v/>
      </c>
      <c r="U163" s="56" t="str">
        <f aca="false">IF($W163="","",INDEX(发票统计!U$4:U$1003,$W163)&amp;"")</f>
        <v/>
      </c>
      <c r="W163" s="1" t="str">
        <f aca="false">IF($V$3="","",IFERROR(MATCH($V$3&amp;"#"&amp;ROWS(W$4:W163),发票统计!$W$4:$W$1003,0),""))</f>
        <v/>
      </c>
    </row>
    <row r="164" customFormat="false" ht="16.5" hidden="false" customHeight="false" outlineLevel="0" collapsed="false">
      <c r="A164" s="3" t="str">
        <f aca="false">IF($W164="","",INDEX(发票统计!A$4:A$1003,$W164)&amp;"")</f>
        <v/>
      </c>
      <c r="B164" s="3" t="str">
        <f aca="false">IF($W164="","",INDEX(发票统计!B$4:B$1003,$W164)&amp;"")</f>
        <v/>
      </c>
      <c r="C164" s="3" t="str">
        <f aca="false">IF($W164="","",INDEX(发票统计!C$4:C$1003,$W164)&amp;"")</f>
        <v/>
      </c>
      <c r="D164" s="3" t="str">
        <f aca="false">IF($W164="","",INDEX(发票统计!D$4:D$1003,$W164)&amp;"")</f>
        <v/>
      </c>
      <c r="E164" s="67" t="str">
        <f aca="false">IF($W164="","",INDEX(发票统计!E$4:E$1003,$W164)&amp;"")</f>
        <v/>
      </c>
      <c r="F164" s="68" t="str">
        <f aca="false">IF($W164="","",INDEX(发票统计!F$4:F$1003,$W164)&amp;"")</f>
        <v/>
      </c>
      <c r="G164" s="68" t="str">
        <f aca="false">IF($W164="","",IF(INDEX(发票统计!G$4:G$1003,$W164)="","",INDEX(发票统计!G$4:G$1003,$W164)))</f>
        <v/>
      </c>
      <c r="H164" s="56" t="str">
        <f aca="false">IF($W164="","",N(INDEX(发票统计!H$4:H$1003,$W164)))</f>
        <v/>
      </c>
      <c r="I164" s="56" t="str">
        <f aca="false">IF($W164="","",N(INDEX(发票统计!I$4:I$1003,$W164)))</f>
        <v/>
      </c>
      <c r="J164" s="56" t="str">
        <f aca="false">IF($W164="","",N(INDEX(发票统计!J$4:J$1003,$W164)))</f>
        <v/>
      </c>
      <c r="K164" s="56" t="str">
        <f aca="false">IF($W164="","",N(INDEX(发票统计!K$4:K$1003,$W164)))</f>
        <v/>
      </c>
      <c r="L164" s="56" t="str">
        <f aca="false">IF($W164="","",SUM(J$4:J164)-SUM(K$4:K164))</f>
        <v/>
      </c>
      <c r="M164" s="56" t="str">
        <f aca="false">IF($W164="","",N(INDEX(发票统计!M$4:M$1003,$W164)))</f>
        <v/>
      </c>
      <c r="N164" s="56" t="str">
        <f aca="false">IF($W164="","",N(INDEX(发票统计!N$4:N$1003,$W164)))</f>
        <v/>
      </c>
      <c r="O164" s="56" t="str">
        <f aca="false">IF($W164="","",N(INDEX(发票统计!O$4:O$1003,$W164)))</f>
        <v/>
      </c>
      <c r="P164" s="56" t="str">
        <f aca="false">IF($W164="","",SUM(M$4:M164)-SUM(N$4:N164)-SUM(O$4:O164))</f>
        <v/>
      </c>
      <c r="Q164" s="56" t="str">
        <f aca="false">IF($W164="","",N(INDEX(发票统计!Q$4:Q$1003,$W164)))</f>
        <v/>
      </c>
      <c r="R164" s="56" t="str">
        <f aca="false">IF($W164="","",N(INDEX(发票统计!R$4:R$1003,$W164)))</f>
        <v/>
      </c>
      <c r="S164" s="56" t="str">
        <f aca="false">IF($W164="","",N(INDEX(发票统计!S$4:S$1003,$W164)))</f>
        <v/>
      </c>
      <c r="T164" s="56" t="str">
        <f aca="false">IF($W164="","",SUM(Q$4:Q164)-SUM(R$4:R164)-SUM(S$4:S164))</f>
        <v/>
      </c>
      <c r="U164" s="56" t="str">
        <f aca="false">IF($W164="","",INDEX(发票统计!U$4:U$1003,$W164)&amp;"")</f>
        <v/>
      </c>
      <c r="W164" s="1" t="str">
        <f aca="false">IF($V$3="","",IFERROR(MATCH($V$3&amp;"#"&amp;ROWS(W$4:W164),发票统计!$W$4:$W$1003,0),""))</f>
        <v/>
      </c>
    </row>
    <row r="165" customFormat="false" ht="16.5" hidden="false" customHeight="false" outlineLevel="0" collapsed="false">
      <c r="A165" s="3" t="str">
        <f aca="false">IF($W165="","",INDEX(发票统计!A$4:A$1003,$W165)&amp;"")</f>
        <v/>
      </c>
      <c r="B165" s="3" t="str">
        <f aca="false">IF($W165="","",INDEX(发票统计!B$4:B$1003,$W165)&amp;"")</f>
        <v/>
      </c>
      <c r="C165" s="3" t="str">
        <f aca="false">IF($W165="","",INDEX(发票统计!C$4:C$1003,$W165)&amp;"")</f>
        <v/>
      </c>
      <c r="D165" s="3" t="str">
        <f aca="false">IF($W165="","",INDEX(发票统计!D$4:D$1003,$W165)&amp;"")</f>
        <v/>
      </c>
      <c r="E165" s="67" t="str">
        <f aca="false">IF($W165="","",INDEX(发票统计!E$4:E$1003,$W165)&amp;"")</f>
        <v/>
      </c>
      <c r="F165" s="68" t="str">
        <f aca="false">IF($W165="","",INDEX(发票统计!F$4:F$1003,$W165)&amp;"")</f>
        <v/>
      </c>
      <c r="G165" s="68" t="str">
        <f aca="false">IF($W165="","",IF(INDEX(发票统计!G$4:G$1003,$W165)="","",INDEX(发票统计!G$4:G$1003,$W165)))</f>
        <v/>
      </c>
      <c r="H165" s="56" t="str">
        <f aca="false">IF($W165="","",N(INDEX(发票统计!H$4:H$1003,$W165)))</f>
        <v/>
      </c>
      <c r="I165" s="56" t="str">
        <f aca="false">IF($W165="","",N(INDEX(发票统计!I$4:I$1003,$W165)))</f>
        <v/>
      </c>
      <c r="J165" s="56" t="str">
        <f aca="false">IF($W165="","",N(INDEX(发票统计!J$4:J$1003,$W165)))</f>
        <v/>
      </c>
      <c r="K165" s="56" t="str">
        <f aca="false">IF($W165="","",N(INDEX(发票统计!K$4:K$1003,$W165)))</f>
        <v/>
      </c>
      <c r="L165" s="56" t="str">
        <f aca="false">IF($W165="","",SUM(J$4:J165)-SUM(K$4:K165))</f>
        <v/>
      </c>
      <c r="M165" s="56" t="str">
        <f aca="false">IF($W165="","",N(INDEX(发票统计!M$4:M$1003,$W165)))</f>
        <v/>
      </c>
      <c r="N165" s="56" t="str">
        <f aca="false">IF($W165="","",N(INDEX(发票统计!N$4:N$1003,$W165)))</f>
        <v/>
      </c>
      <c r="O165" s="56" t="str">
        <f aca="false">IF($W165="","",N(INDEX(发票统计!O$4:O$1003,$W165)))</f>
        <v/>
      </c>
      <c r="P165" s="56" t="str">
        <f aca="false">IF($W165="","",SUM(M$4:M165)-SUM(N$4:N165)-SUM(O$4:O165))</f>
        <v/>
      </c>
      <c r="Q165" s="56" t="str">
        <f aca="false">IF($W165="","",N(INDEX(发票统计!Q$4:Q$1003,$W165)))</f>
        <v/>
      </c>
      <c r="R165" s="56" t="str">
        <f aca="false">IF($W165="","",N(INDEX(发票统计!R$4:R$1003,$W165)))</f>
        <v/>
      </c>
      <c r="S165" s="56" t="str">
        <f aca="false">IF($W165="","",N(INDEX(发票统计!S$4:S$1003,$W165)))</f>
        <v/>
      </c>
      <c r="T165" s="56" t="str">
        <f aca="false">IF($W165="","",SUM(Q$4:Q165)-SUM(R$4:R165)-SUM(S$4:S165))</f>
        <v/>
      </c>
      <c r="U165" s="56" t="str">
        <f aca="false">IF($W165="","",INDEX(发票统计!U$4:U$1003,$W165)&amp;"")</f>
        <v/>
      </c>
      <c r="W165" s="1" t="str">
        <f aca="false">IF($V$3="","",IFERROR(MATCH($V$3&amp;"#"&amp;ROWS(W$4:W165),发票统计!$W$4:$W$1003,0),""))</f>
        <v/>
      </c>
    </row>
    <row r="166" customFormat="false" ht="16.5" hidden="false" customHeight="false" outlineLevel="0" collapsed="false">
      <c r="A166" s="3" t="str">
        <f aca="false">IF($W166="","",INDEX(发票统计!A$4:A$1003,$W166)&amp;"")</f>
        <v/>
      </c>
      <c r="B166" s="3" t="str">
        <f aca="false">IF($W166="","",INDEX(发票统计!B$4:B$1003,$W166)&amp;"")</f>
        <v/>
      </c>
      <c r="C166" s="3" t="str">
        <f aca="false">IF($W166="","",INDEX(发票统计!C$4:C$1003,$W166)&amp;"")</f>
        <v/>
      </c>
      <c r="D166" s="3" t="str">
        <f aca="false">IF($W166="","",INDEX(发票统计!D$4:D$1003,$W166)&amp;"")</f>
        <v/>
      </c>
      <c r="E166" s="67" t="str">
        <f aca="false">IF($W166="","",INDEX(发票统计!E$4:E$1003,$W166)&amp;"")</f>
        <v/>
      </c>
      <c r="F166" s="68" t="str">
        <f aca="false">IF($W166="","",INDEX(发票统计!F$4:F$1003,$W166)&amp;"")</f>
        <v/>
      </c>
      <c r="G166" s="68" t="str">
        <f aca="false">IF($W166="","",IF(INDEX(发票统计!G$4:G$1003,$W166)="","",INDEX(发票统计!G$4:G$1003,$W166)))</f>
        <v/>
      </c>
      <c r="H166" s="56" t="str">
        <f aca="false">IF($W166="","",N(INDEX(发票统计!H$4:H$1003,$W166)))</f>
        <v/>
      </c>
      <c r="I166" s="56" t="str">
        <f aca="false">IF($W166="","",N(INDEX(发票统计!I$4:I$1003,$W166)))</f>
        <v/>
      </c>
      <c r="J166" s="56" t="str">
        <f aca="false">IF($W166="","",N(INDEX(发票统计!J$4:J$1003,$W166)))</f>
        <v/>
      </c>
      <c r="K166" s="56" t="str">
        <f aca="false">IF($W166="","",N(INDEX(发票统计!K$4:K$1003,$W166)))</f>
        <v/>
      </c>
      <c r="L166" s="56" t="str">
        <f aca="false">IF($W166="","",SUM(J$4:J166)-SUM(K$4:K166))</f>
        <v/>
      </c>
      <c r="M166" s="56" t="str">
        <f aca="false">IF($W166="","",N(INDEX(发票统计!M$4:M$1003,$W166)))</f>
        <v/>
      </c>
      <c r="N166" s="56" t="str">
        <f aca="false">IF($W166="","",N(INDEX(发票统计!N$4:N$1003,$W166)))</f>
        <v/>
      </c>
      <c r="O166" s="56" t="str">
        <f aca="false">IF($W166="","",N(INDEX(发票统计!O$4:O$1003,$W166)))</f>
        <v/>
      </c>
      <c r="P166" s="56" t="str">
        <f aca="false">IF($W166="","",SUM(M$4:M166)-SUM(N$4:N166)-SUM(O$4:O166))</f>
        <v/>
      </c>
      <c r="Q166" s="56" t="str">
        <f aca="false">IF($W166="","",N(INDEX(发票统计!Q$4:Q$1003,$W166)))</f>
        <v/>
      </c>
      <c r="R166" s="56" t="str">
        <f aca="false">IF($W166="","",N(INDEX(发票统计!R$4:R$1003,$W166)))</f>
        <v/>
      </c>
      <c r="S166" s="56" t="str">
        <f aca="false">IF($W166="","",N(INDEX(发票统计!S$4:S$1003,$W166)))</f>
        <v/>
      </c>
      <c r="T166" s="56" t="str">
        <f aca="false">IF($W166="","",SUM(Q$4:Q166)-SUM(R$4:R166)-SUM(S$4:S166))</f>
        <v/>
      </c>
      <c r="U166" s="56" t="str">
        <f aca="false">IF($W166="","",INDEX(发票统计!U$4:U$1003,$W166)&amp;"")</f>
        <v/>
      </c>
      <c r="W166" s="1" t="str">
        <f aca="false">IF($V$3="","",IFERROR(MATCH($V$3&amp;"#"&amp;ROWS(W$4:W166),发票统计!$W$4:$W$1003,0),""))</f>
        <v/>
      </c>
    </row>
    <row r="167" customFormat="false" ht="16.5" hidden="false" customHeight="false" outlineLevel="0" collapsed="false">
      <c r="A167" s="3" t="str">
        <f aca="false">IF($W167="","",INDEX(发票统计!A$4:A$1003,$W167)&amp;"")</f>
        <v/>
      </c>
      <c r="B167" s="3" t="str">
        <f aca="false">IF($W167="","",INDEX(发票统计!B$4:B$1003,$W167)&amp;"")</f>
        <v/>
      </c>
      <c r="C167" s="3" t="str">
        <f aca="false">IF($W167="","",INDEX(发票统计!C$4:C$1003,$W167)&amp;"")</f>
        <v/>
      </c>
      <c r="D167" s="3" t="str">
        <f aca="false">IF($W167="","",INDEX(发票统计!D$4:D$1003,$W167)&amp;"")</f>
        <v/>
      </c>
      <c r="E167" s="67" t="str">
        <f aca="false">IF($W167="","",INDEX(发票统计!E$4:E$1003,$W167)&amp;"")</f>
        <v/>
      </c>
      <c r="F167" s="68" t="str">
        <f aca="false">IF($W167="","",INDEX(发票统计!F$4:F$1003,$W167)&amp;"")</f>
        <v/>
      </c>
      <c r="G167" s="68" t="str">
        <f aca="false">IF($W167="","",IF(INDEX(发票统计!G$4:G$1003,$W167)="","",INDEX(发票统计!G$4:G$1003,$W167)))</f>
        <v/>
      </c>
      <c r="H167" s="56" t="str">
        <f aca="false">IF($W167="","",N(INDEX(发票统计!H$4:H$1003,$W167)))</f>
        <v/>
      </c>
      <c r="I167" s="56" t="str">
        <f aca="false">IF($W167="","",N(INDEX(发票统计!I$4:I$1003,$W167)))</f>
        <v/>
      </c>
      <c r="J167" s="56" t="str">
        <f aca="false">IF($W167="","",N(INDEX(发票统计!J$4:J$1003,$W167)))</f>
        <v/>
      </c>
      <c r="K167" s="56" t="str">
        <f aca="false">IF($W167="","",N(INDEX(发票统计!K$4:K$1003,$W167)))</f>
        <v/>
      </c>
      <c r="L167" s="56" t="str">
        <f aca="false">IF($W167="","",SUM(J$4:J167)-SUM(K$4:K167))</f>
        <v/>
      </c>
      <c r="M167" s="56" t="str">
        <f aca="false">IF($W167="","",N(INDEX(发票统计!M$4:M$1003,$W167)))</f>
        <v/>
      </c>
      <c r="N167" s="56" t="str">
        <f aca="false">IF($W167="","",N(INDEX(发票统计!N$4:N$1003,$W167)))</f>
        <v/>
      </c>
      <c r="O167" s="56" t="str">
        <f aca="false">IF($W167="","",N(INDEX(发票统计!O$4:O$1003,$W167)))</f>
        <v/>
      </c>
      <c r="P167" s="56" t="str">
        <f aca="false">IF($W167="","",SUM(M$4:M167)-SUM(N$4:N167)-SUM(O$4:O167))</f>
        <v/>
      </c>
      <c r="Q167" s="56" t="str">
        <f aca="false">IF($W167="","",N(INDEX(发票统计!Q$4:Q$1003,$W167)))</f>
        <v/>
      </c>
      <c r="R167" s="56" t="str">
        <f aca="false">IF($W167="","",N(INDEX(发票统计!R$4:R$1003,$W167)))</f>
        <v/>
      </c>
      <c r="S167" s="56" t="str">
        <f aca="false">IF($W167="","",N(INDEX(发票统计!S$4:S$1003,$W167)))</f>
        <v/>
      </c>
      <c r="T167" s="56" t="str">
        <f aca="false">IF($W167="","",SUM(Q$4:Q167)-SUM(R$4:R167)-SUM(S$4:S167))</f>
        <v/>
      </c>
      <c r="U167" s="56" t="str">
        <f aca="false">IF($W167="","",INDEX(发票统计!U$4:U$1003,$W167)&amp;"")</f>
        <v/>
      </c>
      <c r="W167" s="1" t="str">
        <f aca="false">IF($V$3="","",IFERROR(MATCH($V$3&amp;"#"&amp;ROWS(W$4:W167),发票统计!$W$4:$W$1003,0),""))</f>
        <v/>
      </c>
    </row>
    <row r="168" customFormat="false" ht="16.5" hidden="false" customHeight="false" outlineLevel="0" collapsed="false">
      <c r="A168" s="3" t="str">
        <f aca="false">IF($W168="","",INDEX(发票统计!A$4:A$1003,$W168)&amp;"")</f>
        <v/>
      </c>
      <c r="B168" s="3" t="str">
        <f aca="false">IF($W168="","",INDEX(发票统计!B$4:B$1003,$W168)&amp;"")</f>
        <v/>
      </c>
      <c r="C168" s="3" t="str">
        <f aca="false">IF($W168="","",INDEX(发票统计!C$4:C$1003,$W168)&amp;"")</f>
        <v/>
      </c>
      <c r="D168" s="3" t="str">
        <f aca="false">IF($W168="","",INDEX(发票统计!D$4:D$1003,$W168)&amp;"")</f>
        <v/>
      </c>
      <c r="E168" s="67" t="str">
        <f aca="false">IF($W168="","",INDEX(发票统计!E$4:E$1003,$W168)&amp;"")</f>
        <v/>
      </c>
      <c r="F168" s="68" t="str">
        <f aca="false">IF($W168="","",INDEX(发票统计!F$4:F$1003,$W168)&amp;"")</f>
        <v/>
      </c>
      <c r="G168" s="68" t="str">
        <f aca="false">IF($W168="","",IF(INDEX(发票统计!G$4:G$1003,$W168)="","",INDEX(发票统计!G$4:G$1003,$W168)))</f>
        <v/>
      </c>
      <c r="H168" s="56" t="str">
        <f aca="false">IF($W168="","",N(INDEX(发票统计!H$4:H$1003,$W168)))</f>
        <v/>
      </c>
      <c r="I168" s="56" t="str">
        <f aca="false">IF($W168="","",N(INDEX(发票统计!I$4:I$1003,$W168)))</f>
        <v/>
      </c>
      <c r="J168" s="56" t="str">
        <f aca="false">IF($W168="","",N(INDEX(发票统计!J$4:J$1003,$W168)))</f>
        <v/>
      </c>
      <c r="K168" s="56" t="str">
        <f aca="false">IF($W168="","",N(INDEX(发票统计!K$4:K$1003,$W168)))</f>
        <v/>
      </c>
      <c r="L168" s="56" t="str">
        <f aca="false">IF($W168="","",SUM(J$4:J168)-SUM(K$4:K168))</f>
        <v/>
      </c>
      <c r="M168" s="56" t="str">
        <f aca="false">IF($W168="","",N(INDEX(发票统计!M$4:M$1003,$W168)))</f>
        <v/>
      </c>
      <c r="N168" s="56" t="str">
        <f aca="false">IF($W168="","",N(INDEX(发票统计!N$4:N$1003,$W168)))</f>
        <v/>
      </c>
      <c r="O168" s="56" t="str">
        <f aca="false">IF($W168="","",N(INDEX(发票统计!O$4:O$1003,$W168)))</f>
        <v/>
      </c>
      <c r="P168" s="56" t="str">
        <f aca="false">IF($W168="","",SUM(M$4:M168)-SUM(N$4:N168)-SUM(O$4:O168))</f>
        <v/>
      </c>
      <c r="Q168" s="56" t="str">
        <f aca="false">IF($W168="","",N(INDEX(发票统计!Q$4:Q$1003,$W168)))</f>
        <v/>
      </c>
      <c r="R168" s="56" t="str">
        <f aca="false">IF($W168="","",N(INDEX(发票统计!R$4:R$1003,$W168)))</f>
        <v/>
      </c>
      <c r="S168" s="56" t="str">
        <f aca="false">IF($W168="","",N(INDEX(发票统计!S$4:S$1003,$W168)))</f>
        <v/>
      </c>
      <c r="T168" s="56" t="str">
        <f aca="false">IF($W168="","",SUM(Q$4:Q168)-SUM(R$4:R168)-SUM(S$4:S168))</f>
        <v/>
      </c>
      <c r="U168" s="56" t="str">
        <f aca="false">IF($W168="","",INDEX(发票统计!U$4:U$1003,$W168)&amp;"")</f>
        <v/>
      </c>
      <c r="W168" s="1" t="str">
        <f aca="false">IF($V$3="","",IFERROR(MATCH($V$3&amp;"#"&amp;ROWS(W$4:W168),发票统计!$W$4:$W$1003,0),""))</f>
        <v/>
      </c>
    </row>
    <row r="169" customFormat="false" ht="16.5" hidden="false" customHeight="false" outlineLevel="0" collapsed="false">
      <c r="A169" s="3" t="str">
        <f aca="false">IF($W169="","",INDEX(发票统计!A$4:A$1003,$W169)&amp;"")</f>
        <v/>
      </c>
      <c r="B169" s="3" t="str">
        <f aca="false">IF($W169="","",INDEX(发票统计!B$4:B$1003,$W169)&amp;"")</f>
        <v/>
      </c>
      <c r="C169" s="3" t="str">
        <f aca="false">IF($W169="","",INDEX(发票统计!C$4:C$1003,$W169)&amp;"")</f>
        <v/>
      </c>
      <c r="D169" s="3" t="str">
        <f aca="false">IF($W169="","",INDEX(发票统计!D$4:D$1003,$W169)&amp;"")</f>
        <v/>
      </c>
      <c r="E169" s="67" t="str">
        <f aca="false">IF($W169="","",INDEX(发票统计!E$4:E$1003,$W169)&amp;"")</f>
        <v/>
      </c>
      <c r="F169" s="68" t="str">
        <f aca="false">IF($W169="","",INDEX(发票统计!F$4:F$1003,$W169)&amp;"")</f>
        <v/>
      </c>
      <c r="G169" s="68" t="str">
        <f aca="false">IF($W169="","",IF(INDEX(发票统计!G$4:G$1003,$W169)="","",INDEX(发票统计!G$4:G$1003,$W169)))</f>
        <v/>
      </c>
      <c r="H169" s="56" t="str">
        <f aca="false">IF($W169="","",N(INDEX(发票统计!H$4:H$1003,$W169)))</f>
        <v/>
      </c>
      <c r="I169" s="56" t="str">
        <f aca="false">IF($W169="","",N(INDEX(发票统计!I$4:I$1003,$W169)))</f>
        <v/>
      </c>
      <c r="J169" s="56" t="str">
        <f aca="false">IF($W169="","",N(INDEX(发票统计!J$4:J$1003,$W169)))</f>
        <v/>
      </c>
      <c r="K169" s="56" t="str">
        <f aca="false">IF($W169="","",N(INDEX(发票统计!K$4:K$1003,$W169)))</f>
        <v/>
      </c>
      <c r="L169" s="56" t="str">
        <f aca="false">IF($W169="","",SUM(J$4:J169)-SUM(K$4:K169))</f>
        <v/>
      </c>
      <c r="M169" s="56" t="str">
        <f aca="false">IF($W169="","",N(INDEX(发票统计!M$4:M$1003,$W169)))</f>
        <v/>
      </c>
      <c r="N169" s="56" t="str">
        <f aca="false">IF($W169="","",N(INDEX(发票统计!N$4:N$1003,$W169)))</f>
        <v/>
      </c>
      <c r="O169" s="56" t="str">
        <f aca="false">IF($W169="","",N(INDEX(发票统计!O$4:O$1003,$W169)))</f>
        <v/>
      </c>
      <c r="P169" s="56" t="str">
        <f aca="false">IF($W169="","",SUM(M$4:M169)-SUM(N$4:N169)-SUM(O$4:O169))</f>
        <v/>
      </c>
      <c r="Q169" s="56" t="str">
        <f aca="false">IF($W169="","",N(INDEX(发票统计!Q$4:Q$1003,$W169)))</f>
        <v/>
      </c>
      <c r="R169" s="56" t="str">
        <f aca="false">IF($W169="","",N(INDEX(发票统计!R$4:R$1003,$W169)))</f>
        <v/>
      </c>
      <c r="S169" s="56" t="str">
        <f aca="false">IF($W169="","",N(INDEX(发票统计!S$4:S$1003,$W169)))</f>
        <v/>
      </c>
      <c r="T169" s="56" t="str">
        <f aca="false">IF($W169="","",SUM(Q$4:Q169)-SUM(R$4:R169)-SUM(S$4:S169))</f>
        <v/>
      </c>
      <c r="U169" s="56" t="str">
        <f aca="false">IF($W169="","",INDEX(发票统计!U$4:U$1003,$W169)&amp;"")</f>
        <v/>
      </c>
      <c r="W169" s="1" t="str">
        <f aca="false">IF($V$3="","",IFERROR(MATCH($V$3&amp;"#"&amp;ROWS(W$4:W169),发票统计!$W$4:$W$1003,0),""))</f>
        <v/>
      </c>
    </row>
    <row r="170" customFormat="false" ht="16.5" hidden="false" customHeight="false" outlineLevel="0" collapsed="false">
      <c r="A170" s="3" t="str">
        <f aca="false">IF($W170="","",INDEX(发票统计!A$4:A$1003,$W170)&amp;"")</f>
        <v/>
      </c>
      <c r="B170" s="3" t="str">
        <f aca="false">IF($W170="","",INDEX(发票统计!B$4:B$1003,$W170)&amp;"")</f>
        <v/>
      </c>
      <c r="C170" s="3" t="str">
        <f aca="false">IF($W170="","",INDEX(发票统计!C$4:C$1003,$W170)&amp;"")</f>
        <v/>
      </c>
      <c r="D170" s="3" t="str">
        <f aca="false">IF($W170="","",INDEX(发票统计!D$4:D$1003,$W170)&amp;"")</f>
        <v/>
      </c>
      <c r="E170" s="67" t="str">
        <f aca="false">IF($W170="","",INDEX(发票统计!E$4:E$1003,$W170)&amp;"")</f>
        <v/>
      </c>
      <c r="F170" s="68" t="str">
        <f aca="false">IF($W170="","",INDEX(发票统计!F$4:F$1003,$W170)&amp;"")</f>
        <v/>
      </c>
      <c r="G170" s="68" t="str">
        <f aca="false">IF($W170="","",IF(INDEX(发票统计!G$4:G$1003,$W170)="","",INDEX(发票统计!G$4:G$1003,$W170)))</f>
        <v/>
      </c>
      <c r="H170" s="56" t="str">
        <f aca="false">IF($W170="","",N(INDEX(发票统计!H$4:H$1003,$W170)))</f>
        <v/>
      </c>
      <c r="I170" s="56" t="str">
        <f aca="false">IF($W170="","",N(INDEX(发票统计!I$4:I$1003,$W170)))</f>
        <v/>
      </c>
      <c r="J170" s="56" t="str">
        <f aca="false">IF($W170="","",N(INDEX(发票统计!J$4:J$1003,$W170)))</f>
        <v/>
      </c>
      <c r="K170" s="56" t="str">
        <f aca="false">IF($W170="","",N(INDEX(发票统计!K$4:K$1003,$W170)))</f>
        <v/>
      </c>
      <c r="L170" s="56" t="str">
        <f aca="false">IF($W170="","",SUM(J$4:J170)-SUM(K$4:K170))</f>
        <v/>
      </c>
      <c r="M170" s="56" t="str">
        <f aca="false">IF($W170="","",N(INDEX(发票统计!M$4:M$1003,$W170)))</f>
        <v/>
      </c>
      <c r="N170" s="56" t="str">
        <f aca="false">IF($W170="","",N(INDEX(发票统计!N$4:N$1003,$W170)))</f>
        <v/>
      </c>
      <c r="O170" s="56" t="str">
        <f aca="false">IF($W170="","",N(INDEX(发票统计!O$4:O$1003,$W170)))</f>
        <v/>
      </c>
      <c r="P170" s="56" t="str">
        <f aca="false">IF($W170="","",SUM(M$4:M170)-SUM(N$4:N170)-SUM(O$4:O170))</f>
        <v/>
      </c>
      <c r="Q170" s="56" t="str">
        <f aca="false">IF($W170="","",N(INDEX(发票统计!Q$4:Q$1003,$W170)))</f>
        <v/>
      </c>
      <c r="R170" s="56" t="str">
        <f aca="false">IF($W170="","",N(INDEX(发票统计!R$4:R$1003,$W170)))</f>
        <v/>
      </c>
      <c r="S170" s="56" t="str">
        <f aca="false">IF($W170="","",N(INDEX(发票统计!S$4:S$1003,$W170)))</f>
        <v/>
      </c>
      <c r="T170" s="56" t="str">
        <f aca="false">IF($W170="","",SUM(Q$4:Q170)-SUM(R$4:R170)-SUM(S$4:S170))</f>
        <v/>
      </c>
      <c r="U170" s="56" t="str">
        <f aca="false">IF($W170="","",INDEX(发票统计!U$4:U$1003,$W170)&amp;"")</f>
        <v/>
      </c>
      <c r="W170" s="1" t="str">
        <f aca="false">IF($V$3="","",IFERROR(MATCH($V$3&amp;"#"&amp;ROWS(W$4:W170),发票统计!$W$4:$W$1003,0),""))</f>
        <v/>
      </c>
    </row>
    <row r="171" customFormat="false" ht="16.5" hidden="false" customHeight="false" outlineLevel="0" collapsed="false">
      <c r="A171" s="3" t="str">
        <f aca="false">IF($W171="","",INDEX(发票统计!A$4:A$1003,$W171)&amp;"")</f>
        <v/>
      </c>
      <c r="B171" s="3" t="str">
        <f aca="false">IF($W171="","",INDEX(发票统计!B$4:B$1003,$W171)&amp;"")</f>
        <v/>
      </c>
      <c r="C171" s="3" t="str">
        <f aca="false">IF($W171="","",INDEX(发票统计!C$4:C$1003,$W171)&amp;"")</f>
        <v/>
      </c>
      <c r="D171" s="3" t="str">
        <f aca="false">IF($W171="","",INDEX(发票统计!D$4:D$1003,$W171)&amp;"")</f>
        <v/>
      </c>
      <c r="E171" s="67" t="str">
        <f aca="false">IF($W171="","",INDEX(发票统计!E$4:E$1003,$W171)&amp;"")</f>
        <v/>
      </c>
      <c r="F171" s="68" t="str">
        <f aca="false">IF($W171="","",INDEX(发票统计!F$4:F$1003,$W171)&amp;"")</f>
        <v/>
      </c>
      <c r="G171" s="68" t="str">
        <f aca="false">IF($W171="","",IF(INDEX(发票统计!G$4:G$1003,$W171)="","",INDEX(发票统计!G$4:G$1003,$W171)))</f>
        <v/>
      </c>
      <c r="H171" s="56" t="str">
        <f aca="false">IF($W171="","",N(INDEX(发票统计!H$4:H$1003,$W171)))</f>
        <v/>
      </c>
      <c r="I171" s="56" t="str">
        <f aca="false">IF($W171="","",N(INDEX(发票统计!I$4:I$1003,$W171)))</f>
        <v/>
      </c>
      <c r="J171" s="56" t="str">
        <f aca="false">IF($W171="","",N(INDEX(发票统计!J$4:J$1003,$W171)))</f>
        <v/>
      </c>
      <c r="K171" s="56" t="str">
        <f aca="false">IF($W171="","",N(INDEX(发票统计!K$4:K$1003,$W171)))</f>
        <v/>
      </c>
      <c r="L171" s="56" t="str">
        <f aca="false">IF($W171="","",SUM(J$4:J171)-SUM(K$4:K171))</f>
        <v/>
      </c>
      <c r="M171" s="56" t="str">
        <f aca="false">IF($W171="","",N(INDEX(发票统计!M$4:M$1003,$W171)))</f>
        <v/>
      </c>
      <c r="N171" s="56" t="str">
        <f aca="false">IF($W171="","",N(INDEX(发票统计!N$4:N$1003,$W171)))</f>
        <v/>
      </c>
      <c r="O171" s="56" t="str">
        <f aca="false">IF($W171="","",N(INDEX(发票统计!O$4:O$1003,$W171)))</f>
        <v/>
      </c>
      <c r="P171" s="56" t="str">
        <f aca="false">IF($W171="","",SUM(M$4:M171)-SUM(N$4:N171)-SUM(O$4:O171))</f>
        <v/>
      </c>
      <c r="Q171" s="56" t="str">
        <f aca="false">IF($W171="","",N(INDEX(发票统计!Q$4:Q$1003,$W171)))</f>
        <v/>
      </c>
      <c r="R171" s="56" t="str">
        <f aca="false">IF($W171="","",N(INDEX(发票统计!R$4:R$1003,$W171)))</f>
        <v/>
      </c>
      <c r="S171" s="56" t="str">
        <f aca="false">IF($W171="","",N(INDEX(发票统计!S$4:S$1003,$W171)))</f>
        <v/>
      </c>
      <c r="T171" s="56" t="str">
        <f aca="false">IF($W171="","",SUM(Q$4:Q171)-SUM(R$4:R171)-SUM(S$4:S171))</f>
        <v/>
      </c>
      <c r="U171" s="56" t="str">
        <f aca="false">IF($W171="","",INDEX(发票统计!U$4:U$1003,$W171)&amp;"")</f>
        <v/>
      </c>
      <c r="W171" s="1" t="str">
        <f aca="false">IF($V$3="","",IFERROR(MATCH($V$3&amp;"#"&amp;ROWS(W$4:W171),发票统计!$W$4:$W$1003,0),""))</f>
        <v/>
      </c>
    </row>
    <row r="172" customFormat="false" ht="16.5" hidden="false" customHeight="false" outlineLevel="0" collapsed="false">
      <c r="A172" s="3" t="str">
        <f aca="false">IF($W172="","",INDEX(发票统计!A$4:A$1003,$W172)&amp;"")</f>
        <v/>
      </c>
      <c r="B172" s="3" t="str">
        <f aca="false">IF($W172="","",INDEX(发票统计!B$4:B$1003,$W172)&amp;"")</f>
        <v/>
      </c>
      <c r="C172" s="3" t="str">
        <f aca="false">IF($W172="","",INDEX(发票统计!C$4:C$1003,$W172)&amp;"")</f>
        <v/>
      </c>
      <c r="D172" s="3" t="str">
        <f aca="false">IF($W172="","",INDEX(发票统计!D$4:D$1003,$W172)&amp;"")</f>
        <v/>
      </c>
      <c r="E172" s="67" t="str">
        <f aca="false">IF($W172="","",INDEX(发票统计!E$4:E$1003,$W172)&amp;"")</f>
        <v/>
      </c>
      <c r="F172" s="68" t="str">
        <f aca="false">IF($W172="","",INDEX(发票统计!F$4:F$1003,$W172)&amp;"")</f>
        <v/>
      </c>
      <c r="G172" s="68" t="str">
        <f aca="false">IF($W172="","",IF(INDEX(发票统计!G$4:G$1003,$W172)="","",INDEX(发票统计!G$4:G$1003,$W172)))</f>
        <v/>
      </c>
      <c r="H172" s="56" t="str">
        <f aca="false">IF($W172="","",N(INDEX(发票统计!H$4:H$1003,$W172)))</f>
        <v/>
      </c>
      <c r="I172" s="56" t="str">
        <f aca="false">IF($W172="","",N(INDEX(发票统计!I$4:I$1003,$W172)))</f>
        <v/>
      </c>
      <c r="J172" s="56" t="str">
        <f aca="false">IF($W172="","",N(INDEX(发票统计!J$4:J$1003,$W172)))</f>
        <v/>
      </c>
      <c r="K172" s="56" t="str">
        <f aca="false">IF($W172="","",N(INDEX(发票统计!K$4:K$1003,$W172)))</f>
        <v/>
      </c>
      <c r="L172" s="56" t="str">
        <f aca="false">IF($W172="","",SUM(J$4:J172)-SUM(K$4:K172))</f>
        <v/>
      </c>
      <c r="M172" s="56" t="str">
        <f aca="false">IF($W172="","",N(INDEX(发票统计!M$4:M$1003,$W172)))</f>
        <v/>
      </c>
      <c r="N172" s="56" t="str">
        <f aca="false">IF($W172="","",N(INDEX(发票统计!N$4:N$1003,$W172)))</f>
        <v/>
      </c>
      <c r="O172" s="56" t="str">
        <f aca="false">IF($W172="","",N(INDEX(发票统计!O$4:O$1003,$W172)))</f>
        <v/>
      </c>
      <c r="P172" s="56" t="str">
        <f aca="false">IF($W172="","",SUM(M$4:M172)-SUM(N$4:N172)-SUM(O$4:O172))</f>
        <v/>
      </c>
      <c r="Q172" s="56" t="str">
        <f aca="false">IF($W172="","",N(INDEX(发票统计!Q$4:Q$1003,$W172)))</f>
        <v/>
      </c>
      <c r="R172" s="56" t="str">
        <f aca="false">IF($W172="","",N(INDEX(发票统计!R$4:R$1003,$W172)))</f>
        <v/>
      </c>
      <c r="S172" s="56" t="str">
        <f aca="false">IF($W172="","",N(INDEX(发票统计!S$4:S$1003,$W172)))</f>
        <v/>
      </c>
      <c r="T172" s="56" t="str">
        <f aca="false">IF($W172="","",SUM(Q$4:Q172)-SUM(R$4:R172)-SUM(S$4:S172))</f>
        <v/>
      </c>
      <c r="U172" s="56" t="str">
        <f aca="false">IF($W172="","",INDEX(发票统计!U$4:U$1003,$W172)&amp;"")</f>
        <v/>
      </c>
      <c r="W172" s="1" t="str">
        <f aca="false">IF($V$3="","",IFERROR(MATCH($V$3&amp;"#"&amp;ROWS(W$4:W172),发票统计!$W$4:$W$1003,0),""))</f>
        <v/>
      </c>
    </row>
    <row r="173" customFormat="false" ht="16.5" hidden="false" customHeight="false" outlineLevel="0" collapsed="false">
      <c r="A173" s="3" t="str">
        <f aca="false">IF($W173="","",INDEX(发票统计!A$4:A$1003,$W173)&amp;"")</f>
        <v/>
      </c>
      <c r="B173" s="3" t="str">
        <f aca="false">IF($W173="","",INDEX(发票统计!B$4:B$1003,$W173)&amp;"")</f>
        <v/>
      </c>
      <c r="C173" s="3" t="str">
        <f aca="false">IF($W173="","",INDEX(发票统计!C$4:C$1003,$W173)&amp;"")</f>
        <v/>
      </c>
      <c r="D173" s="3" t="str">
        <f aca="false">IF($W173="","",INDEX(发票统计!D$4:D$1003,$W173)&amp;"")</f>
        <v/>
      </c>
      <c r="E173" s="67" t="str">
        <f aca="false">IF($W173="","",INDEX(发票统计!E$4:E$1003,$W173)&amp;"")</f>
        <v/>
      </c>
      <c r="F173" s="68" t="str">
        <f aca="false">IF($W173="","",INDEX(发票统计!F$4:F$1003,$W173)&amp;"")</f>
        <v/>
      </c>
      <c r="G173" s="68" t="str">
        <f aca="false">IF($W173="","",IF(INDEX(发票统计!G$4:G$1003,$W173)="","",INDEX(发票统计!G$4:G$1003,$W173)))</f>
        <v/>
      </c>
      <c r="H173" s="56" t="str">
        <f aca="false">IF($W173="","",N(INDEX(发票统计!H$4:H$1003,$W173)))</f>
        <v/>
      </c>
      <c r="I173" s="56" t="str">
        <f aca="false">IF($W173="","",N(INDEX(发票统计!I$4:I$1003,$W173)))</f>
        <v/>
      </c>
      <c r="J173" s="56" t="str">
        <f aca="false">IF($W173="","",N(INDEX(发票统计!J$4:J$1003,$W173)))</f>
        <v/>
      </c>
      <c r="K173" s="56" t="str">
        <f aca="false">IF($W173="","",N(INDEX(发票统计!K$4:K$1003,$W173)))</f>
        <v/>
      </c>
      <c r="L173" s="56" t="str">
        <f aca="false">IF($W173="","",SUM(J$4:J173)-SUM(K$4:K173))</f>
        <v/>
      </c>
      <c r="M173" s="56" t="str">
        <f aca="false">IF($W173="","",N(INDEX(发票统计!M$4:M$1003,$W173)))</f>
        <v/>
      </c>
      <c r="N173" s="56" t="str">
        <f aca="false">IF($W173="","",N(INDEX(发票统计!N$4:N$1003,$W173)))</f>
        <v/>
      </c>
      <c r="O173" s="56" t="str">
        <f aca="false">IF($W173="","",N(INDEX(发票统计!O$4:O$1003,$W173)))</f>
        <v/>
      </c>
      <c r="P173" s="56" t="str">
        <f aca="false">IF($W173="","",SUM(M$4:M173)-SUM(N$4:N173)-SUM(O$4:O173))</f>
        <v/>
      </c>
      <c r="Q173" s="56" t="str">
        <f aca="false">IF($W173="","",N(INDEX(发票统计!Q$4:Q$1003,$W173)))</f>
        <v/>
      </c>
      <c r="R173" s="56" t="str">
        <f aca="false">IF($W173="","",N(INDEX(发票统计!R$4:R$1003,$W173)))</f>
        <v/>
      </c>
      <c r="S173" s="56" t="str">
        <f aca="false">IF($W173="","",N(INDEX(发票统计!S$4:S$1003,$W173)))</f>
        <v/>
      </c>
      <c r="T173" s="56" t="str">
        <f aca="false">IF($W173="","",SUM(Q$4:Q173)-SUM(R$4:R173)-SUM(S$4:S173))</f>
        <v/>
      </c>
      <c r="U173" s="56" t="str">
        <f aca="false">IF($W173="","",INDEX(发票统计!U$4:U$1003,$W173)&amp;"")</f>
        <v/>
      </c>
      <c r="W173" s="1" t="str">
        <f aca="false">IF($V$3="","",IFERROR(MATCH($V$3&amp;"#"&amp;ROWS(W$4:W173),发票统计!$W$4:$W$1003,0),""))</f>
        <v/>
      </c>
    </row>
    <row r="174" customFormat="false" ht="16.5" hidden="false" customHeight="false" outlineLevel="0" collapsed="false">
      <c r="A174" s="3" t="str">
        <f aca="false">IF($W174="","",INDEX(发票统计!A$4:A$1003,$W174)&amp;"")</f>
        <v/>
      </c>
      <c r="B174" s="3" t="str">
        <f aca="false">IF($W174="","",INDEX(发票统计!B$4:B$1003,$W174)&amp;"")</f>
        <v/>
      </c>
      <c r="C174" s="3" t="str">
        <f aca="false">IF($W174="","",INDEX(发票统计!C$4:C$1003,$W174)&amp;"")</f>
        <v/>
      </c>
      <c r="D174" s="3" t="str">
        <f aca="false">IF($W174="","",INDEX(发票统计!D$4:D$1003,$W174)&amp;"")</f>
        <v/>
      </c>
      <c r="E174" s="67" t="str">
        <f aca="false">IF($W174="","",INDEX(发票统计!E$4:E$1003,$W174)&amp;"")</f>
        <v/>
      </c>
      <c r="F174" s="68" t="str">
        <f aca="false">IF($W174="","",INDEX(发票统计!F$4:F$1003,$W174)&amp;"")</f>
        <v/>
      </c>
      <c r="G174" s="68" t="str">
        <f aca="false">IF($W174="","",IF(INDEX(发票统计!G$4:G$1003,$W174)="","",INDEX(发票统计!G$4:G$1003,$W174)))</f>
        <v/>
      </c>
      <c r="H174" s="56" t="str">
        <f aca="false">IF($W174="","",N(INDEX(发票统计!H$4:H$1003,$W174)))</f>
        <v/>
      </c>
      <c r="I174" s="56" t="str">
        <f aca="false">IF($W174="","",N(INDEX(发票统计!I$4:I$1003,$W174)))</f>
        <v/>
      </c>
      <c r="J174" s="56" t="str">
        <f aca="false">IF($W174="","",N(INDEX(发票统计!J$4:J$1003,$W174)))</f>
        <v/>
      </c>
      <c r="K174" s="56" t="str">
        <f aca="false">IF($W174="","",N(INDEX(发票统计!K$4:K$1003,$W174)))</f>
        <v/>
      </c>
      <c r="L174" s="56" t="str">
        <f aca="false">IF($W174="","",SUM(J$4:J174)-SUM(K$4:K174))</f>
        <v/>
      </c>
      <c r="M174" s="56" t="str">
        <f aca="false">IF($W174="","",N(INDEX(发票统计!M$4:M$1003,$W174)))</f>
        <v/>
      </c>
      <c r="N174" s="56" t="str">
        <f aca="false">IF($W174="","",N(INDEX(发票统计!N$4:N$1003,$W174)))</f>
        <v/>
      </c>
      <c r="O174" s="56" t="str">
        <f aca="false">IF($W174="","",N(INDEX(发票统计!O$4:O$1003,$W174)))</f>
        <v/>
      </c>
      <c r="P174" s="56" t="str">
        <f aca="false">IF($W174="","",SUM(M$4:M174)-SUM(N$4:N174)-SUM(O$4:O174))</f>
        <v/>
      </c>
      <c r="Q174" s="56" t="str">
        <f aca="false">IF($W174="","",N(INDEX(发票统计!Q$4:Q$1003,$W174)))</f>
        <v/>
      </c>
      <c r="R174" s="56" t="str">
        <f aca="false">IF($W174="","",N(INDEX(发票统计!R$4:R$1003,$W174)))</f>
        <v/>
      </c>
      <c r="S174" s="56" t="str">
        <f aca="false">IF($W174="","",N(INDEX(发票统计!S$4:S$1003,$W174)))</f>
        <v/>
      </c>
      <c r="T174" s="56" t="str">
        <f aca="false">IF($W174="","",SUM(Q$4:Q174)-SUM(R$4:R174)-SUM(S$4:S174))</f>
        <v/>
      </c>
      <c r="U174" s="56" t="str">
        <f aca="false">IF($W174="","",INDEX(发票统计!U$4:U$1003,$W174)&amp;"")</f>
        <v/>
      </c>
      <c r="W174" s="1" t="str">
        <f aca="false">IF($V$3="","",IFERROR(MATCH($V$3&amp;"#"&amp;ROWS(W$4:W174),发票统计!$W$4:$W$1003,0),""))</f>
        <v/>
      </c>
    </row>
    <row r="175" customFormat="false" ht="16.5" hidden="false" customHeight="false" outlineLevel="0" collapsed="false">
      <c r="A175" s="3" t="str">
        <f aca="false">IF($W175="","",INDEX(发票统计!A$4:A$1003,$W175)&amp;"")</f>
        <v/>
      </c>
      <c r="B175" s="3" t="str">
        <f aca="false">IF($W175="","",INDEX(发票统计!B$4:B$1003,$W175)&amp;"")</f>
        <v/>
      </c>
      <c r="C175" s="3" t="str">
        <f aca="false">IF($W175="","",INDEX(发票统计!C$4:C$1003,$W175)&amp;"")</f>
        <v/>
      </c>
      <c r="D175" s="3" t="str">
        <f aca="false">IF($W175="","",INDEX(发票统计!D$4:D$1003,$W175)&amp;"")</f>
        <v/>
      </c>
      <c r="E175" s="67" t="str">
        <f aca="false">IF($W175="","",INDEX(发票统计!E$4:E$1003,$W175)&amp;"")</f>
        <v/>
      </c>
      <c r="F175" s="68" t="str">
        <f aca="false">IF($W175="","",INDEX(发票统计!F$4:F$1003,$W175)&amp;"")</f>
        <v/>
      </c>
      <c r="G175" s="68" t="str">
        <f aca="false">IF($W175="","",IF(INDEX(发票统计!G$4:G$1003,$W175)="","",INDEX(发票统计!G$4:G$1003,$W175)))</f>
        <v/>
      </c>
      <c r="H175" s="56" t="str">
        <f aca="false">IF($W175="","",N(INDEX(发票统计!H$4:H$1003,$W175)))</f>
        <v/>
      </c>
      <c r="I175" s="56" t="str">
        <f aca="false">IF($W175="","",N(INDEX(发票统计!I$4:I$1003,$W175)))</f>
        <v/>
      </c>
      <c r="J175" s="56" t="str">
        <f aca="false">IF($W175="","",N(INDEX(发票统计!J$4:J$1003,$W175)))</f>
        <v/>
      </c>
      <c r="K175" s="56" t="str">
        <f aca="false">IF($W175="","",N(INDEX(发票统计!K$4:K$1003,$W175)))</f>
        <v/>
      </c>
      <c r="L175" s="56" t="str">
        <f aca="false">IF($W175="","",SUM(J$4:J175)-SUM(K$4:K175))</f>
        <v/>
      </c>
      <c r="M175" s="56" t="str">
        <f aca="false">IF($W175="","",N(INDEX(发票统计!M$4:M$1003,$W175)))</f>
        <v/>
      </c>
      <c r="N175" s="56" t="str">
        <f aca="false">IF($W175="","",N(INDEX(发票统计!N$4:N$1003,$W175)))</f>
        <v/>
      </c>
      <c r="O175" s="56" t="str">
        <f aca="false">IF($W175="","",N(INDEX(发票统计!O$4:O$1003,$W175)))</f>
        <v/>
      </c>
      <c r="P175" s="56" t="str">
        <f aca="false">IF($W175="","",SUM(M$4:M175)-SUM(N$4:N175)-SUM(O$4:O175))</f>
        <v/>
      </c>
      <c r="Q175" s="56" t="str">
        <f aca="false">IF($W175="","",N(INDEX(发票统计!Q$4:Q$1003,$W175)))</f>
        <v/>
      </c>
      <c r="R175" s="56" t="str">
        <f aca="false">IF($W175="","",N(INDEX(发票统计!R$4:R$1003,$W175)))</f>
        <v/>
      </c>
      <c r="S175" s="56" t="str">
        <f aca="false">IF($W175="","",N(INDEX(发票统计!S$4:S$1003,$W175)))</f>
        <v/>
      </c>
      <c r="T175" s="56" t="str">
        <f aca="false">IF($W175="","",SUM(Q$4:Q175)-SUM(R$4:R175)-SUM(S$4:S175))</f>
        <v/>
      </c>
      <c r="U175" s="56" t="str">
        <f aca="false">IF($W175="","",INDEX(发票统计!U$4:U$1003,$W175)&amp;"")</f>
        <v/>
      </c>
      <c r="W175" s="1" t="str">
        <f aca="false">IF($V$3="","",IFERROR(MATCH($V$3&amp;"#"&amp;ROWS(W$4:W175),发票统计!$W$4:$W$1003,0),""))</f>
        <v/>
      </c>
    </row>
    <row r="176" customFormat="false" ht="16.5" hidden="false" customHeight="false" outlineLevel="0" collapsed="false">
      <c r="A176" s="3" t="str">
        <f aca="false">IF($W176="","",INDEX(发票统计!A$4:A$1003,$W176)&amp;"")</f>
        <v/>
      </c>
      <c r="B176" s="3" t="str">
        <f aca="false">IF($W176="","",INDEX(发票统计!B$4:B$1003,$W176)&amp;"")</f>
        <v/>
      </c>
      <c r="C176" s="3" t="str">
        <f aca="false">IF($W176="","",INDEX(发票统计!C$4:C$1003,$W176)&amp;"")</f>
        <v/>
      </c>
      <c r="D176" s="3" t="str">
        <f aca="false">IF($W176="","",INDEX(发票统计!D$4:D$1003,$W176)&amp;"")</f>
        <v/>
      </c>
      <c r="E176" s="67" t="str">
        <f aca="false">IF($W176="","",INDEX(发票统计!E$4:E$1003,$W176)&amp;"")</f>
        <v/>
      </c>
      <c r="F176" s="68" t="str">
        <f aca="false">IF($W176="","",INDEX(发票统计!F$4:F$1003,$W176)&amp;"")</f>
        <v/>
      </c>
      <c r="G176" s="68" t="str">
        <f aca="false">IF($W176="","",IF(INDEX(发票统计!G$4:G$1003,$W176)="","",INDEX(发票统计!G$4:G$1003,$W176)))</f>
        <v/>
      </c>
      <c r="H176" s="56" t="str">
        <f aca="false">IF($W176="","",N(INDEX(发票统计!H$4:H$1003,$W176)))</f>
        <v/>
      </c>
      <c r="I176" s="56" t="str">
        <f aca="false">IF($W176="","",N(INDEX(发票统计!I$4:I$1003,$W176)))</f>
        <v/>
      </c>
      <c r="J176" s="56" t="str">
        <f aca="false">IF($W176="","",N(INDEX(发票统计!J$4:J$1003,$W176)))</f>
        <v/>
      </c>
      <c r="K176" s="56" t="str">
        <f aca="false">IF($W176="","",N(INDEX(发票统计!K$4:K$1003,$W176)))</f>
        <v/>
      </c>
      <c r="L176" s="56" t="str">
        <f aca="false">IF($W176="","",SUM(J$4:J176)-SUM(K$4:K176))</f>
        <v/>
      </c>
      <c r="M176" s="56" t="str">
        <f aca="false">IF($W176="","",N(INDEX(发票统计!M$4:M$1003,$W176)))</f>
        <v/>
      </c>
      <c r="N176" s="56" t="str">
        <f aca="false">IF($W176="","",N(INDEX(发票统计!N$4:N$1003,$W176)))</f>
        <v/>
      </c>
      <c r="O176" s="56" t="str">
        <f aca="false">IF($W176="","",N(INDEX(发票统计!O$4:O$1003,$W176)))</f>
        <v/>
      </c>
      <c r="P176" s="56" t="str">
        <f aca="false">IF($W176="","",SUM(M$4:M176)-SUM(N$4:N176)-SUM(O$4:O176))</f>
        <v/>
      </c>
      <c r="Q176" s="56" t="str">
        <f aca="false">IF($W176="","",N(INDEX(发票统计!Q$4:Q$1003,$W176)))</f>
        <v/>
      </c>
      <c r="R176" s="56" t="str">
        <f aca="false">IF($W176="","",N(INDEX(发票统计!R$4:R$1003,$W176)))</f>
        <v/>
      </c>
      <c r="S176" s="56" t="str">
        <f aca="false">IF($W176="","",N(INDEX(发票统计!S$4:S$1003,$W176)))</f>
        <v/>
      </c>
      <c r="T176" s="56" t="str">
        <f aca="false">IF($W176="","",SUM(Q$4:Q176)-SUM(R$4:R176)-SUM(S$4:S176))</f>
        <v/>
      </c>
      <c r="U176" s="56" t="str">
        <f aca="false">IF($W176="","",INDEX(发票统计!U$4:U$1003,$W176)&amp;"")</f>
        <v/>
      </c>
      <c r="W176" s="1" t="str">
        <f aca="false">IF($V$3="","",IFERROR(MATCH($V$3&amp;"#"&amp;ROWS(W$4:W176),发票统计!$W$4:$W$1003,0),""))</f>
        <v/>
      </c>
    </row>
    <row r="177" customFormat="false" ht="16.5" hidden="false" customHeight="false" outlineLevel="0" collapsed="false">
      <c r="A177" s="3" t="str">
        <f aca="false">IF($W177="","",INDEX(发票统计!A$4:A$1003,$W177)&amp;"")</f>
        <v/>
      </c>
      <c r="B177" s="3" t="str">
        <f aca="false">IF($W177="","",INDEX(发票统计!B$4:B$1003,$W177)&amp;"")</f>
        <v/>
      </c>
      <c r="C177" s="3" t="str">
        <f aca="false">IF($W177="","",INDEX(发票统计!C$4:C$1003,$W177)&amp;"")</f>
        <v/>
      </c>
      <c r="D177" s="3" t="str">
        <f aca="false">IF($W177="","",INDEX(发票统计!D$4:D$1003,$W177)&amp;"")</f>
        <v/>
      </c>
      <c r="E177" s="67" t="str">
        <f aca="false">IF($W177="","",INDEX(发票统计!E$4:E$1003,$W177)&amp;"")</f>
        <v/>
      </c>
      <c r="F177" s="68" t="str">
        <f aca="false">IF($W177="","",INDEX(发票统计!F$4:F$1003,$W177)&amp;"")</f>
        <v/>
      </c>
      <c r="G177" s="68" t="str">
        <f aca="false">IF($W177="","",IF(INDEX(发票统计!G$4:G$1003,$W177)="","",INDEX(发票统计!G$4:G$1003,$W177)))</f>
        <v/>
      </c>
      <c r="H177" s="56" t="str">
        <f aca="false">IF($W177="","",N(INDEX(发票统计!H$4:H$1003,$W177)))</f>
        <v/>
      </c>
      <c r="I177" s="56" t="str">
        <f aca="false">IF($W177="","",N(INDEX(发票统计!I$4:I$1003,$W177)))</f>
        <v/>
      </c>
      <c r="J177" s="56" t="str">
        <f aca="false">IF($W177="","",N(INDEX(发票统计!J$4:J$1003,$W177)))</f>
        <v/>
      </c>
      <c r="K177" s="56" t="str">
        <f aca="false">IF($W177="","",N(INDEX(发票统计!K$4:K$1003,$W177)))</f>
        <v/>
      </c>
      <c r="L177" s="56" t="str">
        <f aca="false">IF($W177="","",SUM(J$4:J177)-SUM(K$4:K177))</f>
        <v/>
      </c>
      <c r="M177" s="56" t="str">
        <f aca="false">IF($W177="","",N(INDEX(发票统计!M$4:M$1003,$W177)))</f>
        <v/>
      </c>
      <c r="N177" s="56" t="str">
        <f aca="false">IF($W177="","",N(INDEX(发票统计!N$4:N$1003,$W177)))</f>
        <v/>
      </c>
      <c r="O177" s="56" t="str">
        <f aca="false">IF($W177="","",N(INDEX(发票统计!O$4:O$1003,$W177)))</f>
        <v/>
      </c>
      <c r="P177" s="56" t="str">
        <f aca="false">IF($W177="","",SUM(M$4:M177)-SUM(N$4:N177)-SUM(O$4:O177))</f>
        <v/>
      </c>
      <c r="Q177" s="56" t="str">
        <f aca="false">IF($W177="","",N(INDEX(发票统计!Q$4:Q$1003,$W177)))</f>
        <v/>
      </c>
      <c r="R177" s="56" t="str">
        <f aca="false">IF($W177="","",N(INDEX(发票统计!R$4:R$1003,$W177)))</f>
        <v/>
      </c>
      <c r="S177" s="56" t="str">
        <f aca="false">IF($W177="","",N(INDEX(发票统计!S$4:S$1003,$W177)))</f>
        <v/>
      </c>
      <c r="T177" s="56" t="str">
        <f aca="false">IF($W177="","",SUM(Q$4:Q177)-SUM(R$4:R177)-SUM(S$4:S177))</f>
        <v/>
      </c>
      <c r="U177" s="56" t="str">
        <f aca="false">IF($W177="","",INDEX(发票统计!U$4:U$1003,$W177)&amp;"")</f>
        <v/>
      </c>
      <c r="W177" s="1" t="str">
        <f aca="false">IF($V$3="","",IFERROR(MATCH($V$3&amp;"#"&amp;ROWS(W$4:W177),发票统计!$W$4:$W$1003,0),""))</f>
        <v/>
      </c>
    </row>
    <row r="178" customFormat="false" ht="16.5" hidden="false" customHeight="false" outlineLevel="0" collapsed="false">
      <c r="A178" s="3" t="str">
        <f aca="false">IF($W178="","",INDEX(发票统计!A$4:A$1003,$W178)&amp;"")</f>
        <v/>
      </c>
      <c r="B178" s="3" t="str">
        <f aca="false">IF($W178="","",INDEX(发票统计!B$4:B$1003,$W178)&amp;"")</f>
        <v/>
      </c>
      <c r="C178" s="3" t="str">
        <f aca="false">IF($W178="","",INDEX(发票统计!C$4:C$1003,$W178)&amp;"")</f>
        <v/>
      </c>
      <c r="D178" s="3" t="str">
        <f aca="false">IF($W178="","",INDEX(发票统计!D$4:D$1003,$W178)&amp;"")</f>
        <v/>
      </c>
      <c r="E178" s="67" t="str">
        <f aca="false">IF($W178="","",INDEX(发票统计!E$4:E$1003,$W178)&amp;"")</f>
        <v/>
      </c>
      <c r="F178" s="68" t="str">
        <f aca="false">IF($W178="","",INDEX(发票统计!F$4:F$1003,$W178)&amp;"")</f>
        <v/>
      </c>
      <c r="G178" s="68" t="str">
        <f aca="false">IF($W178="","",IF(INDEX(发票统计!G$4:G$1003,$W178)="","",INDEX(发票统计!G$4:G$1003,$W178)))</f>
        <v/>
      </c>
      <c r="H178" s="56" t="str">
        <f aca="false">IF($W178="","",N(INDEX(发票统计!H$4:H$1003,$W178)))</f>
        <v/>
      </c>
      <c r="I178" s="56" t="str">
        <f aca="false">IF($W178="","",N(INDEX(发票统计!I$4:I$1003,$W178)))</f>
        <v/>
      </c>
      <c r="J178" s="56" t="str">
        <f aca="false">IF($W178="","",N(INDEX(发票统计!J$4:J$1003,$W178)))</f>
        <v/>
      </c>
      <c r="K178" s="56" t="str">
        <f aca="false">IF($W178="","",N(INDEX(发票统计!K$4:K$1003,$W178)))</f>
        <v/>
      </c>
      <c r="L178" s="56" t="str">
        <f aca="false">IF($W178="","",SUM(J$4:J178)-SUM(K$4:K178))</f>
        <v/>
      </c>
      <c r="M178" s="56" t="str">
        <f aca="false">IF($W178="","",N(INDEX(发票统计!M$4:M$1003,$W178)))</f>
        <v/>
      </c>
      <c r="N178" s="56" t="str">
        <f aca="false">IF($W178="","",N(INDEX(发票统计!N$4:N$1003,$W178)))</f>
        <v/>
      </c>
      <c r="O178" s="56" t="str">
        <f aca="false">IF($W178="","",N(INDEX(发票统计!O$4:O$1003,$W178)))</f>
        <v/>
      </c>
      <c r="P178" s="56" t="str">
        <f aca="false">IF($W178="","",SUM(M$4:M178)-SUM(N$4:N178)-SUM(O$4:O178))</f>
        <v/>
      </c>
      <c r="Q178" s="56" t="str">
        <f aca="false">IF($W178="","",N(INDEX(发票统计!Q$4:Q$1003,$W178)))</f>
        <v/>
      </c>
      <c r="R178" s="56" t="str">
        <f aca="false">IF($W178="","",N(INDEX(发票统计!R$4:R$1003,$W178)))</f>
        <v/>
      </c>
      <c r="S178" s="56" t="str">
        <f aca="false">IF($W178="","",N(INDEX(发票统计!S$4:S$1003,$W178)))</f>
        <v/>
      </c>
      <c r="T178" s="56" t="str">
        <f aca="false">IF($W178="","",SUM(Q$4:Q178)-SUM(R$4:R178)-SUM(S$4:S178))</f>
        <v/>
      </c>
      <c r="U178" s="56" t="str">
        <f aca="false">IF($W178="","",INDEX(发票统计!U$4:U$1003,$W178)&amp;"")</f>
        <v/>
      </c>
      <c r="W178" s="1" t="str">
        <f aca="false">IF($V$3="","",IFERROR(MATCH($V$3&amp;"#"&amp;ROWS(W$4:W178),发票统计!$W$4:$W$1003,0),""))</f>
        <v/>
      </c>
    </row>
    <row r="179" customFormat="false" ht="16.5" hidden="false" customHeight="false" outlineLevel="0" collapsed="false">
      <c r="A179" s="3" t="str">
        <f aca="false">IF($W179="","",INDEX(发票统计!A$4:A$1003,$W179)&amp;"")</f>
        <v/>
      </c>
      <c r="B179" s="3" t="str">
        <f aca="false">IF($W179="","",INDEX(发票统计!B$4:B$1003,$W179)&amp;"")</f>
        <v/>
      </c>
      <c r="C179" s="3" t="str">
        <f aca="false">IF($W179="","",INDEX(发票统计!C$4:C$1003,$W179)&amp;"")</f>
        <v/>
      </c>
      <c r="D179" s="3" t="str">
        <f aca="false">IF($W179="","",INDEX(发票统计!D$4:D$1003,$W179)&amp;"")</f>
        <v/>
      </c>
      <c r="E179" s="67" t="str">
        <f aca="false">IF($W179="","",INDEX(发票统计!E$4:E$1003,$W179)&amp;"")</f>
        <v/>
      </c>
      <c r="F179" s="68" t="str">
        <f aca="false">IF($W179="","",INDEX(发票统计!F$4:F$1003,$W179)&amp;"")</f>
        <v/>
      </c>
      <c r="G179" s="68" t="str">
        <f aca="false">IF($W179="","",IF(INDEX(发票统计!G$4:G$1003,$W179)="","",INDEX(发票统计!G$4:G$1003,$W179)))</f>
        <v/>
      </c>
      <c r="H179" s="56" t="str">
        <f aca="false">IF($W179="","",N(INDEX(发票统计!H$4:H$1003,$W179)))</f>
        <v/>
      </c>
      <c r="I179" s="56" t="str">
        <f aca="false">IF($W179="","",N(INDEX(发票统计!I$4:I$1003,$W179)))</f>
        <v/>
      </c>
      <c r="J179" s="56" t="str">
        <f aca="false">IF($W179="","",N(INDEX(发票统计!J$4:J$1003,$W179)))</f>
        <v/>
      </c>
      <c r="K179" s="56" t="str">
        <f aca="false">IF($W179="","",N(INDEX(发票统计!K$4:K$1003,$W179)))</f>
        <v/>
      </c>
      <c r="L179" s="56" t="str">
        <f aca="false">IF($W179="","",SUM(J$4:J179)-SUM(K$4:K179))</f>
        <v/>
      </c>
      <c r="M179" s="56" t="str">
        <f aca="false">IF($W179="","",N(INDEX(发票统计!M$4:M$1003,$W179)))</f>
        <v/>
      </c>
      <c r="N179" s="56" t="str">
        <f aca="false">IF($W179="","",N(INDEX(发票统计!N$4:N$1003,$W179)))</f>
        <v/>
      </c>
      <c r="O179" s="56" t="str">
        <f aca="false">IF($W179="","",N(INDEX(发票统计!O$4:O$1003,$W179)))</f>
        <v/>
      </c>
      <c r="P179" s="56" t="str">
        <f aca="false">IF($W179="","",SUM(M$4:M179)-SUM(N$4:N179)-SUM(O$4:O179))</f>
        <v/>
      </c>
      <c r="Q179" s="56" t="str">
        <f aca="false">IF($W179="","",N(INDEX(发票统计!Q$4:Q$1003,$W179)))</f>
        <v/>
      </c>
      <c r="R179" s="56" t="str">
        <f aca="false">IF($W179="","",N(INDEX(发票统计!R$4:R$1003,$W179)))</f>
        <v/>
      </c>
      <c r="S179" s="56" t="str">
        <f aca="false">IF($W179="","",N(INDEX(发票统计!S$4:S$1003,$W179)))</f>
        <v/>
      </c>
      <c r="T179" s="56" t="str">
        <f aca="false">IF($W179="","",SUM(Q$4:Q179)-SUM(R$4:R179)-SUM(S$4:S179))</f>
        <v/>
      </c>
      <c r="U179" s="56" t="str">
        <f aca="false">IF($W179="","",INDEX(发票统计!U$4:U$1003,$W179)&amp;"")</f>
        <v/>
      </c>
      <c r="W179" s="1" t="str">
        <f aca="false">IF($V$3="","",IFERROR(MATCH($V$3&amp;"#"&amp;ROWS(W$4:W179),发票统计!$W$4:$W$1003,0),""))</f>
        <v/>
      </c>
    </row>
    <row r="180" customFormat="false" ht="16.5" hidden="false" customHeight="false" outlineLevel="0" collapsed="false">
      <c r="A180" s="3" t="str">
        <f aca="false">IF($W180="","",INDEX(发票统计!A$4:A$1003,$W180)&amp;"")</f>
        <v/>
      </c>
      <c r="B180" s="3" t="str">
        <f aca="false">IF($W180="","",INDEX(发票统计!B$4:B$1003,$W180)&amp;"")</f>
        <v/>
      </c>
      <c r="C180" s="3" t="str">
        <f aca="false">IF($W180="","",INDEX(发票统计!C$4:C$1003,$W180)&amp;"")</f>
        <v/>
      </c>
      <c r="D180" s="3" t="str">
        <f aca="false">IF($W180="","",INDEX(发票统计!D$4:D$1003,$W180)&amp;"")</f>
        <v/>
      </c>
      <c r="E180" s="67" t="str">
        <f aca="false">IF($W180="","",INDEX(发票统计!E$4:E$1003,$W180)&amp;"")</f>
        <v/>
      </c>
      <c r="F180" s="68" t="str">
        <f aca="false">IF($W180="","",INDEX(发票统计!F$4:F$1003,$W180)&amp;"")</f>
        <v/>
      </c>
      <c r="G180" s="68" t="str">
        <f aca="false">IF($W180="","",IF(INDEX(发票统计!G$4:G$1003,$W180)="","",INDEX(发票统计!G$4:G$1003,$W180)))</f>
        <v/>
      </c>
      <c r="H180" s="56" t="str">
        <f aca="false">IF($W180="","",N(INDEX(发票统计!H$4:H$1003,$W180)))</f>
        <v/>
      </c>
      <c r="I180" s="56" t="str">
        <f aca="false">IF($W180="","",N(INDEX(发票统计!I$4:I$1003,$W180)))</f>
        <v/>
      </c>
      <c r="J180" s="56" t="str">
        <f aca="false">IF($W180="","",N(INDEX(发票统计!J$4:J$1003,$W180)))</f>
        <v/>
      </c>
      <c r="K180" s="56" t="str">
        <f aca="false">IF($W180="","",N(INDEX(发票统计!K$4:K$1003,$W180)))</f>
        <v/>
      </c>
      <c r="L180" s="56" t="str">
        <f aca="false">IF($W180="","",SUM(J$4:J180)-SUM(K$4:K180))</f>
        <v/>
      </c>
      <c r="M180" s="56" t="str">
        <f aca="false">IF($W180="","",N(INDEX(发票统计!M$4:M$1003,$W180)))</f>
        <v/>
      </c>
      <c r="N180" s="56" t="str">
        <f aca="false">IF($W180="","",N(INDEX(发票统计!N$4:N$1003,$W180)))</f>
        <v/>
      </c>
      <c r="O180" s="56" t="str">
        <f aca="false">IF($W180="","",N(INDEX(发票统计!O$4:O$1003,$W180)))</f>
        <v/>
      </c>
      <c r="P180" s="56" t="str">
        <f aca="false">IF($W180="","",SUM(M$4:M180)-SUM(N$4:N180)-SUM(O$4:O180))</f>
        <v/>
      </c>
      <c r="Q180" s="56" t="str">
        <f aca="false">IF($W180="","",N(INDEX(发票统计!Q$4:Q$1003,$W180)))</f>
        <v/>
      </c>
      <c r="R180" s="56" t="str">
        <f aca="false">IF($W180="","",N(INDEX(发票统计!R$4:R$1003,$W180)))</f>
        <v/>
      </c>
      <c r="S180" s="56" t="str">
        <f aca="false">IF($W180="","",N(INDEX(发票统计!S$4:S$1003,$W180)))</f>
        <v/>
      </c>
      <c r="T180" s="56" t="str">
        <f aca="false">IF($W180="","",SUM(Q$4:Q180)-SUM(R$4:R180)-SUM(S$4:S180))</f>
        <v/>
      </c>
      <c r="U180" s="56" t="str">
        <f aca="false">IF($W180="","",INDEX(发票统计!U$4:U$1003,$W180)&amp;"")</f>
        <v/>
      </c>
      <c r="W180" s="1" t="str">
        <f aca="false">IF($V$3="","",IFERROR(MATCH($V$3&amp;"#"&amp;ROWS(W$4:W180),发票统计!$W$4:$W$1003,0),""))</f>
        <v/>
      </c>
    </row>
    <row r="181" customFormat="false" ht="16.5" hidden="false" customHeight="false" outlineLevel="0" collapsed="false">
      <c r="A181" s="3" t="str">
        <f aca="false">IF($W181="","",INDEX(发票统计!A$4:A$1003,$W181)&amp;"")</f>
        <v/>
      </c>
      <c r="B181" s="3" t="str">
        <f aca="false">IF($W181="","",INDEX(发票统计!B$4:B$1003,$W181)&amp;"")</f>
        <v/>
      </c>
      <c r="C181" s="3" t="str">
        <f aca="false">IF($W181="","",INDEX(发票统计!C$4:C$1003,$W181)&amp;"")</f>
        <v/>
      </c>
      <c r="D181" s="3" t="str">
        <f aca="false">IF($W181="","",INDEX(发票统计!D$4:D$1003,$W181)&amp;"")</f>
        <v/>
      </c>
      <c r="E181" s="67" t="str">
        <f aca="false">IF($W181="","",INDEX(发票统计!E$4:E$1003,$W181)&amp;"")</f>
        <v/>
      </c>
      <c r="F181" s="68" t="str">
        <f aca="false">IF($W181="","",INDEX(发票统计!F$4:F$1003,$W181)&amp;"")</f>
        <v/>
      </c>
      <c r="G181" s="68" t="str">
        <f aca="false">IF($W181="","",IF(INDEX(发票统计!G$4:G$1003,$W181)="","",INDEX(发票统计!G$4:G$1003,$W181)))</f>
        <v/>
      </c>
      <c r="H181" s="56" t="str">
        <f aca="false">IF($W181="","",N(INDEX(发票统计!H$4:H$1003,$W181)))</f>
        <v/>
      </c>
      <c r="I181" s="56" t="str">
        <f aca="false">IF($W181="","",N(INDEX(发票统计!I$4:I$1003,$W181)))</f>
        <v/>
      </c>
      <c r="J181" s="56" t="str">
        <f aca="false">IF($W181="","",N(INDEX(发票统计!J$4:J$1003,$W181)))</f>
        <v/>
      </c>
      <c r="K181" s="56" t="str">
        <f aca="false">IF($W181="","",N(INDEX(发票统计!K$4:K$1003,$W181)))</f>
        <v/>
      </c>
      <c r="L181" s="56" t="str">
        <f aca="false">IF($W181="","",SUM(J$4:J181)-SUM(K$4:K181))</f>
        <v/>
      </c>
      <c r="M181" s="56" t="str">
        <f aca="false">IF($W181="","",N(INDEX(发票统计!M$4:M$1003,$W181)))</f>
        <v/>
      </c>
      <c r="N181" s="56" t="str">
        <f aca="false">IF($W181="","",N(INDEX(发票统计!N$4:N$1003,$W181)))</f>
        <v/>
      </c>
      <c r="O181" s="56" t="str">
        <f aca="false">IF($W181="","",N(INDEX(发票统计!O$4:O$1003,$W181)))</f>
        <v/>
      </c>
      <c r="P181" s="56" t="str">
        <f aca="false">IF($W181="","",SUM(M$4:M181)-SUM(N$4:N181)-SUM(O$4:O181))</f>
        <v/>
      </c>
      <c r="Q181" s="56" t="str">
        <f aca="false">IF($W181="","",N(INDEX(发票统计!Q$4:Q$1003,$W181)))</f>
        <v/>
      </c>
      <c r="R181" s="56" t="str">
        <f aca="false">IF($W181="","",N(INDEX(发票统计!R$4:R$1003,$W181)))</f>
        <v/>
      </c>
      <c r="S181" s="56" t="str">
        <f aca="false">IF($W181="","",N(INDEX(发票统计!S$4:S$1003,$W181)))</f>
        <v/>
      </c>
      <c r="T181" s="56" t="str">
        <f aca="false">IF($W181="","",SUM(Q$4:Q181)-SUM(R$4:R181)-SUM(S$4:S181))</f>
        <v/>
      </c>
      <c r="U181" s="56" t="str">
        <f aca="false">IF($W181="","",INDEX(发票统计!U$4:U$1003,$W181)&amp;"")</f>
        <v/>
      </c>
      <c r="W181" s="1" t="str">
        <f aca="false">IF($V$3="","",IFERROR(MATCH($V$3&amp;"#"&amp;ROWS(W$4:W181),发票统计!$W$4:$W$1003,0),""))</f>
        <v/>
      </c>
    </row>
    <row r="182" customFormat="false" ht="16.5" hidden="false" customHeight="false" outlineLevel="0" collapsed="false">
      <c r="A182" s="3" t="str">
        <f aca="false">IF($W182="","",INDEX(发票统计!A$4:A$1003,$W182)&amp;"")</f>
        <v/>
      </c>
      <c r="B182" s="3" t="str">
        <f aca="false">IF($W182="","",INDEX(发票统计!B$4:B$1003,$W182)&amp;"")</f>
        <v/>
      </c>
      <c r="C182" s="3" t="str">
        <f aca="false">IF($W182="","",INDEX(发票统计!C$4:C$1003,$W182)&amp;"")</f>
        <v/>
      </c>
      <c r="D182" s="3" t="str">
        <f aca="false">IF($W182="","",INDEX(发票统计!D$4:D$1003,$W182)&amp;"")</f>
        <v/>
      </c>
      <c r="E182" s="67" t="str">
        <f aca="false">IF($W182="","",INDEX(发票统计!E$4:E$1003,$W182)&amp;"")</f>
        <v/>
      </c>
      <c r="F182" s="68" t="str">
        <f aca="false">IF($W182="","",INDEX(发票统计!F$4:F$1003,$W182)&amp;"")</f>
        <v/>
      </c>
      <c r="G182" s="68" t="str">
        <f aca="false">IF($W182="","",IF(INDEX(发票统计!G$4:G$1003,$W182)="","",INDEX(发票统计!G$4:G$1003,$W182)))</f>
        <v/>
      </c>
      <c r="H182" s="56" t="str">
        <f aca="false">IF($W182="","",N(INDEX(发票统计!H$4:H$1003,$W182)))</f>
        <v/>
      </c>
      <c r="I182" s="56" t="str">
        <f aca="false">IF($W182="","",N(INDEX(发票统计!I$4:I$1003,$W182)))</f>
        <v/>
      </c>
      <c r="J182" s="56" t="str">
        <f aca="false">IF($W182="","",N(INDEX(发票统计!J$4:J$1003,$W182)))</f>
        <v/>
      </c>
      <c r="K182" s="56" t="str">
        <f aca="false">IF($W182="","",N(INDEX(发票统计!K$4:K$1003,$W182)))</f>
        <v/>
      </c>
      <c r="L182" s="56" t="str">
        <f aca="false">IF($W182="","",SUM(J$4:J182)-SUM(K$4:K182))</f>
        <v/>
      </c>
      <c r="M182" s="56" t="str">
        <f aca="false">IF($W182="","",N(INDEX(发票统计!M$4:M$1003,$W182)))</f>
        <v/>
      </c>
      <c r="N182" s="56" t="str">
        <f aca="false">IF($W182="","",N(INDEX(发票统计!N$4:N$1003,$W182)))</f>
        <v/>
      </c>
      <c r="O182" s="56" t="str">
        <f aca="false">IF($W182="","",N(INDEX(发票统计!O$4:O$1003,$W182)))</f>
        <v/>
      </c>
      <c r="P182" s="56" t="str">
        <f aca="false">IF($W182="","",SUM(M$4:M182)-SUM(N$4:N182)-SUM(O$4:O182))</f>
        <v/>
      </c>
      <c r="Q182" s="56" t="str">
        <f aca="false">IF($W182="","",N(INDEX(发票统计!Q$4:Q$1003,$W182)))</f>
        <v/>
      </c>
      <c r="R182" s="56" t="str">
        <f aca="false">IF($W182="","",N(INDEX(发票统计!R$4:R$1003,$W182)))</f>
        <v/>
      </c>
      <c r="S182" s="56" t="str">
        <f aca="false">IF($W182="","",N(INDEX(发票统计!S$4:S$1003,$W182)))</f>
        <v/>
      </c>
      <c r="T182" s="56" t="str">
        <f aca="false">IF($W182="","",SUM(Q$4:Q182)-SUM(R$4:R182)-SUM(S$4:S182))</f>
        <v/>
      </c>
      <c r="U182" s="56" t="str">
        <f aca="false">IF($W182="","",INDEX(发票统计!U$4:U$1003,$W182)&amp;"")</f>
        <v/>
      </c>
      <c r="W182" s="1" t="str">
        <f aca="false">IF($V$3="","",IFERROR(MATCH($V$3&amp;"#"&amp;ROWS(W$4:W182),发票统计!$W$4:$W$1003,0),""))</f>
        <v/>
      </c>
    </row>
    <row r="183" customFormat="false" ht="16.5" hidden="false" customHeight="false" outlineLevel="0" collapsed="false">
      <c r="A183" s="3" t="str">
        <f aca="false">IF($W183="","",INDEX(发票统计!A$4:A$1003,$W183)&amp;"")</f>
        <v/>
      </c>
      <c r="B183" s="3" t="str">
        <f aca="false">IF($W183="","",INDEX(发票统计!B$4:B$1003,$W183)&amp;"")</f>
        <v/>
      </c>
      <c r="C183" s="3" t="str">
        <f aca="false">IF($W183="","",INDEX(发票统计!C$4:C$1003,$W183)&amp;"")</f>
        <v/>
      </c>
      <c r="D183" s="3" t="str">
        <f aca="false">IF($W183="","",INDEX(发票统计!D$4:D$1003,$W183)&amp;"")</f>
        <v/>
      </c>
      <c r="E183" s="67" t="str">
        <f aca="false">IF($W183="","",INDEX(发票统计!E$4:E$1003,$W183)&amp;"")</f>
        <v/>
      </c>
      <c r="F183" s="68" t="str">
        <f aca="false">IF($W183="","",INDEX(发票统计!F$4:F$1003,$W183)&amp;"")</f>
        <v/>
      </c>
      <c r="G183" s="68" t="str">
        <f aca="false">IF($W183="","",IF(INDEX(发票统计!G$4:G$1003,$W183)="","",INDEX(发票统计!G$4:G$1003,$W183)))</f>
        <v/>
      </c>
      <c r="H183" s="56" t="str">
        <f aca="false">IF($W183="","",N(INDEX(发票统计!H$4:H$1003,$W183)))</f>
        <v/>
      </c>
      <c r="I183" s="56" t="str">
        <f aca="false">IF($W183="","",N(INDEX(发票统计!I$4:I$1003,$W183)))</f>
        <v/>
      </c>
      <c r="J183" s="56" t="str">
        <f aca="false">IF($W183="","",N(INDEX(发票统计!J$4:J$1003,$W183)))</f>
        <v/>
      </c>
      <c r="K183" s="56" t="str">
        <f aca="false">IF($W183="","",N(INDEX(发票统计!K$4:K$1003,$W183)))</f>
        <v/>
      </c>
      <c r="L183" s="56" t="str">
        <f aca="false">IF($W183="","",SUM(J$4:J183)-SUM(K$4:K183))</f>
        <v/>
      </c>
      <c r="M183" s="56" t="str">
        <f aca="false">IF($W183="","",N(INDEX(发票统计!M$4:M$1003,$W183)))</f>
        <v/>
      </c>
      <c r="N183" s="56" t="str">
        <f aca="false">IF($W183="","",N(INDEX(发票统计!N$4:N$1003,$W183)))</f>
        <v/>
      </c>
      <c r="O183" s="56" t="str">
        <f aca="false">IF($W183="","",N(INDEX(发票统计!O$4:O$1003,$W183)))</f>
        <v/>
      </c>
      <c r="P183" s="56" t="str">
        <f aca="false">IF($W183="","",SUM(M$4:M183)-SUM(N$4:N183)-SUM(O$4:O183))</f>
        <v/>
      </c>
      <c r="Q183" s="56" t="str">
        <f aca="false">IF($W183="","",N(INDEX(发票统计!Q$4:Q$1003,$W183)))</f>
        <v/>
      </c>
      <c r="R183" s="56" t="str">
        <f aca="false">IF($W183="","",N(INDEX(发票统计!R$4:R$1003,$W183)))</f>
        <v/>
      </c>
      <c r="S183" s="56" t="str">
        <f aca="false">IF($W183="","",N(INDEX(发票统计!S$4:S$1003,$W183)))</f>
        <v/>
      </c>
      <c r="T183" s="56" t="str">
        <f aca="false">IF($W183="","",SUM(Q$4:Q183)-SUM(R$4:R183)-SUM(S$4:S183))</f>
        <v/>
      </c>
      <c r="U183" s="56" t="str">
        <f aca="false">IF($W183="","",INDEX(发票统计!U$4:U$1003,$W183)&amp;"")</f>
        <v/>
      </c>
      <c r="W183" s="1" t="str">
        <f aca="false">IF($V$3="","",IFERROR(MATCH($V$3&amp;"#"&amp;ROWS(W$4:W183),发票统计!$W$4:$W$1003,0),""))</f>
        <v/>
      </c>
    </row>
    <row r="184" customFormat="false" ht="16.5" hidden="false" customHeight="false" outlineLevel="0" collapsed="false">
      <c r="A184" s="3" t="str">
        <f aca="false">IF($W184="","",INDEX(发票统计!A$4:A$1003,$W184)&amp;"")</f>
        <v/>
      </c>
      <c r="B184" s="3" t="str">
        <f aca="false">IF($W184="","",INDEX(发票统计!B$4:B$1003,$W184)&amp;"")</f>
        <v/>
      </c>
      <c r="C184" s="3" t="str">
        <f aca="false">IF($W184="","",INDEX(发票统计!C$4:C$1003,$W184)&amp;"")</f>
        <v/>
      </c>
      <c r="D184" s="3" t="str">
        <f aca="false">IF($W184="","",INDEX(发票统计!D$4:D$1003,$W184)&amp;"")</f>
        <v/>
      </c>
      <c r="E184" s="67" t="str">
        <f aca="false">IF($W184="","",INDEX(发票统计!E$4:E$1003,$W184)&amp;"")</f>
        <v/>
      </c>
      <c r="F184" s="68" t="str">
        <f aca="false">IF($W184="","",INDEX(发票统计!F$4:F$1003,$W184)&amp;"")</f>
        <v/>
      </c>
      <c r="G184" s="68" t="str">
        <f aca="false">IF($W184="","",IF(INDEX(发票统计!G$4:G$1003,$W184)="","",INDEX(发票统计!G$4:G$1003,$W184)))</f>
        <v/>
      </c>
      <c r="H184" s="56" t="str">
        <f aca="false">IF($W184="","",N(INDEX(发票统计!H$4:H$1003,$W184)))</f>
        <v/>
      </c>
      <c r="I184" s="56" t="str">
        <f aca="false">IF($W184="","",N(INDEX(发票统计!I$4:I$1003,$W184)))</f>
        <v/>
      </c>
      <c r="J184" s="56" t="str">
        <f aca="false">IF($W184="","",N(INDEX(发票统计!J$4:J$1003,$W184)))</f>
        <v/>
      </c>
      <c r="K184" s="56" t="str">
        <f aca="false">IF($W184="","",N(INDEX(发票统计!K$4:K$1003,$W184)))</f>
        <v/>
      </c>
      <c r="L184" s="56" t="str">
        <f aca="false">IF($W184="","",SUM(J$4:J184)-SUM(K$4:K184))</f>
        <v/>
      </c>
      <c r="M184" s="56" t="str">
        <f aca="false">IF($W184="","",N(INDEX(发票统计!M$4:M$1003,$W184)))</f>
        <v/>
      </c>
      <c r="N184" s="56" t="str">
        <f aca="false">IF($W184="","",N(INDEX(发票统计!N$4:N$1003,$W184)))</f>
        <v/>
      </c>
      <c r="O184" s="56" t="str">
        <f aca="false">IF($W184="","",N(INDEX(发票统计!O$4:O$1003,$W184)))</f>
        <v/>
      </c>
      <c r="P184" s="56" t="str">
        <f aca="false">IF($W184="","",SUM(M$4:M184)-SUM(N$4:N184)-SUM(O$4:O184))</f>
        <v/>
      </c>
      <c r="Q184" s="56" t="str">
        <f aca="false">IF($W184="","",N(INDEX(发票统计!Q$4:Q$1003,$W184)))</f>
        <v/>
      </c>
      <c r="R184" s="56" t="str">
        <f aca="false">IF($W184="","",N(INDEX(发票统计!R$4:R$1003,$W184)))</f>
        <v/>
      </c>
      <c r="S184" s="56" t="str">
        <f aca="false">IF($W184="","",N(INDEX(发票统计!S$4:S$1003,$W184)))</f>
        <v/>
      </c>
      <c r="T184" s="56" t="str">
        <f aca="false">IF($W184="","",SUM(Q$4:Q184)-SUM(R$4:R184)-SUM(S$4:S184))</f>
        <v/>
      </c>
      <c r="U184" s="56" t="str">
        <f aca="false">IF($W184="","",INDEX(发票统计!U$4:U$1003,$W184)&amp;"")</f>
        <v/>
      </c>
      <c r="W184" s="1" t="str">
        <f aca="false">IF($V$3="","",IFERROR(MATCH($V$3&amp;"#"&amp;ROWS(W$4:W184),发票统计!$W$4:$W$1003,0),""))</f>
        <v/>
      </c>
    </row>
    <row r="185" customFormat="false" ht="16.5" hidden="false" customHeight="false" outlineLevel="0" collapsed="false">
      <c r="A185" s="3" t="str">
        <f aca="false">IF($W185="","",INDEX(发票统计!A$4:A$1003,$W185)&amp;"")</f>
        <v/>
      </c>
      <c r="B185" s="3" t="str">
        <f aca="false">IF($W185="","",INDEX(发票统计!B$4:B$1003,$W185)&amp;"")</f>
        <v/>
      </c>
      <c r="C185" s="3" t="str">
        <f aca="false">IF($W185="","",INDEX(发票统计!C$4:C$1003,$W185)&amp;"")</f>
        <v/>
      </c>
      <c r="D185" s="3" t="str">
        <f aca="false">IF($W185="","",INDEX(发票统计!D$4:D$1003,$W185)&amp;"")</f>
        <v/>
      </c>
      <c r="E185" s="67" t="str">
        <f aca="false">IF($W185="","",INDEX(发票统计!E$4:E$1003,$W185)&amp;"")</f>
        <v/>
      </c>
      <c r="F185" s="68" t="str">
        <f aca="false">IF($W185="","",INDEX(发票统计!F$4:F$1003,$W185)&amp;"")</f>
        <v/>
      </c>
      <c r="G185" s="68" t="str">
        <f aca="false">IF($W185="","",IF(INDEX(发票统计!G$4:G$1003,$W185)="","",INDEX(发票统计!G$4:G$1003,$W185)))</f>
        <v/>
      </c>
      <c r="H185" s="56" t="str">
        <f aca="false">IF($W185="","",N(INDEX(发票统计!H$4:H$1003,$W185)))</f>
        <v/>
      </c>
      <c r="I185" s="56" t="str">
        <f aca="false">IF($W185="","",N(INDEX(发票统计!I$4:I$1003,$W185)))</f>
        <v/>
      </c>
      <c r="J185" s="56" t="str">
        <f aca="false">IF($W185="","",N(INDEX(发票统计!J$4:J$1003,$W185)))</f>
        <v/>
      </c>
      <c r="K185" s="56" t="str">
        <f aca="false">IF($W185="","",N(INDEX(发票统计!K$4:K$1003,$W185)))</f>
        <v/>
      </c>
      <c r="L185" s="56" t="str">
        <f aca="false">IF($W185="","",SUM(J$4:J185)-SUM(K$4:K185))</f>
        <v/>
      </c>
      <c r="M185" s="56" t="str">
        <f aca="false">IF($W185="","",N(INDEX(发票统计!M$4:M$1003,$W185)))</f>
        <v/>
      </c>
      <c r="N185" s="56" t="str">
        <f aca="false">IF($W185="","",N(INDEX(发票统计!N$4:N$1003,$W185)))</f>
        <v/>
      </c>
      <c r="O185" s="56" t="str">
        <f aca="false">IF($W185="","",N(INDEX(发票统计!O$4:O$1003,$W185)))</f>
        <v/>
      </c>
      <c r="P185" s="56" t="str">
        <f aca="false">IF($W185="","",SUM(M$4:M185)-SUM(N$4:N185)-SUM(O$4:O185))</f>
        <v/>
      </c>
      <c r="Q185" s="56" t="str">
        <f aca="false">IF($W185="","",N(INDEX(发票统计!Q$4:Q$1003,$W185)))</f>
        <v/>
      </c>
      <c r="R185" s="56" t="str">
        <f aca="false">IF($W185="","",N(INDEX(发票统计!R$4:R$1003,$W185)))</f>
        <v/>
      </c>
      <c r="S185" s="56" t="str">
        <f aca="false">IF($W185="","",N(INDEX(发票统计!S$4:S$1003,$W185)))</f>
        <v/>
      </c>
      <c r="T185" s="56" t="str">
        <f aca="false">IF($W185="","",SUM(Q$4:Q185)-SUM(R$4:R185)-SUM(S$4:S185))</f>
        <v/>
      </c>
      <c r="U185" s="56" t="str">
        <f aca="false">IF($W185="","",INDEX(发票统计!U$4:U$1003,$W185)&amp;"")</f>
        <v/>
      </c>
      <c r="W185" s="1" t="str">
        <f aca="false">IF($V$3="","",IFERROR(MATCH($V$3&amp;"#"&amp;ROWS(W$4:W185),发票统计!$W$4:$W$1003,0),""))</f>
        <v/>
      </c>
    </row>
    <row r="186" customFormat="false" ht="16.5" hidden="false" customHeight="false" outlineLevel="0" collapsed="false">
      <c r="A186" s="3" t="str">
        <f aca="false">IF($W186="","",INDEX(发票统计!A$4:A$1003,$W186)&amp;"")</f>
        <v/>
      </c>
      <c r="B186" s="3" t="str">
        <f aca="false">IF($W186="","",INDEX(发票统计!B$4:B$1003,$W186)&amp;"")</f>
        <v/>
      </c>
      <c r="C186" s="3" t="str">
        <f aca="false">IF($W186="","",INDEX(发票统计!C$4:C$1003,$W186)&amp;"")</f>
        <v/>
      </c>
      <c r="D186" s="3" t="str">
        <f aca="false">IF($W186="","",INDEX(发票统计!D$4:D$1003,$W186)&amp;"")</f>
        <v/>
      </c>
      <c r="E186" s="67" t="str">
        <f aca="false">IF($W186="","",INDEX(发票统计!E$4:E$1003,$W186)&amp;"")</f>
        <v/>
      </c>
      <c r="F186" s="68" t="str">
        <f aca="false">IF($W186="","",INDEX(发票统计!F$4:F$1003,$W186)&amp;"")</f>
        <v/>
      </c>
      <c r="G186" s="68" t="str">
        <f aca="false">IF($W186="","",IF(INDEX(发票统计!G$4:G$1003,$W186)="","",INDEX(发票统计!G$4:G$1003,$W186)))</f>
        <v/>
      </c>
      <c r="H186" s="56" t="str">
        <f aca="false">IF($W186="","",N(INDEX(发票统计!H$4:H$1003,$W186)))</f>
        <v/>
      </c>
      <c r="I186" s="56" t="str">
        <f aca="false">IF($W186="","",N(INDEX(发票统计!I$4:I$1003,$W186)))</f>
        <v/>
      </c>
      <c r="J186" s="56" t="str">
        <f aca="false">IF($W186="","",N(INDEX(发票统计!J$4:J$1003,$W186)))</f>
        <v/>
      </c>
      <c r="K186" s="56" t="str">
        <f aca="false">IF($W186="","",N(INDEX(发票统计!K$4:K$1003,$W186)))</f>
        <v/>
      </c>
      <c r="L186" s="56" t="str">
        <f aca="false">IF($W186="","",SUM(J$4:J186)-SUM(K$4:K186))</f>
        <v/>
      </c>
      <c r="M186" s="56" t="str">
        <f aca="false">IF($W186="","",N(INDEX(发票统计!M$4:M$1003,$W186)))</f>
        <v/>
      </c>
      <c r="N186" s="56" t="str">
        <f aca="false">IF($W186="","",N(INDEX(发票统计!N$4:N$1003,$W186)))</f>
        <v/>
      </c>
      <c r="O186" s="56" t="str">
        <f aca="false">IF($W186="","",N(INDEX(发票统计!O$4:O$1003,$W186)))</f>
        <v/>
      </c>
      <c r="P186" s="56" t="str">
        <f aca="false">IF($W186="","",SUM(M$4:M186)-SUM(N$4:N186)-SUM(O$4:O186))</f>
        <v/>
      </c>
      <c r="Q186" s="56" t="str">
        <f aca="false">IF($W186="","",N(INDEX(发票统计!Q$4:Q$1003,$W186)))</f>
        <v/>
      </c>
      <c r="R186" s="56" t="str">
        <f aca="false">IF($W186="","",N(INDEX(发票统计!R$4:R$1003,$W186)))</f>
        <v/>
      </c>
      <c r="S186" s="56" t="str">
        <f aca="false">IF($W186="","",N(INDEX(发票统计!S$4:S$1003,$W186)))</f>
        <v/>
      </c>
      <c r="T186" s="56" t="str">
        <f aca="false">IF($W186="","",SUM(Q$4:Q186)-SUM(R$4:R186)-SUM(S$4:S186))</f>
        <v/>
      </c>
      <c r="U186" s="56" t="str">
        <f aca="false">IF($W186="","",INDEX(发票统计!U$4:U$1003,$W186)&amp;"")</f>
        <v/>
      </c>
      <c r="W186" s="1" t="str">
        <f aca="false">IF($V$3="","",IFERROR(MATCH($V$3&amp;"#"&amp;ROWS(W$4:W186),发票统计!$W$4:$W$1003,0),""))</f>
        <v/>
      </c>
    </row>
    <row r="187" customFormat="false" ht="16.5" hidden="false" customHeight="false" outlineLevel="0" collapsed="false">
      <c r="A187" s="3" t="str">
        <f aca="false">IF($W187="","",INDEX(发票统计!A$4:A$1003,$W187)&amp;"")</f>
        <v/>
      </c>
      <c r="B187" s="3" t="str">
        <f aca="false">IF($W187="","",INDEX(发票统计!B$4:B$1003,$W187)&amp;"")</f>
        <v/>
      </c>
      <c r="C187" s="3" t="str">
        <f aca="false">IF($W187="","",INDEX(发票统计!C$4:C$1003,$W187)&amp;"")</f>
        <v/>
      </c>
      <c r="D187" s="3" t="str">
        <f aca="false">IF($W187="","",INDEX(发票统计!D$4:D$1003,$W187)&amp;"")</f>
        <v/>
      </c>
      <c r="E187" s="67" t="str">
        <f aca="false">IF($W187="","",INDEX(发票统计!E$4:E$1003,$W187)&amp;"")</f>
        <v/>
      </c>
      <c r="F187" s="68" t="str">
        <f aca="false">IF($W187="","",INDEX(发票统计!F$4:F$1003,$W187)&amp;"")</f>
        <v/>
      </c>
      <c r="G187" s="68" t="str">
        <f aca="false">IF($W187="","",IF(INDEX(发票统计!G$4:G$1003,$W187)="","",INDEX(发票统计!G$4:G$1003,$W187)))</f>
        <v/>
      </c>
      <c r="H187" s="56" t="str">
        <f aca="false">IF($W187="","",N(INDEX(发票统计!H$4:H$1003,$W187)))</f>
        <v/>
      </c>
      <c r="I187" s="56" t="str">
        <f aca="false">IF($W187="","",N(INDEX(发票统计!I$4:I$1003,$W187)))</f>
        <v/>
      </c>
      <c r="J187" s="56" t="str">
        <f aca="false">IF($W187="","",N(INDEX(发票统计!J$4:J$1003,$W187)))</f>
        <v/>
      </c>
      <c r="K187" s="56" t="str">
        <f aca="false">IF($W187="","",N(INDEX(发票统计!K$4:K$1003,$W187)))</f>
        <v/>
      </c>
      <c r="L187" s="56" t="str">
        <f aca="false">IF($W187="","",SUM(J$4:J187)-SUM(K$4:K187))</f>
        <v/>
      </c>
      <c r="M187" s="56" t="str">
        <f aca="false">IF($W187="","",N(INDEX(发票统计!M$4:M$1003,$W187)))</f>
        <v/>
      </c>
      <c r="N187" s="56" t="str">
        <f aca="false">IF($W187="","",N(INDEX(发票统计!N$4:N$1003,$W187)))</f>
        <v/>
      </c>
      <c r="O187" s="56" t="str">
        <f aca="false">IF($W187="","",N(INDEX(发票统计!O$4:O$1003,$W187)))</f>
        <v/>
      </c>
      <c r="P187" s="56" t="str">
        <f aca="false">IF($W187="","",SUM(M$4:M187)-SUM(N$4:N187)-SUM(O$4:O187))</f>
        <v/>
      </c>
      <c r="Q187" s="56" t="str">
        <f aca="false">IF($W187="","",N(INDEX(发票统计!Q$4:Q$1003,$W187)))</f>
        <v/>
      </c>
      <c r="R187" s="56" t="str">
        <f aca="false">IF($W187="","",N(INDEX(发票统计!R$4:R$1003,$W187)))</f>
        <v/>
      </c>
      <c r="S187" s="56" t="str">
        <f aca="false">IF($W187="","",N(INDEX(发票统计!S$4:S$1003,$W187)))</f>
        <v/>
      </c>
      <c r="T187" s="56" t="str">
        <f aca="false">IF($W187="","",SUM(Q$4:Q187)-SUM(R$4:R187)-SUM(S$4:S187))</f>
        <v/>
      </c>
      <c r="U187" s="56" t="str">
        <f aca="false">IF($W187="","",INDEX(发票统计!U$4:U$1003,$W187)&amp;"")</f>
        <v/>
      </c>
      <c r="W187" s="1" t="str">
        <f aca="false">IF($V$3="","",IFERROR(MATCH($V$3&amp;"#"&amp;ROWS(W$4:W187),发票统计!$W$4:$W$1003,0),""))</f>
        <v/>
      </c>
    </row>
    <row r="188" customFormat="false" ht="16.5" hidden="false" customHeight="false" outlineLevel="0" collapsed="false">
      <c r="A188" s="3" t="str">
        <f aca="false">IF($W188="","",INDEX(发票统计!A$4:A$1003,$W188)&amp;"")</f>
        <v/>
      </c>
      <c r="B188" s="3" t="str">
        <f aca="false">IF($W188="","",INDEX(发票统计!B$4:B$1003,$W188)&amp;"")</f>
        <v/>
      </c>
      <c r="C188" s="3" t="str">
        <f aca="false">IF($W188="","",INDEX(发票统计!C$4:C$1003,$W188)&amp;"")</f>
        <v/>
      </c>
      <c r="D188" s="3" t="str">
        <f aca="false">IF($W188="","",INDEX(发票统计!D$4:D$1003,$W188)&amp;"")</f>
        <v/>
      </c>
      <c r="E188" s="67" t="str">
        <f aca="false">IF($W188="","",INDEX(发票统计!E$4:E$1003,$W188)&amp;"")</f>
        <v/>
      </c>
      <c r="F188" s="68" t="str">
        <f aca="false">IF($W188="","",INDEX(发票统计!F$4:F$1003,$W188)&amp;"")</f>
        <v/>
      </c>
      <c r="G188" s="68" t="str">
        <f aca="false">IF($W188="","",IF(INDEX(发票统计!G$4:G$1003,$W188)="","",INDEX(发票统计!G$4:G$1003,$W188)))</f>
        <v/>
      </c>
      <c r="H188" s="56" t="str">
        <f aca="false">IF($W188="","",N(INDEX(发票统计!H$4:H$1003,$W188)))</f>
        <v/>
      </c>
      <c r="I188" s="56" t="str">
        <f aca="false">IF($W188="","",N(INDEX(发票统计!I$4:I$1003,$W188)))</f>
        <v/>
      </c>
      <c r="J188" s="56" t="str">
        <f aca="false">IF($W188="","",N(INDEX(发票统计!J$4:J$1003,$W188)))</f>
        <v/>
      </c>
      <c r="K188" s="56" t="str">
        <f aca="false">IF($W188="","",N(INDEX(发票统计!K$4:K$1003,$W188)))</f>
        <v/>
      </c>
      <c r="L188" s="56" t="str">
        <f aca="false">IF($W188="","",SUM(J$4:J188)-SUM(K$4:K188))</f>
        <v/>
      </c>
      <c r="M188" s="56" t="str">
        <f aca="false">IF($W188="","",N(INDEX(发票统计!M$4:M$1003,$W188)))</f>
        <v/>
      </c>
      <c r="N188" s="56" t="str">
        <f aca="false">IF($W188="","",N(INDEX(发票统计!N$4:N$1003,$W188)))</f>
        <v/>
      </c>
      <c r="O188" s="56" t="str">
        <f aca="false">IF($W188="","",N(INDEX(发票统计!O$4:O$1003,$W188)))</f>
        <v/>
      </c>
      <c r="P188" s="56" t="str">
        <f aca="false">IF($W188="","",SUM(M$4:M188)-SUM(N$4:N188)-SUM(O$4:O188))</f>
        <v/>
      </c>
      <c r="Q188" s="56" t="str">
        <f aca="false">IF($W188="","",N(INDEX(发票统计!Q$4:Q$1003,$W188)))</f>
        <v/>
      </c>
      <c r="R188" s="56" t="str">
        <f aca="false">IF($W188="","",N(INDEX(发票统计!R$4:R$1003,$W188)))</f>
        <v/>
      </c>
      <c r="S188" s="56" t="str">
        <f aca="false">IF($W188="","",N(INDEX(发票统计!S$4:S$1003,$W188)))</f>
        <v/>
      </c>
      <c r="T188" s="56" t="str">
        <f aca="false">IF($W188="","",SUM(Q$4:Q188)-SUM(R$4:R188)-SUM(S$4:S188))</f>
        <v/>
      </c>
      <c r="U188" s="56" t="str">
        <f aca="false">IF($W188="","",INDEX(发票统计!U$4:U$1003,$W188)&amp;"")</f>
        <v/>
      </c>
      <c r="W188" s="1" t="str">
        <f aca="false">IF($V$3="","",IFERROR(MATCH($V$3&amp;"#"&amp;ROWS(W$4:W188),发票统计!$W$4:$W$1003,0),""))</f>
        <v/>
      </c>
    </row>
    <row r="189" customFormat="false" ht="16.5" hidden="false" customHeight="false" outlineLevel="0" collapsed="false">
      <c r="A189" s="3" t="str">
        <f aca="false">IF($W189="","",INDEX(发票统计!A$4:A$1003,$W189)&amp;"")</f>
        <v/>
      </c>
      <c r="B189" s="3" t="str">
        <f aca="false">IF($W189="","",INDEX(发票统计!B$4:B$1003,$W189)&amp;"")</f>
        <v/>
      </c>
      <c r="C189" s="3" t="str">
        <f aca="false">IF($W189="","",INDEX(发票统计!C$4:C$1003,$W189)&amp;"")</f>
        <v/>
      </c>
      <c r="D189" s="3" t="str">
        <f aca="false">IF($W189="","",INDEX(发票统计!D$4:D$1003,$W189)&amp;"")</f>
        <v/>
      </c>
      <c r="E189" s="67" t="str">
        <f aca="false">IF($W189="","",INDEX(发票统计!E$4:E$1003,$W189)&amp;"")</f>
        <v/>
      </c>
      <c r="F189" s="68" t="str">
        <f aca="false">IF($W189="","",INDEX(发票统计!F$4:F$1003,$W189)&amp;"")</f>
        <v/>
      </c>
      <c r="G189" s="68" t="str">
        <f aca="false">IF($W189="","",IF(INDEX(发票统计!G$4:G$1003,$W189)="","",INDEX(发票统计!G$4:G$1003,$W189)))</f>
        <v/>
      </c>
      <c r="H189" s="56" t="str">
        <f aca="false">IF($W189="","",N(INDEX(发票统计!H$4:H$1003,$W189)))</f>
        <v/>
      </c>
      <c r="I189" s="56" t="str">
        <f aca="false">IF($W189="","",N(INDEX(发票统计!I$4:I$1003,$W189)))</f>
        <v/>
      </c>
      <c r="J189" s="56" t="str">
        <f aca="false">IF($W189="","",N(INDEX(发票统计!J$4:J$1003,$W189)))</f>
        <v/>
      </c>
      <c r="K189" s="56" t="str">
        <f aca="false">IF($W189="","",N(INDEX(发票统计!K$4:K$1003,$W189)))</f>
        <v/>
      </c>
      <c r="L189" s="56" t="str">
        <f aca="false">IF($W189="","",SUM(J$4:J189)-SUM(K$4:K189))</f>
        <v/>
      </c>
      <c r="M189" s="56" t="str">
        <f aca="false">IF($W189="","",N(INDEX(发票统计!M$4:M$1003,$W189)))</f>
        <v/>
      </c>
      <c r="N189" s="56" t="str">
        <f aca="false">IF($W189="","",N(INDEX(发票统计!N$4:N$1003,$W189)))</f>
        <v/>
      </c>
      <c r="O189" s="56" t="str">
        <f aca="false">IF($W189="","",N(INDEX(发票统计!O$4:O$1003,$W189)))</f>
        <v/>
      </c>
      <c r="P189" s="56" t="str">
        <f aca="false">IF($W189="","",SUM(M$4:M189)-SUM(N$4:N189)-SUM(O$4:O189))</f>
        <v/>
      </c>
      <c r="Q189" s="56" t="str">
        <f aca="false">IF($W189="","",N(INDEX(发票统计!Q$4:Q$1003,$W189)))</f>
        <v/>
      </c>
      <c r="R189" s="56" t="str">
        <f aca="false">IF($W189="","",N(INDEX(发票统计!R$4:R$1003,$W189)))</f>
        <v/>
      </c>
      <c r="S189" s="56" t="str">
        <f aca="false">IF($W189="","",N(INDEX(发票统计!S$4:S$1003,$W189)))</f>
        <v/>
      </c>
      <c r="T189" s="56" t="str">
        <f aca="false">IF($W189="","",SUM(Q$4:Q189)-SUM(R$4:R189)-SUM(S$4:S189))</f>
        <v/>
      </c>
      <c r="U189" s="56" t="str">
        <f aca="false">IF($W189="","",INDEX(发票统计!U$4:U$1003,$W189)&amp;"")</f>
        <v/>
      </c>
      <c r="W189" s="1" t="str">
        <f aca="false">IF($V$3="","",IFERROR(MATCH($V$3&amp;"#"&amp;ROWS(W$4:W189),发票统计!$W$4:$W$1003,0),""))</f>
        <v/>
      </c>
    </row>
    <row r="190" customFormat="false" ht="16.5" hidden="false" customHeight="false" outlineLevel="0" collapsed="false">
      <c r="A190" s="3" t="str">
        <f aca="false">IF($W190="","",INDEX(发票统计!A$4:A$1003,$W190)&amp;"")</f>
        <v/>
      </c>
      <c r="B190" s="3" t="str">
        <f aca="false">IF($W190="","",INDEX(发票统计!B$4:B$1003,$W190)&amp;"")</f>
        <v/>
      </c>
      <c r="C190" s="3" t="str">
        <f aca="false">IF($W190="","",INDEX(发票统计!C$4:C$1003,$W190)&amp;"")</f>
        <v/>
      </c>
      <c r="D190" s="3" t="str">
        <f aca="false">IF($W190="","",INDEX(发票统计!D$4:D$1003,$W190)&amp;"")</f>
        <v/>
      </c>
      <c r="E190" s="67" t="str">
        <f aca="false">IF($W190="","",INDEX(发票统计!E$4:E$1003,$W190)&amp;"")</f>
        <v/>
      </c>
      <c r="F190" s="68" t="str">
        <f aca="false">IF($W190="","",INDEX(发票统计!F$4:F$1003,$W190)&amp;"")</f>
        <v/>
      </c>
      <c r="G190" s="68" t="str">
        <f aca="false">IF($W190="","",IF(INDEX(发票统计!G$4:G$1003,$W190)="","",INDEX(发票统计!G$4:G$1003,$W190)))</f>
        <v/>
      </c>
      <c r="H190" s="56" t="str">
        <f aca="false">IF($W190="","",N(INDEX(发票统计!H$4:H$1003,$W190)))</f>
        <v/>
      </c>
      <c r="I190" s="56" t="str">
        <f aca="false">IF($W190="","",N(INDEX(发票统计!I$4:I$1003,$W190)))</f>
        <v/>
      </c>
      <c r="J190" s="56" t="str">
        <f aca="false">IF($W190="","",N(INDEX(发票统计!J$4:J$1003,$W190)))</f>
        <v/>
      </c>
      <c r="K190" s="56" t="str">
        <f aca="false">IF($W190="","",N(INDEX(发票统计!K$4:K$1003,$W190)))</f>
        <v/>
      </c>
      <c r="L190" s="56" t="str">
        <f aca="false">IF($W190="","",SUM(J$4:J190)-SUM(K$4:K190))</f>
        <v/>
      </c>
      <c r="M190" s="56" t="str">
        <f aca="false">IF($W190="","",N(INDEX(发票统计!M$4:M$1003,$W190)))</f>
        <v/>
      </c>
      <c r="N190" s="56" t="str">
        <f aca="false">IF($W190="","",N(INDEX(发票统计!N$4:N$1003,$W190)))</f>
        <v/>
      </c>
      <c r="O190" s="56" t="str">
        <f aca="false">IF($W190="","",N(INDEX(发票统计!O$4:O$1003,$W190)))</f>
        <v/>
      </c>
      <c r="P190" s="56" t="str">
        <f aca="false">IF($W190="","",SUM(M$4:M190)-SUM(N$4:N190)-SUM(O$4:O190))</f>
        <v/>
      </c>
      <c r="Q190" s="56" t="str">
        <f aca="false">IF($W190="","",N(INDEX(发票统计!Q$4:Q$1003,$W190)))</f>
        <v/>
      </c>
      <c r="R190" s="56" t="str">
        <f aca="false">IF($W190="","",N(INDEX(发票统计!R$4:R$1003,$W190)))</f>
        <v/>
      </c>
      <c r="S190" s="56" t="str">
        <f aca="false">IF($W190="","",N(INDEX(发票统计!S$4:S$1003,$W190)))</f>
        <v/>
      </c>
      <c r="T190" s="56" t="str">
        <f aca="false">IF($W190="","",SUM(Q$4:Q190)-SUM(R$4:R190)-SUM(S$4:S190))</f>
        <v/>
      </c>
      <c r="U190" s="56" t="str">
        <f aca="false">IF($W190="","",INDEX(发票统计!U$4:U$1003,$W190)&amp;"")</f>
        <v/>
      </c>
      <c r="W190" s="1" t="str">
        <f aca="false">IF($V$3="","",IFERROR(MATCH($V$3&amp;"#"&amp;ROWS(W$4:W190),发票统计!$W$4:$W$1003,0),""))</f>
        <v/>
      </c>
    </row>
    <row r="191" customFormat="false" ht="16.5" hidden="false" customHeight="false" outlineLevel="0" collapsed="false">
      <c r="A191" s="3" t="str">
        <f aca="false">IF($W191="","",INDEX(发票统计!A$4:A$1003,$W191)&amp;"")</f>
        <v/>
      </c>
      <c r="B191" s="3" t="str">
        <f aca="false">IF($W191="","",INDEX(发票统计!B$4:B$1003,$W191)&amp;"")</f>
        <v/>
      </c>
      <c r="C191" s="3" t="str">
        <f aca="false">IF($W191="","",INDEX(发票统计!C$4:C$1003,$W191)&amp;"")</f>
        <v/>
      </c>
      <c r="D191" s="3" t="str">
        <f aca="false">IF($W191="","",INDEX(发票统计!D$4:D$1003,$W191)&amp;"")</f>
        <v/>
      </c>
      <c r="E191" s="67" t="str">
        <f aca="false">IF($W191="","",INDEX(发票统计!E$4:E$1003,$W191)&amp;"")</f>
        <v/>
      </c>
      <c r="F191" s="68" t="str">
        <f aca="false">IF($W191="","",INDEX(发票统计!F$4:F$1003,$W191)&amp;"")</f>
        <v/>
      </c>
      <c r="G191" s="68" t="str">
        <f aca="false">IF($W191="","",IF(INDEX(发票统计!G$4:G$1003,$W191)="","",INDEX(发票统计!G$4:G$1003,$W191)))</f>
        <v/>
      </c>
      <c r="H191" s="56" t="str">
        <f aca="false">IF($W191="","",N(INDEX(发票统计!H$4:H$1003,$W191)))</f>
        <v/>
      </c>
      <c r="I191" s="56" t="str">
        <f aca="false">IF($W191="","",N(INDEX(发票统计!I$4:I$1003,$W191)))</f>
        <v/>
      </c>
      <c r="J191" s="56" t="str">
        <f aca="false">IF($W191="","",N(INDEX(发票统计!J$4:J$1003,$W191)))</f>
        <v/>
      </c>
      <c r="K191" s="56" t="str">
        <f aca="false">IF($W191="","",N(INDEX(发票统计!K$4:K$1003,$W191)))</f>
        <v/>
      </c>
      <c r="L191" s="56" t="str">
        <f aca="false">IF($W191="","",SUM(J$4:J191)-SUM(K$4:K191))</f>
        <v/>
      </c>
      <c r="M191" s="56" t="str">
        <f aca="false">IF($W191="","",N(INDEX(发票统计!M$4:M$1003,$W191)))</f>
        <v/>
      </c>
      <c r="N191" s="56" t="str">
        <f aca="false">IF($W191="","",N(INDEX(发票统计!N$4:N$1003,$W191)))</f>
        <v/>
      </c>
      <c r="O191" s="56" t="str">
        <f aca="false">IF($W191="","",N(INDEX(发票统计!O$4:O$1003,$W191)))</f>
        <v/>
      </c>
      <c r="P191" s="56" t="str">
        <f aca="false">IF($W191="","",SUM(M$4:M191)-SUM(N$4:N191)-SUM(O$4:O191))</f>
        <v/>
      </c>
      <c r="Q191" s="56" t="str">
        <f aca="false">IF($W191="","",N(INDEX(发票统计!Q$4:Q$1003,$W191)))</f>
        <v/>
      </c>
      <c r="R191" s="56" t="str">
        <f aca="false">IF($W191="","",N(INDEX(发票统计!R$4:R$1003,$W191)))</f>
        <v/>
      </c>
      <c r="S191" s="56" t="str">
        <f aca="false">IF($W191="","",N(INDEX(发票统计!S$4:S$1003,$W191)))</f>
        <v/>
      </c>
      <c r="T191" s="56" t="str">
        <f aca="false">IF($W191="","",SUM(Q$4:Q191)-SUM(R$4:R191)-SUM(S$4:S191))</f>
        <v/>
      </c>
      <c r="U191" s="56" t="str">
        <f aca="false">IF($W191="","",INDEX(发票统计!U$4:U$1003,$W191)&amp;"")</f>
        <v/>
      </c>
      <c r="W191" s="1" t="str">
        <f aca="false">IF($V$3="","",IFERROR(MATCH($V$3&amp;"#"&amp;ROWS(W$4:W191),发票统计!$W$4:$W$1003,0),""))</f>
        <v/>
      </c>
    </row>
    <row r="192" customFormat="false" ht="16.5" hidden="false" customHeight="false" outlineLevel="0" collapsed="false">
      <c r="A192" s="3" t="str">
        <f aca="false">IF($W192="","",INDEX(发票统计!A$4:A$1003,$W192)&amp;"")</f>
        <v/>
      </c>
      <c r="B192" s="3" t="str">
        <f aca="false">IF($W192="","",INDEX(发票统计!B$4:B$1003,$W192)&amp;"")</f>
        <v/>
      </c>
      <c r="C192" s="3" t="str">
        <f aca="false">IF($W192="","",INDEX(发票统计!C$4:C$1003,$W192)&amp;"")</f>
        <v/>
      </c>
      <c r="D192" s="3" t="str">
        <f aca="false">IF($W192="","",INDEX(发票统计!D$4:D$1003,$W192)&amp;"")</f>
        <v/>
      </c>
      <c r="E192" s="67" t="str">
        <f aca="false">IF($W192="","",INDEX(发票统计!E$4:E$1003,$W192)&amp;"")</f>
        <v/>
      </c>
      <c r="F192" s="68" t="str">
        <f aca="false">IF($W192="","",INDEX(发票统计!F$4:F$1003,$W192)&amp;"")</f>
        <v/>
      </c>
      <c r="G192" s="68" t="str">
        <f aca="false">IF($W192="","",IF(INDEX(发票统计!G$4:G$1003,$W192)="","",INDEX(发票统计!G$4:G$1003,$W192)))</f>
        <v/>
      </c>
      <c r="H192" s="56" t="str">
        <f aca="false">IF($W192="","",N(INDEX(发票统计!H$4:H$1003,$W192)))</f>
        <v/>
      </c>
      <c r="I192" s="56" t="str">
        <f aca="false">IF($W192="","",N(INDEX(发票统计!I$4:I$1003,$W192)))</f>
        <v/>
      </c>
      <c r="J192" s="56" t="str">
        <f aca="false">IF($W192="","",N(INDEX(发票统计!J$4:J$1003,$W192)))</f>
        <v/>
      </c>
      <c r="K192" s="56" t="str">
        <f aca="false">IF($W192="","",N(INDEX(发票统计!K$4:K$1003,$W192)))</f>
        <v/>
      </c>
      <c r="L192" s="56" t="str">
        <f aca="false">IF($W192="","",SUM(J$4:J192)-SUM(K$4:K192))</f>
        <v/>
      </c>
      <c r="M192" s="56" t="str">
        <f aca="false">IF($W192="","",N(INDEX(发票统计!M$4:M$1003,$W192)))</f>
        <v/>
      </c>
      <c r="N192" s="56" t="str">
        <f aca="false">IF($W192="","",N(INDEX(发票统计!N$4:N$1003,$W192)))</f>
        <v/>
      </c>
      <c r="O192" s="56" t="str">
        <f aca="false">IF($W192="","",N(INDEX(发票统计!O$4:O$1003,$W192)))</f>
        <v/>
      </c>
      <c r="P192" s="56" t="str">
        <f aca="false">IF($W192="","",SUM(M$4:M192)-SUM(N$4:N192)-SUM(O$4:O192))</f>
        <v/>
      </c>
      <c r="Q192" s="56" t="str">
        <f aca="false">IF($W192="","",N(INDEX(发票统计!Q$4:Q$1003,$W192)))</f>
        <v/>
      </c>
      <c r="R192" s="56" t="str">
        <f aca="false">IF($W192="","",N(INDEX(发票统计!R$4:R$1003,$W192)))</f>
        <v/>
      </c>
      <c r="S192" s="56" t="str">
        <f aca="false">IF($W192="","",N(INDEX(发票统计!S$4:S$1003,$W192)))</f>
        <v/>
      </c>
      <c r="T192" s="56" t="str">
        <f aca="false">IF($W192="","",SUM(Q$4:Q192)-SUM(R$4:R192)-SUM(S$4:S192))</f>
        <v/>
      </c>
      <c r="U192" s="56" t="str">
        <f aca="false">IF($W192="","",INDEX(发票统计!U$4:U$1003,$W192)&amp;"")</f>
        <v/>
      </c>
      <c r="W192" s="1" t="str">
        <f aca="false">IF($V$3="","",IFERROR(MATCH($V$3&amp;"#"&amp;ROWS(W$4:W192),发票统计!$W$4:$W$1003,0),""))</f>
        <v/>
      </c>
    </row>
    <row r="193" customFormat="false" ht="16.5" hidden="false" customHeight="false" outlineLevel="0" collapsed="false">
      <c r="A193" s="3" t="str">
        <f aca="false">IF($W193="","",INDEX(发票统计!A$4:A$1003,$W193)&amp;"")</f>
        <v/>
      </c>
      <c r="B193" s="3" t="str">
        <f aca="false">IF($W193="","",INDEX(发票统计!B$4:B$1003,$W193)&amp;"")</f>
        <v/>
      </c>
      <c r="C193" s="3" t="str">
        <f aca="false">IF($W193="","",INDEX(发票统计!C$4:C$1003,$W193)&amp;"")</f>
        <v/>
      </c>
      <c r="D193" s="3" t="str">
        <f aca="false">IF($W193="","",INDEX(发票统计!D$4:D$1003,$W193)&amp;"")</f>
        <v/>
      </c>
      <c r="E193" s="67" t="str">
        <f aca="false">IF($W193="","",INDEX(发票统计!E$4:E$1003,$W193)&amp;"")</f>
        <v/>
      </c>
      <c r="F193" s="68" t="str">
        <f aca="false">IF($W193="","",INDEX(发票统计!F$4:F$1003,$W193)&amp;"")</f>
        <v/>
      </c>
      <c r="G193" s="68" t="str">
        <f aca="false">IF($W193="","",IF(INDEX(发票统计!G$4:G$1003,$W193)="","",INDEX(发票统计!G$4:G$1003,$W193)))</f>
        <v/>
      </c>
      <c r="H193" s="56" t="str">
        <f aca="false">IF($W193="","",N(INDEX(发票统计!H$4:H$1003,$W193)))</f>
        <v/>
      </c>
      <c r="I193" s="56" t="str">
        <f aca="false">IF($W193="","",N(INDEX(发票统计!I$4:I$1003,$W193)))</f>
        <v/>
      </c>
      <c r="J193" s="56" t="str">
        <f aca="false">IF($W193="","",N(INDEX(发票统计!J$4:J$1003,$W193)))</f>
        <v/>
      </c>
      <c r="K193" s="56" t="str">
        <f aca="false">IF($W193="","",N(INDEX(发票统计!K$4:K$1003,$W193)))</f>
        <v/>
      </c>
      <c r="L193" s="56" t="str">
        <f aca="false">IF($W193="","",SUM(J$4:J193)-SUM(K$4:K193))</f>
        <v/>
      </c>
      <c r="M193" s="56" t="str">
        <f aca="false">IF($W193="","",N(INDEX(发票统计!M$4:M$1003,$W193)))</f>
        <v/>
      </c>
      <c r="N193" s="56" t="str">
        <f aca="false">IF($W193="","",N(INDEX(发票统计!N$4:N$1003,$W193)))</f>
        <v/>
      </c>
      <c r="O193" s="56" t="str">
        <f aca="false">IF($W193="","",N(INDEX(发票统计!O$4:O$1003,$W193)))</f>
        <v/>
      </c>
      <c r="P193" s="56" t="str">
        <f aca="false">IF($W193="","",SUM(M$4:M193)-SUM(N$4:N193)-SUM(O$4:O193))</f>
        <v/>
      </c>
      <c r="Q193" s="56" t="str">
        <f aca="false">IF($W193="","",N(INDEX(发票统计!Q$4:Q$1003,$W193)))</f>
        <v/>
      </c>
      <c r="R193" s="56" t="str">
        <f aca="false">IF($W193="","",N(INDEX(发票统计!R$4:R$1003,$W193)))</f>
        <v/>
      </c>
      <c r="S193" s="56" t="str">
        <f aca="false">IF($W193="","",N(INDEX(发票统计!S$4:S$1003,$W193)))</f>
        <v/>
      </c>
      <c r="T193" s="56" t="str">
        <f aca="false">IF($W193="","",SUM(Q$4:Q193)-SUM(R$4:R193)-SUM(S$4:S193))</f>
        <v/>
      </c>
      <c r="U193" s="56" t="str">
        <f aca="false">IF($W193="","",INDEX(发票统计!U$4:U$1003,$W193)&amp;"")</f>
        <v/>
      </c>
      <c r="W193" s="1" t="str">
        <f aca="false">IF($V$3="","",IFERROR(MATCH($V$3&amp;"#"&amp;ROWS(W$4:W193),发票统计!$W$4:$W$1003,0),""))</f>
        <v/>
      </c>
    </row>
    <row r="194" customFormat="false" ht="16.5" hidden="false" customHeight="false" outlineLevel="0" collapsed="false">
      <c r="A194" s="3" t="str">
        <f aca="false">IF($W194="","",INDEX(发票统计!A$4:A$1003,$W194)&amp;"")</f>
        <v/>
      </c>
      <c r="B194" s="3" t="str">
        <f aca="false">IF($W194="","",INDEX(发票统计!B$4:B$1003,$W194)&amp;"")</f>
        <v/>
      </c>
      <c r="C194" s="3" t="str">
        <f aca="false">IF($W194="","",INDEX(发票统计!C$4:C$1003,$W194)&amp;"")</f>
        <v/>
      </c>
      <c r="D194" s="3" t="str">
        <f aca="false">IF($W194="","",INDEX(发票统计!D$4:D$1003,$W194)&amp;"")</f>
        <v/>
      </c>
      <c r="E194" s="67" t="str">
        <f aca="false">IF($W194="","",INDEX(发票统计!E$4:E$1003,$W194)&amp;"")</f>
        <v/>
      </c>
      <c r="F194" s="68" t="str">
        <f aca="false">IF($W194="","",INDEX(发票统计!F$4:F$1003,$W194)&amp;"")</f>
        <v/>
      </c>
      <c r="G194" s="68" t="str">
        <f aca="false">IF($W194="","",IF(INDEX(发票统计!G$4:G$1003,$W194)="","",INDEX(发票统计!G$4:G$1003,$W194)))</f>
        <v/>
      </c>
      <c r="H194" s="56" t="str">
        <f aca="false">IF($W194="","",N(INDEX(发票统计!H$4:H$1003,$W194)))</f>
        <v/>
      </c>
      <c r="I194" s="56" t="str">
        <f aca="false">IF($W194="","",N(INDEX(发票统计!I$4:I$1003,$W194)))</f>
        <v/>
      </c>
      <c r="J194" s="56" t="str">
        <f aca="false">IF($W194="","",N(INDEX(发票统计!J$4:J$1003,$W194)))</f>
        <v/>
      </c>
      <c r="K194" s="56" t="str">
        <f aca="false">IF($W194="","",N(INDEX(发票统计!K$4:K$1003,$W194)))</f>
        <v/>
      </c>
      <c r="L194" s="56" t="str">
        <f aca="false">IF($W194="","",SUM(J$4:J194)-SUM(K$4:K194))</f>
        <v/>
      </c>
      <c r="M194" s="56" t="str">
        <f aca="false">IF($W194="","",N(INDEX(发票统计!M$4:M$1003,$W194)))</f>
        <v/>
      </c>
      <c r="N194" s="56" t="str">
        <f aca="false">IF($W194="","",N(INDEX(发票统计!N$4:N$1003,$W194)))</f>
        <v/>
      </c>
      <c r="O194" s="56" t="str">
        <f aca="false">IF($W194="","",N(INDEX(发票统计!O$4:O$1003,$W194)))</f>
        <v/>
      </c>
      <c r="P194" s="56" t="str">
        <f aca="false">IF($W194="","",SUM(M$4:M194)-SUM(N$4:N194)-SUM(O$4:O194))</f>
        <v/>
      </c>
      <c r="Q194" s="56" t="str">
        <f aca="false">IF($W194="","",N(INDEX(发票统计!Q$4:Q$1003,$W194)))</f>
        <v/>
      </c>
      <c r="R194" s="56" t="str">
        <f aca="false">IF($W194="","",N(INDEX(发票统计!R$4:R$1003,$W194)))</f>
        <v/>
      </c>
      <c r="S194" s="56" t="str">
        <f aca="false">IF($W194="","",N(INDEX(发票统计!S$4:S$1003,$W194)))</f>
        <v/>
      </c>
      <c r="T194" s="56" t="str">
        <f aca="false">IF($W194="","",SUM(Q$4:Q194)-SUM(R$4:R194)-SUM(S$4:S194))</f>
        <v/>
      </c>
      <c r="U194" s="56" t="str">
        <f aca="false">IF($W194="","",INDEX(发票统计!U$4:U$1003,$W194)&amp;"")</f>
        <v/>
      </c>
      <c r="W194" s="1" t="str">
        <f aca="false">IF($V$3="","",IFERROR(MATCH($V$3&amp;"#"&amp;ROWS(W$4:W194),发票统计!$W$4:$W$1003,0),""))</f>
        <v/>
      </c>
    </row>
    <row r="195" customFormat="false" ht="16.5" hidden="false" customHeight="false" outlineLevel="0" collapsed="false">
      <c r="A195" s="3" t="str">
        <f aca="false">IF($W195="","",INDEX(发票统计!A$4:A$1003,$W195)&amp;"")</f>
        <v/>
      </c>
      <c r="B195" s="3" t="str">
        <f aca="false">IF($W195="","",INDEX(发票统计!B$4:B$1003,$W195)&amp;"")</f>
        <v/>
      </c>
      <c r="C195" s="3" t="str">
        <f aca="false">IF($W195="","",INDEX(发票统计!C$4:C$1003,$W195)&amp;"")</f>
        <v/>
      </c>
      <c r="D195" s="3" t="str">
        <f aca="false">IF($W195="","",INDEX(发票统计!D$4:D$1003,$W195)&amp;"")</f>
        <v/>
      </c>
      <c r="E195" s="67" t="str">
        <f aca="false">IF($W195="","",INDEX(发票统计!E$4:E$1003,$W195)&amp;"")</f>
        <v/>
      </c>
      <c r="F195" s="68" t="str">
        <f aca="false">IF($W195="","",INDEX(发票统计!F$4:F$1003,$W195)&amp;"")</f>
        <v/>
      </c>
      <c r="G195" s="68" t="str">
        <f aca="false">IF($W195="","",IF(INDEX(发票统计!G$4:G$1003,$W195)="","",INDEX(发票统计!G$4:G$1003,$W195)))</f>
        <v/>
      </c>
      <c r="H195" s="56" t="str">
        <f aca="false">IF($W195="","",N(INDEX(发票统计!H$4:H$1003,$W195)))</f>
        <v/>
      </c>
      <c r="I195" s="56" t="str">
        <f aca="false">IF($W195="","",N(INDEX(发票统计!I$4:I$1003,$W195)))</f>
        <v/>
      </c>
      <c r="J195" s="56" t="str">
        <f aca="false">IF($W195="","",N(INDEX(发票统计!J$4:J$1003,$W195)))</f>
        <v/>
      </c>
      <c r="K195" s="56" t="str">
        <f aca="false">IF($W195="","",N(INDEX(发票统计!K$4:K$1003,$W195)))</f>
        <v/>
      </c>
      <c r="L195" s="56" t="str">
        <f aca="false">IF($W195="","",SUM(J$4:J195)-SUM(K$4:K195))</f>
        <v/>
      </c>
      <c r="M195" s="56" t="str">
        <f aca="false">IF($W195="","",N(INDEX(发票统计!M$4:M$1003,$W195)))</f>
        <v/>
      </c>
      <c r="N195" s="56" t="str">
        <f aca="false">IF($W195="","",N(INDEX(发票统计!N$4:N$1003,$W195)))</f>
        <v/>
      </c>
      <c r="O195" s="56" t="str">
        <f aca="false">IF($W195="","",N(INDEX(发票统计!O$4:O$1003,$W195)))</f>
        <v/>
      </c>
      <c r="P195" s="56" t="str">
        <f aca="false">IF($W195="","",SUM(M$4:M195)-SUM(N$4:N195)-SUM(O$4:O195))</f>
        <v/>
      </c>
      <c r="Q195" s="56" t="str">
        <f aca="false">IF($W195="","",N(INDEX(发票统计!Q$4:Q$1003,$W195)))</f>
        <v/>
      </c>
      <c r="R195" s="56" t="str">
        <f aca="false">IF($W195="","",N(INDEX(发票统计!R$4:R$1003,$W195)))</f>
        <v/>
      </c>
      <c r="S195" s="56" t="str">
        <f aca="false">IF($W195="","",N(INDEX(发票统计!S$4:S$1003,$W195)))</f>
        <v/>
      </c>
      <c r="T195" s="56" t="str">
        <f aca="false">IF($W195="","",SUM(Q$4:Q195)-SUM(R$4:R195)-SUM(S$4:S195))</f>
        <v/>
      </c>
      <c r="U195" s="56" t="str">
        <f aca="false">IF($W195="","",INDEX(发票统计!U$4:U$1003,$W195)&amp;"")</f>
        <v/>
      </c>
      <c r="W195" s="1" t="str">
        <f aca="false">IF($V$3="","",IFERROR(MATCH($V$3&amp;"#"&amp;ROWS(W$4:W195),发票统计!$W$4:$W$1003,0),""))</f>
        <v/>
      </c>
    </row>
    <row r="196" customFormat="false" ht="16.5" hidden="false" customHeight="false" outlineLevel="0" collapsed="false">
      <c r="A196" s="3" t="str">
        <f aca="false">IF($W196="","",INDEX(发票统计!A$4:A$1003,$W196)&amp;"")</f>
        <v/>
      </c>
      <c r="B196" s="3" t="str">
        <f aca="false">IF($W196="","",INDEX(发票统计!B$4:B$1003,$W196)&amp;"")</f>
        <v/>
      </c>
      <c r="C196" s="3" t="str">
        <f aca="false">IF($W196="","",INDEX(发票统计!C$4:C$1003,$W196)&amp;"")</f>
        <v/>
      </c>
      <c r="D196" s="3" t="str">
        <f aca="false">IF($W196="","",INDEX(发票统计!D$4:D$1003,$W196)&amp;"")</f>
        <v/>
      </c>
      <c r="E196" s="67" t="str">
        <f aca="false">IF($W196="","",INDEX(发票统计!E$4:E$1003,$W196)&amp;"")</f>
        <v/>
      </c>
      <c r="F196" s="68" t="str">
        <f aca="false">IF($W196="","",INDEX(发票统计!F$4:F$1003,$W196)&amp;"")</f>
        <v/>
      </c>
      <c r="G196" s="68" t="str">
        <f aca="false">IF($W196="","",IF(INDEX(发票统计!G$4:G$1003,$W196)="","",INDEX(发票统计!G$4:G$1003,$W196)))</f>
        <v/>
      </c>
      <c r="H196" s="56" t="str">
        <f aca="false">IF($W196="","",N(INDEX(发票统计!H$4:H$1003,$W196)))</f>
        <v/>
      </c>
      <c r="I196" s="56" t="str">
        <f aca="false">IF($W196="","",N(INDEX(发票统计!I$4:I$1003,$W196)))</f>
        <v/>
      </c>
      <c r="J196" s="56" t="str">
        <f aca="false">IF($W196="","",N(INDEX(发票统计!J$4:J$1003,$W196)))</f>
        <v/>
      </c>
      <c r="K196" s="56" t="str">
        <f aca="false">IF($W196="","",N(INDEX(发票统计!K$4:K$1003,$W196)))</f>
        <v/>
      </c>
      <c r="L196" s="56" t="str">
        <f aca="false">IF($W196="","",SUM(J$4:J196)-SUM(K$4:K196))</f>
        <v/>
      </c>
      <c r="M196" s="56" t="str">
        <f aca="false">IF($W196="","",N(INDEX(发票统计!M$4:M$1003,$W196)))</f>
        <v/>
      </c>
      <c r="N196" s="56" t="str">
        <f aca="false">IF($W196="","",N(INDEX(发票统计!N$4:N$1003,$W196)))</f>
        <v/>
      </c>
      <c r="O196" s="56" t="str">
        <f aca="false">IF($W196="","",N(INDEX(发票统计!O$4:O$1003,$W196)))</f>
        <v/>
      </c>
      <c r="P196" s="56" t="str">
        <f aca="false">IF($W196="","",SUM(M$4:M196)-SUM(N$4:N196)-SUM(O$4:O196))</f>
        <v/>
      </c>
      <c r="Q196" s="56" t="str">
        <f aca="false">IF($W196="","",N(INDEX(发票统计!Q$4:Q$1003,$W196)))</f>
        <v/>
      </c>
      <c r="R196" s="56" t="str">
        <f aca="false">IF($W196="","",N(INDEX(发票统计!R$4:R$1003,$W196)))</f>
        <v/>
      </c>
      <c r="S196" s="56" t="str">
        <f aca="false">IF($W196="","",N(INDEX(发票统计!S$4:S$1003,$W196)))</f>
        <v/>
      </c>
      <c r="T196" s="56" t="str">
        <f aca="false">IF($W196="","",SUM(Q$4:Q196)-SUM(R$4:R196)-SUM(S$4:S196))</f>
        <v/>
      </c>
      <c r="U196" s="56" t="str">
        <f aca="false">IF($W196="","",INDEX(发票统计!U$4:U$1003,$W196)&amp;"")</f>
        <v/>
      </c>
      <c r="W196" s="1" t="str">
        <f aca="false">IF($V$3="","",IFERROR(MATCH($V$3&amp;"#"&amp;ROWS(W$4:W196),发票统计!$W$4:$W$1003,0),""))</f>
        <v/>
      </c>
    </row>
    <row r="197" customFormat="false" ht="16.5" hidden="false" customHeight="false" outlineLevel="0" collapsed="false">
      <c r="A197" s="3" t="str">
        <f aca="false">IF($W197="","",INDEX(发票统计!A$4:A$1003,$W197)&amp;"")</f>
        <v/>
      </c>
      <c r="B197" s="3" t="str">
        <f aca="false">IF($W197="","",INDEX(发票统计!B$4:B$1003,$W197)&amp;"")</f>
        <v/>
      </c>
      <c r="C197" s="3" t="str">
        <f aca="false">IF($W197="","",INDEX(发票统计!C$4:C$1003,$W197)&amp;"")</f>
        <v/>
      </c>
      <c r="D197" s="3" t="str">
        <f aca="false">IF($W197="","",INDEX(发票统计!D$4:D$1003,$W197)&amp;"")</f>
        <v/>
      </c>
      <c r="E197" s="67" t="str">
        <f aca="false">IF($W197="","",INDEX(发票统计!E$4:E$1003,$W197)&amp;"")</f>
        <v/>
      </c>
      <c r="F197" s="68" t="str">
        <f aca="false">IF($W197="","",INDEX(发票统计!F$4:F$1003,$W197)&amp;"")</f>
        <v/>
      </c>
      <c r="G197" s="68" t="str">
        <f aca="false">IF($W197="","",IF(INDEX(发票统计!G$4:G$1003,$W197)="","",INDEX(发票统计!G$4:G$1003,$W197)))</f>
        <v/>
      </c>
      <c r="H197" s="56" t="str">
        <f aca="false">IF($W197="","",N(INDEX(发票统计!H$4:H$1003,$W197)))</f>
        <v/>
      </c>
      <c r="I197" s="56" t="str">
        <f aca="false">IF($W197="","",N(INDEX(发票统计!I$4:I$1003,$W197)))</f>
        <v/>
      </c>
      <c r="J197" s="56" t="str">
        <f aca="false">IF($W197="","",N(INDEX(发票统计!J$4:J$1003,$W197)))</f>
        <v/>
      </c>
      <c r="K197" s="56" t="str">
        <f aca="false">IF($W197="","",N(INDEX(发票统计!K$4:K$1003,$W197)))</f>
        <v/>
      </c>
      <c r="L197" s="56" t="str">
        <f aca="false">IF($W197="","",SUM(J$4:J197)-SUM(K$4:K197))</f>
        <v/>
      </c>
      <c r="M197" s="56" t="str">
        <f aca="false">IF($W197="","",N(INDEX(发票统计!M$4:M$1003,$W197)))</f>
        <v/>
      </c>
      <c r="N197" s="56" t="str">
        <f aca="false">IF($W197="","",N(INDEX(发票统计!N$4:N$1003,$W197)))</f>
        <v/>
      </c>
      <c r="O197" s="56" t="str">
        <f aca="false">IF($W197="","",N(INDEX(发票统计!O$4:O$1003,$W197)))</f>
        <v/>
      </c>
      <c r="P197" s="56" t="str">
        <f aca="false">IF($W197="","",SUM(M$4:M197)-SUM(N$4:N197)-SUM(O$4:O197))</f>
        <v/>
      </c>
      <c r="Q197" s="56" t="str">
        <f aca="false">IF($W197="","",N(INDEX(发票统计!Q$4:Q$1003,$W197)))</f>
        <v/>
      </c>
      <c r="R197" s="56" t="str">
        <f aca="false">IF($W197="","",N(INDEX(发票统计!R$4:R$1003,$W197)))</f>
        <v/>
      </c>
      <c r="S197" s="56" t="str">
        <f aca="false">IF($W197="","",N(INDEX(发票统计!S$4:S$1003,$W197)))</f>
        <v/>
      </c>
      <c r="T197" s="56" t="str">
        <f aca="false">IF($W197="","",SUM(Q$4:Q197)-SUM(R$4:R197)-SUM(S$4:S197))</f>
        <v/>
      </c>
      <c r="U197" s="56" t="str">
        <f aca="false">IF($W197="","",INDEX(发票统计!U$4:U$1003,$W197)&amp;"")</f>
        <v/>
      </c>
      <c r="W197" s="1" t="str">
        <f aca="false">IF($V$3="","",IFERROR(MATCH($V$3&amp;"#"&amp;ROWS(W$4:W197),发票统计!$W$4:$W$1003,0),""))</f>
        <v/>
      </c>
    </row>
    <row r="198" customFormat="false" ht="16.5" hidden="false" customHeight="false" outlineLevel="0" collapsed="false">
      <c r="A198" s="3" t="str">
        <f aca="false">IF($W198="","",INDEX(发票统计!A$4:A$1003,$W198)&amp;"")</f>
        <v/>
      </c>
      <c r="B198" s="3" t="str">
        <f aca="false">IF($W198="","",INDEX(发票统计!B$4:B$1003,$W198)&amp;"")</f>
        <v/>
      </c>
      <c r="C198" s="3" t="str">
        <f aca="false">IF($W198="","",INDEX(发票统计!C$4:C$1003,$W198)&amp;"")</f>
        <v/>
      </c>
      <c r="D198" s="3" t="str">
        <f aca="false">IF($W198="","",INDEX(发票统计!D$4:D$1003,$W198)&amp;"")</f>
        <v/>
      </c>
      <c r="E198" s="67" t="str">
        <f aca="false">IF($W198="","",INDEX(发票统计!E$4:E$1003,$W198)&amp;"")</f>
        <v/>
      </c>
      <c r="F198" s="68" t="str">
        <f aca="false">IF($W198="","",INDEX(发票统计!F$4:F$1003,$W198)&amp;"")</f>
        <v/>
      </c>
      <c r="G198" s="68" t="str">
        <f aca="false">IF($W198="","",IF(INDEX(发票统计!G$4:G$1003,$W198)="","",INDEX(发票统计!G$4:G$1003,$W198)))</f>
        <v/>
      </c>
      <c r="H198" s="56" t="str">
        <f aca="false">IF($W198="","",N(INDEX(发票统计!H$4:H$1003,$W198)))</f>
        <v/>
      </c>
      <c r="I198" s="56" t="str">
        <f aca="false">IF($W198="","",N(INDEX(发票统计!I$4:I$1003,$W198)))</f>
        <v/>
      </c>
      <c r="J198" s="56" t="str">
        <f aca="false">IF($W198="","",N(INDEX(发票统计!J$4:J$1003,$W198)))</f>
        <v/>
      </c>
      <c r="K198" s="56" t="str">
        <f aca="false">IF($W198="","",N(INDEX(发票统计!K$4:K$1003,$W198)))</f>
        <v/>
      </c>
      <c r="L198" s="56" t="str">
        <f aca="false">IF($W198="","",SUM(J$4:J198)-SUM(K$4:K198))</f>
        <v/>
      </c>
      <c r="M198" s="56" t="str">
        <f aca="false">IF($W198="","",N(INDEX(发票统计!M$4:M$1003,$W198)))</f>
        <v/>
      </c>
      <c r="N198" s="56" t="str">
        <f aca="false">IF($W198="","",N(INDEX(发票统计!N$4:N$1003,$W198)))</f>
        <v/>
      </c>
      <c r="O198" s="56" t="str">
        <f aca="false">IF($W198="","",N(INDEX(发票统计!O$4:O$1003,$W198)))</f>
        <v/>
      </c>
      <c r="P198" s="56" t="str">
        <f aca="false">IF($W198="","",SUM(M$4:M198)-SUM(N$4:N198)-SUM(O$4:O198))</f>
        <v/>
      </c>
      <c r="Q198" s="56" t="str">
        <f aca="false">IF($W198="","",N(INDEX(发票统计!Q$4:Q$1003,$W198)))</f>
        <v/>
      </c>
      <c r="R198" s="56" t="str">
        <f aca="false">IF($W198="","",N(INDEX(发票统计!R$4:R$1003,$W198)))</f>
        <v/>
      </c>
      <c r="S198" s="56" t="str">
        <f aca="false">IF($W198="","",N(INDEX(发票统计!S$4:S$1003,$W198)))</f>
        <v/>
      </c>
      <c r="T198" s="56" t="str">
        <f aca="false">IF($W198="","",SUM(Q$4:Q198)-SUM(R$4:R198)-SUM(S$4:S198))</f>
        <v/>
      </c>
      <c r="U198" s="56" t="str">
        <f aca="false">IF($W198="","",INDEX(发票统计!U$4:U$1003,$W198)&amp;"")</f>
        <v/>
      </c>
      <c r="W198" s="1" t="str">
        <f aca="false">IF($V$3="","",IFERROR(MATCH($V$3&amp;"#"&amp;ROWS(W$4:W198),发票统计!$W$4:$W$1003,0),""))</f>
        <v/>
      </c>
    </row>
    <row r="199" customFormat="false" ht="16.5" hidden="false" customHeight="false" outlineLevel="0" collapsed="false">
      <c r="A199" s="3" t="str">
        <f aca="false">IF($W199="","",INDEX(发票统计!A$4:A$1003,$W199)&amp;"")</f>
        <v/>
      </c>
      <c r="B199" s="3" t="str">
        <f aca="false">IF($W199="","",INDEX(发票统计!B$4:B$1003,$W199)&amp;"")</f>
        <v/>
      </c>
      <c r="C199" s="3" t="str">
        <f aca="false">IF($W199="","",INDEX(发票统计!C$4:C$1003,$W199)&amp;"")</f>
        <v/>
      </c>
      <c r="D199" s="3" t="str">
        <f aca="false">IF($W199="","",INDEX(发票统计!D$4:D$1003,$W199)&amp;"")</f>
        <v/>
      </c>
      <c r="E199" s="67" t="str">
        <f aca="false">IF($W199="","",INDEX(发票统计!E$4:E$1003,$W199)&amp;"")</f>
        <v/>
      </c>
      <c r="F199" s="68" t="str">
        <f aca="false">IF($W199="","",INDEX(发票统计!F$4:F$1003,$W199)&amp;"")</f>
        <v/>
      </c>
      <c r="G199" s="68" t="str">
        <f aca="false">IF($W199="","",IF(INDEX(发票统计!G$4:G$1003,$W199)="","",INDEX(发票统计!G$4:G$1003,$W199)))</f>
        <v/>
      </c>
      <c r="H199" s="56" t="str">
        <f aca="false">IF($W199="","",N(INDEX(发票统计!H$4:H$1003,$W199)))</f>
        <v/>
      </c>
      <c r="I199" s="56" t="str">
        <f aca="false">IF($W199="","",N(INDEX(发票统计!I$4:I$1003,$W199)))</f>
        <v/>
      </c>
      <c r="J199" s="56" t="str">
        <f aca="false">IF($W199="","",N(INDEX(发票统计!J$4:J$1003,$W199)))</f>
        <v/>
      </c>
      <c r="K199" s="56" t="str">
        <f aca="false">IF($W199="","",N(INDEX(发票统计!K$4:K$1003,$W199)))</f>
        <v/>
      </c>
      <c r="L199" s="56" t="str">
        <f aca="false">IF($W199="","",SUM(J$4:J199)-SUM(K$4:K199))</f>
        <v/>
      </c>
      <c r="M199" s="56" t="str">
        <f aca="false">IF($W199="","",N(INDEX(发票统计!M$4:M$1003,$W199)))</f>
        <v/>
      </c>
      <c r="N199" s="56" t="str">
        <f aca="false">IF($W199="","",N(INDEX(发票统计!N$4:N$1003,$W199)))</f>
        <v/>
      </c>
      <c r="O199" s="56" t="str">
        <f aca="false">IF($W199="","",N(INDEX(发票统计!O$4:O$1003,$W199)))</f>
        <v/>
      </c>
      <c r="P199" s="56" t="str">
        <f aca="false">IF($W199="","",SUM(M$4:M199)-SUM(N$4:N199)-SUM(O$4:O199))</f>
        <v/>
      </c>
      <c r="Q199" s="56" t="str">
        <f aca="false">IF($W199="","",N(INDEX(发票统计!Q$4:Q$1003,$W199)))</f>
        <v/>
      </c>
      <c r="R199" s="56" t="str">
        <f aca="false">IF($W199="","",N(INDEX(发票统计!R$4:R$1003,$W199)))</f>
        <v/>
      </c>
      <c r="S199" s="56" t="str">
        <f aca="false">IF($W199="","",N(INDEX(发票统计!S$4:S$1003,$W199)))</f>
        <v/>
      </c>
      <c r="T199" s="56" t="str">
        <f aca="false">IF($W199="","",SUM(Q$4:Q199)-SUM(R$4:R199)-SUM(S$4:S199))</f>
        <v/>
      </c>
      <c r="U199" s="56" t="str">
        <f aca="false">IF($W199="","",INDEX(发票统计!U$4:U$1003,$W199)&amp;"")</f>
        <v/>
      </c>
      <c r="W199" s="1" t="str">
        <f aca="false">IF($V$3="","",IFERROR(MATCH($V$3&amp;"#"&amp;ROWS(W$4:W199),发票统计!$W$4:$W$1003,0),""))</f>
        <v/>
      </c>
    </row>
    <row r="200" customFormat="false" ht="16.5" hidden="false" customHeight="false" outlineLevel="0" collapsed="false">
      <c r="A200" s="3" t="str">
        <f aca="false">IF($W200="","",INDEX(发票统计!A$4:A$1003,$W200)&amp;"")</f>
        <v/>
      </c>
      <c r="B200" s="3" t="str">
        <f aca="false">IF($W200="","",INDEX(发票统计!B$4:B$1003,$W200)&amp;"")</f>
        <v/>
      </c>
      <c r="C200" s="3" t="str">
        <f aca="false">IF($W200="","",INDEX(发票统计!C$4:C$1003,$W200)&amp;"")</f>
        <v/>
      </c>
      <c r="D200" s="3" t="str">
        <f aca="false">IF($W200="","",INDEX(发票统计!D$4:D$1003,$W200)&amp;"")</f>
        <v/>
      </c>
      <c r="E200" s="67" t="str">
        <f aca="false">IF($W200="","",INDEX(发票统计!E$4:E$1003,$W200)&amp;"")</f>
        <v/>
      </c>
      <c r="F200" s="68" t="str">
        <f aca="false">IF($W200="","",INDEX(发票统计!F$4:F$1003,$W200)&amp;"")</f>
        <v/>
      </c>
      <c r="G200" s="68" t="str">
        <f aca="false">IF($W200="","",IF(INDEX(发票统计!G$4:G$1003,$W200)="","",INDEX(发票统计!G$4:G$1003,$W200)))</f>
        <v/>
      </c>
      <c r="H200" s="56" t="str">
        <f aca="false">IF($W200="","",N(INDEX(发票统计!H$4:H$1003,$W200)))</f>
        <v/>
      </c>
      <c r="I200" s="56" t="str">
        <f aca="false">IF($W200="","",N(INDEX(发票统计!I$4:I$1003,$W200)))</f>
        <v/>
      </c>
      <c r="J200" s="56" t="str">
        <f aca="false">IF($W200="","",N(INDEX(发票统计!J$4:J$1003,$W200)))</f>
        <v/>
      </c>
      <c r="K200" s="56" t="str">
        <f aca="false">IF($W200="","",N(INDEX(发票统计!K$4:K$1003,$W200)))</f>
        <v/>
      </c>
      <c r="L200" s="56" t="str">
        <f aca="false">IF($W200="","",SUM(J$4:J200)-SUM(K$4:K200))</f>
        <v/>
      </c>
      <c r="M200" s="56" t="str">
        <f aca="false">IF($W200="","",N(INDEX(发票统计!M$4:M$1003,$W200)))</f>
        <v/>
      </c>
      <c r="N200" s="56" t="str">
        <f aca="false">IF($W200="","",N(INDEX(发票统计!N$4:N$1003,$W200)))</f>
        <v/>
      </c>
      <c r="O200" s="56" t="str">
        <f aca="false">IF($W200="","",N(INDEX(发票统计!O$4:O$1003,$W200)))</f>
        <v/>
      </c>
      <c r="P200" s="56" t="str">
        <f aca="false">IF($W200="","",SUM(M$4:M200)-SUM(N$4:N200)-SUM(O$4:O200))</f>
        <v/>
      </c>
      <c r="Q200" s="56" t="str">
        <f aca="false">IF($W200="","",N(INDEX(发票统计!Q$4:Q$1003,$W200)))</f>
        <v/>
      </c>
      <c r="R200" s="56" t="str">
        <f aca="false">IF($W200="","",N(INDEX(发票统计!R$4:R$1003,$W200)))</f>
        <v/>
      </c>
      <c r="S200" s="56" t="str">
        <f aca="false">IF($W200="","",N(INDEX(发票统计!S$4:S$1003,$W200)))</f>
        <v/>
      </c>
      <c r="T200" s="56" t="str">
        <f aca="false">IF($W200="","",SUM(Q$4:Q200)-SUM(R$4:R200)-SUM(S$4:S200))</f>
        <v/>
      </c>
      <c r="U200" s="56" t="str">
        <f aca="false">IF($W200="","",INDEX(发票统计!U$4:U$1003,$W200)&amp;"")</f>
        <v/>
      </c>
      <c r="W200" s="1" t="str">
        <f aca="false">IF($V$3="","",IFERROR(MATCH($V$3&amp;"#"&amp;ROWS(W$4:W200),发票统计!$W$4:$W$1003,0),""))</f>
        <v/>
      </c>
    </row>
    <row r="201" customFormat="false" ht="16.5" hidden="false" customHeight="false" outlineLevel="0" collapsed="false">
      <c r="A201" s="3" t="str">
        <f aca="false">IF($W201="","",INDEX(发票统计!A$4:A$1003,$W201)&amp;"")</f>
        <v/>
      </c>
      <c r="B201" s="3" t="str">
        <f aca="false">IF($W201="","",INDEX(发票统计!B$4:B$1003,$W201)&amp;"")</f>
        <v/>
      </c>
      <c r="C201" s="3" t="str">
        <f aca="false">IF($W201="","",INDEX(发票统计!C$4:C$1003,$W201)&amp;"")</f>
        <v/>
      </c>
      <c r="D201" s="3" t="str">
        <f aca="false">IF($W201="","",INDEX(发票统计!D$4:D$1003,$W201)&amp;"")</f>
        <v/>
      </c>
      <c r="E201" s="67" t="str">
        <f aca="false">IF($W201="","",INDEX(发票统计!E$4:E$1003,$W201)&amp;"")</f>
        <v/>
      </c>
      <c r="F201" s="68" t="str">
        <f aca="false">IF($W201="","",INDEX(发票统计!F$4:F$1003,$W201)&amp;"")</f>
        <v/>
      </c>
      <c r="G201" s="68" t="str">
        <f aca="false">IF($W201="","",IF(INDEX(发票统计!G$4:G$1003,$W201)="","",INDEX(发票统计!G$4:G$1003,$W201)))</f>
        <v/>
      </c>
      <c r="H201" s="56" t="str">
        <f aca="false">IF($W201="","",N(INDEX(发票统计!H$4:H$1003,$W201)))</f>
        <v/>
      </c>
      <c r="I201" s="56" t="str">
        <f aca="false">IF($W201="","",N(INDEX(发票统计!I$4:I$1003,$W201)))</f>
        <v/>
      </c>
      <c r="J201" s="56" t="str">
        <f aca="false">IF($W201="","",N(INDEX(发票统计!J$4:J$1003,$W201)))</f>
        <v/>
      </c>
      <c r="K201" s="56" t="str">
        <f aca="false">IF($W201="","",N(INDEX(发票统计!K$4:K$1003,$W201)))</f>
        <v/>
      </c>
      <c r="L201" s="56" t="str">
        <f aca="false">IF($W201="","",SUM(J$4:J201)-SUM(K$4:K201))</f>
        <v/>
      </c>
      <c r="M201" s="56" t="str">
        <f aca="false">IF($W201="","",N(INDEX(发票统计!M$4:M$1003,$W201)))</f>
        <v/>
      </c>
      <c r="N201" s="56" t="str">
        <f aca="false">IF($W201="","",N(INDEX(发票统计!N$4:N$1003,$W201)))</f>
        <v/>
      </c>
      <c r="O201" s="56" t="str">
        <f aca="false">IF($W201="","",N(INDEX(发票统计!O$4:O$1003,$W201)))</f>
        <v/>
      </c>
      <c r="P201" s="56" t="str">
        <f aca="false">IF($W201="","",SUM(M$4:M201)-SUM(N$4:N201)-SUM(O$4:O201))</f>
        <v/>
      </c>
      <c r="Q201" s="56" t="str">
        <f aca="false">IF($W201="","",N(INDEX(发票统计!Q$4:Q$1003,$W201)))</f>
        <v/>
      </c>
      <c r="R201" s="56" t="str">
        <f aca="false">IF($W201="","",N(INDEX(发票统计!R$4:R$1003,$W201)))</f>
        <v/>
      </c>
      <c r="S201" s="56" t="str">
        <f aca="false">IF($W201="","",N(INDEX(发票统计!S$4:S$1003,$W201)))</f>
        <v/>
      </c>
      <c r="T201" s="56" t="str">
        <f aca="false">IF($W201="","",SUM(Q$4:Q201)-SUM(R$4:R201)-SUM(S$4:S201))</f>
        <v/>
      </c>
      <c r="U201" s="56" t="str">
        <f aca="false">IF($W201="","",INDEX(发票统计!U$4:U$1003,$W201)&amp;"")</f>
        <v/>
      </c>
      <c r="W201" s="1" t="str">
        <f aca="false">IF($V$3="","",IFERROR(MATCH($V$3&amp;"#"&amp;ROWS(W$4:W201),发票统计!$W$4:$W$1003,0),""))</f>
        <v/>
      </c>
    </row>
    <row r="202" customFormat="false" ht="16.5" hidden="false" customHeight="false" outlineLevel="0" collapsed="false">
      <c r="A202" s="3" t="str">
        <f aca="false">IF($W202="","",INDEX(发票统计!A$4:A$1003,$W202)&amp;"")</f>
        <v/>
      </c>
      <c r="B202" s="3" t="str">
        <f aca="false">IF($W202="","",INDEX(发票统计!B$4:B$1003,$W202)&amp;"")</f>
        <v/>
      </c>
      <c r="C202" s="3" t="str">
        <f aca="false">IF($W202="","",INDEX(发票统计!C$4:C$1003,$W202)&amp;"")</f>
        <v/>
      </c>
      <c r="D202" s="3" t="str">
        <f aca="false">IF($W202="","",INDEX(发票统计!D$4:D$1003,$W202)&amp;"")</f>
        <v/>
      </c>
      <c r="E202" s="67" t="str">
        <f aca="false">IF($W202="","",INDEX(发票统计!E$4:E$1003,$W202)&amp;"")</f>
        <v/>
      </c>
      <c r="F202" s="68" t="str">
        <f aca="false">IF($W202="","",INDEX(发票统计!F$4:F$1003,$W202)&amp;"")</f>
        <v/>
      </c>
      <c r="G202" s="68" t="str">
        <f aca="false">IF($W202="","",IF(INDEX(发票统计!G$4:G$1003,$W202)="","",INDEX(发票统计!G$4:G$1003,$W202)))</f>
        <v/>
      </c>
      <c r="H202" s="56" t="str">
        <f aca="false">IF($W202="","",N(INDEX(发票统计!H$4:H$1003,$W202)))</f>
        <v/>
      </c>
      <c r="I202" s="56" t="str">
        <f aca="false">IF($W202="","",N(INDEX(发票统计!I$4:I$1003,$W202)))</f>
        <v/>
      </c>
      <c r="J202" s="56" t="str">
        <f aca="false">IF($W202="","",N(INDEX(发票统计!J$4:J$1003,$W202)))</f>
        <v/>
      </c>
      <c r="K202" s="56" t="str">
        <f aca="false">IF($W202="","",N(INDEX(发票统计!K$4:K$1003,$W202)))</f>
        <v/>
      </c>
      <c r="L202" s="56" t="str">
        <f aca="false">IF($W202="","",SUM(J$4:J202)-SUM(K$4:K202))</f>
        <v/>
      </c>
      <c r="M202" s="56" t="str">
        <f aca="false">IF($W202="","",N(INDEX(发票统计!M$4:M$1003,$W202)))</f>
        <v/>
      </c>
      <c r="N202" s="56" t="str">
        <f aca="false">IF($W202="","",N(INDEX(发票统计!N$4:N$1003,$W202)))</f>
        <v/>
      </c>
      <c r="O202" s="56" t="str">
        <f aca="false">IF($W202="","",N(INDEX(发票统计!O$4:O$1003,$W202)))</f>
        <v/>
      </c>
      <c r="P202" s="56" t="str">
        <f aca="false">IF($W202="","",SUM(M$4:M202)-SUM(N$4:N202)-SUM(O$4:O202))</f>
        <v/>
      </c>
      <c r="Q202" s="56" t="str">
        <f aca="false">IF($W202="","",N(INDEX(发票统计!Q$4:Q$1003,$W202)))</f>
        <v/>
      </c>
      <c r="R202" s="56" t="str">
        <f aca="false">IF($W202="","",N(INDEX(发票统计!R$4:R$1003,$W202)))</f>
        <v/>
      </c>
      <c r="S202" s="56" t="str">
        <f aca="false">IF($W202="","",N(INDEX(发票统计!S$4:S$1003,$W202)))</f>
        <v/>
      </c>
      <c r="T202" s="56" t="str">
        <f aca="false">IF($W202="","",SUM(Q$4:Q202)-SUM(R$4:R202)-SUM(S$4:S202))</f>
        <v/>
      </c>
      <c r="U202" s="56" t="str">
        <f aca="false">IF($W202="","",INDEX(发票统计!U$4:U$1003,$W202)&amp;"")</f>
        <v/>
      </c>
      <c r="W202" s="1" t="str">
        <f aca="false">IF($V$3="","",IFERROR(MATCH($V$3&amp;"#"&amp;ROWS(W$4:W202),发票统计!$W$4:$W$1003,0),""))</f>
        <v/>
      </c>
    </row>
    <row r="203" customFormat="false" ht="16.5" hidden="false" customHeight="false" outlineLevel="0" collapsed="false">
      <c r="A203" s="3" t="str">
        <f aca="false">IF($W203="","",INDEX(发票统计!A$4:A$1003,$W203)&amp;"")</f>
        <v/>
      </c>
      <c r="B203" s="3" t="str">
        <f aca="false">IF($W203="","",INDEX(发票统计!B$4:B$1003,$W203)&amp;"")</f>
        <v/>
      </c>
      <c r="C203" s="3" t="str">
        <f aca="false">IF($W203="","",INDEX(发票统计!C$4:C$1003,$W203)&amp;"")</f>
        <v/>
      </c>
      <c r="D203" s="3" t="str">
        <f aca="false">IF($W203="","",INDEX(发票统计!D$4:D$1003,$W203)&amp;"")</f>
        <v/>
      </c>
      <c r="E203" s="67" t="str">
        <f aca="false">IF($W203="","",INDEX(发票统计!E$4:E$1003,$W203)&amp;"")</f>
        <v/>
      </c>
      <c r="F203" s="68" t="str">
        <f aca="false">IF($W203="","",INDEX(发票统计!F$4:F$1003,$W203)&amp;"")</f>
        <v/>
      </c>
      <c r="G203" s="68" t="str">
        <f aca="false">IF($W203="","",IF(INDEX(发票统计!G$4:G$1003,$W203)="","",INDEX(发票统计!G$4:G$1003,$W203)))</f>
        <v/>
      </c>
      <c r="H203" s="56" t="str">
        <f aca="false">IF($W203="","",N(INDEX(发票统计!H$4:H$1003,$W203)))</f>
        <v/>
      </c>
      <c r="I203" s="56" t="str">
        <f aca="false">IF($W203="","",N(INDEX(发票统计!I$4:I$1003,$W203)))</f>
        <v/>
      </c>
      <c r="J203" s="56" t="str">
        <f aca="false">IF($W203="","",N(INDEX(发票统计!J$4:J$1003,$W203)))</f>
        <v/>
      </c>
      <c r="K203" s="56" t="str">
        <f aca="false">IF($W203="","",N(INDEX(发票统计!K$4:K$1003,$W203)))</f>
        <v/>
      </c>
      <c r="L203" s="56" t="str">
        <f aca="false">IF($W203="","",SUM(J$4:J203)-SUM(K$4:K203))</f>
        <v/>
      </c>
      <c r="M203" s="56" t="str">
        <f aca="false">IF($W203="","",N(INDEX(发票统计!M$4:M$1003,$W203)))</f>
        <v/>
      </c>
      <c r="N203" s="56" t="str">
        <f aca="false">IF($W203="","",N(INDEX(发票统计!N$4:N$1003,$W203)))</f>
        <v/>
      </c>
      <c r="O203" s="56" t="str">
        <f aca="false">IF($W203="","",N(INDEX(发票统计!O$4:O$1003,$W203)))</f>
        <v/>
      </c>
      <c r="P203" s="56" t="str">
        <f aca="false">IF($W203="","",SUM(M$4:M203)-SUM(N$4:N203)-SUM(O$4:O203))</f>
        <v/>
      </c>
      <c r="Q203" s="56" t="str">
        <f aca="false">IF($W203="","",N(INDEX(发票统计!Q$4:Q$1003,$W203)))</f>
        <v/>
      </c>
      <c r="R203" s="56" t="str">
        <f aca="false">IF($W203="","",N(INDEX(发票统计!R$4:R$1003,$W203)))</f>
        <v/>
      </c>
      <c r="S203" s="56" t="str">
        <f aca="false">IF($W203="","",N(INDEX(发票统计!S$4:S$1003,$W203)))</f>
        <v/>
      </c>
      <c r="T203" s="56" t="str">
        <f aca="false">IF($W203="","",SUM(Q$4:Q203)-SUM(R$4:R203)-SUM(S$4:S203))</f>
        <v/>
      </c>
      <c r="U203" s="56" t="str">
        <f aca="false">IF($W203="","",INDEX(发票统计!U$4:U$1003,$W203)&amp;"")</f>
        <v/>
      </c>
      <c r="W203" s="1" t="str">
        <f aca="false">IF($V$3="","",IFERROR(MATCH($V$3&amp;"#"&amp;ROWS(W$4:W203),发票统计!$W$4:$W$1003,0),""))</f>
        <v/>
      </c>
    </row>
    <row r="204" customFormat="false" ht="16.5" hidden="false" customHeight="false" outlineLevel="0" collapsed="false">
      <c r="A204" s="3" t="str">
        <f aca="false">IF($W204="","",INDEX(发票统计!A$4:A$1003,$W204)&amp;"")</f>
        <v/>
      </c>
      <c r="B204" s="3" t="str">
        <f aca="false">IF($W204="","",INDEX(发票统计!B$4:B$1003,$W204)&amp;"")</f>
        <v/>
      </c>
      <c r="C204" s="3" t="str">
        <f aca="false">IF($W204="","",INDEX(发票统计!C$4:C$1003,$W204)&amp;"")</f>
        <v/>
      </c>
      <c r="D204" s="3" t="str">
        <f aca="false">IF($W204="","",INDEX(发票统计!D$4:D$1003,$W204)&amp;"")</f>
        <v/>
      </c>
      <c r="E204" s="67" t="str">
        <f aca="false">IF($W204="","",INDEX(发票统计!E$4:E$1003,$W204)&amp;"")</f>
        <v/>
      </c>
      <c r="F204" s="68" t="str">
        <f aca="false">IF($W204="","",INDEX(发票统计!F$4:F$1003,$W204)&amp;"")</f>
        <v/>
      </c>
      <c r="G204" s="68" t="str">
        <f aca="false">IF($W204="","",IF(INDEX(发票统计!G$4:G$1003,$W204)="","",INDEX(发票统计!G$4:G$1003,$W204)))</f>
        <v/>
      </c>
      <c r="H204" s="56" t="str">
        <f aca="false">IF($W204="","",N(INDEX(发票统计!H$4:H$1003,$W204)))</f>
        <v/>
      </c>
      <c r="I204" s="56" t="str">
        <f aca="false">IF($W204="","",N(INDEX(发票统计!I$4:I$1003,$W204)))</f>
        <v/>
      </c>
      <c r="J204" s="56" t="str">
        <f aca="false">IF($W204="","",N(INDEX(发票统计!J$4:J$1003,$W204)))</f>
        <v/>
      </c>
      <c r="K204" s="56" t="str">
        <f aca="false">IF($W204="","",N(INDEX(发票统计!K$4:K$1003,$W204)))</f>
        <v/>
      </c>
      <c r="L204" s="56" t="str">
        <f aca="false">IF($W204="","",SUM(J$4:J204)-SUM(K$4:K204))</f>
        <v/>
      </c>
      <c r="M204" s="56" t="str">
        <f aca="false">IF($W204="","",N(INDEX(发票统计!M$4:M$1003,$W204)))</f>
        <v/>
      </c>
      <c r="N204" s="56" t="str">
        <f aca="false">IF($W204="","",N(INDEX(发票统计!N$4:N$1003,$W204)))</f>
        <v/>
      </c>
      <c r="O204" s="56" t="str">
        <f aca="false">IF($W204="","",N(INDEX(发票统计!O$4:O$1003,$W204)))</f>
        <v/>
      </c>
      <c r="P204" s="56" t="str">
        <f aca="false">IF($W204="","",SUM(M$4:M204)-SUM(N$4:N204)-SUM(O$4:O204))</f>
        <v/>
      </c>
      <c r="Q204" s="56" t="str">
        <f aca="false">IF($W204="","",N(INDEX(发票统计!Q$4:Q$1003,$W204)))</f>
        <v/>
      </c>
      <c r="R204" s="56" t="str">
        <f aca="false">IF($W204="","",N(INDEX(发票统计!R$4:R$1003,$W204)))</f>
        <v/>
      </c>
      <c r="S204" s="56" t="str">
        <f aca="false">IF($W204="","",N(INDEX(发票统计!S$4:S$1003,$W204)))</f>
        <v/>
      </c>
      <c r="T204" s="56" t="str">
        <f aca="false">IF($W204="","",SUM(Q$4:Q204)-SUM(R$4:R204)-SUM(S$4:S204))</f>
        <v/>
      </c>
      <c r="U204" s="56" t="str">
        <f aca="false">IF($W204="","",INDEX(发票统计!U$4:U$1003,$W204)&amp;"")</f>
        <v/>
      </c>
      <c r="W204" s="1" t="str">
        <f aca="false">IF($V$3="","",IFERROR(MATCH($V$3&amp;"#"&amp;ROWS(W$4:W204),发票统计!$W$4:$W$1003,0),""))</f>
        <v/>
      </c>
    </row>
    <row r="205" customFormat="false" ht="16.5" hidden="false" customHeight="false" outlineLevel="0" collapsed="false">
      <c r="A205" s="3" t="str">
        <f aca="false">IF($W205="","",INDEX(发票统计!A$4:A$1003,$W205)&amp;"")</f>
        <v/>
      </c>
      <c r="B205" s="3" t="str">
        <f aca="false">IF($W205="","",INDEX(发票统计!B$4:B$1003,$W205)&amp;"")</f>
        <v/>
      </c>
      <c r="C205" s="3" t="str">
        <f aca="false">IF($W205="","",INDEX(发票统计!C$4:C$1003,$W205)&amp;"")</f>
        <v/>
      </c>
      <c r="D205" s="3" t="str">
        <f aca="false">IF($W205="","",INDEX(发票统计!D$4:D$1003,$W205)&amp;"")</f>
        <v/>
      </c>
      <c r="E205" s="67" t="str">
        <f aca="false">IF($W205="","",INDEX(发票统计!E$4:E$1003,$W205)&amp;"")</f>
        <v/>
      </c>
      <c r="F205" s="68" t="str">
        <f aca="false">IF($W205="","",INDEX(发票统计!F$4:F$1003,$W205)&amp;"")</f>
        <v/>
      </c>
      <c r="G205" s="68" t="str">
        <f aca="false">IF($W205="","",IF(INDEX(发票统计!G$4:G$1003,$W205)="","",INDEX(发票统计!G$4:G$1003,$W205)))</f>
        <v/>
      </c>
      <c r="H205" s="56" t="str">
        <f aca="false">IF($W205="","",N(INDEX(发票统计!H$4:H$1003,$W205)))</f>
        <v/>
      </c>
      <c r="I205" s="56" t="str">
        <f aca="false">IF($W205="","",N(INDEX(发票统计!I$4:I$1003,$W205)))</f>
        <v/>
      </c>
      <c r="J205" s="56" t="str">
        <f aca="false">IF($W205="","",N(INDEX(发票统计!J$4:J$1003,$W205)))</f>
        <v/>
      </c>
      <c r="K205" s="56" t="str">
        <f aca="false">IF($W205="","",N(INDEX(发票统计!K$4:K$1003,$W205)))</f>
        <v/>
      </c>
      <c r="L205" s="56" t="str">
        <f aca="false">IF($W205="","",SUM(J$4:J205)-SUM(K$4:K205))</f>
        <v/>
      </c>
      <c r="M205" s="56" t="str">
        <f aca="false">IF($W205="","",N(INDEX(发票统计!M$4:M$1003,$W205)))</f>
        <v/>
      </c>
      <c r="N205" s="56" t="str">
        <f aca="false">IF($W205="","",N(INDEX(发票统计!N$4:N$1003,$W205)))</f>
        <v/>
      </c>
      <c r="O205" s="56" t="str">
        <f aca="false">IF($W205="","",N(INDEX(发票统计!O$4:O$1003,$W205)))</f>
        <v/>
      </c>
      <c r="P205" s="56" t="str">
        <f aca="false">IF($W205="","",SUM(M$4:M205)-SUM(N$4:N205)-SUM(O$4:O205))</f>
        <v/>
      </c>
      <c r="Q205" s="56" t="str">
        <f aca="false">IF($W205="","",N(INDEX(发票统计!Q$4:Q$1003,$W205)))</f>
        <v/>
      </c>
      <c r="R205" s="56" t="str">
        <f aca="false">IF($W205="","",N(INDEX(发票统计!R$4:R$1003,$W205)))</f>
        <v/>
      </c>
      <c r="S205" s="56" t="str">
        <f aca="false">IF($W205="","",N(INDEX(发票统计!S$4:S$1003,$W205)))</f>
        <v/>
      </c>
      <c r="T205" s="56" t="str">
        <f aca="false">IF($W205="","",SUM(Q$4:Q205)-SUM(R$4:R205)-SUM(S$4:S205))</f>
        <v/>
      </c>
      <c r="U205" s="56" t="str">
        <f aca="false">IF($W205="","",INDEX(发票统计!U$4:U$1003,$W205)&amp;"")</f>
        <v/>
      </c>
      <c r="W205" s="1" t="str">
        <f aca="false">IF($V$3="","",IFERROR(MATCH($V$3&amp;"#"&amp;ROWS(W$4:W205),发票统计!$W$4:$W$1003,0),""))</f>
        <v/>
      </c>
    </row>
    <row r="206" customFormat="false" ht="16.5" hidden="false" customHeight="false" outlineLevel="0" collapsed="false">
      <c r="A206" s="3" t="str">
        <f aca="false">IF($W206="","",INDEX(发票统计!A$4:A$1003,$W206)&amp;"")</f>
        <v/>
      </c>
      <c r="B206" s="3" t="str">
        <f aca="false">IF($W206="","",INDEX(发票统计!B$4:B$1003,$W206)&amp;"")</f>
        <v/>
      </c>
      <c r="C206" s="3" t="str">
        <f aca="false">IF($W206="","",INDEX(发票统计!C$4:C$1003,$W206)&amp;"")</f>
        <v/>
      </c>
      <c r="D206" s="3" t="str">
        <f aca="false">IF($W206="","",INDEX(发票统计!D$4:D$1003,$W206)&amp;"")</f>
        <v/>
      </c>
      <c r="E206" s="67" t="str">
        <f aca="false">IF($W206="","",INDEX(发票统计!E$4:E$1003,$W206)&amp;"")</f>
        <v/>
      </c>
      <c r="F206" s="68" t="str">
        <f aca="false">IF($W206="","",INDEX(发票统计!F$4:F$1003,$W206)&amp;"")</f>
        <v/>
      </c>
      <c r="G206" s="68" t="str">
        <f aca="false">IF($W206="","",IF(INDEX(发票统计!G$4:G$1003,$W206)="","",INDEX(发票统计!G$4:G$1003,$W206)))</f>
        <v/>
      </c>
      <c r="H206" s="56" t="str">
        <f aca="false">IF($W206="","",N(INDEX(发票统计!H$4:H$1003,$W206)))</f>
        <v/>
      </c>
      <c r="I206" s="56" t="str">
        <f aca="false">IF($W206="","",N(INDEX(发票统计!I$4:I$1003,$W206)))</f>
        <v/>
      </c>
      <c r="J206" s="56" t="str">
        <f aca="false">IF($W206="","",N(INDEX(发票统计!J$4:J$1003,$W206)))</f>
        <v/>
      </c>
      <c r="K206" s="56" t="str">
        <f aca="false">IF($W206="","",N(INDEX(发票统计!K$4:K$1003,$W206)))</f>
        <v/>
      </c>
      <c r="L206" s="56" t="str">
        <f aca="false">IF($W206="","",SUM(J$4:J206)-SUM(K$4:K206))</f>
        <v/>
      </c>
      <c r="M206" s="56" t="str">
        <f aca="false">IF($W206="","",N(INDEX(发票统计!M$4:M$1003,$W206)))</f>
        <v/>
      </c>
      <c r="N206" s="56" t="str">
        <f aca="false">IF($W206="","",N(INDEX(发票统计!N$4:N$1003,$W206)))</f>
        <v/>
      </c>
      <c r="O206" s="56" t="str">
        <f aca="false">IF($W206="","",N(INDEX(发票统计!O$4:O$1003,$W206)))</f>
        <v/>
      </c>
      <c r="P206" s="56" t="str">
        <f aca="false">IF($W206="","",SUM(M$4:M206)-SUM(N$4:N206)-SUM(O$4:O206))</f>
        <v/>
      </c>
      <c r="Q206" s="56" t="str">
        <f aca="false">IF($W206="","",N(INDEX(发票统计!Q$4:Q$1003,$W206)))</f>
        <v/>
      </c>
      <c r="R206" s="56" t="str">
        <f aca="false">IF($W206="","",N(INDEX(发票统计!R$4:R$1003,$W206)))</f>
        <v/>
      </c>
      <c r="S206" s="56" t="str">
        <f aca="false">IF($W206="","",N(INDEX(发票统计!S$4:S$1003,$W206)))</f>
        <v/>
      </c>
      <c r="T206" s="56" t="str">
        <f aca="false">IF($W206="","",SUM(Q$4:Q206)-SUM(R$4:R206)-SUM(S$4:S206))</f>
        <v/>
      </c>
      <c r="U206" s="56" t="str">
        <f aca="false">IF($W206="","",INDEX(发票统计!U$4:U$1003,$W206)&amp;"")</f>
        <v/>
      </c>
      <c r="W206" s="1" t="str">
        <f aca="false">IF($V$3="","",IFERROR(MATCH($V$3&amp;"#"&amp;ROWS(W$4:W206),发票统计!$W$4:$W$1003,0),""))</f>
        <v/>
      </c>
    </row>
    <row r="207" customFormat="false" ht="16.5" hidden="false" customHeight="false" outlineLevel="0" collapsed="false">
      <c r="A207" s="3" t="str">
        <f aca="false">IF($W207="","",INDEX(发票统计!A$4:A$1003,$W207)&amp;"")</f>
        <v/>
      </c>
      <c r="B207" s="3" t="str">
        <f aca="false">IF($W207="","",INDEX(发票统计!B$4:B$1003,$W207)&amp;"")</f>
        <v/>
      </c>
      <c r="C207" s="3" t="str">
        <f aca="false">IF($W207="","",INDEX(发票统计!C$4:C$1003,$W207)&amp;"")</f>
        <v/>
      </c>
      <c r="D207" s="3" t="str">
        <f aca="false">IF($W207="","",INDEX(发票统计!D$4:D$1003,$W207)&amp;"")</f>
        <v/>
      </c>
      <c r="E207" s="67" t="str">
        <f aca="false">IF($W207="","",INDEX(发票统计!E$4:E$1003,$W207)&amp;"")</f>
        <v/>
      </c>
      <c r="F207" s="68" t="str">
        <f aca="false">IF($W207="","",INDEX(发票统计!F$4:F$1003,$W207)&amp;"")</f>
        <v/>
      </c>
      <c r="G207" s="68" t="str">
        <f aca="false">IF($W207="","",IF(INDEX(发票统计!G$4:G$1003,$W207)="","",INDEX(发票统计!G$4:G$1003,$W207)))</f>
        <v/>
      </c>
      <c r="H207" s="56" t="str">
        <f aca="false">IF($W207="","",N(INDEX(发票统计!H$4:H$1003,$W207)))</f>
        <v/>
      </c>
      <c r="I207" s="56" t="str">
        <f aca="false">IF($W207="","",N(INDEX(发票统计!I$4:I$1003,$W207)))</f>
        <v/>
      </c>
      <c r="J207" s="56" t="str">
        <f aca="false">IF($W207="","",N(INDEX(发票统计!J$4:J$1003,$W207)))</f>
        <v/>
      </c>
      <c r="K207" s="56" t="str">
        <f aca="false">IF($W207="","",N(INDEX(发票统计!K$4:K$1003,$W207)))</f>
        <v/>
      </c>
      <c r="L207" s="56" t="str">
        <f aca="false">IF($W207="","",SUM(J$4:J207)-SUM(K$4:K207))</f>
        <v/>
      </c>
      <c r="M207" s="56" t="str">
        <f aca="false">IF($W207="","",N(INDEX(发票统计!M$4:M$1003,$W207)))</f>
        <v/>
      </c>
      <c r="N207" s="56" t="str">
        <f aca="false">IF($W207="","",N(INDEX(发票统计!N$4:N$1003,$W207)))</f>
        <v/>
      </c>
      <c r="O207" s="56" t="str">
        <f aca="false">IF($W207="","",N(INDEX(发票统计!O$4:O$1003,$W207)))</f>
        <v/>
      </c>
      <c r="P207" s="56" t="str">
        <f aca="false">IF($W207="","",SUM(M$4:M207)-SUM(N$4:N207)-SUM(O$4:O207))</f>
        <v/>
      </c>
      <c r="Q207" s="56" t="str">
        <f aca="false">IF($W207="","",N(INDEX(发票统计!Q$4:Q$1003,$W207)))</f>
        <v/>
      </c>
      <c r="R207" s="56" t="str">
        <f aca="false">IF($W207="","",N(INDEX(发票统计!R$4:R$1003,$W207)))</f>
        <v/>
      </c>
      <c r="S207" s="56" t="str">
        <f aca="false">IF($W207="","",N(INDEX(发票统计!S$4:S$1003,$W207)))</f>
        <v/>
      </c>
      <c r="T207" s="56" t="str">
        <f aca="false">IF($W207="","",SUM(Q$4:Q207)-SUM(R$4:R207)-SUM(S$4:S207))</f>
        <v/>
      </c>
      <c r="U207" s="56" t="str">
        <f aca="false">IF($W207="","",INDEX(发票统计!U$4:U$1003,$W207)&amp;"")</f>
        <v/>
      </c>
      <c r="W207" s="1" t="str">
        <f aca="false">IF($V$3="","",IFERROR(MATCH($V$3&amp;"#"&amp;ROWS(W$4:W207),发票统计!$W$4:$W$1003,0),""))</f>
        <v/>
      </c>
    </row>
    <row r="208" customFormat="false" ht="16.5" hidden="false" customHeight="false" outlineLevel="0" collapsed="false">
      <c r="A208" s="3" t="str">
        <f aca="false">IF($W208="","",INDEX(发票统计!A$4:A$1003,$W208)&amp;"")</f>
        <v/>
      </c>
      <c r="B208" s="3" t="str">
        <f aca="false">IF($W208="","",INDEX(发票统计!B$4:B$1003,$W208)&amp;"")</f>
        <v/>
      </c>
      <c r="C208" s="3" t="str">
        <f aca="false">IF($W208="","",INDEX(发票统计!C$4:C$1003,$W208)&amp;"")</f>
        <v/>
      </c>
      <c r="D208" s="3" t="str">
        <f aca="false">IF($W208="","",INDEX(发票统计!D$4:D$1003,$W208)&amp;"")</f>
        <v/>
      </c>
      <c r="E208" s="67" t="str">
        <f aca="false">IF($W208="","",INDEX(发票统计!E$4:E$1003,$W208)&amp;"")</f>
        <v/>
      </c>
      <c r="F208" s="68" t="str">
        <f aca="false">IF($W208="","",INDEX(发票统计!F$4:F$1003,$W208)&amp;"")</f>
        <v/>
      </c>
      <c r="G208" s="68" t="str">
        <f aca="false">IF($W208="","",IF(INDEX(发票统计!G$4:G$1003,$W208)="","",INDEX(发票统计!G$4:G$1003,$W208)))</f>
        <v/>
      </c>
      <c r="H208" s="56" t="str">
        <f aca="false">IF($W208="","",N(INDEX(发票统计!H$4:H$1003,$W208)))</f>
        <v/>
      </c>
      <c r="I208" s="56" t="str">
        <f aca="false">IF($W208="","",N(INDEX(发票统计!I$4:I$1003,$W208)))</f>
        <v/>
      </c>
      <c r="J208" s="56" t="str">
        <f aca="false">IF($W208="","",N(INDEX(发票统计!J$4:J$1003,$W208)))</f>
        <v/>
      </c>
      <c r="K208" s="56" t="str">
        <f aca="false">IF($W208="","",N(INDEX(发票统计!K$4:K$1003,$W208)))</f>
        <v/>
      </c>
      <c r="L208" s="56" t="str">
        <f aca="false">IF($W208="","",SUM(J$4:J208)-SUM(K$4:K208))</f>
        <v/>
      </c>
      <c r="M208" s="56" t="str">
        <f aca="false">IF($W208="","",N(INDEX(发票统计!M$4:M$1003,$W208)))</f>
        <v/>
      </c>
      <c r="N208" s="56" t="str">
        <f aca="false">IF($W208="","",N(INDEX(发票统计!N$4:N$1003,$W208)))</f>
        <v/>
      </c>
      <c r="O208" s="56" t="str">
        <f aca="false">IF($W208="","",N(INDEX(发票统计!O$4:O$1003,$W208)))</f>
        <v/>
      </c>
      <c r="P208" s="56" t="str">
        <f aca="false">IF($W208="","",SUM(M$4:M208)-SUM(N$4:N208)-SUM(O$4:O208))</f>
        <v/>
      </c>
      <c r="Q208" s="56" t="str">
        <f aca="false">IF($W208="","",N(INDEX(发票统计!Q$4:Q$1003,$W208)))</f>
        <v/>
      </c>
      <c r="R208" s="56" t="str">
        <f aca="false">IF($W208="","",N(INDEX(发票统计!R$4:R$1003,$W208)))</f>
        <v/>
      </c>
      <c r="S208" s="56" t="str">
        <f aca="false">IF($W208="","",N(INDEX(发票统计!S$4:S$1003,$W208)))</f>
        <v/>
      </c>
      <c r="T208" s="56" t="str">
        <f aca="false">IF($W208="","",SUM(Q$4:Q208)-SUM(R$4:R208)-SUM(S$4:S208))</f>
        <v/>
      </c>
      <c r="U208" s="56" t="str">
        <f aca="false">IF($W208="","",INDEX(发票统计!U$4:U$1003,$W208)&amp;"")</f>
        <v/>
      </c>
      <c r="W208" s="1" t="str">
        <f aca="false">IF($V$3="","",IFERROR(MATCH($V$3&amp;"#"&amp;ROWS(W$4:W208),发票统计!$W$4:$W$1003,0),""))</f>
        <v/>
      </c>
    </row>
    <row r="209" customFormat="false" ht="16.5" hidden="false" customHeight="false" outlineLevel="0" collapsed="false">
      <c r="A209" s="3" t="str">
        <f aca="false">IF($W209="","",INDEX(发票统计!A$4:A$1003,$W209)&amp;"")</f>
        <v/>
      </c>
      <c r="B209" s="3" t="str">
        <f aca="false">IF($W209="","",INDEX(发票统计!B$4:B$1003,$W209)&amp;"")</f>
        <v/>
      </c>
      <c r="C209" s="3" t="str">
        <f aca="false">IF($W209="","",INDEX(发票统计!C$4:C$1003,$W209)&amp;"")</f>
        <v/>
      </c>
      <c r="D209" s="3" t="str">
        <f aca="false">IF($W209="","",INDEX(发票统计!D$4:D$1003,$W209)&amp;"")</f>
        <v/>
      </c>
      <c r="E209" s="67" t="str">
        <f aca="false">IF($W209="","",INDEX(发票统计!E$4:E$1003,$W209)&amp;"")</f>
        <v/>
      </c>
      <c r="F209" s="68" t="str">
        <f aca="false">IF($W209="","",INDEX(发票统计!F$4:F$1003,$W209)&amp;"")</f>
        <v/>
      </c>
      <c r="G209" s="68" t="str">
        <f aca="false">IF($W209="","",IF(INDEX(发票统计!G$4:G$1003,$W209)="","",INDEX(发票统计!G$4:G$1003,$W209)))</f>
        <v/>
      </c>
      <c r="H209" s="56" t="str">
        <f aca="false">IF($W209="","",N(INDEX(发票统计!H$4:H$1003,$W209)))</f>
        <v/>
      </c>
      <c r="I209" s="56" t="str">
        <f aca="false">IF($W209="","",N(INDEX(发票统计!I$4:I$1003,$W209)))</f>
        <v/>
      </c>
      <c r="J209" s="56" t="str">
        <f aca="false">IF($W209="","",N(INDEX(发票统计!J$4:J$1003,$W209)))</f>
        <v/>
      </c>
      <c r="K209" s="56" t="str">
        <f aca="false">IF($W209="","",N(INDEX(发票统计!K$4:K$1003,$W209)))</f>
        <v/>
      </c>
      <c r="L209" s="56" t="str">
        <f aca="false">IF($W209="","",SUM(J$4:J209)-SUM(K$4:K209))</f>
        <v/>
      </c>
      <c r="M209" s="56" t="str">
        <f aca="false">IF($W209="","",N(INDEX(发票统计!M$4:M$1003,$W209)))</f>
        <v/>
      </c>
      <c r="N209" s="56" t="str">
        <f aca="false">IF($W209="","",N(INDEX(发票统计!N$4:N$1003,$W209)))</f>
        <v/>
      </c>
      <c r="O209" s="56" t="str">
        <f aca="false">IF($W209="","",N(INDEX(发票统计!O$4:O$1003,$W209)))</f>
        <v/>
      </c>
      <c r="P209" s="56" t="str">
        <f aca="false">IF($W209="","",SUM(M$4:M209)-SUM(N$4:N209)-SUM(O$4:O209))</f>
        <v/>
      </c>
      <c r="Q209" s="56" t="str">
        <f aca="false">IF($W209="","",N(INDEX(发票统计!Q$4:Q$1003,$W209)))</f>
        <v/>
      </c>
      <c r="R209" s="56" t="str">
        <f aca="false">IF($W209="","",N(INDEX(发票统计!R$4:R$1003,$W209)))</f>
        <v/>
      </c>
      <c r="S209" s="56" t="str">
        <f aca="false">IF($W209="","",N(INDEX(发票统计!S$4:S$1003,$W209)))</f>
        <v/>
      </c>
      <c r="T209" s="56" t="str">
        <f aca="false">IF($W209="","",SUM(Q$4:Q209)-SUM(R$4:R209)-SUM(S$4:S209))</f>
        <v/>
      </c>
      <c r="U209" s="56" t="str">
        <f aca="false">IF($W209="","",INDEX(发票统计!U$4:U$1003,$W209)&amp;"")</f>
        <v/>
      </c>
      <c r="W209" s="1" t="str">
        <f aca="false">IF($V$3="","",IFERROR(MATCH($V$3&amp;"#"&amp;ROWS(W$4:W209),发票统计!$W$4:$W$1003,0),""))</f>
        <v/>
      </c>
    </row>
    <row r="210" customFormat="false" ht="16.5" hidden="false" customHeight="false" outlineLevel="0" collapsed="false">
      <c r="A210" s="3" t="str">
        <f aca="false">IF($W210="","",INDEX(发票统计!A$4:A$1003,$W210)&amp;"")</f>
        <v/>
      </c>
      <c r="B210" s="3" t="str">
        <f aca="false">IF($W210="","",INDEX(发票统计!B$4:B$1003,$W210)&amp;"")</f>
        <v/>
      </c>
      <c r="C210" s="3" t="str">
        <f aca="false">IF($W210="","",INDEX(发票统计!C$4:C$1003,$W210)&amp;"")</f>
        <v/>
      </c>
      <c r="D210" s="3" t="str">
        <f aca="false">IF($W210="","",INDEX(发票统计!D$4:D$1003,$W210)&amp;"")</f>
        <v/>
      </c>
      <c r="E210" s="67" t="str">
        <f aca="false">IF($W210="","",INDEX(发票统计!E$4:E$1003,$W210)&amp;"")</f>
        <v/>
      </c>
      <c r="F210" s="68" t="str">
        <f aca="false">IF($W210="","",INDEX(发票统计!F$4:F$1003,$W210)&amp;"")</f>
        <v/>
      </c>
      <c r="G210" s="68" t="str">
        <f aca="false">IF($W210="","",IF(INDEX(发票统计!G$4:G$1003,$W210)="","",INDEX(发票统计!G$4:G$1003,$W210)))</f>
        <v/>
      </c>
      <c r="H210" s="56" t="str">
        <f aca="false">IF($W210="","",N(INDEX(发票统计!H$4:H$1003,$W210)))</f>
        <v/>
      </c>
      <c r="I210" s="56" t="str">
        <f aca="false">IF($W210="","",N(INDEX(发票统计!I$4:I$1003,$W210)))</f>
        <v/>
      </c>
      <c r="J210" s="56" t="str">
        <f aca="false">IF($W210="","",N(INDEX(发票统计!J$4:J$1003,$W210)))</f>
        <v/>
      </c>
      <c r="K210" s="56" t="str">
        <f aca="false">IF($W210="","",N(INDEX(发票统计!K$4:K$1003,$W210)))</f>
        <v/>
      </c>
      <c r="L210" s="56" t="str">
        <f aca="false">IF($W210="","",SUM(J$4:J210)-SUM(K$4:K210))</f>
        <v/>
      </c>
      <c r="M210" s="56" t="str">
        <f aca="false">IF($W210="","",N(INDEX(发票统计!M$4:M$1003,$W210)))</f>
        <v/>
      </c>
      <c r="N210" s="56" t="str">
        <f aca="false">IF($W210="","",N(INDEX(发票统计!N$4:N$1003,$W210)))</f>
        <v/>
      </c>
      <c r="O210" s="56" t="str">
        <f aca="false">IF($W210="","",N(INDEX(发票统计!O$4:O$1003,$W210)))</f>
        <v/>
      </c>
      <c r="P210" s="56" t="str">
        <f aca="false">IF($W210="","",SUM(M$4:M210)-SUM(N$4:N210)-SUM(O$4:O210))</f>
        <v/>
      </c>
      <c r="Q210" s="56" t="str">
        <f aca="false">IF($W210="","",N(INDEX(发票统计!Q$4:Q$1003,$W210)))</f>
        <v/>
      </c>
      <c r="R210" s="56" t="str">
        <f aca="false">IF($W210="","",N(INDEX(发票统计!R$4:R$1003,$W210)))</f>
        <v/>
      </c>
      <c r="S210" s="56" t="str">
        <f aca="false">IF($W210="","",N(INDEX(发票统计!S$4:S$1003,$W210)))</f>
        <v/>
      </c>
      <c r="T210" s="56" t="str">
        <f aca="false">IF($W210="","",SUM(Q$4:Q210)-SUM(R$4:R210)-SUM(S$4:S210))</f>
        <v/>
      </c>
      <c r="U210" s="56" t="str">
        <f aca="false">IF($W210="","",INDEX(发票统计!U$4:U$1003,$W210)&amp;"")</f>
        <v/>
      </c>
      <c r="W210" s="1" t="str">
        <f aca="false">IF($V$3="","",IFERROR(MATCH($V$3&amp;"#"&amp;ROWS(W$4:W210),发票统计!$W$4:$W$1003,0),""))</f>
        <v/>
      </c>
    </row>
    <row r="211" customFormat="false" ht="16.5" hidden="false" customHeight="false" outlineLevel="0" collapsed="false">
      <c r="A211" s="3" t="str">
        <f aca="false">IF($W211="","",INDEX(发票统计!A$4:A$1003,$W211)&amp;"")</f>
        <v/>
      </c>
      <c r="B211" s="3" t="str">
        <f aca="false">IF($W211="","",INDEX(发票统计!B$4:B$1003,$W211)&amp;"")</f>
        <v/>
      </c>
      <c r="C211" s="3" t="str">
        <f aca="false">IF($W211="","",INDEX(发票统计!C$4:C$1003,$W211)&amp;"")</f>
        <v/>
      </c>
      <c r="D211" s="3" t="str">
        <f aca="false">IF($W211="","",INDEX(发票统计!D$4:D$1003,$W211)&amp;"")</f>
        <v/>
      </c>
      <c r="E211" s="67" t="str">
        <f aca="false">IF($W211="","",INDEX(发票统计!E$4:E$1003,$W211)&amp;"")</f>
        <v/>
      </c>
      <c r="F211" s="68" t="str">
        <f aca="false">IF($W211="","",INDEX(发票统计!F$4:F$1003,$W211)&amp;"")</f>
        <v/>
      </c>
      <c r="G211" s="68" t="str">
        <f aca="false">IF($W211="","",IF(INDEX(发票统计!G$4:G$1003,$W211)="","",INDEX(发票统计!G$4:G$1003,$W211)))</f>
        <v/>
      </c>
      <c r="H211" s="56" t="str">
        <f aca="false">IF($W211="","",N(INDEX(发票统计!H$4:H$1003,$W211)))</f>
        <v/>
      </c>
      <c r="I211" s="56" t="str">
        <f aca="false">IF($W211="","",N(INDEX(发票统计!I$4:I$1003,$W211)))</f>
        <v/>
      </c>
      <c r="J211" s="56" t="str">
        <f aca="false">IF($W211="","",N(INDEX(发票统计!J$4:J$1003,$W211)))</f>
        <v/>
      </c>
      <c r="K211" s="56" t="str">
        <f aca="false">IF($W211="","",N(INDEX(发票统计!K$4:K$1003,$W211)))</f>
        <v/>
      </c>
      <c r="L211" s="56" t="str">
        <f aca="false">IF($W211="","",SUM(J$4:J211)-SUM(K$4:K211))</f>
        <v/>
      </c>
      <c r="M211" s="56" t="str">
        <f aca="false">IF($W211="","",N(INDEX(发票统计!M$4:M$1003,$W211)))</f>
        <v/>
      </c>
      <c r="N211" s="56" t="str">
        <f aca="false">IF($W211="","",N(INDEX(发票统计!N$4:N$1003,$W211)))</f>
        <v/>
      </c>
      <c r="O211" s="56" t="str">
        <f aca="false">IF($W211="","",N(INDEX(发票统计!O$4:O$1003,$W211)))</f>
        <v/>
      </c>
      <c r="P211" s="56" t="str">
        <f aca="false">IF($W211="","",SUM(M$4:M211)-SUM(N$4:N211)-SUM(O$4:O211))</f>
        <v/>
      </c>
      <c r="Q211" s="56" t="str">
        <f aca="false">IF($W211="","",N(INDEX(发票统计!Q$4:Q$1003,$W211)))</f>
        <v/>
      </c>
      <c r="R211" s="56" t="str">
        <f aca="false">IF($W211="","",N(INDEX(发票统计!R$4:R$1003,$W211)))</f>
        <v/>
      </c>
      <c r="S211" s="56" t="str">
        <f aca="false">IF($W211="","",N(INDEX(发票统计!S$4:S$1003,$W211)))</f>
        <v/>
      </c>
      <c r="T211" s="56" t="str">
        <f aca="false">IF($W211="","",SUM(Q$4:Q211)-SUM(R$4:R211)-SUM(S$4:S211))</f>
        <v/>
      </c>
      <c r="U211" s="56" t="str">
        <f aca="false">IF($W211="","",INDEX(发票统计!U$4:U$1003,$W211)&amp;"")</f>
        <v/>
      </c>
      <c r="W211" s="1" t="str">
        <f aca="false">IF($V$3="","",IFERROR(MATCH($V$3&amp;"#"&amp;ROWS(W$4:W211),发票统计!$W$4:$W$1003,0),""))</f>
        <v/>
      </c>
    </row>
    <row r="212" customFormat="false" ht="16.5" hidden="false" customHeight="false" outlineLevel="0" collapsed="false">
      <c r="A212" s="3" t="str">
        <f aca="false">IF($W212="","",INDEX(发票统计!A$4:A$1003,$W212)&amp;"")</f>
        <v/>
      </c>
      <c r="B212" s="3" t="str">
        <f aca="false">IF($W212="","",INDEX(发票统计!B$4:B$1003,$W212)&amp;"")</f>
        <v/>
      </c>
      <c r="C212" s="3" t="str">
        <f aca="false">IF($W212="","",INDEX(发票统计!C$4:C$1003,$W212)&amp;"")</f>
        <v/>
      </c>
      <c r="D212" s="3" t="str">
        <f aca="false">IF($W212="","",INDEX(发票统计!D$4:D$1003,$W212)&amp;"")</f>
        <v/>
      </c>
      <c r="E212" s="67" t="str">
        <f aca="false">IF($W212="","",INDEX(发票统计!E$4:E$1003,$W212)&amp;"")</f>
        <v/>
      </c>
      <c r="F212" s="68" t="str">
        <f aca="false">IF($W212="","",INDEX(发票统计!F$4:F$1003,$W212)&amp;"")</f>
        <v/>
      </c>
      <c r="G212" s="68" t="str">
        <f aca="false">IF($W212="","",IF(INDEX(发票统计!G$4:G$1003,$W212)="","",INDEX(发票统计!G$4:G$1003,$W212)))</f>
        <v/>
      </c>
      <c r="H212" s="56" t="str">
        <f aca="false">IF($W212="","",N(INDEX(发票统计!H$4:H$1003,$W212)))</f>
        <v/>
      </c>
      <c r="I212" s="56" t="str">
        <f aca="false">IF($W212="","",N(INDEX(发票统计!I$4:I$1003,$W212)))</f>
        <v/>
      </c>
      <c r="J212" s="56" t="str">
        <f aca="false">IF($W212="","",N(INDEX(发票统计!J$4:J$1003,$W212)))</f>
        <v/>
      </c>
      <c r="K212" s="56" t="str">
        <f aca="false">IF($W212="","",N(INDEX(发票统计!K$4:K$1003,$W212)))</f>
        <v/>
      </c>
      <c r="L212" s="56" t="str">
        <f aca="false">IF($W212="","",SUM(J$4:J212)-SUM(K$4:K212))</f>
        <v/>
      </c>
      <c r="M212" s="56" t="str">
        <f aca="false">IF($W212="","",N(INDEX(发票统计!M$4:M$1003,$W212)))</f>
        <v/>
      </c>
      <c r="N212" s="56" t="str">
        <f aca="false">IF($W212="","",N(INDEX(发票统计!N$4:N$1003,$W212)))</f>
        <v/>
      </c>
      <c r="O212" s="56" t="str">
        <f aca="false">IF($W212="","",N(INDEX(发票统计!O$4:O$1003,$W212)))</f>
        <v/>
      </c>
      <c r="P212" s="56" t="str">
        <f aca="false">IF($W212="","",SUM(M$4:M212)-SUM(N$4:N212)-SUM(O$4:O212))</f>
        <v/>
      </c>
      <c r="Q212" s="56" t="str">
        <f aca="false">IF($W212="","",N(INDEX(发票统计!Q$4:Q$1003,$W212)))</f>
        <v/>
      </c>
      <c r="R212" s="56" t="str">
        <f aca="false">IF($W212="","",N(INDEX(发票统计!R$4:R$1003,$W212)))</f>
        <v/>
      </c>
      <c r="S212" s="56" t="str">
        <f aca="false">IF($W212="","",N(INDEX(发票统计!S$4:S$1003,$W212)))</f>
        <v/>
      </c>
      <c r="T212" s="56" t="str">
        <f aca="false">IF($W212="","",SUM(Q$4:Q212)-SUM(R$4:R212)-SUM(S$4:S212))</f>
        <v/>
      </c>
      <c r="U212" s="56" t="str">
        <f aca="false">IF($W212="","",INDEX(发票统计!U$4:U$1003,$W212)&amp;"")</f>
        <v/>
      </c>
      <c r="W212" s="1" t="str">
        <f aca="false">IF($V$3="","",IFERROR(MATCH($V$3&amp;"#"&amp;ROWS(W$4:W212),发票统计!$W$4:$W$1003,0),""))</f>
        <v/>
      </c>
    </row>
    <row r="213" customFormat="false" ht="16.5" hidden="false" customHeight="false" outlineLevel="0" collapsed="false">
      <c r="A213" s="3" t="str">
        <f aca="false">IF($W213="","",INDEX(发票统计!A$4:A$1003,$W213)&amp;"")</f>
        <v/>
      </c>
      <c r="B213" s="3" t="str">
        <f aca="false">IF($W213="","",INDEX(发票统计!B$4:B$1003,$W213)&amp;"")</f>
        <v/>
      </c>
      <c r="C213" s="3" t="str">
        <f aca="false">IF($W213="","",INDEX(发票统计!C$4:C$1003,$W213)&amp;"")</f>
        <v/>
      </c>
      <c r="D213" s="3" t="str">
        <f aca="false">IF($W213="","",INDEX(发票统计!D$4:D$1003,$W213)&amp;"")</f>
        <v/>
      </c>
      <c r="E213" s="67" t="str">
        <f aca="false">IF($W213="","",INDEX(发票统计!E$4:E$1003,$W213)&amp;"")</f>
        <v/>
      </c>
      <c r="F213" s="68" t="str">
        <f aca="false">IF($W213="","",INDEX(发票统计!F$4:F$1003,$W213)&amp;"")</f>
        <v/>
      </c>
      <c r="G213" s="68" t="str">
        <f aca="false">IF($W213="","",IF(INDEX(发票统计!G$4:G$1003,$W213)="","",INDEX(发票统计!G$4:G$1003,$W213)))</f>
        <v/>
      </c>
      <c r="H213" s="56" t="str">
        <f aca="false">IF($W213="","",N(INDEX(发票统计!H$4:H$1003,$W213)))</f>
        <v/>
      </c>
      <c r="I213" s="56" t="str">
        <f aca="false">IF($W213="","",N(INDEX(发票统计!I$4:I$1003,$W213)))</f>
        <v/>
      </c>
      <c r="J213" s="56" t="str">
        <f aca="false">IF($W213="","",N(INDEX(发票统计!J$4:J$1003,$W213)))</f>
        <v/>
      </c>
      <c r="K213" s="56" t="str">
        <f aca="false">IF($W213="","",N(INDEX(发票统计!K$4:K$1003,$W213)))</f>
        <v/>
      </c>
      <c r="L213" s="56" t="str">
        <f aca="false">IF($W213="","",SUM(J$4:J213)-SUM(K$4:K213))</f>
        <v/>
      </c>
      <c r="M213" s="56" t="str">
        <f aca="false">IF($W213="","",N(INDEX(发票统计!M$4:M$1003,$W213)))</f>
        <v/>
      </c>
      <c r="N213" s="56" t="str">
        <f aca="false">IF($W213="","",N(INDEX(发票统计!N$4:N$1003,$W213)))</f>
        <v/>
      </c>
      <c r="O213" s="56" t="str">
        <f aca="false">IF($W213="","",N(INDEX(发票统计!O$4:O$1003,$W213)))</f>
        <v/>
      </c>
      <c r="P213" s="56" t="str">
        <f aca="false">IF($W213="","",SUM(M$4:M213)-SUM(N$4:N213)-SUM(O$4:O213))</f>
        <v/>
      </c>
      <c r="Q213" s="56" t="str">
        <f aca="false">IF($W213="","",N(INDEX(发票统计!Q$4:Q$1003,$W213)))</f>
        <v/>
      </c>
      <c r="R213" s="56" t="str">
        <f aca="false">IF($W213="","",N(INDEX(发票统计!R$4:R$1003,$W213)))</f>
        <v/>
      </c>
      <c r="S213" s="56" t="str">
        <f aca="false">IF($W213="","",N(INDEX(发票统计!S$4:S$1003,$W213)))</f>
        <v/>
      </c>
      <c r="T213" s="56" t="str">
        <f aca="false">IF($W213="","",SUM(Q$4:Q213)-SUM(R$4:R213)-SUM(S$4:S213))</f>
        <v/>
      </c>
      <c r="U213" s="56" t="str">
        <f aca="false">IF($W213="","",INDEX(发票统计!U$4:U$1003,$W213)&amp;"")</f>
        <v/>
      </c>
      <c r="W213" s="1" t="str">
        <f aca="false">IF($V$3="","",IFERROR(MATCH($V$3&amp;"#"&amp;ROWS(W$4:W213),发票统计!$W$4:$W$1003,0),""))</f>
        <v/>
      </c>
    </row>
    <row r="214" customFormat="false" ht="16.5" hidden="false" customHeight="false" outlineLevel="0" collapsed="false">
      <c r="A214" s="3" t="str">
        <f aca="false">IF($W214="","",INDEX(发票统计!A$4:A$1003,$W214)&amp;"")</f>
        <v/>
      </c>
      <c r="B214" s="3" t="str">
        <f aca="false">IF($W214="","",INDEX(发票统计!B$4:B$1003,$W214)&amp;"")</f>
        <v/>
      </c>
      <c r="C214" s="3" t="str">
        <f aca="false">IF($W214="","",INDEX(发票统计!C$4:C$1003,$W214)&amp;"")</f>
        <v/>
      </c>
      <c r="D214" s="3" t="str">
        <f aca="false">IF($W214="","",INDEX(发票统计!D$4:D$1003,$W214)&amp;"")</f>
        <v/>
      </c>
      <c r="E214" s="67" t="str">
        <f aca="false">IF($W214="","",INDEX(发票统计!E$4:E$1003,$W214)&amp;"")</f>
        <v/>
      </c>
      <c r="F214" s="68" t="str">
        <f aca="false">IF($W214="","",INDEX(发票统计!F$4:F$1003,$W214)&amp;"")</f>
        <v/>
      </c>
      <c r="G214" s="68" t="str">
        <f aca="false">IF($W214="","",IF(INDEX(发票统计!G$4:G$1003,$W214)="","",INDEX(发票统计!G$4:G$1003,$W214)))</f>
        <v/>
      </c>
      <c r="H214" s="56" t="str">
        <f aca="false">IF($W214="","",N(INDEX(发票统计!H$4:H$1003,$W214)))</f>
        <v/>
      </c>
      <c r="I214" s="56" t="str">
        <f aca="false">IF($W214="","",N(INDEX(发票统计!I$4:I$1003,$W214)))</f>
        <v/>
      </c>
      <c r="J214" s="56" t="str">
        <f aca="false">IF($W214="","",N(INDEX(发票统计!J$4:J$1003,$W214)))</f>
        <v/>
      </c>
      <c r="K214" s="56" t="str">
        <f aca="false">IF($W214="","",N(INDEX(发票统计!K$4:K$1003,$W214)))</f>
        <v/>
      </c>
      <c r="L214" s="56" t="str">
        <f aca="false">IF($W214="","",SUM(J$4:J214)-SUM(K$4:K214))</f>
        <v/>
      </c>
      <c r="M214" s="56" t="str">
        <f aca="false">IF($W214="","",N(INDEX(发票统计!M$4:M$1003,$W214)))</f>
        <v/>
      </c>
      <c r="N214" s="56" t="str">
        <f aca="false">IF($W214="","",N(INDEX(发票统计!N$4:N$1003,$W214)))</f>
        <v/>
      </c>
      <c r="O214" s="56" t="str">
        <f aca="false">IF($W214="","",N(INDEX(发票统计!O$4:O$1003,$W214)))</f>
        <v/>
      </c>
      <c r="P214" s="56" t="str">
        <f aca="false">IF($W214="","",SUM(M$4:M214)-SUM(N$4:N214)-SUM(O$4:O214))</f>
        <v/>
      </c>
      <c r="Q214" s="56" t="str">
        <f aca="false">IF($W214="","",N(INDEX(发票统计!Q$4:Q$1003,$W214)))</f>
        <v/>
      </c>
      <c r="R214" s="56" t="str">
        <f aca="false">IF($W214="","",N(INDEX(发票统计!R$4:R$1003,$W214)))</f>
        <v/>
      </c>
      <c r="S214" s="56" t="str">
        <f aca="false">IF($W214="","",N(INDEX(发票统计!S$4:S$1003,$W214)))</f>
        <v/>
      </c>
      <c r="T214" s="56" t="str">
        <f aca="false">IF($W214="","",SUM(Q$4:Q214)-SUM(R$4:R214)-SUM(S$4:S214))</f>
        <v/>
      </c>
      <c r="U214" s="56" t="str">
        <f aca="false">IF($W214="","",INDEX(发票统计!U$4:U$1003,$W214)&amp;"")</f>
        <v/>
      </c>
      <c r="W214" s="1" t="str">
        <f aca="false">IF($V$3="","",IFERROR(MATCH($V$3&amp;"#"&amp;ROWS(W$4:W214),发票统计!$W$4:$W$1003,0),""))</f>
        <v/>
      </c>
    </row>
    <row r="215" customFormat="false" ht="16.5" hidden="false" customHeight="false" outlineLevel="0" collapsed="false">
      <c r="A215" s="3" t="str">
        <f aca="false">IF($W215="","",INDEX(发票统计!A$4:A$1003,$W215)&amp;"")</f>
        <v/>
      </c>
      <c r="B215" s="3" t="str">
        <f aca="false">IF($W215="","",INDEX(发票统计!B$4:B$1003,$W215)&amp;"")</f>
        <v/>
      </c>
      <c r="C215" s="3" t="str">
        <f aca="false">IF($W215="","",INDEX(发票统计!C$4:C$1003,$W215)&amp;"")</f>
        <v/>
      </c>
      <c r="D215" s="3" t="str">
        <f aca="false">IF($W215="","",INDEX(发票统计!D$4:D$1003,$W215)&amp;"")</f>
        <v/>
      </c>
      <c r="E215" s="67" t="str">
        <f aca="false">IF($W215="","",INDEX(发票统计!E$4:E$1003,$W215)&amp;"")</f>
        <v/>
      </c>
      <c r="F215" s="68" t="str">
        <f aca="false">IF($W215="","",INDEX(发票统计!F$4:F$1003,$W215)&amp;"")</f>
        <v/>
      </c>
      <c r="G215" s="68" t="str">
        <f aca="false">IF($W215="","",IF(INDEX(发票统计!G$4:G$1003,$W215)="","",INDEX(发票统计!G$4:G$1003,$W215)))</f>
        <v/>
      </c>
      <c r="H215" s="56" t="str">
        <f aca="false">IF($W215="","",N(INDEX(发票统计!H$4:H$1003,$W215)))</f>
        <v/>
      </c>
      <c r="I215" s="56" t="str">
        <f aca="false">IF($W215="","",N(INDEX(发票统计!I$4:I$1003,$W215)))</f>
        <v/>
      </c>
      <c r="J215" s="56" t="str">
        <f aca="false">IF($W215="","",N(INDEX(发票统计!J$4:J$1003,$W215)))</f>
        <v/>
      </c>
      <c r="K215" s="56" t="str">
        <f aca="false">IF($W215="","",N(INDEX(发票统计!K$4:K$1003,$W215)))</f>
        <v/>
      </c>
      <c r="L215" s="56" t="str">
        <f aca="false">IF($W215="","",SUM(J$4:J215)-SUM(K$4:K215))</f>
        <v/>
      </c>
      <c r="M215" s="56" t="str">
        <f aca="false">IF($W215="","",N(INDEX(发票统计!M$4:M$1003,$W215)))</f>
        <v/>
      </c>
      <c r="N215" s="56" t="str">
        <f aca="false">IF($W215="","",N(INDEX(发票统计!N$4:N$1003,$W215)))</f>
        <v/>
      </c>
      <c r="O215" s="56" t="str">
        <f aca="false">IF($W215="","",N(INDEX(发票统计!O$4:O$1003,$W215)))</f>
        <v/>
      </c>
      <c r="P215" s="56" t="str">
        <f aca="false">IF($W215="","",SUM(M$4:M215)-SUM(N$4:N215)-SUM(O$4:O215))</f>
        <v/>
      </c>
      <c r="Q215" s="56" t="str">
        <f aca="false">IF($W215="","",N(INDEX(发票统计!Q$4:Q$1003,$W215)))</f>
        <v/>
      </c>
      <c r="R215" s="56" t="str">
        <f aca="false">IF($W215="","",N(INDEX(发票统计!R$4:R$1003,$W215)))</f>
        <v/>
      </c>
      <c r="S215" s="56" t="str">
        <f aca="false">IF($W215="","",N(INDEX(发票统计!S$4:S$1003,$W215)))</f>
        <v/>
      </c>
      <c r="T215" s="56" t="str">
        <f aca="false">IF($W215="","",SUM(Q$4:Q215)-SUM(R$4:R215)-SUM(S$4:S215))</f>
        <v/>
      </c>
      <c r="U215" s="56" t="str">
        <f aca="false">IF($W215="","",INDEX(发票统计!U$4:U$1003,$W215)&amp;"")</f>
        <v/>
      </c>
      <c r="W215" s="1" t="str">
        <f aca="false">IF($V$3="","",IFERROR(MATCH($V$3&amp;"#"&amp;ROWS(W$4:W215),发票统计!$W$4:$W$1003,0),""))</f>
        <v/>
      </c>
    </row>
    <row r="216" customFormat="false" ht="16.5" hidden="false" customHeight="false" outlineLevel="0" collapsed="false">
      <c r="A216" s="3" t="str">
        <f aca="false">IF($W216="","",INDEX(发票统计!A$4:A$1003,$W216)&amp;"")</f>
        <v/>
      </c>
      <c r="B216" s="3" t="str">
        <f aca="false">IF($W216="","",INDEX(发票统计!B$4:B$1003,$W216)&amp;"")</f>
        <v/>
      </c>
      <c r="C216" s="3" t="str">
        <f aca="false">IF($W216="","",INDEX(发票统计!C$4:C$1003,$W216)&amp;"")</f>
        <v/>
      </c>
      <c r="D216" s="3" t="str">
        <f aca="false">IF($W216="","",INDEX(发票统计!D$4:D$1003,$W216)&amp;"")</f>
        <v/>
      </c>
      <c r="E216" s="67" t="str">
        <f aca="false">IF($W216="","",INDEX(发票统计!E$4:E$1003,$W216)&amp;"")</f>
        <v/>
      </c>
      <c r="F216" s="68" t="str">
        <f aca="false">IF($W216="","",INDEX(发票统计!F$4:F$1003,$W216)&amp;"")</f>
        <v/>
      </c>
      <c r="G216" s="68" t="str">
        <f aca="false">IF($W216="","",IF(INDEX(发票统计!G$4:G$1003,$W216)="","",INDEX(发票统计!G$4:G$1003,$W216)))</f>
        <v/>
      </c>
      <c r="H216" s="56" t="str">
        <f aca="false">IF($W216="","",N(INDEX(发票统计!H$4:H$1003,$W216)))</f>
        <v/>
      </c>
      <c r="I216" s="56" t="str">
        <f aca="false">IF($W216="","",N(INDEX(发票统计!I$4:I$1003,$W216)))</f>
        <v/>
      </c>
      <c r="J216" s="56" t="str">
        <f aca="false">IF($W216="","",N(INDEX(发票统计!J$4:J$1003,$W216)))</f>
        <v/>
      </c>
      <c r="K216" s="56" t="str">
        <f aca="false">IF($W216="","",N(INDEX(发票统计!K$4:K$1003,$W216)))</f>
        <v/>
      </c>
      <c r="L216" s="56" t="str">
        <f aca="false">IF($W216="","",SUM(J$4:J216)-SUM(K$4:K216))</f>
        <v/>
      </c>
      <c r="M216" s="56" t="str">
        <f aca="false">IF($W216="","",N(INDEX(发票统计!M$4:M$1003,$W216)))</f>
        <v/>
      </c>
      <c r="N216" s="56" t="str">
        <f aca="false">IF($W216="","",N(INDEX(发票统计!N$4:N$1003,$W216)))</f>
        <v/>
      </c>
      <c r="O216" s="56" t="str">
        <f aca="false">IF($W216="","",N(INDEX(发票统计!O$4:O$1003,$W216)))</f>
        <v/>
      </c>
      <c r="P216" s="56" t="str">
        <f aca="false">IF($W216="","",SUM(M$4:M216)-SUM(N$4:N216)-SUM(O$4:O216))</f>
        <v/>
      </c>
      <c r="Q216" s="56" t="str">
        <f aca="false">IF($W216="","",N(INDEX(发票统计!Q$4:Q$1003,$W216)))</f>
        <v/>
      </c>
      <c r="R216" s="56" t="str">
        <f aca="false">IF($W216="","",N(INDEX(发票统计!R$4:R$1003,$W216)))</f>
        <v/>
      </c>
      <c r="S216" s="56" t="str">
        <f aca="false">IF($W216="","",N(INDEX(发票统计!S$4:S$1003,$W216)))</f>
        <v/>
      </c>
      <c r="T216" s="56" t="str">
        <f aca="false">IF($W216="","",SUM(Q$4:Q216)-SUM(R$4:R216)-SUM(S$4:S216))</f>
        <v/>
      </c>
      <c r="U216" s="56" t="str">
        <f aca="false">IF($W216="","",INDEX(发票统计!U$4:U$1003,$W216)&amp;"")</f>
        <v/>
      </c>
      <c r="W216" s="1" t="str">
        <f aca="false">IF($V$3="","",IFERROR(MATCH($V$3&amp;"#"&amp;ROWS(W$4:W216),发票统计!$W$4:$W$1003,0),""))</f>
        <v/>
      </c>
    </row>
    <row r="217" customFormat="false" ht="16.5" hidden="false" customHeight="false" outlineLevel="0" collapsed="false">
      <c r="A217" s="3" t="str">
        <f aca="false">IF($W217="","",INDEX(发票统计!A$4:A$1003,$W217)&amp;"")</f>
        <v/>
      </c>
      <c r="B217" s="3" t="str">
        <f aca="false">IF($W217="","",INDEX(发票统计!B$4:B$1003,$W217)&amp;"")</f>
        <v/>
      </c>
      <c r="C217" s="3" t="str">
        <f aca="false">IF($W217="","",INDEX(发票统计!C$4:C$1003,$W217)&amp;"")</f>
        <v/>
      </c>
      <c r="D217" s="3" t="str">
        <f aca="false">IF($W217="","",INDEX(发票统计!D$4:D$1003,$W217)&amp;"")</f>
        <v/>
      </c>
      <c r="E217" s="67" t="str">
        <f aca="false">IF($W217="","",INDEX(发票统计!E$4:E$1003,$W217)&amp;"")</f>
        <v/>
      </c>
      <c r="F217" s="68" t="str">
        <f aca="false">IF($W217="","",INDEX(发票统计!F$4:F$1003,$W217)&amp;"")</f>
        <v/>
      </c>
      <c r="G217" s="68" t="str">
        <f aca="false">IF($W217="","",IF(INDEX(发票统计!G$4:G$1003,$W217)="","",INDEX(发票统计!G$4:G$1003,$W217)))</f>
        <v/>
      </c>
      <c r="H217" s="56" t="str">
        <f aca="false">IF($W217="","",N(INDEX(发票统计!H$4:H$1003,$W217)))</f>
        <v/>
      </c>
      <c r="I217" s="56" t="str">
        <f aca="false">IF($W217="","",N(INDEX(发票统计!I$4:I$1003,$W217)))</f>
        <v/>
      </c>
      <c r="J217" s="56" t="str">
        <f aca="false">IF($W217="","",N(INDEX(发票统计!J$4:J$1003,$W217)))</f>
        <v/>
      </c>
      <c r="K217" s="56" t="str">
        <f aca="false">IF($W217="","",N(INDEX(发票统计!K$4:K$1003,$W217)))</f>
        <v/>
      </c>
      <c r="L217" s="56" t="str">
        <f aca="false">IF($W217="","",SUM(J$4:J217)-SUM(K$4:K217))</f>
        <v/>
      </c>
      <c r="M217" s="56" t="str">
        <f aca="false">IF($W217="","",N(INDEX(发票统计!M$4:M$1003,$W217)))</f>
        <v/>
      </c>
      <c r="N217" s="56" t="str">
        <f aca="false">IF($W217="","",N(INDEX(发票统计!N$4:N$1003,$W217)))</f>
        <v/>
      </c>
      <c r="O217" s="56" t="str">
        <f aca="false">IF($W217="","",N(INDEX(发票统计!O$4:O$1003,$W217)))</f>
        <v/>
      </c>
      <c r="P217" s="56" t="str">
        <f aca="false">IF($W217="","",SUM(M$4:M217)-SUM(N$4:N217)-SUM(O$4:O217))</f>
        <v/>
      </c>
      <c r="Q217" s="56" t="str">
        <f aca="false">IF($W217="","",N(INDEX(发票统计!Q$4:Q$1003,$W217)))</f>
        <v/>
      </c>
      <c r="R217" s="56" t="str">
        <f aca="false">IF($W217="","",N(INDEX(发票统计!R$4:R$1003,$W217)))</f>
        <v/>
      </c>
      <c r="S217" s="56" t="str">
        <f aca="false">IF($W217="","",N(INDEX(发票统计!S$4:S$1003,$W217)))</f>
        <v/>
      </c>
      <c r="T217" s="56" t="str">
        <f aca="false">IF($W217="","",SUM(Q$4:Q217)-SUM(R$4:R217)-SUM(S$4:S217))</f>
        <v/>
      </c>
      <c r="U217" s="56" t="str">
        <f aca="false">IF($W217="","",INDEX(发票统计!U$4:U$1003,$W217)&amp;"")</f>
        <v/>
      </c>
      <c r="W217" s="1" t="str">
        <f aca="false">IF($V$3="","",IFERROR(MATCH($V$3&amp;"#"&amp;ROWS(W$4:W217),发票统计!$W$4:$W$1003,0),""))</f>
        <v/>
      </c>
    </row>
    <row r="218" customFormat="false" ht="16.5" hidden="false" customHeight="false" outlineLevel="0" collapsed="false">
      <c r="A218" s="3" t="str">
        <f aca="false">IF($W218="","",INDEX(发票统计!A$4:A$1003,$W218)&amp;"")</f>
        <v/>
      </c>
      <c r="B218" s="3" t="str">
        <f aca="false">IF($W218="","",INDEX(发票统计!B$4:B$1003,$W218)&amp;"")</f>
        <v/>
      </c>
      <c r="C218" s="3" t="str">
        <f aca="false">IF($W218="","",INDEX(发票统计!C$4:C$1003,$W218)&amp;"")</f>
        <v/>
      </c>
      <c r="D218" s="3" t="str">
        <f aca="false">IF($W218="","",INDEX(发票统计!D$4:D$1003,$W218)&amp;"")</f>
        <v/>
      </c>
      <c r="E218" s="67" t="str">
        <f aca="false">IF($W218="","",INDEX(发票统计!E$4:E$1003,$W218)&amp;"")</f>
        <v/>
      </c>
      <c r="F218" s="68" t="str">
        <f aca="false">IF($W218="","",INDEX(发票统计!F$4:F$1003,$W218)&amp;"")</f>
        <v/>
      </c>
      <c r="G218" s="68" t="str">
        <f aca="false">IF($W218="","",IF(INDEX(发票统计!G$4:G$1003,$W218)="","",INDEX(发票统计!G$4:G$1003,$W218)))</f>
        <v/>
      </c>
      <c r="H218" s="56" t="str">
        <f aca="false">IF($W218="","",N(INDEX(发票统计!H$4:H$1003,$W218)))</f>
        <v/>
      </c>
      <c r="I218" s="56" t="str">
        <f aca="false">IF($W218="","",N(INDEX(发票统计!I$4:I$1003,$W218)))</f>
        <v/>
      </c>
      <c r="J218" s="56" t="str">
        <f aca="false">IF($W218="","",N(INDEX(发票统计!J$4:J$1003,$W218)))</f>
        <v/>
      </c>
      <c r="K218" s="56" t="str">
        <f aca="false">IF($W218="","",N(INDEX(发票统计!K$4:K$1003,$W218)))</f>
        <v/>
      </c>
      <c r="L218" s="56" t="str">
        <f aca="false">IF($W218="","",SUM(J$4:J218)-SUM(K$4:K218))</f>
        <v/>
      </c>
      <c r="M218" s="56" t="str">
        <f aca="false">IF($W218="","",N(INDEX(发票统计!M$4:M$1003,$W218)))</f>
        <v/>
      </c>
      <c r="N218" s="56" t="str">
        <f aca="false">IF($W218="","",N(INDEX(发票统计!N$4:N$1003,$W218)))</f>
        <v/>
      </c>
      <c r="O218" s="56" t="str">
        <f aca="false">IF($W218="","",N(INDEX(发票统计!O$4:O$1003,$W218)))</f>
        <v/>
      </c>
      <c r="P218" s="56" t="str">
        <f aca="false">IF($W218="","",SUM(M$4:M218)-SUM(N$4:N218)-SUM(O$4:O218))</f>
        <v/>
      </c>
      <c r="Q218" s="56" t="str">
        <f aca="false">IF($W218="","",N(INDEX(发票统计!Q$4:Q$1003,$W218)))</f>
        <v/>
      </c>
      <c r="R218" s="56" t="str">
        <f aca="false">IF($W218="","",N(INDEX(发票统计!R$4:R$1003,$W218)))</f>
        <v/>
      </c>
      <c r="S218" s="56" t="str">
        <f aca="false">IF($W218="","",N(INDEX(发票统计!S$4:S$1003,$W218)))</f>
        <v/>
      </c>
      <c r="T218" s="56" t="str">
        <f aca="false">IF($W218="","",SUM(Q$4:Q218)-SUM(R$4:R218)-SUM(S$4:S218))</f>
        <v/>
      </c>
      <c r="U218" s="56" t="str">
        <f aca="false">IF($W218="","",INDEX(发票统计!U$4:U$1003,$W218)&amp;"")</f>
        <v/>
      </c>
      <c r="W218" s="1" t="str">
        <f aca="false">IF($V$3="","",IFERROR(MATCH($V$3&amp;"#"&amp;ROWS(W$4:W218),发票统计!$W$4:$W$1003,0),""))</f>
        <v/>
      </c>
    </row>
    <row r="219" customFormat="false" ht="16.5" hidden="false" customHeight="false" outlineLevel="0" collapsed="false">
      <c r="A219" s="3" t="str">
        <f aca="false">IF($W219="","",INDEX(发票统计!A$4:A$1003,$W219)&amp;"")</f>
        <v/>
      </c>
      <c r="B219" s="3" t="str">
        <f aca="false">IF($W219="","",INDEX(发票统计!B$4:B$1003,$W219)&amp;"")</f>
        <v/>
      </c>
      <c r="C219" s="3" t="str">
        <f aca="false">IF($W219="","",INDEX(发票统计!C$4:C$1003,$W219)&amp;"")</f>
        <v/>
      </c>
      <c r="D219" s="3" t="str">
        <f aca="false">IF($W219="","",INDEX(发票统计!D$4:D$1003,$W219)&amp;"")</f>
        <v/>
      </c>
      <c r="E219" s="67" t="str">
        <f aca="false">IF($W219="","",INDEX(发票统计!E$4:E$1003,$W219)&amp;"")</f>
        <v/>
      </c>
      <c r="F219" s="68" t="str">
        <f aca="false">IF($W219="","",INDEX(发票统计!F$4:F$1003,$W219)&amp;"")</f>
        <v/>
      </c>
      <c r="G219" s="68" t="str">
        <f aca="false">IF($W219="","",IF(INDEX(发票统计!G$4:G$1003,$W219)="","",INDEX(发票统计!G$4:G$1003,$W219)))</f>
        <v/>
      </c>
      <c r="H219" s="56" t="str">
        <f aca="false">IF($W219="","",N(INDEX(发票统计!H$4:H$1003,$W219)))</f>
        <v/>
      </c>
      <c r="I219" s="56" t="str">
        <f aca="false">IF($W219="","",N(INDEX(发票统计!I$4:I$1003,$W219)))</f>
        <v/>
      </c>
      <c r="J219" s="56" t="str">
        <f aca="false">IF($W219="","",N(INDEX(发票统计!J$4:J$1003,$W219)))</f>
        <v/>
      </c>
      <c r="K219" s="56" t="str">
        <f aca="false">IF($W219="","",N(INDEX(发票统计!K$4:K$1003,$W219)))</f>
        <v/>
      </c>
      <c r="L219" s="56" t="str">
        <f aca="false">IF($W219="","",SUM(J$4:J219)-SUM(K$4:K219))</f>
        <v/>
      </c>
      <c r="M219" s="56" t="str">
        <f aca="false">IF($W219="","",N(INDEX(发票统计!M$4:M$1003,$W219)))</f>
        <v/>
      </c>
      <c r="N219" s="56" t="str">
        <f aca="false">IF($W219="","",N(INDEX(发票统计!N$4:N$1003,$W219)))</f>
        <v/>
      </c>
      <c r="O219" s="56" t="str">
        <f aca="false">IF($W219="","",N(INDEX(发票统计!O$4:O$1003,$W219)))</f>
        <v/>
      </c>
      <c r="P219" s="56" t="str">
        <f aca="false">IF($W219="","",SUM(M$4:M219)-SUM(N$4:N219)-SUM(O$4:O219))</f>
        <v/>
      </c>
      <c r="Q219" s="56" t="str">
        <f aca="false">IF($W219="","",N(INDEX(发票统计!Q$4:Q$1003,$W219)))</f>
        <v/>
      </c>
      <c r="R219" s="56" t="str">
        <f aca="false">IF($W219="","",N(INDEX(发票统计!R$4:R$1003,$W219)))</f>
        <v/>
      </c>
      <c r="S219" s="56" t="str">
        <f aca="false">IF($W219="","",N(INDEX(发票统计!S$4:S$1003,$W219)))</f>
        <v/>
      </c>
      <c r="T219" s="56" t="str">
        <f aca="false">IF($W219="","",SUM(Q$4:Q219)-SUM(R$4:R219)-SUM(S$4:S219))</f>
        <v/>
      </c>
      <c r="U219" s="56" t="str">
        <f aca="false">IF($W219="","",INDEX(发票统计!U$4:U$1003,$W219)&amp;"")</f>
        <v/>
      </c>
      <c r="W219" s="1" t="str">
        <f aca="false">IF($V$3="","",IFERROR(MATCH($V$3&amp;"#"&amp;ROWS(W$4:W219),发票统计!$W$4:$W$1003,0),""))</f>
        <v/>
      </c>
    </row>
    <row r="220" customFormat="false" ht="16.5" hidden="false" customHeight="false" outlineLevel="0" collapsed="false">
      <c r="A220" s="3" t="str">
        <f aca="false">IF($W220="","",INDEX(发票统计!A$4:A$1003,$W220)&amp;"")</f>
        <v/>
      </c>
      <c r="B220" s="3" t="str">
        <f aca="false">IF($W220="","",INDEX(发票统计!B$4:B$1003,$W220)&amp;"")</f>
        <v/>
      </c>
      <c r="C220" s="3" t="str">
        <f aca="false">IF($W220="","",INDEX(发票统计!C$4:C$1003,$W220)&amp;"")</f>
        <v/>
      </c>
      <c r="D220" s="3" t="str">
        <f aca="false">IF($W220="","",INDEX(发票统计!D$4:D$1003,$W220)&amp;"")</f>
        <v/>
      </c>
      <c r="E220" s="67" t="str">
        <f aca="false">IF($W220="","",INDEX(发票统计!E$4:E$1003,$W220)&amp;"")</f>
        <v/>
      </c>
      <c r="F220" s="68" t="str">
        <f aca="false">IF($W220="","",INDEX(发票统计!F$4:F$1003,$W220)&amp;"")</f>
        <v/>
      </c>
      <c r="G220" s="68" t="str">
        <f aca="false">IF($W220="","",IF(INDEX(发票统计!G$4:G$1003,$W220)="","",INDEX(发票统计!G$4:G$1003,$W220)))</f>
        <v/>
      </c>
      <c r="H220" s="56" t="str">
        <f aca="false">IF($W220="","",N(INDEX(发票统计!H$4:H$1003,$W220)))</f>
        <v/>
      </c>
      <c r="I220" s="56" t="str">
        <f aca="false">IF($W220="","",N(INDEX(发票统计!I$4:I$1003,$W220)))</f>
        <v/>
      </c>
      <c r="J220" s="56" t="str">
        <f aca="false">IF($W220="","",N(INDEX(发票统计!J$4:J$1003,$W220)))</f>
        <v/>
      </c>
      <c r="K220" s="56" t="str">
        <f aca="false">IF($W220="","",N(INDEX(发票统计!K$4:K$1003,$W220)))</f>
        <v/>
      </c>
      <c r="L220" s="56" t="str">
        <f aca="false">IF($W220="","",SUM(J$4:J220)-SUM(K$4:K220))</f>
        <v/>
      </c>
      <c r="M220" s="56" t="str">
        <f aca="false">IF($W220="","",N(INDEX(发票统计!M$4:M$1003,$W220)))</f>
        <v/>
      </c>
      <c r="N220" s="56" t="str">
        <f aca="false">IF($W220="","",N(INDEX(发票统计!N$4:N$1003,$W220)))</f>
        <v/>
      </c>
      <c r="O220" s="56" t="str">
        <f aca="false">IF($W220="","",N(INDEX(发票统计!O$4:O$1003,$W220)))</f>
        <v/>
      </c>
      <c r="P220" s="56" t="str">
        <f aca="false">IF($W220="","",SUM(M$4:M220)-SUM(N$4:N220)-SUM(O$4:O220))</f>
        <v/>
      </c>
      <c r="Q220" s="56" t="str">
        <f aca="false">IF($W220="","",N(INDEX(发票统计!Q$4:Q$1003,$W220)))</f>
        <v/>
      </c>
      <c r="R220" s="56" t="str">
        <f aca="false">IF($W220="","",N(INDEX(发票统计!R$4:R$1003,$W220)))</f>
        <v/>
      </c>
      <c r="S220" s="56" t="str">
        <f aca="false">IF($W220="","",N(INDEX(发票统计!S$4:S$1003,$W220)))</f>
        <v/>
      </c>
      <c r="T220" s="56" t="str">
        <f aca="false">IF($W220="","",SUM(Q$4:Q220)-SUM(R$4:R220)-SUM(S$4:S220))</f>
        <v/>
      </c>
      <c r="U220" s="56" t="str">
        <f aca="false">IF($W220="","",INDEX(发票统计!U$4:U$1003,$W220)&amp;"")</f>
        <v/>
      </c>
      <c r="W220" s="1" t="str">
        <f aca="false">IF($V$3="","",IFERROR(MATCH($V$3&amp;"#"&amp;ROWS(W$4:W220),发票统计!$W$4:$W$1003,0),""))</f>
        <v/>
      </c>
    </row>
    <row r="221" customFormat="false" ht="16.5" hidden="false" customHeight="false" outlineLevel="0" collapsed="false">
      <c r="A221" s="3" t="str">
        <f aca="false">IF($W221="","",INDEX(发票统计!A$4:A$1003,$W221)&amp;"")</f>
        <v/>
      </c>
      <c r="B221" s="3" t="str">
        <f aca="false">IF($W221="","",INDEX(发票统计!B$4:B$1003,$W221)&amp;"")</f>
        <v/>
      </c>
      <c r="C221" s="3" t="str">
        <f aca="false">IF($W221="","",INDEX(发票统计!C$4:C$1003,$W221)&amp;"")</f>
        <v/>
      </c>
      <c r="D221" s="3" t="str">
        <f aca="false">IF($W221="","",INDEX(发票统计!D$4:D$1003,$W221)&amp;"")</f>
        <v/>
      </c>
      <c r="E221" s="67" t="str">
        <f aca="false">IF($W221="","",INDEX(发票统计!E$4:E$1003,$W221)&amp;"")</f>
        <v/>
      </c>
      <c r="F221" s="68" t="str">
        <f aca="false">IF($W221="","",INDEX(发票统计!F$4:F$1003,$W221)&amp;"")</f>
        <v/>
      </c>
      <c r="G221" s="68" t="str">
        <f aca="false">IF($W221="","",IF(INDEX(发票统计!G$4:G$1003,$W221)="","",INDEX(发票统计!G$4:G$1003,$W221)))</f>
        <v/>
      </c>
      <c r="H221" s="56" t="str">
        <f aca="false">IF($W221="","",N(INDEX(发票统计!H$4:H$1003,$W221)))</f>
        <v/>
      </c>
      <c r="I221" s="56" t="str">
        <f aca="false">IF($W221="","",N(INDEX(发票统计!I$4:I$1003,$W221)))</f>
        <v/>
      </c>
      <c r="J221" s="56" t="str">
        <f aca="false">IF($W221="","",N(INDEX(发票统计!J$4:J$1003,$W221)))</f>
        <v/>
      </c>
      <c r="K221" s="56" t="str">
        <f aca="false">IF($W221="","",N(INDEX(发票统计!K$4:K$1003,$W221)))</f>
        <v/>
      </c>
      <c r="L221" s="56" t="str">
        <f aca="false">IF($W221="","",SUM(J$4:J221)-SUM(K$4:K221))</f>
        <v/>
      </c>
      <c r="M221" s="56" t="str">
        <f aca="false">IF($W221="","",N(INDEX(发票统计!M$4:M$1003,$W221)))</f>
        <v/>
      </c>
      <c r="N221" s="56" t="str">
        <f aca="false">IF($W221="","",N(INDEX(发票统计!N$4:N$1003,$W221)))</f>
        <v/>
      </c>
      <c r="O221" s="56" t="str">
        <f aca="false">IF($W221="","",N(INDEX(发票统计!O$4:O$1003,$W221)))</f>
        <v/>
      </c>
      <c r="P221" s="56" t="str">
        <f aca="false">IF($W221="","",SUM(M$4:M221)-SUM(N$4:N221)-SUM(O$4:O221))</f>
        <v/>
      </c>
      <c r="Q221" s="56" t="str">
        <f aca="false">IF($W221="","",N(INDEX(发票统计!Q$4:Q$1003,$W221)))</f>
        <v/>
      </c>
      <c r="R221" s="56" t="str">
        <f aca="false">IF($W221="","",N(INDEX(发票统计!R$4:R$1003,$W221)))</f>
        <v/>
      </c>
      <c r="S221" s="56" t="str">
        <f aca="false">IF($W221="","",N(INDEX(发票统计!S$4:S$1003,$W221)))</f>
        <v/>
      </c>
      <c r="T221" s="56" t="str">
        <f aca="false">IF($W221="","",SUM(Q$4:Q221)-SUM(R$4:R221)-SUM(S$4:S221))</f>
        <v/>
      </c>
      <c r="U221" s="56" t="str">
        <f aca="false">IF($W221="","",INDEX(发票统计!U$4:U$1003,$W221)&amp;"")</f>
        <v/>
      </c>
      <c r="W221" s="1" t="str">
        <f aca="false">IF($V$3="","",IFERROR(MATCH($V$3&amp;"#"&amp;ROWS(W$4:W221),发票统计!$W$4:$W$1003,0),""))</f>
        <v/>
      </c>
    </row>
    <row r="222" customFormat="false" ht="16.5" hidden="false" customHeight="false" outlineLevel="0" collapsed="false">
      <c r="A222" s="3" t="str">
        <f aca="false">IF($W222="","",INDEX(发票统计!A$4:A$1003,$W222)&amp;"")</f>
        <v/>
      </c>
      <c r="B222" s="3" t="str">
        <f aca="false">IF($W222="","",INDEX(发票统计!B$4:B$1003,$W222)&amp;"")</f>
        <v/>
      </c>
      <c r="C222" s="3" t="str">
        <f aca="false">IF($W222="","",INDEX(发票统计!C$4:C$1003,$W222)&amp;"")</f>
        <v/>
      </c>
      <c r="D222" s="3" t="str">
        <f aca="false">IF($W222="","",INDEX(发票统计!D$4:D$1003,$W222)&amp;"")</f>
        <v/>
      </c>
      <c r="E222" s="67" t="str">
        <f aca="false">IF($W222="","",INDEX(发票统计!E$4:E$1003,$W222)&amp;"")</f>
        <v/>
      </c>
      <c r="F222" s="68" t="str">
        <f aca="false">IF($W222="","",INDEX(发票统计!F$4:F$1003,$W222)&amp;"")</f>
        <v/>
      </c>
      <c r="G222" s="68" t="str">
        <f aca="false">IF($W222="","",IF(INDEX(发票统计!G$4:G$1003,$W222)="","",INDEX(发票统计!G$4:G$1003,$W222)))</f>
        <v/>
      </c>
      <c r="H222" s="56" t="str">
        <f aca="false">IF($W222="","",N(INDEX(发票统计!H$4:H$1003,$W222)))</f>
        <v/>
      </c>
      <c r="I222" s="56" t="str">
        <f aca="false">IF($W222="","",N(INDEX(发票统计!I$4:I$1003,$W222)))</f>
        <v/>
      </c>
      <c r="J222" s="56" t="str">
        <f aca="false">IF($W222="","",N(INDEX(发票统计!J$4:J$1003,$W222)))</f>
        <v/>
      </c>
      <c r="K222" s="56" t="str">
        <f aca="false">IF($W222="","",N(INDEX(发票统计!K$4:K$1003,$W222)))</f>
        <v/>
      </c>
      <c r="L222" s="56" t="str">
        <f aca="false">IF($W222="","",SUM(J$4:J222)-SUM(K$4:K222))</f>
        <v/>
      </c>
      <c r="M222" s="56" t="str">
        <f aca="false">IF($W222="","",N(INDEX(发票统计!M$4:M$1003,$W222)))</f>
        <v/>
      </c>
      <c r="N222" s="56" t="str">
        <f aca="false">IF($W222="","",N(INDEX(发票统计!N$4:N$1003,$W222)))</f>
        <v/>
      </c>
      <c r="O222" s="56" t="str">
        <f aca="false">IF($W222="","",N(INDEX(发票统计!O$4:O$1003,$W222)))</f>
        <v/>
      </c>
      <c r="P222" s="56" t="str">
        <f aca="false">IF($W222="","",SUM(M$4:M222)-SUM(N$4:N222)-SUM(O$4:O222))</f>
        <v/>
      </c>
      <c r="Q222" s="56" t="str">
        <f aca="false">IF($W222="","",N(INDEX(发票统计!Q$4:Q$1003,$W222)))</f>
        <v/>
      </c>
      <c r="R222" s="56" t="str">
        <f aca="false">IF($W222="","",N(INDEX(发票统计!R$4:R$1003,$W222)))</f>
        <v/>
      </c>
      <c r="S222" s="56" t="str">
        <f aca="false">IF($W222="","",N(INDEX(发票统计!S$4:S$1003,$W222)))</f>
        <v/>
      </c>
      <c r="T222" s="56" t="str">
        <f aca="false">IF($W222="","",SUM(Q$4:Q222)-SUM(R$4:R222)-SUM(S$4:S222))</f>
        <v/>
      </c>
      <c r="U222" s="56" t="str">
        <f aca="false">IF($W222="","",INDEX(发票统计!U$4:U$1003,$W222)&amp;"")</f>
        <v/>
      </c>
      <c r="W222" s="1" t="str">
        <f aca="false">IF($V$3="","",IFERROR(MATCH($V$3&amp;"#"&amp;ROWS(W$4:W222),发票统计!$W$4:$W$1003,0),""))</f>
        <v/>
      </c>
    </row>
    <row r="223" customFormat="false" ht="16.5" hidden="false" customHeight="false" outlineLevel="0" collapsed="false">
      <c r="A223" s="3" t="str">
        <f aca="false">IF($W223="","",INDEX(发票统计!A$4:A$1003,$W223)&amp;"")</f>
        <v/>
      </c>
      <c r="B223" s="3" t="str">
        <f aca="false">IF($W223="","",INDEX(发票统计!B$4:B$1003,$W223)&amp;"")</f>
        <v/>
      </c>
      <c r="C223" s="3" t="str">
        <f aca="false">IF($W223="","",INDEX(发票统计!C$4:C$1003,$W223)&amp;"")</f>
        <v/>
      </c>
      <c r="D223" s="3" t="str">
        <f aca="false">IF($W223="","",INDEX(发票统计!D$4:D$1003,$W223)&amp;"")</f>
        <v/>
      </c>
      <c r="E223" s="67" t="str">
        <f aca="false">IF($W223="","",INDEX(发票统计!E$4:E$1003,$W223)&amp;"")</f>
        <v/>
      </c>
      <c r="F223" s="68" t="str">
        <f aca="false">IF($W223="","",INDEX(发票统计!F$4:F$1003,$W223)&amp;"")</f>
        <v/>
      </c>
      <c r="G223" s="68" t="str">
        <f aca="false">IF($W223="","",IF(INDEX(发票统计!G$4:G$1003,$W223)="","",INDEX(发票统计!G$4:G$1003,$W223)))</f>
        <v/>
      </c>
      <c r="H223" s="56" t="str">
        <f aca="false">IF($W223="","",N(INDEX(发票统计!H$4:H$1003,$W223)))</f>
        <v/>
      </c>
      <c r="I223" s="56" t="str">
        <f aca="false">IF($W223="","",N(INDEX(发票统计!I$4:I$1003,$W223)))</f>
        <v/>
      </c>
      <c r="J223" s="56" t="str">
        <f aca="false">IF($W223="","",N(INDEX(发票统计!J$4:J$1003,$W223)))</f>
        <v/>
      </c>
      <c r="K223" s="56" t="str">
        <f aca="false">IF($W223="","",N(INDEX(发票统计!K$4:K$1003,$W223)))</f>
        <v/>
      </c>
      <c r="L223" s="56" t="str">
        <f aca="false">IF($W223="","",SUM(J$4:J223)-SUM(K$4:K223))</f>
        <v/>
      </c>
      <c r="M223" s="56" t="str">
        <f aca="false">IF($W223="","",N(INDEX(发票统计!M$4:M$1003,$W223)))</f>
        <v/>
      </c>
      <c r="N223" s="56" t="str">
        <f aca="false">IF($W223="","",N(INDEX(发票统计!N$4:N$1003,$W223)))</f>
        <v/>
      </c>
      <c r="O223" s="56" t="str">
        <f aca="false">IF($W223="","",N(INDEX(发票统计!O$4:O$1003,$W223)))</f>
        <v/>
      </c>
      <c r="P223" s="56" t="str">
        <f aca="false">IF($W223="","",SUM(M$4:M223)-SUM(N$4:N223)-SUM(O$4:O223))</f>
        <v/>
      </c>
      <c r="Q223" s="56" t="str">
        <f aca="false">IF($W223="","",N(INDEX(发票统计!Q$4:Q$1003,$W223)))</f>
        <v/>
      </c>
      <c r="R223" s="56" t="str">
        <f aca="false">IF($W223="","",N(INDEX(发票统计!R$4:R$1003,$W223)))</f>
        <v/>
      </c>
      <c r="S223" s="56" t="str">
        <f aca="false">IF($W223="","",N(INDEX(发票统计!S$4:S$1003,$W223)))</f>
        <v/>
      </c>
      <c r="T223" s="56" t="str">
        <f aca="false">IF($W223="","",SUM(Q$4:Q223)-SUM(R$4:R223)-SUM(S$4:S223))</f>
        <v/>
      </c>
      <c r="U223" s="56" t="str">
        <f aca="false">IF($W223="","",INDEX(发票统计!U$4:U$1003,$W223)&amp;"")</f>
        <v/>
      </c>
      <c r="W223" s="1" t="str">
        <f aca="false">IF($V$3="","",IFERROR(MATCH($V$3&amp;"#"&amp;ROWS(W$4:W223),发票统计!$W$4:$W$1003,0),""))</f>
        <v/>
      </c>
    </row>
    <row r="224" customFormat="false" ht="16.5" hidden="false" customHeight="false" outlineLevel="0" collapsed="false">
      <c r="A224" s="3" t="str">
        <f aca="false">IF($W224="","",INDEX(发票统计!A$4:A$1003,$W224)&amp;"")</f>
        <v/>
      </c>
      <c r="B224" s="3" t="str">
        <f aca="false">IF($W224="","",INDEX(发票统计!B$4:B$1003,$W224)&amp;"")</f>
        <v/>
      </c>
      <c r="C224" s="3" t="str">
        <f aca="false">IF($W224="","",INDEX(发票统计!C$4:C$1003,$W224)&amp;"")</f>
        <v/>
      </c>
      <c r="D224" s="3" t="str">
        <f aca="false">IF($W224="","",INDEX(发票统计!D$4:D$1003,$W224)&amp;"")</f>
        <v/>
      </c>
      <c r="E224" s="67" t="str">
        <f aca="false">IF($W224="","",INDEX(发票统计!E$4:E$1003,$W224)&amp;"")</f>
        <v/>
      </c>
      <c r="F224" s="68" t="str">
        <f aca="false">IF($W224="","",INDEX(发票统计!F$4:F$1003,$W224)&amp;"")</f>
        <v/>
      </c>
      <c r="G224" s="68" t="str">
        <f aca="false">IF($W224="","",IF(INDEX(发票统计!G$4:G$1003,$W224)="","",INDEX(发票统计!G$4:G$1003,$W224)))</f>
        <v/>
      </c>
      <c r="H224" s="56" t="str">
        <f aca="false">IF($W224="","",N(INDEX(发票统计!H$4:H$1003,$W224)))</f>
        <v/>
      </c>
      <c r="I224" s="56" t="str">
        <f aca="false">IF($W224="","",N(INDEX(发票统计!I$4:I$1003,$W224)))</f>
        <v/>
      </c>
      <c r="J224" s="56" t="str">
        <f aca="false">IF($W224="","",N(INDEX(发票统计!J$4:J$1003,$W224)))</f>
        <v/>
      </c>
      <c r="K224" s="56" t="str">
        <f aca="false">IF($W224="","",N(INDEX(发票统计!K$4:K$1003,$W224)))</f>
        <v/>
      </c>
      <c r="L224" s="56" t="str">
        <f aca="false">IF($W224="","",SUM(J$4:J224)-SUM(K$4:K224))</f>
        <v/>
      </c>
      <c r="M224" s="56" t="str">
        <f aca="false">IF($W224="","",N(INDEX(发票统计!M$4:M$1003,$W224)))</f>
        <v/>
      </c>
      <c r="N224" s="56" t="str">
        <f aca="false">IF($W224="","",N(INDEX(发票统计!N$4:N$1003,$W224)))</f>
        <v/>
      </c>
      <c r="O224" s="56" t="str">
        <f aca="false">IF($W224="","",N(INDEX(发票统计!O$4:O$1003,$W224)))</f>
        <v/>
      </c>
      <c r="P224" s="56" t="str">
        <f aca="false">IF($W224="","",SUM(M$4:M224)-SUM(N$4:N224)-SUM(O$4:O224))</f>
        <v/>
      </c>
      <c r="Q224" s="56" t="str">
        <f aca="false">IF($W224="","",N(INDEX(发票统计!Q$4:Q$1003,$W224)))</f>
        <v/>
      </c>
      <c r="R224" s="56" t="str">
        <f aca="false">IF($W224="","",N(INDEX(发票统计!R$4:R$1003,$W224)))</f>
        <v/>
      </c>
      <c r="S224" s="56" t="str">
        <f aca="false">IF($W224="","",N(INDEX(发票统计!S$4:S$1003,$W224)))</f>
        <v/>
      </c>
      <c r="T224" s="56" t="str">
        <f aca="false">IF($W224="","",SUM(Q$4:Q224)-SUM(R$4:R224)-SUM(S$4:S224))</f>
        <v/>
      </c>
      <c r="U224" s="56" t="str">
        <f aca="false">IF($W224="","",INDEX(发票统计!U$4:U$1003,$W224)&amp;"")</f>
        <v/>
      </c>
      <c r="W224" s="1" t="str">
        <f aca="false">IF($V$3="","",IFERROR(MATCH($V$3&amp;"#"&amp;ROWS(W$4:W224),发票统计!$W$4:$W$1003,0),""))</f>
        <v/>
      </c>
    </row>
    <row r="225" customFormat="false" ht="16.5" hidden="false" customHeight="false" outlineLevel="0" collapsed="false">
      <c r="A225" s="3" t="str">
        <f aca="false">IF($W225="","",INDEX(发票统计!A$4:A$1003,$W225)&amp;"")</f>
        <v/>
      </c>
      <c r="B225" s="3" t="str">
        <f aca="false">IF($W225="","",INDEX(发票统计!B$4:B$1003,$W225)&amp;"")</f>
        <v/>
      </c>
      <c r="C225" s="3" t="str">
        <f aca="false">IF($W225="","",INDEX(发票统计!C$4:C$1003,$W225)&amp;"")</f>
        <v/>
      </c>
      <c r="D225" s="3" t="str">
        <f aca="false">IF($W225="","",INDEX(发票统计!D$4:D$1003,$W225)&amp;"")</f>
        <v/>
      </c>
      <c r="E225" s="67" t="str">
        <f aca="false">IF($W225="","",INDEX(发票统计!E$4:E$1003,$W225)&amp;"")</f>
        <v/>
      </c>
      <c r="F225" s="68" t="str">
        <f aca="false">IF($W225="","",INDEX(发票统计!F$4:F$1003,$W225)&amp;"")</f>
        <v/>
      </c>
      <c r="G225" s="68" t="str">
        <f aca="false">IF($W225="","",IF(INDEX(发票统计!G$4:G$1003,$W225)="","",INDEX(发票统计!G$4:G$1003,$W225)))</f>
        <v/>
      </c>
      <c r="H225" s="56" t="str">
        <f aca="false">IF($W225="","",N(INDEX(发票统计!H$4:H$1003,$W225)))</f>
        <v/>
      </c>
      <c r="I225" s="56" t="str">
        <f aca="false">IF($W225="","",N(INDEX(发票统计!I$4:I$1003,$W225)))</f>
        <v/>
      </c>
      <c r="J225" s="56" t="str">
        <f aca="false">IF($W225="","",N(INDEX(发票统计!J$4:J$1003,$W225)))</f>
        <v/>
      </c>
      <c r="K225" s="56" t="str">
        <f aca="false">IF($W225="","",N(INDEX(发票统计!K$4:K$1003,$W225)))</f>
        <v/>
      </c>
      <c r="L225" s="56" t="str">
        <f aca="false">IF($W225="","",SUM(J$4:J225)-SUM(K$4:K225))</f>
        <v/>
      </c>
      <c r="M225" s="56" t="str">
        <f aca="false">IF($W225="","",N(INDEX(发票统计!M$4:M$1003,$W225)))</f>
        <v/>
      </c>
      <c r="N225" s="56" t="str">
        <f aca="false">IF($W225="","",N(INDEX(发票统计!N$4:N$1003,$W225)))</f>
        <v/>
      </c>
      <c r="O225" s="56" t="str">
        <f aca="false">IF($W225="","",N(INDEX(发票统计!O$4:O$1003,$W225)))</f>
        <v/>
      </c>
      <c r="P225" s="56" t="str">
        <f aca="false">IF($W225="","",SUM(M$4:M225)-SUM(N$4:N225)-SUM(O$4:O225))</f>
        <v/>
      </c>
      <c r="Q225" s="56" t="str">
        <f aca="false">IF($W225="","",N(INDEX(发票统计!Q$4:Q$1003,$W225)))</f>
        <v/>
      </c>
      <c r="R225" s="56" t="str">
        <f aca="false">IF($W225="","",N(INDEX(发票统计!R$4:R$1003,$W225)))</f>
        <v/>
      </c>
      <c r="S225" s="56" t="str">
        <f aca="false">IF($W225="","",N(INDEX(发票统计!S$4:S$1003,$W225)))</f>
        <v/>
      </c>
      <c r="T225" s="56" t="str">
        <f aca="false">IF($W225="","",SUM(Q$4:Q225)-SUM(R$4:R225)-SUM(S$4:S225))</f>
        <v/>
      </c>
      <c r="U225" s="56" t="str">
        <f aca="false">IF($W225="","",INDEX(发票统计!U$4:U$1003,$W225)&amp;"")</f>
        <v/>
      </c>
      <c r="W225" s="1" t="str">
        <f aca="false">IF($V$3="","",IFERROR(MATCH($V$3&amp;"#"&amp;ROWS(W$4:W225),发票统计!$W$4:$W$1003,0),""))</f>
        <v/>
      </c>
    </row>
    <row r="226" customFormat="false" ht="16.5" hidden="false" customHeight="false" outlineLevel="0" collapsed="false">
      <c r="A226" s="3" t="str">
        <f aca="false">IF($W226="","",INDEX(发票统计!A$4:A$1003,$W226)&amp;"")</f>
        <v/>
      </c>
      <c r="B226" s="3" t="str">
        <f aca="false">IF($W226="","",INDEX(发票统计!B$4:B$1003,$W226)&amp;"")</f>
        <v/>
      </c>
      <c r="C226" s="3" t="str">
        <f aca="false">IF($W226="","",INDEX(发票统计!C$4:C$1003,$W226)&amp;"")</f>
        <v/>
      </c>
      <c r="D226" s="3" t="str">
        <f aca="false">IF($W226="","",INDEX(发票统计!D$4:D$1003,$W226)&amp;"")</f>
        <v/>
      </c>
      <c r="E226" s="67" t="str">
        <f aca="false">IF($W226="","",INDEX(发票统计!E$4:E$1003,$W226)&amp;"")</f>
        <v/>
      </c>
      <c r="F226" s="68" t="str">
        <f aca="false">IF($W226="","",INDEX(发票统计!F$4:F$1003,$W226)&amp;"")</f>
        <v/>
      </c>
      <c r="G226" s="68" t="str">
        <f aca="false">IF($W226="","",IF(INDEX(发票统计!G$4:G$1003,$W226)="","",INDEX(发票统计!G$4:G$1003,$W226)))</f>
        <v/>
      </c>
      <c r="H226" s="56" t="str">
        <f aca="false">IF($W226="","",N(INDEX(发票统计!H$4:H$1003,$W226)))</f>
        <v/>
      </c>
      <c r="I226" s="56" t="str">
        <f aca="false">IF($W226="","",N(INDEX(发票统计!I$4:I$1003,$W226)))</f>
        <v/>
      </c>
      <c r="J226" s="56" t="str">
        <f aca="false">IF($W226="","",N(INDEX(发票统计!J$4:J$1003,$W226)))</f>
        <v/>
      </c>
      <c r="K226" s="56" t="str">
        <f aca="false">IF($W226="","",N(INDEX(发票统计!K$4:K$1003,$W226)))</f>
        <v/>
      </c>
      <c r="L226" s="56" t="str">
        <f aca="false">IF($W226="","",SUM(J$4:J226)-SUM(K$4:K226))</f>
        <v/>
      </c>
      <c r="M226" s="56" t="str">
        <f aca="false">IF($W226="","",N(INDEX(发票统计!M$4:M$1003,$W226)))</f>
        <v/>
      </c>
      <c r="N226" s="56" t="str">
        <f aca="false">IF($W226="","",N(INDEX(发票统计!N$4:N$1003,$W226)))</f>
        <v/>
      </c>
      <c r="O226" s="56" t="str">
        <f aca="false">IF($W226="","",N(INDEX(发票统计!O$4:O$1003,$W226)))</f>
        <v/>
      </c>
      <c r="P226" s="56" t="str">
        <f aca="false">IF($W226="","",SUM(M$4:M226)-SUM(N$4:N226)-SUM(O$4:O226))</f>
        <v/>
      </c>
      <c r="Q226" s="56" t="str">
        <f aca="false">IF($W226="","",N(INDEX(发票统计!Q$4:Q$1003,$W226)))</f>
        <v/>
      </c>
      <c r="R226" s="56" t="str">
        <f aca="false">IF($W226="","",N(INDEX(发票统计!R$4:R$1003,$W226)))</f>
        <v/>
      </c>
      <c r="S226" s="56" t="str">
        <f aca="false">IF($W226="","",N(INDEX(发票统计!S$4:S$1003,$W226)))</f>
        <v/>
      </c>
      <c r="T226" s="56" t="str">
        <f aca="false">IF($W226="","",SUM(Q$4:Q226)-SUM(R$4:R226)-SUM(S$4:S226))</f>
        <v/>
      </c>
      <c r="U226" s="56" t="str">
        <f aca="false">IF($W226="","",INDEX(发票统计!U$4:U$1003,$W226)&amp;"")</f>
        <v/>
      </c>
      <c r="W226" s="1" t="str">
        <f aca="false">IF($V$3="","",IFERROR(MATCH($V$3&amp;"#"&amp;ROWS(W$4:W226),发票统计!$W$4:$W$1003,0),""))</f>
        <v/>
      </c>
    </row>
    <row r="227" customFormat="false" ht="16.5" hidden="false" customHeight="false" outlineLevel="0" collapsed="false">
      <c r="A227" s="3" t="str">
        <f aca="false">IF($W227="","",INDEX(发票统计!A$4:A$1003,$W227)&amp;"")</f>
        <v/>
      </c>
      <c r="B227" s="3" t="str">
        <f aca="false">IF($W227="","",INDEX(发票统计!B$4:B$1003,$W227)&amp;"")</f>
        <v/>
      </c>
      <c r="C227" s="3" t="str">
        <f aca="false">IF($W227="","",INDEX(发票统计!C$4:C$1003,$W227)&amp;"")</f>
        <v/>
      </c>
      <c r="D227" s="3" t="str">
        <f aca="false">IF($W227="","",INDEX(发票统计!D$4:D$1003,$W227)&amp;"")</f>
        <v/>
      </c>
      <c r="E227" s="67" t="str">
        <f aca="false">IF($W227="","",INDEX(发票统计!E$4:E$1003,$W227)&amp;"")</f>
        <v/>
      </c>
      <c r="F227" s="68" t="str">
        <f aca="false">IF($W227="","",INDEX(发票统计!F$4:F$1003,$W227)&amp;"")</f>
        <v/>
      </c>
      <c r="G227" s="68" t="str">
        <f aca="false">IF($W227="","",IF(INDEX(发票统计!G$4:G$1003,$W227)="","",INDEX(发票统计!G$4:G$1003,$W227)))</f>
        <v/>
      </c>
      <c r="H227" s="56" t="str">
        <f aca="false">IF($W227="","",N(INDEX(发票统计!H$4:H$1003,$W227)))</f>
        <v/>
      </c>
      <c r="I227" s="56" t="str">
        <f aca="false">IF($W227="","",N(INDEX(发票统计!I$4:I$1003,$W227)))</f>
        <v/>
      </c>
      <c r="J227" s="56" t="str">
        <f aca="false">IF($W227="","",N(INDEX(发票统计!J$4:J$1003,$W227)))</f>
        <v/>
      </c>
      <c r="K227" s="56" t="str">
        <f aca="false">IF($W227="","",N(INDEX(发票统计!K$4:K$1003,$W227)))</f>
        <v/>
      </c>
      <c r="L227" s="56" t="str">
        <f aca="false">IF($W227="","",SUM(J$4:J227)-SUM(K$4:K227))</f>
        <v/>
      </c>
      <c r="M227" s="56" t="str">
        <f aca="false">IF($W227="","",N(INDEX(发票统计!M$4:M$1003,$W227)))</f>
        <v/>
      </c>
      <c r="N227" s="56" t="str">
        <f aca="false">IF($W227="","",N(INDEX(发票统计!N$4:N$1003,$W227)))</f>
        <v/>
      </c>
      <c r="O227" s="56" t="str">
        <f aca="false">IF($W227="","",N(INDEX(发票统计!O$4:O$1003,$W227)))</f>
        <v/>
      </c>
      <c r="P227" s="56" t="str">
        <f aca="false">IF($W227="","",SUM(M$4:M227)-SUM(N$4:N227)-SUM(O$4:O227))</f>
        <v/>
      </c>
      <c r="Q227" s="56" t="str">
        <f aca="false">IF($W227="","",N(INDEX(发票统计!Q$4:Q$1003,$W227)))</f>
        <v/>
      </c>
      <c r="R227" s="56" t="str">
        <f aca="false">IF($W227="","",N(INDEX(发票统计!R$4:R$1003,$W227)))</f>
        <v/>
      </c>
      <c r="S227" s="56" t="str">
        <f aca="false">IF($W227="","",N(INDEX(发票统计!S$4:S$1003,$W227)))</f>
        <v/>
      </c>
      <c r="T227" s="56" t="str">
        <f aca="false">IF($W227="","",SUM(Q$4:Q227)-SUM(R$4:R227)-SUM(S$4:S227))</f>
        <v/>
      </c>
      <c r="U227" s="56" t="str">
        <f aca="false">IF($W227="","",INDEX(发票统计!U$4:U$1003,$W227)&amp;"")</f>
        <v/>
      </c>
      <c r="W227" s="1" t="str">
        <f aca="false">IF($V$3="","",IFERROR(MATCH($V$3&amp;"#"&amp;ROWS(W$4:W227),发票统计!$W$4:$W$1003,0),""))</f>
        <v/>
      </c>
    </row>
    <row r="228" customFormat="false" ht="16.5" hidden="false" customHeight="false" outlineLevel="0" collapsed="false">
      <c r="A228" s="3" t="str">
        <f aca="false">IF($W228="","",INDEX(发票统计!A$4:A$1003,$W228)&amp;"")</f>
        <v/>
      </c>
      <c r="B228" s="3" t="str">
        <f aca="false">IF($W228="","",INDEX(发票统计!B$4:B$1003,$W228)&amp;"")</f>
        <v/>
      </c>
      <c r="C228" s="3" t="str">
        <f aca="false">IF($W228="","",INDEX(发票统计!C$4:C$1003,$W228)&amp;"")</f>
        <v/>
      </c>
      <c r="D228" s="3" t="str">
        <f aca="false">IF($W228="","",INDEX(发票统计!D$4:D$1003,$W228)&amp;"")</f>
        <v/>
      </c>
      <c r="E228" s="67" t="str">
        <f aca="false">IF($W228="","",INDEX(发票统计!E$4:E$1003,$W228)&amp;"")</f>
        <v/>
      </c>
      <c r="F228" s="68" t="str">
        <f aca="false">IF($W228="","",INDEX(发票统计!F$4:F$1003,$W228)&amp;"")</f>
        <v/>
      </c>
      <c r="G228" s="68" t="str">
        <f aca="false">IF($W228="","",IF(INDEX(发票统计!G$4:G$1003,$W228)="","",INDEX(发票统计!G$4:G$1003,$W228)))</f>
        <v/>
      </c>
      <c r="H228" s="56" t="str">
        <f aca="false">IF($W228="","",N(INDEX(发票统计!H$4:H$1003,$W228)))</f>
        <v/>
      </c>
      <c r="I228" s="56" t="str">
        <f aca="false">IF($W228="","",N(INDEX(发票统计!I$4:I$1003,$W228)))</f>
        <v/>
      </c>
      <c r="J228" s="56" t="str">
        <f aca="false">IF($W228="","",N(INDEX(发票统计!J$4:J$1003,$W228)))</f>
        <v/>
      </c>
      <c r="K228" s="56" t="str">
        <f aca="false">IF($W228="","",N(INDEX(发票统计!K$4:K$1003,$W228)))</f>
        <v/>
      </c>
      <c r="L228" s="56" t="str">
        <f aca="false">IF($W228="","",SUM(J$4:J228)-SUM(K$4:K228))</f>
        <v/>
      </c>
      <c r="M228" s="56" t="str">
        <f aca="false">IF($W228="","",N(INDEX(发票统计!M$4:M$1003,$W228)))</f>
        <v/>
      </c>
      <c r="N228" s="56" t="str">
        <f aca="false">IF($W228="","",N(INDEX(发票统计!N$4:N$1003,$W228)))</f>
        <v/>
      </c>
      <c r="O228" s="56" t="str">
        <f aca="false">IF($W228="","",N(INDEX(发票统计!O$4:O$1003,$W228)))</f>
        <v/>
      </c>
      <c r="P228" s="56" t="str">
        <f aca="false">IF($W228="","",SUM(M$4:M228)-SUM(N$4:N228)-SUM(O$4:O228))</f>
        <v/>
      </c>
      <c r="Q228" s="56" t="str">
        <f aca="false">IF($W228="","",N(INDEX(发票统计!Q$4:Q$1003,$W228)))</f>
        <v/>
      </c>
      <c r="R228" s="56" t="str">
        <f aca="false">IF($W228="","",N(INDEX(发票统计!R$4:R$1003,$W228)))</f>
        <v/>
      </c>
      <c r="S228" s="56" t="str">
        <f aca="false">IF($W228="","",N(INDEX(发票统计!S$4:S$1003,$W228)))</f>
        <v/>
      </c>
      <c r="T228" s="56" t="str">
        <f aca="false">IF($W228="","",SUM(Q$4:Q228)-SUM(R$4:R228)-SUM(S$4:S228))</f>
        <v/>
      </c>
      <c r="U228" s="56" t="str">
        <f aca="false">IF($W228="","",INDEX(发票统计!U$4:U$1003,$W228)&amp;"")</f>
        <v/>
      </c>
      <c r="W228" s="1" t="str">
        <f aca="false">IF($V$3="","",IFERROR(MATCH($V$3&amp;"#"&amp;ROWS(W$4:W228),发票统计!$W$4:$W$1003,0),""))</f>
        <v/>
      </c>
    </row>
    <row r="229" customFormat="false" ht="16.5" hidden="false" customHeight="false" outlineLevel="0" collapsed="false">
      <c r="A229" s="3" t="str">
        <f aca="false">IF($W229="","",INDEX(发票统计!A$4:A$1003,$W229)&amp;"")</f>
        <v/>
      </c>
      <c r="B229" s="3" t="str">
        <f aca="false">IF($W229="","",INDEX(发票统计!B$4:B$1003,$W229)&amp;"")</f>
        <v/>
      </c>
      <c r="C229" s="3" t="str">
        <f aca="false">IF($W229="","",INDEX(发票统计!C$4:C$1003,$W229)&amp;"")</f>
        <v/>
      </c>
      <c r="D229" s="3" t="str">
        <f aca="false">IF($W229="","",INDEX(发票统计!D$4:D$1003,$W229)&amp;"")</f>
        <v/>
      </c>
      <c r="E229" s="67" t="str">
        <f aca="false">IF($W229="","",INDEX(发票统计!E$4:E$1003,$W229)&amp;"")</f>
        <v/>
      </c>
      <c r="F229" s="68" t="str">
        <f aca="false">IF($W229="","",INDEX(发票统计!F$4:F$1003,$W229)&amp;"")</f>
        <v/>
      </c>
      <c r="G229" s="68" t="str">
        <f aca="false">IF($W229="","",IF(INDEX(发票统计!G$4:G$1003,$W229)="","",INDEX(发票统计!G$4:G$1003,$W229)))</f>
        <v/>
      </c>
      <c r="H229" s="56" t="str">
        <f aca="false">IF($W229="","",N(INDEX(发票统计!H$4:H$1003,$W229)))</f>
        <v/>
      </c>
      <c r="I229" s="56" t="str">
        <f aca="false">IF($W229="","",N(INDEX(发票统计!I$4:I$1003,$W229)))</f>
        <v/>
      </c>
      <c r="J229" s="56" t="str">
        <f aca="false">IF($W229="","",N(INDEX(发票统计!J$4:J$1003,$W229)))</f>
        <v/>
      </c>
      <c r="K229" s="56" t="str">
        <f aca="false">IF($W229="","",N(INDEX(发票统计!K$4:K$1003,$W229)))</f>
        <v/>
      </c>
      <c r="L229" s="56" t="str">
        <f aca="false">IF($W229="","",SUM(J$4:J229)-SUM(K$4:K229))</f>
        <v/>
      </c>
      <c r="M229" s="56" t="str">
        <f aca="false">IF($W229="","",N(INDEX(发票统计!M$4:M$1003,$W229)))</f>
        <v/>
      </c>
      <c r="N229" s="56" t="str">
        <f aca="false">IF($W229="","",N(INDEX(发票统计!N$4:N$1003,$W229)))</f>
        <v/>
      </c>
      <c r="O229" s="56" t="str">
        <f aca="false">IF($W229="","",N(INDEX(发票统计!O$4:O$1003,$W229)))</f>
        <v/>
      </c>
      <c r="P229" s="56" t="str">
        <f aca="false">IF($W229="","",SUM(M$4:M229)-SUM(N$4:N229)-SUM(O$4:O229))</f>
        <v/>
      </c>
      <c r="Q229" s="56" t="str">
        <f aca="false">IF($W229="","",N(INDEX(发票统计!Q$4:Q$1003,$W229)))</f>
        <v/>
      </c>
      <c r="R229" s="56" t="str">
        <f aca="false">IF($W229="","",N(INDEX(发票统计!R$4:R$1003,$W229)))</f>
        <v/>
      </c>
      <c r="S229" s="56" t="str">
        <f aca="false">IF($W229="","",N(INDEX(发票统计!S$4:S$1003,$W229)))</f>
        <v/>
      </c>
      <c r="T229" s="56" t="str">
        <f aca="false">IF($W229="","",SUM(Q$4:Q229)-SUM(R$4:R229)-SUM(S$4:S229))</f>
        <v/>
      </c>
      <c r="U229" s="56" t="str">
        <f aca="false">IF($W229="","",INDEX(发票统计!U$4:U$1003,$W229)&amp;"")</f>
        <v/>
      </c>
      <c r="W229" s="1" t="str">
        <f aca="false">IF($V$3="","",IFERROR(MATCH($V$3&amp;"#"&amp;ROWS(W$4:W229),发票统计!$W$4:$W$1003,0),""))</f>
        <v/>
      </c>
    </row>
    <row r="230" customFormat="false" ht="16.5" hidden="false" customHeight="false" outlineLevel="0" collapsed="false">
      <c r="A230" s="3" t="str">
        <f aca="false">IF($W230="","",INDEX(发票统计!A$4:A$1003,$W230)&amp;"")</f>
        <v/>
      </c>
      <c r="B230" s="3" t="str">
        <f aca="false">IF($W230="","",INDEX(发票统计!B$4:B$1003,$W230)&amp;"")</f>
        <v/>
      </c>
      <c r="C230" s="3" t="str">
        <f aca="false">IF($W230="","",INDEX(发票统计!C$4:C$1003,$W230)&amp;"")</f>
        <v/>
      </c>
      <c r="D230" s="3" t="str">
        <f aca="false">IF($W230="","",INDEX(发票统计!D$4:D$1003,$W230)&amp;"")</f>
        <v/>
      </c>
      <c r="E230" s="67" t="str">
        <f aca="false">IF($W230="","",INDEX(发票统计!E$4:E$1003,$W230)&amp;"")</f>
        <v/>
      </c>
      <c r="F230" s="68" t="str">
        <f aca="false">IF($W230="","",INDEX(发票统计!F$4:F$1003,$W230)&amp;"")</f>
        <v/>
      </c>
      <c r="G230" s="68" t="str">
        <f aca="false">IF($W230="","",IF(INDEX(发票统计!G$4:G$1003,$W230)="","",INDEX(发票统计!G$4:G$1003,$W230)))</f>
        <v/>
      </c>
      <c r="H230" s="56" t="str">
        <f aca="false">IF($W230="","",N(INDEX(发票统计!H$4:H$1003,$W230)))</f>
        <v/>
      </c>
      <c r="I230" s="56" t="str">
        <f aca="false">IF($W230="","",N(INDEX(发票统计!I$4:I$1003,$W230)))</f>
        <v/>
      </c>
      <c r="J230" s="56" t="str">
        <f aca="false">IF($W230="","",N(INDEX(发票统计!J$4:J$1003,$W230)))</f>
        <v/>
      </c>
      <c r="K230" s="56" t="str">
        <f aca="false">IF($W230="","",N(INDEX(发票统计!K$4:K$1003,$W230)))</f>
        <v/>
      </c>
      <c r="L230" s="56" t="str">
        <f aca="false">IF($W230="","",SUM(J$4:J230)-SUM(K$4:K230))</f>
        <v/>
      </c>
      <c r="M230" s="56" t="str">
        <f aca="false">IF($W230="","",N(INDEX(发票统计!M$4:M$1003,$W230)))</f>
        <v/>
      </c>
      <c r="N230" s="56" t="str">
        <f aca="false">IF($W230="","",N(INDEX(发票统计!N$4:N$1003,$W230)))</f>
        <v/>
      </c>
      <c r="O230" s="56" t="str">
        <f aca="false">IF($W230="","",N(INDEX(发票统计!O$4:O$1003,$W230)))</f>
        <v/>
      </c>
      <c r="P230" s="56" t="str">
        <f aca="false">IF($W230="","",SUM(M$4:M230)-SUM(N$4:N230)-SUM(O$4:O230))</f>
        <v/>
      </c>
      <c r="Q230" s="56" t="str">
        <f aca="false">IF($W230="","",N(INDEX(发票统计!Q$4:Q$1003,$W230)))</f>
        <v/>
      </c>
      <c r="R230" s="56" t="str">
        <f aca="false">IF($W230="","",N(INDEX(发票统计!R$4:R$1003,$W230)))</f>
        <v/>
      </c>
      <c r="S230" s="56" t="str">
        <f aca="false">IF($W230="","",N(INDEX(发票统计!S$4:S$1003,$W230)))</f>
        <v/>
      </c>
      <c r="T230" s="56" t="str">
        <f aca="false">IF($W230="","",SUM(Q$4:Q230)-SUM(R$4:R230)-SUM(S$4:S230))</f>
        <v/>
      </c>
      <c r="U230" s="56" t="str">
        <f aca="false">IF($W230="","",INDEX(发票统计!U$4:U$1003,$W230)&amp;"")</f>
        <v/>
      </c>
      <c r="W230" s="1" t="str">
        <f aca="false">IF($V$3="","",IFERROR(MATCH($V$3&amp;"#"&amp;ROWS(W$4:W230),发票统计!$W$4:$W$1003,0),""))</f>
        <v/>
      </c>
    </row>
    <row r="231" customFormat="false" ht="16.5" hidden="false" customHeight="false" outlineLevel="0" collapsed="false">
      <c r="A231" s="3" t="str">
        <f aca="false">IF($W231="","",INDEX(发票统计!A$4:A$1003,$W231)&amp;"")</f>
        <v/>
      </c>
      <c r="B231" s="3" t="str">
        <f aca="false">IF($W231="","",INDEX(发票统计!B$4:B$1003,$W231)&amp;"")</f>
        <v/>
      </c>
      <c r="C231" s="3" t="str">
        <f aca="false">IF($W231="","",INDEX(发票统计!C$4:C$1003,$W231)&amp;"")</f>
        <v/>
      </c>
      <c r="D231" s="3" t="str">
        <f aca="false">IF($W231="","",INDEX(发票统计!D$4:D$1003,$W231)&amp;"")</f>
        <v/>
      </c>
      <c r="E231" s="67" t="str">
        <f aca="false">IF($W231="","",INDEX(发票统计!E$4:E$1003,$W231)&amp;"")</f>
        <v/>
      </c>
      <c r="F231" s="68" t="str">
        <f aca="false">IF($W231="","",INDEX(发票统计!F$4:F$1003,$W231)&amp;"")</f>
        <v/>
      </c>
      <c r="G231" s="68" t="str">
        <f aca="false">IF($W231="","",IF(INDEX(发票统计!G$4:G$1003,$W231)="","",INDEX(发票统计!G$4:G$1003,$W231)))</f>
        <v/>
      </c>
      <c r="H231" s="56" t="str">
        <f aca="false">IF($W231="","",N(INDEX(发票统计!H$4:H$1003,$W231)))</f>
        <v/>
      </c>
      <c r="I231" s="56" t="str">
        <f aca="false">IF($W231="","",N(INDEX(发票统计!I$4:I$1003,$W231)))</f>
        <v/>
      </c>
      <c r="J231" s="56" t="str">
        <f aca="false">IF($W231="","",N(INDEX(发票统计!J$4:J$1003,$W231)))</f>
        <v/>
      </c>
      <c r="K231" s="56" t="str">
        <f aca="false">IF($W231="","",N(INDEX(发票统计!K$4:K$1003,$W231)))</f>
        <v/>
      </c>
      <c r="L231" s="56" t="str">
        <f aca="false">IF($W231="","",SUM(J$4:J231)-SUM(K$4:K231))</f>
        <v/>
      </c>
      <c r="M231" s="56" t="str">
        <f aca="false">IF($W231="","",N(INDEX(发票统计!M$4:M$1003,$W231)))</f>
        <v/>
      </c>
      <c r="N231" s="56" t="str">
        <f aca="false">IF($W231="","",N(INDEX(发票统计!N$4:N$1003,$W231)))</f>
        <v/>
      </c>
      <c r="O231" s="56" t="str">
        <f aca="false">IF($W231="","",N(INDEX(发票统计!O$4:O$1003,$W231)))</f>
        <v/>
      </c>
      <c r="P231" s="56" t="str">
        <f aca="false">IF($W231="","",SUM(M$4:M231)-SUM(N$4:N231)-SUM(O$4:O231))</f>
        <v/>
      </c>
      <c r="Q231" s="56" t="str">
        <f aca="false">IF($W231="","",N(INDEX(发票统计!Q$4:Q$1003,$W231)))</f>
        <v/>
      </c>
      <c r="R231" s="56" t="str">
        <f aca="false">IF($W231="","",N(INDEX(发票统计!R$4:R$1003,$W231)))</f>
        <v/>
      </c>
      <c r="S231" s="56" t="str">
        <f aca="false">IF($W231="","",N(INDEX(发票统计!S$4:S$1003,$W231)))</f>
        <v/>
      </c>
      <c r="T231" s="56" t="str">
        <f aca="false">IF($W231="","",SUM(Q$4:Q231)-SUM(R$4:R231)-SUM(S$4:S231))</f>
        <v/>
      </c>
      <c r="U231" s="56" t="str">
        <f aca="false">IF($W231="","",INDEX(发票统计!U$4:U$1003,$W231)&amp;"")</f>
        <v/>
      </c>
      <c r="W231" s="1" t="str">
        <f aca="false">IF($V$3="","",IFERROR(MATCH($V$3&amp;"#"&amp;ROWS(W$4:W231),发票统计!$W$4:$W$1003,0),""))</f>
        <v/>
      </c>
    </row>
    <row r="232" customFormat="false" ht="16.5" hidden="false" customHeight="false" outlineLevel="0" collapsed="false">
      <c r="A232" s="3" t="str">
        <f aca="false">IF($W232="","",INDEX(发票统计!A$4:A$1003,$W232)&amp;"")</f>
        <v/>
      </c>
      <c r="B232" s="3" t="str">
        <f aca="false">IF($W232="","",INDEX(发票统计!B$4:B$1003,$W232)&amp;"")</f>
        <v/>
      </c>
      <c r="C232" s="3" t="str">
        <f aca="false">IF($W232="","",INDEX(发票统计!C$4:C$1003,$W232)&amp;"")</f>
        <v/>
      </c>
      <c r="D232" s="3" t="str">
        <f aca="false">IF($W232="","",INDEX(发票统计!D$4:D$1003,$W232)&amp;"")</f>
        <v/>
      </c>
      <c r="E232" s="67" t="str">
        <f aca="false">IF($W232="","",INDEX(发票统计!E$4:E$1003,$W232)&amp;"")</f>
        <v/>
      </c>
      <c r="F232" s="68" t="str">
        <f aca="false">IF($W232="","",INDEX(发票统计!F$4:F$1003,$W232)&amp;"")</f>
        <v/>
      </c>
      <c r="G232" s="68" t="str">
        <f aca="false">IF($W232="","",IF(INDEX(发票统计!G$4:G$1003,$W232)="","",INDEX(发票统计!G$4:G$1003,$W232)))</f>
        <v/>
      </c>
      <c r="H232" s="56" t="str">
        <f aca="false">IF($W232="","",N(INDEX(发票统计!H$4:H$1003,$W232)))</f>
        <v/>
      </c>
      <c r="I232" s="56" t="str">
        <f aca="false">IF($W232="","",N(INDEX(发票统计!I$4:I$1003,$W232)))</f>
        <v/>
      </c>
      <c r="J232" s="56" t="str">
        <f aca="false">IF($W232="","",N(INDEX(发票统计!J$4:J$1003,$W232)))</f>
        <v/>
      </c>
      <c r="K232" s="56" t="str">
        <f aca="false">IF($W232="","",N(INDEX(发票统计!K$4:K$1003,$W232)))</f>
        <v/>
      </c>
      <c r="L232" s="56" t="str">
        <f aca="false">IF($W232="","",SUM(J$4:J232)-SUM(K$4:K232))</f>
        <v/>
      </c>
      <c r="M232" s="56" t="str">
        <f aca="false">IF($W232="","",N(INDEX(发票统计!M$4:M$1003,$W232)))</f>
        <v/>
      </c>
      <c r="N232" s="56" t="str">
        <f aca="false">IF($W232="","",N(INDEX(发票统计!N$4:N$1003,$W232)))</f>
        <v/>
      </c>
      <c r="O232" s="56" t="str">
        <f aca="false">IF($W232="","",N(INDEX(发票统计!O$4:O$1003,$W232)))</f>
        <v/>
      </c>
      <c r="P232" s="56" t="str">
        <f aca="false">IF($W232="","",SUM(M$4:M232)-SUM(N$4:N232)-SUM(O$4:O232))</f>
        <v/>
      </c>
      <c r="Q232" s="56" t="str">
        <f aca="false">IF($W232="","",N(INDEX(发票统计!Q$4:Q$1003,$W232)))</f>
        <v/>
      </c>
      <c r="R232" s="56" t="str">
        <f aca="false">IF($W232="","",N(INDEX(发票统计!R$4:R$1003,$W232)))</f>
        <v/>
      </c>
      <c r="S232" s="56" t="str">
        <f aca="false">IF($W232="","",N(INDEX(发票统计!S$4:S$1003,$W232)))</f>
        <v/>
      </c>
      <c r="T232" s="56" t="str">
        <f aca="false">IF($W232="","",SUM(Q$4:Q232)-SUM(R$4:R232)-SUM(S$4:S232))</f>
        <v/>
      </c>
      <c r="U232" s="56" t="str">
        <f aca="false">IF($W232="","",INDEX(发票统计!U$4:U$1003,$W232)&amp;"")</f>
        <v/>
      </c>
      <c r="W232" s="1" t="str">
        <f aca="false">IF($V$3="","",IFERROR(MATCH($V$3&amp;"#"&amp;ROWS(W$4:W232),发票统计!$W$4:$W$1003,0),""))</f>
        <v/>
      </c>
    </row>
    <row r="233" customFormat="false" ht="16.5" hidden="false" customHeight="false" outlineLevel="0" collapsed="false">
      <c r="A233" s="3" t="str">
        <f aca="false">IF($W233="","",INDEX(发票统计!A$4:A$1003,$W233)&amp;"")</f>
        <v/>
      </c>
      <c r="B233" s="3" t="str">
        <f aca="false">IF($W233="","",INDEX(发票统计!B$4:B$1003,$W233)&amp;"")</f>
        <v/>
      </c>
      <c r="C233" s="3" t="str">
        <f aca="false">IF($W233="","",INDEX(发票统计!C$4:C$1003,$W233)&amp;"")</f>
        <v/>
      </c>
      <c r="D233" s="3" t="str">
        <f aca="false">IF($W233="","",INDEX(发票统计!D$4:D$1003,$W233)&amp;"")</f>
        <v/>
      </c>
      <c r="E233" s="67" t="str">
        <f aca="false">IF($W233="","",INDEX(发票统计!E$4:E$1003,$W233)&amp;"")</f>
        <v/>
      </c>
      <c r="F233" s="68" t="str">
        <f aca="false">IF($W233="","",INDEX(发票统计!F$4:F$1003,$W233)&amp;"")</f>
        <v/>
      </c>
      <c r="G233" s="68" t="str">
        <f aca="false">IF($W233="","",IF(INDEX(发票统计!G$4:G$1003,$W233)="","",INDEX(发票统计!G$4:G$1003,$W233)))</f>
        <v/>
      </c>
      <c r="H233" s="56" t="str">
        <f aca="false">IF($W233="","",N(INDEX(发票统计!H$4:H$1003,$W233)))</f>
        <v/>
      </c>
      <c r="I233" s="56" t="str">
        <f aca="false">IF($W233="","",N(INDEX(发票统计!I$4:I$1003,$W233)))</f>
        <v/>
      </c>
      <c r="J233" s="56" t="str">
        <f aca="false">IF($W233="","",N(INDEX(发票统计!J$4:J$1003,$W233)))</f>
        <v/>
      </c>
      <c r="K233" s="56" t="str">
        <f aca="false">IF($W233="","",N(INDEX(发票统计!K$4:K$1003,$W233)))</f>
        <v/>
      </c>
      <c r="L233" s="56" t="str">
        <f aca="false">IF($W233="","",SUM(J$4:J233)-SUM(K$4:K233))</f>
        <v/>
      </c>
      <c r="M233" s="56" t="str">
        <f aca="false">IF($W233="","",N(INDEX(发票统计!M$4:M$1003,$W233)))</f>
        <v/>
      </c>
      <c r="N233" s="56" t="str">
        <f aca="false">IF($W233="","",N(INDEX(发票统计!N$4:N$1003,$W233)))</f>
        <v/>
      </c>
      <c r="O233" s="56" t="str">
        <f aca="false">IF($W233="","",N(INDEX(发票统计!O$4:O$1003,$W233)))</f>
        <v/>
      </c>
      <c r="P233" s="56" t="str">
        <f aca="false">IF($W233="","",SUM(M$4:M233)-SUM(N$4:N233)-SUM(O$4:O233))</f>
        <v/>
      </c>
      <c r="Q233" s="56" t="str">
        <f aca="false">IF($W233="","",N(INDEX(发票统计!Q$4:Q$1003,$W233)))</f>
        <v/>
      </c>
      <c r="R233" s="56" t="str">
        <f aca="false">IF($W233="","",N(INDEX(发票统计!R$4:R$1003,$W233)))</f>
        <v/>
      </c>
      <c r="S233" s="56" t="str">
        <f aca="false">IF($W233="","",N(INDEX(发票统计!S$4:S$1003,$W233)))</f>
        <v/>
      </c>
      <c r="T233" s="56" t="str">
        <f aca="false">IF($W233="","",SUM(Q$4:Q233)-SUM(R$4:R233)-SUM(S$4:S233))</f>
        <v/>
      </c>
      <c r="U233" s="56" t="str">
        <f aca="false">IF($W233="","",INDEX(发票统计!U$4:U$1003,$W233)&amp;"")</f>
        <v/>
      </c>
      <c r="W233" s="1" t="str">
        <f aca="false">IF($V$3="","",IFERROR(MATCH($V$3&amp;"#"&amp;ROWS(W$4:W233),发票统计!$W$4:$W$1003,0),""))</f>
        <v/>
      </c>
    </row>
    <row r="234" customFormat="false" ht="16.5" hidden="false" customHeight="false" outlineLevel="0" collapsed="false">
      <c r="A234" s="3" t="str">
        <f aca="false">IF($W234="","",INDEX(发票统计!A$4:A$1003,$W234)&amp;"")</f>
        <v/>
      </c>
      <c r="B234" s="3" t="str">
        <f aca="false">IF($W234="","",INDEX(发票统计!B$4:B$1003,$W234)&amp;"")</f>
        <v/>
      </c>
      <c r="C234" s="3" t="str">
        <f aca="false">IF($W234="","",INDEX(发票统计!C$4:C$1003,$W234)&amp;"")</f>
        <v/>
      </c>
      <c r="D234" s="3" t="str">
        <f aca="false">IF($W234="","",INDEX(发票统计!D$4:D$1003,$W234)&amp;"")</f>
        <v/>
      </c>
      <c r="E234" s="67" t="str">
        <f aca="false">IF($W234="","",INDEX(发票统计!E$4:E$1003,$W234)&amp;"")</f>
        <v/>
      </c>
      <c r="F234" s="68" t="str">
        <f aca="false">IF($W234="","",INDEX(发票统计!F$4:F$1003,$W234)&amp;"")</f>
        <v/>
      </c>
      <c r="G234" s="68" t="str">
        <f aca="false">IF($W234="","",IF(INDEX(发票统计!G$4:G$1003,$W234)="","",INDEX(发票统计!G$4:G$1003,$W234)))</f>
        <v/>
      </c>
      <c r="H234" s="56" t="str">
        <f aca="false">IF($W234="","",N(INDEX(发票统计!H$4:H$1003,$W234)))</f>
        <v/>
      </c>
      <c r="I234" s="56" t="str">
        <f aca="false">IF($W234="","",N(INDEX(发票统计!I$4:I$1003,$W234)))</f>
        <v/>
      </c>
      <c r="J234" s="56" t="str">
        <f aca="false">IF($W234="","",N(INDEX(发票统计!J$4:J$1003,$W234)))</f>
        <v/>
      </c>
      <c r="K234" s="56" t="str">
        <f aca="false">IF($W234="","",N(INDEX(发票统计!K$4:K$1003,$W234)))</f>
        <v/>
      </c>
      <c r="L234" s="56" t="str">
        <f aca="false">IF($W234="","",SUM(J$4:J234)-SUM(K$4:K234))</f>
        <v/>
      </c>
      <c r="M234" s="56" t="str">
        <f aca="false">IF($W234="","",N(INDEX(发票统计!M$4:M$1003,$W234)))</f>
        <v/>
      </c>
      <c r="N234" s="56" t="str">
        <f aca="false">IF($W234="","",N(INDEX(发票统计!N$4:N$1003,$W234)))</f>
        <v/>
      </c>
      <c r="O234" s="56" t="str">
        <f aca="false">IF($W234="","",N(INDEX(发票统计!O$4:O$1003,$W234)))</f>
        <v/>
      </c>
      <c r="P234" s="56" t="str">
        <f aca="false">IF($W234="","",SUM(M$4:M234)-SUM(N$4:N234)-SUM(O$4:O234))</f>
        <v/>
      </c>
      <c r="Q234" s="56" t="str">
        <f aca="false">IF($W234="","",N(INDEX(发票统计!Q$4:Q$1003,$W234)))</f>
        <v/>
      </c>
      <c r="R234" s="56" t="str">
        <f aca="false">IF($W234="","",N(INDEX(发票统计!R$4:R$1003,$W234)))</f>
        <v/>
      </c>
      <c r="S234" s="56" t="str">
        <f aca="false">IF($W234="","",N(INDEX(发票统计!S$4:S$1003,$W234)))</f>
        <v/>
      </c>
      <c r="T234" s="56" t="str">
        <f aca="false">IF($W234="","",SUM(Q$4:Q234)-SUM(R$4:R234)-SUM(S$4:S234))</f>
        <v/>
      </c>
      <c r="U234" s="56" t="str">
        <f aca="false">IF($W234="","",INDEX(发票统计!U$4:U$1003,$W234)&amp;"")</f>
        <v/>
      </c>
      <c r="W234" s="1" t="str">
        <f aca="false">IF($V$3="","",IFERROR(MATCH($V$3&amp;"#"&amp;ROWS(W$4:W234),发票统计!$W$4:$W$1003,0),""))</f>
        <v/>
      </c>
    </row>
    <row r="235" customFormat="false" ht="16.5" hidden="false" customHeight="false" outlineLevel="0" collapsed="false">
      <c r="A235" s="3" t="str">
        <f aca="false">IF($W235="","",INDEX(发票统计!A$4:A$1003,$W235)&amp;"")</f>
        <v/>
      </c>
      <c r="B235" s="3" t="str">
        <f aca="false">IF($W235="","",INDEX(发票统计!B$4:B$1003,$W235)&amp;"")</f>
        <v/>
      </c>
      <c r="C235" s="3" t="str">
        <f aca="false">IF($W235="","",INDEX(发票统计!C$4:C$1003,$W235)&amp;"")</f>
        <v/>
      </c>
      <c r="D235" s="3" t="str">
        <f aca="false">IF($W235="","",INDEX(发票统计!D$4:D$1003,$W235)&amp;"")</f>
        <v/>
      </c>
      <c r="E235" s="67" t="str">
        <f aca="false">IF($W235="","",INDEX(发票统计!E$4:E$1003,$W235)&amp;"")</f>
        <v/>
      </c>
      <c r="F235" s="68" t="str">
        <f aca="false">IF($W235="","",INDEX(发票统计!F$4:F$1003,$W235)&amp;"")</f>
        <v/>
      </c>
      <c r="G235" s="68" t="str">
        <f aca="false">IF($W235="","",IF(INDEX(发票统计!G$4:G$1003,$W235)="","",INDEX(发票统计!G$4:G$1003,$W235)))</f>
        <v/>
      </c>
      <c r="H235" s="56" t="str">
        <f aca="false">IF($W235="","",N(INDEX(发票统计!H$4:H$1003,$W235)))</f>
        <v/>
      </c>
      <c r="I235" s="56" t="str">
        <f aca="false">IF($W235="","",N(INDEX(发票统计!I$4:I$1003,$W235)))</f>
        <v/>
      </c>
      <c r="J235" s="56" t="str">
        <f aca="false">IF($W235="","",N(INDEX(发票统计!J$4:J$1003,$W235)))</f>
        <v/>
      </c>
      <c r="K235" s="56" t="str">
        <f aca="false">IF($W235="","",N(INDEX(发票统计!K$4:K$1003,$W235)))</f>
        <v/>
      </c>
      <c r="L235" s="56" t="str">
        <f aca="false">IF($W235="","",SUM(J$4:J235)-SUM(K$4:K235))</f>
        <v/>
      </c>
      <c r="M235" s="56" t="str">
        <f aca="false">IF($W235="","",N(INDEX(发票统计!M$4:M$1003,$W235)))</f>
        <v/>
      </c>
      <c r="N235" s="56" t="str">
        <f aca="false">IF($W235="","",N(INDEX(发票统计!N$4:N$1003,$W235)))</f>
        <v/>
      </c>
      <c r="O235" s="56" t="str">
        <f aca="false">IF($W235="","",N(INDEX(发票统计!O$4:O$1003,$W235)))</f>
        <v/>
      </c>
      <c r="P235" s="56" t="str">
        <f aca="false">IF($W235="","",SUM(M$4:M235)-SUM(N$4:N235)-SUM(O$4:O235))</f>
        <v/>
      </c>
      <c r="Q235" s="56" t="str">
        <f aca="false">IF($W235="","",N(INDEX(发票统计!Q$4:Q$1003,$W235)))</f>
        <v/>
      </c>
      <c r="R235" s="56" t="str">
        <f aca="false">IF($W235="","",N(INDEX(发票统计!R$4:R$1003,$W235)))</f>
        <v/>
      </c>
      <c r="S235" s="56" t="str">
        <f aca="false">IF($W235="","",N(INDEX(发票统计!S$4:S$1003,$W235)))</f>
        <v/>
      </c>
      <c r="T235" s="56" t="str">
        <f aca="false">IF($W235="","",SUM(Q$4:Q235)-SUM(R$4:R235)-SUM(S$4:S235))</f>
        <v/>
      </c>
      <c r="U235" s="56" t="str">
        <f aca="false">IF($W235="","",INDEX(发票统计!U$4:U$1003,$W235)&amp;"")</f>
        <v/>
      </c>
      <c r="W235" s="1" t="str">
        <f aca="false">IF($V$3="","",IFERROR(MATCH($V$3&amp;"#"&amp;ROWS(W$4:W235),发票统计!$W$4:$W$1003,0),""))</f>
        <v/>
      </c>
    </row>
    <row r="236" customFormat="false" ht="16.5" hidden="false" customHeight="false" outlineLevel="0" collapsed="false">
      <c r="A236" s="3" t="str">
        <f aca="false">IF($W236="","",INDEX(发票统计!A$4:A$1003,$W236)&amp;"")</f>
        <v/>
      </c>
      <c r="B236" s="3" t="str">
        <f aca="false">IF($W236="","",INDEX(发票统计!B$4:B$1003,$W236)&amp;"")</f>
        <v/>
      </c>
      <c r="C236" s="3" t="str">
        <f aca="false">IF($W236="","",INDEX(发票统计!C$4:C$1003,$W236)&amp;"")</f>
        <v/>
      </c>
      <c r="D236" s="3" t="str">
        <f aca="false">IF($W236="","",INDEX(发票统计!D$4:D$1003,$W236)&amp;"")</f>
        <v/>
      </c>
      <c r="E236" s="67" t="str">
        <f aca="false">IF($W236="","",INDEX(发票统计!E$4:E$1003,$W236)&amp;"")</f>
        <v/>
      </c>
      <c r="F236" s="68" t="str">
        <f aca="false">IF($W236="","",INDEX(发票统计!F$4:F$1003,$W236)&amp;"")</f>
        <v/>
      </c>
      <c r="G236" s="68" t="str">
        <f aca="false">IF($W236="","",IF(INDEX(发票统计!G$4:G$1003,$W236)="","",INDEX(发票统计!G$4:G$1003,$W236)))</f>
        <v/>
      </c>
      <c r="H236" s="56" t="str">
        <f aca="false">IF($W236="","",N(INDEX(发票统计!H$4:H$1003,$W236)))</f>
        <v/>
      </c>
      <c r="I236" s="56" t="str">
        <f aca="false">IF($W236="","",N(INDEX(发票统计!I$4:I$1003,$W236)))</f>
        <v/>
      </c>
      <c r="J236" s="56" t="str">
        <f aca="false">IF($W236="","",N(INDEX(发票统计!J$4:J$1003,$W236)))</f>
        <v/>
      </c>
      <c r="K236" s="56" t="str">
        <f aca="false">IF($W236="","",N(INDEX(发票统计!K$4:K$1003,$W236)))</f>
        <v/>
      </c>
      <c r="L236" s="56" t="str">
        <f aca="false">IF($W236="","",SUM(J$4:J236)-SUM(K$4:K236))</f>
        <v/>
      </c>
      <c r="M236" s="56" t="str">
        <f aca="false">IF($W236="","",N(INDEX(发票统计!M$4:M$1003,$W236)))</f>
        <v/>
      </c>
      <c r="N236" s="56" t="str">
        <f aca="false">IF($W236="","",N(INDEX(发票统计!N$4:N$1003,$W236)))</f>
        <v/>
      </c>
      <c r="O236" s="56" t="str">
        <f aca="false">IF($W236="","",N(INDEX(发票统计!O$4:O$1003,$W236)))</f>
        <v/>
      </c>
      <c r="P236" s="56" t="str">
        <f aca="false">IF($W236="","",SUM(M$4:M236)-SUM(N$4:N236)-SUM(O$4:O236))</f>
        <v/>
      </c>
      <c r="Q236" s="56" t="str">
        <f aca="false">IF($W236="","",N(INDEX(发票统计!Q$4:Q$1003,$W236)))</f>
        <v/>
      </c>
      <c r="R236" s="56" t="str">
        <f aca="false">IF($W236="","",N(INDEX(发票统计!R$4:R$1003,$W236)))</f>
        <v/>
      </c>
      <c r="S236" s="56" t="str">
        <f aca="false">IF($W236="","",N(INDEX(发票统计!S$4:S$1003,$W236)))</f>
        <v/>
      </c>
      <c r="T236" s="56" t="str">
        <f aca="false">IF($W236="","",SUM(Q$4:Q236)-SUM(R$4:R236)-SUM(S$4:S236))</f>
        <v/>
      </c>
      <c r="U236" s="56" t="str">
        <f aca="false">IF($W236="","",INDEX(发票统计!U$4:U$1003,$W236)&amp;"")</f>
        <v/>
      </c>
      <c r="W236" s="1" t="str">
        <f aca="false">IF($V$3="","",IFERROR(MATCH($V$3&amp;"#"&amp;ROWS(W$4:W236),发票统计!$W$4:$W$1003,0),""))</f>
        <v/>
      </c>
    </row>
    <row r="237" customFormat="false" ht="16.5" hidden="false" customHeight="false" outlineLevel="0" collapsed="false">
      <c r="A237" s="3" t="str">
        <f aca="false">IF($W237="","",INDEX(发票统计!A$4:A$1003,$W237)&amp;"")</f>
        <v/>
      </c>
      <c r="B237" s="3" t="str">
        <f aca="false">IF($W237="","",INDEX(发票统计!B$4:B$1003,$W237)&amp;"")</f>
        <v/>
      </c>
      <c r="C237" s="3" t="str">
        <f aca="false">IF($W237="","",INDEX(发票统计!C$4:C$1003,$W237)&amp;"")</f>
        <v/>
      </c>
      <c r="D237" s="3" t="str">
        <f aca="false">IF($W237="","",INDEX(发票统计!D$4:D$1003,$W237)&amp;"")</f>
        <v/>
      </c>
      <c r="E237" s="67" t="str">
        <f aca="false">IF($W237="","",INDEX(发票统计!E$4:E$1003,$W237)&amp;"")</f>
        <v/>
      </c>
      <c r="F237" s="68" t="str">
        <f aca="false">IF($W237="","",INDEX(发票统计!F$4:F$1003,$W237)&amp;"")</f>
        <v/>
      </c>
      <c r="G237" s="68" t="str">
        <f aca="false">IF($W237="","",IF(INDEX(发票统计!G$4:G$1003,$W237)="","",INDEX(发票统计!G$4:G$1003,$W237)))</f>
        <v/>
      </c>
      <c r="H237" s="56" t="str">
        <f aca="false">IF($W237="","",N(INDEX(发票统计!H$4:H$1003,$W237)))</f>
        <v/>
      </c>
      <c r="I237" s="56" t="str">
        <f aca="false">IF($W237="","",N(INDEX(发票统计!I$4:I$1003,$W237)))</f>
        <v/>
      </c>
      <c r="J237" s="56" t="str">
        <f aca="false">IF($W237="","",N(INDEX(发票统计!J$4:J$1003,$W237)))</f>
        <v/>
      </c>
      <c r="K237" s="56" t="str">
        <f aca="false">IF($W237="","",N(INDEX(发票统计!K$4:K$1003,$W237)))</f>
        <v/>
      </c>
      <c r="L237" s="56" t="str">
        <f aca="false">IF($W237="","",SUM(J$4:J237)-SUM(K$4:K237))</f>
        <v/>
      </c>
      <c r="M237" s="56" t="str">
        <f aca="false">IF($W237="","",N(INDEX(发票统计!M$4:M$1003,$W237)))</f>
        <v/>
      </c>
      <c r="N237" s="56" t="str">
        <f aca="false">IF($W237="","",N(INDEX(发票统计!N$4:N$1003,$W237)))</f>
        <v/>
      </c>
      <c r="O237" s="56" t="str">
        <f aca="false">IF($W237="","",N(INDEX(发票统计!O$4:O$1003,$W237)))</f>
        <v/>
      </c>
      <c r="P237" s="56" t="str">
        <f aca="false">IF($W237="","",SUM(M$4:M237)-SUM(N$4:N237)-SUM(O$4:O237))</f>
        <v/>
      </c>
      <c r="Q237" s="56" t="str">
        <f aca="false">IF($W237="","",N(INDEX(发票统计!Q$4:Q$1003,$W237)))</f>
        <v/>
      </c>
      <c r="R237" s="56" t="str">
        <f aca="false">IF($W237="","",N(INDEX(发票统计!R$4:R$1003,$W237)))</f>
        <v/>
      </c>
      <c r="S237" s="56" t="str">
        <f aca="false">IF($W237="","",N(INDEX(发票统计!S$4:S$1003,$W237)))</f>
        <v/>
      </c>
      <c r="T237" s="56" t="str">
        <f aca="false">IF($W237="","",SUM(Q$4:Q237)-SUM(R$4:R237)-SUM(S$4:S237))</f>
        <v/>
      </c>
      <c r="U237" s="56" t="str">
        <f aca="false">IF($W237="","",INDEX(发票统计!U$4:U$1003,$W237)&amp;"")</f>
        <v/>
      </c>
      <c r="W237" s="1" t="str">
        <f aca="false">IF($V$3="","",IFERROR(MATCH($V$3&amp;"#"&amp;ROWS(W$4:W237),发票统计!$W$4:$W$1003,0),""))</f>
        <v/>
      </c>
    </row>
    <row r="238" customFormat="false" ht="16.5" hidden="false" customHeight="false" outlineLevel="0" collapsed="false">
      <c r="A238" s="3" t="str">
        <f aca="false">IF($W238="","",INDEX(发票统计!A$4:A$1003,$W238)&amp;"")</f>
        <v/>
      </c>
      <c r="B238" s="3" t="str">
        <f aca="false">IF($W238="","",INDEX(发票统计!B$4:B$1003,$W238)&amp;"")</f>
        <v/>
      </c>
      <c r="C238" s="3" t="str">
        <f aca="false">IF($W238="","",INDEX(发票统计!C$4:C$1003,$W238)&amp;"")</f>
        <v/>
      </c>
      <c r="D238" s="3" t="str">
        <f aca="false">IF($W238="","",INDEX(发票统计!D$4:D$1003,$W238)&amp;"")</f>
        <v/>
      </c>
      <c r="E238" s="67" t="str">
        <f aca="false">IF($W238="","",INDEX(发票统计!E$4:E$1003,$W238)&amp;"")</f>
        <v/>
      </c>
      <c r="F238" s="68" t="str">
        <f aca="false">IF($W238="","",INDEX(发票统计!F$4:F$1003,$W238)&amp;"")</f>
        <v/>
      </c>
      <c r="G238" s="68" t="str">
        <f aca="false">IF($W238="","",IF(INDEX(发票统计!G$4:G$1003,$W238)="","",INDEX(发票统计!G$4:G$1003,$W238)))</f>
        <v/>
      </c>
      <c r="H238" s="56" t="str">
        <f aca="false">IF($W238="","",N(INDEX(发票统计!H$4:H$1003,$W238)))</f>
        <v/>
      </c>
      <c r="I238" s="56" t="str">
        <f aca="false">IF($W238="","",N(INDEX(发票统计!I$4:I$1003,$W238)))</f>
        <v/>
      </c>
      <c r="J238" s="56" t="str">
        <f aca="false">IF($W238="","",N(INDEX(发票统计!J$4:J$1003,$W238)))</f>
        <v/>
      </c>
      <c r="K238" s="56" t="str">
        <f aca="false">IF($W238="","",N(INDEX(发票统计!K$4:K$1003,$W238)))</f>
        <v/>
      </c>
      <c r="L238" s="56" t="str">
        <f aca="false">IF($W238="","",SUM(J$4:J238)-SUM(K$4:K238))</f>
        <v/>
      </c>
      <c r="M238" s="56" t="str">
        <f aca="false">IF($W238="","",N(INDEX(发票统计!M$4:M$1003,$W238)))</f>
        <v/>
      </c>
      <c r="N238" s="56" t="str">
        <f aca="false">IF($W238="","",N(INDEX(发票统计!N$4:N$1003,$W238)))</f>
        <v/>
      </c>
      <c r="O238" s="56" t="str">
        <f aca="false">IF($W238="","",N(INDEX(发票统计!O$4:O$1003,$W238)))</f>
        <v/>
      </c>
      <c r="P238" s="56" t="str">
        <f aca="false">IF($W238="","",SUM(M$4:M238)-SUM(N$4:N238)-SUM(O$4:O238))</f>
        <v/>
      </c>
      <c r="Q238" s="56" t="str">
        <f aca="false">IF($W238="","",N(INDEX(发票统计!Q$4:Q$1003,$W238)))</f>
        <v/>
      </c>
      <c r="R238" s="56" t="str">
        <f aca="false">IF($W238="","",N(INDEX(发票统计!R$4:R$1003,$W238)))</f>
        <v/>
      </c>
      <c r="S238" s="56" t="str">
        <f aca="false">IF($W238="","",N(INDEX(发票统计!S$4:S$1003,$W238)))</f>
        <v/>
      </c>
      <c r="T238" s="56" t="str">
        <f aca="false">IF($W238="","",SUM(Q$4:Q238)-SUM(R$4:R238)-SUM(S$4:S238))</f>
        <v/>
      </c>
      <c r="U238" s="56" t="str">
        <f aca="false">IF($W238="","",INDEX(发票统计!U$4:U$1003,$W238)&amp;"")</f>
        <v/>
      </c>
      <c r="W238" s="1" t="str">
        <f aca="false">IF($V$3="","",IFERROR(MATCH($V$3&amp;"#"&amp;ROWS(W$4:W238),发票统计!$W$4:$W$1003,0),""))</f>
        <v/>
      </c>
    </row>
    <row r="239" customFormat="false" ht="16.5" hidden="false" customHeight="false" outlineLevel="0" collapsed="false">
      <c r="A239" s="3" t="str">
        <f aca="false">IF($W239="","",INDEX(发票统计!A$4:A$1003,$W239)&amp;"")</f>
        <v/>
      </c>
      <c r="B239" s="3" t="str">
        <f aca="false">IF($W239="","",INDEX(发票统计!B$4:B$1003,$W239)&amp;"")</f>
        <v/>
      </c>
      <c r="C239" s="3" t="str">
        <f aca="false">IF($W239="","",INDEX(发票统计!C$4:C$1003,$W239)&amp;"")</f>
        <v/>
      </c>
      <c r="D239" s="3" t="str">
        <f aca="false">IF($W239="","",INDEX(发票统计!D$4:D$1003,$W239)&amp;"")</f>
        <v/>
      </c>
      <c r="E239" s="67" t="str">
        <f aca="false">IF($W239="","",INDEX(发票统计!E$4:E$1003,$W239)&amp;"")</f>
        <v/>
      </c>
      <c r="F239" s="68" t="str">
        <f aca="false">IF($W239="","",INDEX(发票统计!F$4:F$1003,$W239)&amp;"")</f>
        <v/>
      </c>
      <c r="G239" s="68" t="str">
        <f aca="false">IF($W239="","",IF(INDEX(发票统计!G$4:G$1003,$W239)="","",INDEX(发票统计!G$4:G$1003,$W239)))</f>
        <v/>
      </c>
      <c r="H239" s="56" t="str">
        <f aca="false">IF($W239="","",N(INDEX(发票统计!H$4:H$1003,$W239)))</f>
        <v/>
      </c>
      <c r="I239" s="56" t="str">
        <f aca="false">IF($W239="","",N(INDEX(发票统计!I$4:I$1003,$W239)))</f>
        <v/>
      </c>
      <c r="J239" s="56" t="str">
        <f aca="false">IF($W239="","",N(INDEX(发票统计!J$4:J$1003,$W239)))</f>
        <v/>
      </c>
      <c r="K239" s="56" t="str">
        <f aca="false">IF($W239="","",N(INDEX(发票统计!K$4:K$1003,$W239)))</f>
        <v/>
      </c>
      <c r="L239" s="56" t="str">
        <f aca="false">IF($W239="","",SUM(J$4:J239)-SUM(K$4:K239))</f>
        <v/>
      </c>
      <c r="M239" s="56" t="str">
        <f aca="false">IF($W239="","",N(INDEX(发票统计!M$4:M$1003,$W239)))</f>
        <v/>
      </c>
      <c r="N239" s="56" t="str">
        <f aca="false">IF($W239="","",N(INDEX(发票统计!N$4:N$1003,$W239)))</f>
        <v/>
      </c>
      <c r="O239" s="56" t="str">
        <f aca="false">IF($W239="","",N(INDEX(发票统计!O$4:O$1003,$W239)))</f>
        <v/>
      </c>
      <c r="P239" s="56" t="str">
        <f aca="false">IF($W239="","",SUM(M$4:M239)-SUM(N$4:N239)-SUM(O$4:O239))</f>
        <v/>
      </c>
      <c r="Q239" s="56" t="str">
        <f aca="false">IF($W239="","",N(INDEX(发票统计!Q$4:Q$1003,$W239)))</f>
        <v/>
      </c>
      <c r="R239" s="56" t="str">
        <f aca="false">IF($W239="","",N(INDEX(发票统计!R$4:R$1003,$W239)))</f>
        <v/>
      </c>
      <c r="S239" s="56" t="str">
        <f aca="false">IF($W239="","",N(INDEX(发票统计!S$4:S$1003,$W239)))</f>
        <v/>
      </c>
      <c r="T239" s="56" t="str">
        <f aca="false">IF($W239="","",SUM(Q$4:Q239)-SUM(R$4:R239)-SUM(S$4:S239))</f>
        <v/>
      </c>
      <c r="U239" s="56" t="str">
        <f aca="false">IF($W239="","",INDEX(发票统计!U$4:U$1003,$W239)&amp;"")</f>
        <v/>
      </c>
      <c r="W239" s="1" t="str">
        <f aca="false">IF($V$3="","",IFERROR(MATCH($V$3&amp;"#"&amp;ROWS(W$4:W239),发票统计!$W$4:$W$1003,0),""))</f>
        <v/>
      </c>
    </row>
    <row r="240" customFormat="false" ht="16.5" hidden="false" customHeight="false" outlineLevel="0" collapsed="false">
      <c r="A240" s="3" t="str">
        <f aca="false">IF($W240="","",INDEX(发票统计!A$4:A$1003,$W240)&amp;"")</f>
        <v/>
      </c>
      <c r="B240" s="3" t="str">
        <f aca="false">IF($W240="","",INDEX(发票统计!B$4:B$1003,$W240)&amp;"")</f>
        <v/>
      </c>
      <c r="C240" s="3" t="str">
        <f aca="false">IF($W240="","",INDEX(发票统计!C$4:C$1003,$W240)&amp;"")</f>
        <v/>
      </c>
      <c r="D240" s="3" t="str">
        <f aca="false">IF($W240="","",INDEX(发票统计!D$4:D$1003,$W240)&amp;"")</f>
        <v/>
      </c>
      <c r="E240" s="67" t="str">
        <f aca="false">IF($W240="","",INDEX(发票统计!E$4:E$1003,$W240)&amp;"")</f>
        <v/>
      </c>
      <c r="F240" s="68" t="str">
        <f aca="false">IF($W240="","",INDEX(发票统计!F$4:F$1003,$W240)&amp;"")</f>
        <v/>
      </c>
      <c r="G240" s="68" t="str">
        <f aca="false">IF($W240="","",IF(INDEX(发票统计!G$4:G$1003,$W240)="","",INDEX(发票统计!G$4:G$1003,$W240)))</f>
        <v/>
      </c>
      <c r="H240" s="56" t="str">
        <f aca="false">IF($W240="","",N(INDEX(发票统计!H$4:H$1003,$W240)))</f>
        <v/>
      </c>
      <c r="I240" s="56" t="str">
        <f aca="false">IF($W240="","",N(INDEX(发票统计!I$4:I$1003,$W240)))</f>
        <v/>
      </c>
      <c r="J240" s="56" t="str">
        <f aca="false">IF($W240="","",N(INDEX(发票统计!J$4:J$1003,$W240)))</f>
        <v/>
      </c>
      <c r="K240" s="56" t="str">
        <f aca="false">IF($W240="","",N(INDEX(发票统计!K$4:K$1003,$W240)))</f>
        <v/>
      </c>
      <c r="L240" s="56" t="str">
        <f aca="false">IF($W240="","",SUM(J$4:J240)-SUM(K$4:K240))</f>
        <v/>
      </c>
      <c r="M240" s="56" t="str">
        <f aca="false">IF($W240="","",N(INDEX(发票统计!M$4:M$1003,$W240)))</f>
        <v/>
      </c>
      <c r="N240" s="56" t="str">
        <f aca="false">IF($W240="","",N(INDEX(发票统计!N$4:N$1003,$W240)))</f>
        <v/>
      </c>
      <c r="O240" s="56" t="str">
        <f aca="false">IF($W240="","",N(INDEX(发票统计!O$4:O$1003,$W240)))</f>
        <v/>
      </c>
      <c r="P240" s="56" t="str">
        <f aca="false">IF($W240="","",SUM(M$4:M240)-SUM(N$4:N240)-SUM(O$4:O240))</f>
        <v/>
      </c>
      <c r="Q240" s="56" t="str">
        <f aca="false">IF($W240="","",N(INDEX(发票统计!Q$4:Q$1003,$W240)))</f>
        <v/>
      </c>
      <c r="R240" s="56" t="str">
        <f aca="false">IF($W240="","",N(INDEX(发票统计!R$4:R$1003,$W240)))</f>
        <v/>
      </c>
      <c r="S240" s="56" t="str">
        <f aca="false">IF($W240="","",N(INDEX(发票统计!S$4:S$1003,$W240)))</f>
        <v/>
      </c>
      <c r="T240" s="56" t="str">
        <f aca="false">IF($W240="","",SUM(Q$4:Q240)-SUM(R$4:R240)-SUM(S$4:S240))</f>
        <v/>
      </c>
      <c r="U240" s="56" t="str">
        <f aca="false">IF($W240="","",INDEX(发票统计!U$4:U$1003,$W240)&amp;"")</f>
        <v/>
      </c>
      <c r="W240" s="1" t="str">
        <f aca="false">IF($V$3="","",IFERROR(MATCH($V$3&amp;"#"&amp;ROWS(W$4:W240),发票统计!$W$4:$W$1003,0),""))</f>
        <v/>
      </c>
    </row>
    <row r="241" customFormat="false" ht="16.5" hidden="false" customHeight="false" outlineLevel="0" collapsed="false">
      <c r="A241" s="3" t="str">
        <f aca="false">IF($W241="","",INDEX(发票统计!A$4:A$1003,$W241)&amp;"")</f>
        <v/>
      </c>
      <c r="B241" s="3" t="str">
        <f aca="false">IF($W241="","",INDEX(发票统计!B$4:B$1003,$W241)&amp;"")</f>
        <v/>
      </c>
      <c r="C241" s="3" t="str">
        <f aca="false">IF($W241="","",INDEX(发票统计!C$4:C$1003,$W241)&amp;"")</f>
        <v/>
      </c>
      <c r="D241" s="3" t="str">
        <f aca="false">IF($W241="","",INDEX(发票统计!D$4:D$1003,$W241)&amp;"")</f>
        <v/>
      </c>
      <c r="E241" s="67" t="str">
        <f aca="false">IF($W241="","",INDEX(发票统计!E$4:E$1003,$W241)&amp;"")</f>
        <v/>
      </c>
      <c r="F241" s="68" t="str">
        <f aca="false">IF($W241="","",INDEX(发票统计!F$4:F$1003,$W241)&amp;"")</f>
        <v/>
      </c>
      <c r="G241" s="68" t="str">
        <f aca="false">IF($W241="","",IF(INDEX(发票统计!G$4:G$1003,$W241)="","",INDEX(发票统计!G$4:G$1003,$W241)))</f>
        <v/>
      </c>
      <c r="H241" s="56" t="str">
        <f aca="false">IF($W241="","",N(INDEX(发票统计!H$4:H$1003,$W241)))</f>
        <v/>
      </c>
      <c r="I241" s="56" t="str">
        <f aca="false">IF($W241="","",N(INDEX(发票统计!I$4:I$1003,$W241)))</f>
        <v/>
      </c>
      <c r="J241" s="56" t="str">
        <f aca="false">IF($W241="","",N(INDEX(发票统计!J$4:J$1003,$W241)))</f>
        <v/>
      </c>
      <c r="K241" s="56" t="str">
        <f aca="false">IF($W241="","",N(INDEX(发票统计!K$4:K$1003,$W241)))</f>
        <v/>
      </c>
      <c r="L241" s="56" t="str">
        <f aca="false">IF($W241="","",SUM(J$4:J241)-SUM(K$4:K241))</f>
        <v/>
      </c>
      <c r="M241" s="56" t="str">
        <f aca="false">IF($W241="","",N(INDEX(发票统计!M$4:M$1003,$W241)))</f>
        <v/>
      </c>
      <c r="N241" s="56" t="str">
        <f aca="false">IF($W241="","",N(INDEX(发票统计!N$4:N$1003,$W241)))</f>
        <v/>
      </c>
      <c r="O241" s="56" t="str">
        <f aca="false">IF($W241="","",N(INDEX(发票统计!O$4:O$1003,$W241)))</f>
        <v/>
      </c>
      <c r="P241" s="56" t="str">
        <f aca="false">IF($W241="","",SUM(M$4:M241)-SUM(N$4:N241)-SUM(O$4:O241))</f>
        <v/>
      </c>
      <c r="Q241" s="56" t="str">
        <f aca="false">IF($W241="","",N(INDEX(发票统计!Q$4:Q$1003,$W241)))</f>
        <v/>
      </c>
      <c r="R241" s="56" t="str">
        <f aca="false">IF($W241="","",N(INDEX(发票统计!R$4:R$1003,$W241)))</f>
        <v/>
      </c>
      <c r="S241" s="56" t="str">
        <f aca="false">IF($W241="","",N(INDEX(发票统计!S$4:S$1003,$W241)))</f>
        <v/>
      </c>
      <c r="T241" s="56" t="str">
        <f aca="false">IF($W241="","",SUM(Q$4:Q241)-SUM(R$4:R241)-SUM(S$4:S241))</f>
        <v/>
      </c>
      <c r="U241" s="56" t="str">
        <f aca="false">IF($W241="","",INDEX(发票统计!U$4:U$1003,$W241)&amp;"")</f>
        <v/>
      </c>
      <c r="W241" s="1" t="str">
        <f aca="false">IF($V$3="","",IFERROR(MATCH($V$3&amp;"#"&amp;ROWS(W$4:W241),发票统计!$W$4:$W$1003,0),""))</f>
        <v/>
      </c>
    </row>
    <row r="242" customFormat="false" ht="16.5" hidden="false" customHeight="false" outlineLevel="0" collapsed="false">
      <c r="A242" s="3" t="str">
        <f aca="false">IF($W242="","",INDEX(发票统计!A$4:A$1003,$W242)&amp;"")</f>
        <v/>
      </c>
      <c r="B242" s="3" t="str">
        <f aca="false">IF($W242="","",INDEX(发票统计!B$4:B$1003,$W242)&amp;"")</f>
        <v/>
      </c>
      <c r="C242" s="3" t="str">
        <f aca="false">IF($W242="","",INDEX(发票统计!C$4:C$1003,$W242)&amp;"")</f>
        <v/>
      </c>
      <c r="D242" s="3" t="str">
        <f aca="false">IF($W242="","",INDEX(发票统计!D$4:D$1003,$W242)&amp;"")</f>
        <v/>
      </c>
      <c r="E242" s="67" t="str">
        <f aca="false">IF($W242="","",INDEX(发票统计!E$4:E$1003,$W242)&amp;"")</f>
        <v/>
      </c>
      <c r="F242" s="68" t="str">
        <f aca="false">IF($W242="","",INDEX(发票统计!F$4:F$1003,$W242)&amp;"")</f>
        <v/>
      </c>
      <c r="G242" s="68" t="str">
        <f aca="false">IF($W242="","",IF(INDEX(发票统计!G$4:G$1003,$W242)="","",INDEX(发票统计!G$4:G$1003,$W242)))</f>
        <v/>
      </c>
      <c r="H242" s="56" t="str">
        <f aca="false">IF($W242="","",N(INDEX(发票统计!H$4:H$1003,$W242)))</f>
        <v/>
      </c>
      <c r="I242" s="56" t="str">
        <f aca="false">IF($W242="","",N(INDEX(发票统计!I$4:I$1003,$W242)))</f>
        <v/>
      </c>
      <c r="J242" s="56" t="str">
        <f aca="false">IF($W242="","",N(INDEX(发票统计!J$4:J$1003,$W242)))</f>
        <v/>
      </c>
      <c r="K242" s="56" t="str">
        <f aca="false">IF($W242="","",N(INDEX(发票统计!K$4:K$1003,$W242)))</f>
        <v/>
      </c>
      <c r="L242" s="56" t="str">
        <f aca="false">IF($W242="","",SUM(J$4:J242)-SUM(K$4:K242))</f>
        <v/>
      </c>
      <c r="M242" s="56" t="str">
        <f aca="false">IF($W242="","",N(INDEX(发票统计!M$4:M$1003,$W242)))</f>
        <v/>
      </c>
      <c r="N242" s="56" t="str">
        <f aca="false">IF($W242="","",N(INDEX(发票统计!N$4:N$1003,$W242)))</f>
        <v/>
      </c>
      <c r="O242" s="56" t="str">
        <f aca="false">IF($W242="","",N(INDEX(发票统计!O$4:O$1003,$W242)))</f>
        <v/>
      </c>
      <c r="P242" s="56" t="str">
        <f aca="false">IF($W242="","",SUM(M$4:M242)-SUM(N$4:N242)-SUM(O$4:O242))</f>
        <v/>
      </c>
      <c r="Q242" s="56" t="str">
        <f aca="false">IF($W242="","",N(INDEX(发票统计!Q$4:Q$1003,$W242)))</f>
        <v/>
      </c>
      <c r="R242" s="56" t="str">
        <f aca="false">IF($W242="","",N(INDEX(发票统计!R$4:R$1003,$W242)))</f>
        <v/>
      </c>
      <c r="S242" s="56" t="str">
        <f aca="false">IF($W242="","",N(INDEX(发票统计!S$4:S$1003,$W242)))</f>
        <v/>
      </c>
      <c r="T242" s="56" t="str">
        <f aca="false">IF($W242="","",SUM(Q$4:Q242)-SUM(R$4:R242)-SUM(S$4:S242))</f>
        <v/>
      </c>
      <c r="U242" s="56" t="str">
        <f aca="false">IF($W242="","",INDEX(发票统计!U$4:U$1003,$W242)&amp;"")</f>
        <v/>
      </c>
      <c r="W242" s="1" t="str">
        <f aca="false">IF($V$3="","",IFERROR(MATCH($V$3&amp;"#"&amp;ROWS(W$4:W242),发票统计!$W$4:$W$1003,0),""))</f>
        <v/>
      </c>
    </row>
    <row r="243" customFormat="false" ht="16.5" hidden="false" customHeight="false" outlineLevel="0" collapsed="false">
      <c r="A243" s="3" t="str">
        <f aca="false">IF($W243="","",INDEX(发票统计!A$4:A$1003,$W243)&amp;"")</f>
        <v/>
      </c>
      <c r="B243" s="3" t="str">
        <f aca="false">IF($W243="","",INDEX(发票统计!B$4:B$1003,$W243)&amp;"")</f>
        <v/>
      </c>
      <c r="C243" s="3" t="str">
        <f aca="false">IF($W243="","",INDEX(发票统计!C$4:C$1003,$W243)&amp;"")</f>
        <v/>
      </c>
      <c r="D243" s="3" t="str">
        <f aca="false">IF($W243="","",INDEX(发票统计!D$4:D$1003,$W243)&amp;"")</f>
        <v/>
      </c>
      <c r="E243" s="67" t="str">
        <f aca="false">IF($W243="","",INDEX(发票统计!E$4:E$1003,$W243)&amp;"")</f>
        <v/>
      </c>
      <c r="F243" s="68" t="str">
        <f aca="false">IF($W243="","",INDEX(发票统计!F$4:F$1003,$W243)&amp;"")</f>
        <v/>
      </c>
      <c r="G243" s="68" t="str">
        <f aca="false">IF($W243="","",IF(INDEX(发票统计!G$4:G$1003,$W243)="","",INDEX(发票统计!G$4:G$1003,$W243)))</f>
        <v/>
      </c>
      <c r="H243" s="56" t="str">
        <f aca="false">IF($W243="","",N(INDEX(发票统计!H$4:H$1003,$W243)))</f>
        <v/>
      </c>
      <c r="I243" s="56" t="str">
        <f aca="false">IF($W243="","",N(INDEX(发票统计!I$4:I$1003,$W243)))</f>
        <v/>
      </c>
      <c r="J243" s="56" t="str">
        <f aca="false">IF($W243="","",N(INDEX(发票统计!J$4:J$1003,$W243)))</f>
        <v/>
      </c>
      <c r="K243" s="56" t="str">
        <f aca="false">IF($W243="","",N(INDEX(发票统计!K$4:K$1003,$W243)))</f>
        <v/>
      </c>
      <c r="L243" s="56" t="str">
        <f aca="false">IF($W243="","",SUM(J$4:J243)-SUM(K$4:K243))</f>
        <v/>
      </c>
      <c r="M243" s="56" t="str">
        <f aca="false">IF($W243="","",N(INDEX(发票统计!M$4:M$1003,$W243)))</f>
        <v/>
      </c>
      <c r="N243" s="56" t="str">
        <f aca="false">IF($W243="","",N(INDEX(发票统计!N$4:N$1003,$W243)))</f>
        <v/>
      </c>
      <c r="O243" s="56" t="str">
        <f aca="false">IF($W243="","",N(INDEX(发票统计!O$4:O$1003,$W243)))</f>
        <v/>
      </c>
      <c r="P243" s="56" t="str">
        <f aca="false">IF($W243="","",SUM(M$4:M243)-SUM(N$4:N243)-SUM(O$4:O243))</f>
        <v/>
      </c>
      <c r="Q243" s="56" t="str">
        <f aca="false">IF($W243="","",N(INDEX(发票统计!Q$4:Q$1003,$W243)))</f>
        <v/>
      </c>
      <c r="R243" s="56" t="str">
        <f aca="false">IF($W243="","",N(INDEX(发票统计!R$4:R$1003,$W243)))</f>
        <v/>
      </c>
      <c r="S243" s="56" t="str">
        <f aca="false">IF($W243="","",N(INDEX(发票统计!S$4:S$1003,$W243)))</f>
        <v/>
      </c>
      <c r="T243" s="56" t="str">
        <f aca="false">IF($W243="","",SUM(Q$4:Q243)-SUM(R$4:R243)-SUM(S$4:S243))</f>
        <v/>
      </c>
      <c r="U243" s="56" t="str">
        <f aca="false">IF($W243="","",INDEX(发票统计!U$4:U$1003,$W243)&amp;"")</f>
        <v/>
      </c>
      <c r="W243" s="1" t="str">
        <f aca="false">IF($V$3="","",IFERROR(MATCH($V$3&amp;"#"&amp;ROWS(W$4:W243),发票统计!$W$4:$W$1003,0),""))</f>
        <v/>
      </c>
    </row>
    <row r="244" customFormat="false" ht="16.5" hidden="false" customHeight="false" outlineLevel="0" collapsed="false">
      <c r="A244" s="3" t="str">
        <f aca="false">IF($W244="","",INDEX(发票统计!A$4:A$1003,$W244)&amp;"")</f>
        <v/>
      </c>
      <c r="B244" s="3" t="str">
        <f aca="false">IF($W244="","",INDEX(发票统计!B$4:B$1003,$W244)&amp;"")</f>
        <v/>
      </c>
      <c r="C244" s="3" t="str">
        <f aca="false">IF($W244="","",INDEX(发票统计!C$4:C$1003,$W244)&amp;"")</f>
        <v/>
      </c>
      <c r="D244" s="3" t="str">
        <f aca="false">IF($W244="","",INDEX(发票统计!D$4:D$1003,$W244)&amp;"")</f>
        <v/>
      </c>
      <c r="E244" s="67" t="str">
        <f aca="false">IF($W244="","",INDEX(发票统计!E$4:E$1003,$W244)&amp;"")</f>
        <v/>
      </c>
      <c r="F244" s="68" t="str">
        <f aca="false">IF($W244="","",INDEX(发票统计!F$4:F$1003,$W244)&amp;"")</f>
        <v/>
      </c>
      <c r="G244" s="68" t="str">
        <f aca="false">IF($W244="","",IF(INDEX(发票统计!G$4:G$1003,$W244)="","",INDEX(发票统计!G$4:G$1003,$W244)))</f>
        <v/>
      </c>
      <c r="H244" s="56" t="str">
        <f aca="false">IF($W244="","",N(INDEX(发票统计!H$4:H$1003,$W244)))</f>
        <v/>
      </c>
      <c r="I244" s="56" t="str">
        <f aca="false">IF($W244="","",N(INDEX(发票统计!I$4:I$1003,$W244)))</f>
        <v/>
      </c>
      <c r="J244" s="56" t="str">
        <f aca="false">IF($W244="","",N(INDEX(发票统计!J$4:J$1003,$W244)))</f>
        <v/>
      </c>
      <c r="K244" s="56" t="str">
        <f aca="false">IF($W244="","",N(INDEX(发票统计!K$4:K$1003,$W244)))</f>
        <v/>
      </c>
      <c r="L244" s="56" t="str">
        <f aca="false">IF($W244="","",SUM(J$4:J244)-SUM(K$4:K244))</f>
        <v/>
      </c>
      <c r="M244" s="56" t="str">
        <f aca="false">IF($W244="","",N(INDEX(发票统计!M$4:M$1003,$W244)))</f>
        <v/>
      </c>
      <c r="N244" s="56" t="str">
        <f aca="false">IF($W244="","",N(INDEX(发票统计!N$4:N$1003,$W244)))</f>
        <v/>
      </c>
      <c r="O244" s="56" t="str">
        <f aca="false">IF($W244="","",N(INDEX(发票统计!O$4:O$1003,$W244)))</f>
        <v/>
      </c>
      <c r="P244" s="56" t="str">
        <f aca="false">IF($W244="","",SUM(M$4:M244)-SUM(N$4:N244)-SUM(O$4:O244))</f>
        <v/>
      </c>
      <c r="Q244" s="56" t="str">
        <f aca="false">IF($W244="","",N(INDEX(发票统计!Q$4:Q$1003,$W244)))</f>
        <v/>
      </c>
      <c r="R244" s="56" t="str">
        <f aca="false">IF($W244="","",N(INDEX(发票统计!R$4:R$1003,$W244)))</f>
        <v/>
      </c>
      <c r="S244" s="56" t="str">
        <f aca="false">IF($W244="","",N(INDEX(发票统计!S$4:S$1003,$W244)))</f>
        <v/>
      </c>
      <c r="T244" s="56" t="str">
        <f aca="false">IF($W244="","",SUM(Q$4:Q244)-SUM(R$4:R244)-SUM(S$4:S244))</f>
        <v/>
      </c>
      <c r="U244" s="56" t="str">
        <f aca="false">IF($W244="","",INDEX(发票统计!U$4:U$1003,$W244)&amp;"")</f>
        <v/>
      </c>
      <c r="W244" s="1" t="str">
        <f aca="false">IF($V$3="","",IFERROR(MATCH($V$3&amp;"#"&amp;ROWS(W$4:W244),发票统计!$W$4:$W$1003,0),""))</f>
        <v/>
      </c>
    </row>
    <row r="245" customFormat="false" ht="16.5" hidden="false" customHeight="false" outlineLevel="0" collapsed="false">
      <c r="A245" s="3" t="str">
        <f aca="false">IF($W245="","",INDEX(发票统计!A$4:A$1003,$W245)&amp;"")</f>
        <v/>
      </c>
      <c r="B245" s="3" t="str">
        <f aca="false">IF($W245="","",INDEX(发票统计!B$4:B$1003,$W245)&amp;"")</f>
        <v/>
      </c>
      <c r="C245" s="3" t="str">
        <f aca="false">IF($W245="","",INDEX(发票统计!C$4:C$1003,$W245)&amp;"")</f>
        <v/>
      </c>
      <c r="D245" s="3" t="str">
        <f aca="false">IF($W245="","",INDEX(发票统计!D$4:D$1003,$W245)&amp;"")</f>
        <v/>
      </c>
      <c r="E245" s="67" t="str">
        <f aca="false">IF($W245="","",INDEX(发票统计!E$4:E$1003,$W245)&amp;"")</f>
        <v/>
      </c>
      <c r="F245" s="68" t="str">
        <f aca="false">IF($W245="","",INDEX(发票统计!F$4:F$1003,$W245)&amp;"")</f>
        <v/>
      </c>
      <c r="G245" s="68" t="str">
        <f aca="false">IF($W245="","",IF(INDEX(发票统计!G$4:G$1003,$W245)="","",INDEX(发票统计!G$4:G$1003,$W245)))</f>
        <v/>
      </c>
      <c r="H245" s="56" t="str">
        <f aca="false">IF($W245="","",N(INDEX(发票统计!H$4:H$1003,$W245)))</f>
        <v/>
      </c>
      <c r="I245" s="56" t="str">
        <f aca="false">IF($W245="","",N(INDEX(发票统计!I$4:I$1003,$W245)))</f>
        <v/>
      </c>
      <c r="J245" s="56" t="str">
        <f aca="false">IF($W245="","",N(INDEX(发票统计!J$4:J$1003,$W245)))</f>
        <v/>
      </c>
      <c r="K245" s="56" t="str">
        <f aca="false">IF($W245="","",N(INDEX(发票统计!K$4:K$1003,$W245)))</f>
        <v/>
      </c>
      <c r="L245" s="56" t="str">
        <f aca="false">IF($W245="","",SUM(J$4:J245)-SUM(K$4:K245))</f>
        <v/>
      </c>
      <c r="M245" s="56" t="str">
        <f aca="false">IF($W245="","",N(INDEX(发票统计!M$4:M$1003,$W245)))</f>
        <v/>
      </c>
      <c r="N245" s="56" t="str">
        <f aca="false">IF($W245="","",N(INDEX(发票统计!N$4:N$1003,$W245)))</f>
        <v/>
      </c>
      <c r="O245" s="56" t="str">
        <f aca="false">IF($W245="","",N(INDEX(发票统计!O$4:O$1003,$W245)))</f>
        <v/>
      </c>
      <c r="P245" s="56" t="str">
        <f aca="false">IF($W245="","",SUM(M$4:M245)-SUM(N$4:N245)-SUM(O$4:O245))</f>
        <v/>
      </c>
      <c r="Q245" s="56" t="str">
        <f aca="false">IF($W245="","",N(INDEX(发票统计!Q$4:Q$1003,$W245)))</f>
        <v/>
      </c>
      <c r="R245" s="56" t="str">
        <f aca="false">IF($W245="","",N(INDEX(发票统计!R$4:R$1003,$W245)))</f>
        <v/>
      </c>
      <c r="S245" s="56" t="str">
        <f aca="false">IF($W245="","",N(INDEX(发票统计!S$4:S$1003,$W245)))</f>
        <v/>
      </c>
      <c r="T245" s="56" t="str">
        <f aca="false">IF($W245="","",SUM(Q$4:Q245)-SUM(R$4:R245)-SUM(S$4:S245))</f>
        <v/>
      </c>
      <c r="U245" s="56" t="str">
        <f aca="false">IF($W245="","",INDEX(发票统计!U$4:U$1003,$W245)&amp;"")</f>
        <v/>
      </c>
      <c r="W245" s="1" t="str">
        <f aca="false">IF($V$3="","",IFERROR(MATCH($V$3&amp;"#"&amp;ROWS(W$4:W245),发票统计!$W$4:$W$1003,0),""))</f>
        <v/>
      </c>
    </row>
    <row r="246" customFormat="false" ht="16.5" hidden="false" customHeight="false" outlineLevel="0" collapsed="false">
      <c r="A246" s="3" t="str">
        <f aca="false">IF($W246="","",INDEX(发票统计!A$4:A$1003,$W246)&amp;"")</f>
        <v/>
      </c>
      <c r="B246" s="3" t="str">
        <f aca="false">IF($W246="","",INDEX(发票统计!B$4:B$1003,$W246)&amp;"")</f>
        <v/>
      </c>
      <c r="C246" s="3" t="str">
        <f aca="false">IF($W246="","",INDEX(发票统计!C$4:C$1003,$W246)&amp;"")</f>
        <v/>
      </c>
      <c r="D246" s="3" t="str">
        <f aca="false">IF($W246="","",INDEX(发票统计!D$4:D$1003,$W246)&amp;"")</f>
        <v/>
      </c>
      <c r="E246" s="67" t="str">
        <f aca="false">IF($W246="","",INDEX(发票统计!E$4:E$1003,$W246)&amp;"")</f>
        <v/>
      </c>
      <c r="F246" s="68" t="str">
        <f aca="false">IF($W246="","",INDEX(发票统计!F$4:F$1003,$W246)&amp;"")</f>
        <v/>
      </c>
      <c r="G246" s="68" t="str">
        <f aca="false">IF($W246="","",IF(INDEX(发票统计!G$4:G$1003,$W246)="","",INDEX(发票统计!G$4:G$1003,$W246)))</f>
        <v/>
      </c>
      <c r="H246" s="56" t="str">
        <f aca="false">IF($W246="","",N(INDEX(发票统计!H$4:H$1003,$W246)))</f>
        <v/>
      </c>
      <c r="I246" s="56" t="str">
        <f aca="false">IF($W246="","",N(INDEX(发票统计!I$4:I$1003,$W246)))</f>
        <v/>
      </c>
      <c r="J246" s="56" t="str">
        <f aca="false">IF($W246="","",N(INDEX(发票统计!J$4:J$1003,$W246)))</f>
        <v/>
      </c>
      <c r="K246" s="56" t="str">
        <f aca="false">IF($W246="","",N(INDEX(发票统计!K$4:K$1003,$W246)))</f>
        <v/>
      </c>
      <c r="L246" s="56" t="str">
        <f aca="false">IF($W246="","",SUM(J$4:J246)-SUM(K$4:K246))</f>
        <v/>
      </c>
      <c r="M246" s="56" t="str">
        <f aca="false">IF($W246="","",N(INDEX(发票统计!M$4:M$1003,$W246)))</f>
        <v/>
      </c>
      <c r="N246" s="56" t="str">
        <f aca="false">IF($W246="","",N(INDEX(发票统计!N$4:N$1003,$W246)))</f>
        <v/>
      </c>
      <c r="O246" s="56" t="str">
        <f aca="false">IF($W246="","",N(INDEX(发票统计!O$4:O$1003,$W246)))</f>
        <v/>
      </c>
      <c r="P246" s="56" t="str">
        <f aca="false">IF($W246="","",SUM(M$4:M246)-SUM(N$4:N246)-SUM(O$4:O246))</f>
        <v/>
      </c>
      <c r="Q246" s="56" t="str">
        <f aca="false">IF($W246="","",N(INDEX(发票统计!Q$4:Q$1003,$W246)))</f>
        <v/>
      </c>
      <c r="R246" s="56" t="str">
        <f aca="false">IF($W246="","",N(INDEX(发票统计!R$4:R$1003,$W246)))</f>
        <v/>
      </c>
      <c r="S246" s="56" t="str">
        <f aca="false">IF($W246="","",N(INDEX(发票统计!S$4:S$1003,$W246)))</f>
        <v/>
      </c>
      <c r="T246" s="56" t="str">
        <f aca="false">IF($W246="","",SUM(Q$4:Q246)-SUM(R$4:R246)-SUM(S$4:S246))</f>
        <v/>
      </c>
      <c r="U246" s="56" t="str">
        <f aca="false">IF($W246="","",INDEX(发票统计!U$4:U$1003,$W246)&amp;"")</f>
        <v/>
      </c>
      <c r="W246" s="1" t="str">
        <f aca="false">IF($V$3="","",IFERROR(MATCH($V$3&amp;"#"&amp;ROWS(W$4:W246),发票统计!$W$4:$W$1003,0),""))</f>
        <v/>
      </c>
    </row>
    <row r="247" customFormat="false" ht="16.5" hidden="false" customHeight="false" outlineLevel="0" collapsed="false">
      <c r="A247" s="3" t="str">
        <f aca="false">IF($W247="","",INDEX(发票统计!A$4:A$1003,$W247)&amp;"")</f>
        <v/>
      </c>
      <c r="B247" s="3" t="str">
        <f aca="false">IF($W247="","",INDEX(发票统计!B$4:B$1003,$W247)&amp;"")</f>
        <v/>
      </c>
      <c r="C247" s="3" t="str">
        <f aca="false">IF($W247="","",INDEX(发票统计!C$4:C$1003,$W247)&amp;"")</f>
        <v/>
      </c>
      <c r="D247" s="3" t="str">
        <f aca="false">IF($W247="","",INDEX(发票统计!D$4:D$1003,$W247)&amp;"")</f>
        <v/>
      </c>
      <c r="E247" s="67" t="str">
        <f aca="false">IF($W247="","",INDEX(发票统计!E$4:E$1003,$W247)&amp;"")</f>
        <v/>
      </c>
      <c r="F247" s="68" t="str">
        <f aca="false">IF($W247="","",INDEX(发票统计!F$4:F$1003,$W247)&amp;"")</f>
        <v/>
      </c>
      <c r="G247" s="68" t="str">
        <f aca="false">IF($W247="","",IF(INDEX(发票统计!G$4:G$1003,$W247)="","",INDEX(发票统计!G$4:G$1003,$W247)))</f>
        <v/>
      </c>
      <c r="H247" s="56" t="str">
        <f aca="false">IF($W247="","",N(INDEX(发票统计!H$4:H$1003,$W247)))</f>
        <v/>
      </c>
      <c r="I247" s="56" t="str">
        <f aca="false">IF($W247="","",N(INDEX(发票统计!I$4:I$1003,$W247)))</f>
        <v/>
      </c>
      <c r="J247" s="56" t="str">
        <f aca="false">IF($W247="","",N(INDEX(发票统计!J$4:J$1003,$W247)))</f>
        <v/>
      </c>
      <c r="K247" s="56" t="str">
        <f aca="false">IF($W247="","",N(INDEX(发票统计!K$4:K$1003,$W247)))</f>
        <v/>
      </c>
      <c r="L247" s="56" t="str">
        <f aca="false">IF($W247="","",SUM(J$4:J247)-SUM(K$4:K247))</f>
        <v/>
      </c>
      <c r="M247" s="56" t="str">
        <f aca="false">IF($W247="","",N(INDEX(发票统计!M$4:M$1003,$W247)))</f>
        <v/>
      </c>
      <c r="N247" s="56" t="str">
        <f aca="false">IF($W247="","",N(INDEX(发票统计!N$4:N$1003,$W247)))</f>
        <v/>
      </c>
      <c r="O247" s="56" t="str">
        <f aca="false">IF($W247="","",N(INDEX(发票统计!O$4:O$1003,$W247)))</f>
        <v/>
      </c>
      <c r="P247" s="56" t="str">
        <f aca="false">IF($W247="","",SUM(M$4:M247)-SUM(N$4:N247)-SUM(O$4:O247))</f>
        <v/>
      </c>
      <c r="Q247" s="56" t="str">
        <f aca="false">IF($W247="","",N(INDEX(发票统计!Q$4:Q$1003,$W247)))</f>
        <v/>
      </c>
      <c r="R247" s="56" t="str">
        <f aca="false">IF($W247="","",N(INDEX(发票统计!R$4:R$1003,$W247)))</f>
        <v/>
      </c>
      <c r="S247" s="56" t="str">
        <f aca="false">IF($W247="","",N(INDEX(发票统计!S$4:S$1003,$W247)))</f>
        <v/>
      </c>
      <c r="T247" s="56" t="str">
        <f aca="false">IF($W247="","",SUM(Q$4:Q247)-SUM(R$4:R247)-SUM(S$4:S247))</f>
        <v/>
      </c>
      <c r="U247" s="56" t="str">
        <f aca="false">IF($W247="","",INDEX(发票统计!U$4:U$1003,$W247)&amp;"")</f>
        <v/>
      </c>
      <c r="W247" s="1" t="str">
        <f aca="false">IF($V$3="","",IFERROR(MATCH($V$3&amp;"#"&amp;ROWS(W$4:W247),发票统计!$W$4:$W$1003,0),""))</f>
        <v/>
      </c>
    </row>
    <row r="248" customFormat="false" ht="16.5" hidden="false" customHeight="false" outlineLevel="0" collapsed="false">
      <c r="A248" s="3" t="str">
        <f aca="false">IF($W248="","",INDEX(发票统计!A$4:A$1003,$W248)&amp;"")</f>
        <v/>
      </c>
      <c r="B248" s="3" t="str">
        <f aca="false">IF($W248="","",INDEX(发票统计!B$4:B$1003,$W248)&amp;"")</f>
        <v/>
      </c>
      <c r="C248" s="3" t="str">
        <f aca="false">IF($W248="","",INDEX(发票统计!C$4:C$1003,$W248)&amp;"")</f>
        <v/>
      </c>
      <c r="D248" s="3" t="str">
        <f aca="false">IF($W248="","",INDEX(发票统计!D$4:D$1003,$W248)&amp;"")</f>
        <v/>
      </c>
      <c r="E248" s="67" t="str">
        <f aca="false">IF($W248="","",INDEX(发票统计!E$4:E$1003,$W248)&amp;"")</f>
        <v/>
      </c>
      <c r="F248" s="68" t="str">
        <f aca="false">IF($W248="","",INDEX(发票统计!F$4:F$1003,$W248)&amp;"")</f>
        <v/>
      </c>
      <c r="G248" s="68" t="str">
        <f aca="false">IF($W248="","",IF(INDEX(发票统计!G$4:G$1003,$W248)="","",INDEX(发票统计!G$4:G$1003,$W248)))</f>
        <v/>
      </c>
      <c r="H248" s="56" t="str">
        <f aca="false">IF($W248="","",N(INDEX(发票统计!H$4:H$1003,$W248)))</f>
        <v/>
      </c>
      <c r="I248" s="56" t="str">
        <f aca="false">IF($W248="","",N(INDEX(发票统计!I$4:I$1003,$W248)))</f>
        <v/>
      </c>
      <c r="J248" s="56" t="str">
        <f aca="false">IF($W248="","",N(INDEX(发票统计!J$4:J$1003,$W248)))</f>
        <v/>
      </c>
      <c r="K248" s="56" t="str">
        <f aca="false">IF($W248="","",N(INDEX(发票统计!K$4:K$1003,$W248)))</f>
        <v/>
      </c>
      <c r="L248" s="56" t="str">
        <f aca="false">IF($W248="","",SUM(J$4:J248)-SUM(K$4:K248))</f>
        <v/>
      </c>
      <c r="M248" s="56" t="str">
        <f aca="false">IF($W248="","",N(INDEX(发票统计!M$4:M$1003,$W248)))</f>
        <v/>
      </c>
      <c r="N248" s="56" t="str">
        <f aca="false">IF($W248="","",N(INDEX(发票统计!N$4:N$1003,$W248)))</f>
        <v/>
      </c>
      <c r="O248" s="56" t="str">
        <f aca="false">IF($W248="","",N(INDEX(发票统计!O$4:O$1003,$W248)))</f>
        <v/>
      </c>
      <c r="P248" s="56" t="str">
        <f aca="false">IF($W248="","",SUM(M$4:M248)-SUM(N$4:N248)-SUM(O$4:O248))</f>
        <v/>
      </c>
      <c r="Q248" s="56" t="str">
        <f aca="false">IF($W248="","",N(INDEX(发票统计!Q$4:Q$1003,$W248)))</f>
        <v/>
      </c>
      <c r="R248" s="56" t="str">
        <f aca="false">IF($W248="","",N(INDEX(发票统计!R$4:R$1003,$W248)))</f>
        <v/>
      </c>
      <c r="S248" s="56" t="str">
        <f aca="false">IF($W248="","",N(INDEX(发票统计!S$4:S$1003,$W248)))</f>
        <v/>
      </c>
      <c r="T248" s="56" t="str">
        <f aca="false">IF($W248="","",SUM(Q$4:Q248)-SUM(R$4:R248)-SUM(S$4:S248))</f>
        <v/>
      </c>
      <c r="U248" s="56" t="str">
        <f aca="false">IF($W248="","",INDEX(发票统计!U$4:U$1003,$W248)&amp;"")</f>
        <v/>
      </c>
      <c r="W248" s="1" t="str">
        <f aca="false">IF($V$3="","",IFERROR(MATCH($V$3&amp;"#"&amp;ROWS(W$4:W248),发票统计!$W$4:$W$1003,0),""))</f>
        <v/>
      </c>
    </row>
    <row r="249" customFormat="false" ht="16.5" hidden="false" customHeight="false" outlineLevel="0" collapsed="false">
      <c r="A249" s="3" t="str">
        <f aca="false">IF($W249="","",INDEX(发票统计!A$4:A$1003,$W249)&amp;"")</f>
        <v/>
      </c>
      <c r="B249" s="3" t="str">
        <f aca="false">IF($W249="","",INDEX(发票统计!B$4:B$1003,$W249)&amp;"")</f>
        <v/>
      </c>
      <c r="C249" s="3" t="str">
        <f aca="false">IF($W249="","",INDEX(发票统计!C$4:C$1003,$W249)&amp;"")</f>
        <v/>
      </c>
      <c r="D249" s="3" t="str">
        <f aca="false">IF($W249="","",INDEX(发票统计!D$4:D$1003,$W249)&amp;"")</f>
        <v/>
      </c>
      <c r="E249" s="67" t="str">
        <f aca="false">IF($W249="","",INDEX(发票统计!E$4:E$1003,$W249)&amp;"")</f>
        <v/>
      </c>
      <c r="F249" s="68" t="str">
        <f aca="false">IF($W249="","",INDEX(发票统计!F$4:F$1003,$W249)&amp;"")</f>
        <v/>
      </c>
      <c r="G249" s="68" t="str">
        <f aca="false">IF($W249="","",IF(INDEX(发票统计!G$4:G$1003,$W249)="","",INDEX(发票统计!G$4:G$1003,$W249)))</f>
        <v/>
      </c>
      <c r="H249" s="56" t="str">
        <f aca="false">IF($W249="","",N(INDEX(发票统计!H$4:H$1003,$W249)))</f>
        <v/>
      </c>
      <c r="I249" s="56" t="str">
        <f aca="false">IF($W249="","",N(INDEX(发票统计!I$4:I$1003,$W249)))</f>
        <v/>
      </c>
      <c r="J249" s="56" t="str">
        <f aca="false">IF($W249="","",N(INDEX(发票统计!J$4:J$1003,$W249)))</f>
        <v/>
      </c>
      <c r="K249" s="56" t="str">
        <f aca="false">IF($W249="","",N(INDEX(发票统计!K$4:K$1003,$W249)))</f>
        <v/>
      </c>
      <c r="L249" s="56" t="str">
        <f aca="false">IF($W249="","",SUM(J$4:J249)-SUM(K$4:K249))</f>
        <v/>
      </c>
      <c r="M249" s="56" t="str">
        <f aca="false">IF($W249="","",N(INDEX(发票统计!M$4:M$1003,$W249)))</f>
        <v/>
      </c>
      <c r="N249" s="56" t="str">
        <f aca="false">IF($W249="","",N(INDEX(发票统计!N$4:N$1003,$W249)))</f>
        <v/>
      </c>
      <c r="O249" s="56" t="str">
        <f aca="false">IF($W249="","",N(INDEX(发票统计!O$4:O$1003,$W249)))</f>
        <v/>
      </c>
      <c r="P249" s="56" t="str">
        <f aca="false">IF($W249="","",SUM(M$4:M249)-SUM(N$4:N249)-SUM(O$4:O249))</f>
        <v/>
      </c>
      <c r="Q249" s="56" t="str">
        <f aca="false">IF($W249="","",N(INDEX(发票统计!Q$4:Q$1003,$W249)))</f>
        <v/>
      </c>
      <c r="R249" s="56" t="str">
        <f aca="false">IF($W249="","",N(INDEX(发票统计!R$4:R$1003,$W249)))</f>
        <v/>
      </c>
      <c r="S249" s="56" t="str">
        <f aca="false">IF($W249="","",N(INDEX(发票统计!S$4:S$1003,$W249)))</f>
        <v/>
      </c>
      <c r="T249" s="56" t="str">
        <f aca="false">IF($W249="","",SUM(Q$4:Q249)-SUM(R$4:R249)-SUM(S$4:S249))</f>
        <v/>
      </c>
      <c r="U249" s="56" t="str">
        <f aca="false">IF($W249="","",INDEX(发票统计!U$4:U$1003,$W249)&amp;"")</f>
        <v/>
      </c>
      <c r="W249" s="1" t="str">
        <f aca="false">IF($V$3="","",IFERROR(MATCH($V$3&amp;"#"&amp;ROWS(W$4:W249),发票统计!$W$4:$W$1003,0),""))</f>
        <v/>
      </c>
    </row>
    <row r="250" customFormat="false" ht="16.5" hidden="false" customHeight="false" outlineLevel="0" collapsed="false">
      <c r="A250" s="3" t="str">
        <f aca="false">IF($W250="","",INDEX(发票统计!A$4:A$1003,$W250)&amp;"")</f>
        <v/>
      </c>
      <c r="B250" s="3" t="str">
        <f aca="false">IF($W250="","",INDEX(发票统计!B$4:B$1003,$W250)&amp;"")</f>
        <v/>
      </c>
      <c r="C250" s="3" t="str">
        <f aca="false">IF($W250="","",INDEX(发票统计!C$4:C$1003,$W250)&amp;"")</f>
        <v/>
      </c>
      <c r="D250" s="3" t="str">
        <f aca="false">IF($W250="","",INDEX(发票统计!D$4:D$1003,$W250)&amp;"")</f>
        <v/>
      </c>
      <c r="E250" s="67" t="str">
        <f aca="false">IF($W250="","",INDEX(发票统计!E$4:E$1003,$W250)&amp;"")</f>
        <v/>
      </c>
      <c r="F250" s="68" t="str">
        <f aca="false">IF($W250="","",INDEX(发票统计!F$4:F$1003,$W250)&amp;"")</f>
        <v/>
      </c>
      <c r="G250" s="68" t="str">
        <f aca="false">IF($W250="","",IF(INDEX(发票统计!G$4:G$1003,$W250)="","",INDEX(发票统计!G$4:G$1003,$W250)))</f>
        <v/>
      </c>
      <c r="H250" s="56" t="str">
        <f aca="false">IF($W250="","",N(INDEX(发票统计!H$4:H$1003,$W250)))</f>
        <v/>
      </c>
      <c r="I250" s="56" t="str">
        <f aca="false">IF($W250="","",N(INDEX(发票统计!I$4:I$1003,$W250)))</f>
        <v/>
      </c>
      <c r="J250" s="56" t="str">
        <f aca="false">IF($W250="","",N(INDEX(发票统计!J$4:J$1003,$W250)))</f>
        <v/>
      </c>
      <c r="K250" s="56" t="str">
        <f aca="false">IF($W250="","",N(INDEX(发票统计!K$4:K$1003,$W250)))</f>
        <v/>
      </c>
      <c r="L250" s="56" t="str">
        <f aca="false">IF($W250="","",SUM(J$4:J250)-SUM(K$4:K250))</f>
        <v/>
      </c>
      <c r="M250" s="56" t="str">
        <f aca="false">IF($W250="","",N(INDEX(发票统计!M$4:M$1003,$W250)))</f>
        <v/>
      </c>
      <c r="N250" s="56" t="str">
        <f aca="false">IF($W250="","",N(INDEX(发票统计!N$4:N$1003,$W250)))</f>
        <v/>
      </c>
      <c r="O250" s="56" t="str">
        <f aca="false">IF($W250="","",N(INDEX(发票统计!O$4:O$1003,$W250)))</f>
        <v/>
      </c>
      <c r="P250" s="56" t="str">
        <f aca="false">IF($W250="","",SUM(M$4:M250)-SUM(N$4:N250)-SUM(O$4:O250))</f>
        <v/>
      </c>
      <c r="Q250" s="56" t="str">
        <f aca="false">IF($W250="","",N(INDEX(发票统计!Q$4:Q$1003,$W250)))</f>
        <v/>
      </c>
      <c r="R250" s="56" t="str">
        <f aca="false">IF($W250="","",N(INDEX(发票统计!R$4:R$1003,$W250)))</f>
        <v/>
      </c>
      <c r="S250" s="56" t="str">
        <f aca="false">IF($W250="","",N(INDEX(发票统计!S$4:S$1003,$W250)))</f>
        <v/>
      </c>
      <c r="T250" s="56" t="str">
        <f aca="false">IF($W250="","",SUM(Q$4:Q250)-SUM(R$4:R250)-SUM(S$4:S250))</f>
        <v/>
      </c>
      <c r="U250" s="56" t="str">
        <f aca="false">IF($W250="","",INDEX(发票统计!U$4:U$1003,$W250)&amp;"")</f>
        <v/>
      </c>
      <c r="W250" s="1" t="str">
        <f aca="false">IF($V$3="","",IFERROR(MATCH($V$3&amp;"#"&amp;ROWS(W$4:W250),发票统计!$W$4:$W$1003,0),""))</f>
        <v/>
      </c>
    </row>
    <row r="251" customFormat="false" ht="16.5" hidden="false" customHeight="false" outlineLevel="0" collapsed="false">
      <c r="A251" s="3" t="str">
        <f aca="false">IF($W251="","",INDEX(发票统计!A$4:A$1003,$W251)&amp;"")</f>
        <v/>
      </c>
      <c r="B251" s="3" t="str">
        <f aca="false">IF($W251="","",INDEX(发票统计!B$4:B$1003,$W251)&amp;"")</f>
        <v/>
      </c>
      <c r="C251" s="3" t="str">
        <f aca="false">IF($W251="","",INDEX(发票统计!C$4:C$1003,$W251)&amp;"")</f>
        <v/>
      </c>
      <c r="D251" s="3" t="str">
        <f aca="false">IF($W251="","",INDEX(发票统计!D$4:D$1003,$W251)&amp;"")</f>
        <v/>
      </c>
      <c r="E251" s="67" t="str">
        <f aca="false">IF($W251="","",INDEX(发票统计!E$4:E$1003,$W251)&amp;"")</f>
        <v/>
      </c>
      <c r="F251" s="68" t="str">
        <f aca="false">IF($W251="","",INDEX(发票统计!F$4:F$1003,$W251)&amp;"")</f>
        <v/>
      </c>
      <c r="G251" s="68" t="str">
        <f aca="false">IF($W251="","",IF(INDEX(发票统计!G$4:G$1003,$W251)="","",INDEX(发票统计!G$4:G$1003,$W251)))</f>
        <v/>
      </c>
      <c r="H251" s="56" t="str">
        <f aca="false">IF($W251="","",N(INDEX(发票统计!H$4:H$1003,$W251)))</f>
        <v/>
      </c>
      <c r="I251" s="56" t="str">
        <f aca="false">IF($W251="","",N(INDEX(发票统计!I$4:I$1003,$W251)))</f>
        <v/>
      </c>
      <c r="J251" s="56" t="str">
        <f aca="false">IF($W251="","",N(INDEX(发票统计!J$4:J$1003,$W251)))</f>
        <v/>
      </c>
      <c r="K251" s="56" t="str">
        <f aca="false">IF($W251="","",N(INDEX(发票统计!K$4:K$1003,$W251)))</f>
        <v/>
      </c>
      <c r="L251" s="56" t="str">
        <f aca="false">IF($W251="","",SUM(J$4:J251)-SUM(K$4:K251))</f>
        <v/>
      </c>
      <c r="M251" s="56" t="str">
        <f aca="false">IF($W251="","",N(INDEX(发票统计!M$4:M$1003,$W251)))</f>
        <v/>
      </c>
      <c r="N251" s="56" t="str">
        <f aca="false">IF($W251="","",N(INDEX(发票统计!N$4:N$1003,$W251)))</f>
        <v/>
      </c>
      <c r="O251" s="56" t="str">
        <f aca="false">IF($W251="","",N(INDEX(发票统计!O$4:O$1003,$W251)))</f>
        <v/>
      </c>
      <c r="P251" s="56" t="str">
        <f aca="false">IF($W251="","",SUM(M$4:M251)-SUM(N$4:N251)-SUM(O$4:O251))</f>
        <v/>
      </c>
      <c r="Q251" s="56" t="str">
        <f aca="false">IF($W251="","",N(INDEX(发票统计!Q$4:Q$1003,$W251)))</f>
        <v/>
      </c>
      <c r="R251" s="56" t="str">
        <f aca="false">IF($W251="","",N(INDEX(发票统计!R$4:R$1003,$W251)))</f>
        <v/>
      </c>
      <c r="S251" s="56" t="str">
        <f aca="false">IF($W251="","",N(INDEX(发票统计!S$4:S$1003,$W251)))</f>
        <v/>
      </c>
      <c r="T251" s="56" t="str">
        <f aca="false">IF($W251="","",SUM(Q$4:Q251)-SUM(R$4:R251)-SUM(S$4:S251))</f>
        <v/>
      </c>
      <c r="U251" s="56" t="str">
        <f aca="false">IF($W251="","",INDEX(发票统计!U$4:U$1003,$W251)&amp;"")</f>
        <v/>
      </c>
      <c r="W251" s="1" t="str">
        <f aca="false">IF($V$3="","",IFERROR(MATCH($V$3&amp;"#"&amp;ROWS(W$4:W251),发票统计!$W$4:$W$1003,0),""))</f>
        <v/>
      </c>
    </row>
    <row r="252" customFormat="false" ht="16.5" hidden="false" customHeight="false" outlineLevel="0" collapsed="false">
      <c r="A252" s="3" t="str">
        <f aca="false">IF($W252="","",INDEX(发票统计!A$4:A$1003,$W252)&amp;"")</f>
        <v/>
      </c>
      <c r="B252" s="3" t="str">
        <f aca="false">IF($W252="","",INDEX(发票统计!B$4:B$1003,$W252)&amp;"")</f>
        <v/>
      </c>
      <c r="C252" s="3" t="str">
        <f aca="false">IF($W252="","",INDEX(发票统计!C$4:C$1003,$W252)&amp;"")</f>
        <v/>
      </c>
      <c r="D252" s="3" t="str">
        <f aca="false">IF($W252="","",INDEX(发票统计!D$4:D$1003,$W252)&amp;"")</f>
        <v/>
      </c>
      <c r="E252" s="67" t="str">
        <f aca="false">IF($W252="","",INDEX(发票统计!E$4:E$1003,$W252)&amp;"")</f>
        <v/>
      </c>
      <c r="F252" s="68" t="str">
        <f aca="false">IF($W252="","",INDEX(发票统计!F$4:F$1003,$W252)&amp;"")</f>
        <v/>
      </c>
      <c r="G252" s="68" t="str">
        <f aca="false">IF($W252="","",IF(INDEX(发票统计!G$4:G$1003,$W252)="","",INDEX(发票统计!G$4:G$1003,$W252)))</f>
        <v/>
      </c>
      <c r="H252" s="56" t="str">
        <f aca="false">IF($W252="","",N(INDEX(发票统计!H$4:H$1003,$W252)))</f>
        <v/>
      </c>
      <c r="I252" s="56" t="str">
        <f aca="false">IF($W252="","",N(INDEX(发票统计!I$4:I$1003,$W252)))</f>
        <v/>
      </c>
      <c r="J252" s="56" t="str">
        <f aca="false">IF($W252="","",N(INDEX(发票统计!J$4:J$1003,$W252)))</f>
        <v/>
      </c>
      <c r="K252" s="56" t="str">
        <f aca="false">IF($W252="","",N(INDEX(发票统计!K$4:K$1003,$W252)))</f>
        <v/>
      </c>
      <c r="L252" s="56" t="str">
        <f aca="false">IF($W252="","",SUM(J$4:J252)-SUM(K$4:K252))</f>
        <v/>
      </c>
      <c r="M252" s="56" t="str">
        <f aca="false">IF($W252="","",N(INDEX(发票统计!M$4:M$1003,$W252)))</f>
        <v/>
      </c>
      <c r="N252" s="56" t="str">
        <f aca="false">IF($W252="","",N(INDEX(发票统计!N$4:N$1003,$W252)))</f>
        <v/>
      </c>
      <c r="O252" s="56" t="str">
        <f aca="false">IF($W252="","",N(INDEX(发票统计!O$4:O$1003,$W252)))</f>
        <v/>
      </c>
      <c r="P252" s="56" t="str">
        <f aca="false">IF($W252="","",SUM(M$4:M252)-SUM(N$4:N252)-SUM(O$4:O252))</f>
        <v/>
      </c>
      <c r="Q252" s="56" t="str">
        <f aca="false">IF($W252="","",N(INDEX(发票统计!Q$4:Q$1003,$W252)))</f>
        <v/>
      </c>
      <c r="R252" s="56" t="str">
        <f aca="false">IF($W252="","",N(INDEX(发票统计!R$4:R$1003,$W252)))</f>
        <v/>
      </c>
      <c r="S252" s="56" t="str">
        <f aca="false">IF($W252="","",N(INDEX(发票统计!S$4:S$1003,$W252)))</f>
        <v/>
      </c>
      <c r="T252" s="56" t="str">
        <f aca="false">IF($W252="","",SUM(Q$4:Q252)-SUM(R$4:R252)-SUM(S$4:S252))</f>
        <v/>
      </c>
      <c r="U252" s="56" t="str">
        <f aca="false">IF($W252="","",INDEX(发票统计!U$4:U$1003,$W252)&amp;"")</f>
        <v/>
      </c>
      <c r="W252" s="1" t="str">
        <f aca="false">IF($V$3="","",IFERROR(MATCH($V$3&amp;"#"&amp;ROWS(W$4:W252),发票统计!$W$4:$W$1003,0),""))</f>
        <v/>
      </c>
    </row>
    <row r="253" customFormat="false" ht="16.5" hidden="false" customHeight="false" outlineLevel="0" collapsed="false">
      <c r="A253" s="3" t="str">
        <f aca="false">IF($W253="","",INDEX(发票统计!A$4:A$1003,$W253)&amp;"")</f>
        <v/>
      </c>
      <c r="B253" s="3" t="str">
        <f aca="false">IF($W253="","",INDEX(发票统计!B$4:B$1003,$W253)&amp;"")</f>
        <v/>
      </c>
      <c r="C253" s="3" t="str">
        <f aca="false">IF($W253="","",INDEX(发票统计!C$4:C$1003,$W253)&amp;"")</f>
        <v/>
      </c>
      <c r="D253" s="3" t="str">
        <f aca="false">IF($W253="","",INDEX(发票统计!D$4:D$1003,$W253)&amp;"")</f>
        <v/>
      </c>
      <c r="E253" s="67" t="str">
        <f aca="false">IF($W253="","",INDEX(发票统计!E$4:E$1003,$W253)&amp;"")</f>
        <v/>
      </c>
      <c r="F253" s="68" t="str">
        <f aca="false">IF($W253="","",INDEX(发票统计!F$4:F$1003,$W253)&amp;"")</f>
        <v/>
      </c>
      <c r="G253" s="68" t="str">
        <f aca="false">IF($W253="","",IF(INDEX(发票统计!G$4:G$1003,$W253)="","",INDEX(发票统计!G$4:G$1003,$W253)))</f>
        <v/>
      </c>
      <c r="H253" s="56" t="str">
        <f aca="false">IF($W253="","",N(INDEX(发票统计!H$4:H$1003,$W253)))</f>
        <v/>
      </c>
      <c r="I253" s="56" t="str">
        <f aca="false">IF($W253="","",N(INDEX(发票统计!I$4:I$1003,$W253)))</f>
        <v/>
      </c>
      <c r="J253" s="56" t="str">
        <f aca="false">IF($W253="","",N(INDEX(发票统计!J$4:J$1003,$W253)))</f>
        <v/>
      </c>
      <c r="K253" s="56" t="str">
        <f aca="false">IF($W253="","",N(INDEX(发票统计!K$4:K$1003,$W253)))</f>
        <v/>
      </c>
      <c r="L253" s="56" t="str">
        <f aca="false">IF($W253="","",SUM(J$4:J253)-SUM(K$4:K253))</f>
        <v/>
      </c>
      <c r="M253" s="56" t="str">
        <f aca="false">IF($W253="","",N(INDEX(发票统计!M$4:M$1003,$W253)))</f>
        <v/>
      </c>
      <c r="N253" s="56" t="str">
        <f aca="false">IF($W253="","",N(INDEX(发票统计!N$4:N$1003,$W253)))</f>
        <v/>
      </c>
      <c r="O253" s="56" t="str">
        <f aca="false">IF($W253="","",N(INDEX(发票统计!O$4:O$1003,$W253)))</f>
        <v/>
      </c>
      <c r="P253" s="56" t="str">
        <f aca="false">IF($W253="","",SUM(M$4:M253)-SUM(N$4:N253)-SUM(O$4:O253))</f>
        <v/>
      </c>
      <c r="Q253" s="56" t="str">
        <f aca="false">IF($W253="","",N(INDEX(发票统计!Q$4:Q$1003,$W253)))</f>
        <v/>
      </c>
      <c r="R253" s="56" t="str">
        <f aca="false">IF($W253="","",N(INDEX(发票统计!R$4:R$1003,$W253)))</f>
        <v/>
      </c>
      <c r="S253" s="56" t="str">
        <f aca="false">IF($W253="","",N(INDEX(发票统计!S$4:S$1003,$W253)))</f>
        <v/>
      </c>
      <c r="T253" s="56" t="str">
        <f aca="false">IF($W253="","",SUM(Q$4:Q253)-SUM(R$4:R253)-SUM(S$4:S253))</f>
        <v/>
      </c>
      <c r="U253" s="56" t="str">
        <f aca="false">IF($W253="","",INDEX(发票统计!U$4:U$1003,$W253)&amp;"")</f>
        <v/>
      </c>
      <c r="W253" s="1" t="str">
        <f aca="false">IF($V$3="","",IFERROR(MATCH($V$3&amp;"#"&amp;ROWS(W$4:W253),发票统计!$W$4:$W$1003,0),""))</f>
        <v/>
      </c>
    </row>
    <row r="254" customFormat="false" ht="16.5" hidden="false" customHeight="false" outlineLevel="0" collapsed="false">
      <c r="A254" s="3" t="str">
        <f aca="false">IF($W254="","",INDEX(发票统计!A$4:A$1003,$W254)&amp;"")</f>
        <v/>
      </c>
      <c r="B254" s="3" t="str">
        <f aca="false">IF($W254="","",INDEX(发票统计!B$4:B$1003,$W254)&amp;"")</f>
        <v/>
      </c>
      <c r="C254" s="3" t="str">
        <f aca="false">IF($W254="","",INDEX(发票统计!C$4:C$1003,$W254)&amp;"")</f>
        <v/>
      </c>
      <c r="D254" s="3" t="str">
        <f aca="false">IF($W254="","",INDEX(发票统计!D$4:D$1003,$W254)&amp;"")</f>
        <v/>
      </c>
      <c r="E254" s="67" t="str">
        <f aca="false">IF($W254="","",INDEX(发票统计!E$4:E$1003,$W254)&amp;"")</f>
        <v/>
      </c>
      <c r="F254" s="68" t="str">
        <f aca="false">IF($W254="","",INDEX(发票统计!F$4:F$1003,$W254)&amp;"")</f>
        <v/>
      </c>
      <c r="G254" s="68" t="str">
        <f aca="false">IF($W254="","",IF(INDEX(发票统计!G$4:G$1003,$W254)="","",INDEX(发票统计!G$4:G$1003,$W254)))</f>
        <v/>
      </c>
      <c r="H254" s="56" t="str">
        <f aca="false">IF($W254="","",N(INDEX(发票统计!H$4:H$1003,$W254)))</f>
        <v/>
      </c>
      <c r="I254" s="56" t="str">
        <f aca="false">IF($W254="","",N(INDEX(发票统计!I$4:I$1003,$W254)))</f>
        <v/>
      </c>
      <c r="J254" s="56" t="str">
        <f aca="false">IF($W254="","",N(INDEX(发票统计!J$4:J$1003,$W254)))</f>
        <v/>
      </c>
      <c r="K254" s="56" t="str">
        <f aca="false">IF($W254="","",N(INDEX(发票统计!K$4:K$1003,$W254)))</f>
        <v/>
      </c>
      <c r="L254" s="56" t="str">
        <f aca="false">IF($W254="","",SUM(J$4:J254)-SUM(K$4:K254))</f>
        <v/>
      </c>
      <c r="M254" s="56" t="str">
        <f aca="false">IF($W254="","",N(INDEX(发票统计!M$4:M$1003,$W254)))</f>
        <v/>
      </c>
      <c r="N254" s="56" t="str">
        <f aca="false">IF($W254="","",N(INDEX(发票统计!N$4:N$1003,$W254)))</f>
        <v/>
      </c>
      <c r="O254" s="56" t="str">
        <f aca="false">IF($W254="","",N(INDEX(发票统计!O$4:O$1003,$W254)))</f>
        <v/>
      </c>
      <c r="P254" s="56" t="str">
        <f aca="false">IF($W254="","",SUM(M$4:M254)-SUM(N$4:N254)-SUM(O$4:O254))</f>
        <v/>
      </c>
      <c r="Q254" s="56" t="str">
        <f aca="false">IF($W254="","",N(INDEX(发票统计!Q$4:Q$1003,$W254)))</f>
        <v/>
      </c>
      <c r="R254" s="56" t="str">
        <f aca="false">IF($W254="","",N(INDEX(发票统计!R$4:R$1003,$W254)))</f>
        <v/>
      </c>
      <c r="S254" s="56" t="str">
        <f aca="false">IF($W254="","",N(INDEX(发票统计!S$4:S$1003,$W254)))</f>
        <v/>
      </c>
      <c r="T254" s="56" t="str">
        <f aca="false">IF($W254="","",SUM(Q$4:Q254)-SUM(R$4:R254)-SUM(S$4:S254))</f>
        <v/>
      </c>
      <c r="U254" s="56" t="str">
        <f aca="false">IF($W254="","",INDEX(发票统计!U$4:U$1003,$W254)&amp;"")</f>
        <v/>
      </c>
      <c r="W254" s="1" t="str">
        <f aca="false">IF($V$3="","",IFERROR(MATCH($V$3&amp;"#"&amp;ROWS(W$4:W254),发票统计!$W$4:$W$1003,0),""))</f>
        <v/>
      </c>
    </row>
    <row r="255" customFormat="false" ht="16.5" hidden="false" customHeight="false" outlineLevel="0" collapsed="false">
      <c r="A255" s="3" t="str">
        <f aca="false">IF($W255="","",INDEX(发票统计!A$4:A$1003,$W255)&amp;"")</f>
        <v/>
      </c>
      <c r="B255" s="3" t="str">
        <f aca="false">IF($W255="","",INDEX(发票统计!B$4:B$1003,$W255)&amp;"")</f>
        <v/>
      </c>
      <c r="C255" s="3" t="str">
        <f aca="false">IF($W255="","",INDEX(发票统计!C$4:C$1003,$W255)&amp;"")</f>
        <v/>
      </c>
      <c r="D255" s="3" t="str">
        <f aca="false">IF($W255="","",INDEX(发票统计!D$4:D$1003,$W255)&amp;"")</f>
        <v/>
      </c>
      <c r="E255" s="67" t="str">
        <f aca="false">IF($W255="","",INDEX(发票统计!E$4:E$1003,$W255)&amp;"")</f>
        <v/>
      </c>
      <c r="F255" s="68" t="str">
        <f aca="false">IF($W255="","",INDEX(发票统计!F$4:F$1003,$W255)&amp;"")</f>
        <v/>
      </c>
      <c r="G255" s="68" t="str">
        <f aca="false">IF($W255="","",IF(INDEX(发票统计!G$4:G$1003,$W255)="","",INDEX(发票统计!G$4:G$1003,$W255)))</f>
        <v/>
      </c>
      <c r="H255" s="56" t="str">
        <f aca="false">IF($W255="","",N(INDEX(发票统计!H$4:H$1003,$W255)))</f>
        <v/>
      </c>
      <c r="I255" s="56" t="str">
        <f aca="false">IF($W255="","",N(INDEX(发票统计!I$4:I$1003,$W255)))</f>
        <v/>
      </c>
      <c r="J255" s="56" t="str">
        <f aca="false">IF($W255="","",N(INDEX(发票统计!J$4:J$1003,$W255)))</f>
        <v/>
      </c>
      <c r="K255" s="56" t="str">
        <f aca="false">IF($W255="","",N(INDEX(发票统计!K$4:K$1003,$W255)))</f>
        <v/>
      </c>
      <c r="L255" s="56" t="str">
        <f aca="false">IF($W255="","",SUM(J$4:J255)-SUM(K$4:K255))</f>
        <v/>
      </c>
      <c r="M255" s="56" t="str">
        <f aca="false">IF($W255="","",N(INDEX(发票统计!M$4:M$1003,$W255)))</f>
        <v/>
      </c>
      <c r="N255" s="56" t="str">
        <f aca="false">IF($W255="","",N(INDEX(发票统计!N$4:N$1003,$W255)))</f>
        <v/>
      </c>
      <c r="O255" s="56" t="str">
        <f aca="false">IF($W255="","",N(INDEX(发票统计!O$4:O$1003,$W255)))</f>
        <v/>
      </c>
      <c r="P255" s="56" t="str">
        <f aca="false">IF($W255="","",SUM(M$4:M255)-SUM(N$4:N255)-SUM(O$4:O255))</f>
        <v/>
      </c>
      <c r="Q255" s="56" t="str">
        <f aca="false">IF($W255="","",N(INDEX(发票统计!Q$4:Q$1003,$W255)))</f>
        <v/>
      </c>
      <c r="R255" s="56" t="str">
        <f aca="false">IF($W255="","",N(INDEX(发票统计!R$4:R$1003,$W255)))</f>
        <v/>
      </c>
      <c r="S255" s="56" t="str">
        <f aca="false">IF($W255="","",N(INDEX(发票统计!S$4:S$1003,$W255)))</f>
        <v/>
      </c>
      <c r="T255" s="56" t="str">
        <f aca="false">IF($W255="","",SUM(Q$4:Q255)-SUM(R$4:R255)-SUM(S$4:S255))</f>
        <v/>
      </c>
      <c r="U255" s="56" t="str">
        <f aca="false">IF($W255="","",INDEX(发票统计!U$4:U$1003,$W255)&amp;"")</f>
        <v/>
      </c>
      <c r="W255" s="1" t="str">
        <f aca="false">IF($V$3="","",IFERROR(MATCH($V$3&amp;"#"&amp;ROWS(W$4:W255),发票统计!$W$4:$W$1003,0),""))</f>
        <v/>
      </c>
    </row>
    <row r="256" customFormat="false" ht="16.5" hidden="false" customHeight="false" outlineLevel="0" collapsed="false">
      <c r="A256" s="3" t="str">
        <f aca="false">IF($W256="","",INDEX(发票统计!A$4:A$1003,$W256)&amp;"")</f>
        <v/>
      </c>
      <c r="B256" s="3" t="str">
        <f aca="false">IF($W256="","",INDEX(发票统计!B$4:B$1003,$W256)&amp;"")</f>
        <v/>
      </c>
      <c r="C256" s="3" t="str">
        <f aca="false">IF($W256="","",INDEX(发票统计!C$4:C$1003,$W256)&amp;"")</f>
        <v/>
      </c>
      <c r="D256" s="3" t="str">
        <f aca="false">IF($W256="","",INDEX(发票统计!D$4:D$1003,$W256)&amp;"")</f>
        <v/>
      </c>
      <c r="E256" s="67" t="str">
        <f aca="false">IF($W256="","",INDEX(发票统计!E$4:E$1003,$W256)&amp;"")</f>
        <v/>
      </c>
      <c r="F256" s="68" t="str">
        <f aca="false">IF($W256="","",INDEX(发票统计!F$4:F$1003,$W256)&amp;"")</f>
        <v/>
      </c>
      <c r="G256" s="68" t="str">
        <f aca="false">IF($W256="","",IF(INDEX(发票统计!G$4:G$1003,$W256)="","",INDEX(发票统计!G$4:G$1003,$W256)))</f>
        <v/>
      </c>
      <c r="H256" s="56" t="str">
        <f aca="false">IF($W256="","",N(INDEX(发票统计!H$4:H$1003,$W256)))</f>
        <v/>
      </c>
      <c r="I256" s="56" t="str">
        <f aca="false">IF($W256="","",N(INDEX(发票统计!I$4:I$1003,$W256)))</f>
        <v/>
      </c>
      <c r="J256" s="56" t="str">
        <f aca="false">IF($W256="","",N(INDEX(发票统计!J$4:J$1003,$W256)))</f>
        <v/>
      </c>
      <c r="K256" s="56" t="str">
        <f aca="false">IF($W256="","",N(INDEX(发票统计!K$4:K$1003,$W256)))</f>
        <v/>
      </c>
      <c r="L256" s="56" t="str">
        <f aca="false">IF($W256="","",SUM(J$4:J256)-SUM(K$4:K256))</f>
        <v/>
      </c>
      <c r="M256" s="56" t="str">
        <f aca="false">IF($W256="","",N(INDEX(发票统计!M$4:M$1003,$W256)))</f>
        <v/>
      </c>
      <c r="N256" s="56" t="str">
        <f aca="false">IF($W256="","",N(INDEX(发票统计!N$4:N$1003,$W256)))</f>
        <v/>
      </c>
      <c r="O256" s="56" t="str">
        <f aca="false">IF($W256="","",N(INDEX(发票统计!O$4:O$1003,$W256)))</f>
        <v/>
      </c>
      <c r="P256" s="56" t="str">
        <f aca="false">IF($W256="","",SUM(M$4:M256)-SUM(N$4:N256)-SUM(O$4:O256))</f>
        <v/>
      </c>
      <c r="Q256" s="56" t="str">
        <f aca="false">IF($W256="","",N(INDEX(发票统计!Q$4:Q$1003,$W256)))</f>
        <v/>
      </c>
      <c r="R256" s="56" t="str">
        <f aca="false">IF($W256="","",N(INDEX(发票统计!R$4:R$1003,$W256)))</f>
        <v/>
      </c>
      <c r="S256" s="56" t="str">
        <f aca="false">IF($W256="","",N(INDEX(发票统计!S$4:S$1003,$W256)))</f>
        <v/>
      </c>
      <c r="T256" s="56" t="str">
        <f aca="false">IF($W256="","",SUM(Q$4:Q256)-SUM(R$4:R256)-SUM(S$4:S256))</f>
        <v/>
      </c>
      <c r="U256" s="56" t="str">
        <f aca="false">IF($W256="","",INDEX(发票统计!U$4:U$1003,$W256)&amp;"")</f>
        <v/>
      </c>
      <c r="W256" s="1" t="str">
        <f aca="false">IF($V$3="","",IFERROR(MATCH($V$3&amp;"#"&amp;ROWS(W$4:W256),发票统计!$W$4:$W$1003,0),""))</f>
        <v/>
      </c>
    </row>
    <row r="257" customFormat="false" ht="16.5" hidden="false" customHeight="false" outlineLevel="0" collapsed="false">
      <c r="A257" s="3" t="str">
        <f aca="false">IF($W257="","",INDEX(发票统计!A$4:A$1003,$W257)&amp;"")</f>
        <v/>
      </c>
      <c r="B257" s="3" t="str">
        <f aca="false">IF($W257="","",INDEX(发票统计!B$4:B$1003,$W257)&amp;"")</f>
        <v/>
      </c>
      <c r="C257" s="3" t="str">
        <f aca="false">IF($W257="","",INDEX(发票统计!C$4:C$1003,$W257)&amp;"")</f>
        <v/>
      </c>
      <c r="D257" s="3" t="str">
        <f aca="false">IF($W257="","",INDEX(发票统计!D$4:D$1003,$W257)&amp;"")</f>
        <v/>
      </c>
      <c r="E257" s="67" t="str">
        <f aca="false">IF($W257="","",INDEX(发票统计!E$4:E$1003,$W257)&amp;"")</f>
        <v/>
      </c>
      <c r="F257" s="68" t="str">
        <f aca="false">IF($W257="","",INDEX(发票统计!F$4:F$1003,$W257)&amp;"")</f>
        <v/>
      </c>
      <c r="G257" s="68" t="str">
        <f aca="false">IF($W257="","",IF(INDEX(发票统计!G$4:G$1003,$W257)="","",INDEX(发票统计!G$4:G$1003,$W257)))</f>
        <v/>
      </c>
      <c r="H257" s="56" t="str">
        <f aca="false">IF($W257="","",N(INDEX(发票统计!H$4:H$1003,$W257)))</f>
        <v/>
      </c>
      <c r="I257" s="56" t="str">
        <f aca="false">IF($W257="","",N(INDEX(发票统计!I$4:I$1003,$W257)))</f>
        <v/>
      </c>
      <c r="J257" s="56" t="str">
        <f aca="false">IF($W257="","",N(INDEX(发票统计!J$4:J$1003,$W257)))</f>
        <v/>
      </c>
      <c r="K257" s="56" t="str">
        <f aca="false">IF($W257="","",N(INDEX(发票统计!K$4:K$1003,$W257)))</f>
        <v/>
      </c>
      <c r="L257" s="56" t="str">
        <f aca="false">IF($W257="","",SUM(J$4:J257)-SUM(K$4:K257))</f>
        <v/>
      </c>
      <c r="M257" s="56" t="str">
        <f aca="false">IF($W257="","",N(INDEX(发票统计!M$4:M$1003,$W257)))</f>
        <v/>
      </c>
      <c r="N257" s="56" t="str">
        <f aca="false">IF($W257="","",N(INDEX(发票统计!N$4:N$1003,$W257)))</f>
        <v/>
      </c>
      <c r="O257" s="56" t="str">
        <f aca="false">IF($W257="","",N(INDEX(发票统计!O$4:O$1003,$W257)))</f>
        <v/>
      </c>
      <c r="P257" s="56" t="str">
        <f aca="false">IF($W257="","",SUM(M$4:M257)-SUM(N$4:N257)-SUM(O$4:O257))</f>
        <v/>
      </c>
      <c r="Q257" s="56" t="str">
        <f aca="false">IF($W257="","",N(INDEX(发票统计!Q$4:Q$1003,$W257)))</f>
        <v/>
      </c>
      <c r="R257" s="56" t="str">
        <f aca="false">IF($W257="","",N(INDEX(发票统计!R$4:R$1003,$W257)))</f>
        <v/>
      </c>
      <c r="S257" s="56" t="str">
        <f aca="false">IF($W257="","",N(INDEX(发票统计!S$4:S$1003,$W257)))</f>
        <v/>
      </c>
      <c r="T257" s="56" t="str">
        <f aca="false">IF($W257="","",SUM(Q$4:Q257)-SUM(R$4:R257)-SUM(S$4:S257))</f>
        <v/>
      </c>
      <c r="U257" s="56" t="str">
        <f aca="false">IF($W257="","",INDEX(发票统计!U$4:U$1003,$W257)&amp;"")</f>
        <v/>
      </c>
      <c r="W257" s="1" t="str">
        <f aca="false">IF($V$3="","",IFERROR(MATCH($V$3&amp;"#"&amp;ROWS(W$4:W257),发票统计!$W$4:$W$1003,0),""))</f>
        <v/>
      </c>
    </row>
    <row r="258" customFormat="false" ht="16.5" hidden="false" customHeight="false" outlineLevel="0" collapsed="false">
      <c r="A258" s="3" t="str">
        <f aca="false">IF($W258="","",INDEX(发票统计!A$4:A$1003,$W258)&amp;"")</f>
        <v/>
      </c>
      <c r="B258" s="3" t="str">
        <f aca="false">IF($W258="","",INDEX(发票统计!B$4:B$1003,$W258)&amp;"")</f>
        <v/>
      </c>
      <c r="C258" s="3" t="str">
        <f aca="false">IF($W258="","",INDEX(发票统计!C$4:C$1003,$W258)&amp;"")</f>
        <v/>
      </c>
      <c r="D258" s="3" t="str">
        <f aca="false">IF($W258="","",INDEX(发票统计!D$4:D$1003,$W258)&amp;"")</f>
        <v/>
      </c>
      <c r="E258" s="67" t="str">
        <f aca="false">IF($W258="","",INDEX(发票统计!E$4:E$1003,$W258)&amp;"")</f>
        <v/>
      </c>
      <c r="F258" s="68" t="str">
        <f aca="false">IF($W258="","",INDEX(发票统计!F$4:F$1003,$W258)&amp;"")</f>
        <v/>
      </c>
      <c r="G258" s="68" t="str">
        <f aca="false">IF($W258="","",IF(INDEX(发票统计!G$4:G$1003,$W258)="","",INDEX(发票统计!G$4:G$1003,$W258)))</f>
        <v/>
      </c>
      <c r="H258" s="56" t="str">
        <f aca="false">IF($W258="","",N(INDEX(发票统计!H$4:H$1003,$W258)))</f>
        <v/>
      </c>
      <c r="I258" s="56" t="str">
        <f aca="false">IF($W258="","",N(INDEX(发票统计!I$4:I$1003,$W258)))</f>
        <v/>
      </c>
      <c r="J258" s="56" t="str">
        <f aca="false">IF($W258="","",N(INDEX(发票统计!J$4:J$1003,$W258)))</f>
        <v/>
      </c>
      <c r="K258" s="56" t="str">
        <f aca="false">IF($W258="","",N(INDEX(发票统计!K$4:K$1003,$W258)))</f>
        <v/>
      </c>
      <c r="L258" s="56" t="str">
        <f aca="false">IF($W258="","",SUM(J$4:J258)-SUM(K$4:K258))</f>
        <v/>
      </c>
      <c r="M258" s="56" t="str">
        <f aca="false">IF($W258="","",N(INDEX(发票统计!M$4:M$1003,$W258)))</f>
        <v/>
      </c>
      <c r="N258" s="56" t="str">
        <f aca="false">IF($W258="","",N(INDEX(发票统计!N$4:N$1003,$W258)))</f>
        <v/>
      </c>
      <c r="O258" s="56" t="str">
        <f aca="false">IF($W258="","",N(INDEX(发票统计!O$4:O$1003,$W258)))</f>
        <v/>
      </c>
      <c r="P258" s="56" t="str">
        <f aca="false">IF($W258="","",SUM(M$4:M258)-SUM(N$4:N258)-SUM(O$4:O258))</f>
        <v/>
      </c>
      <c r="Q258" s="56" t="str">
        <f aca="false">IF($W258="","",N(INDEX(发票统计!Q$4:Q$1003,$W258)))</f>
        <v/>
      </c>
      <c r="R258" s="56" t="str">
        <f aca="false">IF($W258="","",N(INDEX(发票统计!R$4:R$1003,$W258)))</f>
        <v/>
      </c>
      <c r="S258" s="56" t="str">
        <f aca="false">IF($W258="","",N(INDEX(发票统计!S$4:S$1003,$W258)))</f>
        <v/>
      </c>
      <c r="T258" s="56" t="str">
        <f aca="false">IF($W258="","",SUM(Q$4:Q258)-SUM(R$4:R258)-SUM(S$4:S258))</f>
        <v/>
      </c>
      <c r="U258" s="56" t="str">
        <f aca="false">IF($W258="","",INDEX(发票统计!U$4:U$1003,$W258)&amp;"")</f>
        <v/>
      </c>
      <c r="W258" s="1" t="str">
        <f aca="false">IF($V$3="","",IFERROR(MATCH($V$3&amp;"#"&amp;ROWS(W$4:W258),发票统计!$W$4:$W$1003,0),""))</f>
        <v/>
      </c>
    </row>
    <row r="259" customFormat="false" ht="16.5" hidden="false" customHeight="false" outlineLevel="0" collapsed="false">
      <c r="A259" s="3" t="str">
        <f aca="false">IF($W259="","",INDEX(发票统计!A$4:A$1003,$W259)&amp;"")</f>
        <v/>
      </c>
      <c r="B259" s="3" t="str">
        <f aca="false">IF($W259="","",INDEX(发票统计!B$4:B$1003,$W259)&amp;"")</f>
        <v/>
      </c>
      <c r="C259" s="3" t="str">
        <f aca="false">IF($W259="","",INDEX(发票统计!C$4:C$1003,$W259)&amp;"")</f>
        <v/>
      </c>
      <c r="D259" s="3" t="str">
        <f aca="false">IF($W259="","",INDEX(发票统计!D$4:D$1003,$W259)&amp;"")</f>
        <v/>
      </c>
      <c r="E259" s="67" t="str">
        <f aca="false">IF($W259="","",INDEX(发票统计!E$4:E$1003,$W259)&amp;"")</f>
        <v/>
      </c>
      <c r="F259" s="68" t="str">
        <f aca="false">IF($W259="","",INDEX(发票统计!F$4:F$1003,$W259)&amp;"")</f>
        <v/>
      </c>
      <c r="G259" s="68" t="str">
        <f aca="false">IF($W259="","",IF(INDEX(发票统计!G$4:G$1003,$W259)="","",INDEX(发票统计!G$4:G$1003,$W259)))</f>
        <v/>
      </c>
      <c r="H259" s="56" t="str">
        <f aca="false">IF($W259="","",N(INDEX(发票统计!H$4:H$1003,$W259)))</f>
        <v/>
      </c>
      <c r="I259" s="56" t="str">
        <f aca="false">IF($W259="","",N(INDEX(发票统计!I$4:I$1003,$W259)))</f>
        <v/>
      </c>
      <c r="J259" s="56" t="str">
        <f aca="false">IF($W259="","",N(INDEX(发票统计!J$4:J$1003,$W259)))</f>
        <v/>
      </c>
      <c r="K259" s="56" t="str">
        <f aca="false">IF($W259="","",N(INDEX(发票统计!K$4:K$1003,$W259)))</f>
        <v/>
      </c>
      <c r="L259" s="56" t="str">
        <f aca="false">IF($W259="","",SUM(J$4:J259)-SUM(K$4:K259))</f>
        <v/>
      </c>
      <c r="M259" s="56" t="str">
        <f aca="false">IF($W259="","",N(INDEX(发票统计!M$4:M$1003,$W259)))</f>
        <v/>
      </c>
      <c r="N259" s="56" t="str">
        <f aca="false">IF($W259="","",N(INDEX(发票统计!N$4:N$1003,$W259)))</f>
        <v/>
      </c>
      <c r="O259" s="56" t="str">
        <f aca="false">IF($W259="","",N(INDEX(发票统计!O$4:O$1003,$W259)))</f>
        <v/>
      </c>
      <c r="P259" s="56" t="str">
        <f aca="false">IF($W259="","",SUM(M$4:M259)-SUM(N$4:N259)-SUM(O$4:O259))</f>
        <v/>
      </c>
      <c r="Q259" s="56" t="str">
        <f aca="false">IF($W259="","",N(INDEX(发票统计!Q$4:Q$1003,$W259)))</f>
        <v/>
      </c>
      <c r="R259" s="56" t="str">
        <f aca="false">IF($W259="","",N(INDEX(发票统计!R$4:R$1003,$W259)))</f>
        <v/>
      </c>
      <c r="S259" s="56" t="str">
        <f aca="false">IF($W259="","",N(INDEX(发票统计!S$4:S$1003,$W259)))</f>
        <v/>
      </c>
      <c r="T259" s="56" t="str">
        <f aca="false">IF($W259="","",SUM(Q$4:Q259)-SUM(R$4:R259)-SUM(S$4:S259))</f>
        <v/>
      </c>
      <c r="U259" s="56" t="str">
        <f aca="false">IF($W259="","",INDEX(发票统计!U$4:U$1003,$W259)&amp;"")</f>
        <v/>
      </c>
      <c r="W259" s="1" t="str">
        <f aca="false">IF($V$3="","",IFERROR(MATCH($V$3&amp;"#"&amp;ROWS(W$4:W259),发票统计!$W$4:$W$1003,0),""))</f>
        <v/>
      </c>
    </row>
    <row r="260" customFormat="false" ht="16.5" hidden="false" customHeight="false" outlineLevel="0" collapsed="false">
      <c r="A260" s="3" t="str">
        <f aca="false">IF($W260="","",INDEX(发票统计!A$4:A$1003,$W260)&amp;"")</f>
        <v/>
      </c>
      <c r="B260" s="3" t="str">
        <f aca="false">IF($W260="","",INDEX(发票统计!B$4:B$1003,$W260)&amp;"")</f>
        <v/>
      </c>
      <c r="C260" s="3" t="str">
        <f aca="false">IF($W260="","",INDEX(发票统计!C$4:C$1003,$W260)&amp;"")</f>
        <v/>
      </c>
      <c r="D260" s="3" t="str">
        <f aca="false">IF($W260="","",INDEX(发票统计!D$4:D$1003,$W260)&amp;"")</f>
        <v/>
      </c>
      <c r="E260" s="67" t="str">
        <f aca="false">IF($W260="","",INDEX(发票统计!E$4:E$1003,$W260)&amp;"")</f>
        <v/>
      </c>
      <c r="F260" s="68" t="str">
        <f aca="false">IF($W260="","",INDEX(发票统计!F$4:F$1003,$W260)&amp;"")</f>
        <v/>
      </c>
      <c r="G260" s="68" t="str">
        <f aca="false">IF($W260="","",IF(INDEX(发票统计!G$4:G$1003,$W260)="","",INDEX(发票统计!G$4:G$1003,$W260)))</f>
        <v/>
      </c>
      <c r="H260" s="56" t="str">
        <f aca="false">IF($W260="","",N(INDEX(发票统计!H$4:H$1003,$W260)))</f>
        <v/>
      </c>
      <c r="I260" s="56" t="str">
        <f aca="false">IF($W260="","",N(INDEX(发票统计!I$4:I$1003,$W260)))</f>
        <v/>
      </c>
      <c r="J260" s="56" t="str">
        <f aca="false">IF($W260="","",N(INDEX(发票统计!J$4:J$1003,$W260)))</f>
        <v/>
      </c>
      <c r="K260" s="56" t="str">
        <f aca="false">IF($W260="","",N(INDEX(发票统计!K$4:K$1003,$W260)))</f>
        <v/>
      </c>
      <c r="L260" s="56" t="str">
        <f aca="false">IF($W260="","",SUM(J$4:J260)-SUM(K$4:K260))</f>
        <v/>
      </c>
      <c r="M260" s="56" t="str">
        <f aca="false">IF($W260="","",N(INDEX(发票统计!M$4:M$1003,$W260)))</f>
        <v/>
      </c>
      <c r="N260" s="56" t="str">
        <f aca="false">IF($W260="","",N(INDEX(发票统计!N$4:N$1003,$W260)))</f>
        <v/>
      </c>
      <c r="O260" s="56" t="str">
        <f aca="false">IF($W260="","",N(INDEX(发票统计!O$4:O$1003,$W260)))</f>
        <v/>
      </c>
      <c r="P260" s="56" t="str">
        <f aca="false">IF($W260="","",SUM(M$4:M260)-SUM(N$4:N260)-SUM(O$4:O260))</f>
        <v/>
      </c>
      <c r="Q260" s="56" t="str">
        <f aca="false">IF($W260="","",N(INDEX(发票统计!Q$4:Q$1003,$W260)))</f>
        <v/>
      </c>
      <c r="R260" s="56" t="str">
        <f aca="false">IF($W260="","",N(INDEX(发票统计!R$4:R$1003,$W260)))</f>
        <v/>
      </c>
      <c r="S260" s="56" t="str">
        <f aca="false">IF($W260="","",N(INDEX(发票统计!S$4:S$1003,$W260)))</f>
        <v/>
      </c>
      <c r="T260" s="56" t="str">
        <f aca="false">IF($W260="","",SUM(Q$4:Q260)-SUM(R$4:R260)-SUM(S$4:S260))</f>
        <v/>
      </c>
      <c r="U260" s="56" t="str">
        <f aca="false">IF($W260="","",INDEX(发票统计!U$4:U$1003,$W260)&amp;"")</f>
        <v/>
      </c>
      <c r="W260" s="1" t="str">
        <f aca="false">IF($V$3="","",IFERROR(MATCH($V$3&amp;"#"&amp;ROWS(W$4:W260),发票统计!$W$4:$W$1003,0),""))</f>
        <v/>
      </c>
    </row>
    <row r="261" customFormat="false" ht="16.5" hidden="false" customHeight="false" outlineLevel="0" collapsed="false">
      <c r="A261" s="3" t="str">
        <f aca="false">IF($W261="","",INDEX(发票统计!A$4:A$1003,$W261)&amp;"")</f>
        <v/>
      </c>
      <c r="B261" s="3" t="str">
        <f aca="false">IF($W261="","",INDEX(发票统计!B$4:B$1003,$W261)&amp;"")</f>
        <v/>
      </c>
      <c r="C261" s="3" t="str">
        <f aca="false">IF($W261="","",INDEX(发票统计!C$4:C$1003,$W261)&amp;"")</f>
        <v/>
      </c>
      <c r="D261" s="3" t="str">
        <f aca="false">IF($W261="","",INDEX(发票统计!D$4:D$1003,$W261)&amp;"")</f>
        <v/>
      </c>
      <c r="E261" s="67" t="str">
        <f aca="false">IF($W261="","",INDEX(发票统计!E$4:E$1003,$W261)&amp;"")</f>
        <v/>
      </c>
      <c r="F261" s="68" t="str">
        <f aca="false">IF($W261="","",INDEX(发票统计!F$4:F$1003,$W261)&amp;"")</f>
        <v/>
      </c>
      <c r="G261" s="68" t="str">
        <f aca="false">IF($W261="","",IF(INDEX(发票统计!G$4:G$1003,$W261)="","",INDEX(发票统计!G$4:G$1003,$W261)))</f>
        <v/>
      </c>
      <c r="H261" s="56" t="str">
        <f aca="false">IF($W261="","",N(INDEX(发票统计!H$4:H$1003,$W261)))</f>
        <v/>
      </c>
      <c r="I261" s="56" t="str">
        <f aca="false">IF($W261="","",N(INDEX(发票统计!I$4:I$1003,$W261)))</f>
        <v/>
      </c>
      <c r="J261" s="56" t="str">
        <f aca="false">IF($W261="","",N(INDEX(发票统计!J$4:J$1003,$W261)))</f>
        <v/>
      </c>
      <c r="K261" s="56" t="str">
        <f aca="false">IF($W261="","",N(INDEX(发票统计!K$4:K$1003,$W261)))</f>
        <v/>
      </c>
      <c r="L261" s="56" t="str">
        <f aca="false">IF($W261="","",SUM(J$4:J261)-SUM(K$4:K261))</f>
        <v/>
      </c>
      <c r="M261" s="56" t="str">
        <f aca="false">IF($W261="","",N(INDEX(发票统计!M$4:M$1003,$W261)))</f>
        <v/>
      </c>
      <c r="N261" s="56" t="str">
        <f aca="false">IF($W261="","",N(INDEX(发票统计!N$4:N$1003,$W261)))</f>
        <v/>
      </c>
      <c r="O261" s="56" t="str">
        <f aca="false">IF($W261="","",N(INDEX(发票统计!O$4:O$1003,$W261)))</f>
        <v/>
      </c>
      <c r="P261" s="56" t="str">
        <f aca="false">IF($W261="","",SUM(M$4:M261)-SUM(N$4:N261)-SUM(O$4:O261))</f>
        <v/>
      </c>
      <c r="Q261" s="56" t="str">
        <f aca="false">IF($W261="","",N(INDEX(发票统计!Q$4:Q$1003,$W261)))</f>
        <v/>
      </c>
      <c r="R261" s="56" t="str">
        <f aca="false">IF($W261="","",N(INDEX(发票统计!R$4:R$1003,$W261)))</f>
        <v/>
      </c>
      <c r="S261" s="56" t="str">
        <f aca="false">IF($W261="","",N(INDEX(发票统计!S$4:S$1003,$W261)))</f>
        <v/>
      </c>
      <c r="T261" s="56" t="str">
        <f aca="false">IF($W261="","",SUM(Q$4:Q261)-SUM(R$4:R261)-SUM(S$4:S261))</f>
        <v/>
      </c>
      <c r="U261" s="56" t="str">
        <f aca="false">IF($W261="","",INDEX(发票统计!U$4:U$1003,$W261)&amp;"")</f>
        <v/>
      </c>
      <c r="W261" s="1" t="str">
        <f aca="false">IF($V$3="","",IFERROR(MATCH($V$3&amp;"#"&amp;ROWS(W$4:W261),发票统计!$W$4:$W$1003,0),""))</f>
        <v/>
      </c>
    </row>
    <row r="262" customFormat="false" ht="16.5" hidden="false" customHeight="false" outlineLevel="0" collapsed="false">
      <c r="A262" s="3" t="str">
        <f aca="false">IF($W262="","",INDEX(发票统计!A$4:A$1003,$W262)&amp;"")</f>
        <v/>
      </c>
      <c r="B262" s="3" t="str">
        <f aca="false">IF($W262="","",INDEX(发票统计!B$4:B$1003,$W262)&amp;"")</f>
        <v/>
      </c>
      <c r="C262" s="3" t="str">
        <f aca="false">IF($W262="","",INDEX(发票统计!C$4:C$1003,$W262)&amp;"")</f>
        <v/>
      </c>
      <c r="D262" s="3" t="str">
        <f aca="false">IF($W262="","",INDEX(发票统计!D$4:D$1003,$W262)&amp;"")</f>
        <v/>
      </c>
      <c r="E262" s="67" t="str">
        <f aca="false">IF($W262="","",INDEX(发票统计!E$4:E$1003,$W262)&amp;"")</f>
        <v/>
      </c>
      <c r="F262" s="68" t="str">
        <f aca="false">IF($W262="","",INDEX(发票统计!F$4:F$1003,$W262)&amp;"")</f>
        <v/>
      </c>
      <c r="G262" s="68" t="str">
        <f aca="false">IF($W262="","",IF(INDEX(发票统计!G$4:G$1003,$W262)="","",INDEX(发票统计!G$4:G$1003,$W262)))</f>
        <v/>
      </c>
      <c r="H262" s="56" t="str">
        <f aca="false">IF($W262="","",N(INDEX(发票统计!H$4:H$1003,$W262)))</f>
        <v/>
      </c>
      <c r="I262" s="56" t="str">
        <f aca="false">IF($W262="","",N(INDEX(发票统计!I$4:I$1003,$W262)))</f>
        <v/>
      </c>
      <c r="J262" s="56" t="str">
        <f aca="false">IF($W262="","",N(INDEX(发票统计!J$4:J$1003,$W262)))</f>
        <v/>
      </c>
      <c r="K262" s="56" t="str">
        <f aca="false">IF($W262="","",N(INDEX(发票统计!K$4:K$1003,$W262)))</f>
        <v/>
      </c>
      <c r="L262" s="56" t="str">
        <f aca="false">IF($W262="","",SUM(J$4:J262)-SUM(K$4:K262))</f>
        <v/>
      </c>
      <c r="M262" s="56" t="str">
        <f aca="false">IF($W262="","",N(INDEX(发票统计!M$4:M$1003,$W262)))</f>
        <v/>
      </c>
      <c r="N262" s="56" t="str">
        <f aca="false">IF($W262="","",N(INDEX(发票统计!N$4:N$1003,$W262)))</f>
        <v/>
      </c>
      <c r="O262" s="56" t="str">
        <f aca="false">IF($W262="","",N(INDEX(发票统计!O$4:O$1003,$W262)))</f>
        <v/>
      </c>
      <c r="P262" s="56" t="str">
        <f aca="false">IF($W262="","",SUM(M$4:M262)-SUM(N$4:N262)-SUM(O$4:O262))</f>
        <v/>
      </c>
      <c r="Q262" s="56" t="str">
        <f aca="false">IF($W262="","",N(INDEX(发票统计!Q$4:Q$1003,$W262)))</f>
        <v/>
      </c>
      <c r="R262" s="56" t="str">
        <f aca="false">IF($W262="","",N(INDEX(发票统计!R$4:R$1003,$W262)))</f>
        <v/>
      </c>
      <c r="S262" s="56" t="str">
        <f aca="false">IF($W262="","",N(INDEX(发票统计!S$4:S$1003,$W262)))</f>
        <v/>
      </c>
      <c r="T262" s="56" t="str">
        <f aca="false">IF($W262="","",SUM(Q$4:Q262)-SUM(R$4:R262)-SUM(S$4:S262))</f>
        <v/>
      </c>
      <c r="U262" s="56" t="str">
        <f aca="false">IF($W262="","",INDEX(发票统计!U$4:U$1003,$W262)&amp;"")</f>
        <v/>
      </c>
      <c r="W262" s="1" t="str">
        <f aca="false">IF($V$3="","",IFERROR(MATCH($V$3&amp;"#"&amp;ROWS(W$4:W262),发票统计!$W$4:$W$1003,0),""))</f>
        <v/>
      </c>
    </row>
    <row r="263" customFormat="false" ht="16.5" hidden="false" customHeight="false" outlineLevel="0" collapsed="false">
      <c r="A263" s="3" t="str">
        <f aca="false">IF($W263="","",INDEX(发票统计!A$4:A$1003,$W263)&amp;"")</f>
        <v/>
      </c>
      <c r="B263" s="3" t="str">
        <f aca="false">IF($W263="","",INDEX(发票统计!B$4:B$1003,$W263)&amp;"")</f>
        <v/>
      </c>
      <c r="C263" s="3" t="str">
        <f aca="false">IF($W263="","",INDEX(发票统计!C$4:C$1003,$W263)&amp;"")</f>
        <v/>
      </c>
      <c r="D263" s="3" t="str">
        <f aca="false">IF($W263="","",INDEX(发票统计!D$4:D$1003,$W263)&amp;"")</f>
        <v/>
      </c>
      <c r="E263" s="67" t="str">
        <f aca="false">IF($W263="","",INDEX(发票统计!E$4:E$1003,$W263)&amp;"")</f>
        <v/>
      </c>
      <c r="F263" s="68" t="str">
        <f aca="false">IF($W263="","",INDEX(发票统计!F$4:F$1003,$W263)&amp;"")</f>
        <v/>
      </c>
      <c r="G263" s="68" t="str">
        <f aca="false">IF($W263="","",IF(INDEX(发票统计!G$4:G$1003,$W263)="","",INDEX(发票统计!G$4:G$1003,$W263)))</f>
        <v/>
      </c>
      <c r="H263" s="56" t="str">
        <f aca="false">IF($W263="","",N(INDEX(发票统计!H$4:H$1003,$W263)))</f>
        <v/>
      </c>
      <c r="I263" s="56" t="str">
        <f aca="false">IF($W263="","",N(INDEX(发票统计!I$4:I$1003,$W263)))</f>
        <v/>
      </c>
      <c r="J263" s="56" t="str">
        <f aca="false">IF($W263="","",N(INDEX(发票统计!J$4:J$1003,$W263)))</f>
        <v/>
      </c>
      <c r="K263" s="56" t="str">
        <f aca="false">IF($W263="","",N(INDEX(发票统计!K$4:K$1003,$W263)))</f>
        <v/>
      </c>
      <c r="L263" s="56" t="str">
        <f aca="false">IF($W263="","",SUM(J$4:J263)-SUM(K$4:K263))</f>
        <v/>
      </c>
      <c r="M263" s="56" t="str">
        <f aca="false">IF($W263="","",N(INDEX(发票统计!M$4:M$1003,$W263)))</f>
        <v/>
      </c>
      <c r="N263" s="56" t="str">
        <f aca="false">IF($W263="","",N(INDEX(发票统计!N$4:N$1003,$W263)))</f>
        <v/>
      </c>
      <c r="O263" s="56" t="str">
        <f aca="false">IF($W263="","",N(INDEX(发票统计!O$4:O$1003,$W263)))</f>
        <v/>
      </c>
      <c r="P263" s="56" t="str">
        <f aca="false">IF($W263="","",SUM(M$4:M263)-SUM(N$4:N263)-SUM(O$4:O263))</f>
        <v/>
      </c>
      <c r="Q263" s="56" t="str">
        <f aca="false">IF($W263="","",N(INDEX(发票统计!Q$4:Q$1003,$W263)))</f>
        <v/>
      </c>
      <c r="R263" s="56" t="str">
        <f aca="false">IF($W263="","",N(INDEX(发票统计!R$4:R$1003,$W263)))</f>
        <v/>
      </c>
      <c r="S263" s="56" t="str">
        <f aca="false">IF($W263="","",N(INDEX(发票统计!S$4:S$1003,$W263)))</f>
        <v/>
      </c>
      <c r="T263" s="56" t="str">
        <f aca="false">IF($W263="","",SUM(Q$4:Q263)-SUM(R$4:R263)-SUM(S$4:S263))</f>
        <v/>
      </c>
      <c r="U263" s="56" t="str">
        <f aca="false">IF($W263="","",INDEX(发票统计!U$4:U$1003,$W263)&amp;"")</f>
        <v/>
      </c>
      <c r="W263" s="1" t="str">
        <f aca="false">IF($V$3="","",IFERROR(MATCH($V$3&amp;"#"&amp;ROWS(W$4:W263),发票统计!$W$4:$W$1003,0),""))</f>
        <v/>
      </c>
    </row>
    <row r="264" customFormat="false" ht="16.5" hidden="false" customHeight="false" outlineLevel="0" collapsed="false">
      <c r="A264" s="3" t="str">
        <f aca="false">IF($W264="","",INDEX(发票统计!A$4:A$1003,$W264)&amp;"")</f>
        <v/>
      </c>
      <c r="B264" s="3" t="str">
        <f aca="false">IF($W264="","",INDEX(发票统计!B$4:B$1003,$W264)&amp;"")</f>
        <v/>
      </c>
      <c r="C264" s="3" t="str">
        <f aca="false">IF($W264="","",INDEX(发票统计!C$4:C$1003,$W264)&amp;"")</f>
        <v/>
      </c>
      <c r="D264" s="3" t="str">
        <f aca="false">IF($W264="","",INDEX(发票统计!D$4:D$1003,$W264)&amp;"")</f>
        <v/>
      </c>
      <c r="E264" s="67" t="str">
        <f aca="false">IF($W264="","",INDEX(发票统计!E$4:E$1003,$W264)&amp;"")</f>
        <v/>
      </c>
      <c r="F264" s="68" t="str">
        <f aca="false">IF($W264="","",INDEX(发票统计!F$4:F$1003,$W264)&amp;"")</f>
        <v/>
      </c>
      <c r="G264" s="68" t="str">
        <f aca="false">IF($W264="","",IF(INDEX(发票统计!G$4:G$1003,$W264)="","",INDEX(发票统计!G$4:G$1003,$W264)))</f>
        <v/>
      </c>
      <c r="H264" s="56" t="str">
        <f aca="false">IF($W264="","",N(INDEX(发票统计!H$4:H$1003,$W264)))</f>
        <v/>
      </c>
      <c r="I264" s="56" t="str">
        <f aca="false">IF($W264="","",N(INDEX(发票统计!I$4:I$1003,$W264)))</f>
        <v/>
      </c>
      <c r="J264" s="56" t="str">
        <f aca="false">IF($W264="","",N(INDEX(发票统计!J$4:J$1003,$W264)))</f>
        <v/>
      </c>
      <c r="K264" s="56" t="str">
        <f aca="false">IF($W264="","",N(INDEX(发票统计!K$4:K$1003,$W264)))</f>
        <v/>
      </c>
      <c r="L264" s="56" t="str">
        <f aca="false">IF($W264="","",SUM(J$4:J264)-SUM(K$4:K264))</f>
        <v/>
      </c>
      <c r="M264" s="56" t="str">
        <f aca="false">IF($W264="","",N(INDEX(发票统计!M$4:M$1003,$W264)))</f>
        <v/>
      </c>
      <c r="N264" s="56" t="str">
        <f aca="false">IF($W264="","",N(INDEX(发票统计!N$4:N$1003,$W264)))</f>
        <v/>
      </c>
      <c r="O264" s="56" t="str">
        <f aca="false">IF($W264="","",N(INDEX(发票统计!O$4:O$1003,$W264)))</f>
        <v/>
      </c>
      <c r="P264" s="56" t="str">
        <f aca="false">IF($W264="","",SUM(M$4:M264)-SUM(N$4:N264)-SUM(O$4:O264))</f>
        <v/>
      </c>
      <c r="Q264" s="56" t="str">
        <f aca="false">IF($W264="","",N(INDEX(发票统计!Q$4:Q$1003,$W264)))</f>
        <v/>
      </c>
      <c r="R264" s="56" t="str">
        <f aca="false">IF($W264="","",N(INDEX(发票统计!R$4:R$1003,$W264)))</f>
        <v/>
      </c>
      <c r="S264" s="56" t="str">
        <f aca="false">IF($W264="","",N(INDEX(发票统计!S$4:S$1003,$W264)))</f>
        <v/>
      </c>
      <c r="T264" s="56" t="str">
        <f aca="false">IF($W264="","",SUM(Q$4:Q264)-SUM(R$4:R264)-SUM(S$4:S264))</f>
        <v/>
      </c>
      <c r="U264" s="56" t="str">
        <f aca="false">IF($W264="","",INDEX(发票统计!U$4:U$1003,$W264)&amp;"")</f>
        <v/>
      </c>
      <c r="W264" s="1" t="str">
        <f aca="false">IF($V$3="","",IFERROR(MATCH($V$3&amp;"#"&amp;ROWS(W$4:W264),发票统计!$W$4:$W$1003,0),""))</f>
        <v/>
      </c>
    </row>
    <row r="265" customFormat="false" ht="16.5" hidden="false" customHeight="false" outlineLevel="0" collapsed="false">
      <c r="A265" s="3" t="str">
        <f aca="false">IF($W265="","",INDEX(发票统计!A$4:A$1003,$W265)&amp;"")</f>
        <v/>
      </c>
      <c r="B265" s="3" t="str">
        <f aca="false">IF($W265="","",INDEX(发票统计!B$4:B$1003,$W265)&amp;"")</f>
        <v/>
      </c>
      <c r="C265" s="3" t="str">
        <f aca="false">IF($W265="","",INDEX(发票统计!C$4:C$1003,$W265)&amp;"")</f>
        <v/>
      </c>
      <c r="D265" s="3" t="str">
        <f aca="false">IF($W265="","",INDEX(发票统计!D$4:D$1003,$W265)&amp;"")</f>
        <v/>
      </c>
      <c r="E265" s="67" t="str">
        <f aca="false">IF($W265="","",INDEX(发票统计!E$4:E$1003,$W265)&amp;"")</f>
        <v/>
      </c>
      <c r="F265" s="68" t="str">
        <f aca="false">IF($W265="","",INDEX(发票统计!F$4:F$1003,$W265)&amp;"")</f>
        <v/>
      </c>
      <c r="G265" s="68" t="str">
        <f aca="false">IF($W265="","",IF(INDEX(发票统计!G$4:G$1003,$W265)="","",INDEX(发票统计!G$4:G$1003,$W265)))</f>
        <v/>
      </c>
      <c r="H265" s="56" t="str">
        <f aca="false">IF($W265="","",N(INDEX(发票统计!H$4:H$1003,$W265)))</f>
        <v/>
      </c>
      <c r="I265" s="56" t="str">
        <f aca="false">IF($W265="","",N(INDEX(发票统计!I$4:I$1003,$W265)))</f>
        <v/>
      </c>
      <c r="J265" s="56" t="str">
        <f aca="false">IF($W265="","",N(INDEX(发票统计!J$4:J$1003,$W265)))</f>
        <v/>
      </c>
      <c r="K265" s="56" t="str">
        <f aca="false">IF($W265="","",N(INDEX(发票统计!K$4:K$1003,$W265)))</f>
        <v/>
      </c>
      <c r="L265" s="56" t="str">
        <f aca="false">IF($W265="","",SUM(J$4:J265)-SUM(K$4:K265))</f>
        <v/>
      </c>
      <c r="M265" s="56" t="str">
        <f aca="false">IF($W265="","",N(INDEX(发票统计!M$4:M$1003,$W265)))</f>
        <v/>
      </c>
      <c r="N265" s="56" t="str">
        <f aca="false">IF($W265="","",N(INDEX(发票统计!N$4:N$1003,$W265)))</f>
        <v/>
      </c>
      <c r="O265" s="56" t="str">
        <f aca="false">IF($W265="","",N(INDEX(发票统计!O$4:O$1003,$W265)))</f>
        <v/>
      </c>
      <c r="P265" s="56" t="str">
        <f aca="false">IF($W265="","",SUM(M$4:M265)-SUM(N$4:N265)-SUM(O$4:O265))</f>
        <v/>
      </c>
      <c r="Q265" s="56" t="str">
        <f aca="false">IF($W265="","",N(INDEX(发票统计!Q$4:Q$1003,$W265)))</f>
        <v/>
      </c>
      <c r="R265" s="56" t="str">
        <f aca="false">IF($W265="","",N(INDEX(发票统计!R$4:R$1003,$W265)))</f>
        <v/>
      </c>
      <c r="S265" s="56" t="str">
        <f aca="false">IF($W265="","",N(INDEX(发票统计!S$4:S$1003,$W265)))</f>
        <v/>
      </c>
      <c r="T265" s="56" t="str">
        <f aca="false">IF($W265="","",SUM(Q$4:Q265)-SUM(R$4:R265)-SUM(S$4:S265))</f>
        <v/>
      </c>
      <c r="U265" s="56" t="str">
        <f aca="false">IF($W265="","",INDEX(发票统计!U$4:U$1003,$W265)&amp;"")</f>
        <v/>
      </c>
      <c r="W265" s="1" t="str">
        <f aca="false">IF($V$3="","",IFERROR(MATCH($V$3&amp;"#"&amp;ROWS(W$4:W265),发票统计!$W$4:$W$1003,0),""))</f>
        <v/>
      </c>
    </row>
    <row r="266" customFormat="false" ht="16.5" hidden="false" customHeight="false" outlineLevel="0" collapsed="false">
      <c r="A266" s="3" t="str">
        <f aca="false">IF($W266="","",INDEX(发票统计!A$4:A$1003,$W266)&amp;"")</f>
        <v/>
      </c>
      <c r="B266" s="3" t="str">
        <f aca="false">IF($W266="","",INDEX(发票统计!B$4:B$1003,$W266)&amp;"")</f>
        <v/>
      </c>
      <c r="C266" s="3" t="str">
        <f aca="false">IF($W266="","",INDEX(发票统计!C$4:C$1003,$W266)&amp;"")</f>
        <v/>
      </c>
      <c r="D266" s="3" t="str">
        <f aca="false">IF($W266="","",INDEX(发票统计!D$4:D$1003,$W266)&amp;"")</f>
        <v/>
      </c>
      <c r="E266" s="67" t="str">
        <f aca="false">IF($W266="","",INDEX(发票统计!E$4:E$1003,$W266)&amp;"")</f>
        <v/>
      </c>
      <c r="F266" s="68" t="str">
        <f aca="false">IF($W266="","",INDEX(发票统计!F$4:F$1003,$W266)&amp;"")</f>
        <v/>
      </c>
      <c r="G266" s="68" t="str">
        <f aca="false">IF($W266="","",IF(INDEX(发票统计!G$4:G$1003,$W266)="","",INDEX(发票统计!G$4:G$1003,$W266)))</f>
        <v/>
      </c>
      <c r="H266" s="56" t="str">
        <f aca="false">IF($W266="","",N(INDEX(发票统计!H$4:H$1003,$W266)))</f>
        <v/>
      </c>
      <c r="I266" s="56" t="str">
        <f aca="false">IF($W266="","",N(INDEX(发票统计!I$4:I$1003,$W266)))</f>
        <v/>
      </c>
      <c r="J266" s="56" t="str">
        <f aca="false">IF($W266="","",N(INDEX(发票统计!J$4:J$1003,$W266)))</f>
        <v/>
      </c>
      <c r="K266" s="56" t="str">
        <f aca="false">IF($W266="","",N(INDEX(发票统计!K$4:K$1003,$W266)))</f>
        <v/>
      </c>
      <c r="L266" s="56" t="str">
        <f aca="false">IF($W266="","",SUM(J$4:J266)-SUM(K$4:K266))</f>
        <v/>
      </c>
      <c r="M266" s="56" t="str">
        <f aca="false">IF($W266="","",N(INDEX(发票统计!M$4:M$1003,$W266)))</f>
        <v/>
      </c>
      <c r="N266" s="56" t="str">
        <f aca="false">IF($W266="","",N(INDEX(发票统计!N$4:N$1003,$W266)))</f>
        <v/>
      </c>
      <c r="O266" s="56" t="str">
        <f aca="false">IF($W266="","",N(INDEX(发票统计!O$4:O$1003,$W266)))</f>
        <v/>
      </c>
      <c r="P266" s="56" t="str">
        <f aca="false">IF($W266="","",SUM(M$4:M266)-SUM(N$4:N266)-SUM(O$4:O266))</f>
        <v/>
      </c>
      <c r="Q266" s="56" t="str">
        <f aca="false">IF($W266="","",N(INDEX(发票统计!Q$4:Q$1003,$W266)))</f>
        <v/>
      </c>
      <c r="R266" s="56" t="str">
        <f aca="false">IF($W266="","",N(INDEX(发票统计!R$4:R$1003,$W266)))</f>
        <v/>
      </c>
      <c r="S266" s="56" t="str">
        <f aca="false">IF($W266="","",N(INDEX(发票统计!S$4:S$1003,$W266)))</f>
        <v/>
      </c>
      <c r="T266" s="56" t="str">
        <f aca="false">IF($W266="","",SUM(Q$4:Q266)-SUM(R$4:R266)-SUM(S$4:S266))</f>
        <v/>
      </c>
      <c r="U266" s="56" t="str">
        <f aca="false">IF($W266="","",INDEX(发票统计!U$4:U$1003,$W266)&amp;"")</f>
        <v/>
      </c>
      <c r="W266" s="1" t="str">
        <f aca="false">IF($V$3="","",IFERROR(MATCH($V$3&amp;"#"&amp;ROWS(W$4:W266),发票统计!$W$4:$W$1003,0),""))</f>
        <v/>
      </c>
    </row>
    <row r="267" customFormat="false" ht="16.5" hidden="false" customHeight="false" outlineLevel="0" collapsed="false">
      <c r="A267" s="3" t="str">
        <f aca="false">IF($W267="","",INDEX(发票统计!A$4:A$1003,$W267)&amp;"")</f>
        <v/>
      </c>
      <c r="B267" s="3" t="str">
        <f aca="false">IF($W267="","",INDEX(发票统计!B$4:B$1003,$W267)&amp;"")</f>
        <v/>
      </c>
      <c r="C267" s="3" t="str">
        <f aca="false">IF($W267="","",INDEX(发票统计!C$4:C$1003,$W267)&amp;"")</f>
        <v/>
      </c>
      <c r="D267" s="3" t="str">
        <f aca="false">IF($W267="","",INDEX(发票统计!D$4:D$1003,$W267)&amp;"")</f>
        <v/>
      </c>
      <c r="E267" s="67" t="str">
        <f aca="false">IF($W267="","",INDEX(发票统计!E$4:E$1003,$W267)&amp;"")</f>
        <v/>
      </c>
      <c r="F267" s="68" t="str">
        <f aca="false">IF($W267="","",INDEX(发票统计!F$4:F$1003,$W267)&amp;"")</f>
        <v/>
      </c>
      <c r="G267" s="68" t="str">
        <f aca="false">IF($W267="","",IF(INDEX(发票统计!G$4:G$1003,$W267)="","",INDEX(发票统计!G$4:G$1003,$W267)))</f>
        <v/>
      </c>
      <c r="H267" s="56" t="str">
        <f aca="false">IF($W267="","",N(INDEX(发票统计!H$4:H$1003,$W267)))</f>
        <v/>
      </c>
      <c r="I267" s="56" t="str">
        <f aca="false">IF($W267="","",N(INDEX(发票统计!I$4:I$1003,$W267)))</f>
        <v/>
      </c>
      <c r="J267" s="56" t="str">
        <f aca="false">IF($W267="","",N(INDEX(发票统计!J$4:J$1003,$W267)))</f>
        <v/>
      </c>
      <c r="K267" s="56" t="str">
        <f aca="false">IF($W267="","",N(INDEX(发票统计!K$4:K$1003,$W267)))</f>
        <v/>
      </c>
      <c r="L267" s="56" t="str">
        <f aca="false">IF($W267="","",SUM(J$4:J267)-SUM(K$4:K267))</f>
        <v/>
      </c>
      <c r="M267" s="56" t="str">
        <f aca="false">IF($W267="","",N(INDEX(发票统计!M$4:M$1003,$W267)))</f>
        <v/>
      </c>
      <c r="N267" s="56" t="str">
        <f aca="false">IF($W267="","",N(INDEX(发票统计!N$4:N$1003,$W267)))</f>
        <v/>
      </c>
      <c r="O267" s="56" t="str">
        <f aca="false">IF($W267="","",N(INDEX(发票统计!O$4:O$1003,$W267)))</f>
        <v/>
      </c>
      <c r="P267" s="56" t="str">
        <f aca="false">IF($W267="","",SUM(M$4:M267)-SUM(N$4:N267)-SUM(O$4:O267))</f>
        <v/>
      </c>
      <c r="Q267" s="56" t="str">
        <f aca="false">IF($W267="","",N(INDEX(发票统计!Q$4:Q$1003,$W267)))</f>
        <v/>
      </c>
      <c r="R267" s="56" t="str">
        <f aca="false">IF($W267="","",N(INDEX(发票统计!R$4:R$1003,$W267)))</f>
        <v/>
      </c>
      <c r="S267" s="56" t="str">
        <f aca="false">IF($W267="","",N(INDEX(发票统计!S$4:S$1003,$W267)))</f>
        <v/>
      </c>
      <c r="T267" s="56" t="str">
        <f aca="false">IF($W267="","",SUM(Q$4:Q267)-SUM(R$4:R267)-SUM(S$4:S267))</f>
        <v/>
      </c>
      <c r="U267" s="56" t="str">
        <f aca="false">IF($W267="","",INDEX(发票统计!U$4:U$1003,$W267)&amp;"")</f>
        <v/>
      </c>
      <c r="W267" s="1" t="str">
        <f aca="false">IF($V$3="","",IFERROR(MATCH($V$3&amp;"#"&amp;ROWS(W$4:W267),发票统计!$W$4:$W$1003,0),""))</f>
        <v/>
      </c>
    </row>
    <row r="268" customFormat="false" ht="16.5" hidden="false" customHeight="false" outlineLevel="0" collapsed="false">
      <c r="A268" s="3" t="str">
        <f aca="false">IF($W268="","",INDEX(发票统计!A$4:A$1003,$W268)&amp;"")</f>
        <v/>
      </c>
      <c r="B268" s="3" t="str">
        <f aca="false">IF($W268="","",INDEX(发票统计!B$4:B$1003,$W268)&amp;"")</f>
        <v/>
      </c>
      <c r="C268" s="3" t="str">
        <f aca="false">IF($W268="","",INDEX(发票统计!C$4:C$1003,$W268)&amp;"")</f>
        <v/>
      </c>
      <c r="D268" s="3" t="str">
        <f aca="false">IF($W268="","",INDEX(发票统计!D$4:D$1003,$W268)&amp;"")</f>
        <v/>
      </c>
      <c r="E268" s="67" t="str">
        <f aca="false">IF($W268="","",INDEX(发票统计!E$4:E$1003,$W268)&amp;"")</f>
        <v/>
      </c>
      <c r="F268" s="68" t="str">
        <f aca="false">IF($W268="","",INDEX(发票统计!F$4:F$1003,$W268)&amp;"")</f>
        <v/>
      </c>
      <c r="G268" s="68" t="str">
        <f aca="false">IF($W268="","",IF(INDEX(发票统计!G$4:G$1003,$W268)="","",INDEX(发票统计!G$4:G$1003,$W268)))</f>
        <v/>
      </c>
      <c r="H268" s="56" t="str">
        <f aca="false">IF($W268="","",N(INDEX(发票统计!H$4:H$1003,$W268)))</f>
        <v/>
      </c>
      <c r="I268" s="56" t="str">
        <f aca="false">IF($W268="","",N(INDEX(发票统计!I$4:I$1003,$W268)))</f>
        <v/>
      </c>
      <c r="J268" s="56" t="str">
        <f aca="false">IF($W268="","",N(INDEX(发票统计!J$4:J$1003,$W268)))</f>
        <v/>
      </c>
      <c r="K268" s="56" t="str">
        <f aca="false">IF($W268="","",N(INDEX(发票统计!K$4:K$1003,$W268)))</f>
        <v/>
      </c>
      <c r="L268" s="56" t="str">
        <f aca="false">IF($W268="","",SUM(J$4:J268)-SUM(K$4:K268))</f>
        <v/>
      </c>
      <c r="M268" s="56" t="str">
        <f aca="false">IF($W268="","",N(INDEX(发票统计!M$4:M$1003,$W268)))</f>
        <v/>
      </c>
      <c r="N268" s="56" t="str">
        <f aca="false">IF($W268="","",N(INDEX(发票统计!N$4:N$1003,$W268)))</f>
        <v/>
      </c>
      <c r="O268" s="56" t="str">
        <f aca="false">IF($W268="","",N(INDEX(发票统计!O$4:O$1003,$W268)))</f>
        <v/>
      </c>
      <c r="P268" s="56" t="str">
        <f aca="false">IF($W268="","",SUM(M$4:M268)-SUM(N$4:N268)-SUM(O$4:O268))</f>
        <v/>
      </c>
      <c r="Q268" s="56" t="str">
        <f aca="false">IF($W268="","",N(INDEX(发票统计!Q$4:Q$1003,$W268)))</f>
        <v/>
      </c>
      <c r="R268" s="56" t="str">
        <f aca="false">IF($W268="","",N(INDEX(发票统计!R$4:R$1003,$W268)))</f>
        <v/>
      </c>
      <c r="S268" s="56" t="str">
        <f aca="false">IF($W268="","",N(INDEX(发票统计!S$4:S$1003,$W268)))</f>
        <v/>
      </c>
      <c r="T268" s="56" t="str">
        <f aca="false">IF($W268="","",SUM(Q$4:Q268)-SUM(R$4:R268)-SUM(S$4:S268))</f>
        <v/>
      </c>
      <c r="U268" s="56" t="str">
        <f aca="false">IF($W268="","",INDEX(发票统计!U$4:U$1003,$W268)&amp;"")</f>
        <v/>
      </c>
      <c r="W268" s="1" t="str">
        <f aca="false">IF($V$3="","",IFERROR(MATCH($V$3&amp;"#"&amp;ROWS(W$4:W268),发票统计!$W$4:$W$1003,0),""))</f>
        <v/>
      </c>
    </row>
    <row r="269" customFormat="false" ht="16.5" hidden="false" customHeight="false" outlineLevel="0" collapsed="false">
      <c r="A269" s="3" t="str">
        <f aca="false">IF($W269="","",INDEX(发票统计!A$4:A$1003,$W269)&amp;"")</f>
        <v/>
      </c>
      <c r="B269" s="3" t="str">
        <f aca="false">IF($W269="","",INDEX(发票统计!B$4:B$1003,$W269)&amp;"")</f>
        <v/>
      </c>
      <c r="C269" s="3" t="str">
        <f aca="false">IF($W269="","",INDEX(发票统计!C$4:C$1003,$W269)&amp;"")</f>
        <v/>
      </c>
      <c r="D269" s="3" t="str">
        <f aca="false">IF($W269="","",INDEX(发票统计!D$4:D$1003,$W269)&amp;"")</f>
        <v/>
      </c>
      <c r="E269" s="67" t="str">
        <f aca="false">IF($W269="","",INDEX(发票统计!E$4:E$1003,$W269)&amp;"")</f>
        <v/>
      </c>
      <c r="F269" s="68" t="str">
        <f aca="false">IF($W269="","",INDEX(发票统计!F$4:F$1003,$W269)&amp;"")</f>
        <v/>
      </c>
      <c r="G269" s="68" t="str">
        <f aca="false">IF($W269="","",IF(INDEX(发票统计!G$4:G$1003,$W269)="","",INDEX(发票统计!G$4:G$1003,$W269)))</f>
        <v/>
      </c>
      <c r="H269" s="56" t="str">
        <f aca="false">IF($W269="","",N(INDEX(发票统计!H$4:H$1003,$W269)))</f>
        <v/>
      </c>
      <c r="I269" s="56" t="str">
        <f aca="false">IF($W269="","",N(INDEX(发票统计!I$4:I$1003,$W269)))</f>
        <v/>
      </c>
      <c r="J269" s="56" t="str">
        <f aca="false">IF($W269="","",N(INDEX(发票统计!J$4:J$1003,$W269)))</f>
        <v/>
      </c>
      <c r="K269" s="56" t="str">
        <f aca="false">IF($W269="","",N(INDEX(发票统计!K$4:K$1003,$W269)))</f>
        <v/>
      </c>
      <c r="L269" s="56" t="str">
        <f aca="false">IF($W269="","",SUM(J$4:J269)-SUM(K$4:K269))</f>
        <v/>
      </c>
      <c r="M269" s="56" t="str">
        <f aca="false">IF($W269="","",N(INDEX(发票统计!M$4:M$1003,$W269)))</f>
        <v/>
      </c>
      <c r="N269" s="56" t="str">
        <f aca="false">IF($W269="","",N(INDEX(发票统计!N$4:N$1003,$W269)))</f>
        <v/>
      </c>
      <c r="O269" s="56" t="str">
        <f aca="false">IF($W269="","",N(INDEX(发票统计!O$4:O$1003,$W269)))</f>
        <v/>
      </c>
      <c r="P269" s="56" t="str">
        <f aca="false">IF($W269="","",SUM(M$4:M269)-SUM(N$4:N269)-SUM(O$4:O269))</f>
        <v/>
      </c>
      <c r="Q269" s="56" t="str">
        <f aca="false">IF($W269="","",N(INDEX(发票统计!Q$4:Q$1003,$W269)))</f>
        <v/>
      </c>
      <c r="R269" s="56" t="str">
        <f aca="false">IF($W269="","",N(INDEX(发票统计!R$4:R$1003,$W269)))</f>
        <v/>
      </c>
      <c r="S269" s="56" t="str">
        <f aca="false">IF($W269="","",N(INDEX(发票统计!S$4:S$1003,$W269)))</f>
        <v/>
      </c>
      <c r="T269" s="56" t="str">
        <f aca="false">IF($W269="","",SUM(Q$4:Q269)-SUM(R$4:R269)-SUM(S$4:S269))</f>
        <v/>
      </c>
      <c r="U269" s="56" t="str">
        <f aca="false">IF($W269="","",INDEX(发票统计!U$4:U$1003,$W269)&amp;"")</f>
        <v/>
      </c>
      <c r="W269" s="1" t="str">
        <f aca="false">IF($V$3="","",IFERROR(MATCH($V$3&amp;"#"&amp;ROWS(W$4:W269),发票统计!$W$4:$W$1003,0),""))</f>
        <v/>
      </c>
    </row>
    <row r="270" customFormat="false" ht="16.5" hidden="false" customHeight="false" outlineLevel="0" collapsed="false">
      <c r="A270" s="3" t="str">
        <f aca="false">IF($W270="","",INDEX(发票统计!A$4:A$1003,$W270)&amp;"")</f>
        <v/>
      </c>
      <c r="B270" s="3" t="str">
        <f aca="false">IF($W270="","",INDEX(发票统计!B$4:B$1003,$W270)&amp;"")</f>
        <v/>
      </c>
      <c r="C270" s="3" t="str">
        <f aca="false">IF($W270="","",INDEX(发票统计!C$4:C$1003,$W270)&amp;"")</f>
        <v/>
      </c>
      <c r="D270" s="3" t="str">
        <f aca="false">IF($W270="","",INDEX(发票统计!D$4:D$1003,$W270)&amp;"")</f>
        <v/>
      </c>
      <c r="E270" s="67" t="str">
        <f aca="false">IF($W270="","",INDEX(发票统计!E$4:E$1003,$W270)&amp;"")</f>
        <v/>
      </c>
      <c r="F270" s="68" t="str">
        <f aca="false">IF($W270="","",INDEX(发票统计!F$4:F$1003,$W270)&amp;"")</f>
        <v/>
      </c>
      <c r="G270" s="68" t="str">
        <f aca="false">IF($W270="","",IF(INDEX(发票统计!G$4:G$1003,$W270)="","",INDEX(发票统计!G$4:G$1003,$W270)))</f>
        <v/>
      </c>
      <c r="H270" s="56" t="str">
        <f aca="false">IF($W270="","",N(INDEX(发票统计!H$4:H$1003,$W270)))</f>
        <v/>
      </c>
      <c r="I270" s="56" t="str">
        <f aca="false">IF($W270="","",N(INDEX(发票统计!I$4:I$1003,$W270)))</f>
        <v/>
      </c>
      <c r="J270" s="56" t="str">
        <f aca="false">IF($W270="","",N(INDEX(发票统计!J$4:J$1003,$W270)))</f>
        <v/>
      </c>
      <c r="K270" s="56" t="str">
        <f aca="false">IF($W270="","",N(INDEX(发票统计!K$4:K$1003,$W270)))</f>
        <v/>
      </c>
      <c r="L270" s="56" t="str">
        <f aca="false">IF($W270="","",SUM(J$4:J270)-SUM(K$4:K270))</f>
        <v/>
      </c>
      <c r="M270" s="56" t="str">
        <f aca="false">IF($W270="","",N(INDEX(发票统计!M$4:M$1003,$W270)))</f>
        <v/>
      </c>
      <c r="N270" s="56" t="str">
        <f aca="false">IF($W270="","",N(INDEX(发票统计!N$4:N$1003,$W270)))</f>
        <v/>
      </c>
      <c r="O270" s="56" t="str">
        <f aca="false">IF($W270="","",N(INDEX(发票统计!O$4:O$1003,$W270)))</f>
        <v/>
      </c>
      <c r="P270" s="56" t="str">
        <f aca="false">IF($W270="","",SUM(M$4:M270)-SUM(N$4:N270)-SUM(O$4:O270))</f>
        <v/>
      </c>
      <c r="Q270" s="56" t="str">
        <f aca="false">IF($W270="","",N(INDEX(发票统计!Q$4:Q$1003,$W270)))</f>
        <v/>
      </c>
      <c r="R270" s="56" t="str">
        <f aca="false">IF($W270="","",N(INDEX(发票统计!R$4:R$1003,$W270)))</f>
        <v/>
      </c>
      <c r="S270" s="56" t="str">
        <f aca="false">IF($W270="","",N(INDEX(发票统计!S$4:S$1003,$W270)))</f>
        <v/>
      </c>
      <c r="T270" s="56" t="str">
        <f aca="false">IF($W270="","",SUM(Q$4:Q270)-SUM(R$4:R270)-SUM(S$4:S270))</f>
        <v/>
      </c>
      <c r="U270" s="56" t="str">
        <f aca="false">IF($W270="","",INDEX(发票统计!U$4:U$1003,$W270)&amp;"")</f>
        <v/>
      </c>
      <c r="W270" s="1" t="str">
        <f aca="false">IF($V$3="","",IFERROR(MATCH($V$3&amp;"#"&amp;ROWS(W$4:W270),发票统计!$W$4:$W$1003,0),""))</f>
        <v/>
      </c>
    </row>
    <row r="271" customFormat="false" ht="16.5" hidden="false" customHeight="false" outlineLevel="0" collapsed="false">
      <c r="A271" s="3" t="str">
        <f aca="false">IF($W271="","",INDEX(发票统计!A$4:A$1003,$W271)&amp;"")</f>
        <v/>
      </c>
      <c r="B271" s="3" t="str">
        <f aca="false">IF($W271="","",INDEX(发票统计!B$4:B$1003,$W271)&amp;"")</f>
        <v/>
      </c>
      <c r="C271" s="3" t="str">
        <f aca="false">IF($W271="","",INDEX(发票统计!C$4:C$1003,$W271)&amp;"")</f>
        <v/>
      </c>
      <c r="D271" s="3" t="str">
        <f aca="false">IF($W271="","",INDEX(发票统计!D$4:D$1003,$W271)&amp;"")</f>
        <v/>
      </c>
      <c r="E271" s="67" t="str">
        <f aca="false">IF($W271="","",INDEX(发票统计!E$4:E$1003,$W271)&amp;"")</f>
        <v/>
      </c>
      <c r="F271" s="68" t="str">
        <f aca="false">IF($W271="","",INDEX(发票统计!F$4:F$1003,$W271)&amp;"")</f>
        <v/>
      </c>
      <c r="G271" s="68" t="str">
        <f aca="false">IF($W271="","",IF(INDEX(发票统计!G$4:G$1003,$W271)="","",INDEX(发票统计!G$4:G$1003,$W271)))</f>
        <v/>
      </c>
      <c r="H271" s="56" t="str">
        <f aca="false">IF($W271="","",N(INDEX(发票统计!H$4:H$1003,$W271)))</f>
        <v/>
      </c>
      <c r="I271" s="56" t="str">
        <f aca="false">IF($W271="","",N(INDEX(发票统计!I$4:I$1003,$W271)))</f>
        <v/>
      </c>
      <c r="J271" s="56" t="str">
        <f aca="false">IF($W271="","",N(INDEX(发票统计!J$4:J$1003,$W271)))</f>
        <v/>
      </c>
      <c r="K271" s="56" t="str">
        <f aca="false">IF($W271="","",N(INDEX(发票统计!K$4:K$1003,$W271)))</f>
        <v/>
      </c>
      <c r="L271" s="56" t="str">
        <f aca="false">IF($W271="","",SUM(J$4:J271)-SUM(K$4:K271))</f>
        <v/>
      </c>
      <c r="M271" s="56" t="str">
        <f aca="false">IF($W271="","",N(INDEX(发票统计!M$4:M$1003,$W271)))</f>
        <v/>
      </c>
      <c r="N271" s="56" t="str">
        <f aca="false">IF($W271="","",N(INDEX(发票统计!N$4:N$1003,$W271)))</f>
        <v/>
      </c>
      <c r="O271" s="56" t="str">
        <f aca="false">IF($W271="","",N(INDEX(发票统计!O$4:O$1003,$W271)))</f>
        <v/>
      </c>
      <c r="P271" s="56" t="str">
        <f aca="false">IF($W271="","",SUM(M$4:M271)-SUM(N$4:N271)-SUM(O$4:O271))</f>
        <v/>
      </c>
      <c r="Q271" s="56" t="str">
        <f aca="false">IF($W271="","",N(INDEX(发票统计!Q$4:Q$1003,$W271)))</f>
        <v/>
      </c>
      <c r="R271" s="56" t="str">
        <f aca="false">IF($W271="","",N(INDEX(发票统计!R$4:R$1003,$W271)))</f>
        <v/>
      </c>
      <c r="S271" s="56" t="str">
        <f aca="false">IF($W271="","",N(INDEX(发票统计!S$4:S$1003,$W271)))</f>
        <v/>
      </c>
      <c r="T271" s="56" t="str">
        <f aca="false">IF($W271="","",SUM(Q$4:Q271)-SUM(R$4:R271)-SUM(S$4:S271))</f>
        <v/>
      </c>
      <c r="U271" s="56" t="str">
        <f aca="false">IF($W271="","",INDEX(发票统计!U$4:U$1003,$W271)&amp;"")</f>
        <v/>
      </c>
      <c r="W271" s="1" t="str">
        <f aca="false">IF($V$3="","",IFERROR(MATCH($V$3&amp;"#"&amp;ROWS(W$4:W271),发票统计!$W$4:$W$1003,0),""))</f>
        <v/>
      </c>
    </row>
    <row r="272" customFormat="false" ht="16.5" hidden="false" customHeight="false" outlineLevel="0" collapsed="false">
      <c r="A272" s="3" t="str">
        <f aca="false">IF($W272="","",INDEX(发票统计!A$4:A$1003,$W272)&amp;"")</f>
        <v/>
      </c>
      <c r="B272" s="3" t="str">
        <f aca="false">IF($W272="","",INDEX(发票统计!B$4:B$1003,$W272)&amp;"")</f>
        <v/>
      </c>
      <c r="C272" s="3" t="str">
        <f aca="false">IF($W272="","",INDEX(发票统计!C$4:C$1003,$W272)&amp;"")</f>
        <v/>
      </c>
      <c r="D272" s="3" t="str">
        <f aca="false">IF($W272="","",INDEX(发票统计!D$4:D$1003,$W272)&amp;"")</f>
        <v/>
      </c>
      <c r="E272" s="67" t="str">
        <f aca="false">IF($W272="","",INDEX(发票统计!E$4:E$1003,$W272)&amp;"")</f>
        <v/>
      </c>
      <c r="F272" s="68" t="str">
        <f aca="false">IF($W272="","",INDEX(发票统计!F$4:F$1003,$W272)&amp;"")</f>
        <v/>
      </c>
      <c r="G272" s="68" t="str">
        <f aca="false">IF($W272="","",IF(INDEX(发票统计!G$4:G$1003,$W272)="","",INDEX(发票统计!G$4:G$1003,$W272)))</f>
        <v/>
      </c>
      <c r="H272" s="56" t="str">
        <f aca="false">IF($W272="","",N(INDEX(发票统计!H$4:H$1003,$W272)))</f>
        <v/>
      </c>
      <c r="I272" s="56" t="str">
        <f aca="false">IF($W272="","",N(INDEX(发票统计!I$4:I$1003,$W272)))</f>
        <v/>
      </c>
      <c r="J272" s="56" t="str">
        <f aca="false">IF($W272="","",N(INDEX(发票统计!J$4:J$1003,$W272)))</f>
        <v/>
      </c>
      <c r="K272" s="56" t="str">
        <f aca="false">IF($W272="","",N(INDEX(发票统计!K$4:K$1003,$W272)))</f>
        <v/>
      </c>
      <c r="L272" s="56" t="str">
        <f aca="false">IF($W272="","",SUM(J$4:J272)-SUM(K$4:K272))</f>
        <v/>
      </c>
      <c r="M272" s="56" t="str">
        <f aca="false">IF($W272="","",N(INDEX(发票统计!M$4:M$1003,$W272)))</f>
        <v/>
      </c>
      <c r="N272" s="56" t="str">
        <f aca="false">IF($W272="","",N(INDEX(发票统计!N$4:N$1003,$W272)))</f>
        <v/>
      </c>
      <c r="O272" s="56" t="str">
        <f aca="false">IF($W272="","",N(INDEX(发票统计!O$4:O$1003,$W272)))</f>
        <v/>
      </c>
      <c r="P272" s="56" t="str">
        <f aca="false">IF($W272="","",SUM(M$4:M272)-SUM(N$4:N272)-SUM(O$4:O272))</f>
        <v/>
      </c>
      <c r="Q272" s="56" t="str">
        <f aca="false">IF($W272="","",N(INDEX(发票统计!Q$4:Q$1003,$W272)))</f>
        <v/>
      </c>
      <c r="R272" s="56" t="str">
        <f aca="false">IF($W272="","",N(INDEX(发票统计!R$4:R$1003,$W272)))</f>
        <v/>
      </c>
      <c r="S272" s="56" t="str">
        <f aca="false">IF($W272="","",N(INDEX(发票统计!S$4:S$1003,$W272)))</f>
        <v/>
      </c>
      <c r="T272" s="56" t="str">
        <f aca="false">IF($W272="","",SUM(Q$4:Q272)-SUM(R$4:R272)-SUM(S$4:S272))</f>
        <v/>
      </c>
      <c r="U272" s="56" t="str">
        <f aca="false">IF($W272="","",INDEX(发票统计!U$4:U$1003,$W272)&amp;"")</f>
        <v/>
      </c>
      <c r="W272" s="1" t="str">
        <f aca="false">IF($V$3="","",IFERROR(MATCH($V$3&amp;"#"&amp;ROWS(W$4:W272),发票统计!$W$4:$W$1003,0),""))</f>
        <v/>
      </c>
    </row>
    <row r="273" customFormat="false" ht="16.5" hidden="false" customHeight="false" outlineLevel="0" collapsed="false">
      <c r="A273" s="3" t="str">
        <f aca="false">IF($W273="","",INDEX(发票统计!A$4:A$1003,$W273)&amp;"")</f>
        <v/>
      </c>
      <c r="B273" s="3" t="str">
        <f aca="false">IF($W273="","",INDEX(发票统计!B$4:B$1003,$W273)&amp;"")</f>
        <v/>
      </c>
      <c r="C273" s="3" t="str">
        <f aca="false">IF($W273="","",INDEX(发票统计!C$4:C$1003,$W273)&amp;"")</f>
        <v/>
      </c>
      <c r="D273" s="3" t="str">
        <f aca="false">IF($W273="","",INDEX(发票统计!D$4:D$1003,$W273)&amp;"")</f>
        <v/>
      </c>
      <c r="E273" s="67" t="str">
        <f aca="false">IF($W273="","",INDEX(发票统计!E$4:E$1003,$W273)&amp;"")</f>
        <v/>
      </c>
      <c r="F273" s="68" t="str">
        <f aca="false">IF($W273="","",INDEX(发票统计!F$4:F$1003,$W273)&amp;"")</f>
        <v/>
      </c>
      <c r="G273" s="68" t="str">
        <f aca="false">IF($W273="","",IF(INDEX(发票统计!G$4:G$1003,$W273)="","",INDEX(发票统计!G$4:G$1003,$W273)))</f>
        <v/>
      </c>
      <c r="H273" s="56" t="str">
        <f aca="false">IF($W273="","",N(INDEX(发票统计!H$4:H$1003,$W273)))</f>
        <v/>
      </c>
      <c r="I273" s="56" t="str">
        <f aca="false">IF($W273="","",N(INDEX(发票统计!I$4:I$1003,$W273)))</f>
        <v/>
      </c>
      <c r="J273" s="56" t="str">
        <f aca="false">IF($W273="","",N(INDEX(发票统计!J$4:J$1003,$W273)))</f>
        <v/>
      </c>
      <c r="K273" s="56" t="str">
        <f aca="false">IF($W273="","",N(INDEX(发票统计!K$4:K$1003,$W273)))</f>
        <v/>
      </c>
      <c r="L273" s="56" t="str">
        <f aca="false">IF($W273="","",SUM(J$4:J273)-SUM(K$4:K273))</f>
        <v/>
      </c>
      <c r="M273" s="56" t="str">
        <f aca="false">IF($W273="","",N(INDEX(发票统计!M$4:M$1003,$W273)))</f>
        <v/>
      </c>
      <c r="N273" s="56" t="str">
        <f aca="false">IF($W273="","",N(INDEX(发票统计!N$4:N$1003,$W273)))</f>
        <v/>
      </c>
      <c r="O273" s="56" t="str">
        <f aca="false">IF($W273="","",N(INDEX(发票统计!O$4:O$1003,$W273)))</f>
        <v/>
      </c>
      <c r="P273" s="56" t="str">
        <f aca="false">IF($W273="","",SUM(M$4:M273)-SUM(N$4:N273)-SUM(O$4:O273))</f>
        <v/>
      </c>
      <c r="Q273" s="56" t="str">
        <f aca="false">IF($W273="","",N(INDEX(发票统计!Q$4:Q$1003,$W273)))</f>
        <v/>
      </c>
      <c r="R273" s="56" t="str">
        <f aca="false">IF($W273="","",N(INDEX(发票统计!R$4:R$1003,$W273)))</f>
        <v/>
      </c>
      <c r="S273" s="56" t="str">
        <f aca="false">IF($W273="","",N(INDEX(发票统计!S$4:S$1003,$W273)))</f>
        <v/>
      </c>
      <c r="T273" s="56" t="str">
        <f aca="false">IF($W273="","",SUM(Q$4:Q273)-SUM(R$4:R273)-SUM(S$4:S273))</f>
        <v/>
      </c>
      <c r="U273" s="56" t="str">
        <f aca="false">IF($W273="","",INDEX(发票统计!U$4:U$1003,$W273)&amp;"")</f>
        <v/>
      </c>
      <c r="W273" s="1" t="str">
        <f aca="false">IF($V$3="","",IFERROR(MATCH($V$3&amp;"#"&amp;ROWS(W$4:W273),发票统计!$W$4:$W$1003,0),""))</f>
        <v/>
      </c>
    </row>
    <row r="274" customFormat="false" ht="16.5" hidden="false" customHeight="false" outlineLevel="0" collapsed="false">
      <c r="A274" s="3" t="str">
        <f aca="false">IF($W274="","",INDEX(发票统计!A$4:A$1003,$W274)&amp;"")</f>
        <v/>
      </c>
      <c r="B274" s="3" t="str">
        <f aca="false">IF($W274="","",INDEX(发票统计!B$4:B$1003,$W274)&amp;"")</f>
        <v/>
      </c>
      <c r="C274" s="3" t="str">
        <f aca="false">IF($W274="","",INDEX(发票统计!C$4:C$1003,$W274)&amp;"")</f>
        <v/>
      </c>
      <c r="D274" s="3" t="str">
        <f aca="false">IF($W274="","",INDEX(发票统计!D$4:D$1003,$W274)&amp;"")</f>
        <v/>
      </c>
      <c r="E274" s="67" t="str">
        <f aca="false">IF($W274="","",INDEX(发票统计!E$4:E$1003,$W274)&amp;"")</f>
        <v/>
      </c>
      <c r="F274" s="68" t="str">
        <f aca="false">IF($W274="","",INDEX(发票统计!F$4:F$1003,$W274)&amp;"")</f>
        <v/>
      </c>
      <c r="G274" s="68" t="str">
        <f aca="false">IF($W274="","",IF(INDEX(发票统计!G$4:G$1003,$W274)="","",INDEX(发票统计!G$4:G$1003,$W274)))</f>
        <v/>
      </c>
      <c r="H274" s="56" t="str">
        <f aca="false">IF($W274="","",N(INDEX(发票统计!H$4:H$1003,$W274)))</f>
        <v/>
      </c>
      <c r="I274" s="56" t="str">
        <f aca="false">IF($W274="","",N(INDEX(发票统计!I$4:I$1003,$W274)))</f>
        <v/>
      </c>
      <c r="J274" s="56" t="str">
        <f aca="false">IF($W274="","",N(INDEX(发票统计!J$4:J$1003,$W274)))</f>
        <v/>
      </c>
      <c r="K274" s="56" t="str">
        <f aca="false">IF($W274="","",N(INDEX(发票统计!K$4:K$1003,$W274)))</f>
        <v/>
      </c>
      <c r="L274" s="56" t="str">
        <f aca="false">IF($W274="","",SUM(J$4:J274)-SUM(K$4:K274))</f>
        <v/>
      </c>
      <c r="M274" s="56" t="str">
        <f aca="false">IF($W274="","",N(INDEX(发票统计!M$4:M$1003,$W274)))</f>
        <v/>
      </c>
      <c r="N274" s="56" t="str">
        <f aca="false">IF($W274="","",N(INDEX(发票统计!N$4:N$1003,$W274)))</f>
        <v/>
      </c>
      <c r="O274" s="56" t="str">
        <f aca="false">IF($W274="","",N(INDEX(发票统计!O$4:O$1003,$W274)))</f>
        <v/>
      </c>
      <c r="P274" s="56" t="str">
        <f aca="false">IF($W274="","",SUM(M$4:M274)-SUM(N$4:N274)-SUM(O$4:O274))</f>
        <v/>
      </c>
      <c r="Q274" s="56" t="str">
        <f aca="false">IF($W274="","",N(INDEX(发票统计!Q$4:Q$1003,$W274)))</f>
        <v/>
      </c>
      <c r="R274" s="56" t="str">
        <f aca="false">IF($W274="","",N(INDEX(发票统计!R$4:R$1003,$W274)))</f>
        <v/>
      </c>
      <c r="S274" s="56" t="str">
        <f aca="false">IF($W274="","",N(INDEX(发票统计!S$4:S$1003,$W274)))</f>
        <v/>
      </c>
      <c r="T274" s="56" t="str">
        <f aca="false">IF($W274="","",SUM(Q$4:Q274)-SUM(R$4:R274)-SUM(S$4:S274))</f>
        <v/>
      </c>
      <c r="U274" s="56" t="str">
        <f aca="false">IF($W274="","",INDEX(发票统计!U$4:U$1003,$W274)&amp;"")</f>
        <v/>
      </c>
      <c r="W274" s="1" t="str">
        <f aca="false">IF($V$3="","",IFERROR(MATCH($V$3&amp;"#"&amp;ROWS(W$4:W274),发票统计!$W$4:$W$1003,0),""))</f>
        <v/>
      </c>
    </row>
    <row r="275" customFormat="false" ht="16.5" hidden="false" customHeight="false" outlineLevel="0" collapsed="false">
      <c r="A275" s="3" t="str">
        <f aca="false">IF($W275="","",INDEX(发票统计!A$4:A$1003,$W275)&amp;"")</f>
        <v/>
      </c>
      <c r="B275" s="3" t="str">
        <f aca="false">IF($W275="","",INDEX(发票统计!B$4:B$1003,$W275)&amp;"")</f>
        <v/>
      </c>
      <c r="C275" s="3" t="str">
        <f aca="false">IF($W275="","",INDEX(发票统计!C$4:C$1003,$W275)&amp;"")</f>
        <v/>
      </c>
      <c r="D275" s="3" t="str">
        <f aca="false">IF($W275="","",INDEX(发票统计!D$4:D$1003,$W275)&amp;"")</f>
        <v/>
      </c>
      <c r="E275" s="67" t="str">
        <f aca="false">IF($W275="","",INDEX(发票统计!E$4:E$1003,$W275)&amp;"")</f>
        <v/>
      </c>
      <c r="F275" s="68" t="str">
        <f aca="false">IF($W275="","",INDEX(发票统计!F$4:F$1003,$W275)&amp;"")</f>
        <v/>
      </c>
      <c r="G275" s="68" t="str">
        <f aca="false">IF($W275="","",IF(INDEX(发票统计!G$4:G$1003,$W275)="","",INDEX(发票统计!G$4:G$1003,$W275)))</f>
        <v/>
      </c>
      <c r="H275" s="56" t="str">
        <f aca="false">IF($W275="","",N(INDEX(发票统计!H$4:H$1003,$W275)))</f>
        <v/>
      </c>
      <c r="I275" s="56" t="str">
        <f aca="false">IF($W275="","",N(INDEX(发票统计!I$4:I$1003,$W275)))</f>
        <v/>
      </c>
      <c r="J275" s="56" t="str">
        <f aca="false">IF($W275="","",N(INDEX(发票统计!J$4:J$1003,$W275)))</f>
        <v/>
      </c>
      <c r="K275" s="56" t="str">
        <f aca="false">IF($W275="","",N(INDEX(发票统计!K$4:K$1003,$W275)))</f>
        <v/>
      </c>
      <c r="L275" s="56" t="str">
        <f aca="false">IF($W275="","",SUM(J$4:J275)-SUM(K$4:K275))</f>
        <v/>
      </c>
      <c r="M275" s="56" t="str">
        <f aca="false">IF($W275="","",N(INDEX(发票统计!M$4:M$1003,$W275)))</f>
        <v/>
      </c>
      <c r="N275" s="56" t="str">
        <f aca="false">IF($W275="","",N(INDEX(发票统计!N$4:N$1003,$W275)))</f>
        <v/>
      </c>
      <c r="O275" s="56" t="str">
        <f aca="false">IF($W275="","",N(INDEX(发票统计!O$4:O$1003,$W275)))</f>
        <v/>
      </c>
      <c r="P275" s="56" t="str">
        <f aca="false">IF($W275="","",SUM(M$4:M275)-SUM(N$4:N275)-SUM(O$4:O275))</f>
        <v/>
      </c>
      <c r="Q275" s="56" t="str">
        <f aca="false">IF($W275="","",N(INDEX(发票统计!Q$4:Q$1003,$W275)))</f>
        <v/>
      </c>
      <c r="R275" s="56" t="str">
        <f aca="false">IF($W275="","",N(INDEX(发票统计!R$4:R$1003,$W275)))</f>
        <v/>
      </c>
      <c r="S275" s="56" t="str">
        <f aca="false">IF($W275="","",N(INDEX(发票统计!S$4:S$1003,$W275)))</f>
        <v/>
      </c>
      <c r="T275" s="56" t="str">
        <f aca="false">IF($W275="","",SUM(Q$4:Q275)-SUM(R$4:R275)-SUM(S$4:S275))</f>
        <v/>
      </c>
      <c r="U275" s="56" t="str">
        <f aca="false">IF($W275="","",INDEX(发票统计!U$4:U$1003,$W275)&amp;"")</f>
        <v/>
      </c>
      <c r="W275" s="1" t="str">
        <f aca="false">IF($V$3="","",IFERROR(MATCH($V$3&amp;"#"&amp;ROWS(W$4:W275),发票统计!$W$4:$W$1003,0),""))</f>
        <v/>
      </c>
    </row>
    <row r="276" customFormat="false" ht="16.5" hidden="false" customHeight="false" outlineLevel="0" collapsed="false">
      <c r="A276" s="3" t="str">
        <f aca="false">IF($W276="","",INDEX(发票统计!A$4:A$1003,$W276)&amp;"")</f>
        <v/>
      </c>
      <c r="B276" s="3" t="str">
        <f aca="false">IF($W276="","",INDEX(发票统计!B$4:B$1003,$W276)&amp;"")</f>
        <v/>
      </c>
      <c r="C276" s="3" t="str">
        <f aca="false">IF($W276="","",INDEX(发票统计!C$4:C$1003,$W276)&amp;"")</f>
        <v/>
      </c>
      <c r="D276" s="3" t="str">
        <f aca="false">IF($W276="","",INDEX(发票统计!D$4:D$1003,$W276)&amp;"")</f>
        <v/>
      </c>
      <c r="E276" s="67" t="str">
        <f aca="false">IF($W276="","",INDEX(发票统计!E$4:E$1003,$W276)&amp;"")</f>
        <v/>
      </c>
      <c r="F276" s="68" t="str">
        <f aca="false">IF($W276="","",INDEX(发票统计!F$4:F$1003,$W276)&amp;"")</f>
        <v/>
      </c>
      <c r="G276" s="68" t="str">
        <f aca="false">IF($W276="","",IF(INDEX(发票统计!G$4:G$1003,$W276)="","",INDEX(发票统计!G$4:G$1003,$W276)))</f>
        <v/>
      </c>
      <c r="H276" s="56" t="str">
        <f aca="false">IF($W276="","",N(INDEX(发票统计!H$4:H$1003,$W276)))</f>
        <v/>
      </c>
      <c r="I276" s="56" t="str">
        <f aca="false">IF($W276="","",N(INDEX(发票统计!I$4:I$1003,$W276)))</f>
        <v/>
      </c>
      <c r="J276" s="56" t="str">
        <f aca="false">IF($W276="","",N(INDEX(发票统计!J$4:J$1003,$W276)))</f>
        <v/>
      </c>
      <c r="K276" s="56" t="str">
        <f aca="false">IF($W276="","",N(INDEX(发票统计!K$4:K$1003,$W276)))</f>
        <v/>
      </c>
      <c r="L276" s="56" t="str">
        <f aca="false">IF($W276="","",SUM(J$4:J276)-SUM(K$4:K276))</f>
        <v/>
      </c>
      <c r="M276" s="56" t="str">
        <f aca="false">IF($W276="","",N(INDEX(发票统计!M$4:M$1003,$W276)))</f>
        <v/>
      </c>
      <c r="N276" s="56" t="str">
        <f aca="false">IF($W276="","",N(INDEX(发票统计!N$4:N$1003,$W276)))</f>
        <v/>
      </c>
      <c r="O276" s="56" t="str">
        <f aca="false">IF($W276="","",N(INDEX(发票统计!O$4:O$1003,$W276)))</f>
        <v/>
      </c>
      <c r="P276" s="56" t="str">
        <f aca="false">IF($W276="","",SUM(M$4:M276)-SUM(N$4:N276)-SUM(O$4:O276))</f>
        <v/>
      </c>
      <c r="Q276" s="56" t="str">
        <f aca="false">IF($W276="","",N(INDEX(发票统计!Q$4:Q$1003,$W276)))</f>
        <v/>
      </c>
      <c r="R276" s="56" t="str">
        <f aca="false">IF($W276="","",N(INDEX(发票统计!R$4:R$1003,$W276)))</f>
        <v/>
      </c>
      <c r="S276" s="56" t="str">
        <f aca="false">IF($W276="","",N(INDEX(发票统计!S$4:S$1003,$W276)))</f>
        <v/>
      </c>
      <c r="T276" s="56" t="str">
        <f aca="false">IF($W276="","",SUM(Q$4:Q276)-SUM(R$4:R276)-SUM(S$4:S276))</f>
        <v/>
      </c>
      <c r="U276" s="56" t="str">
        <f aca="false">IF($W276="","",INDEX(发票统计!U$4:U$1003,$W276)&amp;"")</f>
        <v/>
      </c>
      <c r="W276" s="1" t="str">
        <f aca="false">IF($V$3="","",IFERROR(MATCH($V$3&amp;"#"&amp;ROWS(W$4:W276),发票统计!$W$4:$W$1003,0),""))</f>
        <v/>
      </c>
    </row>
    <row r="277" customFormat="false" ht="16.5" hidden="false" customHeight="false" outlineLevel="0" collapsed="false">
      <c r="A277" s="3" t="str">
        <f aca="false">IF($W277="","",INDEX(发票统计!A$4:A$1003,$W277)&amp;"")</f>
        <v/>
      </c>
      <c r="B277" s="3" t="str">
        <f aca="false">IF($W277="","",INDEX(发票统计!B$4:B$1003,$W277)&amp;"")</f>
        <v/>
      </c>
      <c r="C277" s="3" t="str">
        <f aca="false">IF($W277="","",INDEX(发票统计!C$4:C$1003,$W277)&amp;"")</f>
        <v/>
      </c>
      <c r="D277" s="3" t="str">
        <f aca="false">IF($W277="","",INDEX(发票统计!D$4:D$1003,$W277)&amp;"")</f>
        <v/>
      </c>
      <c r="E277" s="67" t="str">
        <f aca="false">IF($W277="","",INDEX(发票统计!E$4:E$1003,$W277)&amp;"")</f>
        <v/>
      </c>
      <c r="F277" s="68" t="str">
        <f aca="false">IF($W277="","",INDEX(发票统计!F$4:F$1003,$W277)&amp;"")</f>
        <v/>
      </c>
      <c r="G277" s="68" t="str">
        <f aca="false">IF($W277="","",IF(INDEX(发票统计!G$4:G$1003,$W277)="","",INDEX(发票统计!G$4:G$1003,$W277)))</f>
        <v/>
      </c>
      <c r="H277" s="56" t="str">
        <f aca="false">IF($W277="","",N(INDEX(发票统计!H$4:H$1003,$W277)))</f>
        <v/>
      </c>
      <c r="I277" s="56" t="str">
        <f aca="false">IF($W277="","",N(INDEX(发票统计!I$4:I$1003,$W277)))</f>
        <v/>
      </c>
      <c r="J277" s="56" t="str">
        <f aca="false">IF($W277="","",N(INDEX(发票统计!J$4:J$1003,$W277)))</f>
        <v/>
      </c>
      <c r="K277" s="56" t="str">
        <f aca="false">IF($W277="","",N(INDEX(发票统计!K$4:K$1003,$W277)))</f>
        <v/>
      </c>
      <c r="L277" s="56" t="str">
        <f aca="false">IF($W277="","",SUM(J$4:J277)-SUM(K$4:K277))</f>
        <v/>
      </c>
      <c r="M277" s="56" t="str">
        <f aca="false">IF($W277="","",N(INDEX(发票统计!M$4:M$1003,$W277)))</f>
        <v/>
      </c>
      <c r="N277" s="56" t="str">
        <f aca="false">IF($W277="","",N(INDEX(发票统计!N$4:N$1003,$W277)))</f>
        <v/>
      </c>
      <c r="O277" s="56" t="str">
        <f aca="false">IF($W277="","",N(INDEX(发票统计!O$4:O$1003,$W277)))</f>
        <v/>
      </c>
      <c r="P277" s="56" t="str">
        <f aca="false">IF($W277="","",SUM(M$4:M277)-SUM(N$4:N277)-SUM(O$4:O277))</f>
        <v/>
      </c>
      <c r="Q277" s="56" t="str">
        <f aca="false">IF($W277="","",N(INDEX(发票统计!Q$4:Q$1003,$W277)))</f>
        <v/>
      </c>
      <c r="R277" s="56" t="str">
        <f aca="false">IF($W277="","",N(INDEX(发票统计!R$4:R$1003,$W277)))</f>
        <v/>
      </c>
      <c r="S277" s="56" t="str">
        <f aca="false">IF($W277="","",N(INDEX(发票统计!S$4:S$1003,$W277)))</f>
        <v/>
      </c>
      <c r="T277" s="56" t="str">
        <f aca="false">IF($W277="","",SUM(Q$4:Q277)-SUM(R$4:R277)-SUM(S$4:S277))</f>
        <v/>
      </c>
      <c r="U277" s="56" t="str">
        <f aca="false">IF($W277="","",INDEX(发票统计!U$4:U$1003,$W277)&amp;"")</f>
        <v/>
      </c>
      <c r="W277" s="1" t="str">
        <f aca="false">IF($V$3="","",IFERROR(MATCH($V$3&amp;"#"&amp;ROWS(W$4:W277),发票统计!$W$4:$W$1003,0),""))</f>
        <v/>
      </c>
    </row>
    <row r="278" customFormat="false" ht="16.5" hidden="false" customHeight="false" outlineLevel="0" collapsed="false">
      <c r="A278" s="3" t="str">
        <f aca="false">IF($W278="","",INDEX(发票统计!A$4:A$1003,$W278)&amp;"")</f>
        <v/>
      </c>
      <c r="B278" s="3" t="str">
        <f aca="false">IF($W278="","",INDEX(发票统计!B$4:B$1003,$W278)&amp;"")</f>
        <v/>
      </c>
      <c r="C278" s="3" t="str">
        <f aca="false">IF($W278="","",INDEX(发票统计!C$4:C$1003,$W278)&amp;"")</f>
        <v/>
      </c>
      <c r="D278" s="3" t="str">
        <f aca="false">IF($W278="","",INDEX(发票统计!D$4:D$1003,$W278)&amp;"")</f>
        <v/>
      </c>
      <c r="E278" s="67" t="str">
        <f aca="false">IF($W278="","",INDEX(发票统计!E$4:E$1003,$W278)&amp;"")</f>
        <v/>
      </c>
      <c r="F278" s="68" t="str">
        <f aca="false">IF($W278="","",INDEX(发票统计!F$4:F$1003,$W278)&amp;"")</f>
        <v/>
      </c>
      <c r="G278" s="68" t="str">
        <f aca="false">IF($W278="","",IF(INDEX(发票统计!G$4:G$1003,$W278)="","",INDEX(发票统计!G$4:G$1003,$W278)))</f>
        <v/>
      </c>
      <c r="H278" s="56" t="str">
        <f aca="false">IF($W278="","",N(INDEX(发票统计!H$4:H$1003,$W278)))</f>
        <v/>
      </c>
      <c r="I278" s="56" t="str">
        <f aca="false">IF($W278="","",N(INDEX(发票统计!I$4:I$1003,$W278)))</f>
        <v/>
      </c>
      <c r="J278" s="56" t="str">
        <f aca="false">IF($W278="","",N(INDEX(发票统计!J$4:J$1003,$W278)))</f>
        <v/>
      </c>
      <c r="K278" s="56" t="str">
        <f aca="false">IF($W278="","",N(INDEX(发票统计!K$4:K$1003,$W278)))</f>
        <v/>
      </c>
      <c r="L278" s="56" t="str">
        <f aca="false">IF($W278="","",SUM(J$4:J278)-SUM(K$4:K278))</f>
        <v/>
      </c>
      <c r="M278" s="56" t="str">
        <f aca="false">IF($W278="","",N(INDEX(发票统计!M$4:M$1003,$W278)))</f>
        <v/>
      </c>
      <c r="N278" s="56" t="str">
        <f aca="false">IF($W278="","",N(INDEX(发票统计!N$4:N$1003,$W278)))</f>
        <v/>
      </c>
      <c r="O278" s="56" t="str">
        <f aca="false">IF($W278="","",N(INDEX(发票统计!O$4:O$1003,$W278)))</f>
        <v/>
      </c>
      <c r="P278" s="56" t="str">
        <f aca="false">IF($W278="","",SUM(M$4:M278)-SUM(N$4:N278)-SUM(O$4:O278))</f>
        <v/>
      </c>
      <c r="Q278" s="56" t="str">
        <f aca="false">IF($W278="","",N(INDEX(发票统计!Q$4:Q$1003,$W278)))</f>
        <v/>
      </c>
      <c r="R278" s="56" t="str">
        <f aca="false">IF($W278="","",N(INDEX(发票统计!R$4:R$1003,$W278)))</f>
        <v/>
      </c>
      <c r="S278" s="56" t="str">
        <f aca="false">IF($W278="","",N(INDEX(发票统计!S$4:S$1003,$W278)))</f>
        <v/>
      </c>
      <c r="T278" s="56" t="str">
        <f aca="false">IF($W278="","",SUM(Q$4:Q278)-SUM(R$4:R278)-SUM(S$4:S278))</f>
        <v/>
      </c>
      <c r="U278" s="56" t="str">
        <f aca="false">IF($W278="","",INDEX(发票统计!U$4:U$1003,$W278)&amp;"")</f>
        <v/>
      </c>
      <c r="W278" s="1" t="str">
        <f aca="false">IF($V$3="","",IFERROR(MATCH($V$3&amp;"#"&amp;ROWS(W$4:W278),发票统计!$W$4:$W$1003,0),""))</f>
        <v/>
      </c>
    </row>
    <row r="279" customFormat="false" ht="16.5" hidden="false" customHeight="false" outlineLevel="0" collapsed="false">
      <c r="A279" s="3" t="str">
        <f aca="false">IF($W279="","",INDEX(发票统计!A$4:A$1003,$W279)&amp;"")</f>
        <v/>
      </c>
      <c r="B279" s="3" t="str">
        <f aca="false">IF($W279="","",INDEX(发票统计!B$4:B$1003,$W279)&amp;"")</f>
        <v/>
      </c>
      <c r="C279" s="3" t="str">
        <f aca="false">IF($W279="","",INDEX(发票统计!C$4:C$1003,$W279)&amp;"")</f>
        <v/>
      </c>
      <c r="D279" s="3" t="str">
        <f aca="false">IF($W279="","",INDEX(发票统计!D$4:D$1003,$W279)&amp;"")</f>
        <v/>
      </c>
      <c r="E279" s="67" t="str">
        <f aca="false">IF($W279="","",INDEX(发票统计!E$4:E$1003,$W279)&amp;"")</f>
        <v/>
      </c>
      <c r="F279" s="68" t="str">
        <f aca="false">IF($W279="","",INDEX(发票统计!F$4:F$1003,$W279)&amp;"")</f>
        <v/>
      </c>
      <c r="G279" s="68" t="str">
        <f aca="false">IF($W279="","",IF(INDEX(发票统计!G$4:G$1003,$W279)="","",INDEX(发票统计!G$4:G$1003,$W279)))</f>
        <v/>
      </c>
      <c r="H279" s="56" t="str">
        <f aca="false">IF($W279="","",N(INDEX(发票统计!H$4:H$1003,$W279)))</f>
        <v/>
      </c>
      <c r="I279" s="56" t="str">
        <f aca="false">IF($W279="","",N(INDEX(发票统计!I$4:I$1003,$W279)))</f>
        <v/>
      </c>
      <c r="J279" s="56" t="str">
        <f aca="false">IF($W279="","",N(INDEX(发票统计!J$4:J$1003,$W279)))</f>
        <v/>
      </c>
      <c r="K279" s="56" t="str">
        <f aca="false">IF($W279="","",N(INDEX(发票统计!K$4:K$1003,$W279)))</f>
        <v/>
      </c>
      <c r="L279" s="56" t="str">
        <f aca="false">IF($W279="","",SUM(J$4:J279)-SUM(K$4:K279))</f>
        <v/>
      </c>
      <c r="M279" s="56" t="str">
        <f aca="false">IF($W279="","",N(INDEX(发票统计!M$4:M$1003,$W279)))</f>
        <v/>
      </c>
      <c r="N279" s="56" t="str">
        <f aca="false">IF($W279="","",N(INDEX(发票统计!N$4:N$1003,$W279)))</f>
        <v/>
      </c>
      <c r="O279" s="56" t="str">
        <f aca="false">IF($W279="","",N(INDEX(发票统计!O$4:O$1003,$W279)))</f>
        <v/>
      </c>
      <c r="P279" s="56" t="str">
        <f aca="false">IF($W279="","",SUM(M$4:M279)-SUM(N$4:N279)-SUM(O$4:O279))</f>
        <v/>
      </c>
      <c r="Q279" s="56" t="str">
        <f aca="false">IF($W279="","",N(INDEX(发票统计!Q$4:Q$1003,$W279)))</f>
        <v/>
      </c>
      <c r="R279" s="56" t="str">
        <f aca="false">IF($W279="","",N(INDEX(发票统计!R$4:R$1003,$W279)))</f>
        <v/>
      </c>
      <c r="S279" s="56" t="str">
        <f aca="false">IF($W279="","",N(INDEX(发票统计!S$4:S$1003,$W279)))</f>
        <v/>
      </c>
      <c r="T279" s="56" t="str">
        <f aca="false">IF($W279="","",SUM(Q$4:Q279)-SUM(R$4:R279)-SUM(S$4:S279))</f>
        <v/>
      </c>
      <c r="U279" s="56" t="str">
        <f aca="false">IF($W279="","",INDEX(发票统计!U$4:U$1003,$W279)&amp;"")</f>
        <v/>
      </c>
      <c r="W279" s="1" t="str">
        <f aca="false">IF($V$3="","",IFERROR(MATCH($V$3&amp;"#"&amp;ROWS(W$4:W279),发票统计!$W$4:$W$1003,0),""))</f>
        <v/>
      </c>
    </row>
    <row r="280" customFormat="false" ht="16.5" hidden="false" customHeight="false" outlineLevel="0" collapsed="false">
      <c r="A280" s="3" t="str">
        <f aca="false">IF($W280="","",INDEX(发票统计!A$4:A$1003,$W280)&amp;"")</f>
        <v/>
      </c>
      <c r="B280" s="3" t="str">
        <f aca="false">IF($W280="","",INDEX(发票统计!B$4:B$1003,$W280)&amp;"")</f>
        <v/>
      </c>
      <c r="C280" s="3" t="str">
        <f aca="false">IF($W280="","",INDEX(发票统计!C$4:C$1003,$W280)&amp;"")</f>
        <v/>
      </c>
      <c r="D280" s="3" t="str">
        <f aca="false">IF($W280="","",INDEX(发票统计!D$4:D$1003,$W280)&amp;"")</f>
        <v/>
      </c>
      <c r="E280" s="67" t="str">
        <f aca="false">IF($W280="","",INDEX(发票统计!E$4:E$1003,$W280)&amp;"")</f>
        <v/>
      </c>
      <c r="F280" s="68" t="str">
        <f aca="false">IF($W280="","",INDEX(发票统计!F$4:F$1003,$W280)&amp;"")</f>
        <v/>
      </c>
      <c r="G280" s="68" t="str">
        <f aca="false">IF($W280="","",IF(INDEX(发票统计!G$4:G$1003,$W280)="","",INDEX(发票统计!G$4:G$1003,$W280)))</f>
        <v/>
      </c>
      <c r="H280" s="56" t="str">
        <f aca="false">IF($W280="","",N(INDEX(发票统计!H$4:H$1003,$W280)))</f>
        <v/>
      </c>
      <c r="I280" s="56" t="str">
        <f aca="false">IF($W280="","",N(INDEX(发票统计!I$4:I$1003,$W280)))</f>
        <v/>
      </c>
      <c r="J280" s="56" t="str">
        <f aca="false">IF($W280="","",N(INDEX(发票统计!J$4:J$1003,$W280)))</f>
        <v/>
      </c>
      <c r="K280" s="56" t="str">
        <f aca="false">IF($W280="","",N(INDEX(发票统计!K$4:K$1003,$W280)))</f>
        <v/>
      </c>
      <c r="L280" s="56" t="str">
        <f aca="false">IF($W280="","",SUM(J$4:J280)-SUM(K$4:K280))</f>
        <v/>
      </c>
      <c r="M280" s="56" t="str">
        <f aca="false">IF($W280="","",N(INDEX(发票统计!M$4:M$1003,$W280)))</f>
        <v/>
      </c>
      <c r="N280" s="56" t="str">
        <f aca="false">IF($W280="","",N(INDEX(发票统计!N$4:N$1003,$W280)))</f>
        <v/>
      </c>
      <c r="O280" s="56" t="str">
        <f aca="false">IF($W280="","",N(INDEX(发票统计!O$4:O$1003,$W280)))</f>
        <v/>
      </c>
      <c r="P280" s="56" t="str">
        <f aca="false">IF($W280="","",SUM(M$4:M280)-SUM(N$4:N280)-SUM(O$4:O280))</f>
        <v/>
      </c>
      <c r="Q280" s="56" t="str">
        <f aca="false">IF($W280="","",N(INDEX(发票统计!Q$4:Q$1003,$W280)))</f>
        <v/>
      </c>
      <c r="R280" s="56" t="str">
        <f aca="false">IF($W280="","",N(INDEX(发票统计!R$4:R$1003,$W280)))</f>
        <v/>
      </c>
      <c r="S280" s="56" t="str">
        <f aca="false">IF($W280="","",N(INDEX(发票统计!S$4:S$1003,$W280)))</f>
        <v/>
      </c>
      <c r="T280" s="56" t="str">
        <f aca="false">IF($W280="","",SUM(Q$4:Q280)-SUM(R$4:R280)-SUM(S$4:S280))</f>
        <v/>
      </c>
      <c r="U280" s="56" t="str">
        <f aca="false">IF($W280="","",INDEX(发票统计!U$4:U$1003,$W280)&amp;"")</f>
        <v/>
      </c>
      <c r="W280" s="1" t="str">
        <f aca="false">IF($V$3="","",IFERROR(MATCH($V$3&amp;"#"&amp;ROWS(W$4:W280),发票统计!$W$4:$W$1003,0),""))</f>
        <v/>
      </c>
    </row>
    <row r="281" customFormat="false" ht="16.5" hidden="false" customHeight="false" outlineLevel="0" collapsed="false">
      <c r="A281" s="3" t="str">
        <f aca="false">IF($W281="","",INDEX(发票统计!A$4:A$1003,$W281)&amp;"")</f>
        <v/>
      </c>
      <c r="B281" s="3" t="str">
        <f aca="false">IF($W281="","",INDEX(发票统计!B$4:B$1003,$W281)&amp;"")</f>
        <v/>
      </c>
      <c r="C281" s="3" t="str">
        <f aca="false">IF($W281="","",INDEX(发票统计!C$4:C$1003,$W281)&amp;"")</f>
        <v/>
      </c>
      <c r="D281" s="3" t="str">
        <f aca="false">IF($W281="","",INDEX(发票统计!D$4:D$1003,$W281)&amp;"")</f>
        <v/>
      </c>
      <c r="E281" s="67" t="str">
        <f aca="false">IF($W281="","",INDEX(发票统计!E$4:E$1003,$W281)&amp;"")</f>
        <v/>
      </c>
      <c r="F281" s="68" t="str">
        <f aca="false">IF($W281="","",INDEX(发票统计!F$4:F$1003,$W281)&amp;"")</f>
        <v/>
      </c>
      <c r="G281" s="68" t="str">
        <f aca="false">IF($W281="","",IF(INDEX(发票统计!G$4:G$1003,$W281)="","",INDEX(发票统计!G$4:G$1003,$W281)))</f>
        <v/>
      </c>
      <c r="H281" s="56" t="str">
        <f aca="false">IF($W281="","",N(INDEX(发票统计!H$4:H$1003,$W281)))</f>
        <v/>
      </c>
      <c r="I281" s="56" t="str">
        <f aca="false">IF($W281="","",N(INDEX(发票统计!I$4:I$1003,$W281)))</f>
        <v/>
      </c>
      <c r="J281" s="56" t="str">
        <f aca="false">IF($W281="","",N(INDEX(发票统计!J$4:J$1003,$W281)))</f>
        <v/>
      </c>
      <c r="K281" s="56" t="str">
        <f aca="false">IF($W281="","",N(INDEX(发票统计!K$4:K$1003,$W281)))</f>
        <v/>
      </c>
      <c r="L281" s="56" t="str">
        <f aca="false">IF($W281="","",SUM(J$4:J281)-SUM(K$4:K281))</f>
        <v/>
      </c>
      <c r="M281" s="56" t="str">
        <f aca="false">IF($W281="","",N(INDEX(发票统计!M$4:M$1003,$W281)))</f>
        <v/>
      </c>
      <c r="N281" s="56" t="str">
        <f aca="false">IF($W281="","",N(INDEX(发票统计!N$4:N$1003,$W281)))</f>
        <v/>
      </c>
      <c r="O281" s="56" t="str">
        <f aca="false">IF($W281="","",N(INDEX(发票统计!O$4:O$1003,$W281)))</f>
        <v/>
      </c>
      <c r="P281" s="56" t="str">
        <f aca="false">IF($W281="","",SUM(M$4:M281)-SUM(N$4:N281)-SUM(O$4:O281))</f>
        <v/>
      </c>
      <c r="Q281" s="56" t="str">
        <f aca="false">IF($W281="","",N(INDEX(发票统计!Q$4:Q$1003,$W281)))</f>
        <v/>
      </c>
      <c r="R281" s="56" t="str">
        <f aca="false">IF($W281="","",N(INDEX(发票统计!R$4:R$1003,$W281)))</f>
        <v/>
      </c>
      <c r="S281" s="56" t="str">
        <f aca="false">IF($W281="","",N(INDEX(发票统计!S$4:S$1003,$W281)))</f>
        <v/>
      </c>
      <c r="T281" s="56" t="str">
        <f aca="false">IF($W281="","",SUM(Q$4:Q281)-SUM(R$4:R281)-SUM(S$4:S281))</f>
        <v/>
      </c>
      <c r="U281" s="56" t="str">
        <f aca="false">IF($W281="","",INDEX(发票统计!U$4:U$1003,$W281)&amp;"")</f>
        <v/>
      </c>
      <c r="W281" s="1" t="str">
        <f aca="false">IF($V$3="","",IFERROR(MATCH($V$3&amp;"#"&amp;ROWS(W$4:W281),发票统计!$W$4:$W$1003,0),""))</f>
        <v/>
      </c>
    </row>
    <row r="282" customFormat="false" ht="16.5" hidden="false" customHeight="false" outlineLevel="0" collapsed="false">
      <c r="A282" s="3" t="str">
        <f aca="false">IF($W282="","",INDEX(发票统计!A$4:A$1003,$W282)&amp;"")</f>
        <v/>
      </c>
      <c r="B282" s="3" t="str">
        <f aca="false">IF($W282="","",INDEX(发票统计!B$4:B$1003,$W282)&amp;"")</f>
        <v/>
      </c>
      <c r="C282" s="3" t="str">
        <f aca="false">IF($W282="","",INDEX(发票统计!C$4:C$1003,$W282)&amp;"")</f>
        <v/>
      </c>
      <c r="D282" s="3" t="str">
        <f aca="false">IF($W282="","",INDEX(发票统计!D$4:D$1003,$W282)&amp;"")</f>
        <v/>
      </c>
      <c r="E282" s="67" t="str">
        <f aca="false">IF($W282="","",INDEX(发票统计!E$4:E$1003,$W282)&amp;"")</f>
        <v/>
      </c>
      <c r="F282" s="68" t="str">
        <f aca="false">IF($W282="","",INDEX(发票统计!F$4:F$1003,$W282)&amp;"")</f>
        <v/>
      </c>
      <c r="G282" s="68" t="str">
        <f aca="false">IF($W282="","",IF(INDEX(发票统计!G$4:G$1003,$W282)="","",INDEX(发票统计!G$4:G$1003,$W282)))</f>
        <v/>
      </c>
      <c r="H282" s="56" t="str">
        <f aca="false">IF($W282="","",N(INDEX(发票统计!H$4:H$1003,$W282)))</f>
        <v/>
      </c>
      <c r="I282" s="56" t="str">
        <f aca="false">IF($W282="","",N(INDEX(发票统计!I$4:I$1003,$W282)))</f>
        <v/>
      </c>
      <c r="J282" s="56" t="str">
        <f aca="false">IF($W282="","",N(INDEX(发票统计!J$4:J$1003,$W282)))</f>
        <v/>
      </c>
      <c r="K282" s="56" t="str">
        <f aca="false">IF($W282="","",N(INDEX(发票统计!K$4:K$1003,$W282)))</f>
        <v/>
      </c>
      <c r="L282" s="56" t="str">
        <f aca="false">IF($W282="","",SUM(J$4:J282)-SUM(K$4:K282))</f>
        <v/>
      </c>
      <c r="M282" s="56" t="str">
        <f aca="false">IF($W282="","",N(INDEX(发票统计!M$4:M$1003,$W282)))</f>
        <v/>
      </c>
      <c r="N282" s="56" t="str">
        <f aca="false">IF($W282="","",N(INDEX(发票统计!N$4:N$1003,$W282)))</f>
        <v/>
      </c>
      <c r="O282" s="56" t="str">
        <f aca="false">IF($W282="","",N(INDEX(发票统计!O$4:O$1003,$W282)))</f>
        <v/>
      </c>
      <c r="P282" s="56" t="str">
        <f aca="false">IF($W282="","",SUM(M$4:M282)-SUM(N$4:N282)-SUM(O$4:O282))</f>
        <v/>
      </c>
      <c r="Q282" s="56" t="str">
        <f aca="false">IF($W282="","",N(INDEX(发票统计!Q$4:Q$1003,$W282)))</f>
        <v/>
      </c>
      <c r="R282" s="56" t="str">
        <f aca="false">IF($W282="","",N(INDEX(发票统计!R$4:R$1003,$W282)))</f>
        <v/>
      </c>
      <c r="S282" s="56" t="str">
        <f aca="false">IF($W282="","",N(INDEX(发票统计!S$4:S$1003,$W282)))</f>
        <v/>
      </c>
      <c r="T282" s="56" t="str">
        <f aca="false">IF($W282="","",SUM(Q$4:Q282)-SUM(R$4:R282)-SUM(S$4:S282))</f>
        <v/>
      </c>
      <c r="U282" s="56" t="str">
        <f aca="false">IF($W282="","",INDEX(发票统计!U$4:U$1003,$W282)&amp;"")</f>
        <v/>
      </c>
      <c r="W282" s="1" t="str">
        <f aca="false">IF($V$3="","",IFERROR(MATCH($V$3&amp;"#"&amp;ROWS(W$4:W282),发票统计!$W$4:$W$1003,0),""))</f>
        <v/>
      </c>
    </row>
    <row r="283" customFormat="false" ht="16.5" hidden="false" customHeight="false" outlineLevel="0" collapsed="false">
      <c r="A283" s="3" t="str">
        <f aca="false">IF($W283="","",INDEX(发票统计!A$4:A$1003,$W283)&amp;"")</f>
        <v/>
      </c>
      <c r="B283" s="3" t="str">
        <f aca="false">IF($W283="","",INDEX(发票统计!B$4:B$1003,$W283)&amp;"")</f>
        <v/>
      </c>
      <c r="C283" s="3" t="str">
        <f aca="false">IF($W283="","",INDEX(发票统计!C$4:C$1003,$W283)&amp;"")</f>
        <v/>
      </c>
      <c r="D283" s="3" t="str">
        <f aca="false">IF($W283="","",INDEX(发票统计!D$4:D$1003,$W283)&amp;"")</f>
        <v/>
      </c>
      <c r="E283" s="67" t="str">
        <f aca="false">IF($W283="","",INDEX(发票统计!E$4:E$1003,$W283)&amp;"")</f>
        <v/>
      </c>
      <c r="F283" s="68" t="str">
        <f aca="false">IF($W283="","",INDEX(发票统计!F$4:F$1003,$W283)&amp;"")</f>
        <v/>
      </c>
      <c r="G283" s="68" t="str">
        <f aca="false">IF($W283="","",IF(INDEX(发票统计!G$4:G$1003,$W283)="","",INDEX(发票统计!G$4:G$1003,$W283)))</f>
        <v/>
      </c>
      <c r="H283" s="56" t="str">
        <f aca="false">IF($W283="","",N(INDEX(发票统计!H$4:H$1003,$W283)))</f>
        <v/>
      </c>
      <c r="I283" s="56" t="str">
        <f aca="false">IF($W283="","",N(INDEX(发票统计!I$4:I$1003,$W283)))</f>
        <v/>
      </c>
      <c r="J283" s="56" t="str">
        <f aca="false">IF($W283="","",N(INDEX(发票统计!J$4:J$1003,$W283)))</f>
        <v/>
      </c>
      <c r="K283" s="56" t="str">
        <f aca="false">IF($W283="","",N(INDEX(发票统计!K$4:K$1003,$W283)))</f>
        <v/>
      </c>
      <c r="L283" s="56" t="str">
        <f aca="false">IF($W283="","",SUM(J$4:J283)-SUM(K$4:K283))</f>
        <v/>
      </c>
      <c r="M283" s="56" t="str">
        <f aca="false">IF($W283="","",N(INDEX(发票统计!M$4:M$1003,$W283)))</f>
        <v/>
      </c>
      <c r="N283" s="56" t="str">
        <f aca="false">IF($W283="","",N(INDEX(发票统计!N$4:N$1003,$W283)))</f>
        <v/>
      </c>
      <c r="O283" s="56" t="str">
        <f aca="false">IF($W283="","",N(INDEX(发票统计!O$4:O$1003,$W283)))</f>
        <v/>
      </c>
      <c r="P283" s="56" t="str">
        <f aca="false">IF($W283="","",SUM(M$4:M283)-SUM(N$4:N283)-SUM(O$4:O283))</f>
        <v/>
      </c>
      <c r="Q283" s="56" t="str">
        <f aca="false">IF($W283="","",N(INDEX(发票统计!Q$4:Q$1003,$W283)))</f>
        <v/>
      </c>
      <c r="R283" s="56" t="str">
        <f aca="false">IF($W283="","",N(INDEX(发票统计!R$4:R$1003,$W283)))</f>
        <v/>
      </c>
      <c r="S283" s="56" t="str">
        <f aca="false">IF($W283="","",N(INDEX(发票统计!S$4:S$1003,$W283)))</f>
        <v/>
      </c>
      <c r="T283" s="56" t="str">
        <f aca="false">IF($W283="","",SUM(Q$4:Q283)-SUM(R$4:R283)-SUM(S$4:S283))</f>
        <v/>
      </c>
      <c r="U283" s="56" t="str">
        <f aca="false">IF($W283="","",INDEX(发票统计!U$4:U$1003,$W283)&amp;"")</f>
        <v/>
      </c>
      <c r="W283" s="1" t="str">
        <f aca="false">IF($V$3="","",IFERROR(MATCH($V$3&amp;"#"&amp;ROWS(W$4:W283),发票统计!$W$4:$W$1003,0),""))</f>
        <v/>
      </c>
    </row>
    <row r="284" customFormat="false" ht="16.5" hidden="false" customHeight="false" outlineLevel="0" collapsed="false">
      <c r="A284" s="3" t="str">
        <f aca="false">IF($W284="","",INDEX(发票统计!A$4:A$1003,$W284)&amp;"")</f>
        <v/>
      </c>
      <c r="B284" s="3" t="str">
        <f aca="false">IF($W284="","",INDEX(发票统计!B$4:B$1003,$W284)&amp;"")</f>
        <v/>
      </c>
      <c r="C284" s="3" t="str">
        <f aca="false">IF($W284="","",INDEX(发票统计!C$4:C$1003,$W284)&amp;"")</f>
        <v/>
      </c>
      <c r="D284" s="3" t="str">
        <f aca="false">IF($W284="","",INDEX(发票统计!D$4:D$1003,$W284)&amp;"")</f>
        <v/>
      </c>
      <c r="E284" s="67" t="str">
        <f aca="false">IF($W284="","",INDEX(发票统计!E$4:E$1003,$W284)&amp;"")</f>
        <v/>
      </c>
      <c r="F284" s="68" t="str">
        <f aca="false">IF($W284="","",INDEX(发票统计!F$4:F$1003,$W284)&amp;"")</f>
        <v/>
      </c>
      <c r="G284" s="68" t="str">
        <f aca="false">IF($W284="","",IF(INDEX(发票统计!G$4:G$1003,$W284)="","",INDEX(发票统计!G$4:G$1003,$W284)))</f>
        <v/>
      </c>
      <c r="H284" s="56" t="str">
        <f aca="false">IF($W284="","",N(INDEX(发票统计!H$4:H$1003,$W284)))</f>
        <v/>
      </c>
      <c r="I284" s="56" t="str">
        <f aca="false">IF($W284="","",N(INDEX(发票统计!I$4:I$1003,$W284)))</f>
        <v/>
      </c>
      <c r="J284" s="56" t="str">
        <f aca="false">IF($W284="","",N(INDEX(发票统计!J$4:J$1003,$W284)))</f>
        <v/>
      </c>
      <c r="K284" s="56" t="str">
        <f aca="false">IF($W284="","",N(INDEX(发票统计!K$4:K$1003,$W284)))</f>
        <v/>
      </c>
      <c r="L284" s="56" t="str">
        <f aca="false">IF($W284="","",SUM(J$4:J284)-SUM(K$4:K284))</f>
        <v/>
      </c>
      <c r="M284" s="56" t="str">
        <f aca="false">IF($W284="","",N(INDEX(发票统计!M$4:M$1003,$W284)))</f>
        <v/>
      </c>
      <c r="N284" s="56" t="str">
        <f aca="false">IF($W284="","",N(INDEX(发票统计!N$4:N$1003,$W284)))</f>
        <v/>
      </c>
      <c r="O284" s="56" t="str">
        <f aca="false">IF($W284="","",N(INDEX(发票统计!O$4:O$1003,$W284)))</f>
        <v/>
      </c>
      <c r="P284" s="56" t="str">
        <f aca="false">IF($W284="","",SUM(M$4:M284)-SUM(N$4:N284)-SUM(O$4:O284))</f>
        <v/>
      </c>
      <c r="Q284" s="56" t="str">
        <f aca="false">IF($W284="","",N(INDEX(发票统计!Q$4:Q$1003,$W284)))</f>
        <v/>
      </c>
      <c r="R284" s="56" t="str">
        <f aca="false">IF($W284="","",N(INDEX(发票统计!R$4:R$1003,$W284)))</f>
        <v/>
      </c>
      <c r="S284" s="56" t="str">
        <f aca="false">IF($W284="","",N(INDEX(发票统计!S$4:S$1003,$W284)))</f>
        <v/>
      </c>
      <c r="T284" s="56" t="str">
        <f aca="false">IF($W284="","",SUM(Q$4:Q284)-SUM(R$4:R284)-SUM(S$4:S284))</f>
        <v/>
      </c>
      <c r="U284" s="56" t="str">
        <f aca="false">IF($W284="","",INDEX(发票统计!U$4:U$1003,$W284)&amp;"")</f>
        <v/>
      </c>
      <c r="W284" s="1" t="str">
        <f aca="false">IF($V$3="","",IFERROR(MATCH($V$3&amp;"#"&amp;ROWS(W$4:W284),发票统计!$W$4:$W$1003,0),""))</f>
        <v/>
      </c>
    </row>
    <row r="285" customFormat="false" ht="16.5" hidden="false" customHeight="false" outlineLevel="0" collapsed="false">
      <c r="A285" s="3" t="str">
        <f aca="false">IF($W285="","",INDEX(发票统计!A$4:A$1003,$W285)&amp;"")</f>
        <v/>
      </c>
      <c r="B285" s="3" t="str">
        <f aca="false">IF($W285="","",INDEX(发票统计!B$4:B$1003,$W285)&amp;"")</f>
        <v/>
      </c>
      <c r="C285" s="3" t="str">
        <f aca="false">IF($W285="","",INDEX(发票统计!C$4:C$1003,$W285)&amp;"")</f>
        <v/>
      </c>
      <c r="D285" s="3" t="str">
        <f aca="false">IF($W285="","",INDEX(发票统计!D$4:D$1003,$W285)&amp;"")</f>
        <v/>
      </c>
      <c r="E285" s="67" t="str">
        <f aca="false">IF($W285="","",INDEX(发票统计!E$4:E$1003,$W285)&amp;"")</f>
        <v/>
      </c>
      <c r="F285" s="68" t="str">
        <f aca="false">IF($W285="","",INDEX(发票统计!F$4:F$1003,$W285)&amp;"")</f>
        <v/>
      </c>
      <c r="G285" s="68" t="str">
        <f aca="false">IF($W285="","",IF(INDEX(发票统计!G$4:G$1003,$W285)="","",INDEX(发票统计!G$4:G$1003,$W285)))</f>
        <v/>
      </c>
      <c r="H285" s="56" t="str">
        <f aca="false">IF($W285="","",N(INDEX(发票统计!H$4:H$1003,$W285)))</f>
        <v/>
      </c>
      <c r="I285" s="56" t="str">
        <f aca="false">IF($W285="","",N(INDEX(发票统计!I$4:I$1003,$W285)))</f>
        <v/>
      </c>
      <c r="J285" s="56" t="str">
        <f aca="false">IF($W285="","",N(INDEX(发票统计!J$4:J$1003,$W285)))</f>
        <v/>
      </c>
      <c r="K285" s="56" t="str">
        <f aca="false">IF($W285="","",N(INDEX(发票统计!K$4:K$1003,$W285)))</f>
        <v/>
      </c>
      <c r="L285" s="56" t="str">
        <f aca="false">IF($W285="","",SUM(J$4:J285)-SUM(K$4:K285))</f>
        <v/>
      </c>
      <c r="M285" s="56" t="str">
        <f aca="false">IF($W285="","",N(INDEX(发票统计!M$4:M$1003,$W285)))</f>
        <v/>
      </c>
      <c r="N285" s="56" t="str">
        <f aca="false">IF($W285="","",N(INDEX(发票统计!N$4:N$1003,$W285)))</f>
        <v/>
      </c>
      <c r="O285" s="56" t="str">
        <f aca="false">IF($W285="","",N(INDEX(发票统计!O$4:O$1003,$W285)))</f>
        <v/>
      </c>
      <c r="P285" s="56" t="str">
        <f aca="false">IF($W285="","",SUM(M$4:M285)-SUM(N$4:N285)-SUM(O$4:O285))</f>
        <v/>
      </c>
      <c r="Q285" s="56" t="str">
        <f aca="false">IF($W285="","",N(INDEX(发票统计!Q$4:Q$1003,$W285)))</f>
        <v/>
      </c>
      <c r="R285" s="56" t="str">
        <f aca="false">IF($W285="","",N(INDEX(发票统计!R$4:R$1003,$W285)))</f>
        <v/>
      </c>
      <c r="S285" s="56" t="str">
        <f aca="false">IF($W285="","",N(INDEX(发票统计!S$4:S$1003,$W285)))</f>
        <v/>
      </c>
      <c r="T285" s="56" t="str">
        <f aca="false">IF($W285="","",SUM(Q$4:Q285)-SUM(R$4:R285)-SUM(S$4:S285))</f>
        <v/>
      </c>
      <c r="U285" s="56" t="str">
        <f aca="false">IF($W285="","",INDEX(发票统计!U$4:U$1003,$W285)&amp;"")</f>
        <v/>
      </c>
      <c r="W285" s="1" t="str">
        <f aca="false">IF($V$3="","",IFERROR(MATCH($V$3&amp;"#"&amp;ROWS(W$4:W285),发票统计!$W$4:$W$1003,0),""))</f>
        <v/>
      </c>
    </row>
    <row r="286" customFormat="false" ht="16.5" hidden="false" customHeight="false" outlineLevel="0" collapsed="false">
      <c r="A286" s="3" t="str">
        <f aca="false">IF($W286="","",INDEX(发票统计!A$4:A$1003,$W286)&amp;"")</f>
        <v/>
      </c>
      <c r="B286" s="3" t="str">
        <f aca="false">IF($W286="","",INDEX(发票统计!B$4:B$1003,$W286)&amp;"")</f>
        <v/>
      </c>
      <c r="C286" s="3" t="str">
        <f aca="false">IF($W286="","",INDEX(发票统计!C$4:C$1003,$W286)&amp;"")</f>
        <v/>
      </c>
      <c r="D286" s="3" t="str">
        <f aca="false">IF($W286="","",INDEX(发票统计!D$4:D$1003,$W286)&amp;"")</f>
        <v/>
      </c>
      <c r="E286" s="67" t="str">
        <f aca="false">IF($W286="","",INDEX(发票统计!E$4:E$1003,$W286)&amp;"")</f>
        <v/>
      </c>
      <c r="F286" s="68" t="str">
        <f aca="false">IF($W286="","",INDEX(发票统计!F$4:F$1003,$W286)&amp;"")</f>
        <v/>
      </c>
      <c r="G286" s="68" t="str">
        <f aca="false">IF($W286="","",IF(INDEX(发票统计!G$4:G$1003,$W286)="","",INDEX(发票统计!G$4:G$1003,$W286)))</f>
        <v/>
      </c>
      <c r="H286" s="56" t="str">
        <f aca="false">IF($W286="","",N(INDEX(发票统计!H$4:H$1003,$W286)))</f>
        <v/>
      </c>
      <c r="I286" s="56" t="str">
        <f aca="false">IF($W286="","",N(INDEX(发票统计!I$4:I$1003,$W286)))</f>
        <v/>
      </c>
      <c r="J286" s="56" t="str">
        <f aca="false">IF($W286="","",N(INDEX(发票统计!J$4:J$1003,$W286)))</f>
        <v/>
      </c>
      <c r="K286" s="56" t="str">
        <f aca="false">IF($W286="","",N(INDEX(发票统计!K$4:K$1003,$W286)))</f>
        <v/>
      </c>
      <c r="L286" s="56" t="str">
        <f aca="false">IF($W286="","",SUM(J$4:J286)-SUM(K$4:K286))</f>
        <v/>
      </c>
      <c r="M286" s="56" t="str">
        <f aca="false">IF($W286="","",N(INDEX(发票统计!M$4:M$1003,$W286)))</f>
        <v/>
      </c>
      <c r="N286" s="56" t="str">
        <f aca="false">IF($W286="","",N(INDEX(发票统计!N$4:N$1003,$W286)))</f>
        <v/>
      </c>
      <c r="O286" s="56" t="str">
        <f aca="false">IF($W286="","",N(INDEX(发票统计!O$4:O$1003,$W286)))</f>
        <v/>
      </c>
      <c r="P286" s="56" t="str">
        <f aca="false">IF($W286="","",SUM(M$4:M286)-SUM(N$4:N286)-SUM(O$4:O286))</f>
        <v/>
      </c>
      <c r="Q286" s="56" t="str">
        <f aca="false">IF($W286="","",N(INDEX(发票统计!Q$4:Q$1003,$W286)))</f>
        <v/>
      </c>
      <c r="R286" s="56" t="str">
        <f aca="false">IF($W286="","",N(INDEX(发票统计!R$4:R$1003,$W286)))</f>
        <v/>
      </c>
      <c r="S286" s="56" t="str">
        <f aca="false">IF($W286="","",N(INDEX(发票统计!S$4:S$1003,$W286)))</f>
        <v/>
      </c>
      <c r="T286" s="56" t="str">
        <f aca="false">IF($W286="","",SUM(Q$4:Q286)-SUM(R$4:R286)-SUM(S$4:S286))</f>
        <v/>
      </c>
      <c r="U286" s="56" t="str">
        <f aca="false">IF($W286="","",INDEX(发票统计!U$4:U$1003,$W286)&amp;"")</f>
        <v/>
      </c>
      <c r="W286" s="1" t="str">
        <f aca="false">IF($V$3="","",IFERROR(MATCH($V$3&amp;"#"&amp;ROWS(W$4:W286),发票统计!$W$4:$W$1003,0),""))</f>
        <v/>
      </c>
    </row>
    <row r="287" customFormat="false" ht="16.5" hidden="false" customHeight="false" outlineLevel="0" collapsed="false">
      <c r="A287" s="3" t="str">
        <f aca="false">IF($W287="","",INDEX(发票统计!A$4:A$1003,$W287)&amp;"")</f>
        <v/>
      </c>
      <c r="B287" s="3" t="str">
        <f aca="false">IF($W287="","",INDEX(发票统计!B$4:B$1003,$W287)&amp;"")</f>
        <v/>
      </c>
      <c r="C287" s="3" t="str">
        <f aca="false">IF($W287="","",INDEX(发票统计!C$4:C$1003,$W287)&amp;"")</f>
        <v/>
      </c>
      <c r="D287" s="3" t="str">
        <f aca="false">IF($W287="","",INDEX(发票统计!D$4:D$1003,$W287)&amp;"")</f>
        <v/>
      </c>
      <c r="E287" s="67" t="str">
        <f aca="false">IF($W287="","",INDEX(发票统计!E$4:E$1003,$W287)&amp;"")</f>
        <v/>
      </c>
      <c r="F287" s="68" t="str">
        <f aca="false">IF($W287="","",INDEX(发票统计!F$4:F$1003,$W287)&amp;"")</f>
        <v/>
      </c>
      <c r="G287" s="68" t="str">
        <f aca="false">IF($W287="","",IF(INDEX(发票统计!G$4:G$1003,$W287)="","",INDEX(发票统计!G$4:G$1003,$W287)))</f>
        <v/>
      </c>
      <c r="H287" s="56" t="str">
        <f aca="false">IF($W287="","",N(INDEX(发票统计!H$4:H$1003,$W287)))</f>
        <v/>
      </c>
      <c r="I287" s="56" t="str">
        <f aca="false">IF($W287="","",N(INDEX(发票统计!I$4:I$1003,$W287)))</f>
        <v/>
      </c>
      <c r="J287" s="56" t="str">
        <f aca="false">IF($W287="","",N(INDEX(发票统计!J$4:J$1003,$W287)))</f>
        <v/>
      </c>
      <c r="K287" s="56" t="str">
        <f aca="false">IF($W287="","",N(INDEX(发票统计!K$4:K$1003,$W287)))</f>
        <v/>
      </c>
      <c r="L287" s="56" t="str">
        <f aca="false">IF($W287="","",SUM(J$4:J287)-SUM(K$4:K287))</f>
        <v/>
      </c>
      <c r="M287" s="56" t="str">
        <f aca="false">IF($W287="","",N(INDEX(发票统计!M$4:M$1003,$W287)))</f>
        <v/>
      </c>
      <c r="N287" s="56" t="str">
        <f aca="false">IF($W287="","",N(INDEX(发票统计!N$4:N$1003,$W287)))</f>
        <v/>
      </c>
      <c r="O287" s="56" t="str">
        <f aca="false">IF($W287="","",N(INDEX(发票统计!O$4:O$1003,$W287)))</f>
        <v/>
      </c>
      <c r="P287" s="56" t="str">
        <f aca="false">IF($W287="","",SUM(M$4:M287)-SUM(N$4:N287)-SUM(O$4:O287))</f>
        <v/>
      </c>
      <c r="Q287" s="56" t="str">
        <f aca="false">IF($W287="","",N(INDEX(发票统计!Q$4:Q$1003,$W287)))</f>
        <v/>
      </c>
      <c r="R287" s="56" t="str">
        <f aca="false">IF($W287="","",N(INDEX(发票统计!R$4:R$1003,$W287)))</f>
        <v/>
      </c>
      <c r="S287" s="56" t="str">
        <f aca="false">IF($W287="","",N(INDEX(发票统计!S$4:S$1003,$W287)))</f>
        <v/>
      </c>
      <c r="T287" s="56" t="str">
        <f aca="false">IF($W287="","",SUM(Q$4:Q287)-SUM(R$4:R287)-SUM(S$4:S287))</f>
        <v/>
      </c>
      <c r="U287" s="56" t="str">
        <f aca="false">IF($W287="","",INDEX(发票统计!U$4:U$1003,$W287)&amp;"")</f>
        <v/>
      </c>
      <c r="W287" s="1" t="str">
        <f aca="false">IF($V$3="","",IFERROR(MATCH($V$3&amp;"#"&amp;ROWS(W$4:W287),发票统计!$W$4:$W$1003,0),""))</f>
        <v/>
      </c>
    </row>
    <row r="288" customFormat="false" ht="16.5" hidden="false" customHeight="false" outlineLevel="0" collapsed="false">
      <c r="A288" s="3" t="str">
        <f aca="false">IF($W288="","",INDEX(发票统计!A$4:A$1003,$W288)&amp;"")</f>
        <v/>
      </c>
      <c r="B288" s="3" t="str">
        <f aca="false">IF($W288="","",INDEX(发票统计!B$4:B$1003,$W288)&amp;"")</f>
        <v/>
      </c>
      <c r="C288" s="3" t="str">
        <f aca="false">IF($W288="","",INDEX(发票统计!C$4:C$1003,$W288)&amp;"")</f>
        <v/>
      </c>
      <c r="D288" s="3" t="str">
        <f aca="false">IF($W288="","",INDEX(发票统计!D$4:D$1003,$W288)&amp;"")</f>
        <v/>
      </c>
      <c r="E288" s="67" t="str">
        <f aca="false">IF($W288="","",INDEX(发票统计!E$4:E$1003,$W288)&amp;"")</f>
        <v/>
      </c>
      <c r="F288" s="68" t="str">
        <f aca="false">IF($W288="","",INDEX(发票统计!F$4:F$1003,$W288)&amp;"")</f>
        <v/>
      </c>
      <c r="G288" s="68" t="str">
        <f aca="false">IF($W288="","",IF(INDEX(发票统计!G$4:G$1003,$W288)="","",INDEX(发票统计!G$4:G$1003,$W288)))</f>
        <v/>
      </c>
      <c r="H288" s="56" t="str">
        <f aca="false">IF($W288="","",N(INDEX(发票统计!H$4:H$1003,$W288)))</f>
        <v/>
      </c>
      <c r="I288" s="56" t="str">
        <f aca="false">IF($W288="","",N(INDEX(发票统计!I$4:I$1003,$W288)))</f>
        <v/>
      </c>
      <c r="J288" s="56" t="str">
        <f aca="false">IF($W288="","",N(INDEX(发票统计!J$4:J$1003,$W288)))</f>
        <v/>
      </c>
      <c r="K288" s="56" t="str">
        <f aca="false">IF($W288="","",N(INDEX(发票统计!K$4:K$1003,$W288)))</f>
        <v/>
      </c>
      <c r="L288" s="56" t="str">
        <f aca="false">IF($W288="","",SUM(J$4:J288)-SUM(K$4:K288))</f>
        <v/>
      </c>
      <c r="M288" s="56" t="str">
        <f aca="false">IF($W288="","",N(INDEX(发票统计!M$4:M$1003,$W288)))</f>
        <v/>
      </c>
      <c r="N288" s="56" t="str">
        <f aca="false">IF($W288="","",N(INDEX(发票统计!N$4:N$1003,$W288)))</f>
        <v/>
      </c>
      <c r="O288" s="56" t="str">
        <f aca="false">IF($W288="","",N(INDEX(发票统计!O$4:O$1003,$W288)))</f>
        <v/>
      </c>
      <c r="P288" s="56" t="str">
        <f aca="false">IF($W288="","",SUM(M$4:M288)-SUM(N$4:N288)-SUM(O$4:O288))</f>
        <v/>
      </c>
      <c r="Q288" s="56" t="str">
        <f aca="false">IF($W288="","",N(INDEX(发票统计!Q$4:Q$1003,$W288)))</f>
        <v/>
      </c>
      <c r="R288" s="56" t="str">
        <f aca="false">IF($W288="","",N(INDEX(发票统计!R$4:R$1003,$W288)))</f>
        <v/>
      </c>
      <c r="S288" s="56" t="str">
        <f aca="false">IF($W288="","",N(INDEX(发票统计!S$4:S$1003,$W288)))</f>
        <v/>
      </c>
      <c r="T288" s="56" t="str">
        <f aca="false">IF($W288="","",SUM(Q$4:Q288)-SUM(R$4:R288)-SUM(S$4:S288))</f>
        <v/>
      </c>
      <c r="U288" s="56" t="str">
        <f aca="false">IF($W288="","",INDEX(发票统计!U$4:U$1003,$W288)&amp;"")</f>
        <v/>
      </c>
      <c r="W288" s="1" t="str">
        <f aca="false">IF($V$3="","",IFERROR(MATCH($V$3&amp;"#"&amp;ROWS(W$4:W288),发票统计!$W$4:$W$1003,0),""))</f>
        <v/>
      </c>
    </row>
    <row r="289" customFormat="false" ht="16.5" hidden="false" customHeight="false" outlineLevel="0" collapsed="false">
      <c r="A289" s="3" t="str">
        <f aca="false">IF($W289="","",INDEX(发票统计!A$4:A$1003,$W289)&amp;"")</f>
        <v/>
      </c>
      <c r="B289" s="3" t="str">
        <f aca="false">IF($W289="","",INDEX(发票统计!B$4:B$1003,$W289)&amp;"")</f>
        <v/>
      </c>
      <c r="C289" s="3" t="str">
        <f aca="false">IF($W289="","",INDEX(发票统计!C$4:C$1003,$W289)&amp;"")</f>
        <v/>
      </c>
      <c r="D289" s="3" t="str">
        <f aca="false">IF($W289="","",INDEX(发票统计!D$4:D$1003,$W289)&amp;"")</f>
        <v/>
      </c>
      <c r="E289" s="67" t="str">
        <f aca="false">IF($W289="","",INDEX(发票统计!E$4:E$1003,$W289)&amp;"")</f>
        <v/>
      </c>
      <c r="F289" s="68" t="str">
        <f aca="false">IF($W289="","",INDEX(发票统计!F$4:F$1003,$W289)&amp;"")</f>
        <v/>
      </c>
      <c r="G289" s="68" t="str">
        <f aca="false">IF($W289="","",IF(INDEX(发票统计!G$4:G$1003,$W289)="","",INDEX(发票统计!G$4:G$1003,$W289)))</f>
        <v/>
      </c>
      <c r="H289" s="56" t="str">
        <f aca="false">IF($W289="","",N(INDEX(发票统计!H$4:H$1003,$W289)))</f>
        <v/>
      </c>
      <c r="I289" s="56" t="str">
        <f aca="false">IF($W289="","",N(INDEX(发票统计!I$4:I$1003,$W289)))</f>
        <v/>
      </c>
      <c r="J289" s="56" t="str">
        <f aca="false">IF($W289="","",N(INDEX(发票统计!J$4:J$1003,$W289)))</f>
        <v/>
      </c>
      <c r="K289" s="56" t="str">
        <f aca="false">IF($W289="","",N(INDEX(发票统计!K$4:K$1003,$W289)))</f>
        <v/>
      </c>
      <c r="L289" s="56" t="str">
        <f aca="false">IF($W289="","",SUM(J$4:J289)-SUM(K$4:K289))</f>
        <v/>
      </c>
      <c r="M289" s="56" t="str">
        <f aca="false">IF($W289="","",N(INDEX(发票统计!M$4:M$1003,$W289)))</f>
        <v/>
      </c>
      <c r="N289" s="56" t="str">
        <f aca="false">IF($W289="","",N(INDEX(发票统计!N$4:N$1003,$W289)))</f>
        <v/>
      </c>
      <c r="O289" s="56" t="str">
        <f aca="false">IF($W289="","",N(INDEX(发票统计!O$4:O$1003,$W289)))</f>
        <v/>
      </c>
      <c r="P289" s="56" t="str">
        <f aca="false">IF($W289="","",SUM(M$4:M289)-SUM(N$4:N289)-SUM(O$4:O289))</f>
        <v/>
      </c>
      <c r="Q289" s="56" t="str">
        <f aca="false">IF($W289="","",N(INDEX(发票统计!Q$4:Q$1003,$W289)))</f>
        <v/>
      </c>
      <c r="R289" s="56" t="str">
        <f aca="false">IF($W289="","",N(INDEX(发票统计!R$4:R$1003,$W289)))</f>
        <v/>
      </c>
      <c r="S289" s="56" t="str">
        <f aca="false">IF($W289="","",N(INDEX(发票统计!S$4:S$1003,$W289)))</f>
        <v/>
      </c>
      <c r="T289" s="56" t="str">
        <f aca="false">IF($W289="","",SUM(Q$4:Q289)-SUM(R$4:R289)-SUM(S$4:S289))</f>
        <v/>
      </c>
      <c r="U289" s="56" t="str">
        <f aca="false">IF($W289="","",INDEX(发票统计!U$4:U$1003,$W289)&amp;"")</f>
        <v/>
      </c>
      <c r="W289" s="1" t="str">
        <f aca="false">IF($V$3="","",IFERROR(MATCH($V$3&amp;"#"&amp;ROWS(W$4:W289),发票统计!$W$4:$W$1003,0),""))</f>
        <v/>
      </c>
    </row>
    <row r="290" customFormat="false" ht="16.5" hidden="false" customHeight="false" outlineLevel="0" collapsed="false">
      <c r="A290" s="3" t="str">
        <f aca="false">IF($W290="","",INDEX(发票统计!A$4:A$1003,$W290)&amp;"")</f>
        <v/>
      </c>
      <c r="B290" s="3" t="str">
        <f aca="false">IF($W290="","",INDEX(发票统计!B$4:B$1003,$W290)&amp;"")</f>
        <v/>
      </c>
      <c r="C290" s="3" t="str">
        <f aca="false">IF($W290="","",INDEX(发票统计!C$4:C$1003,$W290)&amp;"")</f>
        <v/>
      </c>
      <c r="D290" s="3" t="str">
        <f aca="false">IF($W290="","",INDEX(发票统计!D$4:D$1003,$W290)&amp;"")</f>
        <v/>
      </c>
      <c r="E290" s="67" t="str">
        <f aca="false">IF($W290="","",INDEX(发票统计!E$4:E$1003,$W290)&amp;"")</f>
        <v/>
      </c>
      <c r="F290" s="68" t="str">
        <f aca="false">IF($W290="","",INDEX(发票统计!F$4:F$1003,$W290)&amp;"")</f>
        <v/>
      </c>
      <c r="G290" s="68" t="str">
        <f aca="false">IF($W290="","",IF(INDEX(发票统计!G$4:G$1003,$W290)="","",INDEX(发票统计!G$4:G$1003,$W290)))</f>
        <v/>
      </c>
      <c r="H290" s="56" t="str">
        <f aca="false">IF($W290="","",N(INDEX(发票统计!H$4:H$1003,$W290)))</f>
        <v/>
      </c>
      <c r="I290" s="56" t="str">
        <f aca="false">IF($W290="","",N(INDEX(发票统计!I$4:I$1003,$W290)))</f>
        <v/>
      </c>
      <c r="J290" s="56" t="str">
        <f aca="false">IF($W290="","",N(INDEX(发票统计!J$4:J$1003,$W290)))</f>
        <v/>
      </c>
      <c r="K290" s="56" t="str">
        <f aca="false">IF($W290="","",N(INDEX(发票统计!K$4:K$1003,$W290)))</f>
        <v/>
      </c>
      <c r="L290" s="56" t="str">
        <f aca="false">IF($W290="","",SUM(J$4:J290)-SUM(K$4:K290))</f>
        <v/>
      </c>
      <c r="M290" s="56" t="str">
        <f aca="false">IF($W290="","",N(INDEX(发票统计!M$4:M$1003,$W290)))</f>
        <v/>
      </c>
      <c r="N290" s="56" t="str">
        <f aca="false">IF($W290="","",N(INDEX(发票统计!N$4:N$1003,$W290)))</f>
        <v/>
      </c>
      <c r="O290" s="56" t="str">
        <f aca="false">IF($W290="","",N(INDEX(发票统计!O$4:O$1003,$W290)))</f>
        <v/>
      </c>
      <c r="P290" s="56" t="str">
        <f aca="false">IF($W290="","",SUM(M$4:M290)-SUM(N$4:N290)-SUM(O$4:O290))</f>
        <v/>
      </c>
      <c r="Q290" s="56" t="str">
        <f aca="false">IF($W290="","",N(INDEX(发票统计!Q$4:Q$1003,$W290)))</f>
        <v/>
      </c>
      <c r="R290" s="56" t="str">
        <f aca="false">IF($W290="","",N(INDEX(发票统计!R$4:R$1003,$W290)))</f>
        <v/>
      </c>
      <c r="S290" s="56" t="str">
        <f aca="false">IF($W290="","",N(INDEX(发票统计!S$4:S$1003,$W290)))</f>
        <v/>
      </c>
      <c r="T290" s="56" t="str">
        <f aca="false">IF($W290="","",SUM(Q$4:Q290)-SUM(R$4:R290)-SUM(S$4:S290))</f>
        <v/>
      </c>
      <c r="U290" s="56" t="str">
        <f aca="false">IF($W290="","",INDEX(发票统计!U$4:U$1003,$W290)&amp;"")</f>
        <v/>
      </c>
      <c r="W290" s="1" t="str">
        <f aca="false">IF($V$3="","",IFERROR(MATCH($V$3&amp;"#"&amp;ROWS(W$4:W290),发票统计!$W$4:$W$1003,0),""))</f>
        <v/>
      </c>
    </row>
    <row r="291" customFormat="false" ht="16.5" hidden="false" customHeight="false" outlineLevel="0" collapsed="false">
      <c r="A291" s="3" t="str">
        <f aca="false">IF($W291="","",INDEX(发票统计!A$4:A$1003,$W291)&amp;"")</f>
        <v/>
      </c>
      <c r="B291" s="3" t="str">
        <f aca="false">IF($W291="","",INDEX(发票统计!B$4:B$1003,$W291)&amp;"")</f>
        <v/>
      </c>
      <c r="C291" s="3" t="str">
        <f aca="false">IF($W291="","",INDEX(发票统计!C$4:C$1003,$W291)&amp;"")</f>
        <v/>
      </c>
      <c r="D291" s="3" t="str">
        <f aca="false">IF($W291="","",INDEX(发票统计!D$4:D$1003,$W291)&amp;"")</f>
        <v/>
      </c>
      <c r="E291" s="67" t="str">
        <f aca="false">IF($W291="","",INDEX(发票统计!E$4:E$1003,$W291)&amp;"")</f>
        <v/>
      </c>
      <c r="F291" s="68" t="str">
        <f aca="false">IF($W291="","",INDEX(发票统计!F$4:F$1003,$W291)&amp;"")</f>
        <v/>
      </c>
      <c r="G291" s="68" t="str">
        <f aca="false">IF($W291="","",IF(INDEX(发票统计!G$4:G$1003,$W291)="","",INDEX(发票统计!G$4:G$1003,$W291)))</f>
        <v/>
      </c>
      <c r="H291" s="56" t="str">
        <f aca="false">IF($W291="","",N(INDEX(发票统计!H$4:H$1003,$W291)))</f>
        <v/>
      </c>
      <c r="I291" s="56" t="str">
        <f aca="false">IF($W291="","",N(INDEX(发票统计!I$4:I$1003,$W291)))</f>
        <v/>
      </c>
      <c r="J291" s="56" t="str">
        <f aca="false">IF($W291="","",N(INDEX(发票统计!J$4:J$1003,$W291)))</f>
        <v/>
      </c>
      <c r="K291" s="56" t="str">
        <f aca="false">IF($W291="","",N(INDEX(发票统计!K$4:K$1003,$W291)))</f>
        <v/>
      </c>
      <c r="L291" s="56" t="str">
        <f aca="false">IF($W291="","",SUM(J$4:J291)-SUM(K$4:K291))</f>
        <v/>
      </c>
      <c r="M291" s="56" t="str">
        <f aca="false">IF($W291="","",N(INDEX(发票统计!M$4:M$1003,$W291)))</f>
        <v/>
      </c>
      <c r="N291" s="56" t="str">
        <f aca="false">IF($W291="","",N(INDEX(发票统计!N$4:N$1003,$W291)))</f>
        <v/>
      </c>
      <c r="O291" s="56" t="str">
        <f aca="false">IF($W291="","",N(INDEX(发票统计!O$4:O$1003,$W291)))</f>
        <v/>
      </c>
      <c r="P291" s="56" t="str">
        <f aca="false">IF($W291="","",SUM(M$4:M291)-SUM(N$4:N291)-SUM(O$4:O291))</f>
        <v/>
      </c>
      <c r="Q291" s="56" t="str">
        <f aca="false">IF($W291="","",N(INDEX(发票统计!Q$4:Q$1003,$W291)))</f>
        <v/>
      </c>
      <c r="R291" s="56" t="str">
        <f aca="false">IF($W291="","",N(INDEX(发票统计!R$4:R$1003,$W291)))</f>
        <v/>
      </c>
      <c r="S291" s="56" t="str">
        <f aca="false">IF($W291="","",N(INDEX(发票统计!S$4:S$1003,$W291)))</f>
        <v/>
      </c>
      <c r="T291" s="56" t="str">
        <f aca="false">IF($W291="","",SUM(Q$4:Q291)-SUM(R$4:R291)-SUM(S$4:S291))</f>
        <v/>
      </c>
      <c r="U291" s="56" t="str">
        <f aca="false">IF($W291="","",INDEX(发票统计!U$4:U$1003,$W291)&amp;"")</f>
        <v/>
      </c>
      <c r="W291" s="1" t="str">
        <f aca="false">IF($V$3="","",IFERROR(MATCH($V$3&amp;"#"&amp;ROWS(W$4:W291),发票统计!$W$4:$W$1003,0),""))</f>
        <v/>
      </c>
    </row>
    <row r="292" customFormat="false" ht="16.5" hidden="false" customHeight="false" outlineLevel="0" collapsed="false">
      <c r="A292" s="3" t="str">
        <f aca="false">IF($W292="","",INDEX(发票统计!A$4:A$1003,$W292)&amp;"")</f>
        <v/>
      </c>
      <c r="B292" s="3" t="str">
        <f aca="false">IF($W292="","",INDEX(发票统计!B$4:B$1003,$W292)&amp;"")</f>
        <v/>
      </c>
      <c r="C292" s="3" t="str">
        <f aca="false">IF($W292="","",INDEX(发票统计!C$4:C$1003,$W292)&amp;"")</f>
        <v/>
      </c>
      <c r="D292" s="3" t="str">
        <f aca="false">IF($W292="","",INDEX(发票统计!D$4:D$1003,$W292)&amp;"")</f>
        <v/>
      </c>
      <c r="E292" s="67" t="str">
        <f aca="false">IF($W292="","",INDEX(发票统计!E$4:E$1003,$W292)&amp;"")</f>
        <v/>
      </c>
      <c r="F292" s="68" t="str">
        <f aca="false">IF($W292="","",INDEX(发票统计!F$4:F$1003,$W292)&amp;"")</f>
        <v/>
      </c>
      <c r="G292" s="68" t="str">
        <f aca="false">IF($W292="","",IF(INDEX(发票统计!G$4:G$1003,$W292)="","",INDEX(发票统计!G$4:G$1003,$W292)))</f>
        <v/>
      </c>
      <c r="H292" s="56" t="str">
        <f aca="false">IF($W292="","",N(INDEX(发票统计!H$4:H$1003,$W292)))</f>
        <v/>
      </c>
      <c r="I292" s="56" t="str">
        <f aca="false">IF($W292="","",N(INDEX(发票统计!I$4:I$1003,$W292)))</f>
        <v/>
      </c>
      <c r="J292" s="56" t="str">
        <f aca="false">IF($W292="","",N(INDEX(发票统计!J$4:J$1003,$W292)))</f>
        <v/>
      </c>
      <c r="K292" s="56" t="str">
        <f aca="false">IF($W292="","",N(INDEX(发票统计!K$4:K$1003,$W292)))</f>
        <v/>
      </c>
      <c r="L292" s="56" t="str">
        <f aca="false">IF($W292="","",SUM(J$4:J292)-SUM(K$4:K292))</f>
        <v/>
      </c>
      <c r="M292" s="56" t="str">
        <f aca="false">IF($W292="","",N(INDEX(发票统计!M$4:M$1003,$W292)))</f>
        <v/>
      </c>
      <c r="N292" s="56" t="str">
        <f aca="false">IF($W292="","",N(INDEX(发票统计!N$4:N$1003,$W292)))</f>
        <v/>
      </c>
      <c r="O292" s="56" t="str">
        <f aca="false">IF($W292="","",N(INDEX(发票统计!O$4:O$1003,$W292)))</f>
        <v/>
      </c>
      <c r="P292" s="56" t="str">
        <f aca="false">IF($W292="","",SUM(M$4:M292)-SUM(N$4:N292)-SUM(O$4:O292))</f>
        <v/>
      </c>
      <c r="Q292" s="56" t="str">
        <f aca="false">IF($W292="","",N(INDEX(发票统计!Q$4:Q$1003,$W292)))</f>
        <v/>
      </c>
      <c r="R292" s="56" t="str">
        <f aca="false">IF($W292="","",N(INDEX(发票统计!R$4:R$1003,$W292)))</f>
        <v/>
      </c>
      <c r="S292" s="56" t="str">
        <f aca="false">IF($W292="","",N(INDEX(发票统计!S$4:S$1003,$W292)))</f>
        <v/>
      </c>
      <c r="T292" s="56" t="str">
        <f aca="false">IF($W292="","",SUM(Q$4:Q292)-SUM(R$4:R292)-SUM(S$4:S292))</f>
        <v/>
      </c>
      <c r="U292" s="56" t="str">
        <f aca="false">IF($W292="","",INDEX(发票统计!U$4:U$1003,$W292)&amp;"")</f>
        <v/>
      </c>
      <c r="W292" s="1" t="str">
        <f aca="false">IF($V$3="","",IFERROR(MATCH($V$3&amp;"#"&amp;ROWS(W$4:W292),发票统计!$W$4:$W$1003,0),""))</f>
        <v/>
      </c>
    </row>
    <row r="293" customFormat="false" ht="16.5" hidden="false" customHeight="false" outlineLevel="0" collapsed="false">
      <c r="A293" s="3" t="str">
        <f aca="false">IF($W293="","",INDEX(发票统计!A$4:A$1003,$W293)&amp;"")</f>
        <v/>
      </c>
      <c r="B293" s="3" t="str">
        <f aca="false">IF($W293="","",INDEX(发票统计!B$4:B$1003,$W293)&amp;"")</f>
        <v/>
      </c>
      <c r="C293" s="3" t="str">
        <f aca="false">IF($W293="","",INDEX(发票统计!C$4:C$1003,$W293)&amp;"")</f>
        <v/>
      </c>
      <c r="D293" s="3" t="str">
        <f aca="false">IF($W293="","",INDEX(发票统计!D$4:D$1003,$W293)&amp;"")</f>
        <v/>
      </c>
      <c r="E293" s="67" t="str">
        <f aca="false">IF($W293="","",INDEX(发票统计!E$4:E$1003,$W293)&amp;"")</f>
        <v/>
      </c>
      <c r="F293" s="68" t="str">
        <f aca="false">IF($W293="","",INDEX(发票统计!F$4:F$1003,$W293)&amp;"")</f>
        <v/>
      </c>
      <c r="G293" s="68" t="str">
        <f aca="false">IF($W293="","",IF(INDEX(发票统计!G$4:G$1003,$W293)="","",INDEX(发票统计!G$4:G$1003,$W293)))</f>
        <v/>
      </c>
      <c r="H293" s="56" t="str">
        <f aca="false">IF($W293="","",N(INDEX(发票统计!H$4:H$1003,$W293)))</f>
        <v/>
      </c>
      <c r="I293" s="56" t="str">
        <f aca="false">IF($W293="","",N(INDEX(发票统计!I$4:I$1003,$W293)))</f>
        <v/>
      </c>
      <c r="J293" s="56" t="str">
        <f aca="false">IF($W293="","",N(INDEX(发票统计!J$4:J$1003,$W293)))</f>
        <v/>
      </c>
      <c r="K293" s="56" t="str">
        <f aca="false">IF($W293="","",N(INDEX(发票统计!K$4:K$1003,$W293)))</f>
        <v/>
      </c>
      <c r="L293" s="56" t="str">
        <f aca="false">IF($W293="","",SUM(J$4:J293)-SUM(K$4:K293))</f>
        <v/>
      </c>
      <c r="M293" s="56" t="str">
        <f aca="false">IF($W293="","",N(INDEX(发票统计!M$4:M$1003,$W293)))</f>
        <v/>
      </c>
      <c r="N293" s="56" t="str">
        <f aca="false">IF($W293="","",N(INDEX(发票统计!N$4:N$1003,$W293)))</f>
        <v/>
      </c>
      <c r="O293" s="56" t="str">
        <f aca="false">IF($W293="","",N(INDEX(发票统计!O$4:O$1003,$W293)))</f>
        <v/>
      </c>
      <c r="P293" s="56" t="str">
        <f aca="false">IF($W293="","",SUM(M$4:M293)-SUM(N$4:N293)-SUM(O$4:O293))</f>
        <v/>
      </c>
      <c r="Q293" s="56" t="str">
        <f aca="false">IF($W293="","",N(INDEX(发票统计!Q$4:Q$1003,$W293)))</f>
        <v/>
      </c>
      <c r="R293" s="56" t="str">
        <f aca="false">IF($W293="","",N(INDEX(发票统计!R$4:R$1003,$W293)))</f>
        <v/>
      </c>
      <c r="S293" s="56" t="str">
        <f aca="false">IF($W293="","",N(INDEX(发票统计!S$4:S$1003,$W293)))</f>
        <v/>
      </c>
      <c r="T293" s="56" t="str">
        <f aca="false">IF($W293="","",SUM(Q$4:Q293)-SUM(R$4:R293)-SUM(S$4:S293))</f>
        <v/>
      </c>
      <c r="U293" s="56" t="str">
        <f aca="false">IF($W293="","",INDEX(发票统计!U$4:U$1003,$W293)&amp;"")</f>
        <v/>
      </c>
      <c r="W293" s="1" t="str">
        <f aca="false">IF($V$3="","",IFERROR(MATCH($V$3&amp;"#"&amp;ROWS(W$4:W293),发票统计!$W$4:$W$1003,0),""))</f>
        <v/>
      </c>
    </row>
    <row r="294" customFormat="false" ht="16.5" hidden="false" customHeight="false" outlineLevel="0" collapsed="false">
      <c r="A294" s="3" t="str">
        <f aca="false">IF($W294="","",INDEX(发票统计!A$4:A$1003,$W294)&amp;"")</f>
        <v/>
      </c>
      <c r="B294" s="3" t="str">
        <f aca="false">IF($W294="","",INDEX(发票统计!B$4:B$1003,$W294)&amp;"")</f>
        <v/>
      </c>
      <c r="C294" s="3" t="str">
        <f aca="false">IF($W294="","",INDEX(发票统计!C$4:C$1003,$W294)&amp;"")</f>
        <v/>
      </c>
      <c r="D294" s="3" t="str">
        <f aca="false">IF($W294="","",INDEX(发票统计!D$4:D$1003,$W294)&amp;"")</f>
        <v/>
      </c>
      <c r="E294" s="67" t="str">
        <f aca="false">IF($W294="","",INDEX(发票统计!E$4:E$1003,$W294)&amp;"")</f>
        <v/>
      </c>
      <c r="F294" s="68" t="str">
        <f aca="false">IF($W294="","",INDEX(发票统计!F$4:F$1003,$W294)&amp;"")</f>
        <v/>
      </c>
      <c r="G294" s="68" t="str">
        <f aca="false">IF($W294="","",IF(INDEX(发票统计!G$4:G$1003,$W294)="","",INDEX(发票统计!G$4:G$1003,$W294)))</f>
        <v/>
      </c>
      <c r="H294" s="56" t="str">
        <f aca="false">IF($W294="","",N(INDEX(发票统计!H$4:H$1003,$W294)))</f>
        <v/>
      </c>
      <c r="I294" s="56" t="str">
        <f aca="false">IF($W294="","",N(INDEX(发票统计!I$4:I$1003,$W294)))</f>
        <v/>
      </c>
      <c r="J294" s="56" t="str">
        <f aca="false">IF($W294="","",N(INDEX(发票统计!J$4:J$1003,$W294)))</f>
        <v/>
      </c>
      <c r="K294" s="56" t="str">
        <f aca="false">IF($W294="","",N(INDEX(发票统计!K$4:K$1003,$W294)))</f>
        <v/>
      </c>
      <c r="L294" s="56" t="str">
        <f aca="false">IF($W294="","",SUM(J$4:J294)-SUM(K$4:K294))</f>
        <v/>
      </c>
      <c r="M294" s="56" t="str">
        <f aca="false">IF($W294="","",N(INDEX(发票统计!M$4:M$1003,$W294)))</f>
        <v/>
      </c>
      <c r="N294" s="56" t="str">
        <f aca="false">IF($W294="","",N(INDEX(发票统计!N$4:N$1003,$W294)))</f>
        <v/>
      </c>
      <c r="O294" s="56" t="str">
        <f aca="false">IF($W294="","",N(INDEX(发票统计!O$4:O$1003,$W294)))</f>
        <v/>
      </c>
      <c r="P294" s="56" t="str">
        <f aca="false">IF($W294="","",SUM(M$4:M294)-SUM(N$4:N294)-SUM(O$4:O294))</f>
        <v/>
      </c>
      <c r="Q294" s="56" t="str">
        <f aca="false">IF($W294="","",N(INDEX(发票统计!Q$4:Q$1003,$W294)))</f>
        <v/>
      </c>
      <c r="R294" s="56" t="str">
        <f aca="false">IF($W294="","",N(INDEX(发票统计!R$4:R$1003,$W294)))</f>
        <v/>
      </c>
      <c r="S294" s="56" t="str">
        <f aca="false">IF($W294="","",N(INDEX(发票统计!S$4:S$1003,$W294)))</f>
        <v/>
      </c>
      <c r="T294" s="56" t="str">
        <f aca="false">IF($W294="","",SUM(Q$4:Q294)-SUM(R$4:R294)-SUM(S$4:S294))</f>
        <v/>
      </c>
      <c r="U294" s="56" t="str">
        <f aca="false">IF($W294="","",INDEX(发票统计!U$4:U$1003,$W294)&amp;"")</f>
        <v/>
      </c>
      <c r="W294" s="1" t="str">
        <f aca="false">IF($V$3="","",IFERROR(MATCH($V$3&amp;"#"&amp;ROWS(W$4:W294),发票统计!$W$4:$W$1003,0),""))</f>
        <v/>
      </c>
    </row>
    <row r="295" customFormat="false" ht="16.5" hidden="false" customHeight="false" outlineLevel="0" collapsed="false">
      <c r="A295" s="3" t="str">
        <f aca="false">IF($W295="","",INDEX(发票统计!A$4:A$1003,$W295)&amp;"")</f>
        <v/>
      </c>
      <c r="B295" s="3" t="str">
        <f aca="false">IF($W295="","",INDEX(发票统计!B$4:B$1003,$W295)&amp;"")</f>
        <v/>
      </c>
      <c r="C295" s="3" t="str">
        <f aca="false">IF($W295="","",INDEX(发票统计!C$4:C$1003,$W295)&amp;"")</f>
        <v/>
      </c>
      <c r="D295" s="3" t="str">
        <f aca="false">IF($W295="","",INDEX(发票统计!D$4:D$1003,$W295)&amp;"")</f>
        <v/>
      </c>
      <c r="E295" s="67" t="str">
        <f aca="false">IF($W295="","",INDEX(发票统计!E$4:E$1003,$W295)&amp;"")</f>
        <v/>
      </c>
      <c r="F295" s="68" t="str">
        <f aca="false">IF($W295="","",INDEX(发票统计!F$4:F$1003,$W295)&amp;"")</f>
        <v/>
      </c>
      <c r="G295" s="68" t="str">
        <f aca="false">IF($W295="","",IF(INDEX(发票统计!G$4:G$1003,$W295)="","",INDEX(发票统计!G$4:G$1003,$W295)))</f>
        <v/>
      </c>
      <c r="H295" s="56" t="str">
        <f aca="false">IF($W295="","",N(INDEX(发票统计!H$4:H$1003,$W295)))</f>
        <v/>
      </c>
      <c r="I295" s="56" t="str">
        <f aca="false">IF($W295="","",N(INDEX(发票统计!I$4:I$1003,$W295)))</f>
        <v/>
      </c>
      <c r="J295" s="56" t="str">
        <f aca="false">IF($W295="","",N(INDEX(发票统计!J$4:J$1003,$W295)))</f>
        <v/>
      </c>
      <c r="K295" s="56" t="str">
        <f aca="false">IF($W295="","",N(INDEX(发票统计!K$4:K$1003,$W295)))</f>
        <v/>
      </c>
      <c r="L295" s="56" t="str">
        <f aca="false">IF($W295="","",SUM(J$4:J295)-SUM(K$4:K295))</f>
        <v/>
      </c>
      <c r="M295" s="56" t="str">
        <f aca="false">IF($W295="","",N(INDEX(发票统计!M$4:M$1003,$W295)))</f>
        <v/>
      </c>
      <c r="N295" s="56" t="str">
        <f aca="false">IF($W295="","",N(INDEX(发票统计!N$4:N$1003,$W295)))</f>
        <v/>
      </c>
      <c r="O295" s="56" t="str">
        <f aca="false">IF($W295="","",N(INDEX(发票统计!O$4:O$1003,$W295)))</f>
        <v/>
      </c>
      <c r="P295" s="56" t="str">
        <f aca="false">IF($W295="","",SUM(M$4:M295)-SUM(N$4:N295)-SUM(O$4:O295))</f>
        <v/>
      </c>
      <c r="Q295" s="56" t="str">
        <f aca="false">IF($W295="","",N(INDEX(发票统计!Q$4:Q$1003,$W295)))</f>
        <v/>
      </c>
      <c r="R295" s="56" t="str">
        <f aca="false">IF($W295="","",N(INDEX(发票统计!R$4:R$1003,$W295)))</f>
        <v/>
      </c>
      <c r="S295" s="56" t="str">
        <f aca="false">IF($W295="","",N(INDEX(发票统计!S$4:S$1003,$W295)))</f>
        <v/>
      </c>
      <c r="T295" s="56" t="str">
        <f aca="false">IF($W295="","",SUM(Q$4:Q295)-SUM(R$4:R295)-SUM(S$4:S295))</f>
        <v/>
      </c>
      <c r="U295" s="56" t="str">
        <f aca="false">IF($W295="","",INDEX(发票统计!U$4:U$1003,$W295)&amp;"")</f>
        <v/>
      </c>
      <c r="W295" s="1" t="str">
        <f aca="false">IF($V$3="","",IFERROR(MATCH($V$3&amp;"#"&amp;ROWS(W$4:W295),发票统计!$W$4:$W$1003,0),""))</f>
        <v/>
      </c>
    </row>
    <row r="296" customFormat="false" ht="16.5" hidden="false" customHeight="false" outlineLevel="0" collapsed="false">
      <c r="A296" s="3" t="str">
        <f aca="false">IF($W296="","",INDEX(发票统计!A$4:A$1003,$W296)&amp;"")</f>
        <v/>
      </c>
      <c r="B296" s="3" t="str">
        <f aca="false">IF($W296="","",INDEX(发票统计!B$4:B$1003,$W296)&amp;"")</f>
        <v/>
      </c>
      <c r="C296" s="3" t="str">
        <f aca="false">IF($W296="","",INDEX(发票统计!C$4:C$1003,$W296)&amp;"")</f>
        <v/>
      </c>
      <c r="D296" s="3" t="str">
        <f aca="false">IF($W296="","",INDEX(发票统计!D$4:D$1003,$W296)&amp;"")</f>
        <v/>
      </c>
      <c r="E296" s="67" t="str">
        <f aca="false">IF($W296="","",INDEX(发票统计!E$4:E$1003,$W296)&amp;"")</f>
        <v/>
      </c>
      <c r="F296" s="68" t="str">
        <f aca="false">IF($W296="","",INDEX(发票统计!F$4:F$1003,$W296)&amp;"")</f>
        <v/>
      </c>
      <c r="G296" s="68" t="str">
        <f aca="false">IF($W296="","",IF(INDEX(发票统计!G$4:G$1003,$W296)="","",INDEX(发票统计!G$4:G$1003,$W296)))</f>
        <v/>
      </c>
      <c r="H296" s="56" t="str">
        <f aca="false">IF($W296="","",N(INDEX(发票统计!H$4:H$1003,$W296)))</f>
        <v/>
      </c>
      <c r="I296" s="56" t="str">
        <f aca="false">IF($W296="","",N(INDEX(发票统计!I$4:I$1003,$W296)))</f>
        <v/>
      </c>
      <c r="J296" s="56" t="str">
        <f aca="false">IF($W296="","",N(INDEX(发票统计!J$4:J$1003,$W296)))</f>
        <v/>
      </c>
      <c r="K296" s="56" t="str">
        <f aca="false">IF($W296="","",N(INDEX(发票统计!K$4:K$1003,$W296)))</f>
        <v/>
      </c>
      <c r="L296" s="56" t="str">
        <f aca="false">IF($W296="","",SUM(J$4:J296)-SUM(K$4:K296))</f>
        <v/>
      </c>
      <c r="M296" s="56" t="str">
        <f aca="false">IF($W296="","",N(INDEX(发票统计!M$4:M$1003,$W296)))</f>
        <v/>
      </c>
      <c r="N296" s="56" t="str">
        <f aca="false">IF($W296="","",N(INDEX(发票统计!N$4:N$1003,$W296)))</f>
        <v/>
      </c>
      <c r="O296" s="56" t="str">
        <f aca="false">IF($W296="","",N(INDEX(发票统计!O$4:O$1003,$W296)))</f>
        <v/>
      </c>
      <c r="P296" s="56" t="str">
        <f aca="false">IF($W296="","",SUM(M$4:M296)-SUM(N$4:N296)-SUM(O$4:O296))</f>
        <v/>
      </c>
      <c r="Q296" s="56" t="str">
        <f aca="false">IF($W296="","",N(INDEX(发票统计!Q$4:Q$1003,$W296)))</f>
        <v/>
      </c>
      <c r="R296" s="56" t="str">
        <f aca="false">IF($W296="","",N(INDEX(发票统计!R$4:R$1003,$W296)))</f>
        <v/>
      </c>
      <c r="S296" s="56" t="str">
        <f aca="false">IF($W296="","",N(INDEX(发票统计!S$4:S$1003,$W296)))</f>
        <v/>
      </c>
      <c r="T296" s="56" t="str">
        <f aca="false">IF($W296="","",SUM(Q$4:Q296)-SUM(R$4:R296)-SUM(S$4:S296))</f>
        <v/>
      </c>
      <c r="U296" s="56" t="str">
        <f aca="false">IF($W296="","",INDEX(发票统计!U$4:U$1003,$W296)&amp;"")</f>
        <v/>
      </c>
      <c r="W296" s="1" t="str">
        <f aca="false">IF($V$3="","",IFERROR(MATCH($V$3&amp;"#"&amp;ROWS(W$4:W296),发票统计!$W$4:$W$1003,0),""))</f>
        <v/>
      </c>
    </row>
    <row r="297" customFormat="false" ht="16.5" hidden="false" customHeight="false" outlineLevel="0" collapsed="false">
      <c r="A297" s="3" t="str">
        <f aca="false">IF($W297="","",INDEX(发票统计!A$4:A$1003,$W297)&amp;"")</f>
        <v/>
      </c>
      <c r="B297" s="3" t="str">
        <f aca="false">IF($W297="","",INDEX(发票统计!B$4:B$1003,$W297)&amp;"")</f>
        <v/>
      </c>
      <c r="C297" s="3" t="str">
        <f aca="false">IF($W297="","",INDEX(发票统计!C$4:C$1003,$W297)&amp;"")</f>
        <v/>
      </c>
      <c r="D297" s="3" t="str">
        <f aca="false">IF($W297="","",INDEX(发票统计!D$4:D$1003,$W297)&amp;"")</f>
        <v/>
      </c>
      <c r="E297" s="67" t="str">
        <f aca="false">IF($W297="","",INDEX(发票统计!E$4:E$1003,$W297)&amp;"")</f>
        <v/>
      </c>
      <c r="F297" s="68" t="str">
        <f aca="false">IF($W297="","",INDEX(发票统计!F$4:F$1003,$W297)&amp;"")</f>
        <v/>
      </c>
      <c r="G297" s="68" t="str">
        <f aca="false">IF($W297="","",IF(INDEX(发票统计!G$4:G$1003,$W297)="","",INDEX(发票统计!G$4:G$1003,$W297)))</f>
        <v/>
      </c>
      <c r="H297" s="56" t="str">
        <f aca="false">IF($W297="","",N(INDEX(发票统计!H$4:H$1003,$W297)))</f>
        <v/>
      </c>
      <c r="I297" s="56" t="str">
        <f aca="false">IF($W297="","",N(INDEX(发票统计!I$4:I$1003,$W297)))</f>
        <v/>
      </c>
      <c r="J297" s="56" t="str">
        <f aca="false">IF($W297="","",N(INDEX(发票统计!J$4:J$1003,$W297)))</f>
        <v/>
      </c>
      <c r="K297" s="56" t="str">
        <f aca="false">IF($W297="","",N(INDEX(发票统计!K$4:K$1003,$W297)))</f>
        <v/>
      </c>
      <c r="L297" s="56" t="str">
        <f aca="false">IF($W297="","",SUM(J$4:J297)-SUM(K$4:K297))</f>
        <v/>
      </c>
      <c r="M297" s="56" t="str">
        <f aca="false">IF($W297="","",N(INDEX(发票统计!M$4:M$1003,$W297)))</f>
        <v/>
      </c>
      <c r="N297" s="56" t="str">
        <f aca="false">IF($W297="","",N(INDEX(发票统计!N$4:N$1003,$W297)))</f>
        <v/>
      </c>
      <c r="O297" s="56" t="str">
        <f aca="false">IF($W297="","",N(INDEX(发票统计!O$4:O$1003,$W297)))</f>
        <v/>
      </c>
      <c r="P297" s="56" t="str">
        <f aca="false">IF($W297="","",SUM(M$4:M297)-SUM(N$4:N297)-SUM(O$4:O297))</f>
        <v/>
      </c>
      <c r="Q297" s="56" t="str">
        <f aca="false">IF($W297="","",N(INDEX(发票统计!Q$4:Q$1003,$W297)))</f>
        <v/>
      </c>
      <c r="R297" s="56" t="str">
        <f aca="false">IF($W297="","",N(INDEX(发票统计!R$4:R$1003,$W297)))</f>
        <v/>
      </c>
      <c r="S297" s="56" t="str">
        <f aca="false">IF($W297="","",N(INDEX(发票统计!S$4:S$1003,$W297)))</f>
        <v/>
      </c>
      <c r="T297" s="56" t="str">
        <f aca="false">IF($W297="","",SUM(Q$4:Q297)-SUM(R$4:R297)-SUM(S$4:S297))</f>
        <v/>
      </c>
      <c r="U297" s="56" t="str">
        <f aca="false">IF($W297="","",INDEX(发票统计!U$4:U$1003,$W297)&amp;"")</f>
        <v/>
      </c>
      <c r="W297" s="1" t="str">
        <f aca="false">IF($V$3="","",IFERROR(MATCH($V$3&amp;"#"&amp;ROWS(W$4:W297),发票统计!$W$4:$W$1003,0),""))</f>
        <v/>
      </c>
    </row>
    <row r="298" customFormat="false" ht="16.5" hidden="false" customHeight="false" outlineLevel="0" collapsed="false">
      <c r="A298" s="3" t="str">
        <f aca="false">IF($W298="","",INDEX(发票统计!A$4:A$1003,$W298)&amp;"")</f>
        <v/>
      </c>
      <c r="B298" s="3" t="str">
        <f aca="false">IF($W298="","",INDEX(发票统计!B$4:B$1003,$W298)&amp;"")</f>
        <v/>
      </c>
      <c r="C298" s="3" t="str">
        <f aca="false">IF($W298="","",INDEX(发票统计!C$4:C$1003,$W298)&amp;"")</f>
        <v/>
      </c>
      <c r="D298" s="3" t="str">
        <f aca="false">IF($W298="","",INDEX(发票统计!D$4:D$1003,$W298)&amp;"")</f>
        <v/>
      </c>
      <c r="E298" s="67" t="str">
        <f aca="false">IF($W298="","",INDEX(发票统计!E$4:E$1003,$W298)&amp;"")</f>
        <v/>
      </c>
      <c r="F298" s="68" t="str">
        <f aca="false">IF($W298="","",INDEX(发票统计!F$4:F$1003,$W298)&amp;"")</f>
        <v/>
      </c>
      <c r="G298" s="68" t="str">
        <f aca="false">IF($W298="","",IF(INDEX(发票统计!G$4:G$1003,$W298)="","",INDEX(发票统计!G$4:G$1003,$W298)))</f>
        <v/>
      </c>
      <c r="H298" s="56" t="str">
        <f aca="false">IF($W298="","",N(INDEX(发票统计!H$4:H$1003,$W298)))</f>
        <v/>
      </c>
      <c r="I298" s="56" t="str">
        <f aca="false">IF($W298="","",N(INDEX(发票统计!I$4:I$1003,$W298)))</f>
        <v/>
      </c>
      <c r="J298" s="56" t="str">
        <f aca="false">IF($W298="","",N(INDEX(发票统计!J$4:J$1003,$W298)))</f>
        <v/>
      </c>
      <c r="K298" s="56" t="str">
        <f aca="false">IF($W298="","",N(INDEX(发票统计!K$4:K$1003,$W298)))</f>
        <v/>
      </c>
      <c r="L298" s="56" t="str">
        <f aca="false">IF($W298="","",SUM(J$4:J298)-SUM(K$4:K298))</f>
        <v/>
      </c>
      <c r="M298" s="56" t="str">
        <f aca="false">IF($W298="","",N(INDEX(发票统计!M$4:M$1003,$W298)))</f>
        <v/>
      </c>
      <c r="N298" s="56" t="str">
        <f aca="false">IF($W298="","",N(INDEX(发票统计!N$4:N$1003,$W298)))</f>
        <v/>
      </c>
      <c r="O298" s="56" t="str">
        <f aca="false">IF($W298="","",N(INDEX(发票统计!O$4:O$1003,$W298)))</f>
        <v/>
      </c>
      <c r="P298" s="56" t="str">
        <f aca="false">IF($W298="","",SUM(M$4:M298)-SUM(N$4:N298)-SUM(O$4:O298))</f>
        <v/>
      </c>
      <c r="Q298" s="56" t="str">
        <f aca="false">IF($W298="","",N(INDEX(发票统计!Q$4:Q$1003,$W298)))</f>
        <v/>
      </c>
      <c r="R298" s="56" t="str">
        <f aca="false">IF($W298="","",N(INDEX(发票统计!R$4:R$1003,$W298)))</f>
        <v/>
      </c>
      <c r="S298" s="56" t="str">
        <f aca="false">IF($W298="","",N(INDEX(发票统计!S$4:S$1003,$W298)))</f>
        <v/>
      </c>
      <c r="T298" s="56" t="str">
        <f aca="false">IF($W298="","",SUM(Q$4:Q298)-SUM(R$4:R298)-SUM(S$4:S298))</f>
        <v/>
      </c>
      <c r="U298" s="56" t="str">
        <f aca="false">IF($W298="","",INDEX(发票统计!U$4:U$1003,$W298)&amp;"")</f>
        <v/>
      </c>
      <c r="W298" s="1" t="str">
        <f aca="false">IF($V$3="","",IFERROR(MATCH($V$3&amp;"#"&amp;ROWS(W$4:W298),发票统计!$W$4:$W$1003,0),""))</f>
        <v/>
      </c>
    </row>
    <row r="299" customFormat="false" ht="16.5" hidden="false" customHeight="false" outlineLevel="0" collapsed="false">
      <c r="A299" s="3" t="str">
        <f aca="false">IF($W299="","",INDEX(发票统计!A$4:A$1003,$W299)&amp;"")</f>
        <v/>
      </c>
      <c r="B299" s="3" t="str">
        <f aca="false">IF($W299="","",INDEX(发票统计!B$4:B$1003,$W299)&amp;"")</f>
        <v/>
      </c>
      <c r="C299" s="3" t="str">
        <f aca="false">IF($W299="","",INDEX(发票统计!C$4:C$1003,$W299)&amp;"")</f>
        <v/>
      </c>
      <c r="D299" s="3" t="str">
        <f aca="false">IF($W299="","",INDEX(发票统计!D$4:D$1003,$W299)&amp;"")</f>
        <v/>
      </c>
      <c r="E299" s="67" t="str">
        <f aca="false">IF($W299="","",INDEX(发票统计!E$4:E$1003,$W299)&amp;"")</f>
        <v/>
      </c>
      <c r="F299" s="68" t="str">
        <f aca="false">IF($W299="","",INDEX(发票统计!F$4:F$1003,$W299)&amp;"")</f>
        <v/>
      </c>
      <c r="G299" s="68" t="str">
        <f aca="false">IF($W299="","",IF(INDEX(发票统计!G$4:G$1003,$W299)="","",INDEX(发票统计!G$4:G$1003,$W299)))</f>
        <v/>
      </c>
      <c r="H299" s="56" t="str">
        <f aca="false">IF($W299="","",N(INDEX(发票统计!H$4:H$1003,$W299)))</f>
        <v/>
      </c>
      <c r="I299" s="56" t="str">
        <f aca="false">IF($W299="","",N(INDEX(发票统计!I$4:I$1003,$W299)))</f>
        <v/>
      </c>
      <c r="J299" s="56" t="str">
        <f aca="false">IF($W299="","",N(INDEX(发票统计!J$4:J$1003,$W299)))</f>
        <v/>
      </c>
      <c r="K299" s="56" t="str">
        <f aca="false">IF($W299="","",N(INDEX(发票统计!K$4:K$1003,$W299)))</f>
        <v/>
      </c>
      <c r="L299" s="56" t="str">
        <f aca="false">IF($W299="","",SUM(J$4:J299)-SUM(K$4:K299))</f>
        <v/>
      </c>
      <c r="M299" s="56" t="str">
        <f aca="false">IF($W299="","",N(INDEX(发票统计!M$4:M$1003,$W299)))</f>
        <v/>
      </c>
      <c r="N299" s="56" t="str">
        <f aca="false">IF($W299="","",N(INDEX(发票统计!N$4:N$1003,$W299)))</f>
        <v/>
      </c>
      <c r="O299" s="56" t="str">
        <f aca="false">IF($W299="","",N(INDEX(发票统计!O$4:O$1003,$W299)))</f>
        <v/>
      </c>
      <c r="P299" s="56" t="str">
        <f aca="false">IF($W299="","",SUM(M$4:M299)-SUM(N$4:N299)-SUM(O$4:O299))</f>
        <v/>
      </c>
      <c r="Q299" s="56" t="str">
        <f aca="false">IF($W299="","",N(INDEX(发票统计!Q$4:Q$1003,$W299)))</f>
        <v/>
      </c>
      <c r="R299" s="56" t="str">
        <f aca="false">IF($W299="","",N(INDEX(发票统计!R$4:R$1003,$W299)))</f>
        <v/>
      </c>
      <c r="S299" s="56" t="str">
        <f aca="false">IF($W299="","",N(INDEX(发票统计!S$4:S$1003,$W299)))</f>
        <v/>
      </c>
      <c r="T299" s="56" t="str">
        <f aca="false">IF($W299="","",SUM(Q$4:Q299)-SUM(R$4:R299)-SUM(S$4:S299))</f>
        <v/>
      </c>
      <c r="U299" s="56" t="str">
        <f aca="false">IF($W299="","",INDEX(发票统计!U$4:U$1003,$W299)&amp;"")</f>
        <v/>
      </c>
      <c r="W299" s="1" t="str">
        <f aca="false">IF($V$3="","",IFERROR(MATCH($V$3&amp;"#"&amp;ROWS(W$4:W299),发票统计!$W$4:$W$1003,0),""))</f>
        <v/>
      </c>
    </row>
    <row r="300" customFormat="false" ht="16.5" hidden="false" customHeight="false" outlineLevel="0" collapsed="false">
      <c r="A300" s="3" t="str">
        <f aca="false">IF($W300="","",INDEX(发票统计!A$4:A$1003,$W300)&amp;"")</f>
        <v/>
      </c>
      <c r="B300" s="3" t="str">
        <f aca="false">IF($W300="","",INDEX(发票统计!B$4:B$1003,$W300)&amp;"")</f>
        <v/>
      </c>
      <c r="C300" s="3" t="str">
        <f aca="false">IF($W300="","",INDEX(发票统计!C$4:C$1003,$W300)&amp;"")</f>
        <v/>
      </c>
      <c r="D300" s="3" t="str">
        <f aca="false">IF($W300="","",INDEX(发票统计!D$4:D$1003,$W300)&amp;"")</f>
        <v/>
      </c>
      <c r="E300" s="67" t="str">
        <f aca="false">IF($W300="","",INDEX(发票统计!E$4:E$1003,$W300)&amp;"")</f>
        <v/>
      </c>
      <c r="F300" s="68" t="str">
        <f aca="false">IF($W300="","",INDEX(发票统计!F$4:F$1003,$W300)&amp;"")</f>
        <v/>
      </c>
      <c r="G300" s="68" t="str">
        <f aca="false">IF($W300="","",IF(INDEX(发票统计!G$4:G$1003,$W300)="","",INDEX(发票统计!G$4:G$1003,$W300)))</f>
        <v/>
      </c>
      <c r="H300" s="56" t="str">
        <f aca="false">IF($W300="","",N(INDEX(发票统计!H$4:H$1003,$W300)))</f>
        <v/>
      </c>
      <c r="I300" s="56" t="str">
        <f aca="false">IF($W300="","",N(INDEX(发票统计!I$4:I$1003,$W300)))</f>
        <v/>
      </c>
      <c r="J300" s="56" t="str">
        <f aca="false">IF($W300="","",N(INDEX(发票统计!J$4:J$1003,$W300)))</f>
        <v/>
      </c>
      <c r="K300" s="56" t="str">
        <f aca="false">IF($W300="","",N(INDEX(发票统计!K$4:K$1003,$W300)))</f>
        <v/>
      </c>
      <c r="L300" s="56" t="str">
        <f aca="false">IF($W300="","",SUM(J$4:J300)-SUM(K$4:K300))</f>
        <v/>
      </c>
      <c r="M300" s="56" t="str">
        <f aca="false">IF($W300="","",N(INDEX(发票统计!M$4:M$1003,$W300)))</f>
        <v/>
      </c>
      <c r="N300" s="56" t="str">
        <f aca="false">IF($W300="","",N(INDEX(发票统计!N$4:N$1003,$W300)))</f>
        <v/>
      </c>
      <c r="O300" s="56" t="str">
        <f aca="false">IF($W300="","",N(INDEX(发票统计!O$4:O$1003,$W300)))</f>
        <v/>
      </c>
      <c r="P300" s="56" t="str">
        <f aca="false">IF($W300="","",SUM(M$4:M300)-SUM(N$4:N300)-SUM(O$4:O300))</f>
        <v/>
      </c>
      <c r="Q300" s="56" t="str">
        <f aca="false">IF($W300="","",N(INDEX(发票统计!Q$4:Q$1003,$W300)))</f>
        <v/>
      </c>
      <c r="R300" s="56" t="str">
        <f aca="false">IF($W300="","",N(INDEX(发票统计!R$4:R$1003,$W300)))</f>
        <v/>
      </c>
      <c r="S300" s="56" t="str">
        <f aca="false">IF($W300="","",N(INDEX(发票统计!S$4:S$1003,$W300)))</f>
        <v/>
      </c>
      <c r="T300" s="56" t="str">
        <f aca="false">IF($W300="","",SUM(Q$4:Q300)-SUM(R$4:R300)-SUM(S$4:S300))</f>
        <v/>
      </c>
      <c r="U300" s="56" t="str">
        <f aca="false">IF($W300="","",INDEX(发票统计!U$4:U$1003,$W300)&amp;"")</f>
        <v/>
      </c>
      <c r="W300" s="1" t="str">
        <f aca="false">IF($V$3="","",IFERROR(MATCH($V$3&amp;"#"&amp;ROWS(W$4:W300),发票统计!$W$4:$W$1003,0),""))</f>
        <v/>
      </c>
    </row>
    <row r="301" customFormat="false" ht="16.5" hidden="false" customHeight="false" outlineLevel="0" collapsed="false">
      <c r="A301" s="3" t="str">
        <f aca="false">IF($W301="","",INDEX(发票统计!A$4:A$1003,$W301)&amp;"")</f>
        <v/>
      </c>
      <c r="B301" s="3" t="str">
        <f aca="false">IF($W301="","",INDEX(发票统计!B$4:B$1003,$W301)&amp;"")</f>
        <v/>
      </c>
      <c r="C301" s="3" t="str">
        <f aca="false">IF($W301="","",INDEX(发票统计!C$4:C$1003,$W301)&amp;"")</f>
        <v/>
      </c>
      <c r="D301" s="3" t="str">
        <f aca="false">IF($W301="","",INDEX(发票统计!D$4:D$1003,$W301)&amp;"")</f>
        <v/>
      </c>
      <c r="E301" s="67" t="str">
        <f aca="false">IF($W301="","",INDEX(发票统计!E$4:E$1003,$W301)&amp;"")</f>
        <v/>
      </c>
      <c r="F301" s="68" t="str">
        <f aca="false">IF($W301="","",INDEX(发票统计!F$4:F$1003,$W301)&amp;"")</f>
        <v/>
      </c>
      <c r="G301" s="68" t="str">
        <f aca="false">IF($W301="","",IF(INDEX(发票统计!G$4:G$1003,$W301)="","",INDEX(发票统计!G$4:G$1003,$W301)))</f>
        <v/>
      </c>
      <c r="H301" s="56" t="str">
        <f aca="false">IF($W301="","",N(INDEX(发票统计!H$4:H$1003,$W301)))</f>
        <v/>
      </c>
      <c r="I301" s="56" t="str">
        <f aca="false">IF($W301="","",N(INDEX(发票统计!I$4:I$1003,$W301)))</f>
        <v/>
      </c>
      <c r="J301" s="56" t="str">
        <f aca="false">IF($W301="","",N(INDEX(发票统计!J$4:J$1003,$W301)))</f>
        <v/>
      </c>
      <c r="K301" s="56" t="str">
        <f aca="false">IF($W301="","",N(INDEX(发票统计!K$4:K$1003,$W301)))</f>
        <v/>
      </c>
      <c r="L301" s="56" t="str">
        <f aca="false">IF($W301="","",SUM(J$4:J301)-SUM(K$4:K301))</f>
        <v/>
      </c>
      <c r="M301" s="56" t="str">
        <f aca="false">IF($W301="","",N(INDEX(发票统计!M$4:M$1003,$W301)))</f>
        <v/>
      </c>
      <c r="N301" s="56" t="str">
        <f aca="false">IF($W301="","",N(INDEX(发票统计!N$4:N$1003,$W301)))</f>
        <v/>
      </c>
      <c r="O301" s="56" t="str">
        <f aca="false">IF($W301="","",N(INDEX(发票统计!O$4:O$1003,$W301)))</f>
        <v/>
      </c>
      <c r="P301" s="56" t="str">
        <f aca="false">IF($W301="","",SUM(M$4:M301)-SUM(N$4:N301)-SUM(O$4:O301))</f>
        <v/>
      </c>
      <c r="Q301" s="56" t="str">
        <f aca="false">IF($W301="","",N(INDEX(发票统计!Q$4:Q$1003,$W301)))</f>
        <v/>
      </c>
      <c r="R301" s="56" t="str">
        <f aca="false">IF($W301="","",N(INDEX(发票统计!R$4:R$1003,$W301)))</f>
        <v/>
      </c>
      <c r="S301" s="56" t="str">
        <f aca="false">IF($W301="","",N(INDEX(发票统计!S$4:S$1003,$W301)))</f>
        <v/>
      </c>
      <c r="T301" s="56" t="str">
        <f aca="false">IF($W301="","",SUM(Q$4:Q301)-SUM(R$4:R301)-SUM(S$4:S301))</f>
        <v/>
      </c>
      <c r="U301" s="56" t="str">
        <f aca="false">IF($W301="","",INDEX(发票统计!U$4:U$1003,$W301)&amp;"")</f>
        <v/>
      </c>
      <c r="W301" s="1" t="str">
        <f aca="false">IF($V$3="","",IFERROR(MATCH($V$3&amp;"#"&amp;ROWS(W$4:W301),发票统计!$W$4:$W$1003,0),""))</f>
        <v/>
      </c>
    </row>
    <row r="302" customFormat="false" ht="16.5" hidden="false" customHeight="false" outlineLevel="0" collapsed="false">
      <c r="A302" s="3" t="str">
        <f aca="false">IF($W302="","",INDEX(发票统计!A$4:A$1003,$W302)&amp;"")</f>
        <v/>
      </c>
      <c r="B302" s="3" t="str">
        <f aca="false">IF($W302="","",INDEX(发票统计!B$4:B$1003,$W302)&amp;"")</f>
        <v/>
      </c>
      <c r="C302" s="3" t="str">
        <f aca="false">IF($W302="","",INDEX(发票统计!C$4:C$1003,$W302)&amp;"")</f>
        <v/>
      </c>
      <c r="D302" s="3" t="str">
        <f aca="false">IF($W302="","",INDEX(发票统计!D$4:D$1003,$W302)&amp;"")</f>
        <v/>
      </c>
      <c r="E302" s="67" t="str">
        <f aca="false">IF($W302="","",INDEX(发票统计!E$4:E$1003,$W302)&amp;"")</f>
        <v/>
      </c>
      <c r="F302" s="68" t="str">
        <f aca="false">IF($W302="","",INDEX(发票统计!F$4:F$1003,$W302)&amp;"")</f>
        <v/>
      </c>
      <c r="G302" s="68" t="str">
        <f aca="false">IF($W302="","",IF(INDEX(发票统计!G$4:G$1003,$W302)="","",INDEX(发票统计!G$4:G$1003,$W302)))</f>
        <v/>
      </c>
      <c r="H302" s="56" t="str">
        <f aca="false">IF($W302="","",N(INDEX(发票统计!H$4:H$1003,$W302)))</f>
        <v/>
      </c>
      <c r="I302" s="56" t="str">
        <f aca="false">IF($W302="","",N(INDEX(发票统计!I$4:I$1003,$W302)))</f>
        <v/>
      </c>
      <c r="J302" s="56" t="str">
        <f aca="false">IF($W302="","",N(INDEX(发票统计!J$4:J$1003,$W302)))</f>
        <v/>
      </c>
      <c r="K302" s="56" t="str">
        <f aca="false">IF($W302="","",N(INDEX(发票统计!K$4:K$1003,$W302)))</f>
        <v/>
      </c>
      <c r="L302" s="56" t="str">
        <f aca="false">IF($W302="","",SUM(J$4:J302)-SUM(K$4:K302))</f>
        <v/>
      </c>
      <c r="M302" s="56" t="str">
        <f aca="false">IF($W302="","",N(INDEX(发票统计!M$4:M$1003,$W302)))</f>
        <v/>
      </c>
      <c r="N302" s="56" t="str">
        <f aca="false">IF($W302="","",N(INDEX(发票统计!N$4:N$1003,$W302)))</f>
        <v/>
      </c>
      <c r="O302" s="56" t="str">
        <f aca="false">IF($W302="","",N(INDEX(发票统计!O$4:O$1003,$W302)))</f>
        <v/>
      </c>
      <c r="P302" s="56" t="str">
        <f aca="false">IF($W302="","",SUM(M$4:M302)-SUM(N$4:N302)-SUM(O$4:O302))</f>
        <v/>
      </c>
      <c r="Q302" s="56" t="str">
        <f aca="false">IF($W302="","",N(INDEX(发票统计!Q$4:Q$1003,$W302)))</f>
        <v/>
      </c>
      <c r="R302" s="56" t="str">
        <f aca="false">IF($W302="","",N(INDEX(发票统计!R$4:R$1003,$W302)))</f>
        <v/>
      </c>
      <c r="S302" s="56" t="str">
        <f aca="false">IF($W302="","",N(INDEX(发票统计!S$4:S$1003,$W302)))</f>
        <v/>
      </c>
      <c r="T302" s="56" t="str">
        <f aca="false">IF($W302="","",SUM(Q$4:Q302)-SUM(R$4:R302)-SUM(S$4:S302))</f>
        <v/>
      </c>
      <c r="U302" s="56" t="str">
        <f aca="false">IF($W302="","",INDEX(发票统计!U$4:U$1003,$W302)&amp;"")</f>
        <v/>
      </c>
      <c r="W302" s="1" t="str">
        <f aca="false">IF($V$3="","",IFERROR(MATCH($V$3&amp;"#"&amp;ROWS(W$4:W302),发票统计!$W$4:$W$1003,0),""))</f>
        <v/>
      </c>
    </row>
    <row r="303" customFormat="false" ht="16.5" hidden="false" customHeight="false" outlineLevel="0" collapsed="false">
      <c r="A303" s="3" t="str">
        <f aca="false">IF($W303="","",INDEX(发票统计!A$4:A$1003,$W303)&amp;"")</f>
        <v/>
      </c>
      <c r="B303" s="3" t="str">
        <f aca="false">IF($W303="","",INDEX(发票统计!B$4:B$1003,$W303)&amp;"")</f>
        <v/>
      </c>
      <c r="C303" s="3" t="str">
        <f aca="false">IF($W303="","",INDEX(发票统计!C$4:C$1003,$W303)&amp;"")</f>
        <v/>
      </c>
      <c r="D303" s="3" t="str">
        <f aca="false">IF($W303="","",INDEX(发票统计!D$4:D$1003,$W303)&amp;"")</f>
        <v/>
      </c>
      <c r="E303" s="67" t="str">
        <f aca="false">IF($W303="","",INDEX(发票统计!E$4:E$1003,$W303)&amp;"")</f>
        <v/>
      </c>
      <c r="F303" s="68" t="str">
        <f aca="false">IF($W303="","",INDEX(发票统计!F$4:F$1003,$W303)&amp;"")</f>
        <v/>
      </c>
      <c r="G303" s="68" t="str">
        <f aca="false">IF($W303="","",IF(INDEX(发票统计!G$4:G$1003,$W303)="","",INDEX(发票统计!G$4:G$1003,$W303)))</f>
        <v/>
      </c>
      <c r="H303" s="56" t="str">
        <f aca="false">IF($W303="","",N(INDEX(发票统计!H$4:H$1003,$W303)))</f>
        <v/>
      </c>
      <c r="I303" s="56" t="str">
        <f aca="false">IF($W303="","",N(INDEX(发票统计!I$4:I$1003,$W303)))</f>
        <v/>
      </c>
      <c r="J303" s="56" t="str">
        <f aca="false">IF($W303="","",N(INDEX(发票统计!J$4:J$1003,$W303)))</f>
        <v/>
      </c>
      <c r="K303" s="56" t="str">
        <f aca="false">IF($W303="","",N(INDEX(发票统计!K$4:K$1003,$W303)))</f>
        <v/>
      </c>
      <c r="L303" s="56" t="str">
        <f aca="false">IF($W303="","",SUM(J$4:J303)-SUM(K$4:K303))</f>
        <v/>
      </c>
      <c r="M303" s="56" t="str">
        <f aca="false">IF($W303="","",N(INDEX(发票统计!M$4:M$1003,$W303)))</f>
        <v/>
      </c>
      <c r="N303" s="56" t="str">
        <f aca="false">IF($W303="","",N(INDEX(发票统计!N$4:N$1003,$W303)))</f>
        <v/>
      </c>
      <c r="O303" s="56" t="str">
        <f aca="false">IF($W303="","",N(INDEX(发票统计!O$4:O$1003,$W303)))</f>
        <v/>
      </c>
      <c r="P303" s="56" t="str">
        <f aca="false">IF($W303="","",SUM(M$4:M303)-SUM(N$4:N303)-SUM(O$4:O303))</f>
        <v/>
      </c>
      <c r="Q303" s="56" t="str">
        <f aca="false">IF($W303="","",N(INDEX(发票统计!Q$4:Q$1003,$W303)))</f>
        <v/>
      </c>
      <c r="R303" s="56" t="str">
        <f aca="false">IF($W303="","",N(INDEX(发票统计!R$4:R$1003,$W303)))</f>
        <v/>
      </c>
      <c r="S303" s="56" t="str">
        <f aca="false">IF($W303="","",N(INDEX(发票统计!S$4:S$1003,$W303)))</f>
        <v/>
      </c>
      <c r="T303" s="56" t="str">
        <f aca="false">IF($W303="","",SUM(Q$4:Q303)-SUM(R$4:R303)-SUM(S$4:S303))</f>
        <v/>
      </c>
      <c r="U303" s="56" t="str">
        <f aca="false">IF($W303="","",INDEX(发票统计!U$4:U$1003,$W303)&amp;"")</f>
        <v/>
      </c>
      <c r="W303" s="1" t="str">
        <f aca="false">IF($V$3="","",IFERROR(MATCH($V$3&amp;"#"&amp;ROWS(W$4:W303),发票统计!$W$4:$W$1003,0),""))</f>
        <v/>
      </c>
    </row>
  </sheetData>
  <autoFilter ref="A2:V36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3"/>
  <sheetViews>
    <sheetView showFormulas="false" showGridLines="true" showRowColHeaders="true" showZeros="true" rightToLeft="false" showOutlineSymbols="true" defaultGridColor="true" view="normal" topLeftCell="A4" colorId="64" zoomScale="85" zoomScaleNormal="85" zoomScalePageLayoutView="100" workbookViewId="0">
      <pane xSplit="0" ySplit="3" topLeftCell="A4" activePane="bottomLeft" state="frozen"/>
      <selection pane="topLeft" activeCell="A4" activeCellId="0" sqref="A4"/>
      <selection pane="bottomLeft" activeCell="A1" activeCellId="0" sqref="A1"/>
    </sheetView>
  </sheetViews>
  <sheetFormatPr defaultColWidth="9" defaultRowHeight="16.5" zeroHeight="false" outlineLevelRow="0" outlineLevelCol="0"/>
  <cols>
    <col collapsed="false" customWidth="true" hidden="false" outlineLevel="0" max="1" min="1" style="1" width="8.87"/>
    <col collapsed="false" customWidth="true" hidden="true" outlineLevel="0" max="2" min="2" style="1" width="5.73"/>
    <col collapsed="false" customWidth="true" hidden="true" outlineLevel="0" max="3" min="3" style="1" width="57.46"/>
    <col collapsed="false" customWidth="true" hidden="false" outlineLevel="0" max="4" min="4" style="1" width="49.62"/>
    <col collapsed="false" customWidth="true" hidden="false" outlineLevel="0" max="6" min="5" style="63" width="8.64"/>
    <col collapsed="false" customWidth="true" hidden="false" outlineLevel="0" max="7" min="7" style="64" width="7"/>
    <col collapsed="false" customWidth="true" hidden="false" outlineLevel="0" max="8" min="8" style="63" width="12.63"/>
    <col collapsed="false" customWidth="true" hidden="false" outlineLevel="0" max="9" min="9" style="63" width="11.27"/>
    <col collapsed="false" customWidth="true" hidden="false" outlineLevel="0" max="11" min="10" style="63" width="12.63"/>
    <col collapsed="false" customWidth="true" hidden="false" outlineLevel="0" max="12" min="12" style="63" width="10.69"/>
    <col collapsed="false" customWidth="true" hidden="false" outlineLevel="0" max="13" min="13" style="1" width="13.91"/>
    <col collapsed="false" customWidth="true" hidden="false" outlineLevel="0" max="14" min="14" style="1" width="6.82"/>
    <col collapsed="false" customWidth="true" hidden="false" outlineLevel="0" max="15" min="15" style="1" width="12.54"/>
    <col collapsed="false" customWidth="true" hidden="false" outlineLevel="0" max="16" min="16" style="1" width="14.82"/>
    <col collapsed="false" customWidth="true" hidden="false" outlineLevel="0" max="17" min="17" style="1" width="12.3"/>
    <col collapsed="false" customWidth="true" hidden="false" outlineLevel="0" max="18" min="18" style="1" width="10.16"/>
    <col collapsed="false" customWidth="true" hidden="false" outlineLevel="0" max="19" min="19" style="1" width="12.54"/>
    <col collapsed="false" customWidth="true" hidden="false" outlineLevel="0" max="20" min="20" style="1" width="17.36"/>
    <col collapsed="false" customWidth="true" hidden="false" outlineLevel="0" max="21" min="21" style="1" width="16.78"/>
    <col collapsed="false" customWidth="true" hidden="false" outlineLevel="0" max="22" min="22" style="1" width="24"/>
    <col collapsed="false" customWidth="false" hidden="true" outlineLevel="0" max="23" min="23" style="1" width="9"/>
    <col collapsed="false" customWidth="false" hidden="false" outlineLevel="0" max="16378" min="24" style="1" width="9"/>
  </cols>
  <sheetData>
    <row r="1" customFormat="false" ht="43.5" hidden="false" customHeight="true" outlineLevel="0" collapsed="false">
      <c r="A1" s="65" t="s">
        <v>150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="8" customFormat="true" ht="33" hidden="false" customHeight="true" outlineLevel="0" collapsed="false">
      <c r="A2" s="10" t="s">
        <v>148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151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66" t="s">
        <v>149</v>
      </c>
    </row>
    <row r="3" s="8" customFormat="true" ht="16.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SUM(H4:H303)</f>
        <v>895460</v>
      </c>
      <c r="I3" s="15" t="n">
        <f aca="false">SUM(I4:I303)</f>
        <v>0</v>
      </c>
      <c r="J3" s="15" t="n">
        <f aca="false">SUM(J4:J303)</f>
        <v>895460</v>
      </c>
      <c r="K3" s="15" t="n">
        <f aca="false">SUM(K4:K303)</f>
        <v>795460</v>
      </c>
      <c r="L3" s="15" t="n">
        <f aca="false">J3-K3</f>
        <v>100000</v>
      </c>
      <c r="M3" s="15" t="n">
        <f aca="false">SUM(M4:M303)</f>
        <v>895460</v>
      </c>
      <c r="N3" s="15" t="n">
        <f aca="false">SUM(N4:N303)</f>
        <v>0</v>
      </c>
      <c r="O3" s="15" t="n">
        <f aca="false">SUM(O4:O303)</f>
        <v>350000</v>
      </c>
      <c r="P3" s="15" t="n">
        <f aca="false">M3-N3-O3</f>
        <v>545460</v>
      </c>
      <c r="Q3" s="15" t="n">
        <f aca="false">SUM(Q4:Q303)</f>
        <v>0</v>
      </c>
      <c r="R3" s="15" t="n">
        <f aca="false">SUM(R4:R303)</f>
        <v>0</v>
      </c>
      <c r="S3" s="15" t="n">
        <f aca="false">SUM(S4:S303)</f>
        <v>576643</v>
      </c>
      <c r="T3" s="15" t="n">
        <f aca="false">Q3-R3-S3</f>
        <v>-576643</v>
      </c>
      <c r="U3" s="15"/>
      <c r="V3" s="16" t="str">
        <f aca="true">IFERROR(MID(CELL("filename",$A$1),FIND("]",CELL("filename",$A$1))+1,99),IFERROR(SUBSTITUTE(MID(CELL("filename",$A$1),FIND("#$",CELL("filename",$A$1))+2,99),"'",""),""))</f>
        <v>合川表计</v>
      </c>
    </row>
    <row r="4" customFormat="false" ht="16.5" hidden="false" customHeight="false" outlineLevel="0" collapsed="false">
      <c r="A4" s="3" t="str">
        <f aca="false">IF($W4="","",INDEX(发票统计!A$4:A$1003,$W4)&amp;"")</f>
        <v>合川表计</v>
      </c>
      <c r="B4" s="3" t="str">
        <f aca="false">IF($W4="","",INDEX(发票统计!B$4:B$1003,$W4)&amp;"")</f>
        <v>6月</v>
      </c>
      <c r="C4" s="3" t="str">
        <f aca="false">IF($W4="","",INDEX(发票统计!C$4:C$1003,$W4)&amp;"")</f>
        <v>国网重庆合川供电公司2026年用电信息采集系统建筑相关工程施工(包4)</v>
      </c>
      <c r="D4" s="3" t="str">
        <f aca="false">IF($W4="","",INDEX(发票统计!D$4:D$1003,$W4)&amp;"")</f>
        <v>2026.6.1张氏机电开票到新德润：合川表计项目</v>
      </c>
      <c r="E4" s="56" t="str">
        <f aca="false">IF($W4="","",INDEX(发票统计!E$4:E$1003,$W4)&amp;"")</f>
        <v>新德润</v>
      </c>
      <c r="F4" s="56" t="str">
        <f aca="false">IF($W4="","",INDEX(发票统计!F$4:F$1003,$W4)&amp;"")</f>
        <v>1%普票</v>
      </c>
      <c r="G4" s="68" t="str">
        <f aca="false">IF($W4="","",IF(INDEX(发票统计!G$4:G$1003,$W4)="","",INDEX(发票统计!G$4:G$1003,$W4)))</f>
        <v/>
      </c>
      <c r="H4" s="56" t="n">
        <f aca="false">IF($W4="","",N(INDEX(发票统计!H$4:H$1003,$W4)))</f>
        <v>100000</v>
      </c>
      <c r="I4" s="56" t="n">
        <f aca="false">IF($W4="","",N(INDEX(发票统计!I$4:I$1003,$W4)))</f>
        <v>0</v>
      </c>
      <c r="J4" s="56" t="n">
        <f aca="false">IF($W4="","",N(INDEX(发票统计!J$4:J$1003,$W4)))</f>
        <v>100000</v>
      </c>
      <c r="K4" s="56" t="n">
        <f aca="false">IF($W4="","",N(INDEX(发票统计!K$4:K$1003,$W4)))</f>
        <v>100000</v>
      </c>
      <c r="L4" s="56" t="n">
        <f aca="false">IF($W4="","",SUM(J$4:J4)-SUM(K$4:K4))</f>
        <v>0</v>
      </c>
      <c r="M4" s="56" t="n">
        <f aca="false">IF($W4="","",N(INDEX(发票统计!M$4:M$1003,$W4)))</f>
        <v>100000</v>
      </c>
      <c r="N4" s="56" t="n">
        <f aca="false">IF($W4="","",N(INDEX(发票统计!N$4:N$1003,$W4)))</f>
        <v>0</v>
      </c>
      <c r="O4" s="56" t="n">
        <f aca="false">IF($W4="","",N(INDEX(发票统计!O$4:O$1003,$W4)))</f>
        <v>0</v>
      </c>
      <c r="P4" s="56" t="n">
        <f aca="false">IF($W4="","",SUM(M$4:M4)-SUM(N$4:N4)-SUM(O$4:O4))</f>
        <v>100000</v>
      </c>
      <c r="Q4" s="56" t="n">
        <f aca="false">IF($W4="","",N(INDEX(发票统计!Q$4:Q$1003,$W4)))</f>
        <v>0</v>
      </c>
      <c r="R4" s="56" t="n">
        <f aca="false">IF($W4="","",N(INDEX(发票统计!R$4:R$1003,$W4)))</f>
        <v>0</v>
      </c>
      <c r="S4" s="56" t="n">
        <f aca="false">IF($W4="","",N(INDEX(发票统计!S$4:S$1003,$W4)))</f>
        <v>0</v>
      </c>
      <c r="T4" s="56" t="n">
        <f aca="false">IF($W4="","",SUM(Q$4:Q4)-SUM(R$4:R4)-SUM(S$4:S4))</f>
        <v>0</v>
      </c>
      <c r="U4" s="56" t="str">
        <f aca="false">IF($W4="","",INDEX(发票统计!U$4:U$1003,$W4)&amp;"")</f>
        <v/>
      </c>
      <c r="V4" s="69" t="str">
        <f aca="false">IF($V$3="","⚠ 取不到表名，请在 V3 手填项目简称",IF(COUNTIF(发票统计!$A$4:$A$1003,$V$3)=0,"⚠ 发票统计里没有「"&amp;$V$3&amp;"」的行，表名要和目录里的简称一样",IF(COUNTIF(发票统计!$A$4:$A$1003,$V$3)&gt;300,"⚠ 本项目超过 300 行，后面的没显示","共 "&amp;COUNTIF(发票统计!$A$4:$A$1003,$V$3)&amp;" 笔")))</f>
        <v>共 42 笔</v>
      </c>
      <c r="W4" s="1" t="n">
        <f aca="false">IF($V$3="","",IFERROR(MATCH($V$3&amp;"#"&amp;ROWS(W$4:W4),发票统计!$W$4:$W$1003,0),""))</f>
        <v>37</v>
      </c>
    </row>
    <row r="5" customFormat="false" ht="16.5" hidden="false" customHeight="false" outlineLevel="0" collapsed="false">
      <c r="A5" s="3" t="str">
        <f aca="false">IF($W5="","",INDEX(发票统计!A$4:A$1003,$W5)&amp;"")</f>
        <v>合川表计</v>
      </c>
      <c r="B5" s="3" t="str">
        <f aca="false">IF($W5="","",INDEX(发票统计!B$4:B$1003,$W5)&amp;"")</f>
        <v>7月</v>
      </c>
      <c r="C5" s="3" t="str">
        <f aca="false">IF($W5="","",INDEX(发票统计!C$4:C$1003,$W5)&amp;"")</f>
        <v>国网重庆合川供电公司2026年用电信息采集系统建筑相关工程施工(包4)</v>
      </c>
      <c r="D5" s="3" t="str">
        <f aca="false">IF($W5="","",INDEX(发票统计!D$4:D$1003,$W5)&amp;"")</f>
        <v>2026.7.28冷氏五金开票到众聚能：合川表计项目</v>
      </c>
      <c r="E5" s="56" t="str">
        <f aca="false">IF($W5="","",INDEX(发票统计!E$4:E$1003,$W5)&amp;"")</f>
        <v>众聚能</v>
      </c>
      <c r="F5" s="56" t="str">
        <f aca="false">IF($W5="","",INDEX(发票统计!F$4:F$1003,$W5)&amp;"")</f>
        <v>3%普票</v>
      </c>
      <c r="G5" s="68" t="str">
        <f aca="false">IF($W5="","",IF(INDEX(发票统计!G$4:G$1003,$W5)="","",INDEX(发票统计!G$4:G$1003,$W5)))</f>
        <v/>
      </c>
      <c r="H5" s="56" t="n">
        <f aca="false">IF($W5="","",N(INDEX(发票统计!H$4:H$1003,$W5)))</f>
        <v>50000</v>
      </c>
      <c r="I5" s="56" t="n">
        <f aca="false">IF($W5="","",N(INDEX(发票统计!I$4:I$1003,$W5)))</f>
        <v>0</v>
      </c>
      <c r="J5" s="56" t="n">
        <f aca="false">IF($W5="","",N(INDEX(发票统计!J$4:J$1003,$W5)))</f>
        <v>50000</v>
      </c>
      <c r="K5" s="56" t="n">
        <f aca="false">IF($W5="","",N(INDEX(发票统计!K$4:K$1003,$W5)))</f>
        <v>50000</v>
      </c>
      <c r="L5" s="56" t="n">
        <f aca="false">IF($W5="","",SUM(J$4:J5)-SUM(K$4:K5))</f>
        <v>0</v>
      </c>
      <c r="M5" s="56" t="n">
        <f aca="false">IF($W5="","",N(INDEX(发票统计!M$4:M$1003,$W5)))</f>
        <v>50000</v>
      </c>
      <c r="N5" s="56" t="n">
        <f aca="false">IF($W5="","",N(INDEX(发票统计!N$4:N$1003,$W5)))</f>
        <v>0</v>
      </c>
      <c r="O5" s="56" t="n">
        <f aca="false">IF($W5="","",N(INDEX(发票统计!O$4:O$1003,$W5)))</f>
        <v>0</v>
      </c>
      <c r="P5" s="56" t="n">
        <f aca="false">IF($W5="","",SUM(M$4:M5)-SUM(N$4:N5)-SUM(O$4:O5))</f>
        <v>150000</v>
      </c>
      <c r="Q5" s="56" t="n">
        <f aca="false">IF($W5="","",N(INDEX(发票统计!Q$4:Q$1003,$W5)))</f>
        <v>0</v>
      </c>
      <c r="R5" s="56" t="n">
        <f aca="false">IF($W5="","",N(INDEX(发票统计!R$4:R$1003,$W5)))</f>
        <v>0</v>
      </c>
      <c r="S5" s="56" t="n">
        <f aca="false">IF($W5="","",N(INDEX(发票统计!S$4:S$1003,$W5)))</f>
        <v>0</v>
      </c>
      <c r="T5" s="56" t="n">
        <f aca="false">IF($W5="","",SUM(Q$4:Q5)-SUM(R$4:R5)-SUM(S$4:S5))</f>
        <v>0</v>
      </c>
      <c r="U5" s="56" t="str">
        <f aca="false">IF($W5="","",INDEX(发票统计!U$4:U$1003,$W5)&amp;"")</f>
        <v/>
      </c>
      <c r="W5" s="1" t="n">
        <f aca="false">IF($V$3="","",IFERROR(MATCH($V$3&amp;"#"&amp;ROWS(W$4:W5),发票统计!$W$4:$W$1003,0),""))</f>
        <v>38</v>
      </c>
    </row>
    <row r="6" customFormat="false" ht="16.5" hidden="false" customHeight="false" outlineLevel="0" collapsed="false">
      <c r="A6" s="3" t="str">
        <f aca="false">IF($W6="","",INDEX(发票统计!A$4:A$1003,$W6)&amp;"")</f>
        <v>合川表计</v>
      </c>
      <c r="B6" s="3" t="str">
        <f aca="false">IF($W6="","",INDEX(发票统计!B$4:B$1003,$W6)&amp;"")</f>
        <v>6月</v>
      </c>
      <c r="C6" s="3" t="str">
        <f aca="false">IF($W6="","",INDEX(发票统计!C$4:C$1003,$W6)&amp;"")</f>
        <v>国网重庆合川供电公司2026年用电信息采集系统建筑相关工程施工(包4)</v>
      </c>
      <c r="D6" s="3" t="str">
        <f aca="false">IF($W6="","",INDEX(发票统计!D$4:D$1003,$W6)&amp;"")</f>
        <v>2026.6.5张氏机电收到新德润转款：合川表计项目</v>
      </c>
      <c r="E6" s="56" t="str">
        <f aca="false">IF($W6="","",INDEX(发票统计!E$4:E$1003,$W6)&amp;"")</f>
        <v>新德润</v>
      </c>
      <c r="F6" s="56" t="str">
        <f aca="false">IF($W6="","",INDEX(发票统计!F$4:F$1003,$W6)&amp;"")</f>
        <v/>
      </c>
      <c r="G6" s="68" t="str">
        <f aca="false">IF($W6="","",IF(INDEX(发票统计!G$4:G$1003,$W6)="","",INDEX(发票统计!G$4:G$1003,$W6)))</f>
        <v/>
      </c>
      <c r="H6" s="56" t="n">
        <f aca="false">IF($W6="","",N(INDEX(发票统计!H$4:H$1003,$W6)))</f>
        <v>0</v>
      </c>
      <c r="I6" s="56" t="n">
        <f aca="false">IF($W6="","",N(INDEX(发票统计!I$4:I$1003,$W6)))</f>
        <v>0</v>
      </c>
      <c r="J6" s="56" t="n">
        <f aca="false">IF($W6="","",N(INDEX(发票统计!J$4:J$1003,$W6)))</f>
        <v>0</v>
      </c>
      <c r="K6" s="56" t="n">
        <f aca="false">IF($W6="","",N(INDEX(发票统计!K$4:K$1003,$W6)))</f>
        <v>0</v>
      </c>
      <c r="L6" s="56" t="n">
        <f aca="false">IF($W6="","",SUM(J$4:J6)-SUM(K$4:K6))</f>
        <v>0</v>
      </c>
      <c r="M6" s="56" t="n">
        <f aca="false">IF($W6="","",N(INDEX(发票统计!M$4:M$1003,$W6)))</f>
        <v>0</v>
      </c>
      <c r="N6" s="56" t="n">
        <f aca="false">IF($W6="","",N(INDEX(发票统计!N$4:N$1003,$W6)))</f>
        <v>0</v>
      </c>
      <c r="O6" s="56" t="n">
        <f aca="false">IF($W6="","",N(INDEX(发票统计!O$4:O$1003,$W6)))</f>
        <v>100000</v>
      </c>
      <c r="P6" s="56" t="n">
        <f aca="false">IF($W6="","",SUM(M$4:M6)-SUM(N$4:N6)-SUM(O$4:O6))</f>
        <v>50000</v>
      </c>
      <c r="Q6" s="56" t="n">
        <f aca="false">IF($W6="","",N(INDEX(发票统计!Q$4:Q$1003,$W6)))</f>
        <v>0</v>
      </c>
      <c r="R6" s="56" t="n">
        <f aca="false">IF($W6="","",N(INDEX(发票统计!R$4:R$1003,$W6)))</f>
        <v>0</v>
      </c>
      <c r="S6" s="56" t="n">
        <f aca="false">IF($W6="","",N(INDEX(发票统计!S$4:S$1003,$W6)))</f>
        <v>0</v>
      </c>
      <c r="T6" s="56" t="n">
        <f aca="false">IF($W6="","",SUM(Q$4:Q6)-SUM(R$4:R6)-SUM(S$4:S6))</f>
        <v>0</v>
      </c>
      <c r="U6" s="56" t="str">
        <f aca="false">IF($W6="","",INDEX(发票统计!U$4:U$1003,$W6)&amp;"")</f>
        <v/>
      </c>
      <c r="W6" s="1" t="n">
        <f aca="false">IF($V$3="","",IFERROR(MATCH($V$3&amp;"#"&amp;ROWS(W$4:W6),发票统计!$W$4:$W$1003,0),""))</f>
        <v>39</v>
      </c>
    </row>
    <row r="7" customFormat="false" ht="16.5" hidden="false" customHeight="false" outlineLevel="0" collapsed="false">
      <c r="A7" s="3" t="str">
        <f aca="false">IF($W7="","",INDEX(发票统计!A$4:A$1003,$W7)&amp;"")</f>
        <v>合川表计</v>
      </c>
      <c r="B7" s="3" t="str">
        <f aca="false">IF($W7="","",INDEX(发票统计!B$4:B$1003,$W7)&amp;"")</f>
        <v>7月</v>
      </c>
      <c r="C7" s="3" t="str">
        <f aca="false">IF($W7="","",INDEX(发票统计!C$4:C$1003,$W7)&amp;"")</f>
        <v>国网重庆合川供电公司2026年用电信息采集系统建筑相关工程施工(包4)</v>
      </c>
      <c r="D7" s="3" t="str">
        <f aca="false">IF($W7="","",INDEX(发票统计!D$4:D$1003,$W7)&amp;"")</f>
        <v>2026.7.31陈小琴（冷氏五金开）收到新德润打款：合川表计项目</v>
      </c>
      <c r="E7" s="56" t="str">
        <f aca="false">IF($W7="","",INDEX(发票统计!E$4:E$1003,$W7)&amp;"")</f>
        <v>新德润</v>
      </c>
      <c r="F7" s="56" t="str">
        <f aca="false">IF($W7="","",INDEX(发票统计!F$4:F$1003,$W7)&amp;"")</f>
        <v/>
      </c>
      <c r="G7" s="68" t="str">
        <f aca="false">IF($W7="","",IF(INDEX(发票统计!G$4:G$1003,$W7)="","",INDEX(发票统计!G$4:G$1003,$W7)))</f>
        <v/>
      </c>
      <c r="H7" s="56" t="n">
        <f aca="false">IF($W7="","",N(INDEX(发票统计!H$4:H$1003,$W7)))</f>
        <v>0</v>
      </c>
      <c r="I7" s="56" t="n">
        <f aca="false">IF($W7="","",N(INDEX(发票统计!I$4:I$1003,$W7)))</f>
        <v>0</v>
      </c>
      <c r="J7" s="56" t="n">
        <f aca="false">IF($W7="","",N(INDEX(发票统计!J$4:J$1003,$W7)))</f>
        <v>0</v>
      </c>
      <c r="K7" s="56" t="n">
        <f aca="false">IF($W7="","",N(INDEX(发票统计!K$4:K$1003,$W7)))</f>
        <v>0</v>
      </c>
      <c r="L7" s="56" t="n">
        <f aca="false">IF($W7="","",SUM(J$4:J7)-SUM(K$4:K7))</f>
        <v>0</v>
      </c>
      <c r="M7" s="56" t="n">
        <f aca="false">IF($W7="","",N(INDEX(发票统计!M$4:M$1003,$W7)))</f>
        <v>0</v>
      </c>
      <c r="N7" s="56" t="n">
        <f aca="false">IF($W7="","",N(INDEX(发票统计!N$4:N$1003,$W7)))</f>
        <v>0</v>
      </c>
      <c r="O7" s="56" t="n">
        <f aca="false">IF($W7="","",N(INDEX(发票统计!O$4:O$1003,$W7)))</f>
        <v>50000</v>
      </c>
      <c r="P7" s="56" t="n">
        <f aca="false">IF($W7="","",SUM(M$4:M7)-SUM(N$4:N7)-SUM(O$4:O7))</f>
        <v>0</v>
      </c>
      <c r="Q7" s="56" t="n">
        <f aca="false">IF($W7="","",N(INDEX(发票统计!Q$4:Q$1003,$W7)))</f>
        <v>0</v>
      </c>
      <c r="R7" s="56" t="n">
        <f aca="false">IF($W7="","",N(INDEX(发票统计!R$4:R$1003,$W7)))</f>
        <v>0</v>
      </c>
      <c r="S7" s="56" t="n">
        <f aca="false">IF($W7="","",N(INDEX(发票统计!S$4:S$1003,$W7)))</f>
        <v>0</v>
      </c>
      <c r="T7" s="56" t="n">
        <f aca="false">IF($W7="","",SUM(Q$4:Q7)-SUM(R$4:R7)-SUM(S$4:S7))</f>
        <v>0</v>
      </c>
      <c r="U7" s="56" t="str">
        <f aca="false">IF($W7="","",INDEX(发票统计!U$4:U$1003,$W7)&amp;"")</f>
        <v/>
      </c>
      <c r="W7" s="1" t="n">
        <f aca="false">IF($V$3="","",IFERROR(MATCH($V$3&amp;"#"&amp;ROWS(W$4:W7),发票统计!$W$4:$W$1003,0),""))</f>
        <v>40</v>
      </c>
    </row>
    <row r="8" customFormat="false" ht="16.5" hidden="false" customHeight="false" outlineLevel="0" collapsed="false">
      <c r="A8" s="3" t="str">
        <f aca="false">IF($W8="","",INDEX(发票统计!A$4:A$1003,$W8)&amp;"")</f>
        <v>合川表计</v>
      </c>
      <c r="B8" s="3" t="str">
        <f aca="false">IF($W8="","",INDEX(发票统计!B$4:B$1003,$W8)&amp;"")</f>
        <v>8月</v>
      </c>
      <c r="C8" s="3" t="str">
        <f aca="false">IF($W8="","",INDEX(发票统计!C$4:C$1003,$W8)&amp;"")</f>
        <v>国网重庆合川供电公司2026年用电信息采集系统建筑相关工程施工(包4)</v>
      </c>
      <c r="D8" s="3" t="str">
        <f aca="false">IF($W8="","",INDEX(发票统计!D$4:D$1003,$W8)&amp;"")</f>
        <v>2026.8.21工资表给众聚能挂账：合川表计项目</v>
      </c>
      <c r="E8" s="56" t="str">
        <f aca="false">IF($W8="","",INDEX(发票统计!E$4:E$1003,$W8)&amp;"")</f>
        <v>众聚能</v>
      </c>
      <c r="F8" s="56" t="str">
        <f aca="false">IF($W8="","",INDEX(发票统计!F$4:F$1003,$W8)&amp;"")</f>
        <v>1%普票</v>
      </c>
      <c r="G8" s="68" t="str">
        <f aca="false">IF($W8="","",IF(INDEX(发票统计!G$4:G$1003,$W8)="","",INDEX(发票统计!G$4:G$1003,$W8)))</f>
        <v/>
      </c>
      <c r="H8" s="56" t="n">
        <f aca="false">IF($W8="","",N(INDEX(发票统计!H$4:H$1003,$W8)))</f>
        <v>122000</v>
      </c>
      <c r="I8" s="56" t="n">
        <f aca="false">IF($W8="","",N(INDEX(发票统计!I$4:I$1003,$W8)))</f>
        <v>0</v>
      </c>
      <c r="J8" s="56" t="n">
        <f aca="false">IF($W8="","",N(INDEX(发票统计!J$4:J$1003,$W8)))</f>
        <v>122000</v>
      </c>
      <c r="K8" s="56" t="n">
        <f aca="false">IF($W8="","",N(INDEX(发票统计!K$4:K$1003,$W8)))</f>
        <v>122000</v>
      </c>
      <c r="L8" s="56" t="n">
        <f aca="false">IF($W8="","",SUM(J$4:J8)-SUM(K$4:K8))</f>
        <v>0</v>
      </c>
      <c r="M8" s="56" t="n">
        <f aca="false">IF($W8="","",N(INDEX(发票统计!M$4:M$1003,$W8)))</f>
        <v>122000</v>
      </c>
      <c r="N8" s="56" t="n">
        <f aca="false">IF($W8="","",N(INDEX(发票统计!N$4:N$1003,$W8)))</f>
        <v>0</v>
      </c>
      <c r="O8" s="56" t="n">
        <f aca="false">IF($W8="","",N(INDEX(发票统计!O$4:O$1003,$W8)))</f>
        <v>0</v>
      </c>
      <c r="P8" s="56" t="n">
        <f aca="false">IF($W8="","",SUM(M$4:M8)-SUM(N$4:N8)-SUM(O$4:O8))</f>
        <v>122000</v>
      </c>
      <c r="Q8" s="56" t="n">
        <f aca="false">IF($W8="","",N(INDEX(发票统计!Q$4:Q$1003,$W8)))</f>
        <v>0</v>
      </c>
      <c r="R8" s="56" t="n">
        <f aca="false">IF($W8="","",N(INDEX(发票统计!R$4:R$1003,$W8)))</f>
        <v>0</v>
      </c>
      <c r="S8" s="56" t="n">
        <f aca="false">IF($W8="","",N(INDEX(发票统计!S$4:S$1003,$W8)))</f>
        <v>0</v>
      </c>
      <c r="T8" s="56" t="n">
        <f aca="false">IF($W8="","",SUM(Q$4:Q8)-SUM(R$4:R8)-SUM(S$4:S8))</f>
        <v>0</v>
      </c>
      <c r="U8" s="56" t="str">
        <f aca="false">IF($W8="","",INDEX(发票统计!U$4:U$1003,$W8)&amp;"")</f>
        <v/>
      </c>
      <c r="W8" s="1" t="n">
        <f aca="false">IF($V$3="","",IFERROR(MATCH($V$3&amp;"#"&amp;ROWS(W$4:W8),发票统计!$W$4:$W$1003,0),""))</f>
        <v>41</v>
      </c>
    </row>
    <row r="9" customFormat="false" ht="16.5" hidden="false" customHeight="false" outlineLevel="0" collapsed="false">
      <c r="A9" s="3" t="str">
        <f aca="false">IF($W9="","",INDEX(发票统计!A$4:A$1003,$W9)&amp;"")</f>
        <v>合川表计</v>
      </c>
      <c r="B9" s="3" t="str">
        <f aca="false">IF($W9="","",INDEX(发票统计!B$4:B$1003,$W9)&amp;"")</f>
        <v>8月</v>
      </c>
      <c r="C9" s="3" t="str">
        <f aca="false">IF($W9="","",INDEX(发票统计!C$4:C$1003,$W9)&amp;"")</f>
        <v>国网重庆合川供电公司2026年用电信息采集系统建筑相关工程施工(包4)</v>
      </c>
      <c r="D9" s="3" t="str">
        <f aca="false">IF($W9="","",INDEX(发票统计!D$4:D$1003,$W9)&amp;"")</f>
        <v>2026.8.21众聚能代付工资：合川表计项目</v>
      </c>
      <c r="E9" s="56" t="str">
        <f aca="false">IF($W9="","",INDEX(发票统计!E$4:E$1003,$W9)&amp;"")</f>
        <v>众聚能</v>
      </c>
      <c r="F9" s="56" t="str">
        <f aca="false">IF($W9="","",INDEX(发票统计!F$4:F$1003,$W9)&amp;"")</f>
        <v/>
      </c>
      <c r="G9" s="68" t="str">
        <f aca="false">IF($W9="","",IF(INDEX(发票统计!G$4:G$1003,$W9)="","",INDEX(发票统计!G$4:G$1003,$W9)))</f>
        <v/>
      </c>
      <c r="H9" s="56" t="n">
        <f aca="false">IF($W9="","",N(INDEX(发票统计!H$4:H$1003,$W9)))</f>
        <v>0</v>
      </c>
      <c r="I9" s="56" t="n">
        <f aca="false">IF($W9="","",N(INDEX(发票统计!I$4:I$1003,$W9)))</f>
        <v>0</v>
      </c>
      <c r="J9" s="56" t="n">
        <f aca="false">IF($W9="","",N(INDEX(发票统计!J$4:J$1003,$W9)))</f>
        <v>0</v>
      </c>
      <c r="K9" s="56" t="n">
        <f aca="false">IF($W9="","",N(INDEX(发票统计!K$4:K$1003,$W9)))</f>
        <v>0</v>
      </c>
      <c r="L9" s="56" t="n">
        <f aca="false">IF($W9="","",SUM(J$4:J9)-SUM(K$4:K9))</f>
        <v>0</v>
      </c>
      <c r="M9" s="56" t="n">
        <f aca="false">IF($W9="","",N(INDEX(发票统计!M$4:M$1003,$W9)))</f>
        <v>0</v>
      </c>
      <c r="N9" s="56" t="n">
        <f aca="false">IF($W9="","",N(INDEX(发票统计!N$4:N$1003,$W9)))</f>
        <v>0</v>
      </c>
      <c r="O9" s="56" t="n">
        <f aca="false">IF($W9="","",N(INDEX(发票统计!O$4:O$1003,$W9)))</f>
        <v>122000</v>
      </c>
      <c r="P9" s="56" t="n">
        <f aca="false">IF($W9="","",SUM(M$4:M9)-SUM(N$4:N9)-SUM(O$4:O9))</f>
        <v>0</v>
      </c>
      <c r="Q9" s="56" t="n">
        <f aca="false">IF($W9="","",N(INDEX(发票统计!Q$4:Q$1003,$W9)))</f>
        <v>0</v>
      </c>
      <c r="R9" s="56" t="n">
        <f aca="false">IF($W9="","",N(INDEX(发票统计!R$4:R$1003,$W9)))</f>
        <v>0</v>
      </c>
      <c r="S9" s="56" t="n">
        <f aca="false">IF($W9="","",N(INDEX(发票统计!S$4:S$1003,$W9)))</f>
        <v>0</v>
      </c>
      <c r="T9" s="56" t="n">
        <f aca="false">IF($W9="","",SUM(Q$4:Q9)-SUM(R$4:R9)-SUM(S$4:S9))</f>
        <v>0</v>
      </c>
      <c r="U9" s="56" t="str">
        <f aca="false">IF($W9="","",INDEX(发票统计!U$4:U$1003,$W9)&amp;"")</f>
        <v/>
      </c>
      <c r="W9" s="1" t="n">
        <f aca="false">IF($V$3="","",IFERROR(MATCH($V$3&amp;"#"&amp;ROWS(W$4:W9),发票统计!$W$4:$W$1003,0),""))</f>
        <v>42</v>
      </c>
    </row>
    <row r="10" customFormat="false" ht="16.5" hidden="false" customHeight="false" outlineLevel="0" collapsed="false">
      <c r="A10" s="3" t="str">
        <f aca="false">IF($W10="","",INDEX(发票统计!A$4:A$1003,$W10)&amp;"")</f>
        <v>合川表计</v>
      </c>
      <c r="B10" s="3" t="str">
        <f aca="false">IF($W10="","",INDEX(发票统计!B$4:B$1003,$W10)&amp;"")</f>
        <v>8月</v>
      </c>
      <c r="C10" s="3" t="str">
        <f aca="false">IF($W10="","",INDEX(发票统计!C$4:C$1003,$W10)&amp;"")</f>
        <v>国网重庆合川供电公司2026年用电信息采集系统建筑相关工程施工(包4)</v>
      </c>
      <c r="D10" s="3" t="str">
        <f aca="false">IF($W10="","",INDEX(发票统计!D$4:D$1003,$W10)&amp;"")</f>
        <v>2026.8.21工资表给腾泰挂账：合川表计项目</v>
      </c>
      <c r="E10" s="56" t="str">
        <f aca="false">IF($W10="","",INDEX(发票统计!E$4:E$1003,$W10)&amp;"")</f>
        <v>腾泰</v>
      </c>
      <c r="F10" s="56" t="str">
        <f aca="false">IF($W10="","",INDEX(发票统计!F$4:F$1003,$W10)&amp;"")</f>
        <v>1%普票</v>
      </c>
      <c r="G10" s="68" t="str">
        <f aca="false">IF($W10="","",IF(INDEX(发票统计!G$4:G$1003,$W10)="","",INDEX(发票统计!G$4:G$1003,$W10)))</f>
        <v/>
      </c>
      <c r="H10" s="56" t="n">
        <f aca="false">IF($W10="","",N(INDEX(发票统计!H$4:H$1003,$W10)))</f>
        <v>78000</v>
      </c>
      <c r="I10" s="56" t="n">
        <f aca="false">IF($W10="","",N(INDEX(发票统计!I$4:I$1003,$W10)))</f>
        <v>0</v>
      </c>
      <c r="J10" s="56" t="n">
        <f aca="false">IF($W10="","",N(INDEX(发票统计!J$4:J$1003,$W10)))</f>
        <v>78000</v>
      </c>
      <c r="K10" s="56" t="n">
        <f aca="false">IF($W10="","",N(INDEX(发票统计!K$4:K$1003,$W10)))</f>
        <v>78000</v>
      </c>
      <c r="L10" s="56" t="n">
        <f aca="false">IF($W10="","",SUM(J$4:J10)-SUM(K$4:K10))</f>
        <v>0</v>
      </c>
      <c r="M10" s="56" t="n">
        <f aca="false">IF($W10="","",N(INDEX(发票统计!M$4:M$1003,$W10)))</f>
        <v>78000</v>
      </c>
      <c r="N10" s="56" t="n">
        <f aca="false">IF($W10="","",N(INDEX(发票统计!N$4:N$1003,$W10)))</f>
        <v>0</v>
      </c>
      <c r="O10" s="56" t="n">
        <f aca="false">IF($W10="","",N(INDEX(发票统计!O$4:O$1003,$W10)))</f>
        <v>0</v>
      </c>
      <c r="P10" s="56" t="n">
        <f aca="false">IF($W10="","",SUM(M$4:M10)-SUM(N$4:N10)-SUM(O$4:O10))</f>
        <v>78000</v>
      </c>
      <c r="Q10" s="56" t="n">
        <f aca="false">IF($W10="","",N(INDEX(发票统计!Q$4:Q$1003,$W10)))</f>
        <v>0</v>
      </c>
      <c r="R10" s="56" t="n">
        <f aca="false">IF($W10="","",N(INDEX(发票统计!R$4:R$1003,$W10)))</f>
        <v>0</v>
      </c>
      <c r="S10" s="56" t="n">
        <f aca="false">IF($W10="","",N(INDEX(发票统计!S$4:S$1003,$W10)))</f>
        <v>0</v>
      </c>
      <c r="T10" s="56" t="n">
        <f aca="false">IF($W10="","",SUM(Q$4:Q10)-SUM(R$4:R10)-SUM(S$4:S10))</f>
        <v>0</v>
      </c>
      <c r="U10" s="56" t="str">
        <f aca="false">IF($W10="","",INDEX(发票统计!U$4:U$1003,$W10)&amp;"")</f>
        <v/>
      </c>
      <c r="W10" s="1" t="n">
        <f aca="false">IF($V$3="","",IFERROR(MATCH($V$3&amp;"#"&amp;ROWS(W$4:W10),发票统计!$W$4:$W$1003,0),""))</f>
        <v>43</v>
      </c>
    </row>
    <row r="11" customFormat="false" ht="16.5" hidden="false" customHeight="false" outlineLevel="0" collapsed="false">
      <c r="A11" s="3" t="str">
        <f aca="false">IF($W11="","",INDEX(发票统计!A$4:A$1003,$W11)&amp;"")</f>
        <v>合川表计</v>
      </c>
      <c r="B11" s="3" t="str">
        <f aca="false">IF($W11="","",INDEX(发票统计!B$4:B$1003,$W11)&amp;"")</f>
        <v>8月</v>
      </c>
      <c r="C11" s="3" t="str">
        <f aca="false">IF($W11="","",INDEX(发票统计!C$4:C$1003,$W11)&amp;"")</f>
        <v>国网重庆合川供电公司2026年用电信息采集系统建筑相关工程施工(包4)</v>
      </c>
      <c r="D11" s="3" t="str">
        <f aca="false">IF($W11="","",INDEX(发票统计!D$4:D$1003,$W11)&amp;"")</f>
        <v>2026.8.21腾泰代付工资：合川表计项目</v>
      </c>
      <c r="E11" s="56" t="str">
        <f aca="false">IF($W11="","",INDEX(发票统计!E$4:E$1003,$W11)&amp;"")</f>
        <v>腾泰</v>
      </c>
      <c r="F11" s="56" t="str">
        <f aca="false">IF($W11="","",INDEX(发票统计!F$4:F$1003,$W11)&amp;"")</f>
        <v/>
      </c>
      <c r="G11" s="68" t="str">
        <f aca="false">IF($W11="","",IF(INDEX(发票统计!G$4:G$1003,$W11)="","",INDEX(发票统计!G$4:G$1003,$W11)))</f>
        <v/>
      </c>
      <c r="H11" s="56" t="n">
        <f aca="false">IF($W11="","",N(INDEX(发票统计!H$4:H$1003,$W11)))</f>
        <v>0</v>
      </c>
      <c r="I11" s="56" t="n">
        <f aca="false">IF($W11="","",N(INDEX(发票统计!I$4:I$1003,$W11)))</f>
        <v>0</v>
      </c>
      <c r="J11" s="56" t="n">
        <f aca="false">IF($W11="","",N(INDEX(发票统计!J$4:J$1003,$W11)))</f>
        <v>0</v>
      </c>
      <c r="K11" s="56" t="n">
        <f aca="false">IF($W11="","",N(INDEX(发票统计!K$4:K$1003,$W11)))</f>
        <v>0</v>
      </c>
      <c r="L11" s="56" t="n">
        <f aca="false">IF($W11="","",SUM(J$4:J11)-SUM(K$4:K11))</f>
        <v>0</v>
      </c>
      <c r="M11" s="56" t="n">
        <f aca="false">IF($W11="","",N(INDEX(发票统计!M$4:M$1003,$W11)))</f>
        <v>0</v>
      </c>
      <c r="N11" s="56" t="n">
        <f aca="false">IF($W11="","",N(INDEX(发票统计!N$4:N$1003,$W11)))</f>
        <v>0</v>
      </c>
      <c r="O11" s="56" t="n">
        <f aca="false">IF($W11="","",N(INDEX(发票统计!O$4:O$1003,$W11)))</f>
        <v>78000</v>
      </c>
      <c r="P11" s="56" t="n">
        <f aca="false">IF($W11="","",SUM(M$4:M11)-SUM(N$4:N11)-SUM(O$4:O11))</f>
        <v>0</v>
      </c>
      <c r="Q11" s="56" t="n">
        <f aca="false">IF($W11="","",N(INDEX(发票统计!Q$4:Q$1003,$W11)))</f>
        <v>0</v>
      </c>
      <c r="R11" s="56" t="n">
        <f aca="false">IF($W11="","",N(INDEX(发票统计!R$4:R$1003,$W11)))</f>
        <v>0</v>
      </c>
      <c r="S11" s="56" t="n">
        <f aca="false">IF($W11="","",N(INDEX(发票统计!S$4:S$1003,$W11)))</f>
        <v>0</v>
      </c>
      <c r="T11" s="56" t="n">
        <f aca="false">IF($W11="","",SUM(Q$4:Q11)-SUM(R$4:R11)-SUM(S$4:S11))</f>
        <v>0</v>
      </c>
      <c r="U11" s="56" t="str">
        <f aca="false">IF($W11="","",INDEX(发票统计!U$4:U$1003,$W11)&amp;"")</f>
        <v/>
      </c>
      <c r="W11" s="1" t="n">
        <f aca="false">IF($V$3="","",IFERROR(MATCH($V$3&amp;"#"&amp;ROWS(W$4:W11),发票统计!$W$4:$W$1003,0),""))</f>
        <v>44</v>
      </c>
    </row>
    <row r="12" customFormat="false" ht="16.5" hidden="false" customHeight="false" outlineLevel="0" collapsed="false">
      <c r="A12" s="3" t="str">
        <f aca="false">IF($W12="","",INDEX(发票统计!A$4:A$1003,$W12)&amp;"")</f>
        <v>合川表计</v>
      </c>
      <c r="B12" s="3" t="str">
        <f aca="false">IF($W12="","",INDEX(发票统计!B$4:B$1003,$W12)&amp;"")</f>
        <v>9月</v>
      </c>
      <c r="C12" s="3" t="str">
        <f aca="false">IF($W12="","",INDEX(发票统计!C$4:C$1003,$W12)&amp;"")</f>
        <v>国网重庆合川供电公司2026年用电信息采集系统建筑相关工程施工(包4)</v>
      </c>
      <c r="D12" s="3" t="str">
        <f aca="false">IF($W12="","",INDEX(发票统计!D$4:D$1003,$W12)&amp;"")</f>
        <v>2026.9.14进源开给润德427712.65，提交15万工资（进源部分人工）：合川表计项目</v>
      </c>
      <c r="E12" s="56" t="str">
        <f aca="false">IF($W12="","",INDEX(发票统计!E$4:E$1003,$W12)&amp;"")</f>
        <v>润德</v>
      </c>
      <c r="F12" s="56" t="str">
        <f aca="false">IF($W12="","",INDEX(发票统计!F$4:F$1003,$W12)&amp;"")</f>
        <v>3%专票</v>
      </c>
      <c r="G12" s="68" t="str">
        <f aca="false">IF($W12="","",IF(INDEX(发票统计!G$4:G$1003,$W12)="","",INDEX(发票统计!G$4:G$1003,$W12)))</f>
        <v/>
      </c>
      <c r="H12" s="56" t="n">
        <f aca="false">IF($W12="","",N(INDEX(发票统计!H$4:H$1003,$W12)))</f>
        <v>150000</v>
      </c>
      <c r="I12" s="56" t="n">
        <f aca="false">IF($W12="","",N(INDEX(发票统计!I$4:I$1003,$W12)))</f>
        <v>0</v>
      </c>
      <c r="J12" s="56" t="n">
        <f aca="false">IF($W12="","",N(INDEX(发票统计!J$4:J$1003,$W12)))</f>
        <v>150000</v>
      </c>
      <c r="K12" s="56" t="n">
        <f aca="false">IF($W12="","",N(INDEX(发票统计!K$4:K$1003,$W12)))</f>
        <v>150000</v>
      </c>
      <c r="L12" s="56" t="n">
        <f aca="false">IF($W12="","",SUM(J$4:J12)-SUM(K$4:K12))</f>
        <v>0</v>
      </c>
      <c r="M12" s="56" t="n">
        <f aca="false">IF($W12="","",N(INDEX(发票统计!M$4:M$1003,$W12)))</f>
        <v>150000</v>
      </c>
      <c r="N12" s="56" t="n">
        <f aca="false">IF($W12="","",N(INDEX(发票统计!N$4:N$1003,$W12)))</f>
        <v>0</v>
      </c>
      <c r="O12" s="56" t="n">
        <f aca="false">IF($W12="","",N(INDEX(发票统计!O$4:O$1003,$W12)))</f>
        <v>0</v>
      </c>
      <c r="P12" s="56" t="n">
        <f aca="false">IF($W12="","",SUM(M$4:M12)-SUM(N$4:N12)-SUM(O$4:O12))</f>
        <v>150000</v>
      </c>
      <c r="Q12" s="56" t="n">
        <f aca="false">IF($W12="","",N(INDEX(发票统计!Q$4:Q$1003,$W12)))</f>
        <v>0</v>
      </c>
      <c r="R12" s="56" t="n">
        <f aca="false">IF($W12="","",N(INDEX(发票统计!R$4:R$1003,$W12)))</f>
        <v>0</v>
      </c>
      <c r="S12" s="56" t="n">
        <f aca="false">IF($W12="","",N(INDEX(发票统计!S$4:S$1003,$W12)))</f>
        <v>0</v>
      </c>
      <c r="T12" s="56" t="n">
        <f aca="false">IF($W12="","",SUM(Q$4:Q12)-SUM(R$4:R12)-SUM(S$4:S12))</f>
        <v>0</v>
      </c>
      <c r="U12" s="56" t="str">
        <f aca="false">IF($W12="","",INDEX(发票统计!U$4:U$1003,$W12)&amp;"")</f>
        <v/>
      </c>
      <c r="W12" s="1" t="n">
        <f aca="false">IF($V$3="","",IFERROR(MATCH($V$3&amp;"#"&amp;ROWS(W$4:W12),发票统计!$W$4:$W$1003,0),""))</f>
        <v>45</v>
      </c>
    </row>
    <row r="13" customFormat="false" ht="16.5" hidden="false" customHeight="false" outlineLevel="0" collapsed="false">
      <c r="A13" s="3" t="str">
        <f aca="false">IF($W13="","",INDEX(发票统计!A$4:A$1003,$W13)&amp;"")</f>
        <v>合川表计</v>
      </c>
      <c r="B13" s="3" t="str">
        <f aca="false">IF($W13="","",INDEX(发票统计!B$4:B$1003,$W13)&amp;"")</f>
        <v>9月</v>
      </c>
      <c r="C13" s="3" t="str">
        <f aca="false">IF($W13="","",INDEX(发票统计!C$4:C$1003,$W13)&amp;"")</f>
        <v>国网重庆合川供电公司2026年用电信息采集系统建筑相关工程施工(包4)</v>
      </c>
      <c r="D13" s="3" t="str">
        <f aca="false">IF($W13="","",INDEX(发票统计!D$4:D$1003,$W13)&amp;"")</f>
        <v>2026.9.21维维对账提交腾泰工资：合川表计项目</v>
      </c>
      <c r="E13" s="56" t="str">
        <f aca="false">IF($W13="","",INDEX(发票统计!E$4:E$1003,$W13)&amp;"")</f>
        <v>腾泰</v>
      </c>
      <c r="F13" s="56" t="str">
        <f aca="false">IF($W13="","",INDEX(发票统计!F$4:F$1003,$W13)&amp;"")</f>
        <v>1%普票</v>
      </c>
      <c r="G13" s="68" t="str">
        <f aca="false">IF($W13="","",IF(INDEX(发票统计!G$4:G$1003,$W13)="","",INDEX(发票统计!G$4:G$1003,$W13)))</f>
        <v/>
      </c>
      <c r="H13" s="56" t="n">
        <f aca="false">IF($W13="","",N(INDEX(发票统计!H$4:H$1003,$W13)))</f>
        <v>195460</v>
      </c>
      <c r="I13" s="56" t="n">
        <f aca="false">IF($W13="","",N(INDEX(发票统计!I$4:I$1003,$W13)))</f>
        <v>0</v>
      </c>
      <c r="J13" s="56" t="n">
        <f aca="false">IF($W13="","",N(INDEX(发票统计!J$4:J$1003,$W13)))</f>
        <v>195460</v>
      </c>
      <c r="K13" s="56" t="n">
        <f aca="false">IF($W13="","",N(INDEX(发票统计!K$4:K$1003,$W13)))</f>
        <v>195460</v>
      </c>
      <c r="L13" s="56" t="n">
        <f aca="false">IF($W13="","",SUM(J$4:J13)-SUM(K$4:K13))</f>
        <v>0</v>
      </c>
      <c r="M13" s="56" t="n">
        <f aca="false">IF($W13="","",N(INDEX(发票统计!M$4:M$1003,$W13)))</f>
        <v>195460</v>
      </c>
      <c r="N13" s="56" t="n">
        <f aca="false">IF($W13="","",N(INDEX(发票统计!N$4:N$1003,$W13)))</f>
        <v>0</v>
      </c>
      <c r="O13" s="56" t="n">
        <f aca="false">IF($W13="","",N(INDEX(发票统计!O$4:O$1003,$W13)))</f>
        <v>0</v>
      </c>
      <c r="P13" s="56" t="n">
        <f aca="false">IF($W13="","",SUM(M$4:M13)-SUM(N$4:N13)-SUM(O$4:O13))</f>
        <v>345460</v>
      </c>
      <c r="Q13" s="56" t="n">
        <f aca="false">IF($W13="","",N(INDEX(发票统计!Q$4:Q$1003,$W13)))</f>
        <v>0</v>
      </c>
      <c r="R13" s="56" t="n">
        <f aca="false">IF($W13="","",N(INDEX(发票统计!R$4:R$1003,$W13)))</f>
        <v>0</v>
      </c>
      <c r="S13" s="56" t="n">
        <f aca="false">IF($W13="","",N(INDEX(发票统计!S$4:S$1003,$W13)))</f>
        <v>0</v>
      </c>
      <c r="T13" s="56" t="n">
        <f aca="false">IF($W13="","",SUM(Q$4:Q13)-SUM(R$4:R13)-SUM(S$4:S13))</f>
        <v>0</v>
      </c>
      <c r="U13" s="56" t="str">
        <f aca="false">IF($W13="","",INDEX(发票统计!U$4:U$1003,$W13)&amp;"")</f>
        <v/>
      </c>
      <c r="W13" s="1" t="n">
        <f aca="false">IF($V$3="","",IFERROR(MATCH($V$3&amp;"#"&amp;ROWS(W$4:W13),发票统计!$W$4:$W$1003,0),""))</f>
        <v>46</v>
      </c>
    </row>
    <row r="14" customFormat="false" ht="16.5" hidden="false" customHeight="false" outlineLevel="0" collapsed="false">
      <c r="A14" s="3" t="str">
        <f aca="false">IF($W14="","",INDEX(发票统计!A$4:A$1003,$W14)&amp;"")</f>
        <v>合川表计</v>
      </c>
      <c r="B14" s="3" t="str">
        <f aca="false">IF($W14="","",INDEX(发票统计!B$4:B$1003,$W14)&amp;"")</f>
        <v>9月</v>
      </c>
      <c r="C14" s="3" t="str">
        <f aca="false">IF($W14="","",INDEX(发票统计!C$4:C$1003,$W14)&amp;"")</f>
        <v>国网重庆合川供电公司2026年用电信息采集系统建筑相关工程施工(包4)</v>
      </c>
      <c r="D14" s="3" t="str">
        <f aca="false">IF($W14="","",INDEX(发票统计!D$4:D$1003,$W14)&amp;"")</f>
        <v>2026.9.21何燕反馈提交10W工资表</v>
      </c>
      <c r="E14" s="56" t="str">
        <f aca="false">IF($W14="","",INDEX(发票统计!E$4:E$1003,$W14)&amp;"")</f>
        <v>众聚能</v>
      </c>
      <c r="F14" s="56" t="str">
        <f aca="false">IF($W14="","",INDEX(发票统计!F$4:F$1003,$W14)&amp;"")</f>
        <v/>
      </c>
      <c r="G14" s="68" t="str">
        <f aca="false">IF($W14="","",IF(INDEX(发票统计!G$4:G$1003,$W14)="","",INDEX(发票统计!G$4:G$1003,$W14)))</f>
        <v/>
      </c>
      <c r="H14" s="56" t="n">
        <f aca="false">IF($W14="","",N(INDEX(发票统计!H$4:H$1003,$W14)))</f>
        <v>100000</v>
      </c>
      <c r="I14" s="56" t="n">
        <f aca="false">IF($W14="","",N(INDEX(发票统计!I$4:I$1003,$W14)))</f>
        <v>0</v>
      </c>
      <c r="J14" s="56" t="n">
        <f aca="false">IF($W14="","",N(INDEX(发票统计!J$4:J$1003,$W14)))</f>
        <v>100000</v>
      </c>
      <c r="K14" s="56" t="n">
        <f aca="false">IF($W14="","",N(INDEX(发票统计!K$4:K$1003,$W14)))</f>
        <v>100000</v>
      </c>
      <c r="L14" s="56" t="n">
        <f aca="false">IF($W14="","",SUM(J$4:J14)-SUM(K$4:K14))</f>
        <v>0</v>
      </c>
      <c r="M14" s="56" t="n">
        <f aca="false">IF($W14="","",N(INDEX(发票统计!M$4:M$1003,$W14)))</f>
        <v>100000</v>
      </c>
      <c r="N14" s="56" t="n">
        <f aca="false">IF($W14="","",N(INDEX(发票统计!N$4:N$1003,$W14)))</f>
        <v>0</v>
      </c>
      <c r="O14" s="56" t="n">
        <f aca="false">IF($W14="","",N(INDEX(发票统计!O$4:O$1003,$W14)))</f>
        <v>0</v>
      </c>
      <c r="P14" s="56" t="n">
        <f aca="false">IF($W14="","",SUM(M$4:M14)-SUM(N$4:N14)-SUM(O$4:O14))</f>
        <v>445460</v>
      </c>
      <c r="Q14" s="56" t="n">
        <f aca="false">IF($W14="","",N(INDEX(发票统计!Q$4:Q$1003,$W14)))</f>
        <v>0</v>
      </c>
      <c r="R14" s="56" t="n">
        <f aca="false">IF($W14="","",N(INDEX(发票统计!R$4:R$1003,$W14)))</f>
        <v>0</v>
      </c>
      <c r="S14" s="56" t="n">
        <f aca="false">IF($W14="","",N(INDEX(发票统计!S$4:S$1003,$W14)))</f>
        <v>0</v>
      </c>
      <c r="T14" s="56" t="n">
        <f aca="false">IF($W14="","",SUM(Q$4:Q14)-SUM(R$4:R14)-SUM(S$4:S14))</f>
        <v>0</v>
      </c>
      <c r="U14" s="56" t="str">
        <f aca="false">IF($W14="","",INDEX(发票统计!U$4:U$1003,$W14)&amp;"")</f>
        <v/>
      </c>
      <c r="W14" s="1" t="n">
        <f aca="false">IF($V$3="","",IFERROR(MATCH($V$3&amp;"#"&amp;ROWS(W$4:W14),发票统计!$W$4:$W$1003,0),""))</f>
        <v>47</v>
      </c>
    </row>
    <row r="15" customFormat="false" ht="16.5" hidden="false" customHeight="false" outlineLevel="0" collapsed="false">
      <c r="A15" s="3" t="str">
        <f aca="false">IF($W15="","",INDEX(发票统计!A$4:A$1003,$W15)&amp;"")</f>
        <v>合川表计</v>
      </c>
      <c r="B15" s="3" t="str">
        <f aca="false">IF($W15="","",INDEX(发票统计!B$4:B$1003,$W15)&amp;"")</f>
        <v>9月</v>
      </c>
      <c r="C15" s="3" t="str">
        <f aca="false">IF($W15="","",INDEX(发票统计!C$4:C$1003,$W15)&amp;"")</f>
        <v>国网重庆合川供电公司2026年用电信息采集系统建筑相关工程施工(包4)</v>
      </c>
      <c r="D15" s="3" t="str">
        <f aca="false">IF($W15="","",INDEX(发票统计!D$4:D$1003,$W15)&amp;"")</f>
        <v>2026.9.21小温提供表计工资表给众聚能何燕挂账</v>
      </c>
      <c r="E15" s="56" t="str">
        <f aca="false">IF($W15="","",INDEX(发票统计!E$4:E$1003,$W15)&amp;"")</f>
        <v>众聚能</v>
      </c>
      <c r="F15" s="56" t="str">
        <f aca="false">IF($W15="","",INDEX(发票统计!F$4:F$1003,$W15)&amp;"")</f>
        <v>1%普票</v>
      </c>
      <c r="G15" s="68" t="str">
        <f aca="false">IF($W15="","",IF(INDEX(发票统计!G$4:G$1003,$W15)="","",INDEX(发票统计!G$4:G$1003,$W15)))</f>
        <v/>
      </c>
      <c r="H15" s="56" t="n">
        <f aca="false">IF($W15="","",N(INDEX(发票统计!H$4:H$1003,$W15)))</f>
        <v>100000</v>
      </c>
      <c r="I15" s="56" t="n">
        <f aca="false">IF($W15="","",N(INDEX(发票统计!I$4:I$1003,$W15)))</f>
        <v>0</v>
      </c>
      <c r="J15" s="56" t="n">
        <f aca="false">IF($W15="","",N(INDEX(发票统计!J$4:J$1003,$W15)))</f>
        <v>100000</v>
      </c>
      <c r="K15" s="56" t="n">
        <f aca="false">IF($W15="","",N(INDEX(发票统计!K$4:K$1003,$W15)))</f>
        <v>0</v>
      </c>
      <c r="L15" s="56" t="n">
        <f aca="false">IF($W15="","",SUM(J$4:J15)-SUM(K$4:K15))</f>
        <v>100000</v>
      </c>
      <c r="M15" s="56" t="n">
        <f aca="false">IF($W15="","",N(INDEX(发票统计!M$4:M$1003,$W15)))</f>
        <v>100000</v>
      </c>
      <c r="N15" s="56" t="n">
        <f aca="false">IF($W15="","",N(INDEX(发票统计!N$4:N$1003,$W15)))</f>
        <v>0</v>
      </c>
      <c r="O15" s="56" t="n">
        <f aca="false">IF($W15="","",N(INDEX(发票统计!O$4:O$1003,$W15)))</f>
        <v>0</v>
      </c>
      <c r="P15" s="56" t="n">
        <f aca="false">IF($W15="","",SUM(M$4:M15)-SUM(N$4:N15)-SUM(O$4:O15))</f>
        <v>545460</v>
      </c>
      <c r="Q15" s="56" t="n">
        <f aca="false">IF($W15="","",N(INDEX(发票统计!Q$4:Q$1003,$W15)))</f>
        <v>0</v>
      </c>
      <c r="R15" s="56" t="n">
        <f aca="false">IF($W15="","",N(INDEX(发票统计!R$4:R$1003,$W15)))</f>
        <v>0</v>
      </c>
      <c r="S15" s="56" t="n">
        <f aca="false">IF($W15="","",N(INDEX(发票统计!S$4:S$1003,$W15)))</f>
        <v>0</v>
      </c>
      <c r="T15" s="56" t="n">
        <f aca="false">IF($W15="","",SUM(Q$4:Q15)-SUM(R$4:R15)-SUM(S$4:S15))</f>
        <v>0</v>
      </c>
      <c r="U15" s="56" t="str">
        <f aca="false">IF($W15="","",INDEX(发票统计!U$4:U$1003,$W15)&amp;"")</f>
        <v/>
      </c>
      <c r="W15" s="1" t="n">
        <f aca="false">IF($V$3="","",IFERROR(MATCH($V$3&amp;"#"&amp;ROWS(W$4:W15),发票统计!$W$4:$W$1003,0),""))</f>
        <v>48</v>
      </c>
    </row>
    <row r="16" customFormat="false" ht="16.5" hidden="false" customHeight="false" outlineLevel="0" collapsed="false">
      <c r="A16" s="3" t="str">
        <f aca="false">IF($W16="","",INDEX(发票统计!A$4:A$1003,$W16)&amp;"")</f>
        <v>合川表计</v>
      </c>
      <c r="B16" s="3" t="str">
        <f aca="false">IF($W16="","",INDEX(发票统计!B$4:B$1003,$W16)&amp;"")</f>
        <v>5月</v>
      </c>
      <c r="C16" s="3" t="str">
        <f aca="false">IF($W16="","",INDEX(发票统计!C$4:C$1003,$W16)&amp;"")</f>
        <v>国网重庆合川供电公司2026年用电信息采集系统建筑相关工程施工(包4)</v>
      </c>
      <c r="D16" s="3" t="str">
        <f aca="false">IF($W16="","",INDEX(发票统计!D$4:D$1003,$W16)&amp;"")</f>
        <v>2026.5.6/5.23代付合川表计工资</v>
      </c>
      <c r="E16" s="56" t="str">
        <f aca="false">IF($W16="","",INDEX(发票统计!E$4:E$1003,$W16)&amp;"")</f>
        <v/>
      </c>
      <c r="F16" s="56" t="str">
        <f aca="false">IF($W16="","",INDEX(发票统计!F$4:F$1003,$W16)&amp;"")</f>
        <v/>
      </c>
      <c r="G16" s="68" t="str">
        <f aca="false">IF($W16="","",IF(INDEX(发票统计!G$4:G$1003,$W16)="","",INDEX(发票统计!G$4:G$1003,$W16)))</f>
        <v/>
      </c>
      <c r="H16" s="56" t="n">
        <f aca="false">IF($W16="","",N(INDEX(发票统计!H$4:H$1003,$W16)))</f>
        <v>0</v>
      </c>
      <c r="I16" s="56" t="n">
        <f aca="false">IF($W16="","",N(INDEX(发票统计!I$4:I$1003,$W16)))</f>
        <v>0</v>
      </c>
      <c r="J16" s="56" t="n">
        <f aca="false">IF($W16="","",N(INDEX(发票统计!J$4:J$1003,$W16)))</f>
        <v>0</v>
      </c>
      <c r="K16" s="56" t="n">
        <f aca="false">IF($W16="","",N(INDEX(发票统计!K$4:K$1003,$W16)))</f>
        <v>0</v>
      </c>
      <c r="L16" s="56" t="n">
        <f aca="false">IF($W16="","",SUM(J$4:J16)-SUM(K$4:K16))</f>
        <v>100000</v>
      </c>
      <c r="M16" s="56" t="n">
        <f aca="false">IF($W16="","",N(INDEX(发票统计!M$4:M$1003,$W16)))</f>
        <v>0</v>
      </c>
      <c r="N16" s="56" t="n">
        <f aca="false">IF($W16="","",N(INDEX(发票统计!N$4:N$1003,$W16)))</f>
        <v>0</v>
      </c>
      <c r="O16" s="56" t="n">
        <f aca="false">IF($W16="","",N(INDEX(发票统计!O$4:O$1003,$W16)))</f>
        <v>0</v>
      </c>
      <c r="P16" s="56" t="n">
        <f aca="false">IF($W16="","",SUM(M$4:M16)-SUM(N$4:N16)-SUM(O$4:O16))</f>
        <v>545460</v>
      </c>
      <c r="Q16" s="56" t="n">
        <f aca="false">IF($W16="","",N(INDEX(发票统计!Q$4:Q$1003,$W16)))</f>
        <v>0</v>
      </c>
      <c r="R16" s="56" t="n">
        <f aca="false">IF($W16="","",N(INDEX(发票统计!R$4:R$1003,$W16)))</f>
        <v>0</v>
      </c>
      <c r="S16" s="70" t="n">
        <f aca="false">IF($W16="","",N(INDEX(发票统计!S$4:S$1003,$W16)))</f>
        <v>105000</v>
      </c>
      <c r="T16" s="56" t="n">
        <f aca="false">IF($W16="","",SUM(Q$4:Q16)-SUM(R$4:R16)-SUM(S$4:S16))</f>
        <v>-105000</v>
      </c>
      <c r="U16" s="56" t="str">
        <f aca="false">IF($W16="","",INDEX(发票统计!U$4:U$1003,$W16)&amp;"")</f>
        <v/>
      </c>
      <c r="W16" s="1" t="n">
        <f aca="false">IF($V$3="","",IFERROR(MATCH($V$3&amp;"#"&amp;ROWS(W$4:W16),发票统计!$W$4:$W$1003,0),""))</f>
        <v>49</v>
      </c>
    </row>
    <row r="17" customFormat="false" ht="16.5" hidden="false" customHeight="false" outlineLevel="0" collapsed="false">
      <c r="A17" s="3" t="str">
        <f aca="false">IF($W17="","",INDEX(发票统计!A$4:A$1003,$W17)&amp;"")</f>
        <v>合川表计</v>
      </c>
      <c r="B17" s="3" t="str">
        <f aca="false">IF($W17="","",INDEX(发票统计!B$4:B$1003,$W17)&amp;"")</f>
        <v>5月</v>
      </c>
      <c r="C17" s="3" t="str">
        <f aca="false">IF($W17="","",INDEX(发票统计!C$4:C$1003,$W17)&amp;"")</f>
        <v>国网重庆合川供电公司2026年用电信息采集系统建筑相关工程施工(包4)</v>
      </c>
      <c r="D17" s="3" t="str">
        <f aca="false">IF($W17="","",INDEX(发票统计!D$4:D$1003,$W17)&amp;"")</f>
        <v>2026.5.14伍勇军借支</v>
      </c>
      <c r="E17" s="56" t="str">
        <f aca="false">IF($W17="","",INDEX(发票统计!E$4:E$1003,$W17)&amp;"")</f>
        <v/>
      </c>
      <c r="F17" s="56" t="str">
        <f aca="false">IF($W17="","",INDEX(发票统计!F$4:F$1003,$W17)&amp;"")</f>
        <v/>
      </c>
      <c r="G17" s="68" t="str">
        <f aca="false">IF($W17="","",IF(INDEX(发票统计!G$4:G$1003,$W17)="","",INDEX(发票统计!G$4:G$1003,$W17)))</f>
        <v/>
      </c>
      <c r="H17" s="56" t="n">
        <f aca="false">IF($W17="","",N(INDEX(发票统计!H$4:H$1003,$W17)))</f>
        <v>0</v>
      </c>
      <c r="I17" s="56" t="n">
        <f aca="false">IF($W17="","",N(INDEX(发票统计!I$4:I$1003,$W17)))</f>
        <v>0</v>
      </c>
      <c r="J17" s="56" t="n">
        <f aca="false">IF($W17="","",N(INDEX(发票统计!J$4:J$1003,$W17)))</f>
        <v>0</v>
      </c>
      <c r="K17" s="56" t="n">
        <f aca="false">IF($W17="","",N(INDEX(发票统计!K$4:K$1003,$W17)))</f>
        <v>0</v>
      </c>
      <c r="L17" s="56" t="n">
        <f aca="false">IF($W17="","",SUM(J$4:J17)-SUM(K$4:K17))</f>
        <v>100000</v>
      </c>
      <c r="M17" s="56" t="n">
        <f aca="false">IF($W17="","",N(INDEX(发票统计!M$4:M$1003,$W17)))</f>
        <v>0</v>
      </c>
      <c r="N17" s="56" t="n">
        <f aca="false">IF($W17="","",N(INDEX(发票统计!N$4:N$1003,$W17)))</f>
        <v>0</v>
      </c>
      <c r="O17" s="56" t="n">
        <f aca="false">IF($W17="","",N(INDEX(发票统计!O$4:O$1003,$W17)))</f>
        <v>0</v>
      </c>
      <c r="P17" s="56" t="n">
        <f aca="false">IF($W17="","",SUM(M$4:M17)-SUM(N$4:N17)-SUM(O$4:O17))</f>
        <v>545460</v>
      </c>
      <c r="Q17" s="56" t="n">
        <f aca="false">IF($W17="","",N(INDEX(发票统计!Q$4:Q$1003,$W17)))</f>
        <v>0</v>
      </c>
      <c r="R17" s="56" t="n">
        <f aca="false">IF($W17="","",N(INDEX(发票统计!R$4:R$1003,$W17)))</f>
        <v>0</v>
      </c>
      <c r="S17" s="70" t="n">
        <f aca="false">IF($W17="","",N(INDEX(发票统计!S$4:S$1003,$W17)))</f>
        <v>20000</v>
      </c>
      <c r="T17" s="56" t="n">
        <f aca="false">IF($W17="","",SUM(Q$4:Q17)-SUM(R$4:R17)-SUM(S$4:S17))</f>
        <v>-125000</v>
      </c>
      <c r="U17" s="56" t="str">
        <f aca="false">IF($W17="","",INDEX(发票统计!U$4:U$1003,$W17)&amp;"")</f>
        <v/>
      </c>
      <c r="W17" s="1" t="n">
        <f aca="false">IF($V$3="","",IFERROR(MATCH($V$3&amp;"#"&amp;ROWS(W$4:W17),发票统计!$W$4:$W$1003,0),""))</f>
        <v>50</v>
      </c>
    </row>
    <row r="18" customFormat="false" ht="16.5" hidden="false" customHeight="false" outlineLevel="0" collapsed="false">
      <c r="A18" s="3" t="str">
        <f aca="false">IF($W18="","",INDEX(发票统计!A$4:A$1003,$W18)&amp;"")</f>
        <v>合川表计</v>
      </c>
      <c r="B18" s="3" t="str">
        <f aca="false">IF($W18="","",INDEX(发票统计!B$4:B$1003,$W18)&amp;"")</f>
        <v>5月</v>
      </c>
      <c r="C18" s="3" t="str">
        <f aca="false">IF($W18="","",INDEX(发票统计!C$4:C$1003,$W18)&amp;"")</f>
        <v>国网重庆合川供电公司2026年用电信息采集系统建筑相关工程施工(包4)</v>
      </c>
      <c r="D18" s="3" t="str">
        <f aca="false">IF($W18="","",INDEX(发票统计!D$4:D$1003,$W18)&amp;"")</f>
        <v>2026.5.27伍勇军借支</v>
      </c>
      <c r="E18" s="56" t="str">
        <f aca="false">IF($W18="","",INDEX(发票统计!E$4:E$1003,$W18)&amp;"")</f>
        <v/>
      </c>
      <c r="F18" s="56" t="str">
        <f aca="false">IF($W18="","",INDEX(发票统计!F$4:F$1003,$W18)&amp;"")</f>
        <v/>
      </c>
      <c r="G18" s="68" t="str">
        <f aca="false">IF($W18="","",IF(INDEX(发票统计!G$4:G$1003,$W18)="","",INDEX(发票统计!G$4:G$1003,$W18)))</f>
        <v/>
      </c>
      <c r="H18" s="56" t="n">
        <f aca="false">IF($W18="","",N(INDEX(发票统计!H$4:H$1003,$W18)))</f>
        <v>0</v>
      </c>
      <c r="I18" s="56" t="n">
        <f aca="false">IF($W18="","",N(INDEX(发票统计!I$4:I$1003,$W18)))</f>
        <v>0</v>
      </c>
      <c r="J18" s="56" t="n">
        <f aca="false">IF($W18="","",N(INDEX(发票统计!J$4:J$1003,$W18)))</f>
        <v>0</v>
      </c>
      <c r="K18" s="56" t="n">
        <f aca="false">IF($W18="","",N(INDEX(发票统计!K$4:K$1003,$W18)))</f>
        <v>0</v>
      </c>
      <c r="L18" s="56" t="n">
        <f aca="false">IF($W18="","",SUM(J$4:J18)-SUM(K$4:K18))</f>
        <v>100000</v>
      </c>
      <c r="M18" s="56" t="n">
        <f aca="false">IF($W18="","",N(INDEX(发票统计!M$4:M$1003,$W18)))</f>
        <v>0</v>
      </c>
      <c r="N18" s="56" t="n">
        <f aca="false">IF($W18="","",N(INDEX(发票统计!N$4:N$1003,$W18)))</f>
        <v>0</v>
      </c>
      <c r="O18" s="56" t="n">
        <f aca="false">IF($W18="","",N(INDEX(发票统计!O$4:O$1003,$W18)))</f>
        <v>0</v>
      </c>
      <c r="P18" s="56" t="n">
        <f aca="false">IF($W18="","",SUM(M$4:M18)-SUM(N$4:N18)-SUM(O$4:O18))</f>
        <v>545460</v>
      </c>
      <c r="Q18" s="56" t="n">
        <f aca="false">IF($W18="","",N(INDEX(发票统计!Q$4:Q$1003,$W18)))</f>
        <v>0</v>
      </c>
      <c r="R18" s="56" t="n">
        <f aca="false">IF($W18="","",N(INDEX(发票统计!R$4:R$1003,$W18)))</f>
        <v>0</v>
      </c>
      <c r="S18" s="56" t="n">
        <f aca="false">IF($W18="","",N(INDEX(发票统计!S$4:S$1003,$W18)))</f>
        <v>10000</v>
      </c>
      <c r="T18" s="56" t="n">
        <f aca="false">IF($W18="","",SUM(Q$4:Q18)-SUM(R$4:R18)-SUM(S$4:S18))</f>
        <v>-135000</v>
      </c>
      <c r="U18" s="56" t="str">
        <f aca="false">IF($W18="","",INDEX(发票统计!U$4:U$1003,$W18)&amp;"")</f>
        <v/>
      </c>
      <c r="W18" s="1" t="n">
        <f aca="false">IF($V$3="","",IFERROR(MATCH($V$3&amp;"#"&amp;ROWS(W$4:W18),发票统计!$W$4:$W$1003,0),""))</f>
        <v>51</v>
      </c>
    </row>
    <row r="19" customFormat="false" ht="16.5" hidden="false" customHeight="false" outlineLevel="0" collapsed="false">
      <c r="A19" s="3" t="str">
        <f aca="false">IF($W19="","",INDEX(发票统计!A$4:A$1003,$W19)&amp;"")</f>
        <v>合川表计</v>
      </c>
      <c r="B19" s="3" t="str">
        <f aca="false">IF($W19="","",INDEX(发票统计!B$4:B$1003,$W19)&amp;"")</f>
        <v>6月</v>
      </c>
      <c r="C19" s="3" t="str">
        <f aca="false">IF($W19="","",INDEX(发票统计!C$4:C$1003,$W19)&amp;"")</f>
        <v>国网重庆合川供电公司2026年用电信息采集系统建筑相关工程施工(包4)</v>
      </c>
      <c r="D19" s="3" t="str">
        <f aca="false">IF($W19="","",INDEX(发票统计!D$4:D$1003,$W19)&amp;"")</f>
        <v>2026.6.8代付合川表计工资</v>
      </c>
      <c r="E19" s="56" t="str">
        <f aca="false">IF($W19="","",INDEX(发票统计!E$4:E$1003,$W19)&amp;"")</f>
        <v/>
      </c>
      <c r="F19" s="56" t="str">
        <f aca="false">IF($W19="","",INDEX(发票统计!F$4:F$1003,$W19)&amp;"")</f>
        <v/>
      </c>
      <c r="G19" s="68" t="str">
        <f aca="false">IF($W19="","",IF(INDEX(发票统计!G$4:G$1003,$W19)="","",INDEX(发票统计!G$4:G$1003,$W19)))</f>
        <v/>
      </c>
      <c r="H19" s="56" t="n">
        <f aca="false">IF($W19="","",N(INDEX(发票统计!H$4:H$1003,$W19)))</f>
        <v>0</v>
      </c>
      <c r="I19" s="56" t="n">
        <f aca="false">IF($W19="","",N(INDEX(发票统计!I$4:I$1003,$W19)))</f>
        <v>0</v>
      </c>
      <c r="J19" s="56" t="n">
        <f aca="false">IF($W19="","",N(INDEX(发票统计!J$4:J$1003,$W19)))</f>
        <v>0</v>
      </c>
      <c r="K19" s="56" t="n">
        <f aca="false">IF($W19="","",N(INDEX(发票统计!K$4:K$1003,$W19)))</f>
        <v>0</v>
      </c>
      <c r="L19" s="56" t="n">
        <f aca="false">IF($W19="","",SUM(J$4:J19)-SUM(K$4:K19))</f>
        <v>100000</v>
      </c>
      <c r="M19" s="56" t="n">
        <f aca="false">IF($W19="","",N(INDEX(发票统计!M$4:M$1003,$W19)))</f>
        <v>0</v>
      </c>
      <c r="N19" s="56" t="n">
        <f aca="false">IF($W19="","",N(INDEX(发票统计!N$4:N$1003,$W19)))</f>
        <v>0</v>
      </c>
      <c r="O19" s="56" t="n">
        <f aca="false">IF($W19="","",N(INDEX(发票统计!O$4:O$1003,$W19)))</f>
        <v>0</v>
      </c>
      <c r="P19" s="56" t="n">
        <f aca="false">IF($W19="","",SUM(M$4:M19)-SUM(N$4:N19)-SUM(O$4:O19))</f>
        <v>545460</v>
      </c>
      <c r="Q19" s="56" t="n">
        <f aca="false">IF($W19="","",N(INDEX(发票统计!Q$4:Q$1003,$W19)))</f>
        <v>0</v>
      </c>
      <c r="R19" s="56" t="n">
        <f aca="false">IF($W19="","",N(INDEX(发票统计!R$4:R$1003,$W19)))</f>
        <v>0</v>
      </c>
      <c r="S19" s="56" t="n">
        <f aca="false">IF($W19="","",N(INDEX(发票统计!S$4:S$1003,$W19)))</f>
        <v>91200</v>
      </c>
      <c r="T19" s="56" t="n">
        <f aca="false">IF($W19="","",SUM(Q$4:Q19)-SUM(R$4:R19)-SUM(S$4:S19))</f>
        <v>-226200</v>
      </c>
      <c r="U19" s="56" t="str">
        <f aca="false">IF($W19="","",INDEX(发票统计!U$4:U$1003,$W19)&amp;"")</f>
        <v/>
      </c>
      <c r="W19" s="1" t="n">
        <f aca="false">IF($V$3="","",IFERROR(MATCH($V$3&amp;"#"&amp;ROWS(W$4:W19),发票统计!$W$4:$W$1003,0),""))</f>
        <v>52</v>
      </c>
    </row>
    <row r="20" customFormat="false" ht="16.5" hidden="false" customHeight="false" outlineLevel="0" collapsed="false">
      <c r="A20" s="3" t="str">
        <f aca="false">IF($W20="","",INDEX(发票统计!A$4:A$1003,$W20)&amp;"")</f>
        <v>合川表计</v>
      </c>
      <c r="B20" s="3" t="str">
        <f aca="false">IF($W20="","",INDEX(发票统计!B$4:B$1003,$W20)&amp;"")</f>
        <v>6月</v>
      </c>
      <c r="C20" s="3" t="str">
        <f aca="false">IF($W20="","",INDEX(发票统计!C$4:C$1003,$W20)&amp;"")</f>
        <v>国网重庆合川供电公司2026年用电信息采集系统建筑相关工程施工(包4)</v>
      </c>
      <c r="D20" s="3" t="str">
        <f aca="false">IF($W20="","",INDEX(发票统计!D$4:D$1003,$W20)&amp;"")</f>
        <v>2026.6.18/6.30代付合川表计工资</v>
      </c>
      <c r="E20" s="56" t="str">
        <f aca="false">IF($W20="","",INDEX(发票统计!E$4:E$1003,$W20)&amp;"")</f>
        <v/>
      </c>
      <c r="F20" s="56" t="str">
        <f aca="false">IF($W20="","",INDEX(发票统计!F$4:F$1003,$W20)&amp;"")</f>
        <v/>
      </c>
      <c r="G20" s="68" t="str">
        <f aca="false">IF($W20="","",IF(INDEX(发票统计!G$4:G$1003,$W20)="","",INDEX(发票统计!G$4:G$1003,$W20)))</f>
        <v/>
      </c>
      <c r="H20" s="56" t="n">
        <f aca="false">IF($W20="","",N(INDEX(发票统计!H$4:H$1003,$W20)))</f>
        <v>0</v>
      </c>
      <c r="I20" s="56" t="n">
        <f aca="false">IF($W20="","",N(INDEX(发票统计!I$4:I$1003,$W20)))</f>
        <v>0</v>
      </c>
      <c r="J20" s="56" t="n">
        <f aca="false">IF($W20="","",N(INDEX(发票统计!J$4:J$1003,$W20)))</f>
        <v>0</v>
      </c>
      <c r="K20" s="56" t="n">
        <f aca="false">IF($W20="","",N(INDEX(发票统计!K$4:K$1003,$W20)))</f>
        <v>0</v>
      </c>
      <c r="L20" s="56" t="n">
        <f aca="false">IF($W20="","",SUM(J$4:J20)-SUM(K$4:K20))</f>
        <v>100000</v>
      </c>
      <c r="M20" s="56" t="n">
        <f aca="false">IF($W20="","",N(INDEX(发票统计!M$4:M$1003,$W20)))</f>
        <v>0</v>
      </c>
      <c r="N20" s="56" t="n">
        <f aca="false">IF($W20="","",N(INDEX(发票统计!N$4:N$1003,$W20)))</f>
        <v>0</v>
      </c>
      <c r="O20" s="56" t="n">
        <f aca="false">IF($W20="","",N(INDEX(发票统计!O$4:O$1003,$W20)))</f>
        <v>0</v>
      </c>
      <c r="P20" s="56" t="n">
        <f aca="false">IF($W20="","",SUM(M$4:M20)-SUM(N$4:N20)-SUM(O$4:O20))</f>
        <v>545460</v>
      </c>
      <c r="Q20" s="56" t="n">
        <f aca="false">IF($W20="","",N(INDEX(发票统计!Q$4:Q$1003,$W20)))</f>
        <v>0</v>
      </c>
      <c r="R20" s="56" t="n">
        <f aca="false">IF($W20="","",N(INDEX(发票统计!R$4:R$1003,$W20)))</f>
        <v>0</v>
      </c>
      <c r="S20" s="56" t="n">
        <f aca="false">IF($W20="","",N(INDEX(发票统计!S$4:S$1003,$W20)))</f>
        <v>75943</v>
      </c>
      <c r="T20" s="56" t="n">
        <f aca="false">IF($W20="","",SUM(Q$4:Q20)-SUM(R$4:R20)-SUM(S$4:S20))</f>
        <v>-302143</v>
      </c>
      <c r="U20" s="56" t="str">
        <f aca="false">IF($W20="","",INDEX(发票统计!U$4:U$1003,$W20)&amp;"")</f>
        <v/>
      </c>
      <c r="W20" s="1" t="n">
        <f aca="false">IF($V$3="","",IFERROR(MATCH($V$3&amp;"#"&amp;ROWS(W$4:W20),发票统计!$W$4:$W$1003,0),""))</f>
        <v>53</v>
      </c>
    </row>
    <row r="21" customFormat="false" ht="16.5" hidden="false" customHeight="false" outlineLevel="0" collapsed="false">
      <c r="A21" s="3" t="str">
        <f aca="false">IF($W21="","",INDEX(发票统计!A$4:A$1003,$W21)&amp;"")</f>
        <v>合川表计</v>
      </c>
      <c r="B21" s="3" t="str">
        <f aca="false">IF($W21="","",INDEX(发票统计!B$4:B$1003,$W21)&amp;"")</f>
        <v>7月</v>
      </c>
      <c r="C21" s="3" t="str">
        <f aca="false">IF($W21="","",INDEX(发票统计!C$4:C$1003,$W21)&amp;"")</f>
        <v>国网重庆合川供电公司2026年用电信息采集系统建筑相关工程施工(包4)</v>
      </c>
      <c r="D21" s="3" t="str">
        <f aca="false">IF($W21="","",INDEX(发票统计!D$4:D$1003,$W21)&amp;"")</f>
        <v>2026.7.2代付伍建华合川表计工资</v>
      </c>
      <c r="E21" s="56" t="str">
        <f aca="false">IF($W21="","",INDEX(发票统计!E$4:E$1003,$W21)&amp;"")</f>
        <v/>
      </c>
      <c r="F21" s="56" t="str">
        <f aca="false">IF($W21="","",INDEX(发票统计!F$4:F$1003,$W21)&amp;"")</f>
        <v/>
      </c>
      <c r="G21" s="68" t="str">
        <f aca="false">IF($W21="","",IF(INDEX(发票统计!G$4:G$1003,$W21)="","",INDEX(发票统计!G$4:G$1003,$W21)))</f>
        <v/>
      </c>
      <c r="H21" s="56" t="n">
        <f aca="false">IF($W21="","",N(INDEX(发票统计!H$4:H$1003,$W21)))</f>
        <v>0</v>
      </c>
      <c r="I21" s="56" t="n">
        <f aca="false">IF($W21="","",N(INDEX(发票统计!I$4:I$1003,$W21)))</f>
        <v>0</v>
      </c>
      <c r="J21" s="56" t="n">
        <f aca="false">IF($W21="","",N(INDEX(发票统计!J$4:J$1003,$W21)))</f>
        <v>0</v>
      </c>
      <c r="K21" s="56" t="n">
        <f aca="false">IF($W21="","",N(INDEX(发票统计!K$4:K$1003,$W21)))</f>
        <v>0</v>
      </c>
      <c r="L21" s="56" t="n">
        <f aca="false">IF($W21="","",SUM(J$4:J21)-SUM(K$4:K21))</f>
        <v>100000</v>
      </c>
      <c r="M21" s="56" t="n">
        <f aca="false">IF($W21="","",N(INDEX(发票统计!M$4:M$1003,$W21)))</f>
        <v>0</v>
      </c>
      <c r="N21" s="56" t="n">
        <f aca="false">IF($W21="","",N(INDEX(发票统计!N$4:N$1003,$W21)))</f>
        <v>0</v>
      </c>
      <c r="O21" s="56" t="n">
        <f aca="false">IF($W21="","",N(INDEX(发票统计!O$4:O$1003,$W21)))</f>
        <v>0</v>
      </c>
      <c r="P21" s="56" t="n">
        <f aca="false">IF($W21="","",SUM(M$4:M21)-SUM(N$4:N21)-SUM(O$4:O21))</f>
        <v>545460</v>
      </c>
      <c r="Q21" s="56" t="n">
        <f aca="false">IF($W21="","",N(INDEX(发票统计!Q$4:Q$1003,$W21)))</f>
        <v>0</v>
      </c>
      <c r="R21" s="56" t="n">
        <f aca="false">IF($W21="","",N(INDEX(发票统计!R$4:R$1003,$W21)))</f>
        <v>0</v>
      </c>
      <c r="S21" s="56" t="n">
        <f aca="false">IF($W21="","",N(INDEX(发票统计!S$4:S$1003,$W21)))</f>
        <v>2000</v>
      </c>
      <c r="T21" s="56" t="n">
        <f aca="false">IF($W21="","",SUM(Q$4:Q21)-SUM(R$4:R21)-SUM(S$4:S21))</f>
        <v>-304143</v>
      </c>
      <c r="U21" s="56" t="str">
        <f aca="false">IF($W21="","",INDEX(发票统计!U$4:U$1003,$W21)&amp;"")</f>
        <v/>
      </c>
      <c r="W21" s="1" t="n">
        <f aca="false">IF($V$3="","",IFERROR(MATCH($V$3&amp;"#"&amp;ROWS(W$4:W21),发票统计!$W$4:$W$1003,0),""))</f>
        <v>54</v>
      </c>
    </row>
    <row r="22" customFormat="false" ht="16.5" hidden="false" customHeight="false" outlineLevel="0" collapsed="false">
      <c r="A22" s="3" t="str">
        <f aca="false">IF($W22="","",INDEX(发票统计!A$4:A$1003,$W22)&amp;"")</f>
        <v>合川表计</v>
      </c>
      <c r="B22" s="3" t="str">
        <f aca="false">IF($W22="","",INDEX(发票统计!B$4:B$1003,$W22)&amp;"")</f>
        <v>7月</v>
      </c>
      <c r="C22" s="3" t="str">
        <f aca="false">IF($W22="","",INDEX(发票统计!C$4:C$1003,$W22)&amp;"")</f>
        <v>国网重庆合川供电公司2026年用电信息采集系统建筑相关工程施工(包4)</v>
      </c>
      <c r="D22" s="3" t="str">
        <f aca="false">IF($W22="","",INDEX(发票统计!D$4:D$1003,$W22)&amp;"")</f>
        <v>2026.7.9代付伍建华合川表计工资</v>
      </c>
      <c r="E22" s="56" t="str">
        <f aca="false">IF($W22="","",INDEX(发票统计!E$4:E$1003,$W22)&amp;"")</f>
        <v/>
      </c>
      <c r="F22" s="56" t="str">
        <f aca="false">IF($W22="","",INDEX(发票统计!F$4:F$1003,$W22)&amp;"")</f>
        <v/>
      </c>
      <c r="G22" s="68" t="str">
        <f aca="false">IF($W22="","",IF(INDEX(发票统计!G$4:G$1003,$W22)="","",INDEX(发票统计!G$4:G$1003,$W22)))</f>
        <v/>
      </c>
      <c r="H22" s="56" t="n">
        <f aca="false">IF($W22="","",N(INDEX(发票统计!H$4:H$1003,$W22)))</f>
        <v>0</v>
      </c>
      <c r="I22" s="56" t="n">
        <f aca="false">IF($W22="","",N(INDEX(发票统计!I$4:I$1003,$W22)))</f>
        <v>0</v>
      </c>
      <c r="J22" s="56" t="n">
        <f aca="false">IF($W22="","",N(INDEX(发票统计!J$4:J$1003,$W22)))</f>
        <v>0</v>
      </c>
      <c r="K22" s="56" t="n">
        <f aca="false">IF($W22="","",N(INDEX(发票统计!K$4:K$1003,$W22)))</f>
        <v>0</v>
      </c>
      <c r="L22" s="56" t="n">
        <f aca="false">IF($W22="","",SUM(J$4:J22)-SUM(K$4:K22))</f>
        <v>100000</v>
      </c>
      <c r="M22" s="56" t="n">
        <f aca="false">IF($W22="","",N(INDEX(发票统计!M$4:M$1003,$W22)))</f>
        <v>0</v>
      </c>
      <c r="N22" s="56" t="n">
        <f aca="false">IF($W22="","",N(INDEX(发票统计!N$4:N$1003,$W22)))</f>
        <v>0</v>
      </c>
      <c r="O22" s="56" t="n">
        <f aca="false">IF($W22="","",N(INDEX(发票统计!O$4:O$1003,$W22)))</f>
        <v>0</v>
      </c>
      <c r="P22" s="56" t="n">
        <f aca="false">IF($W22="","",SUM(M$4:M22)-SUM(N$4:N22)-SUM(O$4:O22))</f>
        <v>545460</v>
      </c>
      <c r="Q22" s="56" t="n">
        <f aca="false">IF($W22="","",N(INDEX(发票统计!Q$4:Q$1003,$W22)))</f>
        <v>0</v>
      </c>
      <c r="R22" s="56" t="n">
        <f aca="false">IF($W22="","",N(INDEX(发票统计!R$4:R$1003,$W22)))</f>
        <v>0</v>
      </c>
      <c r="S22" s="56" t="n">
        <f aca="false">IF($W22="","",N(INDEX(发票统计!S$4:S$1003,$W22)))</f>
        <v>70000</v>
      </c>
      <c r="T22" s="56" t="n">
        <f aca="false">IF($W22="","",SUM(Q$4:Q22)-SUM(R$4:R22)-SUM(S$4:S22))</f>
        <v>-374143</v>
      </c>
      <c r="U22" s="56" t="str">
        <f aca="false">IF($W22="","",INDEX(发票统计!U$4:U$1003,$W22)&amp;"")</f>
        <v/>
      </c>
      <c r="W22" s="1" t="n">
        <f aca="false">IF($V$3="","",IFERROR(MATCH($V$3&amp;"#"&amp;ROWS(W$4:W22),发票统计!$W$4:$W$1003,0),""))</f>
        <v>55</v>
      </c>
    </row>
    <row r="23" customFormat="false" ht="16.5" hidden="false" customHeight="false" outlineLevel="0" collapsed="false">
      <c r="A23" s="3" t="str">
        <f aca="false">IF($W23="","",INDEX(发票统计!A$4:A$1003,$W23)&amp;"")</f>
        <v>合川表计</v>
      </c>
      <c r="B23" s="3" t="str">
        <f aca="false">IF($W23="","",INDEX(发票统计!B$4:B$1003,$W23)&amp;"")</f>
        <v>7月</v>
      </c>
      <c r="C23" s="3" t="str">
        <f aca="false">IF($W23="","",INDEX(发票统计!C$4:C$1003,$W23)&amp;"")</f>
        <v>国网重庆合川供电公司2026年用电信息采集系统建筑相关工程施工(包4)</v>
      </c>
      <c r="D23" s="3" t="str">
        <f aca="false">IF($W23="","",INDEX(发票统计!D$4:D$1003,$W23)&amp;"")</f>
        <v>2026.7.13代付伍建华合川表计工资</v>
      </c>
      <c r="E23" s="56" t="str">
        <f aca="false">IF($W23="","",INDEX(发票统计!E$4:E$1003,$W23)&amp;"")</f>
        <v/>
      </c>
      <c r="F23" s="56" t="str">
        <f aca="false">IF($W23="","",INDEX(发票统计!F$4:F$1003,$W23)&amp;"")</f>
        <v/>
      </c>
      <c r="G23" s="68" t="str">
        <f aca="false">IF($W23="","",IF(INDEX(发票统计!G$4:G$1003,$W23)="","",INDEX(发票统计!G$4:G$1003,$W23)))</f>
        <v/>
      </c>
      <c r="H23" s="56" t="n">
        <f aca="false">IF($W23="","",N(INDEX(发票统计!H$4:H$1003,$W23)))</f>
        <v>0</v>
      </c>
      <c r="I23" s="56" t="n">
        <f aca="false">IF($W23="","",N(INDEX(发票统计!I$4:I$1003,$W23)))</f>
        <v>0</v>
      </c>
      <c r="J23" s="56" t="n">
        <f aca="false">IF($W23="","",N(INDEX(发票统计!J$4:J$1003,$W23)))</f>
        <v>0</v>
      </c>
      <c r="K23" s="56" t="n">
        <f aca="false">IF($W23="","",N(INDEX(发票统计!K$4:K$1003,$W23)))</f>
        <v>0</v>
      </c>
      <c r="L23" s="56" t="n">
        <f aca="false">IF($W23="","",SUM(J$4:J23)-SUM(K$4:K23))</f>
        <v>100000</v>
      </c>
      <c r="M23" s="56" t="n">
        <f aca="false">IF($W23="","",N(INDEX(发票统计!M$4:M$1003,$W23)))</f>
        <v>0</v>
      </c>
      <c r="N23" s="56" t="n">
        <f aca="false">IF($W23="","",N(INDEX(发票统计!N$4:N$1003,$W23)))</f>
        <v>0</v>
      </c>
      <c r="O23" s="56" t="n">
        <f aca="false">IF($W23="","",N(INDEX(发票统计!O$4:O$1003,$W23)))</f>
        <v>0</v>
      </c>
      <c r="P23" s="56" t="n">
        <f aca="false">IF($W23="","",SUM(M$4:M23)-SUM(N$4:N23)-SUM(O$4:O23))</f>
        <v>545460</v>
      </c>
      <c r="Q23" s="56" t="n">
        <f aca="false">IF($W23="","",N(INDEX(发票统计!Q$4:Q$1003,$W23)))</f>
        <v>0</v>
      </c>
      <c r="R23" s="56" t="n">
        <f aca="false">IF($W23="","",N(INDEX(发票统计!R$4:R$1003,$W23)))</f>
        <v>0</v>
      </c>
      <c r="S23" s="56" t="n">
        <f aca="false">IF($W23="","",N(INDEX(发票统计!S$4:S$1003,$W23)))</f>
        <v>10000</v>
      </c>
      <c r="T23" s="56" t="n">
        <f aca="false">IF($W23="","",SUM(Q$4:Q23)-SUM(R$4:R23)-SUM(S$4:S23))</f>
        <v>-384143</v>
      </c>
      <c r="U23" s="56" t="str">
        <f aca="false">IF($W23="","",INDEX(发票统计!U$4:U$1003,$W23)&amp;"")</f>
        <v/>
      </c>
      <c r="W23" s="1" t="n">
        <f aca="false">IF($V$3="","",IFERROR(MATCH($V$3&amp;"#"&amp;ROWS(W$4:W23),发票统计!$W$4:$W$1003,0),""))</f>
        <v>56</v>
      </c>
    </row>
    <row r="24" customFormat="false" ht="16.5" hidden="false" customHeight="false" outlineLevel="0" collapsed="false">
      <c r="A24" s="3" t="str">
        <f aca="false">IF($W24="","",INDEX(发票统计!A$4:A$1003,$W24)&amp;"")</f>
        <v>合川表计</v>
      </c>
      <c r="B24" s="3" t="str">
        <f aca="false">IF($W24="","",INDEX(发票统计!B$4:B$1003,$W24)&amp;"")</f>
        <v>7月</v>
      </c>
      <c r="C24" s="3" t="str">
        <f aca="false">IF($W24="","",INDEX(发票统计!C$4:C$1003,$W24)&amp;"")</f>
        <v>国网重庆合川供电公司2026年用电信息采集系统建筑相关工程施工(包4)</v>
      </c>
      <c r="D24" s="3" t="str">
        <f aca="false">IF($W24="","",INDEX(发票统计!D$4:D$1003,$W24)&amp;"")</f>
        <v>2026.7.25代付伍建华合川表计工资</v>
      </c>
      <c r="E24" s="56" t="str">
        <f aca="false">IF($W24="","",INDEX(发票统计!E$4:E$1003,$W24)&amp;"")</f>
        <v/>
      </c>
      <c r="F24" s="56" t="str">
        <f aca="false">IF($W24="","",INDEX(发票统计!F$4:F$1003,$W24)&amp;"")</f>
        <v/>
      </c>
      <c r="G24" s="68" t="str">
        <f aca="false">IF($W24="","",IF(INDEX(发票统计!G$4:G$1003,$W24)="","",INDEX(发票统计!G$4:G$1003,$W24)))</f>
        <v/>
      </c>
      <c r="H24" s="56" t="n">
        <f aca="false">IF($W24="","",N(INDEX(发票统计!H$4:H$1003,$W24)))</f>
        <v>0</v>
      </c>
      <c r="I24" s="56" t="n">
        <f aca="false">IF($W24="","",N(INDEX(发票统计!I$4:I$1003,$W24)))</f>
        <v>0</v>
      </c>
      <c r="J24" s="56" t="n">
        <f aca="false">IF($W24="","",N(INDEX(发票统计!J$4:J$1003,$W24)))</f>
        <v>0</v>
      </c>
      <c r="K24" s="56" t="n">
        <f aca="false">IF($W24="","",N(INDEX(发票统计!K$4:K$1003,$W24)))</f>
        <v>0</v>
      </c>
      <c r="L24" s="56" t="n">
        <f aca="false">IF($W24="","",SUM(J$4:J24)-SUM(K$4:K24))</f>
        <v>100000</v>
      </c>
      <c r="M24" s="56" t="n">
        <f aca="false">IF($W24="","",N(INDEX(发票统计!M$4:M$1003,$W24)))</f>
        <v>0</v>
      </c>
      <c r="N24" s="56" t="n">
        <f aca="false">IF($W24="","",N(INDEX(发票统计!N$4:N$1003,$W24)))</f>
        <v>0</v>
      </c>
      <c r="O24" s="56" t="n">
        <f aca="false">IF($W24="","",N(INDEX(发票统计!O$4:O$1003,$W24)))</f>
        <v>0</v>
      </c>
      <c r="P24" s="56" t="n">
        <f aca="false">IF($W24="","",SUM(M$4:M24)-SUM(N$4:N24)-SUM(O$4:O24))</f>
        <v>545460</v>
      </c>
      <c r="Q24" s="56" t="n">
        <f aca="false">IF($W24="","",N(INDEX(发票统计!Q$4:Q$1003,$W24)))</f>
        <v>0</v>
      </c>
      <c r="R24" s="56" t="n">
        <f aca="false">IF($W24="","",N(INDEX(发票统计!R$4:R$1003,$W24)))</f>
        <v>0</v>
      </c>
      <c r="S24" s="56" t="n">
        <f aca="false">IF($W24="","",N(INDEX(发票统计!S$4:S$1003,$W24)))</f>
        <v>5000</v>
      </c>
      <c r="T24" s="56" t="n">
        <f aca="false">IF($W24="","",SUM(Q$4:Q24)-SUM(R$4:R24)-SUM(S$4:S24))</f>
        <v>-389143</v>
      </c>
      <c r="U24" s="56" t="str">
        <f aca="false">IF($W24="","",INDEX(发票统计!U$4:U$1003,$W24)&amp;"")</f>
        <v/>
      </c>
      <c r="W24" s="1" t="n">
        <f aca="false">IF($V$3="","",IFERROR(MATCH($V$3&amp;"#"&amp;ROWS(W$4:W24),发票统计!$W$4:$W$1003,0),""))</f>
        <v>57</v>
      </c>
    </row>
    <row r="25" customFormat="false" ht="16.5" hidden="false" customHeight="false" outlineLevel="0" collapsed="false">
      <c r="A25" s="3" t="str">
        <f aca="false">IF($W25="","",INDEX(发票统计!A$4:A$1003,$W25)&amp;"")</f>
        <v>合川表计</v>
      </c>
      <c r="B25" s="3" t="str">
        <f aca="false">IF($W25="","",INDEX(发票统计!B$4:B$1003,$W25)&amp;"")</f>
        <v>7月</v>
      </c>
      <c r="C25" s="3" t="str">
        <f aca="false">IF($W25="","",INDEX(发票统计!C$4:C$1003,$W25)&amp;"")</f>
        <v>国网重庆合川供电公司2026年用电信息采集系统建筑相关工程施工(包4)</v>
      </c>
      <c r="D25" s="3" t="str">
        <f aca="false">IF($W25="","",INDEX(发票统计!D$4:D$1003,$W25)&amp;"")</f>
        <v>2026.7.31支付伍建华合川表计工资</v>
      </c>
      <c r="E25" s="56" t="str">
        <f aca="false">IF($W25="","",INDEX(发票统计!E$4:E$1003,$W25)&amp;"")</f>
        <v/>
      </c>
      <c r="F25" s="56" t="str">
        <f aca="false">IF($W25="","",INDEX(发票统计!F$4:F$1003,$W25)&amp;"")</f>
        <v/>
      </c>
      <c r="G25" s="68" t="str">
        <f aca="false">IF($W25="","",IF(INDEX(发票统计!G$4:G$1003,$W25)="","",INDEX(发票统计!G$4:G$1003,$W25)))</f>
        <v/>
      </c>
      <c r="H25" s="56" t="n">
        <f aca="false">IF($W25="","",N(INDEX(发票统计!H$4:H$1003,$W25)))</f>
        <v>0</v>
      </c>
      <c r="I25" s="56" t="n">
        <f aca="false">IF($W25="","",N(INDEX(发票统计!I$4:I$1003,$W25)))</f>
        <v>0</v>
      </c>
      <c r="J25" s="56" t="n">
        <f aca="false">IF($W25="","",N(INDEX(发票统计!J$4:J$1003,$W25)))</f>
        <v>0</v>
      </c>
      <c r="K25" s="56" t="n">
        <f aca="false">IF($W25="","",N(INDEX(发票统计!K$4:K$1003,$W25)))</f>
        <v>0</v>
      </c>
      <c r="L25" s="56" t="n">
        <f aca="false">IF($W25="","",SUM(J$4:J25)-SUM(K$4:K25))</f>
        <v>100000</v>
      </c>
      <c r="M25" s="56" t="n">
        <f aca="false">IF($W25="","",N(INDEX(发票统计!M$4:M$1003,$W25)))</f>
        <v>0</v>
      </c>
      <c r="N25" s="56" t="n">
        <f aca="false">IF($W25="","",N(INDEX(发票统计!N$4:N$1003,$W25)))</f>
        <v>0</v>
      </c>
      <c r="O25" s="56" t="n">
        <f aca="false">IF($W25="","",N(INDEX(发票统计!O$4:O$1003,$W25)))</f>
        <v>0</v>
      </c>
      <c r="P25" s="56" t="n">
        <f aca="false">IF($W25="","",SUM(M$4:M25)-SUM(N$4:N25)-SUM(O$4:O25))</f>
        <v>545460</v>
      </c>
      <c r="Q25" s="56" t="n">
        <f aca="false">IF($W25="","",N(INDEX(发票统计!Q$4:Q$1003,$W25)))</f>
        <v>0</v>
      </c>
      <c r="R25" s="56" t="n">
        <f aca="false">IF($W25="","",N(INDEX(发票统计!R$4:R$1003,$W25)))</f>
        <v>0</v>
      </c>
      <c r="S25" s="56" t="n">
        <f aca="false">IF($W25="","",N(INDEX(发票统计!S$4:S$1003,$W25)))</f>
        <v>2000</v>
      </c>
      <c r="T25" s="56" t="n">
        <f aca="false">IF($W25="","",SUM(Q$4:Q25)-SUM(R$4:R25)-SUM(S$4:S25))</f>
        <v>-391143</v>
      </c>
      <c r="U25" s="56" t="str">
        <f aca="false">IF($W25="","",INDEX(发票统计!U$4:U$1003,$W25)&amp;"")</f>
        <v/>
      </c>
      <c r="W25" s="1" t="n">
        <f aca="false">IF($V$3="","",IFERROR(MATCH($V$3&amp;"#"&amp;ROWS(W$4:W25),发票统计!$W$4:$W$1003,0),""))</f>
        <v>58</v>
      </c>
    </row>
    <row r="26" customFormat="false" ht="16.5" hidden="false" customHeight="false" outlineLevel="0" collapsed="false">
      <c r="A26" s="3" t="str">
        <f aca="false">IF($W26="","",INDEX(发票统计!A$4:A$1003,$W26)&amp;"")</f>
        <v>合川表计</v>
      </c>
      <c r="B26" s="3" t="str">
        <f aca="false">IF($W26="","",INDEX(发票统计!B$4:B$1003,$W26)&amp;"")</f>
        <v>8月</v>
      </c>
      <c r="C26" s="3" t="str">
        <f aca="false">IF($W26="","",INDEX(发票统计!C$4:C$1003,$W26)&amp;"")</f>
        <v>国网重庆合川供电公司2026年用电信息采集系统建筑相关工程施工(包4)</v>
      </c>
      <c r="D26" s="3" t="str">
        <f aca="false">IF($W26="","",INDEX(发票统计!D$4:D$1003,$W26)&amp;"")</f>
        <v>2026.8.1支付伍建劳表计费用</v>
      </c>
      <c r="E26" s="56" t="str">
        <f aca="false">IF($W26="","",INDEX(发票统计!E$4:E$1003,$W26)&amp;"")</f>
        <v/>
      </c>
      <c r="F26" s="56" t="str">
        <f aca="false">IF($W26="","",INDEX(发票统计!F$4:F$1003,$W26)&amp;"")</f>
        <v/>
      </c>
      <c r="G26" s="68" t="str">
        <f aca="false">IF($W26="","",IF(INDEX(发票统计!G$4:G$1003,$W26)="","",INDEX(发票统计!G$4:G$1003,$W26)))</f>
        <v/>
      </c>
      <c r="H26" s="56" t="n">
        <f aca="false">IF($W26="","",N(INDEX(发票统计!H$4:H$1003,$W26)))</f>
        <v>0</v>
      </c>
      <c r="I26" s="56" t="n">
        <f aca="false">IF($W26="","",N(INDEX(发票统计!I$4:I$1003,$W26)))</f>
        <v>0</v>
      </c>
      <c r="J26" s="56" t="n">
        <f aca="false">IF($W26="","",N(INDEX(发票统计!J$4:J$1003,$W26)))</f>
        <v>0</v>
      </c>
      <c r="K26" s="56" t="n">
        <f aca="false">IF($W26="","",N(INDEX(发票统计!K$4:K$1003,$W26)))</f>
        <v>0</v>
      </c>
      <c r="L26" s="56" t="n">
        <f aca="false">IF($W26="","",SUM(J$4:J26)-SUM(K$4:K26))</f>
        <v>100000</v>
      </c>
      <c r="M26" s="56" t="n">
        <f aca="false">IF($W26="","",N(INDEX(发票统计!M$4:M$1003,$W26)))</f>
        <v>0</v>
      </c>
      <c r="N26" s="56" t="n">
        <f aca="false">IF($W26="","",N(INDEX(发票统计!N$4:N$1003,$W26)))</f>
        <v>0</v>
      </c>
      <c r="O26" s="56" t="n">
        <f aca="false">IF($W26="","",N(INDEX(发票统计!O$4:O$1003,$W26)))</f>
        <v>0</v>
      </c>
      <c r="P26" s="56" t="n">
        <f aca="false">IF($W26="","",SUM(M$4:M26)-SUM(N$4:N26)-SUM(O$4:O26))</f>
        <v>545460</v>
      </c>
      <c r="Q26" s="56" t="n">
        <f aca="false">IF($W26="","",N(INDEX(发票统计!Q$4:Q$1003,$W26)))</f>
        <v>0</v>
      </c>
      <c r="R26" s="56" t="n">
        <f aca="false">IF($W26="","",N(INDEX(发票统计!R$4:R$1003,$W26)))</f>
        <v>0</v>
      </c>
      <c r="S26" s="56" t="n">
        <f aca="false">IF($W26="","",N(INDEX(发票统计!S$4:S$1003,$W26)))</f>
        <v>8000</v>
      </c>
      <c r="T26" s="56" t="n">
        <f aca="false">IF($W26="","",SUM(Q$4:Q26)-SUM(R$4:R26)-SUM(S$4:S26))</f>
        <v>-399143</v>
      </c>
      <c r="U26" s="56" t="str">
        <f aca="false">IF($W26="","",INDEX(发票统计!U$4:U$1003,$W26)&amp;"")</f>
        <v/>
      </c>
      <c r="W26" s="1" t="n">
        <f aca="false">IF($V$3="","",IFERROR(MATCH($V$3&amp;"#"&amp;ROWS(W$4:W26),发票统计!$W$4:$W$1003,0),""))</f>
        <v>59</v>
      </c>
    </row>
    <row r="27" customFormat="false" ht="16.5" hidden="false" customHeight="false" outlineLevel="0" collapsed="false">
      <c r="A27" s="3" t="str">
        <f aca="false">IF($W27="","",INDEX(发票统计!A$4:A$1003,$W27)&amp;"")</f>
        <v>合川表计</v>
      </c>
      <c r="B27" s="3" t="str">
        <f aca="false">IF($W27="","",INDEX(发票统计!B$4:B$1003,$W27)&amp;"")</f>
        <v>8月</v>
      </c>
      <c r="C27" s="3" t="str">
        <f aca="false">IF($W27="","",INDEX(发票统计!C$4:C$1003,$W27)&amp;"")</f>
        <v>国网重庆合川供电公司2026年用电信息采集系统建筑相关工程施工(包4)</v>
      </c>
      <c r="D27" s="3" t="str">
        <f aca="false">IF($W27="","",INDEX(发票统计!D$4:D$1003,$W27)&amp;"")</f>
        <v>2026.8.6支付合川工资</v>
      </c>
      <c r="E27" s="56" t="str">
        <f aca="false">IF($W27="","",INDEX(发票统计!E$4:E$1003,$W27)&amp;"")</f>
        <v/>
      </c>
      <c r="F27" s="56" t="str">
        <f aca="false">IF($W27="","",INDEX(发票统计!F$4:F$1003,$W27)&amp;"")</f>
        <v/>
      </c>
      <c r="G27" s="68" t="str">
        <f aca="false">IF($W27="","",IF(INDEX(发票统计!G$4:G$1003,$W27)="","",INDEX(发票统计!G$4:G$1003,$W27)))</f>
        <v/>
      </c>
      <c r="H27" s="56" t="n">
        <f aca="false">IF($W27="","",N(INDEX(发票统计!H$4:H$1003,$W27)))</f>
        <v>0</v>
      </c>
      <c r="I27" s="56" t="n">
        <f aca="false">IF($W27="","",N(INDEX(发票统计!I$4:I$1003,$W27)))</f>
        <v>0</v>
      </c>
      <c r="J27" s="56" t="n">
        <f aca="false">IF($W27="","",N(INDEX(发票统计!J$4:J$1003,$W27)))</f>
        <v>0</v>
      </c>
      <c r="K27" s="56" t="n">
        <f aca="false">IF($W27="","",N(INDEX(发票统计!K$4:K$1003,$W27)))</f>
        <v>0</v>
      </c>
      <c r="L27" s="56" t="n">
        <f aca="false">IF($W27="","",SUM(J$4:J27)-SUM(K$4:K27))</f>
        <v>100000</v>
      </c>
      <c r="M27" s="56" t="n">
        <f aca="false">IF($W27="","",N(INDEX(发票统计!M$4:M$1003,$W27)))</f>
        <v>0</v>
      </c>
      <c r="N27" s="56" t="n">
        <f aca="false">IF($W27="","",N(INDEX(发票统计!N$4:N$1003,$W27)))</f>
        <v>0</v>
      </c>
      <c r="O27" s="56" t="n">
        <f aca="false">IF($W27="","",N(INDEX(发票统计!O$4:O$1003,$W27)))</f>
        <v>0</v>
      </c>
      <c r="P27" s="56" t="n">
        <f aca="false">IF($W27="","",SUM(M$4:M27)-SUM(N$4:N27)-SUM(O$4:O27))</f>
        <v>545460</v>
      </c>
      <c r="Q27" s="56" t="n">
        <f aca="false">IF($W27="","",N(INDEX(发票统计!Q$4:Q$1003,$W27)))</f>
        <v>0</v>
      </c>
      <c r="R27" s="56" t="n">
        <f aca="false">IF($W27="","",N(INDEX(发票统计!R$4:R$1003,$W27)))</f>
        <v>0</v>
      </c>
      <c r="S27" s="56" t="n">
        <f aca="false">IF($W27="","",N(INDEX(发票统计!S$4:S$1003,$W27)))</f>
        <v>6000</v>
      </c>
      <c r="T27" s="56" t="n">
        <f aca="false">IF($W27="","",SUM(Q$4:Q27)-SUM(R$4:R27)-SUM(S$4:S27))</f>
        <v>-405143</v>
      </c>
      <c r="U27" s="56" t="str">
        <f aca="false">IF($W27="","",INDEX(发票统计!U$4:U$1003,$W27)&amp;"")</f>
        <v/>
      </c>
      <c r="W27" s="1" t="n">
        <f aca="false">IF($V$3="","",IFERROR(MATCH($V$3&amp;"#"&amp;ROWS(W$4:W27),发票统计!$W$4:$W$1003,0),""))</f>
        <v>60</v>
      </c>
    </row>
    <row r="28" customFormat="false" ht="16.5" hidden="false" customHeight="false" outlineLevel="0" collapsed="false">
      <c r="A28" s="3" t="str">
        <f aca="false">IF($W28="","",INDEX(发票统计!A$4:A$1003,$W28)&amp;"")</f>
        <v>合川表计</v>
      </c>
      <c r="B28" s="3" t="str">
        <f aca="false">IF($W28="","",INDEX(发票统计!B$4:B$1003,$W28)&amp;"")</f>
        <v>8月</v>
      </c>
      <c r="C28" s="3" t="str">
        <f aca="false">IF($W28="","",INDEX(发票统计!C$4:C$1003,$W28)&amp;"")</f>
        <v>国网重庆合川供电公司2026年用电信息采集系统建筑相关工程施工(包4)</v>
      </c>
      <c r="D28" s="3" t="str">
        <f aca="false">IF($W28="","",INDEX(发票统计!D$4:D$1003,$W28)&amp;"")</f>
        <v>2026.8.14支付伍建劳表计费用</v>
      </c>
      <c r="E28" s="56" t="str">
        <f aca="false">IF($W28="","",INDEX(发票统计!E$4:E$1003,$W28)&amp;"")</f>
        <v/>
      </c>
      <c r="F28" s="56" t="str">
        <f aca="false">IF($W28="","",INDEX(发票统计!F$4:F$1003,$W28)&amp;"")</f>
        <v/>
      </c>
      <c r="G28" s="68" t="str">
        <f aca="false">IF($W28="","",IF(INDEX(发票统计!G$4:G$1003,$W28)="","",INDEX(发票统计!G$4:G$1003,$W28)))</f>
        <v/>
      </c>
      <c r="H28" s="56" t="n">
        <f aca="false">IF($W28="","",N(INDEX(发票统计!H$4:H$1003,$W28)))</f>
        <v>0</v>
      </c>
      <c r="I28" s="56" t="n">
        <f aca="false">IF($W28="","",N(INDEX(发票统计!I$4:I$1003,$W28)))</f>
        <v>0</v>
      </c>
      <c r="J28" s="56" t="n">
        <f aca="false">IF($W28="","",N(INDEX(发票统计!J$4:J$1003,$W28)))</f>
        <v>0</v>
      </c>
      <c r="K28" s="56" t="n">
        <f aca="false">IF($W28="","",N(INDEX(发票统计!K$4:K$1003,$W28)))</f>
        <v>0</v>
      </c>
      <c r="L28" s="56" t="n">
        <f aca="false">IF($W28="","",SUM(J$4:J28)-SUM(K$4:K28))</f>
        <v>100000</v>
      </c>
      <c r="M28" s="56" t="n">
        <f aca="false">IF($W28="","",N(INDEX(发票统计!M$4:M$1003,$W28)))</f>
        <v>0</v>
      </c>
      <c r="N28" s="56" t="n">
        <f aca="false">IF($W28="","",N(INDEX(发票统计!N$4:N$1003,$W28)))</f>
        <v>0</v>
      </c>
      <c r="O28" s="56" t="n">
        <f aca="false">IF($W28="","",N(INDEX(发票统计!O$4:O$1003,$W28)))</f>
        <v>0</v>
      </c>
      <c r="P28" s="56" t="n">
        <f aca="false">IF($W28="","",SUM(M$4:M28)-SUM(N$4:N28)-SUM(O$4:O28))</f>
        <v>545460</v>
      </c>
      <c r="Q28" s="56" t="n">
        <f aca="false">IF($W28="","",N(INDEX(发票统计!Q$4:Q$1003,$W28)))</f>
        <v>0</v>
      </c>
      <c r="R28" s="56" t="n">
        <f aca="false">IF($W28="","",N(INDEX(发票统计!R$4:R$1003,$W28)))</f>
        <v>0</v>
      </c>
      <c r="S28" s="56" t="n">
        <f aca="false">IF($W28="","",N(INDEX(发票统计!S$4:S$1003,$W28)))</f>
        <v>5000</v>
      </c>
      <c r="T28" s="56" t="n">
        <f aca="false">IF($W28="","",SUM(Q$4:Q28)-SUM(R$4:R28)-SUM(S$4:S28))</f>
        <v>-410143</v>
      </c>
      <c r="U28" s="56" t="str">
        <f aca="false">IF($W28="","",INDEX(发票统计!U$4:U$1003,$W28)&amp;"")</f>
        <v/>
      </c>
      <c r="W28" s="1" t="n">
        <f aca="false">IF($V$3="","",IFERROR(MATCH($V$3&amp;"#"&amp;ROWS(W$4:W28),发票统计!$W$4:$W$1003,0),""))</f>
        <v>61</v>
      </c>
    </row>
    <row r="29" customFormat="false" ht="16.5" hidden="false" customHeight="false" outlineLevel="0" collapsed="false">
      <c r="A29" s="3" t="str">
        <f aca="false">IF($W29="","",INDEX(发票统计!A$4:A$1003,$W29)&amp;"")</f>
        <v>合川表计</v>
      </c>
      <c r="B29" s="3" t="str">
        <f aca="false">IF($W29="","",INDEX(发票统计!B$4:B$1003,$W29)&amp;"")</f>
        <v>8月</v>
      </c>
      <c r="C29" s="3" t="str">
        <f aca="false">IF($W29="","",INDEX(发票统计!C$4:C$1003,$W29)&amp;"")</f>
        <v>国网重庆合川供电公司2026年用电信息采集系统建筑相关工程施工(包4)</v>
      </c>
      <c r="D29" s="3" t="str">
        <f aca="false">IF($W29="","",INDEX(发票统计!D$4:D$1003,$W29)&amp;"")</f>
        <v>2026.8.20支付合川工资</v>
      </c>
      <c r="E29" s="56" t="str">
        <f aca="false">IF($W29="","",INDEX(发票统计!E$4:E$1003,$W29)&amp;"")</f>
        <v/>
      </c>
      <c r="F29" s="56" t="str">
        <f aca="false">IF($W29="","",INDEX(发票统计!F$4:F$1003,$W29)&amp;"")</f>
        <v/>
      </c>
      <c r="G29" s="68" t="str">
        <f aca="false">IF($W29="","",IF(INDEX(发票统计!G$4:G$1003,$W29)="","",INDEX(发票统计!G$4:G$1003,$W29)))</f>
        <v/>
      </c>
      <c r="H29" s="56" t="n">
        <f aca="false">IF($W29="","",N(INDEX(发票统计!H$4:H$1003,$W29)))</f>
        <v>0</v>
      </c>
      <c r="I29" s="56" t="n">
        <f aca="false">IF($W29="","",N(INDEX(发票统计!I$4:I$1003,$W29)))</f>
        <v>0</v>
      </c>
      <c r="J29" s="56" t="n">
        <f aca="false">IF($W29="","",N(INDEX(发票统计!J$4:J$1003,$W29)))</f>
        <v>0</v>
      </c>
      <c r="K29" s="56" t="n">
        <f aca="false">IF($W29="","",N(INDEX(发票统计!K$4:K$1003,$W29)))</f>
        <v>0</v>
      </c>
      <c r="L29" s="56" t="n">
        <f aca="false">IF($W29="","",SUM(J$4:J29)-SUM(K$4:K29))</f>
        <v>100000</v>
      </c>
      <c r="M29" s="56" t="n">
        <f aca="false">IF($W29="","",N(INDEX(发票统计!M$4:M$1003,$W29)))</f>
        <v>0</v>
      </c>
      <c r="N29" s="56" t="n">
        <f aca="false">IF($W29="","",N(INDEX(发票统计!N$4:N$1003,$W29)))</f>
        <v>0</v>
      </c>
      <c r="O29" s="56" t="n">
        <f aca="false">IF($W29="","",N(INDEX(发票统计!O$4:O$1003,$W29)))</f>
        <v>0</v>
      </c>
      <c r="P29" s="56" t="n">
        <f aca="false">IF($W29="","",SUM(M$4:M29)-SUM(N$4:N29)-SUM(O$4:O29))</f>
        <v>545460</v>
      </c>
      <c r="Q29" s="56" t="n">
        <f aca="false">IF($W29="","",N(INDEX(发票统计!Q$4:Q$1003,$W29)))</f>
        <v>0</v>
      </c>
      <c r="R29" s="56" t="n">
        <f aca="false">IF($W29="","",N(INDEX(发票统计!R$4:R$1003,$W29)))</f>
        <v>0</v>
      </c>
      <c r="S29" s="56" t="n">
        <f aca="false">IF($W29="","",N(INDEX(发票统计!S$4:S$1003,$W29)))</f>
        <v>1000</v>
      </c>
      <c r="T29" s="56" t="n">
        <f aca="false">IF($W29="","",SUM(Q$4:Q29)-SUM(R$4:R29)-SUM(S$4:S29))</f>
        <v>-411143</v>
      </c>
      <c r="U29" s="56" t="str">
        <f aca="false">IF($W29="","",INDEX(发票统计!U$4:U$1003,$W29)&amp;"")</f>
        <v/>
      </c>
      <c r="W29" s="1" t="n">
        <f aca="false">IF($V$3="","",IFERROR(MATCH($V$3&amp;"#"&amp;ROWS(W$4:W29),发票统计!$W$4:$W$1003,0),""))</f>
        <v>62</v>
      </c>
    </row>
    <row r="30" customFormat="false" ht="16.5" hidden="false" customHeight="false" outlineLevel="0" collapsed="false">
      <c r="A30" s="3" t="str">
        <f aca="false">IF($W30="","",INDEX(发票统计!A$4:A$1003,$W30)&amp;"")</f>
        <v>合川表计</v>
      </c>
      <c r="B30" s="3" t="str">
        <f aca="false">IF($W30="","",INDEX(发票统计!B$4:B$1003,$W30)&amp;"")</f>
        <v>8月</v>
      </c>
      <c r="C30" s="3" t="str">
        <f aca="false">IF($W30="","",INDEX(发票统计!C$4:C$1003,$W30)&amp;"")</f>
        <v>国网重庆合川供电公司2026年用电信息采集系统建筑相关工程施工(包4)</v>
      </c>
      <c r="D30" s="3" t="str">
        <f aca="false">IF($W30="","",INDEX(发票统计!D$4:D$1003,$W30)&amp;"")</f>
        <v>2026.8.24支付合川工资</v>
      </c>
      <c r="E30" s="56" t="str">
        <f aca="false">IF($W30="","",INDEX(发票统计!E$4:E$1003,$W30)&amp;"")</f>
        <v/>
      </c>
      <c r="F30" s="56" t="str">
        <f aca="false">IF($W30="","",INDEX(发票统计!F$4:F$1003,$W30)&amp;"")</f>
        <v/>
      </c>
      <c r="G30" s="68" t="str">
        <f aca="false">IF($W30="","",IF(INDEX(发票统计!G$4:G$1003,$W30)="","",INDEX(发票统计!G$4:G$1003,$W30)))</f>
        <v/>
      </c>
      <c r="H30" s="56" t="n">
        <f aca="false">IF($W30="","",N(INDEX(发票统计!H$4:H$1003,$W30)))</f>
        <v>0</v>
      </c>
      <c r="I30" s="56" t="n">
        <f aca="false">IF($W30="","",N(INDEX(发票统计!I$4:I$1003,$W30)))</f>
        <v>0</v>
      </c>
      <c r="J30" s="56" t="n">
        <f aca="false">IF($W30="","",N(INDEX(发票统计!J$4:J$1003,$W30)))</f>
        <v>0</v>
      </c>
      <c r="K30" s="56" t="n">
        <f aca="false">IF($W30="","",N(INDEX(发票统计!K$4:K$1003,$W30)))</f>
        <v>0</v>
      </c>
      <c r="L30" s="56" t="n">
        <f aca="false">IF($W30="","",SUM(J$4:J30)-SUM(K$4:K30))</f>
        <v>100000</v>
      </c>
      <c r="M30" s="56" t="n">
        <f aca="false">IF($W30="","",N(INDEX(发票统计!M$4:M$1003,$W30)))</f>
        <v>0</v>
      </c>
      <c r="N30" s="56" t="n">
        <f aca="false">IF($W30="","",N(INDEX(发票统计!N$4:N$1003,$W30)))</f>
        <v>0</v>
      </c>
      <c r="O30" s="56" t="n">
        <f aca="false">IF($W30="","",N(INDEX(发票统计!O$4:O$1003,$W30)))</f>
        <v>0</v>
      </c>
      <c r="P30" s="56" t="n">
        <f aca="false">IF($W30="","",SUM(M$4:M30)-SUM(N$4:N30)-SUM(O$4:O30))</f>
        <v>545460</v>
      </c>
      <c r="Q30" s="56" t="n">
        <f aca="false">IF($W30="","",N(INDEX(发票统计!Q$4:Q$1003,$W30)))</f>
        <v>0</v>
      </c>
      <c r="R30" s="56" t="n">
        <f aca="false">IF($W30="","",N(INDEX(发票统计!R$4:R$1003,$W30)))</f>
        <v>0</v>
      </c>
      <c r="S30" s="70" t="n">
        <f aca="false">IF($W30="","",N(INDEX(发票统计!S$4:S$1003,$W30)))</f>
        <v>65000</v>
      </c>
      <c r="T30" s="56" t="n">
        <f aca="false">IF($W30="","",SUM(Q$4:Q30)-SUM(R$4:R30)-SUM(S$4:S30))</f>
        <v>-476143</v>
      </c>
      <c r="U30" s="56" t="str">
        <f aca="false">IF($W30="","",INDEX(发票统计!U$4:U$1003,$W30)&amp;"")</f>
        <v/>
      </c>
      <c r="W30" s="1" t="n">
        <f aca="false">IF($V$3="","",IFERROR(MATCH($V$3&amp;"#"&amp;ROWS(W$4:W30),发票统计!$W$4:$W$1003,0),""))</f>
        <v>63</v>
      </c>
    </row>
    <row r="31" customFormat="false" ht="16.5" hidden="false" customHeight="false" outlineLevel="0" collapsed="false">
      <c r="A31" s="3" t="str">
        <f aca="false">IF($W31="","",INDEX(发票统计!A$4:A$1003,$W31)&amp;"")</f>
        <v>合川表计</v>
      </c>
      <c r="B31" s="3" t="str">
        <f aca="false">IF($W31="","",INDEX(发票统计!B$4:B$1003,$W31)&amp;"")</f>
        <v>6月</v>
      </c>
      <c r="C31" s="3" t="str">
        <f aca="false">IF($W31="","",INDEX(发票统计!C$4:C$1003,$W31)&amp;"")</f>
        <v>国网重庆合川供电公司2026年用电信息采集系统建筑相关工程施工(包4)</v>
      </c>
      <c r="D31" s="3" t="str">
        <f aca="false">IF($W31="","",INDEX(发票统计!D$4:D$1003,$W31)&amp;"")</f>
        <v>2026.6.9陈庆奎银付：转伍建华预支工资</v>
      </c>
      <c r="E31" s="56" t="str">
        <f aca="false">IF($W31="","",INDEX(发票统计!E$4:E$1003,$W31)&amp;"")</f>
        <v/>
      </c>
      <c r="F31" s="56" t="str">
        <f aca="false">IF($W31="","",INDEX(发票统计!F$4:F$1003,$W31)&amp;"")</f>
        <v/>
      </c>
      <c r="G31" s="68" t="str">
        <f aca="false">IF($W31="","",IF(INDEX(发票统计!G$4:G$1003,$W31)="","",INDEX(发票统计!G$4:G$1003,$W31)))</f>
        <v/>
      </c>
      <c r="H31" s="56" t="n">
        <f aca="false">IF($W31="","",N(INDEX(发票统计!H$4:H$1003,$W31)))</f>
        <v>0</v>
      </c>
      <c r="I31" s="56" t="n">
        <f aca="false">IF($W31="","",N(INDEX(发票统计!I$4:I$1003,$W31)))</f>
        <v>0</v>
      </c>
      <c r="J31" s="56" t="n">
        <f aca="false">IF($W31="","",N(INDEX(发票统计!J$4:J$1003,$W31)))</f>
        <v>0</v>
      </c>
      <c r="K31" s="56" t="n">
        <f aca="false">IF($W31="","",N(INDEX(发票统计!K$4:K$1003,$W31)))</f>
        <v>0</v>
      </c>
      <c r="L31" s="56" t="n">
        <f aca="false">IF($W31="","",SUM(J$4:J31)-SUM(K$4:K31))</f>
        <v>100000</v>
      </c>
      <c r="M31" s="56" t="n">
        <f aca="false">IF($W31="","",N(INDEX(发票统计!M$4:M$1003,$W31)))</f>
        <v>0</v>
      </c>
      <c r="N31" s="56" t="n">
        <f aca="false">IF($W31="","",N(INDEX(发票统计!N$4:N$1003,$W31)))</f>
        <v>0</v>
      </c>
      <c r="O31" s="56" t="n">
        <f aca="false">IF($W31="","",N(INDEX(发票统计!O$4:O$1003,$W31)))</f>
        <v>0</v>
      </c>
      <c r="P31" s="56" t="n">
        <f aca="false">IF($W31="","",SUM(M$4:M31)-SUM(N$4:N31)-SUM(O$4:O31))</f>
        <v>545460</v>
      </c>
      <c r="Q31" s="56" t="n">
        <f aca="false">IF($W31="","",N(INDEX(发票统计!Q$4:Q$1003,$W31)))</f>
        <v>0</v>
      </c>
      <c r="R31" s="56" t="n">
        <f aca="false">IF($W31="","",N(INDEX(发票统计!R$4:R$1003,$W31)))</f>
        <v>0</v>
      </c>
      <c r="S31" s="70" t="n">
        <f aca="false">IF($W31="","",N(INDEX(发票统计!S$4:S$1003,$W31)))</f>
        <v>5000</v>
      </c>
      <c r="T31" s="56" t="n">
        <f aca="false">IF($W31="","",SUM(Q$4:Q31)-SUM(R$4:R31)-SUM(S$4:S31))</f>
        <v>-481143</v>
      </c>
      <c r="U31" s="56" t="str">
        <f aca="false">IF($W31="","",INDEX(发票统计!U$4:U$1003,$W31)&amp;"")</f>
        <v/>
      </c>
      <c r="W31" s="1" t="n">
        <f aca="false">IF($V$3="","",IFERROR(MATCH($V$3&amp;"#"&amp;ROWS(W$4:W31),发票统计!$W$4:$W$1003,0),""))</f>
        <v>64</v>
      </c>
    </row>
    <row r="32" customFormat="false" ht="16.5" hidden="false" customHeight="false" outlineLevel="0" collapsed="false">
      <c r="A32" s="3" t="str">
        <f aca="false">IF($W32="","",INDEX(发票统计!A$4:A$1003,$W32)&amp;"")</f>
        <v>合川表计</v>
      </c>
      <c r="B32" s="3" t="str">
        <f aca="false">IF($W32="","",INDEX(发票统计!B$4:B$1003,$W32)&amp;"")</f>
        <v>7月</v>
      </c>
      <c r="C32" s="3" t="str">
        <f aca="false">IF($W32="","",INDEX(发票统计!C$4:C$1003,$W32)&amp;"")</f>
        <v>国网重庆合川供电公司2026年用电信息采集系统建筑相关工程施工(包4)</v>
      </c>
      <c r="D32" s="3" t="str">
        <f aca="false">IF($W32="","",INDEX(发票统计!D$4:D$1003,$W32)&amp;"")</f>
        <v>2026.7.11陈庆奎银付：转伍建华预支工资</v>
      </c>
      <c r="E32" s="56" t="str">
        <f aca="false">IF($W32="","",INDEX(发票统计!E$4:E$1003,$W32)&amp;"")</f>
        <v/>
      </c>
      <c r="F32" s="56" t="str">
        <f aca="false">IF($W32="","",INDEX(发票统计!F$4:F$1003,$W32)&amp;"")</f>
        <v/>
      </c>
      <c r="G32" s="68" t="str">
        <f aca="false">IF($W32="","",IF(INDEX(发票统计!G$4:G$1003,$W32)="","",INDEX(发票统计!G$4:G$1003,$W32)))</f>
        <v/>
      </c>
      <c r="H32" s="56" t="n">
        <f aca="false">IF($W32="","",N(INDEX(发票统计!H$4:H$1003,$W32)))</f>
        <v>0</v>
      </c>
      <c r="I32" s="56" t="n">
        <f aca="false">IF($W32="","",N(INDEX(发票统计!I$4:I$1003,$W32)))</f>
        <v>0</v>
      </c>
      <c r="J32" s="56" t="n">
        <f aca="false">IF($W32="","",N(INDEX(发票统计!J$4:J$1003,$W32)))</f>
        <v>0</v>
      </c>
      <c r="K32" s="56" t="n">
        <f aca="false">IF($W32="","",N(INDEX(发票统计!K$4:K$1003,$W32)))</f>
        <v>0</v>
      </c>
      <c r="L32" s="56" t="n">
        <f aca="false">IF($W32="","",SUM(J$4:J32)-SUM(K$4:K32))</f>
        <v>100000</v>
      </c>
      <c r="M32" s="56" t="n">
        <f aca="false">IF($W32="","",N(INDEX(发票统计!M$4:M$1003,$W32)))</f>
        <v>0</v>
      </c>
      <c r="N32" s="56" t="n">
        <f aca="false">IF($W32="","",N(INDEX(发票统计!N$4:N$1003,$W32)))</f>
        <v>0</v>
      </c>
      <c r="O32" s="56" t="n">
        <f aca="false">IF($W32="","",N(INDEX(发票统计!O$4:O$1003,$W32)))</f>
        <v>0</v>
      </c>
      <c r="P32" s="56" t="n">
        <f aca="false">IF($W32="","",SUM(M$4:M32)-SUM(N$4:N32)-SUM(O$4:O32))</f>
        <v>545460</v>
      </c>
      <c r="Q32" s="56" t="n">
        <f aca="false">IF($W32="","",N(INDEX(发票统计!Q$4:Q$1003,$W32)))</f>
        <v>0</v>
      </c>
      <c r="R32" s="56" t="n">
        <f aca="false">IF($W32="","",N(INDEX(发票统计!R$4:R$1003,$W32)))</f>
        <v>0</v>
      </c>
      <c r="S32" s="70" t="n">
        <f aca="false">IF($W32="","",N(INDEX(发票统计!S$4:S$1003,$W32)))</f>
        <v>5000</v>
      </c>
      <c r="T32" s="56" t="n">
        <f aca="false">IF($W32="","",SUM(Q$4:Q32)-SUM(R$4:R32)-SUM(S$4:S32))</f>
        <v>-486143</v>
      </c>
      <c r="U32" s="56" t="str">
        <f aca="false">IF($W32="","",INDEX(发票统计!U$4:U$1003,$W32)&amp;"")</f>
        <v/>
      </c>
      <c r="W32" s="1" t="n">
        <f aca="false">IF($V$3="","",IFERROR(MATCH($V$3&amp;"#"&amp;ROWS(W$4:W32),发票统计!$W$4:$W$1003,0),""))</f>
        <v>65</v>
      </c>
    </row>
    <row r="33" customFormat="false" ht="16.5" hidden="false" customHeight="false" outlineLevel="0" collapsed="false">
      <c r="A33" s="3" t="str">
        <f aca="false">IF($W33="","",INDEX(发票统计!A$4:A$1003,$W33)&amp;"")</f>
        <v>合川表计</v>
      </c>
      <c r="B33" s="3" t="str">
        <f aca="false">IF($W33="","",INDEX(发票统计!B$4:B$1003,$W33)&amp;"")</f>
        <v>7月</v>
      </c>
      <c r="C33" s="3" t="str">
        <f aca="false">IF($W33="","",INDEX(发票统计!C$4:C$1003,$W33)&amp;"")</f>
        <v>国网重庆合川供电公司2026年用电信息采集系统建筑相关工程施工(包4)</v>
      </c>
      <c r="D33" s="3" t="str">
        <f aca="false">IF($W33="","",INDEX(发票统计!D$4:D$1003,$W33)&amp;"")</f>
        <v>2026.7.6陈庆奎银付：转伍建华预支工资</v>
      </c>
      <c r="E33" s="56" t="str">
        <f aca="false">IF($W33="","",INDEX(发票统计!E$4:E$1003,$W33)&amp;"")</f>
        <v/>
      </c>
      <c r="F33" s="56" t="str">
        <f aca="false">IF($W33="","",INDEX(发票统计!F$4:F$1003,$W33)&amp;"")</f>
        <v/>
      </c>
      <c r="G33" s="68" t="str">
        <f aca="false">IF($W33="","",IF(INDEX(发票统计!G$4:G$1003,$W33)="","",INDEX(发票统计!G$4:G$1003,$W33)))</f>
        <v/>
      </c>
      <c r="H33" s="56" t="n">
        <f aca="false">IF($W33="","",N(INDEX(发票统计!H$4:H$1003,$W33)))</f>
        <v>0</v>
      </c>
      <c r="I33" s="56" t="n">
        <f aca="false">IF($W33="","",N(INDEX(发票统计!I$4:I$1003,$W33)))</f>
        <v>0</v>
      </c>
      <c r="J33" s="56" t="n">
        <f aca="false">IF($W33="","",N(INDEX(发票统计!J$4:J$1003,$W33)))</f>
        <v>0</v>
      </c>
      <c r="K33" s="56" t="n">
        <f aca="false">IF($W33="","",N(INDEX(发票统计!K$4:K$1003,$W33)))</f>
        <v>0</v>
      </c>
      <c r="L33" s="56" t="n">
        <f aca="false">IF($W33="","",SUM(J$4:J33)-SUM(K$4:K33))</f>
        <v>100000</v>
      </c>
      <c r="M33" s="56" t="n">
        <f aca="false">IF($W33="","",N(INDEX(发票统计!M$4:M$1003,$W33)))</f>
        <v>0</v>
      </c>
      <c r="N33" s="56" t="n">
        <f aca="false">IF($W33="","",N(INDEX(发票统计!N$4:N$1003,$W33)))</f>
        <v>0</v>
      </c>
      <c r="O33" s="56" t="n">
        <f aca="false">IF($W33="","",N(INDEX(发票统计!O$4:O$1003,$W33)))</f>
        <v>0</v>
      </c>
      <c r="P33" s="56" t="n">
        <f aca="false">IF($W33="","",SUM(M$4:M33)-SUM(N$4:N33)-SUM(O$4:O33))</f>
        <v>545460</v>
      </c>
      <c r="Q33" s="56" t="n">
        <f aca="false">IF($W33="","",N(INDEX(发票统计!Q$4:Q$1003,$W33)))</f>
        <v>0</v>
      </c>
      <c r="R33" s="56" t="n">
        <f aca="false">IF($W33="","",N(INDEX(发票统计!R$4:R$1003,$W33)))</f>
        <v>0</v>
      </c>
      <c r="S33" s="70" t="n">
        <f aca="false">IF($W33="","",N(INDEX(发票统计!S$4:S$1003,$W33)))</f>
        <v>5000</v>
      </c>
      <c r="T33" s="56" t="n">
        <f aca="false">IF($W33="","",SUM(Q$4:Q33)-SUM(R$4:R33)-SUM(S$4:S33))</f>
        <v>-491143</v>
      </c>
      <c r="U33" s="56" t="str">
        <f aca="false">IF($W33="","",INDEX(发票统计!U$4:U$1003,$W33)&amp;"")</f>
        <v/>
      </c>
      <c r="W33" s="1" t="n">
        <f aca="false">IF($V$3="","",IFERROR(MATCH($V$3&amp;"#"&amp;ROWS(W$4:W33),发票统计!$W$4:$W$1003,0),""))</f>
        <v>66</v>
      </c>
    </row>
    <row r="34" customFormat="false" ht="16.5" hidden="false" customHeight="false" outlineLevel="0" collapsed="false">
      <c r="A34" s="3" t="str">
        <f aca="false">IF($W34="","",INDEX(发票统计!A$4:A$1003,$W34)&amp;"")</f>
        <v>合川表计</v>
      </c>
      <c r="B34" s="3" t="str">
        <f aca="false">IF($W34="","",INDEX(发票统计!B$4:B$1003,$W34)&amp;"")</f>
        <v>8月</v>
      </c>
      <c r="C34" s="3" t="str">
        <f aca="false">IF($W34="","",INDEX(发票统计!C$4:C$1003,$W34)&amp;"")</f>
        <v>国网重庆合川供电公司2026年用电信息采集系统建筑相关工程施工(包4)</v>
      </c>
      <c r="D34" s="3" t="str">
        <f aca="false">IF($W34="","",INDEX(发票统计!D$4:D$1003,$W34)&amp;"")</f>
        <v>2026.8.21陈庆奎银付：转伍建华</v>
      </c>
      <c r="E34" s="56" t="str">
        <f aca="false">IF($W34="","",INDEX(发票统计!E$4:E$1003,$W34)&amp;"")</f>
        <v/>
      </c>
      <c r="F34" s="56" t="str">
        <f aca="false">IF($W34="","",INDEX(发票统计!F$4:F$1003,$W34)&amp;"")</f>
        <v/>
      </c>
      <c r="G34" s="68" t="str">
        <f aca="false">IF($W34="","",IF(INDEX(发票统计!G$4:G$1003,$W34)="","",INDEX(发票统计!G$4:G$1003,$W34)))</f>
        <v/>
      </c>
      <c r="H34" s="56" t="n">
        <f aca="false">IF($W34="","",N(INDEX(发票统计!H$4:H$1003,$W34)))</f>
        <v>0</v>
      </c>
      <c r="I34" s="56" t="n">
        <f aca="false">IF($W34="","",N(INDEX(发票统计!I$4:I$1003,$W34)))</f>
        <v>0</v>
      </c>
      <c r="J34" s="56" t="n">
        <f aca="false">IF($W34="","",N(INDEX(发票统计!J$4:J$1003,$W34)))</f>
        <v>0</v>
      </c>
      <c r="K34" s="56" t="n">
        <f aca="false">IF($W34="","",N(INDEX(发票统计!K$4:K$1003,$W34)))</f>
        <v>0</v>
      </c>
      <c r="L34" s="56" t="n">
        <f aca="false">IF($W34="","",SUM(J$4:J34)-SUM(K$4:K34))</f>
        <v>100000</v>
      </c>
      <c r="M34" s="56" t="n">
        <f aca="false">IF($W34="","",N(INDEX(发票统计!M$4:M$1003,$W34)))</f>
        <v>0</v>
      </c>
      <c r="N34" s="56" t="n">
        <f aca="false">IF($W34="","",N(INDEX(发票统计!N$4:N$1003,$W34)))</f>
        <v>0</v>
      </c>
      <c r="O34" s="56" t="n">
        <f aca="false">IF($W34="","",N(INDEX(发票统计!O$4:O$1003,$W34)))</f>
        <v>0</v>
      </c>
      <c r="P34" s="56" t="n">
        <f aca="false">IF($W34="","",SUM(M$4:M34)-SUM(N$4:N34)-SUM(O$4:O34))</f>
        <v>545460</v>
      </c>
      <c r="Q34" s="56" t="n">
        <f aca="false">IF($W34="","",N(INDEX(发票统计!Q$4:Q$1003,$W34)))</f>
        <v>0</v>
      </c>
      <c r="R34" s="56" t="n">
        <f aca="false">IF($W34="","",N(INDEX(发票统计!R$4:R$1003,$W34)))</f>
        <v>0</v>
      </c>
      <c r="S34" s="56" t="n">
        <f aca="false">IF($W34="","",N(INDEX(发票统计!S$4:S$1003,$W34)))</f>
        <v>10000</v>
      </c>
      <c r="T34" s="56" t="n">
        <f aca="false">IF($W34="","",SUM(Q$4:Q34)-SUM(R$4:R34)-SUM(S$4:S34))</f>
        <v>-501143</v>
      </c>
      <c r="U34" s="56" t="str">
        <f aca="false">IF($W34="","",INDEX(发票统计!U$4:U$1003,$W34)&amp;"")</f>
        <v/>
      </c>
      <c r="W34" s="1" t="n">
        <f aca="false">IF($V$3="","",IFERROR(MATCH($V$3&amp;"#"&amp;ROWS(W$4:W34),发票统计!$W$4:$W$1003,0),""))</f>
        <v>67</v>
      </c>
    </row>
    <row r="35" customFormat="false" ht="16.5" hidden="false" customHeight="false" outlineLevel="0" collapsed="false">
      <c r="A35" s="3" t="str">
        <f aca="false">IF($W35="","",INDEX(发票统计!A$4:A$1003,$W35)&amp;"")</f>
        <v>合川表计</v>
      </c>
      <c r="B35" s="3" t="str">
        <f aca="false">IF($W35="","",INDEX(发票统计!B$4:B$1003,$W35)&amp;"")</f>
        <v>8月</v>
      </c>
      <c r="C35" s="3" t="str">
        <f aca="false">IF($W35="","",INDEX(发票统计!C$4:C$1003,$W35)&amp;"")</f>
        <v>国网重庆合川供电公司2026年用电信息采集系统建筑相关工程施工(包4)</v>
      </c>
      <c r="D35" s="3" t="str">
        <f aca="false">IF($W35="","",INDEX(发票统计!D$4:D$1003,$W35)&amp;"")</f>
        <v>2026.8.24陈庆奎银付：陈庆奎转向祥红合川表计工资</v>
      </c>
      <c r="E35" s="56" t="str">
        <f aca="false">IF($W35="","",INDEX(发票统计!E$4:E$1003,$W35)&amp;"")</f>
        <v/>
      </c>
      <c r="F35" s="56" t="str">
        <f aca="false">IF($W35="","",INDEX(发票统计!F$4:F$1003,$W35)&amp;"")</f>
        <v/>
      </c>
      <c r="G35" s="68" t="str">
        <f aca="false">IF($W35="","",IF(INDEX(发票统计!G$4:G$1003,$W35)="","",INDEX(发票统计!G$4:G$1003,$W35)))</f>
        <v/>
      </c>
      <c r="H35" s="56" t="n">
        <f aca="false">IF($W35="","",N(INDEX(发票统计!H$4:H$1003,$W35)))</f>
        <v>0</v>
      </c>
      <c r="I35" s="56" t="n">
        <f aca="false">IF($W35="","",N(INDEX(发票统计!I$4:I$1003,$W35)))</f>
        <v>0</v>
      </c>
      <c r="J35" s="56" t="n">
        <f aca="false">IF($W35="","",N(INDEX(发票统计!J$4:J$1003,$W35)))</f>
        <v>0</v>
      </c>
      <c r="K35" s="56" t="n">
        <f aca="false">IF($W35="","",N(INDEX(发票统计!K$4:K$1003,$W35)))</f>
        <v>0</v>
      </c>
      <c r="L35" s="56" t="n">
        <f aca="false">IF($W35="","",SUM(J$4:J35)-SUM(K$4:K35))</f>
        <v>100000</v>
      </c>
      <c r="M35" s="56" t="n">
        <f aca="false">IF($W35="","",N(INDEX(发票统计!M$4:M$1003,$W35)))</f>
        <v>0</v>
      </c>
      <c r="N35" s="56" t="n">
        <f aca="false">IF($W35="","",N(INDEX(发票统计!N$4:N$1003,$W35)))</f>
        <v>0</v>
      </c>
      <c r="O35" s="56" t="n">
        <f aca="false">IF($W35="","",N(INDEX(发票统计!O$4:O$1003,$W35)))</f>
        <v>0</v>
      </c>
      <c r="P35" s="56" t="n">
        <f aca="false">IF($W35="","",SUM(M$4:M35)-SUM(N$4:N35)-SUM(O$4:O35))</f>
        <v>545460</v>
      </c>
      <c r="Q35" s="56" t="n">
        <f aca="false">IF($W35="","",N(INDEX(发票统计!Q$4:Q$1003,$W35)))</f>
        <v>0</v>
      </c>
      <c r="R35" s="56" t="n">
        <f aca="false">IF($W35="","",N(INDEX(发票统计!R$4:R$1003,$W35)))</f>
        <v>0</v>
      </c>
      <c r="S35" s="56" t="n">
        <f aca="false">IF($W35="","",N(INDEX(发票统计!S$4:S$1003,$W35)))</f>
        <v>9000</v>
      </c>
      <c r="T35" s="56" t="n">
        <f aca="false">IF($W35="","",SUM(Q$4:Q35)-SUM(R$4:R35)-SUM(S$4:S35))</f>
        <v>-510143</v>
      </c>
      <c r="U35" s="56" t="str">
        <f aca="false">IF($W35="","",INDEX(发票统计!U$4:U$1003,$W35)&amp;"")</f>
        <v/>
      </c>
      <c r="W35" s="1" t="n">
        <f aca="false">IF($V$3="","",IFERROR(MATCH($V$3&amp;"#"&amp;ROWS(W$4:W35),发票统计!$W$4:$W$1003,0),""))</f>
        <v>68</v>
      </c>
    </row>
    <row r="36" customFormat="false" ht="16.5" hidden="false" customHeight="false" outlineLevel="0" collapsed="false">
      <c r="A36" s="3" t="str">
        <f aca="false">IF($W36="","",INDEX(发票统计!A$4:A$1003,$W36)&amp;"")</f>
        <v>合川表计</v>
      </c>
      <c r="B36" s="3" t="str">
        <f aca="false">IF($W36="","",INDEX(发票统计!B$4:B$1003,$W36)&amp;"")</f>
        <v>8月</v>
      </c>
      <c r="C36" s="3" t="str">
        <f aca="false">IF($W36="","",INDEX(发票统计!C$4:C$1003,$W36)&amp;"")</f>
        <v>国网重庆合川供电公司2026年用电信息采集系统建筑相关工程施工(包4)</v>
      </c>
      <c r="D36" s="3" t="str">
        <f aca="false">IF($W36="","",INDEX(发票统计!D$4:D$1003,$W36)&amp;"")</f>
        <v>2026.8.24陈庆奎银付：陈庆奎转刘姜龙合川表计工资</v>
      </c>
      <c r="E36" s="56" t="str">
        <f aca="false">IF($W36="","",INDEX(发票统计!E$4:E$1003,$W36)&amp;"")</f>
        <v/>
      </c>
      <c r="F36" s="56" t="str">
        <f aca="false">IF($W36="","",INDEX(发票统计!F$4:F$1003,$W36)&amp;"")</f>
        <v/>
      </c>
      <c r="G36" s="68" t="str">
        <f aca="false">IF($W36="","",IF(INDEX(发票统计!G$4:G$1003,$W36)="","",INDEX(发票统计!G$4:G$1003,$W36)))</f>
        <v/>
      </c>
      <c r="H36" s="56" t="n">
        <f aca="false">IF($W36="","",N(INDEX(发票统计!H$4:H$1003,$W36)))</f>
        <v>0</v>
      </c>
      <c r="I36" s="56" t="n">
        <f aca="false">IF($W36="","",N(INDEX(发票统计!I$4:I$1003,$W36)))</f>
        <v>0</v>
      </c>
      <c r="J36" s="56" t="n">
        <f aca="false">IF($W36="","",N(INDEX(发票统计!J$4:J$1003,$W36)))</f>
        <v>0</v>
      </c>
      <c r="K36" s="56" t="n">
        <f aca="false">IF($W36="","",N(INDEX(发票统计!K$4:K$1003,$W36)))</f>
        <v>0</v>
      </c>
      <c r="L36" s="56" t="n">
        <f aca="false">IF($W36="","",SUM(J$4:J36)-SUM(K$4:K36))</f>
        <v>100000</v>
      </c>
      <c r="M36" s="56" t="n">
        <f aca="false">IF($W36="","",N(INDEX(发票统计!M$4:M$1003,$W36)))</f>
        <v>0</v>
      </c>
      <c r="N36" s="56" t="n">
        <f aca="false">IF($W36="","",N(INDEX(发票统计!N$4:N$1003,$W36)))</f>
        <v>0</v>
      </c>
      <c r="O36" s="56" t="n">
        <f aca="false">IF($W36="","",N(INDEX(发票统计!O$4:O$1003,$W36)))</f>
        <v>0</v>
      </c>
      <c r="P36" s="56" t="n">
        <f aca="false">IF($W36="","",SUM(M$4:M36)-SUM(N$4:N36)-SUM(O$4:O36))</f>
        <v>545460</v>
      </c>
      <c r="Q36" s="56" t="n">
        <f aca="false">IF($W36="","",N(INDEX(发票统计!Q$4:Q$1003,$W36)))</f>
        <v>0</v>
      </c>
      <c r="R36" s="56" t="n">
        <f aca="false">IF($W36="","",N(INDEX(发票统计!R$4:R$1003,$W36)))</f>
        <v>0</v>
      </c>
      <c r="S36" s="56" t="n">
        <f aca="false">IF($W36="","",N(INDEX(发票统计!S$4:S$1003,$W36)))</f>
        <v>6000</v>
      </c>
      <c r="T36" s="56" t="n">
        <f aca="false">IF($W36="","",SUM(Q$4:Q36)-SUM(R$4:R36)-SUM(S$4:S36))</f>
        <v>-516143</v>
      </c>
      <c r="U36" s="56" t="str">
        <f aca="false">IF($W36="","",INDEX(发票统计!U$4:U$1003,$W36)&amp;"")</f>
        <v/>
      </c>
      <c r="W36" s="1" t="n">
        <f aca="false">IF($V$3="","",IFERROR(MATCH($V$3&amp;"#"&amp;ROWS(W$4:W36),发票统计!$W$4:$W$1003,0),""))</f>
        <v>69</v>
      </c>
    </row>
    <row r="37" customFormat="false" ht="16.5" hidden="false" customHeight="false" outlineLevel="0" collapsed="false">
      <c r="A37" s="3" t="str">
        <f aca="false">IF($W37="","",INDEX(发票统计!A$4:A$1003,$W37)&amp;"")</f>
        <v>合川表计</v>
      </c>
      <c r="B37" s="3" t="str">
        <f aca="false">IF($W37="","",INDEX(发票统计!B$4:B$1003,$W37)&amp;"")</f>
        <v>8月</v>
      </c>
      <c r="C37" s="3" t="str">
        <f aca="false">IF($W37="","",INDEX(发票统计!C$4:C$1003,$W37)&amp;"")</f>
        <v>国网重庆合川供电公司2026年用电信息采集系统建筑相关工程施工(包4)</v>
      </c>
      <c r="D37" s="3" t="str">
        <f aca="false">IF($W37="","",INDEX(发票统计!D$4:D$1003,$W37)&amp;"")</f>
        <v>2026.8.24陈庆奎银付：陈庆奎转邹招财合川表计工资</v>
      </c>
      <c r="E37" s="56" t="str">
        <f aca="false">IF($W37="","",INDEX(发票统计!E$4:E$1003,$W37)&amp;"")</f>
        <v/>
      </c>
      <c r="F37" s="56" t="str">
        <f aca="false">IF($W37="","",INDEX(发票统计!F$4:F$1003,$W37)&amp;"")</f>
        <v/>
      </c>
      <c r="G37" s="68" t="str">
        <f aca="false">IF($W37="","",IF(INDEX(发票统计!G$4:G$1003,$W37)="","",INDEX(发票统计!G$4:G$1003,$W37)))</f>
        <v/>
      </c>
      <c r="H37" s="56" t="n">
        <f aca="false">IF($W37="","",N(INDEX(发票统计!H$4:H$1003,$W37)))</f>
        <v>0</v>
      </c>
      <c r="I37" s="56" t="n">
        <f aca="false">IF($W37="","",N(INDEX(发票统计!I$4:I$1003,$W37)))</f>
        <v>0</v>
      </c>
      <c r="J37" s="56" t="n">
        <f aca="false">IF($W37="","",N(INDEX(发票统计!J$4:J$1003,$W37)))</f>
        <v>0</v>
      </c>
      <c r="K37" s="56" t="n">
        <f aca="false">IF($W37="","",N(INDEX(发票统计!K$4:K$1003,$W37)))</f>
        <v>0</v>
      </c>
      <c r="L37" s="56" t="n">
        <f aca="false">IF($W37="","",SUM(J$4:J37)-SUM(K$4:K37))</f>
        <v>100000</v>
      </c>
      <c r="M37" s="56" t="n">
        <f aca="false">IF($W37="","",N(INDEX(发票统计!M$4:M$1003,$W37)))</f>
        <v>0</v>
      </c>
      <c r="N37" s="56" t="n">
        <f aca="false">IF($W37="","",N(INDEX(发票统计!N$4:N$1003,$W37)))</f>
        <v>0</v>
      </c>
      <c r="O37" s="56" t="n">
        <f aca="false">IF($W37="","",N(INDEX(发票统计!O$4:O$1003,$W37)))</f>
        <v>0</v>
      </c>
      <c r="P37" s="56" t="n">
        <f aca="false">IF($W37="","",SUM(M$4:M37)-SUM(N$4:N37)-SUM(O$4:O37))</f>
        <v>545460</v>
      </c>
      <c r="Q37" s="56" t="n">
        <f aca="false">IF($W37="","",N(INDEX(发票统计!Q$4:Q$1003,$W37)))</f>
        <v>0</v>
      </c>
      <c r="R37" s="56" t="n">
        <f aca="false">IF($W37="","",N(INDEX(发票统计!R$4:R$1003,$W37)))</f>
        <v>0</v>
      </c>
      <c r="S37" s="56" t="n">
        <f aca="false">IF($W37="","",N(INDEX(发票统计!S$4:S$1003,$W37)))</f>
        <v>6000</v>
      </c>
      <c r="T37" s="56" t="n">
        <f aca="false">IF($W37="","",SUM(Q$4:Q37)-SUM(R$4:R37)-SUM(S$4:S37))</f>
        <v>-522143</v>
      </c>
      <c r="U37" s="56" t="str">
        <f aca="false">IF($W37="","",INDEX(发票统计!U$4:U$1003,$W37)&amp;"")</f>
        <v/>
      </c>
      <c r="W37" s="1" t="n">
        <f aca="false">IF($V$3="","",IFERROR(MATCH($V$3&amp;"#"&amp;ROWS(W$4:W37),发票统计!$W$4:$W$1003,0),""))</f>
        <v>70</v>
      </c>
    </row>
    <row r="38" customFormat="false" ht="16.5" hidden="false" customHeight="false" outlineLevel="0" collapsed="false">
      <c r="A38" s="3" t="str">
        <f aca="false">IF($W38="","",INDEX(发票统计!A$4:A$1003,$W38)&amp;"")</f>
        <v>合川表计</v>
      </c>
      <c r="B38" s="3" t="str">
        <f aca="false">IF($W38="","",INDEX(发票统计!B$4:B$1003,$W38)&amp;"")</f>
        <v>8月</v>
      </c>
      <c r="C38" s="3" t="str">
        <f aca="false">IF($W38="","",INDEX(发票统计!C$4:C$1003,$W38)&amp;"")</f>
        <v>国网重庆合川供电公司2026年用电信息采集系统建筑相关工程施工(包4)</v>
      </c>
      <c r="D38" s="3" t="str">
        <f aca="false">IF($W38="","",INDEX(发票统计!D$4:D$1003,$W38)&amp;"")</f>
        <v>2026.8.24陈庆奎银付：陈庆奎转张纯军合川表计工资</v>
      </c>
      <c r="E38" s="56" t="str">
        <f aca="false">IF($W38="","",INDEX(发票统计!E$4:E$1003,$W38)&amp;"")</f>
        <v/>
      </c>
      <c r="F38" s="56" t="str">
        <f aca="false">IF($W38="","",INDEX(发票统计!F$4:F$1003,$W38)&amp;"")</f>
        <v/>
      </c>
      <c r="G38" s="68" t="str">
        <f aca="false">IF($W38="","",IF(INDEX(发票统计!G$4:G$1003,$W38)="","",INDEX(发票统计!G$4:G$1003,$W38)))</f>
        <v/>
      </c>
      <c r="H38" s="56" t="n">
        <f aca="false">IF($W38="","",N(INDEX(发票统计!H$4:H$1003,$W38)))</f>
        <v>0</v>
      </c>
      <c r="I38" s="56" t="n">
        <f aca="false">IF($W38="","",N(INDEX(发票统计!I$4:I$1003,$W38)))</f>
        <v>0</v>
      </c>
      <c r="J38" s="56" t="n">
        <f aca="false">IF($W38="","",N(INDEX(发票统计!J$4:J$1003,$W38)))</f>
        <v>0</v>
      </c>
      <c r="K38" s="56" t="n">
        <f aca="false">IF($W38="","",N(INDEX(发票统计!K$4:K$1003,$W38)))</f>
        <v>0</v>
      </c>
      <c r="L38" s="56" t="n">
        <f aca="false">IF($W38="","",SUM(J$4:J38)-SUM(K$4:K38))</f>
        <v>100000</v>
      </c>
      <c r="M38" s="56" t="n">
        <f aca="false">IF($W38="","",N(INDEX(发票统计!M$4:M$1003,$W38)))</f>
        <v>0</v>
      </c>
      <c r="N38" s="56" t="n">
        <f aca="false">IF($W38="","",N(INDEX(发票统计!N$4:N$1003,$W38)))</f>
        <v>0</v>
      </c>
      <c r="O38" s="56" t="n">
        <f aca="false">IF($W38="","",N(INDEX(发票统计!O$4:O$1003,$W38)))</f>
        <v>0</v>
      </c>
      <c r="P38" s="56" t="n">
        <f aca="false">IF($W38="","",SUM(M$4:M38)-SUM(N$4:N38)-SUM(O$4:O38))</f>
        <v>545460</v>
      </c>
      <c r="Q38" s="56" t="n">
        <f aca="false">IF($W38="","",N(INDEX(发票统计!Q$4:Q$1003,$W38)))</f>
        <v>0</v>
      </c>
      <c r="R38" s="56" t="n">
        <f aca="false">IF($W38="","",N(INDEX(发票统计!R$4:R$1003,$W38)))</f>
        <v>0</v>
      </c>
      <c r="S38" s="56" t="n">
        <f aca="false">IF($W38="","",N(INDEX(发票统计!S$4:S$1003,$W38)))</f>
        <v>6000</v>
      </c>
      <c r="T38" s="56" t="n">
        <f aca="false">IF($W38="","",SUM(Q$4:Q38)-SUM(R$4:R38)-SUM(S$4:S38))</f>
        <v>-528143</v>
      </c>
      <c r="U38" s="56" t="str">
        <f aca="false">IF($W38="","",INDEX(发票统计!U$4:U$1003,$W38)&amp;"")</f>
        <v/>
      </c>
      <c r="W38" s="1" t="n">
        <f aca="false">IF($V$3="","",IFERROR(MATCH($V$3&amp;"#"&amp;ROWS(W$4:W38),发票统计!$W$4:$W$1003,0),""))</f>
        <v>71</v>
      </c>
    </row>
    <row r="39" customFormat="false" ht="16.5" hidden="false" customHeight="false" outlineLevel="0" collapsed="false">
      <c r="A39" s="3" t="str">
        <f aca="false">IF($W39="","",INDEX(发票统计!A$4:A$1003,$W39)&amp;"")</f>
        <v>合川表计</v>
      </c>
      <c r="B39" s="3" t="str">
        <f aca="false">IF($W39="","",INDEX(发票统计!B$4:B$1003,$W39)&amp;"")</f>
        <v>8月</v>
      </c>
      <c r="C39" s="3" t="str">
        <f aca="false">IF($W39="","",INDEX(发票统计!C$4:C$1003,$W39)&amp;"")</f>
        <v>国网重庆合川供电公司2026年用电信息采集系统建筑相关工程施工(包4)</v>
      </c>
      <c r="D39" s="3" t="str">
        <f aca="false">IF($W39="","",INDEX(发票统计!D$4:D$1003,$W39)&amp;"")</f>
        <v>2026.8.24陈庆奎银付：陈庆奎转杨林合川表计工资</v>
      </c>
      <c r="E39" s="56" t="str">
        <f aca="false">IF($W39="","",INDEX(发票统计!E$4:E$1003,$W39)&amp;"")</f>
        <v/>
      </c>
      <c r="F39" s="56" t="str">
        <f aca="false">IF($W39="","",INDEX(发票统计!F$4:F$1003,$W39)&amp;"")</f>
        <v/>
      </c>
      <c r="G39" s="68" t="str">
        <f aca="false">IF($W39="","",IF(INDEX(发票统计!G$4:G$1003,$W39)="","",INDEX(发票统计!G$4:G$1003,$W39)))</f>
        <v/>
      </c>
      <c r="H39" s="56" t="n">
        <f aca="false">IF($W39="","",N(INDEX(发票统计!H$4:H$1003,$W39)))</f>
        <v>0</v>
      </c>
      <c r="I39" s="56" t="n">
        <f aca="false">IF($W39="","",N(INDEX(发票统计!I$4:I$1003,$W39)))</f>
        <v>0</v>
      </c>
      <c r="J39" s="56" t="n">
        <f aca="false">IF($W39="","",N(INDEX(发票统计!J$4:J$1003,$W39)))</f>
        <v>0</v>
      </c>
      <c r="K39" s="56" t="n">
        <f aca="false">IF($W39="","",N(INDEX(发票统计!K$4:K$1003,$W39)))</f>
        <v>0</v>
      </c>
      <c r="L39" s="56" t="n">
        <f aca="false">IF($W39="","",SUM(J$4:J39)-SUM(K$4:K39))</f>
        <v>100000</v>
      </c>
      <c r="M39" s="56" t="n">
        <f aca="false">IF($W39="","",N(INDEX(发票统计!M$4:M$1003,$W39)))</f>
        <v>0</v>
      </c>
      <c r="N39" s="56" t="n">
        <f aca="false">IF($W39="","",N(INDEX(发票统计!N$4:N$1003,$W39)))</f>
        <v>0</v>
      </c>
      <c r="O39" s="56" t="n">
        <f aca="false">IF($W39="","",N(INDEX(发票统计!O$4:O$1003,$W39)))</f>
        <v>0</v>
      </c>
      <c r="P39" s="56" t="n">
        <f aca="false">IF($W39="","",SUM(M$4:M39)-SUM(N$4:N39)-SUM(O$4:O39))</f>
        <v>545460</v>
      </c>
      <c r="Q39" s="56" t="n">
        <f aca="false">IF($W39="","",N(INDEX(发票统计!Q$4:Q$1003,$W39)))</f>
        <v>0</v>
      </c>
      <c r="R39" s="56" t="n">
        <f aca="false">IF($W39="","",N(INDEX(发票统计!R$4:R$1003,$W39)))</f>
        <v>0</v>
      </c>
      <c r="S39" s="56" t="n">
        <f aca="false">IF($W39="","",N(INDEX(发票统计!S$4:S$1003,$W39)))</f>
        <v>8000</v>
      </c>
      <c r="T39" s="56" t="n">
        <f aca="false">IF($W39="","",SUM(Q$4:Q39)-SUM(R$4:R39)-SUM(S$4:S39))</f>
        <v>-536143</v>
      </c>
      <c r="U39" s="56" t="str">
        <f aca="false">IF($W39="","",INDEX(发票统计!U$4:U$1003,$W39)&amp;"")</f>
        <v/>
      </c>
      <c r="W39" s="1" t="n">
        <f aca="false">IF($V$3="","",IFERROR(MATCH($V$3&amp;"#"&amp;ROWS(W$4:W39),发票统计!$W$4:$W$1003,0),""))</f>
        <v>72</v>
      </c>
    </row>
    <row r="40" customFormat="false" ht="16.5" hidden="false" customHeight="false" outlineLevel="0" collapsed="false">
      <c r="A40" s="3" t="str">
        <f aca="false">IF($W40="","",INDEX(发票统计!A$4:A$1003,$W40)&amp;"")</f>
        <v>合川表计</v>
      </c>
      <c r="B40" s="3" t="str">
        <f aca="false">IF($W40="","",INDEX(发票统计!B$4:B$1003,$W40)&amp;"")</f>
        <v>8月</v>
      </c>
      <c r="C40" s="3" t="str">
        <f aca="false">IF($W40="","",INDEX(发票统计!C$4:C$1003,$W40)&amp;"")</f>
        <v>国网重庆合川供电公司2026年用电信息采集系统建筑相关工程施工(包4)</v>
      </c>
      <c r="D40" s="3" t="str">
        <f aca="false">IF($W40="","",INDEX(发票统计!D$4:D$1003,$W40)&amp;"")</f>
        <v>2026.8.24陈庆奎银付：陈庆奎转陈旺合川表计工资</v>
      </c>
      <c r="E40" s="56" t="str">
        <f aca="false">IF($W40="","",INDEX(发票统计!E$4:E$1003,$W40)&amp;"")</f>
        <v/>
      </c>
      <c r="F40" s="56" t="str">
        <f aca="false">IF($W40="","",INDEX(发票统计!F$4:F$1003,$W40)&amp;"")</f>
        <v/>
      </c>
      <c r="G40" s="68" t="str">
        <f aca="false">IF($W40="","",IF(INDEX(发票统计!G$4:G$1003,$W40)="","",INDEX(发票统计!G$4:G$1003,$W40)))</f>
        <v/>
      </c>
      <c r="H40" s="56" t="n">
        <f aca="false">IF($W40="","",N(INDEX(发票统计!H$4:H$1003,$W40)))</f>
        <v>0</v>
      </c>
      <c r="I40" s="56" t="n">
        <f aca="false">IF($W40="","",N(INDEX(发票统计!I$4:I$1003,$W40)))</f>
        <v>0</v>
      </c>
      <c r="J40" s="56" t="n">
        <f aca="false">IF($W40="","",N(INDEX(发票统计!J$4:J$1003,$W40)))</f>
        <v>0</v>
      </c>
      <c r="K40" s="56" t="n">
        <f aca="false">IF($W40="","",N(INDEX(发票统计!K$4:K$1003,$W40)))</f>
        <v>0</v>
      </c>
      <c r="L40" s="56" t="n">
        <f aca="false">IF($W40="","",SUM(J$4:J40)-SUM(K$4:K40))</f>
        <v>100000</v>
      </c>
      <c r="M40" s="56" t="n">
        <f aca="false">IF($W40="","",N(INDEX(发票统计!M$4:M$1003,$W40)))</f>
        <v>0</v>
      </c>
      <c r="N40" s="56" t="n">
        <f aca="false">IF($W40="","",N(INDEX(发票统计!N$4:N$1003,$W40)))</f>
        <v>0</v>
      </c>
      <c r="O40" s="56" t="n">
        <f aca="false">IF($W40="","",N(INDEX(发票统计!O$4:O$1003,$W40)))</f>
        <v>0</v>
      </c>
      <c r="P40" s="56" t="n">
        <f aca="false">IF($W40="","",SUM(M$4:M40)-SUM(N$4:N40)-SUM(O$4:O40))</f>
        <v>545460</v>
      </c>
      <c r="Q40" s="56" t="n">
        <f aca="false">IF($W40="","",N(INDEX(发票统计!Q$4:Q$1003,$W40)))</f>
        <v>0</v>
      </c>
      <c r="R40" s="56" t="n">
        <f aca="false">IF($W40="","",N(INDEX(发票统计!R$4:R$1003,$W40)))</f>
        <v>0</v>
      </c>
      <c r="S40" s="56" t="n">
        <f aca="false">IF($W40="","",N(INDEX(发票统计!S$4:S$1003,$W40)))</f>
        <v>6000</v>
      </c>
      <c r="T40" s="56" t="n">
        <f aca="false">IF($W40="","",SUM(Q$4:Q40)-SUM(R$4:R40)-SUM(S$4:S40))</f>
        <v>-542143</v>
      </c>
      <c r="U40" s="56" t="str">
        <f aca="false">IF($W40="","",INDEX(发票统计!U$4:U$1003,$W40)&amp;"")</f>
        <v/>
      </c>
      <c r="W40" s="1" t="n">
        <f aca="false">IF($V$3="","",IFERROR(MATCH($V$3&amp;"#"&amp;ROWS(W$4:W40),发票统计!$W$4:$W$1003,0),""))</f>
        <v>73</v>
      </c>
    </row>
    <row r="41" customFormat="false" ht="16.5" hidden="false" customHeight="false" outlineLevel="0" collapsed="false">
      <c r="A41" s="3" t="str">
        <f aca="false">IF($W41="","",INDEX(发票统计!A$4:A$1003,$W41)&amp;"")</f>
        <v>合川表计</v>
      </c>
      <c r="B41" s="3" t="str">
        <f aca="false">IF($W41="","",INDEX(发票统计!B$4:B$1003,$W41)&amp;"")</f>
        <v>8月</v>
      </c>
      <c r="C41" s="3" t="str">
        <f aca="false">IF($W41="","",INDEX(发票统计!C$4:C$1003,$W41)&amp;"")</f>
        <v>国网重庆合川供电公司2026年用电信息采集系统建筑相关工程施工(包4)</v>
      </c>
      <c r="D41" s="3" t="str">
        <f aca="false">IF($W41="","",INDEX(发票统计!D$4:D$1003,$W41)&amp;"")</f>
        <v>2026.8.25陈庆奎银付：陈庆奎转屈建军合川表计工资</v>
      </c>
      <c r="E41" s="56" t="str">
        <f aca="false">IF($W41="","",INDEX(发票统计!E$4:E$1003,$W41)&amp;"")</f>
        <v/>
      </c>
      <c r="F41" s="56" t="str">
        <f aca="false">IF($W41="","",INDEX(发票统计!F$4:F$1003,$W41)&amp;"")</f>
        <v/>
      </c>
      <c r="G41" s="68" t="str">
        <f aca="false">IF($W41="","",IF(INDEX(发票统计!G$4:G$1003,$W41)="","",INDEX(发票统计!G$4:G$1003,$W41)))</f>
        <v/>
      </c>
      <c r="H41" s="56" t="n">
        <f aca="false">IF($W41="","",N(INDEX(发票统计!H$4:H$1003,$W41)))</f>
        <v>0</v>
      </c>
      <c r="I41" s="56" t="n">
        <f aca="false">IF($W41="","",N(INDEX(发票统计!I$4:I$1003,$W41)))</f>
        <v>0</v>
      </c>
      <c r="J41" s="56" t="n">
        <f aca="false">IF($W41="","",N(INDEX(发票统计!J$4:J$1003,$W41)))</f>
        <v>0</v>
      </c>
      <c r="K41" s="56" t="n">
        <f aca="false">IF($W41="","",N(INDEX(发票统计!K$4:K$1003,$W41)))</f>
        <v>0</v>
      </c>
      <c r="L41" s="56" t="n">
        <f aca="false">IF($W41="","",SUM(J$4:J41)-SUM(K$4:K41))</f>
        <v>100000</v>
      </c>
      <c r="M41" s="56" t="n">
        <f aca="false">IF($W41="","",N(INDEX(发票统计!M$4:M$1003,$W41)))</f>
        <v>0</v>
      </c>
      <c r="N41" s="56" t="n">
        <f aca="false">IF($W41="","",N(INDEX(发票统计!N$4:N$1003,$W41)))</f>
        <v>0</v>
      </c>
      <c r="O41" s="56" t="n">
        <f aca="false">IF($W41="","",N(INDEX(发票统计!O$4:O$1003,$W41)))</f>
        <v>0</v>
      </c>
      <c r="P41" s="56" t="n">
        <f aca="false">IF($W41="","",SUM(M$4:M41)-SUM(N$4:N41)-SUM(O$4:O41))</f>
        <v>545460</v>
      </c>
      <c r="Q41" s="56" t="n">
        <f aca="false">IF($W41="","",N(INDEX(发票统计!Q$4:Q$1003,$W41)))</f>
        <v>0</v>
      </c>
      <c r="R41" s="56" t="n">
        <f aca="false">IF($W41="","",N(INDEX(发票统计!R$4:R$1003,$W41)))</f>
        <v>0</v>
      </c>
      <c r="S41" s="56" t="n">
        <f aca="false">IF($W41="","",N(INDEX(发票统计!S$4:S$1003,$W41)))</f>
        <v>8000</v>
      </c>
      <c r="T41" s="56" t="n">
        <f aca="false">IF($W41="","",SUM(Q$4:Q41)-SUM(R$4:R41)-SUM(S$4:S41))</f>
        <v>-550143</v>
      </c>
      <c r="U41" s="56" t="str">
        <f aca="false">IF($W41="","",INDEX(发票统计!U$4:U$1003,$W41)&amp;"")</f>
        <v/>
      </c>
      <c r="W41" s="1" t="n">
        <f aca="false">IF($V$3="","",IFERROR(MATCH($V$3&amp;"#"&amp;ROWS(W$4:W41),发票统计!$W$4:$W$1003,0),""))</f>
        <v>74</v>
      </c>
    </row>
    <row r="42" customFormat="false" ht="16.5" hidden="false" customHeight="false" outlineLevel="0" collapsed="false">
      <c r="A42" s="3" t="str">
        <f aca="false">IF($W42="","",INDEX(发票统计!A$4:A$1003,$W42)&amp;"")</f>
        <v>合川表计</v>
      </c>
      <c r="B42" s="3" t="str">
        <f aca="false">IF($W42="","",INDEX(发票统计!B$4:B$1003,$W42)&amp;"")</f>
        <v>8月</v>
      </c>
      <c r="C42" s="3" t="str">
        <f aca="false">IF($W42="","",INDEX(发票统计!C$4:C$1003,$W42)&amp;"")</f>
        <v>国网重庆合川供电公司2026年用电信息采集系统建筑相关工程施工(包4)</v>
      </c>
      <c r="D42" s="3" t="str">
        <f aca="false">IF($W42="","",INDEX(发票统计!D$4:D$1003,$W42)&amp;"")</f>
        <v>2026.8.25陈庆奎银付：陈庆奎转罗东勤合川表计工资</v>
      </c>
      <c r="E42" s="56" t="str">
        <f aca="false">IF($W42="","",INDEX(发票统计!E$4:E$1003,$W42)&amp;"")</f>
        <v/>
      </c>
      <c r="F42" s="56" t="str">
        <f aca="false">IF($W42="","",INDEX(发票统计!F$4:F$1003,$W42)&amp;"")</f>
        <v/>
      </c>
      <c r="G42" s="68" t="str">
        <f aca="false">IF($W42="","",IF(INDEX(发票统计!G$4:G$1003,$W42)="","",INDEX(发票统计!G$4:G$1003,$W42)))</f>
        <v/>
      </c>
      <c r="H42" s="56" t="n">
        <f aca="false">IF($W42="","",N(INDEX(发票统计!H$4:H$1003,$W42)))</f>
        <v>0</v>
      </c>
      <c r="I42" s="56" t="n">
        <f aca="false">IF($W42="","",N(INDEX(发票统计!I$4:I$1003,$W42)))</f>
        <v>0</v>
      </c>
      <c r="J42" s="56" t="n">
        <f aca="false">IF($W42="","",N(INDEX(发票统计!J$4:J$1003,$W42)))</f>
        <v>0</v>
      </c>
      <c r="K42" s="56" t="n">
        <f aca="false">IF($W42="","",N(INDEX(发票统计!K$4:K$1003,$W42)))</f>
        <v>0</v>
      </c>
      <c r="L42" s="56" t="n">
        <f aca="false">IF($W42="","",SUM(J$4:J42)-SUM(K$4:K42))</f>
        <v>100000</v>
      </c>
      <c r="M42" s="56" t="n">
        <f aca="false">IF($W42="","",N(INDEX(发票统计!M$4:M$1003,$W42)))</f>
        <v>0</v>
      </c>
      <c r="N42" s="56" t="n">
        <f aca="false">IF($W42="","",N(INDEX(发票统计!N$4:N$1003,$W42)))</f>
        <v>0</v>
      </c>
      <c r="O42" s="56" t="n">
        <f aca="false">IF($W42="","",N(INDEX(发票统计!O$4:O$1003,$W42)))</f>
        <v>0</v>
      </c>
      <c r="P42" s="56" t="n">
        <f aca="false">IF($W42="","",SUM(M$4:M42)-SUM(N$4:N42)-SUM(O$4:O42))</f>
        <v>545460</v>
      </c>
      <c r="Q42" s="56" t="n">
        <f aca="false">IF($W42="","",N(INDEX(发票统计!Q$4:Q$1003,$W42)))</f>
        <v>0</v>
      </c>
      <c r="R42" s="56" t="n">
        <f aca="false">IF($W42="","",N(INDEX(发票统计!R$4:R$1003,$W42)))</f>
        <v>0</v>
      </c>
      <c r="S42" s="56" t="n">
        <f aca="false">IF($W42="","",N(INDEX(发票统计!S$4:S$1003,$W42)))</f>
        <v>4000</v>
      </c>
      <c r="T42" s="56" t="n">
        <f aca="false">IF($W42="","",SUM(Q$4:Q42)-SUM(R$4:R42)-SUM(S$4:S42))</f>
        <v>-554143</v>
      </c>
      <c r="U42" s="56" t="str">
        <f aca="false">IF($W42="","",INDEX(发票统计!U$4:U$1003,$W42)&amp;"")</f>
        <v/>
      </c>
      <c r="W42" s="1" t="n">
        <f aca="false">IF($V$3="","",IFERROR(MATCH($V$3&amp;"#"&amp;ROWS(W$4:W42),发票统计!$W$4:$W$1003,0),""))</f>
        <v>75</v>
      </c>
    </row>
    <row r="43" customFormat="false" ht="16.5" hidden="false" customHeight="false" outlineLevel="0" collapsed="false">
      <c r="A43" s="3" t="str">
        <f aca="false">IF($W43="","",INDEX(发票统计!A$4:A$1003,$W43)&amp;"")</f>
        <v>合川表计</v>
      </c>
      <c r="B43" s="3" t="str">
        <f aca="false">IF($W43="","",INDEX(发票统计!B$4:B$1003,$W43)&amp;"")</f>
        <v>8月</v>
      </c>
      <c r="C43" s="3" t="str">
        <f aca="false">IF($W43="","",INDEX(发票统计!C$4:C$1003,$W43)&amp;"")</f>
        <v>国网重庆合川供电公司2026年用电信息采集系统建筑相关工程施工(包4)</v>
      </c>
      <c r="D43" s="3" t="str">
        <f aca="false">IF($W43="","",INDEX(发票统计!D$4:D$1003,$W43)&amp;"")</f>
        <v>2026.8.25陈庆奎银付：陈庆奎转廖刚合川表计工资</v>
      </c>
      <c r="E43" s="56" t="str">
        <f aca="false">IF($W43="","",INDEX(发票统计!E$4:E$1003,$W43)&amp;"")</f>
        <v/>
      </c>
      <c r="F43" s="56" t="str">
        <f aca="false">IF($W43="","",INDEX(发票统计!F$4:F$1003,$W43)&amp;"")</f>
        <v/>
      </c>
      <c r="G43" s="68" t="str">
        <f aca="false">IF($W43="","",IF(INDEX(发票统计!G$4:G$1003,$W43)="","",INDEX(发票统计!G$4:G$1003,$W43)))</f>
        <v/>
      </c>
      <c r="H43" s="56" t="n">
        <f aca="false">IF($W43="","",N(INDEX(发票统计!H$4:H$1003,$W43)))</f>
        <v>0</v>
      </c>
      <c r="I43" s="56" t="n">
        <f aca="false">IF($W43="","",N(INDEX(发票统计!I$4:I$1003,$W43)))</f>
        <v>0</v>
      </c>
      <c r="J43" s="56" t="n">
        <f aca="false">IF($W43="","",N(INDEX(发票统计!J$4:J$1003,$W43)))</f>
        <v>0</v>
      </c>
      <c r="K43" s="56" t="n">
        <f aca="false">IF($W43="","",N(INDEX(发票统计!K$4:K$1003,$W43)))</f>
        <v>0</v>
      </c>
      <c r="L43" s="56" t="n">
        <f aca="false">IF($W43="","",SUM(J$4:J43)-SUM(K$4:K43))</f>
        <v>100000</v>
      </c>
      <c r="M43" s="56" t="n">
        <f aca="false">IF($W43="","",N(INDEX(发票统计!M$4:M$1003,$W43)))</f>
        <v>0</v>
      </c>
      <c r="N43" s="56" t="n">
        <f aca="false">IF($W43="","",N(INDEX(发票统计!N$4:N$1003,$W43)))</f>
        <v>0</v>
      </c>
      <c r="O43" s="56" t="n">
        <f aca="false">IF($W43="","",N(INDEX(发票统计!O$4:O$1003,$W43)))</f>
        <v>0</v>
      </c>
      <c r="P43" s="56" t="n">
        <f aca="false">IF($W43="","",SUM(M$4:M43)-SUM(N$4:N43)-SUM(O$4:O43))</f>
        <v>545460</v>
      </c>
      <c r="Q43" s="56" t="n">
        <f aca="false">IF($W43="","",N(INDEX(发票统计!Q$4:Q$1003,$W43)))</f>
        <v>0</v>
      </c>
      <c r="R43" s="56" t="n">
        <f aca="false">IF($W43="","",N(INDEX(发票统计!R$4:R$1003,$W43)))</f>
        <v>0</v>
      </c>
      <c r="S43" s="56" t="n">
        <f aca="false">IF($W43="","",N(INDEX(发票统计!S$4:S$1003,$W43)))</f>
        <v>8000</v>
      </c>
      <c r="T43" s="56" t="n">
        <f aca="false">IF($W43="","",SUM(Q$4:Q43)-SUM(R$4:R43)-SUM(S$4:S43))</f>
        <v>-562143</v>
      </c>
      <c r="U43" s="56" t="str">
        <f aca="false">IF($W43="","",INDEX(发票统计!U$4:U$1003,$W43)&amp;"")</f>
        <v/>
      </c>
      <c r="W43" s="1" t="n">
        <f aca="false">IF($V$3="","",IFERROR(MATCH($V$3&amp;"#"&amp;ROWS(W$4:W43),发票统计!$W$4:$W$1003,0),""))</f>
        <v>76</v>
      </c>
    </row>
    <row r="44" customFormat="false" ht="16.5" hidden="false" customHeight="false" outlineLevel="0" collapsed="false">
      <c r="A44" s="3" t="str">
        <f aca="false">IF($W44="","",INDEX(发票统计!A$4:A$1003,$W44)&amp;"")</f>
        <v>合川表计</v>
      </c>
      <c r="B44" s="3" t="str">
        <f aca="false">IF($W44="","",INDEX(发票统计!B$4:B$1003,$W44)&amp;"")</f>
        <v>8月</v>
      </c>
      <c r="C44" s="3" t="str">
        <f aca="false">IF($W44="","",INDEX(发票统计!C$4:C$1003,$W44)&amp;"")</f>
        <v>国网重庆合川供电公司2026年用电信息采集系统建筑相关工程施工(包4)</v>
      </c>
      <c r="D44" s="3" t="str">
        <f aca="false">IF($W44="","",INDEX(发票统计!D$4:D$1003,$W44)&amp;"")</f>
        <v>2026.8.25陈庆奎银付：陈庆奎转李丙菊合川表计工资</v>
      </c>
      <c r="E44" s="56" t="str">
        <f aca="false">IF($W44="","",INDEX(发票统计!E$4:E$1003,$W44)&amp;"")</f>
        <v/>
      </c>
      <c r="F44" s="56" t="str">
        <f aca="false">IF($W44="","",INDEX(发票统计!F$4:F$1003,$W44)&amp;"")</f>
        <v/>
      </c>
      <c r="G44" s="68" t="str">
        <f aca="false">IF($W44="","",IF(INDEX(发票统计!G$4:G$1003,$W44)="","",INDEX(发票统计!G$4:G$1003,$W44)))</f>
        <v/>
      </c>
      <c r="H44" s="56" t="n">
        <f aca="false">IF($W44="","",N(INDEX(发票统计!H$4:H$1003,$W44)))</f>
        <v>0</v>
      </c>
      <c r="I44" s="56" t="n">
        <f aca="false">IF($W44="","",N(INDEX(发票统计!I$4:I$1003,$W44)))</f>
        <v>0</v>
      </c>
      <c r="J44" s="56" t="n">
        <f aca="false">IF($W44="","",N(INDEX(发票统计!J$4:J$1003,$W44)))</f>
        <v>0</v>
      </c>
      <c r="K44" s="56" t="n">
        <f aca="false">IF($W44="","",N(INDEX(发票统计!K$4:K$1003,$W44)))</f>
        <v>0</v>
      </c>
      <c r="L44" s="56" t="n">
        <f aca="false">IF($W44="","",SUM(J$4:J44)-SUM(K$4:K44))</f>
        <v>100000</v>
      </c>
      <c r="M44" s="56" t="n">
        <f aca="false">IF($W44="","",N(INDEX(发票统计!M$4:M$1003,$W44)))</f>
        <v>0</v>
      </c>
      <c r="N44" s="56" t="n">
        <f aca="false">IF($W44="","",N(INDEX(发票统计!N$4:N$1003,$W44)))</f>
        <v>0</v>
      </c>
      <c r="O44" s="56" t="n">
        <f aca="false">IF($W44="","",N(INDEX(发票统计!O$4:O$1003,$W44)))</f>
        <v>0</v>
      </c>
      <c r="P44" s="56" t="n">
        <f aca="false">IF($W44="","",SUM(M$4:M44)-SUM(N$4:N44)-SUM(O$4:O44))</f>
        <v>545460</v>
      </c>
      <c r="Q44" s="56" t="n">
        <f aca="false">IF($W44="","",N(INDEX(发票统计!Q$4:Q$1003,$W44)))</f>
        <v>0</v>
      </c>
      <c r="R44" s="56" t="n">
        <f aca="false">IF($W44="","",N(INDEX(发票统计!R$4:R$1003,$W44)))</f>
        <v>0</v>
      </c>
      <c r="S44" s="56" t="n">
        <f aca="false">IF($W44="","",N(INDEX(发票统计!S$4:S$1003,$W44)))</f>
        <v>4000</v>
      </c>
      <c r="T44" s="56" t="n">
        <f aca="false">IF($W44="","",SUM(Q$4:Q44)-SUM(R$4:R44)-SUM(S$4:S44))</f>
        <v>-566143</v>
      </c>
      <c r="U44" s="56" t="str">
        <f aca="false">IF($W44="","",INDEX(发票统计!U$4:U$1003,$W44)&amp;"")</f>
        <v/>
      </c>
      <c r="W44" s="1" t="n">
        <f aca="false">IF($V$3="","",IFERROR(MATCH($V$3&amp;"#"&amp;ROWS(W$4:W44),发票统计!$W$4:$W$1003,0),""))</f>
        <v>77</v>
      </c>
    </row>
    <row r="45" customFormat="false" ht="16.5" hidden="false" customHeight="false" outlineLevel="0" collapsed="false">
      <c r="A45" s="3" t="str">
        <f aca="false">IF($W45="","",INDEX(发票统计!A$4:A$1003,$W45)&amp;"")</f>
        <v>合川表计</v>
      </c>
      <c r="B45" s="3" t="str">
        <f aca="false">IF($W45="","",INDEX(发票统计!B$4:B$1003,$W45)&amp;"")</f>
        <v>9月</v>
      </c>
      <c r="C45" s="3" t="str">
        <f aca="false">IF($W45="","",INDEX(发票统计!C$4:C$1003,$W45)&amp;"")</f>
        <v>国网重庆合川供电公司2026年用电信息采集系统建筑相关工程施工(包4)</v>
      </c>
      <c r="D45" s="3" t="str">
        <f aca="false">IF($W45="","",INDEX(发票统计!D$4:D$1003,$W45)&amp;"")</f>
        <v>2026.9.22胡崇文支付表计工资</v>
      </c>
      <c r="E45" s="56" t="str">
        <f aca="false">IF($W45="","",INDEX(发票统计!E$4:E$1003,$W45)&amp;"")</f>
        <v/>
      </c>
      <c r="F45" s="56" t="str">
        <f aca="false">IF($W45="","",INDEX(发票统计!F$4:F$1003,$W45)&amp;"")</f>
        <v/>
      </c>
      <c r="G45" s="68" t="str">
        <f aca="false">IF($W45="","",IF(INDEX(发票统计!G$4:G$1003,$W45)="","",INDEX(发票统计!G$4:G$1003,$W45)))</f>
        <v/>
      </c>
      <c r="H45" s="56" t="n">
        <f aca="false">IF($W45="","",N(INDEX(发票统计!H$4:H$1003,$W45)))</f>
        <v>0</v>
      </c>
      <c r="I45" s="56" t="n">
        <f aca="false">IF($W45="","",N(INDEX(发票统计!I$4:I$1003,$W45)))</f>
        <v>0</v>
      </c>
      <c r="J45" s="56" t="n">
        <f aca="false">IF($W45="","",N(INDEX(发票统计!J$4:J$1003,$W45)))</f>
        <v>0</v>
      </c>
      <c r="K45" s="56" t="n">
        <f aca="false">IF($W45="","",N(INDEX(发票统计!K$4:K$1003,$W45)))</f>
        <v>0</v>
      </c>
      <c r="L45" s="56" t="n">
        <f aca="false">IF($W45="","",SUM(J$4:J45)-SUM(K$4:K45))</f>
        <v>100000</v>
      </c>
      <c r="M45" s="56" t="n">
        <f aca="false">IF($W45="","",N(INDEX(发票统计!M$4:M$1003,$W45)))</f>
        <v>0</v>
      </c>
      <c r="N45" s="56" t="n">
        <f aca="false">IF($W45="","",N(INDEX(发票统计!N$4:N$1003,$W45)))</f>
        <v>0</v>
      </c>
      <c r="O45" s="56" t="n">
        <f aca="false">IF($W45="","",N(INDEX(发票统计!O$4:O$1003,$W45)))</f>
        <v>0</v>
      </c>
      <c r="P45" s="56" t="n">
        <f aca="false">IF($W45="","",SUM(M$4:M45)-SUM(N$4:N45)-SUM(O$4:O45))</f>
        <v>545460</v>
      </c>
      <c r="Q45" s="56" t="n">
        <f aca="false">IF($W45="","",N(INDEX(发票统计!Q$4:Q$1003,$W45)))</f>
        <v>0</v>
      </c>
      <c r="R45" s="56" t="n">
        <f aca="false">IF($W45="","",N(INDEX(发票统计!R$4:R$1003,$W45)))</f>
        <v>0</v>
      </c>
      <c r="S45" s="56" t="n">
        <f aca="false">IF($W45="","",N(INDEX(发票统计!S$4:S$1003,$W45)))</f>
        <v>10500</v>
      </c>
      <c r="T45" s="56" t="n">
        <f aca="false">IF($W45="","",SUM(Q$4:Q45)-SUM(R$4:R45)-SUM(S$4:S45))</f>
        <v>-576643</v>
      </c>
      <c r="U45" s="56" t="str">
        <f aca="false">IF($W45="","",INDEX(发票统计!U$4:U$1003,$W45)&amp;"")</f>
        <v/>
      </c>
      <c r="W45" s="1" t="n">
        <f aca="false">IF($V$3="","",IFERROR(MATCH($V$3&amp;"#"&amp;ROWS(W$4:W45),发票统计!$W$4:$W$1003,0),""))</f>
        <v>78</v>
      </c>
    </row>
    <row r="46" customFormat="false" ht="16.5" hidden="false" customHeight="false" outlineLevel="0" collapsed="false">
      <c r="A46" s="3" t="str">
        <f aca="false">IF($W46="","",INDEX(发票统计!A$4:A$1003,$W46)&amp;"")</f>
        <v/>
      </c>
      <c r="B46" s="3" t="str">
        <f aca="false">IF($W46="","",INDEX(发票统计!B$4:B$1003,$W46)&amp;"")</f>
        <v/>
      </c>
      <c r="C46" s="3" t="str">
        <f aca="false">IF($W46="","",INDEX(发票统计!C$4:C$1003,$W46)&amp;"")</f>
        <v/>
      </c>
      <c r="D46" s="3" t="str">
        <f aca="false">IF($W46="","",INDEX(发票统计!D$4:D$1003,$W46)&amp;"")</f>
        <v/>
      </c>
      <c r="E46" s="56" t="str">
        <f aca="false">IF($W46="","",INDEX(发票统计!E$4:E$1003,$W46)&amp;"")</f>
        <v/>
      </c>
      <c r="F46" s="56" t="str">
        <f aca="false">IF($W46="","",INDEX(发票统计!F$4:F$1003,$W46)&amp;"")</f>
        <v/>
      </c>
      <c r="G46" s="68" t="str">
        <f aca="false">IF($W46="","",IF(INDEX(发票统计!G$4:G$1003,$W46)="","",INDEX(发票统计!G$4:G$1003,$W46)))</f>
        <v/>
      </c>
      <c r="H46" s="56" t="str">
        <f aca="false">IF($W46="","",N(INDEX(发票统计!H$4:H$1003,$W46)))</f>
        <v/>
      </c>
      <c r="I46" s="56" t="str">
        <f aca="false">IF($W46="","",N(INDEX(发票统计!I$4:I$1003,$W46)))</f>
        <v/>
      </c>
      <c r="J46" s="56" t="str">
        <f aca="false">IF($W46="","",N(INDEX(发票统计!J$4:J$1003,$W46)))</f>
        <v/>
      </c>
      <c r="K46" s="56" t="str">
        <f aca="false">IF($W46="","",N(INDEX(发票统计!K$4:K$1003,$W46)))</f>
        <v/>
      </c>
      <c r="L46" s="56" t="str">
        <f aca="false">IF($W46="","",SUM(J$4:J46)-SUM(K$4:K46))</f>
        <v/>
      </c>
      <c r="M46" s="56" t="str">
        <f aca="false">IF($W46="","",N(INDEX(发票统计!M$4:M$1003,$W46)))</f>
        <v/>
      </c>
      <c r="N46" s="56" t="str">
        <f aca="false">IF($W46="","",N(INDEX(发票统计!N$4:N$1003,$W46)))</f>
        <v/>
      </c>
      <c r="O46" s="56" t="str">
        <f aca="false">IF($W46="","",N(INDEX(发票统计!O$4:O$1003,$W46)))</f>
        <v/>
      </c>
      <c r="P46" s="56" t="str">
        <f aca="false">IF($W46="","",SUM(M$4:M46)-SUM(N$4:N46)-SUM(O$4:O46))</f>
        <v/>
      </c>
      <c r="Q46" s="56" t="str">
        <f aca="false">IF($W46="","",N(INDEX(发票统计!Q$4:Q$1003,$W46)))</f>
        <v/>
      </c>
      <c r="R46" s="56" t="str">
        <f aca="false">IF($W46="","",N(INDEX(发票统计!R$4:R$1003,$W46)))</f>
        <v/>
      </c>
      <c r="S46" s="56" t="str">
        <f aca="false">IF($W46="","",N(INDEX(发票统计!S$4:S$1003,$W46)))</f>
        <v/>
      </c>
      <c r="T46" s="56" t="str">
        <f aca="false">IF($W46="","",SUM(Q$4:Q46)-SUM(R$4:R46)-SUM(S$4:S46))</f>
        <v/>
      </c>
      <c r="U46" s="56" t="str">
        <f aca="false">IF($W46="","",INDEX(发票统计!U$4:U$1003,$W46)&amp;"")</f>
        <v/>
      </c>
      <c r="W46" s="1" t="str">
        <f aca="false">IF($V$3="","",IFERROR(MATCH($V$3&amp;"#"&amp;ROWS(W$4:W46),发票统计!$W$4:$W$1003,0),""))</f>
        <v/>
      </c>
    </row>
    <row r="47" customFormat="false" ht="16.5" hidden="false" customHeight="false" outlineLevel="0" collapsed="false">
      <c r="A47" s="3" t="str">
        <f aca="false">IF($W47="","",INDEX(发票统计!A$4:A$1003,$W47)&amp;"")</f>
        <v/>
      </c>
      <c r="B47" s="3" t="str">
        <f aca="false">IF($W47="","",INDEX(发票统计!B$4:B$1003,$W47)&amp;"")</f>
        <v/>
      </c>
      <c r="C47" s="3" t="str">
        <f aca="false">IF($W47="","",INDEX(发票统计!C$4:C$1003,$W47)&amp;"")</f>
        <v/>
      </c>
      <c r="D47" s="3" t="str">
        <f aca="false">IF($W47="","",INDEX(发票统计!D$4:D$1003,$W47)&amp;"")</f>
        <v/>
      </c>
      <c r="E47" s="56" t="str">
        <f aca="false">IF($W47="","",INDEX(发票统计!E$4:E$1003,$W47)&amp;"")</f>
        <v/>
      </c>
      <c r="F47" s="56" t="str">
        <f aca="false">IF($W47="","",INDEX(发票统计!F$4:F$1003,$W47)&amp;"")</f>
        <v/>
      </c>
      <c r="G47" s="68" t="str">
        <f aca="false">IF($W47="","",IF(INDEX(发票统计!G$4:G$1003,$W47)="","",INDEX(发票统计!G$4:G$1003,$W47)))</f>
        <v/>
      </c>
      <c r="H47" s="56" t="str">
        <f aca="false">IF($W47="","",N(INDEX(发票统计!H$4:H$1003,$W47)))</f>
        <v/>
      </c>
      <c r="I47" s="56" t="str">
        <f aca="false">IF($W47="","",N(INDEX(发票统计!I$4:I$1003,$W47)))</f>
        <v/>
      </c>
      <c r="J47" s="56" t="str">
        <f aca="false">IF($W47="","",N(INDEX(发票统计!J$4:J$1003,$W47)))</f>
        <v/>
      </c>
      <c r="K47" s="56" t="str">
        <f aca="false">IF($W47="","",N(INDEX(发票统计!K$4:K$1003,$W47)))</f>
        <v/>
      </c>
      <c r="L47" s="56" t="str">
        <f aca="false">IF($W47="","",SUM(J$4:J47)-SUM(K$4:K47))</f>
        <v/>
      </c>
      <c r="M47" s="56" t="str">
        <f aca="false">IF($W47="","",N(INDEX(发票统计!M$4:M$1003,$W47)))</f>
        <v/>
      </c>
      <c r="N47" s="56" t="str">
        <f aca="false">IF($W47="","",N(INDEX(发票统计!N$4:N$1003,$W47)))</f>
        <v/>
      </c>
      <c r="O47" s="56" t="str">
        <f aca="false">IF($W47="","",N(INDEX(发票统计!O$4:O$1003,$W47)))</f>
        <v/>
      </c>
      <c r="P47" s="56" t="str">
        <f aca="false">IF($W47="","",SUM(M$4:M47)-SUM(N$4:N47)-SUM(O$4:O47))</f>
        <v/>
      </c>
      <c r="Q47" s="56" t="str">
        <f aca="false">IF($W47="","",N(INDEX(发票统计!Q$4:Q$1003,$W47)))</f>
        <v/>
      </c>
      <c r="R47" s="56" t="str">
        <f aca="false">IF($W47="","",N(INDEX(发票统计!R$4:R$1003,$W47)))</f>
        <v/>
      </c>
      <c r="S47" s="56" t="str">
        <f aca="false">IF($W47="","",N(INDEX(发票统计!S$4:S$1003,$W47)))</f>
        <v/>
      </c>
      <c r="T47" s="56" t="str">
        <f aca="false">IF($W47="","",SUM(Q$4:Q47)-SUM(R$4:R47)-SUM(S$4:S47))</f>
        <v/>
      </c>
      <c r="U47" s="56" t="str">
        <f aca="false">IF($W47="","",INDEX(发票统计!U$4:U$1003,$W47)&amp;"")</f>
        <v/>
      </c>
      <c r="W47" s="1" t="str">
        <f aca="false">IF($V$3="","",IFERROR(MATCH($V$3&amp;"#"&amp;ROWS(W$4:W47),发票统计!$W$4:$W$1003,0),""))</f>
        <v/>
      </c>
    </row>
    <row r="48" customFormat="false" ht="16.5" hidden="false" customHeight="false" outlineLevel="0" collapsed="false">
      <c r="A48" s="3" t="str">
        <f aca="false">IF($W48="","",INDEX(发票统计!A$4:A$1003,$W48)&amp;"")</f>
        <v/>
      </c>
      <c r="B48" s="3" t="str">
        <f aca="false">IF($W48="","",INDEX(发票统计!B$4:B$1003,$W48)&amp;"")</f>
        <v/>
      </c>
      <c r="C48" s="3" t="str">
        <f aca="false">IF($W48="","",INDEX(发票统计!C$4:C$1003,$W48)&amp;"")</f>
        <v/>
      </c>
      <c r="D48" s="3" t="str">
        <f aca="false">IF($W48="","",INDEX(发票统计!D$4:D$1003,$W48)&amp;"")</f>
        <v/>
      </c>
      <c r="E48" s="56" t="str">
        <f aca="false">IF($W48="","",INDEX(发票统计!E$4:E$1003,$W48)&amp;"")</f>
        <v/>
      </c>
      <c r="F48" s="56" t="str">
        <f aca="false">IF($W48="","",INDEX(发票统计!F$4:F$1003,$W48)&amp;"")</f>
        <v/>
      </c>
      <c r="G48" s="68" t="str">
        <f aca="false">IF($W48="","",IF(INDEX(发票统计!G$4:G$1003,$W48)="","",INDEX(发票统计!G$4:G$1003,$W48)))</f>
        <v/>
      </c>
      <c r="H48" s="56" t="str">
        <f aca="false">IF($W48="","",N(INDEX(发票统计!H$4:H$1003,$W48)))</f>
        <v/>
      </c>
      <c r="I48" s="56" t="str">
        <f aca="false">IF($W48="","",N(INDEX(发票统计!I$4:I$1003,$W48)))</f>
        <v/>
      </c>
      <c r="J48" s="56" t="str">
        <f aca="false">IF($W48="","",N(INDEX(发票统计!J$4:J$1003,$W48)))</f>
        <v/>
      </c>
      <c r="K48" s="56" t="str">
        <f aca="false">IF($W48="","",N(INDEX(发票统计!K$4:K$1003,$W48)))</f>
        <v/>
      </c>
      <c r="L48" s="56" t="str">
        <f aca="false">IF($W48="","",SUM(J$4:J48)-SUM(K$4:K48))</f>
        <v/>
      </c>
      <c r="M48" s="56" t="str">
        <f aca="false">IF($W48="","",N(INDEX(发票统计!M$4:M$1003,$W48)))</f>
        <v/>
      </c>
      <c r="N48" s="56" t="str">
        <f aca="false">IF($W48="","",N(INDEX(发票统计!N$4:N$1003,$W48)))</f>
        <v/>
      </c>
      <c r="O48" s="56" t="str">
        <f aca="false">IF($W48="","",N(INDEX(发票统计!O$4:O$1003,$W48)))</f>
        <v/>
      </c>
      <c r="P48" s="56" t="str">
        <f aca="false">IF($W48="","",SUM(M$4:M48)-SUM(N$4:N48)-SUM(O$4:O48))</f>
        <v/>
      </c>
      <c r="Q48" s="56" t="str">
        <f aca="false">IF($W48="","",N(INDEX(发票统计!Q$4:Q$1003,$W48)))</f>
        <v/>
      </c>
      <c r="R48" s="56" t="str">
        <f aca="false">IF($W48="","",N(INDEX(发票统计!R$4:R$1003,$W48)))</f>
        <v/>
      </c>
      <c r="S48" s="56" t="str">
        <f aca="false">IF($W48="","",N(INDEX(发票统计!S$4:S$1003,$W48)))</f>
        <v/>
      </c>
      <c r="T48" s="56" t="str">
        <f aca="false">IF($W48="","",SUM(Q$4:Q48)-SUM(R$4:R48)-SUM(S$4:S48))</f>
        <v/>
      </c>
      <c r="U48" s="56" t="str">
        <f aca="false">IF($W48="","",INDEX(发票统计!U$4:U$1003,$W48)&amp;"")</f>
        <v/>
      </c>
      <c r="W48" s="1" t="str">
        <f aca="false">IF($V$3="","",IFERROR(MATCH($V$3&amp;"#"&amp;ROWS(W$4:W48),发票统计!$W$4:$W$1003,0),""))</f>
        <v/>
      </c>
    </row>
    <row r="49" customFormat="false" ht="16.5" hidden="false" customHeight="false" outlineLevel="0" collapsed="false">
      <c r="A49" s="3" t="str">
        <f aca="false">IF($W49="","",INDEX(发票统计!A$4:A$1003,$W49)&amp;"")</f>
        <v/>
      </c>
      <c r="B49" s="3" t="str">
        <f aca="false">IF($W49="","",INDEX(发票统计!B$4:B$1003,$W49)&amp;"")</f>
        <v/>
      </c>
      <c r="C49" s="3" t="str">
        <f aca="false">IF($W49="","",INDEX(发票统计!C$4:C$1003,$W49)&amp;"")</f>
        <v/>
      </c>
      <c r="D49" s="3" t="str">
        <f aca="false">IF($W49="","",INDEX(发票统计!D$4:D$1003,$W49)&amp;"")</f>
        <v/>
      </c>
      <c r="E49" s="56" t="str">
        <f aca="false">IF($W49="","",INDEX(发票统计!E$4:E$1003,$W49)&amp;"")</f>
        <v/>
      </c>
      <c r="F49" s="56" t="str">
        <f aca="false">IF($W49="","",INDEX(发票统计!F$4:F$1003,$W49)&amp;"")</f>
        <v/>
      </c>
      <c r="G49" s="68" t="str">
        <f aca="false">IF($W49="","",IF(INDEX(发票统计!G$4:G$1003,$W49)="","",INDEX(发票统计!G$4:G$1003,$W49)))</f>
        <v/>
      </c>
      <c r="H49" s="56" t="str">
        <f aca="false">IF($W49="","",N(INDEX(发票统计!H$4:H$1003,$W49)))</f>
        <v/>
      </c>
      <c r="I49" s="56" t="str">
        <f aca="false">IF($W49="","",N(INDEX(发票统计!I$4:I$1003,$W49)))</f>
        <v/>
      </c>
      <c r="J49" s="56" t="str">
        <f aca="false">IF($W49="","",N(INDEX(发票统计!J$4:J$1003,$W49)))</f>
        <v/>
      </c>
      <c r="K49" s="56" t="str">
        <f aca="false">IF($W49="","",N(INDEX(发票统计!K$4:K$1003,$W49)))</f>
        <v/>
      </c>
      <c r="L49" s="56" t="str">
        <f aca="false">IF($W49="","",SUM(J$4:J49)-SUM(K$4:K49))</f>
        <v/>
      </c>
      <c r="M49" s="56" t="str">
        <f aca="false">IF($W49="","",N(INDEX(发票统计!M$4:M$1003,$W49)))</f>
        <v/>
      </c>
      <c r="N49" s="56" t="str">
        <f aca="false">IF($W49="","",N(INDEX(发票统计!N$4:N$1003,$W49)))</f>
        <v/>
      </c>
      <c r="O49" s="56" t="str">
        <f aca="false">IF($W49="","",N(INDEX(发票统计!O$4:O$1003,$W49)))</f>
        <v/>
      </c>
      <c r="P49" s="56" t="str">
        <f aca="false">IF($W49="","",SUM(M$4:M49)-SUM(N$4:N49)-SUM(O$4:O49))</f>
        <v/>
      </c>
      <c r="Q49" s="56" t="str">
        <f aca="false">IF($W49="","",N(INDEX(发票统计!Q$4:Q$1003,$W49)))</f>
        <v/>
      </c>
      <c r="R49" s="56" t="str">
        <f aca="false">IF($W49="","",N(INDEX(发票统计!R$4:R$1003,$W49)))</f>
        <v/>
      </c>
      <c r="S49" s="56" t="str">
        <f aca="false">IF($W49="","",N(INDEX(发票统计!S$4:S$1003,$W49)))</f>
        <v/>
      </c>
      <c r="T49" s="56" t="str">
        <f aca="false">IF($W49="","",SUM(Q$4:Q49)-SUM(R$4:R49)-SUM(S$4:S49))</f>
        <v/>
      </c>
      <c r="U49" s="56" t="str">
        <f aca="false">IF($W49="","",INDEX(发票统计!U$4:U$1003,$W49)&amp;"")</f>
        <v/>
      </c>
      <c r="W49" s="1" t="str">
        <f aca="false">IF($V$3="","",IFERROR(MATCH($V$3&amp;"#"&amp;ROWS(W$4:W49),发票统计!$W$4:$W$1003,0),""))</f>
        <v/>
      </c>
    </row>
    <row r="50" customFormat="false" ht="16.5" hidden="false" customHeight="false" outlineLevel="0" collapsed="false">
      <c r="A50" s="3" t="str">
        <f aca="false">IF($W50="","",INDEX(发票统计!A$4:A$1003,$W50)&amp;"")</f>
        <v/>
      </c>
      <c r="B50" s="3" t="str">
        <f aca="false">IF($W50="","",INDEX(发票统计!B$4:B$1003,$W50)&amp;"")</f>
        <v/>
      </c>
      <c r="C50" s="3" t="str">
        <f aca="false">IF($W50="","",INDEX(发票统计!C$4:C$1003,$W50)&amp;"")</f>
        <v/>
      </c>
      <c r="D50" s="3" t="str">
        <f aca="false">IF($W50="","",INDEX(发票统计!D$4:D$1003,$W50)&amp;"")</f>
        <v/>
      </c>
      <c r="E50" s="56" t="str">
        <f aca="false">IF($W50="","",INDEX(发票统计!E$4:E$1003,$W50)&amp;"")</f>
        <v/>
      </c>
      <c r="F50" s="56" t="str">
        <f aca="false">IF($W50="","",INDEX(发票统计!F$4:F$1003,$W50)&amp;"")</f>
        <v/>
      </c>
      <c r="G50" s="68" t="str">
        <f aca="false">IF($W50="","",IF(INDEX(发票统计!G$4:G$1003,$W50)="","",INDEX(发票统计!G$4:G$1003,$W50)))</f>
        <v/>
      </c>
      <c r="H50" s="56" t="str">
        <f aca="false">IF($W50="","",N(INDEX(发票统计!H$4:H$1003,$W50)))</f>
        <v/>
      </c>
      <c r="I50" s="56" t="str">
        <f aca="false">IF($W50="","",N(INDEX(发票统计!I$4:I$1003,$W50)))</f>
        <v/>
      </c>
      <c r="J50" s="56" t="str">
        <f aca="false">IF($W50="","",N(INDEX(发票统计!J$4:J$1003,$W50)))</f>
        <v/>
      </c>
      <c r="K50" s="56" t="str">
        <f aca="false">IF($W50="","",N(INDEX(发票统计!K$4:K$1003,$W50)))</f>
        <v/>
      </c>
      <c r="L50" s="56" t="str">
        <f aca="false">IF($W50="","",SUM(J$4:J50)-SUM(K$4:K50))</f>
        <v/>
      </c>
      <c r="M50" s="56" t="str">
        <f aca="false">IF($W50="","",N(INDEX(发票统计!M$4:M$1003,$W50)))</f>
        <v/>
      </c>
      <c r="N50" s="56" t="str">
        <f aca="false">IF($W50="","",N(INDEX(发票统计!N$4:N$1003,$W50)))</f>
        <v/>
      </c>
      <c r="O50" s="56" t="str">
        <f aca="false">IF($W50="","",N(INDEX(发票统计!O$4:O$1003,$W50)))</f>
        <v/>
      </c>
      <c r="P50" s="56" t="str">
        <f aca="false">IF($W50="","",SUM(M$4:M50)-SUM(N$4:N50)-SUM(O$4:O50))</f>
        <v/>
      </c>
      <c r="Q50" s="56" t="str">
        <f aca="false">IF($W50="","",N(INDEX(发票统计!Q$4:Q$1003,$W50)))</f>
        <v/>
      </c>
      <c r="R50" s="56" t="str">
        <f aca="false">IF($W50="","",N(INDEX(发票统计!R$4:R$1003,$W50)))</f>
        <v/>
      </c>
      <c r="S50" s="56" t="str">
        <f aca="false">IF($W50="","",N(INDEX(发票统计!S$4:S$1003,$W50)))</f>
        <v/>
      </c>
      <c r="T50" s="56" t="str">
        <f aca="false">IF($W50="","",SUM(Q$4:Q50)-SUM(R$4:R50)-SUM(S$4:S50))</f>
        <v/>
      </c>
      <c r="U50" s="56" t="str">
        <f aca="false">IF($W50="","",INDEX(发票统计!U$4:U$1003,$W50)&amp;"")</f>
        <v/>
      </c>
      <c r="W50" s="1" t="str">
        <f aca="false">IF($V$3="","",IFERROR(MATCH($V$3&amp;"#"&amp;ROWS(W$4:W50),发票统计!$W$4:$W$1003,0),""))</f>
        <v/>
      </c>
    </row>
    <row r="51" customFormat="false" ht="16.5" hidden="false" customHeight="false" outlineLevel="0" collapsed="false">
      <c r="A51" s="3" t="str">
        <f aca="false">IF($W51="","",INDEX(发票统计!A$4:A$1003,$W51)&amp;"")</f>
        <v/>
      </c>
      <c r="B51" s="3" t="str">
        <f aca="false">IF($W51="","",INDEX(发票统计!B$4:B$1003,$W51)&amp;"")</f>
        <v/>
      </c>
      <c r="C51" s="3" t="str">
        <f aca="false">IF($W51="","",INDEX(发票统计!C$4:C$1003,$W51)&amp;"")</f>
        <v/>
      </c>
      <c r="D51" s="3" t="str">
        <f aca="false">IF($W51="","",INDEX(发票统计!D$4:D$1003,$W51)&amp;"")</f>
        <v/>
      </c>
      <c r="E51" s="56" t="str">
        <f aca="false">IF($W51="","",INDEX(发票统计!E$4:E$1003,$W51)&amp;"")</f>
        <v/>
      </c>
      <c r="F51" s="56" t="str">
        <f aca="false">IF($W51="","",INDEX(发票统计!F$4:F$1003,$W51)&amp;"")</f>
        <v/>
      </c>
      <c r="G51" s="68" t="str">
        <f aca="false">IF($W51="","",IF(INDEX(发票统计!G$4:G$1003,$W51)="","",INDEX(发票统计!G$4:G$1003,$W51)))</f>
        <v/>
      </c>
      <c r="H51" s="56" t="str">
        <f aca="false">IF($W51="","",N(INDEX(发票统计!H$4:H$1003,$W51)))</f>
        <v/>
      </c>
      <c r="I51" s="56" t="str">
        <f aca="false">IF($W51="","",N(INDEX(发票统计!I$4:I$1003,$W51)))</f>
        <v/>
      </c>
      <c r="J51" s="56" t="str">
        <f aca="false">IF($W51="","",N(INDEX(发票统计!J$4:J$1003,$W51)))</f>
        <v/>
      </c>
      <c r="K51" s="56" t="str">
        <f aca="false">IF($W51="","",N(INDEX(发票统计!K$4:K$1003,$W51)))</f>
        <v/>
      </c>
      <c r="L51" s="56" t="str">
        <f aca="false">IF($W51="","",SUM(J$4:J51)-SUM(K$4:K51))</f>
        <v/>
      </c>
      <c r="M51" s="56" t="str">
        <f aca="false">IF($W51="","",N(INDEX(发票统计!M$4:M$1003,$W51)))</f>
        <v/>
      </c>
      <c r="N51" s="56" t="str">
        <f aca="false">IF($W51="","",N(INDEX(发票统计!N$4:N$1003,$W51)))</f>
        <v/>
      </c>
      <c r="O51" s="56" t="str">
        <f aca="false">IF($W51="","",N(INDEX(发票统计!O$4:O$1003,$W51)))</f>
        <v/>
      </c>
      <c r="P51" s="56" t="str">
        <f aca="false">IF($W51="","",SUM(M$4:M51)-SUM(N$4:N51)-SUM(O$4:O51))</f>
        <v/>
      </c>
      <c r="Q51" s="56" t="str">
        <f aca="false">IF($W51="","",N(INDEX(发票统计!Q$4:Q$1003,$W51)))</f>
        <v/>
      </c>
      <c r="R51" s="56" t="str">
        <f aca="false">IF($W51="","",N(INDEX(发票统计!R$4:R$1003,$W51)))</f>
        <v/>
      </c>
      <c r="S51" s="56" t="str">
        <f aca="false">IF($W51="","",N(INDEX(发票统计!S$4:S$1003,$W51)))</f>
        <v/>
      </c>
      <c r="T51" s="56" t="str">
        <f aca="false">IF($W51="","",SUM(Q$4:Q51)-SUM(R$4:R51)-SUM(S$4:S51))</f>
        <v/>
      </c>
      <c r="U51" s="56" t="str">
        <f aca="false">IF($W51="","",INDEX(发票统计!U$4:U$1003,$W51)&amp;"")</f>
        <v/>
      </c>
      <c r="W51" s="1" t="str">
        <f aca="false">IF($V$3="","",IFERROR(MATCH($V$3&amp;"#"&amp;ROWS(W$4:W51),发票统计!$W$4:$W$1003,0),""))</f>
        <v/>
      </c>
    </row>
    <row r="52" customFormat="false" ht="16.5" hidden="false" customHeight="false" outlineLevel="0" collapsed="false">
      <c r="A52" s="3" t="str">
        <f aca="false">IF($W52="","",INDEX(发票统计!A$4:A$1003,$W52)&amp;"")</f>
        <v/>
      </c>
      <c r="B52" s="3" t="str">
        <f aca="false">IF($W52="","",INDEX(发票统计!B$4:B$1003,$W52)&amp;"")</f>
        <v/>
      </c>
      <c r="C52" s="3" t="str">
        <f aca="false">IF($W52="","",INDEX(发票统计!C$4:C$1003,$W52)&amp;"")</f>
        <v/>
      </c>
      <c r="D52" s="3" t="str">
        <f aca="false">IF($W52="","",INDEX(发票统计!D$4:D$1003,$W52)&amp;"")</f>
        <v/>
      </c>
      <c r="E52" s="56" t="str">
        <f aca="false">IF($W52="","",INDEX(发票统计!E$4:E$1003,$W52)&amp;"")</f>
        <v/>
      </c>
      <c r="F52" s="56" t="str">
        <f aca="false">IF($W52="","",INDEX(发票统计!F$4:F$1003,$W52)&amp;"")</f>
        <v/>
      </c>
      <c r="G52" s="68" t="str">
        <f aca="false">IF($W52="","",IF(INDEX(发票统计!G$4:G$1003,$W52)="","",INDEX(发票统计!G$4:G$1003,$W52)))</f>
        <v/>
      </c>
      <c r="H52" s="56" t="str">
        <f aca="false">IF($W52="","",N(INDEX(发票统计!H$4:H$1003,$W52)))</f>
        <v/>
      </c>
      <c r="I52" s="56" t="str">
        <f aca="false">IF($W52="","",N(INDEX(发票统计!I$4:I$1003,$W52)))</f>
        <v/>
      </c>
      <c r="J52" s="56" t="str">
        <f aca="false">IF($W52="","",N(INDEX(发票统计!J$4:J$1003,$W52)))</f>
        <v/>
      </c>
      <c r="K52" s="56" t="str">
        <f aca="false">IF($W52="","",N(INDEX(发票统计!K$4:K$1003,$W52)))</f>
        <v/>
      </c>
      <c r="L52" s="56" t="str">
        <f aca="false">IF($W52="","",SUM(J$4:J52)-SUM(K$4:K52))</f>
        <v/>
      </c>
      <c r="M52" s="56" t="str">
        <f aca="false">IF($W52="","",N(INDEX(发票统计!M$4:M$1003,$W52)))</f>
        <v/>
      </c>
      <c r="N52" s="56" t="str">
        <f aca="false">IF($W52="","",N(INDEX(发票统计!N$4:N$1003,$W52)))</f>
        <v/>
      </c>
      <c r="O52" s="56" t="str">
        <f aca="false">IF($W52="","",N(INDEX(发票统计!O$4:O$1003,$W52)))</f>
        <v/>
      </c>
      <c r="P52" s="56" t="str">
        <f aca="false">IF($W52="","",SUM(M$4:M52)-SUM(N$4:N52)-SUM(O$4:O52))</f>
        <v/>
      </c>
      <c r="Q52" s="56" t="str">
        <f aca="false">IF($W52="","",N(INDEX(发票统计!Q$4:Q$1003,$W52)))</f>
        <v/>
      </c>
      <c r="R52" s="56" t="str">
        <f aca="false">IF($W52="","",N(INDEX(发票统计!R$4:R$1003,$W52)))</f>
        <v/>
      </c>
      <c r="S52" s="56" t="str">
        <f aca="false">IF($W52="","",N(INDEX(发票统计!S$4:S$1003,$W52)))</f>
        <v/>
      </c>
      <c r="T52" s="56" t="str">
        <f aca="false">IF($W52="","",SUM(Q$4:Q52)-SUM(R$4:R52)-SUM(S$4:S52))</f>
        <v/>
      </c>
      <c r="U52" s="56" t="str">
        <f aca="false">IF($W52="","",INDEX(发票统计!U$4:U$1003,$W52)&amp;"")</f>
        <v/>
      </c>
      <c r="W52" s="1" t="str">
        <f aca="false">IF($V$3="","",IFERROR(MATCH($V$3&amp;"#"&amp;ROWS(W$4:W52),发票统计!$W$4:$W$1003,0),""))</f>
        <v/>
      </c>
    </row>
    <row r="53" customFormat="false" ht="16.5" hidden="false" customHeight="false" outlineLevel="0" collapsed="false">
      <c r="A53" s="3" t="str">
        <f aca="false">IF($W53="","",INDEX(发票统计!A$4:A$1003,$W53)&amp;"")</f>
        <v/>
      </c>
      <c r="B53" s="3" t="str">
        <f aca="false">IF($W53="","",INDEX(发票统计!B$4:B$1003,$W53)&amp;"")</f>
        <v/>
      </c>
      <c r="C53" s="3" t="str">
        <f aca="false">IF($W53="","",INDEX(发票统计!C$4:C$1003,$W53)&amp;"")</f>
        <v/>
      </c>
      <c r="D53" s="3" t="str">
        <f aca="false">IF($W53="","",INDEX(发票统计!D$4:D$1003,$W53)&amp;"")</f>
        <v/>
      </c>
      <c r="E53" s="56" t="str">
        <f aca="false">IF($W53="","",INDEX(发票统计!E$4:E$1003,$W53)&amp;"")</f>
        <v/>
      </c>
      <c r="F53" s="56" t="str">
        <f aca="false">IF($W53="","",INDEX(发票统计!F$4:F$1003,$W53)&amp;"")</f>
        <v/>
      </c>
      <c r="G53" s="68" t="str">
        <f aca="false">IF($W53="","",IF(INDEX(发票统计!G$4:G$1003,$W53)="","",INDEX(发票统计!G$4:G$1003,$W53)))</f>
        <v/>
      </c>
      <c r="H53" s="56" t="str">
        <f aca="false">IF($W53="","",N(INDEX(发票统计!H$4:H$1003,$W53)))</f>
        <v/>
      </c>
      <c r="I53" s="56" t="str">
        <f aca="false">IF($W53="","",N(INDEX(发票统计!I$4:I$1003,$W53)))</f>
        <v/>
      </c>
      <c r="J53" s="56" t="str">
        <f aca="false">IF($W53="","",N(INDEX(发票统计!J$4:J$1003,$W53)))</f>
        <v/>
      </c>
      <c r="K53" s="56" t="str">
        <f aca="false">IF($W53="","",N(INDEX(发票统计!K$4:K$1003,$W53)))</f>
        <v/>
      </c>
      <c r="L53" s="56" t="str">
        <f aca="false">IF($W53="","",SUM(J$4:J53)-SUM(K$4:K53))</f>
        <v/>
      </c>
      <c r="M53" s="56" t="str">
        <f aca="false">IF($W53="","",N(INDEX(发票统计!M$4:M$1003,$W53)))</f>
        <v/>
      </c>
      <c r="N53" s="56" t="str">
        <f aca="false">IF($W53="","",N(INDEX(发票统计!N$4:N$1003,$W53)))</f>
        <v/>
      </c>
      <c r="O53" s="56" t="str">
        <f aca="false">IF($W53="","",N(INDEX(发票统计!O$4:O$1003,$W53)))</f>
        <v/>
      </c>
      <c r="P53" s="56" t="str">
        <f aca="false">IF($W53="","",SUM(M$4:M53)-SUM(N$4:N53)-SUM(O$4:O53))</f>
        <v/>
      </c>
      <c r="Q53" s="56" t="str">
        <f aca="false">IF($W53="","",N(INDEX(发票统计!Q$4:Q$1003,$W53)))</f>
        <v/>
      </c>
      <c r="R53" s="56" t="str">
        <f aca="false">IF($W53="","",N(INDEX(发票统计!R$4:R$1003,$W53)))</f>
        <v/>
      </c>
      <c r="S53" s="56" t="str">
        <f aca="false">IF($W53="","",N(INDEX(发票统计!S$4:S$1003,$W53)))</f>
        <v/>
      </c>
      <c r="T53" s="56" t="str">
        <f aca="false">IF($W53="","",SUM(Q$4:Q53)-SUM(R$4:R53)-SUM(S$4:S53))</f>
        <v/>
      </c>
      <c r="U53" s="56" t="str">
        <f aca="false">IF($W53="","",INDEX(发票统计!U$4:U$1003,$W53)&amp;"")</f>
        <v/>
      </c>
      <c r="W53" s="1" t="str">
        <f aca="false">IF($V$3="","",IFERROR(MATCH($V$3&amp;"#"&amp;ROWS(W$4:W53),发票统计!$W$4:$W$1003,0),""))</f>
        <v/>
      </c>
    </row>
    <row r="54" customFormat="false" ht="16.5" hidden="false" customHeight="false" outlineLevel="0" collapsed="false">
      <c r="A54" s="3" t="str">
        <f aca="false">IF($W54="","",INDEX(发票统计!A$4:A$1003,$W54)&amp;"")</f>
        <v/>
      </c>
      <c r="B54" s="3" t="str">
        <f aca="false">IF($W54="","",INDEX(发票统计!B$4:B$1003,$W54)&amp;"")</f>
        <v/>
      </c>
      <c r="C54" s="3" t="str">
        <f aca="false">IF($W54="","",INDEX(发票统计!C$4:C$1003,$W54)&amp;"")</f>
        <v/>
      </c>
      <c r="D54" s="3" t="str">
        <f aca="false">IF($W54="","",INDEX(发票统计!D$4:D$1003,$W54)&amp;"")</f>
        <v/>
      </c>
      <c r="E54" s="56" t="str">
        <f aca="false">IF($W54="","",INDEX(发票统计!E$4:E$1003,$W54)&amp;"")</f>
        <v/>
      </c>
      <c r="F54" s="56" t="str">
        <f aca="false">IF($W54="","",INDEX(发票统计!F$4:F$1003,$W54)&amp;"")</f>
        <v/>
      </c>
      <c r="G54" s="68" t="str">
        <f aca="false">IF($W54="","",IF(INDEX(发票统计!G$4:G$1003,$W54)="","",INDEX(发票统计!G$4:G$1003,$W54)))</f>
        <v/>
      </c>
      <c r="H54" s="56" t="str">
        <f aca="false">IF($W54="","",N(INDEX(发票统计!H$4:H$1003,$W54)))</f>
        <v/>
      </c>
      <c r="I54" s="56" t="str">
        <f aca="false">IF($W54="","",N(INDEX(发票统计!I$4:I$1003,$W54)))</f>
        <v/>
      </c>
      <c r="J54" s="56" t="str">
        <f aca="false">IF($W54="","",N(INDEX(发票统计!J$4:J$1003,$W54)))</f>
        <v/>
      </c>
      <c r="K54" s="56" t="str">
        <f aca="false">IF($W54="","",N(INDEX(发票统计!K$4:K$1003,$W54)))</f>
        <v/>
      </c>
      <c r="L54" s="56" t="str">
        <f aca="false">IF($W54="","",SUM(J$4:J54)-SUM(K$4:K54))</f>
        <v/>
      </c>
      <c r="M54" s="56" t="str">
        <f aca="false">IF($W54="","",N(INDEX(发票统计!M$4:M$1003,$W54)))</f>
        <v/>
      </c>
      <c r="N54" s="56" t="str">
        <f aca="false">IF($W54="","",N(INDEX(发票统计!N$4:N$1003,$W54)))</f>
        <v/>
      </c>
      <c r="O54" s="56" t="str">
        <f aca="false">IF($W54="","",N(INDEX(发票统计!O$4:O$1003,$W54)))</f>
        <v/>
      </c>
      <c r="P54" s="56" t="str">
        <f aca="false">IF($W54="","",SUM(M$4:M54)-SUM(N$4:N54)-SUM(O$4:O54))</f>
        <v/>
      </c>
      <c r="Q54" s="56" t="str">
        <f aca="false">IF($W54="","",N(INDEX(发票统计!Q$4:Q$1003,$W54)))</f>
        <v/>
      </c>
      <c r="R54" s="56" t="str">
        <f aca="false">IF($W54="","",N(INDEX(发票统计!R$4:R$1003,$W54)))</f>
        <v/>
      </c>
      <c r="S54" s="56" t="str">
        <f aca="false">IF($W54="","",N(INDEX(发票统计!S$4:S$1003,$W54)))</f>
        <v/>
      </c>
      <c r="T54" s="56" t="str">
        <f aca="false">IF($W54="","",SUM(Q$4:Q54)-SUM(R$4:R54)-SUM(S$4:S54))</f>
        <v/>
      </c>
      <c r="U54" s="56" t="str">
        <f aca="false">IF($W54="","",INDEX(发票统计!U$4:U$1003,$W54)&amp;"")</f>
        <v/>
      </c>
      <c r="W54" s="1" t="str">
        <f aca="false">IF($V$3="","",IFERROR(MATCH($V$3&amp;"#"&amp;ROWS(W$4:W54),发票统计!$W$4:$W$1003,0),""))</f>
        <v/>
      </c>
    </row>
    <row r="55" customFormat="false" ht="16.5" hidden="false" customHeight="false" outlineLevel="0" collapsed="false">
      <c r="A55" s="3" t="str">
        <f aca="false">IF($W55="","",INDEX(发票统计!A$4:A$1003,$W55)&amp;"")</f>
        <v/>
      </c>
      <c r="B55" s="3" t="str">
        <f aca="false">IF($W55="","",INDEX(发票统计!B$4:B$1003,$W55)&amp;"")</f>
        <v/>
      </c>
      <c r="C55" s="3" t="str">
        <f aca="false">IF($W55="","",INDEX(发票统计!C$4:C$1003,$W55)&amp;"")</f>
        <v/>
      </c>
      <c r="D55" s="3" t="str">
        <f aca="false">IF($W55="","",INDEX(发票统计!D$4:D$1003,$W55)&amp;"")</f>
        <v/>
      </c>
      <c r="E55" s="56" t="str">
        <f aca="false">IF($W55="","",INDEX(发票统计!E$4:E$1003,$W55)&amp;"")</f>
        <v/>
      </c>
      <c r="F55" s="56" t="str">
        <f aca="false">IF($W55="","",INDEX(发票统计!F$4:F$1003,$W55)&amp;"")</f>
        <v/>
      </c>
      <c r="G55" s="68" t="str">
        <f aca="false">IF($W55="","",IF(INDEX(发票统计!G$4:G$1003,$W55)="","",INDEX(发票统计!G$4:G$1003,$W55)))</f>
        <v/>
      </c>
      <c r="H55" s="56" t="str">
        <f aca="false">IF($W55="","",N(INDEX(发票统计!H$4:H$1003,$W55)))</f>
        <v/>
      </c>
      <c r="I55" s="56" t="str">
        <f aca="false">IF($W55="","",N(INDEX(发票统计!I$4:I$1003,$W55)))</f>
        <v/>
      </c>
      <c r="J55" s="56" t="str">
        <f aca="false">IF($W55="","",N(INDEX(发票统计!J$4:J$1003,$W55)))</f>
        <v/>
      </c>
      <c r="K55" s="56" t="str">
        <f aca="false">IF($W55="","",N(INDEX(发票统计!K$4:K$1003,$W55)))</f>
        <v/>
      </c>
      <c r="L55" s="56" t="str">
        <f aca="false">IF($W55="","",SUM(J$4:J55)-SUM(K$4:K55))</f>
        <v/>
      </c>
      <c r="M55" s="56" t="str">
        <f aca="false">IF($W55="","",N(INDEX(发票统计!M$4:M$1003,$W55)))</f>
        <v/>
      </c>
      <c r="N55" s="56" t="str">
        <f aca="false">IF($W55="","",N(INDEX(发票统计!N$4:N$1003,$W55)))</f>
        <v/>
      </c>
      <c r="O55" s="56" t="str">
        <f aca="false">IF($W55="","",N(INDEX(发票统计!O$4:O$1003,$W55)))</f>
        <v/>
      </c>
      <c r="P55" s="56" t="str">
        <f aca="false">IF($W55="","",SUM(M$4:M55)-SUM(N$4:N55)-SUM(O$4:O55))</f>
        <v/>
      </c>
      <c r="Q55" s="56" t="str">
        <f aca="false">IF($W55="","",N(INDEX(发票统计!Q$4:Q$1003,$W55)))</f>
        <v/>
      </c>
      <c r="R55" s="56" t="str">
        <f aca="false">IF($W55="","",N(INDEX(发票统计!R$4:R$1003,$W55)))</f>
        <v/>
      </c>
      <c r="S55" s="56" t="str">
        <f aca="false">IF($W55="","",N(INDEX(发票统计!S$4:S$1003,$W55)))</f>
        <v/>
      </c>
      <c r="T55" s="56" t="str">
        <f aca="false">IF($W55="","",SUM(Q$4:Q55)-SUM(R$4:R55)-SUM(S$4:S55))</f>
        <v/>
      </c>
      <c r="U55" s="56" t="str">
        <f aca="false">IF($W55="","",INDEX(发票统计!U$4:U$1003,$W55)&amp;"")</f>
        <v/>
      </c>
      <c r="W55" s="1" t="str">
        <f aca="false">IF($V$3="","",IFERROR(MATCH($V$3&amp;"#"&amp;ROWS(W$4:W55),发票统计!$W$4:$W$1003,0),""))</f>
        <v/>
      </c>
    </row>
    <row r="56" customFormat="false" ht="16.5" hidden="false" customHeight="false" outlineLevel="0" collapsed="false">
      <c r="A56" s="3" t="str">
        <f aca="false">IF($W56="","",INDEX(发票统计!A$4:A$1003,$W56)&amp;"")</f>
        <v/>
      </c>
      <c r="B56" s="3" t="str">
        <f aca="false">IF($W56="","",INDEX(发票统计!B$4:B$1003,$W56)&amp;"")</f>
        <v/>
      </c>
      <c r="C56" s="3" t="str">
        <f aca="false">IF($W56="","",INDEX(发票统计!C$4:C$1003,$W56)&amp;"")</f>
        <v/>
      </c>
      <c r="D56" s="3" t="str">
        <f aca="false">IF($W56="","",INDEX(发票统计!D$4:D$1003,$W56)&amp;"")</f>
        <v/>
      </c>
      <c r="E56" s="56" t="str">
        <f aca="false">IF($W56="","",INDEX(发票统计!E$4:E$1003,$W56)&amp;"")</f>
        <v/>
      </c>
      <c r="F56" s="56" t="str">
        <f aca="false">IF($W56="","",INDEX(发票统计!F$4:F$1003,$W56)&amp;"")</f>
        <v/>
      </c>
      <c r="G56" s="68" t="str">
        <f aca="false">IF($W56="","",IF(INDEX(发票统计!G$4:G$1003,$W56)="","",INDEX(发票统计!G$4:G$1003,$W56)))</f>
        <v/>
      </c>
      <c r="H56" s="56" t="str">
        <f aca="false">IF($W56="","",N(INDEX(发票统计!H$4:H$1003,$W56)))</f>
        <v/>
      </c>
      <c r="I56" s="56" t="str">
        <f aca="false">IF($W56="","",N(INDEX(发票统计!I$4:I$1003,$W56)))</f>
        <v/>
      </c>
      <c r="J56" s="56" t="str">
        <f aca="false">IF($W56="","",N(INDEX(发票统计!J$4:J$1003,$W56)))</f>
        <v/>
      </c>
      <c r="K56" s="56" t="str">
        <f aca="false">IF($W56="","",N(INDEX(发票统计!K$4:K$1003,$W56)))</f>
        <v/>
      </c>
      <c r="L56" s="56" t="str">
        <f aca="false">IF($W56="","",SUM(J$4:J56)-SUM(K$4:K56))</f>
        <v/>
      </c>
      <c r="M56" s="56" t="str">
        <f aca="false">IF($W56="","",N(INDEX(发票统计!M$4:M$1003,$W56)))</f>
        <v/>
      </c>
      <c r="N56" s="56" t="str">
        <f aca="false">IF($W56="","",N(INDEX(发票统计!N$4:N$1003,$W56)))</f>
        <v/>
      </c>
      <c r="O56" s="56" t="str">
        <f aca="false">IF($W56="","",N(INDEX(发票统计!O$4:O$1003,$W56)))</f>
        <v/>
      </c>
      <c r="P56" s="56" t="str">
        <f aca="false">IF($W56="","",SUM(M$4:M56)-SUM(N$4:N56)-SUM(O$4:O56))</f>
        <v/>
      </c>
      <c r="Q56" s="56" t="str">
        <f aca="false">IF($W56="","",N(INDEX(发票统计!Q$4:Q$1003,$W56)))</f>
        <v/>
      </c>
      <c r="R56" s="56" t="str">
        <f aca="false">IF($W56="","",N(INDEX(发票统计!R$4:R$1003,$W56)))</f>
        <v/>
      </c>
      <c r="S56" s="56" t="str">
        <f aca="false">IF($W56="","",N(INDEX(发票统计!S$4:S$1003,$W56)))</f>
        <v/>
      </c>
      <c r="T56" s="56" t="str">
        <f aca="false">IF($W56="","",SUM(Q$4:Q56)-SUM(R$4:R56)-SUM(S$4:S56))</f>
        <v/>
      </c>
      <c r="U56" s="56" t="str">
        <f aca="false">IF($W56="","",INDEX(发票统计!U$4:U$1003,$W56)&amp;"")</f>
        <v/>
      </c>
      <c r="W56" s="1" t="str">
        <f aca="false">IF($V$3="","",IFERROR(MATCH($V$3&amp;"#"&amp;ROWS(W$4:W56),发票统计!$W$4:$W$1003,0),""))</f>
        <v/>
      </c>
    </row>
    <row r="57" customFormat="false" ht="16.5" hidden="false" customHeight="false" outlineLevel="0" collapsed="false">
      <c r="A57" s="3" t="str">
        <f aca="false">IF($W57="","",INDEX(发票统计!A$4:A$1003,$W57)&amp;"")</f>
        <v/>
      </c>
      <c r="B57" s="3" t="str">
        <f aca="false">IF($W57="","",INDEX(发票统计!B$4:B$1003,$W57)&amp;"")</f>
        <v/>
      </c>
      <c r="C57" s="3" t="str">
        <f aca="false">IF($W57="","",INDEX(发票统计!C$4:C$1003,$W57)&amp;"")</f>
        <v/>
      </c>
      <c r="D57" s="3" t="str">
        <f aca="false">IF($W57="","",INDEX(发票统计!D$4:D$1003,$W57)&amp;"")</f>
        <v/>
      </c>
      <c r="E57" s="56" t="str">
        <f aca="false">IF($W57="","",INDEX(发票统计!E$4:E$1003,$W57)&amp;"")</f>
        <v/>
      </c>
      <c r="F57" s="56" t="str">
        <f aca="false">IF($W57="","",INDEX(发票统计!F$4:F$1003,$W57)&amp;"")</f>
        <v/>
      </c>
      <c r="G57" s="68" t="str">
        <f aca="false">IF($W57="","",IF(INDEX(发票统计!G$4:G$1003,$W57)="","",INDEX(发票统计!G$4:G$1003,$W57)))</f>
        <v/>
      </c>
      <c r="H57" s="56" t="str">
        <f aca="false">IF($W57="","",N(INDEX(发票统计!H$4:H$1003,$W57)))</f>
        <v/>
      </c>
      <c r="I57" s="56" t="str">
        <f aca="false">IF($W57="","",N(INDEX(发票统计!I$4:I$1003,$W57)))</f>
        <v/>
      </c>
      <c r="J57" s="56" t="str">
        <f aca="false">IF($W57="","",N(INDEX(发票统计!J$4:J$1003,$W57)))</f>
        <v/>
      </c>
      <c r="K57" s="56" t="str">
        <f aca="false">IF($W57="","",N(INDEX(发票统计!K$4:K$1003,$W57)))</f>
        <v/>
      </c>
      <c r="L57" s="56" t="str">
        <f aca="false">IF($W57="","",SUM(J$4:J57)-SUM(K$4:K57))</f>
        <v/>
      </c>
      <c r="M57" s="56" t="str">
        <f aca="false">IF($W57="","",N(INDEX(发票统计!M$4:M$1003,$W57)))</f>
        <v/>
      </c>
      <c r="N57" s="56" t="str">
        <f aca="false">IF($W57="","",N(INDEX(发票统计!N$4:N$1003,$W57)))</f>
        <v/>
      </c>
      <c r="O57" s="56" t="str">
        <f aca="false">IF($W57="","",N(INDEX(发票统计!O$4:O$1003,$W57)))</f>
        <v/>
      </c>
      <c r="P57" s="56" t="str">
        <f aca="false">IF($W57="","",SUM(M$4:M57)-SUM(N$4:N57)-SUM(O$4:O57))</f>
        <v/>
      </c>
      <c r="Q57" s="56" t="str">
        <f aca="false">IF($W57="","",N(INDEX(发票统计!Q$4:Q$1003,$W57)))</f>
        <v/>
      </c>
      <c r="R57" s="56" t="str">
        <f aca="false">IF($W57="","",N(INDEX(发票统计!R$4:R$1003,$W57)))</f>
        <v/>
      </c>
      <c r="S57" s="56" t="str">
        <f aca="false">IF($W57="","",N(INDEX(发票统计!S$4:S$1003,$W57)))</f>
        <v/>
      </c>
      <c r="T57" s="56" t="str">
        <f aca="false">IF($W57="","",SUM(Q$4:Q57)-SUM(R$4:R57)-SUM(S$4:S57))</f>
        <v/>
      </c>
      <c r="U57" s="56" t="str">
        <f aca="false">IF($W57="","",INDEX(发票统计!U$4:U$1003,$W57)&amp;"")</f>
        <v/>
      </c>
      <c r="W57" s="1" t="str">
        <f aca="false">IF($V$3="","",IFERROR(MATCH($V$3&amp;"#"&amp;ROWS(W$4:W57),发票统计!$W$4:$W$1003,0),""))</f>
        <v/>
      </c>
    </row>
    <row r="58" customFormat="false" ht="16.5" hidden="false" customHeight="false" outlineLevel="0" collapsed="false">
      <c r="A58" s="3" t="str">
        <f aca="false">IF($W58="","",INDEX(发票统计!A$4:A$1003,$W58)&amp;"")</f>
        <v/>
      </c>
      <c r="B58" s="3" t="str">
        <f aca="false">IF($W58="","",INDEX(发票统计!B$4:B$1003,$W58)&amp;"")</f>
        <v/>
      </c>
      <c r="C58" s="3" t="str">
        <f aca="false">IF($W58="","",INDEX(发票统计!C$4:C$1003,$W58)&amp;"")</f>
        <v/>
      </c>
      <c r="D58" s="3" t="str">
        <f aca="false">IF($W58="","",INDEX(发票统计!D$4:D$1003,$W58)&amp;"")</f>
        <v/>
      </c>
      <c r="E58" s="56" t="str">
        <f aca="false">IF($W58="","",INDEX(发票统计!E$4:E$1003,$W58)&amp;"")</f>
        <v/>
      </c>
      <c r="F58" s="56" t="str">
        <f aca="false">IF($W58="","",INDEX(发票统计!F$4:F$1003,$W58)&amp;"")</f>
        <v/>
      </c>
      <c r="G58" s="68" t="str">
        <f aca="false">IF($W58="","",IF(INDEX(发票统计!G$4:G$1003,$W58)="","",INDEX(发票统计!G$4:G$1003,$W58)))</f>
        <v/>
      </c>
      <c r="H58" s="56" t="str">
        <f aca="false">IF($W58="","",N(INDEX(发票统计!H$4:H$1003,$W58)))</f>
        <v/>
      </c>
      <c r="I58" s="56" t="str">
        <f aca="false">IF($W58="","",N(INDEX(发票统计!I$4:I$1003,$W58)))</f>
        <v/>
      </c>
      <c r="J58" s="56" t="str">
        <f aca="false">IF($W58="","",N(INDEX(发票统计!J$4:J$1003,$W58)))</f>
        <v/>
      </c>
      <c r="K58" s="56" t="str">
        <f aca="false">IF($W58="","",N(INDEX(发票统计!K$4:K$1003,$W58)))</f>
        <v/>
      </c>
      <c r="L58" s="56" t="str">
        <f aca="false">IF($W58="","",SUM(J$4:J58)-SUM(K$4:K58))</f>
        <v/>
      </c>
      <c r="M58" s="56" t="str">
        <f aca="false">IF($W58="","",N(INDEX(发票统计!M$4:M$1003,$W58)))</f>
        <v/>
      </c>
      <c r="N58" s="56" t="str">
        <f aca="false">IF($W58="","",N(INDEX(发票统计!N$4:N$1003,$W58)))</f>
        <v/>
      </c>
      <c r="O58" s="56" t="str">
        <f aca="false">IF($W58="","",N(INDEX(发票统计!O$4:O$1003,$W58)))</f>
        <v/>
      </c>
      <c r="P58" s="56" t="str">
        <f aca="false">IF($W58="","",SUM(M$4:M58)-SUM(N$4:N58)-SUM(O$4:O58))</f>
        <v/>
      </c>
      <c r="Q58" s="56" t="str">
        <f aca="false">IF($W58="","",N(INDEX(发票统计!Q$4:Q$1003,$W58)))</f>
        <v/>
      </c>
      <c r="R58" s="56" t="str">
        <f aca="false">IF($W58="","",N(INDEX(发票统计!R$4:R$1003,$W58)))</f>
        <v/>
      </c>
      <c r="S58" s="56" t="str">
        <f aca="false">IF($W58="","",N(INDEX(发票统计!S$4:S$1003,$W58)))</f>
        <v/>
      </c>
      <c r="T58" s="56" t="str">
        <f aca="false">IF($W58="","",SUM(Q$4:Q58)-SUM(R$4:R58)-SUM(S$4:S58))</f>
        <v/>
      </c>
      <c r="U58" s="56" t="str">
        <f aca="false">IF($W58="","",INDEX(发票统计!U$4:U$1003,$W58)&amp;"")</f>
        <v/>
      </c>
      <c r="W58" s="1" t="str">
        <f aca="false">IF($V$3="","",IFERROR(MATCH($V$3&amp;"#"&amp;ROWS(W$4:W58),发票统计!$W$4:$W$1003,0),""))</f>
        <v/>
      </c>
    </row>
    <row r="59" customFormat="false" ht="16.5" hidden="false" customHeight="false" outlineLevel="0" collapsed="false">
      <c r="A59" s="3" t="str">
        <f aca="false">IF($W59="","",INDEX(发票统计!A$4:A$1003,$W59)&amp;"")</f>
        <v/>
      </c>
      <c r="B59" s="3" t="str">
        <f aca="false">IF($W59="","",INDEX(发票统计!B$4:B$1003,$W59)&amp;"")</f>
        <v/>
      </c>
      <c r="C59" s="3" t="str">
        <f aca="false">IF($W59="","",INDEX(发票统计!C$4:C$1003,$W59)&amp;"")</f>
        <v/>
      </c>
      <c r="D59" s="3" t="str">
        <f aca="false">IF($W59="","",INDEX(发票统计!D$4:D$1003,$W59)&amp;"")</f>
        <v/>
      </c>
      <c r="E59" s="56" t="str">
        <f aca="false">IF($W59="","",INDEX(发票统计!E$4:E$1003,$W59)&amp;"")</f>
        <v/>
      </c>
      <c r="F59" s="56" t="str">
        <f aca="false">IF($W59="","",INDEX(发票统计!F$4:F$1003,$W59)&amp;"")</f>
        <v/>
      </c>
      <c r="G59" s="68" t="str">
        <f aca="false">IF($W59="","",IF(INDEX(发票统计!G$4:G$1003,$W59)="","",INDEX(发票统计!G$4:G$1003,$W59)))</f>
        <v/>
      </c>
      <c r="H59" s="56" t="str">
        <f aca="false">IF($W59="","",N(INDEX(发票统计!H$4:H$1003,$W59)))</f>
        <v/>
      </c>
      <c r="I59" s="56" t="str">
        <f aca="false">IF($W59="","",N(INDEX(发票统计!I$4:I$1003,$W59)))</f>
        <v/>
      </c>
      <c r="J59" s="56" t="str">
        <f aca="false">IF($W59="","",N(INDEX(发票统计!J$4:J$1003,$W59)))</f>
        <v/>
      </c>
      <c r="K59" s="56" t="str">
        <f aca="false">IF($W59="","",N(INDEX(发票统计!K$4:K$1003,$W59)))</f>
        <v/>
      </c>
      <c r="L59" s="56" t="str">
        <f aca="false">IF($W59="","",SUM(J$4:J59)-SUM(K$4:K59))</f>
        <v/>
      </c>
      <c r="M59" s="56" t="str">
        <f aca="false">IF($W59="","",N(INDEX(发票统计!M$4:M$1003,$W59)))</f>
        <v/>
      </c>
      <c r="N59" s="56" t="str">
        <f aca="false">IF($W59="","",N(INDEX(发票统计!N$4:N$1003,$W59)))</f>
        <v/>
      </c>
      <c r="O59" s="56" t="str">
        <f aca="false">IF($W59="","",N(INDEX(发票统计!O$4:O$1003,$W59)))</f>
        <v/>
      </c>
      <c r="P59" s="56" t="str">
        <f aca="false">IF($W59="","",SUM(M$4:M59)-SUM(N$4:N59)-SUM(O$4:O59))</f>
        <v/>
      </c>
      <c r="Q59" s="56" t="str">
        <f aca="false">IF($W59="","",N(INDEX(发票统计!Q$4:Q$1003,$W59)))</f>
        <v/>
      </c>
      <c r="R59" s="56" t="str">
        <f aca="false">IF($W59="","",N(INDEX(发票统计!R$4:R$1003,$W59)))</f>
        <v/>
      </c>
      <c r="S59" s="56" t="str">
        <f aca="false">IF($W59="","",N(INDEX(发票统计!S$4:S$1003,$W59)))</f>
        <v/>
      </c>
      <c r="T59" s="56" t="str">
        <f aca="false">IF($W59="","",SUM(Q$4:Q59)-SUM(R$4:R59)-SUM(S$4:S59))</f>
        <v/>
      </c>
      <c r="U59" s="56" t="str">
        <f aca="false">IF($W59="","",INDEX(发票统计!U$4:U$1003,$W59)&amp;"")</f>
        <v/>
      </c>
      <c r="W59" s="1" t="str">
        <f aca="false">IF($V$3="","",IFERROR(MATCH($V$3&amp;"#"&amp;ROWS(W$4:W59),发票统计!$W$4:$W$1003,0),""))</f>
        <v/>
      </c>
    </row>
    <row r="60" customFormat="false" ht="16.5" hidden="false" customHeight="false" outlineLevel="0" collapsed="false">
      <c r="A60" s="3" t="str">
        <f aca="false">IF($W60="","",INDEX(发票统计!A$4:A$1003,$W60)&amp;"")</f>
        <v/>
      </c>
      <c r="B60" s="3" t="str">
        <f aca="false">IF($W60="","",INDEX(发票统计!B$4:B$1003,$W60)&amp;"")</f>
        <v/>
      </c>
      <c r="C60" s="3" t="str">
        <f aca="false">IF($W60="","",INDEX(发票统计!C$4:C$1003,$W60)&amp;"")</f>
        <v/>
      </c>
      <c r="D60" s="3" t="str">
        <f aca="false">IF($W60="","",INDEX(发票统计!D$4:D$1003,$W60)&amp;"")</f>
        <v/>
      </c>
      <c r="E60" s="56" t="str">
        <f aca="false">IF($W60="","",INDEX(发票统计!E$4:E$1003,$W60)&amp;"")</f>
        <v/>
      </c>
      <c r="F60" s="56" t="str">
        <f aca="false">IF($W60="","",INDEX(发票统计!F$4:F$1003,$W60)&amp;"")</f>
        <v/>
      </c>
      <c r="G60" s="68" t="str">
        <f aca="false">IF($W60="","",IF(INDEX(发票统计!G$4:G$1003,$W60)="","",INDEX(发票统计!G$4:G$1003,$W60)))</f>
        <v/>
      </c>
      <c r="H60" s="56" t="str">
        <f aca="false">IF($W60="","",N(INDEX(发票统计!H$4:H$1003,$W60)))</f>
        <v/>
      </c>
      <c r="I60" s="56" t="str">
        <f aca="false">IF($W60="","",N(INDEX(发票统计!I$4:I$1003,$W60)))</f>
        <v/>
      </c>
      <c r="J60" s="56" t="str">
        <f aca="false">IF($W60="","",N(INDEX(发票统计!J$4:J$1003,$W60)))</f>
        <v/>
      </c>
      <c r="K60" s="56" t="str">
        <f aca="false">IF($W60="","",N(INDEX(发票统计!K$4:K$1003,$W60)))</f>
        <v/>
      </c>
      <c r="L60" s="56" t="str">
        <f aca="false">IF($W60="","",SUM(J$4:J60)-SUM(K$4:K60))</f>
        <v/>
      </c>
      <c r="M60" s="56" t="str">
        <f aca="false">IF($W60="","",N(INDEX(发票统计!M$4:M$1003,$W60)))</f>
        <v/>
      </c>
      <c r="N60" s="56" t="str">
        <f aca="false">IF($W60="","",N(INDEX(发票统计!N$4:N$1003,$W60)))</f>
        <v/>
      </c>
      <c r="O60" s="56" t="str">
        <f aca="false">IF($W60="","",N(INDEX(发票统计!O$4:O$1003,$W60)))</f>
        <v/>
      </c>
      <c r="P60" s="56" t="str">
        <f aca="false">IF($W60="","",SUM(M$4:M60)-SUM(N$4:N60)-SUM(O$4:O60))</f>
        <v/>
      </c>
      <c r="Q60" s="56" t="str">
        <f aca="false">IF($W60="","",N(INDEX(发票统计!Q$4:Q$1003,$W60)))</f>
        <v/>
      </c>
      <c r="R60" s="56" t="str">
        <f aca="false">IF($W60="","",N(INDEX(发票统计!R$4:R$1003,$W60)))</f>
        <v/>
      </c>
      <c r="S60" s="56" t="str">
        <f aca="false">IF($W60="","",N(INDEX(发票统计!S$4:S$1003,$W60)))</f>
        <v/>
      </c>
      <c r="T60" s="56" t="str">
        <f aca="false">IF($W60="","",SUM(Q$4:Q60)-SUM(R$4:R60)-SUM(S$4:S60))</f>
        <v/>
      </c>
      <c r="U60" s="56" t="str">
        <f aca="false">IF($W60="","",INDEX(发票统计!U$4:U$1003,$W60)&amp;"")</f>
        <v/>
      </c>
      <c r="W60" s="1" t="str">
        <f aca="false">IF($V$3="","",IFERROR(MATCH($V$3&amp;"#"&amp;ROWS(W$4:W60),发票统计!$W$4:$W$1003,0),""))</f>
        <v/>
      </c>
    </row>
    <row r="61" customFormat="false" ht="16.5" hidden="false" customHeight="false" outlineLevel="0" collapsed="false">
      <c r="A61" s="3" t="str">
        <f aca="false">IF($W61="","",INDEX(发票统计!A$4:A$1003,$W61)&amp;"")</f>
        <v/>
      </c>
      <c r="B61" s="3" t="str">
        <f aca="false">IF($W61="","",INDEX(发票统计!B$4:B$1003,$W61)&amp;"")</f>
        <v/>
      </c>
      <c r="C61" s="3" t="str">
        <f aca="false">IF($W61="","",INDEX(发票统计!C$4:C$1003,$W61)&amp;"")</f>
        <v/>
      </c>
      <c r="D61" s="3" t="str">
        <f aca="false">IF($W61="","",INDEX(发票统计!D$4:D$1003,$W61)&amp;"")</f>
        <v/>
      </c>
      <c r="E61" s="56" t="str">
        <f aca="false">IF($W61="","",INDEX(发票统计!E$4:E$1003,$W61)&amp;"")</f>
        <v/>
      </c>
      <c r="F61" s="56" t="str">
        <f aca="false">IF($W61="","",INDEX(发票统计!F$4:F$1003,$W61)&amp;"")</f>
        <v/>
      </c>
      <c r="G61" s="68" t="str">
        <f aca="false">IF($W61="","",IF(INDEX(发票统计!G$4:G$1003,$W61)="","",INDEX(发票统计!G$4:G$1003,$W61)))</f>
        <v/>
      </c>
      <c r="H61" s="56" t="str">
        <f aca="false">IF($W61="","",N(INDEX(发票统计!H$4:H$1003,$W61)))</f>
        <v/>
      </c>
      <c r="I61" s="56" t="str">
        <f aca="false">IF($W61="","",N(INDEX(发票统计!I$4:I$1003,$W61)))</f>
        <v/>
      </c>
      <c r="J61" s="56" t="str">
        <f aca="false">IF($W61="","",N(INDEX(发票统计!J$4:J$1003,$W61)))</f>
        <v/>
      </c>
      <c r="K61" s="56" t="str">
        <f aca="false">IF($W61="","",N(INDEX(发票统计!K$4:K$1003,$W61)))</f>
        <v/>
      </c>
      <c r="L61" s="56" t="str">
        <f aca="false">IF($W61="","",SUM(J$4:J61)-SUM(K$4:K61))</f>
        <v/>
      </c>
      <c r="M61" s="56" t="str">
        <f aca="false">IF($W61="","",N(INDEX(发票统计!M$4:M$1003,$W61)))</f>
        <v/>
      </c>
      <c r="N61" s="56" t="str">
        <f aca="false">IF($W61="","",N(INDEX(发票统计!N$4:N$1003,$W61)))</f>
        <v/>
      </c>
      <c r="O61" s="56" t="str">
        <f aca="false">IF($W61="","",N(INDEX(发票统计!O$4:O$1003,$W61)))</f>
        <v/>
      </c>
      <c r="P61" s="56" t="str">
        <f aca="false">IF($W61="","",SUM(M$4:M61)-SUM(N$4:N61)-SUM(O$4:O61))</f>
        <v/>
      </c>
      <c r="Q61" s="56" t="str">
        <f aca="false">IF($W61="","",N(INDEX(发票统计!Q$4:Q$1003,$W61)))</f>
        <v/>
      </c>
      <c r="R61" s="56" t="str">
        <f aca="false">IF($W61="","",N(INDEX(发票统计!R$4:R$1003,$W61)))</f>
        <v/>
      </c>
      <c r="S61" s="56" t="str">
        <f aca="false">IF($W61="","",N(INDEX(发票统计!S$4:S$1003,$W61)))</f>
        <v/>
      </c>
      <c r="T61" s="56" t="str">
        <f aca="false">IF($W61="","",SUM(Q$4:Q61)-SUM(R$4:R61)-SUM(S$4:S61))</f>
        <v/>
      </c>
      <c r="U61" s="56" t="str">
        <f aca="false">IF($W61="","",INDEX(发票统计!U$4:U$1003,$W61)&amp;"")</f>
        <v/>
      </c>
      <c r="W61" s="1" t="str">
        <f aca="false">IF($V$3="","",IFERROR(MATCH($V$3&amp;"#"&amp;ROWS(W$4:W61),发票统计!$W$4:$W$1003,0),""))</f>
        <v/>
      </c>
    </row>
    <row r="62" customFormat="false" ht="16.5" hidden="false" customHeight="false" outlineLevel="0" collapsed="false">
      <c r="A62" s="3" t="str">
        <f aca="false">IF($W62="","",INDEX(发票统计!A$4:A$1003,$W62)&amp;"")</f>
        <v/>
      </c>
      <c r="B62" s="3" t="str">
        <f aca="false">IF($W62="","",INDEX(发票统计!B$4:B$1003,$W62)&amp;"")</f>
        <v/>
      </c>
      <c r="C62" s="3" t="str">
        <f aca="false">IF($W62="","",INDEX(发票统计!C$4:C$1003,$W62)&amp;"")</f>
        <v/>
      </c>
      <c r="D62" s="3" t="str">
        <f aca="false">IF($W62="","",INDEX(发票统计!D$4:D$1003,$W62)&amp;"")</f>
        <v/>
      </c>
      <c r="E62" s="56" t="str">
        <f aca="false">IF($W62="","",INDEX(发票统计!E$4:E$1003,$W62)&amp;"")</f>
        <v/>
      </c>
      <c r="F62" s="56" t="str">
        <f aca="false">IF($W62="","",INDEX(发票统计!F$4:F$1003,$W62)&amp;"")</f>
        <v/>
      </c>
      <c r="G62" s="68" t="str">
        <f aca="false">IF($W62="","",IF(INDEX(发票统计!G$4:G$1003,$W62)="","",INDEX(发票统计!G$4:G$1003,$W62)))</f>
        <v/>
      </c>
      <c r="H62" s="56" t="str">
        <f aca="false">IF($W62="","",N(INDEX(发票统计!H$4:H$1003,$W62)))</f>
        <v/>
      </c>
      <c r="I62" s="56" t="str">
        <f aca="false">IF($W62="","",N(INDEX(发票统计!I$4:I$1003,$W62)))</f>
        <v/>
      </c>
      <c r="J62" s="56" t="str">
        <f aca="false">IF($W62="","",N(INDEX(发票统计!J$4:J$1003,$W62)))</f>
        <v/>
      </c>
      <c r="K62" s="56" t="str">
        <f aca="false">IF($W62="","",N(INDEX(发票统计!K$4:K$1003,$W62)))</f>
        <v/>
      </c>
      <c r="L62" s="56" t="str">
        <f aca="false">IF($W62="","",SUM(J$4:J62)-SUM(K$4:K62))</f>
        <v/>
      </c>
      <c r="M62" s="56" t="str">
        <f aca="false">IF($W62="","",N(INDEX(发票统计!M$4:M$1003,$W62)))</f>
        <v/>
      </c>
      <c r="N62" s="56" t="str">
        <f aca="false">IF($W62="","",N(INDEX(发票统计!N$4:N$1003,$W62)))</f>
        <v/>
      </c>
      <c r="O62" s="56" t="str">
        <f aca="false">IF($W62="","",N(INDEX(发票统计!O$4:O$1003,$W62)))</f>
        <v/>
      </c>
      <c r="P62" s="56" t="str">
        <f aca="false">IF($W62="","",SUM(M$4:M62)-SUM(N$4:N62)-SUM(O$4:O62))</f>
        <v/>
      </c>
      <c r="Q62" s="56" t="str">
        <f aca="false">IF($W62="","",N(INDEX(发票统计!Q$4:Q$1003,$W62)))</f>
        <v/>
      </c>
      <c r="R62" s="56" t="str">
        <f aca="false">IF($W62="","",N(INDEX(发票统计!R$4:R$1003,$W62)))</f>
        <v/>
      </c>
      <c r="S62" s="56" t="str">
        <f aca="false">IF($W62="","",N(INDEX(发票统计!S$4:S$1003,$W62)))</f>
        <v/>
      </c>
      <c r="T62" s="56" t="str">
        <f aca="false">IF($W62="","",SUM(Q$4:Q62)-SUM(R$4:R62)-SUM(S$4:S62))</f>
        <v/>
      </c>
      <c r="U62" s="56" t="str">
        <f aca="false">IF($W62="","",INDEX(发票统计!U$4:U$1003,$W62)&amp;"")</f>
        <v/>
      </c>
      <c r="W62" s="1" t="str">
        <f aca="false">IF($V$3="","",IFERROR(MATCH($V$3&amp;"#"&amp;ROWS(W$4:W62),发票统计!$W$4:$W$1003,0),""))</f>
        <v/>
      </c>
    </row>
    <row r="63" customFormat="false" ht="16.5" hidden="false" customHeight="false" outlineLevel="0" collapsed="false">
      <c r="A63" s="3" t="str">
        <f aca="false">IF($W63="","",INDEX(发票统计!A$4:A$1003,$W63)&amp;"")</f>
        <v/>
      </c>
      <c r="B63" s="3" t="str">
        <f aca="false">IF($W63="","",INDEX(发票统计!B$4:B$1003,$W63)&amp;"")</f>
        <v/>
      </c>
      <c r="C63" s="3" t="str">
        <f aca="false">IF($W63="","",INDEX(发票统计!C$4:C$1003,$W63)&amp;"")</f>
        <v/>
      </c>
      <c r="D63" s="3" t="str">
        <f aca="false">IF($W63="","",INDEX(发票统计!D$4:D$1003,$W63)&amp;"")</f>
        <v/>
      </c>
      <c r="E63" s="56" t="str">
        <f aca="false">IF($W63="","",INDEX(发票统计!E$4:E$1003,$W63)&amp;"")</f>
        <v/>
      </c>
      <c r="F63" s="56" t="str">
        <f aca="false">IF($W63="","",INDEX(发票统计!F$4:F$1003,$W63)&amp;"")</f>
        <v/>
      </c>
      <c r="G63" s="68" t="str">
        <f aca="false">IF($W63="","",IF(INDEX(发票统计!G$4:G$1003,$W63)="","",INDEX(发票统计!G$4:G$1003,$W63)))</f>
        <v/>
      </c>
      <c r="H63" s="56" t="str">
        <f aca="false">IF($W63="","",N(INDEX(发票统计!H$4:H$1003,$W63)))</f>
        <v/>
      </c>
      <c r="I63" s="56" t="str">
        <f aca="false">IF($W63="","",N(INDEX(发票统计!I$4:I$1003,$W63)))</f>
        <v/>
      </c>
      <c r="J63" s="56" t="str">
        <f aca="false">IF($W63="","",N(INDEX(发票统计!J$4:J$1003,$W63)))</f>
        <v/>
      </c>
      <c r="K63" s="56" t="str">
        <f aca="false">IF($W63="","",N(INDEX(发票统计!K$4:K$1003,$W63)))</f>
        <v/>
      </c>
      <c r="L63" s="56" t="str">
        <f aca="false">IF($W63="","",SUM(J$4:J63)-SUM(K$4:K63))</f>
        <v/>
      </c>
      <c r="M63" s="56" t="str">
        <f aca="false">IF($W63="","",N(INDEX(发票统计!M$4:M$1003,$W63)))</f>
        <v/>
      </c>
      <c r="N63" s="56" t="str">
        <f aca="false">IF($W63="","",N(INDEX(发票统计!N$4:N$1003,$W63)))</f>
        <v/>
      </c>
      <c r="O63" s="56" t="str">
        <f aca="false">IF($W63="","",N(INDEX(发票统计!O$4:O$1003,$W63)))</f>
        <v/>
      </c>
      <c r="P63" s="56" t="str">
        <f aca="false">IF($W63="","",SUM(M$4:M63)-SUM(N$4:N63)-SUM(O$4:O63))</f>
        <v/>
      </c>
      <c r="Q63" s="56" t="str">
        <f aca="false">IF($W63="","",N(INDEX(发票统计!Q$4:Q$1003,$W63)))</f>
        <v/>
      </c>
      <c r="R63" s="56" t="str">
        <f aca="false">IF($W63="","",N(INDEX(发票统计!R$4:R$1003,$W63)))</f>
        <v/>
      </c>
      <c r="S63" s="56" t="str">
        <f aca="false">IF($W63="","",N(INDEX(发票统计!S$4:S$1003,$W63)))</f>
        <v/>
      </c>
      <c r="T63" s="56" t="str">
        <f aca="false">IF($W63="","",SUM(Q$4:Q63)-SUM(R$4:R63)-SUM(S$4:S63))</f>
        <v/>
      </c>
      <c r="U63" s="56" t="str">
        <f aca="false">IF($W63="","",INDEX(发票统计!U$4:U$1003,$W63)&amp;"")</f>
        <v/>
      </c>
      <c r="W63" s="1" t="str">
        <f aca="false">IF($V$3="","",IFERROR(MATCH($V$3&amp;"#"&amp;ROWS(W$4:W63),发票统计!$W$4:$W$1003,0),""))</f>
        <v/>
      </c>
    </row>
    <row r="64" customFormat="false" ht="16.5" hidden="false" customHeight="false" outlineLevel="0" collapsed="false">
      <c r="A64" s="3" t="str">
        <f aca="false">IF($W64="","",INDEX(发票统计!A$4:A$1003,$W64)&amp;"")</f>
        <v/>
      </c>
      <c r="B64" s="3" t="str">
        <f aca="false">IF($W64="","",INDEX(发票统计!B$4:B$1003,$W64)&amp;"")</f>
        <v/>
      </c>
      <c r="C64" s="3" t="str">
        <f aca="false">IF($W64="","",INDEX(发票统计!C$4:C$1003,$W64)&amp;"")</f>
        <v/>
      </c>
      <c r="D64" s="3" t="str">
        <f aca="false">IF($W64="","",INDEX(发票统计!D$4:D$1003,$W64)&amp;"")</f>
        <v/>
      </c>
      <c r="E64" s="56" t="str">
        <f aca="false">IF($W64="","",INDEX(发票统计!E$4:E$1003,$W64)&amp;"")</f>
        <v/>
      </c>
      <c r="F64" s="56" t="str">
        <f aca="false">IF($W64="","",INDEX(发票统计!F$4:F$1003,$W64)&amp;"")</f>
        <v/>
      </c>
      <c r="G64" s="68" t="str">
        <f aca="false">IF($W64="","",IF(INDEX(发票统计!G$4:G$1003,$W64)="","",INDEX(发票统计!G$4:G$1003,$W64)))</f>
        <v/>
      </c>
      <c r="H64" s="56" t="str">
        <f aca="false">IF($W64="","",N(INDEX(发票统计!H$4:H$1003,$W64)))</f>
        <v/>
      </c>
      <c r="I64" s="56" t="str">
        <f aca="false">IF($W64="","",N(INDEX(发票统计!I$4:I$1003,$W64)))</f>
        <v/>
      </c>
      <c r="J64" s="56" t="str">
        <f aca="false">IF($W64="","",N(INDEX(发票统计!J$4:J$1003,$W64)))</f>
        <v/>
      </c>
      <c r="K64" s="56" t="str">
        <f aca="false">IF($W64="","",N(INDEX(发票统计!K$4:K$1003,$W64)))</f>
        <v/>
      </c>
      <c r="L64" s="56" t="str">
        <f aca="false">IF($W64="","",SUM(J$4:J64)-SUM(K$4:K64))</f>
        <v/>
      </c>
      <c r="M64" s="56" t="str">
        <f aca="false">IF($W64="","",N(INDEX(发票统计!M$4:M$1003,$W64)))</f>
        <v/>
      </c>
      <c r="N64" s="56" t="str">
        <f aca="false">IF($W64="","",N(INDEX(发票统计!N$4:N$1003,$W64)))</f>
        <v/>
      </c>
      <c r="O64" s="56" t="str">
        <f aca="false">IF($W64="","",N(INDEX(发票统计!O$4:O$1003,$W64)))</f>
        <v/>
      </c>
      <c r="P64" s="56" t="str">
        <f aca="false">IF($W64="","",SUM(M$4:M64)-SUM(N$4:N64)-SUM(O$4:O64))</f>
        <v/>
      </c>
      <c r="Q64" s="56" t="str">
        <f aca="false">IF($W64="","",N(INDEX(发票统计!Q$4:Q$1003,$W64)))</f>
        <v/>
      </c>
      <c r="R64" s="56" t="str">
        <f aca="false">IF($W64="","",N(INDEX(发票统计!R$4:R$1003,$W64)))</f>
        <v/>
      </c>
      <c r="S64" s="56" t="str">
        <f aca="false">IF($W64="","",N(INDEX(发票统计!S$4:S$1003,$W64)))</f>
        <v/>
      </c>
      <c r="T64" s="56" t="str">
        <f aca="false">IF($W64="","",SUM(Q$4:Q64)-SUM(R$4:R64)-SUM(S$4:S64))</f>
        <v/>
      </c>
      <c r="U64" s="56" t="str">
        <f aca="false">IF($W64="","",INDEX(发票统计!U$4:U$1003,$W64)&amp;"")</f>
        <v/>
      </c>
      <c r="W64" s="1" t="str">
        <f aca="false">IF($V$3="","",IFERROR(MATCH($V$3&amp;"#"&amp;ROWS(W$4:W64),发票统计!$W$4:$W$1003,0),""))</f>
        <v/>
      </c>
    </row>
    <row r="65" customFormat="false" ht="16.5" hidden="false" customHeight="false" outlineLevel="0" collapsed="false">
      <c r="A65" s="3" t="str">
        <f aca="false">IF($W65="","",INDEX(发票统计!A$4:A$1003,$W65)&amp;"")</f>
        <v/>
      </c>
      <c r="B65" s="3" t="str">
        <f aca="false">IF($W65="","",INDEX(发票统计!B$4:B$1003,$W65)&amp;"")</f>
        <v/>
      </c>
      <c r="C65" s="3" t="str">
        <f aca="false">IF($W65="","",INDEX(发票统计!C$4:C$1003,$W65)&amp;"")</f>
        <v/>
      </c>
      <c r="D65" s="3" t="str">
        <f aca="false">IF($W65="","",INDEX(发票统计!D$4:D$1003,$W65)&amp;"")</f>
        <v/>
      </c>
      <c r="E65" s="56" t="str">
        <f aca="false">IF($W65="","",INDEX(发票统计!E$4:E$1003,$W65)&amp;"")</f>
        <v/>
      </c>
      <c r="F65" s="56" t="str">
        <f aca="false">IF($W65="","",INDEX(发票统计!F$4:F$1003,$W65)&amp;"")</f>
        <v/>
      </c>
      <c r="G65" s="68" t="str">
        <f aca="false">IF($W65="","",IF(INDEX(发票统计!G$4:G$1003,$W65)="","",INDEX(发票统计!G$4:G$1003,$W65)))</f>
        <v/>
      </c>
      <c r="H65" s="56" t="str">
        <f aca="false">IF($W65="","",N(INDEX(发票统计!H$4:H$1003,$W65)))</f>
        <v/>
      </c>
      <c r="I65" s="56" t="str">
        <f aca="false">IF($W65="","",N(INDEX(发票统计!I$4:I$1003,$W65)))</f>
        <v/>
      </c>
      <c r="J65" s="56" t="str">
        <f aca="false">IF($W65="","",N(INDEX(发票统计!J$4:J$1003,$W65)))</f>
        <v/>
      </c>
      <c r="K65" s="56" t="str">
        <f aca="false">IF($W65="","",N(INDEX(发票统计!K$4:K$1003,$W65)))</f>
        <v/>
      </c>
      <c r="L65" s="56" t="str">
        <f aca="false">IF($W65="","",SUM(J$4:J65)-SUM(K$4:K65))</f>
        <v/>
      </c>
      <c r="M65" s="56" t="str">
        <f aca="false">IF($W65="","",N(INDEX(发票统计!M$4:M$1003,$W65)))</f>
        <v/>
      </c>
      <c r="N65" s="56" t="str">
        <f aca="false">IF($W65="","",N(INDEX(发票统计!N$4:N$1003,$W65)))</f>
        <v/>
      </c>
      <c r="O65" s="56" t="str">
        <f aca="false">IF($W65="","",N(INDEX(发票统计!O$4:O$1003,$W65)))</f>
        <v/>
      </c>
      <c r="P65" s="56" t="str">
        <f aca="false">IF($W65="","",SUM(M$4:M65)-SUM(N$4:N65)-SUM(O$4:O65))</f>
        <v/>
      </c>
      <c r="Q65" s="56" t="str">
        <f aca="false">IF($W65="","",N(INDEX(发票统计!Q$4:Q$1003,$W65)))</f>
        <v/>
      </c>
      <c r="R65" s="56" t="str">
        <f aca="false">IF($W65="","",N(INDEX(发票统计!R$4:R$1003,$W65)))</f>
        <v/>
      </c>
      <c r="S65" s="56" t="str">
        <f aca="false">IF($W65="","",N(INDEX(发票统计!S$4:S$1003,$W65)))</f>
        <v/>
      </c>
      <c r="T65" s="56" t="str">
        <f aca="false">IF($W65="","",SUM(Q$4:Q65)-SUM(R$4:R65)-SUM(S$4:S65))</f>
        <v/>
      </c>
      <c r="U65" s="56" t="str">
        <f aca="false">IF($W65="","",INDEX(发票统计!U$4:U$1003,$W65)&amp;"")</f>
        <v/>
      </c>
      <c r="W65" s="1" t="str">
        <f aca="false">IF($V$3="","",IFERROR(MATCH($V$3&amp;"#"&amp;ROWS(W$4:W65),发票统计!$W$4:$W$1003,0),""))</f>
        <v/>
      </c>
    </row>
    <row r="66" customFormat="false" ht="16.5" hidden="false" customHeight="false" outlineLevel="0" collapsed="false">
      <c r="A66" s="3" t="str">
        <f aca="false">IF($W66="","",INDEX(发票统计!A$4:A$1003,$W66)&amp;"")</f>
        <v/>
      </c>
      <c r="B66" s="3" t="str">
        <f aca="false">IF($W66="","",INDEX(发票统计!B$4:B$1003,$W66)&amp;"")</f>
        <v/>
      </c>
      <c r="C66" s="3" t="str">
        <f aca="false">IF($W66="","",INDEX(发票统计!C$4:C$1003,$W66)&amp;"")</f>
        <v/>
      </c>
      <c r="D66" s="3" t="str">
        <f aca="false">IF($W66="","",INDEX(发票统计!D$4:D$1003,$W66)&amp;"")</f>
        <v/>
      </c>
      <c r="E66" s="56" t="str">
        <f aca="false">IF($W66="","",INDEX(发票统计!E$4:E$1003,$W66)&amp;"")</f>
        <v/>
      </c>
      <c r="F66" s="56" t="str">
        <f aca="false">IF($W66="","",INDEX(发票统计!F$4:F$1003,$W66)&amp;"")</f>
        <v/>
      </c>
      <c r="G66" s="68" t="str">
        <f aca="false">IF($W66="","",IF(INDEX(发票统计!G$4:G$1003,$W66)="","",INDEX(发票统计!G$4:G$1003,$W66)))</f>
        <v/>
      </c>
      <c r="H66" s="56" t="str">
        <f aca="false">IF($W66="","",N(INDEX(发票统计!H$4:H$1003,$W66)))</f>
        <v/>
      </c>
      <c r="I66" s="56" t="str">
        <f aca="false">IF($W66="","",N(INDEX(发票统计!I$4:I$1003,$W66)))</f>
        <v/>
      </c>
      <c r="J66" s="56" t="str">
        <f aca="false">IF($W66="","",N(INDEX(发票统计!J$4:J$1003,$W66)))</f>
        <v/>
      </c>
      <c r="K66" s="56" t="str">
        <f aca="false">IF($W66="","",N(INDEX(发票统计!K$4:K$1003,$W66)))</f>
        <v/>
      </c>
      <c r="L66" s="56" t="str">
        <f aca="false">IF($W66="","",SUM(J$4:J66)-SUM(K$4:K66))</f>
        <v/>
      </c>
      <c r="M66" s="56" t="str">
        <f aca="false">IF($W66="","",N(INDEX(发票统计!M$4:M$1003,$W66)))</f>
        <v/>
      </c>
      <c r="N66" s="56" t="str">
        <f aca="false">IF($W66="","",N(INDEX(发票统计!N$4:N$1003,$W66)))</f>
        <v/>
      </c>
      <c r="O66" s="56" t="str">
        <f aca="false">IF($W66="","",N(INDEX(发票统计!O$4:O$1003,$W66)))</f>
        <v/>
      </c>
      <c r="P66" s="56" t="str">
        <f aca="false">IF($W66="","",SUM(M$4:M66)-SUM(N$4:N66)-SUM(O$4:O66))</f>
        <v/>
      </c>
      <c r="Q66" s="56" t="str">
        <f aca="false">IF($W66="","",N(INDEX(发票统计!Q$4:Q$1003,$W66)))</f>
        <v/>
      </c>
      <c r="R66" s="56" t="str">
        <f aca="false">IF($W66="","",N(INDEX(发票统计!R$4:R$1003,$W66)))</f>
        <v/>
      </c>
      <c r="S66" s="56" t="str">
        <f aca="false">IF($W66="","",N(INDEX(发票统计!S$4:S$1003,$W66)))</f>
        <v/>
      </c>
      <c r="T66" s="56" t="str">
        <f aca="false">IF($W66="","",SUM(Q$4:Q66)-SUM(R$4:R66)-SUM(S$4:S66))</f>
        <v/>
      </c>
      <c r="U66" s="56" t="str">
        <f aca="false">IF($W66="","",INDEX(发票统计!U$4:U$1003,$W66)&amp;"")</f>
        <v/>
      </c>
      <c r="W66" s="1" t="str">
        <f aca="false">IF($V$3="","",IFERROR(MATCH($V$3&amp;"#"&amp;ROWS(W$4:W66),发票统计!$W$4:$W$1003,0),""))</f>
        <v/>
      </c>
    </row>
    <row r="67" customFormat="false" ht="16.5" hidden="false" customHeight="false" outlineLevel="0" collapsed="false">
      <c r="A67" s="3" t="str">
        <f aca="false">IF($W67="","",INDEX(发票统计!A$4:A$1003,$W67)&amp;"")</f>
        <v/>
      </c>
      <c r="B67" s="3" t="str">
        <f aca="false">IF($W67="","",INDEX(发票统计!B$4:B$1003,$W67)&amp;"")</f>
        <v/>
      </c>
      <c r="C67" s="3" t="str">
        <f aca="false">IF($W67="","",INDEX(发票统计!C$4:C$1003,$W67)&amp;"")</f>
        <v/>
      </c>
      <c r="D67" s="3" t="str">
        <f aca="false">IF($W67="","",INDEX(发票统计!D$4:D$1003,$W67)&amp;"")</f>
        <v/>
      </c>
      <c r="E67" s="56" t="str">
        <f aca="false">IF($W67="","",INDEX(发票统计!E$4:E$1003,$W67)&amp;"")</f>
        <v/>
      </c>
      <c r="F67" s="56" t="str">
        <f aca="false">IF($W67="","",INDEX(发票统计!F$4:F$1003,$W67)&amp;"")</f>
        <v/>
      </c>
      <c r="G67" s="68" t="str">
        <f aca="false">IF($W67="","",IF(INDEX(发票统计!G$4:G$1003,$W67)="","",INDEX(发票统计!G$4:G$1003,$W67)))</f>
        <v/>
      </c>
      <c r="H67" s="56" t="str">
        <f aca="false">IF($W67="","",N(INDEX(发票统计!H$4:H$1003,$W67)))</f>
        <v/>
      </c>
      <c r="I67" s="56" t="str">
        <f aca="false">IF($W67="","",N(INDEX(发票统计!I$4:I$1003,$W67)))</f>
        <v/>
      </c>
      <c r="J67" s="56" t="str">
        <f aca="false">IF($W67="","",N(INDEX(发票统计!J$4:J$1003,$W67)))</f>
        <v/>
      </c>
      <c r="K67" s="56" t="str">
        <f aca="false">IF($W67="","",N(INDEX(发票统计!K$4:K$1003,$W67)))</f>
        <v/>
      </c>
      <c r="L67" s="56" t="str">
        <f aca="false">IF($W67="","",SUM(J$4:J67)-SUM(K$4:K67))</f>
        <v/>
      </c>
      <c r="M67" s="56" t="str">
        <f aca="false">IF($W67="","",N(INDEX(发票统计!M$4:M$1003,$W67)))</f>
        <v/>
      </c>
      <c r="N67" s="56" t="str">
        <f aca="false">IF($W67="","",N(INDEX(发票统计!N$4:N$1003,$W67)))</f>
        <v/>
      </c>
      <c r="O67" s="56" t="str">
        <f aca="false">IF($W67="","",N(INDEX(发票统计!O$4:O$1003,$W67)))</f>
        <v/>
      </c>
      <c r="P67" s="56" t="str">
        <f aca="false">IF($W67="","",SUM(M$4:M67)-SUM(N$4:N67)-SUM(O$4:O67))</f>
        <v/>
      </c>
      <c r="Q67" s="56" t="str">
        <f aca="false">IF($W67="","",N(INDEX(发票统计!Q$4:Q$1003,$W67)))</f>
        <v/>
      </c>
      <c r="R67" s="56" t="str">
        <f aca="false">IF($W67="","",N(INDEX(发票统计!R$4:R$1003,$W67)))</f>
        <v/>
      </c>
      <c r="S67" s="56" t="str">
        <f aca="false">IF($W67="","",N(INDEX(发票统计!S$4:S$1003,$W67)))</f>
        <v/>
      </c>
      <c r="T67" s="56" t="str">
        <f aca="false">IF($W67="","",SUM(Q$4:Q67)-SUM(R$4:R67)-SUM(S$4:S67))</f>
        <v/>
      </c>
      <c r="U67" s="56" t="str">
        <f aca="false">IF($W67="","",INDEX(发票统计!U$4:U$1003,$W67)&amp;"")</f>
        <v/>
      </c>
      <c r="W67" s="1" t="str">
        <f aca="false">IF($V$3="","",IFERROR(MATCH($V$3&amp;"#"&amp;ROWS(W$4:W67),发票统计!$W$4:$W$1003,0),""))</f>
        <v/>
      </c>
    </row>
    <row r="68" customFormat="false" ht="16.5" hidden="false" customHeight="false" outlineLevel="0" collapsed="false">
      <c r="A68" s="3" t="str">
        <f aca="false">IF($W68="","",INDEX(发票统计!A$4:A$1003,$W68)&amp;"")</f>
        <v/>
      </c>
      <c r="B68" s="3" t="str">
        <f aca="false">IF($W68="","",INDEX(发票统计!B$4:B$1003,$W68)&amp;"")</f>
        <v/>
      </c>
      <c r="C68" s="3" t="str">
        <f aca="false">IF($W68="","",INDEX(发票统计!C$4:C$1003,$W68)&amp;"")</f>
        <v/>
      </c>
      <c r="D68" s="3" t="str">
        <f aca="false">IF($W68="","",INDEX(发票统计!D$4:D$1003,$W68)&amp;"")</f>
        <v/>
      </c>
      <c r="E68" s="56" t="str">
        <f aca="false">IF($W68="","",INDEX(发票统计!E$4:E$1003,$W68)&amp;"")</f>
        <v/>
      </c>
      <c r="F68" s="56" t="str">
        <f aca="false">IF($W68="","",INDEX(发票统计!F$4:F$1003,$W68)&amp;"")</f>
        <v/>
      </c>
      <c r="G68" s="68" t="str">
        <f aca="false">IF($W68="","",IF(INDEX(发票统计!G$4:G$1003,$W68)="","",INDEX(发票统计!G$4:G$1003,$W68)))</f>
        <v/>
      </c>
      <c r="H68" s="56" t="str">
        <f aca="false">IF($W68="","",N(INDEX(发票统计!H$4:H$1003,$W68)))</f>
        <v/>
      </c>
      <c r="I68" s="56" t="str">
        <f aca="false">IF($W68="","",N(INDEX(发票统计!I$4:I$1003,$W68)))</f>
        <v/>
      </c>
      <c r="J68" s="56" t="str">
        <f aca="false">IF($W68="","",N(INDEX(发票统计!J$4:J$1003,$W68)))</f>
        <v/>
      </c>
      <c r="K68" s="56" t="str">
        <f aca="false">IF($W68="","",N(INDEX(发票统计!K$4:K$1003,$W68)))</f>
        <v/>
      </c>
      <c r="L68" s="56" t="str">
        <f aca="false">IF($W68="","",SUM(J$4:J68)-SUM(K$4:K68))</f>
        <v/>
      </c>
      <c r="M68" s="56" t="str">
        <f aca="false">IF($W68="","",N(INDEX(发票统计!M$4:M$1003,$W68)))</f>
        <v/>
      </c>
      <c r="N68" s="56" t="str">
        <f aca="false">IF($W68="","",N(INDEX(发票统计!N$4:N$1003,$W68)))</f>
        <v/>
      </c>
      <c r="O68" s="56" t="str">
        <f aca="false">IF($W68="","",N(INDEX(发票统计!O$4:O$1003,$W68)))</f>
        <v/>
      </c>
      <c r="P68" s="56" t="str">
        <f aca="false">IF($W68="","",SUM(M$4:M68)-SUM(N$4:N68)-SUM(O$4:O68))</f>
        <v/>
      </c>
      <c r="Q68" s="56" t="str">
        <f aca="false">IF($W68="","",N(INDEX(发票统计!Q$4:Q$1003,$W68)))</f>
        <v/>
      </c>
      <c r="R68" s="56" t="str">
        <f aca="false">IF($W68="","",N(INDEX(发票统计!R$4:R$1003,$W68)))</f>
        <v/>
      </c>
      <c r="S68" s="56" t="str">
        <f aca="false">IF($W68="","",N(INDEX(发票统计!S$4:S$1003,$W68)))</f>
        <v/>
      </c>
      <c r="T68" s="56" t="str">
        <f aca="false">IF($W68="","",SUM(Q$4:Q68)-SUM(R$4:R68)-SUM(S$4:S68))</f>
        <v/>
      </c>
      <c r="U68" s="56" t="str">
        <f aca="false">IF($W68="","",INDEX(发票统计!U$4:U$1003,$W68)&amp;"")</f>
        <v/>
      </c>
      <c r="W68" s="1" t="str">
        <f aca="false">IF($V$3="","",IFERROR(MATCH($V$3&amp;"#"&amp;ROWS(W$4:W68),发票统计!$W$4:$W$1003,0),""))</f>
        <v/>
      </c>
    </row>
    <row r="69" customFormat="false" ht="16.5" hidden="false" customHeight="false" outlineLevel="0" collapsed="false">
      <c r="A69" s="3" t="str">
        <f aca="false">IF($W69="","",INDEX(发票统计!A$4:A$1003,$W69)&amp;"")</f>
        <v/>
      </c>
      <c r="B69" s="3" t="str">
        <f aca="false">IF($W69="","",INDEX(发票统计!B$4:B$1003,$W69)&amp;"")</f>
        <v/>
      </c>
      <c r="C69" s="3" t="str">
        <f aca="false">IF($W69="","",INDEX(发票统计!C$4:C$1003,$W69)&amp;"")</f>
        <v/>
      </c>
      <c r="D69" s="3" t="str">
        <f aca="false">IF($W69="","",INDEX(发票统计!D$4:D$1003,$W69)&amp;"")</f>
        <v/>
      </c>
      <c r="E69" s="56" t="str">
        <f aca="false">IF($W69="","",INDEX(发票统计!E$4:E$1003,$W69)&amp;"")</f>
        <v/>
      </c>
      <c r="F69" s="56" t="str">
        <f aca="false">IF($W69="","",INDEX(发票统计!F$4:F$1003,$W69)&amp;"")</f>
        <v/>
      </c>
      <c r="G69" s="68" t="str">
        <f aca="false">IF($W69="","",IF(INDEX(发票统计!G$4:G$1003,$W69)="","",INDEX(发票统计!G$4:G$1003,$W69)))</f>
        <v/>
      </c>
      <c r="H69" s="56" t="str">
        <f aca="false">IF($W69="","",N(INDEX(发票统计!H$4:H$1003,$W69)))</f>
        <v/>
      </c>
      <c r="I69" s="56" t="str">
        <f aca="false">IF($W69="","",N(INDEX(发票统计!I$4:I$1003,$W69)))</f>
        <v/>
      </c>
      <c r="J69" s="56" t="str">
        <f aca="false">IF($W69="","",N(INDEX(发票统计!J$4:J$1003,$W69)))</f>
        <v/>
      </c>
      <c r="K69" s="56" t="str">
        <f aca="false">IF($W69="","",N(INDEX(发票统计!K$4:K$1003,$W69)))</f>
        <v/>
      </c>
      <c r="L69" s="56" t="str">
        <f aca="false">IF($W69="","",SUM(J$4:J69)-SUM(K$4:K69))</f>
        <v/>
      </c>
      <c r="M69" s="56" t="str">
        <f aca="false">IF($W69="","",N(INDEX(发票统计!M$4:M$1003,$W69)))</f>
        <v/>
      </c>
      <c r="N69" s="56" t="str">
        <f aca="false">IF($W69="","",N(INDEX(发票统计!N$4:N$1003,$W69)))</f>
        <v/>
      </c>
      <c r="O69" s="56" t="str">
        <f aca="false">IF($W69="","",N(INDEX(发票统计!O$4:O$1003,$W69)))</f>
        <v/>
      </c>
      <c r="P69" s="56" t="str">
        <f aca="false">IF($W69="","",SUM(M$4:M69)-SUM(N$4:N69)-SUM(O$4:O69))</f>
        <v/>
      </c>
      <c r="Q69" s="56" t="str">
        <f aca="false">IF($W69="","",N(INDEX(发票统计!Q$4:Q$1003,$W69)))</f>
        <v/>
      </c>
      <c r="R69" s="56" t="str">
        <f aca="false">IF($W69="","",N(INDEX(发票统计!R$4:R$1003,$W69)))</f>
        <v/>
      </c>
      <c r="S69" s="56" t="str">
        <f aca="false">IF($W69="","",N(INDEX(发票统计!S$4:S$1003,$W69)))</f>
        <v/>
      </c>
      <c r="T69" s="56" t="str">
        <f aca="false">IF($W69="","",SUM(Q$4:Q69)-SUM(R$4:R69)-SUM(S$4:S69))</f>
        <v/>
      </c>
      <c r="U69" s="56" t="str">
        <f aca="false">IF($W69="","",INDEX(发票统计!U$4:U$1003,$W69)&amp;"")</f>
        <v/>
      </c>
      <c r="W69" s="1" t="str">
        <f aca="false">IF($V$3="","",IFERROR(MATCH($V$3&amp;"#"&amp;ROWS(W$4:W69),发票统计!$W$4:$W$1003,0),""))</f>
        <v/>
      </c>
    </row>
    <row r="70" customFormat="false" ht="16.5" hidden="false" customHeight="false" outlineLevel="0" collapsed="false">
      <c r="A70" s="3" t="str">
        <f aca="false">IF($W70="","",INDEX(发票统计!A$4:A$1003,$W70)&amp;"")</f>
        <v/>
      </c>
      <c r="B70" s="3" t="str">
        <f aca="false">IF($W70="","",INDEX(发票统计!B$4:B$1003,$W70)&amp;"")</f>
        <v/>
      </c>
      <c r="C70" s="3" t="str">
        <f aca="false">IF($W70="","",INDEX(发票统计!C$4:C$1003,$W70)&amp;"")</f>
        <v/>
      </c>
      <c r="D70" s="3" t="str">
        <f aca="false">IF($W70="","",INDEX(发票统计!D$4:D$1003,$W70)&amp;"")</f>
        <v/>
      </c>
      <c r="E70" s="56" t="str">
        <f aca="false">IF($W70="","",INDEX(发票统计!E$4:E$1003,$W70)&amp;"")</f>
        <v/>
      </c>
      <c r="F70" s="56" t="str">
        <f aca="false">IF($W70="","",INDEX(发票统计!F$4:F$1003,$W70)&amp;"")</f>
        <v/>
      </c>
      <c r="G70" s="68" t="str">
        <f aca="false">IF($W70="","",IF(INDEX(发票统计!G$4:G$1003,$W70)="","",INDEX(发票统计!G$4:G$1003,$W70)))</f>
        <v/>
      </c>
      <c r="H70" s="56" t="str">
        <f aca="false">IF($W70="","",N(INDEX(发票统计!H$4:H$1003,$W70)))</f>
        <v/>
      </c>
      <c r="I70" s="56" t="str">
        <f aca="false">IF($W70="","",N(INDEX(发票统计!I$4:I$1003,$W70)))</f>
        <v/>
      </c>
      <c r="J70" s="56" t="str">
        <f aca="false">IF($W70="","",N(INDEX(发票统计!J$4:J$1003,$W70)))</f>
        <v/>
      </c>
      <c r="K70" s="56" t="str">
        <f aca="false">IF($W70="","",N(INDEX(发票统计!K$4:K$1003,$W70)))</f>
        <v/>
      </c>
      <c r="L70" s="56" t="str">
        <f aca="false">IF($W70="","",SUM(J$4:J70)-SUM(K$4:K70))</f>
        <v/>
      </c>
      <c r="M70" s="56" t="str">
        <f aca="false">IF($W70="","",N(INDEX(发票统计!M$4:M$1003,$W70)))</f>
        <v/>
      </c>
      <c r="N70" s="56" t="str">
        <f aca="false">IF($W70="","",N(INDEX(发票统计!N$4:N$1003,$W70)))</f>
        <v/>
      </c>
      <c r="O70" s="56" t="str">
        <f aca="false">IF($W70="","",N(INDEX(发票统计!O$4:O$1003,$W70)))</f>
        <v/>
      </c>
      <c r="P70" s="56" t="str">
        <f aca="false">IF($W70="","",SUM(M$4:M70)-SUM(N$4:N70)-SUM(O$4:O70))</f>
        <v/>
      </c>
      <c r="Q70" s="56" t="str">
        <f aca="false">IF($W70="","",N(INDEX(发票统计!Q$4:Q$1003,$W70)))</f>
        <v/>
      </c>
      <c r="R70" s="56" t="str">
        <f aca="false">IF($W70="","",N(INDEX(发票统计!R$4:R$1003,$W70)))</f>
        <v/>
      </c>
      <c r="S70" s="56" t="str">
        <f aca="false">IF($W70="","",N(INDEX(发票统计!S$4:S$1003,$W70)))</f>
        <v/>
      </c>
      <c r="T70" s="56" t="str">
        <f aca="false">IF($W70="","",SUM(Q$4:Q70)-SUM(R$4:R70)-SUM(S$4:S70))</f>
        <v/>
      </c>
      <c r="U70" s="56" t="str">
        <f aca="false">IF($W70="","",INDEX(发票统计!U$4:U$1003,$W70)&amp;"")</f>
        <v/>
      </c>
      <c r="W70" s="1" t="str">
        <f aca="false">IF($V$3="","",IFERROR(MATCH($V$3&amp;"#"&amp;ROWS(W$4:W70),发票统计!$W$4:$W$1003,0),""))</f>
        <v/>
      </c>
    </row>
    <row r="71" customFormat="false" ht="16.5" hidden="false" customHeight="false" outlineLevel="0" collapsed="false">
      <c r="A71" s="3" t="str">
        <f aca="false">IF($W71="","",INDEX(发票统计!A$4:A$1003,$W71)&amp;"")</f>
        <v/>
      </c>
      <c r="B71" s="3" t="str">
        <f aca="false">IF($W71="","",INDEX(发票统计!B$4:B$1003,$W71)&amp;"")</f>
        <v/>
      </c>
      <c r="C71" s="3" t="str">
        <f aca="false">IF($W71="","",INDEX(发票统计!C$4:C$1003,$W71)&amp;"")</f>
        <v/>
      </c>
      <c r="D71" s="3" t="str">
        <f aca="false">IF($W71="","",INDEX(发票统计!D$4:D$1003,$W71)&amp;"")</f>
        <v/>
      </c>
      <c r="E71" s="56" t="str">
        <f aca="false">IF($W71="","",INDEX(发票统计!E$4:E$1003,$W71)&amp;"")</f>
        <v/>
      </c>
      <c r="F71" s="56" t="str">
        <f aca="false">IF($W71="","",INDEX(发票统计!F$4:F$1003,$W71)&amp;"")</f>
        <v/>
      </c>
      <c r="G71" s="68" t="str">
        <f aca="false">IF($W71="","",IF(INDEX(发票统计!G$4:G$1003,$W71)="","",INDEX(发票统计!G$4:G$1003,$W71)))</f>
        <v/>
      </c>
      <c r="H71" s="56" t="str">
        <f aca="false">IF($W71="","",N(INDEX(发票统计!H$4:H$1003,$W71)))</f>
        <v/>
      </c>
      <c r="I71" s="56" t="str">
        <f aca="false">IF($W71="","",N(INDEX(发票统计!I$4:I$1003,$W71)))</f>
        <v/>
      </c>
      <c r="J71" s="56" t="str">
        <f aca="false">IF($W71="","",N(INDEX(发票统计!J$4:J$1003,$W71)))</f>
        <v/>
      </c>
      <c r="K71" s="56" t="str">
        <f aca="false">IF($W71="","",N(INDEX(发票统计!K$4:K$1003,$W71)))</f>
        <v/>
      </c>
      <c r="L71" s="56" t="str">
        <f aca="false">IF($W71="","",SUM(J$4:J71)-SUM(K$4:K71))</f>
        <v/>
      </c>
      <c r="M71" s="56" t="str">
        <f aca="false">IF($W71="","",N(INDEX(发票统计!M$4:M$1003,$W71)))</f>
        <v/>
      </c>
      <c r="N71" s="56" t="str">
        <f aca="false">IF($W71="","",N(INDEX(发票统计!N$4:N$1003,$W71)))</f>
        <v/>
      </c>
      <c r="O71" s="56" t="str">
        <f aca="false">IF($W71="","",N(INDEX(发票统计!O$4:O$1003,$W71)))</f>
        <v/>
      </c>
      <c r="P71" s="56" t="str">
        <f aca="false">IF($W71="","",SUM(M$4:M71)-SUM(N$4:N71)-SUM(O$4:O71))</f>
        <v/>
      </c>
      <c r="Q71" s="56" t="str">
        <f aca="false">IF($W71="","",N(INDEX(发票统计!Q$4:Q$1003,$W71)))</f>
        <v/>
      </c>
      <c r="R71" s="56" t="str">
        <f aca="false">IF($W71="","",N(INDEX(发票统计!R$4:R$1003,$W71)))</f>
        <v/>
      </c>
      <c r="S71" s="56" t="str">
        <f aca="false">IF($W71="","",N(INDEX(发票统计!S$4:S$1003,$W71)))</f>
        <v/>
      </c>
      <c r="T71" s="56" t="str">
        <f aca="false">IF($W71="","",SUM(Q$4:Q71)-SUM(R$4:R71)-SUM(S$4:S71))</f>
        <v/>
      </c>
      <c r="U71" s="56" t="str">
        <f aca="false">IF($W71="","",INDEX(发票统计!U$4:U$1003,$W71)&amp;"")</f>
        <v/>
      </c>
      <c r="W71" s="1" t="str">
        <f aca="false">IF($V$3="","",IFERROR(MATCH($V$3&amp;"#"&amp;ROWS(W$4:W71),发票统计!$W$4:$W$1003,0),""))</f>
        <v/>
      </c>
    </row>
    <row r="72" customFormat="false" ht="16.5" hidden="false" customHeight="false" outlineLevel="0" collapsed="false">
      <c r="A72" s="3" t="str">
        <f aca="false">IF($W72="","",INDEX(发票统计!A$4:A$1003,$W72)&amp;"")</f>
        <v/>
      </c>
      <c r="B72" s="3" t="str">
        <f aca="false">IF($W72="","",INDEX(发票统计!B$4:B$1003,$W72)&amp;"")</f>
        <v/>
      </c>
      <c r="C72" s="3" t="str">
        <f aca="false">IF($W72="","",INDEX(发票统计!C$4:C$1003,$W72)&amp;"")</f>
        <v/>
      </c>
      <c r="D72" s="3" t="str">
        <f aca="false">IF($W72="","",INDEX(发票统计!D$4:D$1003,$W72)&amp;"")</f>
        <v/>
      </c>
      <c r="E72" s="56" t="str">
        <f aca="false">IF($W72="","",INDEX(发票统计!E$4:E$1003,$W72)&amp;"")</f>
        <v/>
      </c>
      <c r="F72" s="56" t="str">
        <f aca="false">IF($W72="","",INDEX(发票统计!F$4:F$1003,$W72)&amp;"")</f>
        <v/>
      </c>
      <c r="G72" s="68" t="str">
        <f aca="false">IF($W72="","",IF(INDEX(发票统计!G$4:G$1003,$W72)="","",INDEX(发票统计!G$4:G$1003,$W72)))</f>
        <v/>
      </c>
      <c r="H72" s="56" t="str">
        <f aca="false">IF($W72="","",N(INDEX(发票统计!H$4:H$1003,$W72)))</f>
        <v/>
      </c>
      <c r="I72" s="56" t="str">
        <f aca="false">IF($W72="","",N(INDEX(发票统计!I$4:I$1003,$W72)))</f>
        <v/>
      </c>
      <c r="J72" s="56" t="str">
        <f aca="false">IF($W72="","",N(INDEX(发票统计!J$4:J$1003,$W72)))</f>
        <v/>
      </c>
      <c r="K72" s="56" t="str">
        <f aca="false">IF($W72="","",N(INDEX(发票统计!K$4:K$1003,$W72)))</f>
        <v/>
      </c>
      <c r="L72" s="56" t="str">
        <f aca="false">IF($W72="","",SUM(J$4:J72)-SUM(K$4:K72))</f>
        <v/>
      </c>
      <c r="M72" s="56" t="str">
        <f aca="false">IF($W72="","",N(INDEX(发票统计!M$4:M$1003,$W72)))</f>
        <v/>
      </c>
      <c r="N72" s="56" t="str">
        <f aca="false">IF($W72="","",N(INDEX(发票统计!N$4:N$1003,$W72)))</f>
        <v/>
      </c>
      <c r="O72" s="56" t="str">
        <f aca="false">IF($W72="","",N(INDEX(发票统计!O$4:O$1003,$W72)))</f>
        <v/>
      </c>
      <c r="P72" s="56" t="str">
        <f aca="false">IF($W72="","",SUM(M$4:M72)-SUM(N$4:N72)-SUM(O$4:O72))</f>
        <v/>
      </c>
      <c r="Q72" s="56" t="str">
        <f aca="false">IF($W72="","",N(INDEX(发票统计!Q$4:Q$1003,$W72)))</f>
        <v/>
      </c>
      <c r="R72" s="56" t="str">
        <f aca="false">IF($W72="","",N(INDEX(发票统计!R$4:R$1003,$W72)))</f>
        <v/>
      </c>
      <c r="S72" s="56" t="str">
        <f aca="false">IF($W72="","",N(INDEX(发票统计!S$4:S$1003,$W72)))</f>
        <v/>
      </c>
      <c r="T72" s="56" t="str">
        <f aca="false">IF($W72="","",SUM(Q$4:Q72)-SUM(R$4:R72)-SUM(S$4:S72))</f>
        <v/>
      </c>
      <c r="U72" s="56" t="str">
        <f aca="false">IF($W72="","",INDEX(发票统计!U$4:U$1003,$W72)&amp;"")</f>
        <v/>
      </c>
      <c r="W72" s="1" t="str">
        <f aca="false">IF($V$3="","",IFERROR(MATCH($V$3&amp;"#"&amp;ROWS(W$4:W72),发票统计!$W$4:$W$1003,0),""))</f>
        <v/>
      </c>
    </row>
    <row r="73" customFormat="false" ht="16.5" hidden="false" customHeight="false" outlineLevel="0" collapsed="false">
      <c r="A73" s="3" t="str">
        <f aca="false">IF($W73="","",INDEX(发票统计!A$4:A$1003,$W73)&amp;"")</f>
        <v/>
      </c>
      <c r="B73" s="3" t="str">
        <f aca="false">IF($W73="","",INDEX(发票统计!B$4:B$1003,$W73)&amp;"")</f>
        <v/>
      </c>
      <c r="C73" s="3" t="str">
        <f aca="false">IF($W73="","",INDEX(发票统计!C$4:C$1003,$W73)&amp;"")</f>
        <v/>
      </c>
      <c r="D73" s="3" t="str">
        <f aca="false">IF($W73="","",INDEX(发票统计!D$4:D$1003,$W73)&amp;"")</f>
        <v/>
      </c>
      <c r="E73" s="56" t="str">
        <f aca="false">IF($W73="","",INDEX(发票统计!E$4:E$1003,$W73)&amp;"")</f>
        <v/>
      </c>
      <c r="F73" s="56" t="str">
        <f aca="false">IF($W73="","",INDEX(发票统计!F$4:F$1003,$W73)&amp;"")</f>
        <v/>
      </c>
      <c r="G73" s="68" t="str">
        <f aca="false">IF($W73="","",IF(INDEX(发票统计!G$4:G$1003,$W73)="","",INDEX(发票统计!G$4:G$1003,$W73)))</f>
        <v/>
      </c>
      <c r="H73" s="56" t="str">
        <f aca="false">IF($W73="","",N(INDEX(发票统计!H$4:H$1003,$W73)))</f>
        <v/>
      </c>
      <c r="I73" s="56" t="str">
        <f aca="false">IF($W73="","",N(INDEX(发票统计!I$4:I$1003,$W73)))</f>
        <v/>
      </c>
      <c r="J73" s="56" t="str">
        <f aca="false">IF($W73="","",N(INDEX(发票统计!J$4:J$1003,$W73)))</f>
        <v/>
      </c>
      <c r="K73" s="56" t="str">
        <f aca="false">IF($W73="","",N(INDEX(发票统计!K$4:K$1003,$W73)))</f>
        <v/>
      </c>
      <c r="L73" s="56" t="str">
        <f aca="false">IF($W73="","",SUM(J$4:J73)-SUM(K$4:K73))</f>
        <v/>
      </c>
      <c r="M73" s="56" t="str">
        <f aca="false">IF($W73="","",N(INDEX(发票统计!M$4:M$1003,$W73)))</f>
        <v/>
      </c>
      <c r="N73" s="56" t="str">
        <f aca="false">IF($W73="","",N(INDEX(发票统计!N$4:N$1003,$W73)))</f>
        <v/>
      </c>
      <c r="O73" s="56" t="str">
        <f aca="false">IF($W73="","",N(INDEX(发票统计!O$4:O$1003,$W73)))</f>
        <v/>
      </c>
      <c r="P73" s="56" t="str">
        <f aca="false">IF($W73="","",SUM(M$4:M73)-SUM(N$4:N73)-SUM(O$4:O73))</f>
        <v/>
      </c>
      <c r="Q73" s="56" t="str">
        <f aca="false">IF($W73="","",N(INDEX(发票统计!Q$4:Q$1003,$W73)))</f>
        <v/>
      </c>
      <c r="R73" s="56" t="str">
        <f aca="false">IF($W73="","",N(INDEX(发票统计!R$4:R$1003,$W73)))</f>
        <v/>
      </c>
      <c r="S73" s="56" t="str">
        <f aca="false">IF($W73="","",N(INDEX(发票统计!S$4:S$1003,$W73)))</f>
        <v/>
      </c>
      <c r="T73" s="56" t="str">
        <f aca="false">IF($W73="","",SUM(Q$4:Q73)-SUM(R$4:R73)-SUM(S$4:S73))</f>
        <v/>
      </c>
      <c r="U73" s="56" t="str">
        <f aca="false">IF($W73="","",INDEX(发票统计!U$4:U$1003,$W73)&amp;"")</f>
        <v/>
      </c>
      <c r="W73" s="1" t="str">
        <f aca="false">IF($V$3="","",IFERROR(MATCH($V$3&amp;"#"&amp;ROWS(W$4:W73),发票统计!$W$4:$W$1003,0),""))</f>
        <v/>
      </c>
    </row>
    <row r="74" customFormat="false" ht="16.5" hidden="false" customHeight="false" outlineLevel="0" collapsed="false">
      <c r="A74" s="3" t="str">
        <f aca="false">IF($W74="","",INDEX(发票统计!A$4:A$1003,$W74)&amp;"")</f>
        <v/>
      </c>
      <c r="B74" s="3" t="str">
        <f aca="false">IF($W74="","",INDEX(发票统计!B$4:B$1003,$W74)&amp;"")</f>
        <v/>
      </c>
      <c r="C74" s="3" t="str">
        <f aca="false">IF($W74="","",INDEX(发票统计!C$4:C$1003,$W74)&amp;"")</f>
        <v/>
      </c>
      <c r="D74" s="3" t="str">
        <f aca="false">IF($W74="","",INDEX(发票统计!D$4:D$1003,$W74)&amp;"")</f>
        <v/>
      </c>
      <c r="E74" s="56" t="str">
        <f aca="false">IF($W74="","",INDEX(发票统计!E$4:E$1003,$W74)&amp;"")</f>
        <v/>
      </c>
      <c r="F74" s="56" t="str">
        <f aca="false">IF($W74="","",INDEX(发票统计!F$4:F$1003,$W74)&amp;"")</f>
        <v/>
      </c>
      <c r="G74" s="68" t="str">
        <f aca="false">IF($W74="","",IF(INDEX(发票统计!G$4:G$1003,$W74)="","",INDEX(发票统计!G$4:G$1003,$W74)))</f>
        <v/>
      </c>
      <c r="H74" s="56" t="str">
        <f aca="false">IF($W74="","",N(INDEX(发票统计!H$4:H$1003,$W74)))</f>
        <v/>
      </c>
      <c r="I74" s="56" t="str">
        <f aca="false">IF($W74="","",N(INDEX(发票统计!I$4:I$1003,$W74)))</f>
        <v/>
      </c>
      <c r="J74" s="56" t="str">
        <f aca="false">IF($W74="","",N(INDEX(发票统计!J$4:J$1003,$W74)))</f>
        <v/>
      </c>
      <c r="K74" s="56" t="str">
        <f aca="false">IF($W74="","",N(INDEX(发票统计!K$4:K$1003,$W74)))</f>
        <v/>
      </c>
      <c r="L74" s="56" t="str">
        <f aca="false">IF($W74="","",SUM(J$4:J74)-SUM(K$4:K74))</f>
        <v/>
      </c>
      <c r="M74" s="56" t="str">
        <f aca="false">IF($W74="","",N(INDEX(发票统计!M$4:M$1003,$W74)))</f>
        <v/>
      </c>
      <c r="N74" s="56" t="str">
        <f aca="false">IF($W74="","",N(INDEX(发票统计!N$4:N$1003,$W74)))</f>
        <v/>
      </c>
      <c r="O74" s="56" t="str">
        <f aca="false">IF($W74="","",N(INDEX(发票统计!O$4:O$1003,$W74)))</f>
        <v/>
      </c>
      <c r="P74" s="56" t="str">
        <f aca="false">IF($W74="","",SUM(M$4:M74)-SUM(N$4:N74)-SUM(O$4:O74))</f>
        <v/>
      </c>
      <c r="Q74" s="56" t="str">
        <f aca="false">IF($W74="","",N(INDEX(发票统计!Q$4:Q$1003,$W74)))</f>
        <v/>
      </c>
      <c r="R74" s="56" t="str">
        <f aca="false">IF($W74="","",N(INDEX(发票统计!R$4:R$1003,$W74)))</f>
        <v/>
      </c>
      <c r="S74" s="56" t="str">
        <f aca="false">IF($W74="","",N(INDEX(发票统计!S$4:S$1003,$W74)))</f>
        <v/>
      </c>
      <c r="T74" s="56" t="str">
        <f aca="false">IF($W74="","",SUM(Q$4:Q74)-SUM(R$4:R74)-SUM(S$4:S74))</f>
        <v/>
      </c>
      <c r="U74" s="56" t="str">
        <f aca="false">IF($W74="","",INDEX(发票统计!U$4:U$1003,$W74)&amp;"")</f>
        <v/>
      </c>
      <c r="W74" s="1" t="str">
        <f aca="false">IF($V$3="","",IFERROR(MATCH($V$3&amp;"#"&amp;ROWS(W$4:W74),发票统计!$W$4:$W$1003,0),""))</f>
        <v/>
      </c>
    </row>
    <row r="75" customFormat="false" ht="16.5" hidden="false" customHeight="false" outlineLevel="0" collapsed="false">
      <c r="A75" s="3" t="str">
        <f aca="false">IF($W75="","",INDEX(发票统计!A$4:A$1003,$W75)&amp;"")</f>
        <v/>
      </c>
      <c r="B75" s="3" t="str">
        <f aca="false">IF($W75="","",INDEX(发票统计!B$4:B$1003,$W75)&amp;"")</f>
        <v/>
      </c>
      <c r="C75" s="3" t="str">
        <f aca="false">IF($W75="","",INDEX(发票统计!C$4:C$1003,$W75)&amp;"")</f>
        <v/>
      </c>
      <c r="D75" s="3" t="str">
        <f aca="false">IF($W75="","",INDEX(发票统计!D$4:D$1003,$W75)&amp;"")</f>
        <v/>
      </c>
      <c r="E75" s="56" t="str">
        <f aca="false">IF($W75="","",INDEX(发票统计!E$4:E$1003,$W75)&amp;"")</f>
        <v/>
      </c>
      <c r="F75" s="56" t="str">
        <f aca="false">IF($W75="","",INDEX(发票统计!F$4:F$1003,$W75)&amp;"")</f>
        <v/>
      </c>
      <c r="G75" s="68" t="str">
        <f aca="false">IF($W75="","",IF(INDEX(发票统计!G$4:G$1003,$W75)="","",INDEX(发票统计!G$4:G$1003,$W75)))</f>
        <v/>
      </c>
      <c r="H75" s="56" t="str">
        <f aca="false">IF($W75="","",N(INDEX(发票统计!H$4:H$1003,$W75)))</f>
        <v/>
      </c>
      <c r="I75" s="56" t="str">
        <f aca="false">IF($W75="","",N(INDEX(发票统计!I$4:I$1003,$W75)))</f>
        <v/>
      </c>
      <c r="J75" s="56" t="str">
        <f aca="false">IF($W75="","",N(INDEX(发票统计!J$4:J$1003,$W75)))</f>
        <v/>
      </c>
      <c r="K75" s="56" t="str">
        <f aca="false">IF($W75="","",N(INDEX(发票统计!K$4:K$1003,$W75)))</f>
        <v/>
      </c>
      <c r="L75" s="56" t="str">
        <f aca="false">IF($W75="","",SUM(J$4:J75)-SUM(K$4:K75))</f>
        <v/>
      </c>
      <c r="M75" s="56" t="str">
        <f aca="false">IF($W75="","",N(INDEX(发票统计!M$4:M$1003,$W75)))</f>
        <v/>
      </c>
      <c r="N75" s="56" t="str">
        <f aca="false">IF($W75="","",N(INDEX(发票统计!N$4:N$1003,$W75)))</f>
        <v/>
      </c>
      <c r="O75" s="56" t="str">
        <f aca="false">IF($W75="","",N(INDEX(发票统计!O$4:O$1003,$W75)))</f>
        <v/>
      </c>
      <c r="P75" s="56" t="str">
        <f aca="false">IF($W75="","",SUM(M$4:M75)-SUM(N$4:N75)-SUM(O$4:O75))</f>
        <v/>
      </c>
      <c r="Q75" s="56" t="str">
        <f aca="false">IF($W75="","",N(INDEX(发票统计!Q$4:Q$1003,$W75)))</f>
        <v/>
      </c>
      <c r="R75" s="56" t="str">
        <f aca="false">IF($W75="","",N(INDEX(发票统计!R$4:R$1003,$W75)))</f>
        <v/>
      </c>
      <c r="S75" s="56" t="str">
        <f aca="false">IF($W75="","",N(INDEX(发票统计!S$4:S$1003,$W75)))</f>
        <v/>
      </c>
      <c r="T75" s="56" t="str">
        <f aca="false">IF($W75="","",SUM(Q$4:Q75)-SUM(R$4:R75)-SUM(S$4:S75))</f>
        <v/>
      </c>
      <c r="U75" s="56" t="str">
        <f aca="false">IF($W75="","",INDEX(发票统计!U$4:U$1003,$W75)&amp;"")</f>
        <v/>
      </c>
      <c r="W75" s="1" t="str">
        <f aca="false">IF($V$3="","",IFERROR(MATCH($V$3&amp;"#"&amp;ROWS(W$4:W75),发票统计!$W$4:$W$1003,0),""))</f>
        <v/>
      </c>
    </row>
    <row r="76" customFormat="false" ht="16.5" hidden="false" customHeight="false" outlineLevel="0" collapsed="false">
      <c r="A76" s="3" t="str">
        <f aca="false">IF($W76="","",INDEX(发票统计!A$4:A$1003,$W76)&amp;"")</f>
        <v/>
      </c>
      <c r="B76" s="3" t="str">
        <f aca="false">IF($W76="","",INDEX(发票统计!B$4:B$1003,$W76)&amp;"")</f>
        <v/>
      </c>
      <c r="C76" s="3" t="str">
        <f aca="false">IF($W76="","",INDEX(发票统计!C$4:C$1003,$W76)&amp;"")</f>
        <v/>
      </c>
      <c r="D76" s="3" t="str">
        <f aca="false">IF($W76="","",INDEX(发票统计!D$4:D$1003,$W76)&amp;"")</f>
        <v/>
      </c>
      <c r="E76" s="56" t="str">
        <f aca="false">IF($W76="","",INDEX(发票统计!E$4:E$1003,$W76)&amp;"")</f>
        <v/>
      </c>
      <c r="F76" s="56" t="str">
        <f aca="false">IF($W76="","",INDEX(发票统计!F$4:F$1003,$W76)&amp;"")</f>
        <v/>
      </c>
      <c r="G76" s="68" t="str">
        <f aca="false">IF($W76="","",IF(INDEX(发票统计!G$4:G$1003,$W76)="","",INDEX(发票统计!G$4:G$1003,$W76)))</f>
        <v/>
      </c>
      <c r="H76" s="56" t="str">
        <f aca="false">IF($W76="","",N(INDEX(发票统计!H$4:H$1003,$W76)))</f>
        <v/>
      </c>
      <c r="I76" s="56" t="str">
        <f aca="false">IF($W76="","",N(INDEX(发票统计!I$4:I$1003,$W76)))</f>
        <v/>
      </c>
      <c r="J76" s="56" t="str">
        <f aca="false">IF($W76="","",N(INDEX(发票统计!J$4:J$1003,$W76)))</f>
        <v/>
      </c>
      <c r="K76" s="56" t="str">
        <f aca="false">IF($W76="","",N(INDEX(发票统计!K$4:K$1003,$W76)))</f>
        <v/>
      </c>
      <c r="L76" s="56" t="str">
        <f aca="false">IF($W76="","",SUM(J$4:J76)-SUM(K$4:K76))</f>
        <v/>
      </c>
      <c r="M76" s="56" t="str">
        <f aca="false">IF($W76="","",N(INDEX(发票统计!M$4:M$1003,$W76)))</f>
        <v/>
      </c>
      <c r="N76" s="56" t="str">
        <f aca="false">IF($W76="","",N(INDEX(发票统计!N$4:N$1003,$W76)))</f>
        <v/>
      </c>
      <c r="O76" s="56" t="str">
        <f aca="false">IF($W76="","",N(INDEX(发票统计!O$4:O$1003,$W76)))</f>
        <v/>
      </c>
      <c r="P76" s="56" t="str">
        <f aca="false">IF($W76="","",SUM(M$4:M76)-SUM(N$4:N76)-SUM(O$4:O76))</f>
        <v/>
      </c>
      <c r="Q76" s="56" t="str">
        <f aca="false">IF($W76="","",N(INDEX(发票统计!Q$4:Q$1003,$W76)))</f>
        <v/>
      </c>
      <c r="R76" s="56" t="str">
        <f aca="false">IF($W76="","",N(INDEX(发票统计!R$4:R$1003,$W76)))</f>
        <v/>
      </c>
      <c r="S76" s="56" t="str">
        <f aca="false">IF($W76="","",N(INDEX(发票统计!S$4:S$1003,$W76)))</f>
        <v/>
      </c>
      <c r="T76" s="56" t="str">
        <f aca="false">IF($W76="","",SUM(Q$4:Q76)-SUM(R$4:R76)-SUM(S$4:S76))</f>
        <v/>
      </c>
      <c r="U76" s="56" t="str">
        <f aca="false">IF($W76="","",INDEX(发票统计!U$4:U$1003,$W76)&amp;"")</f>
        <v/>
      </c>
      <c r="W76" s="1" t="str">
        <f aca="false">IF($V$3="","",IFERROR(MATCH($V$3&amp;"#"&amp;ROWS(W$4:W76),发票统计!$W$4:$W$1003,0),""))</f>
        <v/>
      </c>
    </row>
    <row r="77" customFormat="false" ht="16.5" hidden="false" customHeight="false" outlineLevel="0" collapsed="false">
      <c r="A77" s="3" t="str">
        <f aca="false">IF($W77="","",INDEX(发票统计!A$4:A$1003,$W77)&amp;"")</f>
        <v/>
      </c>
      <c r="B77" s="3" t="str">
        <f aca="false">IF($W77="","",INDEX(发票统计!B$4:B$1003,$W77)&amp;"")</f>
        <v/>
      </c>
      <c r="C77" s="3" t="str">
        <f aca="false">IF($W77="","",INDEX(发票统计!C$4:C$1003,$W77)&amp;"")</f>
        <v/>
      </c>
      <c r="D77" s="3" t="str">
        <f aca="false">IF($W77="","",INDEX(发票统计!D$4:D$1003,$W77)&amp;"")</f>
        <v/>
      </c>
      <c r="E77" s="56" t="str">
        <f aca="false">IF($W77="","",INDEX(发票统计!E$4:E$1003,$W77)&amp;"")</f>
        <v/>
      </c>
      <c r="F77" s="56" t="str">
        <f aca="false">IF($W77="","",INDEX(发票统计!F$4:F$1003,$W77)&amp;"")</f>
        <v/>
      </c>
      <c r="G77" s="68" t="str">
        <f aca="false">IF($W77="","",IF(INDEX(发票统计!G$4:G$1003,$W77)="","",INDEX(发票统计!G$4:G$1003,$W77)))</f>
        <v/>
      </c>
      <c r="H77" s="56" t="str">
        <f aca="false">IF($W77="","",N(INDEX(发票统计!H$4:H$1003,$W77)))</f>
        <v/>
      </c>
      <c r="I77" s="56" t="str">
        <f aca="false">IF($W77="","",N(INDEX(发票统计!I$4:I$1003,$W77)))</f>
        <v/>
      </c>
      <c r="J77" s="56" t="str">
        <f aca="false">IF($W77="","",N(INDEX(发票统计!J$4:J$1003,$W77)))</f>
        <v/>
      </c>
      <c r="K77" s="56" t="str">
        <f aca="false">IF($W77="","",N(INDEX(发票统计!K$4:K$1003,$W77)))</f>
        <v/>
      </c>
      <c r="L77" s="56" t="str">
        <f aca="false">IF($W77="","",SUM(J$4:J77)-SUM(K$4:K77))</f>
        <v/>
      </c>
      <c r="M77" s="56" t="str">
        <f aca="false">IF($W77="","",N(INDEX(发票统计!M$4:M$1003,$W77)))</f>
        <v/>
      </c>
      <c r="N77" s="56" t="str">
        <f aca="false">IF($W77="","",N(INDEX(发票统计!N$4:N$1003,$W77)))</f>
        <v/>
      </c>
      <c r="O77" s="56" t="str">
        <f aca="false">IF($W77="","",N(INDEX(发票统计!O$4:O$1003,$W77)))</f>
        <v/>
      </c>
      <c r="P77" s="56" t="str">
        <f aca="false">IF($W77="","",SUM(M$4:M77)-SUM(N$4:N77)-SUM(O$4:O77))</f>
        <v/>
      </c>
      <c r="Q77" s="56" t="str">
        <f aca="false">IF($W77="","",N(INDEX(发票统计!Q$4:Q$1003,$W77)))</f>
        <v/>
      </c>
      <c r="R77" s="56" t="str">
        <f aca="false">IF($W77="","",N(INDEX(发票统计!R$4:R$1003,$W77)))</f>
        <v/>
      </c>
      <c r="S77" s="56" t="str">
        <f aca="false">IF($W77="","",N(INDEX(发票统计!S$4:S$1003,$W77)))</f>
        <v/>
      </c>
      <c r="T77" s="56" t="str">
        <f aca="false">IF($W77="","",SUM(Q$4:Q77)-SUM(R$4:R77)-SUM(S$4:S77))</f>
        <v/>
      </c>
      <c r="U77" s="56" t="str">
        <f aca="false">IF($W77="","",INDEX(发票统计!U$4:U$1003,$W77)&amp;"")</f>
        <v/>
      </c>
      <c r="W77" s="1" t="str">
        <f aca="false">IF($V$3="","",IFERROR(MATCH($V$3&amp;"#"&amp;ROWS(W$4:W77),发票统计!$W$4:$W$1003,0),""))</f>
        <v/>
      </c>
    </row>
    <row r="78" customFormat="false" ht="16.5" hidden="false" customHeight="false" outlineLevel="0" collapsed="false">
      <c r="A78" s="3" t="str">
        <f aca="false">IF($W78="","",INDEX(发票统计!A$4:A$1003,$W78)&amp;"")</f>
        <v/>
      </c>
      <c r="B78" s="3" t="str">
        <f aca="false">IF($W78="","",INDEX(发票统计!B$4:B$1003,$W78)&amp;"")</f>
        <v/>
      </c>
      <c r="C78" s="3" t="str">
        <f aca="false">IF($W78="","",INDEX(发票统计!C$4:C$1003,$W78)&amp;"")</f>
        <v/>
      </c>
      <c r="D78" s="3" t="str">
        <f aca="false">IF($W78="","",INDEX(发票统计!D$4:D$1003,$W78)&amp;"")</f>
        <v/>
      </c>
      <c r="E78" s="56" t="str">
        <f aca="false">IF($W78="","",INDEX(发票统计!E$4:E$1003,$W78)&amp;"")</f>
        <v/>
      </c>
      <c r="F78" s="56" t="str">
        <f aca="false">IF($W78="","",INDEX(发票统计!F$4:F$1003,$W78)&amp;"")</f>
        <v/>
      </c>
      <c r="G78" s="68" t="str">
        <f aca="false">IF($W78="","",IF(INDEX(发票统计!G$4:G$1003,$W78)="","",INDEX(发票统计!G$4:G$1003,$W78)))</f>
        <v/>
      </c>
      <c r="H78" s="56" t="str">
        <f aca="false">IF($W78="","",N(INDEX(发票统计!H$4:H$1003,$W78)))</f>
        <v/>
      </c>
      <c r="I78" s="56" t="str">
        <f aca="false">IF($W78="","",N(INDEX(发票统计!I$4:I$1003,$W78)))</f>
        <v/>
      </c>
      <c r="J78" s="56" t="str">
        <f aca="false">IF($W78="","",N(INDEX(发票统计!J$4:J$1003,$W78)))</f>
        <v/>
      </c>
      <c r="K78" s="56" t="str">
        <f aca="false">IF($W78="","",N(INDEX(发票统计!K$4:K$1003,$W78)))</f>
        <v/>
      </c>
      <c r="L78" s="56" t="str">
        <f aca="false">IF($W78="","",SUM(J$4:J78)-SUM(K$4:K78))</f>
        <v/>
      </c>
      <c r="M78" s="56" t="str">
        <f aca="false">IF($W78="","",N(INDEX(发票统计!M$4:M$1003,$W78)))</f>
        <v/>
      </c>
      <c r="N78" s="56" t="str">
        <f aca="false">IF($W78="","",N(INDEX(发票统计!N$4:N$1003,$W78)))</f>
        <v/>
      </c>
      <c r="O78" s="56" t="str">
        <f aca="false">IF($W78="","",N(INDEX(发票统计!O$4:O$1003,$W78)))</f>
        <v/>
      </c>
      <c r="P78" s="56" t="str">
        <f aca="false">IF($W78="","",SUM(M$4:M78)-SUM(N$4:N78)-SUM(O$4:O78))</f>
        <v/>
      </c>
      <c r="Q78" s="56" t="str">
        <f aca="false">IF($W78="","",N(INDEX(发票统计!Q$4:Q$1003,$W78)))</f>
        <v/>
      </c>
      <c r="R78" s="56" t="str">
        <f aca="false">IF($W78="","",N(INDEX(发票统计!R$4:R$1003,$W78)))</f>
        <v/>
      </c>
      <c r="S78" s="56" t="str">
        <f aca="false">IF($W78="","",N(INDEX(发票统计!S$4:S$1003,$W78)))</f>
        <v/>
      </c>
      <c r="T78" s="56" t="str">
        <f aca="false">IF($W78="","",SUM(Q$4:Q78)-SUM(R$4:R78)-SUM(S$4:S78))</f>
        <v/>
      </c>
      <c r="U78" s="56" t="str">
        <f aca="false">IF($W78="","",INDEX(发票统计!U$4:U$1003,$W78)&amp;"")</f>
        <v/>
      </c>
      <c r="W78" s="1" t="str">
        <f aca="false">IF($V$3="","",IFERROR(MATCH($V$3&amp;"#"&amp;ROWS(W$4:W78),发票统计!$W$4:$W$1003,0),""))</f>
        <v/>
      </c>
    </row>
    <row r="79" customFormat="false" ht="16.5" hidden="false" customHeight="false" outlineLevel="0" collapsed="false">
      <c r="A79" s="3" t="str">
        <f aca="false">IF($W79="","",INDEX(发票统计!A$4:A$1003,$W79)&amp;"")</f>
        <v/>
      </c>
      <c r="B79" s="3" t="str">
        <f aca="false">IF($W79="","",INDEX(发票统计!B$4:B$1003,$W79)&amp;"")</f>
        <v/>
      </c>
      <c r="C79" s="3" t="str">
        <f aca="false">IF($W79="","",INDEX(发票统计!C$4:C$1003,$W79)&amp;"")</f>
        <v/>
      </c>
      <c r="D79" s="3" t="str">
        <f aca="false">IF($W79="","",INDEX(发票统计!D$4:D$1003,$W79)&amp;"")</f>
        <v/>
      </c>
      <c r="E79" s="56" t="str">
        <f aca="false">IF($W79="","",INDEX(发票统计!E$4:E$1003,$W79)&amp;"")</f>
        <v/>
      </c>
      <c r="F79" s="56" t="str">
        <f aca="false">IF($W79="","",INDEX(发票统计!F$4:F$1003,$W79)&amp;"")</f>
        <v/>
      </c>
      <c r="G79" s="68" t="str">
        <f aca="false">IF($W79="","",IF(INDEX(发票统计!G$4:G$1003,$W79)="","",INDEX(发票统计!G$4:G$1003,$W79)))</f>
        <v/>
      </c>
      <c r="H79" s="56" t="str">
        <f aca="false">IF($W79="","",N(INDEX(发票统计!H$4:H$1003,$W79)))</f>
        <v/>
      </c>
      <c r="I79" s="56" t="str">
        <f aca="false">IF($W79="","",N(INDEX(发票统计!I$4:I$1003,$W79)))</f>
        <v/>
      </c>
      <c r="J79" s="56" t="str">
        <f aca="false">IF($W79="","",N(INDEX(发票统计!J$4:J$1003,$W79)))</f>
        <v/>
      </c>
      <c r="K79" s="56" t="str">
        <f aca="false">IF($W79="","",N(INDEX(发票统计!K$4:K$1003,$W79)))</f>
        <v/>
      </c>
      <c r="L79" s="56" t="str">
        <f aca="false">IF($W79="","",SUM(J$4:J79)-SUM(K$4:K79))</f>
        <v/>
      </c>
      <c r="M79" s="56" t="str">
        <f aca="false">IF($W79="","",N(INDEX(发票统计!M$4:M$1003,$W79)))</f>
        <v/>
      </c>
      <c r="N79" s="56" t="str">
        <f aca="false">IF($W79="","",N(INDEX(发票统计!N$4:N$1003,$W79)))</f>
        <v/>
      </c>
      <c r="O79" s="56" t="str">
        <f aca="false">IF($W79="","",N(INDEX(发票统计!O$4:O$1003,$W79)))</f>
        <v/>
      </c>
      <c r="P79" s="56" t="str">
        <f aca="false">IF($W79="","",SUM(M$4:M79)-SUM(N$4:N79)-SUM(O$4:O79))</f>
        <v/>
      </c>
      <c r="Q79" s="56" t="str">
        <f aca="false">IF($W79="","",N(INDEX(发票统计!Q$4:Q$1003,$W79)))</f>
        <v/>
      </c>
      <c r="R79" s="56" t="str">
        <f aca="false">IF($W79="","",N(INDEX(发票统计!R$4:R$1003,$W79)))</f>
        <v/>
      </c>
      <c r="S79" s="56" t="str">
        <f aca="false">IF($W79="","",N(INDEX(发票统计!S$4:S$1003,$W79)))</f>
        <v/>
      </c>
      <c r="T79" s="56" t="str">
        <f aca="false">IF($W79="","",SUM(Q$4:Q79)-SUM(R$4:R79)-SUM(S$4:S79))</f>
        <v/>
      </c>
      <c r="U79" s="56" t="str">
        <f aca="false">IF($W79="","",INDEX(发票统计!U$4:U$1003,$W79)&amp;"")</f>
        <v/>
      </c>
      <c r="W79" s="1" t="str">
        <f aca="false">IF($V$3="","",IFERROR(MATCH($V$3&amp;"#"&amp;ROWS(W$4:W79),发票统计!$W$4:$W$1003,0),""))</f>
        <v/>
      </c>
    </row>
    <row r="80" customFormat="false" ht="16.5" hidden="false" customHeight="false" outlineLevel="0" collapsed="false">
      <c r="A80" s="3" t="str">
        <f aca="false">IF($W80="","",INDEX(发票统计!A$4:A$1003,$W80)&amp;"")</f>
        <v/>
      </c>
      <c r="B80" s="3" t="str">
        <f aca="false">IF($W80="","",INDEX(发票统计!B$4:B$1003,$W80)&amp;"")</f>
        <v/>
      </c>
      <c r="C80" s="3" t="str">
        <f aca="false">IF($W80="","",INDEX(发票统计!C$4:C$1003,$W80)&amp;"")</f>
        <v/>
      </c>
      <c r="D80" s="3" t="str">
        <f aca="false">IF($W80="","",INDEX(发票统计!D$4:D$1003,$W80)&amp;"")</f>
        <v/>
      </c>
      <c r="E80" s="56" t="str">
        <f aca="false">IF($W80="","",INDEX(发票统计!E$4:E$1003,$W80)&amp;"")</f>
        <v/>
      </c>
      <c r="F80" s="56" t="str">
        <f aca="false">IF($W80="","",INDEX(发票统计!F$4:F$1003,$W80)&amp;"")</f>
        <v/>
      </c>
      <c r="G80" s="68" t="str">
        <f aca="false">IF($W80="","",IF(INDEX(发票统计!G$4:G$1003,$W80)="","",INDEX(发票统计!G$4:G$1003,$W80)))</f>
        <v/>
      </c>
      <c r="H80" s="56" t="str">
        <f aca="false">IF($W80="","",N(INDEX(发票统计!H$4:H$1003,$W80)))</f>
        <v/>
      </c>
      <c r="I80" s="56" t="str">
        <f aca="false">IF($W80="","",N(INDEX(发票统计!I$4:I$1003,$W80)))</f>
        <v/>
      </c>
      <c r="J80" s="56" t="str">
        <f aca="false">IF($W80="","",N(INDEX(发票统计!J$4:J$1003,$W80)))</f>
        <v/>
      </c>
      <c r="K80" s="56" t="str">
        <f aca="false">IF($W80="","",N(INDEX(发票统计!K$4:K$1003,$W80)))</f>
        <v/>
      </c>
      <c r="L80" s="56" t="str">
        <f aca="false">IF($W80="","",SUM(J$4:J80)-SUM(K$4:K80))</f>
        <v/>
      </c>
      <c r="M80" s="56" t="str">
        <f aca="false">IF($W80="","",N(INDEX(发票统计!M$4:M$1003,$W80)))</f>
        <v/>
      </c>
      <c r="N80" s="56" t="str">
        <f aca="false">IF($W80="","",N(INDEX(发票统计!N$4:N$1003,$W80)))</f>
        <v/>
      </c>
      <c r="O80" s="56" t="str">
        <f aca="false">IF($W80="","",N(INDEX(发票统计!O$4:O$1003,$W80)))</f>
        <v/>
      </c>
      <c r="P80" s="56" t="str">
        <f aca="false">IF($W80="","",SUM(M$4:M80)-SUM(N$4:N80)-SUM(O$4:O80))</f>
        <v/>
      </c>
      <c r="Q80" s="56" t="str">
        <f aca="false">IF($W80="","",N(INDEX(发票统计!Q$4:Q$1003,$W80)))</f>
        <v/>
      </c>
      <c r="R80" s="56" t="str">
        <f aca="false">IF($W80="","",N(INDEX(发票统计!R$4:R$1003,$W80)))</f>
        <v/>
      </c>
      <c r="S80" s="56" t="str">
        <f aca="false">IF($W80="","",N(INDEX(发票统计!S$4:S$1003,$W80)))</f>
        <v/>
      </c>
      <c r="T80" s="56" t="str">
        <f aca="false">IF($W80="","",SUM(Q$4:Q80)-SUM(R$4:R80)-SUM(S$4:S80))</f>
        <v/>
      </c>
      <c r="U80" s="56" t="str">
        <f aca="false">IF($W80="","",INDEX(发票统计!U$4:U$1003,$W80)&amp;"")</f>
        <v/>
      </c>
      <c r="W80" s="1" t="str">
        <f aca="false">IF($V$3="","",IFERROR(MATCH($V$3&amp;"#"&amp;ROWS(W$4:W80),发票统计!$W$4:$W$1003,0),""))</f>
        <v/>
      </c>
    </row>
    <row r="81" customFormat="false" ht="16.5" hidden="false" customHeight="false" outlineLevel="0" collapsed="false">
      <c r="A81" s="3" t="str">
        <f aca="false">IF($W81="","",INDEX(发票统计!A$4:A$1003,$W81)&amp;"")</f>
        <v/>
      </c>
      <c r="B81" s="3" t="str">
        <f aca="false">IF($W81="","",INDEX(发票统计!B$4:B$1003,$W81)&amp;"")</f>
        <v/>
      </c>
      <c r="C81" s="3" t="str">
        <f aca="false">IF($W81="","",INDEX(发票统计!C$4:C$1003,$W81)&amp;"")</f>
        <v/>
      </c>
      <c r="D81" s="3" t="str">
        <f aca="false">IF($W81="","",INDEX(发票统计!D$4:D$1003,$W81)&amp;"")</f>
        <v/>
      </c>
      <c r="E81" s="56" t="str">
        <f aca="false">IF($W81="","",INDEX(发票统计!E$4:E$1003,$W81)&amp;"")</f>
        <v/>
      </c>
      <c r="F81" s="56" t="str">
        <f aca="false">IF($W81="","",INDEX(发票统计!F$4:F$1003,$W81)&amp;"")</f>
        <v/>
      </c>
      <c r="G81" s="68" t="str">
        <f aca="false">IF($W81="","",IF(INDEX(发票统计!G$4:G$1003,$W81)="","",INDEX(发票统计!G$4:G$1003,$W81)))</f>
        <v/>
      </c>
      <c r="H81" s="56" t="str">
        <f aca="false">IF($W81="","",N(INDEX(发票统计!H$4:H$1003,$W81)))</f>
        <v/>
      </c>
      <c r="I81" s="56" t="str">
        <f aca="false">IF($W81="","",N(INDEX(发票统计!I$4:I$1003,$W81)))</f>
        <v/>
      </c>
      <c r="J81" s="56" t="str">
        <f aca="false">IF($W81="","",N(INDEX(发票统计!J$4:J$1003,$W81)))</f>
        <v/>
      </c>
      <c r="K81" s="56" t="str">
        <f aca="false">IF($W81="","",N(INDEX(发票统计!K$4:K$1003,$W81)))</f>
        <v/>
      </c>
      <c r="L81" s="56" t="str">
        <f aca="false">IF($W81="","",SUM(J$4:J81)-SUM(K$4:K81))</f>
        <v/>
      </c>
      <c r="M81" s="56" t="str">
        <f aca="false">IF($W81="","",N(INDEX(发票统计!M$4:M$1003,$W81)))</f>
        <v/>
      </c>
      <c r="N81" s="56" t="str">
        <f aca="false">IF($W81="","",N(INDEX(发票统计!N$4:N$1003,$W81)))</f>
        <v/>
      </c>
      <c r="O81" s="56" t="str">
        <f aca="false">IF($W81="","",N(INDEX(发票统计!O$4:O$1003,$W81)))</f>
        <v/>
      </c>
      <c r="P81" s="56" t="str">
        <f aca="false">IF($W81="","",SUM(M$4:M81)-SUM(N$4:N81)-SUM(O$4:O81))</f>
        <v/>
      </c>
      <c r="Q81" s="56" t="str">
        <f aca="false">IF($W81="","",N(INDEX(发票统计!Q$4:Q$1003,$W81)))</f>
        <v/>
      </c>
      <c r="R81" s="56" t="str">
        <f aca="false">IF($W81="","",N(INDEX(发票统计!R$4:R$1003,$W81)))</f>
        <v/>
      </c>
      <c r="S81" s="56" t="str">
        <f aca="false">IF($W81="","",N(INDEX(发票统计!S$4:S$1003,$W81)))</f>
        <v/>
      </c>
      <c r="T81" s="56" t="str">
        <f aca="false">IF($W81="","",SUM(Q$4:Q81)-SUM(R$4:R81)-SUM(S$4:S81))</f>
        <v/>
      </c>
      <c r="U81" s="56" t="str">
        <f aca="false">IF($W81="","",INDEX(发票统计!U$4:U$1003,$W81)&amp;"")</f>
        <v/>
      </c>
      <c r="W81" s="1" t="str">
        <f aca="false">IF($V$3="","",IFERROR(MATCH($V$3&amp;"#"&amp;ROWS(W$4:W81),发票统计!$W$4:$W$1003,0),""))</f>
        <v/>
      </c>
    </row>
    <row r="82" customFormat="false" ht="16.5" hidden="false" customHeight="false" outlineLevel="0" collapsed="false">
      <c r="A82" s="3" t="str">
        <f aca="false">IF($W82="","",INDEX(发票统计!A$4:A$1003,$W82)&amp;"")</f>
        <v/>
      </c>
      <c r="B82" s="3" t="str">
        <f aca="false">IF($W82="","",INDEX(发票统计!B$4:B$1003,$W82)&amp;"")</f>
        <v/>
      </c>
      <c r="C82" s="3" t="str">
        <f aca="false">IF($W82="","",INDEX(发票统计!C$4:C$1003,$W82)&amp;"")</f>
        <v/>
      </c>
      <c r="D82" s="3" t="str">
        <f aca="false">IF($W82="","",INDEX(发票统计!D$4:D$1003,$W82)&amp;"")</f>
        <v/>
      </c>
      <c r="E82" s="56" t="str">
        <f aca="false">IF($W82="","",INDEX(发票统计!E$4:E$1003,$W82)&amp;"")</f>
        <v/>
      </c>
      <c r="F82" s="56" t="str">
        <f aca="false">IF($W82="","",INDEX(发票统计!F$4:F$1003,$W82)&amp;"")</f>
        <v/>
      </c>
      <c r="G82" s="68" t="str">
        <f aca="false">IF($W82="","",IF(INDEX(发票统计!G$4:G$1003,$W82)="","",INDEX(发票统计!G$4:G$1003,$W82)))</f>
        <v/>
      </c>
      <c r="H82" s="56" t="str">
        <f aca="false">IF($W82="","",N(INDEX(发票统计!H$4:H$1003,$W82)))</f>
        <v/>
      </c>
      <c r="I82" s="56" t="str">
        <f aca="false">IF($W82="","",N(INDEX(发票统计!I$4:I$1003,$W82)))</f>
        <v/>
      </c>
      <c r="J82" s="56" t="str">
        <f aca="false">IF($W82="","",N(INDEX(发票统计!J$4:J$1003,$W82)))</f>
        <v/>
      </c>
      <c r="K82" s="56" t="str">
        <f aca="false">IF($W82="","",N(INDEX(发票统计!K$4:K$1003,$W82)))</f>
        <v/>
      </c>
      <c r="L82" s="56" t="str">
        <f aca="false">IF($W82="","",SUM(J$4:J82)-SUM(K$4:K82))</f>
        <v/>
      </c>
      <c r="M82" s="56" t="str">
        <f aca="false">IF($W82="","",N(INDEX(发票统计!M$4:M$1003,$W82)))</f>
        <v/>
      </c>
      <c r="N82" s="56" t="str">
        <f aca="false">IF($W82="","",N(INDEX(发票统计!N$4:N$1003,$W82)))</f>
        <v/>
      </c>
      <c r="O82" s="56" t="str">
        <f aca="false">IF($W82="","",N(INDEX(发票统计!O$4:O$1003,$W82)))</f>
        <v/>
      </c>
      <c r="P82" s="56" t="str">
        <f aca="false">IF($W82="","",SUM(M$4:M82)-SUM(N$4:N82)-SUM(O$4:O82))</f>
        <v/>
      </c>
      <c r="Q82" s="56" t="str">
        <f aca="false">IF($W82="","",N(INDEX(发票统计!Q$4:Q$1003,$W82)))</f>
        <v/>
      </c>
      <c r="R82" s="56" t="str">
        <f aca="false">IF($W82="","",N(INDEX(发票统计!R$4:R$1003,$W82)))</f>
        <v/>
      </c>
      <c r="S82" s="56" t="str">
        <f aca="false">IF($W82="","",N(INDEX(发票统计!S$4:S$1003,$W82)))</f>
        <v/>
      </c>
      <c r="T82" s="56" t="str">
        <f aca="false">IF($W82="","",SUM(Q$4:Q82)-SUM(R$4:R82)-SUM(S$4:S82))</f>
        <v/>
      </c>
      <c r="U82" s="56" t="str">
        <f aca="false">IF($W82="","",INDEX(发票统计!U$4:U$1003,$W82)&amp;"")</f>
        <v/>
      </c>
      <c r="W82" s="1" t="str">
        <f aca="false">IF($V$3="","",IFERROR(MATCH($V$3&amp;"#"&amp;ROWS(W$4:W82),发票统计!$W$4:$W$1003,0),""))</f>
        <v/>
      </c>
    </row>
    <row r="83" customFormat="false" ht="16.5" hidden="false" customHeight="false" outlineLevel="0" collapsed="false">
      <c r="A83" s="3" t="str">
        <f aca="false">IF($W83="","",INDEX(发票统计!A$4:A$1003,$W83)&amp;"")</f>
        <v/>
      </c>
      <c r="B83" s="3" t="str">
        <f aca="false">IF($W83="","",INDEX(发票统计!B$4:B$1003,$W83)&amp;"")</f>
        <v/>
      </c>
      <c r="C83" s="3" t="str">
        <f aca="false">IF($W83="","",INDEX(发票统计!C$4:C$1003,$W83)&amp;"")</f>
        <v/>
      </c>
      <c r="D83" s="3" t="str">
        <f aca="false">IF($W83="","",INDEX(发票统计!D$4:D$1003,$W83)&amp;"")</f>
        <v/>
      </c>
      <c r="E83" s="56" t="str">
        <f aca="false">IF($W83="","",INDEX(发票统计!E$4:E$1003,$W83)&amp;"")</f>
        <v/>
      </c>
      <c r="F83" s="56" t="str">
        <f aca="false">IF($W83="","",INDEX(发票统计!F$4:F$1003,$W83)&amp;"")</f>
        <v/>
      </c>
      <c r="G83" s="68" t="str">
        <f aca="false">IF($W83="","",IF(INDEX(发票统计!G$4:G$1003,$W83)="","",INDEX(发票统计!G$4:G$1003,$W83)))</f>
        <v/>
      </c>
      <c r="H83" s="56" t="str">
        <f aca="false">IF($W83="","",N(INDEX(发票统计!H$4:H$1003,$W83)))</f>
        <v/>
      </c>
      <c r="I83" s="56" t="str">
        <f aca="false">IF($W83="","",N(INDEX(发票统计!I$4:I$1003,$W83)))</f>
        <v/>
      </c>
      <c r="J83" s="56" t="str">
        <f aca="false">IF($W83="","",N(INDEX(发票统计!J$4:J$1003,$W83)))</f>
        <v/>
      </c>
      <c r="K83" s="56" t="str">
        <f aca="false">IF($W83="","",N(INDEX(发票统计!K$4:K$1003,$W83)))</f>
        <v/>
      </c>
      <c r="L83" s="56" t="str">
        <f aca="false">IF($W83="","",SUM(J$4:J83)-SUM(K$4:K83))</f>
        <v/>
      </c>
      <c r="M83" s="56" t="str">
        <f aca="false">IF($W83="","",N(INDEX(发票统计!M$4:M$1003,$W83)))</f>
        <v/>
      </c>
      <c r="N83" s="56" t="str">
        <f aca="false">IF($W83="","",N(INDEX(发票统计!N$4:N$1003,$W83)))</f>
        <v/>
      </c>
      <c r="O83" s="56" t="str">
        <f aca="false">IF($W83="","",N(INDEX(发票统计!O$4:O$1003,$W83)))</f>
        <v/>
      </c>
      <c r="P83" s="56" t="str">
        <f aca="false">IF($W83="","",SUM(M$4:M83)-SUM(N$4:N83)-SUM(O$4:O83))</f>
        <v/>
      </c>
      <c r="Q83" s="56" t="str">
        <f aca="false">IF($W83="","",N(INDEX(发票统计!Q$4:Q$1003,$W83)))</f>
        <v/>
      </c>
      <c r="R83" s="56" t="str">
        <f aca="false">IF($W83="","",N(INDEX(发票统计!R$4:R$1003,$W83)))</f>
        <v/>
      </c>
      <c r="S83" s="56" t="str">
        <f aca="false">IF($W83="","",N(INDEX(发票统计!S$4:S$1003,$W83)))</f>
        <v/>
      </c>
      <c r="T83" s="56" t="str">
        <f aca="false">IF($W83="","",SUM(Q$4:Q83)-SUM(R$4:R83)-SUM(S$4:S83))</f>
        <v/>
      </c>
      <c r="U83" s="56" t="str">
        <f aca="false">IF($W83="","",INDEX(发票统计!U$4:U$1003,$W83)&amp;"")</f>
        <v/>
      </c>
      <c r="W83" s="1" t="str">
        <f aca="false">IF($V$3="","",IFERROR(MATCH($V$3&amp;"#"&amp;ROWS(W$4:W83),发票统计!$W$4:$W$1003,0),""))</f>
        <v/>
      </c>
    </row>
    <row r="84" customFormat="false" ht="16.5" hidden="false" customHeight="false" outlineLevel="0" collapsed="false">
      <c r="A84" s="3" t="str">
        <f aca="false">IF($W84="","",INDEX(发票统计!A$4:A$1003,$W84)&amp;"")</f>
        <v/>
      </c>
      <c r="B84" s="3" t="str">
        <f aca="false">IF($W84="","",INDEX(发票统计!B$4:B$1003,$W84)&amp;"")</f>
        <v/>
      </c>
      <c r="C84" s="3" t="str">
        <f aca="false">IF($W84="","",INDEX(发票统计!C$4:C$1003,$W84)&amp;"")</f>
        <v/>
      </c>
      <c r="D84" s="3" t="str">
        <f aca="false">IF($W84="","",INDEX(发票统计!D$4:D$1003,$W84)&amp;"")</f>
        <v/>
      </c>
      <c r="E84" s="56" t="str">
        <f aca="false">IF($W84="","",INDEX(发票统计!E$4:E$1003,$W84)&amp;"")</f>
        <v/>
      </c>
      <c r="F84" s="56" t="str">
        <f aca="false">IF($W84="","",INDEX(发票统计!F$4:F$1003,$W84)&amp;"")</f>
        <v/>
      </c>
      <c r="G84" s="68" t="str">
        <f aca="false">IF($W84="","",IF(INDEX(发票统计!G$4:G$1003,$W84)="","",INDEX(发票统计!G$4:G$1003,$W84)))</f>
        <v/>
      </c>
      <c r="H84" s="56" t="str">
        <f aca="false">IF($W84="","",N(INDEX(发票统计!H$4:H$1003,$W84)))</f>
        <v/>
      </c>
      <c r="I84" s="56" t="str">
        <f aca="false">IF($W84="","",N(INDEX(发票统计!I$4:I$1003,$W84)))</f>
        <v/>
      </c>
      <c r="J84" s="56" t="str">
        <f aca="false">IF($W84="","",N(INDEX(发票统计!J$4:J$1003,$W84)))</f>
        <v/>
      </c>
      <c r="K84" s="56" t="str">
        <f aca="false">IF($W84="","",N(INDEX(发票统计!K$4:K$1003,$W84)))</f>
        <v/>
      </c>
      <c r="L84" s="56" t="str">
        <f aca="false">IF($W84="","",SUM(J$4:J84)-SUM(K$4:K84))</f>
        <v/>
      </c>
      <c r="M84" s="56" t="str">
        <f aca="false">IF($W84="","",N(INDEX(发票统计!M$4:M$1003,$W84)))</f>
        <v/>
      </c>
      <c r="N84" s="56" t="str">
        <f aca="false">IF($W84="","",N(INDEX(发票统计!N$4:N$1003,$W84)))</f>
        <v/>
      </c>
      <c r="O84" s="56" t="str">
        <f aca="false">IF($W84="","",N(INDEX(发票统计!O$4:O$1003,$W84)))</f>
        <v/>
      </c>
      <c r="P84" s="56" t="str">
        <f aca="false">IF($W84="","",SUM(M$4:M84)-SUM(N$4:N84)-SUM(O$4:O84))</f>
        <v/>
      </c>
      <c r="Q84" s="56" t="str">
        <f aca="false">IF($W84="","",N(INDEX(发票统计!Q$4:Q$1003,$W84)))</f>
        <v/>
      </c>
      <c r="R84" s="56" t="str">
        <f aca="false">IF($W84="","",N(INDEX(发票统计!R$4:R$1003,$W84)))</f>
        <v/>
      </c>
      <c r="S84" s="56" t="str">
        <f aca="false">IF($W84="","",N(INDEX(发票统计!S$4:S$1003,$W84)))</f>
        <v/>
      </c>
      <c r="T84" s="56" t="str">
        <f aca="false">IF($W84="","",SUM(Q$4:Q84)-SUM(R$4:R84)-SUM(S$4:S84))</f>
        <v/>
      </c>
      <c r="U84" s="56" t="str">
        <f aca="false">IF($W84="","",INDEX(发票统计!U$4:U$1003,$W84)&amp;"")</f>
        <v/>
      </c>
      <c r="W84" s="1" t="str">
        <f aca="false">IF($V$3="","",IFERROR(MATCH($V$3&amp;"#"&amp;ROWS(W$4:W84),发票统计!$W$4:$W$1003,0),""))</f>
        <v/>
      </c>
    </row>
    <row r="85" customFormat="false" ht="16.5" hidden="false" customHeight="false" outlineLevel="0" collapsed="false">
      <c r="A85" s="3" t="str">
        <f aca="false">IF($W85="","",INDEX(发票统计!A$4:A$1003,$W85)&amp;"")</f>
        <v/>
      </c>
      <c r="B85" s="3" t="str">
        <f aca="false">IF($W85="","",INDEX(发票统计!B$4:B$1003,$W85)&amp;"")</f>
        <v/>
      </c>
      <c r="C85" s="3" t="str">
        <f aca="false">IF($W85="","",INDEX(发票统计!C$4:C$1003,$W85)&amp;"")</f>
        <v/>
      </c>
      <c r="D85" s="3" t="str">
        <f aca="false">IF($W85="","",INDEX(发票统计!D$4:D$1003,$W85)&amp;"")</f>
        <v/>
      </c>
      <c r="E85" s="56" t="str">
        <f aca="false">IF($W85="","",INDEX(发票统计!E$4:E$1003,$W85)&amp;"")</f>
        <v/>
      </c>
      <c r="F85" s="56" t="str">
        <f aca="false">IF($W85="","",INDEX(发票统计!F$4:F$1003,$W85)&amp;"")</f>
        <v/>
      </c>
      <c r="G85" s="68" t="str">
        <f aca="false">IF($W85="","",IF(INDEX(发票统计!G$4:G$1003,$W85)="","",INDEX(发票统计!G$4:G$1003,$W85)))</f>
        <v/>
      </c>
      <c r="H85" s="56" t="str">
        <f aca="false">IF($W85="","",N(INDEX(发票统计!H$4:H$1003,$W85)))</f>
        <v/>
      </c>
      <c r="I85" s="56" t="str">
        <f aca="false">IF($W85="","",N(INDEX(发票统计!I$4:I$1003,$W85)))</f>
        <v/>
      </c>
      <c r="J85" s="56" t="str">
        <f aca="false">IF($W85="","",N(INDEX(发票统计!J$4:J$1003,$W85)))</f>
        <v/>
      </c>
      <c r="K85" s="56" t="str">
        <f aca="false">IF($W85="","",N(INDEX(发票统计!K$4:K$1003,$W85)))</f>
        <v/>
      </c>
      <c r="L85" s="56" t="str">
        <f aca="false">IF($W85="","",SUM(J$4:J85)-SUM(K$4:K85))</f>
        <v/>
      </c>
      <c r="M85" s="56" t="str">
        <f aca="false">IF($W85="","",N(INDEX(发票统计!M$4:M$1003,$W85)))</f>
        <v/>
      </c>
      <c r="N85" s="56" t="str">
        <f aca="false">IF($W85="","",N(INDEX(发票统计!N$4:N$1003,$W85)))</f>
        <v/>
      </c>
      <c r="O85" s="56" t="str">
        <f aca="false">IF($W85="","",N(INDEX(发票统计!O$4:O$1003,$W85)))</f>
        <v/>
      </c>
      <c r="P85" s="56" t="str">
        <f aca="false">IF($W85="","",SUM(M$4:M85)-SUM(N$4:N85)-SUM(O$4:O85))</f>
        <v/>
      </c>
      <c r="Q85" s="56" t="str">
        <f aca="false">IF($W85="","",N(INDEX(发票统计!Q$4:Q$1003,$W85)))</f>
        <v/>
      </c>
      <c r="R85" s="56" t="str">
        <f aca="false">IF($W85="","",N(INDEX(发票统计!R$4:R$1003,$W85)))</f>
        <v/>
      </c>
      <c r="S85" s="56" t="str">
        <f aca="false">IF($W85="","",N(INDEX(发票统计!S$4:S$1003,$W85)))</f>
        <v/>
      </c>
      <c r="T85" s="56" t="str">
        <f aca="false">IF($W85="","",SUM(Q$4:Q85)-SUM(R$4:R85)-SUM(S$4:S85))</f>
        <v/>
      </c>
      <c r="U85" s="56" t="str">
        <f aca="false">IF($W85="","",INDEX(发票统计!U$4:U$1003,$W85)&amp;"")</f>
        <v/>
      </c>
      <c r="W85" s="1" t="str">
        <f aca="false">IF($V$3="","",IFERROR(MATCH($V$3&amp;"#"&amp;ROWS(W$4:W85),发票统计!$W$4:$W$1003,0),""))</f>
        <v/>
      </c>
    </row>
    <row r="86" customFormat="false" ht="16.5" hidden="false" customHeight="false" outlineLevel="0" collapsed="false">
      <c r="A86" s="3" t="str">
        <f aca="false">IF($W86="","",INDEX(发票统计!A$4:A$1003,$W86)&amp;"")</f>
        <v/>
      </c>
      <c r="B86" s="3" t="str">
        <f aca="false">IF($W86="","",INDEX(发票统计!B$4:B$1003,$W86)&amp;"")</f>
        <v/>
      </c>
      <c r="C86" s="3" t="str">
        <f aca="false">IF($W86="","",INDEX(发票统计!C$4:C$1003,$W86)&amp;"")</f>
        <v/>
      </c>
      <c r="D86" s="3" t="str">
        <f aca="false">IF($W86="","",INDEX(发票统计!D$4:D$1003,$W86)&amp;"")</f>
        <v/>
      </c>
      <c r="E86" s="56" t="str">
        <f aca="false">IF($W86="","",INDEX(发票统计!E$4:E$1003,$W86)&amp;"")</f>
        <v/>
      </c>
      <c r="F86" s="56" t="str">
        <f aca="false">IF($W86="","",INDEX(发票统计!F$4:F$1003,$W86)&amp;"")</f>
        <v/>
      </c>
      <c r="G86" s="68" t="str">
        <f aca="false">IF($W86="","",IF(INDEX(发票统计!G$4:G$1003,$W86)="","",INDEX(发票统计!G$4:G$1003,$W86)))</f>
        <v/>
      </c>
      <c r="H86" s="56" t="str">
        <f aca="false">IF($W86="","",N(INDEX(发票统计!H$4:H$1003,$W86)))</f>
        <v/>
      </c>
      <c r="I86" s="56" t="str">
        <f aca="false">IF($W86="","",N(INDEX(发票统计!I$4:I$1003,$W86)))</f>
        <v/>
      </c>
      <c r="J86" s="56" t="str">
        <f aca="false">IF($W86="","",N(INDEX(发票统计!J$4:J$1003,$W86)))</f>
        <v/>
      </c>
      <c r="K86" s="56" t="str">
        <f aca="false">IF($W86="","",N(INDEX(发票统计!K$4:K$1003,$W86)))</f>
        <v/>
      </c>
      <c r="L86" s="56" t="str">
        <f aca="false">IF($W86="","",SUM(J$4:J86)-SUM(K$4:K86))</f>
        <v/>
      </c>
      <c r="M86" s="56" t="str">
        <f aca="false">IF($W86="","",N(INDEX(发票统计!M$4:M$1003,$W86)))</f>
        <v/>
      </c>
      <c r="N86" s="56" t="str">
        <f aca="false">IF($W86="","",N(INDEX(发票统计!N$4:N$1003,$W86)))</f>
        <v/>
      </c>
      <c r="O86" s="56" t="str">
        <f aca="false">IF($W86="","",N(INDEX(发票统计!O$4:O$1003,$W86)))</f>
        <v/>
      </c>
      <c r="P86" s="56" t="str">
        <f aca="false">IF($W86="","",SUM(M$4:M86)-SUM(N$4:N86)-SUM(O$4:O86))</f>
        <v/>
      </c>
      <c r="Q86" s="56" t="str">
        <f aca="false">IF($W86="","",N(INDEX(发票统计!Q$4:Q$1003,$W86)))</f>
        <v/>
      </c>
      <c r="R86" s="56" t="str">
        <f aca="false">IF($W86="","",N(INDEX(发票统计!R$4:R$1003,$W86)))</f>
        <v/>
      </c>
      <c r="S86" s="56" t="str">
        <f aca="false">IF($W86="","",N(INDEX(发票统计!S$4:S$1003,$W86)))</f>
        <v/>
      </c>
      <c r="T86" s="56" t="str">
        <f aca="false">IF($W86="","",SUM(Q$4:Q86)-SUM(R$4:R86)-SUM(S$4:S86))</f>
        <v/>
      </c>
      <c r="U86" s="56" t="str">
        <f aca="false">IF($W86="","",INDEX(发票统计!U$4:U$1003,$W86)&amp;"")</f>
        <v/>
      </c>
      <c r="W86" s="1" t="str">
        <f aca="false">IF($V$3="","",IFERROR(MATCH($V$3&amp;"#"&amp;ROWS(W$4:W86),发票统计!$W$4:$W$1003,0),""))</f>
        <v/>
      </c>
    </row>
    <row r="87" customFormat="false" ht="16.5" hidden="false" customHeight="false" outlineLevel="0" collapsed="false">
      <c r="A87" s="3" t="str">
        <f aca="false">IF($W87="","",INDEX(发票统计!A$4:A$1003,$W87)&amp;"")</f>
        <v/>
      </c>
      <c r="B87" s="3" t="str">
        <f aca="false">IF($W87="","",INDEX(发票统计!B$4:B$1003,$W87)&amp;"")</f>
        <v/>
      </c>
      <c r="C87" s="3" t="str">
        <f aca="false">IF($W87="","",INDEX(发票统计!C$4:C$1003,$W87)&amp;"")</f>
        <v/>
      </c>
      <c r="D87" s="3" t="str">
        <f aca="false">IF($W87="","",INDEX(发票统计!D$4:D$1003,$W87)&amp;"")</f>
        <v/>
      </c>
      <c r="E87" s="56" t="str">
        <f aca="false">IF($W87="","",INDEX(发票统计!E$4:E$1003,$W87)&amp;"")</f>
        <v/>
      </c>
      <c r="F87" s="56" t="str">
        <f aca="false">IF($W87="","",INDEX(发票统计!F$4:F$1003,$W87)&amp;"")</f>
        <v/>
      </c>
      <c r="G87" s="68" t="str">
        <f aca="false">IF($W87="","",IF(INDEX(发票统计!G$4:G$1003,$W87)="","",INDEX(发票统计!G$4:G$1003,$W87)))</f>
        <v/>
      </c>
      <c r="H87" s="56" t="str">
        <f aca="false">IF($W87="","",N(INDEX(发票统计!H$4:H$1003,$W87)))</f>
        <v/>
      </c>
      <c r="I87" s="56" t="str">
        <f aca="false">IF($W87="","",N(INDEX(发票统计!I$4:I$1003,$W87)))</f>
        <v/>
      </c>
      <c r="J87" s="56" t="str">
        <f aca="false">IF($W87="","",N(INDEX(发票统计!J$4:J$1003,$W87)))</f>
        <v/>
      </c>
      <c r="K87" s="56" t="str">
        <f aca="false">IF($W87="","",N(INDEX(发票统计!K$4:K$1003,$W87)))</f>
        <v/>
      </c>
      <c r="L87" s="56" t="str">
        <f aca="false">IF($W87="","",SUM(J$4:J87)-SUM(K$4:K87))</f>
        <v/>
      </c>
      <c r="M87" s="56" t="str">
        <f aca="false">IF($W87="","",N(INDEX(发票统计!M$4:M$1003,$W87)))</f>
        <v/>
      </c>
      <c r="N87" s="56" t="str">
        <f aca="false">IF($W87="","",N(INDEX(发票统计!N$4:N$1003,$W87)))</f>
        <v/>
      </c>
      <c r="O87" s="56" t="str">
        <f aca="false">IF($W87="","",N(INDEX(发票统计!O$4:O$1003,$W87)))</f>
        <v/>
      </c>
      <c r="P87" s="56" t="str">
        <f aca="false">IF($W87="","",SUM(M$4:M87)-SUM(N$4:N87)-SUM(O$4:O87))</f>
        <v/>
      </c>
      <c r="Q87" s="56" t="str">
        <f aca="false">IF($W87="","",N(INDEX(发票统计!Q$4:Q$1003,$W87)))</f>
        <v/>
      </c>
      <c r="R87" s="56" t="str">
        <f aca="false">IF($W87="","",N(INDEX(发票统计!R$4:R$1003,$W87)))</f>
        <v/>
      </c>
      <c r="S87" s="56" t="str">
        <f aca="false">IF($W87="","",N(INDEX(发票统计!S$4:S$1003,$W87)))</f>
        <v/>
      </c>
      <c r="T87" s="56" t="str">
        <f aca="false">IF($W87="","",SUM(Q$4:Q87)-SUM(R$4:R87)-SUM(S$4:S87))</f>
        <v/>
      </c>
      <c r="U87" s="56" t="str">
        <f aca="false">IF($W87="","",INDEX(发票统计!U$4:U$1003,$W87)&amp;"")</f>
        <v/>
      </c>
      <c r="W87" s="1" t="str">
        <f aca="false">IF($V$3="","",IFERROR(MATCH($V$3&amp;"#"&amp;ROWS(W$4:W87),发票统计!$W$4:$W$1003,0),""))</f>
        <v/>
      </c>
    </row>
    <row r="88" customFormat="false" ht="16.5" hidden="false" customHeight="false" outlineLevel="0" collapsed="false">
      <c r="A88" s="3" t="str">
        <f aca="false">IF($W88="","",INDEX(发票统计!A$4:A$1003,$W88)&amp;"")</f>
        <v/>
      </c>
      <c r="B88" s="3" t="str">
        <f aca="false">IF($W88="","",INDEX(发票统计!B$4:B$1003,$W88)&amp;"")</f>
        <v/>
      </c>
      <c r="C88" s="3" t="str">
        <f aca="false">IF($W88="","",INDEX(发票统计!C$4:C$1003,$W88)&amp;"")</f>
        <v/>
      </c>
      <c r="D88" s="3" t="str">
        <f aca="false">IF($W88="","",INDEX(发票统计!D$4:D$1003,$W88)&amp;"")</f>
        <v/>
      </c>
      <c r="E88" s="56" t="str">
        <f aca="false">IF($W88="","",INDEX(发票统计!E$4:E$1003,$W88)&amp;"")</f>
        <v/>
      </c>
      <c r="F88" s="56" t="str">
        <f aca="false">IF($W88="","",INDEX(发票统计!F$4:F$1003,$W88)&amp;"")</f>
        <v/>
      </c>
      <c r="G88" s="68" t="str">
        <f aca="false">IF($W88="","",IF(INDEX(发票统计!G$4:G$1003,$W88)="","",INDEX(发票统计!G$4:G$1003,$W88)))</f>
        <v/>
      </c>
      <c r="H88" s="56" t="str">
        <f aca="false">IF($W88="","",N(INDEX(发票统计!H$4:H$1003,$W88)))</f>
        <v/>
      </c>
      <c r="I88" s="56" t="str">
        <f aca="false">IF($W88="","",N(INDEX(发票统计!I$4:I$1003,$W88)))</f>
        <v/>
      </c>
      <c r="J88" s="56" t="str">
        <f aca="false">IF($W88="","",N(INDEX(发票统计!J$4:J$1003,$W88)))</f>
        <v/>
      </c>
      <c r="K88" s="56" t="str">
        <f aca="false">IF($W88="","",N(INDEX(发票统计!K$4:K$1003,$W88)))</f>
        <v/>
      </c>
      <c r="L88" s="56" t="str">
        <f aca="false">IF($W88="","",SUM(J$4:J88)-SUM(K$4:K88))</f>
        <v/>
      </c>
      <c r="M88" s="56" t="str">
        <f aca="false">IF($W88="","",N(INDEX(发票统计!M$4:M$1003,$W88)))</f>
        <v/>
      </c>
      <c r="N88" s="56" t="str">
        <f aca="false">IF($W88="","",N(INDEX(发票统计!N$4:N$1003,$W88)))</f>
        <v/>
      </c>
      <c r="O88" s="56" t="str">
        <f aca="false">IF($W88="","",N(INDEX(发票统计!O$4:O$1003,$W88)))</f>
        <v/>
      </c>
      <c r="P88" s="56" t="str">
        <f aca="false">IF($W88="","",SUM(M$4:M88)-SUM(N$4:N88)-SUM(O$4:O88))</f>
        <v/>
      </c>
      <c r="Q88" s="56" t="str">
        <f aca="false">IF($W88="","",N(INDEX(发票统计!Q$4:Q$1003,$W88)))</f>
        <v/>
      </c>
      <c r="R88" s="56" t="str">
        <f aca="false">IF($W88="","",N(INDEX(发票统计!R$4:R$1003,$W88)))</f>
        <v/>
      </c>
      <c r="S88" s="56" t="str">
        <f aca="false">IF($W88="","",N(INDEX(发票统计!S$4:S$1003,$W88)))</f>
        <v/>
      </c>
      <c r="T88" s="56" t="str">
        <f aca="false">IF($W88="","",SUM(Q$4:Q88)-SUM(R$4:R88)-SUM(S$4:S88))</f>
        <v/>
      </c>
      <c r="U88" s="56" t="str">
        <f aca="false">IF($W88="","",INDEX(发票统计!U$4:U$1003,$W88)&amp;"")</f>
        <v/>
      </c>
      <c r="W88" s="1" t="str">
        <f aca="false">IF($V$3="","",IFERROR(MATCH($V$3&amp;"#"&amp;ROWS(W$4:W88),发票统计!$W$4:$W$1003,0),""))</f>
        <v/>
      </c>
    </row>
    <row r="89" customFormat="false" ht="16.5" hidden="false" customHeight="false" outlineLevel="0" collapsed="false">
      <c r="A89" s="3" t="str">
        <f aca="false">IF($W89="","",INDEX(发票统计!A$4:A$1003,$W89)&amp;"")</f>
        <v/>
      </c>
      <c r="B89" s="3" t="str">
        <f aca="false">IF($W89="","",INDEX(发票统计!B$4:B$1003,$W89)&amp;"")</f>
        <v/>
      </c>
      <c r="C89" s="3" t="str">
        <f aca="false">IF($W89="","",INDEX(发票统计!C$4:C$1003,$W89)&amp;"")</f>
        <v/>
      </c>
      <c r="D89" s="3" t="str">
        <f aca="false">IF($W89="","",INDEX(发票统计!D$4:D$1003,$W89)&amp;"")</f>
        <v/>
      </c>
      <c r="E89" s="56" t="str">
        <f aca="false">IF($W89="","",INDEX(发票统计!E$4:E$1003,$W89)&amp;"")</f>
        <v/>
      </c>
      <c r="F89" s="56" t="str">
        <f aca="false">IF($W89="","",INDEX(发票统计!F$4:F$1003,$W89)&amp;"")</f>
        <v/>
      </c>
      <c r="G89" s="68" t="str">
        <f aca="false">IF($W89="","",IF(INDEX(发票统计!G$4:G$1003,$W89)="","",INDEX(发票统计!G$4:G$1003,$W89)))</f>
        <v/>
      </c>
      <c r="H89" s="56" t="str">
        <f aca="false">IF($W89="","",N(INDEX(发票统计!H$4:H$1003,$W89)))</f>
        <v/>
      </c>
      <c r="I89" s="56" t="str">
        <f aca="false">IF($W89="","",N(INDEX(发票统计!I$4:I$1003,$W89)))</f>
        <v/>
      </c>
      <c r="J89" s="56" t="str">
        <f aca="false">IF($W89="","",N(INDEX(发票统计!J$4:J$1003,$W89)))</f>
        <v/>
      </c>
      <c r="K89" s="56" t="str">
        <f aca="false">IF($W89="","",N(INDEX(发票统计!K$4:K$1003,$W89)))</f>
        <v/>
      </c>
      <c r="L89" s="56" t="str">
        <f aca="false">IF($W89="","",SUM(J$4:J89)-SUM(K$4:K89))</f>
        <v/>
      </c>
      <c r="M89" s="56" t="str">
        <f aca="false">IF($W89="","",N(INDEX(发票统计!M$4:M$1003,$W89)))</f>
        <v/>
      </c>
      <c r="N89" s="56" t="str">
        <f aca="false">IF($W89="","",N(INDEX(发票统计!N$4:N$1003,$W89)))</f>
        <v/>
      </c>
      <c r="O89" s="56" t="str">
        <f aca="false">IF($W89="","",N(INDEX(发票统计!O$4:O$1003,$W89)))</f>
        <v/>
      </c>
      <c r="P89" s="56" t="str">
        <f aca="false">IF($W89="","",SUM(M$4:M89)-SUM(N$4:N89)-SUM(O$4:O89))</f>
        <v/>
      </c>
      <c r="Q89" s="56" t="str">
        <f aca="false">IF($W89="","",N(INDEX(发票统计!Q$4:Q$1003,$W89)))</f>
        <v/>
      </c>
      <c r="R89" s="56" t="str">
        <f aca="false">IF($W89="","",N(INDEX(发票统计!R$4:R$1003,$W89)))</f>
        <v/>
      </c>
      <c r="S89" s="56" t="str">
        <f aca="false">IF($W89="","",N(INDEX(发票统计!S$4:S$1003,$W89)))</f>
        <v/>
      </c>
      <c r="T89" s="56" t="str">
        <f aca="false">IF($W89="","",SUM(Q$4:Q89)-SUM(R$4:R89)-SUM(S$4:S89))</f>
        <v/>
      </c>
      <c r="U89" s="56" t="str">
        <f aca="false">IF($W89="","",INDEX(发票统计!U$4:U$1003,$W89)&amp;"")</f>
        <v/>
      </c>
      <c r="W89" s="1" t="str">
        <f aca="false">IF($V$3="","",IFERROR(MATCH($V$3&amp;"#"&amp;ROWS(W$4:W89),发票统计!$W$4:$W$1003,0),""))</f>
        <v/>
      </c>
    </row>
    <row r="90" customFormat="false" ht="16.5" hidden="false" customHeight="false" outlineLevel="0" collapsed="false">
      <c r="A90" s="3" t="str">
        <f aca="false">IF($W90="","",INDEX(发票统计!A$4:A$1003,$W90)&amp;"")</f>
        <v/>
      </c>
      <c r="B90" s="3" t="str">
        <f aca="false">IF($W90="","",INDEX(发票统计!B$4:B$1003,$W90)&amp;"")</f>
        <v/>
      </c>
      <c r="C90" s="3" t="str">
        <f aca="false">IF($W90="","",INDEX(发票统计!C$4:C$1003,$W90)&amp;"")</f>
        <v/>
      </c>
      <c r="D90" s="3" t="str">
        <f aca="false">IF($W90="","",INDEX(发票统计!D$4:D$1003,$W90)&amp;"")</f>
        <v/>
      </c>
      <c r="E90" s="56" t="str">
        <f aca="false">IF($W90="","",INDEX(发票统计!E$4:E$1003,$W90)&amp;"")</f>
        <v/>
      </c>
      <c r="F90" s="56" t="str">
        <f aca="false">IF($W90="","",INDEX(发票统计!F$4:F$1003,$W90)&amp;"")</f>
        <v/>
      </c>
      <c r="G90" s="68" t="str">
        <f aca="false">IF($W90="","",IF(INDEX(发票统计!G$4:G$1003,$W90)="","",INDEX(发票统计!G$4:G$1003,$W90)))</f>
        <v/>
      </c>
      <c r="H90" s="56" t="str">
        <f aca="false">IF($W90="","",N(INDEX(发票统计!H$4:H$1003,$W90)))</f>
        <v/>
      </c>
      <c r="I90" s="56" t="str">
        <f aca="false">IF($W90="","",N(INDEX(发票统计!I$4:I$1003,$W90)))</f>
        <v/>
      </c>
      <c r="J90" s="56" t="str">
        <f aca="false">IF($W90="","",N(INDEX(发票统计!J$4:J$1003,$W90)))</f>
        <v/>
      </c>
      <c r="K90" s="56" t="str">
        <f aca="false">IF($W90="","",N(INDEX(发票统计!K$4:K$1003,$W90)))</f>
        <v/>
      </c>
      <c r="L90" s="56" t="str">
        <f aca="false">IF($W90="","",SUM(J$4:J90)-SUM(K$4:K90))</f>
        <v/>
      </c>
      <c r="M90" s="56" t="str">
        <f aca="false">IF($W90="","",N(INDEX(发票统计!M$4:M$1003,$W90)))</f>
        <v/>
      </c>
      <c r="N90" s="56" t="str">
        <f aca="false">IF($W90="","",N(INDEX(发票统计!N$4:N$1003,$W90)))</f>
        <v/>
      </c>
      <c r="O90" s="56" t="str">
        <f aca="false">IF($W90="","",N(INDEX(发票统计!O$4:O$1003,$W90)))</f>
        <v/>
      </c>
      <c r="P90" s="56" t="str">
        <f aca="false">IF($W90="","",SUM(M$4:M90)-SUM(N$4:N90)-SUM(O$4:O90))</f>
        <v/>
      </c>
      <c r="Q90" s="56" t="str">
        <f aca="false">IF($W90="","",N(INDEX(发票统计!Q$4:Q$1003,$W90)))</f>
        <v/>
      </c>
      <c r="R90" s="56" t="str">
        <f aca="false">IF($W90="","",N(INDEX(发票统计!R$4:R$1003,$W90)))</f>
        <v/>
      </c>
      <c r="S90" s="56" t="str">
        <f aca="false">IF($W90="","",N(INDEX(发票统计!S$4:S$1003,$W90)))</f>
        <v/>
      </c>
      <c r="T90" s="56" t="str">
        <f aca="false">IF($W90="","",SUM(Q$4:Q90)-SUM(R$4:R90)-SUM(S$4:S90))</f>
        <v/>
      </c>
      <c r="U90" s="56" t="str">
        <f aca="false">IF($W90="","",INDEX(发票统计!U$4:U$1003,$W90)&amp;"")</f>
        <v/>
      </c>
      <c r="W90" s="1" t="str">
        <f aca="false">IF($V$3="","",IFERROR(MATCH($V$3&amp;"#"&amp;ROWS(W$4:W90),发票统计!$W$4:$W$1003,0),""))</f>
        <v/>
      </c>
    </row>
    <row r="91" customFormat="false" ht="16.5" hidden="false" customHeight="false" outlineLevel="0" collapsed="false">
      <c r="A91" s="3" t="str">
        <f aca="false">IF($W91="","",INDEX(发票统计!A$4:A$1003,$W91)&amp;"")</f>
        <v/>
      </c>
      <c r="B91" s="3" t="str">
        <f aca="false">IF($W91="","",INDEX(发票统计!B$4:B$1003,$W91)&amp;"")</f>
        <v/>
      </c>
      <c r="C91" s="3" t="str">
        <f aca="false">IF($W91="","",INDEX(发票统计!C$4:C$1003,$W91)&amp;"")</f>
        <v/>
      </c>
      <c r="D91" s="3" t="str">
        <f aca="false">IF($W91="","",INDEX(发票统计!D$4:D$1003,$W91)&amp;"")</f>
        <v/>
      </c>
      <c r="E91" s="56" t="str">
        <f aca="false">IF($W91="","",INDEX(发票统计!E$4:E$1003,$W91)&amp;"")</f>
        <v/>
      </c>
      <c r="F91" s="56" t="str">
        <f aca="false">IF($W91="","",INDEX(发票统计!F$4:F$1003,$W91)&amp;"")</f>
        <v/>
      </c>
      <c r="G91" s="68" t="str">
        <f aca="false">IF($W91="","",IF(INDEX(发票统计!G$4:G$1003,$W91)="","",INDEX(发票统计!G$4:G$1003,$W91)))</f>
        <v/>
      </c>
      <c r="H91" s="56" t="str">
        <f aca="false">IF($W91="","",N(INDEX(发票统计!H$4:H$1003,$W91)))</f>
        <v/>
      </c>
      <c r="I91" s="56" t="str">
        <f aca="false">IF($W91="","",N(INDEX(发票统计!I$4:I$1003,$W91)))</f>
        <v/>
      </c>
      <c r="J91" s="56" t="str">
        <f aca="false">IF($W91="","",N(INDEX(发票统计!J$4:J$1003,$W91)))</f>
        <v/>
      </c>
      <c r="K91" s="56" t="str">
        <f aca="false">IF($W91="","",N(INDEX(发票统计!K$4:K$1003,$W91)))</f>
        <v/>
      </c>
      <c r="L91" s="56" t="str">
        <f aca="false">IF($W91="","",SUM(J$4:J91)-SUM(K$4:K91))</f>
        <v/>
      </c>
      <c r="M91" s="56" t="str">
        <f aca="false">IF($W91="","",N(INDEX(发票统计!M$4:M$1003,$W91)))</f>
        <v/>
      </c>
      <c r="N91" s="56" t="str">
        <f aca="false">IF($W91="","",N(INDEX(发票统计!N$4:N$1003,$W91)))</f>
        <v/>
      </c>
      <c r="O91" s="56" t="str">
        <f aca="false">IF($W91="","",N(INDEX(发票统计!O$4:O$1003,$W91)))</f>
        <v/>
      </c>
      <c r="P91" s="56" t="str">
        <f aca="false">IF($W91="","",SUM(M$4:M91)-SUM(N$4:N91)-SUM(O$4:O91))</f>
        <v/>
      </c>
      <c r="Q91" s="56" t="str">
        <f aca="false">IF($W91="","",N(INDEX(发票统计!Q$4:Q$1003,$W91)))</f>
        <v/>
      </c>
      <c r="R91" s="56" t="str">
        <f aca="false">IF($W91="","",N(INDEX(发票统计!R$4:R$1003,$W91)))</f>
        <v/>
      </c>
      <c r="S91" s="56" t="str">
        <f aca="false">IF($W91="","",N(INDEX(发票统计!S$4:S$1003,$W91)))</f>
        <v/>
      </c>
      <c r="T91" s="56" t="str">
        <f aca="false">IF($W91="","",SUM(Q$4:Q91)-SUM(R$4:R91)-SUM(S$4:S91))</f>
        <v/>
      </c>
      <c r="U91" s="56" t="str">
        <f aca="false">IF($W91="","",INDEX(发票统计!U$4:U$1003,$W91)&amp;"")</f>
        <v/>
      </c>
      <c r="W91" s="1" t="str">
        <f aca="false">IF($V$3="","",IFERROR(MATCH($V$3&amp;"#"&amp;ROWS(W$4:W91),发票统计!$W$4:$W$1003,0),""))</f>
        <v/>
      </c>
    </row>
    <row r="92" customFormat="false" ht="16.5" hidden="false" customHeight="false" outlineLevel="0" collapsed="false">
      <c r="A92" s="3" t="str">
        <f aca="false">IF($W92="","",INDEX(发票统计!A$4:A$1003,$W92)&amp;"")</f>
        <v/>
      </c>
      <c r="B92" s="3" t="str">
        <f aca="false">IF($W92="","",INDEX(发票统计!B$4:B$1003,$W92)&amp;"")</f>
        <v/>
      </c>
      <c r="C92" s="3" t="str">
        <f aca="false">IF($W92="","",INDEX(发票统计!C$4:C$1003,$W92)&amp;"")</f>
        <v/>
      </c>
      <c r="D92" s="3" t="str">
        <f aca="false">IF($W92="","",INDEX(发票统计!D$4:D$1003,$W92)&amp;"")</f>
        <v/>
      </c>
      <c r="E92" s="56" t="str">
        <f aca="false">IF($W92="","",INDEX(发票统计!E$4:E$1003,$W92)&amp;"")</f>
        <v/>
      </c>
      <c r="F92" s="56" t="str">
        <f aca="false">IF($W92="","",INDEX(发票统计!F$4:F$1003,$W92)&amp;"")</f>
        <v/>
      </c>
      <c r="G92" s="68" t="str">
        <f aca="false">IF($W92="","",IF(INDEX(发票统计!G$4:G$1003,$W92)="","",INDEX(发票统计!G$4:G$1003,$W92)))</f>
        <v/>
      </c>
      <c r="H92" s="56" t="str">
        <f aca="false">IF($W92="","",N(INDEX(发票统计!H$4:H$1003,$W92)))</f>
        <v/>
      </c>
      <c r="I92" s="56" t="str">
        <f aca="false">IF($W92="","",N(INDEX(发票统计!I$4:I$1003,$W92)))</f>
        <v/>
      </c>
      <c r="J92" s="56" t="str">
        <f aca="false">IF($W92="","",N(INDEX(发票统计!J$4:J$1003,$W92)))</f>
        <v/>
      </c>
      <c r="K92" s="56" t="str">
        <f aca="false">IF($W92="","",N(INDEX(发票统计!K$4:K$1003,$W92)))</f>
        <v/>
      </c>
      <c r="L92" s="56" t="str">
        <f aca="false">IF($W92="","",SUM(J$4:J92)-SUM(K$4:K92))</f>
        <v/>
      </c>
      <c r="M92" s="56" t="str">
        <f aca="false">IF($W92="","",N(INDEX(发票统计!M$4:M$1003,$W92)))</f>
        <v/>
      </c>
      <c r="N92" s="56" t="str">
        <f aca="false">IF($W92="","",N(INDEX(发票统计!N$4:N$1003,$W92)))</f>
        <v/>
      </c>
      <c r="O92" s="56" t="str">
        <f aca="false">IF($W92="","",N(INDEX(发票统计!O$4:O$1003,$W92)))</f>
        <v/>
      </c>
      <c r="P92" s="56" t="str">
        <f aca="false">IF($W92="","",SUM(M$4:M92)-SUM(N$4:N92)-SUM(O$4:O92))</f>
        <v/>
      </c>
      <c r="Q92" s="56" t="str">
        <f aca="false">IF($W92="","",N(INDEX(发票统计!Q$4:Q$1003,$W92)))</f>
        <v/>
      </c>
      <c r="R92" s="56" t="str">
        <f aca="false">IF($W92="","",N(INDEX(发票统计!R$4:R$1003,$W92)))</f>
        <v/>
      </c>
      <c r="S92" s="56" t="str">
        <f aca="false">IF($W92="","",N(INDEX(发票统计!S$4:S$1003,$W92)))</f>
        <v/>
      </c>
      <c r="T92" s="56" t="str">
        <f aca="false">IF($W92="","",SUM(Q$4:Q92)-SUM(R$4:R92)-SUM(S$4:S92))</f>
        <v/>
      </c>
      <c r="U92" s="56" t="str">
        <f aca="false">IF($W92="","",INDEX(发票统计!U$4:U$1003,$W92)&amp;"")</f>
        <v/>
      </c>
      <c r="W92" s="1" t="str">
        <f aca="false">IF($V$3="","",IFERROR(MATCH($V$3&amp;"#"&amp;ROWS(W$4:W92),发票统计!$W$4:$W$1003,0),""))</f>
        <v/>
      </c>
    </row>
    <row r="93" customFormat="false" ht="16.5" hidden="false" customHeight="false" outlineLevel="0" collapsed="false">
      <c r="A93" s="3" t="str">
        <f aca="false">IF($W93="","",INDEX(发票统计!A$4:A$1003,$W93)&amp;"")</f>
        <v/>
      </c>
      <c r="B93" s="3" t="str">
        <f aca="false">IF($W93="","",INDEX(发票统计!B$4:B$1003,$W93)&amp;"")</f>
        <v/>
      </c>
      <c r="C93" s="3" t="str">
        <f aca="false">IF($W93="","",INDEX(发票统计!C$4:C$1003,$W93)&amp;"")</f>
        <v/>
      </c>
      <c r="D93" s="3" t="str">
        <f aca="false">IF($W93="","",INDEX(发票统计!D$4:D$1003,$W93)&amp;"")</f>
        <v/>
      </c>
      <c r="E93" s="56" t="str">
        <f aca="false">IF($W93="","",INDEX(发票统计!E$4:E$1003,$W93)&amp;"")</f>
        <v/>
      </c>
      <c r="F93" s="56" t="str">
        <f aca="false">IF($W93="","",INDEX(发票统计!F$4:F$1003,$W93)&amp;"")</f>
        <v/>
      </c>
      <c r="G93" s="68" t="str">
        <f aca="false">IF($W93="","",IF(INDEX(发票统计!G$4:G$1003,$W93)="","",INDEX(发票统计!G$4:G$1003,$W93)))</f>
        <v/>
      </c>
      <c r="H93" s="56" t="str">
        <f aca="false">IF($W93="","",N(INDEX(发票统计!H$4:H$1003,$W93)))</f>
        <v/>
      </c>
      <c r="I93" s="56" t="str">
        <f aca="false">IF($W93="","",N(INDEX(发票统计!I$4:I$1003,$W93)))</f>
        <v/>
      </c>
      <c r="J93" s="56" t="str">
        <f aca="false">IF($W93="","",N(INDEX(发票统计!J$4:J$1003,$W93)))</f>
        <v/>
      </c>
      <c r="K93" s="56" t="str">
        <f aca="false">IF($W93="","",N(INDEX(发票统计!K$4:K$1003,$W93)))</f>
        <v/>
      </c>
      <c r="L93" s="56" t="str">
        <f aca="false">IF($W93="","",SUM(J$4:J93)-SUM(K$4:K93))</f>
        <v/>
      </c>
      <c r="M93" s="56" t="str">
        <f aca="false">IF($W93="","",N(INDEX(发票统计!M$4:M$1003,$W93)))</f>
        <v/>
      </c>
      <c r="N93" s="56" t="str">
        <f aca="false">IF($W93="","",N(INDEX(发票统计!N$4:N$1003,$W93)))</f>
        <v/>
      </c>
      <c r="O93" s="56" t="str">
        <f aca="false">IF($W93="","",N(INDEX(发票统计!O$4:O$1003,$W93)))</f>
        <v/>
      </c>
      <c r="P93" s="56" t="str">
        <f aca="false">IF($W93="","",SUM(M$4:M93)-SUM(N$4:N93)-SUM(O$4:O93))</f>
        <v/>
      </c>
      <c r="Q93" s="56" t="str">
        <f aca="false">IF($W93="","",N(INDEX(发票统计!Q$4:Q$1003,$W93)))</f>
        <v/>
      </c>
      <c r="R93" s="56" t="str">
        <f aca="false">IF($W93="","",N(INDEX(发票统计!R$4:R$1003,$W93)))</f>
        <v/>
      </c>
      <c r="S93" s="56" t="str">
        <f aca="false">IF($W93="","",N(INDEX(发票统计!S$4:S$1003,$W93)))</f>
        <v/>
      </c>
      <c r="T93" s="56" t="str">
        <f aca="false">IF($W93="","",SUM(Q$4:Q93)-SUM(R$4:R93)-SUM(S$4:S93))</f>
        <v/>
      </c>
      <c r="U93" s="56" t="str">
        <f aca="false">IF($W93="","",INDEX(发票统计!U$4:U$1003,$W93)&amp;"")</f>
        <v/>
      </c>
      <c r="W93" s="1" t="str">
        <f aca="false">IF($V$3="","",IFERROR(MATCH($V$3&amp;"#"&amp;ROWS(W$4:W93),发票统计!$W$4:$W$1003,0),""))</f>
        <v/>
      </c>
    </row>
    <row r="94" customFormat="false" ht="16.5" hidden="false" customHeight="false" outlineLevel="0" collapsed="false">
      <c r="A94" s="3" t="str">
        <f aca="false">IF($W94="","",INDEX(发票统计!A$4:A$1003,$W94)&amp;"")</f>
        <v/>
      </c>
      <c r="B94" s="3" t="str">
        <f aca="false">IF($W94="","",INDEX(发票统计!B$4:B$1003,$W94)&amp;"")</f>
        <v/>
      </c>
      <c r="C94" s="3" t="str">
        <f aca="false">IF($W94="","",INDEX(发票统计!C$4:C$1003,$W94)&amp;"")</f>
        <v/>
      </c>
      <c r="D94" s="3" t="str">
        <f aca="false">IF($W94="","",INDEX(发票统计!D$4:D$1003,$W94)&amp;"")</f>
        <v/>
      </c>
      <c r="E94" s="56" t="str">
        <f aca="false">IF($W94="","",INDEX(发票统计!E$4:E$1003,$W94)&amp;"")</f>
        <v/>
      </c>
      <c r="F94" s="56" t="str">
        <f aca="false">IF($W94="","",INDEX(发票统计!F$4:F$1003,$W94)&amp;"")</f>
        <v/>
      </c>
      <c r="G94" s="68" t="str">
        <f aca="false">IF($W94="","",IF(INDEX(发票统计!G$4:G$1003,$W94)="","",INDEX(发票统计!G$4:G$1003,$W94)))</f>
        <v/>
      </c>
      <c r="H94" s="56" t="str">
        <f aca="false">IF($W94="","",N(INDEX(发票统计!H$4:H$1003,$W94)))</f>
        <v/>
      </c>
      <c r="I94" s="56" t="str">
        <f aca="false">IF($W94="","",N(INDEX(发票统计!I$4:I$1003,$W94)))</f>
        <v/>
      </c>
      <c r="J94" s="56" t="str">
        <f aca="false">IF($W94="","",N(INDEX(发票统计!J$4:J$1003,$W94)))</f>
        <v/>
      </c>
      <c r="K94" s="56" t="str">
        <f aca="false">IF($W94="","",N(INDEX(发票统计!K$4:K$1003,$W94)))</f>
        <v/>
      </c>
      <c r="L94" s="56" t="str">
        <f aca="false">IF($W94="","",SUM(J$4:J94)-SUM(K$4:K94))</f>
        <v/>
      </c>
      <c r="M94" s="56" t="str">
        <f aca="false">IF($W94="","",N(INDEX(发票统计!M$4:M$1003,$W94)))</f>
        <v/>
      </c>
      <c r="N94" s="56" t="str">
        <f aca="false">IF($W94="","",N(INDEX(发票统计!N$4:N$1003,$W94)))</f>
        <v/>
      </c>
      <c r="O94" s="56" t="str">
        <f aca="false">IF($W94="","",N(INDEX(发票统计!O$4:O$1003,$W94)))</f>
        <v/>
      </c>
      <c r="P94" s="56" t="str">
        <f aca="false">IF($W94="","",SUM(M$4:M94)-SUM(N$4:N94)-SUM(O$4:O94))</f>
        <v/>
      </c>
      <c r="Q94" s="56" t="str">
        <f aca="false">IF($W94="","",N(INDEX(发票统计!Q$4:Q$1003,$W94)))</f>
        <v/>
      </c>
      <c r="R94" s="56" t="str">
        <f aca="false">IF($W94="","",N(INDEX(发票统计!R$4:R$1003,$W94)))</f>
        <v/>
      </c>
      <c r="S94" s="56" t="str">
        <f aca="false">IF($W94="","",N(INDEX(发票统计!S$4:S$1003,$W94)))</f>
        <v/>
      </c>
      <c r="T94" s="56" t="str">
        <f aca="false">IF($W94="","",SUM(Q$4:Q94)-SUM(R$4:R94)-SUM(S$4:S94))</f>
        <v/>
      </c>
      <c r="U94" s="56" t="str">
        <f aca="false">IF($W94="","",INDEX(发票统计!U$4:U$1003,$W94)&amp;"")</f>
        <v/>
      </c>
      <c r="W94" s="1" t="str">
        <f aca="false">IF($V$3="","",IFERROR(MATCH($V$3&amp;"#"&amp;ROWS(W$4:W94),发票统计!$W$4:$W$1003,0),""))</f>
        <v/>
      </c>
    </row>
    <row r="95" customFormat="false" ht="16.5" hidden="false" customHeight="false" outlineLevel="0" collapsed="false">
      <c r="A95" s="3" t="str">
        <f aca="false">IF($W95="","",INDEX(发票统计!A$4:A$1003,$W95)&amp;"")</f>
        <v/>
      </c>
      <c r="B95" s="3" t="str">
        <f aca="false">IF($W95="","",INDEX(发票统计!B$4:B$1003,$W95)&amp;"")</f>
        <v/>
      </c>
      <c r="C95" s="3" t="str">
        <f aca="false">IF($W95="","",INDEX(发票统计!C$4:C$1003,$W95)&amp;"")</f>
        <v/>
      </c>
      <c r="D95" s="3" t="str">
        <f aca="false">IF($W95="","",INDEX(发票统计!D$4:D$1003,$W95)&amp;"")</f>
        <v/>
      </c>
      <c r="E95" s="56" t="str">
        <f aca="false">IF($W95="","",INDEX(发票统计!E$4:E$1003,$W95)&amp;"")</f>
        <v/>
      </c>
      <c r="F95" s="56" t="str">
        <f aca="false">IF($W95="","",INDEX(发票统计!F$4:F$1003,$W95)&amp;"")</f>
        <v/>
      </c>
      <c r="G95" s="68" t="str">
        <f aca="false">IF($W95="","",IF(INDEX(发票统计!G$4:G$1003,$W95)="","",INDEX(发票统计!G$4:G$1003,$W95)))</f>
        <v/>
      </c>
      <c r="H95" s="56" t="str">
        <f aca="false">IF($W95="","",N(INDEX(发票统计!H$4:H$1003,$W95)))</f>
        <v/>
      </c>
      <c r="I95" s="56" t="str">
        <f aca="false">IF($W95="","",N(INDEX(发票统计!I$4:I$1003,$W95)))</f>
        <v/>
      </c>
      <c r="J95" s="56" t="str">
        <f aca="false">IF($W95="","",N(INDEX(发票统计!J$4:J$1003,$W95)))</f>
        <v/>
      </c>
      <c r="K95" s="56" t="str">
        <f aca="false">IF($W95="","",N(INDEX(发票统计!K$4:K$1003,$W95)))</f>
        <v/>
      </c>
      <c r="L95" s="56" t="str">
        <f aca="false">IF($W95="","",SUM(J$4:J95)-SUM(K$4:K95))</f>
        <v/>
      </c>
      <c r="M95" s="56" t="str">
        <f aca="false">IF($W95="","",N(INDEX(发票统计!M$4:M$1003,$W95)))</f>
        <v/>
      </c>
      <c r="N95" s="56" t="str">
        <f aca="false">IF($W95="","",N(INDEX(发票统计!N$4:N$1003,$W95)))</f>
        <v/>
      </c>
      <c r="O95" s="56" t="str">
        <f aca="false">IF($W95="","",N(INDEX(发票统计!O$4:O$1003,$W95)))</f>
        <v/>
      </c>
      <c r="P95" s="56" t="str">
        <f aca="false">IF($W95="","",SUM(M$4:M95)-SUM(N$4:N95)-SUM(O$4:O95))</f>
        <v/>
      </c>
      <c r="Q95" s="56" t="str">
        <f aca="false">IF($W95="","",N(INDEX(发票统计!Q$4:Q$1003,$W95)))</f>
        <v/>
      </c>
      <c r="R95" s="56" t="str">
        <f aca="false">IF($W95="","",N(INDEX(发票统计!R$4:R$1003,$W95)))</f>
        <v/>
      </c>
      <c r="S95" s="56" t="str">
        <f aca="false">IF($W95="","",N(INDEX(发票统计!S$4:S$1003,$W95)))</f>
        <v/>
      </c>
      <c r="T95" s="56" t="str">
        <f aca="false">IF($W95="","",SUM(Q$4:Q95)-SUM(R$4:R95)-SUM(S$4:S95))</f>
        <v/>
      </c>
      <c r="U95" s="56" t="str">
        <f aca="false">IF($W95="","",INDEX(发票统计!U$4:U$1003,$W95)&amp;"")</f>
        <v/>
      </c>
      <c r="W95" s="1" t="str">
        <f aca="false">IF($V$3="","",IFERROR(MATCH($V$3&amp;"#"&amp;ROWS(W$4:W95),发票统计!$W$4:$W$1003,0),""))</f>
        <v/>
      </c>
    </row>
    <row r="96" customFormat="false" ht="16.5" hidden="false" customHeight="false" outlineLevel="0" collapsed="false">
      <c r="A96" s="3" t="str">
        <f aca="false">IF($W96="","",INDEX(发票统计!A$4:A$1003,$W96)&amp;"")</f>
        <v/>
      </c>
      <c r="B96" s="3" t="str">
        <f aca="false">IF($W96="","",INDEX(发票统计!B$4:B$1003,$W96)&amp;"")</f>
        <v/>
      </c>
      <c r="C96" s="3" t="str">
        <f aca="false">IF($W96="","",INDEX(发票统计!C$4:C$1003,$W96)&amp;"")</f>
        <v/>
      </c>
      <c r="D96" s="3" t="str">
        <f aca="false">IF($W96="","",INDEX(发票统计!D$4:D$1003,$W96)&amp;"")</f>
        <v/>
      </c>
      <c r="E96" s="56" t="str">
        <f aca="false">IF($W96="","",INDEX(发票统计!E$4:E$1003,$W96)&amp;"")</f>
        <v/>
      </c>
      <c r="F96" s="56" t="str">
        <f aca="false">IF($W96="","",INDEX(发票统计!F$4:F$1003,$W96)&amp;"")</f>
        <v/>
      </c>
      <c r="G96" s="68" t="str">
        <f aca="false">IF($W96="","",IF(INDEX(发票统计!G$4:G$1003,$W96)="","",INDEX(发票统计!G$4:G$1003,$W96)))</f>
        <v/>
      </c>
      <c r="H96" s="56" t="str">
        <f aca="false">IF($W96="","",N(INDEX(发票统计!H$4:H$1003,$W96)))</f>
        <v/>
      </c>
      <c r="I96" s="56" t="str">
        <f aca="false">IF($W96="","",N(INDEX(发票统计!I$4:I$1003,$W96)))</f>
        <v/>
      </c>
      <c r="J96" s="56" t="str">
        <f aca="false">IF($W96="","",N(INDEX(发票统计!J$4:J$1003,$W96)))</f>
        <v/>
      </c>
      <c r="K96" s="56" t="str">
        <f aca="false">IF($W96="","",N(INDEX(发票统计!K$4:K$1003,$W96)))</f>
        <v/>
      </c>
      <c r="L96" s="56" t="str">
        <f aca="false">IF($W96="","",SUM(J$4:J96)-SUM(K$4:K96))</f>
        <v/>
      </c>
      <c r="M96" s="56" t="str">
        <f aca="false">IF($W96="","",N(INDEX(发票统计!M$4:M$1003,$W96)))</f>
        <v/>
      </c>
      <c r="N96" s="56" t="str">
        <f aca="false">IF($W96="","",N(INDEX(发票统计!N$4:N$1003,$W96)))</f>
        <v/>
      </c>
      <c r="O96" s="56" t="str">
        <f aca="false">IF($W96="","",N(INDEX(发票统计!O$4:O$1003,$W96)))</f>
        <v/>
      </c>
      <c r="P96" s="56" t="str">
        <f aca="false">IF($W96="","",SUM(M$4:M96)-SUM(N$4:N96)-SUM(O$4:O96))</f>
        <v/>
      </c>
      <c r="Q96" s="56" t="str">
        <f aca="false">IF($W96="","",N(INDEX(发票统计!Q$4:Q$1003,$W96)))</f>
        <v/>
      </c>
      <c r="R96" s="56" t="str">
        <f aca="false">IF($W96="","",N(INDEX(发票统计!R$4:R$1003,$W96)))</f>
        <v/>
      </c>
      <c r="S96" s="56" t="str">
        <f aca="false">IF($W96="","",N(INDEX(发票统计!S$4:S$1003,$W96)))</f>
        <v/>
      </c>
      <c r="T96" s="56" t="str">
        <f aca="false">IF($W96="","",SUM(Q$4:Q96)-SUM(R$4:R96)-SUM(S$4:S96))</f>
        <v/>
      </c>
      <c r="U96" s="56" t="str">
        <f aca="false">IF($W96="","",INDEX(发票统计!U$4:U$1003,$W96)&amp;"")</f>
        <v/>
      </c>
      <c r="W96" s="1" t="str">
        <f aca="false">IF($V$3="","",IFERROR(MATCH($V$3&amp;"#"&amp;ROWS(W$4:W96),发票统计!$W$4:$W$1003,0),""))</f>
        <v/>
      </c>
    </row>
    <row r="97" customFormat="false" ht="16.5" hidden="false" customHeight="false" outlineLevel="0" collapsed="false">
      <c r="A97" s="3" t="str">
        <f aca="false">IF($W97="","",INDEX(发票统计!A$4:A$1003,$W97)&amp;"")</f>
        <v/>
      </c>
      <c r="B97" s="3" t="str">
        <f aca="false">IF($W97="","",INDEX(发票统计!B$4:B$1003,$W97)&amp;"")</f>
        <v/>
      </c>
      <c r="C97" s="3" t="str">
        <f aca="false">IF($W97="","",INDEX(发票统计!C$4:C$1003,$W97)&amp;"")</f>
        <v/>
      </c>
      <c r="D97" s="3" t="str">
        <f aca="false">IF($W97="","",INDEX(发票统计!D$4:D$1003,$W97)&amp;"")</f>
        <v/>
      </c>
      <c r="E97" s="56" t="str">
        <f aca="false">IF($W97="","",INDEX(发票统计!E$4:E$1003,$W97)&amp;"")</f>
        <v/>
      </c>
      <c r="F97" s="56" t="str">
        <f aca="false">IF($W97="","",INDEX(发票统计!F$4:F$1003,$W97)&amp;"")</f>
        <v/>
      </c>
      <c r="G97" s="68" t="str">
        <f aca="false">IF($W97="","",IF(INDEX(发票统计!G$4:G$1003,$W97)="","",INDEX(发票统计!G$4:G$1003,$W97)))</f>
        <v/>
      </c>
      <c r="H97" s="56" t="str">
        <f aca="false">IF($W97="","",N(INDEX(发票统计!H$4:H$1003,$W97)))</f>
        <v/>
      </c>
      <c r="I97" s="56" t="str">
        <f aca="false">IF($W97="","",N(INDEX(发票统计!I$4:I$1003,$W97)))</f>
        <v/>
      </c>
      <c r="J97" s="56" t="str">
        <f aca="false">IF($W97="","",N(INDEX(发票统计!J$4:J$1003,$W97)))</f>
        <v/>
      </c>
      <c r="K97" s="56" t="str">
        <f aca="false">IF($W97="","",N(INDEX(发票统计!K$4:K$1003,$W97)))</f>
        <v/>
      </c>
      <c r="L97" s="56" t="str">
        <f aca="false">IF($W97="","",SUM(J$4:J97)-SUM(K$4:K97))</f>
        <v/>
      </c>
      <c r="M97" s="56" t="str">
        <f aca="false">IF($W97="","",N(INDEX(发票统计!M$4:M$1003,$W97)))</f>
        <v/>
      </c>
      <c r="N97" s="56" t="str">
        <f aca="false">IF($W97="","",N(INDEX(发票统计!N$4:N$1003,$W97)))</f>
        <v/>
      </c>
      <c r="O97" s="56" t="str">
        <f aca="false">IF($W97="","",N(INDEX(发票统计!O$4:O$1003,$W97)))</f>
        <v/>
      </c>
      <c r="P97" s="56" t="str">
        <f aca="false">IF($W97="","",SUM(M$4:M97)-SUM(N$4:N97)-SUM(O$4:O97))</f>
        <v/>
      </c>
      <c r="Q97" s="56" t="str">
        <f aca="false">IF($W97="","",N(INDEX(发票统计!Q$4:Q$1003,$W97)))</f>
        <v/>
      </c>
      <c r="R97" s="56" t="str">
        <f aca="false">IF($W97="","",N(INDEX(发票统计!R$4:R$1003,$W97)))</f>
        <v/>
      </c>
      <c r="S97" s="56" t="str">
        <f aca="false">IF($W97="","",N(INDEX(发票统计!S$4:S$1003,$W97)))</f>
        <v/>
      </c>
      <c r="T97" s="56" t="str">
        <f aca="false">IF($W97="","",SUM(Q$4:Q97)-SUM(R$4:R97)-SUM(S$4:S97))</f>
        <v/>
      </c>
      <c r="U97" s="56" t="str">
        <f aca="false">IF($W97="","",INDEX(发票统计!U$4:U$1003,$W97)&amp;"")</f>
        <v/>
      </c>
      <c r="W97" s="1" t="str">
        <f aca="false">IF($V$3="","",IFERROR(MATCH($V$3&amp;"#"&amp;ROWS(W$4:W97),发票统计!$W$4:$W$1003,0),""))</f>
        <v/>
      </c>
    </row>
    <row r="98" customFormat="false" ht="16.5" hidden="false" customHeight="false" outlineLevel="0" collapsed="false">
      <c r="A98" s="3" t="str">
        <f aca="false">IF($W98="","",INDEX(发票统计!A$4:A$1003,$W98)&amp;"")</f>
        <v/>
      </c>
      <c r="B98" s="3" t="str">
        <f aca="false">IF($W98="","",INDEX(发票统计!B$4:B$1003,$W98)&amp;"")</f>
        <v/>
      </c>
      <c r="C98" s="3" t="str">
        <f aca="false">IF($W98="","",INDEX(发票统计!C$4:C$1003,$W98)&amp;"")</f>
        <v/>
      </c>
      <c r="D98" s="3" t="str">
        <f aca="false">IF($W98="","",INDEX(发票统计!D$4:D$1003,$W98)&amp;"")</f>
        <v/>
      </c>
      <c r="E98" s="56" t="str">
        <f aca="false">IF($W98="","",INDEX(发票统计!E$4:E$1003,$W98)&amp;"")</f>
        <v/>
      </c>
      <c r="F98" s="56" t="str">
        <f aca="false">IF($W98="","",INDEX(发票统计!F$4:F$1003,$W98)&amp;"")</f>
        <v/>
      </c>
      <c r="G98" s="68" t="str">
        <f aca="false">IF($W98="","",IF(INDEX(发票统计!G$4:G$1003,$W98)="","",INDEX(发票统计!G$4:G$1003,$W98)))</f>
        <v/>
      </c>
      <c r="H98" s="56" t="str">
        <f aca="false">IF($W98="","",N(INDEX(发票统计!H$4:H$1003,$W98)))</f>
        <v/>
      </c>
      <c r="I98" s="56" t="str">
        <f aca="false">IF($W98="","",N(INDEX(发票统计!I$4:I$1003,$W98)))</f>
        <v/>
      </c>
      <c r="J98" s="56" t="str">
        <f aca="false">IF($W98="","",N(INDEX(发票统计!J$4:J$1003,$W98)))</f>
        <v/>
      </c>
      <c r="K98" s="56" t="str">
        <f aca="false">IF($W98="","",N(INDEX(发票统计!K$4:K$1003,$W98)))</f>
        <v/>
      </c>
      <c r="L98" s="56" t="str">
        <f aca="false">IF($W98="","",SUM(J$4:J98)-SUM(K$4:K98))</f>
        <v/>
      </c>
      <c r="M98" s="56" t="str">
        <f aca="false">IF($W98="","",N(INDEX(发票统计!M$4:M$1003,$W98)))</f>
        <v/>
      </c>
      <c r="N98" s="56" t="str">
        <f aca="false">IF($W98="","",N(INDEX(发票统计!N$4:N$1003,$W98)))</f>
        <v/>
      </c>
      <c r="O98" s="56" t="str">
        <f aca="false">IF($W98="","",N(INDEX(发票统计!O$4:O$1003,$W98)))</f>
        <v/>
      </c>
      <c r="P98" s="56" t="str">
        <f aca="false">IF($W98="","",SUM(M$4:M98)-SUM(N$4:N98)-SUM(O$4:O98))</f>
        <v/>
      </c>
      <c r="Q98" s="56" t="str">
        <f aca="false">IF($W98="","",N(INDEX(发票统计!Q$4:Q$1003,$W98)))</f>
        <v/>
      </c>
      <c r="R98" s="56" t="str">
        <f aca="false">IF($W98="","",N(INDEX(发票统计!R$4:R$1003,$W98)))</f>
        <v/>
      </c>
      <c r="S98" s="56" t="str">
        <f aca="false">IF($W98="","",N(INDEX(发票统计!S$4:S$1003,$W98)))</f>
        <v/>
      </c>
      <c r="T98" s="56" t="str">
        <f aca="false">IF($W98="","",SUM(Q$4:Q98)-SUM(R$4:R98)-SUM(S$4:S98))</f>
        <v/>
      </c>
      <c r="U98" s="56" t="str">
        <f aca="false">IF($W98="","",INDEX(发票统计!U$4:U$1003,$W98)&amp;"")</f>
        <v/>
      </c>
      <c r="W98" s="1" t="str">
        <f aca="false">IF($V$3="","",IFERROR(MATCH($V$3&amp;"#"&amp;ROWS(W$4:W98),发票统计!$W$4:$W$1003,0),""))</f>
        <v/>
      </c>
    </row>
    <row r="99" customFormat="false" ht="16.5" hidden="false" customHeight="false" outlineLevel="0" collapsed="false">
      <c r="A99" s="3" t="str">
        <f aca="false">IF($W99="","",INDEX(发票统计!A$4:A$1003,$W99)&amp;"")</f>
        <v/>
      </c>
      <c r="B99" s="3" t="str">
        <f aca="false">IF($W99="","",INDEX(发票统计!B$4:B$1003,$W99)&amp;"")</f>
        <v/>
      </c>
      <c r="C99" s="3" t="str">
        <f aca="false">IF($W99="","",INDEX(发票统计!C$4:C$1003,$W99)&amp;"")</f>
        <v/>
      </c>
      <c r="D99" s="3" t="str">
        <f aca="false">IF($W99="","",INDEX(发票统计!D$4:D$1003,$W99)&amp;"")</f>
        <v/>
      </c>
      <c r="E99" s="56" t="str">
        <f aca="false">IF($W99="","",INDEX(发票统计!E$4:E$1003,$W99)&amp;"")</f>
        <v/>
      </c>
      <c r="F99" s="56" t="str">
        <f aca="false">IF($W99="","",INDEX(发票统计!F$4:F$1003,$W99)&amp;"")</f>
        <v/>
      </c>
      <c r="G99" s="68" t="str">
        <f aca="false">IF($W99="","",IF(INDEX(发票统计!G$4:G$1003,$W99)="","",INDEX(发票统计!G$4:G$1003,$W99)))</f>
        <v/>
      </c>
      <c r="H99" s="56" t="str">
        <f aca="false">IF($W99="","",N(INDEX(发票统计!H$4:H$1003,$W99)))</f>
        <v/>
      </c>
      <c r="I99" s="56" t="str">
        <f aca="false">IF($W99="","",N(INDEX(发票统计!I$4:I$1003,$W99)))</f>
        <v/>
      </c>
      <c r="J99" s="56" t="str">
        <f aca="false">IF($W99="","",N(INDEX(发票统计!J$4:J$1003,$W99)))</f>
        <v/>
      </c>
      <c r="K99" s="56" t="str">
        <f aca="false">IF($W99="","",N(INDEX(发票统计!K$4:K$1003,$W99)))</f>
        <v/>
      </c>
      <c r="L99" s="56" t="str">
        <f aca="false">IF($W99="","",SUM(J$4:J99)-SUM(K$4:K99))</f>
        <v/>
      </c>
      <c r="M99" s="56" t="str">
        <f aca="false">IF($W99="","",N(INDEX(发票统计!M$4:M$1003,$W99)))</f>
        <v/>
      </c>
      <c r="N99" s="56" t="str">
        <f aca="false">IF($W99="","",N(INDEX(发票统计!N$4:N$1003,$W99)))</f>
        <v/>
      </c>
      <c r="O99" s="56" t="str">
        <f aca="false">IF($W99="","",N(INDEX(发票统计!O$4:O$1003,$W99)))</f>
        <v/>
      </c>
      <c r="P99" s="56" t="str">
        <f aca="false">IF($W99="","",SUM(M$4:M99)-SUM(N$4:N99)-SUM(O$4:O99))</f>
        <v/>
      </c>
      <c r="Q99" s="56" t="str">
        <f aca="false">IF($W99="","",N(INDEX(发票统计!Q$4:Q$1003,$W99)))</f>
        <v/>
      </c>
      <c r="R99" s="56" t="str">
        <f aca="false">IF($W99="","",N(INDEX(发票统计!R$4:R$1003,$W99)))</f>
        <v/>
      </c>
      <c r="S99" s="56" t="str">
        <f aca="false">IF($W99="","",N(INDEX(发票统计!S$4:S$1003,$W99)))</f>
        <v/>
      </c>
      <c r="T99" s="56" t="str">
        <f aca="false">IF($W99="","",SUM(Q$4:Q99)-SUM(R$4:R99)-SUM(S$4:S99))</f>
        <v/>
      </c>
      <c r="U99" s="56" t="str">
        <f aca="false">IF($W99="","",INDEX(发票统计!U$4:U$1003,$W99)&amp;"")</f>
        <v/>
      </c>
      <c r="W99" s="1" t="str">
        <f aca="false">IF($V$3="","",IFERROR(MATCH($V$3&amp;"#"&amp;ROWS(W$4:W99),发票统计!$W$4:$W$1003,0),""))</f>
        <v/>
      </c>
    </row>
    <row r="100" customFormat="false" ht="16.5" hidden="false" customHeight="false" outlineLevel="0" collapsed="false">
      <c r="A100" s="3" t="str">
        <f aca="false">IF($W100="","",INDEX(发票统计!A$4:A$1003,$W100)&amp;"")</f>
        <v/>
      </c>
      <c r="B100" s="3" t="str">
        <f aca="false">IF($W100="","",INDEX(发票统计!B$4:B$1003,$W100)&amp;"")</f>
        <v/>
      </c>
      <c r="C100" s="3" t="str">
        <f aca="false">IF($W100="","",INDEX(发票统计!C$4:C$1003,$W100)&amp;"")</f>
        <v/>
      </c>
      <c r="D100" s="3" t="str">
        <f aca="false">IF($W100="","",INDEX(发票统计!D$4:D$1003,$W100)&amp;"")</f>
        <v/>
      </c>
      <c r="E100" s="56" t="str">
        <f aca="false">IF($W100="","",INDEX(发票统计!E$4:E$1003,$W100)&amp;"")</f>
        <v/>
      </c>
      <c r="F100" s="56" t="str">
        <f aca="false">IF($W100="","",INDEX(发票统计!F$4:F$1003,$W100)&amp;"")</f>
        <v/>
      </c>
      <c r="G100" s="68" t="str">
        <f aca="false">IF($W100="","",IF(INDEX(发票统计!G$4:G$1003,$W100)="","",INDEX(发票统计!G$4:G$1003,$W100)))</f>
        <v/>
      </c>
      <c r="H100" s="56" t="str">
        <f aca="false">IF($W100="","",N(INDEX(发票统计!H$4:H$1003,$W100)))</f>
        <v/>
      </c>
      <c r="I100" s="56" t="str">
        <f aca="false">IF($W100="","",N(INDEX(发票统计!I$4:I$1003,$W100)))</f>
        <v/>
      </c>
      <c r="J100" s="56" t="str">
        <f aca="false">IF($W100="","",N(INDEX(发票统计!J$4:J$1003,$W100)))</f>
        <v/>
      </c>
      <c r="K100" s="56" t="str">
        <f aca="false">IF($W100="","",N(INDEX(发票统计!K$4:K$1003,$W100)))</f>
        <v/>
      </c>
      <c r="L100" s="56" t="str">
        <f aca="false">IF($W100="","",SUM(J$4:J100)-SUM(K$4:K100))</f>
        <v/>
      </c>
      <c r="M100" s="56" t="str">
        <f aca="false">IF($W100="","",N(INDEX(发票统计!M$4:M$1003,$W100)))</f>
        <v/>
      </c>
      <c r="N100" s="56" t="str">
        <f aca="false">IF($W100="","",N(INDEX(发票统计!N$4:N$1003,$W100)))</f>
        <v/>
      </c>
      <c r="O100" s="56" t="str">
        <f aca="false">IF($W100="","",N(INDEX(发票统计!O$4:O$1003,$W100)))</f>
        <v/>
      </c>
      <c r="P100" s="56" t="str">
        <f aca="false">IF($W100="","",SUM(M$4:M100)-SUM(N$4:N100)-SUM(O$4:O100))</f>
        <v/>
      </c>
      <c r="Q100" s="56" t="str">
        <f aca="false">IF($W100="","",N(INDEX(发票统计!Q$4:Q$1003,$W100)))</f>
        <v/>
      </c>
      <c r="R100" s="56" t="str">
        <f aca="false">IF($W100="","",N(INDEX(发票统计!R$4:R$1003,$W100)))</f>
        <v/>
      </c>
      <c r="S100" s="56" t="str">
        <f aca="false">IF($W100="","",N(INDEX(发票统计!S$4:S$1003,$W100)))</f>
        <v/>
      </c>
      <c r="T100" s="56" t="str">
        <f aca="false">IF($W100="","",SUM(Q$4:Q100)-SUM(R$4:R100)-SUM(S$4:S100))</f>
        <v/>
      </c>
      <c r="U100" s="56" t="str">
        <f aca="false">IF($W100="","",INDEX(发票统计!U$4:U$1003,$W100)&amp;"")</f>
        <v/>
      </c>
      <c r="W100" s="1" t="str">
        <f aca="false">IF($V$3="","",IFERROR(MATCH($V$3&amp;"#"&amp;ROWS(W$4:W100),发票统计!$W$4:$W$1003,0),""))</f>
        <v/>
      </c>
    </row>
    <row r="101" customFormat="false" ht="16.5" hidden="false" customHeight="false" outlineLevel="0" collapsed="false">
      <c r="A101" s="3" t="str">
        <f aca="false">IF($W101="","",INDEX(发票统计!A$4:A$1003,$W101)&amp;"")</f>
        <v/>
      </c>
      <c r="B101" s="3" t="str">
        <f aca="false">IF($W101="","",INDEX(发票统计!B$4:B$1003,$W101)&amp;"")</f>
        <v/>
      </c>
      <c r="C101" s="3" t="str">
        <f aca="false">IF($W101="","",INDEX(发票统计!C$4:C$1003,$W101)&amp;"")</f>
        <v/>
      </c>
      <c r="D101" s="3" t="str">
        <f aca="false">IF($W101="","",INDEX(发票统计!D$4:D$1003,$W101)&amp;"")</f>
        <v/>
      </c>
      <c r="E101" s="56" t="str">
        <f aca="false">IF($W101="","",INDEX(发票统计!E$4:E$1003,$W101)&amp;"")</f>
        <v/>
      </c>
      <c r="F101" s="56" t="str">
        <f aca="false">IF($W101="","",INDEX(发票统计!F$4:F$1003,$W101)&amp;"")</f>
        <v/>
      </c>
      <c r="G101" s="68" t="str">
        <f aca="false">IF($W101="","",IF(INDEX(发票统计!G$4:G$1003,$W101)="","",INDEX(发票统计!G$4:G$1003,$W101)))</f>
        <v/>
      </c>
      <c r="H101" s="56" t="str">
        <f aca="false">IF($W101="","",N(INDEX(发票统计!H$4:H$1003,$W101)))</f>
        <v/>
      </c>
      <c r="I101" s="56" t="str">
        <f aca="false">IF($W101="","",N(INDEX(发票统计!I$4:I$1003,$W101)))</f>
        <v/>
      </c>
      <c r="J101" s="56" t="str">
        <f aca="false">IF($W101="","",N(INDEX(发票统计!J$4:J$1003,$W101)))</f>
        <v/>
      </c>
      <c r="K101" s="56" t="str">
        <f aca="false">IF($W101="","",N(INDEX(发票统计!K$4:K$1003,$W101)))</f>
        <v/>
      </c>
      <c r="L101" s="56" t="str">
        <f aca="false">IF($W101="","",SUM(J$4:J101)-SUM(K$4:K101))</f>
        <v/>
      </c>
      <c r="M101" s="56" t="str">
        <f aca="false">IF($W101="","",N(INDEX(发票统计!M$4:M$1003,$W101)))</f>
        <v/>
      </c>
      <c r="N101" s="56" t="str">
        <f aca="false">IF($W101="","",N(INDEX(发票统计!N$4:N$1003,$W101)))</f>
        <v/>
      </c>
      <c r="O101" s="56" t="str">
        <f aca="false">IF($W101="","",N(INDEX(发票统计!O$4:O$1003,$W101)))</f>
        <v/>
      </c>
      <c r="P101" s="56" t="str">
        <f aca="false">IF($W101="","",SUM(M$4:M101)-SUM(N$4:N101)-SUM(O$4:O101))</f>
        <v/>
      </c>
      <c r="Q101" s="56" t="str">
        <f aca="false">IF($W101="","",N(INDEX(发票统计!Q$4:Q$1003,$W101)))</f>
        <v/>
      </c>
      <c r="R101" s="56" t="str">
        <f aca="false">IF($W101="","",N(INDEX(发票统计!R$4:R$1003,$W101)))</f>
        <v/>
      </c>
      <c r="S101" s="56" t="str">
        <f aca="false">IF($W101="","",N(INDEX(发票统计!S$4:S$1003,$W101)))</f>
        <v/>
      </c>
      <c r="T101" s="56" t="str">
        <f aca="false">IF($W101="","",SUM(Q$4:Q101)-SUM(R$4:R101)-SUM(S$4:S101))</f>
        <v/>
      </c>
      <c r="U101" s="56" t="str">
        <f aca="false">IF($W101="","",INDEX(发票统计!U$4:U$1003,$W101)&amp;"")</f>
        <v/>
      </c>
      <c r="W101" s="1" t="str">
        <f aca="false">IF($V$3="","",IFERROR(MATCH($V$3&amp;"#"&amp;ROWS(W$4:W101),发票统计!$W$4:$W$1003,0),""))</f>
        <v/>
      </c>
    </row>
    <row r="102" customFormat="false" ht="16.5" hidden="false" customHeight="false" outlineLevel="0" collapsed="false">
      <c r="A102" s="3" t="str">
        <f aca="false">IF($W102="","",INDEX(发票统计!A$4:A$1003,$W102)&amp;"")</f>
        <v/>
      </c>
      <c r="B102" s="3" t="str">
        <f aca="false">IF($W102="","",INDEX(发票统计!B$4:B$1003,$W102)&amp;"")</f>
        <v/>
      </c>
      <c r="C102" s="3" t="str">
        <f aca="false">IF($W102="","",INDEX(发票统计!C$4:C$1003,$W102)&amp;"")</f>
        <v/>
      </c>
      <c r="D102" s="3" t="str">
        <f aca="false">IF($W102="","",INDEX(发票统计!D$4:D$1003,$W102)&amp;"")</f>
        <v/>
      </c>
      <c r="E102" s="56" t="str">
        <f aca="false">IF($W102="","",INDEX(发票统计!E$4:E$1003,$W102)&amp;"")</f>
        <v/>
      </c>
      <c r="F102" s="56" t="str">
        <f aca="false">IF($W102="","",INDEX(发票统计!F$4:F$1003,$W102)&amp;"")</f>
        <v/>
      </c>
      <c r="G102" s="68" t="str">
        <f aca="false">IF($W102="","",IF(INDEX(发票统计!G$4:G$1003,$W102)="","",INDEX(发票统计!G$4:G$1003,$W102)))</f>
        <v/>
      </c>
      <c r="H102" s="56" t="str">
        <f aca="false">IF($W102="","",N(INDEX(发票统计!H$4:H$1003,$W102)))</f>
        <v/>
      </c>
      <c r="I102" s="56" t="str">
        <f aca="false">IF($W102="","",N(INDEX(发票统计!I$4:I$1003,$W102)))</f>
        <v/>
      </c>
      <c r="J102" s="56" t="str">
        <f aca="false">IF($W102="","",N(INDEX(发票统计!J$4:J$1003,$W102)))</f>
        <v/>
      </c>
      <c r="K102" s="56" t="str">
        <f aca="false">IF($W102="","",N(INDEX(发票统计!K$4:K$1003,$W102)))</f>
        <v/>
      </c>
      <c r="L102" s="56" t="str">
        <f aca="false">IF($W102="","",SUM(J$4:J102)-SUM(K$4:K102))</f>
        <v/>
      </c>
      <c r="M102" s="56" t="str">
        <f aca="false">IF($W102="","",N(INDEX(发票统计!M$4:M$1003,$W102)))</f>
        <v/>
      </c>
      <c r="N102" s="56" t="str">
        <f aca="false">IF($W102="","",N(INDEX(发票统计!N$4:N$1003,$W102)))</f>
        <v/>
      </c>
      <c r="O102" s="56" t="str">
        <f aca="false">IF($W102="","",N(INDEX(发票统计!O$4:O$1003,$W102)))</f>
        <v/>
      </c>
      <c r="P102" s="56" t="str">
        <f aca="false">IF($W102="","",SUM(M$4:M102)-SUM(N$4:N102)-SUM(O$4:O102))</f>
        <v/>
      </c>
      <c r="Q102" s="56" t="str">
        <f aca="false">IF($W102="","",N(INDEX(发票统计!Q$4:Q$1003,$W102)))</f>
        <v/>
      </c>
      <c r="R102" s="56" t="str">
        <f aca="false">IF($W102="","",N(INDEX(发票统计!R$4:R$1003,$W102)))</f>
        <v/>
      </c>
      <c r="S102" s="56" t="str">
        <f aca="false">IF($W102="","",N(INDEX(发票统计!S$4:S$1003,$W102)))</f>
        <v/>
      </c>
      <c r="T102" s="56" t="str">
        <f aca="false">IF($W102="","",SUM(Q$4:Q102)-SUM(R$4:R102)-SUM(S$4:S102))</f>
        <v/>
      </c>
      <c r="U102" s="56" t="str">
        <f aca="false">IF($W102="","",INDEX(发票统计!U$4:U$1003,$W102)&amp;"")</f>
        <v/>
      </c>
      <c r="W102" s="1" t="str">
        <f aca="false">IF($V$3="","",IFERROR(MATCH($V$3&amp;"#"&amp;ROWS(W$4:W102),发票统计!$W$4:$W$1003,0),""))</f>
        <v/>
      </c>
    </row>
    <row r="103" customFormat="false" ht="16.5" hidden="false" customHeight="false" outlineLevel="0" collapsed="false">
      <c r="A103" s="3" t="str">
        <f aca="false">IF($W103="","",INDEX(发票统计!A$4:A$1003,$W103)&amp;"")</f>
        <v/>
      </c>
      <c r="B103" s="3" t="str">
        <f aca="false">IF($W103="","",INDEX(发票统计!B$4:B$1003,$W103)&amp;"")</f>
        <v/>
      </c>
      <c r="C103" s="3" t="str">
        <f aca="false">IF($W103="","",INDEX(发票统计!C$4:C$1003,$W103)&amp;"")</f>
        <v/>
      </c>
      <c r="D103" s="3" t="str">
        <f aca="false">IF($W103="","",INDEX(发票统计!D$4:D$1003,$W103)&amp;"")</f>
        <v/>
      </c>
      <c r="E103" s="56" t="str">
        <f aca="false">IF($W103="","",INDEX(发票统计!E$4:E$1003,$W103)&amp;"")</f>
        <v/>
      </c>
      <c r="F103" s="56" t="str">
        <f aca="false">IF($W103="","",INDEX(发票统计!F$4:F$1003,$W103)&amp;"")</f>
        <v/>
      </c>
      <c r="G103" s="68" t="str">
        <f aca="false">IF($W103="","",IF(INDEX(发票统计!G$4:G$1003,$W103)="","",INDEX(发票统计!G$4:G$1003,$W103)))</f>
        <v/>
      </c>
      <c r="H103" s="56" t="str">
        <f aca="false">IF($W103="","",N(INDEX(发票统计!H$4:H$1003,$W103)))</f>
        <v/>
      </c>
      <c r="I103" s="56" t="str">
        <f aca="false">IF($W103="","",N(INDEX(发票统计!I$4:I$1003,$W103)))</f>
        <v/>
      </c>
      <c r="J103" s="56" t="str">
        <f aca="false">IF($W103="","",N(INDEX(发票统计!J$4:J$1003,$W103)))</f>
        <v/>
      </c>
      <c r="K103" s="56" t="str">
        <f aca="false">IF($W103="","",N(INDEX(发票统计!K$4:K$1003,$W103)))</f>
        <v/>
      </c>
      <c r="L103" s="56" t="str">
        <f aca="false">IF($W103="","",SUM(J$4:J103)-SUM(K$4:K103))</f>
        <v/>
      </c>
      <c r="M103" s="56" t="str">
        <f aca="false">IF($W103="","",N(INDEX(发票统计!M$4:M$1003,$W103)))</f>
        <v/>
      </c>
      <c r="N103" s="56" t="str">
        <f aca="false">IF($W103="","",N(INDEX(发票统计!N$4:N$1003,$W103)))</f>
        <v/>
      </c>
      <c r="O103" s="56" t="str">
        <f aca="false">IF($W103="","",N(INDEX(发票统计!O$4:O$1003,$W103)))</f>
        <v/>
      </c>
      <c r="P103" s="56" t="str">
        <f aca="false">IF($W103="","",SUM(M$4:M103)-SUM(N$4:N103)-SUM(O$4:O103))</f>
        <v/>
      </c>
      <c r="Q103" s="56" t="str">
        <f aca="false">IF($W103="","",N(INDEX(发票统计!Q$4:Q$1003,$W103)))</f>
        <v/>
      </c>
      <c r="R103" s="56" t="str">
        <f aca="false">IF($W103="","",N(INDEX(发票统计!R$4:R$1003,$W103)))</f>
        <v/>
      </c>
      <c r="S103" s="56" t="str">
        <f aca="false">IF($W103="","",N(INDEX(发票统计!S$4:S$1003,$W103)))</f>
        <v/>
      </c>
      <c r="T103" s="56" t="str">
        <f aca="false">IF($W103="","",SUM(Q$4:Q103)-SUM(R$4:R103)-SUM(S$4:S103))</f>
        <v/>
      </c>
      <c r="U103" s="56" t="str">
        <f aca="false">IF($W103="","",INDEX(发票统计!U$4:U$1003,$W103)&amp;"")</f>
        <v/>
      </c>
      <c r="W103" s="1" t="str">
        <f aca="false">IF($V$3="","",IFERROR(MATCH($V$3&amp;"#"&amp;ROWS(W$4:W103),发票统计!$W$4:$W$1003,0),""))</f>
        <v/>
      </c>
    </row>
    <row r="104" customFormat="false" ht="16.5" hidden="false" customHeight="false" outlineLevel="0" collapsed="false">
      <c r="A104" s="3" t="str">
        <f aca="false">IF($W104="","",INDEX(发票统计!A$4:A$1003,$W104)&amp;"")</f>
        <v/>
      </c>
      <c r="B104" s="3" t="str">
        <f aca="false">IF($W104="","",INDEX(发票统计!B$4:B$1003,$W104)&amp;"")</f>
        <v/>
      </c>
      <c r="C104" s="3" t="str">
        <f aca="false">IF($W104="","",INDEX(发票统计!C$4:C$1003,$W104)&amp;"")</f>
        <v/>
      </c>
      <c r="D104" s="3" t="str">
        <f aca="false">IF($W104="","",INDEX(发票统计!D$4:D$1003,$W104)&amp;"")</f>
        <v/>
      </c>
      <c r="E104" s="56" t="str">
        <f aca="false">IF($W104="","",INDEX(发票统计!E$4:E$1003,$W104)&amp;"")</f>
        <v/>
      </c>
      <c r="F104" s="56" t="str">
        <f aca="false">IF($W104="","",INDEX(发票统计!F$4:F$1003,$W104)&amp;"")</f>
        <v/>
      </c>
      <c r="G104" s="68" t="str">
        <f aca="false">IF($W104="","",IF(INDEX(发票统计!G$4:G$1003,$W104)="","",INDEX(发票统计!G$4:G$1003,$W104)))</f>
        <v/>
      </c>
      <c r="H104" s="56" t="str">
        <f aca="false">IF($W104="","",N(INDEX(发票统计!H$4:H$1003,$W104)))</f>
        <v/>
      </c>
      <c r="I104" s="56" t="str">
        <f aca="false">IF($W104="","",N(INDEX(发票统计!I$4:I$1003,$W104)))</f>
        <v/>
      </c>
      <c r="J104" s="56" t="str">
        <f aca="false">IF($W104="","",N(INDEX(发票统计!J$4:J$1003,$W104)))</f>
        <v/>
      </c>
      <c r="K104" s="56" t="str">
        <f aca="false">IF($W104="","",N(INDEX(发票统计!K$4:K$1003,$W104)))</f>
        <v/>
      </c>
      <c r="L104" s="56" t="str">
        <f aca="false">IF($W104="","",SUM(J$4:J104)-SUM(K$4:K104))</f>
        <v/>
      </c>
      <c r="M104" s="56" t="str">
        <f aca="false">IF($W104="","",N(INDEX(发票统计!M$4:M$1003,$W104)))</f>
        <v/>
      </c>
      <c r="N104" s="56" t="str">
        <f aca="false">IF($W104="","",N(INDEX(发票统计!N$4:N$1003,$W104)))</f>
        <v/>
      </c>
      <c r="O104" s="56" t="str">
        <f aca="false">IF($W104="","",N(INDEX(发票统计!O$4:O$1003,$W104)))</f>
        <v/>
      </c>
      <c r="P104" s="56" t="str">
        <f aca="false">IF($W104="","",SUM(M$4:M104)-SUM(N$4:N104)-SUM(O$4:O104))</f>
        <v/>
      </c>
      <c r="Q104" s="56" t="str">
        <f aca="false">IF($W104="","",N(INDEX(发票统计!Q$4:Q$1003,$W104)))</f>
        <v/>
      </c>
      <c r="R104" s="56" t="str">
        <f aca="false">IF($W104="","",N(INDEX(发票统计!R$4:R$1003,$W104)))</f>
        <v/>
      </c>
      <c r="S104" s="56" t="str">
        <f aca="false">IF($W104="","",N(INDEX(发票统计!S$4:S$1003,$W104)))</f>
        <v/>
      </c>
      <c r="T104" s="56" t="str">
        <f aca="false">IF($W104="","",SUM(Q$4:Q104)-SUM(R$4:R104)-SUM(S$4:S104))</f>
        <v/>
      </c>
      <c r="U104" s="56" t="str">
        <f aca="false">IF($W104="","",INDEX(发票统计!U$4:U$1003,$W104)&amp;"")</f>
        <v/>
      </c>
      <c r="W104" s="1" t="str">
        <f aca="false">IF($V$3="","",IFERROR(MATCH($V$3&amp;"#"&amp;ROWS(W$4:W104),发票统计!$W$4:$W$1003,0),""))</f>
        <v/>
      </c>
    </row>
    <row r="105" customFormat="false" ht="16.5" hidden="false" customHeight="false" outlineLevel="0" collapsed="false">
      <c r="A105" s="3" t="str">
        <f aca="false">IF($W105="","",INDEX(发票统计!A$4:A$1003,$W105)&amp;"")</f>
        <v/>
      </c>
      <c r="B105" s="3" t="str">
        <f aca="false">IF($W105="","",INDEX(发票统计!B$4:B$1003,$W105)&amp;"")</f>
        <v/>
      </c>
      <c r="C105" s="3" t="str">
        <f aca="false">IF($W105="","",INDEX(发票统计!C$4:C$1003,$W105)&amp;"")</f>
        <v/>
      </c>
      <c r="D105" s="3" t="str">
        <f aca="false">IF($W105="","",INDEX(发票统计!D$4:D$1003,$W105)&amp;"")</f>
        <v/>
      </c>
      <c r="E105" s="56" t="str">
        <f aca="false">IF($W105="","",INDEX(发票统计!E$4:E$1003,$W105)&amp;"")</f>
        <v/>
      </c>
      <c r="F105" s="56" t="str">
        <f aca="false">IF($W105="","",INDEX(发票统计!F$4:F$1003,$W105)&amp;"")</f>
        <v/>
      </c>
      <c r="G105" s="68" t="str">
        <f aca="false">IF($W105="","",IF(INDEX(发票统计!G$4:G$1003,$W105)="","",INDEX(发票统计!G$4:G$1003,$W105)))</f>
        <v/>
      </c>
      <c r="H105" s="56" t="str">
        <f aca="false">IF($W105="","",N(INDEX(发票统计!H$4:H$1003,$W105)))</f>
        <v/>
      </c>
      <c r="I105" s="56" t="str">
        <f aca="false">IF($W105="","",N(INDEX(发票统计!I$4:I$1003,$W105)))</f>
        <v/>
      </c>
      <c r="J105" s="56" t="str">
        <f aca="false">IF($W105="","",N(INDEX(发票统计!J$4:J$1003,$W105)))</f>
        <v/>
      </c>
      <c r="K105" s="56" t="str">
        <f aca="false">IF($W105="","",N(INDEX(发票统计!K$4:K$1003,$W105)))</f>
        <v/>
      </c>
      <c r="L105" s="56" t="str">
        <f aca="false">IF($W105="","",SUM(J$4:J105)-SUM(K$4:K105))</f>
        <v/>
      </c>
      <c r="M105" s="56" t="str">
        <f aca="false">IF($W105="","",N(INDEX(发票统计!M$4:M$1003,$W105)))</f>
        <v/>
      </c>
      <c r="N105" s="56" t="str">
        <f aca="false">IF($W105="","",N(INDEX(发票统计!N$4:N$1003,$W105)))</f>
        <v/>
      </c>
      <c r="O105" s="56" t="str">
        <f aca="false">IF($W105="","",N(INDEX(发票统计!O$4:O$1003,$W105)))</f>
        <v/>
      </c>
      <c r="P105" s="56" t="str">
        <f aca="false">IF($W105="","",SUM(M$4:M105)-SUM(N$4:N105)-SUM(O$4:O105))</f>
        <v/>
      </c>
      <c r="Q105" s="56" t="str">
        <f aca="false">IF($W105="","",N(INDEX(发票统计!Q$4:Q$1003,$W105)))</f>
        <v/>
      </c>
      <c r="R105" s="56" t="str">
        <f aca="false">IF($W105="","",N(INDEX(发票统计!R$4:R$1003,$W105)))</f>
        <v/>
      </c>
      <c r="S105" s="56" t="str">
        <f aca="false">IF($W105="","",N(INDEX(发票统计!S$4:S$1003,$W105)))</f>
        <v/>
      </c>
      <c r="T105" s="56" t="str">
        <f aca="false">IF($W105="","",SUM(Q$4:Q105)-SUM(R$4:R105)-SUM(S$4:S105))</f>
        <v/>
      </c>
      <c r="U105" s="56" t="str">
        <f aca="false">IF($W105="","",INDEX(发票统计!U$4:U$1003,$W105)&amp;"")</f>
        <v/>
      </c>
      <c r="W105" s="1" t="str">
        <f aca="false">IF($V$3="","",IFERROR(MATCH($V$3&amp;"#"&amp;ROWS(W$4:W105),发票统计!$W$4:$W$1003,0),""))</f>
        <v/>
      </c>
    </row>
    <row r="106" customFormat="false" ht="16.5" hidden="false" customHeight="false" outlineLevel="0" collapsed="false">
      <c r="A106" s="3" t="str">
        <f aca="false">IF($W106="","",INDEX(发票统计!A$4:A$1003,$W106)&amp;"")</f>
        <v/>
      </c>
      <c r="B106" s="3" t="str">
        <f aca="false">IF($W106="","",INDEX(发票统计!B$4:B$1003,$W106)&amp;"")</f>
        <v/>
      </c>
      <c r="C106" s="3" t="str">
        <f aca="false">IF($W106="","",INDEX(发票统计!C$4:C$1003,$W106)&amp;"")</f>
        <v/>
      </c>
      <c r="D106" s="3" t="str">
        <f aca="false">IF($W106="","",INDEX(发票统计!D$4:D$1003,$W106)&amp;"")</f>
        <v/>
      </c>
      <c r="E106" s="56" t="str">
        <f aca="false">IF($W106="","",INDEX(发票统计!E$4:E$1003,$W106)&amp;"")</f>
        <v/>
      </c>
      <c r="F106" s="56" t="str">
        <f aca="false">IF($W106="","",INDEX(发票统计!F$4:F$1003,$W106)&amp;"")</f>
        <v/>
      </c>
      <c r="G106" s="68" t="str">
        <f aca="false">IF($W106="","",IF(INDEX(发票统计!G$4:G$1003,$W106)="","",INDEX(发票统计!G$4:G$1003,$W106)))</f>
        <v/>
      </c>
      <c r="H106" s="56" t="str">
        <f aca="false">IF($W106="","",N(INDEX(发票统计!H$4:H$1003,$W106)))</f>
        <v/>
      </c>
      <c r="I106" s="56" t="str">
        <f aca="false">IF($W106="","",N(INDEX(发票统计!I$4:I$1003,$W106)))</f>
        <v/>
      </c>
      <c r="J106" s="56" t="str">
        <f aca="false">IF($W106="","",N(INDEX(发票统计!J$4:J$1003,$W106)))</f>
        <v/>
      </c>
      <c r="K106" s="56" t="str">
        <f aca="false">IF($W106="","",N(INDEX(发票统计!K$4:K$1003,$W106)))</f>
        <v/>
      </c>
      <c r="L106" s="56" t="str">
        <f aca="false">IF($W106="","",SUM(J$4:J106)-SUM(K$4:K106))</f>
        <v/>
      </c>
      <c r="M106" s="56" t="str">
        <f aca="false">IF($W106="","",N(INDEX(发票统计!M$4:M$1003,$W106)))</f>
        <v/>
      </c>
      <c r="N106" s="56" t="str">
        <f aca="false">IF($W106="","",N(INDEX(发票统计!N$4:N$1003,$W106)))</f>
        <v/>
      </c>
      <c r="O106" s="56" t="str">
        <f aca="false">IF($W106="","",N(INDEX(发票统计!O$4:O$1003,$W106)))</f>
        <v/>
      </c>
      <c r="P106" s="56" t="str">
        <f aca="false">IF($W106="","",SUM(M$4:M106)-SUM(N$4:N106)-SUM(O$4:O106))</f>
        <v/>
      </c>
      <c r="Q106" s="56" t="str">
        <f aca="false">IF($W106="","",N(INDEX(发票统计!Q$4:Q$1003,$W106)))</f>
        <v/>
      </c>
      <c r="R106" s="56" t="str">
        <f aca="false">IF($W106="","",N(INDEX(发票统计!R$4:R$1003,$W106)))</f>
        <v/>
      </c>
      <c r="S106" s="56" t="str">
        <f aca="false">IF($W106="","",N(INDEX(发票统计!S$4:S$1003,$W106)))</f>
        <v/>
      </c>
      <c r="T106" s="56" t="str">
        <f aca="false">IF($W106="","",SUM(Q$4:Q106)-SUM(R$4:R106)-SUM(S$4:S106))</f>
        <v/>
      </c>
      <c r="U106" s="56" t="str">
        <f aca="false">IF($W106="","",INDEX(发票统计!U$4:U$1003,$W106)&amp;"")</f>
        <v/>
      </c>
      <c r="W106" s="1" t="str">
        <f aca="false">IF($V$3="","",IFERROR(MATCH($V$3&amp;"#"&amp;ROWS(W$4:W106),发票统计!$W$4:$W$1003,0),""))</f>
        <v/>
      </c>
    </row>
    <row r="107" customFormat="false" ht="16.5" hidden="false" customHeight="false" outlineLevel="0" collapsed="false">
      <c r="A107" s="3" t="str">
        <f aca="false">IF($W107="","",INDEX(发票统计!A$4:A$1003,$W107)&amp;"")</f>
        <v/>
      </c>
      <c r="B107" s="3" t="str">
        <f aca="false">IF($W107="","",INDEX(发票统计!B$4:B$1003,$W107)&amp;"")</f>
        <v/>
      </c>
      <c r="C107" s="3" t="str">
        <f aca="false">IF($W107="","",INDEX(发票统计!C$4:C$1003,$W107)&amp;"")</f>
        <v/>
      </c>
      <c r="D107" s="3" t="str">
        <f aca="false">IF($W107="","",INDEX(发票统计!D$4:D$1003,$W107)&amp;"")</f>
        <v/>
      </c>
      <c r="E107" s="56" t="str">
        <f aca="false">IF($W107="","",INDEX(发票统计!E$4:E$1003,$W107)&amp;"")</f>
        <v/>
      </c>
      <c r="F107" s="56" t="str">
        <f aca="false">IF($W107="","",INDEX(发票统计!F$4:F$1003,$W107)&amp;"")</f>
        <v/>
      </c>
      <c r="G107" s="68" t="str">
        <f aca="false">IF($W107="","",IF(INDEX(发票统计!G$4:G$1003,$W107)="","",INDEX(发票统计!G$4:G$1003,$W107)))</f>
        <v/>
      </c>
      <c r="H107" s="56" t="str">
        <f aca="false">IF($W107="","",N(INDEX(发票统计!H$4:H$1003,$W107)))</f>
        <v/>
      </c>
      <c r="I107" s="56" t="str">
        <f aca="false">IF($W107="","",N(INDEX(发票统计!I$4:I$1003,$W107)))</f>
        <v/>
      </c>
      <c r="J107" s="56" t="str">
        <f aca="false">IF($W107="","",N(INDEX(发票统计!J$4:J$1003,$W107)))</f>
        <v/>
      </c>
      <c r="K107" s="56" t="str">
        <f aca="false">IF($W107="","",N(INDEX(发票统计!K$4:K$1003,$W107)))</f>
        <v/>
      </c>
      <c r="L107" s="56" t="str">
        <f aca="false">IF($W107="","",SUM(J$4:J107)-SUM(K$4:K107))</f>
        <v/>
      </c>
      <c r="M107" s="56" t="str">
        <f aca="false">IF($W107="","",N(INDEX(发票统计!M$4:M$1003,$W107)))</f>
        <v/>
      </c>
      <c r="N107" s="56" t="str">
        <f aca="false">IF($W107="","",N(INDEX(发票统计!N$4:N$1003,$W107)))</f>
        <v/>
      </c>
      <c r="O107" s="56" t="str">
        <f aca="false">IF($W107="","",N(INDEX(发票统计!O$4:O$1003,$W107)))</f>
        <v/>
      </c>
      <c r="P107" s="56" t="str">
        <f aca="false">IF($W107="","",SUM(M$4:M107)-SUM(N$4:N107)-SUM(O$4:O107))</f>
        <v/>
      </c>
      <c r="Q107" s="56" t="str">
        <f aca="false">IF($W107="","",N(INDEX(发票统计!Q$4:Q$1003,$W107)))</f>
        <v/>
      </c>
      <c r="R107" s="56" t="str">
        <f aca="false">IF($W107="","",N(INDEX(发票统计!R$4:R$1003,$W107)))</f>
        <v/>
      </c>
      <c r="S107" s="56" t="str">
        <f aca="false">IF($W107="","",N(INDEX(发票统计!S$4:S$1003,$W107)))</f>
        <v/>
      </c>
      <c r="T107" s="56" t="str">
        <f aca="false">IF($W107="","",SUM(Q$4:Q107)-SUM(R$4:R107)-SUM(S$4:S107))</f>
        <v/>
      </c>
      <c r="U107" s="56" t="str">
        <f aca="false">IF($W107="","",INDEX(发票统计!U$4:U$1003,$W107)&amp;"")</f>
        <v/>
      </c>
      <c r="W107" s="1" t="str">
        <f aca="false">IF($V$3="","",IFERROR(MATCH($V$3&amp;"#"&amp;ROWS(W$4:W107),发票统计!$W$4:$W$1003,0),""))</f>
        <v/>
      </c>
    </row>
    <row r="108" customFormat="false" ht="16.5" hidden="false" customHeight="false" outlineLevel="0" collapsed="false">
      <c r="A108" s="3" t="str">
        <f aca="false">IF($W108="","",INDEX(发票统计!A$4:A$1003,$W108)&amp;"")</f>
        <v/>
      </c>
      <c r="B108" s="3" t="str">
        <f aca="false">IF($W108="","",INDEX(发票统计!B$4:B$1003,$W108)&amp;"")</f>
        <v/>
      </c>
      <c r="C108" s="3" t="str">
        <f aca="false">IF($W108="","",INDEX(发票统计!C$4:C$1003,$W108)&amp;"")</f>
        <v/>
      </c>
      <c r="D108" s="3" t="str">
        <f aca="false">IF($W108="","",INDEX(发票统计!D$4:D$1003,$W108)&amp;"")</f>
        <v/>
      </c>
      <c r="E108" s="56" t="str">
        <f aca="false">IF($W108="","",INDEX(发票统计!E$4:E$1003,$W108)&amp;"")</f>
        <v/>
      </c>
      <c r="F108" s="56" t="str">
        <f aca="false">IF($W108="","",INDEX(发票统计!F$4:F$1003,$W108)&amp;"")</f>
        <v/>
      </c>
      <c r="G108" s="68" t="str">
        <f aca="false">IF($W108="","",IF(INDEX(发票统计!G$4:G$1003,$W108)="","",INDEX(发票统计!G$4:G$1003,$W108)))</f>
        <v/>
      </c>
      <c r="H108" s="56" t="str">
        <f aca="false">IF($W108="","",N(INDEX(发票统计!H$4:H$1003,$W108)))</f>
        <v/>
      </c>
      <c r="I108" s="56" t="str">
        <f aca="false">IF($W108="","",N(INDEX(发票统计!I$4:I$1003,$W108)))</f>
        <v/>
      </c>
      <c r="J108" s="56" t="str">
        <f aca="false">IF($W108="","",N(INDEX(发票统计!J$4:J$1003,$W108)))</f>
        <v/>
      </c>
      <c r="K108" s="56" t="str">
        <f aca="false">IF($W108="","",N(INDEX(发票统计!K$4:K$1003,$W108)))</f>
        <v/>
      </c>
      <c r="L108" s="56" t="str">
        <f aca="false">IF($W108="","",SUM(J$4:J108)-SUM(K$4:K108))</f>
        <v/>
      </c>
      <c r="M108" s="56" t="str">
        <f aca="false">IF($W108="","",N(INDEX(发票统计!M$4:M$1003,$W108)))</f>
        <v/>
      </c>
      <c r="N108" s="56" t="str">
        <f aca="false">IF($W108="","",N(INDEX(发票统计!N$4:N$1003,$W108)))</f>
        <v/>
      </c>
      <c r="O108" s="56" t="str">
        <f aca="false">IF($W108="","",N(INDEX(发票统计!O$4:O$1003,$W108)))</f>
        <v/>
      </c>
      <c r="P108" s="56" t="str">
        <f aca="false">IF($W108="","",SUM(M$4:M108)-SUM(N$4:N108)-SUM(O$4:O108))</f>
        <v/>
      </c>
      <c r="Q108" s="56" t="str">
        <f aca="false">IF($W108="","",N(INDEX(发票统计!Q$4:Q$1003,$W108)))</f>
        <v/>
      </c>
      <c r="R108" s="56" t="str">
        <f aca="false">IF($W108="","",N(INDEX(发票统计!R$4:R$1003,$W108)))</f>
        <v/>
      </c>
      <c r="S108" s="56" t="str">
        <f aca="false">IF($W108="","",N(INDEX(发票统计!S$4:S$1003,$W108)))</f>
        <v/>
      </c>
      <c r="T108" s="56" t="str">
        <f aca="false">IF($W108="","",SUM(Q$4:Q108)-SUM(R$4:R108)-SUM(S$4:S108))</f>
        <v/>
      </c>
      <c r="U108" s="56" t="str">
        <f aca="false">IF($W108="","",INDEX(发票统计!U$4:U$1003,$W108)&amp;"")</f>
        <v/>
      </c>
      <c r="W108" s="1" t="str">
        <f aca="false">IF($V$3="","",IFERROR(MATCH($V$3&amp;"#"&amp;ROWS(W$4:W108),发票统计!$W$4:$W$1003,0),""))</f>
        <v/>
      </c>
    </row>
    <row r="109" customFormat="false" ht="16.5" hidden="false" customHeight="false" outlineLevel="0" collapsed="false">
      <c r="A109" s="3" t="str">
        <f aca="false">IF($W109="","",INDEX(发票统计!A$4:A$1003,$W109)&amp;"")</f>
        <v/>
      </c>
      <c r="B109" s="3" t="str">
        <f aca="false">IF($W109="","",INDEX(发票统计!B$4:B$1003,$W109)&amp;"")</f>
        <v/>
      </c>
      <c r="C109" s="3" t="str">
        <f aca="false">IF($W109="","",INDEX(发票统计!C$4:C$1003,$W109)&amp;"")</f>
        <v/>
      </c>
      <c r="D109" s="3" t="str">
        <f aca="false">IF($W109="","",INDEX(发票统计!D$4:D$1003,$W109)&amp;"")</f>
        <v/>
      </c>
      <c r="E109" s="56" t="str">
        <f aca="false">IF($W109="","",INDEX(发票统计!E$4:E$1003,$W109)&amp;"")</f>
        <v/>
      </c>
      <c r="F109" s="56" t="str">
        <f aca="false">IF($W109="","",INDEX(发票统计!F$4:F$1003,$W109)&amp;"")</f>
        <v/>
      </c>
      <c r="G109" s="68" t="str">
        <f aca="false">IF($W109="","",IF(INDEX(发票统计!G$4:G$1003,$W109)="","",INDEX(发票统计!G$4:G$1003,$W109)))</f>
        <v/>
      </c>
      <c r="H109" s="56" t="str">
        <f aca="false">IF($W109="","",N(INDEX(发票统计!H$4:H$1003,$W109)))</f>
        <v/>
      </c>
      <c r="I109" s="56" t="str">
        <f aca="false">IF($W109="","",N(INDEX(发票统计!I$4:I$1003,$W109)))</f>
        <v/>
      </c>
      <c r="J109" s="56" t="str">
        <f aca="false">IF($W109="","",N(INDEX(发票统计!J$4:J$1003,$W109)))</f>
        <v/>
      </c>
      <c r="K109" s="56" t="str">
        <f aca="false">IF($W109="","",N(INDEX(发票统计!K$4:K$1003,$W109)))</f>
        <v/>
      </c>
      <c r="L109" s="56" t="str">
        <f aca="false">IF($W109="","",SUM(J$4:J109)-SUM(K$4:K109))</f>
        <v/>
      </c>
      <c r="M109" s="56" t="str">
        <f aca="false">IF($W109="","",N(INDEX(发票统计!M$4:M$1003,$W109)))</f>
        <v/>
      </c>
      <c r="N109" s="56" t="str">
        <f aca="false">IF($W109="","",N(INDEX(发票统计!N$4:N$1003,$W109)))</f>
        <v/>
      </c>
      <c r="O109" s="56" t="str">
        <f aca="false">IF($W109="","",N(INDEX(发票统计!O$4:O$1003,$W109)))</f>
        <v/>
      </c>
      <c r="P109" s="56" t="str">
        <f aca="false">IF($W109="","",SUM(M$4:M109)-SUM(N$4:N109)-SUM(O$4:O109))</f>
        <v/>
      </c>
      <c r="Q109" s="56" t="str">
        <f aca="false">IF($W109="","",N(INDEX(发票统计!Q$4:Q$1003,$W109)))</f>
        <v/>
      </c>
      <c r="R109" s="56" t="str">
        <f aca="false">IF($W109="","",N(INDEX(发票统计!R$4:R$1003,$W109)))</f>
        <v/>
      </c>
      <c r="S109" s="56" t="str">
        <f aca="false">IF($W109="","",N(INDEX(发票统计!S$4:S$1003,$W109)))</f>
        <v/>
      </c>
      <c r="T109" s="56" t="str">
        <f aca="false">IF($W109="","",SUM(Q$4:Q109)-SUM(R$4:R109)-SUM(S$4:S109))</f>
        <v/>
      </c>
      <c r="U109" s="56" t="str">
        <f aca="false">IF($W109="","",INDEX(发票统计!U$4:U$1003,$W109)&amp;"")</f>
        <v/>
      </c>
      <c r="W109" s="1" t="str">
        <f aca="false">IF($V$3="","",IFERROR(MATCH($V$3&amp;"#"&amp;ROWS(W$4:W109),发票统计!$W$4:$W$1003,0),""))</f>
        <v/>
      </c>
    </row>
    <row r="110" customFormat="false" ht="16.5" hidden="false" customHeight="false" outlineLevel="0" collapsed="false">
      <c r="A110" s="3" t="str">
        <f aca="false">IF($W110="","",INDEX(发票统计!A$4:A$1003,$W110)&amp;"")</f>
        <v/>
      </c>
      <c r="B110" s="3" t="str">
        <f aca="false">IF($W110="","",INDEX(发票统计!B$4:B$1003,$W110)&amp;"")</f>
        <v/>
      </c>
      <c r="C110" s="3" t="str">
        <f aca="false">IF($W110="","",INDEX(发票统计!C$4:C$1003,$W110)&amp;"")</f>
        <v/>
      </c>
      <c r="D110" s="3" t="str">
        <f aca="false">IF($W110="","",INDEX(发票统计!D$4:D$1003,$W110)&amp;"")</f>
        <v/>
      </c>
      <c r="E110" s="56" t="str">
        <f aca="false">IF($W110="","",INDEX(发票统计!E$4:E$1003,$W110)&amp;"")</f>
        <v/>
      </c>
      <c r="F110" s="56" t="str">
        <f aca="false">IF($W110="","",INDEX(发票统计!F$4:F$1003,$W110)&amp;"")</f>
        <v/>
      </c>
      <c r="G110" s="68" t="str">
        <f aca="false">IF($W110="","",IF(INDEX(发票统计!G$4:G$1003,$W110)="","",INDEX(发票统计!G$4:G$1003,$W110)))</f>
        <v/>
      </c>
      <c r="H110" s="56" t="str">
        <f aca="false">IF($W110="","",N(INDEX(发票统计!H$4:H$1003,$W110)))</f>
        <v/>
      </c>
      <c r="I110" s="56" t="str">
        <f aca="false">IF($W110="","",N(INDEX(发票统计!I$4:I$1003,$W110)))</f>
        <v/>
      </c>
      <c r="J110" s="56" t="str">
        <f aca="false">IF($W110="","",N(INDEX(发票统计!J$4:J$1003,$W110)))</f>
        <v/>
      </c>
      <c r="K110" s="56" t="str">
        <f aca="false">IF($W110="","",N(INDEX(发票统计!K$4:K$1003,$W110)))</f>
        <v/>
      </c>
      <c r="L110" s="56" t="str">
        <f aca="false">IF($W110="","",SUM(J$4:J110)-SUM(K$4:K110))</f>
        <v/>
      </c>
      <c r="M110" s="56" t="str">
        <f aca="false">IF($W110="","",N(INDEX(发票统计!M$4:M$1003,$W110)))</f>
        <v/>
      </c>
      <c r="N110" s="56" t="str">
        <f aca="false">IF($W110="","",N(INDEX(发票统计!N$4:N$1003,$W110)))</f>
        <v/>
      </c>
      <c r="O110" s="56" t="str">
        <f aca="false">IF($W110="","",N(INDEX(发票统计!O$4:O$1003,$W110)))</f>
        <v/>
      </c>
      <c r="P110" s="56" t="str">
        <f aca="false">IF($W110="","",SUM(M$4:M110)-SUM(N$4:N110)-SUM(O$4:O110))</f>
        <v/>
      </c>
      <c r="Q110" s="56" t="str">
        <f aca="false">IF($W110="","",N(INDEX(发票统计!Q$4:Q$1003,$W110)))</f>
        <v/>
      </c>
      <c r="R110" s="56" t="str">
        <f aca="false">IF($W110="","",N(INDEX(发票统计!R$4:R$1003,$W110)))</f>
        <v/>
      </c>
      <c r="S110" s="56" t="str">
        <f aca="false">IF($W110="","",N(INDEX(发票统计!S$4:S$1003,$W110)))</f>
        <v/>
      </c>
      <c r="T110" s="56" t="str">
        <f aca="false">IF($W110="","",SUM(Q$4:Q110)-SUM(R$4:R110)-SUM(S$4:S110))</f>
        <v/>
      </c>
      <c r="U110" s="56" t="str">
        <f aca="false">IF($W110="","",INDEX(发票统计!U$4:U$1003,$W110)&amp;"")</f>
        <v/>
      </c>
      <c r="W110" s="1" t="str">
        <f aca="false">IF($V$3="","",IFERROR(MATCH($V$3&amp;"#"&amp;ROWS(W$4:W110),发票统计!$W$4:$W$1003,0),""))</f>
        <v/>
      </c>
    </row>
    <row r="111" customFormat="false" ht="16.5" hidden="false" customHeight="false" outlineLevel="0" collapsed="false">
      <c r="A111" s="3" t="str">
        <f aca="false">IF($W111="","",INDEX(发票统计!A$4:A$1003,$W111)&amp;"")</f>
        <v/>
      </c>
      <c r="B111" s="3" t="str">
        <f aca="false">IF($W111="","",INDEX(发票统计!B$4:B$1003,$W111)&amp;"")</f>
        <v/>
      </c>
      <c r="C111" s="3" t="str">
        <f aca="false">IF($W111="","",INDEX(发票统计!C$4:C$1003,$W111)&amp;"")</f>
        <v/>
      </c>
      <c r="D111" s="3" t="str">
        <f aca="false">IF($W111="","",INDEX(发票统计!D$4:D$1003,$W111)&amp;"")</f>
        <v/>
      </c>
      <c r="E111" s="56" t="str">
        <f aca="false">IF($W111="","",INDEX(发票统计!E$4:E$1003,$W111)&amp;"")</f>
        <v/>
      </c>
      <c r="F111" s="56" t="str">
        <f aca="false">IF($W111="","",INDEX(发票统计!F$4:F$1003,$W111)&amp;"")</f>
        <v/>
      </c>
      <c r="G111" s="68" t="str">
        <f aca="false">IF($W111="","",IF(INDEX(发票统计!G$4:G$1003,$W111)="","",INDEX(发票统计!G$4:G$1003,$W111)))</f>
        <v/>
      </c>
      <c r="H111" s="56" t="str">
        <f aca="false">IF($W111="","",N(INDEX(发票统计!H$4:H$1003,$W111)))</f>
        <v/>
      </c>
      <c r="I111" s="56" t="str">
        <f aca="false">IF($W111="","",N(INDEX(发票统计!I$4:I$1003,$W111)))</f>
        <v/>
      </c>
      <c r="J111" s="56" t="str">
        <f aca="false">IF($W111="","",N(INDEX(发票统计!J$4:J$1003,$W111)))</f>
        <v/>
      </c>
      <c r="K111" s="56" t="str">
        <f aca="false">IF($W111="","",N(INDEX(发票统计!K$4:K$1003,$W111)))</f>
        <v/>
      </c>
      <c r="L111" s="56" t="str">
        <f aca="false">IF($W111="","",SUM(J$4:J111)-SUM(K$4:K111))</f>
        <v/>
      </c>
      <c r="M111" s="56" t="str">
        <f aca="false">IF($W111="","",N(INDEX(发票统计!M$4:M$1003,$W111)))</f>
        <v/>
      </c>
      <c r="N111" s="56" t="str">
        <f aca="false">IF($W111="","",N(INDEX(发票统计!N$4:N$1003,$W111)))</f>
        <v/>
      </c>
      <c r="O111" s="56" t="str">
        <f aca="false">IF($W111="","",N(INDEX(发票统计!O$4:O$1003,$W111)))</f>
        <v/>
      </c>
      <c r="P111" s="56" t="str">
        <f aca="false">IF($W111="","",SUM(M$4:M111)-SUM(N$4:N111)-SUM(O$4:O111))</f>
        <v/>
      </c>
      <c r="Q111" s="56" t="str">
        <f aca="false">IF($W111="","",N(INDEX(发票统计!Q$4:Q$1003,$W111)))</f>
        <v/>
      </c>
      <c r="R111" s="56" t="str">
        <f aca="false">IF($W111="","",N(INDEX(发票统计!R$4:R$1003,$W111)))</f>
        <v/>
      </c>
      <c r="S111" s="56" t="str">
        <f aca="false">IF($W111="","",N(INDEX(发票统计!S$4:S$1003,$W111)))</f>
        <v/>
      </c>
      <c r="T111" s="56" t="str">
        <f aca="false">IF($W111="","",SUM(Q$4:Q111)-SUM(R$4:R111)-SUM(S$4:S111))</f>
        <v/>
      </c>
      <c r="U111" s="56" t="str">
        <f aca="false">IF($W111="","",INDEX(发票统计!U$4:U$1003,$W111)&amp;"")</f>
        <v/>
      </c>
      <c r="W111" s="1" t="str">
        <f aca="false">IF($V$3="","",IFERROR(MATCH($V$3&amp;"#"&amp;ROWS(W$4:W111),发票统计!$W$4:$W$1003,0),""))</f>
        <v/>
      </c>
    </row>
    <row r="112" customFormat="false" ht="16.5" hidden="false" customHeight="false" outlineLevel="0" collapsed="false">
      <c r="A112" s="3" t="str">
        <f aca="false">IF($W112="","",INDEX(发票统计!A$4:A$1003,$W112)&amp;"")</f>
        <v/>
      </c>
      <c r="B112" s="3" t="str">
        <f aca="false">IF($W112="","",INDEX(发票统计!B$4:B$1003,$W112)&amp;"")</f>
        <v/>
      </c>
      <c r="C112" s="3" t="str">
        <f aca="false">IF($W112="","",INDEX(发票统计!C$4:C$1003,$W112)&amp;"")</f>
        <v/>
      </c>
      <c r="D112" s="3" t="str">
        <f aca="false">IF($W112="","",INDEX(发票统计!D$4:D$1003,$W112)&amp;"")</f>
        <v/>
      </c>
      <c r="E112" s="56" t="str">
        <f aca="false">IF($W112="","",INDEX(发票统计!E$4:E$1003,$W112)&amp;"")</f>
        <v/>
      </c>
      <c r="F112" s="56" t="str">
        <f aca="false">IF($W112="","",INDEX(发票统计!F$4:F$1003,$W112)&amp;"")</f>
        <v/>
      </c>
      <c r="G112" s="68" t="str">
        <f aca="false">IF($W112="","",IF(INDEX(发票统计!G$4:G$1003,$W112)="","",INDEX(发票统计!G$4:G$1003,$W112)))</f>
        <v/>
      </c>
      <c r="H112" s="56" t="str">
        <f aca="false">IF($W112="","",N(INDEX(发票统计!H$4:H$1003,$W112)))</f>
        <v/>
      </c>
      <c r="I112" s="56" t="str">
        <f aca="false">IF($W112="","",N(INDEX(发票统计!I$4:I$1003,$W112)))</f>
        <v/>
      </c>
      <c r="J112" s="56" t="str">
        <f aca="false">IF($W112="","",N(INDEX(发票统计!J$4:J$1003,$W112)))</f>
        <v/>
      </c>
      <c r="K112" s="56" t="str">
        <f aca="false">IF($W112="","",N(INDEX(发票统计!K$4:K$1003,$W112)))</f>
        <v/>
      </c>
      <c r="L112" s="56" t="str">
        <f aca="false">IF($W112="","",SUM(J$4:J112)-SUM(K$4:K112))</f>
        <v/>
      </c>
      <c r="M112" s="56" t="str">
        <f aca="false">IF($W112="","",N(INDEX(发票统计!M$4:M$1003,$W112)))</f>
        <v/>
      </c>
      <c r="N112" s="56" t="str">
        <f aca="false">IF($W112="","",N(INDEX(发票统计!N$4:N$1003,$W112)))</f>
        <v/>
      </c>
      <c r="O112" s="56" t="str">
        <f aca="false">IF($W112="","",N(INDEX(发票统计!O$4:O$1003,$W112)))</f>
        <v/>
      </c>
      <c r="P112" s="56" t="str">
        <f aca="false">IF($W112="","",SUM(M$4:M112)-SUM(N$4:N112)-SUM(O$4:O112))</f>
        <v/>
      </c>
      <c r="Q112" s="56" t="str">
        <f aca="false">IF($W112="","",N(INDEX(发票统计!Q$4:Q$1003,$W112)))</f>
        <v/>
      </c>
      <c r="R112" s="56" t="str">
        <f aca="false">IF($W112="","",N(INDEX(发票统计!R$4:R$1003,$W112)))</f>
        <v/>
      </c>
      <c r="S112" s="56" t="str">
        <f aca="false">IF($W112="","",N(INDEX(发票统计!S$4:S$1003,$W112)))</f>
        <v/>
      </c>
      <c r="T112" s="56" t="str">
        <f aca="false">IF($W112="","",SUM(Q$4:Q112)-SUM(R$4:R112)-SUM(S$4:S112))</f>
        <v/>
      </c>
      <c r="U112" s="56" t="str">
        <f aca="false">IF($W112="","",INDEX(发票统计!U$4:U$1003,$W112)&amp;"")</f>
        <v/>
      </c>
      <c r="W112" s="1" t="str">
        <f aca="false">IF($V$3="","",IFERROR(MATCH($V$3&amp;"#"&amp;ROWS(W$4:W112),发票统计!$W$4:$W$1003,0),""))</f>
        <v/>
      </c>
    </row>
    <row r="113" customFormat="false" ht="16.5" hidden="false" customHeight="false" outlineLevel="0" collapsed="false">
      <c r="A113" s="3" t="str">
        <f aca="false">IF($W113="","",INDEX(发票统计!A$4:A$1003,$W113)&amp;"")</f>
        <v/>
      </c>
      <c r="B113" s="3" t="str">
        <f aca="false">IF($W113="","",INDEX(发票统计!B$4:B$1003,$W113)&amp;"")</f>
        <v/>
      </c>
      <c r="C113" s="3" t="str">
        <f aca="false">IF($W113="","",INDEX(发票统计!C$4:C$1003,$W113)&amp;"")</f>
        <v/>
      </c>
      <c r="D113" s="3" t="str">
        <f aca="false">IF($W113="","",INDEX(发票统计!D$4:D$1003,$W113)&amp;"")</f>
        <v/>
      </c>
      <c r="E113" s="56" t="str">
        <f aca="false">IF($W113="","",INDEX(发票统计!E$4:E$1003,$W113)&amp;"")</f>
        <v/>
      </c>
      <c r="F113" s="56" t="str">
        <f aca="false">IF($W113="","",INDEX(发票统计!F$4:F$1003,$W113)&amp;"")</f>
        <v/>
      </c>
      <c r="G113" s="68" t="str">
        <f aca="false">IF($W113="","",IF(INDEX(发票统计!G$4:G$1003,$W113)="","",INDEX(发票统计!G$4:G$1003,$W113)))</f>
        <v/>
      </c>
      <c r="H113" s="56" t="str">
        <f aca="false">IF($W113="","",N(INDEX(发票统计!H$4:H$1003,$W113)))</f>
        <v/>
      </c>
      <c r="I113" s="56" t="str">
        <f aca="false">IF($W113="","",N(INDEX(发票统计!I$4:I$1003,$W113)))</f>
        <v/>
      </c>
      <c r="J113" s="56" t="str">
        <f aca="false">IF($W113="","",N(INDEX(发票统计!J$4:J$1003,$W113)))</f>
        <v/>
      </c>
      <c r="K113" s="56" t="str">
        <f aca="false">IF($W113="","",N(INDEX(发票统计!K$4:K$1003,$W113)))</f>
        <v/>
      </c>
      <c r="L113" s="56" t="str">
        <f aca="false">IF($W113="","",SUM(J$4:J113)-SUM(K$4:K113))</f>
        <v/>
      </c>
      <c r="M113" s="56" t="str">
        <f aca="false">IF($W113="","",N(INDEX(发票统计!M$4:M$1003,$W113)))</f>
        <v/>
      </c>
      <c r="N113" s="56" t="str">
        <f aca="false">IF($W113="","",N(INDEX(发票统计!N$4:N$1003,$W113)))</f>
        <v/>
      </c>
      <c r="O113" s="56" t="str">
        <f aca="false">IF($W113="","",N(INDEX(发票统计!O$4:O$1003,$W113)))</f>
        <v/>
      </c>
      <c r="P113" s="56" t="str">
        <f aca="false">IF($W113="","",SUM(M$4:M113)-SUM(N$4:N113)-SUM(O$4:O113))</f>
        <v/>
      </c>
      <c r="Q113" s="56" t="str">
        <f aca="false">IF($W113="","",N(INDEX(发票统计!Q$4:Q$1003,$W113)))</f>
        <v/>
      </c>
      <c r="R113" s="56" t="str">
        <f aca="false">IF($W113="","",N(INDEX(发票统计!R$4:R$1003,$W113)))</f>
        <v/>
      </c>
      <c r="S113" s="56" t="str">
        <f aca="false">IF($W113="","",N(INDEX(发票统计!S$4:S$1003,$W113)))</f>
        <v/>
      </c>
      <c r="T113" s="56" t="str">
        <f aca="false">IF($W113="","",SUM(Q$4:Q113)-SUM(R$4:R113)-SUM(S$4:S113))</f>
        <v/>
      </c>
      <c r="U113" s="56" t="str">
        <f aca="false">IF($W113="","",INDEX(发票统计!U$4:U$1003,$W113)&amp;"")</f>
        <v/>
      </c>
      <c r="W113" s="1" t="str">
        <f aca="false">IF($V$3="","",IFERROR(MATCH($V$3&amp;"#"&amp;ROWS(W$4:W113),发票统计!$W$4:$W$1003,0),""))</f>
        <v/>
      </c>
    </row>
    <row r="114" customFormat="false" ht="16.5" hidden="false" customHeight="false" outlineLevel="0" collapsed="false">
      <c r="A114" s="3" t="str">
        <f aca="false">IF($W114="","",INDEX(发票统计!A$4:A$1003,$W114)&amp;"")</f>
        <v/>
      </c>
      <c r="B114" s="3" t="str">
        <f aca="false">IF($W114="","",INDEX(发票统计!B$4:B$1003,$W114)&amp;"")</f>
        <v/>
      </c>
      <c r="C114" s="3" t="str">
        <f aca="false">IF($W114="","",INDEX(发票统计!C$4:C$1003,$W114)&amp;"")</f>
        <v/>
      </c>
      <c r="D114" s="3" t="str">
        <f aca="false">IF($W114="","",INDEX(发票统计!D$4:D$1003,$W114)&amp;"")</f>
        <v/>
      </c>
      <c r="E114" s="56" t="str">
        <f aca="false">IF($W114="","",INDEX(发票统计!E$4:E$1003,$W114)&amp;"")</f>
        <v/>
      </c>
      <c r="F114" s="56" t="str">
        <f aca="false">IF($W114="","",INDEX(发票统计!F$4:F$1003,$W114)&amp;"")</f>
        <v/>
      </c>
      <c r="G114" s="68" t="str">
        <f aca="false">IF($W114="","",IF(INDEX(发票统计!G$4:G$1003,$W114)="","",INDEX(发票统计!G$4:G$1003,$W114)))</f>
        <v/>
      </c>
      <c r="H114" s="56" t="str">
        <f aca="false">IF($W114="","",N(INDEX(发票统计!H$4:H$1003,$W114)))</f>
        <v/>
      </c>
      <c r="I114" s="56" t="str">
        <f aca="false">IF($W114="","",N(INDEX(发票统计!I$4:I$1003,$W114)))</f>
        <v/>
      </c>
      <c r="J114" s="56" t="str">
        <f aca="false">IF($W114="","",N(INDEX(发票统计!J$4:J$1003,$W114)))</f>
        <v/>
      </c>
      <c r="K114" s="56" t="str">
        <f aca="false">IF($W114="","",N(INDEX(发票统计!K$4:K$1003,$W114)))</f>
        <v/>
      </c>
      <c r="L114" s="56" t="str">
        <f aca="false">IF($W114="","",SUM(J$4:J114)-SUM(K$4:K114))</f>
        <v/>
      </c>
      <c r="M114" s="56" t="str">
        <f aca="false">IF($W114="","",N(INDEX(发票统计!M$4:M$1003,$W114)))</f>
        <v/>
      </c>
      <c r="N114" s="56" t="str">
        <f aca="false">IF($W114="","",N(INDEX(发票统计!N$4:N$1003,$W114)))</f>
        <v/>
      </c>
      <c r="O114" s="56" t="str">
        <f aca="false">IF($W114="","",N(INDEX(发票统计!O$4:O$1003,$W114)))</f>
        <v/>
      </c>
      <c r="P114" s="56" t="str">
        <f aca="false">IF($W114="","",SUM(M$4:M114)-SUM(N$4:N114)-SUM(O$4:O114))</f>
        <v/>
      </c>
      <c r="Q114" s="56" t="str">
        <f aca="false">IF($W114="","",N(INDEX(发票统计!Q$4:Q$1003,$W114)))</f>
        <v/>
      </c>
      <c r="R114" s="56" t="str">
        <f aca="false">IF($W114="","",N(INDEX(发票统计!R$4:R$1003,$W114)))</f>
        <v/>
      </c>
      <c r="S114" s="56" t="str">
        <f aca="false">IF($W114="","",N(INDEX(发票统计!S$4:S$1003,$W114)))</f>
        <v/>
      </c>
      <c r="T114" s="56" t="str">
        <f aca="false">IF($W114="","",SUM(Q$4:Q114)-SUM(R$4:R114)-SUM(S$4:S114))</f>
        <v/>
      </c>
      <c r="U114" s="56" t="str">
        <f aca="false">IF($W114="","",INDEX(发票统计!U$4:U$1003,$W114)&amp;"")</f>
        <v/>
      </c>
      <c r="W114" s="1" t="str">
        <f aca="false">IF($V$3="","",IFERROR(MATCH($V$3&amp;"#"&amp;ROWS(W$4:W114),发票统计!$W$4:$W$1003,0),""))</f>
        <v/>
      </c>
    </row>
    <row r="115" customFormat="false" ht="16.5" hidden="false" customHeight="false" outlineLevel="0" collapsed="false">
      <c r="A115" s="3" t="str">
        <f aca="false">IF($W115="","",INDEX(发票统计!A$4:A$1003,$W115)&amp;"")</f>
        <v/>
      </c>
      <c r="B115" s="3" t="str">
        <f aca="false">IF($W115="","",INDEX(发票统计!B$4:B$1003,$W115)&amp;"")</f>
        <v/>
      </c>
      <c r="C115" s="3" t="str">
        <f aca="false">IF($W115="","",INDEX(发票统计!C$4:C$1003,$W115)&amp;"")</f>
        <v/>
      </c>
      <c r="D115" s="3" t="str">
        <f aca="false">IF($W115="","",INDEX(发票统计!D$4:D$1003,$W115)&amp;"")</f>
        <v/>
      </c>
      <c r="E115" s="56" t="str">
        <f aca="false">IF($W115="","",INDEX(发票统计!E$4:E$1003,$W115)&amp;"")</f>
        <v/>
      </c>
      <c r="F115" s="56" t="str">
        <f aca="false">IF($W115="","",INDEX(发票统计!F$4:F$1003,$W115)&amp;"")</f>
        <v/>
      </c>
      <c r="G115" s="68" t="str">
        <f aca="false">IF($W115="","",IF(INDEX(发票统计!G$4:G$1003,$W115)="","",INDEX(发票统计!G$4:G$1003,$W115)))</f>
        <v/>
      </c>
      <c r="H115" s="56" t="str">
        <f aca="false">IF($W115="","",N(INDEX(发票统计!H$4:H$1003,$W115)))</f>
        <v/>
      </c>
      <c r="I115" s="56" t="str">
        <f aca="false">IF($W115="","",N(INDEX(发票统计!I$4:I$1003,$W115)))</f>
        <v/>
      </c>
      <c r="J115" s="56" t="str">
        <f aca="false">IF($W115="","",N(INDEX(发票统计!J$4:J$1003,$W115)))</f>
        <v/>
      </c>
      <c r="K115" s="56" t="str">
        <f aca="false">IF($W115="","",N(INDEX(发票统计!K$4:K$1003,$W115)))</f>
        <v/>
      </c>
      <c r="L115" s="56" t="str">
        <f aca="false">IF($W115="","",SUM(J$4:J115)-SUM(K$4:K115))</f>
        <v/>
      </c>
      <c r="M115" s="56" t="str">
        <f aca="false">IF($W115="","",N(INDEX(发票统计!M$4:M$1003,$W115)))</f>
        <v/>
      </c>
      <c r="N115" s="56" t="str">
        <f aca="false">IF($W115="","",N(INDEX(发票统计!N$4:N$1003,$W115)))</f>
        <v/>
      </c>
      <c r="O115" s="56" t="str">
        <f aca="false">IF($W115="","",N(INDEX(发票统计!O$4:O$1003,$W115)))</f>
        <v/>
      </c>
      <c r="P115" s="56" t="str">
        <f aca="false">IF($W115="","",SUM(M$4:M115)-SUM(N$4:N115)-SUM(O$4:O115))</f>
        <v/>
      </c>
      <c r="Q115" s="56" t="str">
        <f aca="false">IF($W115="","",N(INDEX(发票统计!Q$4:Q$1003,$W115)))</f>
        <v/>
      </c>
      <c r="R115" s="56" t="str">
        <f aca="false">IF($W115="","",N(INDEX(发票统计!R$4:R$1003,$W115)))</f>
        <v/>
      </c>
      <c r="S115" s="56" t="str">
        <f aca="false">IF($W115="","",N(INDEX(发票统计!S$4:S$1003,$W115)))</f>
        <v/>
      </c>
      <c r="T115" s="56" t="str">
        <f aca="false">IF($W115="","",SUM(Q$4:Q115)-SUM(R$4:R115)-SUM(S$4:S115))</f>
        <v/>
      </c>
      <c r="U115" s="56" t="str">
        <f aca="false">IF($W115="","",INDEX(发票统计!U$4:U$1003,$W115)&amp;"")</f>
        <v/>
      </c>
      <c r="W115" s="1" t="str">
        <f aca="false">IF($V$3="","",IFERROR(MATCH($V$3&amp;"#"&amp;ROWS(W$4:W115),发票统计!$W$4:$W$1003,0),""))</f>
        <v/>
      </c>
    </row>
    <row r="116" customFormat="false" ht="16.5" hidden="false" customHeight="false" outlineLevel="0" collapsed="false">
      <c r="A116" s="3" t="str">
        <f aca="false">IF($W116="","",INDEX(发票统计!A$4:A$1003,$W116)&amp;"")</f>
        <v/>
      </c>
      <c r="B116" s="3" t="str">
        <f aca="false">IF($W116="","",INDEX(发票统计!B$4:B$1003,$W116)&amp;"")</f>
        <v/>
      </c>
      <c r="C116" s="3" t="str">
        <f aca="false">IF($W116="","",INDEX(发票统计!C$4:C$1003,$W116)&amp;"")</f>
        <v/>
      </c>
      <c r="D116" s="3" t="str">
        <f aca="false">IF($W116="","",INDEX(发票统计!D$4:D$1003,$W116)&amp;"")</f>
        <v/>
      </c>
      <c r="E116" s="56" t="str">
        <f aca="false">IF($W116="","",INDEX(发票统计!E$4:E$1003,$W116)&amp;"")</f>
        <v/>
      </c>
      <c r="F116" s="56" t="str">
        <f aca="false">IF($W116="","",INDEX(发票统计!F$4:F$1003,$W116)&amp;"")</f>
        <v/>
      </c>
      <c r="G116" s="68" t="str">
        <f aca="false">IF($W116="","",IF(INDEX(发票统计!G$4:G$1003,$W116)="","",INDEX(发票统计!G$4:G$1003,$W116)))</f>
        <v/>
      </c>
      <c r="H116" s="56" t="str">
        <f aca="false">IF($W116="","",N(INDEX(发票统计!H$4:H$1003,$W116)))</f>
        <v/>
      </c>
      <c r="I116" s="56" t="str">
        <f aca="false">IF($W116="","",N(INDEX(发票统计!I$4:I$1003,$W116)))</f>
        <v/>
      </c>
      <c r="J116" s="56" t="str">
        <f aca="false">IF($W116="","",N(INDEX(发票统计!J$4:J$1003,$W116)))</f>
        <v/>
      </c>
      <c r="K116" s="56" t="str">
        <f aca="false">IF($W116="","",N(INDEX(发票统计!K$4:K$1003,$W116)))</f>
        <v/>
      </c>
      <c r="L116" s="56" t="str">
        <f aca="false">IF($W116="","",SUM(J$4:J116)-SUM(K$4:K116))</f>
        <v/>
      </c>
      <c r="M116" s="56" t="str">
        <f aca="false">IF($W116="","",N(INDEX(发票统计!M$4:M$1003,$W116)))</f>
        <v/>
      </c>
      <c r="N116" s="56" t="str">
        <f aca="false">IF($W116="","",N(INDEX(发票统计!N$4:N$1003,$W116)))</f>
        <v/>
      </c>
      <c r="O116" s="56" t="str">
        <f aca="false">IF($W116="","",N(INDEX(发票统计!O$4:O$1003,$W116)))</f>
        <v/>
      </c>
      <c r="P116" s="56" t="str">
        <f aca="false">IF($W116="","",SUM(M$4:M116)-SUM(N$4:N116)-SUM(O$4:O116))</f>
        <v/>
      </c>
      <c r="Q116" s="56" t="str">
        <f aca="false">IF($W116="","",N(INDEX(发票统计!Q$4:Q$1003,$W116)))</f>
        <v/>
      </c>
      <c r="R116" s="56" t="str">
        <f aca="false">IF($W116="","",N(INDEX(发票统计!R$4:R$1003,$W116)))</f>
        <v/>
      </c>
      <c r="S116" s="56" t="str">
        <f aca="false">IF($W116="","",N(INDEX(发票统计!S$4:S$1003,$W116)))</f>
        <v/>
      </c>
      <c r="T116" s="56" t="str">
        <f aca="false">IF($W116="","",SUM(Q$4:Q116)-SUM(R$4:R116)-SUM(S$4:S116))</f>
        <v/>
      </c>
      <c r="U116" s="56" t="str">
        <f aca="false">IF($W116="","",INDEX(发票统计!U$4:U$1003,$W116)&amp;"")</f>
        <v/>
      </c>
      <c r="W116" s="1" t="str">
        <f aca="false">IF($V$3="","",IFERROR(MATCH($V$3&amp;"#"&amp;ROWS(W$4:W116),发票统计!$W$4:$W$1003,0),""))</f>
        <v/>
      </c>
    </row>
    <row r="117" customFormat="false" ht="16.5" hidden="false" customHeight="false" outlineLevel="0" collapsed="false">
      <c r="A117" s="3" t="str">
        <f aca="false">IF($W117="","",INDEX(发票统计!A$4:A$1003,$W117)&amp;"")</f>
        <v/>
      </c>
      <c r="B117" s="3" t="str">
        <f aca="false">IF($W117="","",INDEX(发票统计!B$4:B$1003,$W117)&amp;"")</f>
        <v/>
      </c>
      <c r="C117" s="3" t="str">
        <f aca="false">IF($W117="","",INDEX(发票统计!C$4:C$1003,$W117)&amp;"")</f>
        <v/>
      </c>
      <c r="D117" s="3" t="str">
        <f aca="false">IF($W117="","",INDEX(发票统计!D$4:D$1003,$W117)&amp;"")</f>
        <v/>
      </c>
      <c r="E117" s="56" t="str">
        <f aca="false">IF($W117="","",INDEX(发票统计!E$4:E$1003,$W117)&amp;"")</f>
        <v/>
      </c>
      <c r="F117" s="56" t="str">
        <f aca="false">IF($W117="","",INDEX(发票统计!F$4:F$1003,$W117)&amp;"")</f>
        <v/>
      </c>
      <c r="G117" s="68" t="str">
        <f aca="false">IF($W117="","",IF(INDEX(发票统计!G$4:G$1003,$W117)="","",INDEX(发票统计!G$4:G$1003,$W117)))</f>
        <v/>
      </c>
      <c r="H117" s="56" t="str">
        <f aca="false">IF($W117="","",N(INDEX(发票统计!H$4:H$1003,$W117)))</f>
        <v/>
      </c>
      <c r="I117" s="56" t="str">
        <f aca="false">IF($W117="","",N(INDEX(发票统计!I$4:I$1003,$W117)))</f>
        <v/>
      </c>
      <c r="J117" s="56" t="str">
        <f aca="false">IF($W117="","",N(INDEX(发票统计!J$4:J$1003,$W117)))</f>
        <v/>
      </c>
      <c r="K117" s="56" t="str">
        <f aca="false">IF($W117="","",N(INDEX(发票统计!K$4:K$1003,$W117)))</f>
        <v/>
      </c>
      <c r="L117" s="56" t="str">
        <f aca="false">IF($W117="","",SUM(J$4:J117)-SUM(K$4:K117))</f>
        <v/>
      </c>
      <c r="M117" s="56" t="str">
        <f aca="false">IF($W117="","",N(INDEX(发票统计!M$4:M$1003,$W117)))</f>
        <v/>
      </c>
      <c r="N117" s="56" t="str">
        <f aca="false">IF($W117="","",N(INDEX(发票统计!N$4:N$1003,$W117)))</f>
        <v/>
      </c>
      <c r="O117" s="56" t="str">
        <f aca="false">IF($W117="","",N(INDEX(发票统计!O$4:O$1003,$W117)))</f>
        <v/>
      </c>
      <c r="P117" s="56" t="str">
        <f aca="false">IF($W117="","",SUM(M$4:M117)-SUM(N$4:N117)-SUM(O$4:O117))</f>
        <v/>
      </c>
      <c r="Q117" s="56" t="str">
        <f aca="false">IF($W117="","",N(INDEX(发票统计!Q$4:Q$1003,$W117)))</f>
        <v/>
      </c>
      <c r="R117" s="56" t="str">
        <f aca="false">IF($W117="","",N(INDEX(发票统计!R$4:R$1003,$W117)))</f>
        <v/>
      </c>
      <c r="S117" s="56" t="str">
        <f aca="false">IF($W117="","",N(INDEX(发票统计!S$4:S$1003,$W117)))</f>
        <v/>
      </c>
      <c r="T117" s="56" t="str">
        <f aca="false">IF($W117="","",SUM(Q$4:Q117)-SUM(R$4:R117)-SUM(S$4:S117))</f>
        <v/>
      </c>
      <c r="U117" s="56" t="str">
        <f aca="false">IF($W117="","",INDEX(发票统计!U$4:U$1003,$W117)&amp;"")</f>
        <v/>
      </c>
      <c r="W117" s="1" t="str">
        <f aca="false">IF($V$3="","",IFERROR(MATCH($V$3&amp;"#"&amp;ROWS(W$4:W117),发票统计!$W$4:$W$1003,0),""))</f>
        <v/>
      </c>
    </row>
    <row r="118" customFormat="false" ht="16.5" hidden="false" customHeight="false" outlineLevel="0" collapsed="false">
      <c r="A118" s="3" t="str">
        <f aca="false">IF($W118="","",INDEX(发票统计!A$4:A$1003,$W118)&amp;"")</f>
        <v/>
      </c>
      <c r="B118" s="3" t="str">
        <f aca="false">IF($W118="","",INDEX(发票统计!B$4:B$1003,$W118)&amp;"")</f>
        <v/>
      </c>
      <c r="C118" s="3" t="str">
        <f aca="false">IF($W118="","",INDEX(发票统计!C$4:C$1003,$W118)&amp;"")</f>
        <v/>
      </c>
      <c r="D118" s="3" t="str">
        <f aca="false">IF($W118="","",INDEX(发票统计!D$4:D$1003,$W118)&amp;"")</f>
        <v/>
      </c>
      <c r="E118" s="56" t="str">
        <f aca="false">IF($W118="","",INDEX(发票统计!E$4:E$1003,$W118)&amp;"")</f>
        <v/>
      </c>
      <c r="F118" s="56" t="str">
        <f aca="false">IF($W118="","",INDEX(发票统计!F$4:F$1003,$W118)&amp;"")</f>
        <v/>
      </c>
      <c r="G118" s="68" t="str">
        <f aca="false">IF($W118="","",IF(INDEX(发票统计!G$4:G$1003,$W118)="","",INDEX(发票统计!G$4:G$1003,$W118)))</f>
        <v/>
      </c>
      <c r="H118" s="56" t="str">
        <f aca="false">IF($W118="","",N(INDEX(发票统计!H$4:H$1003,$W118)))</f>
        <v/>
      </c>
      <c r="I118" s="56" t="str">
        <f aca="false">IF($W118="","",N(INDEX(发票统计!I$4:I$1003,$W118)))</f>
        <v/>
      </c>
      <c r="J118" s="56" t="str">
        <f aca="false">IF($W118="","",N(INDEX(发票统计!J$4:J$1003,$W118)))</f>
        <v/>
      </c>
      <c r="K118" s="56" t="str">
        <f aca="false">IF($W118="","",N(INDEX(发票统计!K$4:K$1003,$W118)))</f>
        <v/>
      </c>
      <c r="L118" s="56" t="str">
        <f aca="false">IF($W118="","",SUM(J$4:J118)-SUM(K$4:K118))</f>
        <v/>
      </c>
      <c r="M118" s="56" t="str">
        <f aca="false">IF($W118="","",N(INDEX(发票统计!M$4:M$1003,$W118)))</f>
        <v/>
      </c>
      <c r="N118" s="56" t="str">
        <f aca="false">IF($W118="","",N(INDEX(发票统计!N$4:N$1003,$W118)))</f>
        <v/>
      </c>
      <c r="O118" s="56" t="str">
        <f aca="false">IF($W118="","",N(INDEX(发票统计!O$4:O$1003,$W118)))</f>
        <v/>
      </c>
      <c r="P118" s="56" t="str">
        <f aca="false">IF($W118="","",SUM(M$4:M118)-SUM(N$4:N118)-SUM(O$4:O118))</f>
        <v/>
      </c>
      <c r="Q118" s="56" t="str">
        <f aca="false">IF($W118="","",N(INDEX(发票统计!Q$4:Q$1003,$W118)))</f>
        <v/>
      </c>
      <c r="R118" s="56" t="str">
        <f aca="false">IF($W118="","",N(INDEX(发票统计!R$4:R$1003,$W118)))</f>
        <v/>
      </c>
      <c r="S118" s="56" t="str">
        <f aca="false">IF($W118="","",N(INDEX(发票统计!S$4:S$1003,$W118)))</f>
        <v/>
      </c>
      <c r="T118" s="56" t="str">
        <f aca="false">IF($W118="","",SUM(Q$4:Q118)-SUM(R$4:R118)-SUM(S$4:S118))</f>
        <v/>
      </c>
      <c r="U118" s="56" t="str">
        <f aca="false">IF($W118="","",INDEX(发票统计!U$4:U$1003,$W118)&amp;"")</f>
        <v/>
      </c>
      <c r="W118" s="1" t="str">
        <f aca="false">IF($V$3="","",IFERROR(MATCH($V$3&amp;"#"&amp;ROWS(W$4:W118),发票统计!$W$4:$W$1003,0),""))</f>
        <v/>
      </c>
    </row>
    <row r="119" customFormat="false" ht="16.5" hidden="false" customHeight="false" outlineLevel="0" collapsed="false">
      <c r="A119" s="3" t="str">
        <f aca="false">IF($W119="","",INDEX(发票统计!A$4:A$1003,$W119)&amp;"")</f>
        <v/>
      </c>
      <c r="B119" s="3" t="str">
        <f aca="false">IF($W119="","",INDEX(发票统计!B$4:B$1003,$W119)&amp;"")</f>
        <v/>
      </c>
      <c r="C119" s="3" t="str">
        <f aca="false">IF($W119="","",INDEX(发票统计!C$4:C$1003,$W119)&amp;"")</f>
        <v/>
      </c>
      <c r="D119" s="3" t="str">
        <f aca="false">IF($W119="","",INDEX(发票统计!D$4:D$1003,$W119)&amp;"")</f>
        <v/>
      </c>
      <c r="E119" s="56" t="str">
        <f aca="false">IF($W119="","",INDEX(发票统计!E$4:E$1003,$W119)&amp;"")</f>
        <v/>
      </c>
      <c r="F119" s="56" t="str">
        <f aca="false">IF($W119="","",INDEX(发票统计!F$4:F$1003,$W119)&amp;"")</f>
        <v/>
      </c>
      <c r="G119" s="68" t="str">
        <f aca="false">IF($W119="","",IF(INDEX(发票统计!G$4:G$1003,$W119)="","",INDEX(发票统计!G$4:G$1003,$W119)))</f>
        <v/>
      </c>
      <c r="H119" s="56" t="str">
        <f aca="false">IF($W119="","",N(INDEX(发票统计!H$4:H$1003,$W119)))</f>
        <v/>
      </c>
      <c r="I119" s="56" t="str">
        <f aca="false">IF($W119="","",N(INDEX(发票统计!I$4:I$1003,$W119)))</f>
        <v/>
      </c>
      <c r="J119" s="56" t="str">
        <f aca="false">IF($W119="","",N(INDEX(发票统计!J$4:J$1003,$W119)))</f>
        <v/>
      </c>
      <c r="K119" s="56" t="str">
        <f aca="false">IF($W119="","",N(INDEX(发票统计!K$4:K$1003,$W119)))</f>
        <v/>
      </c>
      <c r="L119" s="56" t="str">
        <f aca="false">IF($W119="","",SUM(J$4:J119)-SUM(K$4:K119))</f>
        <v/>
      </c>
      <c r="M119" s="56" t="str">
        <f aca="false">IF($W119="","",N(INDEX(发票统计!M$4:M$1003,$W119)))</f>
        <v/>
      </c>
      <c r="N119" s="56" t="str">
        <f aca="false">IF($W119="","",N(INDEX(发票统计!N$4:N$1003,$W119)))</f>
        <v/>
      </c>
      <c r="O119" s="56" t="str">
        <f aca="false">IF($W119="","",N(INDEX(发票统计!O$4:O$1003,$W119)))</f>
        <v/>
      </c>
      <c r="P119" s="56" t="str">
        <f aca="false">IF($W119="","",SUM(M$4:M119)-SUM(N$4:N119)-SUM(O$4:O119))</f>
        <v/>
      </c>
      <c r="Q119" s="56" t="str">
        <f aca="false">IF($W119="","",N(INDEX(发票统计!Q$4:Q$1003,$W119)))</f>
        <v/>
      </c>
      <c r="R119" s="56" t="str">
        <f aca="false">IF($W119="","",N(INDEX(发票统计!R$4:R$1003,$W119)))</f>
        <v/>
      </c>
      <c r="S119" s="56" t="str">
        <f aca="false">IF($W119="","",N(INDEX(发票统计!S$4:S$1003,$W119)))</f>
        <v/>
      </c>
      <c r="T119" s="56" t="str">
        <f aca="false">IF($W119="","",SUM(Q$4:Q119)-SUM(R$4:R119)-SUM(S$4:S119))</f>
        <v/>
      </c>
      <c r="U119" s="56" t="str">
        <f aca="false">IF($W119="","",INDEX(发票统计!U$4:U$1003,$W119)&amp;"")</f>
        <v/>
      </c>
      <c r="W119" s="1" t="str">
        <f aca="false">IF($V$3="","",IFERROR(MATCH($V$3&amp;"#"&amp;ROWS(W$4:W119),发票统计!$W$4:$W$1003,0),""))</f>
        <v/>
      </c>
    </row>
    <row r="120" customFormat="false" ht="16.5" hidden="false" customHeight="false" outlineLevel="0" collapsed="false">
      <c r="A120" s="3" t="str">
        <f aca="false">IF($W120="","",INDEX(发票统计!A$4:A$1003,$W120)&amp;"")</f>
        <v/>
      </c>
      <c r="B120" s="3" t="str">
        <f aca="false">IF($W120="","",INDEX(发票统计!B$4:B$1003,$W120)&amp;"")</f>
        <v/>
      </c>
      <c r="C120" s="3" t="str">
        <f aca="false">IF($W120="","",INDEX(发票统计!C$4:C$1003,$W120)&amp;"")</f>
        <v/>
      </c>
      <c r="D120" s="3" t="str">
        <f aca="false">IF($W120="","",INDEX(发票统计!D$4:D$1003,$W120)&amp;"")</f>
        <v/>
      </c>
      <c r="E120" s="56" t="str">
        <f aca="false">IF($W120="","",INDEX(发票统计!E$4:E$1003,$W120)&amp;"")</f>
        <v/>
      </c>
      <c r="F120" s="56" t="str">
        <f aca="false">IF($W120="","",INDEX(发票统计!F$4:F$1003,$W120)&amp;"")</f>
        <v/>
      </c>
      <c r="G120" s="68" t="str">
        <f aca="false">IF($W120="","",IF(INDEX(发票统计!G$4:G$1003,$W120)="","",INDEX(发票统计!G$4:G$1003,$W120)))</f>
        <v/>
      </c>
      <c r="H120" s="56" t="str">
        <f aca="false">IF($W120="","",N(INDEX(发票统计!H$4:H$1003,$W120)))</f>
        <v/>
      </c>
      <c r="I120" s="56" t="str">
        <f aca="false">IF($W120="","",N(INDEX(发票统计!I$4:I$1003,$W120)))</f>
        <v/>
      </c>
      <c r="J120" s="56" t="str">
        <f aca="false">IF($W120="","",N(INDEX(发票统计!J$4:J$1003,$W120)))</f>
        <v/>
      </c>
      <c r="K120" s="56" t="str">
        <f aca="false">IF($W120="","",N(INDEX(发票统计!K$4:K$1003,$W120)))</f>
        <v/>
      </c>
      <c r="L120" s="56" t="str">
        <f aca="false">IF($W120="","",SUM(J$4:J120)-SUM(K$4:K120))</f>
        <v/>
      </c>
      <c r="M120" s="56" t="str">
        <f aca="false">IF($W120="","",N(INDEX(发票统计!M$4:M$1003,$W120)))</f>
        <v/>
      </c>
      <c r="N120" s="56" t="str">
        <f aca="false">IF($W120="","",N(INDEX(发票统计!N$4:N$1003,$W120)))</f>
        <v/>
      </c>
      <c r="O120" s="56" t="str">
        <f aca="false">IF($W120="","",N(INDEX(发票统计!O$4:O$1003,$W120)))</f>
        <v/>
      </c>
      <c r="P120" s="56" t="str">
        <f aca="false">IF($W120="","",SUM(M$4:M120)-SUM(N$4:N120)-SUM(O$4:O120))</f>
        <v/>
      </c>
      <c r="Q120" s="56" t="str">
        <f aca="false">IF($W120="","",N(INDEX(发票统计!Q$4:Q$1003,$W120)))</f>
        <v/>
      </c>
      <c r="R120" s="56" t="str">
        <f aca="false">IF($W120="","",N(INDEX(发票统计!R$4:R$1003,$W120)))</f>
        <v/>
      </c>
      <c r="S120" s="56" t="str">
        <f aca="false">IF($W120="","",N(INDEX(发票统计!S$4:S$1003,$W120)))</f>
        <v/>
      </c>
      <c r="T120" s="56" t="str">
        <f aca="false">IF($W120="","",SUM(Q$4:Q120)-SUM(R$4:R120)-SUM(S$4:S120))</f>
        <v/>
      </c>
      <c r="U120" s="56" t="str">
        <f aca="false">IF($W120="","",INDEX(发票统计!U$4:U$1003,$W120)&amp;"")</f>
        <v/>
      </c>
      <c r="W120" s="1" t="str">
        <f aca="false">IF($V$3="","",IFERROR(MATCH($V$3&amp;"#"&amp;ROWS(W$4:W120),发票统计!$W$4:$W$1003,0),""))</f>
        <v/>
      </c>
    </row>
    <row r="121" customFormat="false" ht="16.5" hidden="false" customHeight="false" outlineLevel="0" collapsed="false">
      <c r="A121" s="3" t="str">
        <f aca="false">IF($W121="","",INDEX(发票统计!A$4:A$1003,$W121)&amp;"")</f>
        <v/>
      </c>
      <c r="B121" s="3" t="str">
        <f aca="false">IF($W121="","",INDEX(发票统计!B$4:B$1003,$W121)&amp;"")</f>
        <v/>
      </c>
      <c r="C121" s="3" t="str">
        <f aca="false">IF($W121="","",INDEX(发票统计!C$4:C$1003,$W121)&amp;"")</f>
        <v/>
      </c>
      <c r="D121" s="3" t="str">
        <f aca="false">IF($W121="","",INDEX(发票统计!D$4:D$1003,$W121)&amp;"")</f>
        <v/>
      </c>
      <c r="E121" s="56" t="str">
        <f aca="false">IF($W121="","",INDEX(发票统计!E$4:E$1003,$W121)&amp;"")</f>
        <v/>
      </c>
      <c r="F121" s="56" t="str">
        <f aca="false">IF($W121="","",INDEX(发票统计!F$4:F$1003,$W121)&amp;"")</f>
        <v/>
      </c>
      <c r="G121" s="68" t="str">
        <f aca="false">IF($W121="","",IF(INDEX(发票统计!G$4:G$1003,$W121)="","",INDEX(发票统计!G$4:G$1003,$W121)))</f>
        <v/>
      </c>
      <c r="H121" s="56" t="str">
        <f aca="false">IF($W121="","",N(INDEX(发票统计!H$4:H$1003,$W121)))</f>
        <v/>
      </c>
      <c r="I121" s="56" t="str">
        <f aca="false">IF($W121="","",N(INDEX(发票统计!I$4:I$1003,$W121)))</f>
        <v/>
      </c>
      <c r="J121" s="56" t="str">
        <f aca="false">IF($W121="","",N(INDEX(发票统计!J$4:J$1003,$W121)))</f>
        <v/>
      </c>
      <c r="K121" s="56" t="str">
        <f aca="false">IF($W121="","",N(INDEX(发票统计!K$4:K$1003,$W121)))</f>
        <v/>
      </c>
      <c r="L121" s="56" t="str">
        <f aca="false">IF($W121="","",SUM(J$4:J121)-SUM(K$4:K121))</f>
        <v/>
      </c>
      <c r="M121" s="56" t="str">
        <f aca="false">IF($W121="","",N(INDEX(发票统计!M$4:M$1003,$W121)))</f>
        <v/>
      </c>
      <c r="N121" s="56" t="str">
        <f aca="false">IF($W121="","",N(INDEX(发票统计!N$4:N$1003,$W121)))</f>
        <v/>
      </c>
      <c r="O121" s="56" t="str">
        <f aca="false">IF($W121="","",N(INDEX(发票统计!O$4:O$1003,$W121)))</f>
        <v/>
      </c>
      <c r="P121" s="56" t="str">
        <f aca="false">IF($W121="","",SUM(M$4:M121)-SUM(N$4:N121)-SUM(O$4:O121))</f>
        <v/>
      </c>
      <c r="Q121" s="56" t="str">
        <f aca="false">IF($W121="","",N(INDEX(发票统计!Q$4:Q$1003,$W121)))</f>
        <v/>
      </c>
      <c r="R121" s="56" t="str">
        <f aca="false">IF($W121="","",N(INDEX(发票统计!R$4:R$1003,$W121)))</f>
        <v/>
      </c>
      <c r="S121" s="56" t="str">
        <f aca="false">IF($W121="","",N(INDEX(发票统计!S$4:S$1003,$W121)))</f>
        <v/>
      </c>
      <c r="T121" s="56" t="str">
        <f aca="false">IF($W121="","",SUM(Q$4:Q121)-SUM(R$4:R121)-SUM(S$4:S121))</f>
        <v/>
      </c>
      <c r="U121" s="56" t="str">
        <f aca="false">IF($W121="","",INDEX(发票统计!U$4:U$1003,$W121)&amp;"")</f>
        <v/>
      </c>
      <c r="W121" s="1" t="str">
        <f aca="false">IF($V$3="","",IFERROR(MATCH($V$3&amp;"#"&amp;ROWS(W$4:W121),发票统计!$W$4:$W$1003,0),""))</f>
        <v/>
      </c>
    </row>
    <row r="122" customFormat="false" ht="16.5" hidden="false" customHeight="false" outlineLevel="0" collapsed="false">
      <c r="A122" s="3" t="str">
        <f aca="false">IF($W122="","",INDEX(发票统计!A$4:A$1003,$W122)&amp;"")</f>
        <v/>
      </c>
      <c r="B122" s="3" t="str">
        <f aca="false">IF($W122="","",INDEX(发票统计!B$4:B$1003,$W122)&amp;"")</f>
        <v/>
      </c>
      <c r="C122" s="3" t="str">
        <f aca="false">IF($W122="","",INDEX(发票统计!C$4:C$1003,$W122)&amp;"")</f>
        <v/>
      </c>
      <c r="D122" s="3" t="str">
        <f aca="false">IF($W122="","",INDEX(发票统计!D$4:D$1003,$W122)&amp;"")</f>
        <v/>
      </c>
      <c r="E122" s="56" t="str">
        <f aca="false">IF($W122="","",INDEX(发票统计!E$4:E$1003,$W122)&amp;"")</f>
        <v/>
      </c>
      <c r="F122" s="56" t="str">
        <f aca="false">IF($W122="","",INDEX(发票统计!F$4:F$1003,$W122)&amp;"")</f>
        <v/>
      </c>
      <c r="G122" s="68" t="str">
        <f aca="false">IF($W122="","",IF(INDEX(发票统计!G$4:G$1003,$W122)="","",INDEX(发票统计!G$4:G$1003,$W122)))</f>
        <v/>
      </c>
      <c r="H122" s="56" t="str">
        <f aca="false">IF($W122="","",N(INDEX(发票统计!H$4:H$1003,$W122)))</f>
        <v/>
      </c>
      <c r="I122" s="56" t="str">
        <f aca="false">IF($W122="","",N(INDEX(发票统计!I$4:I$1003,$W122)))</f>
        <v/>
      </c>
      <c r="J122" s="56" t="str">
        <f aca="false">IF($W122="","",N(INDEX(发票统计!J$4:J$1003,$W122)))</f>
        <v/>
      </c>
      <c r="K122" s="56" t="str">
        <f aca="false">IF($W122="","",N(INDEX(发票统计!K$4:K$1003,$W122)))</f>
        <v/>
      </c>
      <c r="L122" s="56" t="str">
        <f aca="false">IF($W122="","",SUM(J$4:J122)-SUM(K$4:K122))</f>
        <v/>
      </c>
      <c r="M122" s="56" t="str">
        <f aca="false">IF($W122="","",N(INDEX(发票统计!M$4:M$1003,$W122)))</f>
        <v/>
      </c>
      <c r="N122" s="56" t="str">
        <f aca="false">IF($W122="","",N(INDEX(发票统计!N$4:N$1003,$W122)))</f>
        <v/>
      </c>
      <c r="O122" s="56" t="str">
        <f aca="false">IF($W122="","",N(INDEX(发票统计!O$4:O$1003,$W122)))</f>
        <v/>
      </c>
      <c r="P122" s="56" t="str">
        <f aca="false">IF($W122="","",SUM(M$4:M122)-SUM(N$4:N122)-SUM(O$4:O122))</f>
        <v/>
      </c>
      <c r="Q122" s="56" t="str">
        <f aca="false">IF($W122="","",N(INDEX(发票统计!Q$4:Q$1003,$W122)))</f>
        <v/>
      </c>
      <c r="R122" s="56" t="str">
        <f aca="false">IF($W122="","",N(INDEX(发票统计!R$4:R$1003,$W122)))</f>
        <v/>
      </c>
      <c r="S122" s="56" t="str">
        <f aca="false">IF($W122="","",N(INDEX(发票统计!S$4:S$1003,$W122)))</f>
        <v/>
      </c>
      <c r="T122" s="56" t="str">
        <f aca="false">IF($W122="","",SUM(Q$4:Q122)-SUM(R$4:R122)-SUM(S$4:S122))</f>
        <v/>
      </c>
      <c r="U122" s="56" t="str">
        <f aca="false">IF($W122="","",INDEX(发票统计!U$4:U$1003,$W122)&amp;"")</f>
        <v/>
      </c>
      <c r="W122" s="1" t="str">
        <f aca="false">IF($V$3="","",IFERROR(MATCH($V$3&amp;"#"&amp;ROWS(W$4:W122),发票统计!$W$4:$W$1003,0),""))</f>
        <v/>
      </c>
    </row>
    <row r="123" customFormat="false" ht="16.5" hidden="false" customHeight="false" outlineLevel="0" collapsed="false">
      <c r="A123" s="3" t="str">
        <f aca="false">IF($W123="","",INDEX(发票统计!A$4:A$1003,$W123)&amp;"")</f>
        <v/>
      </c>
      <c r="B123" s="3" t="str">
        <f aca="false">IF($W123="","",INDEX(发票统计!B$4:B$1003,$W123)&amp;"")</f>
        <v/>
      </c>
      <c r="C123" s="3" t="str">
        <f aca="false">IF($W123="","",INDEX(发票统计!C$4:C$1003,$W123)&amp;"")</f>
        <v/>
      </c>
      <c r="D123" s="3" t="str">
        <f aca="false">IF($W123="","",INDEX(发票统计!D$4:D$1003,$W123)&amp;"")</f>
        <v/>
      </c>
      <c r="E123" s="56" t="str">
        <f aca="false">IF($W123="","",INDEX(发票统计!E$4:E$1003,$W123)&amp;"")</f>
        <v/>
      </c>
      <c r="F123" s="56" t="str">
        <f aca="false">IF($W123="","",INDEX(发票统计!F$4:F$1003,$W123)&amp;"")</f>
        <v/>
      </c>
      <c r="G123" s="68" t="str">
        <f aca="false">IF($W123="","",IF(INDEX(发票统计!G$4:G$1003,$W123)="","",INDEX(发票统计!G$4:G$1003,$W123)))</f>
        <v/>
      </c>
      <c r="H123" s="56" t="str">
        <f aca="false">IF($W123="","",N(INDEX(发票统计!H$4:H$1003,$W123)))</f>
        <v/>
      </c>
      <c r="I123" s="56" t="str">
        <f aca="false">IF($W123="","",N(INDEX(发票统计!I$4:I$1003,$W123)))</f>
        <v/>
      </c>
      <c r="J123" s="56" t="str">
        <f aca="false">IF($W123="","",N(INDEX(发票统计!J$4:J$1003,$W123)))</f>
        <v/>
      </c>
      <c r="K123" s="56" t="str">
        <f aca="false">IF($W123="","",N(INDEX(发票统计!K$4:K$1003,$W123)))</f>
        <v/>
      </c>
      <c r="L123" s="56" t="str">
        <f aca="false">IF($W123="","",SUM(J$4:J123)-SUM(K$4:K123))</f>
        <v/>
      </c>
      <c r="M123" s="56" t="str">
        <f aca="false">IF($W123="","",N(INDEX(发票统计!M$4:M$1003,$W123)))</f>
        <v/>
      </c>
      <c r="N123" s="56" t="str">
        <f aca="false">IF($W123="","",N(INDEX(发票统计!N$4:N$1003,$W123)))</f>
        <v/>
      </c>
      <c r="O123" s="56" t="str">
        <f aca="false">IF($W123="","",N(INDEX(发票统计!O$4:O$1003,$W123)))</f>
        <v/>
      </c>
      <c r="P123" s="56" t="str">
        <f aca="false">IF($W123="","",SUM(M$4:M123)-SUM(N$4:N123)-SUM(O$4:O123))</f>
        <v/>
      </c>
      <c r="Q123" s="56" t="str">
        <f aca="false">IF($W123="","",N(INDEX(发票统计!Q$4:Q$1003,$W123)))</f>
        <v/>
      </c>
      <c r="R123" s="56" t="str">
        <f aca="false">IF($W123="","",N(INDEX(发票统计!R$4:R$1003,$W123)))</f>
        <v/>
      </c>
      <c r="S123" s="56" t="str">
        <f aca="false">IF($W123="","",N(INDEX(发票统计!S$4:S$1003,$W123)))</f>
        <v/>
      </c>
      <c r="T123" s="56" t="str">
        <f aca="false">IF($W123="","",SUM(Q$4:Q123)-SUM(R$4:R123)-SUM(S$4:S123))</f>
        <v/>
      </c>
      <c r="U123" s="56" t="str">
        <f aca="false">IF($W123="","",INDEX(发票统计!U$4:U$1003,$W123)&amp;"")</f>
        <v/>
      </c>
      <c r="W123" s="1" t="str">
        <f aca="false">IF($V$3="","",IFERROR(MATCH($V$3&amp;"#"&amp;ROWS(W$4:W123),发票统计!$W$4:$W$1003,0),""))</f>
        <v/>
      </c>
    </row>
    <row r="124" customFormat="false" ht="16.5" hidden="false" customHeight="false" outlineLevel="0" collapsed="false">
      <c r="A124" s="3" t="str">
        <f aca="false">IF($W124="","",INDEX(发票统计!A$4:A$1003,$W124)&amp;"")</f>
        <v/>
      </c>
      <c r="B124" s="3" t="str">
        <f aca="false">IF($W124="","",INDEX(发票统计!B$4:B$1003,$W124)&amp;"")</f>
        <v/>
      </c>
      <c r="C124" s="3" t="str">
        <f aca="false">IF($W124="","",INDEX(发票统计!C$4:C$1003,$W124)&amp;"")</f>
        <v/>
      </c>
      <c r="D124" s="3" t="str">
        <f aca="false">IF($W124="","",INDEX(发票统计!D$4:D$1003,$W124)&amp;"")</f>
        <v/>
      </c>
      <c r="E124" s="56" t="str">
        <f aca="false">IF($W124="","",INDEX(发票统计!E$4:E$1003,$W124)&amp;"")</f>
        <v/>
      </c>
      <c r="F124" s="56" t="str">
        <f aca="false">IF($W124="","",INDEX(发票统计!F$4:F$1003,$W124)&amp;"")</f>
        <v/>
      </c>
      <c r="G124" s="68" t="str">
        <f aca="false">IF($W124="","",IF(INDEX(发票统计!G$4:G$1003,$W124)="","",INDEX(发票统计!G$4:G$1003,$W124)))</f>
        <v/>
      </c>
      <c r="H124" s="56" t="str">
        <f aca="false">IF($W124="","",N(INDEX(发票统计!H$4:H$1003,$W124)))</f>
        <v/>
      </c>
      <c r="I124" s="56" t="str">
        <f aca="false">IF($W124="","",N(INDEX(发票统计!I$4:I$1003,$W124)))</f>
        <v/>
      </c>
      <c r="J124" s="56" t="str">
        <f aca="false">IF($W124="","",N(INDEX(发票统计!J$4:J$1003,$W124)))</f>
        <v/>
      </c>
      <c r="K124" s="56" t="str">
        <f aca="false">IF($W124="","",N(INDEX(发票统计!K$4:K$1003,$W124)))</f>
        <v/>
      </c>
      <c r="L124" s="56" t="str">
        <f aca="false">IF($W124="","",SUM(J$4:J124)-SUM(K$4:K124))</f>
        <v/>
      </c>
      <c r="M124" s="56" t="str">
        <f aca="false">IF($W124="","",N(INDEX(发票统计!M$4:M$1003,$W124)))</f>
        <v/>
      </c>
      <c r="N124" s="56" t="str">
        <f aca="false">IF($W124="","",N(INDEX(发票统计!N$4:N$1003,$W124)))</f>
        <v/>
      </c>
      <c r="O124" s="56" t="str">
        <f aca="false">IF($W124="","",N(INDEX(发票统计!O$4:O$1003,$W124)))</f>
        <v/>
      </c>
      <c r="P124" s="56" t="str">
        <f aca="false">IF($W124="","",SUM(M$4:M124)-SUM(N$4:N124)-SUM(O$4:O124))</f>
        <v/>
      </c>
      <c r="Q124" s="56" t="str">
        <f aca="false">IF($W124="","",N(INDEX(发票统计!Q$4:Q$1003,$W124)))</f>
        <v/>
      </c>
      <c r="R124" s="56" t="str">
        <f aca="false">IF($W124="","",N(INDEX(发票统计!R$4:R$1003,$W124)))</f>
        <v/>
      </c>
      <c r="S124" s="56" t="str">
        <f aca="false">IF($W124="","",N(INDEX(发票统计!S$4:S$1003,$W124)))</f>
        <v/>
      </c>
      <c r="T124" s="56" t="str">
        <f aca="false">IF($W124="","",SUM(Q$4:Q124)-SUM(R$4:R124)-SUM(S$4:S124))</f>
        <v/>
      </c>
      <c r="U124" s="56" t="str">
        <f aca="false">IF($W124="","",INDEX(发票统计!U$4:U$1003,$W124)&amp;"")</f>
        <v/>
      </c>
      <c r="W124" s="1" t="str">
        <f aca="false">IF($V$3="","",IFERROR(MATCH($V$3&amp;"#"&amp;ROWS(W$4:W124),发票统计!$W$4:$W$1003,0),""))</f>
        <v/>
      </c>
    </row>
    <row r="125" customFormat="false" ht="16.5" hidden="false" customHeight="false" outlineLevel="0" collapsed="false">
      <c r="A125" s="3" t="str">
        <f aca="false">IF($W125="","",INDEX(发票统计!A$4:A$1003,$W125)&amp;"")</f>
        <v/>
      </c>
      <c r="B125" s="3" t="str">
        <f aca="false">IF($W125="","",INDEX(发票统计!B$4:B$1003,$W125)&amp;"")</f>
        <v/>
      </c>
      <c r="C125" s="3" t="str">
        <f aca="false">IF($W125="","",INDEX(发票统计!C$4:C$1003,$W125)&amp;"")</f>
        <v/>
      </c>
      <c r="D125" s="3" t="str">
        <f aca="false">IF($W125="","",INDEX(发票统计!D$4:D$1003,$W125)&amp;"")</f>
        <v/>
      </c>
      <c r="E125" s="56" t="str">
        <f aca="false">IF($W125="","",INDEX(发票统计!E$4:E$1003,$W125)&amp;"")</f>
        <v/>
      </c>
      <c r="F125" s="56" t="str">
        <f aca="false">IF($W125="","",INDEX(发票统计!F$4:F$1003,$W125)&amp;"")</f>
        <v/>
      </c>
      <c r="G125" s="68" t="str">
        <f aca="false">IF($W125="","",IF(INDEX(发票统计!G$4:G$1003,$W125)="","",INDEX(发票统计!G$4:G$1003,$W125)))</f>
        <v/>
      </c>
      <c r="H125" s="56" t="str">
        <f aca="false">IF($W125="","",N(INDEX(发票统计!H$4:H$1003,$W125)))</f>
        <v/>
      </c>
      <c r="I125" s="56" t="str">
        <f aca="false">IF($W125="","",N(INDEX(发票统计!I$4:I$1003,$W125)))</f>
        <v/>
      </c>
      <c r="J125" s="56" t="str">
        <f aca="false">IF($W125="","",N(INDEX(发票统计!J$4:J$1003,$W125)))</f>
        <v/>
      </c>
      <c r="K125" s="56" t="str">
        <f aca="false">IF($W125="","",N(INDEX(发票统计!K$4:K$1003,$W125)))</f>
        <v/>
      </c>
      <c r="L125" s="56" t="str">
        <f aca="false">IF($W125="","",SUM(J$4:J125)-SUM(K$4:K125))</f>
        <v/>
      </c>
      <c r="M125" s="56" t="str">
        <f aca="false">IF($W125="","",N(INDEX(发票统计!M$4:M$1003,$W125)))</f>
        <v/>
      </c>
      <c r="N125" s="56" t="str">
        <f aca="false">IF($W125="","",N(INDEX(发票统计!N$4:N$1003,$W125)))</f>
        <v/>
      </c>
      <c r="O125" s="56" t="str">
        <f aca="false">IF($W125="","",N(INDEX(发票统计!O$4:O$1003,$W125)))</f>
        <v/>
      </c>
      <c r="P125" s="56" t="str">
        <f aca="false">IF($W125="","",SUM(M$4:M125)-SUM(N$4:N125)-SUM(O$4:O125))</f>
        <v/>
      </c>
      <c r="Q125" s="56" t="str">
        <f aca="false">IF($W125="","",N(INDEX(发票统计!Q$4:Q$1003,$W125)))</f>
        <v/>
      </c>
      <c r="R125" s="56" t="str">
        <f aca="false">IF($W125="","",N(INDEX(发票统计!R$4:R$1003,$W125)))</f>
        <v/>
      </c>
      <c r="S125" s="56" t="str">
        <f aca="false">IF($W125="","",N(INDEX(发票统计!S$4:S$1003,$W125)))</f>
        <v/>
      </c>
      <c r="T125" s="56" t="str">
        <f aca="false">IF($W125="","",SUM(Q$4:Q125)-SUM(R$4:R125)-SUM(S$4:S125))</f>
        <v/>
      </c>
      <c r="U125" s="56" t="str">
        <f aca="false">IF($W125="","",INDEX(发票统计!U$4:U$1003,$W125)&amp;"")</f>
        <v/>
      </c>
      <c r="W125" s="1" t="str">
        <f aca="false">IF($V$3="","",IFERROR(MATCH($V$3&amp;"#"&amp;ROWS(W$4:W125),发票统计!$W$4:$W$1003,0),""))</f>
        <v/>
      </c>
    </row>
    <row r="126" customFormat="false" ht="16.5" hidden="false" customHeight="false" outlineLevel="0" collapsed="false">
      <c r="A126" s="3" t="str">
        <f aca="false">IF($W126="","",INDEX(发票统计!A$4:A$1003,$W126)&amp;"")</f>
        <v/>
      </c>
      <c r="B126" s="3" t="str">
        <f aca="false">IF($W126="","",INDEX(发票统计!B$4:B$1003,$W126)&amp;"")</f>
        <v/>
      </c>
      <c r="C126" s="3" t="str">
        <f aca="false">IF($W126="","",INDEX(发票统计!C$4:C$1003,$W126)&amp;"")</f>
        <v/>
      </c>
      <c r="D126" s="3" t="str">
        <f aca="false">IF($W126="","",INDEX(发票统计!D$4:D$1003,$W126)&amp;"")</f>
        <v/>
      </c>
      <c r="E126" s="56" t="str">
        <f aca="false">IF($W126="","",INDEX(发票统计!E$4:E$1003,$W126)&amp;"")</f>
        <v/>
      </c>
      <c r="F126" s="56" t="str">
        <f aca="false">IF($W126="","",INDEX(发票统计!F$4:F$1003,$W126)&amp;"")</f>
        <v/>
      </c>
      <c r="G126" s="68" t="str">
        <f aca="false">IF($W126="","",IF(INDEX(发票统计!G$4:G$1003,$W126)="","",INDEX(发票统计!G$4:G$1003,$W126)))</f>
        <v/>
      </c>
      <c r="H126" s="56" t="str">
        <f aca="false">IF($W126="","",N(INDEX(发票统计!H$4:H$1003,$W126)))</f>
        <v/>
      </c>
      <c r="I126" s="56" t="str">
        <f aca="false">IF($W126="","",N(INDEX(发票统计!I$4:I$1003,$W126)))</f>
        <v/>
      </c>
      <c r="J126" s="56" t="str">
        <f aca="false">IF($W126="","",N(INDEX(发票统计!J$4:J$1003,$W126)))</f>
        <v/>
      </c>
      <c r="K126" s="56" t="str">
        <f aca="false">IF($W126="","",N(INDEX(发票统计!K$4:K$1003,$W126)))</f>
        <v/>
      </c>
      <c r="L126" s="56" t="str">
        <f aca="false">IF($W126="","",SUM(J$4:J126)-SUM(K$4:K126))</f>
        <v/>
      </c>
      <c r="M126" s="56" t="str">
        <f aca="false">IF($W126="","",N(INDEX(发票统计!M$4:M$1003,$W126)))</f>
        <v/>
      </c>
      <c r="N126" s="56" t="str">
        <f aca="false">IF($W126="","",N(INDEX(发票统计!N$4:N$1003,$W126)))</f>
        <v/>
      </c>
      <c r="O126" s="56" t="str">
        <f aca="false">IF($W126="","",N(INDEX(发票统计!O$4:O$1003,$W126)))</f>
        <v/>
      </c>
      <c r="P126" s="56" t="str">
        <f aca="false">IF($W126="","",SUM(M$4:M126)-SUM(N$4:N126)-SUM(O$4:O126))</f>
        <v/>
      </c>
      <c r="Q126" s="56" t="str">
        <f aca="false">IF($W126="","",N(INDEX(发票统计!Q$4:Q$1003,$W126)))</f>
        <v/>
      </c>
      <c r="R126" s="56" t="str">
        <f aca="false">IF($W126="","",N(INDEX(发票统计!R$4:R$1003,$W126)))</f>
        <v/>
      </c>
      <c r="S126" s="56" t="str">
        <f aca="false">IF($W126="","",N(INDEX(发票统计!S$4:S$1003,$W126)))</f>
        <v/>
      </c>
      <c r="T126" s="56" t="str">
        <f aca="false">IF($W126="","",SUM(Q$4:Q126)-SUM(R$4:R126)-SUM(S$4:S126))</f>
        <v/>
      </c>
      <c r="U126" s="56" t="str">
        <f aca="false">IF($W126="","",INDEX(发票统计!U$4:U$1003,$W126)&amp;"")</f>
        <v/>
      </c>
      <c r="W126" s="1" t="str">
        <f aca="false">IF($V$3="","",IFERROR(MATCH($V$3&amp;"#"&amp;ROWS(W$4:W126),发票统计!$W$4:$W$1003,0),""))</f>
        <v/>
      </c>
    </row>
    <row r="127" customFormat="false" ht="16.5" hidden="false" customHeight="false" outlineLevel="0" collapsed="false">
      <c r="A127" s="3" t="str">
        <f aca="false">IF($W127="","",INDEX(发票统计!A$4:A$1003,$W127)&amp;"")</f>
        <v/>
      </c>
      <c r="B127" s="3" t="str">
        <f aca="false">IF($W127="","",INDEX(发票统计!B$4:B$1003,$W127)&amp;"")</f>
        <v/>
      </c>
      <c r="C127" s="3" t="str">
        <f aca="false">IF($W127="","",INDEX(发票统计!C$4:C$1003,$W127)&amp;"")</f>
        <v/>
      </c>
      <c r="D127" s="3" t="str">
        <f aca="false">IF($W127="","",INDEX(发票统计!D$4:D$1003,$W127)&amp;"")</f>
        <v/>
      </c>
      <c r="E127" s="56" t="str">
        <f aca="false">IF($W127="","",INDEX(发票统计!E$4:E$1003,$W127)&amp;"")</f>
        <v/>
      </c>
      <c r="F127" s="56" t="str">
        <f aca="false">IF($W127="","",INDEX(发票统计!F$4:F$1003,$W127)&amp;"")</f>
        <v/>
      </c>
      <c r="G127" s="68" t="str">
        <f aca="false">IF($W127="","",IF(INDEX(发票统计!G$4:G$1003,$W127)="","",INDEX(发票统计!G$4:G$1003,$W127)))</f>
        <v/>
      </c>
      <c r="H127" s="56" t="str">
        <f aca="false">IF($W127="","",N(INDEX(发票统计!H$4:H$1003,$W127)))</f>
        <v/>
      </c>
      <c r="I127" s="56" t="str">
        <f aca="false">IF($W127="","",N(INDEX(发票统计!I$4:I$1003,$W127)))</f>
        <v/>
      </c>
      <c r="J127" s="56" t="str">
        <f aca="false">IF($W127="","",N(INDEX(发票统计!J$4:J$1003,$W127)))</f>
        <v/>
      </c>
      <c r="K127" s="56" t="str">
        <f aca="false">IF($W127="","",N(INDEX(发票统计!K$4:K$1003,$W127)))</f>
        <v/>
      </c>
      <c r="L127" s="56" t="str">
        <f aca="false">IF($W127="","",SUM(J$4:J127)-SUM(K$4:K127))</f>
        <v/>
      </c>
      <c r="M127" s="56" t="str">
        <f aca="false">IF($W127="","",N(INDEX(发票统计!M$4:M$1003,$W127)))</f>
        <v/>
      </c>
      <c r="N127" s="56" t="str">
        <f aca="false">IF($W127="","",N(INDEX(发票统计!N$4:N$1003,$W127)))</f>
        <v/>
      </c>
      <c r="O127" s="56" t="str">
        <f aca="false">IF($W127="","",N(INDEX(发票统计!O$4:O$1003,$W127)))</f>
        <v/>
      </c>
      <c r="P127" s="56" t="str">
        <f aca="false">IF($W127="","",SUM(M$4:M127)-SUM(N$4:N127)-SUM(O$4:O127))</f>
        <v/>
      </c>
      <c r="Q127" s="56" t="str">
        <f aca="false">IF($W127="","",N(INDEX(发票统计!Q$4:Q$1003,$W127)))</f>
        <v/>
      </c>
      <c r="R127" s="56" t="str">
        <f aca="false">IF($W127="","",N(INDEX(发票统计!R$4:R$1003,$W127)))</f>
        <v/>
      </c>
      <c r="S127" s="56" t="str">
        <f aca="false">IF($W127="","",N(INDEX(发票统计!S$4:S$1003,$W127)))</f>
        <v/>
      </c>
      <c r="T127" s="56" t="str">
        <f aca="false">IF($W127="","",SUM(Q$4:Q127)-SUM(R$4:R127)-SUM(S$4:S127))</f>
        <v/>
      </c>
      <c r="U127" s="56" t="str">
        <f aca="false">IF($W127="","",INDEX(发票统计!U$4:U$1003,$W127)&amp;"")</f>
        <v/>
      </c>
      <c r="W127" s="1" t="str">
        <f aca="false">IF($V$3="","",IFERROR(MATCH($V$3&amp;"#"&amp;ROWS(W$4:W127),发票统计!$W$4:$W$1003,0),""))</f>
        <v/>
      </c>
    </row>
    <row r="128" customFormat="false" ht="16.5" hidden="false" customHeight="false" outlineLevel="0" collapsed="false">
      <c r="A128" s="3" t="str">
        <f aca="false">IF($W128="","",INDEX(发票统计!A$4:A$1003,$W128)&amp;"")</f>
        <v/>
      </c>
      <c r="B128" s="3" t="str">
        <f aca="false">IF($W128="","",INDEX(发票统计!B$4:B$1003,$W128)&amp;"")</f>
        <v/>
      </c>
      <c r="C128" s="3" t="str">
        <f aca="false">IF($W128="","",INDEX(发票统计!C$4:C$1003,$W128)&amp;"")</f>
        <v/>
      </c>
      <c r="D128" s="3" t="str">
        <f aca="false">IF($W128="","",INDEX(发票统计!D$4:D$1003,$W128)&amp;"")</f>
        <v/>
      </c>
      <c r="E128" s="56" t="str">
        <f aca="false">IF($W128="","",INDEX(发票统计!E$4:E$1003,$W128)&amp;"")</f>
        <v/>
      </c>
      <c r="F128" s="56" t="str">
        <f aca="false">IF($W128="","",INDEX(发票统计!F$4:F$1003,$W128)&amp;"")</f>
        <v/>
      </c>
      <c r="G128" s="68" t="str">
        <f aca="false">IF($W128="","",IF(INDEX(发票统计!G$4:G$1003,$W128)="","",INDEX(发票统计!G$4:G$1003,$W128)))</f>
        <v/>
      </c>
      <c r="H128" s="56" t="str">
        <f aca="false">IF($W128="","",N(INDEX(发票统计!H$4:H$1003,$W128)))</f>
        <v/>
      </c>
      <c r="I128" s="56" t="str">
        <f aca="false">IF($W128="","",N(INDEX(发票统计!I$4:I$1003,$W128)))</f>
        <v/>
      </c>
      <c r="J128" s="56" t="str">
        <f aca="false">IF($W128="","",N(INDEX(发票统计!J$4:J$1003,$W128)))</f>
        <v/>
      </c>
      <c r="K128" s="56" t="str">
        <f aca="false">IF($W128="","",N(INDEX(发票统计!K$4:K$1003,$W128)))</f>
        <v/>
      </c>
      <c r="L128" s="56" t="str">
        <f aca="false">IF($W128="","",SUM(J$4:J128)-SUM(K$4:K128))</f>
        <v/>
      </c>
      <c r="M128" s="56" t="str">
        <f aca="false">IF($W128="","",N(INDEX(发票统计!M$4:M$1003,$W128)))</f>
        <v/>
      </c>
      <c r="N128" s="56" t="str">
        <f aca="false">IF($W128="","",N(INDEX(发票统计!N$4:N$1003,$W128)))</f>
        <v/>
      </c>
      <c r="O128" s="56" t="str">
        <f aca="false">IF($W128="","",N(INDEX(发票统计!O$4:O$1003,$W128)))</f>
        <v/>
      </c>
      <c r="P128" s="56" t="str">
        <f aca="false">IF($W128="","",SUM(M$4:M128)-SUM(N$4:N128)-SUM(O$4:O128))</f>
        <v/>
      </c>
      <c r="Q128" s="56" t="str">
        <f aca="false">IF($W128="","",N(INDEX(发票统计!Q$4:Q$1003,$W128)))</f>
        <v/>
      </c>
      <c r="R128" s="56" t="str">
        <f aca="false">IF($W128="","",N(INDEX(发票统计!R$4:R$1003,$W128)))</f>
        <v/>
      </c>
      <c r="S128" s="56" t="str">
        <f aca="false">IF($W128="","",N(INDEX(发票统计!S$4:S$1003,$W128)))</f>
        <v/>
      </c>
      <c r="T128" s="56" t="str">
        <f aca="false">IF($W128="","",SUM(Q$4:Q128)-SUM(R$4:R128)-SUM(S$4:S128))</f>
        <v/>
      </c>
      <c r="U128" s="56" t="str">
        <f aca="false">IF($W128="","",INDEX(发票统计!U$4:U$1003,$W128)&amp;"")</f>
        <v/>
      </c>
      <c r="W128" s="1" t="str">
        <f aca="false">IF($V$3="","",IFERROR(MATCH($V$3&amp;"#"&amp;ROWS(W$4:W128),发票统计!$W$4:$W$1003,0),""))</f>
        <v/>
      </c>
    </row>
    <row r="129" customFormat="false" ht="16.5" hidden="false" customHeight="false" outlineLevel="0" collapsed="false">
      <c r="A129" s="3" t="str">
        <f aca="false">IF($W129="","",INDEX(发票统计!A$4:A$1003,$W129)&amp;"")</f>
        <v/>
      </c>
      <c r="B129" s="3" t="str">
        <f aca="false">IF($W129="","",INDEX(发票统计!B$4:B$1003,$W129)&amp;"")</f>
        <v/>
      </c>
      <c r="C129" s="3" t="str">
        <f aca="false">IF($W129="","",INDEX(发票统计!C$4:C$1003,$W129)&amp;"")</f>
        <v/>
      </c>
      <c r="D129" s="3" t="str">
        <f aca="false">IF($W129="","",INDEX(发票统计!D$4:D$1003,$W129)&amp;"")</f>
        <v/>
      </c>
      <c r="E129" s="56" t="str">
        <f aca="false">IF($W129="","",INDEX(发票统计!E$4:E$1003,$W129)&amp;"")</f>
        <v/>
      </c>
      <c r="F129" s="56" t="str">
        <f aca="false">IF($W129="","",INDEX(发票统计!F$4:F$1003,$W129)&amp;"")</f>
        <v/>
      </c>
      <c r="G129" s="68" t="str">
        <f aca="false">IF($W129="","",IF(INDEX(发票统计!G$4:G$1003,$W129)="","",INDEX(发票统计!G$4:G$1003,$W129)))</f>
        <v/>
      </c>
      <c r="H129" s="56" t="str">
        <f aca="false">IF($W129="","",N(INDEX(发票统计!H$4:H$1003,$W129)))</f>
        <v/>
      </c>
      <c r="I129" s="56" t="str">
        <f aca="false">IF($W129="","",N(INDEX(发票统计!I$4:I$1003,$W129)))</f>
        <v/>
      </c>
      <c r="J129" s="56" t="str">
        <f aca="false">IF($W129="","",N(INDEX(发票统计!J$4:J$1003,$W129)))</f>
        <v/>
      </c>
      <c r="K129" s="56" t="str">
        <f aca="false">IF($W129="","",N(INDEX(发票统计!K$4:K$1003,$W129)))</f>
        <v/>
      </c>
      <c r="L129" s="56" t="str">
        <f aca="false">IF($W129="","",SUM(J$4:J129)-SUM(K$4:K129))</f>
        <v/>
      </c>
      <c r="M129" s="56" t="str">
        <f aca="false">IF($W129="","",N(INDEX(发票统计!M$4:M$1003,$W129)))</f>
        <v/>
      </c>
      <c r="N129" s="56" t="str">
        <f aca="false">IF($W129="","",N(INDEX(发票统计!N$4:N$1003,$W129)))</f>
        <v/>
      </c>
      <c r="O129" s="56" t="str">
        <f aca="false">IF($W129="","",N(INDEX(发票统计!O$4:O$1003,$W129)))</f>
        <v/>
      </c>
      <c r="P129" s="56" t="str">
        <f aca="false">IF($W129="","",SUM(M$4:M129)-SUM(N$4:N129)-SUM(O$4:O129))</f>
        <v/>
      </c>
      <c r="Q129" s="56" t="str">
        <f aca="false">IF($W129="","",N(INDEX(发票统计!Q$4:Q$1003,$W129)))</f>
        <v/>
      </c>
      <c r="R129" s="56" t="str">
        <f aca="false">IF($W129="","",N(INDEX(发票统计!R$4:R$1003,$W129)))</f>
        <v/>
      </c>
      <c r="S129" s="56" t="str">
        <f aca="false">IF($W129="","",N(INDEX(发票统计!S$4:S$1003,$W129)))</f>
        <v/>
      </c>
      <c r="T129" s="56" t="str">
        <f aca="false">IF($W129="","",SUM(Q$4:Q129)-SUM(R$4:R129)-SUM(S$4:S129))</f>
        <v/>
      </c>
      <c r="U129" s="56" t="str">
        <f aca="false">IF($W129="","",INDEX(发票统计!U$4:U$1003,$W129)&amp;"")</f>
        <v/>
      </c>
      <c r="W129" s="1" t="str">
        <f aca="false">IF($V$3="","",IFERROR(MATCH($V$3&amp;"#"&amp;ROWS(W$4:W129),发票统计!$W$4:$W$1003,0),""))</f>
        <v/>
      </c>
    </row>
    <row r="130" customFormat="false" ht="16.5" hidden="false" customHeight="false" outlineLevel="0" collapsed="false">
      <c r="A130" s="3" t="str">
        <f aca="false">IF($W130="","",INDEX(发票统计!A$4:A$1003,$W130)&amp;"")</f>
        <v/>
      </c>
      <c r="B130" s="3" t="str">
        <f aca="false">IF($W130="","",INDEX(发票统计!B$4:B$1003,$W130)&amp;"")</f>
        <v/>
      </c>
      <c r="C130" s="3" t="str">
        <f aca="false">IF($W130="","",INDEX(发票统计!C$4:C$1003,$W130)&amp;"")</f>
        <v/>
      </c>
      <c r="D130" s="3" t="str">
        <f aca="false">IF($W130="","",INDEX(发票统计!D$4:D$1003,$W130)&amp;"")</f>
        <v/>
      </c>
      <c r="E130" s="56" t="str">
        <f aca="false">IF($W130="","",INDEX(发票统计!E$4:E$1003,$W130)&amp;"")</f>
        <v/>
      </c>
      <c r="F130" s="56" t="str">
        <f aca="false">IF($W130="","",INDEX(发票统计!F$4:F$1003,$W130)&amp;"")</f>
        <v/>
      </c>
      <c r="G130" s="68" t="str">
        <f aca="false">IF($W130="","",IF(INDEX(发票统计!G$4:G$1003,$W130)="","",INDEX(发票统计!G$4:G$1003,$W130)))</f>
        <v/>
      </c>
      <c r="H130" s="56" t="str">
        <f aca="false">IF($W130="","",N(INDEX(发票统计!H$4:H$1003,$W130)))</f>
        <v/>
      </c>
      <c r="I130" s="56" t="str">
        <f aca="false">IF($W130="","",N(INDEX(发票统计!I$4:I$1003,$W130)))</f>
        <v/>
      </c>
      <c r="J130" s="56" t="str">
        <f aca="false">IF($W130="","",N(INDEX(发票统计!J$4:J$1003,$W130)))</f>
        <v/>
      </c>
      <c r="K130" s="56" t="str">
        <f aca="false">IF($W130="","",N(INDEX(发票统计!K$4:K$1003,$W130)))</f>
        <v/>
      </c>
      <c r="L130" s="56" t="str">
        <f aca="false">IF($W130="","",SUM(J$4:J130)-SUM(K$4:K130))</f>
        <v/>
      </c>
      <c r="M130" s="56" t="str">
        <f aca="false">IF($W130="","",N(INDEX(发票统计!M$4:M$1003,$W130)))</f>
        <v/>
      </c>
      <c r="N130" s="56" t="str">
        <f aca="false">IF($W130="","",N(INDEX(发票统计!N$4:N$1003,$W130)))</f>
        <v/>
      </c>
      <c r="O130" s="56" t="str">
        <f aca="false">IF($W130="","",N(INDEX(发票统计!O$4:O$1003,$W130)))</f>
        <v/>
      </c>
      <c r="P130" s="56" t="str">
        <f aca="false">IF($W130="","",SUM(M$4:M130)-SUM(N$4:N130)-SUM(O$4:O130))</f>
        <v/>
      </c>
      <c r="Q130" s="56" t="str">
        <f aca="false">IF($W130="","",N(INDEX(发票统计!Q$4:Q$1003,$W130)))</f>
        <v/>
      </c>
      <c r="R130" s="56" t="str">
        <f aca="false">IF($W130="","",N(INDEX(发票统计!R$4:R$1003,$W130)))</f>
        <v/>
      </c>
      <c r="S130" s="56" t="str">
        <f aca="false">IF($W130="","",N(INDEX(发票统计!S$4:S$1003,$W130)))</f>
        <v/>
      </c>
      <c r="T130" s="56" t="str">
        <f aca="false">IF($W130="","",SUM(Q$4:Q130)-SUM(R$4:R130)-SUM(S$4:S130))</f>
        <v/>
      </c>
      <c r="U130" s="56" t="str">
        <f aca="false">IF($W130="","",INDEX(发票统计!U$4:U$1003,$W130)&amp;"")</f>
        <v/>
      </c>
      <c r="W130" s="1" t="str">
        <f aca="false">IF($V$3="","",IFERROR(MATCH($V$3&amp;"#"&amp;ROWS(W$4:W130),发票统计!$W$4:$W$1003,0),""))</f>
        <v/>
      </c>
    </row>
    <row r="131" customFormat="false" ht="16.5" hidden="false" customHeight="false" outlineLevel="0" collapsed="false">
      <c r="A131" s="3" t="str">
        <f aca="false">IF($W131="","",INDEX(发票统计!A$4:A$1003,$W131)&amp;"")</f>
        <v/>
      </c>
      <c r="B131" s="3" t="str">
        <f aca="false">IF($W131="","",INDEX(发票统计!B$4:B$1003,$W131)&amp;"")</f>
        <v/>
      </c>
      <c r="C131" s="3" t="str">
        <f aca="false">IF($W131="","",INDEX(发票统计!C$4:C$1003,$W131)&amp;"")</f>
        <v/>
      </c>
      <c r="D131" s="3" t="str">
        <f aca="false">IF($W131="","",INDEX(发票统计!D$4:D$1003,$W131)&amp;"")</f>
        <v/>
      </c>
      <c r="E131" s="56" t="str">
        <f aca="false">IF($W131="","",INDEX(发票统计!E$4:E$1003,$W131)&amp;"")</f>
        <v/>
      </c>
      <c r="F131" s="56" t="str">
        <f aca="false">IF($W131="","",INDEX(发票统计!F$4:F$1003,$W131)&amp;"")</f>
        <v/>
      </c>
      <c r="G131" s="68" t="str">
        <f aca="false">IF($W131="","",IF(INDEX(发票统计!G$4:G$1003,$W131)="","",INDEX(发票统计!G$4:G$1003,$W131)))</f>
        <v/>
      </c>
      <c r="H131" s="56" t="str">
        <f aca="false">IF($W131="","",N(INDEX(发票统计!H$4:H$1003,$W131)))</f>
        <v/>
      </c>
      <c r="I131" s="56" t="str">
        <f aca="false">IF($W131="","",N(INDEX(发票统计!I$4:I$1003,$W131)))</f>
        <v/>
      </c>
      <c r="J131" s="56" t="str">
        <f aca="false">IF($W131="","",N(INDEX(发票统计!J$4:J$1003,$W131)))</f>
        <v/>
      </c>
      <c r="K131" s="56" t="str">
        <f aca="false">IF($W131="","",N(INDEX(发票统计!K$4:K$1003,$W131)))</f>
        <v/>
      </c>
      <c r="L131" s="56" t="str">
        <f aca="false">IF($W131="","",SUM(J$4:J131)-SUM(K$4:K131))</f>
        <v/>
      </c>
      <c r="M131" s="56" t="str">
        <f aca="false">IF($W131="","",N(INDEX(发票统计!M$4:M$1003,$W131)))</f>
        <v/>
      </c>
      <c r="N131" s="56" t="str">
        <f aca="false">IF($W131="","",N(INDEX(发票统计!N$4:N$1003,$W131)))</f>
        <v/>
      </c>
      <c r="O131" s="56" t="str">
        <f aca="false">IF($W131="","",N(INDEX(发票统计!O$4:O$1003,$W131)))</f>
        <v/>
      </c>
      <c r="P131" s="56" t="str">
        <f aca="false">IF($W131="","",SUM(M$4:M131)-SUM(N$4:N131)-SUM(O$4:O131))</f>
        <v/>
      </c>
      <c r="Q131" s="56" t="str">
        <f aca="false">IF($W131="","",N(INDEX(发票统计!Q$4:Q$1003,$W131)))</f>
        <v/>
      </c>
      <c r="R131" s="56" t="str">
        <f aca="false">IF($W131="","",N(INDEX(发票统计!R$4:R$1003,$W131)))</f>
        <v/>
      </c>
      <c r="S131" s="56" t="str">
        <f aca="false">IF($W131="","",N(INDEX(发票统计!S$4:S$1003,$W131)))</f>
        <v/>
      </c>
      <c r="T131" s="56" t="str">
        <f aca="false">IF($W131="","",SUM(Q$4:Q131)-SUM(R$4:R131)-SUM(S$4:S131))</f>
        <v/>
      </c>
      <c r="U131" s="56" t="str">
        <f aca="false">IF($W131="","",INDEX(发票统计!U$4:U$1003,$W131)&amp;"")</f>
        <v/>
      </c>
      <c r="W131" s="1" t="str">
        <f aca="false">IF($V$3="","",IFERROR(MATCH($V$3&amp;"#"&amp;ROWS(W$4:W131),发票统计!$W$4:$W$1003,0),""))</f>
        <v/>
      </c>
    </row>
    <row r="132" customFormat="false" ht="16.5" hidden="false" customHeight="false" outlineLevel="0" collapsed="false">
      <c r="A132" s="3" t="str">
        <f aca="false">IF($W132="","",INDEX(发票统计!A$4:A$1003,$W132)&amp;"")</f>
        <v/>
      </c>
      <c r="B132" s="3" t="str">
        <f aca="false">IF($W132="","",INDEX(发票统计!B$4:B$1003,$W132)&amp;"")</f>
        <v/>
      </c>
      <c r="C132" s="3" t="str">
        <f aca="false">IF($W132="","",INDEX(发票统计!C$4:C$1003,$W132)&amp;"")</f>
        <v/>
      </c>
      <c r="D132" s="3" t="str">
        <f aca="false">IF($W132="","",INDEX(发票统计!D$4:D$1003,$W132)&amp;"")</f>
        <v/>
      </c>
      <c r="E132" s="56" t="str">
        <f aca="false">IF($W132="","",INDEX(发票统计!E$4:E$1003,$W132)&amp;"")</f>
        <v/>
      </c>
      <c r="F132" s="56" t="str">
        <f aca="false">IF($W132="","",INDEX(发票统计!F$4:F$1003,$W132)&amp;"")</f>
        <v/>
      </c>
      <c r="G132" s="68" t="str">
        <f aca="false">IF($W132="","",IF(INDEX(发票统计!G$4:G$1003,$W132)="","",INDEX(发票统计!G$4:G$1003,$W132)))</f>
        <v/>
      </c>
      <c r="H132" s="56" t="str">
        <f aca="false">IF($W132="","",N(INDEX(发票统计!H$4:H$1003,$W132)))</f>
        <v/>
      </c>
      <c r="I132" s="56" t="str">
        <f aca="false">IF($W132="","",N(INDEX(发票统计!I$4:I$1003,$W132)))</f>
        <v/>
      </c>
      <c r="J132" s="56" t="str">
        <f aca="false">IF($W132="","",N(INDEX(发票统计!J$4:J$1003,$W132)))</f>
        <v/>
      </c>
      <c r="K132" s="56" t="str">
        <f aca="false">IF($W132="","",N(INDEX(发票统计!K$4:K$1003,$W132)))</f>
        <v/>
      </c>
      <c r="L132" s="56" t="str">
        <f aca="false">IF($W132="","",SUM(J$4:J132)-SUM(K$4:K132))</f>
        <v/>
      </c>
      <c r="M132" s="56" t="str">
        <f aca="false">IF($W132="","",N(INDEX(发票统计!M$4:M$1003,$W132)))</f>
        <v/>
      </c>
      <c r="N132" s="56" t="str">
        <f aca="false">IF($W132="","",N(INDEX(发票统计!N$4:N$1003,$W132)))</f>
        <v/>
      </c>
      <c r="O132" s="56" t="str">
        <f aca="false">IF($W132="","",N(INDEX(发票统计!O$4:O$1003,$W132)))</f>
        <v/>
      </c>
      <c r="P132" s="56" t="str">
        <f aca="false">IF($W132="","",SUM(M$4:M132)-SUM(N$4:N132)-SUM(O$4:O132))</f>
        <v/>
      </c>
      <c r="Q132" s="56" t="str">
        <f aca="false">IF($W132="","",N(INDEX(发票统计!Q$4:Q$1003,$W132)))</f>
        <v/>
      </c>
      <c r="R132" s="56" t="str">
        <f aca="false">IF($W132="","",N(INDEX(发票统计!R$4:R$1003,$W132)))</f>
        <v/>
      </c>
      <c r="S132" s="56" t="str">
        <f aca="false">IF($W132="","",N(INDEX(发票统计!S$4:S$1003,$W132)))</f>
        <v/>
      </c>
      <c r="T132" s="56" t="str">
        <f aca="false">IF($W132="","",SUM(Q$4:Q132)-SUM(R$4:R132)-SUM(S$4:S132))</f>
        <v/>
      </c>
      <c r="U132" s="56" t="str">
        <f aca="false">IF($W132="","",INDEX(发票统计!U$4:U$1003,$W132)&amp;"")</f>
        <v/>
      </c>
      <c r="W132" s="1" t="str">
        <f aca="false">IF($V$3="","",IFERROR(MATCH($V$3&amp;"#"&amp;ROWS(W$4:W132),发票统计!$W$4:$W$1003,0),""))</f>
        <v/>
      </c>
    </row>
    <row r="133" customFormat="false" ht="16.5" hidden="false" customHeight="false" outlineLevel="0" collapsed="false">
      <c r="A133" s="3" t="str">
        <f aca="false">IF($W133="","",INDEX(发票统计!A$4:A$1003,$W133)&amp;"")</f>
        <v/>
      </c>
      <c r="B133" s="3" t="str">
        <f aca="false">IF($W133="","",INDEX(发票统计!B$4:B$1003,$W133)&amp;"")</f>
        <v/>
      </c>
      <c r="C133" s="3" t="str">
        <f aca="false">IF($W133="","",INDEX(发票统计!C$4:C$1003,$W133)&amp;"")</f>
        <v/>
      </c>
      <c r="D133" s="3" t="str">
        <f aca="false">IF($W133="","",INDEX(发票统计!D$4:D$1003,$W133)&amp;"")</f>
        <v/>
      </c>
      <c r="E133" s="56" t="str">
        <f aca="false">IF($W133="","",INDEX(发票统计!E$4:E$1003,$W133)&amp;"")</f>
        <v/>
      </c>
      <c r="F133" s="56" t="str">
        <f aca="false">IF($W133="","",INDEX(发票统计!F$4:F$1003,$W133)&amp;"")</f>
        <v/>
      </c>
      <c r="G133" s="68" t="str">
        <f aca="false">IF($W133="","",IF(INDEX(发票统计!G$4:G$1003,$W133)="","",INDEX(发票统计!G$4:G$1003,$W133)))</f>
        <v/>
      </c>
      <c r="H133" s="56" t="str">
        <f aca="false">IF($W133="","",N(INDEX(发票统计!H$4:H$1003,$W133)))</f>
        <v/>
      </c>
      <c r="I133" s="56" t="str">
        <f aca="false">IF($W133="","",N(INDEX(发票统计!I$4:I$1003,$W133)))</f>
        <v/>
      </c>
      <c r="J133" s="56" t="str">
        <f aca="false">IF($W133="","",N(INDEX(发票统计!J$4:J$1003,$W133)))</f>
        <v/>
      </c>
      <c r="K133" s="56" t="str">
        <f aca="false">IF($W133="","",N(INDEX(发票统计!K$4:K$1003,$W133)))</f>
        <v/>
      </c>
      <c r="L133" s="56" t="str">
        <f aca="false">IF($W133="","",SUM(J$4:J133)-SUM(K$4:K133))</f>
        <v/>
      </c>
      <c r="M133" s="56" t="str">
        <f aca="false">IF($W133="","",N(INDEX(发票统计!M$4:M$1003,$W133)))</f>
        <v/>
      </c>
      <c r="N133" s="56" t="str">
        <f aca="false">IF($W133="","",N(INDEX(发票统计!N$4:N$1003,$W133)))</f>
        <v/>
      </c>
      <c r="O133" s="56" t="str">
        <f aca="false">IF($W133="","",N(INDEX(发票统计!O$4:O$1003,$W133)))</f>
        <v/>
      </c>
      <c r="P133" s="56" t="str">
        <f aca="false">IF($W133="","",SUM(M$4:M133)-SUM(N$4:N133)-SUM(O$4:O133))</f>
        <v/>
      </c>
      <c r="Q133" s="56" t="str">
        <f aca="false">IF($W133="","",N(INDEX(发票统计!Q$4:Q$1003,$W133)))</f>
        <v/>
      </c>
      <c r="R133" s="56" t="str">
        <f aca="false">IF($W133="","",N(INDEX(发票统计!R$4:R$1003,$W133)))</f>
        <v/>
      </c>
      <c r="S133" s="56" t="str">
        <f aca="false">IF($W133="","",N(INDEX(发票统计!S$4:S$1003,$W133)))</f>
        <v/>
      </c>
      <c r="T133" s="56" t="str">
        <f aca="false">IF($W133="","",SUM(Q$4:Q133)-SUM(R$4:R133)-SUM(S$4:S133))</f>
        <v/>
      </c>
      <c r="U133" s="56" t="str">
        <f aca="false">IF($W133="","",INDEX(发票统计!U$4:U$1003,$W133)&amp;"")</f>
        <v/>
      </c>
      <c r="W133" s="1" t="str">
        <f aca="false">IF($V$3="","",IFERROR(MATCH($V$3&amp;"#"&amp;ROWS(W$4:W133),发票统计!$W$4:$W$1003,0),""))</f>
        <v/>
      </c>
    </row>
    <row r="134" customFormat="false" ht="16.5" hidden="false" customHeight="false" outlineLevel="0" collapsed="false">
      <c r="A134" s="3" t="str">
        <f aca="false">IF($W134="","",INDEX(发票统计!A$4:A$1003,$W134)&amp;"")</f>
        <v/>
      </c>
      <c r="B134" s="3" t="str">
        <f aca="false">IF($W134="","",INDEX(发票统计!B$4:B$1003,$W134)&amp;"")</f>
        <v/>
      </c>
      <c r="C134" s="3" t="str">
        <f aca="false">IF($W134="","",INDEX(发票统计!C$4:C$1003,$W134)&amp;"")</f>
        <v/>
      </c>
      <c r="D134" s="3" t="str">
        <f aca="false">IF($W134="","",INDEX(发票统计!D$4:D$1003,$W134)&amp;"")</f>
        <v/>
      </c>
      <c r="E134" s="56" t="str">
        <f aca="false">IF($W134="","",INDEX(发票统计!E$4:E$1003,$W134)&amp;"")</f>
        <v/>
      </c>
      <c r="F134" s="56" t="str">
        <f aca="false">IF($W134="","",INDEX(发票统计!F$4:F$1003,$W134)&amp;"")</f>
        <v/>
      </c>
      <c r="G134" s="68" t="str">
        <f aca="false">IF($W134="","",IF(INDEX(发票统计!G$4:G$1003,$W134)="","",INDEX(发票统计!G$4:G$1003,$W134)))</f>
        <v/>
      </c>
      <c r="H134" s="56" t="str">
        <f aca="false">IF($W134="","",N(INDEX(发票统计!H$4:H$1003,$W134)))</f>
        <v/>
      </c>
      <c r="I134" s="56" t="str">
        <f aca="false">IF($W134="","",N(INDEX(发票统计!I$4:I$1003,$W134)))</f>
        <v/>
      </c>
      <c r="J134" s="56" t="str">
        <f aca="false">IF($W134="","",N(INDEX(发票统计!J$4:J$1003,$W134)))</f>
        <v/>
      </c>
      <c r="K134" s="56" t="str">
        <f aca="false">IF($W134="","",N(INDEX(发票统计!K$4:K$1003,$W134)))</f>
        <v/>
      </c>
      <c r="L134" s="56" t="str">
        <f aca="false">IF($W134="","",SUM(J$4:J134)-SUM(K$4:K134))</f>
        <v/>
      </c>
      <c r="M134" s="56" t="str">
        <f aca="false">IF($W134="","",N(INDEX(发票统计!M$4:M$1003,$W134)))</f>
        <v/>
      </c>
      <c r="N134" s="56" t="str">
        <f aca="false">IF($W134="","",N(INDEX(发票统计!N$4:N$1003,$W134)))</f>
        <v/>
      </c>
      <c r="O134" s="56" t="str">
        <f aca="false">IF($W134="","",N(INDEX(发票统计!O$4:O$1003,$W134)))</f>
        <v/>
      </c>
      <c r="P134" s="56" t="str">
        <f aca="false">IF($W134="","",SUM(M$4:M134)-SUM(N$4:N134)-SUM(O$4:O134))</f>
        <v/>
      </c>
      <c r="Q134" s="56" t="str">
        <f aca="false">IF($W134="","",N(INDEX(发票统计!Q$4:Q$1003,$W134)))</f>
        <v/>
      </c>
      <c r="R134" s="56" t="str">
        <f aca="false">IF($W134="","",N(INDEX(发票统计!R$4:R$1003,$W134)))</f>
        <v/>
      </c>
      <c r="S134" s="56" t="str">
        <f aca="false">IF($W134="","",N(INDEX(发票统计!S$4:S$1003,$W134)))</f>
        <v/>
      </c>
      <c r="T134" s="56" t="str">
        <f aca="false">IF($W134="","",SUM(Q$4:Q134)-SUM(R$4:R134)-SUM(S$4:S134))</f>
        <v/>
      </c>
      <c r="U134" s="56" t="str">
        <f aca="false">IF($W134="","",INDEX(发票统计!U$4:U$1003,$W134)&amp;"")</f>
        <v/>
      </c>
      <c r="W134" s="1" t="str">
        <f aca="false">IF($V$3="","",IFERROR(MATCH($V$3&amp;"#"&amp;ROWS(W$4:W134),发票统计!$W$4:$W$1003,0),""))</f>
        <v/>
      </c>
    </row>
    <row r="135" customFormat="false" ht="16.5" hidden="false" customHeight="false" outlineLevel="0" collapsed="false">
      <c r="A135" s="3" t="str">
        <f aca="false">IF($W135="","",INDEX(发票统计!A$4:A$1003,$W135)&amp;"")</f>
        <v/>
      </c>
      <c r="B135" s="3" t="str">
        <f aca="false">IF($W135="","",INDEX(发票统计!B$4:B$1003,$W135)&amp;"")</f>
        <v/>
      </c>
      <c r="C135" s="3" t="str">
        <f aca="false">IF($W135="","",INDEX(发票统计!C$4:C$1003,$W135)&amp;"")</f>
        <v/>
      </c>
      <c r="D135" s="3" t="str">
        <f aca="false">IF($W135="","",INDEX(发票统计!D$4:D$1003,$W135)&amp;"")</f>
        <v/>
      </c>
      <c r="E135" s="56" t="str">
        <f aca="false">IF($W135="","",INDEX(发票统计!E$4:E$1003,$W135)&amp;"")</f>
        <v/>
      </c>
      <c r="F135" s="56" t="str">
        <f aca="false">IF($W135="","",INDEX(发票统计!F$4:F$1003,$W135)&amp;"")</f>
        <v/>
      </c>
      <c r="G135" s="68" t="str">
        <f aca="false">IF($W135="","",IF(INDEX(发票统计!G$4:G$1003,$W135)="","",INDEX(发票统计!G$4:G$1003,$W135)))</f>
        <v/>
      </c>
      <c r="H135" s="56" t="str">
        <f aca="false">IF($W135="","",N(INDEX(发票统计!H$4:H$1003,$W135)))</f>
        <v/>
      </c>
      <c r="I135" s="56" t="str">
        <f aca="false">IF($W135="","",N(INDEX(发票统计!I$4:I$1003,$W135)))</f>
        <v/>
      </c>
      <c r="J135" s="56" t="str">
        <f aca="false">IF($W135="","",N(INDEX(发票统计!J$4:J$1003,$W135)))</f>
        <v/>
      </c>
      <c r="K135" s="56" t="str">
        <f aca="false">IF($W135="","",N(INDEX(发票统计!K$4:K$1003,$W135)))</f>
        <v/>
      </c>
      <c r="L135" s="56" t="str">
        <f aca="false">IF($W135="","",SUM(J$4:J135)-SUM(K$4:K135))</f>
        <v/>
      </c>
      <c r="M135" s="56" t="str">
        <f aca="false">IF($W135="","",N(INDEX(发票统计!M$4:M$1003,$W135)))</f>
        <v/>
      </c>
      <c r="N135" s="56" t="str">
        <f aca="false">IF($W135="","",N(INDEX(发票统计!N$4:N$1003,$W135)))</f>
        <v/>
      </c>
      <c r="O135" s="56" t="str">
        <f aca="false">IF($W135="","",N(INDEX(发票统计!O$4:O$1003,$W135)))</f>
        <v/>
      </c>
      <c r="P135" s="56" t="str">
        <f aca="false">IF($W135="","",SUM(M$4:M135)-SUM(N$4:N135)-SUM(O$4:O135))</f>
        <v/>
      </c>
      <c r="Q135" s="56" t="str">
        <f aca="false">IF($W135="","",N(INDEX(发票统计!Q$4:Q$1003,$W135)))</f>
        <v/>
      </c>
      <c r="R135" s="56" t="str">
        <f aca="false">IF($W135="","",N(INDEX(发票统计!R$4:R$1003,$W135)))</f>
        <v/>
      </c>
      <c r="S135" s="56" t="str">
        <f aca="false">IF($W135="","",N(INDEX(发票统计!S$4:S$1003,$W135)))</f>
        <v/>
      </c>
      <c r="T135" s="56" t="str">
        <f aca="false">IF($W135="","",SUM(Q$4:Q135)-SUM(R$4:R135)-SUM(S$4:S135))</f>
        <v/>
      </c>
      <c r="U135" s="56" t="str">
        <f aca="false">IF($W135="","",INDEX(发票统计!U$4:U$1003,$W135)&amp;"")</f>
        <v/>
      </c>
      <c r="W135" s="1" t="str">
        <f aca="false">IF($V$3="","",IFERROR(MATCH($V$3&amp;"#"&amp;ROWS(W$4:W135),发票统计!$W$4:$W$1003,0),""))</f>
        <v/>
      </c>
    </row>
    <row r="136" customFormat="false" ht="16.5" hidden="false" customHeight="false" outlineLevel="0" collapsed="false">
      <c r="A136" s="3" t="str">
        <f aca="false">IF($W136="","",INDEX(发票统计!A$4:A$1003,$W136)&amp;"")</f>
        <v/>
      </c>
      <c r="B136" s="3" t="str">
        <f aca="false">IF($W136="","",INDEX(发票统计!B$4:B$1003,$W136)&amp;"")</f>
        <v/>
      </c>
      <c r="C136" s="3" t="str">
        <f aca="false">IF($W136="","",INDEX(发票统计!C$4:C$1003,$W136)&amp;"")</f>
        <v/>
      </c>
      <c r="D136" s="3" t="str">
        <f aca="false">IF($W136="","",INDEX(发票统计!D$4:D$1003,$W136)&amp;"")</f>
        <v/>
      </c>
      <c r="E136" s="56" t="str">
        <f aca="false">IF($W136="","",INDEX(发票统计!E$4:E$1003,$W136)&amp;"")</f>
        <v/>
      </c>
      <c r="F136" s="56" t="str">
        <f aca="false">IF($W136="","",INDEX(发票统计!F$4:F$1003,$W136)&amp;"")</f>
        <v/>
      </c>
      <c r="G136" s="68" t="str">
        <f aca="false">IF($W136="","",IF(INDEX(发票统计!G$4:G$1003,$W136)="","",INDEX(发票统计!G$4:G$1003,$W136)))</f>
        <v/>
      </c>
      <c r="H136" s="56" t="str">
        <f aca="false">IF($W136="","",N(INDEX(发票统计!H$4:H$1003,$W136)))</f>
        <v/>
      </c>
      <c r="I136" s="56" t="str">
        <f aca="false">IF($W136="","",N(INDEX(发票统计!I$4:I$1003,$W136)))</f>
        <v/>
      </c>
      <c r="J136" s="56" t="str">
        <f aca="false">IF($W136="","",N(INDEX(发票统计!J$4:J$1003,$W136)))</f>
        <v/>
      </c>
      <c r="K136" s="56" t="str">
        <f aca="false">IF($W136="","",N(INDEX(发票统计!K$4:K$1003,$W136)))</f>
        <v/>
      </c>
      <c r="L136" s="56" t="str">
        <f aca="false">IF($W136="","",SUM(J$4:J136)-SUM(K$4:K136))</f>
        <v/>
      </c>
      <c r="M136" s="56" t="str">
        <f aca="false">IF($W136="","",N(INDEX(发票统计!M$4:M$1003,$W136)))</f>
        <v/>
      </c>
      <c r="N136" s="56" t="str">
        <f aca="false">IF($W136="","",N(INDEX(发票统计!N$4:N$1003,$W136)))</f>
        <v/>
      </c>
      <c r="O136" s="56" t="str">
        <f aca="false">IF($W136="","",N(INDEX(发票统计!O$4:O$1003,$W136)))</f>
        <v/>
      </c>
      <c r="P136" s="56" t="str">
        <f aca="false">IF($W136="","",SUM(M$4:M136)-SUM(N$4:N136)-SUM(O$4:O136))</f>
        <v/>
      </c>
      <c r="Q136" s="56" t="str">
        <f aca="false">IF($W136="","",N(INDEX(发票统计!Q$4:Q$1003,$W136)))</f>
        <v/>
      </c>
      <c r="R136" s="56" t="str">
        <f aca="false">IF($W136="","",N(INDEX(发票统计!R$4:R$1003,$W136)))</f>
        <v/>
      </c>
      <c r="S136" s="56" t="str">
        <f aca="false">IF($W136="","",N(INDEX(发票统计!S$4:S$1003,$W136)))</f>
        <v/>
      </c>
      <c r="T136" s="56" t="str">
        <f aca="false">IF($W136="","",SUM(Q$4:Q136)-SUM(R$4:R136)-SUM(S$4:S136))</f>
        <v/>
      </c>
      <c r="U136" s="56" t="str">
        <f aca="false">IF($W136="","",INDEX(发票统计!U$4:U$1003,$W136)&amp;"")</f>
        <v/>
      </c>
      <c r="W136" s="1" t="str">
        <f aca="false">IF($V$3="","",IFERROR(MATCH($V$3&amp;"#"&amp;ROWS(W$4:W136),发票统计!$W$4:$W$1003,0),""))</f>
        <v/>
      </c>
    </row>
    <row r="137" customFormat="false" ht="16.5" hidden="false" customHeight="false" outlineLevel="0" collapsed="false">
      <c r="A137" s="3" t="str">
        <f aca="false">IF($W137="","",INDEX(发票统计!A$4:A$1003,$W137)&amp;"")</f>
        <v/>
      </c>
      <c r="B137" s="3" t="str">
        <f aca="false">IF($W137="","",INDEX(发票统计!B$4:B$1003,$W137)&amp;"")</f>
        <v/>
      </c>
      <c r="C137" s="3" t="str">
        <f aca="false">IF($W137="","",INDEX(发票统计!C$4:C$1003,$W137)&amp;"")</f>
        <v/>
      </c>
      <c r="D137" s="3" t="str">
        <f aca="false">IF($W137="","",INDEX(发票统计!D$4:D$1003,$W137)&amp;"")</f>
        <v/>
      </c>
      <c r="E137" s="56" t="str">
        <f aca="false">IF($W137="","",INDEX(发票统计!E$4:E$1003,$W137)&amp;"")</f>
        <v/>
      </c>
      <c r="F137" s="56" t="str">
        <f aca="false">IF($W137="","",INDEX(发票统计!F$4:F$1003,$W137)&amp;"")</f>
        <v/>
      </c>
      <c r="G137" s="68" t="str">
        <f aca="false">IF($W137="","",IF(INDEX(发票统计!G$4:G$1003,$W137)="","",INDEX(发票统计!G$4:G$1003,$W137)))</f>
        <v/>
      </c>
      <c r="H137" s="56" t="str">
        <f aca="false">IF($W137="","",N(INDEX(发票统计!H$4:H$1003,$W137)))</f>
        <v/>
      </c>
      <c r="I137" s="56" t="str">
        <f aca="false">IF($W137="","",N(INDEX(发票统计!I$4:I$1003,$W137)))</f>
        <v/>
      </c>
      <c r="J137" s="56" t="str">
        <f aca="false">IF($W137="","",N(INDEX(发票统计!J$4:J$1003,$W137)))</f>
        <v/>
      </c>
      <c r="K137" s="56" t="str">
        <f aca="false">IF($W137="","",N(INDEX(发票统计!K$4:K$1003,$W137)))</f>
        <v/>
      </c>
      <c r="L137" s="56" t="str">
        <f aca="false">IF($W137="","",SUM(J$4:J137)-SUM(K$4:K137))</f>
        <v/>
      </c>
      <c r="M137" s="56" t="str">
        <f aca="false">IF($W137="","",N(INDEX(发票统计!M$4:M$1003,$W137)))</f>
        <v/>
      </c>
      <c r="N137" s="56" t="str">
        <f aca="false">IF($W137="","",N(INDEX(发票统计!N$4:N$1003,$W137)))</f>
        <v/>
      </c>
      <c r="O137" s="56" t="str">
        <f aca="false">IF($W137="","",N(INDEX(发票统计!O$4:O$1003,$W137)))</f>
        <v/>
      </c>
      <c r="P137" s="56" t="str">
        <f aca="false">IF($W137="","",SUM(M$4:M137)-SUM(N$4:N137)-SUM(O$4:O137))</f>
        <v/>
      </c>
      <c r="Q137" s="56" t="str">
        <f aca="false">IF($W137="","",N(INDEX(发票统计!Q$4:Q$1003,$W137)))</f>
        <v/>
      </c>
      <c r="R137" s="56" t="str">
        <f aca="false">IF($W137="","",N(INDEX(发票统计!R$4:R$1003,$W137)))</f>
        <v/>
      </c>
      <c r="S137" s="56" t="str">
        <f aca="false">IF($W137="","",N(INDEX(发票统计!S$4:S$1003,$W137)))</f>
        <v/>
      </c>
      <c r="T137" s="56" t="str">
        <f aca="false">IF($W137="","",SUM(Q$4:Q137)-SUM(R$4:R137)-SUM(S$4:S137))</f>
        <v/>
      </c>
      <c r="U137" s="56" t="str">
        <f aca="false">IF($W137="","",INDEX(发票统计!U$4:U$1003,$W137)&amp;"")</f>
        <v/>
      </c>
      <c r="W137" s="1" t="str">
        <f aca="false">IF($V$3="","",IFERROR(MATCH($V$3&amp;"#"&amp;ROWS(W$4:W137),发票统计!$W$4:$W$1003,0),""))</f>
        <v/>
      </c>
    </row>
    <row r="138" customFormat="false" ht="16.5" hidden="false" customHeight="false" outlineLevel="0" collapsed="false">
      <c r="A138" s="3" t="str">
        <f aca="false">IF($W138="","",INDEX(发票统计!A$4:A$1003,$W138)&amp;"")</f>
        <v/>
      </c>
      <c r="B138" s="3" t="str">
        <f aca="false">IF($W138="","",INDEX(发票统计!B$4:B$1003,$W138)&amp;"")</f>
        <v/>
      </c>
      <c r="C138" s="3" t="str">
        <f aca="false">IF($W138="","",INDEX(发票统计!C$4:C$1003,$W138)&amp;"")</f>
        <v/>
      </c>
      <c r="D138" s="3" t="str">
        <f aca="false">IF($W138="","",INDEX(发票统计!D$4:D$1003,$W138)&amp;"")</f>
        <v/>
      </c>
      <c r="E138" s="56" t="str">
        <f aca="false">IF($W138="","",INDEX(发票统计!E$4:E$1003,$W138)&amp;"")</f>
        <v/>
      </c>
      <c r="F138" s="56" t="str">
        <f aca="false">IF($W138="","",INDEX(发票统计!F$4:F$1003,$W138)&amp;"")</f>
        <v/>
      </c>
      <c r="G138" s="68" t="str">
        <f aca="false">IF($W138="","",IF(INDEX(发票统计!G$4:G$1003,$W138)="","",INDEX(发票统计!G$4:G$1003,$W138)))</f>
        <v/>
      </c>
      <c r="H138" s="56" t="str">
        <f aca="false">IF($W138="","",N(INDEX(发票统计!H$4:H$1003,$W138)))</f>
        <v/>
      </c>
      <c r="I138" s="56" t="str">
        <f aca="false">IF($W138="","",N(INDEX(发票统计!I$4:I$1003,$W138)))</f>
        <v/>
      </c>
      <c r="J138" s="56" t="str">
        <f aca="false">IF($W138="","",N(INDEX(发票统计!J$4:J$1003,$W138)))</f>
        <v/>
      </c>
      <c r="K138" s="56" t="str">
        <f aca="false">IF($W138="","",N(INDEX(发票统计!K$4:K$1003,$W138)))</f>
        <v/>
      </c>
      <c r="L138" s="56" t="str">
        <f aca="false">IF($W138="","",SUM(J$4:J138)-SUM(K$4:K138))</f>
        <v/>
      </c>
      <c r="M138" s="56" t="str">
        <f aca="false">IF($W138="","",N(INDEX(发票统计!M$4:M$1003,$W138)))</f>
        <v/>
      </c>
      <c r="N138" s="56" t="str">
        <f aca="false">IF($W138="","",N(INDEX(发票统计!N$4:N$1003,$W138)))</f>
        <v/>
      </c>
      <c r="O138" s="56" t="str">
        <f aca="false">IF($W138="","",N(INDEX(发票统计!O$4:O$1003,$W138)))</f>
        <v/>
      </c>
      <c r="P138" s="56" t="str">
        <f aca="false">IF($W138="","",SUM(M$4:M138)-SUM(N$4:N138)-SUM(O$4:O138))</f>
        <v/>
      </c>
      <c r="Q138" s="56" t="str">
        <f aca="false">IF($W138="","",N(INDEX(发票统计!Q$4:Q$1003,$W138)))</f>
        <v/>
      </c>
      <c r="R138" s="56" t="str">
        <f aca="false">IF($W138="","",N(INDEX(发票统计!R$4:R$1003,$W138)))</f>
        <v/>
      </c>
      <c r="S138" s="56" t="str">
        <f aca="false">IF($W138="","",N(INDEX(发票统计!S$4:S$1003,$W138)))</f>
        <v/>
      </c>
      <c r="T138" s="56" t="str">
        <f aca="false">IF($W138="","",SUM(Q$4:Q138)-SUM(R$4:R138)-SUM(S$4:S138))</f>
        <v/>
      </c>
      <c r="U138" s="56" t="str">
        <f aca="false">IF($W138="","",INDEX(发票统计!U$4:U$1003,$W138)&amp;"")</f>
        <v/>
      </c>
      <c r="W138" s="1" t="str">
        <f aca="false">IF($V$3="","",IFERROR(MATCH($V$3&amp;"#"&amp;ROWS(W$4:W138),发票统计!$W$4:$W$1003,0),""))</f>
        <v/>
      </c>
    </row>
    <row r="139" customFormat="false" ht="16.5" hidden="false" customHeight="false" outlineLevel="0" collapsed="false">
      <c r="A139" s="3" t="str">
        <f aca="false">IF($W139="","",INDEX(发票统计!A$4:A$1003,$W139)&amp;"")</f>
        <v/>
      </c>
      <c r="B139" s="3" t="str">
        <f aca="false">IF($W139="","",INDEX(发票统计!B$4:B$1003,$W139)&amp;"")</f>
        <v/>
      </c>
      <c r="C139" s="3" t="str">
        <f aca="false">IF($W139="","",INDEX(发票统计!C$4:C$1003,$W139)&amp;"")</f>
        <v/>
      </c>
      <c r="D139" s="3" t="str">
        <f aca="false">IF($W139="","",INDEX(发票统计!D$4:D$1003,$W139)&amp;"")</f>
        <v/>
      </c>
      <c r="E139" s="56" t="str">
        <f aca="false">IF($W139="","",INDEX(发票统计!E$4:E$1003,$W139)&amp;"")</f>
        <v/>
      </c>
      <c r="F139" s="56" t="str">
        <f aca="false">IF($W139="","",INDEX(发票统计!F$4:F$1003,$W139)&amp;"")</f>
        <v/>
      </c>
      <c r="G139" s="68" t="str">
        <f aca="false">IF($W139="","",IF(INDEX(发票统计!G$4:G$1003,$W139)="","",INDEX(发票统计!G$4:G$1003,$W139)))</f>
        <v/>
      </c>
      <c r="H139" s="56" t="str">
        <f aca="false">IF($W139="","",N(INDEX(发票统计!H$4:H$1003,$W139)))</f>
        <v/>
      </c>
      <c r="I139" s="56" t="str">
        <f aca="false">IF($W139="","",N(INDEX(发票统计!I$4:I$1003,$W139)))</f>
        <v/>
      </c>
      <c r="J139" s="56" t="str">
        <f aca="false">IF($W139="","",N(INDEX(发票统计!J$4:J$1003,$W139)))</f>
        <v/>
      </c>
      <c r="K139" s="56" t="str">
        <f aca="false">IF($W139="","",N(INDEX(发票统计!K$4:K$1003,$W139)))</f>
        <v/>
      </c>
      <c r="L139" s="56" t="str">
        <f aca="false">IF($W139="","",SUM(J$4:J139)-SUM(K$4:K139))</f>
        <v/>
      </c>
      <c r="M139" s="56" t="str">
        <f aca="false">IF($W139="","",N(INDEX(发票统计!M$4:M$1003,$W139)))</f>
        <v/>
      </c>
      <c r="N139" s="56" t="str">
        <f aca="false">IF($W139="","",N(INDEX(发票统计!N$4:N$1003,$W139)))</f>
        <v/>
      </c>
      <c r="O139" s="56" t="str">
        <f aca="false">IF($W139="","",N(INDEX(发票统计!O$4:O$1003,$W139)))</f>
        <v/>
      </c>
      <c r="P139" s="56" t="str">
        <f aca="false">IF($W139="","",SUM(M$4:M139)-SUM(N$4:N139)-SUM(O$4:O139))</f>
        <v/>
      </c>
      <c r="Q139" s="56" t="str">
        <f aca="false">IF($W139="","",N(INDEX(发票统计!Q$4:Q$1003,$W139)))</f>
        <v/>
      </c>
      <c r="R139" s="56" t="str">
        <f aca="false">IF($W139="","",N(INDEX(发票统计!R$4:R$1003,$W139)))</f>
        <v/>
      </c>
      <c r="S139" s="56" t="str">
        <f aca="false">IF($W139="","",N(INDEX(发票统计!S$4:S$1003,$W139)))</f>
        <v/>
      </c>
      <c r="T139" s="56" t="str">
        <f aca="false">IF($W139="","",SUM(Q$4:Q139)-SUM(R$4:R139)-SUM(S$4:S139))</f>
        <v/>
      </c>
      <c r="U139" s="56" t="str">
        <f aca="false">IF($W139="","",INDEX(发票统计!U$4:U$1003,$W139)&amp;"")</f>
        <v/>
      </c>
      <c r="W139" s="1" t="str">
        <f aca="false">IF($V$3="","",IFERROR(MATCH($V$3&amp;"#"&amp;ROWS(W$4:W139),发票统计!$W$4:$W$1003,0),""))</f>
        <v/>
      </c>
    </row>
    <row r="140" customFormat="false" ht="16.5" hidden="false" customHeight="false" outlineLevel="0" collapsed="false">
      <c r="A140" s="3" t="str">
        <f aca="false">IF($W140="","",INDEX(发票统计!A$4:A$1003,$W140)&amp;"")</f>
        <v/>
      </c>
      <c r="B140" s="3" t="str">
        <f aca="false">IF($W140="","",INDEX(发票统计!B$4:B$1003,$W140)&amp;"")</f>
        <v/>
      </c>
      <c r="C140" s="3" t="str">
        <f aca="false">IF($W140="","",INDEX(发票统计!C$4:C$1003,$W140)&amp;"")</f>
        <v/>
      </c>
      <c r="D140" s="3" t="str">
        <f aca="false">IF($W140="","",INDEX(发票统计!D$4:D$1003,$W140)&amp;"")</f>
        <v/>
      </c>
      <c r="E140" s="56" t="str">
        <f aca="false">IF($W140="","",INDEX(发票统计!E$4:E$1003,$W140)&amp;"")</f>
        <v/>
      </c>
      <c r="F140" s="56" t="str">
        <f aca="false">IF($W140="","",INDEX(发票统计!F$4:F$1003,$W140)&amp;"")</f>
        <v/>
      </c>
      <c r="G140" s="68" t="str">
        <f aca="false">IF($W140="","",IF(INDEX(发票统计!G$4:G$1003,$W140)="","",INDEX(发票统计!G$4:G$1003,$W140)))</f>
        <v/>
      </c>
      <c r="H140" s="56" t="str">
        <f aca="false">IF($W140="","",N(INDEX(发票统计!H$4:H$1003,$W140)))</f>
        <v/>
      </c>
      <c r="I140" s="56" t="str">
        <f aca="false">IF($W140="","",N(INDEX(发票统计!I$4:I$1003,$W140)))</f>
        <v/>
      </c>
      <c r="J140" s="56" t="str">
        <f aca="false">IF($W140="","",N(INDEX(发票统计!J$4:J$1003,$W140)))</f>
        <v/>
      </c>
      <c r="K140" s="56" t="str">
        <f aca="false">IF($W140="","",N(INDEX(发票统计!K$4:K$1003,$W140)))</f>
        <v/>
      </c>
      <c r="L140" s="56" t="str">
        <f aca="false">IF($W140="","",SUM(J$4:J140)-SUM(K$4:K140))</f>
        <v/>
      </c>
      <c r="M140" s="56" t="str">
        <f aca="false">IF($W140="","",N(INDEX(发票统计!M$4:M$1003,$W140)))</f>
        <v/>
      </c>
      <c r="N140" s="56" t="str">
        <f aca="false">IF($W140="","",N(INDEX(发票统计!N$4:N$1003,$W140)))</f>
        <v/>
      </c>
      <c r="O140" s="56" t="str">
        <f aca="false">IF($W140="","",N(INDEX(发票统计!O$4:O$1003,$W140)))</f>
        <v/>
      </c>
      <c r="P140" s="56" t="str">
        <f aca="false">IF($W140="","",SUM(M$4:M140)-SUM(N$4:N140)-SUM(O$4:O140))</f>
        <v/>
      </c>
      <c r="Q140" s="56" t="str">
        <f aca="false">IF($W140="","",N(INDEX(发票统计!Q$4:Q$1003,$W140)))</f>
        <v/>
      </c>
      <c r="R140" s="56" t="str">
        <f aca="false">IF($W140="","",N(INDEX(发票统计!R$4:R$1003,$W140)))</f>
        <v/>
      </c>
      <c r="S140" s="56" t="str">
        <f aca="false">IF($W140="","",N(INDEX(发票统计!S$4:S$1003,$W140)))</f>
        <v/>
      </c>
      <c r="T140" s="56" t="str">
        <f aca="false">IF($W140="","",SUM(Q$4:Q140)-SUM(R$4:R140)-SUM(S$4:S140))</f>
        <v/>
      </c>
      <c r="U140" s="56" t="str">
        <f aca="false">IF($W140="","",INDEX(发票统计!U$4:U$1003,$W140)&amp;"")</f>
        <v/>
      </c>
      <c r="W140" s="1" t="str">
        <f aca="false">IF($V$3="","",IFERROR(MATCH($V$3&amp;"#"&amp;ROWS(W$4:W140),发票统计!$W$4:$W$1003,0),""))</f>
        <v/>
      </c>
    </row>
    <row r="141" customFormat="false" ht="16.5" hidden="false" customHeight="false" outlineLevel="0" collapsed="false">
      <c r="A141" s="3" t="str">
        <f aca="false">IF($W141="","",INDEX(发票统计!A$4:A$1003,$W141)&amp;"")</f>
        <v/>
      </c>
      <c r="B141" s="3" t="str">
        <f aca="false">IF($W141="","",INDEX(发票统计!B$4:B$1003,$W141)&amp;"")</f>
        <v/>
      </c>
      <c r="C141" s="3" t="str">
        <f aca="false">IF($W141="","",INDEX(发票统计!C$4:C$1003,$W141)&amp;"")</f>
        <v/>
      </c>
      <c r="D141" s="3" t="str">
        <f aca="false">IF($W141="","",INDEX(发票统计!D$4:D$1003,$W141)&amp;"")</f>
        <v/>
      </c>
      <c r="E141" s="56" t="str">
        <f aca="false">IF($W141="","",INDEX(发票统计!E$4:E$1003,$W141)&amp;"")</f>
        <v/>
      </c>
      <c r="F141" s="56" t="str">
        <f aca="false">IF($W141="","",INDEX(发票统计!F$4:F$1003,$W141)&amp;"")</f>
        <v/>
      </c>
      <c r="G141" s="68" t="str">
        <f aca="false">IF($W141="","",IF(INDEX(发票统计!G$4:G$1003,$W141)="","",INDEX(发票统计!G$4:G$1003,$W141)))</f>
        <v/>
      </c>
      <c r="H141" s="56" t="str">
        <f aca="false">IF($W141="","",N(INDEX(发票统计!H$4:H$1003,$W141)))</f>
        <v/>
      </c>
      <c r="I141" s="56" t="str">
        <f aca="false">IF($W141="","",N(INDEX(发票统计!I$4:I$1003,$W141)))</f>
        <v/>
      </c>
      <c r="J141" s="56" t="str">
        <f aca="false">IF($W141="","",N(INDEX(发票统计!J$4:J$1003,$W141)))</f>
        <v/>
      </c>
      <c r="K141" s="56" t="str">
        <f aca="false">IF($W141="","",N(INDEX(发票统计!K$4:K$1003,$W141)))</f>
        <v/>
      </c>
      <c r="L141" s="56" t="str">
        <f aca="false">IF($W141="","",SUM(J$4:J141)-SUM(K$4:K141))</f>
        <v/>
      </c>
      <c r="M141" s="56" t="str">
        <f aca="false">IF($W141="","",N(INDEX(发票统计!M$4:M$1003,$W141)))</f>
        <v/>
      </c>
      <c r="N141" s="56" t="str">
        <f aca="false">IF($W141="","",N(INDEX(发票统计!N$4:N$1003,$W141)))</f>
        <v/>
      </c>
      <c r="O141" s="56" t="str">
        <f aca="false">IF($W141="","",N(INDEX(发票统计!O$4:O$1003,$W141)))</f>
        <v/>
      </c>
      <c r="P141" s="56" t="str">
        <f aca="false">IF($W141="","",SUM(M$4:M141)-SUM(N$4:N141)-SUM(O$4:O141))</f>
        <v/>
      </c>
      <c r="Q141" s="56" t="str">
        <f aca="false">IF($W141="","",N(INDEX(发票统计!Q$4:Q$1003,$W141)))</f>
        <v/>
      </c>
      <c r="R141" s="56" t="str">
        <f aca="false">IF($W141="","",N(INDEX(发票统计!R$4:R$1003,$W141)))</f>
        <v/>
      </c>
      <c r="S141" s="56" t="str">
        <f aca="false">IF($W141="","",N(INDEX(发票统计!S$4:S$1003,$W141)))</f>
        <v/>
      </c>
      <c r="T141" s="56" t="str">
        <f aca="false">IF($W141="","",SUM(Q$4:Q141)-SUM(R$4:R141)-SUM(S$4:S141))</f>
        <v/>
      </c>
      <c r="U141" s="56" t="str">
        <f aca="false">IF($W141="","",INDEX(发票统计!U$4:U$1003,$W141)&amp;"")</f>
        <v/>
      </c>
      <c r="W141" s="1" t="str">
        <f aca="false">IF($V$3="","",IFERROR(MATCH($V$3&amp;"#"&amp;ROWS(W$4:W141),发票统计!$W$4:$W$1003,0),""))</f>
        <v/>
      </c>
    </row>
    <row r="142" customFormat="false" ht="16.5" hidden="false" customHeight="false" outlineLevel="0" collapsed="false">
      <c r="A142" s="3" t="str">
        <f aca="false">IF($W142="","",INDEX(发票统计!A$4:A$1003,$W142)&amp;"")</f>
        <v/>
      </c>
      <c r="B142" s="3" t="str">
        <f aca="false">IF($W142="","",INDEX(发票统计!B$4:B$1003,$W142)&amp;"")</f>
        <v/>
      </c>
      <c r="C142" s="3" t="str">
        <f aca="false">IF($W142="","",INDEX(发票统计!C$4:C$1003,$W142)&amp;"")</f>
        <v/>
      </c>
      <c r="D142" s="3" t="str">
        <f aca="false">IF($W142="","",INDEX(发票统计!D$4:D$1003,$W142)&amp;"")</f>
        <v/>
      </c>
      <c r="E142" s="56" t="str">
        <f aca="false">IF($W142="","",INDEX(发票统计!E$4:E$1003,$W142)&amp;"")</f>
        <v/>
      </c>
      <c r="F142" s="56" t="str">
        <f aca="false">IF($W142="","",INDEX(发票统计!F$4:F$1003,$W142)&amp;"")</f>
        <v/>
      </c>
      <c r="G142" s="68" t="str">
        <f aca="false">IF($W142="","",IF(INDEX(发票统计!G$4:G$1003,$W142)="","",INDEX(发票统计!G$4:G$1003,$W142)))</f>
        <v/>
      </c>
      <c r="H142" s="56" t="str">
        <f aca="false">IF($W142="","",N(INDEX(发票统计!H$4:H$1003,$W142)))</f>
        <v/>
      </c>
      <c r="I142" s="56" t="str">
        <f aca="false">IF($W142="","",N(INDEX(发票统计!I$4:I$1003,$W142)))</f>
        <v/>
      </c>
      <c r="J142" s="56" t="str">
        <f aca="false">IF($W142="","",N(INDEX(发票统计!J$4:J$1003,$W142)))</f>
        <v/>
      </c>
      <c r="K142" s="56" t="str">
        <f aca="false">IF($W142="","",N(INDEX(发票统计!K$4:K$1003,$W142)))</f>
        <v/>
      </c>
      <c r="L142" s="56" t="str">
        <f aca="false">IF($W142="","",SUM(J$4:J142)-SUM(K$4:K142))</f>
        <v/>
      </c>
      <c r="M142" s="56" t="str">
        <f aca="false">IF($W142="","",N(INDEX(发票统计!M$4:M$1003,$W142)))</f>
        <v/>
      </c>
      <c r="N142" s="56" t="str">
        <f aca="false">IF($W142="","",N(INDEX(发票统计!N$4:N$1003,$W142)))</f>
        <v/>
      </c>
      <c r="O142" s="56" t="str">
        <f aca="false">IF($W142="","",N(INDEX(发票统计!O$4:O$1003,$W142)))</f>
        <v/>
      </c>
      <c r="P142" s="56" t="str">
        <f aca="false">IF($W142="","",SUM(M$4:M142)-SUM(N$4:N142)-SUM(O$4:O142))</f>
        <v/>
      </c>
      <c r="Q142" s="56" t="str">
        <f aca="false">IF($W142="","",N(INDEX(发票统计!Q$4:Q$1003,$W142)))</f>
        <v/>
      </c>
      <c r="R142" s="56" t="str">
        <f aca="false">IF($W142="","",N(INDEX(发票统计!R$4:R$1003,$W142)))</f>
        <v/>
      </c>
      <c r="S142" s="56" t="str">
        <f aca="false">IF($W142="","",N(INDEX(发票统计!S$4:S$1003,$W142)))</f>
        <v/>
      </c>
      <c r="T142" s="56" t="str">
        <f aca="false">IF($W142="","",SUM(Q$4:Q142)-SUM(R$4:R142)-SUM(S$4:S142))</f>
        <v/>
      </c>
      <c r="U142" s="56" t="str">
        <f aca="false">IF($W142="","",INDEX(发票统计!U$4:U$1003,$W142)&amp;"")</f>
        <v/>
      </c>
      <c r="W142" s="1" t="str">
        <f aca="false">IF($V$3="","",IFERROR(MATCH($V$3&amp;"#"&amp;ROWS(W$4:W142),发票统计!$W$4:$W$1003,0),""))</f>
        <v/>
      </c>
    </row>
    <row r="143" customFormat="false" ht="16.5" hidden="false" customHeight="false" outlineLevel="0" collapsed="false">
      <c r="A143" s="3" t="str">
        <f aca="false">IF($W143="","",INDEX(发票统计!A$4:A$1003,$W143)&amp;"")</f>
        <v/>
      </c>
      <c r="B143" s="3" t="str">
        <f aca="false">IF($W143="","",INDEX(发票统计!B$4:B$1003,$W143)&amp;"")</f>
        <v/>
      </c>
      <c r="C143" s="3" t="str">
        <f aca="false">IF($W143="","",INDEX(发票统计!C$4:C$1003,$W143)&amp;"")</f>
        <v/>
      </c>
      <c r="D143" s="3" t="str">
        <f aca="false">IF($W143="","",INDEX(发票统计!D$4:D$1003,$W143)&amp;"")</f>
        <v/>
      </c>
      <c r="E143" s="56" t="str">
        <f aca="false">IF($W143="","",INDEX(发票统计!E$4:E$1003,$W143)&amp;"")</f>
        <v/>
      </c>
      <c r="F143" s="56" t="str">
        <f aca="false">IF($W143="","",INDEX(发票统计!F$4:F$1003,$W143)&amp;"")</f>
        <v/>
      </c>
      <c r="G143" s="68" t="str">
        <f aca="false">IF($W143="","",IF(INDEX(发票统计!G$4:G$1003,$W143)="","",INDEX(发票统计!G$4:G$1003,$W143)))</f>
        <v/>
      </c>
      <c r="H143" s="56" t="str">
        <f aca="false">IF($W143="","",N(INDEX(发票统计!H$4:H$1003,$W143)))</f>
        <v/>
      </c>
      <c r="I143" s="56" t="str">
        <f aca="false">IF($W143="","",N(INDEX(发票统计!I$4:I$1003,$W143)))</f>
        <v/>
      </c>
      <c r="J143" s="56" t="str">
        <f aca="false">IF($W143="","",N(INDEX(发票统计!J$4:J$1003,$W143)))</f>
        <v/>
      </c>
      <c r="K143" s="56" t="str">
        <f aca="false">IF($W143="","",N(INDEX(发票统计!K$4:K$1003,$W143)))</f>
        <v/>
      </c>
      <c r="L143" s="56" t="str">
        <f aca="false">IF($W143="","",SUM(J$4:J143)-SUM(K$4:K143))</f>
        <v/>
      </c>
      <c r="M143" s="56" t="str">
        <f aca="false">IF($W143="","",N(INDEX(发票统计!M$4:M$1003,$W143)))</f>
        <v/>
      </c>
      <c r="N143" s="56" t="str">
        <f aca="false">IF($W143="","",N(INDEX(发票统计!N$4:N$1003,$W143)))</f>
        <v/>
      </c>
      <c r="O143" s="56" t="str">
        <f aca="false">IF($W143="","",N(INDEX(发票统计!O$4:O$1003,$W143)))</f>
        <v/>
      </c>
      <c r="P143" s="56" t="str">
        <f aca="false">IF($W143="","",SUM(M$4:M143)-SUM(N$4:N143)-SUM(O$4:O143))</f>
        <v/>
      </c>
      <c r="Q143" s="56" t="str">
        <f aca="false">IF($W143="","",N(INDEX(发票统计!Q$4:Q$1003,$W143)))</f>
        <v/>
      </c>
      <c r="R143" s="56" t="str">
        <f aca="false">IF($W143="","",N(INDEX(发票统计!R$4:R$1003,$W143)))</f>
        <v/>
      </c>
      <c r="S143" s="56" t="str">
        <f aca="false">IF($W143="","",N(INDEX(发票统计!S$4:S$1003,$W143)))</f>
        <v/>
      </c>
      <c r="T143" s="56" t="str">
        <f aca="false">IF($W143="","",SUM(Q$4:Q143)-SUM(R$4:R143)-SUM(S$4:S143))</f>
        <v/>
      </c>
      <c r="U143" s="56" t="str">
        <f aca="false">IF($W143="","",INDEX(发票统计!U$4:U$1003,$W143)&amp;"")</f>
        <v/>
      </c>
      <c r="W143" s="1" t="str">
        <f aca="false">IF($V$3="","",IFERROR(MATCH($V$3&amp;"#"&amp;ROWS(W$4:W143),发票统计!$W$4:$W$1003,0),""))</f>
        <v/>
      </c>
    </row>
    <row r="144" customFormat="false" ht="16.5" hidden="false" customHeight="false" outlineLevel="0" collapsed="false">
      <c r="A144" s="3" t="str">
        <f aca="false">IF($W144="","",INDEX(发票统计!A$4:A$1003,$W144)&amp;"")</f>
        <v/>
      </c>
      <c r="B144" s="3" t="str">
        <f aca="false">IF($W144="","",INDEX(发票统计!B$4:B$1003,$W144)&amp;"")</f>
        <v/>
      </c>
      <c r="C144" s="3" t="str">
        <f aca="false">IF($W144="","",INDEX(发票统计!C$4:C$1003,$W144)&amp;"")</f>
        <v/>
      </c>
      <c r="D144" s="3" t="str">
        <f aca="false">IF($W144="","",INDEX(发票统计!D$4:D$1003,$W144)&amp;"")</f>
        <v/>
      </c>
      <c r="E144" s="56" t="str">
        <f aca="false">IF($W144="","",INDEX(发票统计!E$4:E$1003,$W144)&amp;"")</f>
        <v/>
      </c>
      <c r="F144" s="56" t="str">
        <f aca="false">IF($W144="","",INDEX(发票统计!F$4:F$1003,$W144)&amp;"")</f>
        <v/>
      </c>
      <c r="G144" s="68" t="str">
        <f aca="false">IF($W144="","",IF(INDEX(发票统计!G$4:G$1003,$W144)="","",INDEX(发票统计!G$4:G$1003,$W144)))</f>
        <v/>
      </c>
      <c r="H144" s="56" t="str">
        <f aca="false">IF($W144="","",N(INDEX(发票统计!H$4:H$1003,$W144)))</f>
        <v/>
      </c>
      <c r="I144" s="56" t="str">
        <f aca="false">IF($W144="","",N(INDEX(发票统计!I$4:I$1003,$W144)))</f>
        <v/>
      </c>
      <c r="J144" s="56" t="str">
        <f aca="false">IF($W144="","",N(INDEX(发票统计!J$4:J$1003,$W144)))</f>
        <v/>
      </c>
      <c r="K144" s="56" t="str">
        <f aca="false">IF($W144="","",N(INDEX(发票统计!K$4:K$1003,$W144)))</f>
        <v/>
      </c>
      <c r="L144" s="56" t="str">
        <f aca="false">IF($W144="","",SUM(J$4:J144)-SUM(K$4:K144))</f>
        <v/>
      </c>
      <c r="M144" s="56" t="str">
        <f aca="false">IF($W144="","",N(INDEX(发票统计!M$4:M$1003,$W144)))</f>
        <v/>
      </c>
      <c r="N144" s="56" t="str">
        <f aca="false">IF($W144="","",N(INDEX(发票统计!N$4:N$1003,$W144)))</f>
        <v/>
      </c>
      <c r="O144" s="56" t="str">
        <f aca="false">IF($W144="","",N(INDEX(发票统计!O$4:O$1003,$W144)))</f>
        <v/>
      </c>
      <c r="P144" s="56" t="str">
        <f aca="false">IF($W144="","",SUM(M$4:M144)-SUM(N$4:N144)-SUM(O$4:O144))</f>
        <v/>
      </c>
      <c r="Q144" s="56" t="str">
        <f aca="false">IF($W144="","",N(INDEX(发票统计!Q$4:Q$1003,$W144)))</f>
        <v/>
      </c>
      <c r="R144" s="56" t="str">
        <f aca="false">IF($W144="","",N(INDEX(发票统计!R$4:R$1003,$W144)))</f>
        <v/>
      </c>
      <c r="S144" s="56" t="str">
        <f aca="false">IF($W144="","",N(INDEX(发票统计!S$4:S$1003,$W144)))</f>
        <v/>
      </c>
      <c r="T144" s="56" t="str">
        <f aca="false">IF($W144="","",SUM(Q$4:Q144)-SUM(R$4:R144)-SUM(S$4:S144))</f>
        <v/>
      </c>
      <c r="U144" s="56" t="str">
        <f aca="false">IF($W144="","",INDEX(发票统计!U$4:U$1003,$W144)&amp;"")</f>
        <v/>
      </c>
      <c r="W144" s="1" t="str">
        <f aca="false">IF($V$3="","",IFERROR(MATCH($V$3&amp;"#"&amp;ROWS(W$4:W144),发票统计!$W$4:$W$1003,0),""))</f>
        <v/>
      </c>
    </row>
    <row r="145" customFormat="false" ht="16.5" hidden="false" customHeight="false" outlineLevel="0" collapsed="false">
      <c r="A145" s="3" t="str">
        <f aca="false">IF($W145="","",INDEX(发票统计!A$4:A$1003,$W145)&amp;"")</f>
        <v/>
      </c>
      <c r="B145" s="3" t="str">
        <f aca="false">IF($W145="","",INDEX(发票统计!B$4:B$1003,$W145)&amp;"")</f>
        <v/>
      </c>
      <c r="C145" s="3" t="str">
        <f aca="false">IF($W145="","",INDEX(发票统计!C$4:C$1003,$W145)&amp;"")</f>
        <v/>
      </c>
      <c r="D145" s="3" t="str">
        <f aca="false">IF($W145="","",INDEX(发票统计!D$4:D$1003,$W145)&amp;"")</f>
        <v/>
      </c>
      <c r="E145" s="56" t="str">
        <f aca="false">IF($W145="","",INDEX(发票统计!E$4:E$1003,$W145)&amp;"")</f>
        <v/>
      </c>
      <c r="F145" s="56" t="str">
        <f aca="false">IF($W145="","",INDEX(发票统计!F$4:F$1003,$W145)&amp;"")</f>
        <v/>
      </c>
      <c r="G145" s="68" t="str">
        <f aca="false">IF($W145="","",IF(INDEX(发票统计!G$4:G$1003,$W145)="","",INDEX(发票统计!G$4:G$1003,$W145)))</f>
        <v/>
      </c>
      <c r="H145" s="56" t="str">
        <f aca="false">IF($W145="","",N(INDEX(发票统计!H$4:H$1003,$W145)))</f>
        <v/>
      </c>
      <c r="I145" s="56" t="str">
        <f aca="false">IF($W145="","",N(INDEX(发票统计!I$4:I$1003,$W145)))</f>
        <v/>
      </c>
      <c r="J145" s="56" t="str">
        <f aca="false">IF($W145="","",N(INDEX(发票统计!J$4:J$1003,$W145)))</f>
        <v/>
      </c>
      <c r="K145" s="56" t="str">
        <f aca="false">IF($W145="","",N(INDEX(发票统计!K$4:K$1003,$W145)))</f>
        <v/>
      </c>
      <c r="L145" s="56" t="str">
        <f aca="false">IF($W145="","",SUM(J$4:J145)-SUM(K$4:K145))</f>
        <v/>
      </c>
      <c r="M145" s="56" t="str">
        <f aca="false">IF($W145="","",N(INDEX(发票统计!M$4:M$1003,$W145)))</f>
        <v/>
      </c>
      <c r="N145" s="56" t="str">
        <f aca="false">IF($W145="","",N(INDEX(发票统计!N$4:N$1003,$W145)))</f>
        <v/>
      </c>
      <c r="O145" s="56" t="str">
        <f aca="false">IF($W145="","",N(INDEX(发票统计!O$4:O$1003,$W145)))</f>
        <v/>
      </c>
      <c r="P145" s="56" t="str">
        <f aca="false">IF($W145="","",SUM(M$4:M145)-SUM(N$4:N145)-SUM(O$4:O145))</f>
        <v/>
      </c>
      <c r="Q145" s="56" t="str">
        <f aca="false">IF($W145="","",N(INDEX(发票统计!Q$4:Q$1003,$W145)))</f>
        <v/>
      </c>
      <c r="R145" s="56" t="str">
        <f aca="false">IF($W145="","",N(INDEX(发票统计!R$4:R$1003,$W145)))</f>
        <v/>
      </c>
      <c r="S145" s="56" t="str">
        <f aca="false">IF($W145="","",N(INDEX(发票统计!S$4:S$1003,$W145)))</f>
        <v/>
      </c>
      <c r="T145" s="56" t="str">
        <f aca="false">IF($W145="","",SUM(Q$4:Q145)-SUM(R$4:R145)-SUM(S$4:S145))</f>
        <v/>
      </c>
      <c r="U145" s="56" t="str">
        <f aca="false">IF($W145="","",INDEX(发票统计!U$4:U$1003,$W145)&amp;"")</f>
        <v/>
      </c>
      <c r="W145" s="1" t="str">
        <f aca="false">IF($V$3="","",IFERROR(MATCH($V$3&amp;"#"&amp;ROWS(W$4:W145),发票统计!$W$4:$W$1003,0),""))</f>
        <v/>
      </c>
    </row>
    <row r="146" customFormat="false" ht="16.5" hidden="false" customHeight="false" outlineLevel="0" collapsed="false">
      <c r="A146" s="3" t="str">
        <f aca="false">IF($W146="","",INDEX(发票统计!A$4:A$1003,$W146)&amp;"")</f>
        <v/>
      </c>
      <c r="B146" s="3" t="str">
        <f aca="false">IF($W146="","",INDEX(发票统计!B$4:B$1003,$W146)&amp;"")</f>
        <v/>
      </c>
      <c r="C146" s="3" t="str">
        <f aca="false">IF($W146="","",INDEX(发票统计!C$4:C$1003,$W146)&amp;"")</f>
        <v/>
      </c>
      <c r="D146" s="3" t="str">
        <f aca="false">IF($W146="","",INDEX(发票统计!D$4:D$1003,$W146)&amp;"")</f>
        <v/>
      </c>
      <c r="E146" s="56" t="str">
        <f aca="false">IF($W146="","",INDEX(发票统计!E$4:E$1003,$W146)&amp;"")</f>
        <v/>
      </c>
      <c r="F146" s="56" t="str">
        <f aca="false">IF($W146="","",INDEX(发票统计!F$4:F$1003,$W146)&amp;"")</f>
        <v/>
      </c>
      <c r="G146" s="68" t="str">
        <f aca="false">IF($W146="","",IF(INDEX(发票统计!G$4:G$1003,$W146)="","",INDEX(发票统计!G$4:G$1003,$W146)))</f>
        <v/>
      </c>
      <c r="H146" s="56" t="str">
        <f aca="false">IF($W146="","",N(INDEX(发票统计!H$4:H$1003,$W146)))</f>
        <v/>
      </c>
      <c r="I146" s="56" t="str">
        <f aca="false">IF($W146="","",N(INDEX(发票统计!I$4:I$1003,$W146)))</f>
        <v/>
      </c>
      <c r="J146" s="56" t="str">
        <f aca="false">IF($W146="","",N(INDEX(发票统计!J$4:J$1003,$W146)))</f>
        <v/>
      </c>
      <c r="K146" s="56" t="str">
        <f aca="false">IF($W146="","",N(INDEX(发票统计!K$4:K$1003,$W146)))</f>
        <v/>
      </c>
      <c r="L146" s="56" t="str">
        <f aca="false">IF($W146="","",SUM(J$4:J146)-SUM(K$4:K146))</f>
        <v/>
      </c>
      <c r="M146" s="56" t="str">
        <f aca="false">IF($W146="","",N(INDEX(发票统计!M$4:M$1003,$W146)))</f>
        <v/>
      </c>
      <c r="N146" s="56" t="str">
        <f aca="false">IF($W146="","",N(INDEX(发票统计!N$4:N$1003,$W146)))</f>
        <v/>
      </c>
      <c r="O146" s="56" t="str">
        <f aca="false">IF($W146="","",N(INDEX(发票统计!O$4:O$1003,$W146)))</f>
        <v/>
      </c>
      <c r="P146" s="56" t="str">
        <f aca="false">IF($W146="","",SUM(M$4:M146)-SUM(N$4:N146)-SUM(O$4:O146))</f>
        <v/>
      </c>
      <c r="Q146" s="56" t="str">
        <f aca="false">IF($W146="","",N(INDEX(发票统计!Q$4:Q$1003,$W146)))</f>
        <v/>
      </c>
      <c r="R146" s="56" t="str">
        <f aca="false">IF($W146="","",N(INDEX(发票统计!R$4:R$1003,$W146)))</f>
        <v/>
      </c>
      <c r="S146" s="56" t="str">
        <f aca="false">IF($W146="","",N(INDEX(发票统计!S$4:S$1003,$W146)))</f>
        <v/>
      </c>
      <c r="T146" s="56" t="str">
        <f aca="false">IF($W146="","",SUM(Q$4:Q146)-SUM(R$4:R146)-SUM(S$4:S146))</f>
        <v/>
      </c>
      <c r="U146" s="56" t="str">
        <f aca="false">IF($W146="","",INDEX(发票统计!U$4:U$1003,$W146)&amp;"")</f>
        <v/>
      </c>
      <c r="W146" s="1" t="str">
        <f aca="false">IF($V$3="","",IFERROR(MATCH($V$3&amp;"#"&amp;ROWS(W$4:W146),发票统计!$W$4:$W$1003,0),""))</f>
        <v/>
      </c>
    </row>
    <row r="147" customFormat="false" ht="16.5" hidden="false" customHeight="false" outlineLevel="0" collapsed="false">
      <c r="A147" s="3" t="str">
        <f aca="false">IF($W147="","",INDEX(发票统计!A$4:A$1003,$W147)&amp;"")</f>
        <v/>
      </c>
      <c r="B147" s="3" t="str">
        <f aca="false">IF($W147="","",INDEX(发票统计!B$4:B$1003,$W147)&amp;"")</f>
        <v/>
      </c>
      <c r="C147" s="3" t="str">
        <f aca="false">IF($W147="","",INDEX(发票统计!C$4:C$1003,$W147)&amp;"")</f>
        <v/>
      </c>
      <c r="D147" s="3" t="str">
        <f aca="false">IF($W147="","",INDEX(发票统计!D$4:D$1003,$W147)&amp;"")</f>
        <v/>
      </c>
      <c r="E147" s="56" t="str">
        <f aca="false">IF($W147="","",INDEX(发票统计!E$4:E$1003,$W147)&amp;"")</f>
        <v/>
      </c>
      <c r="F147" s="56" t="str">
        <f aca="false">IF($W147="","",INDEX(发票统计!F$4:F$1003,$W147)&amp;"")</f>
        <v/>
      </c>
      <c r="G147" s="68" t="str">
        <f aca="false">IF($W147="","",IF(INDEX(发票统计!G$4:G$1003,$W147)="","",INDEX(发票统计!G$4:G$1003,$W147)))</f>
        <v/>
      </c>
      <c r="H147" s="56" t="str">
        <f aca="false">IF($W147="","",N(INDEX(发票统计!H$4:H$1003,$W147)))</f>
        <v/>
      </c>
      <c r="I147" s="56" t="str">
        <f aca="false">IF($W147="","",N(INDEX(发票统计!I$4:I$1003,$W147)))</f>
        <v/>
      </c>
      <c r="J147" s="56" t="str">
        <f aca="false">IF($W147="","",N(INDEX(发票统计!J$4:J$1003,$W147)))</f>
        <v/>
      </c>
      <c r="K147" s="56" t="str">
        <f aca="false">IF($W147="","",N(INDEX(发票统计!K$4:K$1003,$W147)))</f>
        <v/>
      </c>
      <c r="L147" s="56" t="str">
        <f aca="false">IF($W147="","",SUM(J$4:J147)-SUM(K$4:K147))</f>
        <v/>
      </c>
      <c r="M147" s="56" t="str">
        <f aca="false">IF($W147="","",N(INDEX(发票统计!M$4:M$1003,$W147)))</f>
        <v/>
      </c>
      <c r="N147" s="56" t="str">
        <f aca="false">IF($W147="","",N(INDEX(发票统计!N$4:N$1003,$W147)))</f>
        <v/>
      </c>
      <c r="O147" s="56" t="str">
        <f aca="false">IF($W147="","",N(INDEX(发票统计!O$4:O$1003,$W147)))</f>
        <v/>
      </c>
      <c r="P147" s="56" t="str">
        <f aca="false">IF($W147="","",SUM(M$4:M147)-SUM(N$4:N147)-SUM(O$4:O147))</f>
        <v/>
      </c>
      <c r="Q147" s="56" t="str">
        <f aca="false">IF($W147="","",N(INDEX(发票统计!Q$4:Q$1003,$W147)))</f>
        <v/>
      </c>
      <c r="R147" s="56" t="str">
        <f aca="false">IF($W147="","",N(INDEX(发票统计!R$4:R$1003,$W147)))</f>
        <v/>
      </c>
      <c r="S147" s="56" t="str">
        <f aca="false">IF($W147="","",N(INDEX(发票统计!S$4:S$1003,$W147)))</f>
        <v/>
      </c>
      <c r="T147" s="56" t="str">
        <f aca="false">IF($W147="","",SUM(Q$4:Q147)-SUM(R$4:R147)-SUM(S$4:S147))</f>
        <v/>
      </c>
      <c r="U147" s="56" t="str">
        <f aca="false">IF($W147="","",INDEX(发票统计!U$4:U$1003,$W147)&amp;"")</f>
        <v/>
      </c>
      <c r="W147" s="1" t="str">
        <f aca="false">IF($V$3="","",IFERROR(MATCH($V$3&amp;"#"&amp;ROWS(W$4:W147),发票统计!$W$4:$W$1003,0),""))</f>
        <v/>
      </c>
    </row>
    <row r="148" customFormat="false" ht="16.5" hidden="false" customHeight="false" outlineLevel="0" collapsed="false">
      <c r="A148" s="3" t="str">
        <f aca="false">IF($W148="","",INDEX(发票统计!A$4:A$1003,$W148)&amp;"")</f>
        <v/>
      </c>
      <c r="B148" s="3" t="str">
        <f aca="false">IF($W148="","",INDEX(发票统计!B$4:B$1003,$W148)&amp;"")</f>
        <v/>
      </c>
      <c r="C148" s="3" t="str">
        <f aca="false">IF($W148="","",INDEX(发票统计!C$4:C$1003,$W148)&amp;"")</f>
        <v/>
      </c>
      <c r="D148" s="3" t="str">
        <f aca="false">IF($W148="","",INDEX(发票统计!D$4:D$1003,$W148)&amp;"")</f>
        <v/>
      </c>
      <c r="E148" s="56" t="str">
        <f aca="false">IF($W148="","",INDEX(发票统计!E$4:E$1003,$W148)&amp;"")</f>
        <v/>
      </c>
      <c r="F148" s="56" t="str">
        <f aca="false">IF($W148="","",INDEX(发票统计!F$4:F$1003,$W148)&amp;"")</f>
        <v/>
      </c>
      <c r="G148" s="68" t="str">
        <f aca="false">IF($W148="","",IF(INDEX(发票统计!G$4:G$1003,$W148)="","",INDEX(发票统计!G$4:G$1003,$W148)))</f>
        <v/>
      </c>
      <c r="H148" s="56" t="str">
        <f aca="false">IF($W148="","",N(INDEX(发票统计!H$4:H$1003,$W148)))</f>
        <v/>
      </c>
      <c r="I148" s="56" t="str">
        <f aca="false">IF($W148="","",N(INDEX(发票统计!I$4:I$1003,$W148)))</f>
        <v/>
      </c>
      <c r="J148" s="56" t="str">
        <f aca="false">IF($W148="","",N(INDEX(发票统计!J$4:J$1003,$W148)))</f>
        <v/>
      </c>
      <c r="K148" s="56" t="str">
        <f aca="false">IF($W148="","",N(INDEX(发票统计!K$4:K$1003,$W148)))</f>
        <v/>
      </c>
      <c r="L148" s="56" t="str">
        <f aca="false">IF($W148="","",SUM(J$4:J148)-SUM(K$4:K148))</f>
        <v/>
      </c>
      <c r="M148" s="56" t="str">
        <f aca="false">IF($W148="","",N(INDEX(发票统计!M$4:M$1003,$W148)))</f>
        <v/>
      </c>
      <c r="N148" s="56" t="str">
        <f aca="false">IF($W148="","",N(INDEX(发票统计!N$4:N$1003,$W148)))</f>
        <v/>
      </c>
      <c r="O148" s="56" t="str">
        <f aca="false">IF($W148="","",N(INDEX(发票统计!O$4:O$1003,$W148)))</f>
        <v/>
      </c>
      <c r="P148" s="56" t="str">
        <f aca="false">IF($W148="","",SUM(M$4:M148)-SUM(N$4:N148)-SUM(O$4:O148))</f>
        <v/>
      </c>
      <c r="Q148" s="56" t="str">
        <f aca="false">IF($W148="","",N(INDEX(发票统计!Q$4:Q$1003,$W148)))</f>
        <v/>
      </c>
      <c r="R148" s="56" t="str">
        <f aca="false">IF($W148="","",N(INDEX(发票统计!R$4:R$1003,$W148)))</f>
        <v/>
      </c>
      <c r="S148" s="56" t="str">
        <f aca="false">IF($W148="","",N(INDEX(发票统计!S$4:S$1003,$W148)))</f>
        <v/>
      </c>
      <c r="T148" s="56" t="str">
        <f aca="false">IF($W148="","",SUM(Q$4:Q148)-SUM(R$4:R148)-SUM(S$4:S148))</f>
        <v/>
      </c>
      <c r="U148" s="56" t="str">
        <f aca="false">IF($W148="","",INDEX(发票统计!U$4:U$1003,$W148)&amp;"")</f>
        <v/>
      </c>
      <c r="W148" s="1" t="str">
        <f aca="false">IF($V$3="","",IFERROR(MATCH($V$3&amp;"#"&amp;ROWS(W$4:W148),发票统计!$W$4:$W$1003,0),""))</f>
        <v/>
      </c>
    </row>
    <row r="149" customFormat="false" ht="16.5" hidden="false" customHeight="false" outlineLevel="0" collapsed="false">
      <c r="A149" s="3" t="str">
        <f aca="false">IF($W149="","",INDEX(发票统计!A$4:A$1003,$W149)&amp;"")</f>
        <v/>
      </c>
      <c r="B149" s="3" t="str">
        <f aca="false">IF($W149="","",INDEX(发票统计!B$4:B$1003,$W149)&amp;"")</f>
        <v/>
      </c>
      <c r="C149" s="3" t="str">
        <f aca="false">IF($W149="","",INDEX(发票统计!C$4:C$1003,$W149)&amp;"")</f>
        <v/>
      </c>
      <c r="D149" s="3" t="str">
        <f aca="false">IF($W149="","",INDEX(发票统计!D$4:D$1003,$W149)&amp;"")</f>
        <v/>
      </c>
      <c r="E149" s="56" t="str">
        <f aca="false">IF($W149="","",INDEX(发票统计!E$4:E$1003,$W149)&amp;"")</f>
        <v/>
      </c>
      <c r="F149" s="56" t="str">
        <f aca="false">IF($W149="","",INDEX(发票统计!F$4:F$1003,$W149)&amp;"")</f>
        <v/>
      </c>
      <c r="G149" s="68" t="str">
        <f aca="false">IF($W149="","",IF(INDEX(发票统计!G$4:G$1003,$W149)="","",INDEX(发票统计!G$4:G$1003,$W149)))</f>
        <v/>
      </c>
      <c r="H149" s="56" t="str">
        <f aca="false">IF($W149="","",N(INDEX(发票统计!H$4:H$1003,$W149)))</f>
        <v/>
      </c>
      <c r="I149" s="56" t="str">
        <f aca="false">IF($W149="","",N(INDEX(发票统计!I$4:I$1003,$W149)))</f>
        <v/>
      </c>
      <c r="J149" s="56" t="str">
        <f aca="false">IF($W149="","",N(INDEX(发票统计!J$4:J$1003,$W149)))</f>
        <v/>
      </c>
      <c r="K149" s="56" t="str">
        <f aca="false">IF($W149="","",N(INDEX(发票统计!K$4:K$1003,$W149)))</f>
        <v/>
      </c>
      <c r="L149" s="56" t="str">
        <f aca="false">IF($W149="","",SUM(J$4:J149)-SUM(K$4:K149))</f>
        <v/>
      </c>
      <c r="M149" s="56" t="str">
        <f aca="false">IF($W149="","",N(INDEX(发票统计!M$4:M$1003,$W149)))</f>
        <v/>
      </c>
      <c r="N149" s="56" t="str">
        <f aca="false">IF($W149="","",N(INDEX(发票统计!N$4:N$1003,$W149)))</f>
        <v/>
      </c>
      <c r="O149" s="56" t="str">
        <f aca="false">IF($W149="","",N(INDEX(发票统计!O$4:O$1003,$W149)))</f>
        <v/>
      </c>
      <c r="P149" s="56" t="str">
        <f aca="false">IF($W149="","",SUM(M$4:M149)-SUM(N$4:N149)-SUM(O$4:O149))</f>
        <v/>
      </c>
      <c r="Q149" s="56" t="str">
        <f aca="false">IF($W149="","",N(INDEX(发票统计!Q$4:Q$1003,$W149)))</f>
        <v/>
      </c>
      <c r="R149" s="56" t="str">
        <f aca="false">IF($W149="","",N(INDEX(发票统计!R$4:R$1003,$W149)))</f>
        <v/>
      </c>
      <c r="S149" s="56" t="str">
        <f aca="false">IF($W149="","",N(INDEX(发票统计!S$4:S$1003,$W149)))</f>
        <v/>
      </c>
      <c r="T149" s="56" t="str">
        <f aca="false">IF($W149="","",SUM(Q$4:Q149)-SUM(R$4:R149)-SUM(S$4:S149))</f>
        <v/>
      </c>
      <c r="U149" s="56" t="str">
        <f aca="false">IF($W149="","",INDEX(发票统计!U$4:U$1003,$W149)&amp;"")</f>
        <v/>
      </c>
      <c r="W149" s="1" t="str">
        <f aca="false">IF($V$3="","",IFERROR(MATCH($V$3&amp;"#"&amp;ROWS(W$4:W149),发票统计!$W$4:$W$1003,0),""))</f>
        <v/>
      </c>
    </row>
    <row r="150" customFormat="false" ht="16.5" hidden="false" customHeight="false" outlineLevel="0" collapsed="false">
      <c r="A150" s="3" t="str">
        <f aca="false">IF($W150="","",INDEX(发票统计!A$4:A$1003,$W150)&amp;"")</f>
        <v/>
      </c>
      <c r="B150" s="3" t="str">
        <f aca="false">IF($W150="","",INDEX(发票统计!B$4:B$1003,$W150)&amp;"")</f>
        <v/>
      </c>
      <c r="C150" s="3" t="str">
        <f aca="false">IF($W150="","",INDEX(发票统计!C$4:C$1003,$W150)&amp;"")</f>
        <v/>
      </c>
      <c r="D150" s="3" t="str">
        <f aca="false">IF($W150="","",INDEX(发票统计!D$4:D$1003,$W150)&amp;"")</f>
        <v/>
      </c>
      <c r="E150" s="56" t="str">
        <f aca="false">IF($W150="","",INDEX(发票统计!E$4:E$1003,$W150)&amp;"")</f>
        <v/>
      </c>
      <c r="F150" s="56" t="str">
        <f aca="false">IF($W150="","",INDEX(发票统计!F$4:F$1003,$W150)&amp;"")</f>
        <v/>
      </c>
      <c r="G150" s="68" t="str">
        <f aca="false">IF($W150="","",IF(INDEX(发票统计!G$4:G$1003,$W150)="","",INDEX(发票统计!G$4:G$1003,$W150)))</f>
        <v/>
      </c>
      <c r="H150" s="56" t="str">
        <f aca="false">IF($W150="","",N(INDEX(发票统计!H$4:H$1003,$W150)))</f>
        <v/>
      </c>
      <c r="I150" s="56" t="str">
        <f aca="false">IF($W150="","",N(INDEX(发票统计!I$4:I$1003,$W150)))</f>
        <v/>
      </c>
      <c r="J150" s="56" t="str">
        <f aca="false">IF($W150="","",N(INDEX(发票统计!J$4:J$1003,$W150)))</f>
        <v/>
      </c>
      <c r="K150" s="56" t="str">
        <f aca="false">IF($W150="","",N(INDEX(发票统计!K$4:K$1003,$W150)))</f>
        <v/>
      </c>
      <c r="L150" s="56" t="str">
        <f aca="false">IF($W150="","",SUM(J$4:J150)-SUM(K$4:K150))</f>
        <v/>
      </c>
      <c r="M150" s="56" t="str">
        <f aca="false">IF($W150="","",N(INDEX(发票统计!M$4:M$1003,$W150)))</f>
        <v/>
      </c>
      <c r="N150" s="56" t="str">
        <f aca="false">IF($W150="","",N(INDEX(发票统计!N$4:N$1003,$W150)))</f>
        <v/>
      </c>
      <c r="O150" s="56" t="str">
        <f aca="false">IF($W150="","",N(INDEX(发票统计!O$4:O$1003,$W150)))</f>
        <v/>
      </c>
      <c r="P150" s="56" t="str">
        <f aca="false">IF($W150="","",SUM(M$4:M150)-SUM(N$4:N150)-SUM(O$4:O150))</f>
        <v/>
      </c>
      <c r="Q150" s="56" t="str">
        <f aca="false">IF($W150="","",N(INDEX(发票统计!Q$4:Q$1003,$W150)))</f>
        <v/>
      </c>
      <c r="R150" s="56" t="str">
        <f aca="false">IF($W150="","",N(INDEX(发票统计!R$4:R$1003,$W150)))</f>
        <v/>
      </c>
      <c r="S150" s="56" t="str">
        <f aca="false">IF($W150="","",N(INDEX(发票统计!S$4:S$1003,$W150)))</f>
        <v/>
      </c>
      <c r="T150" s="56" t="str">
        <f aca="false">IF($W150="","",SUM(Q$4:Q150)-SUM(R$4:R150)-SUM(S$4:S150))</f>
        <v/>
      </c>
      <c r="U150" s="56" t="str">
        <f aca="false">IF($W150="","",INDEX(发票统计!U$4:U$1003,$W150)&amp;"")</f>
        <v/>
      </c>
      <c r="W150" s="1" t="str">
        <f aca="false">IF($V$3="","",IFERROR(MATCH($V$3&amp;"#"&amp;ROWS(W$4:W150),发票统计!$W$4:$W$1003,0),""))</f>
        <v/>
      </c>
    </row>
    <row r="151" customFormat="false" ht="16.5" hidden="false" customHeight="false" outlineLevel="0" collapsed="false">
      <c r="A151" s="3" t="str">
        <f aca="false">IF($W151="","",INDEX(发票统计!A$4:A$1003,$W151)&amp;"")</f>
        <v/>
      </c>
      <c r="B151" s="3" t="str">
        <f aca="false">IF($W151="","",INDEX(发票统计!B$4:B$1003,$W151)&amp;"")</f>
        <v/>
      </c>
      <c r="C151" s="3" t="str">
        <f aca="false">IF($W151="","",INDEX(发票统计!C$4:C$1003,$W151)&amp;"")</f>
        <v/>
      </c>
      <c r="D151" s="3" t="str">
        <f aca="false">IF($W151="","",INDEX(发票统计!D$4:D$1003,$W151)&amp;"")</f>
        <v/>
      </c>
      <c r="E151" s="56" t="str">
        <f aca="false">IF($W151="","",INDEX(发票统计!E$4:E$1003,$W151)&amp;"")</f>
        <v/>
      </c>
      <c r="F151" s="56" t="str">
        <f aca="false">IF($W151="","",INDEX(发票统计!F$4:F$1003,$W151)&amp;"")</f>
        <v/>
      </c>
      <c r="G151" s="68" t="str">
        <f aca="false">IF($W151="","",IF(INDEX(发票统计!G$4:G$1003,$W151)="","",INDEX(发票统计!G$4:G$1003,$W151)))</f>
        <v/>
      </c>
      <c r="H151" s="56" t="str">
        <f aca="false">IF($W151="","",N(INDEX(发票统计!H$4:H$1003,$W151)))</f>
        <v/>
      </c>
      <c r="I151" s="56" t="str">
        <f aca="false">IF($W151="","",N(INDEX(发票统计!I$4:I$1003,$W151)))</f>
        <v/>
      </c>
      <c r="J151" s="56" t="str">
        <f aca="false">IF($W151="","",N(INDEX(发票统计!J$4:J$1003,$W151)))</f>
        <v/>
      </c>
      <c r="K151" s="56" t="str">
        <f aca="false">IF($W151="","",N(INDEX(发票统计!K$4:K$1003,$W151)))</f>
        <v/>
      </c>
      <c r="L151" s="56" t="str">
        <f aca="false">IF($W151="","",SUM(J$4:J151)-SUM(K$4:K151))</f>
        <v/>
      </c>
      <c r="M151" s="56" t="str">
        <f aca="false">IF($W151="","",N(INDEX(发票统计!M$4:M$1003,$W151)))</f>
        <v/>
      </c>
      <c r="N151" s="56" t="str">
        <f aca="false">IF($W151="","",N(INDEX(发票统计!N$4:N$1003,$W151)))</f>
        <v/>
      </c>
      <c r="O151" s="56" t="str">
        <f aca="false">IF($W151="","",N(INDEX(发票统计!O$4:O$1003,$W151)))</f>
        <v/>
      </c>
      <c r="P151" s="56" t="str">
        <f aca="false">IF($W151="","",SUM(M$4:M151)-SUM(N$4:N151)-SUM(O$4:O151))</f>
        <v/>
      </c>
      <c r="Q151" s="56" t="str">
        <f aca="false">IF($W151="","",N(INDEX(发票统计!Q$4:Q$1003,$W151)))</f>
        <v/>
      </c>
      <c r="R151" s="56" t="str">
        <f aca="false">IF($W151="","",N(INDEX(发票统计!R$4:R$1003,$W151)))</f>
        <v/>
      </c>
      <c r="S151" s="56" t="str">
        <f aca="false">IF($W151="","",N(INDEX(发票统计!S$4:S$1003,$W151)))</f>
        <v/>
      </c>
      <c r="T151" s="56" t="str">
        <f aca="false">IF($W151="","",SUM(Q$4:Q151)-SUM(R$4:R151)-SUM(S$4:S151))</f>
        <v/>
      </c>
      <c r="U151" s="56" t="str">
        <f aca="false">IF($W151="","",INDEX(发票统计!U$4:U$1003,$W151)&amp;"")</f>
        <v/>
      </c>
      <c r="W151" s="1" t="str">
        <f aca="false">IF($V$3="","",IFERROR(MATCH($V$3&amp;"#"&amp;ROWS(W$4:W151),发票统计!$W$4:$W$1003,0),""))</f>
        <v/>
      </c>
    </row>
    <row r="152" customFormat="false" ht="16.5" hidden="false" customHeight="false" outlineLevel="0" collapsed="false">
      <c r="A152" s="3" t="str">
        <f aca="false">IF($W152="","",INDEX(发票统计!A$4:A$1003,$W152)&amp;"")</f>
        <v/>
      </c>
      <c r="B152" s="3" t="str">
        <f aca="false">IF($W152="","",INDEX(发票统计!B$4:B$1003,$W152)&amp;"")</f>
        <v/>
      </c>
      <c r="C152" s="3" t="str">
        <f aca="false">IF($W152="","",INDEX(发票统计!C$4:C$1003,$W152)&amp;"")</f>
        <v/>
      </c>
      <c r="D152" s="3" t="str">
        <f aca="false">IF($W152="","",INDEX(发票统计!D$4:D$1003,$W152)&amp;"")</f>
        <v/>
      </c>
      <c r="E152" s="56" t="str">
        <f aca="false">IF($W152="","",INDEX(发票统计!E$4:E$1003,$W152)&amp;"")</f>
        <v/>
      </c>
      <c r="F152" s="56" t="str">
        <f aca="false">IF($W152="","",INDEX(发票统计!F$4:F$1003,$W152)&amp;"")</f>
        <v/>
      </c>
      <c r="G152" s="68" t="str">
        <f aca="false">IF($W152="","",IF(INDEX(发票统计!G$4:G$1003,$W152)="","",INDEX(发票统计!G$4:G$1003,$W152)))</f>
        <v/>
      </c>
      <c r="H152" s="56" t="str">
        <f aca="false">IF($W152="","",N(INDEX(发票统计!H$4:H$1003,$W152)))</f>
        <v/>
      </c>
      <c r="I152" s="56" t="str">
        <f aca="false">IF($W152="","",N(INDEX(发票统计!I$4:I$1003,$W152)))</f>
        <v/>
      </c>
      <c r="J152" s="56" t="str">
        <f aca="false">IF($W152="","",N(INDEX(发票统计!J$4:J$1003,$W152)))</f>
        <v/>
      </c>
      <c r="K152" s="56" t="str">
        <f aca="false">IF($W152="","",N(INDEX(发票统计!K$4:K$1003,$W152)))</f>
        <v/>
      </c>
      <c r="L152" s="56" t="str">
        <f aca="false">IF($W152="","",SUM(J$4:J152)-SUM(K$4:K152))</f>
        <v/>
      </c>
      <c r="M152" s="56" t="str">
        <f aca="false">IF($W152="","",N(INDEX(发票统计!M$4:M$1003,$W152)))</f>
        <v/>
      </c>
      <c r="N152" s="56" t="str">
        <f aca="false">IF($W152="","",N(INDEX(发票统计!N$4:N$1003,$W152)))</f>
        <v/>
      </c>
      <c r="O152" s="56" t="str">
        <f aca="false">IF($W152="","",N(INDEX(发票统计!O$4:O$1003,$W152)))</f>
        <v/>
      </c>
      <c r="P152" s="56" t="str">
        <f aca="false">IF($W152="","",SUM(M$4:M152)-SUM(N$4:N152)-SUM(O$4:O152))</f>
        <v/>
      </c>
      <c r="Q152" s="56" t="str">
        <f aca="false">IF($W152="","",N(INDEX(发票统计!Q$4:Q$1003,$W152)))</f>
        <v/>
      </c>
      <c r="R152" s="56" t="str">
        <f aca="false">IF($W152="","",N(INDEX(发票统计!R$4:R$1003,$W152)))</f>
        <v/>
      </c>
      <c r="S152" s="56" t="str">
        <f aca="false">IF($W152="","",N(INDEX(发票统计!S$4:S$1003,$W152)))</f>
        <v/>
      </c>
      <c r="T152" s="56" t="str">
        <f aca="false">IF($W152="","",SUM(Q$4:Q152)-SUM(R$4:R152)-SUM(S$4:S152))</f>
        <v/>
      </c>
      <c r="U152" s="56" t="str">
        <f aca="false">IF($W152="","",INDEX(发票统计!U$4:U$1003,$W152)&amp;"")</f>
        <v/>
      </c>
      <c r="W152" s="1" t="str">
        <f aca="false">IF($V$3="","",IFERROR(MATCH($V$3&amp;"#"&amp;ROWS(W$4:W152),发票统计!$W$4:$W$1003,0),""))</f>
        <v/>
      </c>
    </row>
    <row r="153" customFormat="false" ht="16.5" hidden="false" customHeight="false" outlineLevel="0" collapsed="false">
      <c r="A153" s="3" t="str">
        <f aca="false">IF($W153="","",INDEX(发票统计!A$4:A$1003,$W153)&amp;"")</f>
        <v/>
      </c>
      <c r="B153" s="3" t="str">
        <f aca="false">IF($W153="","",INDEX(发票统计!B$4:B$1003,$W153)&amp;"")</f>
        <v/>
      </c>
      <c r="C153" s="3" t="str">
        <f aca="false">IF($W153="","",INDEX(发票统计!C$4:C$1003,$W153)&amp;"")</f>
        <v/>
      </c>
      <c r="D153" s="3" t="str">
        <f aca="false">IF($W153="","",INDEX(发票统计!D$4:D$1003,$W153)&amp;"")</f>
        <v/>
      </c>
      <c r="E153" s="56" t="str">
        <f aca="false">IF($W153="","",INDEX(发票统计!E$4:E$1003,$W153)&amp;"")</f>
        <v/>
      </c>
      <c r="F153" s="56" t="str">
        <f aca="false">IF($W153="","",INDEX(发票统计!F$4:F$1003,$W153)&amp;"")</f>
        <v/>
      </c>
      <c r="G153" s="68" t="str">
        <f aca="false">IF($W153="","",IF(INDEX(发票统计!G$4:G$1003,$W153)="","",INDEX(发票统计!G$4:G$1003,$W153)))</f>
        <v/>
      </c>
      <c r="H153" s="56" t="str">
        <f aca="false">IF($W153="","",N(INDEX(发票统计!H$4:H$1003,$W153)))</f>
        <v/>
      </c>
      <c r="I153" s="56" t="str">
        <f aca="false">IF($W153="","",N(INDEX(发票统计!I$4:I$1003,$W153)))</f>
        <v/>
      </c>
      <c r="J153" s="56" t="str">
        <f aca="false">IF($W153="","",N(INDEX(发票统计!J$4:J$1003,$W153)))</f>
        <v/>
      </c>
      <c r="K153" s="56" t="str">
        <f aca="false">IF($W153="","",N(INDEX(发票统计!K$4:K$1003,$W153)))</f>
        <v/>
      </c>
      <c r="L153" s="56" t="str">
        <f aca="false">IF($W153="","",SUM(J$4:J153)-SUM(K$4:K153))</f>
        <v/>
      </c>
      <c r="M153" s="56" t="str">
        <f aca="false">IF($W153="","",N(INDEX(发票统计!M$4:M$1003,$W153)))</f>
        <v/>
      </c>
      <c r="N153" s="56" t="str">
        <f aca="false">IF($W153="","",N(INDEX(发票统计!N$4:N$1003,$W153)))</f>
        <v/>
      </c>
      <c r="O153" s="56" t="str">
        <f aca="false">IF($W153="","",N(INDEX(发票统计!O$4:O$1003,$W153)))</f>
        <v/>
      </c>
      <c r="P153" s="56" t="str">
        <f aca="false">IF($W153="","",SUM(M$4:M153)-SUM(N$4:N153)-SUM(O$4:O153))</f>
        <v/>
      </c>
      <c r="Q153" s="56" t="str">
        <f aca="false">IF($W153="","",N(INDEX(发票统计!Q$4:Q$1003,$W153)))</f>
        <v/>
      </c>
      <c r="R153" s="56" t="str">
        <f aca="false">IF($W153="","",N(INDEX(发票统计!R$4:R$1003,$W153)))</f>
        <v/>
      </c>
      <c r="S153" s="56" t="str">
        <f aca="false">IF($W153="","",N(INDEX(发票统计!S$4:S$1003,$W153)))</f>
        <v/>
      </c>
      <c r="T153" s="56" t="str">
        <f aca="false">IF($W153="","",SUM(Q$4:Q153)-SUM(R$4:R153)-SUM(S$4:S153))</f>
        <v/>
      </c>
      <c r="U153" s="56" t="str">
        <f aca="false">IF($W153="","",INDEX(发票统计!U$4:U$1003,$W153)&amp;"")</f>
        <v/>
      </c>
      <c r="W153" s="1" t="str">
        <f aca="false">IF($V$3="","",IFERROR(MATCH($V$3&amp;"#"&amp;ROWS(W$4:W153),发票统计!$W$4:$W$1003,0),""))</f>
        <v/>
      </c>
    </row>
    <row r="154" customFormat="false" ht="16.5" hidden="false" customHeight="false" outlineLevel="0" collapsed="false">
      <c r="A154" s="3" t="str">
        <f aca="false">IF($W154="","",INDEX(发票统计!A$4:A$1003,$W154)&amp;"")</f>
        <v/>
      </c>
      <c r="B154" s="3" t="str">
        <f aca="false">IF($W154="","",INDEX(发票统计!B$4:B$1003,$W154)&amp;"")</f>
        <v/>
      </c>
      <c r="C154" s="3" t="str">
        <f aca="false">IF($W154="","",INDEX(发票统计!C$4:C$1003,$W154)&amp;"")</f>
        <v/>
      </c>
      <c r="D154" s="3" t="str">
        <f aca="false">IF($W154="","",INDEX(发票统计!D$4:D$1003,$W154)&amp;"")</f>
        <v/>
      </c>
      <c r="E154" s="56" t="str">
        <f aca="false">IF($W154="","",INDEX(发票统计!E$4:E$1003,$W154)&amp;"")</f>
        <v/>
      </c>
      <c r="F154" s="56" t="str">
        <f aca="false">IF($W154="","",INDEX(发票统计!F$4:F$1003,$W154)&amp;"")</f>
        <v/>
      </c>
      <c r="G154" s="68" t="str">
        <f aca="false">IF($W154="","",IF(INDEX(发票统计!G$4:G$1003,$W154)="","",INDEX(发票统计!G$4:G$1003,$W154)))</f>
        <v/>
      </c>
      <c r="H154" s="56" t="str">
        <f aca="false">IF($W154="","",N(INDEX(发票统计!H$4:H$1003,$W154)))</f>
        <v/>
      </c>
      <c r="I154" s="56" t="str">
        <f aca="false">IF($W154="","",N(INDEX(发票统计!I$4:I$1003,$W154)))</f>
        <v/>
      </c>
      <c r="J154" s="56" t="str">
        <f aca="false">IF($W154="","",N(INDEX(发票统计!J$4:J$1003,$W154)))</f>
        <v/>
      </c>
      <c r="K154" s="56" t="str">
        <f aca="false">IF($W154="","",N(INDEX(发票统计!K$4:K$1003,$W154)))</f>
        <v/>
      </c>
      <c r="L154" s="56" t="str">
        <f aca="false">IF($W154="","",SUM(J$4:J154)-SUM(K$4:K154))</f>
        <v/>
      </c>
      <c r="M154" s="56" t="str">
        <f aca="false">IF($W154="","",N(INDEX(发票统计!M$4:M$1003,$W154)))</f>
        <v/>
      </c>
      <c r="N154" s="56" t="str">
        <f aca="false">IF($W154="","",N(INDEX(发票统计!N$4:N$1003,$W154)))</f>
        <v/>
      </c>
      <c r="O154" s="56" t="str">
        <f aca="false">IF($W154="","",N(INDEX(发票统计!O$4:O$1003,$W154)))</f>
        <v/>
      </c>
      <c r="P154" s="56" t="str">
        <f aca="false">IF($W154="","",SUM(M$4:M154)-SUM(N$4:N154)-SUM(O$4:O154))</f>
        <v/>
      </c>
      <c r="Q154" s="56" t="str">
        <f aca="false">IF($W154="","",N(INDEX(发票统计!Q$4:Q$1003,$W154)))</f>
        <v/>
      </c>
      <c r="R154" s="56" t="str">
        <f aca="false">IF($W154="","",N(INDEX(发票统计!R$4:R$1003,$W154)))</f>
        <v/>
      </c>
      <c r="S154" s="56" t="str">
        <f aca="false">IF($W154="","",N(INDEX(发票统计!S$4:S$1003,$W154)))</f>
        <v/>
      </c>
      <c r="T154" s="56" t="str">
        <f aca="false">IF($W154="","",SUM(Q$4:Q154)-SUM(R$4:R154)-SUM(S$4:S154))</f>
        <v/>
      </c>
      <c r="U154" s="56" t="str">
        <f aca="false">IF($W154="","",INDEX(发票统计!U$4:U$1003,$W154)&amp;"")</f>
        <v/>
      </c>
      <c r="W154" s="1" t="str">
        <f aca="false">IF($V$3="","",IFERROR(MATCH($V$3&amp;"#"&amp;ROWS(W$4:W154),发票统计!$W$4:$W$1003,0),""))</f>
        <v/>
      </c>
    </row>
    <row r="155" customFormat="false" ht="16.5" hidden="false" customHeight="false" outlineLevel="0" collapsed="false">
      <c r="A155" s="3" t="str">
        <f aca="false">IF($W155="","",INDEX(发票统计!A$4:A$1003,$W155)&amp;"")</f>
        <v/>
      </c>
      <c r="B155" s="3" t="str">
        <f aca="false">IF($W155="","",INDEX(发票统计!B$4:B$1003,$W155)&amp;"")</f>
        <v/>
      </c>
      <c r="C155" s="3" t="str">
        <f aca="false">IF($W155="","",INDEX(发票统计!C$4:C$1003,$W155)&amp;"")</f>
        <v/>
      </c>
      <c r="D155" s="3" t="str">
        <f aca="false">IF($W155="","",INDEX(发票统计!D$4:D$1003,$W155)&amp;"")</f>
        <v/>
      </c>
      <c r="E155" s="56" t="str">
        <f aca="false">IF($W155="","",INDEX(发票统计!E$4:E$1003,$W155)&amp;"")</f>
        <v/>
      </c>
      <c r="F155" s="56" t="str">
        <f aca="false">IF($W155="","",INDEX(发票统计!F$4:F$1003,$W155)&amp;"")</f>
        <v/>
      </c>
      <c r="G155" s="68" t="str">
        <f aca="false">IF($W155="","",IF(INDEX(发票统计!G$4:G$1003,$W155)="","",INDEX(发票统计!G$4:G$1003,$W155)))</f>
        <v/>
      </c>
      <c r="H155" s="56" t="str">
        <f aca="false">IF($W155="","",N(INDEX(发票统计!H$4:H$1003,$W155)))</f>
        <v/>
      </c>
      <c r="I155" s="56" t="str">
        <f aca="false">IF($W155="","",N(INDEX(发票统计!I$4:I$1003,$W155)))</f>
        <v/>
      </c>
      <c r="J155" s="56" t="str">
        <f aca="false">IF($W155="","",N(INDEX(发票统计!J$4:J$1003,$W155)))</f>
        <v/>
      </c>
      <c r="K155" s="56" t="str">
        <f aca="false">IF($W155="","",N(INDEX(发票统计!K$4:K$1003,$W155)))</f>
        <v/>
      </c>
      <c r="L155" s="56" t="str">
        <f aca="false">IF($W155="","",SUM(J$4:J155)-SUM(K$4:K155))</f>
        <v/>
      </c>
      <c r="M155" s="56" t="str">
        <f aca="false">IF($W155="","",N(INDEX(发票统计!M$4:M$1003,$W155)))</f>
        <v/>
      </c>
      <c r="N155" s="56" t="str">
        <f aca="false">IF($W155="","",N(INDEX(发票统计!N$4:N$1003,$W155)))</f>
        <v/>
      </c>
      <c r="O155" s="56" t="str">
        <f aca="false">IF($W155="","",N(INDEX(发票统计!O$4:O$1003,$W155)))</f>
        <v/>
      </c>
      <c r="P155" s="56" t="str">
        <f aca="false">IF($W155="","",SUM(M$4:M155)-SUM(N$4:N155)-SUM(O$4:O155))</f>
        <v/>
      </c>
      <c r="Q155" s="56" t="str">
        <f aca="false">IF($W155="","",N(INDEX(发票统计!Q$4:Q$1003,$W155)))</f>
        <v/>
      </c>
      <c r="R155" s="56" t="str">
        <f aca="false">IF($W155="","",N(INDEX(发票统计!R$4:R$1003,$W155)))</f>
        <v/>
      </c>
      <c r="S155" s="56" t="str">
        <f aca="false">IF($W155="","",N(INDEX(发票统计!S$4:S$1003,$W155)))</f>
        <v/>
      </c>
      <c r="T155" s="56" t="str">
        <f aca="false">IF($W155="","",SUM(Q$4:Q155)-SUM(R$4:R155)-SUM(S$4:S155))</f>
        <v/>
      </c>
      <c r="U155" s="56" t="str">
        <f aca="false">IF($W155="","",INDEX(发票统计!U$4:U$1003,$W155)&amp;"")</f>
        <v/>
      </c>
      <c r="W155" s="1" t="str">
        <f aca="false">IF($V$3="","",IFERROR(MATCH($V$3&amp;"#"&amp;ROWS(W$4:W155),发票统计!$W$4:$W$1003,0),""))</f>
        <v/>
      </c>
    </row>
    <row r="156" customFormat="false" ht="16.5" hidden="false" customHeight="false" outlineLevel="0" collapsed="false">
      <c r="A156" s="3" t="str">
        <f aca="false">IF($W156="","",INDEX(发票统计!A$4:A$1003,$W156)&amp;"")</f>
        <v/>
      </c>
      <c r="B156" s="3" t="str">
        <f aca="false">IF($W156="","",INDEX(发票统计!B$4:B$1003,$W156)&amp;"")</f>
        <v/>
      </c>
      <c r="C156" s="3" t="str">
        <f aca="false">IF($W156="","",INDEX(发票统计!C$4:C$1003,$W156)&amp;"")</f>
        <v/>
      </c>
      <c r="D156" s="3" t="str">
        <f aca="false">IF($W156="","",INDEX(发票统计!D$4:D$1003,$W156)&amp;"")</f>
        <v/>
      </c>
      <c r="E156" s="56" t="str">
        <f aca="false">IF($W156="","",INDEX(发票统计!E$4:E$1003,$W156)&amp;"")</f>
        <v/>
      </c>
      <c r="F156" s="56" t="str">
        <f aca="false">IF($W156="","",INDEX(发票统计!F$4:F$1003,$W156)&amp;"")</f>
        <v/>
      </c>
      <c r="G156" s="68" t="str">
        <f aca="false">IF($W156="","",IF(INDEX(发票统计!G$4:G$1003,$W156)="","",INDEX(发票统计!G$4:G$1003,$W156)))</f>
        <v/>
      </c>
      <c r="H156" s="56" t="str">
        <f aca="false">IF($W156="","",N(INDEX(发票统计!H$4:H$1003,$W156)))</f>
        <v/>
      </c>
      <c r="I156" s="56" t="str">
        <f aca="false">IF($W156="","",N(INDEX(发票统计!I$4:I$1003,$W156)))</f>
        <v/>
      </c>
      <c r="J156" s="56" t="str">
        <f aca="false">IF($W156="","",N(INDEX(发票统计!J$4:J$1003,$W156)))</f>
        <v/>
      </c>
      <c r="K156" s="56" t="str">
        <f aca="false">IF($W156="","",N(INDEX(发票统计!K$4:K$1003,$W156)))</f>
        <v/>
      </c>
      <c r="L156" s="56" t="str">
        <f aca="false">IF($W156="","",SUM(J$4:J156)-SUM(K$4:K156))</f>
        <v/>
      </c>
      <c r="M156" s="56" t="str">
        <f aca="false">IF($W156="","",N(INDEX(发票统计!M$4:M$1003,$W156)))</f>
        <v/>
      </c>
      <c r="N156" s="56" t="str">
        <f aca="false">IF($W156="","",N(INDEX(发票统计!N$4:N$1003,$W156)))</f>
        <v/>
      </c>
      <c r="O156" s="56" t="str">
        <f aca="false">IF($W156="","",N(INDEX(发票统计!O$4:O$1003,$W156)))</f>
        <v/>
      </c>
      <c r="P156" s="56" t="str">
        <f aca="false">IF($W156="","",SUM(M$4:M156)-SUM(N$4:N156)-SUM(O$4:O156))</f>
        <v/>
      </c>
      <c r="Q156" s="56" t="str">
        <f aca="false">IF($W156="","",N(INDEX(发票统计!Q$4:Q$1003,$W156)))</f>
        <v/>
      </c>
      <c r="R156" s="56" t="str">
        <f aca="false">IF($W156="","",N(INDEX(发票统计!R$4:R$1003,$W156)))</f>
        <v/>
      </c>
      <c r="S156" s="56" t="str">
        <f aca="false">IF($W156="","",N(INDEX(发票统计!S$4:S$1003,$W156)))</f>
        <v/>
      </c>
      <c r="T156" s="56" t="str">
        <f aca="false">IF($W156="","",SUM(Q$4:Q156)-SUM(R$4:R156)-SUM(S$4:S156))</f>
        <v/>
      </c>
      <c r="U156" s="56" t="str">
        <f aca="false">IF($W156="","",INDEX(发票统计!U$4:U$1003,$W156)&amp;"")</f>
        <v/>
      </c>
      <c r="W156" s="1" t="str">
        <f aca="false">IF($V$3="","",IFERROR(MATCH($V$3&amp;"#"&amp;ROWS(W$4:W156),发票统计!$W$4:$W$1003,0),""))</f>
        <v/>
      </c>
    </row>
    <row r="157" customFormat="false" ht="16.5" hidden="false" customHeight="false" outlineLevel="0" collapsed="false">
      <c r="A157" s="3" t="str">
        <f aca="false">IF($W157="","",INDEX(发票统计!A$4:A$1003,$W157)&amp;"")</f>
        <v/>
      </c>
      <c r="B157" s="3" t="str">
        <f aca="false">IF($W157="","",INDEX(发票统计!B$4:B$1003,$W157)&amp;"")</f>
        <v/>
      </c>
      <c r="C157" s="3" t="str">
        <f aca="false">IF($W157="","",INDEX(发票统计!C$4:C$1003,$W157)&amp;"")</f>
        <v/>
      </c>
      <c r="D157" s="3" t="str">
        <f aca="false">IF($W157="","",INDEX(发票统计!D$4:D$1003,$W157)&amp;"")</f>
        <v/>
      </c>
      <c r="E157" s="56" t="str">
        <f aca="false">IF($W157="","",INDEX(发票统计!E$4:E$1003,$W157)&amp;"")</f>
        <v/>
      </c>
      <c r="F157" s="56" t="str">
        <f aca="false">IF($W157="","",INDEX(发票统计!F$4:F$1003,$W157)&amp;"")</f>
        <v/>
      </c>
      <c r="G157" s="68" t="str">
        <f aca="false">IF($W157="","",IF(INDEX(发票统计!G$4:G$1003,$W157)="","",INDEX(发票统计!G$4:G$1003,$W157)))</f>
        <v/>
      </c>
      <c r="H157" s="56" t="str">
        <f aca="false">IF($W157="","",N(INDEX(发票统计!H$4:H$1003,$W157)))</f>
        <v/>
      </c>
      <c r="I157" s="56" t="str">
        <f aca="false">IF($W157="","",N(INDEX(发票统计!I$4:I$1003,$W157)))</f>
        <v/>
      </c>
      <c r="J157" s="56" t="str">
        <f aca="false">IF($W157="","",N(INDEX(发票统计!J$4:J$1003,$W157)))</f>
        <v/>
      </c>
      <c r="K157" s="56" t="str">
        <f aca="false">IF($W157="","",N(INDEX(发票统计!K$4:K$1003,$W157)))</f>
        <v/>
      </c>
      <c r="L157" s="56" t="str">
        <f aca="false">IF($W157="","",SUM(J$4:J157)-SUM(K$4:K157))</f>
        <v/>
      </c>
      <c r="M157" s="56" t="str">
        <f aca="false">IF($W157="","",N(INDEX(发票统计!M$4:M$1003,$W157)))</f>
        <v/>
      </c>
      <c r="N157" s="56" t="str">
        <f aca="false">IF($W157="","",N(INDEX(发票统计!N$4:N$1003,$W157)))</f>
        <v/>
      </c>
      <c r="O157" s="56" t="str">
        <f aca="false">IF($W157="","",N(INDEX(发票统计!O$4:O$1003,$W157)))</f>
        <v/>
      </c>
      <c r="P157" s="56" t="str">
        <f aca="false">IF($W157="","",SUM(M$4:M157)-SUM(N$4:N157)-SUM(O$4:O157))</f>
        <v/>
      </c>
      <c r="Q157" s="56" t="str">
        <f aca="false">IF($W157="","",N(INDEX(发票统计!Q$4:Q$1003,$W157)))</f>
        <v/>
      </c>
      <c r="R157" s="56" t="str">
        <f aca="false">IF($W157="","",N(INDEX(发票统计!R$4:R$1003,$W157)))</f>
        <v/>
      </c>
      <c r="S157" s="56" t="str">
        <f aca="false">IF($W157="","",N(INDEX(发票统计!S$4:S$1003,$W157)))</f>
        <v/>
      </c>
      <c r="T157" s="56" t="str">
        <f aca="false">IF($W157="","",SUM(Q$4:Q157)-SUM(R$4:R157)-SUM(S$4:S157))</f>
        <v/>
      </c>
      <c r="U157" s="56" t="str">
        <f aca="false">IF($W157="","",INDEX(发票统计!U$4:U$1003,$W157)&amp;"")</f>
        <v/>
      </c>
      <c r="W157" s="1" t="str">
        <f aca="false">IF($V$3="","",IFERROR(MATCH($V$3&amp;"#"&amp;ROWS(W$4:W157),发票统计!$W$4:$W$1003,0),""))</f>
        <v/>
      </c>
    </row>
    <row r="158" customFormat="false" ht="16.5" hidden="false" customHeight="false" outlineLevel="0" collapsed="false">
      <c r="A158" s="3" t="str">
        <f aca="false">IF($W158="","",INDEX(发票统计!A$4:A$1003,$W158)&amp;"")</f>
        <v/>
      </c>
      <c r="B158" s="3" t="str">
        <f aca="false">IF($W158="","",INDEX(发票统计!B$4:B$1003,$W158)&amp;"")</f>
        <v/>
      </c>
      <c r="C158" s="3" t="str">
        <f aca="false">IF($W158="","",INDEX(发票统计!C$4:C$1003,$W158)&amp;"")</f>
        <v/>
      </c>
      <c r="D158" s="3" t="str">
        <f aca="false">IF($W158="","",INDEX(发票统计!D$4:D$1003,$W158)&amp;"")</f>
        <v/>
      </c>
      <c r="E158" s="56" t="str">
        <f aca="false">IF($W158="","",INDEX(发票统计!E$4:E$1003,$W158)&amp;"")</f>
        <v/>
      </c>
      <c r="F158" s="56" t="str">
        <f aca="false">IF($W158="","",INDEX(发票统计!F$4:F$1003,$W158)&amp;"")</f>
        <v/>
      </c>
      <c r="G158" s="68" t="str">
        <f aca="false">IF($W158="","",IF(INDEX(发票统计!G$4:G$1003,$W158)="","",INDEX(发票统计!G$4:G$1003,$W158)))</f>
        <v/>
      </c>
      <c r="H158" s="56" t="str">
        <f aca="false">IF($W158="","",N(INDEX(发票统计!H$4:H$1003,$W158)))</f>
        <v/>
      </c>
      <c r="I158" s="56" t="str">
        <f aca="false">IF($W158="","",N(INDEX(发票统计!I$4:I$1003,$W158)))</f>
        <v/>
      </c>
      <c r="J158" s="56" t="str">
        <f aca="false">IF($W158="","",N(INDEX(发票统计!J$4:J$1003,$W158)))</f>
        <v/>
      </c>
      <c r="K158" s="56" t="str">
        <f aca="false">IF($W158="","",N(INDEX(发票统计!K$4:K$1003,$W158)))</f>
        <v/>
      </c>
      <c r="L158" s="56" t="str">
        <f aca="false">IF($W158="","",SUM(J$4:J158)-SUM(K$4:K158))</f>
        <v/>
      </c>
      <c r="M158" s="56" t="str">
        <f aca="false">IF($W158="","",N(INDEX(发票统计!M$4:M$1003,$W158)))</f>
        <v/>
      </c>
      <c r="N158" s="56" t="str">
        <f aca="false">IF($W158="","",N(INDEX(发票统计!N$4:N$1003,$W158)))</f>
        <v/>
      </c>
      <c r="O158" s="56" t="str">
        <f aca="false">IF($W158="","",N(INDEX(发票统计!O$4:O$1003,$W158)))</f>
        <v/>
      </c>
      <c r="P158" s="56" t="str">
        <f aca="false">IF($W158="","",SUM(M$4:M158)-SUM(N$4:N158)-SUM(O$4:O158))</f>
        <v/>
      </c>
      <c r="Q158" s="56" t="str">
        <f aca="false">IF($W158="","",N(INDEX(发票统计!Q$4:Q$1003,$W158)))</f>
        <v/>
      </c>
      <c r="R158" s="56" t="str">
        <f aca="false">IF($W158="","",N(INDEX(发票统计!R$4:R$1003,$W158)))</f>
        <v/>
      </c>
      <c r="S158" s="56" t="str">
        <f aca="false">IF($W158="","",N(INDEX(发票统计!S$4:S$1003,$W158)))</f>
        <v/>
      </c>
      <c r="T158" s="56" t="str">
        <f aca="false">IF($W158="","",SUM(Q$4:Q158)-SUM(R$4:R158)-SUM(S$4:S158))</f>
        <v/>
      </c>
      <c r="U158" s="56" t="str">
        <f aca="false">IF($W158="","",INDEX(发票统计!U$4:U$1003,$W158)&amp;"")</f>
        <v/>
      </c>
      <c r="W158" s="1" t="str">
        <f aca="false">IF($V$3="","",IFERROR(MATCH($V$3&amp;"#"&amp;ROWS(W$4:W158),发票统计!$W$4:$W$1003,0),""))</f>
        <v/>
      </c>
    </row>
    <row r="159" customFormat="false" ht="16.5" hidden="false" customHeight="false" outlineLevel="0" collapsed="false">
      <c r="A159" s="3" t="str">
        <f aca="false">IF($W159="","",INDEX(发票统计!A$4:A$1003,$W159)&amp;"")</f>
        <v/>
      </c>
      <c r="B159" s="3" t="str">
        <f aca="false">IF($W159="","",INDEX(发票统计!B$4:B$1003,$W159)&amp;"")</f>
        <v/>
      </c>
      <c r="C159" s="3" t="str">
        <f aca="false">IF($W159="","",INDEX(发票统计!C$4:C$1003,$W159)&amp;"")</f>
        <v/>
      </c>
      <c r="D159" s="3" t="str">
        <f aca="false">IF($W159="","",INDEX(发票统计!D$4:D$1003,$W159)&amp;"")</f>
        <v/>
      </c>
      <c r="E159" s="56" t="str">
        <f aca="false">IF($W159="","",INDEX(发票统计!E$4:E$1003,$W159)&amp;"")</f>
        <v/>
      </c>
      <c r="F159" s="56" t="str">
        <f aca="false">IF($W159="","",INDEX(发票统计!F$4:F$1003,$W159)&amp;"")</f>
        <v/>
      </c>
      <c r="G159" s="68" t="str">
        <f aca="false">IF($W159="","",IF(INDEX(发票统计!G$4:G$1003,$W159)="","",INDEX(发票统计!G$4:G$1003,$W159)))</f>
        <v/>
      </c>
      <c r="H159" s="56" t="str">
        <f aca="false">IF($W159="","",N(INDEX(发票统计!H$4:H$1003,$W159)))</f>
        <v/>
      </c>
      <c r="I159" s="56" t="str">
        <f aca="false">IF($W159="","",N(INDEX(发票统计!I$4:I$1003,$W159)))</f>
        <v/>
      </c>
      <c r="J159" s="56" t="str">
        <f aca="false">IF($W159="","",N(INDEX(发票统计!J$4:J$1003,$W159)))</f>
        <v/>
      </c>
      <c r="K159" s="56" t="str">
        <f aca="false">IF($W159="","",N(INDEX(发票统计!K$4:K$1003,$W159)))</f>
        <v/>
      </c>
      <c r="L159" s="56" t="str">
        <f aca="false">IF($W159="","",SUM(J$4:J159)-SUM(K$4:K159))</f>
        <v/>
      </c>
      <c r="M159" s="56" t="str">
        <f aca="false">IF($W159="","",N(INDEX(发票统计!M$4:M$1003,$W159)))</f>
        <v/>
      </c>
      <c r="N159" s="56" t="str">
        <f aca="false">IF($W159="","",N(INDEX(发票统计!N$4:N$1003,$W159)))</f>
        <v/>
      </c>
      <c r="O159" s="56" t="str">
        <f aca="false">IF($W159="","",N(INDEX(发票统计!O$4:O$1003,$W159)))</f>
        <v/>
      </c>
      <c r="P159" s="56" t="str">
        <f aca="false">IF($W159="","",SUM(M$4:M159)-SUM(N$4:N159)-SUM(O$4:O159))</f>
        <v/>
      </c>
      <c r="Q159" s="56" t="str">
        <f aca="false">IF($W159="","",N(INDEX(发票统计!Q$4:Q$1003,$W159)))</f>
        <v/>
      </c>
      <c r="R159" s="56" t="str">
        <f aca="false">IF($W159="","",N(INDEX(发票统计!R$4:R$1003,$W159)))</f>
        <v/>
      </c>
      <c r="S159" s="56" t="str">
        <f aca="false">IF($W159="","",N(INDEX(发票统计!S$4:S$1003,$W159)))</f>
        <v/>
      </c>
      <c r="T159" s="56" t="str">
        <f aca="false">IF($W159="","",SUM(Q$4:Q159)-SUM(R$4:R159)-SUM(S$4:S159))</f>
        <v/>
      </c>
      <c r="U159" s="56" t="str">
        <f aca="false">IF($W159="","",INDEX(发票统计!U$4:U$1003,$W159)&amp;"")</f>
        <v/>
      </c>
      <c r="W159" s="1" t="str">
        <f aca="false">IF($V$3="","",IFERROR(MATCH($V$3&amp;"#"&amp;ROWS(W$4:W159),发票统计!$W$4:$W$1003,0),""))</f>
        <v/>
      </c>
    </row>
    <row r="160" customFormat="false" ht="16.5" hidden="false" customHeight="false" outlineLevel="0" collapsed="false">
      <c r="A160" s="3" t="str">
        <f aca="false">IF($W160="","",INDEX(发票统计!A$4:A$1003,$W160)&amp;"")</f>
        <v/>
      </c>
      <c r="B160" s="3" t="str">
        <f aca="false">IF($W160="","",INDEX(发票统计!B$4:B$1003,$W160)&amp;"")</f>
        <v/>
      </c>
      <c r="C160" s="3" t="str">
        <f aca="false">IF($W160="","",INDEX(发票统计!C$4:C$1003,$W160)&amp;"")</f>
        <v/>
      </c>
      <c r="D160" s="3" t="str">
        <f aca="false">IF($W160="","",INDEX(发票统计!D$4:D$1003,$W160)&amp;"")</f>
        <v/>
      </c>
      <c r="E160" s="56" t="str">
        <f aca="false">IF($W160="","",INDEX(发票统计!E$4:E$1003,$W160)&amp;"")</f>
        <v/>
      </c>
      <c r="F160" s="56" t="str">
        <f aca="false">IF($W160="","",INDEX(发票统计!F$4:F$1003,$W160)&amp;"")</f>
        <v/>
      </c>
      <c r="G160" s="68" t="str">
        <f aca="false">IF($W160="","",IF(INDEX(发票统计!G$4:G$1003,$W160)="","",INDEX(发票统计!G$4:G$1003,$W160)))</f>
        <v/>
      </c>
      <c r="H160" s="56" t="str">
        <f aca="false">IF($W160="","",N(INDEX(发票统计!H$4:H$1003,$W160)))</f>
        <v/>
      </c>
      <c r="I160" s="56" t="str">
        <f aca="false">IF($W160="","",N(INDEX(发票统计!I$4:I$1003,$W160)))</f>
        <v/>
      </c>
      <c r="J160" s="56" t="str">
        <f aca="false">IF($W160="","",N(INDEX(发票统计!J$4:J$1003,$W160)))</f>
        <v/>
      </c>
      <c r="K160" s="56" t="str">
        <f aca="false">IF($W160="","",N(INDEX(发票统计!K$4:K$1003,$W160)))</f>
        <v/>
      </c>
      <c r="L160" s="56" t="str">
        <f aca="false">IF($W160="","",SUM(J$4:J160)-SUM(K$4:K160))</f>
        <v/>
      </c>
      <c r="M160" s="56" t="str">
        <f aca="false">IF($W160="","",N(INDEX(发票统计!M$4:M$1003,$W160)))</f>
        <v/>
      </c>
      <c r="N160" s="56" t="str">
        <f aca="false">IF($W160="","",N(INDEX(发票统计!N$4:N$1003,$W160)))</f>
        <v/>
      </c>
      <c r="O160" s="56" t="str">
        <f aca="false">IF($W160="","",N(INDEX(发票统计!O$4:O$1003,$W160)))</f>
        <v/>
      </c>
      <c r="P160" s="56" t="str">
        <f aca="false">IF($W160="","",SUM(M$4:M160)-SUM(N$4:N160)-SUM(O$4:O160))</f>
        <v/>
      </c>
      <c r="Q160" s="56" t="str">
        <f aca="false">IF($W160="","",N(INDEX(发票统计!Q$4:Q$1003,$W160)))</f>
        <v/>
      </c>
      <c r="R160" s="56" t="str">
        <f aca="false">IF($W160="","",N(INDEX(发票统计!R$4:R$1003,$W160)))</f>
        <v/>
      </c>
      <c r="S160" s="56" t="str">
        <f aca="false">IF($W160="","",N(INDEX(发票统计!S$4:S$1003,$W160)))</f>
        <v/>
      </c>
      <c r="T160" s="56" t="str">
        <f aca="false">IF($W160="","",SUM(Q$4:Q160)-SUM(R$4:R160)-SUM(S$4:S160))</f>
        <v/>
      </c>
      <c r="U160" s="56" t="str">
        <f aca="false">IF($W160="","",INDEX(发票统计!U$4:U$1003,$W160)&amp;"")</f>
        <v/>
      </c>
      <c r="W160" s="1" t="str">
        <f aca="false">IF($V$3="","",IFERROR(MATCH($V$3&amp;"#"&amp;ROWS(W$4:W160),发票统计!$W$4:$W$1003,0),""))</f>
        <v/>
      </c>
    </row>
    <row r="161" customFormat="false" ht="16.5" hidden="false" customHeight="false" outlineLevel="0" collapsed="false">
      <c r="A161" s="3" t="str">
        <f aca="false">IF($W161="","",INDEX(发票统计!A$4:A$1003,$W161)&amp;"")</f>
        <v/>
      </c>
      <c r="B161" s="3" t="str">
        <f aca="false">IF($W161="","",INDEX(发票统计!B$4:B$1003,$W161)&amp;"")</f>
        <v/>
      </c>
      <c r="C161" s="3" t="str">
        <f aca="false">IF($W161="","",INDEX(发票统计!C$4:C$1003,$W161)&amp;"")</f>
        <v/>
      </c>
      <c r="D161" s="3" t="str">
        <f aca="false">IF($W161="","",INDEX(发票统计!D$4:D$1003,$W161)&amp;"")</f>
        <v/>
      </c>
      <c r="E161" s="56" t="str">
        <f aca="false">IF($W161="","",INDEX(发票统计!E$4:E$1003,$W161)&amp;"")</f>
        <v/>
      </c>
      <c r="F161" s="56" t="str">
        <f aca="false">IF($W161="","",INDEX(发票统计!F$4:F$1003,$W161)&amp;"")</f>
        <v/>
      </c>
      <c r="G161" s="68" t="str">
        <f aca="false">IF($W161="","",IF(INDEX(发票统计!G$4:G$1003,$W161)="","",INDEX(发票统计!G$4:G$1003,$W161)))</f>
        <v/>
      </c>
      <c r="H161" s="56" t="str">
        <f aca="false">IF($W161="","",N(INDEX(发票统计!H$4:H$1003,$W161)))</f>
        <v/>
      </c>
      <c r="I161" s="56" t="str">
        <f aca="false">IF($W161="","",N(INDEX(发票统计!I$4:I$1003,$W161)))</f>
        <v/>
      </c>
      <c r="J161" s="56" t="str">
        <f aca="false">IF($W161="","",N(INDEX(发票统计!J$4:J$1003,$W161)))</f>
        <v/>
      </c>
      <c r="K161" s="56" t="str">
        <f aca="false">IF($W161="","",N(INDEX(发票统计!K$4:K$1003,$W161)))</f>
        <v/>
      </c>
      <c r="L161" s="56" t="str">
        <f aca="false">IF($W161="","",SUM(J$4:J161)-SUM(K$4:K161))</f>
        <v/>
      </c>
      <c r="M161" s="56" t="str">
        <f aca="false">IF($W161="","",N(INDEX(发票统计!M$4:M$1003,$W161)))</f>
        <v/>
      </c>
      <c r="N161" s="56" t="str">
        <f aca="false">IF($W161="","",N(INDEX(发票统计!N$4:N$1003,$W161)))</f>
        <v/>
      </c>
      <c r="O161" s="56" t="str">
        <f aca="false">IF($W161="","",N(INDEX(发票统计!O$4:O$1003,$W161)))</f>
        <v/>
      </c>
      <c r="P161" s="56" t="str">
        <f aca="false">IF($W161="","",SUM(M$4:M161)-SUM(N$4:N161)-SUM(O$4:O161))</f>
        <v/>
      </c>
      <c r="Q161" s="56" t="str">
        <f aca="false">IF($W161="","",N(INDEX(发票统计!Q$4:Q$1003,$W161)))</f>
        <v/>
      </c>
      <c r="R161" s="56" t="str">
        <f aca="false">IF($W161="","",N(INDEX(发票统计!R$4:R$1003,$W161)))</f>
        <v/>
      </c>
      <c r="S161" s="56" t="str">
        <f aca="false">IF($W161="","",N(INDEX(发票统计!S$4:S$1003,$W161)))</f>
        <v/>
      </c>
      <c r="T161" s="56" t="str">
        <f aca="false">IF($W161="","",SUM(Q$4:Q161)-SUM(R$4:R161)-SUM(S$4:S161))</f>
        <v/>
      </c>
      <c r="U161" s="56" t="str">
        <f aca="false">IF($W161="","",INDEX(发票统计!U$4:U$1003,$W161)&amp;"")</f>
        <v/>
      </c>
      <c r="W161" s="1" t="str">
        <f aca="false">IF($V$3="","",IFERROR(MATCH($V$3&amp;"#"&amp;ROWS(W$4:W161),发票统计!$W$4:$W$1003,0),""))</f>
        <v/>
      </c>
    </row>
    <row r="162" customFormat="false" ht="16.5" hidden="false" customHeight="false" outlineLevel="0" collapsed="false">
      <c r="A162" s="3" t="str">
        <f aca="false">IF($W162="","",INDEX(发票统计!A$4:A$1003,$W162)&amp;"")</f>
        <v/>
      </c>
      <c r="B162" s="3" t="str">
        <f aca="false">IF($W162="","",INDEX(发票统计!B$4:B$1003,$W162)&amp;"")</f>
        <v/>
      </c>
      <c r="C162" s="3" t="str">
        <f aca="false">IF($W162="","",INDEX(发票统计!C$4:C$1003,$W162)&amp;"")</f>
        <v/>
      </c>
      <c r="D162" s="3" t="str">
        <f aca="false">IF($W162="","",INDEX(发票统计!D$4:D$1003,$W162)&amp;"")</f>
        <v/>
      </c>
      <c r="E162" s="56" t="str">
        <f aca="false">IF($W162="","",INDEX(发票统计!E$4:E$1003,$W162)&amp;"")</f>
        <v/>
      </c>
      <c r="F162" s="56" t="str">
        <f aca="false">IF($W162="","",INDEX(发票统计!F$4:F$1003,$W162)&amp;"")</f>
        <v/>
      </c>
      <c r="G162" s="68" t="str">
        <f aca="false">IF($W162="","",IF(INDEX(发票统计!G$4:G$1003,$W162)="","",INDEX(发票统计!G$4:G$1003,$W162)))</f>
        <v/>
      </c>
      <c r="H162" s="56" t="str">
        <f aca="false">IF($W162="","",N(INDEX(发票统计!H$4:H$1003,$W162)))</f>
        <v/>
      </c>
      <c r="I162" s="56" t="str">
        <f aca="false">IF($W162="","",N(INDEX(发票统计!I$4:I$1003,$W162)))</f>
        <v/>
      </c>
      <c r="J162" s="56" t="str">
        <f aca="false">IF($W162="","",N(INDEX(发票统计!J$4:J$1003,$W162)))</f>
        <v/>
      </c>
      <c r="K162" s="56" t="str">
        <f aca="false">IF($W162="","",N(INDEX(发票统计!K$4:K$1003,$W162)))</f>
        <v/>
      </c>
      <c r="L162" s="56" t="str">
        <f aca="false">IF($W162="","",SUM(J$4:J162)-SUM(K$4:K162))</f>
        <v/>
      </c>
      <c r="M162" s="56" t="str">
        <f aca="false">IF($W162="","",N(INDEX(发票统计!M$4:M$1003,$W162)))</f>
        <v/>
      </c>
      <c r="N162" s="56" t="str">
        <f aca="false">IF($W162="","",N(INDEX(发票统计!N$4:N$1003,$W162)))</f>
        <v/>
      </c>
      <c r="O162" s="56" t="str">
        <f aca="false">IF($W162="","",N(INDEX(发票统计!O$4:O$1003,$W162)))</f>
        <v/>
      </c>
      <c r="P162" s="56" t="str">
        <f aca="false">IF($W162="","",SUM(M$4:M162)-SUM(N$4:N162)-SUM(O$4:O162))</f>
        <v/>
      </c>
      <c r="Q162" s="56" t="str">
        <f aca="false">IF($W162="","",N(INDEX(发票统计!Q$4:Q$1003,$W162)))</f>
        <v/>
      </c>
      <c r="R162" s="56" t="str">
        <f aca="false">IF($W162="","",N(INDEX(发票统计!R$4:R$1003,$W162)))</f>
        <v/>
      </c>
      <c r="S162" s="56" t="str">
        <f aca="false">IF($W162="","",N(INDEX(发票统计!S$4:S$1003,$W162)))</f>
        <v/>
      </c>
      <c r="T162" s="56" t="str">
        <f aca="false">IF($W162="","",SUM(Q$4:Q162)-SUM(R$4:R162)-SUM(S$4:S162))</f>
        <v/>
      </c>
      <c r="U162" s="56" t="str">
        <f aca="false">IF($W162="","",INDEX(发票统计!U$4:U$1003,$W162)&amp;"")</f>
        <v/>
      </c>
      <c r="W162" s="1" t="str">
        <f aca="false">IF($V$3="","",IFERROR(MATCH($V$3&amp;"#"&amp;ROWS(W$4:W162),发票统计!$W$4:$W$1003,0),""))</f>
        <v/>
      </c>
    </row>
    <row r="163" customFormat="false" ht="16.5" hidden="false" customHeight="false" outlineLevel="0" collapsed="false">
      <c r="A163" s="3" t="str">
        <f aca="false">IF($W163="","",INDEX(发票统计!A$4:A$1003,$W163)&amp;"")</f>
        <v/>
      </c>
      <c r="B163" s="3" t="str">
        <f aca="false">IF($W163="","",INDEX(发票统计!B$4:B$1003,$W163)&amp;"")</f>
        <v/>
      </c>
      <c r="C163" s="3" t="str">
        <f aca="false">IF($W163="","",INDEX(发票统计!C$4:C$1003,$W163)&amp;"")</f>
        <v/>
      </c>
      <c r="D163" s="3" t="str">
        <f aca="false">IF($W163="","",INDEX(发票统计!D$4:D$1003,$W163)&amp;"")</f>
        <v/>
      </c>
      <c r="E163" s="56" t="str">
        <f aca="false">IF($W163="","",INDEX(发票统计!E$4:E$1003,$W163)&amp;"")</f>
        <v/>
      </c>
      <c r="F163" s="56" t="str">
        <f aca="false">IF($W163="","",INDEX(发票统计!F$4:F$1003,$W163)&amp;"")</f>
        <v/>
      </c>
      <c r="G163" s="68" t="str">
        <f aca="false">IF($W163="","",IF(INDEX(发票统计!G$4:G$1003,$W163)="","",INDEX(发票统计!G$4:G$1003,$W163)))</f>
        <v/>
      </c>
      <c r="H163" s="56" t="str">
        <f aca="false">IF($W163="","",N(INDEX(发票统计!H$4:H$1003,$W163)))</f>
        <v/>
      </c>
      <c r="I163" s="56" t="str">
        <f aca="false">IF($W163="","",N(INDEX(发票统计!I$4:I$1003,$W163)))</f>
        <v/>
      </c>
      <c r="J163" s="56" t="str">
        <f aca="false">IF($W163="","",N(INDEX(发票统计!J$4:J$1003,$W163)))</f>
        <v/>
      </c>
      <c r="K163" s="56" t="str">
        <f aca="false">IF($W163="","",N(INDEX(发票统计!K$4:K$1003,$W163)))</f>
        <v/>
      </c>
      <c r="L163" s="56" t="str">
        <f aca="false">IF($W163="","",SUM(J$4:J163)-SUM(K$4:K163))</f>
        <v/>
      </c>
      <c r="M163" s="56" t="str">
        <f aca="false">IF($W163="","",N(INDEX(发票统计!M$4:M$1003,$W163)))</f>
        <v/>
      </c>
      <c r="N163" s="56" t="str">
        <f aca="false">IF($W163="","",N(INDEX(发票统计!N$4:N$1003,$W163)))</f>
        <v/>
      </c>
      <c r="O163" s="56" t="str">
        <f aca="false">IF($W163="","",N(INDEX(发票统计!O$4:O$1003,$W163)))</f>
        <v/>
      </c>
      <c r="P163" s="56" t="str">
        <f aca="false">IF($W163="","",SUM(M$4:M163)-SUM(N$4:N163)-SUM(O$4:O163))</f>
        <v/>
      </c>
      <c r="Q163" s="56" t="str">
        <f aca="false">IF($W163="","",N(INDEX(发票统计!Q$4:Q$1003,$W163)))</f>
        <v/>
      </c>
      <c r="R163" s="56" t="str">
        <f aca="false">IF($W163="","",N(INDEX(发票统计!R$4:R$1003,$W163)))</f>
        <v/>
      </c>
      <c r="S163" s="56" t="str">
        <f aca="false">IF($W163="","",N(INDEX(发票统计!S$4:S$1003,$W163)))</f>
        <v/>
      </c>
      <c r="T163" s="56" t="str">
        <f aca="false">IF($W163="","",SUM(Q$4:Q163)-SUM(R$4:R163)-SUM(S$4:S163))</f>
        <v/>
      </c>
      <c r="U163" s="56" t="str">
        <f aca="false">IF($W163="","",INDEX(发票统计!U$4:U$1003,$W163)&amp;"")</f>
        <v/>
      </c>
      <c r="W163" s="1" t="str">
        <f aca="false">IF($V$3="","",IFERROR(MATCH($V$3&amp;"#"&amp;ROWS(W$4:W163),发票统计!$W$4:$W$1003,0),""))</f>
        <v/>
      </c>
    </row>
    <row r="164" customFormat="false" ht="16.5" hidden="false" customHeight="false" outlineLevel="0" collapsed="false">
      <c r="A164" s="3" t="str">
        <f aca="false">IF($W164="","",INDEX(发票统计!A$4:A$1003,$W164)&amp;"")</f>
        <v/>
      </c>
      <c r="B164" s="3" t="str">
        <f aca="false">IF($W164="","",INDEX(发票统计!B$4:B$1003,$W164)&amp;"")</f>
        <v/>
      </c>
      <c r="C164" s="3" t="str">
        <f aca="false">IF($W164="","",INDEX(发票统计!C$4:C$1003,$W164)&amp;"")</f>
        <v/>
      </c>
      <c r="D164" s="3" t="str">
        <f aca="false">IF($W164="","",INDEX(发票统计!D$4:D$1003,$W164)&amp;"")</f>
        <v/>
      </c>
      <c r="E164" s="56" t="str">
        <f aca="false">IF($W164="","",INDEX(发票统计!E$4:E$1003,$W164)&amp;"")</f>
        <v/>
      </c>
      <c r="F164" s="56" t="str">
        <f aca="false">IF($W164="","",INDEX(发票统计!F$4:F$1003,$W164)&amp;"")</f>
        <v/>
      </c>
      <c r="G164" s="68" t="str">
        <f aca="false">IF($W164="","",IF(INDEX(发票统计!G$4:G$1003,$W164)="","",INDEX(发票统计!G$4:G$1003,$W164)))</f>
        <v/>
      </c>
      <c r="H164" s="56" t="str">
        <f aca="false">IF($W164="","",N(INDEX(发票统计!H$4:H$1003,$W164)))</f>
        <v/>
      </c>
      <c r="I164" s="56" t="str">
        <f aca="false">IF($W164="","",N(INDEX(发票统计!I$4:I$1003,$W164)))</f>
        <v/>
      </c>
      <c r="J164" s="56" t="str">
        <f aca="false">IF($W164="","",N(INDEX(发票统计!J$4:J$1003,$W164)))</f>
        <v/>
      </c>
      <c r="K164" s="56" t="str">
        <f aca="false">IF($W164="","",N(INDEX(发票统计!K$4:K$1003,$W164)))</f>
        <v/>
      </c>
      <c r="L164" s="56" t="str">
        <f aca="false">IF($W164="","",SUM(J$4:J164)-SUM(K$4:K164))</f>
        <v/>
      </c>
      <c r="M164" s="56" t="str">
        <f aca="false">IF($W164="","",N(INDEX(发票统计!M$4:M$1003,$W164)))</f>
        <v/>
      </c>
      <c r="N164" s="56" t="str">
        <f aca="false">IF($W164="","",N(INDEX(发票统计!N$4:N$1003,$W164)))</f>
        <v/>
      </c>
      <c r="O164" s="56" t="str">
        <f aca="false">IF($W164="","",N(INDEX(发票统计!O$4:O$1003,$W164)))</f>
        <v/>
      </c>
      <c r="P164" s="56" t="str">
        <f aca="false">IF($W164="","",SUM(M$4:M164)-SUM(N$4:N164)-SUM(O$4:O164))</f>
        <v/>
      </c>
      <c r="Q164" s="56" t="str">
        <f aca="false">IF($W164="","",N(INDEX(发票统计!Q$4:Q$1003,$W164)))</f>
        <v/>
      </c>
      <c r="R164" s="56" t="str">
        <f aca="false">IF($W164="","",N(INDEX(发票统计!R$4:R$1003,$W164)))</f>
        <v/>
      </c>
      <c r="S164" s="56" t="str">
        <f aca="false">IF($W164="","",N(INDEX(发票统计!S$4:S$1003,$W164)))</f>
        <v/>
      </c>
      <c r="T164" s="56" t="str">
        <f aca="false">IF($W164="","",SUM(Q$4:Q164)-SUM(R$4:R164)-SUM(S$4:S164))</f>
        <v/>
      </c>
      <c r="U164" s="56" t="str">
        <f aca="false">IF($W164="","",INDEX(发票统计!U$4:U$1003,$W164)&amp;"")</f>
        <v/>
      </c>
      <c r="W164" s="1" t="str">
        <f aca="false">IF($V$3="","",IFERROR(MATCH($V$3&amp;"#"&amp;ROWS(W$4:W164),发票统计!$W$4:$W$1003,0),""))</f>
        <v/>
      </c>
    </row>
    <row r="165" customFormat="false" ht="16.5" hidden="false" customHeight="false" outlineLevel="0" collapsed="false">
      <c r="A165" s="3" t="str">
        <f aca="false">IF($W165="","",INDEX(发票统计!A$4:A$1003,$W165)&amp;"")</f>
        <v/>
      </c>
      <c r="B165" s="3" t="str">
        <f aca="false">IF($W165="","",INDEX(发票统计!B$4:B$1003,$W165)&amp;"")</f>
        <v/>
      </c>
      <c r="C165" s="3" t="str">
        <f aca="false">IF($W165="","",INDEX(发票统计!C$4:C$1003,$W165)&amp;"")</f>
        <v/>
      </c>
      <c r="D165" s="3" t="str">
        <f aca="false">IF($W165="","",INDEX(发票统计!D$4:D$1003,$W165)&amp;"")</f>
        <v/>
      </c>
      <c r="E165" s="56" t="str">
        <f aca="false">IF($W165="","",INDEX(发票统计!E$4:E$1003,$W165)&amp;"")</f>
        <v/>
      </c>
      <c r="F165" s="56" t="str">
        <f aca="false">IF($W165="","",INDEX(发票统计!F$4:F$1003,$W165)&amp;"")</f>
        <v/>
      </c>
      <c r="G165" s="68" t="str">
        <f aca="false">IF($W165="","",IF(INDEX(发票统计!G$4:G$1003,$W165)="","",INDEX(发票统计!G$4:G$1003,$W165)))</f>
        <v/>
      </c>
      <c r="H165" s="56" t="str">
        <f aca="false">IF($W165="","",N(INDEX(发票统计!H$4:H$1003,$W165)))</f>
        <v/>
      </c>
      <c r="I165" s="56" t="str">
        <f aca="false">IF($W165="","",N(INDEX(发票统计!I$4:I$1003,$W165)))</f>
        <v/>
      </c>
      <c r="J165" s="56" t="str">
        <f aca="false">IF($W165="","",N(INDEX(发票统计!J$4:J$1003,$W165)))</f>
        <v/>
      </c>
      <c r="K165" s="56" t="str">
        <f aca="false">IF($W165="","",N(INDEX(发票统计!K$4:K$1003,$W165)))</f>
        <v/>
      </c>
      <c r="L165" s="56" t="str">
        <f aca="false">IF($W165="","",SUM(J$4:J165)-SUM(K$4:K165))</f>
        <v/>
      </c>
      <c r="M165" s="56" t="str">
        <f aca="false">IF($W165="","",N(INDEX(发票统计!M$4:M$1003,$W165)))</f>
        <v/>
      </c>
      <c r="N165" s="56" t="str">
        <f aca="false">IF($W165="","",N(INDEX(发票统计!N$4:N$1003,$W165)))</f>
        <v/>
      </c>
      <c r="O165" s="56" t="str">
        <f aca="false">IF($W165="","",N(INDEX(发票统计!O$4:O$1003,$W165)))</f>
        <v/>
      </c>
      <c r="P165" s="56" t="str">
        <f aca="false">IF($W165="","",SUM(M$4:M165)-SUM(N$4:N165)-SUM(O$4:O165))</f>
        <v/>
      </c>
      <c r="Q165" s="56" t="str">
        <f aca="false">IF($W165="","",N(INDEX(发票统计!Q$4:Q$1003,$W165)))</f>
        <v/>
      </c>
      <c r="R165" s="56" t="str">
        <f aca="false">IF($W165="","",N(INDEX(发票统计!R$4:R$1003,$W165)))</f>
        <v/>
      </c>
      <c r="S165" s="56" t="str">
        <f aca="false">IF($W165="","",N(INDEX(发票统计!S$4:S$1003,$W165)))</f>
        <v/>
      </c>
      <c r="T165" s="56" t="str">
        <f aca="false">IF($W165="","",SUM(Q$4:Q165)-SUM(R$4:R165)-SUM(S$4:S165))</f>
        <v/>
      </c>
      <c r="U165" s="56" t="str">
        <f aca="false">IF($W165="","",INDEX(发票统计!U$4:U$1003,$W165)&amp;"")</f>
        <v/>
      </c>
      <c r="W165" s="1" t="str">
        <f aca="false">IF($V$3="","",IFERROR(MATCH($V$3&amp;"#"&amp;ROWS(W$4:W165),发票统计!$W$4:$W$1003,0),""))</f>
        <v/>
      </c>
    </row>
    <row r="166" customFormat="false" ht="16.5" hidden="false" customHeight="false" outlineLevel="0" collapsed="false">
      <c r="A166" s="3" t="str">
        <f aca="false">IF($W166="","",INDEX(发票统计!A$4:A$1003,$W166)&amp;"")</f>
        <v/>
      </c>
      <c r="B166" s="3" t="str">
        <f aca="false">IF($W166="","",INDEX(发票统计!B$4:B$1003,$W166)&amp;"")</f>
        <v/>
      </c>
      <c r="C166" s="3" t="str">
        <f aca="false">IF($W166="","",INDEX(发票统计!C$4:C$1003,$W166)&amp;"")</f>
        <v/>
      </c>
      <c r="D166" s="3" t="str">
        <f aca="false">IF($W166="","",INDEX(发票统计!D$4:D$1003,$W166)&amp;"")</f>
        <v/>
      </c>
      <c r="E166" s="56" t="str">
        <f aca="false">IF($W166="","",INDEX(发票统计!E$4:E$1003,$W166)&amp;"")</f>
        <v/>
      </c>
      <c r="F166" s="56" t="str">
        <f aca="false">IF($W166="","",INDEX(发票统计!F$4:F$1003,$W166)&amp;"")</f>
        <v/>
      </c>
      <c r="G166" s="68" t="str">
        <f aca="false">IF($W166="","",IF(INDEX(发票统计!G$4:G$1003,$W166)="","",INDEX(发票统计!G$4:G$1003,$W166)))</f>
        <v/>
      </c>
      <c r="H166" s="56" t="str">
        <f aca="false">IF($W166="","",N(INDEX(发票统计!H$4:H$1003,$W166)))</f>
        <v/>
      </c>
      <c r="I166" s="56" t="str">
        <f aca="false">IF($W166="","",N(INDEX(发票统计!I$4:I$1003,$W166)))</f>
        <v/>
      </c>
      <c r="J166" s="56" t="str">
        <f aca="false">IF($W166="","",N(INDEX(发票统计!J$4:J$1003,$W166)))</f>
        <v/>
      </c>
      <c r="K166" s="56" t="str">
        <f aca="false">IF($W166="","",N(INDEX(发票统计!K$4:K$1003,$W166)))</f>
        <v/>
      </c>
      <c r="L166" s="56" t="str">
        <f aca="false">IF($W166="","",SUM(J$4:J166)-SUM(K$4:K166))</f>
        <v/>
      </c>
      <c r="M166" s="56" t="str">
        <f aca="false">IF($W166="","",N(INDEX(发票统计!M$4:M$1003,$W166)))</f>
        <v/>
      </c>
      <c r="N166" s="56" t="str">
        <f aca="false">IF($W166="","",N(INDEX(发票统计!N$4:N$1003,$W166)))</f>
        <v/>
      </c>
      <c r="O166" s="56" t="str">
        <f aca="false">IF($W166="","",N(INDEX(发票统计!O$4:O$1003,$W166)))</f>
        <v/>
      </c>
      <c r="P166" s="56" t="str">
        <f aca="false">IF($W166="","",SUM(M$4:M166)-SUM(N$4:N166)-SUM(O$4:O166))</f>
        <v/>
      </c>
      <c r="Q166" s="56" t="str">
        <f aca="false">IF($W166="","",N(INDEX(发票统计!Q$4:Q$1003,$W166)))</f>
        <v/>
      </c>
      <c r="R166" s="56" t="str">
        <f aca="false">IF($W166="","",N(INDEX(发票统计!R$4:R$1003,$W166)))</f>
        <v/>
      </c>
      <c r="S166" s="56" t="str">
        <f aca="false">IF($W166="","",N(INDEX(发票统计!S$4:S$1003,$W166)))</f>
        <v/>
      </c>
      <c r="T166" s="56" t="str">
        <f aca="false">IF($W166="","",SUM(Q$4:Q166)-SUM(R$4:R166)-SUM(S$4:S166))</f>
        <v/>
      </c>
      <c r="U166" s="56" t="str">
        <f aca="false">IF($W166="","",INDEX(发票统计!U$4:U$1003,$W166)&amp;"")</f>
        <v/>
      </c>
      <c r="W166" s="1" t="str">
        <f aca="false">IF($V$3="","",IFERROR(MATCH($V$3&amp;"#"&amp;ROWS(W$4:W166),发票统计!$W$4:$W$1003,0),""))</f>
        <v/>
      </c>
    </row>
    <row r="167" customFormat="false" ht="16.5" hidden="false" customHeight="false" outlineLevel="0" collapsed="false">
      <c r="A167" s="3" t="str">
        <f aca="false">IF($W167="","",INDEX(发票统计!A$4:A$1003,$W167)&amp;"")</f>
        <v/>
      </c>
      <c r="B167" s="3" t="str">
        <f aca="false">IF($W167="","",INDEX(发票统计!B$4:B$1003,$W167)&amp;"")</f>
        <v/>
      </c>
      <c r="C167" s="3" t="str">
        <f aca="false">IF($W167="","",INDEX(发票统计!C$4:C$1003,$W167)&amp;"")</f>
        <v/>
      </c>
      <c r="D167" s="3" t="str">
        <f aca="false">IF($W167="","",INDEX(发票统计!D$4:D$1003,$W167)&amp;"")</f>
        <v/>
      </c>
      <c r="E167" s="56" t="str">
        <f aca="false">IF($W167="","",INDEX(发票统计!E$4:E$1003,$W167)&amp;"")</f>
        <v/>
      </c>
      <c r="F167" s="56" t="str">
        <f aca="false">IF($W167="","",INDEX(发票统计!F$4:F$1003,$W167)&amp;"")</f>
        <v/>
      </c>
      <c r="G167" s="68" t="str">
        <f aca="false">IF($W167="","",IF(INDEX(发票统计!G$4:G$1003,$W167)="","",INDEX(发票统计!G$4:G$1003,$W167)))</f>
        <v/>
      </c>
      <c r="H167" s="56" t="str">
        <f aca="false">IF($W167="","",N(INDEX(发票统计!H$4:H$1003,$W167)))</f>
        <v/>
      </c>
      <c r="I167" s="56" t="str">
        <f aca="false">IF($W167="","",N(INDEX(发票统计!I$4:I$1003,$W167)))</f>
        <v/>
      </c>
      <c r="J167" s="56" t="str">
        <f aca="false">IF($W167="","",N(INDEX(发票统计!J$4:J$1003,$W167)))</f>
        <v/>
      </c>
      <c r="K167" s="56" t="str">
        <f aca="false">IF($W167="","",N(INDEX(发票统计!K$4:K$1003,$W167)))</f>
        <v/>
      </c>
      <c r="L167" s="56" t="str">
        <f aca="false">IF($W167="","",SUM(J$4:J167)-SUM(K$4:K167))</f>
        <v/>
      </c>
      <c r="M167" s="56" t="str">
        <f aca="false">IF($W167="","",N(INDEX(发票统计!M$4:M$1003,$W167)))</f>
        <v/>
      </c>
      <c r="N167" s="56" t="str">
        <f aca="false">IF($W167="","",N(INDEX(发票统计!N$4:N$1003,$W167)))</f>
        <v/>
      </c>
      <c r="O167" s="56" t="str">
        <f aca="false">IF($W167="","",N(INDEX(发票统计!O$4:O$1003,$W167)))</f>
        <v/>
      </c>
      <c r="P167" s="56" t="str">
        <f aca="false">IF($W167="","",SUM(M$4:M167)-SUM(N$4:N167)-SUM(O$4:O167))</f>
        <v/>
      </c>
      <c r="Q167" s="56" t="str">
        <f aca="false">IF($W167="","",N(INDEX(发票统计!Q$4:Q$1003,$W167)))</f>
        <v/>
      </c>
      <c r="R167" s="56" t="str">
        <f aca="false">IF($W167="","",N(INDEX(发票统计!R$4:R$1003,$W167)))</f>
        <v/>
      </c>
      <c r="S167" s="56" t="str">
        <f aca="false">IF($W167="","",N(INDEX(发票统计!S$4:S$1003,$W167)))</f>
        <v/>
      </c>
      <c r="T167" s="56" t="str">
        <f aca="false">IF($W167="","",SUM(Q$4:Q167)-SUM(R$4:R167)-SUM(S$4:S167))</f>
        <v/>
      </c>
      <c r="U167" s="56" t="str">
        <f aca="false">IF($W167="","",INDEX(发票统计!U$4:U$1003,$W167)&amp;"")</f>
        <v/>
      </c>
      <c r="W167" s="1" t="str">
        <f aca="false">IF($V$3="","",IFERROR(MATCH($V$3&amp;"#"&amp;ROWS(W$4:W167),发票统计!$W$4:$W$1003,0),""))</f>
        <v/>
      </c>
    </row>
    <row r="168" customFormat="false" ht="16.5" hidden="false" customHeight="false" outlineLevel="0" collapsed="false">
      <c r="A168" s="3" t="str">
        <f aca="false">IF($W168="","",INDEX(发票统计!A$4:A$1003,$W168)&amp;"")</f>
        <v/>
      </c>
      <c r="B168" s="3" t="str">
        <f aca="false">IF($W168="","",INDEX(发票统计!B$4:B$1003,$W168)&amp;"")</f>
        <v/>
      </c>
      <c r="C168" s="3" t="str">
        <f aca="false">IF($W168="","",INDEX(发票统计!C$4:C$1003,$W168)&amp;"")</f>
        <v/>
      </c>
      <c r="D168" s="3" t="str">
        <f aca="false">IF($W168="","",INDEX(发票统计!D$4:D$1003,$W168)&amp;"")</f>
        <v/>
      </c>
      <c r="E168" s="56" t="str">
        <f aca="false">IF($W168="","",INDEX(发票统计!E$4:E$1003,$W168)&amp;"")</f>
        <v/>
      </c>
      <c r="F168" s="56" t="str">
        <f aca="false">IF($W168="","",INDEX(发票统计!F$4:F$1003,$W168)&amp;"")</f>
        <v/>
      </c>
      <c r="G168" s="68" t="str">
        <f aca="false">IF($W168="","",IF(INDEX(发票统计!G$4:G$1003,$W168)="","",INDEX(发票统计!G$4:G$1003,$W168)))</f>
        <v/>
      </c>
      <c r="H168" s="56" t="str">
        <f aca="false">IF($W168="","",N(INDEX(发票统计!H$4:H$1003,$W168)))</f>
        <v/>
      </c>
      <c r="I168" s="56" t="str">
        <f aca="false">IF($W168="","",N(INDEX(发票统计!I$4:I$1003,$W168)))</f>
        <v/>
      </c>
      <c r="J168" s="56" t="str">
        <f aca="false">IF($W168="","",N(INDEX(发票统计!J$4:J$1003,$W168)))</f>
        <v/>
      </c>
      <c r="K168" s="56" t="str">
        <f aca="false">IF($W168="","",N(INDEX(发票统计!K$4:K$1003,$W168)))</f>
        <v/>
      </c>
      <c r="L168" s="56" t="str">
        <f aca="false">IF($W168="","",SUM(J$4:J168)-SUM(K$4:K168))</f>
        <v/>
      </c>
      <c r="M168" s="56" t="str">
        <f aca="false">IF($W168="","",N(INDEX(发票统计!M$4:M$1003,$W168)))</f>
        <v/>
      </c>
      <c r="N168" s="56" t="str">
        <f aca="false">IF($W168="","",N(INDEX(发票统计!N$4:N$1003,$W168)))</f>
        <v/>
      </c>
      <c r="O168" s="56" t="str">
        <f aca="false">IF($W168="","",N(INDEX(发票统计!O$4:O$1003,$W168)))</f>
        <v/>
      </c>
      <c r="P168" s="56" t="str">
        <f aca="false">IF($W168="","",SUM(M$4:M168)-SUM(N$4:N168)-SUM(O$4:O168))</f>
        <v/>
      </c>
      <c r="Q168" s="56" t="str">
        <f aca="false">IF($W168="","",N(INDEX(发票统计!Q$4:Q$1003,$W168)))</f>
        <v/>
      </c>
      <c r="R168" s="56" t="str">
        <f aca="false">IF($W168="","",N(INDEX(发票统计!R$4:R$1003,$W168)))</f>
        <v/>
      </c>
      <c r="S168" s="56" t="str">
        <f aca="false">IF($W168="","",N(INDEX(发票统计!S$4:S$1003,$W168)))</f>
        <v/>
      </c>
      <c r="T168" s="56" t="str">
        <f aca="false">IF($W168="","",SUM(Q$4:Q168)-SUM(R$4:R168)-SUM(S$4:S168))</f>
        <v/>
      </c>
      <c r="U168" s="56" t="str">
        <f aca="false">IF($W168="","",INDEX(发票统计!U$4:U$1003,$W168)&amp;"")</f>
        <v/>
      </c>
      <c r="W168" s="1" t="str">
        <f aca="false">IF($V$3="","",IFERROR(MATCH($V$3&amp;"#"&amp;ROWS(W$4:W168),发票统计!$W$4:$W$1003,0),""))</f>
        <v/>
      </c>
    </row>
    <row r="169" customFormat="false" ht="16.5" hidden="false" customHeight="false" outlineLevel="0" collapsed="false">
      <c r="A169" s="3" t="str">
        <f aca="false">IF($W169="","",INDEX(发票统计!A$4:A$1003,$W169)&amp;"")</f>
        <v/>
      </c>
      <c r="B169" s="3" t="str">
        <f aca="false">IF($W169="","",INDEX(发票统计!B$4:B$1003,$W169)&amp;"")</f>
        <v/>
      </c>
      <c r="C169" s="3" t="str">
        <f aca="false">IF($W169="","",INDEX(发票统计!C$4:C$1003,$W169)&amp;"")</f>
        <v/>
      </c>
      <c r="D169" s="3" t="str">
        <f aca="false">IF($W169="","",INDEX(发票统计!D$4:D$1003,$W169)&amp;"")</f>
        <v/>
      </c>
      <c r="E169" s="56" t="str">
        <f aca="false">IF($W169="","",INDEX(发票统计!E$4:E$1003,$W169)&amp;"")</f>
        <v/>
      </c>
      <c r="F169" s="56" t="str">
        <f aca="false">IF($W169="","",INDEX(发票统计!F$4:F$1003,$W169)&amp;"")</f>
        <v/>
      </c>
      <c r="G169" s="68" t="str">
        <f aca="false">IF($W169="","",IF(INDEX(发票统计!G$4:G$1003,$W169)="","",INDEX(发票统计!G$4:G$1003,$W169)))</f>
        <v/>
      </c>
      <c r="H169" s="56" t="str">
        <f aca="false">IF($W169="","",N(INDEX(发票统计!H$4:H$1003,$W169)))</f>
        <v/>
      </c>
      <c r="I169" s="56" t="str">
        <f aca="false">IF($W169="","",N(INDEX(发票统计!I$4:I$1003,$W169)))</f>
        <v/>
      </c>
      <c r="J169" s="56" t="str">
        <f aca="false">IF($W169="","",N(INDEX(发票统计!J$4:J$1003,$W169)))</f>
        <v/>
      </c>
      <c r="K169" s="56" t="str">
        <f aca="false">IF($W169="","",N(INDEX(发票统计!K$4:K$1003,$W169)))</f>
        <v/>
      </c>
      <c r="L169" s="56" t="str">
        <f aca="false">IF($W169="","",SUM(J$4:J169)-SUM(K$4:K169))</f>
        <v/>
      </c>
      <c r="M169" s="56" t="str">
        <f aca="false">IF($W169="","",N(INDEX(发票统计!M$4:M$1003,$W169)))</f>
        <v/>
      </c>
      <c r="N169" s="56" t="str">
        <f aca="false">IF($W169="","",N(INDEX(发票统计!N$4:N$1003,$W169)))</f>
        <v/>
      </c>
      <c r="O169" s="56" t="str">
        <f aca="false">IF($W169="","",N(INDEX(发票统计!O$4:O$1003,$W169)))</f>
        <v/>
      </c>
      <c r="P169" s="56" t="str">
        <f aca="false">IF($W169="","",SUM(M$4:M169)-SUM(N$4:N169)-SUM(O$4:O169))</f>
        <v/>
      </c>
      <c r="Q169" s="56" t="str">
        <f aca="false">IF($W169="","",N(INDEX(发票统计!Q$4:Q$1003,$W169)))</f>
        <v/>
      </c>
      <c r="R169" s="56" t="str">
        <f aca="false">IF($W169="","",N(INDEX(发票统计!R$4:R$1003,$W169)))</f>
        <v/>
      </c>
      <c r="S169" s="56" t="str">
        <f aca="false">IF($W169="","",N(INDEX(发票统计!S$4:S$1003,$W169)))</f>
        <v/>
      </c>
      <c r="T169" s="56" t="str">
        <f aca="false">IF($W169="","",SUM(Q$4:Q169)-SUM(R$4:R169)-SUM(S$4:S169))</f>
        <v/>
      </c>
      <c r="U169" s="56" t="str">
        <f aca="false">IF($W169="","",INDEX(发票统计!U$4:U$1003,$W169)&amp;"")</f>
        <v/>
      </c>
      <c r="W169" s="1" t="str">
        <f aca="false">IF($V$3="","",IFERROR(MATCH($V$3&amp;"#"&amp;ROWS(W$4:W169),发票统计!$W$4:$W$1003,0),""))</f>
        <v/>
      </c>
    </row>
    <row r="170" customFormat="false" ht="16.5" hidden="false" customHeight="false" outlineLevel="0" collapsed="false">
      <c r="A170" s="3" t="str">
        <f aca="false">IF($W170="","",INDEX(发票统计!A$4:A$1003,$W170)&amp;"")</f>
        <v/>
      </c>
      <c r="B170" s="3" t="str">
        <f aca="false">IF($W170="","",INDEX(发票统计!B$4:B$1003,$W170)&amp;"")</f>
        <v/>
      </c>
      <c r="C170" s="3" t="str">
        <f aca="false">IF($W170="","",INDEX(发票统计!C$4:C$1003,$W170)&amp;"")</f>
        <v/>
      </c>
      <c r="D170" s="3" t="str">
        <f aca="false">IF($W170="","",INDEX(发票统计!D$4:D$1003,$W170)&amp;"")</f>
        <v/>
      </c>
      <c r="E170" s="56" t="str">
        <f aca="false">IF($W170="","",INDEX(发票统计!E$4:E$1003,$W170)&amp;"")</f>
        <v/>
      </c>
      <c r="F170" s="56" t="str">
        <f aca="false">IF($W170="","",INDEX(发票统计!F$4:F$1003,$W170)&amp;"")</f>
        <v/>
      </c>
      <c r="G170" s="68" t="str">
        <f aca="false">IF($W170="","",IF(INDEX(发票统计!G$4:G$1003,$W170)="","",INDEX(发票统计!G$4:G$1003,$W170)))</f>
        <v/>
      </c>
      <c r="H170" s="56" t="str">
        <f aca="false">IF($W170="","",N(INDEX(发票统计!H$4:H$1003,$W170)))</f>
        <v/>
      </c>
      <c r="I170" s="56" t="str">
        <f aca="false">IF($W170="","",N(INDEX(发票统计!I$4:I$1003,$W170)))</f>
        <v/>
      </c>
      <c r="J170" s="56" t="str">
        <f aca="false">IF($W170="","",N(INDEX(发票统计!J$4:J$1003,$W170)))</f>
        <v/>
      </c>
      <c r="K170" s="56" t="str">
        <f aca="false">IF($W170="","",N(INDEX(发票统计!K$4:K$1003,$W170)))</f>
        <v/>
      </c>
      <c r="L170" s="56" t="str">
        <f aca="false">IF($W170="","",SUM(J$4:J170)-SUM(K$4:K170))</f>
        <v/>
      </c>
      <c r="M170" s="56" t="str">
        <f aca="false">IF($W170="","",N(INDEX(发票统计!M$4:M$1003,$W170)))</f>
        <v/>
      </c>
      <c r="N170" s="56" t="str">
        <f aca="false">IF($W170="","",N(INDEX(发票统计!N$4:N$1003,$W170)))</f>
        <v/>
      </c>
      <c r="O170" s="56" t="str">
        <f aca="false">IF($W170="","",N(INDEX(发票统计!O$4:O$1003,$W170)))</f>
        <v/>
      </c>
      <c r="P170" s="56" t="str">
        <f aca="false">IF($W170="","",SUM(M$4:M170)-SUM(N$4:N170)-SUM(O$4:O170))</f>
        <v/>
      </c>
      <c r="Q170" s="56" t="str">
        <f aca="false">IF($W170="","",N(INDEX(发票统计!Q$4:Q$1003,$W170)))</f>
        <v/>
      </c>
      <c r="R170" s="56" t="str">
        <f aca="false">IF($W170="","",N(INDEX(发票统计!R$4:R$1003,$W170)))</f>
        <v/>
      </c>
      <c r="S170" s="56" t="str">
        <f aca="false">IF($W170="","",N(INDEX(发票统计!S$4:S$1003,$W170)))</f>
        <v/>
      </c>
      <c r="T170" s="56" t="str">
        <f aca="false">IF($W170="","",SUM(Q$4:Q170)-SUM(R$4:R170)-SUM(S$4:S170))</f>
        <v/>
      </c>
      <c r="U170" s="56" t="str">
        <f aca="false">IF($W170="","",INDEX(发票统计!U$4:U$1003,$W170)&amp;"")</f>
        <v/>
      </c>
      <c r="W170" s="1" t="str">
        <f aca="false">IF($V$3="","",IFERROR(MATCH($V$3&amp;"#"&amp;ROWS(W$4:W170),发票统计!$W$4:$W$1003,0),""))</f>
        <v/>
      </c>
    </row>
    <row r="171" customFormat="false" ht="16.5" hidden="false" customHeight="false" outlineLevel="0" collapsed="false">
      <c r="A171" s="3" t="str">
        <f aca="false">IF($W171="","",INDEX(发票统计!A$4:A$1003,$W171)&amp;"")</f>
        <v/>
      </c>
      <c r="B171" s="3" t="str">
        <f aca="false">IF($W171="","",INDEX(发票统计!B$4:B$1003,$W171)&amp;"")</f>
        <v/>
      </c>
      <c r="C171" s="3" t="str">
        <f aca="false">IF($W171="","",INDEX(发票统计!C$4:C$1003,$W171)&amp;"")</f>
        <v/>
      </c>
      <c r="D171" s="3" t="str">
        <f aca="false">IF($W171="","",INDEX(发票统计!D$4:D$1003,$W171)&amp;"")</f>
        <v/>
      </c>
      <c r="E171" s="56" t="str">
        <f aca="false">IF($W171="","",INDEX(发票统计!E$4:E$1003,$W171)&amp;"")</f>
        <v/>
      </c>
      <c r="F171" s="56" t="str">
        <f aca="false">IF($W171="","",INDEX(发票统计!F$4:F$1003,$W171)&amp;"")</f>
        <v/>
      </c>
      <c r="G171" s="68" t="str">
        <f aca="false">IF($W171="","",IF(INDEX(发票统计!G$4:G$1003,$W171)="","",INDEX(发票统计!G$4:G$1003,$W171)))</f>
        <v/>
      </c>
      <c r="H171" s="56" t="str">
        <f aca="false">IF($W171="","",N(INDEX(发票统计!H$4:H$1003,$W171)))</f>
        <v/>
      </c>
      <c r="I171" s="56" t="str">
        <f aca="false">IF($W171="","",N(INDEX(发票统计!I$4:I$1003,$W171)))</f>
        <v/>
      </c>
      <c r="J171" s="56" t="str">
        <f aca="false">IF($W171="","",N(INDEX(发票统计!J$4:J$1003,$W171)))</f>
        <v/>
      </c>
      <c r="K171" s="56" t="str">
        <f aca="false">IF($W171="","",N(INDEX(发票统计!K$4:K$1003,$W171)))</f>
        <v/>
      </c>
      <c r="L171" s="56" t="str">
        <f aca="false">IF($W171="","",SUM(J$4:J171)-SUM(K$4:K171))</f>
        <v/>
      </c>
      <c r="M171" s="56" t="str">
        <f aca="false">IF($W171="","",N(INDEX(发票统计!M$4:M$1003,$W171)))</f>
        <v/>
      </c>
      <c r="N171" s="56" t="str">
        <f aca="false">IF($W171="","",N(INDEX(发票统计!N$4:N$1003,$W171)))</f>
        <v/>
      </c>
      <c r="O171" s="56" t="str">
        <f aca="false">IF($W171="","",N(INDEX(发票统计!O$4:O$1003,$W171)))</f>
        <v/>
      </c>
      <c r="P171" s="56" t="str">
        <f aca="false">IF($W171="","",SUM(M$4:M171)-SUM(N$4:N171)-SUM(O$4:O171))</f>
        <v/>
      </c>
      <c r="Q171" s="56" t="str">
        <f aca="false">IF($W171="","",N(INDEX(发票统计!Q$4:Q$1003,$W171)))</f>
        <v/>
      </c>
      <c r="R171" s="56" t="str">
        <f aca="false">IF($W171="","",N(INDEX(发票统计!R$4:R$1003,$W171)))</f>
        <v/>
      </c>
      <c r="S171" s="56" t="str">
        <f aca="false">IF($W171="","",N(INDEX(发票统计!S$4:S$1003,$W171)))</f>
        <v/>
      </c>
      <c r="T171" s="56" t="str">
        <f aca="false">IF($W171="","",SUM(Q$4:Q171)-SUM(R$4:R171)-SUM(S$4:S171))</f>
        <v/>
      </c>
      <c r="U171" s="56" t="str">
        <f aca="false">IF($W171="","",INDEX(发票统计!U$4:U$1003,$W171)&amp;"")</f>
        <v/>
      </c>
      <c r="W171" s="1" t="str">
        <f aca="false">IF($V$3="","",IFERROR(MATCH($V$3&amp;"#"&amp;ROWS(W$4:W171),发票统计!$W$4:$W$1003,0),""))</f>
        <v/>
      </c>
    </row>
    <row r="172" customFormat="false" ht="16.5" hidden="false" customHeight="false" outlineLevel="0" collapsed="false">
      <c r="A172" s="3" t="str">
        <f aca="false">IF($W172="","",INDEX(发票统计!A$4:A$1003,$W172)&amp;"")</f>
        <v/>
      </c>
      <c r="B172" s="3" t="str">
        <f aca="false">IF($W172="","",INDEX(发票统计!B$4:B$1003,$W172)&amp;"")</f>
        <v/>
      </c>
      <c r="C172" s="3" t="str">
        <f aca="false">IF($W172="","",INDEX(发票统计!C$4:C$1003,$W172)&amp;"")</f>
        <v/>
      </c>
      <c r="D172" s="3" t="str">
        <f aca="false">IF($W172="","",INDEX(发票统计!D$4:D$1003,$W172)&amp;"")</f>
        <v/>
      </c>
      <c r="E172" s="56" t="str">
        <f aca="false">IF($W172="","",INDEX(发票统计!E$4:E$1003,$W172)&amp;"")</f>
        <v/>
      </c>
      <c r="F172" s="56" t="str">
        <f aca="false">IF($W172="","",INDEX(发票统计!F$4:F$1003,$W172)&amp;"")</f>
        <v/>
      </c>
      <c r="G172" s="68" t="str">
        <f aca="false">IF($W172="","",IF(INDEX(发票统计!G$4:G$1003,$W172)="","",INDEX(发票统计!G$4:G$1003,$W172)))</f>
        <v/>
      </c>
      <c r="H172" s="56" t="str">
        <f aca="false">IF($W172="","",N(INDEX(发票统计!H$4:H$1003,$W172)))</f>
        <v/>
      </c>
      <c r="I172" s="56" t="str">
        <f aca="false">IF($W172="","",N(INDEX(发票统计!I$4:I$1003,$W172)))</f>
        <v/>
      </c>
      <c r="J172" s="56" t="str">
        <f aca="false">IF($W172="","",N(INDEX(发票统计!J$4:J$1003,$W172)))</f>
        <v/>
      </c>
      <c r="K172" s="56" t="str">
        <f aca="false">IF($W172="","",N(INDEX(发票统计!K$4:K$1003,$W172)))</f>
        <v/>
      </c>
      <c r="L172" s="56" t="str">
        <f aca="false">IF($W172="","",SUM(J$4:J172)-SUM(K$4:K172))</f>
        <v/>
      </c>
      <c r="M172" s="56" t="str">
        <f aca="false">IF($W172="","",N(INDEX(发票统计!M$4:M$1003,$W172)))</f>
        <v/>
      </c>
      <c r="N172" s="56" t="str">
        <f aca="false">IF($W172="","",N(INDEX(发票统计!N$4:N$1003,$W172)))</f>
        <v/>
      </c>
      <c r="O172" s="56" t="str">
        <f aca="false">IF($W172="","",N(INDEX(发票统计!O$4:O$1003,$W172)))</f>
        <v/>
      </c>
      <c r="P172" s="56" t="str">
        <f aca="false">IF($W172="","",SUM(M$4:M172)-SUM(N$4:N172)-SUM(O$4:O172))</f>
        <v/>
      </c>
      <c r="Q172" s="56" t="str">
        <f aca="false">IF($W172="","",N(INDEX(发票统计!Q$4:Q$1003,$W172)))</f>
        <v/>
      </c>
      <c r="R172" s="56" t="str">
        <f aca="false">IF($W172="","",N(INDEX(发票统计!R$4:R$1003,$W172)))</f>
        <v/>
      </c>
      <c r="S172" s="56" t="str">
        <f aca="false">IF($W172="","",N(INDEX(发票统计!S$4:S$1003,$W172)))</f>
        <v/>
      </c>
      <c r="T172" s="56" t="str">
        <f aca="false">IF($W172="","",SUM(Q$4:Q172)-SUM(R$4:R172)-SUM(S$4:S172))</f>
        <v/>
      </c>
      <c r="U172" s="56" t="str">
        <f aca="false">IF($W172="","",INDEX(发票统计!U$4:U$1003,$W172)&amp;"")</f>
        <v/>
      </c>
      <c r="W172" s="1" t="str">
        <f aca="false">IF($V$3="","",IFERROR(MATCH($V$3&amp;"#"&amp;ROWS(W$4:W172),发票统计!$W$4:$W$1003,0),""))</f>
        <v/>
      </c>
    </row>
    <row r="173" customFormat="false" ht="16.5" hidden="false" customHeight="false" outlineLevel="0" collapsed="false">
      <c r="A173" s="3" t="str">
        <f aca="false">IF($W173="","",INDEX(发票统计!A$4:A$1003,$W173)&amp;"")</f>
        <v/>
      </c>
      <c r="B173" s="3" t="str">
        <f aca="false">IF($W173="","",INDEX(发票统计!B$4:B$1003,$W173)&amp;"")</f>
        <v/>
      </c>
      <c r="C173" s="3" t="str">
        <f aca="false">IF($W173="","",INDEX(发票统计!C$4:C$1003,$W173)&amp;"")</f>
        <v/>
      </c>
      <c r="D173" s="3" t="str">
        <f aca="false">IF($W173="","",INDEX(发票统计!D$4:D$1003,$W173)&amp;"")</f>
        <v/>
      </c>
      <c r="E173" s="56" t="str">
        <f aca="false">IF($W173="","",INDEX(发票统计!E$4:E$1003,$W173)&amp;"")</f>
        <v/>
      </c>
      <c r="F173" s="56" t="str">
        <f aca="false">IF($W173="","",INDEX(发票统计!F$4:F$1003,$W173)&amp;"")</f>
        <v/>
      </c>
      <c r="G173" s="68" t="str">
        <f aca="false">IF($W173="","",IF(INDEX(发票统计!G$4:G$1003,$W173)="","",INDEX(发票统计!G$4:G$1003,$W173)))</f>
        <v/>
      </c>
      <c r="H173" s="56" t="str">
        <f aca="false">IF($W173="","",N(INDEX(发票统计!H$4:H$1003,$W173)))</f>
        <v/>
      </c>
      <c r="I173" s="56" t="str">
        <f aca="false">IF($W173="","",N(INDEX(发票统计!I$4:I$1003,$W173)))</f>
        <v/>
      </c>
      <c r="J173" s="56" t="str">
        <f aca="false">IF($W173="","",N(INDEX(发票统计!J$4:J$1003,$W173)))</f>
        <v/>
      </c>
      <c r="K173" s="56" t="str">
        <f aca="false">IF($W173="","",N(INDEX(发票统计!K$4:K$1003,$W173)))</f>
        <v/>
      </c>
      <c r="L173" s="56" t="str">
        <f aca="false">IF($W173="","",SUM(J$4:J173)-SUM(K$4:K173))</f>
        <v/>
      </c>
      <c r="M173" s="56" t="str">
        <f aca="false">IF($W173="","",N(INDEX(发票统计!M$4:M$1003,$W173)))</f>
        <v/>
      </c>
      <c r="N173" s="56" t="str">
        <f aca="false">IF($W173="","",N(INDEX(发票统计!N$4:N$1003,$W173)))</f>
        <v/>
      </c>
      <c r="O173" s="56" t="str">
        <f aca="false">IF($W173="","",N(INDEX(发票统计!O$4:O$1003,$W173)))</f>
        <v/>
      </c>
      <c r="P173" s="56" t="str">
        <f aca="false">IF($W173="","",SUM(M$4:M173)-SUM(N$4:N173)-SUM(O$4:O173))</f>
        <v/>
      </c>
      <c r="Q173" s="56" t="str">
        <f aca="false">IF($W173="","",N(INDEX(发票统计!Q$4:Q$1003,$W173)))</f>
        <v/>
      </c>
      <c r="R173" s="56" t="str">
        <f aca="false">IF($W173="","",N(INDEX(发票统计!R$4:R$1003,$W173)))</f>
        <v/>
      </c>
      <c r="S173" s="56" t="str">
        <f aca="false">IF($W173="","",N(INDEX(发票统计!S$4:S$1003,$W173)))</f>
        <v/>
      </c>
      <c r="T173" s="56" t="str">
        <f aca="false">IF($W173="","",SUM(Q$4:Q173)-SUM(R$4:R173)-SUM(S$4:S173))</f>
        <v/>
      </c>
      <c r="U173" s="56" t="str">
        <f aca="false">IF($W173="","",INDEX(发票统计!U$4:U$1003,$W173)&amp;"")</f>
        <v/>
      </c>
      <c r="W173" s="1" t="str">
        <f aca="false">IF($V$3="","",IFERROR(MATCH($V$3&amp;"#"&amp;ROWS(W$4:W173),发票统计!$W$4:$W$1003,0),""))</f>
        <v/>
      </c>
    </row>
    <row r="174" customFormat="false" ht="16.5" hidden="false" customHeight="false" outlineLevel="0" collapsed="false">
      <c r="A174" s="3" t="str">
        <f aca="false">IF($W174="","",INDEX(发票统计!A$4:A$1003,$W174)&amp;"")</f>
        <v/>
      </c>
      <c r="B174" s="3" t="str">
        <f aca="false">IF($W174="","",INDEX(发票统计!B$4:B$1003,$W174)&amp;"")</f>
        <v/>
      </c>
      <c r="C174" s="3" t="str">
        <f aca="false">IF($W174="","",INDEX(发票统计!C$4:C$1003,$W174)&amp;"")</f>
        <v/>
      </c>
      <c r="D174" s="3" t="str">
        <f aca="false">IF($W174="","",INDEX(发票统计!D$4:D$1003,$W174)&amp;"")</f>
        <v/>
      </c>
      <c r="E174" s="56" t="str">
        <f aca="false">IF($W174="","",INDEX(发票统计!E$4:E$1003,$W174)&amp;"")</f>
        <v/>
      </c>
      <c r="F174" s="56" t="str">
        <f aca="false">IF($W174="","",INDEX(发票统计!F$4:F$1003,$W174)&amp;"")</f>
        <v/>
      </c>
      <c r="G174" s="68" t="str">
        <f aca="false">IF($W174="","",IF(INDEX(发票统计!G$4:G$1003,$W174)="","",INDEX(发票统计!G$4:G$1003,$W174)))</f>
        <v/>
      </c>
      <c r="H174" s="56" t="str">
        <f aca="false">IF($W174="","",N(INDEX(发票统计!H$4:H$1003,$W174)))</f>
        <v/>
      </c>
      <c r="I174" s="56" t="str">
        <f aca="false">IF($W174="","",N(INDEX(发票统计!I$4:I$1003,$W174)))</f>
        <v/>
      </c>
      <c r="J174" s="56" t="str">
        <f aca="false">IF($W174="","",N(INDEX(发票统计!J$4:J$1003,$W174)))</f>
        <v/>
      </c>
      <c r="K174" s="56" t="str">
        <f aca="false">IF($W174="","",N(INDEX(发票统计!K$4:K$1003,$W174)))</f>
        <v/>
      </c>
      <c r="L174" s="56" t="str">
        <f aca="false">IF($W174="","",SUM(J$4:J174)-SUM(K$4:K174))</f>
        <v/>
      </c>
      <c r="M174" s="56" t="str">
        <f aca="false">IF($W174="","",N(INDEX(发票统计!M$4:M$1003,$W174)))</f>
        <v/>
      </c>
      <c r="N174" s="56" t="str">
        <f aca="false">IF($W174="","",N(INDEX(发票统计!N$4:N$1003,$W174)))</f>
        <v/>
      </c>
      <c r="O174" s="56" t="str">
        <f aca="false">IF($W174="","",N(INDEX(发票统计!O$4:O$1003,$W174)))</f>
        <v/>
      </c>
      <c r="P174" s="56" t="str">
        <f aca="false">IF($W174="","",SUM(M$4:M174)-SUM(N$4:N174)-SUM(O$4:O174))</f>
        <v/>
      </c>
      <c r="Q174" s="56" t="str">
        <f aca="false">IF($W174="","",N(INDEX(发票统计!Q$4:Q$1003,$W174)))</f>
        <v/>
      </c>
      <c r="R174" s="56" t="str">
        <f aca="false">IF($W174="","",N(INDEX(发票统计!R$4:R$1003,$W174)))</f>
        <v/>
      </c>
      <c r="S174" s="56" t="str">
        <f aca="false">IF($W174="","",N(INDEX(发票统计!S$4:S$1003,$W174)))</f>
        <v/>
      </c>
      <c r="T174" s="56" t="str">
        <f aca="false">IF($W174="","",SUM(Q$4:Q174)-SUM(R$4:R174)-SUM(S$4:S174))</f>
        <v/>
      </c>
      <c r="U174" s="56" t="str">
        <f aca="false">IF($W174="","",INDEX(发票统计!U$4:U$1003,$W174)&amp;"")</f>
        <v/>
      </c>
      <c r="W174" s="1" t="str">
        <f aca="false">IF($V$3="","",IFERROR(MATCH($V$3&amp;"#"&amp;ROWS(W$4:W174),发票统计!$W$4:$W$1003,0),""))</f>
        <v/>
      </c>
    </row>
    <row r="175" customFormat="false" ht="16.5" hidden="false" customHeight="false" outlineLevel="0" collapsed="false">
      <c r="A175" s="3" t="str">
        <f aca="false">IF($W175="","",INDEX(发票统计!A$4:A$1003,$W175)&amp;"")</f>
        <v/>
      </c>
      <c r="B175" s="3" t="str">
        <f aca="false">IF($W175="","",INDEX(发票统计!B$4:B$1003,$W175)&amp;"")</f>
        <v/>
      </c>
      <c r="C175" s="3" t="str">
        <f aca="false">IF($W175="","",INDEX(发票统计!C$4:C$1003,$W175)&amp;"")</f>
        <v/>
      </c>
      <c r="D175" s="3" t="str">
        <f aca="false">IF($W175="","",INDEX(发票统计!D$4:D$1003,$W175)&amp;"")</f>
        <v/>
      </c>
      <c r="E175" s="56" t="str">
        <f aca="false">IF($W175="","",INDEX(发票统计!E$4:E$1003,$W175)&amp;"")</f>
        <v/>
      </c>
      <c r="F175" s="56" t="str">
        <f aca="false">IF($W175="","",INDEX(发票统计!F$4:F$1003,$W175)&amp;"")</f>
        <v/>
      </c>
      <c r="G175" s="68" t="str">
        <f aca="false">IF($W175="","",IF(INDEX(发票统计!G$4:G$1003,$W175)="","",INDEX(发票统计!G$4:G$1003,$W175)))</f>
        <v/>
      </c>
      <c r="H175" s="56" t="str">
        <f aca="false">IF($W175="","",N(INDEX(发票统计!H$4:H$1003,$W175)))</f>
        <v/>
      </c>
      <c r="I175" s="56" t="str">
        <f aca="false">IF($W175="","",N(INDEX(发票统计!I$4:I$1003,$W175)))</f>
        <v/>
      </c>
      <c r="J175" s="56" t="str">
        <f aca="false">IF($W175="","",N(INDEX(发票统计!J$4:J$1003,$W175)))</f>
        <v/>
      </c>
      <c r="K175" s="56" t="str">
        <f aca="false">IF($W175="","",N(INDEX(发票统计!K$4:K$1003,$W175)))</f>
        <v/>
      </c>
      <c r="L175" s="56" t="str">
        <f aca="false">IF($W175="","",SUM(J$4:J175)-SUM(K$4:K175))</f>
        <v/>
      </c>
      <c r="M175" s="56" t="str">
        <f aca="false">IF($W175="","",N(INDEX(发票统计!M$4:M$1003,$W175)))</f>
        <v/>
      </c>
      <c r="N175" s="56" t="str">
        <f aca="false">IF($W175="","",N(INDEX(发票统计!N$4:N$1003,$W175)))</f>
        <v/>
      </c>
      <c r="O175" s="56" t="str">
        <f aca="false">IF($W175="","",N(INDEX(发票统计!O$4:O$1003,$W175)))</f>
        <v/>
      </c>
      <c r="P175" s="56" t="str">
        <f aca="false">IF($W175="","",SUM(M$4:M175)-SUM(N$4:N175)-SUM(O$4:O175))</f>
        <v/>
      </c>
      <c r="Q175" s="56" t="str">
        <f aca="false">IF($W175="","",N(INDEX(发票统计!Q$4:Q$1003,$W175)))</f>
        <v/>
      </c>
      <c r="R175" s="56" t="str">
        <f aca="false">IF($W175="","",N(INDEX(发票统计!R$4:R$1003,$W175)))</f>
        <v/>
      </c>
      <c r="S175" s="56" t="str">
        <f aca="false">IF($W175="","",N(INDEX(发票统计!S$4:S$1003,$W175)))</f>
        <v/>
      </c>
      <c r="T175" s="56" t="str">
        <f aca="false">IF($W175="","",SUM(Q$4:Q175)-SUM(R$4:R175)-SUM(S$4:S175))</f>
        <v/>
      </c>
      <c r="U175" s="56" t="str">
        <f aca="false">IF($W175="","",INDEX(发票统计!U$4:U$1003,$W175)&amp;"")</f>
        <v/>
      </c>
      <c r="W175" s="1" t="str">
        <f aca="false">IF($V$3="","",IFERROR(MATCH($V$3&amp;"#"&amp;ROWS(W$4:W175),发票统计!$W$4:$W$1003,0),""))</f>
        <v/>
      </c>
    </row>
    <row r="176" customFormat="false" ht="16.5" hidden="false" customHeight="false" outlineLevel="0" collapsed="false">
      <c r="A176" s="3" t="str">
        <f aca="false">IF($W176="","",INDEX(发票统计!A$4:A$1003,$W176)&amp;"")</f>
        <v/>
      </c>
      <c r="B176" s="3" t="str">
        <f aca="false">IF($W176="","",INDEX(发票统计!B$4:B$1003,$W176)&amp;"")</f>
        <v/>
      </c>
      <c r="C176" s="3" t="str">
        <f aca="false">IF($W176="","",INDEX(发票统计!C$4:C$1003,$W176)&amp;"")</f>
        <v/>
      </c>
      <c r="D176" s="3" t="str">
        <f aca="false">IF($W176="","",INDEX(发票统计!D$4:D$1003,$W176)&amp;"")</f>
        <v/>
      </c>
      <c r="E176" s="56" t="str">
        <f aca="false">IF($W176="","",INDEX(发票统计!E$4:E$1003,$W176)&amp;"")</f>
        <v/>
      </c>
      <c r="F176" s="56" t="str">
        <f aca="false">IF($W176="","",INDEX(发票统计!F$4:F$1003,$W176)&amp;"")</f>
        <v/>
      </c>
      <c r="G176" s="68" t="str">
        <f aca="false">IF($W176="","",IF(INDEX(发票统计!G$4:G$1003,$W176)="","",INDEX(发票统计!G$4:G$1003,$W176)))</f>
        <v/>
      </c>
      <c r="H176" s="56" t="str">
        <f aca="false">IF($W176="","",N(INDEX(发票统计!H$4:H$1003,$W176)))</f>
        <v/>
      </c>
      <c r="I176" s="56" t="str">
        <f aca="false">IF($W176="","",N(INDEX(发票统计!I$4:I$1003,$W176)))</f>
        <v/>
      </c>
      <c r="J176" s="56" t="str">
        <f aca="false">IF($W176="","",N(INDEX(发票统计!J$4:J$1003,$W176)))</f>
        <v/>
      </c>
      <c r="K176" s="56" t="str">
        <f aca="false">IF($W176="","",N(INDEX(发票统计!K$4:K$1003,$W176)))</f>
        <v/>
      </c>
      <c r="L176" s="56" t="str">
        <f aca="false">IF($W176="","",SUM(J$4:J176)-SUM(K$4:K176))</f>
        <v/>
      </c>
      <c r="M176" s="56" t="str">
        <f aca="false">IF($W176="","",N(INDEX(发票统计!M$4:M$1003,$W176)))</f>
        <v/>
      </c>
      <c r="N176" s="56" t="str">
        <f aca="false">IF($W176="","",N(INDEX(发票统计!N$4:N$1003,$W176)))</f>
        <v/>
      </c>
      <c r="O176" s="56" t="str">
        <f aca="false">IF($W176="","",N(INDEX(发票统计!O$4:O$1003,$W176)))</f>
        <v/>
      </c>
      <c r="P176" s="56" t="str">
        <f aca="false">IF($W176="","",SUM(M$4:M176)-SUM(N$4:N176)-SUM(O$4:O176))</f>
        <v/>
      </c>
      <c r="Q176" s="56" t="str">
        <f aca="false">IF($W176="","",N(INDEX(发票统计!Q$4:Q$1003,$W176)))</f>
        <v/>
      </c>
      <c r="R176" s="56" t="str">
        <f aca="false">IF($W176="","",N(INDEX(发票统计!R$4:R$1003,$W176)))</f>
        <v/>
      </c>
      <c r="S176" s="56" t="str">
        <f aca="false">IF($W176="","",N(INDEX(发票统计!S$4:S$1003,$W176)))</f>
        <v/>
      </c>
      <c r="T176" s="56" t="str">
        <f aca="false">IF($W176="","",SUM(Q$4:Q176)-SUM(R$4:R176)-SUM(S$4:S176))</f>
        <v/>
      </c>
      <c r="U176" s="56" t="str">
        <f aca="false">IF($W176="","",INDEX(发票统计!U$4:U$1003,$W176)&amp;"")</f>
        <v/>
      </c>
      <c r="W176" s="1" t="str">
        <f aca="false">IF($V$3="","",IFERROR(MATCH($V$3&amp;"#"&amp;ROWS(W$4:W176),发票统计!$W$4:$W$1003,0),""))</f>
        <v/>
      </c>
    </row>
    <row r="177" customFormat="false" ht="16.5" hidden="false" customHeight="false" outlineLevel="0" collapsed="false">
      <c r="A177" s="3" t="str">
        <f aca="false">IF($W177="","",INDEX(发票统计!A$4:A$1003,$W177)&amp;"")</f>
        <v/>
      </c>
      <c r="B177" s="3" t="str">
        <f aca="false">IF($W177="","",INDEX(发票统计!B$4:B$1003,$W177)&amp;"")</f>
        <v/>
      </c>
      <c r="C177" s="3" t="str">
        <f aca="false">IF($W177="","",INDEX(发票统计!C$4:C$1003,$W177)&amp;"")</f>
        <v/>
      </c>
      <c r="D177" s="3" t="str">
        <f aca="false">IF($W177="","",INDEX(发票统计!D$4:D$1003,$W177)&amp;"")</f>
        <v/>
      </c>
      <c r="E177" s="56" t="str">
        <f aca="false">IF($W177="","",INDEX(发票统计!E$4:E$1003,$W177)&amp;"")</f>
        <v/>
      </c>
      <c r="F177" s="56" t="str">
        <f aca="false">IF($W177="","",INDEX(发票统计!F$4:F$1003,$W177)&amp;"")</f>
        <v/>
      </c>
      <c r="G177" s="68" t="str">
        <f aca="false">IF($W177="","",IF(INDEX(发票统计!G$4:G$1003,$W177)="","",INDEX(发票统计!G$4:G$1003,$W177)))</f>
        <v/>
      </c>
      <c r="H177" s="56" t="str">
        <f aca="false">IF($W177="","",N(INDEX(发票统计!H$4:H$1003,$W177)))</f>
        <v/>
      </c>
      <c r="I177" s="56" t="str">
        <f aca="false">IF($W177="","",N(INDEX(发票统计!I$4:I$1003,$W177)))</f>
        <v/>
      </c>
      <c r="J177" s="56" t="str">
        <f aca="false">IF($W177="","",N(INDEX(发票统计!J$4:J$1003,$W177)))</f>
        <v/>
      </c>
      <c r="K177" s="56" t="str">
        <f aca="false">IF($W177="","",N(INDEX(发票统计!K$4:K$1003,$W177)))</f>
        <v/>
      </c>
      <c r="L177" s="56" t="str">
        <f aca="false">IF($W177="","",SUM(J$4:J177)-SUM(K$4:K177))</f>
        <v/>
      </c>
      <c r="M177" s="56" t="str">
        <f aca="false">IF($W177="","",N(INDEX(发票统计!M$4:M$1003,$W177)))</f>
        <v/>
      </c>
      <c r="N177" s="56" t="str">
        <f aca="false">IF($W177="","",N(INDEX(发票统计!N$4:N$1003,$W177)))</f>
        <v/>
      </c>
      <c r="O177" s="56" t="str">
        <f aca="false">IF($W177="","",N(INDEX(发票统计!O$4:O$1003,$W177)))</f>
        <v/>
      </c>
      <c r="P177" s="56" t="str">
        <f aca="false">IF($W177="","",SUM(M$4:M177)-SUM(N$4:N177)-SUM(O$4:O177))</f>
        <v/>
      </c>
      <c r="Q177" s="56" t="str">
        <f aca="false">IF($W177="","",N(INDEX(发票统计!Q$4:Q$1003,$W177)))</f>
        <v/>
      </c>
      <c r="R177" s="56" t="str">
        <f aca="false">IF($W177="","",N(INDEX(发票统计!R$4:R$1003,$W177)))</f>
        <v/>
      </c>
      <c r="S177" s="56" t="str">
        <f aca="false">IF($W177="","",N(INDEX(发票统计!S$4:S$1003,$W177)))</f>
        <v/>
      </c>
      <c r="T177" s="56" t="str">
        <f aca="false">IF($W177="","",SUM(Q$4:Q177)-SUM(R$4:R177)-SUM(S$4:S177))</f>
        <v/>
      </c>
      <c r="U177" s="56" t="str">
        <f aca="false">IF($W177="","",INDEX(发票统计!U$4:U$1003,$W177)&amp;"")</f>
        <v/>
      </c>
      <c r="W177" s="1" t="str">
        <f aca="false">IF($V$3="","",IFERROR(MATCH($V$3&amp;"#"&amp;ROWS(W$4:W177),发票统计!$W$4:$W$1003,0),""))</f>
        <v/>
      </c>
    </row>
    <row r="178" customFormat="false" ht="16.5" hidden="false" customHeight="false" outlineLevel="0" collapsed="false">
      <c r="A178" s="3" t="str">
        <f aca="false">IF($W178="","",INDEX(发票统计!A$4:A$1003,$W178)&amp;"")</f>
        <v/>
      </c>
      <c r="B178" s="3" t="str">
        <f aca="false">IF($W178="","",INDEX(发票统计!B$4:B$1003,$W178)&amp;"")</f>
        <v/>
      </c>
      <c r="C178" s="3" t="str">
        <f aca="false">IF($W178="","",INDEX(发票统计!C$4:C$1003,$W178)&amp;"")</f>
        <v/>
      </c>
      <c r="D178" s="3" t="str">
        <f aca="false">IF($W178="","",INDEX(发票统计!D$4:D$1003,$W178)&amp;"")</f>
        <v/>
      </c>
      <c r="E178" s="56" t="str">
        <f aca="false">IF($W178="","",INDEX(发票统计!E$4:E$1003,$W178)&amp;"")</f>
        <v/>
      </c>
      <c r="F178" s="56" t="str">
        <f aca="false">IF($W178="","",INDEX(发票统计!F$4:F$1003,$W178)&amp;"")</f>
        <v/>
      </c>
      <c r="G178" s="68" t="str">
        <f aca="false">IF($W178="","",IF(INDEX(发票统计!G$4:G$1003,$W178)="","",INDEX(发票统计!G$4:G$1003,$W178)))</f>
        <v/>
      </c>
      <c r="H178" s="56" t="str">
        <f aca="false">IF($W178="","",N(INDEX(发票统计!H$4:H$1003,$W178)))</f>
        <v/>
      </c>
      <c r="I178" s="56" t="str">
        <f aca="false">IF($W178="","",N(INDEX(发票统计!I$4:I$1003,$W178)))</f>
        <v/>
      </c>
      <c r="J178" s="56" t="str">
        <f aca="false">IF($W178="","",N(INDEX(发票统计!J$4:J$1003,$W178)))</f>
        <v/>
      </c>
      <c r="K178" s="56" t="str">
        <f aca="false">IF($W178="","",N(INDEX(发票统计!K$4:K$1003,$W178)))</f>
        <v/>
      </c>
      <c r="L178" s="56" t="str">
        <f aca="false">IF($W178="","",SUM(J$4:J178)-SUM(K$4:K178))</f>
        <v/>
      </c>
      <c r="M178" s="56" t="str">
        <f aca="false">IF($W178="","",N(INDEX(发票统计!M$4:M$1003,$W178)))</f>
        <v/>
      </c>
      <c r="N178" s="56" t="str">
        <f aca="false">IF($W178="","",N(INDEX(发票统计!N$4:N$1003,$W178)))</f>
        <v/>
      </c>
      <c r="O178" s="56" t="str">
        <f aca="false">IF($W178="","",N(INDEX(发票统计!O$4:O$1003,$W178)))</f>
        <v/>
      </c>
      <c r="P178" s="56" t="str">
        <f aca="false">IF($W178="","",SUM(M$4:M178)-SUM(N$4:N178)-SUM(O$4:O178))</f>
        <v/>
      </c>
      <c r="Q178" s="56" t="str">
        <f aca="false">IF($W178="","",N(INDEX(发票统计!Q$4:Q$1003,$W178)))</f>
        <v/>
      </c>
      <c r="R178" s="56" t="str">
        <f aca="false">IF($W178="","",N(INDEX(发票统计!R$4:R$1003,$W178)))</f>
        <v/>
      </c>
      <c r="S178" s="56" t="str">
        <f aca="false">IF($W178="","",N(INDEX(发票统计!S$4:S$1003,$W178)))</f>
        <v/>
      </c>
      <c r="T178" s="56" t="str">
        <f aca="false">IF($W178="","",SUM(Q$4:Q178)-SUM(R$4:R178)-SUM(S$4:S178))</f>
        <v/>
      </c>
      <c r="U178" s="56" t="str">
        <f aca="false">IF($W178="","",INDEX(发票统计!U$4:U$1003,$W178)&amp;"")</f>
        <v/>
      </c>
      <c r="W178" s="1" t="str">
        <f aca="false">IF($V$3="","",IFERROR(MATCH($V$3&amp;"#"&amp;ROWS(W$4:W178),发票统计!$W$4:$W$1003,0),""))</f>
        <v/>
      </c>
    </row>
    <row r="179" customFormat="false" ht="16.5" hidden="false" customHeight="false" outlineLevel="0" collapsed="false">
      <c r="A179" s="3" t="str">
        <f aca="false">IF($W179="","",INDEX(发票统计!A$4:A$1003,$W179)&amp;"")</f>
        <v/>
      </c>
      <c r="B179" s="3" t="str">
        <f aca="false">IF($W179="","",INDEX(发票统计!B$4:B$1003,$W179)&amp;"")</f>
        <v/>
      </c>
      <c r="C179" s="3" t="str">
        <f aca="false">IF($W179="","",INDEX(发票统计!C$4:C$1003,$W179)&amp;"")</f>
        <v/>
      </c>
      <c r="D179" s="3" t="str">
        <f aca="false">IF($W179="","",INDEX(发票统计!D$4:D$1003,$W179)&amp;"")</f>
        <v/>
      </c>
      <c r="E179" s="56" t="str">
        <f aca="false">IF($W179="","",INDEX(发票统计!E$4:E$1003,$W179)&amp;"")</f>
        <v/>
      </c>
      <c r="F179" s="56" t="str">
        <f aca="false">IF($W179="","",INDEX(发票统计!F$4:F$1003,$W179)&amp;"")</f>
        <v/>
      </c>
      <c r="G179" s="68" t="str">
        <f aca="false">IF($W179="","",IF(INDEX(发票统计!G$4:G$1003,$W179)="","",INDEX(发票统计!G$4:G$1003,$W179)))</f>
        <v/>
      </c>
      <c r="H179" s="56" t="str">
        <f aca="false">IF($W179="","",N(INDEX(发票统计!H$4:H$1003,$W179)))</f>
        <v/>
      </c>
      <c r="I179" s="56" t="str">
        <f aca="false">IF($W179="","",N(INDEX(发票统计!I$4:I$1003,$W179)))</f>
        <v/>
      </c>
      <c r="J179" s="56" t="str">
        <f aca="false">IF($W179="","",N(INDEX(发票统计!J$4:J$1003,$W179)))</f>
        <v/>
      </c>
      <c r="K179" s="56" t="str">
        <f aca="false">IF($W179="","",N(INDEX(发票统计!K$4:K$1003,$W179)))</f>
        <v/>
      </c>
      <c r="L179" s="56" t="str">
        <f aca="false">IF($W179="","",SUM(J$4:J179)-SUM(K$4:K179))</f>
        <v/>
      </c>
      <c r="M179" s="56" t="str">
        <f aca="false">IF($W179="","",N(INDEX(发票统计!M$4:M$1003,$W179)))</f>
        <v/>
      </c>
      <c r="N179" s="56" t="str">
        <f aca="false">IF($W179="","",N(INDEX(发票统计!N$4:N$1003,$W179)))</f>
        <v/>
      </c>
      <c r="O179" s="56" t="str">
        <f aca="false">IF($W179="","",N(INDEX(发票统计!O$4:O$1003,$W179)))</f>
        <v/>
      </c>
      <c r="P179" s="56" t="str">
        <f aca="false">IF($W179="","",SUM(M$4:M179)-SUM(N$4:N179)-SUM(O$4:O179))</f>
        <v/>
      </c>
      <c r="Q179" s="56" t="str">
        <f aca="false">IF($W179="","",N(INDEX(发票统计!Q$4:Q$1003,$W179)))</f>
        <v/>
      </c>
      <c r="R179" s="56" t="str">
        <f aca="false">IF($W179="","",N(INDEX(发票统计!R$4:R$1003,$W179)))</f>
        <v/>
      </c>
      <c r="S179" s="56" t="str">
        <f aca="false">IF($W179="","",N(INDEX(发票统计!S$4:S$1003,$W179)))</f>
        <v/>
      </c>
      <c r="T179" s="56" t="str">
        <f aca="false">IF($W179="","",SUM(Q$4:Q179)-SUM(R$4:R179)-SUM(S$4:S179))</f>
        <v/>
      </c>
      <c r="U179" s="56" t="str">
        <f aca="false">IF($W179="","",INDEX(发票统计!U$4:U$1003,$W179)&amp;"")</f>
        <v/>
      </c>
      <c r="W179" s="1" t="str">
        <f aca="false">IF($V$3="","",IFERROR(MATCH($V$3&amp;"#"&amp;ROWS(W$4:W179),发票统计!$W$4:$W$1003,0),""))</f>
        <v/>
      </c>
    </row>
    <row r="180" customFormat="false" ht="16.5" hidden="false" customHeight="false" outlineLevel="0" collapsed="false">
      <c r="A180" s="3" t="str">
        <f aca="false">IF($W180="","",INDEX(发票统计!A$4:A$1003,$W180)&amp;"")</f>
        <v/>
      </c>
      <c r="B180" s="3" t="str">
        <f aca="false">IF($W180="","",INDEX(发票统计!B$4:B$1003,$W180)&amp;"")</f>
        <v/>
      </c>
      <c r="C180" s="3" t="str">
        <f aca="false">IF($W180="","",INDEX(发票统计!C$4:C$1003,$W180)&amp;"")</f>
        <v/>
      </c>
      <c r="D180" s="3" t="str">
        <f aca="false">IF($W180="","",INDEX(发票统计!D$4:D$1003,$W180)&amp;"")</f>
        <v/>
      </c>
      <c r="E180" s="56" t="str">
        <f aca="false">IF($W180="","",INDEX(发票统计!E$4:E$1003,$W180)&amp;"")</f>
        <v/>
      </c>
      <c r="F180" s="56" t="str">
        <f aca="false">IF($W180="","",INDEX(发票统计!F$4:F$1003,$W180)&amp;"")</f>
        <v/>
      </c>
      <c r="G180" s="68" t="str">
        <f aca="false">IF($W180="","",IF(INDEX(发票统计!G$4:G$1003,$W180)="","",INDEX(发票统计!G$4:G$1003,$W180)))</f>
        <v/>
      </c>
      <c r="H180" s="56" t="str">
        <f aca="false">IF($W180="","",N(INDEX(发票统计!H$4:H$1003,$W180)))</f>
        <v/>
      </c>
      <c r="I180" s="56" t="str">
        <f aca="false">IF($W180="","",N(INDEX(发票统计!I$4:I$1003,$W180)))</f>
        <v/>
      </c>
      <c r="J180" s="56" t="str">
        <f aca="false">IF($W180="","",N(INDEX(发票统计!J$4:J$1003,$W180)))</f>
        <v/>
      </c>
      <c r="K180" s="56" t="str">
        <f aca="false">IF($W180="","",N(INDEX(发票统计!K$4:K$1003,$W180)))</f>
        <v/>
      </c>
      <c r="L180" s="56" t="str">
        <f aca="false">IF($W180="","",SUM(J$4:J180)-SUM(K$4:K180))</f>
        <v/>
      </c>
      <c r="M180" s="56" t="str">
        <f aca="false">IF($W180="","",N(INDEX(发票统计!M$4:M$1003,$W180)))</f>
        <v/>
      </c>
      <c r="N180" s="56" t="str">
        <f aca="false">IF($W180="","",N(INDEX(发票统计!N$4:N$1003,$W180)))</f>
        <v/>
      </c>
      <c r="O180" s="56" t="str">
        <f aca="false">IF($W180="","",N(INDEX(发票统计!O$4:O$1003,$W180)))</f>
        <v/>
      </c>
      <c r="P180" s="56" t="str">
        <f aca="false">IF($W180="","",SUM(M$4:M180)-SUM(N$4:N180)-SUM(O$4:O180))</f>
        <v/>
      </c>
      <c r="Q180" s="56" t="str">
        <f aca="false">IF($W180="","",N(INDEX(发票统计!Q$4:Q$1003,$W180)))</f>
        <v/>
      </c>
      <c r="R180" s="56" t="str">
        <f aca="false">IF($W180="","",N(INDEX(发票统计!R$4:R$1003,$W180)))</f>
        <v/>
      </c>
      <c r="S180" s="56" t="str">
        <f aca="false">IF($W180="","",N(INDEX(发票统计!S$4:S$1003,$W180)))</f>
        <v/>
      </c>
      <c r="T180" s="56" t="str">
        <f aca="false">IF($W180="","",SUM(Q$4:Q180)-SUM(R$4:R180)-SUM(S$4:S180))</f>
        <v/>
      </c>
      <c r="U180" s="56" t="str">
        <f aca="false">IF($W180="","",INDEX(发票统计!U$4:U$1003,$W180)&amp;"")</f>
        <v/>
      </c>
      <c r="W180" s="1" t="str">
        <f aca="false">IF($V$3="","",IFERROR(MATCH($V$3&amp;"#"&amp;ROWS(W$4:W180),发票统计!$W$4:$W$1003,0),""))</f>
        <v/>
      </c>
    </row>
    <row r="181" customFormat="false" ht="16.5" hidden="false" customHeight="false" outlineLevel="0" collapsed="false">
      <c r="A181" s="3" t="str">
        <f aca="false">IF($W181="","",INDEX(发票统计!A$4:A$1003,$W181)&amp;"")</f>
        <v/>
      </c>
      <c r="B181" s="3" t="str">
        <f aca="false">IF($W181="","",INDEX(发票统计!B$4:B$1003,$W181)&amp;"")</f>
        <v/>
      </c>
      <c r="C181" s="3" t="str">
        <f aca="false">IF($W181="","",INDEX(发票统计!C$4:C$1003,$W181)&amp;"")</f>
        <v/>
      </c>
      <c r="D181" s="3" t="str">
        <f aca="false">IF($W181="","",INDEX(发票统计!D$4:D$1003,$W181)&amp;"")</f>
        <v/>
      </c>
      <c r="E181" s="56" t="str">
        <f aca="false">IF($W181="","",INDEX(发票统计!E$4:E$1003,$W181)&amp;"")</f>
        <v/>
      </c>
      <c r="F181" s="56" t="str">
        <f aca="false">IF($W181="","",INDEX(发票统计!F$4:F$1003,$W181)&amp;"")</f>
        <v/>
      </c>
      <c r="G181" s="68" t="str">
        <f aca="false">IF($W181="","",IF(INDEX(发票统计!G$4:G$1003,$W181)="","",INDEX(发票统计!G$4:G$1003,$W181)))</f>
        <v/>
      </c>
      <c r="H181" s="56" t="str">
        <f aca="false">IF($W181="","",N(INDEX(发票统计!H$4:H$1003,$W181)))</f>
        <v/>
      </c>
      <c r="I181" s="56" t="str">
        <f aca="false">IF($W181="","",N(INDEX(发票统计!I$4:I$1003,$W181)))</f>
        <v/>
      </c>
      <c r="J181" s="56" t="str">
        <f aca="false">IF($W181="","",N(INDEX(发票统计!J$4:J$1003,$W181)))</f>
        <v/>
      </c>
      <c r="K181" s="56" t="str">
        <f aca="false">IF($W181="","",N(INDEX(发票统计!K$4:K$1003,$W181)))</f>
        <v/>
      </c>
      <c r="L181" s="56" t="str">
        <f aca="false">IF($W181="","",SUM(J$4:J181)-SUM(K$4:K181))</f>
        <v/>
      </c>
      <c r="M181" s="56" t="str">
        <f aca="false">IF($W181="","",N(INDEX(发票统计!M$4:M$1003,$W181)))</f>
        <v/>
      </c>
      <c r="N181" s="56" t="str">
        <f aca="false">IF($W181="","",N(INDEX(发票统计!N$4:N$1003,$W181)))</f>
        <v/>
      </c>
      <c r="O181" s="56" t="str">
        <f aca="false">IF($W181="","",N(INDEX(发票统计!O$4:O$1003,$W181)))</f>
        <v/>
      </c>
      <c r="P181" s="56" t="str">
        <f aca="false">IF($W181="","",SUM(M$4:M181)-SUM(N$4:N181)-SUM(O$4:O181))</f>
        <v/>
      </c>
      <c r="Q181" s="56" t="str">
        <f aca="false">IF($W181="","",N(INDEX(发票统计!Q$4:Q$1003,$W181)))</f>
        <v/>
      </c>
      <c r="R181" s="56" t="str">
        <f aca="false">IF($W181="","",N(INDEX(发票统计!R$4:R$1003,$W181)))</f>
        <v/>
      </c>
      <c r="S181" s="56" t="str">
        <f aca="false">IF($W181="","",N(INDEX(发票统计!S$4:S$1003,$W181)))</f>
        <v/>
      </c>
      <c r="T181" s="56" t="str">
        <f aca="false">IF($W181="","",SUM(Q$4:Q181)-SUM(R$4:R181)-SUM(S$4:S181))</f>
        <v/>
      </c>
      <c r="U181" s="56" t="str">
        <f aca="false">IF($W181="","",INDEX(发票统计!U$4:U$1003,$W181)&amp;"")</f>
        <v/>
      </c>
      <c r="W181" s="1" t="str">
        <f aca="false">IF($V$3="","",IFERROR(MATCH($V$3&amp;"#"&amp;ROWS(W$4:W181),发票统计!$W$4:$W$1003,0),""))</f>
        <v/>
      </c>
    </row>
    <row r="182" customFormat="false" ht="16.5" hidden="false" customHeight="false" outlineLevel="0" collapsed="false">
      <c r="A182" s="3" t="str">
        <f aca="false">IF($W182="","",INDEX(发票统计!A$4:A$1003,$W182)&amp;"")</f>
        <v/>
      </c>
      <c r="B182" s="3" t="str">
        <f aca="false">IF($W182="","",INDEX(发票统计!B$4:B$1003,$W182)&amp;"")</f>
        <v/>
      </c>
      <c r="C182" s="3" t="str">
        <f aca="false">IF($W182="","",INDEX(发票统计!C$4:C$1003,$W182)&amp;"")</f>
        <v/>
      </c>
      <c r="D182" s="3" t="str">
        <f aca="false">IF($W182="","",INDEX(发票统计!D$4:D$1003,$W182)&amp;"")</f>
        <v/>
      </c>
      <c r="E182" s="56" t="str">
        <f aca="false">IF($W182="","",INDEX(发票统计!E$4:E$1003,$W182)&amp;"")</f>
        <v/>
      </c>
      <c r="F182" s="56" t="str">
        <f aca="false">IF($W182="","",INDEX(发票统计!F$4:F$1003,$W182)&amp;"")</f>
        <v/>
      </c>
      <c r="G182" s="68" t="str">
        <f aca="false">IF($W182="","",IF(INDEX(发票统计!G$4:G$1003,$W182)="","",INDEX(发票统计!G$4:G$1003,$W182)))</f>
        <v/>
      </c>
      <c r="H182" s="56" t="str">
        <f aca="false">IF($W182="","",N(INDEX(发票统计!H$4:H$1003,$W182)))</f>
        <v/>
      </c>
      <c r="I182" s="56" t="str">
        <f aca="false">IF($W182="","",N(INDEX(发票统计!I$4:I$1003,$W182)))</f>
        <v/>
      </c>
      <c r="J182" s="56" t="str">
        <f aca="false">IF($W182="","",N(INDEX(发票统计!J$4:J$1003,$W182)))</f>
        <v/>
      </c>
      <c r="K182" s="56" t="str">
        <f aca="false">IF($W182="","",N(INDEX(发票统计!K$4:K$1003,$W182)))</f>
        <v/>
      </c>
      <c r="L182" s="56" t="str">
        <f aca="false">IF($W182="","",SUM(J$4:J182)-SUM(K$4:K182))</f>
        <v/>
      </c>
      <c r="M182" s="56" t="str">
        <f aca="false">IF($W182="","",N(INDEX(发票统计!M$4:M$1003,$W182)))</f>
        <v/>
      </c>
      <c r="N182" s="56" t="str">
        <f aca="false">IF($W182="","",N(INDEX(发票统计!N$4:N$1003,$W182)))</f>
        <v/>
      </c>
      <c r="O182" s="56" t="str">
        <f aca="false">IF($W182="","",N(INDEX(发票统计!O$4:O$1003,$W182)))</f>
        <v/>
      </c>
      <c r="P182" s="56" t="str">
        <f aca="false">IF($W182="","",SUM(M$4:M182)-SUM(N$4:N182)-SUM(O$4:O182))</f>
        <v/>
      </c>
      <c r="Q182" s="56" t="str">
        <f aca="false">IF($W182="","",N(INDEX(发票统计!Q$4:Q$1003,$W182)))</f>
        <v/>
      </c>
      <c r="R182" s="56" t="str">
        <f aca="false">IF($W182="","",N(INDEX(发票统计!R$4:R$1003,$W182)))</f>
        <v/>
      </c>
      <c r="S182" s="56" t="str">
        <f aca="false">IF($W182="","",N(INDEX(发票统计!S$4:S$1003,$W182)))</f>
        <v/>
      </c>
      <c r="T182" s="56" t="str">
        <f aca="false">IF($W182="","",SUM(Q$4:Q182)-SUM(R$4:R182)-SUM(S$4:S182))</f>
        <v/>
      </c>
      <c r="U182" s="56" t="str">
        <f aca="false">IF($W182="","",INDEX(发票统计!U$4:U$1003,$W182)&amp;"")</f>
        <v/>
      </c>
      <c r="W182" s="1" t="str">
        <f aca="false">IF($V$3="","",IFERROR(MATCH($V$3&amp;"#"&amp;ROWS(W$4:W182),发票统计!$W$4:$W$1003,0),""))</f>
        <v/>
      </c>
    </row>
    <row r="183" customFormat="false" ht="16.5" hidden="false" customHeight="false" outlineLevel="0" collapsed="false">
      <c r="A183" s="3" t="str">
        <f aca="false">IF($W183="","",INDEX(发票统计!A$4:A$1003,$W183)&amp;"")</f>
        <v/>
      </c>
      <c r="B183" s="3" t="str">
        <f aca="false">IF($W183="","",INDEX(发票统计!B$4:B$1003,$W183)&amp;"")</f>
        <v/>
      </c>
      <c r="C183" s="3" t="str">
        <f aca="false">IF($W183="","",INDEX(发票统计!C$4:C$1003,$W183)&amp;"")</f>
        <v/>
      </c>
      <c r="D183" s="3" t="str">
        <f aca="false">IF($W183="","",INDEX(发票统计!D$4:D$1003,$W183)&amp;"")</f>
        <v/>
      </c>
      <c r="E183" s="56" t="str">
        <f aca="false">IF($W183="","",INDEX(发票统计!E$4:E$1003,$W183)&amp;"")</f>
        <v/>
      </c>
      <c r="F183" s="56" t="str">
        <f aca="false">IF($W183="","",INDEX(发票统计!F$4:F$1003,$W183)&amp;"")</f>
        <v/>
      </c>
      <c r="G183" s="68" t="str">
        <f aca="false">IF($W183="","",IF(INDEX(发票统计!G$4:G$1003,$W183)="","",INDEX(发票统计!G$4:G$1003,$W183)))</f>
        <v/>
      </c>
      <c r="H183" s="56" t="str">
        <f aca="false">IF($W183="","",N(INDEX(发票统计!H$4:H$1003,$W183)))</f>
        <v/>
      </c>
      <c r="I183" s="56" t="str">
        <f aca="false">IF($W183="","",N(INDEX(发票统计!I$4:I$1003,$W183)))</f>
        <v/>
      </c>
      <c r="J183" s="56" t="str">
        <f aca="false">IF($W183="","",N(INDEX(发票统计!J$4:J$1003,$W183)))</f>
        <v/>
      </c>
      <c r="K183" s="56" t="str">
        <f aca="false">IF($W183="","",N(INDEX(发票统计!K$4:K$1003,$W183)))</f>
        <v/>
      </c>
      <c r="L183" s="56" t="str">
        <f aca="false">IF($W183="","",SUM(J$4:J183)-SUM(K$4:K183))</f>
        <v/>
      </c>
      <c r="M183" s="56" t="str">
        <f aca="false">IF($W183="","",N(INDEX(发票统计!M$4:M$1003,$W183)))</f>
        <v/>
      </c>
      <c r="N183" s="56" t="str">
        <f aca="false">IF($W183="","",N(INDEX(发票统计!N$4:N$1003,$W183)))</f>
        <v/>
      </c>
      <c r="O183" s="56" t="str">
        <f aca="false">IF($W183="","",N(INDEX(发票统计!O$4:O$1003,$W183)))</f>
        <v/>
      </c>
      <c r="P183" s="56" t="str">
        <f aca="false">IF($W183="","",SUM(M$4:M183)-SUM(N$4:N183)-SUM(O$4:O183))</f>
        <v/>
      </c>
      <c r="Q183" s="56" t="str">
        <f aca="false">IF($W183="","",N(INDEX(发票统计!Q$4:Q$1003,$W183)))</f>
        <v/>
      </c>
      <c r="R183" s="56" t="str">
        <f aca="false">IF($W183="","",N(INDEX(发票统计!R$4:R$1003,$W183)))</f>
        <v/>
      </c>
      <c r="S183" s="56" t="str">
        <f aca="false">IF($W183="","",N(INDEX(发票统计!S$4:S$1003,$W183)))</f>
        <v/>
      </c>
      <c r="T183" s="56" t="str">
        <f aca="false">IF($W183="","",SUM(Q$4:Q183)-SUM(R$4:R183)-SUM(S$4:S183))</f>
        <v/>
      </c>
      <c r="U183" s="56" t="str">
        <f aca="false">IF($W183="","",INDEX(发票统计!U$4:U$1003,$W183)&amp;"")</f>
        <v/>
      </c>
      <c r="W183" s="1" t="str">
        <f aca="false">IF($V$3="","",IFERROR(MATCH($V$3&amp;"#"&amp;ROWS(W$4:W183),发票统计!$W$4:$W$1003,0),""))</f>
        <v/>
      </c>
    </row>
    <row r="184" customFormat="false" ht="16.5" hidden="false" customHeight="false" outlineLevel="0" collapsed="false">
      <c r="A184" s="3" t="str">
        <f aca="false">IF($W184="","",INDEX(发票统计!A$4:A$1003,$W184)&amp;"")</f>
        <v/>
      </c>
      <c r="B184" s="3" t="str">
        <f aca="false">IF($W184="","",INDEX(发票统计!B$4:B$1003,$W184)&amp;"")</f>
        <v/>
      </c>
      <c r="C184" s="3" t="str">
        <f aca="false">IF($W184="","",INDEX(发票统计!C$4:C$1003,$W184)&amp;"")</f>
        <v/>
      </c>
      <c r="D184" s="3" t="str">
        <f aca="false">IF($W184="","",INDEX(发票统计!D$4:D$1003,$W184)&amp;"")</f>
        <v/>
      </c>
      <c r="E184" s="56" t="str">
        <f aca="false">IF($W184="","",INDEX(发票统计!E$4:E$1003,$W184)&amp;"")</f>
        <v/>
      </c>
      <c r="F184" s="56" t="str">
        <f aca="false">IF($W184="","",INDEX(发票统计!F$4:F$1003,$W184)&amp;"")</f>
        <v/>
      </c>
      <c r="G184" s="68" t="str">
        <f aca="false">IF($W184="","",IF(INDEX(发票统计!G$4:G$1003,$W184)="","",INDEX(发票统计!G$4:G$1003,$W184)))</f>
        <v/>
      </c>
      <c r="H184" s="56" t="str">
        <f aca="false">IF($W184="","",N(INDEX(发票统计!H$4:H$1003,$W184)))</f>
        <v/>
      </c>
      <c r="I184" s="56" t="str">
        <f aca="false">IF($W184="","",N(INDEX(发票统计!I$4:I$1003,$W184)))</f>
        <v/>
      </c>
      <c r="J184" s="56" t="str">
        <f aca="false">IF($W184="","",N(INDEX(发票统计!J$4:J$1003,$W184)))</f>
        <v/>
      </c>
      <c r="K184" s="56" t="str">
        <f aca="false">IF($W184="","",N(INDEX(发票统计!K$4:K$1003,$W184)))</f>
        <v/>
      </c>
      <c r="L184" s="56" t="str">
        <f aca="false">IF($W184="","",SUM(J$4:J184)-SUM(K$4:K184))</f>
        <v/>
      </c>
      <c r="M184" s="56" t="str">
        <f aca="false">IF($W184="","",N(INDEX(发票统计!M$4:M$1003,$W184)))</f>
        <v/>
      </c>
      <c r="N184" s="56" t="str">
        <f aca="false">IF($W184="","",N(INDEX(发票统计!N$4:N$1003,$W184)))</f>
        <v/>
      </c>
      <c r="O184" s="56" t="str">
        <f aca="false">IF($W184="","",N(INDEX(发票统计!O$4:O$1003,$W184)))</f>
        <v/>
      </c>
      <c r="P184" s="56" t="str">
        <f aca="false">IF($W184="","",SUM(M$4:M184)-SUM(N$4:N184)-SUM(O$4:O184))</f>
        <v/>
      </c>
      <c r="Q184" s="56" t="str">
        <f aca="false">IF($W184="","",N(INDEX(发票统计!Q$4:Q$1003,$W184)))</f>
        <v/>
      </c>
      <c r="R184" s="56" t="str">
        <f aca="false">IF($W184="","",N(INDEX(发票统计!R$4:R$1003,$W184)))</f>
        <v/>
      </c>
      <c r="S184" s="56" t="str">
        <f aca="false">IF($W184="","",N(INDEX(发票统计!S$4:S$1003,$W184)))</f>
        <v/>
      </c>
      <c r="T184" s="56" t="str">
        <f aca="false">IF($W184="","",SUM(Q$4:Q184)-SUM(R$4:R184)-SUM(S$4:S184))</f>
        <v/>
      </c>
      <c r="U184" s="56" t="str">
        <f aca="false">IF($W184="","",INDEX(发票统计!U$4:U$1003,$W184)&amp;"")</f>
        <v/>
      </c>
      <c r="W184" s="1" t="str">
        <f aca="false">IF($V$3="","",IFERROR(MATCH($V$3&amp;"#"&amp;ROWS(W$4:W184),发票统计!$W$4:$W$1003,0),""))</f>
        <v/>
      </c>
    </row>
    <row r="185" customFormat="false" ht="16.5" hidden="false" customHeight="false" outlineLevel="0" collapsed="false">
      <c r="A185" s="3" t="str">
        <f aca="false">IF($W185="","",INDEX(发票统计!A$4:A$1003,$W185)&amp;"")</f>
        <v/>
      </c>
      <c r="B185" s="3" t="str">
        <f aca="false">IF($W185="","",INDEX(发票统计!B$4:B$1003,$W185)&amp;"")</f>
        <v/>
      </c>
      <c r="C185" s="3" t="str">
        <f aca="false">IF($W185="","",INDEX(发票统计!C$4:C$1003,$W185)&amp;"")</f>
        <v/>
      </c>
      <c r="D185" s="3" t="str">
        <f aca="false">IF($W185="","",INDEX(发票统计!D$4:D$1003,$W185)&amp;"")</f>
        <v/>
      </c>
      <c r="E185" s="56" t="str">
        <f aca="false">IF($W185="","",INDEX(发票统计!E$4:E$1003,$W185)&amp;"")</f>
        <v/>
      </c>
      <c r="F185" s="56" t="str">
        <f aca="false">IF($W185="","",INDEX(发票统计!F$4:F$1003,$W185)&amp;"")</f>
        <v/>
      </c>
      <c r="G185" s="68" t="str">
        <f aca="false">IF($W185="","",IF(INDEX(发票统计!G$4:G$1003,$W185)="","",INDEX(发票统计!G$4:G$1003,$W185)))</f>
        <v/>
      </c>
      <c r="H185" s="56" t="str">
        <f aca="false">IF($W185="","",N(INDEX(发票统计!H$4:H$1003,$W185)))</f>
        <v/>
      </c>
      <c r="I185" s="56" t="str">
        <f aca="false">IF($W185="","",N(INDEX(发票统计!I$4:I$1003,$W185)))</f>
        <v/>
      </c>
      <c r="J185" s="56" t="str">
        <f aca="false">IF($W185="","",N(INDEX(发票统计!J$4:J$1003,$W185)))</f>
        <v/>
      </c>
      <c r="K185" s="56" t="str">
        <f aca="false">IF($W185="","",N(INDEX(发票统计!K$4:K$1003,$W185)))</f>
        <v/>
      </c>
      <c r="L185" s="56" t="str">
        <f aca="false">IF($W185="","",SUM(J$4:J185)-SUM(K$4:K185))</f>
        <v/>
      </c>
      <c r="M185" s="56" t="str">
        <f aca="false">IF($W185="","",N(INDEX(发票统计!M$4:M$1003,$W185)))</f>
        <v/>
      </c>
      <c r="N185" s="56" t="str">
        <f aca="false">IF($W185="","",N(INDEX(发票统计!N$4:N$1003,$W185)))</f>
        <v/>
      </c>
      <c r="O185" s="56" t="str">
        <f aca="false">IF($W185="","",N(INDEX(发票统计!O$4:O$1003,$W185)))</f>
        <v/>
      </c>
      <c r="P185" s="56" t="str">
        <f aca="false">IF($W185="","",SUM(M$4:M185)-SUM(N$4:N185)-SUM(O$4:O185))</f>
        <v/>
      </c>
      <c r="Q185" s="56" t="str">
        <f aca="false">IF($W185="","",N(INDEX(发票统计!Q$4:Q$1003,$W185)))</f>
        <v/>
      </c>
      <c r="R185" s="56" t="str">
        <f aca="false">IF($W185="","",N(INDEX(发票统计!R$4:R$1003,$W185)))</f>
        <v/>
      </c>
      <c r="S185" s="56" t="str">
        <f aca="false">IF($W185="","",N(INDEX(发票统计!S$4:S$1003,$W185)))</f>
        <v/>
      </c>
      <c r="T185" s="56" t="str">
        <f aca="false">IF($W185="","",SUM(Q$4:Q185)-SUM(R$4:R185)-SUM(S$4:S185))</f>
        <v/>
      </c>
      <c r="U185" s="56" t="str">
        <f aca="false">IF($W185="","",INDEX(发票统计!U$4:U$1003,$W185)&amp;"")</f>
        <v/>
      </c>
      <c r="W185" s="1" t="str">
        <f aca="false">IF($V$3="","",IFERROR(MATCH($V$3&amp;"#"&amp;ROWS(W$4:W185),发票统计!$W$4:$W$1003,0),""))</f>
        <v/>
      </c>
    </row>
    <row r="186" customFormat="false" ht="16.5" hidden="false" customHeight="false" outlineLevel="0" collapsed="false">
      <c r="A186" s="3" t="str">
        <f aca="false">IF($W186="","",INDEX(发票统计!A$4:A$1003,$W186)&amp;"")</f>
        <v/>
      </c>
      <c r="B186" s="3" t="str">
        <f aca="false">IF($W186="","",INDEX(发票统计!B$4:B$1003,$W186)&amp;"")</f>
        <v/>
      </c>
      <c r="C186" s="3" t="str">
        <f aca="false">IF($W186="","",INDEX(发票统计!C$4:C$1003,$W186)&amp;"")</f>
        <v/>
      </c>
      <c r="D186" s="3" t="str">
        <f aca="false">IF($W186="","",INDEX(发票统计!D$4:D$1003,$W186)&amp;"")</f>
        <v/>
      </c>
      <c r="E186" s="56" t="str">
        <f aca="false">IF($W186="","",INDEX(发票统计!E$4:E$1003,$W186)&amp;"")</f>
        <v/>
      </c>
      <c r="F186" s="56" t="str">
        <f aca="false">IF($W186="","",INDEX(发票统计!F$4:F$1003,$W186)&amp;"")</f>
        <v/>
      </c>
      <c r="G186" s="68" t="str">
        <f aca="false">IF($W186="","",IF(INDEX(发票统计!G$4:G$1003,$W186)="","",INDEX(发票统计!G$4:G$1003,$W186)))</f>
        <v/>
      </c>
      <c r="H186" s="56" t="str">
        <f aca="false">IF($W186="","",N(INDEX(发票统计!H$4:H$1003,$W186)))</f>
        <v/>
      </c>
      <c r="I186" s="56" t="str">
        <f aca="false">IF($W186="","",N(INDEX(发票统计!I$4:I$1003,$W186)))</f>
        <v/>
      </c>
      <c r="J186" s="56" t="str">
        <f aca="false">IF($W186="","",N(INDEX(发票统计!J$4:J$1003,$W186)))</f>
        <v/>
      </c>
      <c r="K186" s="56" t="str">
        <f aca="false">IF($W186="","",N(INDEX(发票统计!K$4:K$1003,$W186)))</f>
        <v/>
      </c>
      <c r="L186" s="56" t="str">
        <f aca="false">IF($W186="","",SUM(J$4:J186)-SUM(K$4:K186))</f>
        <v/>
      </c>
      <c r="M186" s="56" t="str">
        <f aca="false">IF($W186="","",N(INDEX(发票统计!M$4:M$1003,$W186)))</f>
        <v/>
      </c>
      <c r="N186" s="56" t="str">
        <f aca="false">IF($W186="","",N(INDEX(发票统计!N$4:N$1003,$W186)))</f>
        <v/>
      </c>
      <c r="O186" s="56" t="str">
        <f aca="false">IF($W186="","",N(INDEX(发票统计!O$4:O$1003,$W186)))</f>
        <v/>
      </c>
      <c r="P186" s="56" t="str">
        <f aca="false">IF($W186="","",SUM(M$4:M186)-SUM(N$4:N186)-SUM(O$4:O186))</f>
        <v/>
      </c>
      <c r="Q186" s="56" t="str">
        <f aca="false">IF($W186="","",N(INDEX(发票统计!Q$4:Q$1003,$W186)))</f>
        <v/>
      </c>
      <c r="R186" s="56" t="str">
        <f aca="false">IF($W186="","",N(INDEX(发票统计!R$4:R$1003,$W186)))</f>
        <v/>
      </c>
      <c r="S186" s="56" t="str">
        <f aca="false">IF($W186="","",N(INDEX(发票统计!S$4:S$1003,$W186)))</f>
        <v/>
      </c>
      <c r="T186" s="56" t="str">
        <f aca="false">IF($W186="","",SUM(Q$4:Q186)-SUM(R$4:R186)-SUM(S$4:S186))</f>
        <v/>
      </c>
      <c r="U186" s="56" t="str">
        <f aca="false">IF($W186="","",INDEX(发票统计!U$4:U$1003,$W186)&amp;"")</f>
        <v/>
      </c>
      <c r="W186" s="1" t="str">
        <f aca="false">IF($V$3="","",IFERROR(MATCH($V$3&amp;"#"&amp;ROWS(W$4:W186),发票统计!$W$4:$W$1003,0),""))</f>
        <v/>
      </c>
    </row>
    <row r="187" customFormat="false" ht="16.5" hidden="false" customHeight="false" outlineLevel="0" collapsed="false">
      <c r="A187" s="3" t="str">
        <f aca="false">IF($W187="","",INDEX(发票统计!A$4:A$1003,$W187)&amp;"")</f>
        <v/>
      </c>
      <c r="B187" s="3" t="str">
        <f aca="false">IF($W187="","",INDEX(发票统计!B$4:B$1003,$W187)&amp;"")</f>
        <v/>
      </c>
      <c r="C187" s="3" t="str">
        <f aca="false">IF($W187="","",INDEX(发票统计!C$4:C$1003,$W187)&amp;"")</f>
        <v/>
      </c>
      <c r="D187" s="3" t="str">
        <f aca="false">IF($W187="","",INDEX(发票统计!D$4:D$1003,$W187)&amp;"")</f>
        <v/>
      </c>
      <c r="E187" s="56" t="str">
        <f aca="false">IF($W187="","",INDEX(发票统计!E$4:E$1003,$W187)&amp;"")</f>
        <v/>
      </c>
      <c r="F187" s="56" t="str">
        <f aca="false">IF($W187="","",INDEX(发票统计!F$4:F$1003,$W187)&amp;"")</f>
        <v/>
      </c>
      <c r="G187" s="68" t="str">
        <f aca="false">IF($W187="","",IF(INDEX(发票统计!G$4:G$1003,$W187)="","",INDEX(发票统计!G$4:G$1003,$W187)))</f>
        <v/>
      </c>
      <c r="H187" s="56" t="str">
        <f aca="false">IF($W187="","",N(INDEX(发票统计!H$4:H$1003,$W187)))</f>
        <v/>
      </c>
      <c r="I187" s="56" t="str">
        <f aca="false">IF($W187="","",N(INDEX(发票统计!I$4:I$1003,$W187)))</f>
        <v/>
      </c>
      <c r="J187" s="56" t="str">
        <f aca="false">IF($W187="","",N(INDEX(发票统计!J$4:J$1003,$W187)))</f>
        <v/>
      </c>
      <c r="K187" s="56" t="str">
        <f aca="false">IF($W187="","",N(INDEX(发票统计!K$4:K$1003,$W187)))</f>
        <v/>
      </c>
      <c r="L187" s="56" t="str">
        <f aca="false">IF($W187="","",SUM(J$4:J187)-SUM(K$4:K187))</f>
        <v/>
      </c>
      <c r="M187" s="56" t="str">
        <f aca="false">IF($W187="","",N(INDEX(发票统计!M$4:M$1003,$W187)))</f>
        <v/>
      </c>
      <c r="N187" s="56" t="str">
        <f aca="false">IF($W187="","",N(INDEX(发票统计!N$4:N$1003,$W187)))</f>
        <v/>
      </c>
      <c r="O187" s="56" t="str">
        <f aca="false">IF($W187="","",N(INDEX(发票统计!O$4:O$1003,$W187)))</f>
        <v/>
      </c>
      <c r="P187" s="56" t="str">
        <f aca="false">IF($W187="","",SUM(M$4:M187)-SUM(N$4:N187)-SUM(O$4:O187))</f>
        <v/>
      </c>
      <c r="Q187" s="56" t="str">
        <f aca="false">IF($W187="","",N(INDEX(发票统计!Q$4:Q$1003,$W187)))</f>
        <v/>
      </c>
      <c r="R187" s="56" t="str">
        <f aca="false">IF($W187="","",N(INDEX(发票统计!R$4:R$1003,$W187)))</f>
        <v/>
      </c>
      <c r="S187" s="56" t="str">
        <f aca="false">IF($W187="","",N(INDEX(发票统计!S$4:S$1003,$W187)))</f>
        <v/>
      </c>
      <c r="T187" s="56" t="str">
        <f aca="false">IF($W187="","",SUM(Q$4:Q187)-SUM(R$4:R187)-SUM(S$4:S187))</f>
        <v/>
      </c>
      <c r="U187" s="56" t="str">
        <f aca="false">IF($W187="","",INDEX(发票统计!U$4:U$1003,$W187)&amp;"")</f>
        <v/>
      </c>
      <c r="W187" s="1" t="str">
        <f aca="false">IF($V$3="","",IFERROR(MATCH($V$3&amp;"#"&amp;ROWS(W$4:W187),发票统计!$W$4:$W$1003,0),""))</f>
        <v/>
      </c>
    </row>
    <row r="188" customFormat="false" ht="16.5" hidden="false" customHeight="false" outlineLevel="0" collapsed="false">
      <c r="A188" s="3" t="str">
        <f aca="false">IF($W188="","",INDEX(发票统计!A$4:A$1003,$W188)&amp;"")</f>
        <v/>
      </c>
      <c r="B188" s="3" t="str">
        <f aca="false">IF($W188="","",INDEX(发票统计!B$4:B$1003,$W188)&amp;"")</f>
        <v/>
      </c>
      <c r="C188" s="3" t="str">
        <f aca="false">IF($W188="","",INDEX(发票统计!C$4:C$1003,$W188)&amp;"")</f>
        <v/>
      </c>
      <c r="D188" s="3" t="str">
        <f aca="false">IF($W188="","",INDEX(发票统计!D$4:D$1003,$W188)&amp;"")</f>
        <v/>
      </c>
      <c r="E188" s="56" t="str">
        <f aca="false">IF($W188="","",INDEX(发票统计!E$4:E$1003,$W188)&amp;"")</f>
        <v/>
      </c>
      <c r="F188" s="56" t="str">
        <f aca="false">IF($W188="","",INDEX(发票统计!F$4:F$1003,$W188)&amp;"")</f>
        <v/>
      </c>
      <c r="G188" s="68" t="str">
        <f aca="false">IF($W188="","",IF(INDEX(发票统计!G$4:G$1003,$W188)="","",INDEX(发票统计!G$4:G$1003,$W188)))</f>
        <v/>
      </c>
      <c r="H188" s="56" t="str">
        <f aca="false">IF($W188="","",N(INDEX(发票统计!H$4:H$1003,$W188)))</f>
        <v/>
      </c>
      <c r="I188" s="56" t="str">
        <f aca="false">IF($W188="","",N(INDEX(发票统计!I$4:I$1003,$W188)))</f>
        <v/>
      </c>
      <c r="J188" s="56" t="str">
        <f aca="false">IF($W188="","",N(INDEX(发票统计!J$4:J$1003,$W188)))</f>
        <v/>
      </c>
      <c r="K188" s="56" t="str">
        <f aca="false">IF($W188="","",N(INDEX(发票统计!K$4:K$1003,$W188)))</f>
        <v/>
      </c>
      <c r="L188" s="56" t="str">
        <f aca="false">IF($W188="","",SUM(J$4:J188)-SUM(K$4:K188))</f>
        <v/>
      </c>
      <c r="M188" s="56" t="str">
        <f aca="false">IF($W188="","",N(INDEX(发票统计!M$4:M$1003,$W188)))</f>
        <v/>
      </c>
      <c r="N188" s="56" t="str">
        <f aca="false">IF($W188="","",N(INDEX(发票统计!N$4:N$1003,$W188)))</f>
        <v/>
      </c>
      <c r="O188" s="56" t="str">
        <f aca="false">IF($W188="","",N(INDEX(发票统计!O$4:O$1003,$W188)))</f>
        <v/>
      </c>
      <c r="P188" s="56" t="str">
        <f aca="false">IF($W188="","",SUM(M$4:M188)-SUM(N$4:N188)-SUM(O$4:O188))</f>
        <v/>
      </c>
      <c r="Q188" s="56" t="str">
        <f aca="false">IF($W188="","",N(INDEX(发票统计!Q$4:Q$1003,$W188)))</f>
        <v/>
      </c>
      <c r="R188" s="56" t="str">
        <f aca="false">IF($W188="","",N(INDEX(发票统计!R$4:R$1003,$W188)))</f>
        <v/>
      </c>
      <c r="S188" s="56" t="str">
        <f aca="false">IF($W188="","",N(INDEX(发票统计!S$4:S$1003,$W188)))</f>
        <v/>
      </c>
      <c r="T188" s="56" t="str">
        <f aca="false">IF($W188="","",SUM(Q$4:Q188)-SUM(R$4:R188)-SUM(S$4:S188))</f>
        <v/>
      </c>
      <c r="U188" s="56" t="str">
        <f aca="false">IF($W188="","",INDEX(发票统计!U$4:U$1003,$W188)&amp;"")</f>
        <v/>
      </c>
      <c r="W188" s="1" t="str">
        <f aca="false">IF($V$3="","",IFERROR(MATCH($V$3&amp;"#"&amp;ROWS(W$4:W188),发票统计!$W$4:$W$1003,0),""))</f>
        <v/>
      </c>
    </row>
    <row r="189" customFormat="false" ht="16.5" hidden="false" customHeight="false" outlineLevel="0" collapsed="false">
      <c r="A189" s="3" t="str">
        <f aca="false">IF($W189="","",INDEX(发票统计!A$4:A$1003,$W189)&amp;"")</f>
        <v/>
      </c>
      <c r="B189" s="3" t="str">
        <f aca="false">IF($W189="","",INDEX(发票统计!B$4:B$1003,$W189)&amp;"")</f>
        <v/>
      </c>
      <c r="C189" s="3" t="str">
        <f aca="false">IF($W189="","",INDEX(发票统计!C$4:C$1003,$W189)&amp;"")</f>
        <v/>
      </c>
      <c r="D189" s="3" t="str">
        <f aca="false">IF($W189="","",INDEX(发票统计!D$4:D$1003,$W189)&amp;"")</f>
        <v/>
      </c>
      <c r="E189" s="56" t="str">
        <f aca="false">IF($W189="","",INDEX(发票统计!E$4:E$1003,$W189)&amp;"")</f>
        <v/>
      </c>
      <c r="F189" s="56" t="str">
        <f aca="false">IF($W189="","",INDEX(发票统计!F$4:F$1003,$W189)&amp;"")</f>
        <v/>
      </c>
      <c r="G189" s="68" t="str">
        <f aca="false">IF($W189="","",IF(INDEX(发票统计!G$4:G$1003,$W189)="","",INDEX(发票统计!G$4:G$1003,$W189)))</f>
        <v/>
      </c>
      <c r="H189" s="56" t="str">
        <f aca="false">IF($W189="","",N(INDEX(发票统计!H$4:H$1003,$W189)))</f>
        <v/>
      </c>
      <c r="I189" s="56" t="str">
        <f aca="false">IF($W189="","",N(INDEX(发票统计!I$4:I$1003,$W189)))</f>
        <v/>
      </c>
      <c r="J189" s="56" t="str">
        <f aca="false">IF($W189="","",N(INDEX(发票统计!J$4:J$1003,$W189)))</f>
        <v/>
      </c>
      <c r="K189" s="56" t="str">
        <f aca="false">IF($W189="","",N(INDEX(发票统计!K$4:K$1003,$W189)))</f>
        <v/>
      </c>
      <c r="L189" s="56" t="str">
        <f aca="false">IF($W189="","",SUM(J$4:J189)-SUM(K$4:K189))</f>
        <v/>
      </c>
      <c r="M189" s="56" t="str">
        <f aca="false">IF($W189="","",N(INDEX(发票统计!M$4:M$1003,$W189)))</f>
        <v/>
      </c>
      <c r="N189" s="56" t="str">
        <f aca="false">IF($W189="","",N(INDEX(发票统计!N$4:N$1003,$W189)))</f>
        <v/>
      </c>
      <c r="O189" s="56" t="str">
        <f aca="false">IF($W189="","",N(INDEX(发票统计!O$4:O$1003,$W189)))</f>
        <v/>
      </c>
      <c r="P189" s="56" t="str">
        <f aca="false">IF($W189="","",SUM(M$4:M189)-SUM(N$4:N189)-SUM(O$4:O189))</f>
        <v/>
      </c>
      <c r="Q189" s="56" t="str">
        <f aca="false">IF($W189="","",N(INDEX(发票统计!Q$4:Q$1003,$W189)))</f>
        <v/>
      </c>
      <c r="R189" s="56" t="str">
        <f aca="false">IF($W189="","",N(INDEX(发票统计!R$4:R$1003,$W189)))</f>
        <v/>
      </c>
      <c r="S189" s="56" t="str">
        <f aca="false">IF($W189="","",N(INDEX(发票统计!S$4:S$1003,$W189)))</f>
        <v/>
      </c>
      <c r="T189" s="56" t="str">
        <f aca="false">IF($W189="","",SUM(Q$4:Q189)-SUM(R$4:R189)-SUM(S$4:S189))</f>
        <v/>
      </c>
      <c r="U189" s="56" t="str">
        <f aca="false">IF($W189="","",INDEX(发票统计!U$4:U$1003,$W189)&amp;"")</f>
        <v/>
      </c>
      <c r="W189" s="1" t="str">
        <f aca="false">IF($V$3="","",IFERROR(MATCH($V$3&amp;"#"&amp;ROWS(W$4:W189),发票统计!$W$4:$W$1003,0),""))</f>
        <v/>
      </c>
    </row>
    <row r="190" customFormat="false" ht="16.5" hidden="false" customHeight="false" outlineLevel="0" collapsed="false">
      <c r="A190" s="3" t="str">
        <f aca="false">IF($W190="","",INDEX(发票统计!A$4:A$1003,$W190)&amp;"")</f>
        <v/>
      </c>
      <c r="B190" s="3" t="str">
        <f aca="false">IF($W190="","",INDEX(发票统计!B$4:B$1003,$W190)&amp;"")</f>
        <v/>
      </c>
      <c r="C190" s="3" t="str">
        <f aca="false">IF($W190="","",INDEX(发票统计!C$4:C$1003,$W190)&amp;"")</f>
        <v/>
      </c>
      <c r="D190" s="3" t="str">
        <f aca="false">IF($W190="","",INDEX(发票统计!D$4:D$1003,$W190)&amp;"")</f>
        <v/>
      </c>
      <c r="E190" s="56" t="str">
        <f aca="false">IF($W190="","",INDEX(发票统计!E$4:E$1003,$W190)&amp;"")</f>
        <v/>
      </c>
      <c r="F190" s="56" t="str">
        <f aca="false">IF($W190="","",INDEX(发票统计!F$4:F$1003,$W190)&amp;"")</f>
        <v/>
      </c>
      <c r="G190" s="68" t="str">
        <f aca="false">IF($W190="","",IF(INDEX(发票统计!G$4:G$1003,$W190)="","",INDEX(发票统计!G$4:G$1003,$W190)))</f>
        <v/>
      </c>
      <c r="H190" s="56" t="str">
        <f aca="false">IF($W190="","",N(INDEX(发票统计!H$4:H$1003,$W190)))</f>
        <v/>
      </c>
      <c r="I190" s="56" t="str">
        <f aca="false">IF($W190="","",N(INDEX(发票统计!I$4:I$1003,$W190)))</f>
        <v/>
      </c>
      <c r="J190" s="56" t="str">
        <f aca="false">IF($W190="","",N(INDEX(发票统计!J$4:J$1003,$W190)))</f>
        <v/>
      </c>
      <c r="K190" s="56" t="str">
        <f aca="false">IF($W190="","",N(INDEX(发票统计!K$4:K$1003,$W190)))</f>
        <v/>
      </c>
      <c r="L190" s="56" t="str">
        <f aca="false">IF($W190="","",SUM(J$4:J190)-SUM(K$4:K190))</f>
        <v/>
      </c>
      <c r="M190" s="56" t="str">
        <f aca="false">IF($W190="","",N(INDEX(发票统计!M$4:M$1003,$W190)))</f>
        <v/>
      </c>
      <c r="N190" s="56" t="str">
        <f aca="false">IF($W190="","",N(INDEX(发票统计!N$4:N$1003,$W190)))</f>
        <v/>
      </c>
      <c r="O190" s="56" t="str">
        <f aca="false">IF($W190="","",N(INDEX(发票统计!O$4:O$1003,$W190)))</f>
        <v/>
      </c>
      <c r="P190" s="56" t="str">
        <f aca="false">IF($W190="","",SUM(M$4:M190)-SUM(N$4:N190)-SUM(O$4:O190))</f>
        <v/>
      </c>
      <c r="Q190" s="56" t="str">
        <f aca="false">IF($W190="","",N(INDEX(发票统计!Q$4:Q$1003,$W190)))</f>
        <v/>
      </c>
      <c r="R190" s="56" t="str">
        <f aca="false">IF($W190="","",N(INDEX(发票统计!R$4:R$1003,$W190)))</f>
        <v/>
      </c>
      <c r="S190" s="56" t="str">
        <f aca="false">IF($W190="","",N(INDEX(发票统计!S$4:S$1003,$W190)))</f>
        <v/>
      </c>
      <c r="T190" s="56" t="str">
        <f aca="false">IF($W190="","",SUM(Q$4:Q190)-SUM(R$4:R190)-SUM(S$4:S190))</f>
        <v/>
      </c>
      <c r="U190" s="56" t="str">
        <f aca="false">IF($W190="","",INDEX(发票统计!U$4:U$1003,$W190)&amp;"")</f>
        <v/>
      </c>
      <c r="W190" s="1" t="str">
        <f aca="false">IF($V$3="","",IFERROR(MATCH($V$3&amp;"#"&amp;ROWS(W$4:W190),发票统计!$W$4:$W$1003,0),""))</f>
        <v/>
      </c>
    </row>
    <row r="191" customFormat="false" ht="16.5" hidden="false" customHeight="false" outlineLevel="0" collapsed="false">
      <c r="A191" s="3" t="str">
        <f aca="false">IF($W191="","",INDEX(发票统计!A$4:A$1003,$W191)&amp;"")</f>
        <v/>
      </c>
      <c r="B191" s="3" t="str">
        <f aca="false">IF($W191="","",INDEX(发票统计!B$4:B$1003,$W191)&amp;"")</f>
        <v/>
      </c>
      <c r="C191" s="3" t="str">
        <f aca="false">IF($W191="","",INDEX(发票统计!C$4:C$1003,$W191)&amp;"")</f>
        <v/>
      </c>
      <c r="D191" s="3" t="str">
        <f aca="false">IF($W191="","",INDEX(发票统计!D$4:D$1003,$W191)&amp;"")</f>
        <v/>
      </c>
      <c r="E191" s="56" t="str">
        <f aca="false">IF($W191="","",INDEX(发票统计!E$4:E$1003,$W191)&amp;"")</f>
        <v/>
      </c>
      <c r="F191" s="56" t="str">
        <f aca="false">IF($W191="","",INDEX(发票统计!F$4:F$1003,$W191)&amp;"")</f>
        <v/>
      </c>
      <c r="G191" s="68" t="str">
        <f aca="false">IF($W191="","",IF(INDEX(发票统计!G$4:G$1003,$W191)="","",INDEX(发票统计!G$4:G$1003,$W191)))</f>
        <v/>
      </c>
      <c r="H191" s="56" t="str">
        <f aca="false">IF($W191="","",N(INDEX(发票统计!H$4:H$1003,$W191)))</f>
        <v/>
      </c>
      <c r="I191" s="56" t="str">
        <f aca="false">IF($W191="","",N(INDEX(发票统计!I$4:I$1003,$W191)))</f>
        <v/>
      </c>
      <c r="J191" s="56" t="str">
        <f aca="false">IF($W191="","",N(INDEX(发票统计!J$4:J$1003,$W191)))</f>
        <v/>
      </c>
      <c r="K191" s="56" t="str">
        <f aca="false">IF($W191="","",N(INDEX(发票统计!K$4:K$1003,$W191)))</f>
        <v/>
      </c>
      <c r="L191" s="56" t="str">
        <f aca="false">IF($W191="","",SUM(J$4:J191)-SUM(K$4:K191))</f>
        <v/>
      </c>
      <c r="M191" s="56" t="str">
        <f aca="false">IF($W191="","",N(INDEX(发票统计!M$4:M$1003,$W191)))</f>
        <v/>
      </c>
      <c r="N191" s="56" t="str">
        <f aca="false">IF($W191="","",N(INDEX(发票统计!N$4:N$1003,$W191)))</f>
        <v/>
      </c>
      <c r="O191" s="56" t="str">
        <f aca="false">IF($W191="","",N(INDEX(发票统计!O$4:O$1003,$W191)))</f>
        <v/>
      </c>
      <c r="P191" s="56" t="str">
        <f aca="false">IF($W191="","",SUM(M$4:M191)-SUM(N$4:N191)-SUM(O$4:O191))</f>
        <v/>
      </c>
      <c r="Q191" s="56" t="str">
        <f aca="false">IF($W191="","",N(INDEX(发票统计!Q$4:Q$1003,$W191)))</f>
        <v/>
      </c>
      <c r="R191" s="56" t="str">
        <f aca="false">IF($W191="","",N(INDEX(发票统计!R$4:R$1003,$W191)))</f>
        <v/>
      </c>
      <c r="S191" s="56" t="str">
        <f aca="false">IF($W191="","",N(INDEX(发票统计!S$4:S$1003,$W191)))</f>
        <v/>
      </c>
      <c r="T191" s="56" t="str">
        <f aca="false">IF($W191="","",SUM(Q$4:Q191)-SUM(R$4:R191)-SUM(S$4:S191))</f>
        <v/>
      </c>
      <c r="U191" s="56" t="str">
        <f aca="false">IF($W191="","",INDEX(发票统计!U$4:U$1003,$W191)&amp;"")</f>
        <v/>
      </c>
      <c r="W191" s="1" t="str">
        <f aca="false">IF($V$3="","",IFERROR(MATCH($V$3&amp;"#"&amp;ROWS(W$4:W191),发票统计!$W$4:$W$1003,0),""))</f>
        <v/>
      </c>
    </row>
    <row r="192" customFormat="false" ht="16.5" hidden="false" customHeight="false" outlineLevel="0" collapsed="false">
      <c r="A192" s="3" t="str">
        <f aca="false">IF($W192="","",INDEX(发票统计!A$4:A$1003,$W192)&amp;"")</f>
        <v/>
      </c>
      <c r="B192" s="3" t="str">
        <f aca="false">IF($W192="","",INDEX(发票统计!B$4:B$1003,$W192)&amp;"")</f>
        <v/>
      </c>
      <c r="C192" s="3" t="str">
        <f aca="false">IF($W192="","",INDEX(发票统计!C$4:C$1003,$W192)&amp;"")</f>
        <v/>
      </c>
      <c r="D192" s="3" t="str">
        <f aca="false">IF($W192="","",INDEX(发票统计!D$4:D$1003,$W192)&amp;"")</f>
        <v/>
      </c>
      <c r="E192" s="56" t="str">
        <f aca="false">IF($W192="","",INDEX(发票统计!E$4:E$1003,$W192)&amp;"")</f>
        <v/>
      </c>
      <c r="F192" s="56" t="str">
        <f aca="false">IF($W192="","",INDEX(发票统计!F$4:F$1003,$W192)&amp;"")</f>
        <v/>
      </c>
      <c r="G192" s="68" t="str">
        <f aca="false">IF($W192="","",IF(INDEX(发票统计!G$4:G$1003,$W192)="","",INDEX(发票统计!G$4:G$1003,$W192)))</f>
        <v/>
      </c>
      <c r="H192" s="56" t="str">
        <f aca="false">IF($W192="","",N(INDEX(发票统计!H$4:H$1003,$W192)))</f>
        <v/>
      </c>
      <c r="I192" s="56" t="str">
        <f aca="false">IF($W192="","",N(INDEX(发票统计!I$4:I$1003,$W192)))</f>
        <v/>
      </c>
      <c r="J192" s="56" t="str">
        <f aca="false">IF($W192="","",N(INDEX(发票统计!J$4:J$1003,$W192)))</f>
        <v/>
      </c>
      <c r="K192" s="56" t="str">
        <f aca="false">IF($W192="","",N(INDEX(发票统计!K$4:K$1003,$W192)))</f>
        <v/>
      </c>
      <c r="L192" s="56" t="str">
        <f aca="false">IF($W192="","",SUM(J$4:J192)-SUM(K$4:K192))</f>
        <v/>
      </c>
      <c r="M192" s="56" t="str">
        <f aca="false">IF($W192="","",N(INDEX(发票统计!M$4:M$1003,$W192)))</f>
        <v/>
      </c>
      <c r="N192" s="56" t="str">
        <f aca="false">IF($W192="","",N(INDEX(发票统计!N$4:N$1003,$W192)))</f>
        <v/>
      </c>
      <c r="O192" s="56" t="str">
        <f aca="false">IF($W192="","",N(INDEX(发票统计!O$4:O$1003,$W192)))</f>
        <v/>
      </c>
      <c r="P192" s="56" t="str">
        <f aca="false">IF($W192="","",SUM(M$4:M192)-SUM(N$4:N192)-SUM(O$4:O192))</f>
        <v/>
      </c>
      <c r="Q192" s="56" t="str">
        <f aca="false">IF($W192="","",N(INDEX(发票统计!Q$4:Q$1003,$W192)))</f>
        <v/>
      </c>
      <c r="R192" s="56" t="str">
        <f aca="false">IF($W192="","",N(INDEX(发票统计!R$4:R$1003,$W192)))</f>
        <v/>
      </c>
      <c r="S192" s="56" t="str">
        <f aca="false">IF($W192="","",N(INDEX(发票统计!S$4:S$1003,$W192)))</f>
        <v/>
      </c>
      <c r="T192" s="56" t="str">
        <f aca="false">IF($W192="","",SUM(Q$4:Q192)-SUM(R$4:R192)-SUM(S$4:S192))</f>
        <v/>
      </c>
      <c r="U192" s="56" t="str">
        <f aca="false">IF($W192="","",INDEX(发票统计!U$4:U$1003,$W192)&amp;"")</f>
        <v/>
      </c>
      <c r="W192" s="1" t="str">
        <f aca="false">IF($V$3="","",IFERROR(MATCH($V$3&amp;"#"&amp;ROWS(W$4:W192),发票统计!$W$4:$W$1003,0),""))</f>
        <v/>
      </c>
    </row>
    <row r="193" customFormat="false" ht="16.5" hidden="false" customHeight="false" outlineLevel="0" collapsed="false">
      <c r="A193" s="3" t="str">
        <f aca="false">IF($W193="","",INDEX(发票统计!A$4:A$1003,$W193)&amp;"")</f>
        <v/>
      </c>
      <c r="B193" s="3" t="str">
        <f aca="false">IF($W193="","",INDEX(发票统计!B$4:B$1003,$W193)&amp;"")</f>
        <v/>
      </c>
      <c r="C193" s="3" t="str">
        <f aca="false">IF($W193="","",INDEX(发票统计!C$4:C$1003,$W193)&amp;"")</f>
        <v/>
      </c>
      <c r="D193" s="3" t="str">
        <f aca="false">IF($W193="","",INDEX(发票统计!D$4:D$1003,$W193)&amp;"")</f>
        <v/>
      </c>
      <c r="E193" s="56" t="str">
        <f aca="false">IF($W193="","",INDEX(发票统计!E$4:E$1003,$W193)&amp;"")</f>
        <v/>
      </c>
      <c r="F193" s="56" t="str">
        <f aca="false">IF($W193="","",INDEX(发票统计!F$4:F$1003,$W193)&amp;"")</f>
        <v/>
      </c>
      <c r="G193" s="68" t="str">
        <f aca="false">IF($W193="","",IF(INDEX(发票统计!G$4:G$1003,$W193)="","",INDEX(发票统计!G$4:G$1003,$W193)))</f>
        <v/>
      </c>
      <c r="H193" s="56" t="str">
        <f aca="false">IF($W193="","",N(INDEX(发票统计!H$4:H$1003,$W193)))</f>
        <v/>
      </c>
      <c r="I193" s="56" t="str">
        <f aca="false">IF($W193="","",N(INDEX(发票统计!I$4:I$1003,$W193)))</f>
        <v/>
      </c>
      <c r="J193" s="56" t="str">
        <f aca="false">IF($W193="","",N(INDEX(发票统计!J$4:J$1003,$W193)))</f>
        <v/>
      </c>
      <c r="K193" s="56" t="str">
        <f aca="false">IF($W193="","",N(INDEX(发票统计!K$4:K$1003,$W193)))</f>
        <v/>
      </c>
      <c r="L193" s="56" t="str">
        <f aca="false">IF($W193="","",SUM(J$4:J193)-SUM(K$4:K193))</f>
        <v/>
      </c>
      <c r="M193" s="56" t="str">
        <f aca="false">IF($W193="","",N(INDEX(发票统计!M$4:M$1003,$W193)))</f>
        <v/>
      </c>
      <c r="N193" s="56" t="str">
        <f aca="false">IF($W193="","",N(INDEX(发票统计!N$4:N$1003,$W193)))</f>
        <v/>
      </c>
      <c r="O193" s="56" t="str">
        <f aca="false">IF($W193="","",N(INDEX(发票统计!O$4:O$1003,$W193)))</f>
        <v/>
      </c>
      <c r="P193" s="56" t="str">
        <f aca="false">IF($W193="","",SUM(M$4:M193)-SUM(N$4:N193)-SUM(O$4:O193))</f>
        <v/>
      </c>
      <c r="Q193" s="56" t="str">
        <f aca="false">IF($W193="","",N(INDEX(发票统计!Q$4:Q$1003,$W193)))</f>
        <v/>
      </c>
      <c r="R193" s="56" t="str">
        <f aca="false">IF($W193="","",N(INDEX(发票统计!R$4:R$1003,$W193)))</f>
        <v/>
      </c>
      <c r="S193" s="56" t="str">
        <f aca="false">IF($W193="","",N(INDEX(发票统计!S$4:S$1003,$W193)))</f>
        <v/>
      </c>
      <c r="T193" s="56" t="str">
        <f aca="false">IF($W193="","",SUM(Q$4:Q193)-SUM(R$4:R193)-SUM(S$4:S193))</f>
        <v/>
      </c>
      <c r="U193" s="56" t="str">
        <f aca="false">IF($W193="","",INDEX(发票统计!U$4:U$1003,$W193)&amp;"")</f>
        <v/>
      </c>
      <c r="W193" s="1" t="str">
        <f aca="false">IF($V$3="","",IFERROR(MATCH($V$3&amp;"#"&amp;ROWS(W$4:W193),发票统计!$W$4:$W$1003,0),""))</f>
        <v/>
      </c>
    </row>
    <row r="194" customFormat="false" ht="16.5" hidden="false" customHeight="false" outlineLevel="0" collapsed="false">
      <c r="A194" s="3" t="str">
        <f aca="false">IF($W194="","",INDEX(发票统计!A$4:A$1003,$W194)&amp;"")</f>
        <v/>
      </c>
      <c r="B194" s="3" t="str">
        <f aca="false">IF($W194="","",INDEX(发票统计!B$4:B$1003,$W194)&amp;"")</f>
        <v/>
      </c>
      <c r="C194" s="3" t="str">
        <f aca="false">IF($W194="","",INDEX(发票统计!C$4:C$1003,$W194)&amp;"")</f>
        <v/>
      </c>
      <c r="D194" s="3" t="str">
        <f aca="false">IF($W194="","",INDEX(发票统计!D$4:D$1003,$W194)&amp;"")</f>
        <v/>
      </c>
      <c r="E194" s="56" t="str">
        <f aca="false">IF($W194="","",INDEX(发票统计!E$4:E$1003,$W194)&amp;"")</f>
        <v/>
      </c>
      <c r="F194" s="56" t="str">
        <f aca="false">IF($W194="","",INDEX(发票统计!F$4:F$1003,$W194)&amp;"")</f>
        <v/>
      </c>
      <c r="G194" s="68" t="str">
        <f aca="false">IF($W194="","",IF(INDEX(发票统计!G$4:G$1003,$W194)="","",INDEX(发票统计!G$4:G$1003,$W194)))</f>
        <v/>
      </c>
      <c r="H194" s="56" t="str">
        <f aca="false">IF($W194="","",N(INDEX(发票统计!H$4:H$1003,$W194)))</f>
        <v/>
      </c>
      <c r="I194" s="56" t="str">
        <f aca="false">IF($W194="","",N(INDEX(发票统计!I$4:I$1003,$W194)))</f>
        <v/>
      </c>
      <c r="J194" s="56" t="str">
        <f aca="false">IF($W194="","",N(INDEX(发票统计!J$4:J$1003,$W194)))</f>
        <v/>
      </c>
      <c r="K194" s="56" t="str">
        <f aca="false">IF($W194="","",N(INDEX(发票统计!K$4:K$1003,$W194)))</f>
        <v/>
      </c>
      <c r="L194" s="56" t="str">
        <f aca="false">IF($W194="","",SUM(J$4:J194)-SUM(K$4:K194))</f>
        <v/>
      </c>
      <c r="M194" s="56" t="str">
        <f aca="false">IF($W194="","",N(INDEX(发票统计!M$4:M$1003,$W194)))</f>
        <v/>
      </c>
      <c r="N194" s="56" t="str">
        <f aca="false">IF($W194="","",N(INDEX(发票统计!N$4:N$1003,$W194)))</f>
        <v/>
      </c>
      <c r="O194" s="56" t="str">
        <f aca="false">IF($W194="","",N(INDEX(发票统计!O$4:O$1003,$W194)))</f>
        <v/>
      </c>
      <c r="P194" s="56" t="str">
        <f aca="false">IF($W194="","",SUM(M$4:M194)-SUM(N$4:N194)-SUM(O$4:O194))</f>
        <v/>
      </c>
      <c r="Q194" s="56" t="str">
        <f aca="false">IF($W194="","",N(INDEX(发票统计!Q$4:Q$1003,$W194)))</f>
        <v/>
      </c>
      <c r="R194" s="56" t="str">
        <f aca="false">IF($W194="","",N(INDEX(发票统计!R$4:R$1003,$W194)))</f>
        <v/>
      </c>
      <c r="S194" s="56" t="str">
        <f aca="false">IF($W194="","",N(INDEX(发票统计!S$4:S$1003,$W194)))</f>
        <v/>
      </c>
      <c r="T194" s="56" t="str">
        <f aca="false">IF($W194="","",SUM(Q$4:Q194)-SUM(R$4:R194)-SUM(S$4:S194))</f>
        <v/>
      </c>
      <c r="U194" s="56" t="str">
        <f aca="false">IF($W194="","",INDEX(发票统计!U$4:U$1003,$W194)&amp;"")</f>
        <v/>
      </c>
      <c r="W194" s="1" t="str">
        <f aca="false">IF($V$3="","",IFERROR(MATCH($V$3&amp;"#"&amp;ROWS(W$4:W194),发票统计!$W$4:$W$1003,0),""))</f>
        <v/>
      </c>
    </row>
    <row r="195" customFormat="false" ht="16.5" hidden="false" customHeight="false" outlineLevel="0" collapsed="false">
      <c r="A195" s="3" t="str">
        <f aca="false">IF($W195="","",INDEX(发票统计!A$4:A$1003,$W195)&amp;"")</f>
        <v/>
      </c>
      <c r="B195" s="3" t="str">
        <f aca="false">IF($W195="","",INDEX(发票统计!B$4:B$1003,$W195)&amp;"")</f>
        <v/>
      </c>
      <c r="C195" s="3" t="str">
        <f aca="false">IF($W195="","",INDEX(发票统计!C$4:C$1003,$W195)&amp;"")</f>
        <v/>
      </c>
      <c r="D195" s="3" t="str">
        <f aca="false">IF($W195="","",INDEX(发票统计!D$4:D$1003,$W195)&amp;"")</f>
        <v/>
      </c>
      <c r="E195" s="56" t="str">
        <f aca="false">IF($W195="","",INDEX(发票统计!E$4:E$1003,$W195)&amp;"")</f>
        <v/>
      </c>
      <c r="F195" s="56" t="str">
        <f aca="false">IF($W195="","",INDEX(发票统计!F$4:F$1003,$W195)&amp;"")</f>
        <v/>
      </c>
      <c r="G195" s="68" t="str">
        <f aca="false">IF($W195="","",IF(INDEX(发票统计!G$4:G$1003,$W195)="","",INDEX(发票统计!G$4:G$1003,$W195)))</f>
        <v/>
      </c>
      <c r="H195" s="56" t="str">
        <f aca="false">IF($W195="","",N(INDEX(发票统计!H$4:H$1003,$W195)))</f>
        <v/>
      </c>
      <c r="I195" s="56" t="str">
        <f aca="false">IF($W195="","",N(INDEX(发票统计!I$4:I$1003,$W195)))</f>
        <v/>
      </c>
      <c r="J195" s="56" t="str">
        <f aca="false">IF($W195="","",N(INDEX(发票统计!J$4:J$1003,$W195)))</f>
        <v/>
      </c>
      <c r="K195" s="56" t="str">
        <f aca="false">IF($W195="","",N(INDEX(发票统计!K$4:K$1003,$W195)))</f>
        <v/>
      </c>
      <c r="L195" s="56" t="str">
        <f aca="false">IF($W195="","",SUM(J$4:J195)-SUM(K$4:K195))</f>
        <v/>
      </c>
      <c r="M195" s="56" t="str">
        <f aca="false">IF($W195="","",N(INDEX(发票统计!M$4:M$1003,$W195)))</f>
        <v/>
      </c>
      <c r="N195" s="56" t="str">
        <f aca="false">IF($W195="","",N(INDEX(发票统计!N$4:N$1003,$W195)))</f>
        <v/>
      </c>
      <c r="O195" s="56" t="str">
        <f aca="false">IF($W195="","",N(INDEX(发票统计!O$4:O$1003,$W195)))</f>
        <v/>
      </c>
      <c r="P195" s="56" t="str">
        <f aca="false">IF($W195="","",SUM(M$4:M195)-SUM(N$4:N195)-SUM(O$4:O195))</f>
        <v/>
      </c>
      <c r="Q195" s="56" t="str">
        <f aca="false">IF($W195="","",N(INDEX(发票统计!Q$4:Q$1003,$W195)))</f>
        <v/>
      </c>
      <c r="R195" s="56" t="str">
        <f aca="false">IF($W195="","",N(INDEX(发票统计!R$4:R$1003,$W195)))</f>
        <v/>
      </c>
      <c r="S195" s="56" t="str">
        <f aca="false">IF($W195="","",N(INDEX(发票统计!S$4:S$1003,$W195)))</f>
        <v/>
      </c>
      <c r="T195" s="56" t="str">
        <f aca="false">IF($W195="","",SUM(Q$4:Q195)-SUM(R$4:R195)-SUM(S$4:S195))</f>
        <v/>
      </c>
      <c r="U195" s="56" t="str">
        <f aca="false">IF($W195="","",INDEX(发票统计!U$4:U$1003,$W195)&amp;"")</f>
        <v/>
      </c>
      <c r="W195" s="1" t="str">
        <f aca="false">IF($V$3="","",IFERROR(MATCH($V$3&amp;"#"&amp;ROWS(W$4:W195),发票统计!$W$4:$W$1003,0),""))</f>
        <v/>
      </c>
    </row>
    <row r="196" customFormat="false" ht="16.5" hidden="false" customHeight="false" outlineLevel="0" collapsed="false">
      <c r="A196" s="3" t="str">
        <f aca="false">IF($W196="","",INDEX(发票统计!A$4:A$1003,$W196)&amp;"")</f>
        <v/>
      </c>
      <c r="B196" s="3" t="str">
        <f aca="false">IF($W196="","",INDEX(发票统计!B$4:B$1003,$W196)&amp;"")</f>
        <v/>
      </c>
      <c r="C196" s="3" t="str">
        <f aca="false">IF($W196="","",INDEX(发票统计!C$4:C$1003,$W196)&amp;"")</f>
        <v/>
      </c>
      <c r="D196" s="3" t="str">
        <f aca="false">IF($W196="","",INDEX(发票统计!D$4:D$1003,$W196)&amp;"")</f>
        <v/>
      </c>
      <c r="E196" s="56" t="str">
        <f aca="false">IF($W196="","",INDEX(发票统计!E$4:E$1003,$W196)&amp;"")</f>
        <v/>
      </c>
      <c r="F196" s="56" t="str">
        <f aca="false">IF($W196="","",INDEX(发票统计!F$4:F$1003,$W196)&amp;"")</f>
        <v/>
      </c>
      <c r="G196" s="68" t="str">
        <f aca="false">IF($W196="","",IF(INDEX(发票统计!G$4:G$1003,$W196)="","",INDEX(发票统计!G$4:G$1003,$W196)))</f>
        <v/>
      </c>
      <c r="H196" s="56" t="str">
        <f aca="false">IF($W196="","",N(INDEX(发票统计!H$4:H$1003,$W196)))</f>
        <v/>
      </c>
      <c r="I196" s="56" t="str">
        <f aca="false">IF($W196="","",N(INDEX(发票统计!I$4:I$1003,$W196)))</f>
        <v/>
      </c>
      <c r="J196" s="56" t="str">
        <f aca="false">IF($W196="","",N(INDEX(发票统计!J$4:J$1003,$W196)))</f>
        <v/>
      </c>
      <c r="K196" s="56" t="str">
        <f aca="false">IF($W196="","",N(INDEX(发票统计!K$4:K$1003,$W196)))</f>
        <v/>
      </c>
      <c r="L196" s="56" t="str">
        <f aca="false">IF($W196="","",SUM(J$4:J196)-SUM(K$4:K196))</f>
        <v/>
      </c>
      <c r="M196" s="56" t="str">
        <f aca="false">IF($W196="","",N(INDEX(发票统计!M$4:M$1003,$W196)))</f>
        <v/>
      </c>
      <c r="N196" s="56" t="str">
        <f aca="false">IF($W196="","",N(INDEX(发票统计!N$4:N$1003,$W196)))</f>
        <v/>
      </c>
      <c r="O196" s="56" t="str">
        <f aca="false">IF($W196="","",N(INDEX(发票统计!O$4:O$1003,$W196)))</f>
        <v/>
      </c>
      <c r="P196" s="56" t="str">
        <f aca="false">IF($W196="","",SUM(M$4:M196)-SUM(N$4:N196)-SUM(O$4:O196))</f>
        <v/>
      </c>
      <c r="Q196" s="56" t="str">
        <f aca="false">IF($W196="","",N(INDEX(发票统计!Q$4:Q$1003,$W196)))</f>
        <v/>
      </c>
      <c r="R196" s="56" t="str">
        <f aca="false">IF($W196="","",N(INDEX(发票统计!R$4:R$1003,$W196)))</f>
        <v/>
      </c>
      <c r="S196" s="56" t="str">
        <f aca="false">IF($W196="","",N(INDEX(发票统计!S$4:S$1003,$W196)))</f>
        <v/>
      </c>
      <c r="T196" s="56" t="str">
        <f aca="false">IF($W196="","",SUM(Q$4:Q196)-SUM(R$4:R196)-SUM(S$4:S196))</f>
        <v/>
      </c>
      <c r="U196" s="56" t="str">
        <f aca="false">IF($W196="","",INDEX(发票统计!U$4:U$1003,$W196)&amp;"")</f>
        <v/>
      </c>
      <c r="W196" s="1" t="str">
        <f aca="false">IF($V$3="","",IFERROR(MATCH($V$3&amp;"#"&amp;ROWS(W$4:W196),发票统计!$W$4:$W$1003,0),""))</f>
        <v/>
      </c>
    </row>
    <row r="197" customFormat="false" ht="16.5" hidden="false" customHeight="false" outlineLevel="0" collapsed="false">
      <c r="A197" s="3" t="str">
        <f aca="false">IF($W197="","",INDEX(发票统计!A$4:A$1003,$W197)&amp;"")</f>
        <v/>
      </c>
      <c r="B197" s="3" t="str">
        <f aca="false">IF($W197="","",INDEX(发票统计!B$4:B$1003,$W197)&amp;"")</f>
        <v/>
      </c>
      <c r="C197" s="3" t="str">
        <f aca="false">IF($W197="","",INDEX(发票统计!C$4:C$1003,$W197)&amp;"")</f>
        <v/>
      </c>
      <c r="D197" s="3" t="str">
        <f aca="false">IF($W197="","",INDEX(发票统计!D$4:D$1003,$W197)&amp;"")</f>
        <v/>
      </c>
      <c r="E197" s="56" t="str">
        <f aca="false">IF($W197="","",INDEX(发票统计!E$4:E$1003,$W197)&amp;"")</f>
        <v/>
      </c>
      <c r="F197" s="56" t="str">
        <f aca="false">IF($W197="","",INDEX(发票统计!F$4:F$1003,$W197)&amp;"")</f>
        <v/>
      </c>
      <c r="G197" s="68" t="str">
        <f aca="false">IF($W197="","",IF(INDEX(发票统计!G$4:G$1003,$W197)="","",INDEX(发票统计!G$4:G$1003,$W197)))</f>
        <v/>
      </c>
      <c r="H197" s="56" t="str">
        <f aca="false">IF($W197="","",N(INDEX(发票统计!H$4:H$1003,$W197)))</f>
        <v/>
      </c>
      <c r="I197" s="56" t="str">
        <f aca="false">IF($W197="","",N(INDEX(发票统计!I$4:I$1003,$W197)))</f>
        <v/>
      </c>
      <c r="J197" s="56" t="str">
        <f aca="false">IF($W197="","",N(INDEX(发票统计!J$4:J$1003,$W197)))</f>
        <v/>
      </c>
      <c r="K197" s="56" t="str">
        <f aca="false">IF($W197="","",N(INDEX(发票统计!K$4:K$1003,$W197)))</f>
        <v/>
      </c>
      <c r="L197" s="56" t="str">
        <f aca="false">IF($W197="","",SUM(J$4:J197)-SUM(K$4:K197))</f>
        <v/>
      </c>
      <c r="M197" s="56" t="str">
        <f aca="false">IF($W197="","",N(INDEX(发票统计!M$4:M$1003,$W197)))</f>
        <v/>
      </c>
      <c r="N197" s="56" t="str">
        <f aca="false">IF($W197="","",N(INDEX(发票统计!N$4:N$1003,$W197)))</f>
        <v/>
      </c>
      <c r="O197" s="56" t="str">
        <f aca="false">IF($W197="","",N(INDEX(发票统计!O$4:O$1003,$W197)))</f>
        <v/>
      </c>
      <c r="P197" s="56" t="str">
        <f aca="false">IF($W197="","",SUM(M$4:M197)-SUM(N$4:N197)-SUM(O$4:O197))</f>
        <v/>
      </c>
      <c r="Q197" s="56" t="str">
        <f aca="false">IF($W197="","",N(INDEX(发票统计!Q$4:Q$1003,$W197)))</f>
        <v/>
      </c>
      <c r="R197" s="56" t="str">
        <f aca="false">IF($W197="","",N(INDEX(发票统计!R$4:R$1003,$W197)))</f>
        <v/>
      </c>
      <c r="S197" s="56" t="str">
        <f aca="false">IF($W197="","",N(INDEX(发票统计!S$4:S$1003,$W197)))</f>
        <v/>
      </c>
      <c r="T197" s="56" t="str">
        <f aca="false">IF($W197="","",SUM(Q$4:Q197)-SUM(R$4:R197)-SUM(S$4:S197))</f>
        <v/>
      </c>
      <c r="U197" s="56" t="str">
        <f aca="false">IF($W197="","",INDEX(发票统计!U$4:U$1003,$W197)&amp;"")</f>
        <v/>
      </c>
      <c r="W197" s="1" t="str">
        <f aca="false">IF($V$3="","",IFERROR(MATCH($V$3&amp;"#"&amp;ROWS(W$4:W197),发票统计!$W$4:$W$1003,0),""))</f>
        <v/>
      </c>
    </row>
    <row r="198" customFormat="false" ht="16.5" hidden="false" customHeight="false" outlineLevel="0" collapsed="false">
      <c r="A198" s="3" t="str">
        <f aca="false">IF($W198="","",INDEX(发票统计!A$4:A$1003,$W198)&amp;"")</f>
        <v/>
      </c>
      <c r="B198" s="3" t="str">
        <f aca="false">IF($W198="","",INDEX(发票统计!B$4:B$1003,$W198)&amp;"")</f>
        <v/>
      </c>
      <c r="C198" s="3" t="str">
        <f aca="false">IF($W198="","",INDEX(发票统计!C$4:C$1003,$W198)&amp;"")</f>
        <v/>
      </c>
      <c r="D198" s="3" t="str">
        <f aca="false">IF($W198="","",INDEX(发票统计!D$4:D$1003,$W198)&amp;"")</f>
        <v/>
      </c>
      <c r="E198" s="56" t="str">
        <f aca="false">IF($W198="","",INDEX(发票统计!E$4:E$1003,$W198)&amp;"")</f>
        <v/>
      </c>
      <c r="F198" s="56" t="str">
        <f aca="false">IF($W198="","",INDEX(发票统计!F$4:F$1003,$W198)&amp;"")</f>
        <v/>
      </c>
      <c r="G198" s="68" t="str">
        <f aca="false">IF($W198="","",IF(INDEX(发票统计!G$4:G$1003,$W198)="","",INDEX(发票统计!G$4:G$1003,$W198)))</f>
        <v/>
      </c>
      <c r="H198" s="56" t="str">
        <f aca="false">IF($W198="","",N(INDEX(发票统计!H$4:H$1003,$W198)))</f>
        <v/>
      </c>
      <c r="I198" s="56" t="str">
        <f aca="false">IF($W198="","",N(INDEX(发票统计!I$4:I$1003,$W198)))</f>
        <v/>
      </c>
      <c r="J198" s="56" t="str">
        <f aca="false">IF($W198="","",N(INDEX(发票统计!J$4:J$1003,$W198)))</f>
        <v/>
      </c>
      <c r="K198" s="56" t="str">
        <f aca="false">IF($W198="","",N(INDEX(发票统计!K$4:K$1003,$W198)))</f>
        <v/>
      </c>
      <c r="L198" s="56" t="str">
        <f aca="false">IF($W198="","",SUM(J$4:J198)-SUM(K$4:K198))</f>
        <v/>
      </c>
      <c r="M198" s="56" t="str">
        <f aca="false">IF($W198="","",N(INDEX(发票统计!M$4:M$1003,$W198)))</f>
        <v/>
      </c>
      <c r="N198" s="56" t="str">
        <f aca="false">IF($W198="","",N(INDEX(发票统计!N$4:N$1003,$W198)))</f>
        <v/>
      </c>
      <c r="O198" s="56" t="str">
        <f aca="false">IF($W198="","",N(INDEX(发票统计!O$4:O$1003,$W198)))</f>
        <v/>
      </c>
      <c r="P198" s="56" t="str">
        <f aca="false">IF($W198="","",SUM(M$4:M198)-SUM(N$4:N198)-SUM(O$4:O198))</f>
        <v/>
      </c>
      <c r="Q198" s="56" t="str">
        <f aca="false">IF($W198="","",N(INDEX(发票统计!Q$4:Q$1003,$W198)))</f>
        <v/>
      </c>
      <c r="R198" s="56" t="str">
        <f aca="false">IF($W198="","",N(INDEX(发票统计!R$4:R$1003,$W198)))</f>
        <v/>
      </c>
      <c r="S198" s="56" t="str">
        <f aca="false">IF($W198="","",N(INDEX(发票统计!S$4:S$1003,$W198)))</f>
        <v/>
      </c>
      <c r="T198" s="56" t="str">
        <f aca="false">IF($W198="","",SUM(Q$4:Q198)-SUM(R$4:R198)-SUM(S$4:S198))</f>
        <v/>
      </c>
      <c r="U198" s="56" t="str">
        <f aca="false">IF($W198="","",INDEX(发票统计!U$4:U$1003,$W198)&amp;"")</f>
        <v/>
      </c>
      <c r="W198" s="1" t="str">
        <f aca="false">IF($V$3="","",IFERROR(MATCH($V$3&amp;"#"&amp;ROWS(W$4:W198),发票统计!$W$4:$W$1003,0),""))</f>
        <v/>
      </c>
    </row>
    <row r="199" customFormat="false" ht="16.5" hidden="false" customHeight="false" outlineLevel="0" collapsed="false">
      <c r="A199" s="3" t="str">
        <f aca="false">IF($W199="","",INDEX(发票统计!A$4:A$1003,$W199)&amp;"")</f>
        <v/>
      </c>
      <c r="B199" s="3" t="str">
        <f aca="false">IF($W199="","",INDEX(发票统计!B$4:B$1003,$W199)&amp;"")</f>
        <v/>
      </c>
      <c r="C199" s="3" t="str">
        <f aca="false">IF($W199="","",INDEX(发票统计!C$4:C$1003,$W199)&amp;"")</f>
        <v/>
      </c>
      <c r="D199" s="3" t="str">
        <f aca="false">IF($W199="","",INDEX(发票统计!D$4:D$1003,$W199)&amp;"")</f>
        <v/>
      </c>
      <c r="E199" s="56" t="str">
        <f aca="false">IF($W199="","",INDEX(发票统计!E$4:E$1003,$W199)&amp;"")</f>
        <v/>
      </c>
      <c r="F199" s="56" t="str">
        <f aca="false">IF($W199="","",INDEX(发票统计!F$4:F$1003,$W199)&amp;"")</f>
        <v/>
      </c>
      <c r="G199" s="68" t="str">
        <f aca="false">IF($W199="","",IF(INDEX(发票统计!G$4:G$1003,$W199)="","",INDEX(发票统计!G$4:G$1003,$W199)))</f>
        <v/>
      </c>
      <c r="H199" s="56" t="str">
        <f aca="false">IF($W199="","",N(INDEX(发票统计!H$4:H$1003,$W199)))</f>
        <v/>
      </c>
      <c r="I199" s="56" t="str">
        <f aca="false">IF($W199="","",N(INDEX(发票统计!I$4:I$1003,$W199)))</f>
        <v/>
      </c>
      <c r="J199" s="56" t="str">
        <f aca="false">IF($W199="","",N(INDEX(发票统计!J$4:J$1003,$W199)))</f>
        <v/>
      </c>
      <c r="K199" s="56" t="str">
        <f aca="false">IF($W199="","",N(INDEX(发票统计!K$4:K$1003,$W199)))</f>
        <v/>
      </c>
      <c r="L199" s="56" t="str">
        <f aca="false">IF($W199="","",SUM(J$4:J199)-SUM(K$4:K199))</f>
        <v/>
      </c>
      <c r="M199" s="56" t="str">
        <f aca="false">IF($W199="","",N(INDEX(发票统计!M$4:M$1003,$W199)))</f>
        <v/>
      </c>
      <c r="N199" s="56" t="str">
        <f aca="false">IF($W199="","",N(INDEX(发票统计!N$4:N$1003,$W199)))</f>
        <v/>
      </c>
      <c r="O199" s="56" t="str">
        <f aca="false">IF($W199="","",N(INDEX(发票统计!O$4:O$1003,$W199)))</f>
        <v/>
      </c>
      <c r="P199" s="56" t="str">
        <f aca="false">IF($W199="","",SUM(M$4:M199)-SUM(N$4:N199)-SUM(O$4:O199))</f>
        <v/>
      </c>
      <c r="Q199" s="56" t="str">
        <f aca="false">IF($W199="","",N(INDEX(发票统计!Q$4:Q$1003,$W199)))</f>
        <v/>
      </c>
      <c r="R199" s="56" t="str">
        <f aca="false">IF($W199="","",N(INDEX(发票统计!R$4:R$1003,$W199)))</f>
        <v/>
      </c>
      <c r="S199" s="56" t="str">
        <f aca="false">IF($W199="","",N(INDEX(发票统计!S$4:S$1003,$W199)))</f>
        <v/>
      </c>
      <c r="T199" s="56" t="str">
        <f aca="false">IF($W199="","",SUM(Q$4:Q199)-SUM(R$4:R199)-SUM(S$4:S199))</f>
        <v/>
      </c>
      <c r="U199" s="56" t="str">
        <f aca="false">IF($W199="","",INDEX(发票统计!U$4:U$1003,$W199)&amp;"")</f>
        <v/>
      </c>
      <c r="W199" s="1" t="str">
        <f aca="false">IF($V$3="","",IFERROR(MATCH($V$3&amp;"#"&amp;ROWS(W$4:W199),发票统计!$W$4:$W$1003,0),""))</f>
        <v/>
      </c>
    </row>
    <row r="200" customFormat="false" ht="16.5" hidden="false" customHeight="false" outlineLevel="0" collapsed="false">
      <c r="A200" s="3" t="str">
        <f aca="false">IF($W200="","",INDEX(发票统计!A$4:A$1003,$W200)&amp;"")</f>
        <v/>
      </c>
      <c r="B200" s="3" t="str">
        <f aca="false">IF($W200="","",INDEX(发票统计!B$4:B$1003,$W200)&amp;"")</f>
        <v/>
      </c>
      <c r="C200" s="3" t="str">
        <f aca="false">IF($W200="","",INDEX(发票统计!C$4:C$1003,$W200)&amp;"")</f>
        <v/>
      </c>
      <c r="D200" s="3" t="str">
        <f aca="false">IF($W200="","",INDEX(发票统计!D$4:D$1003,$W200)&amp;"")</f>
        <v/>
      </c>
      <c r="E200" s="56" t="str">
        <f aca="false">IF($W200="","",INDEX(发票统计!E$4:E$1003,$W200)&amp;"")</f>
        <v/>
      </c>
      <c r="F200" s="56" t="str">
        <f aca="false">IF($W200="","",INDEX(发票统计!F$4:F$1003,$W200)&amp;"")</f>
        <v/>
      </c>
      <c r="G200" s="68" t="str">
        <f aca="false">IF($W200="","",IF(INDEX(发票统计!G$4:G$1003,$W200)="","",INDEX(发票统计!G$4:G$1003,$W200)))</f>
        <v/>
      </c>
      <c r="H200" s="56" t="str">
        <f aca="false">IF($W200="","",N(INDEX(发票统计!H$4:H$1003,$W200)))</f>
        <v/>
      </c>
      <c r="I200" s="56" t="str">
        <f aca="false">IF($W200="","",N(INDEX(发票统计!I$4:I$1003,$W200)))</f>
        <v/>
      </c>
      <c r="J200" s="56" t="str">
        <f aca="false">IF($W200="","",N(INDEX(发票统计!J$4:J$1003,$W200)))</f>
        <v/>
      </c>
      <c r="K200" s="56" t="str">
        <f aca="false">IF($W200="","",N(INDEX(发票统计!K$4:K$1003,$W200)))</f>
        <v/>
      </c>
      <c r="L200" s="56" t="str">
        <f aca="false">IF($W200="","",SUM(J$4:J200)-SUM(K$4:K200))</f>
        <v/>
      </c>
      <c r="M200" s="56" t="str">
        <f aca="false">IF($W200="","",N(INDEX(发票统计!M$4:M$1003,$W200)))</f>
        <v/>
      </c>
      <c r="N200" s="56" t="str">
        <f aca="false">IF($W200="","",N(INDEX(发票统计!N$4:N$1003,$W200)))</f>
        <v/>
      </c>
      <c r="O200" s="56" t="str">
        <f aca="false">IF($W200="","",N(INDEX(发票统计!O$4:O$1003,$W200)))</f>
        <v/>
      </c>
      <c r="P200" s="56" t="str">
        <f aca="false">IF($W200="","",SUM(M$4:M200)-SUM(N$4:N200)-SUM(O$4:O200))</f>
        <v/>
      </c>
      <c r="Q200" s="56" t="str">
        <f aca="false">IF($W200="","",N(INDEX(发票统计!Q$4:Q$1003,$W200)))</f>
        <v/>
      </c>
      <c r="R200" s="56" t="str">
        <f aca="false">IF($W200="","",N(INDEX(发票统计!R$4:R$1003,$W200)))</f>
        <v/>
      </c>
      <c r="S200" s="56" t="str">
        <f aca="false">IF($W200="","",N(INDEX(发票统计!S$4:S$1003,$W200)))</f>
        <v/>
      </c>
      <c r="T200" s="56" t="str">
        <f aca="false">IF($W200="","",SUM(Q$4:Q200)-SUM(R$4:R200)-SUM(S$4:S200))</f>
        <v/>
      </c>
      <c r="U200" s="56" t="str">
        <f aca="false">IF($W200="","",INDEX(发票统计!U$4:U$1003,$W200)&amp;"")</f>
        <v/>
      </c>
      <c r="W200" s="1" t="str">
        <f aca="false">IF($V$3="","",IFERROR(MATCH($V$3&amp;"#"&amp;ROWS(W$4:W200),发票统计!$W$4:$W$1003,0),""))</f>
        <v/>
      </c>
    </row>
    <row r="201" customFormat="false" ht="16.5" hidden="false" customHeight="false" outlineLevel="0" collapsed="false">
      <c r="A201" s="3" t="str">
        <f aca="false">IF($W201="","",INDEX(发票统计!A$4:A$1003,$W201)&amp;"")</f>
        <v/>
      </c>
      <c r="B201" s="3" t="str">
        <f aca="false">IF($W201="","",INDEX(发票统计!B$4:B$1003,$W201)&amp;"")</f>
        <v/>
      </c>
      <c r="C201" s="3" t="str">
        <f aca="false">IF($W201="","",INDEX(发票统计!C$4:C$1003,$W201)&amp;"")</f>
        <v/>
      </c>
      <c r="D201" s="3" t="str">
        <f aca="false">IF($W201="","",INDEX(发票统计!D$4:D$1003,$W201)&amp;"")</f>
        <v/>
      </c>
      <c r="E201" s="56" t="str">
        <f aca="false">IF($W201="","",INDEX(发票统计!E$4:E$1003,$W201)&amp;"")</f>
        <v/>
      </c>
      <c r="F201" s="56" t="str">
        <f aca="false">IF($W201="","",INDEX(发票统计!F$4:F$1003,$W201)&amp;"")</f>
        <v/>
      </c>
      <c r="G201" s="68" t="str">
        <f aca="false">IF($W201="","",IF(INDEX(发票统计!G$4:G$1003,$W201)="","",INDEX(发票统计!G$4:G$1003,$W201)))</f>
        <v/>
      </c>
      <c r="H201" s="56" t="str">
        <f aca="false">IF($W201="","",N(INDEX(发票统计!H$4:H$1003,$W201)))</f>
        <v/>
      </c>
      <c r="I201" s="56" t="str">
        <f aca="false">IF($W201="","",N(INDEX(发票统计!I$4:I$1003,$W201)))</f>
        <v/>
      </c>
      <c r="J201" s="56" t="str">
        <f aca="false">IF($W201="","",N(INDEX(发票统计!J$4:J$1003,$W201)))</f>
        <v/>
      </c>
      <c r="K201" s="56" t="str">
        <f aca="false">IF($W201="","",N(INDEX(发票统计!K$4:K$1003,$W201)))</f>
        <v/>
      </c>
      <c r="L201" s="56" t="str">
        <f aca="false">IF($W201="","",SUM(J$4:J201)-SUM(K$4:K201))</f>
        <v/>
      </c>
      <c r="M201" s="56" t="str">
        <f aca="false">IF($W201="","",N(INDEX(发票统计!M$4:M$1003,$W201)))</f>
        <v/>
      </c>
      <c r="N201" s="56" t="str">
        <f aca="false">IF($W201="","",N(INDEX(发票统计!N$4:N$1003,$W201)))</f>
        <v/>
      </c>
      <c r="O201" s="56" t="str">
        <f aca="false">IF($W201="","",N(INDEX(发票统计!O$4:O$1003,$W201)))</f>
        <v/>
      </c>
      <c r="P201" s="56" t="str">
        <f aca="false">IF($W201="","",SUM(M$4:M201)-SUM(N$4:N201)-SUM(O$4:O201))</f>
        <v/>
      </c>
      <c r="Q201" s="56" t="str">
        <f aca="false">IF($W201="","",N(INDEX(发票统计!Q$4:Q$1003,$W201)))</f>
        <v/>
      </c>
      <c r="R201" s="56" t="str">
        <f aca="false">IF($W201="","",N(INDEX(发票统计!R$4:R$1003,$W201)))</f>
        <v/>
      </c>
      <c r="S201" s="56" t="str">
        <f aca="false">IF($W201="","",N(INDEX(发票统计!S$4:S$1003,$W201)))</f>
        <v/>
      </c>
      <c r="T201" s="56" t="str">
        <f aca="false">IF($W201="","",SUM(Q$4:Q201)-SUM(R$4:R201)-SUM(S$4:S201))</f>
        <v/>
      </c>
      <c r="U201" s="56" t="str">
        <f aca="false">IF($W201="","",INDEX(发票统计!U$4:U$1003,$W201)&amp;"")</f>
        <v/>
      </c>
      <c r="W201" s="1" t="str">
        <f aca="false">IF($V$3="","",IFERROR(MATCH($V$3&amp;"#"&amp;ROWS(W$4:W201),发票统计!$W$4:$W$1003,0),""))</f>
        <v/>
      </c>
    </row>
    <row r="202" customFormat="false" ht="16.5" hidden="false" customHeight="false" outlineLevel="0" collapsed="false">
      <c r="A202" s="3" t="str">
        <f aca="false">IF($W202="","",INDEX(发票统计!A$4:A$1003,$W202)&amp;"")</f>
        <v/>
      </c>
      <c r="B202" s="3" t="str">
        <f aca="false">IF($W202="","",INDEX(发票统计!B$4:B$1003,$W202)&amp;"")</f>
        <v/>
      </c>
      <c r="C202" s="3" t="str">
        <f aca="false">IF($W202="","",INDEX(发票统计!C$4:C$1003,$W202)&amp;"")</f>
        <v/>
      </c>
      <c r="D202" s="3" t="str">
        <f aca="false">IF($W202="","",INDEX(发票统计!D$4:D$1003,$W202)&amp;"")</f>
        <v/>
      </c>
      <c r="E202" s="56" t="str">
        <f aca="false">IF($W202="","",INDEX(发票统计!E$4:E$1003,$W202)&amp;"")</f>
        <v/>
      </c>
      <c r="F202" s="56" t="str">
        <f aca="false">IF($W202="","",INDEX(发票统计!F$4:F$1003,$W202)&amp;"")</f>
        <v/>
      </c>
      <c r="G202" s="68" t="str">
        <f aca="false">IF($W202="","",IF(INDEX(发票统计!G$4:G$1003,$W202)="","",INDEX(发票统计!G$4:G$1003,$W202)))</f>
        <v/>
      </c>
      <c r="H202" s="56" t="str">
        <f aca="false">IF($W202="","",N(INDEX(发票统计!H$4:H$1003,$W202)))</f>
        <v/>
      </c>
      <c r="I202" s="56" t="str">
        <f aca="false">IF($W202="","",N(INDEX(发票统计!I$4:I$1003,$W202)))</f>
        <v/>
      </c>
      <c r="J202" s="56" t="str">
        <f aca="false">IF($W202="","",N(INDEX(发票统计!J$4:J$1003,$W202)))</f>
        <v/>
      </c>
      <c r="K202" s="56" t="str">
        <f aca="false">IF($W202="","",N(INDEX(发票统计!K$4:K$1003,$W202)))</f>
        <v/>
      </c>
      <c r="L202" s="56" t="str">
        <f aca="false">IF($W202="","",SUM(J$4:J202)-SUM(K$4:K202))</f>
        <v/>
      </c>
      <c r="M202" s="56" t="str">
        <f aca="false">IF($W202="","",N(INDEX(发票统计!M$4:M$1003,$W202)))</f>
        <v/>
      </c>
      <c r="N202" s="56" t="str">
        <f aca="false">IF($W202="","",N(INDEX(发票统计!N$4:N$1003,$W202)))</f>
        <v/>
      </c>
      <c r="O202" s="56" t="str">
        <f aca="false">IF($W202="","",N(INDEX(发票统计!O$4:O$1003,$W202)))</f>
        <v/>
      </c>
      <c r="P202" s="56" t="str">
        <f aca="false">IF($W202="","",SUM(M$4:M202)-SUM(N$4:N202)-SUM(O$4:O202))</f>
        <v/>
      </c>
      <c r="Q202" s="56" t="str">
        <f aca="false">IF($W202="","",N(INDEX(发票统计!Q$4:Q$1003,$W202)))</f>
        <v/>
      </c>
      <c r="R202" s="56" t="str">
        <f aca="false">IF($W202="","",N(INDEX(发票统计!R$4:R$1003,$W202)))</f>
        <v/>
      </c>
      <c r="S202" s="56" t="str">
        <f aca="false">IF($W202="","",N(INDEX(发票统计!S$4:S$1003,$W202)))</f>
        <v/>
      </c>
      <c r="T202" s="56" t="str">
        <f aca="false">IF($W202="","",SUM(Q$4:Q202)-SUM(R$4:R202)-SUM(S$4:S202))</f>
        <v/>
      </c>
      <c r="U202" s="56" t="str">
        <f aca="false">IF($W202="","",INDEX(发票统计!U$4:U$1003,$W202)&amp;"")</f>
        <v/>
      </c>
      <c r="W202" s="1" t="str">
        <f aca="false">IF($V$3="","",IFERROR(MATCH($V$3&amp;"#"&amp;ROWS(W$4:W202),发票统计!$W$4:$W$1003,0),""))</f>
        <v/>
      </c>
    </row>
    <row r="203" customFormat="false" ht="16.5" hidden="false" customHeight="false" outlineLevel="0" collapsed="false">
      <c r="A203" s="3" t="str">
        <f aca="false">IF($W203="","",INDEX(发票统计!A$4:A$1003,$W203)&amp;"")</f>
        <v/>
      </c>
      <c r="B203" s="3" t="str">
        <f aca="false">IF($W203="","",INDEX(发票统计!B$4:B$1003,$W203)&amp;"")</f>
        <v/>
      </c>
      <c r="C203" s="3" t="str">
        <f aca="false">IF($W203="","",INDEX(发票统计!C$4:C$1003,$W203)&amp;"")</f>
        <v/>
      </c>
      <c r="D203" s="3" t="str">
        <f aca="false">IF($W203="","",INDEX(发票统计!D$4:D$1003,$W203)&amp;"")</f>
        <v/>
      </c>
      <c r="E203" s="56" t="str">
        <f aca="false">IF($W203="","",INDEX(发票统计!E$4:E$1003,$W203)&amp;"")</f>
        <v/>
      </c>
      <c r="F203" s="56" t="str">
        <f aca="false">IF($W203="","",INDEX(发票统计!F$4:F$1003,$W203)&amp;"")</f>
        <v/>
      </c>
      <c r="G203" s="68" t="str">
        <f aca="false">IF($W203="","",IF(INDEX(发票统计!G$4:G$1003,$W203)="","",INDEX(发票统计!G$4:G$1003,$W203)))</f>
        <v/>
      </c>
      <c r="H203" s="56" t="str">
        <f aca="false">IF($W203="","",N(INDEX(发票统计!H$4:H$1003,$W203)))</f>
        <v/>
      </c>
      <c r="I203" s="56" t="str">
        <f aca="false">IF($W203="","",N(INDEX(发票统计!I$4:I$1003,$W203)))</f>
        <v/>
      </c>
      <c r="J203" s="56" t="str">
        <f aca="false">IF($W203="","",N(INDEX(发票统计!J$4:J$1003,$W203)))</f>
        <v/>
      </c>
      <c r="K203" s="56" t="str">
        <f aca="false">IF($W203="","",N(INDEX(发票统计!K$4:K$1003,$W203)))</f>
        <v/>
      </c>
      <c r="L203" s="56" t="str">
        <f aca="false">IF($W203="","",SUM(J$4:J203)-SUM(K$4:K203))</f>
        <v/>
      </c>
      <c r="M203" s="56" t="str">
        <f aca="false">IF($W203="","",N(INDEX(发票统计!M$4:M$1003,$W203)))</f>
        <v/>
      </c>
      <c r="N203" s="56" t="str">
        <f aca="false">IF($W203="","",N(INDEX(发票统计!N$4:N$1003,$W203)))</f>
        <v/>
      </c>
      <c r="O203" s="56" t="str">
        <f aca="false">IF($W203="","",N(INDEX(发票统计!O$4:O$1003,$W203)))</f>
        <v/>
      </c>
      <c r="P203" s="56" t="str">
        <f aca="false">IF($W203="","",SUM(M$4:M203)-SUM(N$4:N203)-SUM(O$4:O203))</f>
        <v/>
      </c>
      <c r="Q203" s="56" t="str">
        <f aca="false">IF($W203="","",N(INDEX(发票统计!Q$4:Q$1003,$W203)))</f>
        <v/>
      </c>
      <c r="R203" s="56" t="str">
        <f aca="false">IF($W203="","",N(INDEX(发票统计!R$4:R$1003,$W203)))</f>
        <v/>
      </c>
      <c r="S203" s="56" t="str">
        <f aca="false">IF($W203="","",N(INDEX(发票统计!S$4:S$1003,$W203)))</f>
        <v/>
      </c>
      <c r="T203" s="56" t="str">
        <f aca="false">IF($W203="","",SUM(Q$4:Q203)-SUM(R$4:R203)-SUM(S$4:S203))</f>
        <v/>
      </c>
      <c r="U203" s="56" t="str">
        <f aca="false">IF($W203="","",INDEX(发票统计!U$4:U$1003,$W203)&amp;"")</f>
        <v/>
      </c>
      <c r="W203" s="1" t="str">
        <f aca="false">IF($V$3="","",IFERROR(MATCH($V$3&amp;"#"&amp;ROWS(W$4:W203),发票统计!$W$4:$W$1003,0),""))</f>
        <v/>
      </c>
    </row>
    <row r="204" customFormat="false" ht="16.5" hidden="false" customHeight="false" outlineLevel="0" collapsed="false">
      <c r="A204" s="3" t="str">
        <f aca="false">IF($W204="","",INDEX(发票统计!A$4:A$1003,$W204)&amp;"")</f>
        <v/>
      </c>
      <c r="B204" s="3" t="str">
        <f aca="false">IF($W204="","",INDEX(发票统计!B$4:B$1003,$W204)&amp;"")</f>
        <v/>
      </c>
      <c r="C204" s="3" t="str">
        <f aca="false">IF($W204="","",INDEX(发票统计!C$4:C$1003,$W204)&amp;"")</f>
        <v/>
      </c>
      <c r="D204" s="3" t="str">
        <f aca="false">IF($W204="","",INDEX(发票统计!D$4:D$1003,$W204)&amp;"")</f>
        <v/>
      </c>
      <c r="E204" s="56" t="str">
        <f aca="false">IF($W204="","",INDEX(发票统计!E$4:E$1003,$W204)&amp;"")</f>
        <v/>
      </c>
      <c r="F204" s="56" t="str">
        <f aca="false">IF($W204="","",INDEX(发票统计!F$4:F$1003,$W204)&amp;"")</f>
        <v/>
      </c>
      <c r="G204" s="68" t="str">
        <f aca="false">IF($W204="","",IF(INDEX(发票统计!G$4:G$1003,$W204)="","",INDEX(发票统计!G$4:G$1003,$W204)))</f>
        <v/>
      </c>
      <c r="H204" s="56" t="str">
        <f aca="false">IF($W204="","",N(INDEX(发票统计!H$4:H$1003,$W204)))</f>
        <v/>
      </c>
      <c r="I204" s="56" t="str">
        <f aca="false">IF($W204="","",N(INDEX(发票统计!I$4:I$1003,$W204)))</f>
        <v/>
      </c>
      <c r="J204" s="56" t="str">
        <f aca="false">IF($W204="","",N(INDEX(发票统计!J$4:J$1003,$W204)))</f>
        <v/>
      </c>
      <c r="K204" s="56" t="str">
        <f aca="false">IF($W204="","",N(INDEX(发票统计!K$4:K$1003,$W204)))</f>
        <v/>
      </c>
      <c r="L204" s="56" t="str">
        <f aca="false">IF($W204="","",SUM(J$4:J204)-SUM(K$4:K204))</f>
        <v/>
      </c>
      <c r="M204" s="56" t="str">
        <f aca="false">IF($W204="","",N(INDEX(发票统计!M$4:M$1003,$W204)))</f>
        <v/>
      </c>
      <c r="N204" s="56" t="str">
        <f aca="false">IF($W204="","",N(INDEX(发票统计!N$4:N$1003,$W204)))</f>
        <v/>
      </c>
      <c r="O204" s="56" t="str">
        <f aca="false">IF($W204="","",N(INDEX(发票统计!O$4:O$1003,$W204)))</f>
        <v/>
      </c>
      <c r="P204" s="56" t="str">
        <f aca="false">IF($W204="","",SUM(M$4:M204)-SUM(N$4:N204)-SUM(O$4:O204))</f>
        <v/>
      </c>
      <c r="Q204" s="56" t="str">
        <f aca="false">IF($W204="","",N(INDEX(发票统计!Q$4:Q$1003,$W204)))</f>
        <v/>
      </c>
      <c r="R204" s="56" t="str">
        <f aca="false">IF($W204="","",N(INDEX(发票统计!R$4:R$1003,$W204)))</f>
        <v/>
      </c>
      <c r="S204" s="56" t="str">
        <f aca="false">IF($W204="","",N(INDEX(发票统计!S$4:S$1003,$W204)))</f>
        <v/>
      </c>
      <c r="T204" s="56" t="str">
        <f aca="false">IF($W204="","",SUM(Q$4:Q204)-SUM(R$4:R204)-SUM(S$4:S204))</f>
        <v/>
      </c>
      <c r="U204" s="56" t="str">
        <f aca="false">IF($W204="","",INDEX(发票统计!U$4:U$1003,$W204)&amp;"")</f>
        <v/>
      </c>
      <c r="W204" s="1" t="str">
        <f aca="false">IF($V$3="","",IFERROR(MATCH($V$3&amp;"#"&amp;ROWS(W$4:W204),发票统计!$W$4:$W$1003,0),""))</f>
        <v/>
      </c>
    </row>
    <row r="205" customFormat="false" ht="16.5" hidden="false" customHeight="false" outlineLevel="0" collapsed="false">
      <c r="A205" s="3" t="str">
        <f aca="false">IF($W205="","",INDEX(发票统计!A$4:A$1003,$W205)&amp;"")</f>
        <v/>
      </c>
      <c r="B205" s="3" t="str">
        <f aca="false">IF($W205="","",INDEX(发票统计!B$4:B$1003,$W205)&amp;"")</f>
        <v/>
      </c>
      <c r="C205" s="3" t="str">
        <f aca="false">IF($W205="","",INDEX(发票统计!C$4:C$1003,$W205)&amp;"")</f>
        <v/>
      </c>
      <c r="D205" s="3" t="str">
        <f aca="false">IF($W205="","",INDEX(发票统计!D$4:D$1003,$W205)&amp;"")</f>
        <v/>
      </c>
      <c r="E205" s="56" t="str">
        <f aca="false">IF($W205="","",INDEX(发票统计!E$4:E$1003,$W205)&amp;"")</f>
        <v/>
      </c>
      <c r="F205" s="56" t="str">
        <f aca="false">IF($W205="","",INDEX(发票统计!F$4:F$1003,$W205)&amp;"")</f>
        <v/>
      </c>
      <c r="G205" s="68" t="str">
        <f aca="false">IF($W205="","",IF(INDEX(发票统计!G$4:G$1003,$W205)="","",INDEX(发票统计!G$4:G$1003,$W205)))</f>
        <v/>
      </c>
      <c r="H205" s="56" t="str">
        <f aca="false">IF($W205="","",N(INDEX(发票统计!H$4:H$1003,$W205)))</f>
        <v/>
      </c>
      <c r="I205" s="56" t="str">
        <f aca="false">IF($W205="","",N(INDEX(发票统计!I$4:I$1003,$W205)))</f>
        <v/>
      </c>
      <c r="J205" s="56" t="str">
        <f aca="false">IF($W205="","",N(INDEX(发票统计!J$4:J$1003,$W205)))</f>
        <v/>
      </c>
      <c r="K205" s="56" t="str">
        <f aca="false">IF($W205="","",N(INDEX(发票统计!K$4:K$1003,$W205)))</f>
        <v/>
      </c>
      <c r="L205" s="56" t="str">
        <f aca="false">IF($W205="","",SUM(J$4:J205)-SUM(K$4:K205))</f>
        <v/>
      </c>
      <c r="M205" s="56" t="str">
        <f aca="false">IF($W205="","",N(INDEX(发票统计!M$4:M$1003,$W205)))</f>
        <v/>
      </c>
      <c r="N205" s="56" t="str">
        <f aca="false">IF($W205="","",N(INDEX(发票统计!N$4:N$1003,$W205)))</f>
        <v/>
      </c>
      <c r="O205" s="56" t="str">
        <f aca="false">IF($W205="","",N(INDEX(发票统计!O$4:O$1003,$W205)))</f>
        <v/>
      </c>
      <c r="P205" s="56" t="str">
        <f aca="false">IF($W205="","",SUM(M$4:M205)-SUM(N$4:N205)-SUM(O$4:O205))</f>
        <v/>
      </c>
      <c r="Q205" s="56" t="str">
        <f aca="false">IF($W205="","",N(INDEX(发票统计!Q$4:Q$1003,$W205)))</f>
        <v/>
      </c>
      <c r="R205" s="56" t="str">
        <f aca="false">IF($W205="","",N(INDEX(发票统计!R$4:R$1003,$W205)))</f>
        <v/>
      </c>
      <c r="S205" s="56" t="str">
        <f aca="false">IF($W205="","",N(INDEX(发票统计!S$4:S$1003,$W205)))</f>
        <v/>
      </c>
      <c r="T205" s="56" t="str">
        <f aca="false">IF($W205="","",SUM(Q$4:Q205)-SUM(R$4:R205)-SUM(S$4:S205))</f>
        <v/>
      </c>
      <c r="U205" s="56" t="str">
        <f aca="false">IF($W205="","",INDEX(发票统计!U$4:U$1003,$W205)&amp;"")</f>
        <v/>
      </c>
      <c r="W205" s="1" t="str">
        <f aca="false">IF($V$3="","",IFERROR(MATCH($V$3&amp;"#"&amp;ROWS(W$4:W205),发票统计!$W$4:$W$1003,0),""))</f>
        <v/>
      </c>
    </row>
    <row r="206" customFormat="false" ht="16.5" hidden="false" customHeight="false" outlineLevel="0" collapsed="false">
      <c r="A206" s="3" t="str">
        <f aca="false">IF($W206="","",INDEX(发票统计!A$4:A$1003,$W206)&amp;"")</f>
        <v/>
      </c>
      <c r="B206" s="3" t="str">
        <f aca="false">IF($W206="","",INDEX(发票统计!B$4:B$1003,$W206)&amp;"")</f>
        <v/>
      </c>
      <c r="C206" s="3" t="str">
        <f aca="false">IF($W206="","",INDEX(发票统计!C$4:C$1003,$W206)&amp;"")</f>
        <v/>
      </c>
      <c r="D206" s="3" t="str">
        <f aca="false">IF($W206="","",INDEX(发票统计!D$4:D$1003,$W206)&amp;"")</f>
        <v/>
      </c>
      <c r="E206" s="56" t="str">
        <f aca="false">IF($W206="","",INDEX(发票统计!E$4:E$1003,$W206)&amp;"")</f>
        <v/>
      </c>
      <c r="F206" s="56" t="str">
        <f aca="false">IF($W206="","",INDEX(发票统计!F$4:F$1003,$W206)&amp;"")</f>
        <v/>
      </c>
      <c r="G206" s="68" t="str">
        <f aca="false">IF($W206="","",IF(INDEX(发票统计!G$4:G$1003,$W206)="","",INDEX(发票统计!G$4:G$1003,$W206)))</f>
        <v/>
      </c>
      <c r="H206" s="56" t="str">
        <f aca="false">IF($W206="","",N(INDEX(发票统计!H$4:H$1003,$W206)))</f>
        <v/>
      </c>
      <c r="I206" s="56" t="str">
        <f aca="false">IF($W206="","",N(INDEX(发票统计!I$4:I$1003,$W206)))</f>
        <v/>
      </c>
      <c r="J206" s="56" t="str">
        <f aca="false">IF($W206="","",N(INDEX(发票统计!J$4:J$1003,$W206)))</f>
        <v/>
      </c>
      <c r="K206" s="56" t="str">
        <f aca="false">IF($W206="","",N(INDEX(发票统计!K$4:K$1003,$W206)))</f>
        <v/>
      </c>
      <c r="L206" s="56" t="str">
        <f aca="false">IF($W206="","",SUM(J$4:J206)-SUM(K$4:K206))</f>
        <v/>
      </c>
      <c r="M206" s="56" t="str">
        <f aca="false">IF($W206="","",N(INDEX(发票统计!M$4:M$1003,$W206)))</f>
        <v/>
      </c>
      <c r="N206" s="56" t="str">
        <f aca="false">IF($W206="","",N(INDEX(发票统计!N$4:N$1003,$W206)))</f>
        <v/>
      </c>
      <c r="O206" s="56" t="str">
        <f aca="false">IF($W206="","",N(INDEX(发票统计!O$4:O$1003,$W206)))</f>
        <v/>
      </c>
      <c r="P206" s="56" t="str">
        <f aca="false">IF($W206="","",SUM(M$4:M206)-SUM(N$4:N206)-SUM(O$4:O206))</f>
        <v/>
      </c>
      <c r="Q206" s="56" t="str">
        <f aca="false">IF($W206="","",N(INDEX(发票统计!Q$4:Q$1003,$W206)))</f>
        <v/>
      </c>
      <c r="R206" s="56" t="str">
        <f aca="false">IF($W206="","",N(INDEX(发票统计!R$4:R$1003,$W206)))</f>
        <v/>
      </c>
      <c r="S206" s="56" t="str">
        <f aca="false">IF($W206="","",N(INDEX(发票统计!S$4:S$1003,$W206)))</f>
        <v/>
      </c>
      <c r="T206" s="56" t="str">
        <f aca="false">IF($W206="","",SUM(Q$4:Q206)-SUM(R$4:R206)-SUM(S$4:S206))</f>
        <v/>
      </c>
      <c r="U206" s="56" t="str">
        <f aca="false">IF($W206="","",INDEX(发票统计!U$4:U$1003,$W206)&amp;"")</f>
        <v/>
      </c>
      <c r="W206" s="1" t="str">
        <f aca="false">IF($V$3="","",IFERROR(MATCH($V$3&amp;"#"&amp;ROWS(W$4:W206),发票统计!$W$4:$W$1003,0),""))</f>
        <v/>
      </c>
    </row>
    <row r="207" customFormat="false" ht="16.5" hidden="false" customHeight="false" outlineLevel="0" collapsed="false">
      <c r="A207" s="3" t="str">
        <f aca="false">IF($W207="","",INDEX(发票统计!A$4:A$1003,$W207)&amp;"")</f>
        <v/>
      </c>
      <c r="B207" s="3" t="str">
        <f aca="false">IF($W207="","",INDEX(发票统计!B$4:B$1003,$W207)&amp;"")</f>
        <v/>
      </c>
      <c r="C207" s="3" t="str">
        <f aca="false">IF($W207="","",INDEX(发票统计!C$4:C$1003,$W207)&amp;"")</f>
        <v/>
      </c>
      <c r="D207" s="3" t="str">
        <f aca="false">IF($W207="","",INDEX(发票统计!D$4:D$1003,$W207)&amp;"")</f>
        <v/>
      </c>
      <c r="E207" s="56" t="str">
        <f aca="false">IF($W207="","",INDEX(发票统计!E$4:E$1003,$W207)&amp;"")</f>
        <v/>
      </c>
      <c r="F207" s="56" t="str">
        <f aca="false">IF($W207="","",INDEX(发票统计!F$4:F$1003,$W207)&amp;"")</f>
        <v/>
      </c>
      <c r="G207" s="68" t="str">
        <f aca="false">IF($W207="","",IF(INDEX(发票统计!G$4:G$1003,$W207)="","",INDEX(发票统计!G$4:G$1003,$W207)))</f>
        <v/>
      </c>
      <c r="H207" s="56" t="str">
        <f aca="false">IF($W207="","",N(INDEX(发票统计!H$4:H$1003,$W207)))</f>
        <v/>
      </c>
      <c r="I207" s="56" t="str">
        <f aca="false">IF($W207="","",N(INDEX(发票统计!I$4:I$1003,$W207)))</f>
        <v/>
      </c>
      <c r="J207" s="56" t="str">
        <f aca="false">IF($W207="","",N(INDEX(发票统计!J$4:J$1003,$W207)))</f>
        <v/>
      </c>
      <c r="K207" s="56" t="str">
        <f aca="false">IF($W207="","",N(INDEX(发票统计!K$4:K$1003,$W207)))</f>
        <v/>
      </c>
      <c r="L207" s="56" t="str">
        <f aca="false">IF($W207="","",SUM(J$4:J207)-SUM(K$4:K207))</f>
        <v/>
      </c>
      <c r="M207" s="56" t="str">
        <f aca="false">IF($W207="","",N(INDEX(发票统计!M$4:M$1003,$W207)))</f>
        <v/>
      </c>
      <c r="N207" s="56" t="str">
        <f aca="false">IF($W207="","",N(INDEX(发票统计!N$4:N$1003,$W207)))</f>
        <v/>
      </c>
      <c r="O207" s="56" t="str">
        <f aca="false">IF($W207="","",N(INDEX(发票统计!O$4:O$1003,$W207)))</f>
        <v/>
      </c>
      <c r="P207" s="56" t="str">
        <f aca="false">IF($W207="","",SUM(M$4:M207)-SUM(N$4:N207)-SUM(O$4:O207))</f>
        <v/>
      </c>
      <c r="Q207" s="56" t="str">
        <f aca="false">IF($W207="","",N(INDEX(发票统计!Q$4:Q$1003,$W207)))</f>
        <v/>
      </c>
      <c r="R207" s="56" t="str">
        <f aca="false">IF($W207="","",N(INDEX(发票统计!R$4:R$1003,$W207)))</f>
        <v/>
      </c>
      <c r="S207" s="56" t="str">
        <f aca="false">IF($W207="","",N(INDEX(发票统计!S$4:S$1003,$W207)))</f>
        <v/>
      </c>
      <c r="T207" s="56" t="str">
        <f aca="false">IF($W207="","",SUM(Q$4:Q207)-SUM(R$4:R207)-SUM(S$4:S207))</f>
        <v/>
      </c>
      <c r="U207" s="56" t="str">
        <f aca="false">IF($W207="","",INDEX(发票统计!U$4:U$1003,$W207)&amp;"")</f>
        <v/>
      </c>
      <c r="W207" s="1" t="str">
        <f aca="false">IF($V$3="","",IFERROR(MATCH($V$3&amp;"#"&amp;ROWS(W$4:W207),发票统计!$W$4:$W$1003,0),""))</f>
        <v/>
      </c>
    </row>
    <row r="208" customFormat="false" ht="16.5" hidden="false" customHeight="false" outlineLevel="0" collapsed="false">
      <c r="A208" s="3" t="str">
        <f aca="false">IF($W208="","",INDEX(发票统计!A$4:A$1003,$W208)&amp;"")</f>
        <v/>
      </c>
      <c r="B208" s="3" t="str">
        <f aca="false">IF($W208="","",INDEX(发票统计!B$4:B$1003,$W208)&amp;"")</f>
        <v/>
      </c>
      <c r="C208" s="3" t="str">
        <f aca="false">IF($W208="","",INDEX(发票统计!C$4:C$1003,$W208)&amp;"")</f>
        <v/>
      </c>
      <c r="D208" s="3" t="str">
        <f aca="false">IF($W208="","",INDEX(发票统计!D$4:D$1003,$W208)&amp;"")</f>
        <v/>
      </c>
      <c r="E208" s="56" t="str">
        <f aca="false">IF($W208="","",INDEX(发票统计!E$4:E$1003,$W208)&amp;"")</f>
        <v/>
      </c>
      <c r="F208" s="56" t="str">
        <f aca="false">IF($W208="","",INDEX(发票统计!F$4:F$1003,$W208)&amp;"")</f>
        <v/>
      </c>
      <c r="G208" s="68" t="str">
        <f aca="false">IF($W208="","",IF(INDEX(发票统计!G$4:G$1003,$W208)="","",INDEX(发票统计!G$4:G$1003,$W208)))</f>
        <v/>
      </c>
      <c r="H208" s="56" t="str">
        <f aca="false">IF($W208="","",N(INDEX(发票统计!H$4:H$1003,$W208)))</f>
        <v/>
      </c>
      <c r="I208" s="56" t="str">
        <f aca="false">IF($W208="","",N(INDEX(发票统计!I$4:I$1003,$W208)))</f>
        <v/>
      </c>
      <c r="J208" s="56" t="str">
        <f aca="false">IF($W208="","",N(INDEX(发票统计!J$4:J$1003,$W208)))</f>
        <v/>
      </c>
      <c r="K208" s="56" t="str">
        <f aca="false">IF($W208="","",N(INDEX(发票统计!K$4:K$1003,$W208)))</f>
        <v/>
      </c>
      <c r="L208" s="56" t="str">
        <f aca="false">IF($W208="","",SUM(J$4:J208)-SUM(K$4:K208))</f>
        <v/>
      </c>
      <c r="M208" s="56" t="str">
        <f aca="false">IF($W208="","",N(INDEX(发票统计!M$4:M$1003,$W208)))</f>
        <v/>
      </c>
      <c r="N208" s="56" t="str">
        <f aca="false">IF($W208="","",N(INDEX(发票统计!N$4:N$1003,$W208)))</f>
        <v/>
      </c>
      <c r="O208" s="56" t="str">
        <f aca="false">IF($W208="","",N(INDEX(发票统计!O$4:O$1003,$W208)))</f>
        <v/>
      </c>
      <c r="P208" s="56" t="str">
        <f aca="false">IF($W208="","",SUM(M$4:M208)-SUM(N$4:N208)-SUM(O$4:O208))</f>
        <v/>
      </c>
      <c r="Q208" s="56" t="str">
        <f aca="false">IF($W208="","",N(INDEX(发票统计!Q$4:Q$1003,$W208)))</f>
        <v/>
      </c>
      <c r="R208" s="56" t="str">
        <f aca="false">IF($W208="","",N(INDEX(发票统计!R$4:R$1003,$W208)))</f>
        <v/>
      </c>
      <c r="S208" s="56" t="str">
        <f aca="false">IF($W208="","",N(INDEX(发票统计!S$4:S$1003,$W208)))</f>
        <v/>
      </c>
      <c r="T208" s="56" t="str">
        <f aca="false">IF($W208="","",SUM(Q$4:Q208)-SUM(R$4:R208)-SUM(S$4:S208))</f>
        <v/>
      </c>
      <c r="U208" s="56" t="str">
        <f aca="false">IF($W208="","",INDEX(发票统计!U$4:U$1003,$W208)&amp;"")</f>
        <v/>
      </c>
      <c r="W208" s="1" t="str">
        <f aca="false">IF($V$3="","",IFERROR(MATCH($V$3&amp;"#"&amp;ROWS(W$4:W208),发票统计!$W$4:$W$1003,0),""))</f>
        <v/>
      </c>
    </row>
    <row r="209" customFormat="false" ht="16.5" hidden="false" customHeight="false" outlineLevel="0" collapsed="false">
      <c r="A209" s="3" t="str">
        <f aca="false">IF($W209="","",INDEX(发票统计!A$4:A$1003,$W209)&amp;"")</f>
        <v/>
      </c>
      <c r="B209" s="3" t="str">
        <f aca="false">IF($W209="","",INDEX(发票统计!B$4:B$1003,$W209)&amp;"")</f>
        <v/>
      </c>
      <c r="C209" s="3" t="str">
        <f aca="false">IF($W209="","",INDEX(发票统计!C$4:C$1003,$W209)&amp;"")</f>
        <v/>
      </c>
      <c r="D209" s="3" t="str">
        <f aca="false">IF($W209="","",INDEX(发票统计!D$4:D$1003,$W209)&amp;"")</f>
        <v/>
      </c>
      <c r="E209" s="56" t="str">
        <f aca="false">IF($W209="","",INDEX(发票统计!E$4:E$1003,$W209)&amp;"")</f>
        <v/>
      </c>
      <c r="F209" s="56" t="str">
        <f aca="false">IF($W209="","",INDEX(发票统计!F$4:F$1003,$W209)&amp;"")</f>
        <v/>
      </c>
      <c r="G209" s="68" t="str">
        <f aca="false">IF($W209="","",IF(INDEX(发票统计!G$4:G$1003,$W209)="","",INDEX(发票统计!G$4:G$1003,$W209)))</f>
        <v/>
      </c>
      <c r="H209" s="56" t="str">
        <f aca="false">IF($W209="","",N(INDEX(发票统计!H$4:H$1003,$W209)))</f>
        <v/>
      </c>
      <c r="I209" s="56" t="str">
        <f aca="false">IF($W209="","",N(INDEX(发票统计!I$4:I$1003,$W209)))</f>
        <v/>
      </c>
      <c r="J209" s="56" t="str">
        <f aca="false">IF($W209="","",N(INDEX(发票统计!J$4:J$1003,$W209)))</f>
        <v/>
      </c>
      <c r="K209" s="56" t="str">
        <f aca="false">IF($W209="","",N(INDEX(发票统计!K$4:K$1003,$W209)))</f>
        <v/>
      </c>
      <c r="L209" s="56" t="str">
        <f aca="false">IF($W209="","",SUM(J$4:J209)-SUM(K$4:K209))</f>
        <v/>
      </c>
      <c r="M209" s="56" t="str">
        <f aca="false">IF($W209="","",N(INDEX(发票统计!M$4:M$1003,$W209)))</f>
        <v/>
      </c>
      <c r="N209" s="56" t="str">
        <f aca="false">IF($W209="","",N(INDEX(发票统计!N$4:N$1003,$W209)))</f>
        <v/>
      </c>
      <c r="O209" s="56" t="str">
        <f aca="false">IF($W209="","",N(INDEX(发票统计!O$4:O$1003,$W209)))</f>
        <v/>
      </c>
      <c r="P209" s="56" t="str">
        <f aca="false">IF($W209="","",SUM(M$4:M209)-SUM(N$4:N209)-SUM(O$4:O209))</f>
        <v/>
      </c>
      <c r="Q209" s="56" t="str">
        <f aca="false">IF($W209="","",N(INDEX(发票统计!Q$4:Q$1003,$W209)))</f>
        <v/>
      </c>
      <c r="R209" s="56" t="str">
        <f aca="false">IF($W209="","",N(INDEX(发票统计!R$4:R$1003,$W209)))</f>
        <v/>
      </c>
      <c r="S209" s="56" t="str">
        <f aca="false">IF($W209="","",N(INDEX(发票统计!S$4:S$1003,$W209)))</f>
        <v/>
      </c>
      <c r="T209" s="56" t="str">
        <f aca="false">IF($W209="","",SUM(Q$4:Q209)-SUM(R$4:R209)-SUM(S$4:S209))</f>
        <v/>
      </c>
      <c r="U209" s="56" t="str">
        <f aca="false">IF($W209="","",INDEX(发票统计!U$4:U$1003,$W209)&amp;"")</f>
        <v/>
      </c>
      <c r="W209" s="1" t="str">
        <f aca="false">IF($V$3="","",IFERROR(MATCH($V$3&amp;"#"&amp;ROWS(W$4:W209),发票统计!$W$4:$W$1003,0),""))</f>
        <v/>
      </c>
    </row>
    <row r="210" customFormat="false" ht="16.5" hidden="false" customHeight="false" outlineLevel="0" collapsed="false">
      <c r="A210" s="3" t="str">
        <f aca="false">IF($W210="","",INDEX(发票统计!A$4:A$1003,$W210)&amp;"")</f>
        <v/>
      </c>
      <c r="B210" s="3" t="str">
        <f aca="false">IF($W210="","",INDEX(发票统计!B$4:B$1003,$W210)&amp;"")</f>
        <v/>
      </c>
      <c r="C210" s="3" t="str">
        <f aca="false">IF($W210="","",INDEX(发票统计!C$4:C$1003,$W210)&amp;"")</f>
        <v/>
      </c>
      <c r="D210" s="3" t="str">
        <f aca="false">IF($W210="","",INDEX(发票统计!D$4:D$1003,$W210)&amp;"")</f>
        <v/>
      </c>
      <c r="E210" s="56" t="str">
        <f aca="false">IF($W210="","",INDEX(发票统计!E$4:E$1003,$W210)&amp;"")</f>
        <v/>
      </c>
      <c r="F210" s="56" t="str">
        <f aca="false">IF($W210="","",INDEX(发票统计!F$4:F$1003,$W210)&amp;"")</f>
        <v/>
      </c>
      <c r="G210" s="68" t="str">
        <f aca="false">IF($W210="","",IF(INDEX(发票统计!G$4:G$1003,$W210)="","",INDEX(发票统计!G$4:G$1003,$W210)))</f>
        <v/>
      </c>
      <c r="H210" s="56" t="str">
        <f aca="false">IF($W210="","",N(INDEX(发票统计!H$4:H$1003,$W210)))</f>
        <v/>
      </c>
      <c r="I210" s="56" t="str">
        <f aca="false">IF($W210="","",N(INDEX(发票统计!I$4:I$1003,$W210)))</f>
        <v/>
      </c>
      <c r="J210" s="56" t="str">
        <f aca="false">IF($W210="","",N(INDEX(发票统计!J$4:J$1003,$W210)))</f>
        <v/>
      </c>
      <c r="K210" s="56" t="str">
        <f aca="false">IF($W210="","",N(INDEX(发票统计!K$4:K$1003,$W210)))</f>
        <v/>
      </c>
      <c r="L210" s="56" t="str">
        <f aca="false">IF($W210="","",SUM(J$4:J210)-SUM(K$4:K210))</f>
        <v/>
      </c>
      <c r="M210" s="56" t="str">
        <f aca="false">IF($W210="","",N(INDEX(发票统计!M$4:M$1003,$W210)))</f>
        <v/>
      </c>
      <c r="N210" s="56" t="str">
        <f aca="false">IF($W210="","",N(INDEX(发票统计!N$4:N$1003,$W210)))</f>
        <v/>
      </c>
      <c r="O210" s="56" t="str">
        <f aca="false">IF($W210="","",N(INDEX(发票统计!O$4:O$1003,$W210)))</f>
        <v/>
      </c>
      <c r="P210" s="56" t="str">
        <f aca="false">IF($W210="","",SUM(M$4:M210)-SUM(N$4:N210)-SUM(O$4:O210))</f>
        <v/>
      </c>
      <c r="Q210" s="56" t="str">
        <f aca="false">IF($W210="","",N(INDEX(发票统计!Q$4:Q$1003,$W210)))</f>
        <v/>
      </c>
      <c r="R210" s="56" t="str">
        <f aca="false">IF($W210="","",N(INDEX(发票统计!R$4:R$1003,$W210)))</f>
        <v/>
      </c>
      <c r="S210" s="56" t="str">
        <f aca="false">IF($W210="","",N(INDEX(发票统计!S$4:S$1003,$W210)))</f>
        <v/>
      </c>
      <c r="T210" s="56" t="str">
        <f aca="false">IF($W210="","",SUM(Q$4:Q210)-SUM(R$4:R210)-SUM(S$4:S210))</f>
        <v/>
      </c>
      <c r="U210" s="56" t="str">
        <f aca="false">IF($W210="","",INDEX(发票统计!U$4:U$1003,$W210)&amp;"")</f>
        <v/>
      </c>
      <c r="W210" s="1" t="str">
        <f aca="false">IF($V$3="","",IFERROR(MATCH($V$3&amp;"#"&amp;ROWS(W$4:W210),发票统计!$W$4:$W$1003,0),""))</f>
        <v/>
      </c>
    </row>
    <row r="211" customFormat="false" ht="16.5" hidden="false" customHeight="false" outlineLevel="0" collapsed="false">
      <c r="A211" s="3" t="str">
        <f aca="false">IF($W211="","",INDEX(发票统计!A$4:A$1003,$W211)&amp;"")</f>
        <v/>
      </c>
      <c r="B211" s="3" t="str">
        <f aca="false">IF($W211="","",INDEX(发票统计!B$4:B$1003,$W211)&amp;"")</f>
        <v/>
      </c>
      <c r="C211" s="3" t="str">
        <f aca="false">IF($W211="","",INDEX(发票统计!C$4:C$1003,$W211)&amp;"")</f>
        <v/>
      </c>
      <c r="D211" s="3" t="str">
        <f aca="false">IF($W211="","",INDEX(发票统计!D$4:D$1003,$W211)&amp;"")</f>
        <v/>
      </c>
      <c r="E211" s="56" t="str">
        <f aca="false">IF($W211="","",INDEX(发票统计!E$4:E$1003,$W211)&amp;"")</f>
        <v/>
      </c>
      <c r="F211" s="56" t="str">
        <f aca="false">IF($W211="","",INDEX(发票统计!F$4:F$1003,$W211)&amp;"")</f>
        <v/>
      </c>
      <c r="G211" s="68" t="str">
        <f aca="false">IF($W211="","",IF(INDEX(发票统计!G$4:G$1003,$W211)="","",INDEX(发票统计!G$4:G$1003,$W211)))</f>
        <v/>
      </c>
      <c r="H211" s="56" t="str">
        <f aca="false">IF($W211="","",N(INDEX(发票统计!H$4:H$1003,$W211)))</f>
        <v/>
      </c>
      <c r="I211" s="56" t="str">
        <f aca="false">IF($W211="","",N(INDEX(发票统计!I$4:I$1003,$W211)))</f>
        <v/>
      </c>
      <c r="J211" s="56" t="str">
        <f aca="false">IF($W211="","",N(INDEX(发票统计!J$4:J$1003,$W211)))</f>
        <v/>
      </c>
      <c r="K211" s="56" t="str">
        <f aca="false">IF($W211="","",N(INDEX(发票统计!K$4:K$1003,$W211)))</f>
        <v/>
      </c>
      <c r="L211" s="56" t="str">
        <f aca="false">IF($W211="","",SUM(J$4:J211)-SUM(K$4:K211))</f>
        <v/>
      </c>
      <c r="M211" s="56" t="str">
        <f aca="false">IF($W211="","",N(INDEX(发票统计!M$4:M$1003,$W211)))</f>
        <v/>
      </c>
      <c r="N211" s="56" t="str">
        <f aca="false">IF($W211="","",N(INDEX(发票统计!N$4:N$1003,$W211)))</f>
        <v/>
      </c>
      <c r="O211" s="56" t="str">
        <f aca="false">IF($W211="","",N(INDEX(发票统计!O$4:O$1003,$W211)))</f>
        <v/>
      </c>
      <c r="P211" s="56" t="str">
        <f aca="false">IF($W211="","",SUM(M$4:M211)-SUM(N$4:N211)-SUM(O$4:O211))</f>
        <v/>
      </c>
      <c r="Q211" s="56" t="str">
        <f aca="false">IF($W211="","",N(INDEX(发票统计!Q$4:Q$1003,$W211)))</f>
        <v/>
      </c>
      <c r="R211" s="56" t="str">
        <f aca="false">IF($W211="","",N(INDEX(发票统计!R$4:R$1003,$W211)))</f>
        <v/>
      </c>
      <c r="S211" s="56" t="str">
        <f aca="false">IF($W211="","",N(INDEX(发票统计!S$4:S$1003,$W211)))</f>
        <v/>
      </c>
      <c r="T211" s="56" t="str">
        <f aca="false">IF($W211="","",SUM(Q$4:Q211)-SUM(R$4:R211)-SUM(S$4:S211))</f>
        <v/>
      </c>
      <c r="U211" s="56" t="str">
        <f aca="false">IF($W211="","",INDEX(发票统计!U$4:U$1003,$W211)&amp;"")</f>
        <v/>
      </c>
      <c r="W211" s="1" t="str">
        <f aca="false">IF($V$3="","",IFERROR(MATCH($V$3&amp;"#"&amp;ROWS(W$4:W211),发票统计!$W$4:$W$1003,0),""))</f>
        <v/>
      </c>
    </row>
    <row r="212" customFormat="false" ht="16.5" hidden="false" customHeight="false" outlineLevel="0" collapsed="false">
      <c r="A212" s="3" t="str">
        <f aca="false">IF($W212="","",INDEX(发票统计!A$4:A$1003,$W212)&amp;"")</f>
        <v/>
      </c>
      <c r="B212" s="3" t="str">
        <f aca="false">IF($W212="","",INDEX(发票统计!B$4:B$1003,$W212)&amp;"")</f>
        <v/>
      </c>
      <c r="C212" s="3" t="str">
        <f aca="false">IF($W212="","",INDEX(发票统计!C$4:C$1003,$W212)&amp;"")</f>
        <v/>
      </c>
      <c r="D212" s="3" t="str">
        <f aca="false">IF($W212="","",INDEX(发票统计!D$4:D$1003,$W212)&amp;"")</f>
        <v/>
      </c>
      <c r="E212" s="56" t="str">
        <f aca="false">IF($W212="","",INDEX(发票统计!E$4:E$1003,$W212)&amp;"")</f>
        <v/>
      </c>
      <c r="F212" s="56" t="str">
        <f aca="false">IF($W212="","",INDEX(发票统计!F$4:F$1003,$W212)&amp;"")</f>
        <v/>
      </c>
      <c r="G212" s="68" t="str">
        <f aca="false">IF($W212="","",IF(INDEX(发票统计!G$4:G$1003,$W212)="","",INDEX(发票统计!G$4:G$1003,$W212)))</f>
        <v/>
      </c>
      <c r="H212" s="56" t="str">
        <f aca="false">IF($W212="","",N(INDEX(发票统计!H$4:H$1003,$W212)))</f>
        <v/>
      </c>
      <c r="I212" s="56" t="str">
        <f aca="false">IF($W212="","",N(INDEX(发票统计!I$4:I$1003,$W212)))</f>
        <v/>
      </c>
      <c r="J212" s="56" t="str">
        <f aca="false">IF($W212="","",N(INDEX(发票统计!J$4:J$1003,$W212)))</f>
        <v/>
      </c>
      <c r="K212" s="56" t="str">
        <f aca="false">IF($W212="","",N(INDEX(发票统计!K$4:K$1003,$W212)))</f>
        <v/>
      </c>
      <c r="L212" s="56" t="str">
        <f aca="false">IF($W212="","",SUM(J$4:J212)-SUM(K$4:K212))</f>
        <v/>
      </c>
      <c r="M212" s="56" t="str">
        <f aca="false">IF($W212="","",N(INDEX(发票统计!M$4:M$1003,$W212)))</f>
        <v/>
      </c>
      <c r="N212" s="56" t="str">
        <f aca="false">IF($W212="","",N(INDEX(发票统计!N$4:N$1003,$W212)))</f>
        <v/>
      </c>
      <c r="O212" s="56" t="str">
        <f aca="false">IF($W212="","",N(INDEX(发票统计!O$4:O$1003,$W212)))</f>
        <v/>
      </c>
      <c r="P212" s="56" t="str">
        <f aca="false">IF($W212="","",SUM(M$4:M212)-SUM(N$4:N212)-SUM(O$4:O212))</f>
        <v/>
      </c>
      <c r="Q212" s="56" t="str">
        <f aca="false">IF($W212="","",N(INDEX(发票统计!Q$4:Q$1003,$W212)))</f>
        <v/>
      </c>
      <c r="R212" s="56" t="str">
        <f aca="false">IF($W212="","",N(INDEX(发票统计!R$4:R$1003,$W212)))</f>
        <v/>
      </c>
      <c r="S212" s="56" t="str">
        <f aca="false">IF($W212="","",N(INDEX(发票统计!S$4:S$1003,$W212)))</f>
        <v/>
      </c>
      <c r="T212" s="56" t="str">
        <f aca="false">IF($W212="","",SUM(Q$4:Q212)-SUM(R$4:R212)-SUM(S$4:S212))</f>
        <v/>
      </c>
      <c r="U212" s="56" t="str">
        <f aca="false">IF($W212="","",INDEX(发票统计!U$4:U$1003,$W212)&amp;"")</f>
        <v/>
      </c>
      <c r="W212" s="1" t="str">
        <f aca="false">IF($V$3="","",IFERROR(MATCH($V$3&amp;"#"&amp;ROWS(W$4:W212),发票统计!$W$4:$W$1003,0),""))</f>
        <v/>
      </c>
    </row>
    <row r="213" customFormat="false" ht="16.5" hidden="false" customHeight="false" outlineLevel="0" collapsed="false">
      <c r="A213" s="3" t="str">
        <f aca="false">IF($W213="","",INDEX(发票统计!A$4:A$1003,$W213)&amp;"")</f>
        <v/>
      </c>
      <c r="B213" s="3" t="str">
        <f aca="false">IF($W213="","",INDEX(发票统计!B$4:B$1003,$W213)&amp;"")</f>
        <v/>
      </c>
      <c r="C213" s="3" t="str">
        <f aca="false">IF($W213="","",INDEX(发票统计!C$4:C$1003,$W213)&amp;"")</f>
        <v/>
      </c>
      <c r="D213" s="3" t="str">
        <f aca="false">IF($W213="","",INDEX(发票统计!D$4:D$1003,$W213)&amp;"")</f>
        <v/>
      </c>
      <c r="E213" s="56" t="str">
        <f aca="false">IF($W213="","",INDEX(发票统计!E$4:E$1003,$W213)&amp;"")</f>
        <v/>
      </c>
      <c r="F213" s="56" t="str">
        <f aca="false">IF($W213="","",INDEX(发票统计!F$4:F$1003,$W213)&amp;"")</f>
        <v/>
      </c>
      <c r="G213" s="68" t="str">
        <f aca="false">IF($W213="","",IF(INDEX(发票统计!G$4:G$1003,$W213)="","",INDEX(发票统计!G$4:G$1003,$W213)))</f>
        <v/>
      </c>
      <c r="H213" s="56" t="str">
        <f aca="false">IF($W213="","",N(INDEX(发票统计!H$4:H$1003,$W213)))</f>
        <v/>
      </c>
      <c r="I213" s="56" t="str">
        <f aca="false">IF($W213="","",N(INDEX(发票统计!I$4:I$1003,$W213)))</f>
        <v/>
      </c>
      <c r="J213" s="56" t="str">
        <f aca="false">IF($W213="","",N(INDEX(发票统计!J$4:J$1003,$W213)))</f>
        <v/>
      </c>
      <c r="K213" s="56" t="str">
        <f aca="false">IF($W213="","",N(INDEX(发票统计!K$4:K$1003,$W213)))</f>
        <v/>
      </c>
      <c r="L213" s="56" t="str">
        <f aca="false">IF($W213="","",SUM(J$4:J213)-SUM(K$4:K213))</f>
        <v/>
      </c>
      <c r="M213" s="56" t="str">
        <f aca="false">IF($W213="","",N(INDEX(发票统计!M$4:M$1003,$W213)))</f>
        <v/>
      </c>
      <c r="N213" s="56" t="str">
        <f aca="false">IF($W213="","",N(INDEX(发票统计!N$4:N$1003,$W213)))</f>
        <v/>
      </c>
      <c r="O213" s="56" t="str">
        <f aca="false">IF($W213="","",N(INDEX(发票统计!O$4:O$1003,$W213)))</f>
        <v/>
      </c>
      <c r="P213" s="56" t="str">
        <f aca="false">IF($W213="","",SUM(M$4:M213)-SUM(N$4:N213)-SUM(O$4:O213))</f>
        <v/>
      </c>
      <c r="Q213" s="56" t="str">
        <f aca="false">IF($W213="","",N(INDEX(发票统计!Q$4:Q$1003,$W213)))</f>
        <v/>
      </c>
      <c r="R213" s="56" t="str">
        <f aca="false">IF($W213="","",N(INDEX(发票统计!R$4:R$1003,$W213)))</f>
        <v/>
      </c>
      <c r="S213" s="56" t="str">
        <f aca="false">IF($W213="","",N(INDEX(发票统计!S$4:S$1003,$W213)))</f>
        <v/>
      </c>
      <c r="T213" s="56" t="str">
        <f aca="false">IF($W213="","",SUM(Q$4:Q213)-SUM(R$4:R213)-SUM(S$4:S213))</f>
        <v/>
      </c>
      <c r="U213" s="56" t="str">
        <f aca="false">IF($W213="","",INDEX(发票统计!U$4:U$1003,$W213)&amp;"")</f>
        <v/>
      </c>
      <c r="W213" s="1" t="str">
        <f aca="false">IF($V$3="","",IFERROR(MATCH($V$3&amp;"#"&amp;ROWS(W$4:W213),发票统计!$W$4:$W$1003,0),""))</f>
        <v/>
      </c>
    </row>
    <row r="214" customFormat="false" ht="16.5" hidden="false" customHeight="false" outlineLevel="0" collapsed="false">
      <c r="A214" s="3" t="str">
        <f aca="false">IF($W214="","",INDEX(发票统计!A$4:A$1003,$W214)&amp;"")</f>
        <v/>
      </c>
      <c r="B214" s="3" t="str">
        <f aca="false">IF($W214="","",INDEX(发票统计!B$4:B$1003,$W214)&amp;"")</f>
        <v/>
      </c>
      <c r="C214" s="3" t="str">
        <f aca="false">IF($W214="","",INDEX(发票统计!C$4:C$1003,$W214)&amp;"")</f>
        <v/>
      </c>
      <c r="D214" s="3" t="str">
        <f aca="false">IF($W214="","",INDEX(发票统计!D$4:D$1003,$W214)&amp;"")</f>
        <v/>
      </c>
      <c r="E214" s="56" t="str">
        <f aca="false">IF($W214="","",INDEX(发票统计!E$4:E$1003,$W214)&amp;"")</f>
        <v/>
      </c>
      <c r="F214" s="56" t="str">
        <f aca="false">IF($W214="","",INDEX(发票统计!F$4:F$1003,$W214)&amp;"")</f>
        <v/>
      </c>
      <c r="G214" s="68" t="str">
        <f aca="false">IF($W214="","",IF(INDEX(发票统计!G$4:G$1003,$W214)="","",INDEX(发票统计!G$4:G$1003,$W214)))</f>
        <v/>
      </c>
      <c r="H214" s="56" t="str">
        <f aca="false">IF($W214="","",N(INDEX(发票统计!H$4:H$1003,$W214)))</f>
        <v/>
      </c>
      <c r="I214" s="56" t="str">
        <f aca="false">IF($W214="","",N(INDEX(发票统计!I$4:I$1003,$W214)))</f>
        <v/>
      </c>
      <c r="J214" s="56" t="str">
        <f aca="false">IF($W214="","",N(INDEX(发票统计!J$4:J$1003,$W214)))</f>
        <v/>
      </c>
      <c r="K214" s="56" t="str">
        <f aca="false">IF($W214="","",N(INDEX(发票统计!K$4:K$1003,$W214)))</f>
        <v/>
      </c>
      <c r="L214" s="56" t="str">
        <f aca="false">IF($W214="","",SUM(J$4:J214)-SUM(K$4:K214))</f>
        <v/>
      </c>
      <c r="M214" s="56" t="str">
        <f aca="false">IF($W214="","",N(INDEX(发票统计!M$4:M$1003,$W214)))</f>
        <v/>
      </c>
      <c r="N214" s="56" t="str">
        <f aca="false">IF($W214="","",N(INDEX(发票统计!N$4:N$1003,$W214)))</f>
        <v/>
      </c>
      <c r="O214" s="56" t="str">
        <f aca="false">IF($W214="","",N(INDEX(发票统计!O$4:O$1003,$W214)))</f>
        <v/>
      </c>
      <c r="P214" s="56" t="str">
        <f aca="false">IF($W214="","",SUM(M$4:M214)-SUM(N$4:N214)-SUM(O$4:O214))</f>
        <v/>
      </c>
      <c r="Q214" s="56" t="str">
        <f aca="false">IF($W214="","",N(INDEX(发票统计!Q$4:Q$1003,$W214)))</f>
        <v/>
      </c>
      <c r="R214" s="56" t="str">
        <f aca="false">IF($W214="","",N(INDEX(发票统计!R$4:R$1003,$W214)))</f>
        <v/>
      </c>
      <c r="S214" s="56" t="str">
        <f aca="false">IF($W214="","",N(INDEX(发票统计!S$4:S$1003,$W214)))</f>
        <v/>
      </c>
      <c r="T214" s="56" t="str">
        <f aca="false">IF($W214="","",SUM(Q$4:Q214)-SUM(R$4:R214)-SUM(S$4:S214))</f>
        <v/>
      </c>
      <c r="U214" s="56" t="str">
        <f aca="false">IF($W214="","",INDEX(发票统计!U$4:U$1003,$W214)&amp;"")</f>
        <v/>
      </c>
      <c r="W214" s="1" t="str">
        <f aca="false">IF($V$3="","",IFERROR(MATCH($V$3&amp;"#"&amp;ROWS(W$4:W214),发票统计!$W$4:$W$1003,0),""))</f>
        <v/>
      </c>
    </row>
    <row r="215" customFormat="false" ht="16.5" hidden="false" customHeight="false" outlineLevel="0" collapsed="false">
      <c r="A215" s="3" t="str">
        <f aca="false">IF($W215="","",INDEX(发票统计!A$4:A$1003,$W215)&amp;"")</f>
        <v/>
      </c>
      <c r="B215" s="3" t="str">
        <f aca="false">IF($W215="","",INDEX(发票统计!B$4:B$1003,$W215)&amp;"")</f>
        <v/>
      </c>
      <c r="C215" s="3" t="str">
        <f aca="false">IF($W215="","",INDEX(发票统计!C$4:C$1003,$W215)&amp;"")</f>
        <v/>
      </c>
      <c r="D215" s="3" t="str">
        <f aca="false">IF($W215="","",INDEX(发票统计!D$4:D$1003,$W215)&amp;"")</f>
        <v/>
      </c>
      <c r="E215" s="56" t="str">
        <f aca="false">IF($W215="","",INDEX(发票统计!E$4:E$1003,$W215)&amp;"")</f>
        <v/>
      </c>
      <c r="F215" s="56" t="str">
        <f aca="false">IF($W215="","",INDEX(发票统计!F$4:F$1003,$W215)&amp;"")</f>
        <v/>
      </c>
      <c r="G215" s="68" t="str">
        <f aca="false">IF($W215="","",IF(INDEX(发票统计!G$4:G$1003,$W215)="","",INDEX(发票统计!G$4:G$1003,$W215)))</f>
        <v/>
      </c>
      <c r="H215" s="56" t="str">
        <f aca="false">IF($W215="","",N(INDEX(发票统计!H$4:H$1003,$W215)))</f>
        <v/>
      </c>
      <c r="I215" s="56" t="str">
        <f aca="false">IF($W215="","",N(INDEX(发票统计!I$4:I$1003,$W215)))</f>
        <v/>
      </c>
      <c r="J215" s="56" t="str">
        <f aca="false">IF($W215="","",N(INDEX(发票统计!J$4:J$1003,$W215)))</f>
        <v/>
      </c>
      <c r="K215" s="56" t="str">
        <f aca="false">IF($W215="","",N(INDEX(发票统计!K$4:K$1003,$W215)))</f>
        <v/>
      </c>
      <c r="L215" s="56" t="str">
        <f aca="false">IF($W215="","",SUM(J$4:J215)-SUM(K$4:K215))</f>
        <v/>
      </c>
      <c r="M215" s="56" t="str">
        <f aca="false">IF($W215="","",N(INDEX(发票统计!M$4:M$1003,$W215)))</f>
        <v/>
      </c>
      <c r="N215" s="56" t="str">
        <f aca="false">IF($W215="","",N(INDEX(发票统计!N$4:N$1003,$W215)))</f>
        <v/>
      </c>
      <c r="O215" s="56" t="str">
        <f aca="false">IF($W215="","",N(INDEX(发票统计!O$4:O$1003,$W215)))</f>
        <v/>
      </c>
      <c r="P215" s="56" t="str">
        <f aca="false">IF($W215="","",SUM(M$4:M215)-SUM(N$4:N215)-SUM(O$4:O215))</f>
        <v/>
      </c>
      <c r="Q215" s="56" t="str">
        <f aca="false">IF($W215="","",N(INDEX(发票统计!Q$4:Q$1003,$W215)))</f>
        <v/>
      </c>
      <c r="R215" s="56" t="str">
        <f aca="false">IF($W215="","",N(INDEX(发票统计!R$4:R$1003,$W215)))</f>
        <v/>
      </c>
      <c r="S215" s="56" t="str">
        <f aca="false">IF($W215="","",N(INDEX(发票统计!S$4:S$1003,$W215)))</f>
        <v/>
      </c>
      <c r="T215" s="56" t="str">
        <f aca="false">IF($W215="","",SUM(Q$4:Q215)-SUM(R$4:R215)-SUM(S$4:S215))</f>
        <v/>
      </c>
      <c r="U215" s="56" t="str">
        <f aca="false">IF($W215="","",INDEX(发票统计!U$4:U$1003,$W215)&amp;"")</f>
        <v/>
      </c>
      <c r="W215" s="1" t="str">
        <f aca="false">IF($V$3="","",IFERROR(MATCH($V$3&amp;"#"&amp;ROWS(W$4:W215),发票统计!$W$4:$W$1003,0),""))</f>
        <v/>
      </c>
    </row>
    <row r="216" customFormat="false" ht="16.5" hidden="false" customHeight="false" outlineLevel="0" collapsed="false">
      <c r="A216" s="3" t="str">
        <f aca="false">IF($W216="","",INDEX(发票统计!A$4:A$1003,$W216)&amp;"")</f>
        <v/>
      </c>
      <c r="B216" s="3" t="str">
        <f aca="false">IF($W216="","",INDEX(发票统计!B$4:B$1003,$W216)&amp;"")</f>
        <v/>
      </c>
      <c r="C216" s="3" t="str">
        <f aca="false">IF($W216="","",INDEX(发票统计!C$4:C$1003,$W216)&amp;"")</f>
        <v/>
      </c>
      <c r="D216" s="3" t="str">
        <f aca="false">IF($W216="","",INDEX(发票统计!D$4:D$1003,$W216)&amp;"")</f>
        <v/>
      </c>
      <c r="E216" s="56" t="str">
        <f aca="false">IF($W216="","",INDEX(发票统计!E$4:E$1003,$W216)&amp;"")</f>
        <v/>
      </c>
      <c r="F216" s="56" t="str">
        <f aca="false">IF($W216="","",INDEX(发票统计!F$4:F$1003,$W216)&amp;"")</f>
        <v/>
      </c>
      <c r="G216" s="68" t="str">
        <f aca="false">IF($W216="","",IF(INDEX(发票统计!G$4:G$1003,$W216)="","",INDEX(发票统计!G$4:G$1003,$W216)))</f>
        <v/>
      </c>
      <c r="H216" s="56" t="str">
        <f aca="false">IF($W216="","",N(INDEX(发票统计!H$4:H$1003,$W216)))</f>
        <v/>
      </c>
      <c r="I216" s="56" t="str">
        <f aca="false">IF($W216="","",N(INDEX(发票统计!I$4:I$1003,$W216)))</f>
        <v/>
      </c>
      <c r="J216" s="56" t="str">
        <f aca="false">IF($W216="","",N(INDEX(发票统计!J$4:J$1003,$W216)))</f>
        <v/>
      </c>
      <c r="K216" s="56" t="str">
        <f aca="false">IF($W216="","",N(INDEX(发票统计!K$4:K$1003,$W216)))</f>
        <v/>
      </c>
      <c r="L216" s="56" t="str">
        <f aca="false">IF($W216="","",SUM(J$4:J216)-SUM(K$4:K216))</f>
        <v/>
      </c>
      <c r="M216" s="56" t="str">
        <f aca="false">IF($W216="","",N(INDEX(发票统计!M$4:M$1003,$W216)))</f>
        <v/>
      </c>
      <c r="N216" s="56" t="str">
        <f aca="false">IF($W216="","",N(INDEX(发票统计!N$4:N$1003,$W216)))</f>
        <v/>
      </c>
      <c r="O216" s="56" t="str">
        <f aca="false">IF($W216="","",N(INDEX(发票统计!O$4:O$1003,$W216)))</f>
        <v/>
      </c>
      <c r="P216" s="56" t="str">
        <f aca="false">IF($W216="","",SUM(M$4:M216)-SUM(N$4:N216)-SUM(O$4:O216))</f>
        <v/>
      </c>
      <c r="Q216" s="56" t="str">
        <f aca="false">IF($W216="","",N(INDEX(发票统计!Q$4:Q$1003,$W216)))</f>
        <v/>
      </c>
      <c r="R216" s="56" t="str">
        <f aca="false">IF($W216="","",N(INDEX(发票统计!R$4:R$1003,$W216)))</f>
        <v/>
      </c>
      <c r="S216" s="56" t="str">
        <f aca="false">IF($W216="","",N(INDEX(发票统计!S$4:S$1003,$W216)))</f>
        <v/>
      </c>
      <c r="T216" s="56" t="str">
        <f aca="false">IF($W216="","",SUM(Q$4:Q216)-SUM(R$4:R216)-SUM(S$4:S216))</f>
        <v/>
      </c>
      <c r="U216" s="56" t="str">
        <f aca="false">IF($W216="","",INDEX(发票统计!U$4:U$1003,$W216)&amp;"")</f>
        <v/>
      </c>
      <c r="W216" s="1" t="str">
        <f aca="false">IF($V$3="","",IFERROR(MATCH($V$3&amp;"#"&amp;ROWS(W$4:W216),发票统计!$W$4:$W$1003,0),""))</f>
        <v/>
      </c>
    </row>
    <row r="217" customFormat="false" ht="16.5" hidden="false" customHeight="false" outlineLevel="0" collapsed="false">
      <c r="A217" s="3" t="str">
        <f aca="false">IF($W217="","",INDEX(发票统计!A$4:A$1003,$W217)&amp;"")</f>
        <v/>
      </c>
      <c r="B217" s="3" t="str">
        <f aca="false">IF($W217="","",INDEX(发票统计!B$4:B$1003,$W217)&amp;"")</f>
        <v/>
      </c>
      <c r="C217" s="3" t="str">
        <f aca="false">IF($W217="","",INDEX(发票统计!C$4:C$1003,$W217)&amp;"")</f>
        <v/>
      </c>
      <c r="D217" s="3" t="str">
        <f aca="false">IF($W217="","",INDEX(发票统计!D$4:D$1003,$W217)&amp;"")</f>
        <v/>
      </c>
      <c r="E217" s="56" t="str">
        <f aca="false">IF($W217="","",INDEX(发票统计!E$4:E$1003,$W217)&amp;"")</f>
        <v/>
      </c>
      <c r="F217" s="56" t="str">
        <f aca="false">IF($W217="","",INDEX(发票统计!F$4:F$1003,$W217)&amp;"")</f>
        <v/>
      </c>
      <c r="G217" s="68" t="str">
        <f aca="false">IF($W217="","",IF(INDEX(发票统计!G$4:G$1003,$W217)="","",INDEX(发票统计!G$4:G$1003,$W217)))</f>
        <v/>
      </c>
      <c r="H217" s="56" t="str">
        <f aca="false">IF($W217="","",N(INDEX(发票统计!H$4:H$1003,$W217)))</f>
        <v/>
      </c>
      <c r="I217" s="56" t="str">
        <f aca="false">IF($W217="","",N(INDEX(发票统计!I$4:I$1003,$W217)))</f>
        <v/>
      </c>
      <c r="J217" s="56" t="str">
        <f aca="false">IF($W217="","",N(INDEX(发票统计!J$4:J$1003,$W217)))</f>
        <v/>
      </c>
      <c r="K217" s="56" t="str">
        <f aca="false">IF($W217="","",N(INDEX(发票统计!K$4:K$1003,$W217)))</f>
        <v/>
      </c>
      <c r="L217" s="56" t="str">
        <f aca="false">IF($W217="","",SUM(J$4:J217)-SUM(K$4:K217))</f>
        <v/>
      </c>
      <c r="M217" s="56" t="str">
        <f aca="false">IF($W217="","",N(INDEX(发票统计!M$4:M$1003,$W217)))</f>
        <v/>
      </c>
      <c r="N217" s="56" t="str">
        <f aca="false">IF($W217="","",N(INDEX(发票统计!N$4:N$1003,$W217)))</f>
        <v/>
      </c>
      <c r="O217" s="56" t="str">
        <f aca="false">IF($W217="","",N(INDEX(发票统计!O$4:O$1003,$W217)))</f>
        <v/>
      </c>
      <c r="P217" s="56" t="str">
        <f aca="false">IF($W217="","",SUM(M$4:M217)-SUM(N$4:N217)-SUM(O$4:O217))</f>
        <v/>
      </c>
      <c r="Q217" s="56" t="str">
        <f aca="false">IF($W217="","",N(INDEX(发票统计!Q$4:Q$1003,$W217)))</f>
        <v/>
      </c>
      <c r="R217" s="56" t="str">
        <f aca="false">IF($W217="","",N(INDEX(发票统计!R$4:R$1003,$W217)))</f>
        <v/>
      </c>
      <c r="S217" s="56" t="str">
        <f aca="false">IF($W217="","",N(INDEX(发票统计!S$4:S$1003,$W217)))</f>
        <v/>
      </c>
      <c r="T217" s="56" t="str">
        <f aca="false">IF($W217="","",SUM(Q$4:Q217)-SUM(R$4:R217)-SUM(S$4:S217))</f>
        <v/>
      </c>
      <c r="U217" s="56" t="str">
        <f aca="false">IF($W217="","",INDEX(发票统计!U$4:U$1003,$W217)&amp;"")</f>
        <v/>
      </c>
      <c r="W217" s="1" t="str">
        <f aca="false">IF($V$3="","",IFERROR(MATCH($V$3&amp;"#"&amp;ROWS(W$4:W217),发票统计!$W$4:$W$1003,0),""))</f>
        <v/>
      </c>
    </row>
    <row r="218" customFormat="false" ht="16.5" hidden="false" customHeight="false" outlineLevel="0" collapsed="false">
      <c r="A218" s="3" t="str">
        <f aca="false">IF($W218="","",INDEX(发票统计!A$4:A$1003,$W218)&amp;"")</f>
        <v/>
      </c>
      <c r="B218" s="3" t="str">
        <f aca="false">IF($W218="","",INDEX(发票统计!B$4:B$1003,$W218)&amp;"")</f>
        <v/>
      </c>
      <c r="C218" s="3" t="str">
        <f aca="false">IF($W218="","",INDEX(发票统计!C$4:C$1003,$W218)&amp;"")</f>
        <v/>
      </c>
      <c r="D218" s="3" t="str">
        <f aca="false">IF($W218="","",INDEX(发票统计!D$4:D$1003,$W218)&amp;"")</f>
        <v/>
      </c>
      <c r="E218" s="56" t="str">
        <f aca="false">IF($W218="","",INDEX(发票统计!E$4:E$1003,$W218)&amp;"")</f>
        <v/>
      </c>
      <c r="F218" s="56" t="str">
        <f aca="false">IF($W218="","",INDEX(发票统计!F$4:F$1003,$W218)&amp;"")</f>
        <v/>
      </c>
      <c r="G218" s="68" t="str">
        <f aca="false">IF($W218="","",IF(INDEX(发票统计!G$4:G$1003,$W218)="","",INDEX(发票统计!G$4:G$1003,$W218)))</f>
        <v/>
      </c>
      <c r="H218" s="56" t="str">
        <f aca="false">IF($W218="","",N(INDEX(发票统计!H$4:H$1003,$W218)))</f>
        <v/>
      </c>
      <c r="I218" s="56" t="str">
        <f aca="false">IF($W218="","",N(INDEX(发票统计!I$4:I$1003,$W218)))</f>
        <v/>
      </c>
      <c r="J218" s="56" t="str">
        <f aca="false">IF($W218="","",N(INDEX(发票统计!J$4:J$1003,$W218)))</f>
        <v/>
      </c>
      <c r="K218" s="56" t="str">
        <f aca="false">IF($W218="","",N(INDEX(发票统计!K$4:K$1003,$W218)))</f>
        <v/>
      </c>
      <c r="L218" s="56" t="str">
        <f aca="false">IF($W218="","",SUM(J$4:J218)-SUM(K$4:K218))</f>
        <v/>
      </c>
      <c r="M218" s="56" t="str">
        <f aca="false">IF($W218="","",N(INDEX(发票统计!M$4:M$1003,$W218)))</f>
        <v/>
      </c>
      <c r="N218" s="56" t="str">
        <f aca="false">IF($W218="","",N(INDEX(发票统计!N$4:N$1003,$W218)))</f>
        <v/>
      </c>
      <c r="O218" s="56" t="str">
        <f aca="false">IF($W218="","",N(INDEX(发票统计!O$4:O$1003,$W218)))</f>
        <v/>
      </c>
      <c r="P218" s="56" t="str">
        <f aca="false">IF($W218="","",SUM(M$4:M218)-SUM(N$4:N218)-SUM(O$4:O218))</f>
        <v/>
      </c>
      <c r="Q218" s="56" t="str">
        <f aca="false">IF($W218="","",N(INDEX(发票统计!Q$4:Q$1003,$W218)))</f>
        <v/>
      </c>
      <c r="R218" s="56" t="str">
        <f aca="false">IF($W218="","",N(INDEX(发票统计!R$4:R$1003,$W218)))</f>
        <v/>
      </c>
      <c r="S218" s="56" t="str">
        <f aca="false">IF($W218="","",N(INDEX(发票统计!S$4:S$1003,$W218)))</f>
        <v/>
      </c>
      <c r="T218" s="56" t="str">
        <f aca="false">IF($W218="","",SUM(Q$4:Q218)-SUM(R$4:R218)-SUM(S$4:S218))</f>
        <v/>
      </c>
      <c r="U218" s="56" t="str">
        <f aca="false">IF($W218="","",INDEX(发票统计!U$4:U$1003,$W218)&amp;"")</f>
        <v/>
      </c>
      <c r="W218" s="1" t="str">
        <f aca="false">IF($V$3="","",IFERROR(MATCH($V$3&amp;"#"&amp;ROWS(W$4:W218),发票统计!$W$4:$W$1003,0),""))</f>
        <v/>
      </c>
    </row>
    <row r="219" customFormat="false" ht="16.5" hidden="false" customHeight="false" outlineLevel="0" collapsed="false">
      <c r="A219" s="3" t="str">
        <f aca="false">IF($W219="","",INDEX(发票统计!A$4:A$1003,$W219)&amp;"")</f>
        <v/>
      </c>
      <c r="B219" s="3" t="str">
        <f aca="false">IF($W219="","",INDEX(发票统计!B$4:B$1003,$W219)&amp;"")</f>
        <v/>
      </c>
      <c r="C219" s="3" t="str">
        <f aca="false">IF($W219="","",INDEX(发票统计!C$4:C$1003,$W219)&amp;"")</f>
        <v/>
      </c>
      <c r="D219" s="3" t="str">
        <f aca="false">IF($W219="","",INDEX(发票统计!D$4:D$1003,$W219)&amp;"")</f>
        <v/>
      </c>
      <c r="E219" s="56" t="str">
        <f aca="false">IF($W219="","",INDEX(发票统计!E$4:E$1003,$W219)&amp;"")</f>
        <v/>
      </c>
      <c r="F219" s="56" t="str">
        <f aca="false">IF($W219="","",INDEX(发票统计!F$4:F$1003,$W219)&amp;"")</f>
        <v/>
      </c>
      <c r="G219" s="68" t="str">
        <f aca="false">IF($W219="","",IF(INDEX(发票统计!G$4:G$1003,$W219)="","",INDEX(发票统计!G$4:G$1003,$W219)))</f>
        <v/>
      </c>
      <c r="H219" s="56" t="str">
        <f aca="false">IF($W219="","",N(INDEX(发票统计!H$4:H$1003,$W219)))</f>
        <v/>
      </c>
      <c r="I219" s="56" t="str">
        <f aca="false">IF($W219="","",N(INDEX(发票统计!I$4:I$1003,$W219)))</f>
        <v/>
      </c>
      <c r="J219" s="56" t="str">
        <f aca="false">IF($W219="","",N(INDEX(发票统计!J$4:J$1003,$W219)))</f>
        <v/>
      </c>
      <c r="K219" s="56" t="str">
        <f aca="false">IF($W219="","",N(INDEX(发票统计!K$4:K$1003,$W219)))</f>
        <v/>
      </c>
      <c r="L219" s="56" t="str">
        <f aca="false">IF($W219="","",SUM(J$4:J219)-SUM(K$4:K219))</f>
        <v/>
      </c>
      <c r="M219" s="56" t="str">
        <f aca="false">IF($W219="","",N(INDEX(发票统计!M$4:M$1003,$W219)))</f>
        <v/>
      </c>
      <c r="N219" s="56" t="str">
        <f aca="false">IF($W219="","",N(INDEX(发票统计!N$4:N$1003,$W219)))</f>
        <v/>
      </c>
      <c r="O219" s="56" t="str">
        <f aca="false">IF($W219="","",N(INDEX(发票统计!O$4:O$1003,$W219)))</f>
        <v/>
      </c>
      <c r="P219" s="56" t="str">
        <f aca="false">IF($W219="","",SUM(M$4:M219)-SUM(N$4:N219)-SUM(O$4:O219))</f>
        <v/>
      </c>
      <c r="Q219" s="56" t="str">
        <f aca="false">IF($W219="","",N(INDEX(发票统计!Q$4:Q$1003,$W219)))</f>
        <v/>
      </c>
      <c r="R219" s="56" t="str">
        <f aca="false">IF($W219="","",N(INDEX(发票统计!R$4:R$1003,$W219)))</f>
        <v/>
      </c>
      <c r="S219" s="56" t="str">
        <f aca="false">IF($W219="","",N(INDEX(发票统计!S$4:S$1003,$W219)))</f>
        <v/>
      </c>
      <c r="T219" s="56" t="str">
        <f aca="false">IF($W219="","",SUM(Q$4:Q219)-SUM(R$4:R219)-SUM(S$4:S219))</f>
        <v/>
      </c>
      <c r="U219" s="56" t="str">
        <f aca="false">IF($W219="","",INDEX(发票统计!U$4:U$1003,$W219)&amp;"")</f>
        <v/>
      </c>
      <c r="W219" s="1" t="str">
        <f aca="false">IF($V$3="","",IFERROR(MATCH($V$3&amp;"#"&amp;ROWS(W$4:W219),发票统计!$W$4:$W$1003,0),""))</f>
        <v/>
      </c>
    </row>
    <row r="220" customFormat="false" ht="16.5" hidden="false" customHeight="false" outlineLevel="0" collapsed="false">
      <c r="A220" s="3" t="str">
        <f aca="false">IF($W220="","",INDEX(发票统计!A$4:A$1003,$W220)&amp;"")</f>
        <v/>
      </c>
      <c r="B220" s="3" t="str">
        <f aca="false">IF($W220="","",INDEX(发票统计!B$4:B$1003,$W220)&amp;"")</f>
        <v/>
      </c>
      <c r="C220" s="3" t="str">
        <f aca="false">IF($W220="","",INDEX(发票统计!C$4:C$1003,$W220)&amp;"")</f>
        <v/>
      </c>
      <c r="D220" s="3" t="str">
        <f aca="false">IF($W220="","",INDEX(发票统计!D$4:D$1003,$W220)&amp;"")</f>
        <v/>
      </c>
      <c r="E220" s="56" t="str">
        <f aca="false">IF($W220="","",INDEX(发票统计!E$4:E$1003,$W220)&amp;"")</f>
        <v/>
      </c>
      <c r="F220" s="56" t="str">
        <f aca="false">IF($W220="","",INDEX(发票统计!F$4:F$1003,$W220)&amp;"")</f>
        <v/>
      </c>
      <c r="G220" s="68" t="str">
        <f aca="false">IF($W220="","",IF(INDEX(发票统计!G$4:G$1003,$W220)="","",INDEX(发票统计!G$4:G$1003,$W220)))</f>
        <v/>
      </c>
      <c r="H220" s="56" t="str">
        <f aca="false">IF($W220="","",N(INDEX(发票统计!H$4:H$1003,$W220)))</f>
        <v/>
      </c>
      <c r="I220" s="56" t="str">
        <f aca="false">IF($W220="","",N(INDEX(发票统计!I$4:I$1003,$W220)))</f>
        <v/>
      </c>
      <c r="J220" s="56" t="str">
        <f aca="false">IF($W220="","",N(INDEX(发票统计!J$4:J$1003,$W220)))</f>
        <v/>
      </c>
      <c r="K220" s="56" t="str">
        <f aca="false">IF($W220="","",N(INDEX(发票统计!K$4:K$1003,$W220)))</f>
        <v/>
      </c>
      <c r="L220" s="56" t="str">
        <f aca="false">IF($W220="","",SUM(J$4:J220)-SUM(K$4:K220))</f>
        <v/>
      </c>
      <c r="M220" s="56" t="str">
        <f aca="false">IF($W220="","",N(INDEX(发票统计!M$4:M$1003,$W220)))</f>
        <v/>
      </c>
      <c r="N220" s="56" t="str">
        <f aca="false">IF($W220="","",N(INDEX(发票统计!N$4:N$1003,$W220)))</f>
        <v/>
      </c>
      <c r="O220" s="56" t="str">
        <f aca="false">IF($W220="","",N(INDEX(发票统计!O$4:O$1003,$W220)))</f>
        <v/>
      </c>
      <c r="P220" s="56" t="str">
        <f aca="false">IF($W220="","",SUM(M$4:M220)-SUM(N$4:N220)-SUM(O$4:O220))</f>
        <v/>
      </c>
      <c r="Q220" s="56" t="str">
        <f aca="false">IF($W220="","",N(INDEX(发票统计!Q$4:Q$1003,$W220)))</f>
        <v/>
      </c>
      <c r="R220" s="56" t="str">
        <f aca="false">IF($W220="","",N(INDEX(发票统计!R$4:R$1003,$W220)))</f>
        <v/>
      </c>
      <c r="S220" s="56" t="str">
        <f aca="false">IF($W220="","",N(INDEX(发票统计!S$4:S$1003,$W220)))</f>
        <v/>
      </c>
      <c r="T220" s="56" t="str">
        <f aca="false">IF($W220="","",SUM(Q$4:Q220)-SUM(R$4:R220)-SUM(S$4:S220))</f>
        <v/>
      </c>
      <c r="U220" s="56" t="str">
        <f aca="false">IF($W220="","",INDEX(发票统计!U$4:U$1003,$W220)&amp;"")</f>
        <v/>
      </c>
      <c r="W220" s="1" t="str">
        <f aca="false">IF($V$3="","",IFERROR(MATCH($V$3&amp;"#"&amp;ROWS(W$4:W220),发票统计!$W$4:$W$1003,0),""))</f>
        <v/>
      </c>
    </row>
    <row r="221" customFormat="false" ht="16.5" hidden="false" customHeight="false" outlineLevel="0" collapsed="false">
      <c r="A221" s="3" t="str">
        <f aca="false">IF($W221="","",INDEX(发票统计!A$4:A$1003,$W221)&amp;"")</f>
        <v/>
      </c>
      <c r="B221" s="3" t="str">
        <f aca="false">IF($W221="","",INDEX(发票统计!B$4:B$1003,$W221)&amp;"")</f>
        <v/>
      </c>
      <c r="C221" s="3" t="str">
        <f aca="false">IF($W221="","",INDEX(发票统计!C$4:C$1003,$W221)&amp;"")</f>
        <v/>
      </c>
      <c r="D221" s="3" t="str">
        <f aca="false">IF($W221="","",INDEX(发票统计!D$4:D$1003,$W221)&amp;"")</f>
        <v/>
      </c>
      <c r="E221" s="56" t="str">
        <f aca="false">IF($W221="","",INDEX(发票统计!E$4:E$1003,$W221)&amp;"")</f>
        <v/>
      </c>
      <c r="F221" s="56" t="str">
        <f aca="false">IF($W221="","",INDEX(发票统计!F$4:F$1003,$W221)&amp;"")</f>
        <v/>
      </c>
      <c r="G221" s="68" t="str">
        <f aca="false">IF($W221="","",IF(INDEX(发票统计!G$4:G$1003,$W221)="","",INDEX(发票统计!G$4:G$1003,$W221)))</f>
        <v/>
      </c>
      <c r="H221" s="56" t="str">
        <f aca="false">IF($W221="","",N(INDEX(发票统计!H$4:H$1003,$W221)))</f>
        <v/>
      </c>
      <c r="I221" s="56" t="str">
        <f aca="false">IF($W221="","",N(INDEX(发票统计!I$4:I$1003,$W221)))</f>
        <v/>
      </c>
      <c r="J221" s="56" t="str">
        <f aca="false">IF($W221="","",N(INDEX(发票统计!J$4:J$1003,$W221)))</f>
        <v/>
      </c>
      <c r="K221" s="56" t="str">
        <f aca="false">IF($W221="","",N(INDEX(发票统计!K$4:K$1003,$W221)))</f>
        <v/>
      </c>
      <c r="L221" s="56" t="str">
        <f aca="false">IF($W221="","",SUM(J$4:J221)-SUM(K$4:K221))</f>
        <v/>
      </c>
      <c r="M221" s="56" t="str">
        <f aca="false">IF($W221="","",N(INDEX(发票统计!M$4:M$1003,$W221)))</f>
        <v/>
      </c>
      <c r="N221" s="56" t="str">
        <f aca="false">IF($W221="","",N(INDEX(发票统计!N$4:N$1003,$W221)))</f>
        <v/>
      </c>
      <c r="O221" s="56" t="str">
        <f aca="false">IF($W221="","",N(INDEX(发票统计!O$4:O$1003,$W221)))</f>
        <v/>
      </c>
      <c r="P221" s="56" t="str">
        <f aca="false">IF($W221="","",SUM(M$4:M221)-SUM(N$4:N221)-SUM(O$4:O221))</f>
        <v/>
      </c>
      <c r="Q221" s="56" t="str">
        <f aca="false">IF($W221="","",N(INDEX(发票统计!Q$4:Q$1003,$W221)))</f>
        <v/>
      </c>
      <c r="R221" s="56" t="str">
        <f aca="false">IF($W221="","",N(INDEX(发票统计!R$4:R$1003,$W221)))</f>
        <v/>
      </c>
      <c r="S221" s="56" t="str">
        <f aca="false">IF($W221="","",N(INDEX(发票统计!S$4:S$1003,$W221)))</f>
        <v/>
      </c>
      <c r="T221" s="56" t="str">
        <f aca="false">IF($W221="","",SUM(Q$4:Q221)-SUM(R$4:R221)-SUM(S$4:S221))</f>
        <v/>
      </c>
      <c r="U221" s="56" t="str">
        <f aca="false">IF($W221="","",INDEX(发票统计!U$4:U$1003,$W221)&amp;"")</f>
        <v/>
      </c>
      <c r="W221" s="1" t="str">
        <f aca="false">IF($V$3="","",IFERROR(MATCH($V$3&amp;"#"&amp;ROWS(W$4:W221),发票统计!$W$4:$W$1003,0),""))</f>
        <v/>
      </c>
    </row>
    <row r="222" customFormat="false" ht="16.5" hidden="false" customHeight="false" outlineLevel="0" collapsed="false">
      <c r="A222" s="3" t="str">
        <f aca="false">IF($W222="","",INDEX(发票统计!A$4:A$1003,$W222)&amp;"")</f>
        <v/>
      </c>
      <c r="B222" s="3" t="str">
        <f aca="false">IF($W222="","",INDEX(发票统计!B$4:B$1003,$W222)&amp;"")</f>
        <v/>
      </c>
      <c r="C222" s="3" t="str">
        <f aca="false">IF($W222="","",INDEX(发票统计!C$4:C$1003,$W222)&amp;"")</f>
        <v/>
      </c>
      <c r="D222" s="3" t="str">
        <f aca="false">IF($W222="","",INDEX(发票统计!D$4:D$1003,$W222)&amp;"")</f>
        <v/>
      </c>
      <c r="E222" s="56" t="str">
        <f aca="false">IF($W222="","",INDEX(发票统计!E$4:E$1003,$W222)&amp;"")</f>
        <v/>
      </c>
      <c r="F222" s="56" t="str">
        <f aca="false">IF($W222="","",INDEX(发票统计!F$4:F$1003,$W222)&amp;"")</f>
        <v/>
      </c>
      <c r="G222" s="68" t="str">
        <f aca="false">IF($W222="","",IF(INDEX(发票统计!G$4:G$1003,$W222)="","",INDEX(发票统计!G$4:G$1003,$W222)))</f>
        <v/>
      </c>
      <c r="H222" s="56" t="str">
        <f aca="false">IF($W222="","",N(INDEX(发票统计!H$4:H$1003,$W222)))</f>
        <v/>
      </c>
      <c r="I222" s="56" t="str">
        <f aca="false">IF($W222="","",N(INDEX(发票统计!I$4:I$1003,$W222)))</f>
        <v/>
      </c>
      <c r="J222" s="56" t="str">
        <f aca="false">IF($W222="","",N(INDEX(发票统计!J$4:J$1003,$W222)))</f>
        <v/>
      </c>
      <c r="K222" s="56" t="str">
        <f aca="false">IF($W222="","",N(INDEX(发票统计!K$4:K$1003,$W222)))</f>
        <v/>
      </c>
      <c r="L222" s="56" t="str">
        <f aca="false">IF($W222="","",SUM(J$4:J222)-SUM(K$4:K222))</f>
        <v/>
      </c>
      <c r="M222" s="56" t="str">
        <f aca="false">IF($W222="","",N(INDEX(发票统计!M$4:M$1003,$W222)))</f>
        <v/>
      </c>
      <c r="N222" s="56" t="str">
        <f aca="false">IF($W222="","",N(INDEX(发票统计!N$4:N$1003,$W222)))</f>
        <v/>
      </c>
      <c r="O222" s="56" t="str">
        <f aca="false">IF($W222="","",N(INDEX(发票统计!O$4:O$1003,$W222)))</f>
        <v/>
      </c>
      <c r="P222" s="56" t="str">
        <f aca="false">IF($W222="","",SUM(M$4:M222)-SUM(N$4:N222)-SUM(O$4:O222))</f>
        <v/>
      </c>
      <c r="Q222" s="56" t="str">
        <f aca="false">IF($W222="","",N(INDEX(发票统计!Q$4:Q$1003,$W222)))</f>
        <v/>
      </c>
      <c r="R222" s="56" t="str">
        <f aca="false">IF($W222="","",N(INDEX(发票统计!R$4:R$1003,$W222)))</f>
        <v/>
      </c>
      <c r="S222" s="56" t="str">
        <f aca="false">IF($W222="","",N(INDEX(发票统计!S$4:S$1003,$W222)))</f>
        <v/>
      </c>
      <c r="T222" s="56" t="str">
        <f aca="false">IF($W222="","",SUM(Q$4:Q222)-SUM(R$4:R222)-SUM(S$4:S222))</f>
        <v/>
      </c>
      <c r="U222" s="56" t="str">
        <f aca="false">IF($W222="","",INDEX(发票统计!U$4:U$1003,$W222)&amp;"")</f>
        <v/>
      </c>
      <c r="W222" s="1" t="str">
        <f aca="false">IF($V$3="","",IFERROR(MATCH($V$3&amp;"#"&amp;ROWS(W$4:W222),发票统计!$W$4:$W$1003,0),""))</f>
        <v/>
      </c>
    </row>
    <row r="223" customFormat="false" ht="16.5" hidden="false" customHeight="false" outlineLevel="0" collapsed="false">
      <c r="A223" s="3" t="str">
        <f aca="false">IF($W223="","",INDEX(发票统计!A$4:A$1003,$W223)&amp;"")</f>
        <v/>
      </c>
      <c r="B223" s="3" t="str">
        <f aca="false">IF($W223="","",INDEX(发票统计!B$4:B$1003,$W223)&amp;"")</f>
        <v/>
      </c>
      <c r="C223" s="3" t="str">
        <f aca="false">IF($W223="","",INDEX(发票统计!C$4:C$1003,$W223)&amp;"")</f>
        <v/>
      </c>
      <c r="D223" s="3" t="str">
        <f aca="false">IF($W223="","",INDEX(发票统计!D$4:D$1003,$W223)&amp;"")</f>
        <v/>
      </c>
      <c r="E223" s="56" t="str">
        <f aca="false">IF($W223="","",INDEX(发票统计!E$4:E$1003,$W223)&amp;"")</f>
        <v/>
      </c>
      <c r="F223" s="56" t="str">
        <f aca="false">IF($W223="","",INDEX(发票统计!F$4:F$1003,$W223)&amp;"")</f>
        <v/>
      </c>
      <c r="G223" s="68" t="str">
        <f aca="false">IF($W223="","",IF(INDEX(发票统计!G$4:G$1003,$W223)="","",INDEX(发票统计!G$4:G$1003,$W223)))</f>
        <v/>
      </c>
      <c r="H223" s="56" t="str">
        <f aca="false">IF($W223="","",N(INDEX(发票统计!H$4:H$1003,$W223)))</f>
        <v/>
      </c>
      <c r="I223" s="56" t="str">
        <f aca="false">IF($W223="","",N(INDEX(发票统计!I$4:I$1003,$W223)))</f>
        <v/>
      </c>
      <c r="J223" s="56" t="str">
        <f aca="false">IF($W223="","",N(INDEX(发票统计!J$4:J$1003,$W223)))</f>
        <v/>
      </c>
      <c r="K223" s="56" t="str">
        <f aca="false">IF($W223="","",N(INDEX(发票统计!K$4:K$1003,$W223)))</f>
        <v/>
      </c>
      <c r="L223" s="56" t="str">
        <f aca="false">IF($W223="","",SUM(J$4:J223)-SUM(K$4:K223))</f>
        <v/>
      </c>
      <c r="M223" s="56" t="str">
        <f aca="false">IF($W223="","",N(INDEX(发票统计!M$4:M$1003,$W223)))</f>
        <v/>
      </c>
      <c r="N223" s="56" t="str">
        <f aca="false">IF($W223="","",N(INDEX(发票统计!N$4:N$1003,$W223)))</f>
        <v/>
      </c>
      <c r="O223" s="56" t="str">
        <f aca="false">IF($W223="","",N(INDEX(发票统计!O$4:O$1003,$W223)))</f>
        <v/>
      </c>
      <c r="P223" s="56" t="str">
        <f aca="false">IF($W223="","",SUM(M$4:M223)-SUM(N$4:N223)-SUM(O$4:O223))</f>
        <v/>
      </c>
      <c r="Q223" s="56" t="str">
        <f aca="false">IF($W223="","",N(INDEX(发票统计!Q$4:Q$1003,$W223)))</f>
        <v/>
      </c>
      <c r="R223" s="56" t="str">
        <f aca="false">IF($W223="","",N(INDEX(发票统计!R$4:R$1003,$W223)))</f>
        <v/>
      </c>
      <c r="S223" s="56" t="str">
        <f aca="false">IF($W223="","",N(INDEX(发票统计!S$4:S$1003,$W223)))</f>
        <v/>
      </c>
      <c r="T223" s="56" t="str">
        <f aca="false">IF($W223="","",SUM(Q$4:Q223)-SUM(R$4:R223)-SUM(S$4:S223))</f>
        <v/>
      </c>
      <c r="U223" s="56" t="str">
        <f aca="false">IF($W223="","",INDEX(发票统计!U$4:U$1003,$W223)&amp;"")</f>
        <v/>
      </c>
      <c r="W223" s="1" t="str">
        <f aca="false">IF($V$3="","",IFERROR(MATCH($V$3&amp;"#"&amp;ROWS(W$4:W223),发票统计!$W$4:$W$1003,0),""))</f>
        <v/>
      </c>
    </row>
    <row r="224" customFormat="false" ht="16.5" hidden="false" customHeight="false" outlineLevel="0" collapsed="false">
      <c r="A224" s="3" t="str">
        <f aca="false">IF($W224="","",INDEX(发票统计!A$4:A$1003,$W224)&amp;"")</f>
        <v/>
      </c>
      <c r="B224" s="3" t="str">
        <f aca="false">IF($W224="","",INDEX(发票统计!B$4:B$1003,$W224)&amp;"")</f>
        <v/>
      </c>
      <c r="C224" s="3" t="str">
        <f aca="false">IF($W224="","",INDEX(发票统计!C$4:C$1003,$W224)&amp;"")</f>
        <v/>
      </c>
      <c r="D224" s="3" t="str">
        <f aca="false">IF($W224="","",INDEX(发票统计!D$4:D$1003,$W224)&amp;"")</f>
        <v/>
      </c>
      <c r="E224" s="56" t="str">
        <f aca="false">IF($W224="","",INDEX(发票统计!E$4:E$1003,$W224)&amp;"")</f>
        <v/>
      </c>
      <c r="F224" s="56" t="str">
        <f aca="false">IF($W224="","",INDEX(发票统计!F$4:F$1003,$W224)&amp;"")</f>
        <v/>
      </c>
      <c r="G224" s="68" t="str">
        <f aca="false">IF($W224="","",IF(INDEX(发票统计!G$4:G$1003,$W224)="","",INDEX(发票统计!G$4:G$1003,$W224)))</f>
        <v/>
      </c>
      <c r="H224" s="56" t="str">
        <f aca="false">IF($W224="","",N(INDEX(发票统计!H$4:H$1003,$W224)))</f>
        <v/>
      </c>
      <c r="I224" s="56" t="str">
        <f aca="false">IF($W224="","",N(INDEX(发票统计!I$4:I$1003,$W224)))</f>
        <v/>
      </c>
      <c r="J224" s="56" t="str">
        <f aca="false">IF($W224="","",N(INDEX(发票统计!J$4:J$1003,$W224)))</f>
        <v/>
      </c>
      <c r="K224" s="56" t="str">
        <f aca="false">IF($W224="","",N(INDEX(发票统计!K$4:K$1003,$W224)))</f>
        <v/>
      </c>
      <c r="L224" s="56" t="str">
        <f aca="false">IF($W224="","",SUM(J$4:J224)-SUM(K$4:K224))</f>
        <v/>
      </c>
      <c r="M224" s="56" t="str">
        <f aca="false">IF($W224="","",N(INDEX(发票统计!M$4:M$1003,$W224)))</f>
        <v/>
      </c>
      <c r="N224" s="56" t="str">
        <f aca="false">IF($W224="","",N(INDEX(发票统计!N$4:N$1003,$W224)))</f>
        <v/>
      </c>
      <c r="O224" s="56" t="str">
        <f aca="false">IF($W224="","",N(INDEX(发票统计!O$4:O$1003,$W224)))</f>
        <v/>
      </c>
      <c r="P224" s="56" t="str">
        <f aca="false">IF($W224="","",SUM(M$4:M224)-SUM(N$4:N224)-SUM(O$4:O224))</f>
        <v/>
      </c>
      <c r="Q224" s="56" t="str">
        <f aca="false">IF($W224="","",N(INDEX(发票统计!Q$4:Q$1003,$W224)))</f>
        <v/>
      </c>
      <c r="R224" s="56" t="str">
        <f aca="false">IF($W224="","",N(INDEX(发票统计!R$4:R$1003,$W224)))</f>
        <v/>
      </c>
      <c r="S224" s="56" t="str">
        <f aca="false">IF($W224="","",N(INDEX(发票统计!S$4:S$1003,$W224)))</f>
        <v/>
      </c>
      <c r="T224" s="56" t="str">
        <f aca="false">IF($W224="","",SUM(Q$4:Q224)-SUM(R$4:R224)-SUM(S$4:S224))</f>
        <v/>
      </c>
      <c r="U224" s="56" t="str">
        <f aca="false">IF($W224="","",INDEX(发票统计!U$4:U$1003,$W224)&amp;"")</f>
        <v/>
      </c>
      <c r="W224" s="1" t="str">
        <f aca="false">IF($V$3="","",IFERROR(MATCH($V$3&amp;"#"&amp;ROWS(W$4:W224),发票统计!$W$4:$W$1003,0),""))</f>
        <v/>
      </c>
    </row>
    <row r="225" customFormat="false" ht="16.5" hidden="false" customHeight="false" outlineLevel="0" collapsed="false">
      <c r="A225" s="3" t="str">
        <f aca="false">IF($W225="","",INDEX(发票统计!A$4:A$1003,$W225)&amp;"")</f>
        <v/>
      </c>
      <c r="B225" s="3" t="str">
        <f aca="false">IF($W225="","",INDEX(发票统计!B$4:B$1003,$W225)&amp;"")</f>
        <v/>
      </c>
      <c r="C225" s="3" t="str">
        <f aca="false">IF($W225="","",INDEX(发票统计!C$4:C$1003,$W225)&amp;"")</f>
        <v/>
      </c>
      <c r="D225" s="3" t="str">
        <f aca="false">IF($W225="","",INDEX(发票统计!D$4:D$1003,$W225)&amp;"")</f>
        <v/>
      </c>
      <c r="E225" s="56" t="str">
        <f aca="false">IF($W225="","",INDEX(发票统计!E$4:E$1003,$W225)&amp;"")</f>
        <v/>
      </c>
      <c r="F225" s="56" t="str">
        <f aca="false">IF($W225="","",INDEX(发票统计!F$4:F$1003,$W225)&amp;"")</f>
        <v/>
      </c>
      <c r="G225" s="68" t="str">
        <f aca="false">IF($W225="","",IF(INDEX(发票统计!G$4:G$1003,$W225)="","",INDEX(发票统计!G$4:G$1003,$W225)))</f>
        <v/>
      </c>
      <c r="H225" s="56" t="str">
        <f aca="false">IF($W225="","",N(INDEX(发票统计!H$4:H$1003,$W225)))</f>
        <v/>
      </c>
      <c r="I225" s="56" t="str">
        <f aca="false">IF($W225="","",N(INDEX(发票统计!I$4:I$1003,$W225)))</f>
        <v/>
      </c>
      <c r="J225" s="56" t="str">
        <f aca="false">IF($W225="","",N(INDEX(发票统计!J$4:J$1003,$W225)))</f>
        <v/>
      </c>
      <c r="K225" s="56" t="str">
        <f aca="false">IF($W225="","",N(INDEX(发票统计!K$4:K$1003,$W225)))</f>
        <v/>
      </c>
      <c r="L225" s="56" t="str">
        <f aca="false">IF($W225="","",SUM(J$4:J225)-SUM(K$4:K225))</f>
        <v/>
      </c>
      <c r="M225" s="56" t="str">
        <f aca="false">IF($W225="","",N(INDEX(发票统计!M$4:M$1003,$W225)))</f>
        <v/>
      </c>
      <c r="N225" s="56" t="str">
        <f aca="false">IF($W225="","",N(INDEX(发票统计!N$4:N$1003,$W225)))</f>
        <v/>
      </c>
      <c r="O225" s="56" t="str">
        <f aca="false">IF($W225="","",N(INDEX(发票统计!O$4:O$1003,$W225)))</f>
        <v/>
      </c>
      <c r="P225" s="56" t="str">
        <f aca="false">IF($W225="","",SUM(M$4:M225)-SUM(N$4:N225)-SUM(O$4:O225))</f>
        <v/>
      </c>
      <c r="Q225" s="56" t="str">
        <f aca="false">IF($W225="","",N(INDEX(发票统计!Q$4:Q$1003,$W225)))</f>
        <v/>
      </c>
      <c r="R225" s="56" t="str">
        <f aca="false">IF($W225="","",N(INDEX(发票统计!R$4:R$1003,$W225)))</f>
        <v/>
      </c>
      <c r="S225" s="56" t="str">
        <f aca="false">IF($W225="","",N(INDEX(发票统计!S$4:S$1003,$W225)))</f>
        <v/>
      </c>
      <c r="T225" s="56" t="str">
        <f aca="false">IF($W225="","",SUM(Q$4:Q225)-SUM(R$4:R225)-SUM(S$4:S225))</f>
        <v/>
      </c>
      <c r="U225" s="56" t="str">
        <f aca="false">IF($W225="","",INDEX(发票统计!U$4:U$1003,$W225)&amp;"")</f>
        <v/>
      </c>
      <c r="W225" s="1" t="str">
        <f aca="false">IF($V$3="","",IFERROR(MATCH($V$3&amp;"#"&amp;ROWS(W$4:W225),发票统计!$W$4:$W$1003,0),""))</f>
        <v/>
      </c>
    </row>
    <row r="226" customFormat="false" ht="16.5" hidden="false" customHeight="false" outlineLevel="0" collapsed="false">
      <c r="A226" s="3" t="str">
        <f aca="false">IF($W226="","",INDEX(发票统计!A$4:A$1003,$W226)&amp;"")</f>
        <v/>
      </c>
      <c r="B226" s="3" t="str">
        <f aca="false">IF($W226="","",INDEX(发票统计!B$4:B$1003,$W226)&amp;"")</f>
        <v/>
      </c>
      <c r="C226" s="3" t="str">
        <f aca="false">IF($W226="","",INDEX(发票统计!C$4:C$1003,$W226)&amp;"")</f>
        <v/>
      </c>
      <c r="D226" s="3" t="str">
        <f aca="false">IF($W226="","",INDEX(发票统计!D$4:D$1003,$W226)&amp;"")</f>
        <v/>
      </c>
      <c r="E226" s="56" t="str">
        <f aca="false">IF($W226="","",INDEX(发票统计!E$4:E$1003,$W226)&amp;"")</f>
        <v/>
      </c>
      <c r="F226" s="56" t="str">
        <f aca="false">IF($W226="","",INDEX(发票统计!F$4:F$1003,$W226)&amp;"")</f>
        <v/>
      </c>
      <c r="G226" s="68" t="str">
        <f aca="false">IF($W226="","",IF(INDEX(发票统计!G$4:G$1003,$W226)="","",INDEX(发票统计!G$4:G$1003,$W226)))</f>
        <v/>
      </c>
      <c r="H226" s="56" t="str">
        <f aca="false">IF($W226="","",N(INDEX(发票统计!H$4:H$1003,$W226)))</f>
        <v/>
      </c>
      <c r="I226" s="56" t="str">
        <f aca="false">IF($W226="","",N(INDEX(发票统计!I$4:I$1003,$W226)))</f>
        <v/>
      </c>
      <c r="J226" s="56" t="str">
        <f aca="false">IF($W226="","",N(INDEX(发票统计!J$4:J$1003,$W226)))</f>
        <v/>
      </c>
      <c r="K226" s="56" t="str">
        <f aca="false">IF($W226="","",N(INDEX(发票统计!K$4:K$1003,$W226)))</f>
        <v/>
      </c>
      <c r="L226" s="56" t="str">
        <f aca="false">IF($W226="","",SUM(J$4:J226)-SUM(K$4:K226))</f>
        <v/>
      </c>
      <c r="M226" s="56" t="str">
        <f aca="false">IF($W226="","",N(INDEX(发票统计!M$4:M$1003,$W226)))</f>
        <v/>
      </c>
      <c r="N226" s="56" t="str">
        <f aca="false">IF($W226="","",N(INDEX(发票统计!N$4:N$1003,$W226)))</f>
        <v/>
      </c>
      <c r="O226" s="56" t="str">
        <f aca="false">IF($W226="","",N(INDEX(发票统计!O$4:O$1003,$W226)))</f>
        <v/>
      </c>
      <c r="P226" s="56" t="str">
        <f aca="false">IF($W226="","",SUM(M$4:M226)-SUM(N$4:N226)-SUM(O$4:O226))</f>
        <v/>
      </c>
      <c r="Q226" s="56" t="str">
        <f aca="false">IF($W226="","",N(INDEX(发票统计!Q$4:Q$1003,$W226)))</f>
        <v/>
      </c>
      <c r="R226" s="56" t="str">
        <f aca="false">IF($W226="","",N(INDEX(发票统计!R$4:R$1003,$W226)))</f>
        <v/>
      </c>
      <c r="S226" s="56" t="str">
        <f aca="false">IF($W226="","",N(INDEX(发票统计!S$4:S$1003,$W226)))</f>
        <v/>
      </c>
      <c r="T226" s="56" t="str">
        <f aca="false">IF($W226="","",SUM(Q$4:Q226)-SUM(R$4:R226)-SUM(S$4:S226))</f>
        <v/>
      </c>
      <c r="U226" s="56" t="str">
        <f aca="false">IF($W226="","",INDEX(发票统计!U$4:U$1003,$W226)&amp;"")</f>
        <v/>
      </c>
      <c r="W226" s="1" t="str">
        <f aca="false">IF($V$3="","",IFERROR(MATCH($V$3&amp;"#"&amp;ROWS(W$4:W226),发票统计!$W$4:$W$1003,0),""))</f>
        <v/>
      </c>
    </row>
    <row r="227" customFormat="false" ht="16.5" hidden="false" customHeight="false" outlineLevel="0" collapsed="false">
      <c r="A227" s="3" t="str">
        <f aca="false">IF($W227="","",INDEX(发票统计!A$4:A$1003,$W227)&amp;"")</f>
        <v/>
      </c>
      <c r="B227" s="3" t="str">
        <f aca="false">IF($W227="","",INDEX(发票统计!B$4:B$1003,$W227)&amp;"")</f>
        <v/>
      </c>
      <c r="C227" s="3" t="str">
        <f aca="false">IF($W227="","",INDEX(发票统计!C$4:C$1003,$W227)&amp;"")</f>
        <v/>
      </c>
      <c r="D227" s="3" t="str">
        <f aca="false">IF($W227="","",INDEX(发票统计!D$4:D$1003,$W227)&amp;"")</f>
        <v/>
      </c>
      <c r="E227" s="56" t="str">
        <f aca="false">IF($W227="","",INDEX(发票统计!E$4:E$1003,$W227)&amp;"")</f>
        <v/>
      </c>
      <c r="F227" s="56" t="str">
        <f aca="false">IF($W227="","",INDEX(发票统计!F$4:F$1003,$W227)&amp;"")</f>
        <v/>
      </c>
      <c r="G227" s="68" t="str">
        <f aca="false">IF($W227="","",IF(INDEX(发票统计!G$4:G$1003,$W227)="","",INDEX(发票统计!G$4:G$1003,$W227)))</f>
        <v/>
      </c>
      <c r="H227" s="56" t="str">
        <f aca="false">IF($W227="","",N(INDEX(发票统计!H$4:H$1003,$W227)))</f>
        <v/>
      </c>
      <c r="I227" s="56" t="str">
        <f aca="false">IF($W227="","",N(INDEX(发票统计!I$4:I$1003,$W227)))</f>
        <v/>
      </c>
      <c r="J227" s="56" t="str">
        <f aca="false">IF($W227="","",N(INDEX(发票统计!J$4:J$1003,$W227)))</f>
        <v/>
      </c>
      <c r="K227" s="56" t="str">
        <f aca="false">IF($W227="","",N(INDEX(发票统计!K$4:K$1003,$W227)))</f>
        <v/>
      </c>
      <c r="L227" s="56" t="str">
        <f aca="false">IF($W227="","",SUM(J$4:J227)-SUM(K$4:K227))</f>
        <v/>
      </c>
      <c r="M227" s="56" t="str">
        <f aca="false">IF($W227="","",N(INDEX(发票统计!M$4:M$1003,$W227)))</f>
        <v/>
      </c>
      <c r="N227" s="56" t="str">
        <f aca="false">IF($W227="","",N(INDEX(发票统计!N$4:N$1003,$W227)))</f>
        <v/>
      </c>
      <c r="O227" s="56" t="str">
        <f aca="false">IF($W227="","",N(INDEX(发票统计!O$4:O$1003,$W227)))</f>
        <v/>
      </c>
      <c r="P227" s="56" t="str">
        <f aca="false">IF($W227="","",SUM(M$4:M227)-SUM(N$4:N227)-SUM(O$4:O227))</f>
        <v/>
      </c>
      <c r="Q227" s="56" t="str">
        <f aca="false">IF($W227="","",N(INDEX(发票统计!Q$4:Q$1003,$W227)))</f>
        <v/>
      </c>
      <c r="R227" s="56" t="str">
        <f aca="false">IF($W227="","",N(INDEX(发票统计!R$4:R$1003,$W227)))</f>
        <v/>
      </c>
      <c r="S227" s="56" t="str">
        <f aca="false">IF($W227="","",N(INDEX(发票统计!S$4:S$1003,$W227)))</f>
        <v/>
      </c>
      <c r="T227" s="56" t="str">
        <f aca="false">IF($W227="","",SUM(Q$4:Q227)-SUM(R$4:R227)-SUM(S$4:S227))</f>
        <v/>
      </c>
      <c r="U227" s="56" t="str">
        <f aca="false">IF($W227="","",INDEX(发票统计!U$4:U$1003,$W227)&amp;"")</f>
        <v/>
      </c>
      <c r="W227" s="1" t="str">
        <f aca="false">IF($V$3="","",IFERROR(MATCH($V$3&amp;"#"&amp;ROWS(W$4:W227),发票统计!$W$4:$W$1003,0),""))</f>
        <v/>
      </c>
    </row>
    <row r="228" customFormat="false" ht="16.5" hidden="false" customHeight="false" outlineLevel="0" collapsed="false">
      <c r="A228" s="3" t="str">
        <f aca="false">IF($W228="","",INDEX(发票统计!A$4:A$1003,$W228)&amp;"")</f>
        <v/>
      </c>
      <c r="B228" s="3" t="str">
        <f aca="false">IF($W228="","",INDEX(发票统计!B$4:B$1003,$W228)&amp;"")</f>
        <v/>
      </c>
      <c r="C228" s="3" t="str">
        <f aca="false">IF($W228="","",INDEX(发票统计!C$4:C$1003,$W228)&amp;"")</f>
        <v/>
      </c>
      <c r="D228" s="3" t="str">
        <f aca="false">IF($W228="","",INDEX(发票统计!D$4:D$1003,$W228)&amp;"")</f>
        <v/>
      </c>
      <c r="E228" s="56" t="str">
        <f aca="false">IF($W228="","",INDEX(发票统计!E$4:E$1003,$W228)&amp;"")</f>
        <v/>
      </c>
      <c r="F228" s="56" t="str">
        <f aca="false">IF($W228="","",INDEX(发票统计!F$4:F$1003,$W228)&amp;"")</f>
        <v/>
      </c>
      <c r="G228" s="68" t="str">
        <f aca="false">IF($W228="","",IF(INDEX(发票统计!G$4:G$1003,$W228)="","",INDEX(发票统计!G$4:G$1003,$W228)))</f>
        <v/>
      </c>
      <c r="H228" s="56" t="str">
        <f aca="false">IF($W228="","",N(INDEX(发票统计!H$4:H$1003,$W228)))</f>
        <v/>
      </c>
      <c r="I228" s="56" t="str">
        <f aca="false">IF($W228="","",N(INDEX(发票统计!I$4:I$1003,$W228)))</f>
        <v/>
      </c>
      <c r="J228" s="56" t="str">
        <f aca="false">IF($W228="","",N(INDEX(发票统计!J$4:J$1003,$W228)))</f>
        <v/>
      </c>
      <c r="K228" s="56" t="str">
        <f aca="false">IF($W228="","",N(INDEX(发票统计!K$4:K$1003,$W228)))</f>
        <v/>
      </c>
      <c r="L228" s="56" t="str">
        <f aca="false">IF($W228="","",SUM(J$4:J228)-SUM(K$4:K228))</f>
        <v/>
      </c>
      <c r="M228" s="56" t="str">
        <f aca="false">IF($W228="","",N(INDEX(发票统计!M$4:M$1003,$W228)))</f>
        <v/>
      </c>
      <c r="N228" s="56" t="str">
        <f aca="false">IF($W228="","",N(INDEX(发票统计!N$4:N$1003,$W228)))</f>
        <v/>
      </c>
      <c r="O228" s="56" t="str">
        <f aca="false">IF($W228="","",N(INDEX(发票统计!O$4:O$1003,$W228)))</f>
        <v/>
      </c>
      <c r="P228" s="56" t="str">
        <f aca="false">IF($W228="","",SUM(M$4:M228)-SUM(N$4:N228)-SUM(O$4:O228))</f>
        <v/>
      </c>
      <c r="Q228" s="56" t="str">
        <f aca="false">IF($W228="","",N(INDEX(发票统计!Q$4:Q$1003,$W228)))</f>
        <v/>
      </c>
      <c r="R228" s="56" t="str">
        <f aca="false">IF($W228="","",N(INDEX(发票统计!R$4:R$1003,$W228)))</f>
        <v/>
      </c>
      <c r="S228" s="56" t="str">
        <f aca="false">IF($W228="","",N(INDEX(发票统计!S$4:S$1003,$W228)))</f>
        <v/>
      </c>
      <c r="T228" s="56" t="str">
        <f aca="false">IF($W228="","",SUM(Q$4:Q228)-SUM(R$4:R228)-SUM(S$4:S228))</f>
        <v/>
      </c>
      <c r="U228" s="56" t="str">
        <f aca="false">IF($W228="","",INDEX(发票统计!U$4:U$1003,$W228)&amp;"")</f>
        <v/>
      </c>
      <c r="W228" s="1" t="str">
        <f aca="false">IF($V$3="","",IFERROR(MATCH($V$3&amp;"#"&amp;ROWS(W$4:W228),发票统计!$W$4:$W$1003,0),""))</f>
        <v/>
      </c>
    </row>
    <row r="229" customFormat="false" ht="16.5" hidden="false" customHeight="false" outlineLevel="0" collapsed="false">
      <c r="A229" s="3" t="str">
        <f aca="false">IF($W229="","",INDEX(发票统计!A$4:A$1003,$W229)&amp;"")</f>
        <v/>
      </c>
      <c r="B229" s="3" t="str">
        <f aca="false">IF($W229="","",INDEX(发票统计!B$4:B$1003,$W229)&amp;"")</f>
        <v/>
      </c>
      <c r="C229" s="3" t="str">
        <f aca="false">IF($W229="","",INDEX(发票统计!C$4:C$1003,$W229)&amp;"")</f>
        <v/>
      </c>
      <c r="D229" s="3" t="str">
        <f aca="false">IF($W229="","",INDEX(发票统计!D$4:D$1003,$W229)&amp;"")</f>
        <v/>
      </c>
      <c r="E229" s="56" t="str">
        <f aca="false">IF($W229="","",INDEX(发票统计!E$4:E$1003,$W229)&amp;"")</f>
        <v/>
      </c>
      <c r="F229" s="56" t="str">
        <f aca="false">IF($W229="","",INDEX(发票统计!F$4:F$1003,$W229)&amp;"")</f>
        <v/>
      </c>
      <c r="G229" s="68" t="str">
        <f aca="false">IF($W229="","",IF(INDEX(发票统计!G$4:G$1003,$W229)="","",INDEX(发票统计!G$4:G$1003,$W229)))</f>
        <v/>
      </c>
      <c r="H229" s="56" t="str">
        <f aca="false">IF($W229="","",N(INDEX(发票统计!H$4:H$1003,$W229)))</f>
        <v/>
      </c>
      <c r="I229" s="56" t="str">
        <f aca="false">IF($W229="","",N(INDEX(发票统计!I$4:I$1003,$W229)))</f>
        <v/>
      </c>
      <c r="J229" s="56" t="str">
        <f aca="false">IF($W229="","",N(INDEX(发票统计!J$4:J$1003,$W229)))</f>
        <v/>
      </c>
      <c r="K229" s="56" t="str">
        <f aca="false">IF($W229="","",N(INDEX(发票统计!K$4:K$1003,$W229)))</f>
        <v/>
      </c>
      <c r="L229" s="56" t="str">
        <f aca="false">IF($W229="","",SUM(J$4:J229)-SUM(K$4:K229))</f>
        <v/>
      </c>
      <c r="M229" s="56" t="str">
        <f aca="false">IF($W229="","",N(INDEX(发票统计!M$4:M$1003,$W229)))</f>
        <v/>
      </c>
      <c r="N229" s="56" t="str">
        <f aca="false">IF($W229="","",N(INDEX(发票统计!N$4:N$1003,$W229)))</f>
        <v/>
      </c>
      <c r="O229" s="56" t="str">
        <f aca="false">IF($W229="","",N(INDEX(发票统计!O$4:O$1003,$W229)))</f>
        <v/>
      </c>
      <c r="P229" s="56" t="str">
        <f aca="false">IF($W229="","",SUM(M$4:M229)-SUM(N$4:N229)-SUM(O$4:O229))</f>
        <v/>
      </c>
      <c r="Q229" s="56" t="str">
        <f aca="false">IF($W229="","",N(INDEX(发票统计!Q$4:Q$1003,$W229)))</f>
        <v/>
      </c>
      <c r="R229" s="56" t="str">
        <f aca="false">IF($W229="","",N(INDEX(发票统计!R$4:R$1003,$W229)))</f>
        <v/>
      </c>
      <c r="S229" s="56" t="str">
        <f aca="false">IF($W229="","",N(INDEX(发票统计!S$4:S$1003,$W229)))</f>
        <v/>
      </c>
      <c r="T229" s="56" t="str">
        <f aca="false">IF($W229="","",SUM(Q$4:Q229)-SUM(R$4:R229)-SUM(S$4:S229))</f>
        <v/>
      </c>
      <c r="U229" s="56" t="str">
        <f aca="false">IF($W229="","",INDEX(发票统计!U$4:U$1003,$W229)&amp;"")</f>
        <v/>
      </c>
      <c r="W229" s="1" t="str">
        <f aca="false">IF($V$3="","",IFERROR(MATCH($V$3&amp;"#"&amp;ROWS(W$4:W229),发票统计!$W$4:$W$1003,0),""))</f>
        <v/>
      </c>
    </row>
    <row r="230" customFormat="false" ht="16.5" hidden="false" customHeight="false" outlineLevel="0" collapsed="false">
      <c r="A230" s="3" t="str">
        <f aca="false">IF($W230="","",INDEX(发票统计!A$4:A$1003,$W230)&amp;"")</f>
        <v/>
      </c>
      <c r="B230" s="3" t="str">
        <f aca="false">IF($W230="","",INDEX(发票统计!B$4:B$1003,$W230)&amp;"")</f>
        <v/>
      </c>
      <c r="C230" s="3" t="str">
        <f aca="false">IF($W230="","",INDEX(发票统计!C$4:C$1003,$W230)&amp;"")</f>
        <v/>
      </c>
      <c r="D230" s="3" t="str">
        <f aca="false">IF($W230="","",INDEX(发票统计!D$4:D$1003,$W230)&amp;"")</f>
        <v/>
      </c>
      <c r="E230" s="56" t="str">
        <f aca="false">IF($W230="","",INDEX(发票统计!E$4:E$1003,$W230)&amp;"")</f>
        <v/>
      </c>
      <c r="F230" s="56" t="str">
        <f aca="false">IF($W230="","",INDEX(发票统计!F$4:F$1003,$W230)&amp;"")</f>
        <v/>
      </c>
      <c r="G230" s="68" t="str">
        <f aca="false">IF($W230="","",IF(INDEX(发票统计!G$4:G$1003,$W230)="","",INDEX(发票统计!G$4:G$1003,$W230)))</f>
        <v/>
      </c>
      <c r="H230" s="56" t="str">
        <f aca="false">IF($W230="","",N(INDEX(发票统计!H$4:H$1003,$W230)))</f>
        <v/>
      </c>
      <c r="I230" s="56" t="str">
        <f aca="false">IF($W230="","",N(INDEX(发票统计!I$4:I$1003,$W230)))</f>
        <v/>
      </c>
      <c r="J230" s="56" t="str">
        <f aca="false">IF($W230="","",N(INDEX(发票统计!J$4:J$1003,$W230)))</f>
        <v/>
      </c>
      <c r="K230" s="56" t="str">
        <f aca="false">IF($W230="","",N(INDEX(发票统计!K$4:K$1003,$W230)))</f>
        <v/>
      </c>
      <c r="L230" s="56" t="str">
        <f aca="false">IF($W230="","",SUM(J$4:J230)-SUM(K$4:K230))</f>
        <v/>
      </c>
      <c r="M230" s="56" t="str">
        <f aca="false">IF($W230="","",N(INDEX(发票统计!M$4:M$1003,$W230)))</f>
        <v/>
      </c>
      <c r="N230" s="56" t="str">
        <f aca="false">IF($W230="","",N(INDEX(发票统计!N$4:N$1003,$W230)))</f>
        <v/>
      </c>
      <c r="O230" s="56" t="str">
        <f aca="false">IF($W230="","",N(INDEX(发票统计!O$4:O$1003,$W230)))</f>
        <v/>
      </c>
      <c r="P230" s="56" t="str">
        <f aca="false">IF($W230="","",SUM(M$4:M230)-SUM(N$4:N230)-SUM(O$4:O230))</f>
        <v/>
      </c>
      <c r="Q230" s="56" t="str">
        <f aca="false">IF($W230="","",N(INDEX(发票统计!Q$4:Q$1003,$W230)))</f>
        <v/>
      </c>
      <c r="R230" s="56" t="str">
        <f aca="false">IF($W230="","",N(INDEX(发票统计!R$4:R$1003,$W230)))</f>
        <v/>
      </c>
      <c r="S230" s="56" t="str">
        <f aca="false">IF($W230="","",N(INDEX(发票统计!S$4:S$1003,$W230)))</f>
        <v/>
      </c>
      <c r="T230" s="56" t="str">
        <f aca="false">IF($W230="","",SUM(Q$4:Q230)-SUM(R$4:R230)-SUM(S$4:S230))</f>
        <v/>
      </c>
      <c r="U230" s="56" t="str">
        <f aca="false">IF($W230="","",INDEX(发票统计!U$4:U$1003,$W230)&amp;"")</f>
        <v/>
      </c>
      <c r="W230" s="1" t="str">
        <f aca="false">IF($V$3="","",IFERROR(MATCH($V$3&amp;"#"&amp;ROWS(W$4:W230),发票统计!$W$4:$W$1003,0),""))</f>
        <v/>
      </c>
    </row>
    <row r="231" customFormat="false" ht="16.5" hidden="false" customHeight="false" outlineLevel="0" collapsed="false">
      <c r="A231" s="3" t="str">
        <f aca="false">IF($W231="","",INDEX(发票统计!A$4:A$1003,$W231)&amp;"")</f>
        <v/>
      </c>
      <c r="B231" s="3" t="str">
        <f aca="false">IF($W231="","",INDEX(发票统计!B$4:B$1003,$W231)&amp;"")</f>
        <v/>
      </c>
      <c r="C231" s="3" t="str">
        <f aca="false">IF($W231="","",INDEX(发票统计!C$4:C$1003,$W231)&amp;"")</f>
        <v/>
      </c>
      <c r="D231" s="3" t="str">
        <f aca="false">IF($W231="","",INDEX(发票统计!D$4:D$1003,$W231)&amp;"")</f>
        <v/>
      </c>
      <c r="E231" s="56" t="str">
        <f aca="false">IF($W231="","",INDEX(发票统计!E$4:E$1003,$W231)&amp;"")</f>
        <v/>
      </c>
      <c r="F231" s="56" t="str">
        <f aca="false">IF($W231="","",INDEX(发票统计!F$4:F$1003,$W231)&amp;"")</f>
        <v/>
      </c>
      <c r="G231" s="68" t="str">
        <f aca="false">IF($W231="","",IF(INDEX(发票统计!G$4:G$1003,$W231)="","",INDEX(发票统计!G$4:G$1003,$W231)))</f>
        <v/>
      </c>
      <c r="H231" s="56" t="str">
        <f aca="false">IF($W231="","",N(INDEX(发票统计!H$4:H$1003,$W231)))</f>
        <v/>
      </c>
      <c r="I231" s="56" t="str">
        <f aca="false">IF($W231="","",N(INDEX(发票统计!I$4:I$1003,$W231)))</f>
        <v/>
      </c>
      <c r="J231" s="56" t="str">
        <f aca="false">IF($W231="","",N(INDEX(发票统计!J$4:J$1003,$W231)))</f>
        <v/>
      </c>
      <c r="K231" s="56" t="str">
        <f aca="false">IF($W231="","",N(INDEX(发票统计!K$4:K$1003,$W231)))</f>
        <v/>
      </c>
      <c r="L231" s="56" t="str">
        <f aca="false">IF($W231="","",SUM(J$4:J231)-SUM(K$4:K231))</f>
        <v/>
      </c>
      <c r="M231" s="56" t="str">
        <f aca="false">IF($W231="","",N(INDEX(发票统计!M$4:M$1003,$W231)))</f>
        <v/>
      </c>
      <c r="N231" s="56" t="str">
        <f aca="false">IF($W231="","",N(INDEX(发票统计!N$4:N$1003,$W231)))</f>
        <v/>
      </c>
      <c r="O231" s="56" t="str">
        <f aca="false">IF($W231="","",N(INDEX(发票统计!O$4:O$1003,$W231)))</f>
        <v/>
      </c>
      <c r="P231" s="56" t="str">
        <f aca="false">IF($W231="","",SUM(M$4:M231)-SUM(N$4:N231)-SUM(O$4:O231))</f>
        <v/>
      </c>
      <c r="Q231" s="56" t="str">
        <f aca="false">IF($W231="","",N(INDEX(发票统计!Q$4:Q$1003,$W231)))</f>
        <v/>
      </c>
      <c r="R231" s="56" t="str">
        <f aca="false">IF($W231="","",N(INDEX(发票统计!R$4:R$1003,$W231)))</f>
        <v/>
      </c>
      <c r="S231" s="56" t="str">
        <f aca="false">IF($W231="","",N(INDEX(发票统计!S$4:S$1003,$W231)))</f>
        <v/>
      </c>
      <c r="T231" s="56" t="str">
        <f aca="false">IF($W231="","",SUM(Q$4:Q231)-SUM(R$4:R231)-SUM(S$4:S231))</f>
        <v/>
      </c>
      <c r="U231" s="56" t="str">
        <f aca="false">IF($W231="","",INDEX(发票统计!U$4:U$1003,$W231)&amp;"")</f>
        <v/>
      </c>
      <c r="W231" s="1" t="str">
        <f aca="false">IF($V$3="","",IFERROR(MATCH($V$3&amp;"#"&amp;ROWS(W$4:W231),发票统计!$W$4:$W$1003,0),""))</f>
        <v/>
      </c>
    </row>
    <row r="232" customFormat="false" ht="16.5" hidden="false" customHeight="false" outlineLevel="0" collapsed="false">
      <c r="A232" s="3" t="str">
        <f aca="false">IF($W232="","",INDEX(发票统计!A$4:A$1003,$W232)&amp;"")</f>
        <v/>
      </c>
      <c r="B232" s="3" t="str">
        <f aca="false">IF($W232="","",INDEX(发票统计!B$4:B$1003,$W232)&amp;"")</f>
        <v/>
      </c>
      <c r="C232" s="3" t="str">
        <f aca="false">IF($W232="","",INDEX(发票统计!C$4:C$1003,$W232)&amp;"")</f>
        <v/>
      </c>
      <c r="D232" s="3" t="str">
        <f aca="false">IF($W232="","",INDEX(发票统计!D$4:D$1003,$W232)&amp;"")</f>
        <v/>
      </c>
      <c r="E232" s="56" t="str">
        <f aca="false">IF($W232="","",INDEX(发票统计!E$4:E$1003,$W232)&amp;"")</f>
        <v/>
      </c>
      <c r="F232" s="56" t="str">
        <f aca="false">IF($W232="","",INDEX(发票统计!F$4:F$1003,$W232)&amp;"")</f>
        <v/>
      </c>
      <c r="G232" s="68" t="str">
        <f aca="false">IF($W232="","",IF(INDEX(发票统计!G$4:G$1003,$W232)="","",INDEX(发票统计!G$4:G$1003,$W232)))</f>
        <v/>
      </c>
      <c r="H232" s="56" t="str">
        <f aca="false">IF($W232="","",N(INDEX(发票统计!H$4:H$1003,$W232)))</f>
        <v/>
      </c>
      <c r="I232" s="56" t="str">
        <f aca="false">IF($W232="","",N(INDEX(发票统计!I$4:I$1003,$W232)))</f>
        <v/>
      </c>
      <c r="J232" s="56" t="str">
        <f aca="false">IF($W232="","",N(INDEX(发票统计!J$4:J$1003,$W232)))</f>
        <v/>
      </c>
      <c r="K232" s="56" t="str">
        <f aca="false">IF($W232="","",N(INDEX(发票统计!K$4:K$1003,$W232)))</f>
        <v/>
      </c>
      <c r="L232" s="56" t="str">
        <f aca="false">IF($W232="","",SUM(J$4:J232)-SUM(K$4:K232))</f>
        <v/>
      </c>
      <c r="M232" s="56" t="str">
        <f aca="false">IF($W232="","",N(INDEX(发票统计!M$4:M$1003,$W232)))</f>
        <v/>
      </c>
      <c r="N232" s="56" t="str">
        <f aca="false">IF($W232="","",N(INDEX(发票统计!N$4:N$1003,$W232)))</f>
        <v/>
      </c>
      <c r="O232" s="56" t="str">
        <f aca="false">IF($W232="","",N(INDEX(发票统计!O$4:O$1003,$W232)))</f>
        <v/>
      </c>
      <c r="P232" s="56" t="str">
        <f aca="false">IF($W232="","",SUM(M$4:M232)-SUM(N$4:N232)-SUM(O$4:O232))</f>
        <v/>
      </c>
      <c r="Q232" s="56" t="str">
        <f aca="false">IF($W232="","",N(INDEX(发票统计!Q$4:Q$1003,$W232)))</f>
        <v/>
      </c>
      <c r="R232" s="56" t="str">
        <f aca="false">IF($W232="","",N(INDEX(发票统计!R$4:R$1003,$W232)))</f>
        <v/>
      </c>
      <c r="S232" s="56" t="str">
        <f aca="false">IF($W232="","",N(INDEX(发票统计!S$4:S$1003,$W232)))</f>
        <v/>
      </c>
      <c r="T232" s="56" t="str">
        <f aca="false">IF($W232="","",SUM(Q$4:Q232)-SUM(R$4:R232)-SUM(S$4:S232))</f>
        <v/>
      </c>
      <c r="U232" s="56" t="str">
        <f aca="false">IF($W232="","",INDEX(发票统计!U$4:U$1003,$W232)&amp;"")</f>
        <v/>
      </c>
      <c r="W232" s="1" t="str">
        <f aca="false">IF($V$3="","",IFERROR(MATCH($V$3&amp;"#"&amp;ROWS(W$4:W232),发票统计!$W$4:$W$1003,0),""))</f>
        <v/>
      </c>
    </row>
    <row r="233" customFormat="false" ht="16.5" hidden="false" customHeight="false" outlineLevel="0" collapsed="false">
      <c r="A233" s="3" t="str">
        <f aca="false">IF($W233="","",INDEX(发票统计!A$4:A$1003,$W233)&amp;"")</f>
        <v/>
      </c>
      <c r="B233" s="3" t="str">
        <f aca="false">IF($W233="","",INDEX(发票统计!B$4:B$1003,$W233)&amp;"")</f>
        <v/>
      </c>
      <c r="C233" s="3" t="str">
        <f aca="false">IF($W233="","",INDEX(发票统计!C$4:C$1003,$W233)&amp;"")</f>
        <v/>
      </c>
      <c r="D233" s="3" t="str">
        <f aca="false">IF($W233="","",INDEX(发票统计!D$4:D$1003,$W233)&amp;"")</f>
        <v/>
      </c>
      <c r="E233" s="56" t="str">
        <f aca="false">IF($W233="","",INDEX(发票统计!E$4:E$1003,$W233)&amp;"")</f>
        <v/>
      </c>
      <c r="F233" s="56" t="str">
        <f aca="false">IF($W233="","",INDEX(发票统计!F$4:F$1003,$W233)&amp;"")</f>
        <v/>
      </c>
      <c r="G233" s="68" t="str">
        <f aca="false">IF($W233="","",IF(INDEX(发票统计!G$4:G$1003,$W233)="","",INDEX(发票统计!G$4:G$1003,$W233)))</f>
        <v/>
      </c>
      <c r="H233" s="56" t="str">
        <f aca="false">IF($W233="","",N(INDEX(发票统计!H$4:H$1003,$W233)))</f>
        <v/>
      </c>
      <c r="I233" s="56" t="str">
        <f aca="false">IF($W233="","",N(INDEX(发票统计!I$4:I$1003,$W233)))</f>
        <v/>
      </c>
      <c r="J233" s="56" t="str">
        <f aca="false">IF($W233="","",N(INDEX(发票统计!J$4:J$1003,$W233)))</f>
        <v/>
      </c>
      <c r="K233" s="56" t="str">
        <f aca="false">IF($W233="","",N(INDEX(发票统计!K$4:K$1003,$W233)))</f>
        <v/>
      </c>
      <c r="L233" s="56" t="str">
        <f aca="false">IF($W233="","",SUM(J$4:J233)-SUM(K$4:K233))</f>
        <v/>
      </c>
      <c r="M233" s="56" t="str">
        <f aca="false">IF($W233="","",N(INDEX(发票统计!M$4:M$1003,$W233)))</f>
        <v/>
      </c>
      <c r="N233" s="56" t="str">
        <f aca="false">IF($W233="","",N(INDEX(发票统计!N$4:N$1003,$W233)))</f>
        <v/>
      </c>
      <c r="O233" s="56" t="str">
        <f aca="false">IF($W233="","",N(INDEX(发票统计!O$4:O$1003,$W233)))</f>
        <v/>
      </c>
      <c r="P233" s="56" t="str">
        <f aca="false">IF($W233="","",SUM(M$4:M233)-SUM(N$4:N233)-SUM(O$4:O233))</f>
        <v/>
      </c>
      <c r="Q233" s="56" t="str">
        <f aca="false">IF($W233="","",N(INDEX(发票统计!Q$4:Q$1003,$W233)))</f>
        <v/>
      </c>
      <c r="R233" s="56" t="str">
        <f aca="false">IF($W233="","",N(INDEX(发票统计!R$4:R$1003,$W233)))</f>
        <v/>
      </c>
      <c r="S233" s="56" t="str">
        <f aca="false">IF($W233="","",N(INDEX(发票统计!S$4:S$1003,$W233)))</f>
        <v/>
      </c>
      <c r="T233" s="56" t="str">
        <f aca="false">IF($W233="","",SUM(Q$4:Q233)-SUM(R$4:R233)-SUM(S$4:S233))</f>
        <v/>
      </c>
      <c r="U233" s="56" t="str">
        <f aca="false">IF($W233="","",INDEX(发票统计!U$4:U$1003,$W233)&amp;"")</f>
        <v/>
      </c>
      <c r="W233" s="1" t="str">
        <f aca="false">IF($V$3="","",IFERROR(MATCH($V$3&amp;"#"&amp;ROWS(W$4:W233),发票统计!$W$4:$W$1003,0),""))</f>
        <v/>
      </c>
    </row>
    <row r="234" customFormat="false" ht="16.5" hidden="false" customHeight="false" outlineLevel="0" collapsed="false">
      <c r="A234" s="3" t="str">
        <f aca="false">IF($W234="","",INDEX(发票统计!A$4:A$1003,$W234)&amp;"")</f>
        <v/>
      </c>
      <c r="B234" s="3" t="str">
        <f aca="false">IF($W234="","",INDEX(发票统计!B$4:B$1003,$W234)&amp;"")</f>
        <v/>
      </c>
      <c r="C234" s="3" t="str">
        <f aca="false">IF($W234="","",INDEX(发票统计!C$4:C$1003,$W234)&amp;"")</f>
        <v/>
      </c>
      <c r="D234" s="3" t="str">
        <f aca="false">IF($W234="","",INDEX(发票统计!D$4:D$1003,$W234)&amp;"")</f>
        <v/>
      </c>
      <c r="E234" s="56" t="str">
        <f aca="false">IF($W234="","",INDEX(发票统计!E$4:E$1003,$W234)&amp;"")</f>
        <v/>
      </c>
      <c r="F234" s="56" t="str">
        <f aca="false">IF($W234="","",INDEX(发票统计!F$4:F$1003,$W234)&amp;"")</f>
        <v/>
      </c>
      <c r="G234" s="68" t="str">
        <f aca="false">IF($W234="","",IF(INDEX(发票统计!G$4:G$1003,$W234)="","",INDEX(发票统计!G$4:G$1003,$W234)))</f>
        <v/>
      </c>
      <c r="H234" s="56" t="str">
        <f aca="false">IF($W234="","",N(INDEX(发票统计!H$4:H$1003,$W234)))</f>
        <v/>
      </c>
      <c r="I234" s="56" t="str">
        <f aca="false">IF($W234="","",N(INDEX(发票统计!I$4:I$1003,$W234)))</f>
        <v/>
      </c>
      <c r="J234" s="56" t="str">
        <f aca="false">IF($W234="","",N(INDEX(发票统计!J$4:J$1003,$W234)))</f>
        <v/>
      </c>
      <c r="K234" s="56" t="str">
        <f aca="false">IF($W234="","",N(INDEX(发票统计!K$4:K$1003,$W234)))</f>
        <v/>
      </c>
      <c r="L234" s="56" t="str">
        <f aca="false">IF($W234="","",SUM(J$4:J234)-SUM(K$4:K234))</f>
        <v/>
      </c>
      <c r="M234" s="56" t="str">
        <f aca="false">IF($W234="","",N(INDEX(发票统计!M$4:M$1003,$W234)))</f>
        <v/>
      </c>
      <c r="N234" s="56" t="str">
        <f aca="false">IF($W234="","",N(INDEX(发票统计!N$4:N$1003,$W234)))</f>
        <v/>
      </c>
      <c r="O234" s="56" t="str">
        <f aca="false">IF($W234="","",N(INDEX(发票统计!O$4:O$1003,$W234)))</f>
        <v/>
      </c>
      <c r="P234" s="56" t="str">
        <f aca="false">IF($W234="","",SUM(M$4:M234)-SUM(N$4:N234)-SUM(O$4:O234))</f>
        <v/>
      </c>
      <c r="Q234" s="56" t="str">
        <f aca="false">IF($W234="","",N(INDEX(发票统计!Q$4:Q$1003,$W234)))</f>
        <v/>
      </c>
      <c r="R234" s="56" t="str">
        <f aca="false">IF($W234="","",N(INDEX(发票统计!R$4:R$1003,$W234)))</f>
        <v/>
      </c>
      <c r="S234" s="56" t="str">
        <f aca="false">IF($W234="","",N(INDEX(发票统计!S$4:S$1003,$W234)))</f>
        <v/>
      </c>
      <c r="T234" s="56" t="str">
        <f aca="false">IF($W234="","",SUM(Q$4:Q234)-SUM(R$4:R234)-SUM(S$4:S234))</f>
        <v/>
      </c>
      <c r="U234" s="56" t="str">
        <f aca="false">IF($W234="","",INDEX(发票统计!U$4:U$1003,$W234)&amp;"")</f>
        <v/>
      </c>
      <c r="W234" s="1" t="str">
        <f aca="false">IF($V$3="","",IFERROR(MATCH($V$3&amp;"#"&amp;ROWS(W$4:W234),发票统计!$W$4:$W$1003,0),""))</f>
        <v/>
      </c>
    </row>
    <row r="235" customFormat="false" ht="16.5" hidden="false" customHeight="false" outlineLevel="0" collapsed="false">
      <c r="A235" s="3" t="str">
        <f aca="false">IF($W235="","",INDEX(发票统计!A$4:A$1003,$W235)&amp;"")</f>
        <v/>
      </c>
      <c r="B235" s="3" t="str">
        <f aca="false">IF($W235="","",INDEX(发票统计!B$4:B$1003,$W235)&amp;"")</f>
        <v/>
      </c>
      <c r="C235" s="3" t="str">
        <f aca="false">IF($W235="","",INDEX(发票统计!C$4:C$1003,$W235)&amp;"")</f>
        <v/>
      </c>
      <c r="D235" s="3" t="str">
        <f aca="false">IF($W235="","",INDEX(发票统计!D$4:D$1003,$W235)&amp;"")</f>
        <v/>
      </c>
      <c r="E235" s="56" t="str">
        <f aca="false">IF($W235="","",INDEX(发票统计!E$4:E$1003,$W235)&amp;"")</f>
        <v/>
      </c>
      <c r="F235" s="56" t="str">
        <f aca="false">IF($W235="","",INDEX(发票统计!F$4:F$1003,$W235)&amp;"")</f>
        <v/>
      </c>
      <c r="G235" s="68" t="str">
        <f aca="false">IF($W235="","",IF(INDEX(发票统计!G$4:G$1003,$W235)="","",INDEX(发票统计!G$4:G$1003,$W235)))</f>
        <v/>
      </c>
      <c r="H235" s="56" t="str">
        <f aca="false">IF($W235="","",N(INDEX(发票统计!H$4:H$1003,$W235)))</f>
        <v/>
      </c>
      <c r="I235" s="56" t="str">
        <f aca="false">IF($W235="","",N(INDEX(发票统计!I$4:I$1003,$W235)))</f>
        <v/>
      </c>
      <c r="J235" s="56" t="str">
        <f aca="false">IF($W235="","",N(INDEX(发票统计!J$4:J$1003,$W235)))</f>
        <v/>
      </c>
      <c r="K235" s="56" t="str">
        <f aca="false">IF($W235="","",N(INDEX(发票统计!K$4:K$1003,$W235)))</f>
        <v/>
      </c>
      <c r="L235" s="56" t="str">
        <f aca="false">IF($W235="","",SUM(J$4:J235)-SUM(K$4:K235))</f>
        <v/>
      </c>
      <c r="M235" s="56" t="str">
        <f aca="false">IF($W235="","",N(INDEX(发票统计!M$4:M$1003,$W235)))</f>
        <v/>
      </c>
      <c r="N235" s="56" t="str">
        <f aca="false">IF($W235="","",N(INDEX(发票统计!N$4:N$1003,$W235)))</f>
        <v/>
      </c>
      <c r="O235" s="56" t="str">
        <f aca="false">IF($W235="","",N(INDEX(发票统计!O$4:O$1003,$W235)))</f>
        <v/>
      </c>
      <c r="P235" s="56" t="str">
        <f aca="false">IF($W235="","",SUM(M$4:M235)-SUM(N$4:N235)-SUM(O$4:O235))</f>
        <v/>
      </c>
      <c r="Q235" s="56" t="str">
        <f aca="false">IF($W235="","",N(INDEX(发票统计!Q$4:Q$1003,$W235)))</f>
        <v/>
      </c>
      <c r="R235" s="56" t="str">
        <f aca="false">IF($W235="","",N(INDEX(发票统计!R$4:R$1003,$W235)))</f>
        <v/>
      </c>
      <c r="S235" s="56" t="str">
        <f aca="false">IF($W235="","",N(INDEX(发票统计!S$4:S$1003,$W235)))</f>
        <v/>
      </c>
      <c r="T235" s="56" t="str">
        <f aca="false">IF($W235="","",SUM(Q$4:Q235)-SUM(R$4:R235)-SUM(S$4:S235))</f>
        <v/>
      </c>
      <c r="U235" s="56" t="str">
        <f aca="false">IF($W235="","",INDEX(发票统计!U$4:U$1003,$W235)&amp;"")</f>
        <v/>
      </c>
      <c r="W235" s="1" t="str">
        <f aca="false">IF($V$3="","",IFERROR(MATCH($V$3&amp;"#"&amp;ROWS(W$4:W235),发票统计!$W$4:$W$1003,0),""))</f>
        <v/>
      </c>
    </row>
    <row r="236" customFormat="false" ht="16.5" hidden="false" customHeight="false" outlineLevel="0" collapsed="false">
      <c r="A236" s="3" t="str">
        <f aca="false">IF($W236="","",INDEX(发票统计!A$4:A$1003,$W236)&amp;"")</f>
        <v/>
      </c>
      <c r="B236" s="3" t="str">
        <f aca="false">IF($W236="","",INDEX(发票统计!B$4:B$1003,$W236)&amp;"")</f>
        <v/>
      </c>
      <c r="C236" s="3" t="str">
        <f aca="false">IF($W236="","",INDEX(发票统计!C$4:C$1003,$W236)&amp;"")</f>
        <v/>
      </c>
      <c r="D236" s="3" t="str">
        <f aca="false">IF($W236="","",INDEX(发票统计!D$4:D$1003,$W236)&amp;"")</f>
        <v/>
      </c>
      <c r="E236" s="56" t="str">
        <f aca="false">IF($W236="","",INDEX(发票统计!E$4:E$1003,$W236)&amp;"")</f>
        <v/>
      </c>
      <c r="F236" s="56" t="str">
        <f aca="false">IF($W236="","",INDEX(发票统计!F$4:F$1003,$W236)&amp;"")</f>
        <v/>
      </c>
      <c r="G236" s="68" t="str">
        <f aca="false">IF($W236="","",IF(INDEX(发票统计!G$4:G$1003,$W236)="","",INDEX(发票统计!G$4:G$1003,$W236)))</f>
        <v/>
      </c>
      <c r="H236" s="56" t="str">
        <f aca="false">IF($W236="","",N(INDEX(发票统计!H$4:H$1003,$W236)))</f>
        <v/>
      </c>
      <c r="I236" s="56" t="str">
        <f aca="false">IF($W236="","",N(INDEX(发票统计!I$4:I$1003,$W236)))</f>
        <v/>
      </c>
      <c r="J236" s="56" t="str">
        <f aca="false">IF($W236="","",N(INDEX(发票统计!J$4:J$1003,$W236)))</f>
        <v/>
      </c>
      <c r="K236" s="56" t="str">
        <f aca="false">IF($W236="","",N(INDEX(发票统计!K$4:K$1003,$W236)))</f>
        <v/>
      </c>
      <c r="L236" s="56" t="str">
        <f aca="false">IF($W236="","",SUM(J$4:J236)-SUM(K$4:K236))</f>
        <v/>
      </c>
      <c r="M236" s="56" t="str">
        <f aca="false">IF($W236="","",N(INDEX(发票统计!M$4:M$1003,$W236)))</f>
        <v/>
      </c>
      <c r="N236" s="56" t="str">
        <f aca="false">IF($W236="","",N(INDEX(发票统计!N$4:N$1003,$W236)))</f>
        <v/>
      </c>
      <c r="O236" s="56" t="str">
        <f aca="false">IF($W236="","",N(INDEX(发票统计!O$4:O$1003,$W236)))</f>
        <v/>
      </c>
      <c r="P236" s="56" t="str">
        <f aca="false">IF($W236="","",SUM(M$4:M236)-SUM(N$4:N236)-SUM(O$4:O236))</f>
        <v/>
      </c>
      <c r="Q236" s="56" t="str">
        <f aca="false">IF($W236="","",N(INDEX(发票统计!Q$4:Q$1003,$W236)))</f>
        <v/>
      </c>
      <c r="R236" s="56" t="str">
        <f aca="false">IF($W236="","",N(INDEX(发票统计!R$4:R$1003,$W236)))</f>
        <v/>
      </c>
      <c r="S236" s="56" t="str">
        <f aca="false">IF($W236="","",N(INDEX(发票统计!S$4:S$1003,$W236)))</f>
        <v/>
      </c>
      <c r="T236" s="56" t="str">
        <f aca="false">IF($W236="","",SUM(Q$4:Q236)-SUM(R$4:R236)-SUM(S$4:S236))</f>
        <v/>
      </c>
      <c r="U236" s="56" t="str">
        <f aca="false">IF($W236="","",INDEX(发票统计!U$4:U$1003,$W236)&amp;"")</f>
        <v/>
      </c>
      <c r="W236" s="1" t="str">
        <f aca="false">IF($V$3="","",IFERROR(MATCH($V$3&amp;"#"&amp;ROWS(W$4:W236),发票统计!$W$4:$W$1003,0),""))</f>
        <v/>
      </c>
    </row>
    <row r="237" customFormat="false" ht="16.5" hidden="false" customHeight="false" outlineLevel="0" collapsed="false">
      <c r="A237" s="3" t="str">
        <f aca="false">IF($W237="","",INDEX(发票统计!A$4:A$1003,$W237)&amp;"")</f>
        <v/>
      </c>
      <c r="B237" s="3" t="str">
        <f aca="false">IF($W237="","",INDEX(发票统计!B$4:B$1003,$W237)&amp;"")</f>
        <v/>
      </c>
      <c r="C237" s="3" t="str">
        <f aca="false">IF($W237="","",INDEX(发票统计!C$4:C$1003,$W237)&amp;"")</f>
        <v/>
      </c>
      <c r="D237" s="3" t="str">
        <f aca="false">IF($W237="","",INDEX(发票统计!D$4:D$1003,$W237)&amp;"")</f>
        <v/>
      </c>
      <c r="E237" s="56" t="str">
        <f aca="false">IF($W237="","",INDEX(发票统计!E$4:E$1003,$W237)&amp;"")</f>
        <v/>
      </c>
      <c r="F237" s="56" t="str">
        <f aca="false">IF($W237="","",INDEX(发票统计!F$4:F$1003,$W237)&amp;"")</f>
        <v/>
      </c>
      <c r="G237" s="68" t="str">
        <f aca="false">IF($W237="","",IF(INDEX(发票统计!G$4:G$1003,$W237)="","",INDEX(发票统计!G$4:G$1003,$W237)))</f>
        <v/>
      </c>
      <c r="H237" s="56" t="str">
        <f aca="false">IF($W237="","",N(INDEX(发票统计!H$4:H$1003,$W237)))</f>
        <v/>
      </c>
      <c r="I237" s="56" t="str">
        <f aca="false">IF($W237="","",N(INDEX(发票统计!I$4:I$1003,$W237)))</f>
        <v/>
      </c>
      <c r="J237" s="56" t="str">
        <f aca="false">IF($W237="","",N(INDEX(发票统计!J$4:J$1003,$W237)))</f>
        <v/>
      </c>
      <c r="K237" s="56" t="str">
        <f aca="false">IF($W237="","",N(INDEX(发票统计!K$4:K$1003,$W237)))</f>
        <v/>
      </c>
      <c r="L237" s="56" t="str">
        <f aca="false">IF($W237="","",SUM(J$4:J237)-SUM(K$4:K237))</f>
        <v/>
      </c>
      <c r="M237" s="56" t="str">
        <f aca="false">IF($W237="","",N(INDEX(发票统计!M$4:M$1003,$W237)))</f>
        <v/>
      </c>
      <c r="N237" s="56" t="str">
        <f aca="false">IF($W237="","",N(INDEX(发票统计!N$4:N$1003,$W237)))</f>
        <v/>
      </c>
      <c r="O237" s="56" t="str">
        <f aca="false">IF($W237="","",N(INDEX(发票统计!O$4:O$1003,$W237)))</f>
        <v/>
      </c>
      <c r="P237" s="56" t="str">
        <f aca="false">IF($W237="","",SUM(M$4:M237)-SUM(N$4:N237)-SUM(O$4:O237))</f>
        <v/>
      </c>
      <c r="Q237" s="56" t="str">
        <f aca="false">IF($W237="","",N(INDEX(发票统计!Q$4:Q$1003,$W237)))</f>
        <v/>
      </c>
      <c r="R237" s="56" t="str">
        <f aca="false">IF($W237="","",N(INDEX(发票统计!R$4:R$1003,$W237)))</f>
        <v/>
      </c>
      <c r="S237" s="56" t="str">
        <f aca="false">IF($W237="","",N(INDEX(发票统计!S$4:S$1003,$W237)))</f>
        <v/>
      </c>
      <c r="T237" s="56" t="str">
        <f aca="false">IF($W237="","",SUM(Q$4:Q237)-SUM(R$4:R237)-SUM(S$4:S237))</f>
        <v/>
      </c>
      <c r="U237" s="56" t="str">
        <f aca="false">IF($W237="","",INDEX(发票统计!U$4:U$1003,$W237)&amp;"")</f>
        <v/>
      </c>
      <c r="W237" s="1" t="str">
        <f aca="false">IF($V$3="","",IFERROR(MATCH($V$3&amp;"#"&amp;ROWS(W$4:W237),发票统计!$W$4:$W$1003,0),""))</f>
        <v/>
      </c>
    </row>
    <row r="238" customFormat="false" ht="16.5" hidden="false" customHeight="false" outlineLevel="0" collapsed="false">
      <c r="A238" s="3" t="str">
        <f aca="false">IF($W238="","",INDEX(发票统计!A$4:A$1003,$W238)&amp;"")</f>
        <v/>
      </c>
      <c r="B238" s="3" t="str">
        <f aca="false">IF($W238="","",INDEX(发票统计!B$4:B$1003,$W238)&amp;"")</f>
        <v/>
      </c>
      <c r="C238" s="3" t="str">
        <f aca="false">IF($W238="","",INDEX(发票统计!C$4:C$1003,$W238)&amp;"")</f>
        <v/>
      </c>
      <c r="D238" s="3" t="str">
        <f aca="false">IF($W238="","",INDEX(发票统计!D$4:D$1003,$W238)&amp;"")</f>
        <v/>
      </c>
      <c r="E238" s="56" t="str">
        <f aca="false">IF($W238="","",INDEX(发票统计!E$4:E$1003,$W238)&amp;"")</f>
        <v/>
      </c>
      <c r="F238" s="56" t="str">
        <f aca="false">IF($W238="","",INDEX(发票统计!F$4:F$1003,$W238)&amp;"")</f>
        <v/>
      </c>
      <c r="G238" s="68" t="str">
        <f aca="false">IF($W238="","",IF(INDEX(发票统计!G$4:G$1003,$W238)="","",INDEX(发票统计!G$4:G$1003,$W238)))</f>
        <v/>
      </c>
      <c r="H238" s="56" t="str">
        <f aca="false">IF($W238="","",N(INDEX(发票统计!H$4:H$1003,$W238)))</f>
        <v/>
      </c>
      <c r="I238" s="56" t="str">
        <f aca="false">IF($W238="","",N(INDEX(发票统计!I$4:I$1003,$W238)))</f>
        <v/>
      </c>
      <c r="J238" s="56" t="str">
        <f aca="false">IF($W238="","",N(INDEX(发票统计!J$4:J$1003,$W238)))</f>
        <v/>
      </c>
      <c r="K238" s="56" t="str">
        <f aca="false">IF($W238="","",N(INDEX(发票统计!K$4:K$1003,$W238)))</f>
        <v/>
      </c>
      <c r="L238" s="56" t="str">
        <f aca="false">IF($W238="","",SUM(J$4:J238)-SUM(K$4:K238))</f>
        <v/>
      </c>
      <c r="M238" s="56" t="str">
        <f aca="false">IF($W238="","",N(INDEX(发票统计!M$4:M$1003,$W238)))</f>
        <v/>
      </c>
      <c r="N238" s="56" t="str">
        <f aca="false">IF($W238="","",N(INDEX(发票统计!N$4:N$1003,$W238)))</f>
        <v/>
      </c>
      <c r="O238" s="56" t="str">
        <f aca="false">IF($W238="","",N(INDEX(发票统计!O$4:O$1003,$W238)))</f>
        <v/>
      </c>
      <c r="P238" s="56" t="str">
        <f aca="false">IF($W238="","",SUM(M$4:M238)-SUM(N$4:N238)-SUM(O$4:O238))</f>
        <v/>
      </c>
      <c r="Q238" s="56" t="str">
        <f aca="false">IF($W238="","",N(INDEX(发票统计!Q$4:Q$1003,$W238)))</f>
        <v/>
      </c>
      <c r="R238" s="56" t="str">
        <f aca="false">IF($W238="","",N(INDEX(发票统计!R$4:R$1003,$W238)))</f>
        <v/>
      </c>
      <c r="S238" s="56" t="str">
        <f aca="false">IF($W238="","",N(INDEX(发票统计!S$4:S$1003,$W238)))</f>
        <v/>
      </c>
      <c r="T238" s="56" t="str">
        <f aca="false">IF($W238="","",SUM(Q$4:Q238)-SUM(R$4:R238)-SUM(S$4:S238))</f>
        <v/>
      </c>
      <c r="U238" s="56" t="str">
        <f aca="false">IF($W238="","",INDEX(发票统计!U$4:U$1003,$W238)&amp;"")</f>
        <v/>
      </c>
      <c r="W238" s="1" t="str">
        <f aca="false">IF($V$3="","",IFERROR(MATCH($V$3&amp;"#"&amp;ROWS(W$4:W238),发票统计!$W$4:$W$1003,0),""))</f>
        <v/>
      </c>
    </row>
    <row r="239" customFormat="false" ht="16.5" hidden="false" customHeight="false" outlineLevel="0" collapsed="false">
      <c r="A239" s="3" t="str">
        <f aca="false">IF($W239="","",INDEX(发票统计!A$4:A$1003,$W239)&amp;"")</f>
        <v/>
      </c>
      <c r="B239" s="3" t="str">
        <f aca="false">IF($W239="","",INDEX(发票统计!B$4:B$1003,$W239)&amp;"")</f>
        <v/>
      </c>
      <c r="C239" s="3" t="str">
        <f aca="false">IF($W239="","",INDEX(发票统计!C$4:C$1003,$W239)&amp;"")</f>
        <v/>
      </c>
      <c r="D239" s="3" t="str">
        <f aca="false">IF($W239="","",INDEX(发票统计!D$4:D$1003,$W239)&amp;"")</f>
        <v/>
      </c>
      <c r="E239" s="56" t="str">
        <f aca="false">IF($W239="","",INDEX(发票统计!E$4:E$1003,$W239)&amp;"")</f>
        <v/>
      </c>
      <c r="F239" s="56" t="str">
        <f aca="false">IF($W239="","",INDEX(发票统计!F$4:F$1003,$W239)&amp;"")</f>
        <v/>
      </c>
      <c r="G239" s="68" t="str">
        <f aca="false">IF($W239="","",IF(INDEX(发票统计!G$4:G$1003,$W239)="","",INDEX(发票统计!G$4:G$1003,$W239)))</f>
        <v/>
      </c>
      <c r="H239" s="56" t="str">
        <f aca="false">IF($W239="","",N(INDEX(发票统计!H$4:H$1003,$W239)))</f>
        <v/>
      </c>
      <c r="I239" s="56" t="str">
        <f aca="false">IF($W239="","",N(INDEX(发票统计!I$4:I$1003,$W239)))</f>
        <v/>
      </c>
      <c r="J239" s="56" t="str">
        <f aca="false">IF($W239="","",N(INDEX(发票统计!J$4:J$1003,$W239)))</f>
        <v/>
      </c>
      <c r="K239" s="56" t="str">
        <f aca="false">IF($W239="","",N(INDEX(发票统计!K$4:K$1003,$W239)))</f>
        <v/>
      </c>
      <c r="L239" s="56" t="str">
        <f aca="false">IF($W239="","",SUM(J$4:J239)-SUM(K$4:K239))</f>
        <v/>
      </c>
      <c r="M239" s="56" t="str">
        <f aca="false">IF($W239="","",N(INDEX(发票统计!M$4:M$1003,$W239)))</f>
        <v/>
      </c>
      <c r="N239" s="56" t="str">
        <f aca="false">IF($W239="","",N(INDEX(发票统计!N$4:N$1003,$W239)))</f>
        <v/>
      </c>
      <c r="O239" s="56" t="str">
        <f aca="false">IF($W239="","",N(INDEX(发票统计!O$4:O$1003,$W239)))</f>
        <v/>
      </c>
      <c r="P239" s="56" t="str">
        <f aca="false">IF($W239="","",SUM(M$4:M239)-SUM(N$4:N239)-SUM(O$4:O239))</f>
        <v/>
      </c>
      <c r="Q239" s="56" t="str">
        <f aca="false">IF($W239="","",N(INDEX(发票统计!Q$4:Q$1003,$W239)))</f>
        <v/>
      </c>
      <c r="R239" s="56" t="str">
        <f aca="false">IF($W239="","",N(INDEX(发票统计!R$4:R$1003,$W239)))</f>
        <v/>
      </c>
      <c r="S239" s="56" t="str">
        <f aca="false">IF($W239="","",N(INDEX(发票统计!S$4:S$1003,$W239)))</f>
        <v/>
      </c>
      <c r="T239" s="56" t="str">
        <f aca="false">IF($W239="","",SUM(Q$4:Q239)-SUM(R$4:R239)-SUM(S$4:S239))</f>
        <v/>
      </c>
      <c r="U239" s="56" t="str">
        <f aca="false">IF($W239="","",INDEX(发票统计!U$4:U$1003,$W239)&amp;"")</f>
        <v/>
      </c>
      <c r="W239" s="1" t="str">
        <f aca="false">IF($V$3="","",IFERROR(MATCH($V$3&amp;"#"&amp;ROWS(W$4:W239),发票统计!$W$4:$W$1003,0),""))</f>
        <v/>
      </c>
    </row>
    <row r="240" customFormat="false" ht="16.5" hidden="false" customHeight="false" outlineLevel="0" collapsed="false">
      <c r="A240" s="3" t="str">
        <f aca="false">IF($W240="","",INDEX(发票统计!A$4:A$1003,$W240)&amp;"")</f>
        <v/>
      </c>
      <c r="B240" s="3" t="str">
        <f aca="false">IF($W240="","",INDEX(发票统计!B$4:B$1003,$W240)&amp;"")</f>
        <v/>
      </c>
      <c r="C240" s="3" t="str">
        <f aca="false">IF($W240="","",INDEX(发票统计!C$4:C$1003,$W240)&amp;"")</f>
        <v/>
      </c>
      <c r="D240" s="3" t="str">
        <f aca="false">IF($W240="","",INDEX(发票统计!D$4:D$1003,$W240)&amp;"")</f>
        <v/>
      </c>
      <c r="E240" s="56" t="str">
        <f aca="false">IF($W240="","",INDEX(发票统计!E$4:E$1003,$W240)&amp;"")</f>
        <v/>
      </c>
      <c r="F240" s="56" t="str">
        <f aca="false">IF($W240="","",INDEX(发票统计!F$4:F$1003,$W240)&amp;"")</f>
        <v/>
      </c>
      <c r="G240" s="68" t="str">
        <f aca="false">IF($W240="","",IF(INDEX(发票统计!G$4:G$1003,$W240)="","",INDEX(发票统计!G$4:G$1003,$W240)))</f>
        <v/>
      </c>
      <c r="H240" s="56" t="str">
        <f aca="false">IF($W240="","",N(INDEX(发票统计!H$4:H$1003,$W240)))</f>
        <v/>
      </c>
      <c r="I240" s="56" t="str">
        <f aca="false">IF($W240="","",N(INDEX(发票统计!I$4:I$1003,$W240)))</f>
        <v/>
      </c>
      <c r="J240" s="56" t="str">
        <f aca="false">IF($W240="","",N(INDEX(发票统计!J$4:J$1003,$W240)))</f>
        <v/>
      </c>
      <c r="K240" s="56" t="str">
        <f aca="false">IF($W240="","",N(INDEX(发票统计!K$4:K$1003,$W240)))</f>
        <v/>
      </c>
      <c r="L240" s="56" t="str">
        <f aca="false">IF($W240="","",SUM(J$4:J240)-SUM(K$4:K240))</f>
        <v/>
      </c>
      <c r="M240" s="56" t="str">
        <f aca="false">IF($W240="","",N(INDEX(发票统计!M$4:M$1003,$W240)))</f>
        <v/>
      </c>
      <c r="N240" s="56" t="str">
        <f aca="false">IF($W240="","",N(INDEX(发票统计!N$4:N$1003,$W240)))</f>
        <v/>
      </c>
      <c r="O240" s="56" t="str">
        <f aca="false">IF($W240="","",N(INDEX(发票统计!O$4:O$1003,$W240)))</f>
        <v/>
      </c>
      <c r="P240" s="56" t="str">
        <f aca="false">IF($W240="","",SUM(M$4:M240)-SUM(N$4:N240)-SUM(O$4:O240))</f>
        <v/>
      </c>
      <c r="Q240" s="56" t="str">
        <f aca="false">IF($W240="","",N(INDEX(发票统计!Q$4:Q$1003,$W240)))</f>
        <v/>
      </c>
      <c r="R240" s="56" t="str">
        <f aca="false">IF($W240="","",N(INDEX(发票统计!R$4:R$1003,$W240)))</f>
        <v/>
      </c>
      <c r="S240" s="56" t="str">
        <f aca="false">IF($W240="","",N(INDEX(发票统计!S$4:S$1003,$W240)))</f>
        <v/>
      </c>
      <c r="T240" s="56" t="str">
        <f aca="false">IF($W240="","",SUM(Q$4:Q240)-SUM(R$4:R240)-SUM(S$4:S240))</f>
        <v/>
      </c>
      <c r="U240" s="56" t="str">
        <f aca="false">IF($W240="","",INDEX(发票统计!U$4:U$1003,$W240)&amp;"")</f>
        <v/>
      </c>
      <c r="W240" s="1" t="str">
        <f aca="false">IF($V$3="","",IFERROR(MATCH($V$3&amp;"#"&amp;ROWS(W$4:W240),发票统计!$W$4:$W$1003,0),""))</f>
        <v/>
      </c>
    </row>
    <row r="241" customFormat="false" ht="16.5" hidden="false" customHeight="false" outlineLevel="0" collapsed="false">
      <c r="A241" s="3" t="str">
        <f aca="false">IF($W241="","",INDEX(发票统计!A$4:A$1003,$W241)&amp;"")</f>
        <v/>
      </c>
      <c r="B241" s="3" t="str">
        <f aca="false">IF($W241="","",INDEX(发票统计!B$4:B$1003,$W241)&amp;"")</f>
        <v/>
      </c>
      <c r="C241" s="3" t="str">
        <f aca="false">IF($W241="","",INDEX(发票统计!C$4:C$1003,$W241)&amp;"")</f>
        <v/>
      </c>
      <c r="D241" s="3" t="str">
        <f aca="false">IF($W241="","",INDEX(发票统计!D$4:D$1003,$W241)&amp;"")</f>
        <v/>
      </c>
      <c r="E241" s="56" t="str">
        <f aca="false">IF($W241="","",INDEX(发票统计!E$4:E$1003,$W241)&amp;"")</f>
        <v/>
      </c>
      <c r="F241" s="56" t="str">
        <f aca="false">IF($W241="","",INDEX(发票统计!F$4:F$1003,$W241)&amp;"")</f>
        <v/>
      </c>
      <c r="G241" s="68" t="str">
        <f aca="false">IF($W241="","",IF(INDEX(发票统计!G$4:G$1003,$W241)="","",INDEX(发票统计!G$4:G$1003,$W241)))</f>
        <v/>
      </c>
      <c r="H241" s="56" t="str">
        <f aca="false">IF($W241="","",N(INDEX(发票统计!H$4:H$1003,$W241)))</f>
        <v/>
      </c>
      <c r="I241" s="56" t="str">
        <f aca="false">IF($W241="","",N(INDEX(发票统计!I$4:I$1003,$W241)))</f>
        <v/>
      </c>
      <c r="J241" s="56" t="str">
        <f aca="false">IF($W241="","",N(INDEX(发票统计!J$4:J$1003,$W241)))</f>
        <v/>
      </c>
      <c r="K241" s="56" t="str">
        <f aca="false">IF($W241="","",N(INDEX(发票统计!K$4:K$1003,$W241)))</f>
        <v/>
      </c>
      <c r="L241" s="56" t="str">
        <f aca="false">IF($W241="","",SUM(J$4:J241)-SUM(K$4:K241))</f>
        <v/>
      </c>
      <c r="M241" s="56" t="str">
        <f aca="false">IF($W241="","",N(INDEX(发票统计!M$4:M$1003,$W241)))</f>
        <v/>
      </c>
      <c r="N241" s="56" t="str">
        <f aca="false">IF($W241="","",N(INDEX(发票统计!N$4:N$1003,$W241)))</f>
        <v/>
      </c>
      <c r="O241" s="56" t="str">
        <f aca="false">IF($W241="","",N(INDEX(发票统计!O$4:O$1003,$W241)))</f>
        <v/>
      </c>
      <c r="P241" s="56" t="str">
        <f aca="false">IF($W241="","",SUM(M$4:M241)-SUM(N$4:N241)-SUM(O$4:O241))</f>
        <v/>
      </c>
      <c r="Q241" s="56" t="str">
        <f aca="false">IF($W241="","",N(INDEX(发票统计!Q$4:Q$1003,$W241)))</f>
        <v/>
      </c>
      <c r="R241" s="56" t="str">
        <f aca="false">IF($W241="","",N(INDEX(发票统计!R$4:R$1003,$W241)))</f>
        <v/>
      </c>
      <c r="S241" s="56" t="str">
        <f aca="false">IF($W241="","",N(INDEX(发票统计!S$4:S$1003,$W241)))</f>
        <v/>
      </c>
      <c r="T241" s="56" t="str">
        <f aca="false">IF($W241="","",SUM(Q$4:Q241)-SUM(R$4:R241)-SUM(S$4:S241))</f>
        <v/>
      </c>
      <c r="U241" s="56" t="str">
        <f aca="false">IF($W241="","",INDEX(发票统计!U$4:U$1003,$W241)&amp;"")</f>
        <v/>
      </c>
      <c r="W241" s="1" t="str">
        <f aca="false">IF($V$3="","",IFERROR(MATCH($V$3&amp;"#"&amp;ROWS(W$4:W241),发票统计!$W$4:$W$1003,0),""))</f>
        <v/>
      </c>
    </row>
    <row r="242" customFormat="false" ht="16.5" hidden="false" customHeight="false" outlineLevel="0" collapsed="false">
      <c r="A242" s="3" t="str">
        <f aca="false">IF($W242="","",INDEX(发票统计!A$4:A$1003,$W242)&amp;"")</f>
        <v/>
      </c>
      <c r="B242" s="3" t="str">
        <f aca="false">IF($W242="","",INDEX(发票统计!B$4:B$1003,$W242)&amp;"")</f>
        <v/>
      </c>
      <c r="C242" s="3" t="str">
        <f aca="false">IF($W242="","",INDEX(发票统计!C$4:C$1003,$W242)&amp;"")</f>
        <v/>
      </c>
      <c r="D242" s="3" t="str">
        <f aca="false">IF($W242="","",INDEX(发票统计!D$4:D$1003,$W242)&amp;"")</f>
        <v/>
      </c>
      <c r="E242" s="56" t="str">
        <f aca="false">IF($W242="","",INDEX(发票统计!E$4:E$1003,$W242)&amp;"")</f>
        <v/>
      </c>
      <c r="F242" s="56" t="str">
        <f aca="false">IF($W242="","",INDEX(发票统计!F$4:F$1003,$W242)&amp;"")</f>
        <v/>
      </c>
      <c r="G242" s="68" t="str">
        <f aca="false">IF($W242="","",IF(INDEX(发票统计!G$4:G$1003,$W242)="","",INDEX(发票统计!G$4:G$1003,$W242)))</f>
        <v/>
      </c>
      <c r="H242" s="56" t="str">
        <f aca="false">IF($W242="","",N(INDEX(发票统计!H$4:H$1003,$W242)))</f>
        <v/>
      </c>
      <c r="I242" s="56" t="str">
        <f aca="false">IF($W242="","",N(INDEX(发票统计!I$4:I$1003,$W242)))</f>
        <v/>
      </c>
      <c r="J242" s="56" t="str">
        <f aca="false">IF($W242="","",N(INDEX(发票统计!J$4:J$1003,$W242)))</f>
        <v/>
      </c>
      <c r="K242" s="56" t="str">
        <f aca="false">IF($W242="","",N(INDEX(发票统计!K$4:K$1003,$W242)))</f>
        <v/>
      </c>
      <c r="L242" s="56" t="str">
        <f aca="false">IF($W242="","",SUM(J$4:J242)-SUM(K$4:K242))</f>
        <v/>
      </c>
      <c r="M242" s="56" t="str">
        <f aca="false">IF($W242="","",N(INDEX(发票统计!M$4:M$1003,$W242)))</f>
        <v/>
      </c>
      <c r="N242" s="56" t="str">
        <f aca="false">IF($W242="","",N(INDEX(发票统计!N$4:N$1003,$W242)))</f>
        <v/>
      </c>
      <c r="O242" s="56" t="str">
        <f aca="false">IF($W242="","",N(INDEX(发票统计!O$4:O$1003,$W242)))</f>
        <v/>
      </c>
      <c r="P242" s="56" t="str">
        <f aca="false">IF($W242="","",SUM(M$4:M242)-SUM(N$4:N242)-SUM(O$4:O242))</f>
        <v/>
      </c>
      <c r="Q242" s="56" t="str">
        <f aca="false">IF($W242="","",N(INDEX(发票统计!Q$4:Q$1003,$W242)))</f>
        <v/>
      </c>
      <c r="R242" s="56" t="str">
        <f aca="false">IF($W242="","",N(INDEX(发票统计!R$4:R$1003,$W242)))</f>
        <v/>
      </c>
      <c r="S242" s="56" t="str">
        <f aca="false">IF($W242="","",N(INDEX(发票统计!S$4:S$1003,$W242)))</f>
        <v/>
      </c>
      <c r="T242" s="56" t="str">
        <f aca="false">IF($W242="","",SUM(Q$4:Q242)-SUM(R$4:R242)-SUM(S$4:S242))</f>
        <v/>
      </c>
      <c r="U242" s="56" t="str">
        <f aca="false">IF($W242="","",INDEX(发票统计!U$4:U$1003,$W242)&amp;"")</f>
        <v/>
      </c>
      <c r="W242" s="1" t="str">
        <f aca="false">IF($V$3="","",IFERROR(MATCH($V$3&amp;"#"&amp;ROWS(W$4:W242),发票统计!$W$4:$W$1003,0),""))</f>
        <v/>
      </c>
    </row>
    <row r="243" customFormat="false" ht="16.5" hidden="false" customHeight="false" outlineLevel="0" collapsed="false">
      <c r="A243" s="3" t="str">
        <f aca="false">IF($W243="","",INDEX(发票统计!A$4:A$1003,$W243)&amp;"")</f>
        <v/>
      </c>
      <c r="B243" s="3" t="str">
        <f aca="false">IF($W243="","",INDEX(发票统计!B$4:B$1003,$W243)&amp;"")</f>
        <v/>
      </c>
      <c r="C243" s="3" t="str">
        <f aca="false">IF($W243="","",INDEX(发票统计!C$4:C$1003,$W243)&amp;"")</f>
        <v/>
      </c>
      <c r="D243" s="3" t="str">
        <f aca="false">IF($W243="","",INDEX(发票统计!D$4:D$1003,$W243)&amp;"")</f>
        <v/>
      </c>
      <c r="E243" s="56" t="str">
        <f aca="false">IF($W243="","",INDEX(发票统计!E$4:E$1003,$W243)&amp;"")</f>
        <v/>
      </c>
      <c r="F243" s="56" t="str">
        <f aca="false">IF($W243="","",INDEX(发票统计!F$4:F$1003,$W243)&amp;"")</f>
        <v/>
      </c>
      <c r="G243" s="68" t="str">
        <f aca="false">IF($W243="","",IF(INDEX(发票统计!G$4:G$1003,$W243)="","",INDEX(发票统计!G$4:G$1003,$W243)))</f>
        <v/>
      </c>
      <c r="H243" s="56" t="str">
        <f aca="false">IF($W243="","",N(INDEX(发票统计!H$4:H$1003,$W243)))</f>
        <v/>
      </c>
      <c r="I243" s="56" t="str">
        <f aca="false">IF($W243="","",N(INDEX(发票统计!I$4:I$1003,$W243)))</f>
        <v/>
      </c>
      <c r="J243" s="56" t="str">
        <f aca="false">IF($W243="","",N(INDEX(发票统计!J$4:J$1003,$W243)))</f>
        <v/>
      </c>
      <c r="K243" s="56" t="str">
        <f aca="false">IF($W243="","",N(INDEX(发票统计!K$4:K$1003,$W243)))</f>
        <v/>
      </c>
      <c r="L243" s="56" t="str">
        <f aca="false">IF($W243="","",SUM(J$4:J243)-SUM(K$4:K243))</f>
        <v/>
      </c>
      <c r="M243" s="56" t="str">
        <f aca="false">IF($W243="","",N(INDEX(发票统计!M$4:M$1003,$W243)))</f>
        <v/>
      </c>
      <c r="N243" s="56" t="str">
        <f aca="false">IF($W243="","",N(INDEX(发票统计!N$4:N$1003,$W243)))</f>
        <v/>
      </c>
      <c r="O243" s="56" t="str">
        <f aca="false">IF($W243="","",N(INDEX(发票统计!O$4:O$1003,$W243)))</f>
        <v/>
      </c>
      <c r="P243" s="56" t="str">
        <f aca="false">IF($W243="","",SUM(M$4:M243)-SUM(N$4:N243)-SUM(O$4:O243))</f>
        <v/>
      </c>
      <c r="Q243" s="56" t="str">
        <f aca="false">IF($W243="","",N(INDEX(发票统计!Q$4:Q$1003,$W243)))</f>
        <v/>
      </c>
      <c r="R243" s="56" t="str">
        <f aca="false">IF($W243="","",N(INDEX(发票统计!R$4:R$1003,$W243)))</f>
        <v/>
      </c>
      <c r="S243" s="56" t="str">
        <f aca="false">IF($W243="","",N(INDEX(发票统计!S$4:S$1003,$W243)))</f>
        <v/>
      </c>
      <c r="T243" s="56" t="str">
        <f aca="false">IF($W243="","",SUM(Q$4:Q243)-SUM(R$4:R243)-SUM(S$4:S243))</f>
        <v/>
      </c>
      <c r="U243" s="56" t="str">
        <f aca="false">IF($W243="","",INDEX(发票统计!U$4:U$1003,$W243)&amp;"")</f>
        <v/>
      </c>
      <c r="W243" s="1" t="str">
        <f aca="false">IF($V$3="","",IFERROR(MATCH($V$3&amp;"#"&amp;ROWS(W$4:W243),发票统计!$W$4:$W$1003,0),""))</f>
        <v/>
      </c>
    </row>
    <row r="244" customFormat="false" ht="16.5" hidden="false" customHeight="false" outlineLevel="0" collapsed="false">
      <c r="A244" s="3" t="str">
        <f aca="false">IF($W244="","",INDEX(发票统计!A$4:A$1003,$W244)&amp;"")</f>
        <v/>
      </c>
      <c r="B244" s="3" t="str">
        <f aca="false">IF($W244="","",INDEX(发票统计!B$4:B$1003,$W244)&amp;"")</f>
        <v/>
      </c>
      <c r="C244" s="3" t="str">
        <f aca="false">IF($W244="","",INDEX(发票统计!C$4:C$1003,$W244)&amp;"")</f>
        <v/>
      </c>
      <c r="D244" s="3" t="str">
        <f aca="false">IF($W244="","",INDEX(发票统计!D$4:D$1003,$W244)&amp;"")</f>
        <v/>
      </c>
      <c r="E244" s="56" t="str">
        <f aca="false">IF($W244="","",INDEX(发票统计!E$4:E$1003,$W244)&amp;"")</f>
        <v/>
      </c>
      <c r="F244" s="56" t="str">
        <f aca="false">IF($W244="","",INDEX(发票统计!F$4:F$1003,$W244)&amp;"")</f>
        <v/>
      </c>
      <c r="G244" s="68" t="str">
        <f aca="false">IF($W244="","",IF(INDEX(发票统计!G$4:G$1003,$W244)="","",INDEX(发票统计!G$4:G$1003,$W244)))</f>
        <v/>
      </c>
      <c r="H244" s="56" t="str">
        <f aca="false">IF($W244="","",N(INDEX(发票统计!H$4:H$1003,$W244)))</f>
        <v/>
      </c>
      <c r="I244" s="56" t="str">
        <f aca="false">IF($W244="","",N(INDEX(发票统计!I$4:I$1003,$W244)))</f>
        <v/>
      </c>
      <c r="J244" s="56" t="str">
        <f aca="false">IF($W244="","",N(INDEX(发票统计!J$4:J$1003,$W244)))</f>
        <v/>
      </c>
      <c r="K244" s="56" t="str">
        <f aca="false">IF($W244="","",N(INDEX(发票统计!K$4:K$1003,$W244)))</f>
        <v/>
      </c>
      <c r="L244" s="56" t="str">
        <f aca="false">IF($W244="","",SUM(J$4:J244)-SUM(K$4:K244))</f>
        <v/>
      </c>
      <c r="M244" s="56" t="str">
        <f aca="false">IF($W244="","",N(INDEX(发票统计!M$4:M$1003,$W244)))</f>
        <v/>
      </c>
      <c r="N244" s="56" t="str">
        <f aca="false">IF($W244="","",N(INDEX(发票统计!N$4:N$1003,$W244)))</f>
        <v/>
      </c>
      <c r="O244" s="56" t="str">
        <f aca="false">IF($W244="","",N(INDEX(发票统计!O$4:O$1003,$W244)))</f>
        <v/>
      </c>
      <c r="P244" s="56" t="str">
        <f aca="false">IF($W244="","",SUM(M$4:M244)-SUM(N$4:N244)-SUM(O$4:O244))</f>
        <v/>
      </c>
      <c r="Q244" s="56" t="str">
        <f aca="false">IF($W244="","",N(INDEX(发票统计!Q$4:Q$1003,$W244)))</f>
        <v/>
      </c>
      <c r="R244" s="56" t="str">
        <f aca="false">IF($W244="","",N(INDEX(发票统计!R$4:R$1003,$W244)))</f>
        <v/>
      </c>
      <c r="S244" s="56" t="str">
        <f aca="false">IF($W244="","",N(INDEX(发票统计!S$4:S$1003,$W244)))</f>
        <v/>
      </c>
      <c r="T244" s="56" t="str">
        <f aca="false">IF($W244="","",SUM(Q$4:Q244)-SUM(R$4:R244)-SUM(S$4:S244))</f>
        <v/>
      </c>
      <c r="U244" s="56" t="str">
        <f aca="false">IF($W244="","",INDEX(发票统计!U$4:U$1003,$W244)&amp;"")</f>
        <v/>
      </c>
      <c r="W244" s="1" t="str">
        <f aca="false">IF($V$3="","",IFERROR(MATCH($V$3&amp;"#"&amp;ROWS(W$4:W244),发票统计!$W$4:$W$1003,0),""))</f>
        <v/>
      </c>
    </row>
    <row r="245" customFormat="false" ht="16.5" hidden="false" customHeight="false" outlineLevel="0" collapsed="false">
      <c r="A245" s="3" t="str">
        <f aca="false">IF($W245="","",INDEX(发票统计!A$4:A$1003,$W245)&amp;"")</f>
        <v/>
      </c>
      <c r="B245" s="3" t="str">
        <f aca="false">IF($W245="","",INDEX(发票统计!B$4:B$1003,$W245)&amp;"")</f>
        <v/>
      </c>
      <c r="C245" s="3" t="str">
        <f aca="false">IF($W245="","",INDEX(发票统计!C$4:C$1003,$W245)&amp;"")</f>
        <v/>
      </c>
      <c r="D245" s="3" t="str">
        <f aca="false">IF($W245="","",INDEX(发票统计!D$4:D$1003,$W245)&amp;"")</f>
        <v/>
      </c>
      <c r="E245" s="56" t="str">
        <f aca="false">IF($W245="","",INDEX(发票统计!E$4:E$1003,$W245)&amp;"")</f>
        <v/>
      </c>
      <c r="F245" s="56" t="str">
        <f aca="false">IF($W245="","",INDEX(发票统计!F$4:F$1003,$W245)&amp;"")</f>
        <v/>
      </c>
      <c r="G245" s="68" t="str">
        <f aca="false">IF($W245="","",IF(INDEX(发票统计!G$4:G$1003,$W245)="","",INDEX(发票统计!G$4:G$1003,$W245)))</f>
        <v/>
      </c>
      <c r="H245" s="56" t="str">
        <f aca="false">IF($W245="","",N(INDEX(发票统计!H$4:H$1003,$W245)))</f>
        <v/>
      </c>
      <c r="I245" s="56" t="str">
        <f aca="false">IF($W245="","",N(INDEX(发票统计!I$4:I$1003,$W245)))</f>
        <v/>
      </c>
      <c r="J245" s="56" t="str">
        <f aca="false">IF($W245="","",N(INDEX(发票统计!J$4:J$1003,$W245)))</f>
        <v/>
      </c>
      <c r="K245" s="56" t="str">
        <f aca="false">IF($W245="","",N(INDEX(发票统计!K$4:K$1003,$W245)))</f>
        <v/>
      </c>
      <c r="L245" s="56" t="str">
        <f aca="false">IF($W245="","",SUM(J$4:J245)-SUM(K$4:K245))</f>
        <v/>
      </c>
      <c r="M245" s="56" t="str">
        <f aca="false">IF($W245="","",N(INDEX(发票统计!M$4:M$1003,$W245)))</f>
        <v/>
      </c>
      <c r="N245" s="56" t="str">
        <f aca="false">IF($W245="","",N(INDEX(发票统计!N$4:N$1003,$W245)))</f>
        <v/>
      </c>
      <c r="O245" s="56" t="str">
        <f aca="false">IF($W245="","",N(INDEX(发票统计!O$4:O$1003,$W245)))</f>
        <v/>
      </c>
      <c r="P245" s="56" t="str">
        <f aca="false">IF($W245="","",SUM(M$4:M245)-SUM(N$4:N245)-SUM(O$4:O245))</f>
        <v/>
      </c>
      <c r="Q245" s="56" t="str">
        <f aca="false">IF($W245="","",N(INDEX(发票统计!Q$4:Q$1003,$W245)))</f>
        <v/>
      </c>
      <c r="R245" s="56" t="str">
        <f aca="false">IF($W245="","",N(INDEX(发票统计!R$4:R$1003,$W245)))</f>
        <v/>
      </c>
      <c r="S245" s="56" t="str">
        <f aca="false">IF($W245="","",N(INDEX(发票统计!S$4:S$1003,$W245)))</f>
        <v/>
      </c>
      <c r="T245" s="56" t="str">
        <f aca="false">IF($W245="","",SUM(Q$4:Q245)-SUM(R$4:R245)-SUM(S$4:S245))</f>
        <v/>
      </c>
      <c r="U245" s="56" t="str">
        <f aca="false">IF($W245="","",INDEX(发票统计!U$4:U$1003,$W245)&amp;"")</f>
        <v/>
      </c>
      <c r="W245" s="1" t="str">
        <f aca="false">IF($V$3="","",IFERROR(MATCH($V$3&amp;"#"&amp;ROWS(W$4:W245),发票统计!$W$4:$W$1003,0),""))</f>
        <v/>
      </c>
    </row>
    <row r="246" customFormat="false" ht="16.5" hidden="false" customHeight="false" outlineLevel="0" collapsed="false">
      <c r="A246" s="3" t="str">
        <f aca="false">IF($W246="","",INDEX(发票统计!A$4:A$1003,$W246)&amp;"")</f>
        <v/>
      </c>
      <c r="B246" s="3" t="str">
        <f aca="false">IF($W246="","",INDEX(发票统计!B$4:B$1003,$W246)&amp;"")</f>
        <v/>
      </c>
      <c r="C246" s="3" t="str">
        <f aca="false">IF($W246="","",INDEX(发票统计!C$4:C$1003,$W246)&amp;"")</f>
        <v/>
      </c>
      <c r="D246" s="3" t="str">
        <f aca="false">IF($W246="","",INDEX(发票统计!D$4:D$1003,$W246)&amp;"")</f>
        <v/>
      </c>
      <c r="E246" s="56" t="str">
        <f aca="false">IF($W246="","",INDEX(发票统计!E$4:E$1003,$W246)&amp;"")</f>
        <v/>
      </c>
      <c r="F246" s="56" t="str">
        <f aca="false">IF($W246="","",INDEX(发票统计!F$4:F$1003,$W246)&amp;"")</f>
        <v/>
      </c>
      <c r="G246" s="68" t="str">
        <f aca="false">IF($W246="","",IF(INDEX(发票统计!G$4:G$1003,$W246)="","",INDEX(发票统计!G$4:G$1003,$W246)))</f>
        <v/>
      </c>
      <c r="H246" s="56" t="str">
        <f aca="false">IF($W246="","",N(INDEX(发票统计!H$4:H$1003,$W246)))</f>
        <v/>
      </c>
      <c r="I246" s="56" t="str">
        <f aca="false">IF($W246="","",N(INDEX(发票统计!I$4:I$1003,$W246)))</f>
        <v/>
      </c>
      <c r="J246" s="56" t="str">
        <f aca="false">IF($W246="","",N(INDEX(发票统计!J$4:J$1003,$W246)))</f>
        <v/>
      </c>
      <c r="K246" s="56" t="str">
        <f aca="false">IF($W246="","",N(INDEX(发票统计!K$4:K$1003,$W246)))</f>
        <v/>
      </c>
      <c r="L246" s="56" t="str">
        <f aca="false">IF($W246="","",SUM(J$4:J246)-SUM(K$4:K246))</f>
        <v/>
      </c>
      <c r="M246" s="56" t="str">
        <f aca="false">IF($W246="","",N(INDEX(发票统计!M$4:M$1003,$W246)))</f>
        <v/>
      </c>
      <c r="N246" s="56" t="str">
        <f aca="false">IF($W246="","",N(INDEX(发票统计!N$4:N$1003,$W246)))</f>
        <v/>
      </c>
      <c r="O246" s="56" t="str">
        <f aca="false">IF($W246="","",N(INDEX(发票统计!O$4:O$1003,$W246)))</f>
        <v/>
      </c>
      <c r="P246" s="56" t="str">
        <f aca="false">IF($W246="","",SUM(M$4:M246)-SUM(N$4:N246)-SUM(O$4:O246))</f>
        <v/>
      </c>
      <c r="Q246" s="56" t="str">
        <f aca="false">IF($W246="","",N(INDEX(发票统计!Q$4:Q$1003,$W246)))</f>
        <v/>
      </c>
      <c r="R246" s="56" t="str">
        <f aca="false">IF($W246="","",N(INDEX(发票统计!R$4:R$1003,$W246)))</f>
        <v/>
      </c>
      <c r="S246" s="56" t="str">
        <f aca="false">IF($W246="","",N(INDEX(发票统计!S$4:S$1003,$W246)))</f>
        <v/>
      </c>
      <c r="T246" s="56" t="str">
        <f aca="false">IF($W246="","",SUM(Q$4:Q246)-SUM(R$4:R246)-SUM(S$4:S246))</f>
        <v/>
      </c>
      <c r="U246" s="56" t="str">
        <f aca="false">IF($W246="","",INDEX(发票统计!U$4:U$1003,$W246)&amp;"")</f>
        <v/>
      </c>
      <c r="W246" s="1" t="str">
        <f aca="false">IF($V$3="","",IFERROR(MATCH($V$3&amp;"#"&amp;ROWS(W$4:W246),发票统计!$W$4:$W$1003,0),""))</f>
        <v/>
      </c>
    </row>
    <row r="247" customFormat="false" ht="16.5" hidden="false" customHeight="false" outlineLevel="0" collapsed="false">
      <c r="A247" s="3" t="str">
        <f aca="false">IF($W247="","",INDEX(发票统计!A$4:A$1003,$W247)&amp;"")</f>
        <v/>
      </c>
      <c r="B247" s="3" t="str">
        <f aca="false">IF($W247="","",INDEX(发票统计!B$4:B$1003,$W247)&amp;"")</f>
        <v/>
      </c>
      <c r="C247" s="3" t="str">
        <f aca="false">IF($W247="","",INDEX(发票统计!C$4:C$1003,$W247)&amp;"")</f>
        <v/>
      </c>
      <c r="D247" s="3" t="str">
        <f aca="false">IF($W247="","",INDEX(发票统计!D$4:D$1003,$W247)&amp;"")</f>
        <v/>
      </c>
      <c r="E247" s="56" t="str">
        <f aca="false">IF($W247="","",INDEX(发票统计!E$4:E$1003,$W247)&amp;"")</f>
        <v/>
      </c>
      <c r="F247" s="56" t="str">
        <f aca="false">IF($W247="","",INDEX(发票统计!F$4:F$1003,$W247)&amp;"")</f>
        <v/>
      </c>
      <c r="G247" s="68" t="str">
        <f aca="false">IF($W247="","",IF(INDEX(发票统计!G$4:G$1003,$W247)="","",INDEX(发票统计!G$4:G$1003,$W247)))</f>
        <v/>
      </c>
      <c r="H247" s="56" t="str">
        <f aca="false">IF($W247="","",N(INDEX(发票统计!H$4:H$1003,$W247)))</f>
        <v/>
      </c>
      <c r="I247" s="56" t="str">
        <f aca="false">IF($W247="","",N(INDEX(发票统计!I$4:I$1003,$W247)))</f>
        <v/>
      </c>
      <c r="J247" s="56" t="str">
        <f aca="false">IF($W247="","",N(INDEX(发票统计!J$4:J$1003,$W247)))</f>
        <v/>
      </c>
      <c r="K247" s="56" t="str">
        <f aca="false">IF($W247="","",N(INDEX(发票统计!K$4:K$1003,$W247)))</f>
        <v/>
      </c>
      <c r="L247" s="56" t="str">
        <f aca="false">IF($W247="","",SUM(J$4:J247)-SUM(K$4:K247))</f>
        <v/>
      </c>
      <c r="M247" s="56" t="str">
        <f aca="false">IF($W247="","",N(INDEX(发票统计!M$4:M$1003,$W247)))</f>
        <v/>
      </c>
      <c r="N247" s="56" t="str">
        <f aca="false">IF($W247="","",N(INDEX(发票统计!N$4:N$1003,$W247)))</f>
        <v/>
      </c>
      <c r="O247" s="56" t="str">
        <f aca="false">IF($W247="","",N(INDEX(发票统计!O$4:O$1003,$W247)))</f>
        <v/>
      </c>
      <c r="P247" s="56" t="str">
        <f aca="false">IF($W247="","",SUM(M$4:M247)-SUM(N$4:N247)-SUM(O$4:O247))</f>
        <v/>
      </c>
      <c r="Q247" s="56" t="str">
        <f aca="false">IF($W247="","",N(INDEX(发票统计!Q$4:Q$1003,$W247)))</f>
        <v/>
      </c>
      <c r="R247" s="56" t="str">
        <f aca="false">IF($W247="","",N(INDEX(发票统计!R$4:R$1003,$W247)))</f>
        <v/>
      </c>
      <c r="S247" s="56" t="str">
        <f aca="false">IF($W247="","",N(INDEX(发票统计!S$4:S$1003,$W247)))</f>
        <v/>
      </c>
      <c r="T247" s="56" t="str">
        <f aca="false">IF($W247="","",SUM(Q$4:Q247)-SUM(R$4:R247)-SUM(S$4:S247))</f>
        <v/>
      </c>
      <c r="U247" s="56" t="str">
        <f aca="false">IF($W247="","",INDEX(发票统计!U$4:U$1003,$W247)&amp;"")</f>
        <v/>
      </c>
      <c r="W247" s="1" t="str">
        <f aca="false">IF($V$3="","",IFERROR(MATCH($V$3&amp;"#"&amp;ROWS(W$4:W247),发票统计!$W$4:$W$1003,0),""))</f>
        <v/>
      </c>
    </row>
    <row r="248" customFormat="false" ht="16.5" hidden="false" customHeight="false" outlineLevel="0" collapsed="false">
      <c r="A248" s="3" t="str">
        <f aca="false">IF($W248="","",INDEX(发票统计!A$4:A$1003,$W248)&amp;"")</f>
        <v/>
      </c>
      <c r="B248" s="3" t="str">
        <f aca="false">IF($W248="","",INDEX(发票统计!B$4:B$1003,$W248)&amp;"")</f>
        <v/>
      </c>
      <c r="C248" s="3" t="str">
        <f aca="false">IF($W248="","",INDEX(发票统计!C$4:C$1003,$W248)&amp;"")</f>
        <v/>
      </c>
      <c r="D248" s="3" t="str">
        <f aca="false">IF($W248="","",INDEX(发票统计!D$4:D$1003,$W248)&amp;"")</f>
        <v/>
      </c>
      <c r="E248" s="56" t="str">
        <f aca="false">IF($W248="","",INDEX(发票统计!E$4:E$1003,$W248)&amp;"")</f>
        <v/>
      </c>
      <c r="F248" s="56" t="str">
        <f aca="false">IF($W248="","",INDEX(发票统计!F$4:F$1003,$W248)&amp;"")</f>
        <v/>
      </c>
      <c r="G248" s="68" t="str">
        <f aca="false">IF($W248="","",IF(INDEX(发票统计!G$4:G$1003,$W248)="","",INDEX(发票统计!G$4:G$1003,$W248)))</f>
        <v/>
      </c>
      <c r="H248" s="56" t="str">
        <f aca="false">IF($W248="","",N(INDEX(发票统计!H$4:H$1003,$W248)))</f>
        <v/>
      </c>
      <c r="I248" s="56" t="str">
        <f aca="false">IF($W248="","",N(INDEX(发票统计!I$4:I$1003,$W248)))</f>
        <v/>
      </c>
      <c r="J248" s="56" t="str">
        <f aca="false">IF($W248="","",N(INDEX(发票统计!J$4:J$1003,$W248)))</f>
        <v/>
      </c>
      <c r="K248" s="56" t="str">
        <f aca="false">IF($W248="","",N(INDEX(发票统计!K$4:K$1003,$W248)))</f>
        <v/>
      </c>
      <c r="L248" s="56" t="str">
        <f aca="false">IF($W248="","",SUM(J$4:J248)-SUM(K$4:K248))</f>
        <v/>
      </c>
      <c r="M248" s="56" t="str">
        <f aca="false">IF($W248="","",N(INDEX(发票统计!M$4:M$1003,$W248)))</f>
        <v/>
      </c>
      <c r="N248" s="56" t="str">
        <f aca="false">IF($W248="","",N(INDEX(发票统计!N$4:N$1003,$W248)))</f>
        <v/>
      </c>
      <c r="O248" s="56" t="str">
        <f aca="false">IF($W248="","",N(INDEX(发票统计!O$4:O$1003,$W248)))</f>
        <v/>
      </c>
      <c r="P248" s="56" t="str">
        <f aca="false">IF($W248="","",SUM(M$4:M248)-SUM(N$4:N248)-SUM(O$4:O248))</f>
        <v/>
      </c>
      <c r="Q248" s="56" t="str">
        <f aca="false">IF($W248="","",N(INDEX(发票统计!Q$4:Q$1003,$W248)))</f>
        <v/>
      </c>
      <c r="R248" s="56" t="str">
        <f aca="false">IF($W248="","",N(INDEX(发票统计!R$4:R$1003,$W248)))</f>
        <v/>
      </c>
      <c r="S248" s="56" t="str">
        <f aca="false">IF($W248="","",N(INDEX(发票统计!S$4:S$1003,$W248)))</f>
        <v/>
      </c>
      <c r="T248" s="56" t="str">
        <f aca="false">IF($W248="","",SUM(Q$4:Q248)-SUM(R$4:R248)-SUM(S$4:S248))</f>
        <v/>
      </c>
      <c r="U248" s="56" t="str">
        <f aca="false">IF($W248="","",INDEX(发票统计!U$4:U$1003,$W248)&amp;"")</f>
        <v/>
      </c>
      <c r="W248" s="1" t="str">
        <f aca="false">IF($V$3="","",IFERROR(MATCH($V$3&amp;"#"&amp;ROWS(W$4:W248),发票统计!$W$4:$W$1003,0),""))</f>
        <v/>
      </c>
    </row>
    <row r="249" customFormat="false" ht="16.5" hidden="false" customHeight="false" outlineLevel="0" collapsed="false">
      <c r="A249" s="3" t="str">
        <f aca="false">IF($W249="","",INDEX(发票统计!A$4:A$1003,$W249)&amp;"")</f>
        <v/>
      </c>
      <c r="B249" s="3" t="str">
        <f aca="false">IF($W249="","",INDEX(发票统计!B$4:B$1003,$W249)&amp;"")</f>
        <v/>
      </c>
      <c r="C249" s="3" t="str">
        <f aca="false">IF($W249="","",INDEX(发票统计!C$4:C$1003,$W249)&amp;"")</f>
        <v/>
      </c>
      <c r="D249" s="3" t="str">
        <f aca="false">IF($W249="","",INDEX(发票统计!D$4:D$1003,$W249)&amp;"")</f>
        <v/>
      </c>
      <c r="E249" s="56" t="str">
        <f aca="false">IF($W249="","",INDEX(发票统计!E$4:E$1003,$W249)&amp;"")</f>
        <v/>
      </c>
      <c r="F249" s="56" t="str">
        <f aca="false">IF($W249="","",INDEX(发票统计!F$4:F$1003,$W249)&amp;"")</f>
        <v/>
      </c>
      <c r="G249" s="68" t="str">
        <f aca="false">IF($W249="","",IF(INDEX(发票统计!G$4:G$1003,$W249)="","",INDEX(发票统计!G$4:G$1003,$W249)))</f>
        <v/>
      </c>
      <c r="H249" s="56" t="str">
        <f aca="false">IF($W249="","",N(INDEX(发票统计!H$4:H$1003,$W249)))</f>
        <v/>
      </c>
      <c r="I249" s="56" t="str">
        <f aca="false">IF($W249="","",N(INDEX(发票统计!I$4:I$1003,$W249)))</f>
        <v/>
      </c>
      <c r="J249" s="56" t="str">
        <f aca="false">IF($W249="","",N(INDEX(发票统计!J$4:J$1003,$W249)))</f>
        <v/>
      </c>
      <c r="K249" s="56" t="str">
        <f aca="false">IF($W249="","",N(INDEX(发票统计!K$4:K$1003,$W249)))</f>
        <v/>
      </c>
      <c r="L249" s="56" t="str">
        <f aca="false">IF($W249="","",SUM(J$4:J249)-SUM(K$4:K249))</f>
        <v/>
      </c>
      <c r="M249" s="56" t="str">
        <f aca="false">IF($W249="","",N(INDEX(发票统计!M$4:M$1003,$W249)))</f>
        <v/>
      </c>
      <c r="N249" s="56" t="str">
        <f aca="false">IF($W249="","",N(INDEX(发票统计!N$4:N$1003,$W249)))</f>
        <v/>
      </c>
      <c r="O249" s="56" t="str">
        <f aca="false">IF($W249="","",N(INDEX(发票统计!O$4:O$1003,$W249)))</f>
        <v/>
      </c>
      <c r="P249" s="56" t="str">
        <f aca="false">IF($W249="","",SUM(M$4:M249)-SUM(N$4:N249)-SUM(O$4:O249))</f>
        <v/>
      </c>
      <c r="Q249" s="56" t="str">
        <f aca="false">IF($W249="","",N(INDEX(发票统计!Q$4:Q$1003,$W249)))</f>
        <v/>
      </c>
      <c r="R249" s="56" t="str">
        <f aca="false">IF($W249="","",N(INDEX(发票统计!R$4:R$1003,$W249)))</f>
        <v/>
      </c>
      <c r="S249" s="56" t="str">
        <f aca="false">IF($W249="","",N(INDEX(发票统计!S$4:S$1003,$W249)))</f>
        <v/>
      </c>
      <c r="T249" s="56" t="str">
        <f aca="false">IF($W249="","",SUM(Q$4:Q249)-SUM(R$4:R249)-SUM(S$4:S249))</f>
        <v/>
      </c>
      <c r="U249" s="56" t="str">
        <f aca="false">IF($W249="","",INDEX(发票统计!U$4:U$1003,$W249)&amp;"")</f>
        <v/>
      </c>
      <c r="W249" s="1" t="str">
        <f aca="false">IF($V$3="","",IFERROR(MATCH($V$3&amp;"#"&amp;ROWS(W$4:W249),发票统计!$W$4:$W$1003,0),""))</f>
        <v/>
      </c>
    </row>
    <row r="250" customFormat="false" ht="16.5" hidden="false" customHeight="false" outlineLevel="0" collapsed="false">
      <c r="A250" s="3" t="str">
        <f aca="false">IF($W250="","",INDEX(发票统计!A$4:A$1003,$W250)&amp;"")</f>
        <v/>
      </c>
      <c r="B250" s="3" t="str">
        <f aca="false">IF($W250="","",INDEX(发票统计!B$4:B$1003,$W250)&amp;"")</f>
        <v/>
      </c>
      <c r="C250" s="3" t="str">
        <f aca="false">IF($W250="","",INDEX(发票统计!C$4:C$1003,$W250)&amp;"")</f>
        <v/>
      </c>
      <c r="D250" s="3" t="str">
        <f aca="false">IF($W250="","",INDEX(发票统计!D$4:D$1003,$W250)&amp;"")</f>
        <v/>
      </c>
      <c r="E250" s="56" t="str">
        <f aca="false">IF($W250="","",INDEX(发票统计!E$4:E$1003,$W250)&amp;"")</f>
        <v/>
      </c>
      <c r="F250" s="56" t="str">
        <f aca="false">IF($W250="","",INDEX(发票统计!F$4:F$1003,$W250)&amp;"")</f>
        <v/>
      </c>
      <c r="G250" s="68" t="str">
        <f aca="false">IF($W250="","",IF(INDEX(发票统计!G$4:G$1003,$W250)="","",INDEX(发票统计!G$4:G$1003,$W250)))</f>
        <v/>
      </c>
      <c r="H250" s="56" t="str">
        <f aca="false">IF($W250="","",N(INDEX(发票统计!H$4:H$1003,$W250)))</f>
        <v/>
      </c>
      <c r="I250" s="56" t="str">
        <f aca="false">IF($W250="","",N(INDEX(发票统计!I$4:I$1003,$W250)))</f>
        <v/>
      </c>
      <c r="J250" s="56" t="str">
        <f aca="false">IF($W250="","",N(INDEX(发票统计!J$4:J$1003,$W250)))</f>
        <v/>
      </c>
      <c r="K250" s="56" t="str">
        <f aca="false">IF($W250="","",N(INDEX(发票统计!K$4:K$1003,$W250)))</f>
        <v/>
      </c>
      <c r="L250" s="56" t="str">
        <f aca="false">IF($W250="","",SUM(J$4:J250)-SUM(K$4:K250))</f>
        <v/>
      </c>
      <c r="M250" s="56" t="str">
        <f aca="false">IF($W250="","",N(INDEX(发票统计!M$4:M$1003,$W250)))</f>
        <v/>
      </c>
      <c r="N250" s="56" t="str">
        <f aca="false">IF($W250="","",N(INDEX(发票统计!N$4:N$1003,$W250)))</f>
        <v/>
      </c>
      <c r="O250" s="56" t="str">
        <f aca="false">IF($W250="","",N(INDEX(发票统计!O$4:O$1003,$W250)))</f>
        <v/>
      </c>
      <c r="P250" s="56" t="str">
        <f aca="false">IF($W250="","",SUM(M$4:M250)-SUM(N$4:N250)-SUM(O$4:O250))</f>
        <v/>
      </c>
      <c r="Q250" s="56" t="str">
        <f aca="false">IF($W250="","",N(INDEX(发票统计!Q$4:Q$1003,$W250)))</f>
        <v/>
      </c>
      <c r="R250" s="56" t="str">
        <f aca="false">IF($W250="","",N(INDEX(发票统计!R$4:R$1003,$W250)))</f>
        <v/>
      </c>
      <c r="S250" s="56" t="str">
        <f aca="false">IF($W250="","",N(INDEX(发票统计!S$4:S$1003,$W250)))</f>
        <v/>
      </c>
      <c r="T250" s="56" t="str">
        <f aca="false">IF($W250="","",SUM(Q$4:Q250)-SUM(R$4:R250)-SUM(S$4:S250))</f>
        <v/>
      </c>
      <c r="U250" s="56" t="str">
        <f aca="false">IF($W250="","",INDEX(发票统计!U$4:U$1003,$W250)&amp;"")</f>
        <v/>
      </c>
      <c r="W250" s="1" t="str">
        <f aca="false">IF($V$3="","",IFERROR(MATCH($V$3&amp;"#"&amp;ROWS(W$4:W250),发票统计!$W$4:$W$1003,0),""))</f>
        <v/>
      </c>
    </row>
    <row r="251" customFormat="false" ht="16.5" hidden="false" customHeight="false" outlineLevel="0" collapsed="false">
      <c r="A251" s="3" t="str">
        <f aca="false">IF($W251="","",INDEX(发票统计!A$4:A$1003,$W251)&amp;"")</f>
        <v/>
      </c>
      <c r="B251" s="3" t="str">
        <f aca="false">IF($W251="","",INDEX(发票统计!B$4:B$1003,$W251)&amp;"")</f>
        <v/>
      </c>
      <c r="C251" s="3" t="str">
        <f aca="false">IF($W251="","",INDEX(发票统计!C$4:C$1003,$W251)&amp;"")</f>
        <v/>
      </c>
      <c r="D251" s="3" t="str">
        <f aca="false">IF($W251="","",INDEX(发票统计!D$4:D$1003,$W251)&amp;"")</f>
        <v/>
      </c>
      <c r="E251" s="56" t="str">
        <f aca="false">IF($W251="","",INDEX(发票统计!E$4:E$1003,$W251)&amp;"")</f>
        <v/>
      </c>
      <c r="F251" s="56" t="str">
        <f aca="false">IF($W251="","",INDEX(发票统计!F$4:F$1003,$W251)&amp;"")</f>
        <v/>
      </c>
      <c r="G251" s="68" t="str">
        <f aca="false">IF($W251="","",IF(INDEX(发票统计!G$4:G$1003,$W251)="","",INDEX(发票统计!G$4:G$1003,$W251)))</f>
        <v/>
      </c>
      <c r="H251" s="56" t="str">
        <f aca="false">IF($W251="","",N(INDEX(发票统计!H$4:H$1003,$W251)))</f>
        <v/>
      </c>
      <c r="I251" s="56" t="str">
        <f aca="false">IF($W251="","",N(INDEX(发票统计!I$4:I$1003,$W251)))</f>
        <v/>
      </c>
      <c r="J251" s="56" t="str">
        <f aca="false">IF($W251="","",N(INDEX(发票统计!J$4:J$1003,$W251)))</f>
        <v/>
      </c>
      <c r="K251" s="56" t="str">
        <f aca="false">IF($W251="","",N(INDEX(发票统计!K$4:K$1003,$W251)))</f>
        <v/>
      </c>
      <c r="L251" s="56" t="str">
        <f aca="false">IF($W251="","",SUM(J$4:J251)-SUM(K$4:K251))</f>
        <v/>
      </c>
      <c r="M251" s="56" t="str">
        <f aca="false">IF($W251="","",N(INDEX(发票统计!M$4:M$1003,$W251)))</f>
        <v/>
      </c>
      <c r="N251" s="56" t="str">
        <f aca="false">IF($W251="","",N(INDEX(发票统计!N$4:N$1003,$W251)))</f>
        <v/>
      </c>
      <c r="O251" s="56" t="str">
        <f aca="false">IF($W251="","",N(INDEX(发票统计!O$4:O$1003,$W251)))</f>
        <v/>
      </c>
      <c r="P251" s="56" t="str">
        <f aca="false">IF($W251="","",SUM(M$4:M251)-SUM(N$4:N251)-SUM(O$4:O251))</f>
        <v/>
      </c>
      <c r="Q251" s="56" t="str">
        <f aca="false">IF($W251="","",N(INDEX(发票统计!Q$4:Q$1003,$W251)))</f>
        <v/>
      </c>
      <c r="R251" s="56" t="str">
        <f aca="false">IF($W251="","",N(INDEX(发票统计!R$4:R$1003,$W251)))</f>
        <v/>
      </c>
      <c r="S251" s="56" t="str">
        <f aca="false">IF($W251="","",N(INDEX(发票统计!S$4:S$1003,$W251)))</f>
        <v/>
      </c>
      <c r="T251" s="56" t="str">
        <f aca="false">IF($W251="","",SUM(Q$4:Q251)-SUM(R$4:R251)-SUM(S$4:S251))</f>
        <v/>
      </c>
      <c r="U251" s="56" t="str">
        <f aca="false">IF($W251="","",INDEX(发票统计!U$4:U$1003,$W251)&amp;"")</f>
        <v/>
      </c>
      <c r="W251" s="1" t="str">
        <f aca="false">IF($V$3="","",IFERROR(MATCH($V$3&amp;"#"&amp;ROWS(W$4:W251),发票统计!$W$4:$W$1003,0),""))</f>
        <v/>
      </c>
    </row>
    <row r="252" customFormat="false" ht="16.5" hidden="false" customHeight="false" outlineLevel="0" collapsed="false">
      <c r="A252" s="3" t="str">
        <f aca="false">IF($W252="","",INDEX(发票统计!A$4:A$1003,$W252)&amp;"")</f>
        <v/>
      </c>
      <c r="B252" s="3" t="str">
        <f aca="false">IF($W252="","",INDEX(发票统计!B$4:B$1003,$W252)&amp;"")</f>
        <v/>
      </c>
      <c r="C252" s="3" t="str">
        <f aca="false">IF($W252="","",INDEX(发票统计!C$4:C$1003,$W252)&amp;"")</f>
        <v/>
      </c>
      <c r="D252" s="3" t="str">
        <f aca="false">IF($W252="","",INDEX(发票统计!D$4:D$1003,$W252)&amp;"")</f>
        <v/>
      </c>
      <c r="E252" s="56" t="str">
        <f aca="false">IF($W252="","",INDEX(发票统计!E$4:E$1003,$W252)&amp;"")</f>
        <v/>
      </c>
      <c r="F252" s="56" t="str">
        <f aca="false">IF($W252="","",INDEX(发票统计!F$4:F$1003,$W252)&amp;"")</f>
        <v/>
      </c>
      <c r="G252" s="68" t="str">
        <f aca="false">IF($W252="","",IF(INDEX(发票统计!G$4:G$1003,$W252)="","",INDEX(发票统计!G$4:G$1003,$W252)))</f>
        <v/>
      </c>
      <c r="H252" s="56" t="str">
        <f aca="false">IF($W252="","",N(INDEX(发票统计!H$4:H$1003,$W252)))</f>
        <v/>
      </c>
      <c r="I252" s="56" t="str">
        <f aca="false">IF($W252="","",N(INDEX(发票统计!I$4:I$1003,$W252)))</f>
        <v/>
      </c>
      <c r="J252" s="56" t="str">
        <f aca="false">IF($W252="","",N(INDEX(发票统计!J$4:J$1003,$W252)))</f>
        <v/>
      </c>
      <c r="K252" s="56" t="str">
        <f aca="false">IF($W252="","",N(INDEX(发票统计!K$4:K$1003,$W252)))</f>
        <v/>
      </c>
      <c r="L252" s="56" t="str">
        <f aca="false">IF($W252="","",SUM(J$4:J252)-SUM(K$4:K252))</f>
        <v/>
      </c>
      <c r="M252" s="56" t="str">
        <f aca="false">IF($W252="","",N(INDEX(发票统计!M$4:M$1003,$W252)))</f>
        <v/>
      </c>
      <c r="N252" s="56" t="str">
        <f aca="false">IF($W252="","",N(INDEX(发票统计!N$4:N$1003,$W252)))</f>
        <v/>
      </c>
      <c r="O252" s="56" t="str">
        <f aca="false">IF($W252="","",N(INDEX(发票统计!O$4:O$1003,$W252)))</f>
        <v/>
      </c>
      <c r="P252" s="56" t="str">
        <f aca="false">IF($W252="","",SUM(M$4:M252)-SUM(N$4:N252)-SUM(O$4:O252))</f>
        <v/>
      </c>
      <c r="Q252" s="56" t="str">
        <f aca="false">IF($W252="","",N(INDEX(发票统计!Q$4:Q$1003,$W252)))</f>
        <v/>
      </c>
      <c r="R252" s="56" t="str">
        <f aca="false">IF($W252="","",N(INDEX(发票统计!R$4:R$1003,$W252)))</f>
        <v/>
      </c>
      <c r="S252" s="56" t="str">
        <f aca="false">IF($W252="","",N(INDEX(发票统计!S$4:S$1003,$W252)))</f>
        <v/>
      </c>
      <c r="T252" s="56" t="str">
        <f aca="false">IF($W252="","",SUM(Q$4:Q252)-SUM(R$4:R252)-SUM(S$4:S252))</f>
        <v/>
      </c>
      <c r="U252" s="56" t="str">
        <f aca="false">IF($W252="","",INDEX(发票统计!U$4:U$1003,$W252)&amp;"")</f>
        <v/>
      </c>
      <c r="W252" s="1" t="str">
        <f aca="false">IF($V$3="","",IFERROR(MATCH($V$3&amp;"#"&amp;ROWS(W$4:W252),发票统计!$W$4:$W$1003,0),""))</f>
        <v/>
      </c>
    </row>
    <row r="253" customFormat="false" ht="16.5" hidden="false" customHeight="false" outlineLevel="0" collapsed="false">
      <c r="A253" s="3" t="str">
        <f aca="false">IF($W253="","",INDEX(发票统计!A$4:A$1003,$W253)&amp;"")</f>
        <v/>
      </c>
      <c r="B253" s="3" t="str">
        <f aca="false">IF($W253="","",INDEX(发票统计!B$4:B$1003,$W253)&amp;"")</f>
        <v/>
      </c>
      <c r="C253" s="3" t="str">
        <f aca="false">IF($W253="","",INDEX(发票统计!C$4:C$1003,$W253)&amp;"")</f>
        <v/>
      </c>
      <c r="D253" s="3" t="str">
        <f aca="false">IF($W253="","",INDEX(发票统计!D$4:D$1003,$W253)&amp;"")</f>
        <v/>
      </c>
      <c r="E253" s="56" t="str">
        <f aca="false">IF($W253="","",INDEX(发票统计!E$4:E$1003,$W253)&amp;"")</f>
        <v/>
      </c>
      <c r="F253" s="56" t="str">
        <f aca="false">IF($W253="","",INDEX(发票统计!F$4:F$1003,$W253)&amp;"")</f>
        <v/>
      </c>
      <c r="G253" s="68" t="str">
        <f aca="false">IF($W253="","",IF(INDEX(发票统计!G$4:G$1003,$W253)="","",INDEX(发票统计!G$4:G$1003,$W253)))</f>
        <v/>
      </c>
      <c r="H253" s="56" t="str">
        <f aca="false">IF($W253="","",N(INDEX(发票统计!H$4:H$1003,$W253)))</f>
        <v/>
      </c>
      <c r="I253" s="56" t="str">
        <f aca="false">IF($W253="","",N(INDEX(发票统计!I$4:I$1003,$W253)))</f>
        <v/>
      </c>
      <c r="J253" s="56" t="str">
        <f aca="false">IF($W253="","",N(INDEX(发票统计!J$4:J$1003,$W253)))</f>
        <v/>
      </c>
      <c r="K253" s="56" t="str">
        <f aca="false">IF($W253="","",N(INDEX(发票统计!K$4:K$1003,$W253)))</f>
        <v/>
      </c>
      <c r="L253" s="56" t="str">
        <f aca="false">IF($W253="","",SUM(J$4:J253)-SUM(K$4:K253))</f>
        <v/>
      </c>
      <c r="M253" s="56" t="str">
        <f aca="false">IF($W253="","",N(INDEX(发票统计!M$4:M$1003,$W253)))</f>
        <v/>
      </c>
      <c r="N253" s="56" t="str">
        <f aca="false">IF($W253="","",N(INDEX(发票统计!N$4:N$1003,$W253)))</f>
        <v/>
      </c>
      <c r="O253" s="56" t="str">
        <f aca="false">IF($W253="","",N(INDEX(发票统计!O$4:O$1003,$W253)))</f>
        <v/>
      </c>
      <c r="P253" s="56" t="str">
        <f aca="false">IF($W253="","",SUM(M$4:M253)-SUM(N$4:N253)-SUM(O$4:O253))</f>
        <v/>
      </c>
      <c r="Q253" s="56" t="str">
        <f aca="false">IF($W253="","",N(INDEX(发票统计!Q$4:Q$1003,$W253)))</f>
        <v/>
      </c>
      <c r="R253" s="56" t="str">
        <f aca="false">IF($W253="","",N(INDEX(发票统计!R$4:R$1003,$W253)))</f>
        <v/>
      </c>
      <c r="S253" s="56" t="str">
        <f aca="false">IF($W253="","",N(INDEX(发票统计!S$4:S$1003,$W253)))</f>
        <v/>
      </c>
      <c r="T253" s="56" t="str">
        <f aca="false">IF($W253="","",SUM(Q$4:Q253)-SUM(R$4:R253)-SUM(S$4:S253))</f>
        <v/>
      </c>
      <c r="U253" s="56" t="str">
        <f aca="false">IF($W253="","",INDEX(发票统计!U$4:U$1003,$W253)&amp;"")</f>
        <v/>
      </c>
      <c r="W253" s="1" t="str">
        <f aca="false">IF($V$3="","",IFERROR(MATCH($V$3&amp;"#"&amp;ROWS(W$4:W253),发票统计!$W$4:$W$1003,0),""))</f>
        <v/>
      </c>
    </row>
    <row r="254" customFormat="false" ht="16.5" hidden="false" customHeight="false" outlineLevel="0" collapsed="false">
      <c r="A254" s="3" t="str">
        <f aca="false">IF($W254="","",INDEX(发票统计!A$4:A$1003,$W254)&amp;"")</f>
        <v/>
      </c>
      <c r="B254" s="3" t="str">
        <f aca="false">IF($W254="","",INDEX(发票统计!B$4:B$1003,$W254)&amp;"")</f>
        <v/>
      </c>
      <c r="C254" s="3" t="str">
        <f aca="false">IF($W254="","",INDEX(发票统计!C$4:C$1003,$W254)&amp;"")</f>
        <v/>
      </c>
      <c r="D254" s="3" t="str">
        <f aca="false">IF($W254="","",INDEX(发票统计!D$4:D$1003,$W254)&amp;"")</f>
        <v/>
      </c>
      <c r="E254" s="56" t="str">
        <f aca="false">IF($W254="","",INDEX(发票统计!E$4:E$1003,$W254)&amp;"")</f>
        <v/>
      </c>
      <c r="F254" s="56" t="str">
        <f aca="false">IF($W254="","",INDEX(发票统计!F$4:F$1003,$W254)&amp;"")</f>
        <v/>
      </c>
      <c r="G254" s="68" t="str">
        <f aca="false">IF($W254="","",IF(INDEX(发票统计!G$4:G$1003,$W254)="","",INDEX(发票统计!G$4:G$1003,$W254)))</f>
        <v/>
      </c>
      <c r="H254" s="56" t="str">
        <f aca="false">IF($W254="","",N(INDEX(发票统计!H$4:H$1003,$W254)))</f>
        <v/>
      </c>
      <c r="I254" s="56" t="str">
        <f aca="false">IF($W254="","",N(INDEX(发票统计!I$4:I$1003,$W254)))</f>
        <v/>
      </c>
      <c r="J254" s="56" t="str">
        <f aca="false">IF($W254="","",N(INDEX(发票统计!J$4:J$1003,$W254)))</f>
        <v/>
      </c>
      <c r="K254" s="56" t="str">
        <f aca="false">IF($W254="","",N(INDEX(发票统计!K$4:K$1003,$W254)))</f>
        <v/>
      </c>
      <c r="L254" s="56" t="str">
        <f aca="false">IF($W254="","",SUM(J$4:J254)-SUM(K$4:K254))</f>
        <v/>
      </c>
      <c r="M254" s="56" t="str">
        <f aca="false">IF($W254="","",N(INDEX(发票统计!M$4:M$1003,$W254)))</f>
        <v/>
      </c>
      <c r="N254" s="56" t="str">
        <f aca="false">IF($W254="","",N(INDEX(发票统计!N$4:N$1003,$W254)))</f>
        <v/>
      </c>
      <c r="O254" s="56" t="str">
        <f aca="false">IF($W254="","",N(INDEX(发票统计!O$4:O$1003,$W254)))</f>
        <v/>
      </c>
      <c r="P254" s="56" t="str">
        <f aca="false">IF($W254="","",SUM(M$4:M254)-SUM(N$4:N254)-SUM(O$4:O254))</f>
        <v/>
      </c>
      <c r="Q254" s="56" t="str">
        <f aca="false">IF($W254="","",N(INDEX(发票统计!Q$4:Q$1003,$W254)))</f>
        <v/>
      </c>
      <c r="R254" s="56" t="str">
        <f aca="false">IF($W254="","",N(INDEX(发票统计!R$4:R$1003,$W254)))</f>
        <v/>
      </c>
      <c r="S254" s="56" t="str">
        <f aca="false">IF($W254="","",N(INDEX(发票统计!S$4:S$1003,$W254)))</f>
        <v/>
      </c>
      <c r="T254" s="56" t="str">
        <f aca="false">IF($W254="","",SUM(Q$4:Q254)-SUM(R$4:R254)-SUM(S$4:S254))</f>
        <v/>
      </c>
      <c r="U254" s="56" t="str">
        <f aca="false">IF($W254="","",INDEX(发票统计!U$4:U$1003,$W254)&amp;"")</f>
        <v/>
      </c>
      <c r="W254" s="1" t="str">
        <f aca="false">IF($V$3="","",IFERROR(MATCH($V$3&amp;"#"&amp;ROWS(W$4:W254),发票统计!$W$4:$W$1003,0),""))</f>
        <v/>
      </c>
    </row>
    <row r="255" customFormat="false" ht="16.5" hidden="false" customHeight="false" outlineLevel="0" collapsed="false">
      <c r="A255" s="3" t="str">
        <f aca="false">IF($W255="","",INDEX(发票统计!A$4:A$1003,$W255)&amp;"")</f>
        <v/>
      </c>
      <c r="B255" s="3" t="str">
        <f aca="false">IF($W255="","",INDEX(发票统计!B$4:B$1003,$W255)&amp;"")</f>
        <v/>
      </c>
      <c r="C255" s="3" t="str">
        <f aca="false">IF($W255="","",INDEX(发票统计!C$4:C$1003,$W255)&amp;"")</f>
        <v/>
      </c>
      <c r="D255" s="3" t="str">
        <f aca="false">IF($W255="","",INDEX(发票统计!D$4:D$1003,$W255)&amp;"")</f>
        <v/>
      </c>
      <c r="E255" s="56" t="str">
        <f aca="false">IF($W255="","",INDEX(发票统计!E$4:E$1003,$W255)&amp;"")</f>
        <v/>
      </c>
      <c r="F255" s="56" t="str">
        <f aca="false">IF($W255="","",INDEX(发票统计!F$4:F$1003,$W255)&amp;"")</f>
        <v/>
      </c>
      <c r="G255" s="68" t="str">
        <f aca="false">IF($W255="","",IF(INDEX(发票统计!G$4:G$1003,$W255)="","",INDEX(发票统计!G$4:G$1003,$W255)))</f>
        <v/>
      </c>
      <c r="H255" s="56" t="str">
        <f aca="false">IF($W255="","",N(INDEX(发票统计!H$4:H$1003,$W255)))</f>
        <v/>
      </c>
      <c r="I255" s="56" t="str">
        <f aca="false">IF($W255="","",N(INDEX(发票统计!I$4:I$1003,$W255)))</f>
        <v/>
      </c>
      <c r="J255" s="56" t="str">
        <f aca="false">IF($W255="","",N(INDEX(发票统计!J$4:J$1003,$W255)))</f>
        <v/>
      </c>
      <c r="K255" s="56" t="str">
        <f aca="false">IF($W255="","",N(INDEX(发票统计!K$4:K$1003,$W255)))</f>
        <v/>
      </c>
      <c r="L255" s="56" t="str">
        <f aca="false">IF($W255="","",SUM(J$4:J255)-SUM(K$4:K255))</f>
        <v/>
      </c>
      <c r="M255" s="56" t="str">
        <f aca="false">IF($W255="","",N(INDEX(发票统计!M$4:M$1003,$W255)))</f>
        <v/>
      </c>
      <c r="N255" s="56" t="str">
        <f aca="false">IF($W255="","",N(INDEX(发票统计!N$4:N$1003,$W255)))</f>
        <v/>
      </c>
      <c r="O255" s="56" t="str">
        <f aca="false">IF($W255="","",N(INDEX(发票统计!O$4:O$1003,$W255)))</f>
        <v/>
      </c>
      <c r="P255" s="56" t="str">
        <f aca="false">IF($W255="","",SUM(M$4:M255)-SUM(N$4:N255)-SUM(O$4:O255))</f>
        <v/>
      </c>
      <c r="Q255" s="56" t="str">
        <f aca="false">IF($W255="","",N(INDEX(发票统计!Q$4:Q$1003,$W255)))</f>
        <v/>
      </c>
      <c r="R255" s="56" t="str">
        <f aca="false">IF($W255="","",N(INDEX(发票统计!R$4:R$1003,$W255)))</f>
        <v/>
      </c>
      <c r="S255" s="56" t="str">
        <f aca="false">IF($W255="","",N(INDEX(发票统计!S$4:S$1003,$W255)))</f>
        <v/>
      </c>
      <c r="T255" s="56" t="str">
        <f aca="false">IF($W255="","",SUM(Q$4:Q255)-SUM(R$4:R255)-SUM(S$4:S255))</f>
        <v/>
      </c>
      <c r="U255" s="56" t="str">
        <f aca="false">IF($W255="","",INDEX(发票统计!U$4:U$1003,$W255)&amp;"")</f>
        <v/>
      </c>
      <c r="W255" s="1" t="str">
        <f aca="false">IF($V$3="","",IFERROR(MATCH($V$3&amp;"#"&amp;ROWS(W$4:W255),发票统计!$W$4:$W$1003,0),""))</f>
        <v/>
      </c>
    </row>
    <row r="256" customFormat="false" ht="16.5" hidden="false" customHeight="false" outlineLevel="0" collapsed="false">
      <c r="A256" s="3" t="str">
        <f aca="false">IF($W256="","",INDEX(发票统计!A$4:A$1003,$W256)&amp;"")</f>
        <v/>
      </c>
      <c r="B256" s="3" t="str">
        <f aca="false">IF($W256="","",INDEX(发票统计!B$4:B$1003,$W256)&amp;"")</f>
        <v/>
      </c>
      <c r="C256" s="3" t="str">
        <f aca="false">IF($W256="","",INDEX(发票统计!C$4:C$1003,$W256)&amp;"")</f>
        <v/>
      </c>
      <c r="D256" s="3" t="str">
        <f aca="false">IF($W256="","",INDEX(发票统计!D$4:D$1003,$W256)&amp;"")</f>
        <v/>
      </c>
      <c r="E256" s="56" t="str">
        <f aca="false">IF($W256="","",INDEX(发票统计!E$4:E$1003,$W256)&amp;"")</f>
        <v/>
      </c>
      <c r="F256" s="56" t="str">
        <f aca="false">IF($W256="","",INDEX(发票统计!F$4:F$1003,$W256)&amp;"")</f>
        <v/>
      </c>
      <c r="G256" s="68" t="str">
        <f aca="false">IF($W256="","",IF(INDEX(发票统计!G$4:G$1003,$W256)="","",INDEX(发票统计!G$4:G$1003,$W256)))</f>
        <v/>
      </c>
      <c r="H256" s="56" t="str">
        <f aca="false">IF($W256="","",N(INDEX(发票统计!H$4:H$1003,$W256)))</f>
        <v/>
      </c>
      <c r="I256" s="56" t="str">
        <f aca="false">IF($W256="","",N(INDEX(发票统计!I$4:I$1003,$W256)))</f>
        <v/>
      </c>
      <c r="J256" s="56" t="str">
        <f aca="false">IF($W256="","",N(INDEX(发票统计!J$4:J$1003,$W256)))</f>
        <v/>
      </c>
      <c r="K256" s="56" t="str">
        <f aca="false">IF($W256="","",N(INDEX(发票统计!K$4:K$1003,$W256)))</f>
        <v/>
      </c>
      <c r="L256" s="56" t="str">
        <f aca="false">IF($W256="","",SUM(J$4:J256)-SUM(K$4:K256))</f>
        <v/>
      </c>
      <c r="M256" s="56" t="str">
        <f aca="false">IF($W256="","",N(INDEX(发票统计!M$4:M$1003,$W256)))</f>
        <v/>
      </c>
      <c r="N256" s="56" t="str">
        <f aca="false">IF($W256="","",N(INDEX(发票统计!N$4:N$1003,$W256)))</f>
        <v/>
      </c>
      <c r="O256" s="56" t="str">
        <f aca="false">IF($W256="","",N(INDEX(发票统计!O$4:O$1003,$W256)))</f>
        <v/>
      </c>
      <c r="P256" s="56" t="str">
        <f aca="false">IF($W256="","",SUM(M$4:M256)-SUM(N$4:N256)-SUM(O$4:O256))</f>
        <v/>
      </c>
      <c r="Q256" s="56" t="str">
        <f aca="false">IF($W256="","",N(INDEX(发票统计!Q$4:Q$1003,$W256)))</f>
        <v/>
      </c>
      <c r="R256" s="56" t="str">
        <f aca="false">IF($W256="","",N(INDEX(发票统计!R$4:R$1003,$W256)))</f>
        <v/>
      </c>
      <c r="S256" s="56" t="str">
        <f aca="false">IF($W256="","",N(INDEX(发票统计!S$4:S$1003,$W256)))</f>
        <v/>
      </c>
      <c r="T256" s="56" t="str">
        <f aca="false">IF($W256="","",SUM(Q$4:Q256)-SUM(R$4:R256)-SUM(S$4:S256))</f>
        <v/>
      </c>
      <c r="U256" s="56" t="str">
        <f aca="false">IF($W256="","",INDEX(发票统计!U$4:U$1003,$W256)&amp;"")</f>
        <v/>
      </c>
      <c r="W256" s="1" t="str">
        <f aca="false">IF($V$3="","",IFERROR(MATCH($V$3&amp;"#"&amp;ROWS(W$4:W256),发票统计!$W$4:$W$1003,0),""))</f>
        <v/>
      </c>
    </row>
    <row r="257" customFormat="false" ht="16.5" hidden="false" customHeight="false" outlineLevel="0" collapsed="false">
      <c r="A257" s="3" t="str">
        <f aca="false">IF($W257="","",INDEX(发票统计!A$4:A$1003,$W257)&amp;"")</f>
        <v/>
      </c>
      <c r="B257" s="3" t="str">
        <f aca="false">IF($W257="","",INDEX(发票统计!B$4:B$1003,$W257)&amp;"")</f>
        <v/>
      </c>
      <c r="C257" s="3" t="str">
        <f aca="false">IF($W257="","",INDEX(发票统计!C$4:C$1003,$W257)&amp;"")</f>
        <v/>
      </c>
      <c r="D257" s="3" t="str">
        <f aca="false">IF($W257="","",INDEX(发票统计!D$4:D$1003,$W257)&amp;"")</f>
        <v/>
      </c>
      <c r="E257" s="56" t="str">
        <f aca="false">IF($W257="","",INDEX(发票统计!E$4:E$1003,$W257)&amp;"")</f>
        <v/>
      </c>
      <c r="F257" s="56" t="str">
        <f aca="false">IF($W257="","",INDEX(发票统计!F$4:F$1003,$W257)&amp;"")</f>
        <v/>
      </c>
      <c r="G257" s="68" t="str">
        <f aca="false">IF($W257="","",IF(INDEX(发票统计!G$4:G$1003,$W257)="","",INDEX(发票统计!G$4:G$1003,$W257)))</f>
        <v/>
      </c>
      <c r="H257" s="56" t="str">
        <f aca="false">IF($W257="","",N(INDEX(发票统计!H$4:H$1003,$W257)))</f>
        <v/>
      </c>
      <c r="I257" s="56" t="str">
        <f aca="false">IF($W257="","",N(INDEX(发票统计!I$4:I$1003,$W257)))</f>
        <v/>
      </c>
      <c r="J257" s="56" t="str">
        <f aca="false">IF($W257="","",N(INDEX(发票统计!J$4:J$1003,$W257)))</f>
        <v/>
      </c>
      <c r="K257" s="56" t="str">
        <f aca="false">IF($W257="","",N(INDEX(发票统计!K$4:K$1003,$W257)))</f>
        <v/>
      </c>
      <c r="L257" s="56" t="str">
        <f aca="false">IF($W257="","",SUM(J$4:J257)-SUM(K$4:K257))</f>
        <v/>
      </c>
      <c r="M257" s="56" t="str">
        <f aca="false">IF($W257="","",N(INDEX(发票统计!M$4:M$1003,$W257)))</f>
        <v/>
      </c>
      <c r="N257" s="56" t="str">
        <f aca="false">IF($W257="","",N(INDEX(发票统计!N$4:N$1003,$W257)))</f>
        <v/>
      </c>
      <c r="O257" s="56" t="str">
        <f aca="false">IF($W257="","",N(INDEX(发票统计!O$4:O$1003,$W257)))</f>
        <v/>
      </c>
      <c r="P257" s="56" t="str">
        <f aca="false">IF($W257="","",SUM(M$4:M257)-SUM(N$4:N257)-SUM(O$4:O257))</f>
        <v/>
      </c>
      <c r="Q257" s="56" t="str">
        <f aca="false">IF($W257="","",N(INDEX(发票统计!Q$4:Q$1003,$W257)))</f>
        <v/>
      </c>
      <c r="R257" s="56" t="str">
        <f aca="false">IF($W257="","",N(INDEX(发票统计!R$4:R$1003,$W257)))</f>
        <v/>
      </c>
      <c r="S257" s="56" t="str">
        <f aca="false">IF($W257="","",N(INDEX(发票统计!S$4:S$1003,$W257)))</f>
        <v/>
      </c>
      <c r="T257" s="56" t="str">
        <f aca="false">IF($W257="","",SUM(Q$4:Q257)-SUM(R$4:R257)-SUM(S$4:S257))</f>
        <v/>
      </c>
      <c r="U257" s="56" t="str">
        <f aca="false">IF($W257="","",INDEX(发票统计!U$4:U$1003,$W257)&amp;"")</f>
        <v/>
      </c>
      <c r="W257" s="1" t="str">
        <f aca="false">IF($V$3="","",IFERROR(MATCH($V$3&amp;"#"&amp;ROWS(W$4:W257),发票统计!$W$4:$W$1003,0),""))</f>
        <v/>
      </c>
    </row>
    <row r="258" customFormat="false" ht="16.5" hidden="false" customHeight="false" outlineLevel="0" collapsed="false">
      <c r="A258" s="3" t="str">
        <f aca="false">IF($W258="","",INDEX(发票统计!A$4:A$1003,$W258)&amp;"")</f>
        <v/>
      </c>
      <c r="B258" s="3" t="str">
        <f aca="false">IF($W258="","",INDEX(发票统计!B$4:B$1003,$W258)&amp;"")</f>
        <v/>
      </c>
      <c r="C258" s="3" t="str">
        <f aca="false">IF($W258="","",INDEX(发票统计!C$4:C$1003,$W258)&amp;"")</f>
        <v/>
      </c>
      <c r="D258" s="3" t="str">
        <f aca="false">IF($W258="","",INDEX(发票统计!D$4:D$1003,$W258)&amp;"")</f>
        <v/>
      </c>
      <c r="E258" s="56" t="str">
        <f aca="false">IF($W258="","",INDEX(发票统计!E$4:E$1003,$W258)&amp;"")</f>
        <v/>
      </c>
      <c r="F258" s="56" t="str">
        <f aca="false">IF($W258="","",INDEX(发票统计!F$4:F$1003,$W258)&amp;"")</f>
        <v/>
      </c>
      <c r="G258" s="68" t="str">
        <f aca="false">IF($W258="","",IF(INDEX(发票统计!G$4:G$1003,$W258)="","",INDEX(发票统计!G$4:G$1003,$W258)))</f>
        <v/>
      </c>
      <c r="H258" s="56" t="str">
        <f aca="false">IF($W258="","",N(INDEX(发票统计!H$4:H$1003,$W258)))</f>
        <v/>
      </c>
      <c r="I258" s="56" t="str">
        <f aca="false">IF($W258="","",N(INDEX(发票统计!I$4:I$1003,$W258)))</f>
        <v/>
      </c>
      <c r="J258" s="56" t="str">
        <f aca="false">IF($W258="","",N(INDEX(发票统计!J$4:J$1003,$W258)))</f>
        <v/>
      </c>
      <c r="K258" s="56" t="str">
        <f aca="false">IF($W258="","",N(INDEX(发票统计!K$4:K$1003,$W258)))</f>
        <v/>
      </c>
      <c r="L258" s="56" t="str">
        <f aca="false">IF($W258="","",SUM(J$4:J258)-SUM(K$4:K258))</f>
        <v/>
      </c>
      <c r="M258" s="56" t="str">
        <f aca="false">IF($W258="","",N(INDEX(发票统计!M$4:M$1003,$W258)))</f>
        <v/>
      </c>
      <c r="N258" s="56" t="str">
        <f aca="false">IF($W258="","",N(INDEX(发票统计!N$4:N$1003,$W258)))</f>
        <v/>
      </c>
      <c r="O258" s="56" t="str">
        <f aca="false">IF($W258="","",N(INDEX(发票统计!O$4:O$1003,$W258)))</f>
        <v/>
      </c>
      <c r="P258" s="56" t="str">
        <f aca="false">IF($W258="","",SUM(M$4:M258)-SUM(N$4:N258)-SUM(O$4:O258))</f>
        <v/>
      </c>
      <c r="Q258" s="56" t="str">
        <f aca="false">IF($W258="","",N(INDEX(发票统计!Q$4:Q$1003,$W258)))</f>
        <v/>
      </c>
      <c r="R258" s="56" t="str">
        <f aca="false">IF($W258="","",N(INDEX(发票统计!R$4:R$1003,$W258)))</f>
        <v/>
      </c>
      <c r="S258" s="56" t="str">
        <f aca="false">IF($W258="","",N(INDEX(发票统计!S$4:S$1003,$W258)))</f>
        <v/>
      </c>
      <c r="T258" s="56" t="str">
        <f aca="false">IF($W258="","",SUM(Q$4:Q258)-SUM(R$4:R258)-SUM(S$4:S258))</f>
        <v/>
      </c>
      <c r="U258" s="56" t="str">
        <f aca="false">IF($W258="","",INDEX(发票统计!U$4:U$1003,$W258)&amp;"")</f>
        <v/>
      </c>
      <c r="W258" s="1" t="str">
        <f aca="false">IF($V$3="","",IFERROR(MATCH($V$3&amp;"#"&amp;ROWS(W$4:W258),发票统计!$W$4:$W$1003,0),""))</f>
        <v/>
      </c>
    </row>
    <row r="259" customFormat="false" ht="16.5" hidden="false" customHeight="false" outlineLevel="0" collapsed="false">
      <c r="A259" s="3" t="str">
        <f aca="false">IF($W259="","",INDEX(发票统计!A$4:A$1003,$W259)&amp;"")</f>
        <v/>
      </c>
      <c r="B259" s="3" t="str">
        <f aca="false">IF($W259="","",INDEX(发票统计!B$4:B$1003,$W259)&amp;"")</f>
        <v/>
      </c>
      <c r="C259" s="3" t="str">
        <f aca="false">IF($W259="","",INDEX(发票统计!C$4:C$1003,$W259)&amp;"")</f>
        <v/>
      </c>
      <c r="D259" s="3" t="str">
        <f aca="false">IF($W259="","",INDEX(发票统计!D$4:D$1003,$W259)&amp;"")</f>
        <v/>
      </c>
      <c r="E259" s="56" t="str">
        <f aca="false">IF($W259="","",INDEX(发票统计!E$4:E$1003,$W259)&amp;"")</f>
        <v/>
      </c>
      <c r="F259" s="56" t="str">
        <f aca="false">IF($W259="","",INDEX(发票统计!F$4:F$1003,$W259)&amp;"")</f>
        <v/>
      </c>
      <c r="G259" s="68" t="str">
        <f aca="false">IF($W259="","",IF(INDEX(发票统计!G$4:G$1003,$W259)="","",INDEX(发票统计!G$4:G$1003,$W259)))</f>
        <v/>
      </c>
      <c r="H259" s="56" t="str">
        <f aca="false">IF($W259="","",N(INDEX(发票统计!H$4:H$1003,$W259)))</f>
        <v/>
      </c>
      <c r="I259" s="56" t="str">
        <f aca="false">IF($W259="","",N(INDEX(发票统计!I$4:I$1003,$W259)))</f>
        <v/>
      </c>
      <c r="J259" s="56" t="str">
        <f aca="false">IF($W259="","",N(INDEX(发票统计!J$4:J$1003,$W259)))</f>
        <v/>
      </c>
      <c r="K259" s="56" t="str">
        <f aca="false">IF($W259="","",N(INDEX(发票统计!K$4:K$1003,$W259)))</f>
        <v/>
      </c>
      <c r="L259" s="56" t="str">
        <f aca="false">IF($W259="","",SUM(J$4:J259)-SUM(K$4:K259))</f>
        <v/>
      </c>
      <c r="M259" s="56" t="str">
        <f aca="false">IF($W259="","",N(INDEX(发票统计!M$4:M$1003,$W259)))</f>
        <v/>
      </c>
      <c r="N259" s="56" t="str">
        <f aca="false">IF($W259="","",N(INDEX(发票统计!N$4:N$1003,$W259)))</f>
        <v/>
      </c>
      <c r="O259" s="56" t="str">
        <f aca="false">IF($W259="","",N(INDEX(发票统计!O$4:O$1003,$W259)))</f>
        <v/>
      </c>
      <c r="P259" s="56" t="str">
        <f aca="false">IF($W259="","",SUM(M$4:M259)-SUM(N$4:N259)-SUM(O$4:O259))</f>
        <v/>
      </c>
      <c r="Q259" s="56" t="str">
        <f aca="false">IF($W259="","",N(INDEX(发票统计!Q$4:Q$1003,$W259)))</f>
        <v/>
      </c>
      <c r="R259" s="56" t="str">
        <f aca="false">IF($W259="","",N(INDEX(发票统计!R$4:R$1003,$W259)))</f>
        <v/>
      </c>
      <c r="S259" s="56" t="str">
        <f aca="false">IF($W259="","",N(INDEX(发票统计!S$4:S$1003,$W259)))</f>
        <v/>
      </c>
      <c r="T259" s="56" t="str">
        <f aca="false">IF($W259="","",SUM(Q$4:Q259)-SUM(R$4:R259)-SUM(S$4:S259))</f>
        <v/>
      </c>
      <c r="U259" s="56" t="str">
        <f aca="false">IF($W259="","",INDEX(发票统计!U$4:U$1003,$W259)&amp;"")</f>
        <v/>
      </c>
      <c r="W259" s="1" t="str">
        <f aca="false">IF($V$3="","",IFERROR(MATCH($V$3&amp;"#"&amp;ROWS(W$4:W259),发票统计!$W$4:$W$1003,0),""))</f>
        <v/>
      </c>
    </row>
    <row r="260" customFormat="false" ht="16.5" hidden="false" customHeight="false" outlineLevel="0" collapsed="false">
      <c r="A260" s="3" t="str">
        <f aca="false">IF($W260="","",INDEX(发票统计!A$4:A$1003,$W260)&amp;"")</f>
        <v/>
      </c>
      <c r="B260" s="3" t="str">
        <f aca="false">IF($W260="","",INDEX(发票统计!B$4:B$1003,$W260)&amp;"")</f>
        <v/>
      </c>
      <c r="C260" s="3" t="str">
        <f aca="false">IF($W260="","",INDEX(发票统计!C$4:C$1003,$W260)&amp;"")</f>
        <v/>
      </c>
      <c r="D260" s="3" t="str">
        <f aca="false">IF($W260="","",INDEX(发票统计!D$4:D$1003,$W260)&amp;"")</f>
        <v/>
      </c>
      <c r="E260" s="56" t="str">
        <f aca="false">IF($W260="","",INDEX(发票统计!E$4:E$1003,$W260)&amp;"")</f>
        <v/>
      </c>
      <c r="F260" s="56" t="str">
        <f aca="false">IF($W260="","",INDEX(发票统计!F$4:F$1003,$W260)&amp;"")</f>
        <v/>
      </c>
      <c r="G260" s="68" t="str">
        <f aca="false">IF($W260="","",IF(INDEX(发票统计!G$4:G$1003,$W260)="","",INDEX(发票统计!G$4:G$1003,$W260)))</f>
        <v/>
      </c>
      <c r="H260" s="56" t="str">
        <f aca="false">IF($W260="","",N(INDEX(发票统计!H$4:H$1003,$W260)))</f>
        <v/>
      </c>
      <c r="I260" s="56" t="str">
        <f aca="false">IF($W260="","",N(INDEX(发票统计!I$4:I$1003,$W260)))</f>
        <v/>
      </c>
      <c r="J260" s="56" t="str">
        <f aca="false">IF($W260="","",N(INDEX(发票统计!J$4:J$1003,$W260)))</f>
        <v/>
      </c>
      <c r="K260" s="56" t="str">
        <f aca="false">IF($W260="","",N(INDEX(发票统计!K$4:K$1003,$W260)))</f>
        <v/>
      </c>
      <c r="L260" s="56" t="str">
        <f aca="false">IF($W260="","",SUM(J$4:J260)-SUM(K$4:K260))</f>
        <v/>
      </c>
      <c r="M260" s="56" t="str">
        <f aca="false">IF($W260="","",N(INDEX(发票统计!M$4:M$1003,$W260)))</f>
        <v/>
      </c>
      <c r="N260" s="56" t="str">
        <f aca="false">IF($W260="","",N(INDEX(发票统计!N$4:N$1003,$W260)))</f>
        <v/>
      </c>
      <c r="O260" s="56" t="str">
        <f aca="false">IF($W260="","",N(INDEX(发票统计!O$4:O$1003,$W260)))</f>
        <v/>
      </c>
      <c r="P260" s="56" t="str">
        <f aca="false">IF($W260="","",SUM(M$4:M260)-SUM(N$4:N260)-SUM(O$4:O260))</f>
        <v/>
      </c>
      <c r="Q260" s="56" t="str">
        <f aca="false">IF($W260="","",N(INDEX(发票统计!Q$4:Q$1003,$W260)))</f>
        <v/>
      </c>
      <c r="R260" s="56" t="str">
        <f aca="false">IF($W260="","",N(INDEX(发票统计!R$4:R$1003,$W260)))</f>
        <v/>
      </c>
      <c r="S260" s="56" t="str">
        <f aca="false">IF($W260="","",N(INDEX(发票统计!S$4:S$1003,$W260)))</f>
        <v/>
      </c>
      <c r="T260" s="56" t="str">
        <f aca="false">IF($W260="","",SUM(Q$4:Q260)-SUM(R$4:R260)-SUM(S$4:S260))</f>
        <v/>
      </c>
      <c r="U260" s="56" t="str">
        <f aca="false">IF($W260="","",INDEX(发票统计!U$4:U$1003,$W260)&amp;"")</f>
        <v/>
      </c>
      <c r="W260" s="1" t="str">
        <f aca="false">IF($V$3="","",IFERROR(MATCH($V$3&amp;"#"&amp;ROWS(W$4:W260),发票统计!$W$4:$W$1003,0),""))</f>
        <v/>
      </c>
    </row>
    <row r="261" customFormat="false" ht="16.5" hidden="false" customHeight="false" outlineLevel="0" collapsed="false">
      <c r="A261" s="3" t="str">
        <f aca="false">IF($W261="","",INDEX(发票统计!A$4:A$1003,$W261)&amp;"")</f>
        <v/>
      </c>
      <c r="B261" s="3" t="str">
        <f aca="false">IF($W261="","",INDEX(发票统计!B$4:B$1003,$W261)&amp;"")</f>
        <v/>
      </c>
      <c r="C261" s="3" t="str">
        <f aca="false">IF($W261="","",INDEX(发票统计!C$4:C$1003,$W261)&amp;"")</f>
        <v/>
      </c>
      <c r="D261" s="3" t="str">
        <f aca="false">IF($W261="","",INDEX(发票统计!D$4:D$1003,$W261)&amp;"")</f>
        <v/>
      </c>
      <c r="E261" s="56" t="str">
        <f aca="false">IF($W261="","",INDEX(发票统计!E$4:E$1003,$W261)&amp;"")</f>
        <v/>
      </c>
      <c r="F261" s="56" t="str">
        <f aca="false">IF($W261="","",INDEX(发票统计!F$4:F$1003,$W261)&amp;"")</f>
        <v/>
      </c>
      <c r="G261" s="68" t="str">
        <f aca="false">IF($W261="","",IF(INDEX(发票统计!G$4:G$1003,$W261)="","",INDEX(发票统计!G$4:G$1003,$W261)))</f>
        <v/>
      </c>
      <c r="H261" s="56" t="str">
        <f aca="false">IF($W261="","",N(INDEX(发票统计!H$4:H$1003,$W261)))</f>
        <v/>
      </c>
      <c r="I261" s="56" t="str">
        <f aca="false">IF($W261="","",N(INDEX(发票统计!I$4:I$1003,$W261)))</f>
        <v/>
      </c>
      <c r="J261" s="56" t="str">
        <f aca="false">IF($W261="","",N(INDEX(发票统计!J$4:J$1003,$W261)))</f>
        <v/>
      </c>
      <c r="K261" s="56" t="str">
        <f aca="false">IF($W261="","",N(INDEX(发票统计!K$4:K$1003,$W261)))</f>
        <v/>
      </c>
      <c r="L261" s="56" t="str">
        <f aca="false">IF($W261="","",SUM(J$4:J261)-SUM(K$4:K261))</f>
        <v/>
      </c>
      <c r="M261" s="56" t="str">
        <f aca="false">IF($W261="","",N(INDEX(发票统计!M$4:M$1003,$W261)))</f>
        <v/>
      </c>
      <c r="N261" s="56" t="str">
        <f aca="false">IF($W261="","",N(INDEX(发票统计!N$4:N$1003,$W261)))</f>
        <v/>
      </c>
      <c r="O261" s="56" t="str">
        <f aca="false">IF($W261="","",N(INDEX(发票统计!O$4:O$1003,$W261)))</f>
        <v/>
      </c>
      <c r="P261" s="56" t="str">
        <f aca="false">IF($W261="","",SUM(M$4:M261)-SUM(N$4:N261)-SUM(O$4:O261))</f>
        <v/>
      </c>
      <c r="Q261" s="56" t="str">
        <f aca="false">IF($W261="","",N(INDEX(发票统计!Q$4:Q$1003,$W261)))</f>
        <v/>
      </c>
      <c r="R261" s="56" t="str">
        <f aca="false">IF($W261="","",N(INDEX(发票统计!R$4:R$1003,$W261)))</f>
        <v/>
      </c>
      <c r="S261" s="56" t="str">
        <f aca="false">IF($W261="","",N(INDEX(发票统计!S$4:S$1003,$W261)))</f>
        <v/>
      </c>
      <c r="T261" s="56" t="str">
        <f aca="false">IF($W261="","",SUM(Q$4:Q261)-SUM(R$4:R261)-SUM(S$4:S261))</f>
        <v/>
      </c>
      <c r="U261" s="56" t="str">
        <f aca="false">IF($W261="","",INDEX(发票统计!U$4:U$1003,$W261)&amp;"")</f>
        <v/>
      </c>
      <c r="W261" s="1" t="str">
        <f aca="false">IF($V$3="","",IFERROR(MATCH($V$3&amp;"#"&amp;ROWS(W$4:W261),发票统计!$W$4:$W$1003,0),""))</f>
        <v/>
      </c>
    </row>
    <row r="262" customFormat="false" ht="16.5" hidden="false" customHeight="false" outlineLevel="0" collapsed="false">
      <c r="A262" s="3" t="str">
        <f aca="false">IF($W262="","",INDEX(发票统计!A$4:A$1003,$W262)&amp;"")</f>
        <v/>
      </c>
      <c r="B262" s="3" t="str">
        <f aca="false">IF($W262="","",INDEX(发票统计!B$4:B$1003,$W262)&amp;"")</f>
        <v/>
      </c>
      <c r="C262" s="3" t="str">
        <f aca="false">IF($W262="","",INDEX(发票统计!C$4:C$1003,$W262)&amp;"")</f>
        <v/>
      </c>
      <c r="D262" s="3" t="str">
        <f aca="false">IF($W262="","",INDEX(发票统计!D$4:D$1003,$W262)&amp;"")</f>
        <v/>
      </c>
      <c r="E262" s="56" t="str">
        <f aca="false">IF($W262="","",INDEX(发票统计!E$4:E$1003,$W262)&amp;"")</f>
        <v/>
      </c>
      <c r="F262" s="56" t="str">
        <f aca="false">IF($W262="","",INDEX(发票统计!F$4:F$1003,$W262)&amp;"")</f>
        <v/>
      </c>
      <c r="G262" s="68" t="str">
        <f aca="false">IF($W262="","",IF(INDEX(发票统计!G$4:G$1003,$W262)="","",INDEX(发票统计!G$4:G$1003,$W262)))</f>
        <v/>
      </c>
      <c r="H262" s="56" t="str">
        <f aca="false">IF($W262="","",N(INDEX(发票统计!H$4:H$1003,$W262)))</f>
        <v/>
      </c>
      <c r="I262" s="56" t="str">
        <f aca="false">IF($W262="","",N(INDEX(发票统计!I$4:I$1003,$W262)))</f>
        <v/>
      </c>
      <c r="J262" s="56" t="str">
        <f aca="false">IF($W262="","",N(INDEX(发票统计!J$4:J$1003,$W262)))</f>
        <v/>
      </c>
      <c r="K262" s="56" t="str">
        <f aca="false">IF($W262="","",N(INDEX(发票统计!K$4:K$1003,$W262)))</f>
        <v/>
      </c>
      <c r="L262" s="56" t="str">
        <f aca="false">IF($W262="","",SUM(J$4:J262)-SUM(K$4:K262))</f>
        <v/>
      </c>
      <c r="M262" s="56" t="str">
        <f aca="false">IF($W262="","",N(INDEX(发票统计!M$4:M$1003,$W262)))</f>
        <v/>
      </c>
      <c r="N262" s="56" t="str">
        <f aca="false">IF($W262="","",N(INDEX(发票统计!N$4:N$1003,$W262)))</f>
        <v/>
      </c>
      <c r="O262" s="56" t="str">
        <f aca="false">IF($W262="","",N(INDEX(发票统计!O$4:O$1003,$W262)))</f>
        <v/>
      </c>
      <c r="P262" s="56" t="str">
        <f aca="false">IF($W262="","",SUM(M$4:M262)-SUM(N$4:N262)-SUM(O$4:O262))</f>
        <v/>
      </c>
      <c r="Q262" s="56" t="str">
        <f aca="false">IF($W262="","",N(INDEX(发票统计!Q$4:Q$1003,$W262)))</f>
        <v/>
      </c>
      <c r="R262" s="56" t="str">
        <f aca="false">IF($W262="","",N(INDEX(发票统计!R$4:R$1003,$W262)))</f>
        <v/>
      </c>
      <c r="S262" s="56" t="str">
        <f aca="false">IF($W262="","",N(INDEX(发票统计!S$4:S$1003,$W262)))</f>
        <v/>
      </c>
      <c r="T262" s="56" t="str">
        <f aca="false">IF($W262="","",SUM(Q$4:Q262)-SUM(R$4:R262)-SUM(S$4:S262))</f>
        <v/>
      </c>
      <c r="U262" s="56" t="str">
        <f aca="false">IF($W262="","",INDEX(发票统计!U$4:U$1003,$W262)&amp;"")</f>
        <v/>
      </c>
      <c r="W262" s="1" t="str">
        <f aca="false">IF($V$3="","",IFERROR(MATCH($V$3&amp;"#"&amp;ROWS(W$4:W262),发票统计!$W$4:$W$1003,0),""))</f>
        <v/>
      </c>
    </row>
    <row r="263" customFormat="false" ht="16.5" hidden="false" customHeight="false" outlineLevel="0" collapsed="false">
      <c r="A263" s="3" t="str">
        <f aca="false">IF($W263="","",INDEX(发票统计!A$4:A$1003,$W263)&amp;"")</f>
        <v/>
      </c>
      <c r="B263" s="3" t="str">
        <f aca="false">IF($W263="","",INDEX(发票统计!B$4:B$1003,$W263)&amp;"")</f>
        <v/>
      </c>
      <c r="C263" s="3" t="str">
        <f aca="false">IF($W263="","",INDEX(发票统计!C$4:C$1003,$W263)&amp;"")</f>
        <v/>
      </c>
      <c r="D263" s="3" t="str">
        <f aca="false">IF($W263="","",INDEX(发票统计!D$4:D$1003,$W263)&amp;"")</f>
        <v/>
      </c>
      <c r="E263" s="56" t="str">
        <f aca="false">IF($W263="","",INDEX(发票统计!E$4:E$1003,$W263)&amp;"")</f>
        <v/>
      </c>
      <c r="F263" s="56" t="str">
        <f aca="false">IF($W263="","",INDEX(发票统计!F$4:F$1003,$W263)&amp;"")</f>
        <v/>
      </c>
      <c r="G263" s="68" t="str">
        <f aca="false">IF($W263="","",IF(INDEX(发票统计!G$4:G$1003,$W263)="","",INDEX(发票统计!G$4:G$1003,$W263)))</f>
        <v/>
      </c>
      <c r="H263" s="56" t="str">
        <f aca="false">IF($W263="","",N(INDEX(发票统计!H$4:H$1003,$W263)))</f>
        <v/>
      </c>
      <c r="I263" s="56" t="str">
        <f aca="false">IF($W263="","",N(INDEX(发票统计!I$4:I$1003,$W263)))</f>
        <v/>
      </c>
      <c r="J263" s="56" t="str">
        <f aca="false">IF($W263="","",N(INDEX(发票统计!J$4:J$1003,$W263)))</f>
        <v/>
      </c>
      <c r="K263" s="56" t="str">
        <f aca="false">IF($W263="","",N(INDEX(发票统计!K$4:K$1003,$W263)))</f>
        <v/>
      </c>
      <c r="L263" s="56" t="str">
        <f aca="false">IF($W263="","",SUM(J$4:J263)-SUM(K$4:K263))</f>
        <v/>
      </c>
      <c r="M263" s="56" t="str">
        <f aca="false">IF($W263="","",N(INDEX(发票统计!M$4:M$1003,$W263)))</f>
        <v/>
      </c>
      <c r="N263" s="56" t="str">
        <f aca="false">IF($W263="","",N(INDEX(发票统计!N$4:N$1003,$W263)))</f>
        <v/>
      </c>
      <c r="O263" s="56" t="str">
        <f aca="false">IF($W263="","",N(INDEX(发票统计!O$4:O$1003,$W263)))</f>
        <v/>
      </c>
      <c r="P263" s="56" t="str">
        <f aca="false">IF($W263="","",SUM(M$4:M263)-SUM(N$4:N263)-SUM(O$4:O263))</f>
        <v/>
      </c>
      <c r="Q263" s="56" t="str">
        <f aca="false">IF($W263="","",N(INDEX(发票统计!Q$4:Q$1003,$W263)))</f>
        <v/>
      </c>
      <c r="R263" s="56" t="str">
        <f aca="false">IF($W263="","",N(INDEX(发票统计!R$4:R$1003,$W263)))</f>
        <v/>
      </c>
      <c r="S263" s="56" t="str">
        <f aca="false">IF($W263="","",N(INDEX(发票统计!S$4:S$1003,$W263)))</f>
        <v/>
      </c>
      <c r="T263" s="56" t="str">
        <f aca="false">IF($W263="","",SUM(Q$4:Q263)-SUM(R$4:R263)-SUM(S$4:S263))</f>
        <v/>
      </c>
      <c r="U263" s="56" t="str">
        <f aca="false">IF($W263="","",INDEX(发票统计!U$4:U$1003,$W263)&amp;"")</f>
        <v/>
      </c>
      <c r="W263" s="1" t="str">
        <f aca="false">IF($V$3="","",IFERROR(MATCH($V$3&amp;"#"&amp;ROWS(W$4:W263),发票统计!$W$4:$W$1003,0),""))</f>
        <v/>
      </c>
    </row>
    <row r="264" customFormat="false" ht="16.5" hidden="false" customHeight="false" outlineLevel="0" collapsed="false">
      <c r="A264" s="3" t="str">
        <f aca="false">IF($W264="","",INDEX(发票统计!A$4:A$1003,$W264)&amp;"")</f>
        <v/>
      </c>
      <c r="B264" s="3" t="str">
        <f aca="false">IF($W264="","",INDEX(发票统计!B$4:B$1003,$W264)&amp;"")</f>
        <v/>
      </c>
      <c r="C264" s="3" t="str">
        <f aca="false">IF($W264="","",INDEX(发票统计!C$4:C$1003,$W264)&amp;"")</f>
        <v/>
      </c>
      <c r="D264" s="3" t="str">
        <f aca="false">IF($W264="","",INDEX(发票统计!D$4:D$1003,$W264)&amp;"")</f>
        <v/>
      </c>
      <c r="E264" s="56" t="str">
        <f aca="false">IF($W264="","",INDEX(发票统计!E$4:E$1003,$W264)&amp;"")</f>
        <v/>
      </c>
      <c r="F264" s="56" t="str">
        <f aca="false">IF($W264="","",INDEX(发票统计!F$4:F$1003,$W264)&amp;"")</f>
        <v/>
      </c>
      <c r="G264" s="68" t="str">
        <f aca="false">IF($W264="","",IF(INDEX(发票统计!G$4:G$1003,$W264)="","",INDEX(发票统计!G$4:G$1003,$W264)))</f>
        <v/>
      </c>
      <c r="H264" s="56" t="str">
        <f aca="false">IF($W264="","",N(INDEX(发票统计!H$4:H$1003,$W264)))</f>
        <v/>
      </c>
      <c r="I264" s="56" t="str">
        <f aca="false">IF($W264="","",N(INDEX(发票统计!I$4:I$1003,$W264)))</f>
        <v/>
      </c>
      <c r="J264" s="56" t="str">
        <f aca="false">IF($W264="","",N(INDEX(发票统计!J$4:J$1003,$W264)))</f>
        <v/>
      </c>
      <c r="K264" s="56" t="str">
        <f aca="false">IF($W264="","",N(INDEX(发票统计!K$4:K$1003,$W264)))</f>
        <v/>
      </c>
      <c r="L264" s="56" t="str">
        <f aca="false">IF($W264="","",SUM(J$4:J264)-SUM(K$4:K264))</f>
        <v/>
      </c>
      <c r="M264" s="56" t="str">
        <f aca="false">IF($W264="","",N(INDEX(发票统计!M$4:M$1003,$W264)))</f>
        <v/>
      </c>
      <c r="N264" s="56" t="str">
        <f aca="false">IF($W264="","",N(INDEX(发票统计!N$4:N$1003,$W264)))</f>
        <v/>
      </c>
      <c r="O264" s="56" t="str">
        <f aca="false">IF($W264="","",N(INDEX(发票统计!O$4:O$1003,$W264)))</f>
        <v/>
      </c>
      <c r="P264" s="56" t="str">
        <f aca="false">IF($W264="","",SUM(M$4:M264)-SUM(N$4:N264)-SUM(O$4:O264))</f>
        <v/>
      </c>
      <c r="Q264" s="56" t="str">
        <f aca="false">IF($W264="","",N(INDEX(发票统计!Q$4:Q$1003,$W264)))</f>
        <v/>
      </c>
      <c r="R264" s="56" t="str">
        <f aca="false">IF($W264="","",N(INDEX(发票统计!R$4:R$1003,$W264)))</f>
        <v/>
      </c>
      <c r="S264" s="56" t="str">
        <f aca="false">IF($W264="","",N(INDEX(发票统计!S$4:S$1003,$W264)))</f>
        <v/>
      </c>
      <c r="T264" s="56" t="str">
        <f aca="false">IF($W264="","",SUM(Q$4:Q264)-SUM(R$4:R264)-SUM(S$4:S264))</f>
        <v/>
      </c>
      <c r="U264" s="56" t="str">
        <f aca="false">IF($W264="","",INDEX(发票统计!U$4:U$1003,$W264)&amp;"")</f>
        <v/>
      </c>
      <c r="W264" s="1" t="str">
        <f aca="false">IF($V$3="","",IFERROR(MATCH($V$3&amp;"#"&amp;ROWS(W$4:W264),发票统计!$W$4:$W$1003,0),""))</f>
        <v/>
      </c>
    </row>
    <row r="265" customFormat="false" ht="16.5" hidden="false" customHeight="false" outlineLevel="0" collapsed="false">
      <c r="A265" s="3" t="str">
        <f aca="false">IF($W265="","",INDEX(发票统计!A$4:A$1003,$W265)&amp;"")</f>
        <v/>
      </c>
      <c r="B265" s="3" t="str">
        <f aca="false">IF($W265="","",INDEX(发票统计!B$4:B$1003,$W265)&amp;"")</f>
        <v/>
      </c>
      <c r="C265" s="3" t="str">
        <f aca="false">IF($W265="","",INDEX(发票统计!C$4:C$1003,$W265)&amp;"")</f>
        <v/>
      </c>
      <c r="D265" s="3" t="str">
        <f aca="false">IF($W265="","",INDEX(发票统计!D$4:D$1003,$W265)&amp;"")</f>
        <v/>
      </c>
      <c r="E265" s="56" t="str">
        <f aca="false">IF($W265="","",INDEX(发票统计!E$4:E$1003,$W265)&amp;"")</f>
        <v/>
      </c>
      <c r="F265" s="56" t="str">
        <f aca="false">IF($W265="","",INDEX(发票统计!F$4:F$1003,$W265)&amp;"")</f>
        <v/>
      </c>
      <c r="G265" s="68" t="str">
        <f aca="false">IF($W265="","",IF(INDEX(发票统计!G$4:G$1003,$W265)="","",INDEX(发票统计!G$4:G$1003,$W265)))</f>
        <v/>
      </c>
      <c r="H265" s="56" t="str">
        <f aca="false">IF($W265="","",N(INDEX(发票统计!H$4:H$1003,$W265)))</f>
        <v/>
      </c>
      <c r="I265" s="56" t="str">
        <f aca="false">IF($W265="","",N(INDEX(发票统计!I$4:I$1003,$W265)))</f>
        <v/>
      </c>
      <c r="J265" s="56" t="str">
        <f aca="false">IF($W265="","",N(INDEX(发票统计!J$4:J$1003,$W265)))</f>
        <v/>
      </c>
      <c r="K265" s="56" t="str">
        <f aca="false">IF($W265="","",N(INDEX(发票统计!K$4:K$1003,$W265)))</f>
        <v/>
      </c>
      <c r="L265" s="56" t="str">
        <f aca="false">IF($W265="","",SUM(J$4:J265)-SUM(K$4:K265))</f>
        <v/>
      </c>
      <c r="M265" s="56" t="str">
        <f aca="false">IF($W265="","",N(INDEX(发票统计!M$4:M$1003,$W265)))</f>
        <v/>
      </c>
      <c r="N265" s="56" t="str">
        <f aca="false">IF($W265="","",N(INDEX(发票统计!N$4:N$1003,$W265)))</f>
        <v/>
      </c>
      <c r="O265" s="56" t="str">
        <f aca="false">IF($W265="","",N(INDEX(发票统计!O$4:O$1003,$W265)))</f>
        <v/>
      </c>
      <c r="P265" s="56" t="str">
        <f aca="false">IF($W265="","",SUM(M$4:M265)-SUM(N$4:N265)-SUM(O$4:O265))</f>
        <v/>
      </c>
      <c r="Q265" s="56" t="str">
        <f aca="false">IF($W265="","",N(INDEX(发票统计!Q$4:Q$1003,$W265)))</f>
        <v/>
      </c>
      <c r="R265" s="56" t="str">
        <f aca="false">IF($W265="","",N(INDEX(发票统计!R$4:R$1003,$W265)))</f>
        <v/>
      </c>
      <c r="S265" s="56" t="str">
        <f aca="false">IF($W265="","",N(INDEX(发票统计!S$4:S$1003,$W265)))</f>
        <v/>
      </c>
      <c r="T265" s="56" t="str">
        <f aca="false">IF($W265="","",SUM(Q$4:Q265)-SUM(R$4:R265)-SUM(S$4:S265))</f>
        <v/>
      </c>
      <c r="U265" s="56" t="str">
        <f aca="false">IF($W265="","",INDEX(发票统计!U$4:U$1003,$W265)&amp;"")</f>
        <v/>
      </c>
      <c r="W265" s="1" t="str">
        <f aca="false">IF($V$3="","",IFERROR(MATCH($V$3&amp;"#"&amp;ROWS(W$4:W265),发票统计!$W$4:$W$1003,0),""))</f>
        <v/>
      </c>
    </row>
    <row r="266" customFormat="false" ht="16.5" hidden="false" customHeight="false" outlineLevel="0" collapsed="false">
      <c r="A266" s="3" t="str">
        <f aca="false">IF($W266="","",INDEX(发票统计!A$4:A$1003,$W266)&amp;"")</f>
        <v/>
      </c>
      <c r="B266" s="3" t="str">
        <f aca="false">IF($W266="","",INDEX(发票统计!B$4:B$1003,$W266)&amp;"")</f>
        <v/>
      </c>
      <c r="C266" s="3" t="str">
        <f aca="false">IF($W266="","",INDEX(发票统计!C$4:C$1003,$W266)&amp;"")</f>
        <v/>
      </c>
      <c r="D266" s="3" t="str">
        <f aca="false">IF($W266="","",INDEX(发票统计!D$4:D$1003,$W266)&amp;"")</f>
        <v/>
      </c>
      <c r="E266" s="56" t="str">
        <f aca="false">IF($W266="","",INDEX(发票统计!E$4:E$1003,$W266)&amp;"")</f>
        <v/>
      </c>
      <c r="F266" s="56" t="str">
        <f aca="false">IF($W266="","",INDEX(发票统计!F$4:F$1003,$W266)&amp;"")</f>
        <v/>
      </c>
      <c r="G266" s="68" t="str">
        <f aca="false">IF($W266="","",IF(INDEX(发票统计!G$4:G$1003,$W266)="","",INDEX(发票统计!G$4:G$1003,$W266)))</f>
        <v/>
      </c>
      <c r="H266" s="56" t="str">
        <f aca="false">IF($W266="","",N(INDEX(发票统计!H$4:H$1003,$W266)))</f>
        <v/>
      </c>
      <c r="I266" s="56" t="str">
        <f aca="false">IF($W266="","",N(INDEX(发票统计!I$4:I$1003,$W266)))</f>
        <v/>
      </c>
      <c r="J266" s="56" t="str">
        <f aca="false">IF($W266="","",N(INDEX(发票统计!J$4:J$1003,$W266)))</f>
        <v/>
      </c>
      <c r="K266" s="56" t="str">
        <f aca="false">IF($W266="","",N(INDEX(发票统计!K$4:K$1003,$W266)))</f>
        <v/>
      </c>
      <c r="L266" s="56" t="str">
        <f aca="false">IF($W266="","",SUM(J$4:J266)-SUM(K$4:K266))</f>
        <v/>
      </c>
      <c r="M266" s="56" t="str">
        <f aca="false">IF($W266="","",N(INDEX(发票统计!M$4:M$1003,$W266)))</f>
        <v/>
      </c>
      <c r="N266" s="56" t="str">
        <f aca="false">IF($W266="","",N(INDEX(发票统计!N$4:N$1003,$W266)))</f>
        <v/>
      </c>
      <c r="O266" s="56" t="str">
        <f aca="false">IF($W266="","",N(INDEX(发票统计!O$4:O$1003,$W266)))</f>
        <v/>
      </c>
      <c r="P266" s="56" t="str">
        <f aca="false">IF($W266="","",SUM(M$4:M266)-SUM(N$4:N266)-SUM(O$4:O266))</f>
        <v/>
      </c>
      <c r="Q266" s="56" t="str">
        <f aca="false">IF($W266="","",N(INDEX(发票统计!Q$4:Q$1003,$W266)))</f>
        <v/>
      </c>
      <c r="R266" s="56" t="str">
        <f aca="false">IF($W266="","",N(INDEX(发票统计!R$4:R$1003,$W266)))</f>
        <v/>
      </c>
      <c r="S266" s="56" t="str">
        <f aca="false">IF($W266="","",N(INDEX(发票统计!S$4:S$1003,$W266)))</f>
        <v/>
      </c>
      <c r="T266" s="56" t="str">
        <f aca="false">IF($W266="","",SUM(Q$4:Q266)-SUM(R$4:R266)-SUM(S$4:S266))</f>
        <v/>
      </c>
      <c r="U266" s="56" t="str">
        <f aca="false">IF($W266="","",INDEX(发票统计!U$4:U$1003,$W266)&amp;"")</f>
        <v/>
      </c>
      <c r="W266" s="1" t="str">
        <f aca="false">IF($V$3="","",IFERROR(MATCH($V$3&amp;"#"&amp;ROWS(W$4:W266),发票统计!$W$4:$W$1003,0),""))</f>
        <v/>
      </c>
    </row>
    <row r="267" customFormat="false" ht="16.5" hidden="false" customHeight="false" outlineLevel="0" collapsed="false">
      <c r="A267" s="3" t="str">
        <f aca="false">IF($W267="","",INDEX(发票统计!A$4:A$1003,$W267)&amp;"")</f>
        <v/>
      </c>
      <c r="B267" s="3" t="str">
        <f aca="false">IF($W267="","",INDEX(发票统计!B$4:B$1003,$W267)&amp;"")</f>
        <v/>
      </c>
      <c r="C267" s="3" t="str">
        <f aca="false">IF($W267="","",INDEX(发票统计!C$4:C$1003,$W267)&amp;"")</f>
        <v/>
      </c>
      <c r="D267" s="3" t="str">
        <f aca="false">IF($W267="","",INDEX(发票统计!D$4:D$1003,$W267)&amp;"")</f>
        <v/>
      </c>
      <c r="E267" s="56" t="str">
        <f aca="false">IF($W267="","",INDEX(发票统计!E$4:E$1003,$W267)&amp;"")</f>
        <v/>
      </c>
      <c r="F267" s="56" t="str">
        <f aca="false">IF($W267="","",INDEX(发票统计!F$4:F$1003,$W267)&amp;"")</f>
        <v/>
      </c>
      <c r="G267" s="68" t="str">
        <f aca="false">IF($W267="","",IF(INDEX(发票统计!G$4:G$1003,$W267)="","",INDEX(发票统计!G$4:G$1003,$W267)))</f>
        <v/>
      </c>
      <c r="H267" s="56" t="str">
        <f aca="false">IF($W267="","",N(INDEX(发票统计!H$4:H$1003,$W267)))</f>
        <v/>
      </c>
      <c r="I267" s="56" t="str">
        <f aca="false">IF($W267="","",N(INDEX(发票统计!I$4:I$1003,$W267)))</f>
        <v/>
      </c>
      <c r="J267" s="56" t="str">
        <f aca="false">IF($W267="","",N(INDEX(发票统计!J$4:J$1003,$W267)))</f>
        <v/>
      </c>
      <c r="K267" s="56" t="str">
        <f aca="false">IF($W267="","",N(INDEX(发票统计!K$4:K$1003,$W267)))</f>
        <v/>
      </c>
      <c r="L267" s="56" t="str">
        <f aca="false">IF($W267="","",SUM(J$4:J267)-SUM(K$4:K267))</f>
        <v/>
      </c>
      <c r="M267" s="56" t="str">
        <f aca="false">IF($W267="","",N(INDEX(发票统计!M$4:M$1003,$W267)))</f>
        <v/>
      </c>
      <c r="N267" s="56" t="str">
        <f aca="false">IF($W267="","",N(INDEX(发票统计!N$4:N$1003,$W267)))</f>
        <v/>
      </c>
      <c r="O267" s="56" t="str">
        <f aca="false">IF($W267="","",N(INDEX(发票统计!O$4:O$1003,$W267)))</f>
        <v/>
      </c>
      <c r="P267" s="56" t="str">
        <f aca="false">IF($W267="","",SUM(M$4:M267)-SUM(N$4:N267)-SUM(O$4:O267))</f>
        <v/>
      </c>
      <c r="Q267" s="56" t="str">
        <f aca="false">IF($W267="","",N(INDEX(发票统计!Q$4:Q$1003,$W267)))</f>
        <v/>
      </c>
      <c r="R267" s="56" t="str">
        <f aca="false">IF($W267="","",N(INDEX(发票统计!R$4:R$1003,$W267)))</f>
        <v/>
      </c>
      <c r="S267" s="56" t="str">
        <f aca="false">IF($W267="","",N(INDEX(发票统计!S$4:S$1003,$W267)))</f>
        <v/>
      </c>
      <c r="T267" s="56" t="str">
        <f aca="false">IF($W267="","",SUM(Q$4:Q267)-SUM(R$4:R267)-SUM(S$4:S267))</f>
        <v/>
      </c>
      <c r="U267" s="56" t="str">
        <f aca="false">IF($W267="","",INDEX(发票统计!U$4:U$1003,$W267)&amp;"")</f>
        <v/>
      </c>
      <c r="W267" s="1" t="str">
        <f aca="false">IF($V$3="","",IFERROR(MATCH($V$3&amp;"#"&amp;ROWS(W$4:W267),发票统计!$W$4:$W$1003,0),""))</f>
        <v/>
      </c>
    </row>
    <row r="268" customFormat="false" ht="16.5" hidden="false" customHeight="false" outlineLevel="0" collapsed="false">
      <c r="A268" s="3" t="str">
        <f aca="false">IF($W268="","",INDEX(发票统计!A$4:A$1003,$W268)&amp;"")</f>
        <v/>
      </c>
      <c r="B268" s="3" t="str">
        <f aca="false">IF($W268="","",INDEX(发票统计!B$4:B$1003,$W268)&amp;"")</f>
        <v/>
      </c>
      <c r="C268" s="3" t="str">
        <f aca="false">IF($W268="","",INDEX(发票统计!C$4:C$1003,$W268)&amp;"")</f>
        <v/>
      </c>
      <c r="D268" s="3" t="str">
        <f aca="false">IF($W268="","",INDEX(发票统计!D$4:D$1003,$W268)&amp;"")</f>
        <v/>
      </c>
      <c r="E268" s="56" t="str">
        <f aca="false">IF($W268="","",INDEX(发票统计!E$4:E$1003,$W268)&amp;"")</f>
        <v/>
      </c>
      <c r="F268" s="56" t="str">
        <f aca="false">IF($W268="","",INDEX(发票统计!F$4:F$1003,$W268)&amp;"")</f>
        <v/>
      </c>
      <c r="G268" s="68" t="str">
        <f aca="false">IF($W268="","",IF(INDEX(发票统计!G$4:G$1003,$W268)="","",INDEX(发票统计!G$4:G$1003,$W268)))</f>
        <v/>
      </c>
      <c r="H268" s="56" t="str">
        <f aca="false">IF($W268="","",N(INDEX(发票统计!H$4:H$1003,$W268)))</f>
        <v/>
      </c>
      <c r="I268" s="56" t="str">
        <f aca="false">IF($W268="","",N(INDEX(发票统计!I$4:I$1003,$W268)))</f>
        <v/>
      </c>
      <c r="J268" s="56" t="str">
        <f aca="false">IF($W268="","",N(INDEX(发票统计!J$4:J$1003,$W268)))</f>
        <v/>
      </c>
      <c r="K268" s="56" t="str">
        <f aca="false">IF($W268="","",N(INDEX(发票统计!K$4:K$1003,$W268)))</f>
        <v/>
      </c>
      <c r="L268" s="56" t="str">
        <f aca="false">IF($W268="","",SUM(J$4:J268)-SUM(K$4:K268))</f>
        <v/>
      </c>
      <c r="M268" s="56" t="str">
        <f aca="false">IF($W268="","",N(INDEX(发票统计!M$4:M$1003,$W268)))</f>
        <v/>
      </c>
      <c r="N268" s="56" t="str">
        <f aca="false">IF($W268="","",N(INDEX(发票统计!N$4:N$1003,$W268)))</f>
        <v/>
      </c>
      <c r="O268" s="56" t="str">
        <f aca="false">IF($W268="","",N(INDEX(发票统计!O$4:O$1003,$W268)))</f>
        <v/>
      </c>
      <c r="P268" s="56" t="str">
        <f aca="false">IF($W268="","",SUM(M$4:M268)-SUM(N$4:N268)-SUM(O$4:O268))</f>
        <v/>
      </c>
      <c r="Q268" s="56" t="str">
        <f aca="false">IF($W268="","",N(INDEX(发票统计!Q$4:Q$1003,$W268)))</f>
        <v/>
      </c>
      <c r="R268" s="56" t="str">
        <f aca="false">IF($W268="","",N(INDEX(发票统计!R$4:R$1003,$W268)))</f>
        <v/>
      </c>
      <c r="S268" s="56" t="str">
        <f aca="false">IF($W268="","",N(INDEX(发票统计!S$4:S$1003,$W268)))</f>
        <v/>
      </c>
      <c r="T268" s="56" t="str">
        <f aca="false">IF($W268="","",SUM(Q$4:Q268)-SUM(R$4:R268)-SUM(S$4:S268))</f>
        <v/>
      </c>
      <c r="U268" s="56" t="str">
        <f aca="false">IF($W268="","",INDEX(发票统计!U$4:U$1003,$W268)&amp;"")</f>
        <v/>
      </c>
      <c r="W268" s="1" t="str">
        <f aca="false">IF($V$3="","",IFERROR(MATCH($V$3&amp;"#"&amp;ROWS(W$4:W268),发票统计!$W$4:$W$1003,0),""))</f>
        <v/>
      </c>
    </row>
    <row r="269" customFormat="false" ht="16.5" hidden="false" customHeight="false" outlineLevel="0" collapsed="false">
      <c r="A269" s="3" t="str">
        <f aca="false">IF($W269="","",INDEX(发票统计!A$4:A$1003,$W269)&amp;"")</f>
        <v/>
      </c>
      <c r="B269" s="3" t="str">
        <f aca="false">IF($W269="","",INDEX(发票统计!B$4:B$1003,$W269)&amp;"")</f>
        <v/>
      </c>
      <c r="C269" s="3" t="str">
        <f aca="false">IF($W269="","",INDEX(发票统计!C$4:C$1003,$W269)&amp;"")</f>
        <v/>
      </c>
      <c r="D269" s="3" t="str">
        <f aca="false">IF($W269="","",INDEX(发票统计!D$4:D$1003,$W269)&amp;"")</f>
        <v/>
      </c>
      <c r="E269" s="56" t="str">
        <f aca="false">IF($W269="","",INDEX(发票统计!E$4:E$1003,$W269)&amp;"")</f>
        <v/>
      </c>
      <c r="F269" s="56" t="str">
        <f aca="false">IF($W269="","",INDEX(发票统计!F$4:F$1003,$W269)&amp;"")</f>
        <v/>
      </c>
      <c r="G269" s="68" t="str">
        <f aca="false">IF($W269="","",IF(INDEX(发票统计!G$4:G$1003,$W269)="","",INDEX(发票统计!G$4:G$1003,$W269)))</f>
        <v/>
      </c>
      <c r="H269" s="56" t="str">
        <f aca="false">IF($W269="","",N(INDEX(发票统计!H$4:H$1003,$W269)))</f>
        <v/>
      </c>
      <c r="I269" s="56" t="str">
        <f aca="false">IF($W269="","",N(INDEX(发票统计!I$4:I$1003,$W269)))</f>
        <v/>
      </c>
      <c r="J269" s="56" t="str">
        <f aca="false">IF($W269="","",N(INDEX(发票统计!J$4:J$1003,$W269)))</f>
        <v/>
      </c>
      <c r="K269" s="56" t="str">
        <f aca="false">IF($W269="","",N(INDEX(发票统计!K$4:K$1003,$W269)))</f>
        <v/>
      </c>
      <c r="L269" s="56" t="str">
        <f aca="false">IF($W269="","",SUM(J$4:J269)-SUM(K$4:K269))</f>
        <v/>
      </c>
      <c r="M269" s="56" t="str">
        <f aca="false">IF($W269="","",N(INDEX(发票统计!M$4:M$1003,$W269)))</f>
        <v/>
      </c>
      <c r="N269" s="56" t="str">
        <f aca="false">IF($W269="","",N(INDEX(发票统计!N$4:N$1003,$W269)))</f>
        <v/>
      </c>
      <c r="O269" s="56" t="str">
        <f aca="false">IF($W269="","",N(INDEX(发票统计!O$4:O$1003,$W269)))</f>
        <v/>
      </c>
      <c r="P269" s="56" t="str">
        <f aca="false">IF($W269="","",SUM(M$4:M269)-SUM(N$4:N269)-SUM(O$4:O269))</f>
        <v/>
      </c>
      <c r="Q269" s="56" t="str">
        <f aca="false">IF($W269="","",N(INDEX(发票统计!Q$4:Q$1003,$W269)))</f>
        <v/>
      </c>
      <c r="R269" s="56" t="str">
        <f aca="false">IF($W269="","",N(INDEX(发票统计!R$4:R$1003,$W269)))</f>
        <v/>
      </c>
      <c r="S269" s="56" t="str">
        <f aca="false">IF($W269="","",N(INDEX(发票统计!S$4:S$1003,$W269)))</f>
        <v/>
      </c>
      <c r="T269" s="56" t="str">
        <f aca="false">IF($W269="","",SUM(Q$4:Q269)-SUM(R$4:R269)-SUM(S$4:S269))</f>
        <v/>
      </c>
      <c r="U269" s="56" t="str">
        <f aca="false">IF($W269="","",INDEX(发票统计!U$4:U$1003,$W269)&amp;"")</f>
        <v/>
      </c>
      <c r="W269" s="1" t="str">
        <f aca="false">IF($V$3="","",IFERROR(MATCH($V$3&amp;"#"&amp;ROWS(W$4:W269),发票统计!$W$4:$W$1003,0),""))</f>
        <v/>
      </c>
    </row>
    <row r="270" customFormat="false" ht="16.5" hidden="false" customHeight="false" outlineLevel="0" collapsed="false">
      <c r="A270" s="3" t="str">
        <f aca="false">IF($W270="","",INDEX(发票统计!A$4:A$1003,$W270)&amp;"")</f>
        <v/>
      </c>
      <c r="B270" s="3" t="str">
        <f aca="false">IF($W270="","",INDEX(发票统计!B$4:B$1003,$W270)&amp;"")</f>
        <v/>
      </c>
      <c r="C270" s="3" t="str">
        <f aca="false">IF($W270="","",INDEX(发票统计!C$4:C$1003,$W270)&amp;"")</f>
        <v/>
      </c>
      <c r="D270" s="3" t="str">
        <f aca="false">IF($W270="","",INDEX(发票统计!D$4:D$1003,$W270)&amp;"")</f>
        <v/>
      </c>
      <c r="E270" s="56" t="str">
        <f aca="false">IF($W270="","",INDEX(发票统计!E$4:E$1003,$W270)&amp;"")</f>
        <v/>
      </c>
      <c r="F270" s="56" t="str">
        <f aca="false">IF($W270="","",INDEX(发票统计!F$4:F$1003,$W270)&amp;"")</f>
        <v/>
      </c>
      <c r="G270" s="68" t="str">
        <f aca="false">IF($W270="","",IF(INDEX(发票统计!G$4:G$1003,$W270)="","",INDEX(发票统计!G$4:G$1003,$W270)))</f>
        <v/>
      </c>
      <c r="H270" s="56" t="str">
        <f aca="false">IF($W270="","",N(INDEX(发票统计!H$4:H$1003,$W270)))</f>
        <v/>
      </c>
      <c r="I270" s="56" t="str">
        <f aca="false">IF($W270="","",N(INDEX(发票统计!I$4:I$1003,$W270)))</f>
        <v/>
      </c>
      <c r="J270" s="56" t="str">
        <f aca="false">IF($W270="","",N(INDEX(发票统计!J$4:J$1003,$W270)))</f>
        <v/>
      </c>
      <c r="K270" s="56" t="str">
        <f aca="false">IF($W270="","",N(INDEX(发票统计!K$4:K$1003,$W270)))</f>
        <v/>
      </c>
      <c r="L270" s="56" t="str">
        <f aca="false">IF($W270="","",SUM(J$4:J270)-SUM(K$4:K270))</f>
        <v/>
      </c>
      <c r="M270" s="56" t="str">
        <f aca="false">IF($W270="","",N(INDEX(发票统计!M$4:M$1003,$W270)))</f>
        <v/>
      </c>
      <c r="N270" s="56" t="str">
        <f aca="false">IF($W270="","",N(INDEX(发票统计!N$4:N$1003,$W270)))</f>
        <v/>
      </c>
      <c r="O270" s="56" t="str">
        <f aca="false">IF($W270="","",N(INDEX(发票统计!O$4:O$1003,$W270)))</f>
        <v/>
      </c>
      <c r="P270" s="56" t="str">
        <f aca="false">IF($W270="","",SUM(M$4:M270)-SUM(N$4:N270)-SUM(O$4:O270))</f>
        <v/>
      </c>
      <c r="Q270" s="56" t="str">
        <f aca="false">IF($W270="","",N(INDEX(发票统计!Q$4:Q$1003,$W270)))</f>
        <v/>
      </c>
      <c r="R270" s="56" t="str">
        <f aca="false">IF($W270="","",N(INDEX(发票统计!R$4:R$1003,$W270)))</f>
        <v/>
      </c>
      <c r="S270" s="56" t="str">
        <f aca="false">IF($W270="","",N(INDEX(发票统计!S$4:S$1003,$W270)))</f>
        <v/>
      </c>
      <c r="T270" s="56" t="str">
        <f aca="false">IF($W270="","",SUM(Q$4:Q270)-SUM(R$4:R270)-SUM(S$4:S270))</f>
        <v/>
      </c>
      <c r="U270" s="56" t="str">
        <f aca="false">IF($W270="","",INDEX(发票统计!U$4:U$1003,$W270)&amp;"")</f>
        <v/>
      </c>
      <c r="W270" s="1" t="str">
        <f aca="false">IF($V$3="","",IFERROR(MATCH($V$3&amp;"#"&amp;ROWS(W$4:W270),发票统计!$W$4:$W$1003,0),""))</f>
        <v/>
      </c>
    </row>
    <row r="271" customFormat="false" ht="16.5" hidden="false" customHeight="false" outlineLevel="0" collapsed="false">
      <c r="A271" s="3" t="str">
        <f aca="false">IF($W271="","",INDEX(发票统计!A$4:A$1003,$W271)&amp;"")</f>
        <v/>
      </c>
      <c r="B271" s="3" t="str">
        <f aca="false">IF($W271="","",INDEX(发票统计!B$4:B$1003,$W271)&amp;"")</f>
        <v/>
      </c>
      <c r="C271" s="3" t="str">
        <f aca="false">IF($W271="","",INDEX(发票统计!C$4:C$1003,$W271)&amp;"")</f>
        <v/>
      </c>
      <c r="D271" s="3" t="str">
        <f aca="false">IF($W271="","",INDEX(发票统计!D$4:D$1003,$W271)&amp;"")</f>
        <v/>
      </c>
      <c r="E271" s="56" t="str">
        <f aca="false">IF($W271="","",INDEX(发票统计!E$4:E$1003,$W271)&amp;"")</f>
        <v/>
      </c>
      <c r="F271" s="56" t="str">
        <f aca="false">IF($W271="","",INDEX(发票统计!F$4:F$1003,$W271)&amp;"")</f>
        <v/>
      </c>
      <c r="G271" s="68" t="str">
        <f aca="false">IF($W271="","",IF(INDEX(发票统计!G$4:G$1003,$W271)="","",INDEX(发票统计!G$4:G$1003,$W271)))</f>
        <v/>
      </c>
      <c r="H271" s="56" t="str">
        <f aca="false">IF($W271="","",N(INDEX(发票统计!H$4:H$1003,$W271)))</f>
        <v/>
      </c>
      <c r="I271" s="56" t="str">
        <f aca="false">IF($W271="","",N(INDEX(发票统计!I$4:I$1003,$W271)))</f>
        <v/>
      </c>
      <c r="J271" s="56" t="str">
        <f aca="false">IF($W271="","",N(INDEX(发票统计!J$4:J$1003,$W271)))</f>
        <v/>
      </c>
      <c r="K271" s="56" t="str">
        <f aca="false">IF($W271="","",N(INDEX(发票统计!K$4:K$1003,$W271)))</f>
        <v/>
      </c>
      <c r="L271" s="56" t="str">
        <f aca="false">IF($W271="","",SUM(J$4:J271)-SUM(K$4:K271))</f>
        <v/>
      </c>
      <c r="M271" s="56" t="str">
        <f aca="false">IF($W271="","",N(INDEX(发票统计!M$4:M$1003,$W271)))</f>
        <v/>
      </c>
      <c r="N271" s="56" t="str">
        <f aca="false">IF($W271="","",N(INDEX(发票统计!N$4:N$1003,$W271)))</f>
        <v/>
      </c>
      <c r="O271" s="56" t="str">
        <f aca="false">IF($W271="","",N(INDEX(发票统计!O$4:O$1003,$W271)))</f>
        <v/>
      </c>
      <c r="P271" s="56" t="str">
        <f aca="false">IF($W271="","",SUM(M$4:M271)-SUM(N$4:N271)-SUM(O$4:O271))</f>
        <v/>
      </c>
      <c r="Q271" s="56" t="str">
        <f aca="false">IF($W271="","",N(INDEX(发票统计!Q$4:Q$1003,$W271)))</f>
        <v/>
      </c>
      <c r="R271" s="56" t="str">
        <f aca="false">IF($W271="","",N(INDEX(发票统计!R$4:R$1003,$W271)))</f>
        <v/>
      </c>
      <c r="S271" s="56" t="str">
        <f aca="false">IF($W271="","",N(INDEX(发票统计!S$4:S$1003,$W271)))</f>
        <v/>
      </c>
      <c r="T271" s="56" t="str">
        <f aca="false">IF($W271="","",SUM(Q$4:Q271)-SUM(R$4:R271)-SUM(S$4:S271))</f>
        <v/>
      </c>
      <c r="U271" s="56" t="str">
        <f aca="false">IF($W271="","",INDEX(发票统计!U$4:U$1003,$W271)&amp;"")</f>
        <v/>
      </c>
      <c r="W271" s="1" t="str">
        <f aca="false">IF($V$3="","",IFERROR(MATCH($V$3&amp;"#"&amp;ROWS(W$4:W271),发票统计!$W$4:$W$1003,0),""))</f>
        <v/>
      </c>
    </row>
    <row r="272" customFormat="false" ht="16.5" hidden="false" customHeight="false" outlineLevel="0" collapsed="false">
      <c r="A272" s="3" t="str">
        <f aca="false">IF($W272="","",INDEX(发票统计!A$4:A$1003,$W272)&amp;"")</f>
        <v/>
      </c>
      <c r="B272" s="3" t="str">
        <f aca="false">IF($W272="","",INDEX(发票统计!B$4:B$1003,$W272)&amp;"")</f>
        <v/>
      </c>
      <c r="C272" s="3" t="str">
        <f aca="false">IF($W272="","",INDEX(发票统计!C$4:C$1003,$W272)&amp;"")</f>
        <v/>
      </c>
      <c r="D272" s="3" t="str">
        <f aca="false">IF($W272="","",INDEX(发票统计!D$4:D$1003,$W272)&amp;"")</f>
        <v/>
      </c>
      <c r="E272" s="56" t="str">
        <f aca="false">IF($W272="","",INDEX(发票统计!E$4:E$1003,$W272)&amp;"")</f>
        <v/>
      </c>
      <c r="F272" s="56" t="str">
        <f aca="false">IF($W272="","",INDEX(发票统计!F$4:F$1003,$W272)&amp;"")</f>
        <v/>
      </c>
      <c r="G272" s="68" t="str">
        <f aca="false">IF($W272="","",IF(INDEX(发票统计!G$4:G$1003,$W272)="","",INDEX(发票统计!G$4:G$1003,$W272)))</f>
        <v/>
      </c>
      <c r="H272" s="56" t="str">
        <f aca="false">IF($W272="","",N(INDEX(发票统计!H$4:H$1003,$W272)))</f>
        <v/>
      </c>
      <c r="I272" s="56" t="str">
        <f aca="false">IF($W272="","",N(INDEX(发票统计!I$4:I$1003,$W272)))</f>
        <v/>
      </c>
      <c r="J272" s="56" t="str">
        <f aca="false">IF($W272="","",N(INDEX(发票统计!J$4:J$1003,$W272)))</f>
        <v/>
      </c>
      <c r="K272" s="56" t="str">
        <f aca="false">IF($W272="","",N(INDEX(发票统计!K$4:K$1003,$W272)))</f>
        <v/>
      </c>
      <c r="L272" s="56" t="str">
        <f aca="false">IF($W272="","",SUM(J$4:J272)-SUM(K$4:K272))</f>
        <v/>
      </c>
      <c r="M272" s="56" t="str">
        <f aca="false">IF($W272="","",N(INDEX(发票统计!M$4:M$1003,$W272)))</f>
        <v/>
      </c>
      <c r="N272" s="56" t="str">
        <f aca="false">IF($W272="","",N(INDEX(发票统计!N$4:N$1003,$W272)))</f>
        <v/>
      </c>
      <c r="O272" s="56" t="str">
        <f aca="false">IF($W272="","",N(INDEX(发票统计!O$4:O$1003,$W272)))</f>
        <v/>
      </c>
      <c r="P272" s="56" t="str">
        <f aca="false">IF($W272="","",SUM(M$4:M272)-SUM(N$4:N272)-SUM(O$4:O272))</f>
        <v/>
      </c>
      <c r="Q272" s="56" t="str">
        <f aca="false">IF($W272="","",N(INDEX(发票统计!Q$4:Q$1003,$W272)))</f>
        <v/>
      </c>
      <c r="R272" s="56" t="str">
        <f aca="false">IF($W272="","",N(INDEX(发票统计!R$4:R$1003,$W272)))</f>
        <v/>
      </c>
      <c r="S272" s="56" t="str">
        <f aca="false">IF($W272="","",N(INDEX(发票统计!S$4:S$1003,$W272)))</f>
        <v/>
      </c>
      <c r="T272" s="56" t="str">
        <f aca="false">IF($W272="","",SUM(Q$4:Q272)-SUM(R$4:R272)-SUM(S$4:S272))</f>
        <v/>
      </c>
      <c r="U272" s="56" t="str">
        <f aca="false">IF($W272="","",INDEX(发票统计!U$4:U$1003,$W272)&amp;"")</f>
        <v/>
      </c>
      <c r="W272" s="1" t="str">
        <f aca="false">IF($V$3="","",IFERROR(MATCH($V$3&amp;"#"&amp;ROWS(W$4:W272),发票统计!$W$4:$W$1003,0),""))</f>
        <v/>
      </c>
    </row>
    <row r="273" customFormat="false" ht="16.5" hidden="false" customHeight="false" outlineLevel="0" collapsed="false">
      <c r="A273" s="3" t="str">
        <f aca="false">IF($W273="","",INDEX(发票统计!A$4:A$1003,$W273)&amp;"")</f>
        <v/>
      </c>
      <c r="B273" s="3" t="str">
        <f aca="false">IF($W273="","",INDEX(发票统计!B$4:B$1003,$W273)&amp;"")</f>
        <v/>
      </c>
      <c r="C273" s="3" t="str">
        <f aca="false">IF($W273="","",INDEX(发票统计!C$4:C$1003,$W273)&amp;"")</f>
        <v/>
      </c>
      <c r="D273" s="3" t="str">
        <f aca="false">IF($W273="","",INDEX(发票统计!D$4:D$1003,$W273)&amp;"")</f>
        <v/>
      </c>
      <c r="E273" s="56" t="str">
        <f aca="false">IF($W273="","",INDEX(发票统计!E$4:E$1003,$W273)&amp;"")</f>
        <v/>
      </c>
      <c r="F273" s="56" t="str">
        <f aca="false">IF($W273="","",INDEX(发票统计!F$4:F$1003,$W273)&amp;"")</f>
        <v/>
      </c>
      <c r="G273" s="68" t="str">
        <f aca="false">IF($W273="","",IF(INDEX(发票统计!G$4:G$1003,$W273)="","",INDEX(发票统计!G$4:G$1003,$W273)))</f>
        <v/>
      </c>
      <c r="H273" s="56" t="str">
        <f aca="false">IF($W273="","",N(INDEX(发票统计!H$4:H$1003,$W273)))</f>
        <v/>
      </c>
      <c r="I273" s="56" t="str">
        <f aca="false">IF($W273="","",N(INDEX(发票统计!I$4:I$1003,$W273)))</f>
        <v/>
      </c>
      <c r="J273" s="56" t="str">
        <f aca="false">IF($W273="","",N(INDEX(发票统计!J$4:J$1003,$W273)))</f>
        <v/>
      </c>
      <c r="K273" s="56" t="str">
        <f aca="false">IF($W273="","",N(INDEX(发票统计!K$4:K$1003,$W273)))</f>
        <v/>
      </c>
      <c r="L273" s="56" t="str">
        <f aca="false">IF($W273="","",SUM(J$4:J273)-SUM(K$4:K273))</f>
        <v/>
      </c>
      <c r="M273" s="56" t="str">
        <f aca="false">IF($W273="","",N(INDEX(发票统计!M$4:M$1003,$W273)))</f>
        <v/>
      </c>
      <c r="N273" s="56" t="str">
        <f aca="false">IF($W273="","",N(INDEX(发票统计!N$4:N$1003,$W273)))</f>
        <v/>
      </c>
      <c r="O273" s="56" t="str">
        <f aca="false">IF($W273="","",N(INDEX(发票统计!O$4:O$1003,$W273)))</f>
        <v/>
      </c>
      <c r="P273" s="56" t="str">
        <f aca="false">IF($W273="","",SUM(M$4:M273)-SUM(N$4:N273)-SUM(O$4:O273))</f>
        <v/>
      </c>
      <c r="Q273" s="56" t="str">
        <f aca="false">IF($W273="","",N(INDEX(发票统计!Q$4:Q$1003,$W273)))</f>
        <v/>
      </c>
      <c r="R273" s="56" t="str">
        <f aca="false">IF($W273="","",N(INDEX(发票统计!R$4:R$1003,$W273)))</f>
        <v/>
      </c>
      <c r="S273" s="56" t="str">
        <f aca="false">IF($W273="","",N(INDEX(发票统计!S$4:S$1003,$W273)))</f>
        <v/>
      </c>
      <c r="T273" s="56" t="str">
        <f aca="false">IF($W273="","",SUM(Q$4:Q273)-SUM(R$4:R273)-SUM(S$4:S273))</f>
        <v/>
      </c>
      <c r="U273" s="56" t="str">
        <f aca="false">IF($W273="","",INDEX(发票统计!U$4:U$1003,$W273)&amp;"")</f>
        <v/>
      </c>
      <c r="W273" s="1" t="str">
        <f aca="false">IF($V$3="","",IFERROR(MATCH($V$3&amp;"#"&amp;ROWS(W$4:W273),发票统计!$W$4:$W$1003,0),""))</f>
        <v/>
      </c>
    </row>
    <row r="274" customFormat="false" ht="16.5" hidden="false" customHeight="false" outlineLevel="0" collapsed="false">
      <c r="A274" s="3" t="str">
        <f aca="false">IF($W274="","",INDEX(发票统计!A$4:A$1003,$W274)&amp;"")</f>
        <v/>
      </c>
      <c r="B274" s="3" t="str">
        <f aca="false">IF($W274="","",INDEX(发票统计!B$4:B$1003,$W274)&amp;"")</f>
        <v/>
      </c>
      <c r="C274" s="3" t="str">
        <f aca="false">IF($W274="","",INDEX(发票统计!C$4:C$1003,$W274)&amp;"")</f>
        <v/>
      </c>
      <c r="D274" s="3" t="str">
        <f aca="false">IF($W274="","",INDEX(发票统计!D$4:D$1003,$W274)&amp;"")</f>
        <v/>
      </c>
      <c r="E274" s="56" t="str">
        <f aca="false">IF($W274="","",INDEX(发票统计!E$4:E$1003,$W274)&amp;"")</f>
        <v/>
      </c>
      <c r="F274" s="56" t="str">
        <f aca="false">IF($W274="","",INDEX(发票统计!F$4:F$1003,$W274)&amp;"")</f>
        <v/>
      </c>
      <c r="G274" s="68" t="str">
        <f aca="false">IF($W274="","",IF(INDEX(发票统计!G$4:G$1003,$W274)="","",INDEX(发票统计!G$4:G$1003,$W274)))</f>
        <v/>
      </c>
      <c r="H274" s="56" t="str">
        <f aca="false">IF($W274="","",N(INDEX(发票统计!H$4:H$1003,$W274)))</f>
        <v/>
      </c>
      <c r="I274" s="56" t="str">
        <f aca="false">IF($W274="","",N(INDEX(发票统计!I$4:I$1003,$W274)))</f>
        <v/>
      </c>
      <c r="J274" s="56" t="str">
        <f aca="false">IF($W274="","",N(INDEX(发票统计!J$4:J$1003,$W274)))</f>
        <v/>
      </c>
      <c r="K274" s="56" t="str">
        <f aca="false">IF($W274="","",N(INDEX(发票统计!K$4:K$1003,$W274)))</f>
        <v/>
      </c>
      <c r="L274" s="56" t="str">
        <f aca="false">IF($W274="","",SUM(J$4:J274)-SUM(K$4:K274))</f>
        <v/>
      </c>
      <c r="M274" s="56" t="str">
        <f aca="false">IF($W274="","",N(INDEX(发票统计!M$4:M$1003,$W274)))</f>
        <v/>
      </c>
      <c r="N274" s="56" t="str">
        <f aca="false">IF($W274="","",N(INDEX(发票统计!N$4:N$1003,$W274)))</f>
        <v/>
      </c>
      <c r="O274" s="56" t="str">
        <f aca="false">IF($W274="","",N(INDEX(发票统计!O$4:O$1003,$W274)))</f>
        <v/>
      </c>
      <c r="P274" s="56" t="str">
        <f aca="false">IF($W274="","",SUM(M$4:M274)-SUM(N$4:N274)-SUM(O$4:O274))</f>
        <v/>
      </c>
      <c r="Q274" s="56" t="str">
        <f aca="false">IF($W274="","",N(INDEX(发票统计!Q$4:Q$1003,$W274)))</f>
        <v/>
      </c>
      <c r="R274" s="56" t="str">
        <f aca="false">IF($W274="","",N(INDEX(发票统计!R$4:R$1003,$W274)))</f>
        <v/>
      </c>
      <c r="S274" s="56" t="str">
        <f aca="false">IF($W274="","",N(INDEX(发票统计!S$4:S$1003,$W274)))</f>
        <v/>
      </c>
      <c r="T274" s="56" t="str">
        <f aca="false">IF($W274="","",SUM(Q$4:Q274)-SUM(R$4:R274)-SUM(S$4:S274))</f>
        <v/>
      </c>
      <c r="U274" s="56" t="str">
        <f aca="false">IF($W274="","",INDEX(发票统计!U$4:U$1003,$W274)&amp;"")</f>
        <v/>
      </c>
      <c r="W274" s="1" t="str">
        <f aca="false">IF($V$3="","",IFERROR(MATCH($V$3&amp;"#"&amp;ROWS(W$4:W274),发票统计!$W$4:$W$1003,0),""))</f>
        <v/>
      </c>
    </row>
    <row r="275" customFormat="false" ht="16.5" hidden="false" customHeight="false" outlineLevel="0" collapsed="false">
      <c r="A275" s="3" t="str">
        <f aca="false">IF($W275="","",INDEX(发票统计!A$4:A$1003,$W275)&amp;"")</f>
        <v/>
      </c>
      <c r="B275" s="3" t="str">
        <f aca="false">IF($W275="","",INDEX(发票统计!B$4:B$1003,$W275)&amp;"")</f>
        <v/>
      </c>
      <c r="C275" s="3" t="str">
        <f aca="false">IF($W275="","",INDEX(发票统计!C$4:C$1003,$W275)&amp;"")</f>
        <v/>
      </c>
      <c r="D275" s="3" t="str">
        <f aca="false">IF($W275="","",INDEX(发票统计!D$4:D$1003,$W275)&amp;"")</f>
        <v/>
      </c>
      <c r="E275" s="56" t="str">
        <f aca="false">IF($W275="","",INDEX(发票统计!E$4:E$1003,$W275)&amp;"")</f>
        <v/>
      </c>
      <c r="F275" s="56" t="str">
        <f aca="false">IF($W275="","",INDEX(发票统计!F$4:F$1003,$W275)&amp;"")</f>
        <v/>
      </c>
      <c r="G275" s="68" t="str">
        <f aca="false">IF($W275="","",IF(INDEX(发票统计!G$4:G$1003,$W275)="","",INDEX(发票统计!G$4:G$1003,$W275)))</f>
        <v/>
      </c>
      <c r="H275" s="56" t="str">
        <f aca="false">IF($W275="","",N(INDEX(发票统计!H$4:H$1003,$W275)))</f>
        <v/>
      </c>
      <c r="I275" s="56" t="str">
        <f aca="false">IF($W275="","",N(INDEX(发票统计!I$4:I$1003,$W275)))</f>
        <v/>
      </c>
      <c r="J275" s="56" t="str">
        <f aca="false">IF($W275="","",N(INDEX(发票统计!J$4:J$1003,$W275)))</f>
        <v/>
      </c>
      <c r="K275" s="56" t="str">
        <f aca="false">IF($W275="","",N(INDEX(发票统计!K$4:K$1003,$W275)))</f>
        <v/>
      </c>
      <c r="L275" s="56" t="str">
        <f aca="false">IF($W275="","",SUM(J$4:J275)-SUM(K$4:K275))</f>
        <v/>
      </c>
      <c r="M275" s="56" t="str">
        <f aca="false">IF($W275="","",N(INDEX(发票统计!M$4:M$1003,$W275)))</f>
        <v/>
      </c>
      <c r="N275" s="56" t="str">
        <f aca="false">IF($W275="","",N(INDEX(发票统计!N$4:N$1003,$W275)))</f>
        <v/>
      </c>
      <c r="O275" s="56" t="str">
        <f aca="false">IF($W275="","",N(INDEX(发票统计!O$4:O$1003,$W275)))</f>
        <v/>
      </c>
      <c r="P275" s="56" t="str">
        <f aca="false">IF($W275="","",SUM(M$4:M275)-SUM(N$4:N275)-SUM(O$4:O275))</f>
        <v/>
      </c>
      <c r="Q275" s="56" t="str">
        <f aca="false">IF($W275="","",N(INDEX(发票统计!Q$4:Q$1003,$W275)))</f>
        <v/>
      </c>
      <c r="R275" s="56" t="str">
        <f aca="false">IF($W275="","",N(INDEX(发票统计!R$4:R$1003,$W275)))</f>
        <v/>
      </c>
      <c r="S275" s="56" t="str">
        <f aca="false">IF($W275="","",N(INDEX(发票统计!S$4:S$1003,$W275)))</f>
        <v/>
      </c>
      <c r="T275" s="56" t="str">
        <f aca="false">IF($W275="","",SUM(Q$4:Q275)-SUM(R$4:R275)-SUM(S$4:S275))</f>
        <v/>
      </c>
      <c r="U275" s="56" t="str">
        <f aca="false">IF($W275="","",INDEX(发票统计!U$4:U$1003,$W275)&amp;"")</f>
        <v/>
      </c>
      <c r="W275" s="1" t="str">
        <f aca="false">IF($V$3="","",IFERROR(MATCH($V$3&amp;"#"&amp;ROWS(W$4:W275),发票统计!$W$4:$W$1003,0),""))</f>
        <v/>
      </c>
    </row>
    <row r="276" customFormat="false" ht="16.5" hidden="false" customHeight="false" outlineLevel="0" collapsed="false">
      <c r="A276" s="3" t="str">
        <f aca="false">IF($W276="","",INDEX(发票统计!A$4:A$1003,$W276)&amp;"")</f>
        <v/>
      </c>
      <c r="B276" s="3" t="str">
        <f aca="false">IF($W276="","",INDEX(发票统计!B$4:B$1003,$W276)&amp;"")</f>
        <v/>
      </c>
      <c r="C276" s="3" t="str">
        <f aca="false">IF($W276="","",INDEX(发票统计!C$4:C$1003,$W276)&amp;"")</f>
        <v/>
      </c>
      <c r="D276" s="3" t="str">
        <f aca="false">IF($W276="","",INDEX(发票统计!D$4:D$1003,$W276)&amp;"")</f>
        <v/>
      </c>
      <c r="E276" s="56" t="str">
        <f aca="false">IF($W276="","",INDEX(发票统计!E$4:E$1003,$W276)&amp;"")</f>
        <v/>
      </c>
      <c r="F276" s="56" t="str">
        <f aca="false">IF($W276="","",INDEX(发票统计!F$4:F$1003,$W276)&amp;"")</f>
        <v/>
      </c>
      <c r="G276" s="68" t="str">
        <f aca="false">IF($W276="","",IF(INDEX(发票统计!G$4:G$1003,$W276)="","",INDEX(发票统计!G$4:G$1003,$W276)))</f>
        <v/>
      </c>
      <c r="H276" s="56" t="str">
        <f aca="false">IF($W276="","",N(INDEX(发票统计!H$4:H$1003,$W276)))</f>
        <v/>
      </c>
      <c r="I276" s="56" t="str">
        <f aca="false">IF($W276="","",N(INDEX(发票统计!I$4:I$1003,$W276)))</f>
        <v/>
      </c>
      <c r="J276" s="56" t="str">
        <f aca="false">IF($W276="","",N(INDEX(发票统计!J$4:J$1003,$W276)))</f>
        <v/>
      </c>
      <c r="K276" s="56" t="str">
        <f aca="false">IF($W276="","",N(INDEX(发票统计!K$4:K$1003,$W276)))</f>
        <v/>
      </c>
      <c r="L276" s="56" t="str">
        <f aca="false">IF($W276="","",SUM(J$4:J276)-SUM(K$4:K276))</f>
        <v/>
      </c>
      <c r="M276" s="56" t="str">
        <f aca="false">IF($W276="","",N(INDEX(发票统计!M$4:M$1003,$W276)))</f>
        <v/>
      </c>
      <c r="N276" s="56" t="str">
        <f aca="false">IF($W276="","",N(INDEX(发票统计!N$4:N$1003,$W276)))</f>
        <v/>
      </c>
      <c r="O276" s="56" t="str">
        <f aca="false">IF($W276="","",N(INDEX(发票统计!O$4:O$1003,$W276)))</f>
        <v/>
      </c>
      <c r="P276" s="56" t="str">
        <f aca="false">IF($W276="","",SUM(M$4:M276)-SUM(N$4:N276)-SUM(O$4:O276))</f>
        <v/>
      </c>
      <c r="Q276" s="56" t="str">
        <f aca="false">IF($W276="","",N(INDEX(发票统计!Q$4:Q$1003,$W276)))</f>
        <v/>
      </c>
      <c r="R276" s="56" t="str">
        <f aca="false">IF($W276="","",N(INDEX(发票统计!R$4:R$1003,$W276)))</f>
        <v/>
      </c>
      <c r="S276" s="56" t="str">
        <f aca="false">IF($W276="","",N(INDEX(发票统计!S$4:S$1003,$W276)))</f>
        <v/>
      </c>
      <c r="T276" s="56" t="str">
        <f aca="false">IF($W276="","",SUM(Q$4:Q276)-SUM(R$4:R276)-SUM(S$4:S276))</f>
        <v/>
      </c>
      <c r="U276" s="56" t="str">
        <f aca="false">IF($W276="","",INDEX(发票统计!U$4:U$1003,$W276)&amp;"")</f>
        <v/>
      </c>
      <c r="W276" s="1" t="str">
        <f aca="false">IF($V$3="","",IFERROR(MATCH($V$3&amp;"#"&amp;ROWS(W$4:W276),发票统计!$W$4:$W$1003,0),""))</f>
        <v/>
      </c>
    </row>
    <row r="277" customFormat="false" ht="16.5" hidden="false" customHeight="false" outlineLevel="0" collapsed="false">
      <c r="A277" s="3" t="str">
        <f aca="false">IF($W277="","",INDEX(发票统计!A$4:A$1003,$W277)&amp;"")</f>
        <v/>
      </c>
      <c r="B277" s="3" t="str">
        <f aca="false">IF($W277="","",INDEX(发票统计!B$4:B$1003,$W277)&amp;"")</f>
        <v/>
      </c>
      <c r="C277" s="3" t="str">
        <f aca="false">IF($W277="","",INDEX(发票统计!C$4:C$1003,$W277)&amp;"")</f>
        <v/>
      </c>
      <c r="D277" s="3" t="str">
        <f aca="false">IF($W277="","",INDEX(发票统计!D$4:D$1003,$W277)&amp;"")</f>
        <v/>
      </c>
      <c r="E277" s="56" t="str">
        <f aca="false">IF($W277="","",INDEX(发票统计!E$4:E$1003,$W277)&amp;"")</f>
        <v/>
      </c>
      <c r="F277" s="56" t="str">
        <f aca="false">IF($W277="","",INDEX(发票统计!F$4:F$1003,$W277)&amp;"")</f>
        <v/>
      </c>
      <c r="G277" s="68" t="str">
        <f aca="false">IF($W277="","",IF(INDEX(发票统计!G$4:G$1003,$W277)="","",INDEX(发票统计!G$4:G$1003,$W277)))</f>
        <v/>
      </c>
      <c r="H277" s="56" t="str">
        <f aca="false">IF($W277="","",N(INDEX(发票统计!H$4:H$1003,$W277)))</f>
        <v/>
      </c>
      <c r="I277" s="56" t="str">
        <f aca="false">IF($W277="","",N(INDEX(发票统计!I$4:I$1003,$W277)))</f>
        <v/>
      </c>
      <c r="J277" s="56" t="str">
        <f aca="false">IF($W277="","",N(INDEX(发票统计!J$4:J$1003,$W277)))</f>
        <v/>
      </c>
      <c r="K277" s="56" t="str">
        <f aca="false">IF($W277="","",N(INDEX(发票统计!K$4:K$1003,$W277)))</f>
        <v/>
      </c>
      <c r="L277" s="56" t="str">
        <f aca="false">IF($W277="","",SUM(J$4:J277)-SUM(K$4:K277))</f>
        <v/>
      </c>
      <c r="M277" s="56" t="str">
        <f aca="false">IF($W277="","",N(INDEX(发票统计!M$4:M$1003,$W277)))</f>
        <v/>
      </c>
      <c r="N277" s="56" t="str">
        <f aca="false">IF($W277="","",N(INDEX(发票统计!N$4:N$1003,$W277)))</f>
        <v/>
      </c>
      <c r="O277" s="56" t="str">
        <f aca="false">IF($W277="","",N(INDEX(发票统计!O$4:O$1003,$W277)))</f>
        <v/>
      </c>
      <c r="P277" s="56" t="str">
        <f aca="false">IF($W277="","",SUM(M$4:M277)-SUM(N$4:N277)-SUM(O$4:O277))</f>
        <v/>
      </c>
      <c r="Q277" s="56" t="str">
        <f aca="false">IF($W277="","",N(INDEX(发票统计!Q$4:Q$1003,$W277)))</f>
        <v/>
      </c>
      <c r="R277" s="56" t="str">
        <f aca="false">IF($W277="","",N(INDEX(发票统计!R$4:R$1003,$W277)))</f>
        <v/>
      </c>
      <c r="S277" s="56" t="str">
        <f aca="false">IF($W277="","",N(INDEX(发票统计!S$4:S$1003,$W277)))</f>
        <v/>
      </c>
      <c r="T277" s="56" t="str">
        <f aca="false">IF($W277="","",SUM(Q$4:Q277)-SUM(R$4:R277)-SUM(S$4:S277))</f>
        <v/>
      </c>
      <c r="U277" s="56" t="str">
        <f aca="false">IF($W277="","",INDEX(发票统计!U$4:U$1003,$W277)&amp;"")</f>
        <v/>
      </c>
      <c r="W277" s="1" t="str">
        <f aca="false">IF($V$3="","",IFERROR(MATCH($V$3&amp;"#"&amp;ROWS(W$4:W277),发票统计!$W$4:$W$1003,0),""))</f>
        <v/>
      </c>
    </row>
    <row r="278" customFormat="false" ht="16.5" hidden="false" customHeight="false" outlineLevel="0" collapsed="false">
      <c r="A278" s="3" t="str">
        <f aca="false">IF($W278="","",INDEX(发票统计!A$4:A$1003,$W278)&amp;"")</f>
        <v/>
      </c>
      <c r="B278" s="3" t="str">
        <f aca="false">IF($W278="","",INDEX(发票统计!B$4:B$1003,$W278)&amp;"")</f>
        <v/>
      </c>
      <c r="C278" s="3" t="str">
        <f aca="false">IF($W278="","",INDEX(发票统计!C$4:C$1003,$W278)&amp;"")</f>
        <v/>
      </c>
      <c r="D278" s="3" t="str">
        <f aca="false">IF($W278="","",INDEX(发票统计!D$4:D$1003,$W278)&amp;"")</f>
        <v/>
      </c>
      <c r="E278" s="56" t="str">
        <f aca="false">IF($W278="","",INDEX(发票统计!E$4:E$1003,$W278)&amp;"")</f>
        <v/>
      </c>
      <c r="F278" s="56" t="str">
        <f aca="false">IF($W278="","",INDEX(发票统计!F$4:F$1003,$W278)&amp;"")</f>
        <v/>
      </c>
      <c r="G278" s="68" t="str">
        <f aca="false">IF($W278="","",IF(INDEX(发票统计!G$4:G$1003,$W278)="","",INDEX(发票统计!G$4:G$1003,$W278)))</f>
        <v/>
      </c>
      <c r="H278" s="56" t="str">
        <f aca="false">IF($W278="","",N(INDEX(发票统计!H$4:H$1003,$W278)))</f>
        <v/>
      </c>
      <c r="I278" s="56" t="str">
        <f aca="false">IF($W278="","",N(INDEX(发票统计!I$4:I$1003,$W278)))</f>
        <v/>
      </c>
      <c r="J278" s="56" t="str">
        <f aca="false">IF($W278="","",N(INDEX(发票统计!J$4:J$1003,$W278)))</f>
        <v/>
      </c>
      <c r="K278" s="56" t="str">
        <f aca="false">IF($W278="","",N(INDEX(发票统计!K$4:K$1003,$W278)))</f>
        <v/>
      </c>
      <c r="L278" s="56" t="str">
        <f aca="false">IF($W278="","",SUM(J$4:J278)-SUM(K$4:K278))</f>
        <v/>
      </c>
      <c r="M278" s="56" t="str">
        <f aca="false">IF($W278="","",N(INDEX(发票统计!M$4:M$1003,$W278)))</f>
        <v/>
      </c>
      <c r="N278" s="56" t="str">
        <f aca="false">IF($W278="","",N(INDEX(发票统计!N$4:N$1003,$W278)))</f>
        <v/>
      </c>
      <c r="O278" s="56" t="str">
        <f aca="false">IF($W278="","",N(INDEX(发票统计!O$4:O$1003,$W278)))</f>
        <v/>
      </c>
      <c r="P278" s="56" t="str">
        <f aca="false">IF($W278="","",SUM(M$4:M278)-SUM(N$4:N278)-SUM(O$4:O278))</f>
        <v/>
      </c>
      <c r="Q278" s="56" t="str">
        <f aca="false">IF($W278="","",N(INDEX(发票统计!Q$4:Q$1003,$W278)))</f>
        <v/>
      </c>
      <c r="R278" s="56" t="str">
        <f aca="false">IF($W278="","",N(INDEX(发票统计!R$4:R$1003,$W278)))</f>
        <v/>
      </c>
      <c r="S278" s="56" t="str">
        <f aca="false">IF($W278="","",N(INDEX(发票统计!S$4:S$1003,$W278)))</f>
        <v/>
      </c>
      <c r="T278" s="56" t="str">
        <f aca="false">IF($W278="","",SUM(Q$4:Q278)-SUM(R$4:R278)-SUM(S$4:S278))</f>
        <v/>
      </c>
      <c r="U278" s="56" t="str">
        <f aca="false">IF($W278="","",INDEX(发票统计!U$4:U$1003,$W278)&amp;"")</f>
        <v/>
      </c>
      <c r="W278" s="1" t="str">
        <f aca="false">IF($V$3="","",IFERROR(MATCH($V$3&amp;"#"&amp;ROWS(W$4:W278),发票统计!$W$4:$W$1003,0),""))</f>
        <v/>
      </c>
    </row>
    <row r="279" customFormat="false" ht="16.5" hidden="false" customHeight="false" outlineLevel="0" collapsed="false">
      <c r="A279" s="3" t="str">
        <f aca="false">IF($W279="","",INDEX(发票统计!A$4:A$1003,$W279)&amp;"")</f>
        <v/>
      </c>
      <c r="B279" s="3" t="str">
        <f aca="false">IF($W279="","",INDEX(发票统计!B$4:B$1003,$W279)&amp;"")</f>
        <v/>
      </c>
      <c r="C279" s="3" t="str">
        <f aca="false">IF($W279="","",INDEX(发票统计!C$4:C$1003,$W279)&amp;"")</f>
        <v/>
      </c>
      <c r="D279" s="3" t="str">
        <f aca="false">IF($W279="","",INDEX(发票统计!D$4:D$1003,$W279)&amp;"")</f>
        <v/>
      </c>
      <c r="E279" s="56" t="str">
        <f aca="false">IF($W279="","",INDEX(发票统计!E$4:E$1003,$W279)&amp;"")</f>
        <v/>
      </c>
      <c r="F279" s="56" t="str">
        <f aca="false">IF($W279="","",INDEX(发票统计!F$4:F$1003,$W279)&amp;"")</f>
        <v/>
      </c>
      <c r="G279" s="68" t="str">
        <f aca="false">IF($W279="","",IF(INDEX(发票统计!G$4:G$1003,$W279)="","",INDEX(发票统计!G$4:G$1003,$W279)))</f>
        <v/>
      </c>
      <c r="H279" s="56" t="str">
        <f aca="false">IF($W279="","",N(INDEX(发票统计!H$4:H$1003,$W279)))</f>
        <v/>
      </c>
      <c r="I279" s="56" t="str">
        <f aca="false">IF($W279="","",N(INDEX(发票统计!I$4:I$1003,$W279)))</f>
        <v/>
      </c>
      <c r="J279" s="56" t="str">
        <f aca="false">IF($W279="","",N(INDEX(发票统计!J$4:J$1003,$W279)))</f>
        <v/>
      </c>
      <c r="K279" s="56" t="str">
        <f aca="false">IF($W279="","",N(INDEX(发票统计!K$4:K$1003,$W279)))</f>
        <v/>
      </c>
      <c r="L279" s="56" t="str">
        <f aca="false">IF($W279="","",SUM(J$4:J279)-SUM(K$4:K279))</f>
        <v/>
      </c>
      <c r="M279" s="56" t="str">
        <f aca="false">IF($W279="","",N(INDEX(发票统计!M$4:M$1003,$W279)))</f>
        <v/>
      </c>
      <c r="N279" s="56" t="str">
        <f aca="false">IF($W279="","",N(INDEX(发票统计!N$4:N$1003,$W279)))</f>
        <v/>
      </c>
      <c r="O279" s="56" t="str">
        <f aca="false">IF($W279="","",N(INDEX(发票统计!O$4:O$1003,$W279)))</f>
        <v/>
      </c>
      <c r="P279" s="56" t="str">
        <f aca="false">IF($W279="","",SUM(M$4:M279)-SUM(N$4:N279)-SUM(O$4:O279))</f>
        <v/>
      </c>
      <c r="Q279" s="56" t="str">
        <f aca="false">IF($W279="","",N(INDEX(发票统计!Q$4:Q$1003,$W279)))</f>
        <v/>
      </c>
      <c r="R279" s="56" t="str">
        <f aca="false">IF($W279="","",N(INDEX(发票统计!R$4:R$1003,$W279)))</f>
        <v/>
      </c>
      <c r="S279" s="56" t="str">
        <f aca="false">IF($W279="","",N(INDEX(发票统计!S$4:S$1003,$W279)))</f>
        <v/>
      </c>
      <c r="T279" s="56" t="str">
        <f aca="false">IF($W279="","",SUM(Q$4:Q279)-SUM(R$4:R279)-SUM(S$4:S279))</f>
        <v/>
      </c>
      <c r="U279" s="56" t="str">
        <f aca="false">IF($W279="","",INDEX(发票统计!U$4:U$1003,$W279)&amp;"")</f>
        <v/>
      </c>
      <c r="W279" s="1" t="str">
        <f aca="false">IF($V$3="","",IFERROR(MATCH($V$3&amp;"#"&amp;ROWS(W$4:W279),发票统计!$W$4:$W$1003,0),""))</f>
        <v/>
      </c>
    </row>
    <row r="280" customFormat="false" ht="16.5" hidden="false" customHeight="false" outlineLevel="0" collapsed="false">
      <c r="A280" s="3" t="str">
        <f aca="false">IF($W280="","",INDEX(发票统计!A$4:A$1003,$W280)&amp;"")</f>
        <v/>
      </c>
      <c r="B280" s="3" t="str">
        <f aca="false">IF($W280="","",INDEX(发票统计!B$4:B$1003,$W280)&amp;"")</f>
        <v/>
      </c>
      <c r="C280" s="3" t="str">
        <f aca="false">IF($W280="","",INDEX(发票统计!C$4:C$1003,$W280)&amp;"")</f>
        <v/>
      </c>
      <c r="D280" s="3" t="str">
        <f aca="false">IF($W280="","",INDEX(发票统计!D$4:D$1003,$W280)&amp;"")</f>
        <v/>
      </c>
      <c r="E280" s="56" t="str">
        <f aca="false">IF($W280="","",INDEX(发票统计!E$4:E$1003,$W280)&amp;"")</f>
        <v/>
      </c>
      <c r="F280" s="56" t="str">
        <f aca="false">IF($W280="","",INDEX(发票统计!F$4:F$1003,$W280)&amp;"")</f>
        <v/>
      </c>
      <c r="G280" s="68" t="str">
        <f aca="false">IF($W280="","",IF(INDEX(发票统计!G$4:G$1003,$W280)="","",INDEX(发票统计!G$4:G$1003,$W280)))</f>
        <v/>
      </c>
      <c r="H280" s="56" t="str">
        <f aca="false">IF($W280="","",N(INDEX(发票统计!H$4:H$1003,$W280)))</f>
        <v/>
      </c>
      <c r="I280" s="56" t="str">
        <f aca="false">IF($W280="","",N(INDEX(发票统计!I$4:I$1003,$W280)))</f>
        <v/>
      </c>
      <c r="J280" s="56" t="str">
        <f aca="false">IF($W280="","",N(INDEX(发票统计!J$4:J$1003,$W280)))</f>
        <v/>
      </c>
      <c r="K280" s="56" t="str">
        <f aca="false">IF($W280="","",N(INDEX(发票统计!K$4:K$1003,$W280)))</f>
        <v/>
      </c>
      <c r="L280" s="56" t="str">
        <f aca="false">IF($W280="","",SUM(J$4:J280)-SUM(K$4:K280))</f>
        <v/>
      </c>
      <c r="M280" s="56" t="str">
        <f aca="false">IF($W280="","",N(INDEX(发票统计!M$4:M$1003,$W280)))</f>
        <v/>
      </c>
      <c r="N280" s="56" t="str">
        <f aca="false">IF($W280="","",N(INDEX(发票统计!N$4:N$1003,$W280)))</f>
        <v/>
      </c>
      <c r="O280" s="56" t="str">
        <f aca="false">IF($W280="","",N(INDEX(发票统计!O$4:O$1003,$W280)))</f>
        <v/>
      </c>
      <c r="P280" s="56" t="str">
        <f aca="false">IF($W280="","",SUM(M$4:M280)-SUM(N$4:N280)-SUM(O$4:O280))</f>
        <v/>
      </c>
      <c r="Q280" s="56" t="str">
        <f aca="false">IF($W280="","",N(INDEX(发票统计!Q$4:Q$1003,$W280)))</f>
        <v/>
      </c>
      <c r="R280" s="56" t="str">
        <f aca="false">IF($W280="","",N(INDEX(发票统计!R$4:R$1003,$W280)))</f>
        <v/>
      </c>
      <c r="S280" s="56" t="str">
        <f aca="false">IF($W280="","",N(INDEX(发票统计!S$4:S$1003,$W280)))</f>
        <v/>
      </c>
      <c r="T280" s="56" t="str">
        <f aca="false">IF($W280="","",SUM(Q$4:Q280)-SUM(R$4:R280)-SUM(S$4:S280))</f>
        <v/>
      </c>
      <c r="U280" s="56" t="str">
        <f aca="false">IF($W280="","",INDEX(发票统计!U$4:U$1003,$W280)&amp;"")</f>
        <v/>
      </c>
      <c r="W280" s="1" t="str">
        <f aca="false">IF($V$3="","",IFERROR(MATCH($V$3&amp;"#"&amp;ROWS(W$4:W280),发票统计!$W$4:$W$1003,0),""))</f>
        <v/>
      </c>
    </row>
    <row r="281" customFormat="false" ht="16.5" hidden="false" customHeight="false" outlineLevel="0" collapsed="false">
      <c r="A281" s="3" t="str">
        <f aca="false">IF($W281="","",INDEX(发票统计!A$4:A$1003,$W281)&amp;"")</f>
        <v/>
      </c>
      <c r="B281" s="3" t="str">
        <f aca="false">IF($W281="","",INDEX(发票统计!B$4:B$1003,$W281)&amp;"")</f>
        <v/>
      </c>
      <c r="C281" s="3" t="str">
        <f aca="false">IF($W281="","",INDEX(发票统计!C$4:C$1003,$W281)&amp;"")</f>
        <v/>
      </c>
      <c r="D281" s="3" t="str">
        <f aca="false">IF($W281="","",INDEX(发票统计!D$4:D$1003,$W281)&amp;"")</f>
        <v/>
      </c>
      <c r="E281" s="56" t="str">
        <f aca="false">IF($W281="","",INDEX(发票统计!E$4:E$1003,$W281)&amp;"")</f>
        <v/>
      </c>
      <c r="F281" s="56" t="str">
        <f aca="false">IF($W281="","",INDEX(发票统计!F$4:F$1003,$W281)&amp;"")</f>
        <v/>
      </c>
      <c r="G281" s="68" t="str">
        <f aca="false">IF($W281="","",IF(INDEX(发票统计!G$4:G$1003,$W281)="","",INDEX(发票统计!G$4:G$1003,$W281)))</f>
        <v/>
      </c>
      <c r="H281" s="56" t="str">
        <f aca="false">IF($W281="","",N(INDEX(发票统计!H$4:H$1003,$W281)))</f>
        <v/>
      </c>
      <c r="I281" s="56" t="str">
        <f aca="false">IF($W281="","",N(INDEX(发票统计!I$4:I$1003,$W281)))</f>
        <v/>
      </c>
      <c r="J281" s="56" t="str">
        <f aca="false">IF($W281="","",N(INDEX(发票统计!J$4:J$1003,$W281)))</f>
        <v/>
      </c>
      <c r="K281" s="56" t="str">
        <f aca="false">IF($W281="","",N(INDEX(发票统计!K$4:K$1003,$W281)))</f>
        <v/>
      </c>
      <c r="L281" s="56" t="str">
        <f aca="false">IF($W281="","",SUM(J$4:J281)-SUM(K$4:K281))</f>
        <v/>
      </c>
      <c r="M281" s="56" t="str">
        <f aca="false">IF($W281="","",N(INDEX(发票统计!M$4:M$1003,$W281)))</f>
        <v/>
      </c>
      <c r="N281" s="56" t="str">
        <f aca="false">IF($W281="","",N(INDEX(发票统计!N$4:N$1003,$W281)))</f>
        <v/>
      </c>
      <c r="O281" s="56" t="str">
        <f aca="false">IF($W281="","",N(INDEX(发票统计!O$4:O$1003,$W281)))</f>
        <v/>
      </c>
      <c r="P281" s="56" t="str">
        <f aca="false">IF($W281="","",SUM(M$4:M281)-SUM(N$4:N281)-SUM(O$4:O281))</f>
        <v/>
      </c>
      <c r="Q281" s="56" t="str">
        <f aca="false">IF($W281="","",N(INDEX(发票统计!Q$4:Q$1003,$W281)))</f>
        <v/>
      </c>
      <c r="R281" s="56" t="str">
        <f aca="false">IF($W281="","",N(INDEX(发票统计!R$4:R$1003,$W281)))</f>
        <v/>
      </c>
      <c r="S281" s="56" t="str">
        <f aca="false">IF($W281="","",N(INDEX(发票统计!S$4:S$1003,$W281)))</f>
        <v/>
      </c>
      <c r="T281" s="56" t="str">
        <f aca="false">IF($W281="","",SUM(Q$4:Q281)-SUM(R$4:R281)-SUM(S$4:S281))</f>
        <v/>
      </c>
      <c r="U281" s="56" t="str">
        <f aca="false">IF($W281="","",INDEX(发票统计!U$4:U$1003,$W281)&amp;"")</f>
        <v/>
      </c>
      <c r="W281" s="1" t="str">
        <f aca="false">IF($V$3="","",IFERROR(MATCH($V$3&amp;"#"&amp;ROWS(W$4:W281),发票统计!$W$4:$W$1003,0),""))</f>
        <v/>
      </c>
    </row>
    <row r="282" customFormat="false" ht="16.5" hidden="false" customHeight="false" outlineLevel="0" collapsed="false">
      <c r="A282" s="3" t="str">
        <f aca="false">IF($W282="","",INDEX(发票统计!A$4:A$1003,$W282)&amp;"")</f>
        <v/>
      </c>
      <c r="B282" s="3" t="str">
        <f aca="false">IF($W282="","",INDEX(发票统计!B$4:B$1003,$W282)&amp;"")</f>
        <v/>
      </c>
      <c r="C282" s="3" t="str">
        <f aca="false">IF($W282="","",INDEX(发票统计!C$4:C$1003,$W282)&amp;"")</f>
        <v/>
      </c>
      <c r="D282" s="3" t="str">
        <f aca="false">IF($W282="","",INDEX(发票统计!D$4:D$1003,$W282)&amp;"")</f>
        <v/>
      </c>
      <c r="E282" s="56" t="str">
        <f aca="false">IF($W282="","",INDEX(发票统计!E$4:E$1003,$W282)&amp;"")</f>
        <v/>
      </c>
      <c r="F282" s="56" t="str">
        <f aca="false">IF($W282="","",INDEX(发票统计!F$4:F$1003,$W282)&amp;"")</f>
        <v/>
      </c>
      <c r="G282" s="68" t="str">
        <f aca="false">IF($W282="","",IF(INDEX(发票统计!G$4:G$1003,$W282)="","",INDEX(发票统计!G$4:G$1003,$W282)))</f>
        <v/>
      </c>
      <c r="H282" s="56" t="str">
        <f aca="false">IF($W282="","",N(INDEX(发票统计!H$4:H$1003,$W282)))</f>
        <v/>
      </c>
      <c r="I282" s="56" t="str">
        <f aca="false">IF($W282="","",N(INDEX(发票统计!I$4:I$1003,$W282)))</f>
        <v/>
      </c>
      <c r="J282" s="56" t="str">
        <f aca="false">IF($W282="","",N(INDEX(发票统计!J$4:J$1003,$W282)))</f>
        <v/>
      </c>
      <c r="K282" s="56" t="str">
        <f aca="false">IF($W282="","",N(INDEX(发票统计!K$4:K$1003,$W282)))</f>
        <v/>
      </c>
      <c r="L282" s="56" t="str">
        <f aca="false">IF($W282="","",SUM(J$4:J282)-SUM(K$4:K282))</f>
        <v/>
      </c>
      <c r="M282" s="56" t="str">
        <f aca="false">IF($W282="","",N(INDEX(发票统计!M$4:M$1003,$W282)))</f>
        <v/>
      </c>
      <c r="N282" s="56" t="str">
        <f aca="false">IF($W282="","",N(INDEX(发票统计!N$4:N$1003,$W282)))</f>
        <v/>
      </c>
      <c r="O282" s="56" t="str">
        <f aca="false">IF($W282="","",N(INDEX(发票统计!O$4:O$1003,$W282)))</f>
        <v/>
      </c>
      <c r="P282" s="56" t="str">
        <f aca="false">IF($W282="","",SUM(M$4:M282)-SUM(N$4:N282)-SUM(O$4:O282))</f>
        <v/>
      </c>
      <c r="Q282" s="56" t="str">
        <f aca="false">IF($W282="","",N(INDEX(发票统计!Q$4:Q$1003,$W282)))</f>
        <v/>
      </c>
      <c r="R282" s="56" t="str">
        <f aca="false">IF($W282="","",N(INDEX(发票统计!R$4:R$1003,$W282)))</f>
        <v/>
      </c>
      <c r="S282" s="56" t="str">
        <f aca="false">IF($W282="","",N(INDEX(发票统计!S$4:S$1003,$W282)))</f>
        <v/>
      </c>
      <c r="T282" s="56" t="str">
        <f aca="false">IF($W282="","",SUM(Q$4:Q282)-SUM(R$4:R282)-SUM(S$4:S282))</f>
        <v/>
      </c>
      <c r="U282" s="56" t="str">
        <f aca="false">IF($W282="","",INDEX(发票统计!U$4:U$1003,$W282)&amp;"")</f>
        <v/>
      </c>
      <c r="W282" s="1" t="str">
        <f aca="false">IF($V$3="","",IFERROR(MATCH($V$3&amp;"#"&amp;ROWS(W$4:W282),发票统计!$W$4:$W$1003,0),""))</f>
        <v/>
      </c>
    </row>
    <row r="283" customFormat="false" ht="16.5" hidden="false" customHeight="false" outlineLevel="0" collapsed="false">
      <c r="A283" s="3" t="str">
        <f aca="false">IF($W283="","",INDEX(发票统计!A$4:A$1003,$W283)&amp;"")</f>
        <v/>
      </c>
      <c r="B283" s="3" t="str">
        <f aca="false">IF($W283="","",INDEX(发票统计!B$4:B$1003,$W283)&amp;"")</f>
        <v/>
      </c>
      <c r="C283" s="3" t="str">
        <f aca="false">IF($W283="","",INDEX(发票统计!C$4:C$1003,$W283)&amp;"")</f>
        <v/>
      </c>
      <c r="D283" s="3" t="str">
        <f aca="false">IF($W283="","",INDEX(发票统计!D$4:D$1003,$W283)&amp;"")</f>
        <v/>
      </c>
      <c r="E283" s="56" t="str">
        <f aca="false">IF($W283="","",INDEX(发票统计!E$4:E$1003,$W283)&amp;"")</f>
        <v/>
      </c>
      <c r="F283" s="56" t="str">
        <f aca="false">IF($W283="","",INDEX(发票统计!F$4:F$1003,$W283)&amp;"")</f>
        <v/>
      </c>
      <c r="G283" s="68" t="str">
        <f aca="false">IF($W283="","",IF(INDEX(发票统计!G$4:G$1003,$W283)="","",INDEX(发票统计!G$4:G$1003,$W283)))</f>
        <v/>
      </c>
      <c r="H283" s="56" t="str">
        <f aca="false">IF($W283="","",N(INDEX(发票统计!H$4:H$1003,$W283)))</f>
        <v/>
      </c>
      <c r="I283" s="56" t="str">
        <f aca="false">IF($W283="","",N(INDEX(发票统计!I$4:I$1003,$W283)))</f>
        <v/>
      </c>
      <c r="J283" s="56" t="str">
        <f aca="false">IF($W283="","",N(INDEX(发票统计!J$4:J$1003,$W283)))</f>
        <v/>
      </c>
      <c r="K283" s="56" t="str">
        <f aca="false">IF($W283="","",N(INDEX(发票统计!K$4:K$1003,$W283)))</f>
        <v/>
      </c>
      <c r="L283" s="56" t="str">
        <f aca="false">IF($W283="","",SUM(J$4:J283)-SUM(K$4:K283))</f>
        <v/>
      </c>
      <c r="M283" s="56" t="str">
        <f aca="false">IF($W283="","",N(INDEX(发票统计!M$4:M$1003,$W283)))</f>
        <v/>
      </c>
      <c r="N283" s="56" t="str">
        <f aca="false">IF($W283="","",N(INDEX(发票统计!N$4:N$1003,$W283)))</f>
        <v/>
      </c>
      <c r="O283" s="56" t="str">
        <f aca="false">IF($W283="","",N(INDEX(发票统计!O$4:O$1003,$W283)))</f>
        <v/>
      </c>
      <c r="P283" s="56" t="str">
        <f aca="false">IF($W283="","",SUM(M$4:M283)-SUM(N$4:N283)-SUM(O$4:O283))</f>
        <v/>
      </c>
      <c r="Q283" s="56" t="str">
        <f aca="false">IF($W283="","",N(INDEX(发票统计!Q$4:Q$1003,$W283)))</f>
        <v/>
      </c>
      <c r="R283" s="56" t="str">
        <f aca="false">IF($W283="","",N(INDEX(发票统计!R$4:R$1003,$W283)))</f>
        <v/>
      </c>
      <c r="S283" s="56" t="str">
        <f aca="false">IF($W283="","",N(INDEX(发票统计!S$4:S$1003,$W283)))</f>
        <v/>
      </c>
      <c r="T283" s="56" t="str">
        <f aca="false">IF($W283="","",SUM(Q$4:Q283)-SUM(R$4:R283)-SUM(S$4:S283))</f>
        <v/>
      </c>
      <c r="U283" s="56" t="str">
        <f aca="false">IF($W283="","",INDEX(发票统计!U$4:U$1003,$W283)&amp;"")</f>
        <v/>
      </c>
      <c r="W283" s="1" t="str">
        <f aca="false">IF($V$3="","",IFERROR(MATCH($V$3&amp;"#"&amp;ROWS(W$4:W283),发票统计!$W$4:$W$1003,0),""))</f>
        <v/>
      </c>
    </row>
    <row r="284" customFormat="false" ht="16.5" hidden="false" customHeight="false" outlineLevel="0" collapsed="false">
      <c r="A284" s="3" t="str">
        <f aca="false">IF($W284="","",INDEX(发票统计!A$4:A$1003,$W284)&amp;"")</f>
        <v/>
      </c>
      <c r="B284" s="3" t="str">
        <f aca="false">IF($W284="","",INDEX(发票统计!B$4:B$1003,$W284)&amp;"")</f>
        <v/>
      </c>
      <c r="C284" s="3" t="str">
        <f aca="false">IF($W284="","",INDEX(发票统计!C$4:C$1003,$W284)&amp;"")</f>
        <v/>
      </c>
      <c r="D284" s="3" t="str">
        <f aca="false">IF($W284="","",INDEX(发票统计!D$4:D$1003,$W284)&amp;"")</f>
        <v/>
      </c>
      <c r="E284" s="56" t="str">
        <f aca="false">IF($W284="","",INDEX(发票统计!E$4:E$1003,$W284)&amp;"")</f>
        <v/>
      </c>
      <c r="F284" s="56" t="str">
        <f aca="false">IF($W284="","",INDEX(发票统计!F$4:F$1003,$W284)&amp;"")</f>
        <v/>
      </c>
      <c r="G284" s="68" t="str">
        <f aca="false">IF($W284="","",IF(INDEX(发票统计!G$4:G$1003,$W284)="","",INDEX(发票统计!G$4:G$1003,$W284)))</f>
        <v/>
      </c>
      <c r="H284" s="56" t="str">
        <f aca="false">IF($W284="","",N(INDEX(发票统计!H$4:H$1003,$W284)))</f>
        <v/>
      </c>
      <c r="I284" s="56" t="str">
        <f aca="false">IF($W284="","",N(INDEX(发票统计!I$4:I$1003,$W284)))</f>
        <v/>
      </c>
      <c r="J284" s="56" t="str">
        <f aca="false">IF($W284="","",N(INDEX(发票统计!J$4:J$1003,$W284)))</f>
        <v/>
      </c>
      <c r="K284" s="56" t="str">
        <f aca="false">IF($W284="","",N(INDEX(发票统计!K$4:K$1003,$W284)))</f>
        <v/>
      </c>
      <c r="L284" s="56" t="str">
        <f aca="false">IF($W284="","",SUM(J$4:J284)-SUM(K$4:K284))</f>
        <v/>
      </c>
      <c r="M284" s="56" t="str">
        <f aca="false">IF($W284="","",N(INDEX(发票统计!M$4:M$1003,$W284)))</f>
        <v/>
      </c>
      <c r="N284" s="56" t="str">
        <f aca="false">IF($W284="","",N(INDEX(发票统计!N$4:N$1003,$W284)))</f>
        <v/>
      </c>
      <c r="O284" s="56" t="str">
        <f aca="false">IF($W284="","",N(INDEX(发票统计!O$4:O$1003,$W284)))</f>
        <v/>
      </c>
      <c r="P284" s="56" t="str">
        <f aca="false">IF($W284="","",SUM(M$4:M284)-SUM(N$4:N284)-SUM(O$4:O284))</f>
        <v/>
      </c>
      <c r="Q284" s="56" t="str">
        <f aca="false">IF($W284="","",N(INDEX(发票统计!Q$4:Q$1003,$W284)))</f>
        <v/>
      </c>
      <c r="R284" s="56" t="str">
        <f aca="false">IF($W284="","",N(INDEX(发票统计!R$4:R$1003,$W284)))</f>
        <v/>
      </c>
      <c r="S284" s="56" t="str">
        <f aca="false">IF($W284="","",N(INDEX(发票统计!S$4:S$1003,$W284)))</f>
        <v/>
      </c>
      <c r="T284" s="56" t="str">
        <f aca="false">IF($W284="","",SUM(Q$4:Q284)-SUM(R$4:R284)-SUM(S$4:S284))</f>
        <v/>
      </c>
      <c r="U284" s="56" t="str">
        <f aca="false">IF($W284="","",INDEX(发票统计!U$4:U$1003,$W284)&amp;"")</f>
        <v/>
      </c>
      <c r="W284" s="1" t="str">
        <f aca="false">IF($V$3="","",IFERROR(MATCH($V$3&amp;"#"&amp;ROWS(W$4:W284),发票统计!$W$4:$W$1003,0),""))</f>
        <v/>
      </c>
    </row>
    <row r="285" customFormat="false" ht="16.5" hidden="false" customHeight="false" outlineLevel="0" collapsed="false">
      <c r="A285" s="3" t="str">
        <f aca="false">IF($W285="","",INDEX(发票统计!A$4:A$1003,$W285)&amp;"")</f>
        <v/>
      </c>
      <c r="B285" s="3" t="str">
        <f aca="false">IF($W285="","",INDEX(发票统计!B$4:B$1003,$W285)&amp;"")</f>
        <v/>
      </c>
      <c r="C285" s="3" t="str">
        <f aca="false">IF($W285="","",INDEX(发票统计!C$4:C$1003,$W285)&amp;"")</f>
        <v/>
      </c>
      <c r="D285" s="3" t="str">
        <f aca="false">IF($W285="","",INDEX(发票统计!D$4:D$1003,$W285)&amp;"")</f>
        <v/>
      </c>
      <c r="E285" s="56" t="str">
        <f aca="false">IF($W285="","",INDEX(发票统计!E$4:E$1003,$W285)&amp;"")</f>
        <v/>
      </c>
      <c r="F285" s="56" t="str">
        <f aca="false">IF($W285="","",INDEX(发票统计!F$4:F$1003,$W285)&amp;"")</f>
        <v/>
      </c>
      <c r="G285" s="68" t="str">
        <f aca="false">IF($W285="","",IF(INDEX(发票统计!G$4:G$1003,$W285)="","",INDEX(发票统计!G$4:G$1003,$W285)))</f>
        <v/>
      </c>
      <c r="H285" s="56" t="str">
        <f aca="false">IF($W285="","",N(INDEX(发票统计!H$4:H$1003,$W285)))</f>
        <v/>
      </c>
      <c r="I285" s="56" t="str">
        <f aca="false">IF($W285="","",N(INDEX(发票统计!I$4:I$1003,$W285)))</f>
        <v/>
      </c>
      <c r="J285" s="56" t="str">
        <f aca="false">IF($W285="","",N(INDEX(发票统计!J$4:J$1003,$W285)))</f>
        <v/>
      </c>
      <c r="K285" s="56" t="str">
        <f aca="false">IF($W285="","",N(INDEX(发票统计!K$4:K$1003,$W285)))</f>
        <v/>
      </c>
      <c r="L285" s="56" t="str">
        <f aca="false">IF($W285="","",SUM(J$4:J285)-SUM(K$4:K285))</f>
        <v/>
      </c>
      <c r="M285" s="56" t="str">
        <f aca="false">IF($W285="","",N(INDEX(发票统计!M$4:M$1003,$W285)))</f>
        <v/>
      </c>
      <c r="N285" s="56" t="str">
        <f aca="false">IF($W285="","",N(INDEX(发票统计!N$4:N$1003,$W285)))</f>
        <v/>
      </c>
      <c r="O285" s="56" t="str">
        <f aca="false">IF($W285="","",N(INDEX(发票统计!O$4:O$1003,$W285)))</f>
        <v/>
      </c>
      <c r="P285" s="56" t="str">
        <f aca="false">IF($W285="","",SUM(M$4:M285)-SUM(N$4:N285)-SUM(O$4:O285))</f>
        <v/>
      </c>
      <c r="Q285" s="56" t="str">
        <f aca="false">IF($W285="","",N(INDEX(发票统计!Q$4:Q$1003,$W285)))</f>
        <v/>
      </c>
      <c r="R285" s="56" t="str">
        <f aca="false">IF($W285="","",N(INDEX(发票统计!R$4:R$1003,$W285)))</f>
        <v/>
      </c>
      <c r="S285" s="56" t="str">
        <f aca="false">IF($W285="","",N(INDEX(发票统计!S$4:S$1003,$W285)))</f>
        <v/>
      </c>
      <c r="T285" s="56" t="str">
        <f aca="false">IF($W285="","",SUM(Q$4:Q285)-SUM(R$4:R285)-SUM(S$4:S285))</f>
        <v/>
      </c>
      <c r="U285" s="56" t="str">
        <f aca="false">IF($W285="","",INDEX(发票统计!U$4:U$1003,$W285)&amp;"")</f>
        <v/>
      </c>
      <c r="W285" s="1" t="str">
        <f aca="false">IF($V$3="","",IFERROR(MATCH($V$3&amp;"#"&amp;ROWS(W$4:W285),发票统计!$W$4:$W$1003,0),""))</f>
        <v/>
      </c>
    </row>
    <row r="286" customFormat="false" ht="16.5" hidden="false" customHeight="false" outlineLevel="0" collapsed="false">
      <c r="A286" s="3" t="str">
        <f aca="false">IF($W286="","",INDEX(发票统计!A$4:A$1003,$W286)&amp;"")</f>
        <v/>
      </c>
      <c r="B286" s="3" t="str">
        <f aca="false">IF($W286="","",INDEX(发票统计!B$4:B$1003,$W286)&amp;"")</f>
        <v/>
      </c>
      <c r="C286" s="3" t="str">
        <f aca="false">IF($W286="","",INDEX(发票统计!C$4:C$1003,$W286)&amp;"")</f>
        <v/>
      </c>
      <c r="D286" s="3" t="str">
        <f aca="false">IF($W286="","",INDEX(发票统计!D$4:D$1003,$W286)&amp;"")</f>
        <v/>
      </c>
      <c r="E286" s="56" t="str">
        <f aca="false">IF($W286="","",INDEX(发票统计!E$4:E$1003,$W286)&amp;"")</f>
        <v/>
      </c>
      <c r="F286" s="56" t="str">
        <f aca="false">IF($W286="","",INDEX(发票统计!F$4:F$1003,$W286)&amp;"")</f>
        <v/>
      </c>
      <c r="G286" s="68" t="str">
        <f aca="false">IF($W286="","",IF(INDEX(发票统计!G$4:G$1003,$W286)="","",INDEX(发票统计!G$4:G$1003,$W286)))</f>
        <v/>
      </c>
      <c r="H286" s="56" t="str">
        <f aca="false">IF($W286="","",N(INDEX(发票统计!H$4:H$1003,$W286)))</f>
        <v/>
      </c>
      <c r="I286" s="56" t="str">
        <f aca="false">IF($W286="","",N(INDEX(发票统计!I$4:I$1003,$W286)))</f>
        <v/>
      </c>
      <c r="J286" s="56" t="str">
        <f aca="false">IF($W286="","",N(INDEX(发票统计!J$4:J$1003,$W286)))</f>
        <v/>
      </c>
      <c r="K286" s="56" t="str">
        <f aca="false">IF($W286="","",N(INDEX(发票统计!K$4:K$1003,$W286)))</f>
        <v/>
      </c>
      <c r="L286" s="56" t="str">
        <f aca="false">IF($W286="","",SUM(J$4:J286)-SUM(K$4:K286))</f>
        <v/>
      </c>
      <c r="M286" s="56" t="str">
        <f aca="false">IF($W286="","",N(INDEX(发票统计!M$4:M$1003,$W286)))</f>
        <v/>
      </c>
      <c r="N286" s="56" t="str">
        <f aca="false">IF($W286="","",N(INDEX(发票统计!N$4:N$1003,$W286)))</f>
        <v/>
      </c>
      <c r="O286" s="56" t="str">
        <f aca="false">IF($W286="","",N(INDEX(发票统计!O$4:O$1003,$W286)))</f>
        <v/>
      </c>
      <c r="P286" s="56" t="str">
        <f aca="false">IF($W286="","",SUM(M$4:M286)-SUM(N$4:N286)-SUM(O$4:O286))</f>
        <v/>
      </c>
      <c r="Q286" s="56" t="str">
        <f aca="false">IF($W286="","",N(INDEX(发票统计!Q$4:Q$1003,$W286)))</f>
        <v/>
      </c>
      <c r="R286" s="56" t="str">
        <f aca="false">IF($W286="","",N(INDEX(发票统计!R$4:R$1003,$W286)))</f>
        <v/>
      </c>
      <c r="S286" s="56" t="str">
        <f aca="false">IF($W286="","",N(INDEX(发票统计!S$4:S$1003,$W286)))</f>
        <v/>
      </c>
      <c r="T286" s="56" t="str">
        <f aca="false">IF($W286="","",SUM(Q$4:Q286)-SUM(R$4:R286)-SUM(S$4:S286))</f>
        <v/>
      </c>
      <c r="U286" s="56" t="str">
        <f aca="false">IF($W286="","",INDEX(发票统计!U$4:U$1003,$W286)&amp;"")</f>
        <v/>
      </c>
      <c r="W286" s="1" t="str">
        <f aca="false">IF($V$3="","",IFERROR(MATCH($V$3&amp;"#"&amp;ROWS(W$4:W286),发票统计!$W$4:$W$1003,0),""))</f>
        <v/>
      </c>
    </row>
    <row r="287" customFormat="false" ht="16.5" hidden="false" customHeight="false" outlineLevel="0" collapsed="false">
      <c r="A287" s="3" t="str">
        <f aca="false">IF($W287="","",INDEX(发票统计!A$4:A$1003,$W287)&amp;"")</f>
        <v/>
      </c>
      <c r="B287" s="3" t="str">
        <f aca="false">IF($W287="","",INDEX(发票统计!B$4:B$1003,$W287)&amp;"")</f>
        <v/>
      </c>
      <c r="C287" s="3" t="str">
        <f aca="false">IF($W287="","",INDEX(发票统计!C$4:C$1003,$W287)&amp;"")</f>
        <v/>
      </c>
      <c r="D287" s="3" t="str">
        <f aca="false">IF($W287="","",INDEX(发票统计!D$4:D$1003,$W287)&amp;"")</f>
        <v/>
      </c>
      <c r="E287" s="56" t="str">
        <f aca="false">IF($W287="","",INDEX(发票统计!E$4:E$1003,$W287)&amp;"")</f>
        <v/>
      </c>
      <c r="F287" s="56" t="str">
        <f aca="false">IF($W287="","",INDEX(发票统计!F$4:F$1003,$W287)&amp;"")</f>
        <v/>
      </c>
      <c r="G287" s="68" t="str">
        <f aca="false">IF($W287="","",IF(INDEX(发票统计!G$4:G$1003,$W287)="","",INDEX(发票统计!G$4:G$1003,$W287)))</f>
        <v/>
      </c>
      <c r="H287" s="56" t="str">
        <f aca="false">IF($W287="","",N(INDEX(发票统计!H$4:H$1003,$W287)))</f>
        <v/>
      </c>
      <c r="I287" s="56" t="str">
        <f aca="false">IF($W287="","",N(INDEX(发票统计!I$4:I$1003,$W287)))</f>
        <v/>
      </c>
      <c r="J287" s="56" t="str">
        <f aca="false">IF($W287="","",N(INDEX(发票统计!J$4:J$1003,$W287)))</f>
        <v/>
      </c>
      <c r="K287" s="56" t="str">
        <f aca="false">IF($W287="","",N(INDEX(发票统计!K$4:K$1003,$W287)))</f>
        <v/>
      </c>
      <c r="L287" s="56" t="str">
        <f aca="false">IF($W287="","",SUM(J$4:J287)-SUM(K$4:K287))</f>
        <v/>
      </c>
      <c r="M287" s="56" t="str">
        <f aca="false">IF($W287="","",N(INDEX(发票统计!M$4:M$1003,$W287)))</f>
        <v/>
      </c>
      <c r="N287" s="56" t="str">
        <f aca="false">IF($W287="","",N(INDEX(发票统计!N$4:N$1003,$W287)))</f>
        <v/>
      </c>
      <c r="O287" s="56" t="str">
        <f aca="false">IF($W287="","",N(INDEX(发票统计!O$4:O$1003,$W287)))</f>
        <v/>
      </c>
      <c r="P287" s="56" t="str">
        <f aca="false">IF($W287="","",SUM(M$4:M287)-SUM(N$4:N287)-SUM(O$4:O287))</f>
        <v/>
      </c>
      <c r="Q287" s="56" t="str">
        <f aca="false">IF($W287="","",N(INDEX(发票统计!Q$4:Q$1003,$W287)))</f>
        <v/>
      </c>
      <c r="R287" s="56" t="str">
        <f aca="false">IF($W287="","",N(INDEX(发票统计!R$4:R$1003,$W287)))</f>
        <v/>
      </c>
      <c r="S287" s="56" t="str">
        <f aca="false">IF($W287="","",N(INDEX(发票统计!S$4:S$1003,$W287)))</f>
        <v/>
      </c>
      <c r="T287" s="56" t="str">
        <f aca="false">IF($W287="","",SUM(Q$4:Q287)-SUM(R$4:R287)-SUM(S$4:S287))</f>
        <v/>
      </c>
      <c r="U287" s="56" t="str">
        <f aca="false">IF($W287="","",INDEX(发票统计!U$4:U$1003,$W287)&amp;"")</f>
        <v/>
      </c>
      <c r="W287" s="1" t="str">
        <f aca="false">IF($V$3="","",IFERROR(MATCH($V$3&amp;"#"&amp;ROWS(W$4:W287),发票统计!$W$4:$W$1003,0),""))</f>
        <v/>
      </c>
    </row>
    <row r="288" customFormat="false" ht="16.5" hidden="false" customHeight="false" outlineLevel="0" collapsed="false">
      <c r="A288" s="3" t="str">
        <f aca="false">IF($W288="","",INDEX(发票统计!A$4:A$1003,$W288)&amp;"")</f>
        <v/>
      </c>
      <c r="B288" s="3" t="str">
        <f aca="false">IF($W288="","",INDEX(发票统计!B$4:B$1003,$W288)&amp;"")</f>
        <v/>
      </c>
      <c r="C288" s="3" t="str">
        <f aca="false">IF($W288="","",INDEX(发票统计!C$4:C$1003,$W288)&amp;"")</f>
        <v/>
      </c>
      <c r="D288" s="3" t="str">
        <f aca="false">IF($W288="","",INDEX(发票统计!D$4:D$1003,$W288)&amp;"")</f>
        <v/>
      </c>
      <c r="E288" s="56" t="str">
        <f aca="false">IF($W288="","",INDEX(发票统计!E$4:E$1003,$W288)&amp;"")</f>
        <v/>
      </c>
      <c r="F288" s="56" t="str">
        <f aca="false">IF($W288="","",INDEX(发票统计!F$4:F$1003,$W288)&amp;"")</f>
        <v/>
      </c>
      <c r="G288" s="68" t="str">
        <f aca="false">IF($W288="","",IF(INDEX(发票统计!G$4:G$1003,$W288)="","",INDEX(发票统计!G$4:G$1003,$W288)))</f>
        <v/>
      </c>
      <c r="H288" s="56" t="str">
        <f aca="false">IF($W288="","",N(INDEX(发票统计!H$4:H$1003,$W288)))</f>
        <v/>
      </c>
      <c r="I288" s="56" t="str">
        <f aca="false">IF($W288="","",N(INDEX(发票统计!I$4:I$1003,$W288)))</f>
        <v/>
      </c>
      <c r="J288" s="56" t="str">
        <f aca="false">IF($W288="","",N(INDEX(发票统计!J$4:J$1003,$W288)))</f>
        <v/>
      </c>
      <c r="K288" s="56" t="str">
        <f aca="false">IF($W288="","",N(INDEX(发票统计!K$4:K$1003,$W288)))</f>
        <v/>
      </c>
      <c r="L288" s="56" t="str">
        <f aca="false">IF($W288="","",SUM(J$4:J288)-SUM(K$4:K288))</f>
        <v/>
      </c>
      <c r="M288" s="56" t="str">
        <f aca="false">IF($W288="","",N(INDEX(发票统计!M$4:M$1003,$W288)))</f>
        <v/>
      </c>
      <c r="N288" s="56" t="str">
        <f aca="false">IF($W288="","",N(INDEX(发票统计!N$4:N$1003,$W288)))</f>
        <v/>
      </c>
      <c r="O288" s="56" t="str">
        <f aca="false">IF($W288="","",N(INDEX(发票统计!O$4:O$1003,$W288)))</f>
        <v/>
      </c>
      <c r="P288" s="56" t="str">
        <f aca="false">IF($W288="","",SUM(M$4:M288)-SUM(N$4:N288)-SUM(O$4:O288))</f>
        <v/>
      </c>
      <c r="Q288" s="56" t="str">
        <f aca="false">IF($W288="","",N(INDEX(发票统计!Q$4:Q$1003,$W288)))</f>
        <v/>
      </c>
      <c r="R288" s="56" t="str">
        <f aca="false">IF($W288="","",N(INDEX(发票统计!R$4:R$1003,$W288)))</f>
        <v/>
      </c>
      <c r="S288" s="56" t="str">
        <f aca="false">IF($W288="","",N(INDEX(发票统计!S$4:S$1003,$W288)))</f>
        <v/>
      </c>
      <c r="T288" s="56" t="str">
        <f aca="false">IF($W288="","",SUM(Q$4:Q288)-SUM(R$4:R288)-SUM(S$4:S288))</f>
        <v/>
      </c>
      <c r="U288" s="56" t="str">
        <f aca="false">IF($W288="","",INDEX(发票统计!U$4:U$1003,$W288)&amp;"")</f>
        <v/>
      </c>
      <c r="W288" s="1" t="str">
        <f aca="false">IF($V$3="","",IFERROR(MATCH($V$3&amp;"#"&amp;ROWS(W$4:W288),发票统计!$W$4:$W$1003,0),""))</f>
        <v/>
      </c>
    </row>
    <row r="289" customFormat="false" ht="16.5" hidden="false" customHeight="false" outlineLevel="0" collapsed="false">
      <c r="A289" s="3" t="str">
        <f aca="false">IF($W289="","",INDEX(发票统计!A$4:A$1003,$W289)&amp;"")</f>
        <v/>
      </c>
      <c r="B289" s="3" t="str">
        <f aca="false">IF($W289="","",INDEX(发票统计!B$4:B$1003,$W289)&amp;"")</f>
        <v/>
      </c>
      <c r="C289" s="3" t="str">
        <f aca="false">IF($W289="","",INDEX(发票统计!C$4:C$1003,$W289)&amp;"")</f>
        <v/>
      </c>
      <c r="D289" s="3" t="str">
        <f aca="false">IF($W289="","",INDEX(发票统计!D$4:D$1003,$W289)&amp;"")</f>
        <v/>
      </c>
      <c r="E289" s="56" t="str">
        <f aca="false">IF($W289="","",INDEX(发票统计!E$4:E$1003,$W289)&amp;"")</f>
        <v/>
      </c>
      <c r="F289" s="56" t="str">
        <f aca="false">IF($W289="","",INDEX(发票统计!F$4:F$1003,$W289)&amp;"")</f>
        <v/>
      </c>
      <c r="G289" s="68" t="str">
        <f aca="false">IF($W289="","",IF(INDEX(发票统计!G$4:G$1003,$W289)="","",INDEX(发票统计!G$4:G$1003,$W289)))</f>
        <v/>
      </c>
      <c r="H289" s="56" t="str">
        <f aca="false">IF($W289="","",N(INDEX(发票统计!H$4:H$1003,$W289)))</f>
        <v/>
      </c>
      <c r="I289" s="56" t="str">
        <f aca="false">IF($W289="","",N(INDEX(发票统计!I$4:I$1003,$W289)))</f>
        <v/>
      </c>
      <c r="J289" s="56" t="str">
        <f aca="false">IF($W289="","",N(INDEX(发票统计!J$4:J$1003,$W289)))</f>
        <v/>
      </c>
      <c r="K289" s="56" t="str">
        <f aca="false">IF($W289="","",N(INDEX(发票统计!K$4:K$1003,$W289)))</f>
        <v/>
      </c>
      <c r="L289" s="56" t="str">
        <f aca="false">IF($W289="","",SUM(J$4:J289)-SUM(K$4:K289))</f>
        <v/>
      </c>
      <c r="M289" s="56" t="str">
        <f aca="false">IF($W289="","",N(INDEX(发票统计!M$4:M$1003,$W289)))</f>
        <v/>
      </c>
      <c r="N289" s="56" t="str">
        <f aca="false">IF($W289="","",N(INDEX(发票统计!N$4:N$1003,$W289)))</f>
        <v/>
      </c>
      <c r="O289" s="56" t="str">
        <f aca="false">IF($W289="","",N(INDEX(发票统计!O$4:O$1003,$W289)))</f>
        <v/>
      </c>
      <c r="P289" s="56" t="str">
        <f aca="false">IF($W289="","",SUM(M$4:M289)-SUM(N$4:N289)-SUM(O$4:O289))</f>
        <v/>
      </c>
      <c r="Q289" s="56" t="str">
        <f aca="false">IF($W289="","",N(INDEX(发票统计!Q$4:Q$1003,$W289)))</f>
        <v/>
      </c>
      <c r="R289" s="56" t="str">
        <f aca="false">IF($W289="","",N(INDEX(发票统计!R$4:R$1003,$W289)))</f>
        <v/>
      </c>
      <c r="S289" s="56" t="str">
        <f aca="false">IF($W289="","",N(INDEX(发票统计!S$4:S$1003,$W289)))</f>
        <v/>
      </c>
      <c r="T289" s="56" t="str">
        <f aca="false">IF($W289="","",SUM(Q$4:Q289)-SUM(R$4:R289)-SUM(S$4:S289))</f>
        <v/>
      </c>
      <c r="U289" s="56" t="str">
        <f aca="false">IF($W289="","",INDEX(发票统计!U$4:U$1003,$W289)&amp;"")</f>
        <v/>
      </c>
      <c r="W289" s="1" t="str">
        <f aca="false">IF($V$3="","",IFERROR(MATCH($V$3&amp;"#"&amp;ROWS(W$4:W289),发票统计!$W$4:$W$1003,0),""))</f>
        <v/>
      </c>
    </row>
    <row r="290" customFormat="false" ht="16.5" hidden="false" customHeight="false" outlineLevel="0" collapsed="false">
      <c r="A290" s="3" t="str">
        <f aca="false">IF($W290="","",INDEX(发票统计!A$4:A$1003,$W290)&amp;"")</f>
        <v/>
      </c>
      <c r="B290" s="3" t="str">
        <f aca="false">IF($W290="","",INDEX(发票统计!B$4:B$1003,$W290)&amp;"")</f>
        <v/>
      </c>
      <c r="C290" s="3" t="str">
        <f aca="false">IF($W290="","",INDEX(发票统计!C$4:C$1003,$W290)&amp;"")</f>
        <v/>
      </c>
      <c r="D290" s="3" t="str">
        <f aca="false">IF($W290="","",INDEX(发票统计!D$4:D$1003,$W290)&amp;"")</f>
        <v/>
      </c>
      <c r="E290" s="56" t="str">
        <f aca="false">IF($W290="","",INDEX(发票统计!E$4:E$1003,$W290)&amp;"")</f>
        <v/>
      </c>
      <c r="F290" s="56" t="str">
        <f aca="false">IF($W290="","",INDEX(发票统计!F$4:F$1003,$W290)&amp;"")</f>
        <v/>
      </c>
      <c r="G290" s="68" t="str">
        <f aca="false">IF($W290="","",IF(INDEX(发票统计!G$4:G$1003,$W290)="","",INDEX(发票统计!G$4:G$1003,$W290)))</f>
        <v/>
      </c>
      <c r="H290" s="56" t="str">
        <f aca="false">IF($W290="","",N(INDEX(发票统计!H$4:H$1003,$W290)))</f>
        <v/>
      </c>
      <c r="I290" s="56" t="str">
        <f aca="false">IF($W290="","",N(INDEX(发票统计!I$4:I$1003,$W290)))</f>
        <v/>
      </c>
      <c r="J290" s="56" t="str">
        <f aca="false">IF($W290="","",N(INDEX(发票统计!J$4:J$1003,$W290)))</f>
        <v/>
      </c>
      <c r="K290" s="56" t="str">
        <f aca="false">IF($W290="","",N(INDEX(发票统计!K$4:K$1003,$W290)))</f>
        <v/>
      </c>
      <c r="L290" s="56" t="str">
        <f aca="false">IF($W290="","",SUM(J$4:J290)-SUM(K$4:K290))</f>
        <v/>
      </c>
      <c r="M290" s="56" t="str">
        <f aca="false">IF($W290="","",N(INDEX(发票统计!M$4:M$1003,$W290)))</f>
        <v/>
      </c>
      <c r="N290" s="56" t="str">
        <f aca="false">IF($W290="","",N(INDEX(发票统计!N$4:N$1003,$W290)))</f>
        <v/>
      </c>
      <c r="O290" s="56" t="str">
        <f aca="false">IF($W290="","",N(INDEX(发票统计!O$4:O$1003,$W290)))</f>
        <v/>
      </c>
      <c r="P290" s="56" t="str">
        <f aca="false">IF($W290="","",SUM(M$4:M290)-SUM(N$4:N290)-SUM(O$4:O290))</f>
        <v/>
      </c>
      <c r="Q290" s="56" t="str">
        <f aca="false">IF($W290="","",N(INDEX(发票统计!Q$4:Q$1003,$W290)))</f>
        <v/>
      </c>
      <c r="R290" s="56" t="str">
        <f aca="false">IF($W290="","",N(INDEX(发票统计!R$4:R$1003,$W290)))</f>
        <v/>
      </c>
      <c r="S290" s="56" t="str">
        <f aca="false">IF($W290="","",N(INDEX(发票统计!S$4:S$1003,$W290)))</f>
        <v/>
      </c>
      <c r="T290" s="56" t="str">
        <f aca="false">IF($W290="","",SUM(Q$4:Q290)-SUM(R$4:R290)-SUM(S$4:S290))</f>
        <v/>
      </c>
      <c r="U290" s="56" t="str">
        <f aca="false">IF($W290="","",INDEX(发票统计!U$4:U$1003,$W290)&amp;"")</f>
        <v/>
      </c>
      <c r="W290" s="1" t="str">
        <f aca="false">IF($V$3="","",IFERROR(MATCH($V$3&amp;"#"&amp;ROWS(W$4:W290),发票统计!$W$4:$W$1003,0),""))</f>
        <v/>
      </c>
    </row>
    <row r="291" customFormat="false" ht="16.5" hidden="false" customHeight="false" outlineLevel="0" collapsed="false">
      <c r="A291" s="3" t="str">
        <f aca="false">IF($W291="","",INDEX(发票统计!A$4:A$1003,$W291)&amp;"")</f>
        <v/>
      </c>
      <c r="B291" s="3" t="str">
        <f aca="false">IF($W291="","",INDEX(发票统计!B$4:B$1003,$W291)&amp;"")</f>
        <v/>
      </c>
      <c r="C291" s="3" t="str">
        <f aca="false">IF($W291="","",INDEX(发票统计!C$4:C$1003,$W291)&amp;"")</f>
        <v/>
      </c>
      <c r="D291" s="3" t="str">
        <f aca="false">IF($W291="","",INDEX(发票统计!D$4:D$1003,$W291)&amp;"")</f>
        <v/>
      </c>
      <c r="E291" s="56" t="str">
        <f aca="false">IF($W291="","",INDEX(发票统计!E$4:E$1003,$W291)&amp;"")</f>
        <v/>
      </c>
      <c r="F291" s="56" t="str">
        <f aca="false">IF($W291="","",INDEX(发票统计!F$4:F$1003,$W291)&amp;"")</f>
        <v/>
      </c>
      <c r="G291" s="68" t="str">
        <f aca="false">IF($W291="","",IF(INDEX(发票统计!G$4:G$1003,$W291)="","",INDEX(发票统计!G$4:G$1003,$W291)))</f>
        <v/>
      </c>
      <c r="H291" s="56" t="str">
        <f aca="false">IF($W291="","",N(INDEX(发票统计!H$4:H$1003,$W291)))</f>
        <v/>
      </c>
      <c r="I291" s="56" t="str">
        <f aca="false">IF($W291="","",N(INDEX(发票统计!I$4:I$1003,$W291)))</f>
        <v/>
      </c>
      <c r="J291" s="56" t="str">
        <f aca="false">IF($W291="","",N(INDEX(发票统计!J$4:J$1003,$W291)))</f>
        <v/>
      </c>
      <c r="K291" s="56" t="str">
        <f aca="false">IF($W291="","",N(INDEX(发票统计!K$4:K$1003,$W291)))</f>
        <v/>
      </c>
      <c r="L291" s="56" t="str">
        <f aca="false">IF($W291="","",SUM(J$4:J291)-SUM(K$4:K291))</f>
        <v/>
      </c>
      <c r="M291" s="56" t="str">
        <f aca="false">IF($W291="","",N(INDEX(发票统计!M$4:M$1003,$W291)))</f>
        <v/>
      </c>
      <c r="N291" s="56" t="str">
        <f aca="false">IF($W291="","",N(INDEX(发票统计!N$4:N$1003,$W291)))</f>
        <v/>
      </c>
      <c r="O291" s="56" t="str">
        <f aca="false">IF($W291="","",N(INDEX(发票统计!O$4:O$1003,$W291)))</f>
        <v/>
      </c>
      <c r="P291" s="56" t="str">
        <f aca="false">IF($W291="","",SUM(M$4:M291)-SUM(N$4:N291)-SUM(O$4:O291))</f>
        <v/>
      </c>
      <c r="Q291" s="56" t="str">
        <f aca="false">IF($W291="","",N(INDEX(发票统计!Q$4:Q$1003,$W291)))</f>
        <v/>
      </c>
      <c r="R291" s="56" t="str">
        <f aca="false">IF($W291="","",N(INDEX(发票统计!R$4:R$1003,$W291)))</f>
        <v/>
      </c>
      <c r="S291" s="56" t="str">
        <f aca="false">IF($W291="","",N(INDEX(发票统计!S$4:S$1003,$W291)))</f>
        <v/>
      </c>
      <c r="T291" s="56" t="str">
        <f aca="false">IF($W291="","",SUM(Q$4:Q291)-SUM(R$4:R291)-SUM(S$4:S291))</f>
        <v/>
      </c>
      <c r="U291" s="56" t="str">
        <f aca="false">IF($W291="","",INDEX(发票统计!U$4:U$1003,$W291)&amp;"")</f>
        <v/>
      </c>
      <c r="W291" s="1" t="str">
        <f aca="false">IF($V$3="","",IFERROR(MATCH($V$3&amp;"#"&amp;ROWS(W$4:W291),发票统计!$W$4:$W$1003,0),""))</f>
        <v/>
      </c>
    </row>
    <row r="292" customFormat="false" ht="16.5" hidden="false" customHeight="false" outlineLevel="0" collapsed="false">
      <c r="A292" s="3" t="str">
        <f aca="false">IF($W292="","",INDEX(发票统计!A$4:A$1003,$W292)&amp;"")</f>
        <v/>
      </c>
      <c r="B292" s="3" t="str">
        <f aca="false">IF($W292="","",INDEX(发票统计!B$4:B$1003,$W292)&amp;"")</f>
        <v/>
      </c>
      <c r="C292" s="3" t="str">
        <f aca="false">IF($W292="","",INDEX(发票统计!C$4:C$1003,$W292)&amp;"")</f>
        <v/>
      </c>
      <c r="D292" s="3" t="str">
        <f aca="false">IF($W292="","",INDEX(发票统计!D$4:D$1003,$W292)&amp;"")</f>
        <v/>
      </c>
      <c r="E292" s="56" t="str">
        <f aca="false">IF($W292="","",INDEX(发票统计!E$4:E$1003,$W292)&amp;"")</f>
        <v/>
      </c>
      <c r="F292" s="56" t="str">
        <f aca="false">IF($W292="","",INDEX(发票统计!F$4:F$1003,$W292)&amp;"")</f>
        <v/>
      </c>
      <c r="G292" s="68" t="str">
        <f aca="false">IF($W292="","",IF(INDEX(发票统计!G$4:G$1003,$W292)="","",INDEX(发票统计!G$4:G$1003,$W292)))</f>
        <v/>
      </c>
      <c r="H292" s="56" t="str">
        <f aca="false">IF($W292="","",N(INDEX(发票统计!H$4:H$1003,$W292)))</f>
        <v/>
      </c>
      <c r="I292" s="56" t="str">
        <f aca="false">IF($W292="","",N(INDEX(发票统计!I$4:I$1003,$W292)))</f>
        <v/>
      </c>
      <c r="J292" s="56" t="str">
        <f aca="false">IF($W292="","",N(INDEX(发票统计!J$4:J$1003,$W292)))</f>
        <v/>
      </c>
      <c r="K292" s="56" t="str">
        <f aca="false">IF($W292="","",N(INDEX(发票统计!K$4:K$1003,$W292)))</f>
        <v/>
      </c>
      <c r="L292" s="56" t="str">
        <f aca="false">IF($W292="","",SUM(J$4:J292)-SUM(K$4:K292))</f>
        <v/>
      </c>
      <c r="M292" s="56" t="str">
        <f aca="false">IF($W292="","",N(INDEX(发票统计!M$4:M$1003,$W292)))</f>
        <v/>
      </c>
      <c r="N292" s="56" t="str">
        <f aca="false">IF($W292="","",N(INDEX(发票统计!N$4:N$1003,$W292)))</f>
        <v/>
      </c>
      <c r="O292" s="56" t="str">
        <f aca="false">IF($W292="","",N(INDEX(发票统计!O$4:O$1003,$W292)))</f>
        <v/>
      </c>
      <c r="P292" s="56" t="str">
        <f aca="false">IF($W292="","",SUM(M$4:M292)-SUM(N$4:N292)-SUM(O$4:O292))</f>
        <v/>
      </c>
      <c r="Q292" s="56" t="str">
        <f aca="false">IF($W292="","",N(INDEX(发票统计!Q$4:Q$1003,$W292)))</f>
        <v/>
      </c>
      <c r="R292" s="56" t="str">
        <f aca="false">IF($W292="","",N(INDEX(发票统计!R$4:R$1003,$W292)))</f>
        <v/>
      </c>
      <c r="S292" s="56" t="str">
        <f aca="false">IF($W292="","",N(INDEX(发票统计!S$4:S$1003,$W292)))</f>
        <v/>
      </c>
      <c r="T292" s="56" t="str">
        <f aca="false">IF($W292="","",SUM(Q$4:Q292)-SUM(R$4:R292)-SUM(S$4:S292))</f>
        <v/>
      </c>
      <c r="U292" s="56" t="str">
        <f aca="false">IF($W292="","",INDEX(发票统计!U$4:U$1003,$W292)&amp;"")</f>
        <v/>
      </c>
      <c r="W292" s="1" t="str">
        <f aca="false">IF($V$3="","",IFERROR(MATCH($V$3&amp;"#"&amp;ROWS(W$4:W292),发票统计!$W$4:$W$1003,0),""))</f>
        <v/>
      </c>
    </row>
    <row r="293" customFormat="false" ht="16.5" hidden="false" customHeight="false" outlineLevel="0" collapsed="false">
      <c r="A293" s="3" t="str">
        <f aca="false">IF($W293="","",INDEX(发票统计!A$4:A$1003,$W293)&amp;"")</f>
        <v/>
      </c>
      <c r="B293" s="3" t="str">
        <f aca="false">IF($W293="","",INDEX(发票统计!B$4:B$1003,$W293)&amp;"")</f>
        <v/>
      </c>
      <c r="C293" s="3" t="str">
        <f aca="false">IF($W293="","",INDEX(发票统计!C$4:C$1003,$W293)&amp;"")</f>
        <v/>
      </c>
      <c r="D293" s="3" t="str">
        <f aca="false">IF($W293="","",INDEX(发票统计!D$4:D$1003,$W293)&amp;"")</f>
        <v/>
      </c>
      <c r="E293" s="56" t="str">
        <f aca="false">IF($W293="","",INDEX(发票统计!E$4:E$1003,$W293)&amp;"")</f>
        <v/>
      </c>
      <c r="F293" s="56" t="str">
        <f aca="false">IF($W293="","",INDEX(发票统计!F$4:F$1003,$W293)&amp;"")</f>
        <v/>
      </c>
      <c r="G293" s="68" t="str">
        <f aca="false">IF($W293="","",IF(INDEX(发票统计!G$4:G$1003,$W293)="","",INDEX(发票统计!G$4:G$1003,$W293)))</f>
        <v/>
      </c>
      <c r="H293" s="56" t="str">
        <f aca="false">IF($W293="","",N(INDEX(发票统计!H$4:H$1003,$W293)))</f>
        <v/>
      </c>
      <c r="I293" s="56" t="str">
        <f aca="false">IF($W293="","",N(INDEX(发票统计!I$4:I$1003,$W293)))</f>
        <v/>
      </c>
      <c r="J293" s="56" t="str">
        <f aca="false">IF($W293="","",N(INDEX(发票统计!J$4:J$1003,$W293)))</f>
        <v/>
      </c>
      <c r="K293" s="56" t="str">
        <f aca="false">IF($W293="","",N(INDEX(发票统计!K$4:K$1003,$W293)))</f>
        <v/>
      </c>
      <c r="L293" s="56" t="str">
        <f aca="false">IF($W293="","",SUM(J$4:J293)-SUM(K$4:K293))</f>
        <v/>
      </c>
      <c r="M293" s="56" t="str">
        <f aca="false">IF($W293="","",N(INDEX(发票统计!M$4:M$1003,$W293)))</f>
        <v/>
      </c>
      <c r="N293" s="56" t="str">
        <f aca="false">IF($W293="","",N(INDEX(发票统计!N$4:N$1003,$W293)))</f>
        <v/>
      </c>
      <c r="O293" s="56" t="str">
        <f aca="false">IF($W293="","",N(INDEX(发票统计!O$4:O$1003,$W293)))</f>
        <v/>
      </c>
      <c r="P293" s="56" t="str">
        <f aca="false">IF($W293="","",SUM(M$4:M293)-SUM(N$4:N293)-SUM(O$4:O293))</f>
        <v/>
      </c>
      <c r="Q293" s="56" t="str">
        <f aca="false">IF($W293="","",N(INDEX(发票统计!Q$4:Q$1003,$W293)))</f>
        <v/>
      </c>
      <c r="R293" s="56" t="str">
        <f aca="false">IF($W293="","",N(INDEX(发票统计!R$4:R$1003,$W293)))</f>
        <v/>
      </c>
      <c r="S293" s="56" t="str">
        <f aca="false">IF($W293="","",N(INDEX(发票统计!S$4:S$1003,$W293)))</f>
        <v/>
      </c>
      <c r="T293" s="56" t="str">
        <f aca="false">IF($W293="","",SUM(Q$4:Q293)-SUM(R$4:R293)-SUM(S$4:S293))</f>
        <v/>
      </c>
      <c r="U293" s="56" t="str">
        <f aca="false">IF($W293="","",INDEX(发票统计!U$4:U$1003,$W293)&amp;"")</f>
        <v/>
      </c>
      <c r="W293" s="1" t="str">
        <f aca="false">IF($V$3="","",IFERROR(MATCH($V$3&amp;"#"&amp;ROWS(W$4:W293),发票统计!$W$4:$W$1003,0),""))</f>
        <v/>
      </c>
    </row>
    <row r="294" customFormat="false" ht="16.5" hidden="false" customHeight="false" outlineLevel="0" collapsed="false">
      <c r="A294" s="3" t="str">
        <f aca="false">IF($W294="","",INDEX(发票统计!A$4:A$1003,$W294)&amp;"")</f>
        <v/>
      </c>
      <c r="B294" s="3" t="str">
        <f aca="false">IF($W294="","",INDEX(发票统计!B$4:B$1003,$W294)&amp;"")</f>
        <v/>
      </c>
      <c r="C294" s="3" t="str">
        <f aca="false">IF($W294="","",INDEX(发票统计!C$4:C$1003,$W294)&amp;"")</f>
        <v/>
      </c>
      <c r="D294" s="3" t="str">
        <f aca="false">IF($W294="","",INDEX(发票统计!D$4:D$1003,$W294)&amp;"")</f>
        <v/>
      </c>
      <c r="E294" s="56" t="str">
        <f aca="false">IF($W294="","",INDEX(发票统计!E$4:E$1003,$W294)&amp;"")</f>
        <v/>
      </c>
      <c r="F294" s="56" t="str">
        <f aca="false">IF($W294="","",INDEX(发票统计!F$4:F$1003,$W294)&amp;"")</f>
        <v/>
      </c>
      <c r="G294" s="68" t="str">
        <f aca="false">IF($W294="","",IF(INDEX(发票统计!G$4:G$1003,$W294)="","",INDEX(发票统计!G$4:G$1003,$W294)))</f>
        <v/>
      </c>
      <c r="H294" s="56" t="str">
        <f aca="false">IF($W294="","",N(INDEX(发票统计!H$4:H$1003,$W294)))</f>
        <v/>
      </c>
      <c r="I294" s="56" t="str">
        <f aca="false">IF($W294="","",N(INDEX(发票统计!I$4:I$1003,$W294)))</f>
        <v/>
      </c>
      <c r="J294" s="56" t="str">
        <f aca="false">IF($W294="","",N(INDEX(发票统计!J$4:J$1003,$W294)))</f>
        <v/>
      </c>
      <c r="K294" s="56" t="str">
        <f aca="false">IF($W294="","",N(INDEX(发票统计!K$4:K$1003,$W294)))</f>
        <v/>
      </c>
      <c r="L294" s="56" t="str">
        <f aca="false">IF($W294="","",SUM(J$4:J294)-SUM(K$4:K294))</f>
        <v/>
      </c>
      <c r="M294" s="56" t="str">
        <f aca="false">IF($W294="","",N(INDEX(发票统计!M$4:M$1003,$W294)))</f>
        <v/>
      </c>
      <c r="N294" s="56" t="str">
        <f aca="false">IF($W294="","",N(INDEX(发票统计!N$4:N$1003,$W294)))</f>
        <v/>
      </c>
      <c r="O294" s="56" t="str">
        <f aca="false">IF($W294="","",N(INDEX(发票统计!O$4:O$1003,$W294)))</f>
        <v/>
      </c>
      <c r="P294" s="56" t="str">
        <f aca="false">IF($W294="","",SUM(M$4:M294)-SUM(N$4:N294)-SUM(O$4:O294))</f>
        <v/>
      </c>
      <c r="Q294" s="56" t="str">
        <f aca="false">IF($W294="","",N(INDEX(发票统计!Q$4:Q$1003,$W294)))</f>
        <v/>
      </c>
      <c r="R294" s="56" t="str">
        <f aca="false">IF($W294="","",N(INDEX(发票统计!R$4:R$1003,$W294)))</f>
        <v/>
      </c>
      <c r="S294" s="56" t="str">
        <f aca="false">IF($W294="","",N(INDEX(发票统计!S$4:S$1003,$W294)))</f>
        <v/>
      </c>
      <c r="T294" s="56" t="str">
        <f aca="false">IF($W294="","",SUM(Q$4:Q294)-SUM(R$4:R294)-SUM(S$4:S294))</f>
        <v/>
      </c>
      <c r="U294" s="56" t="str">
        <f aca="false">IF($W294="","",INDEX(发票统计!U$4:U$1003,$W294)&amp;"")</f>
        <v/>
      </c>
      <c r="W294" s="1" t="str">
        <f aca="false">IF($V$3="","",IFERROR(MATCH($V$3&amp;"#"&amp;ROWS(W$4:W294),发票统计!$W$4:$W$1003,0),""))</f>
        <v/>
      </c>
    </row>
    <row r="295" customFormat="false" ht="16.5" hidden="false" customHeight="false" outlineLevel="0" collapsed="false">
      <c r="A295" s="3" t="str">
        <f aca="false">IF($W295="","",INDEX(发票统计!A$4:A$1003,$W295)&amp;"")</f>
        <v/>
      </c>
      <c r="B295" s="3" t="str">
        <f aca="false">IF($W295="","",INDEX(发票统计!B$4:B$1003,$W295)&amp;"")</f>
        <v/>
      </c>
      <c r="C295" s="3" t="str">
        <f aca="false">IF($W295="","",INDEX(发票统计!C$4:C$1003,$W295)&amp;"")</f>
        <v/>
      </c>
      <c r="D295" s="3" t="str">
        <f aca="false">IF($W295="","",INDEX(发票统计!D$4:D$1003,$W295)&amp;"")</f>
        <v/>
      </c>
      <c r="E295" s="56" t="str">
        <f aca="false">IF($W295="","",INDEX(发票统计!E$4:E$1003,$W295)&amp;"")</f>
        <v/>
      </c>
      <c r="F295" s="56" t="str">
        <f aca="false">IF($W295="","",INDEX(发票统计!F$4:F$1003,$W295)&amp;"")</f>
        <v/>
      </c>
      <c r="G295" s="68" t="str">
        <f aca="false">IF($W295="","",IF(INDEX(发票统计!G$4:G$1003,$W295)="","",INDEX(发票统计!G$4:G$1003,$W295)))</f>
        <v/>
      </c>
      <c r="H295" s="56" t="str">
        <f aca="false">IF($W295="","",N(INDEX(发票统计!H$4:H$1003,$W295)))</f>
        <v/>
      </c>
      <c r="I295" s="56" t="str">
        <f aca="false">IF($W295="","",N(INDEX(发票统计!I$4:I$1003,$W295)))</f>
        <v/>
      </c>
      <c r="J295" s="56" t="str">
        <f aca="false">IF($W295="","",N(INDEX(发票统计!J$4:J$1003,$W295)))</f>
        <v/>
      </c>
      <c r="K295" s="56" t="str">
        <f aca="false">IF($W295="","",N(INDEX(发票统计!K$4:K$1003,$W295)))</f>
        <v/>
      </c>
      <c r="L295" s="56" t="str">
        <f aca="false">IF($W295="","",SUM(J$4:J295)-SUM(K$4:K295))</f>
        <v/>
      </c>
      <c r="M295" s="56" t="str">
        <f aca="false">IF($W295="","",N(INDEX(发票统计!M$4:M$1003,$W295)))</f>
        <v/>
      </c>
      <c r="N295" s="56" t="str">
        <f aca="false">IF($W295="","",N(INDEX(发票统计!N$4:N$1003,$W295)))</f>
        <v/>
      </c>
      <c r="O295" s="56" t="str">
        <f aca="false">IF($W295="","",N(INDEX(发票统计!O$4:O$1003,$W295)))</f>
        <v/>
      </c>
      <c r="P295" s="56" t="str">
        <f aca="false">IF($W295="","",SUM(M$4:M295)-SUM(N$4:N295)-SUM(O$4:O295))</f>
        <v/>
      </c>
      <c r="Q295" s="56" t="str">
        <f aca="false">IF($W295="","",N(INDEX(发票统计!Q$4:Q$1003,$W295)))</f>
        <v/>
      </c>
      <c r="R295" s="56" t="str">
        <f aca="false">IF($W295="","",N(INDEX(发票统计!R$4:R$1003,$W295)))</f>
        <v/>
      </c>
      <c r="S295" s="56" t="str">
        <f aca="false">IF($W295="","",N(INDEX(发票统计!S$4:S$1003,$W295)))</f>
        <v/>
      </c>
      <c r="T295" s="56" t="str">
        <f aca="false">IF($W295="","",SUM(Q$4:Q295)-SUM(R$4:R295)-SUM(S$4:S295))</f>
        <v/>
      </c>
      <c r="U295" s="56" t="str">
        <f aca="false">IF($W295="","",INDEX(发票统计!U$4:U$1003,$W295)&amp;"")</f>
        <v/>
      </c>
      <c r="W295" s="1" t="str">
        <f aca="false">IF($V$3="","",IFERROR(MATCH($V$3&amp;"#"&amp;ROWS(W$4:W295),发票统计!$W$4:$W$1003,0),""))</f>
        <v/>
      </c>
    </row>
    <row r="296" customFormat="false" ht="16.5" hidden="false" customHeight="false" outlineLevel="0" collapsed="false">
      <c r="A296" s="3" t="str">
        <f aca="false">IF($W296="","",INDEX(发票统计!A$4:A$1003,$W296)&amp;"")</f>
        <v/>
      </c>
      <c r="B296" s="3" t="str">
        <f aca="false">IF($W296="","",INDEX(发票统计!B$4:B$1003,$W296)&amp;"")</f>
        <v/>
      </c>
      <c r="C296" s="3" t="str">
        <f aca="false">IF($W296="","",INDEX(发票统计!C$4:C$1003,$W296)&amp;"")</f>
        <v/>
      </c>
      <c r="D296" s="3" t="str">
        <f aca="false">IF($W296="","",INDEX(发票统计!D$4:D$1003,$W296)&amp;"")</f>
        <v/>
      </c>
      <c r="E296" s="56" t="str">
        <f aca="false">IF($W296="","",INDEX(发票统计!E$4:E$1003,$W296)&amp;"")</f>
        <v/>
      </c>
      <c r="F296" s="56" t="str">
        <f aca="false">IF($W296="","",INDEX(发票统计!F$4:F$1003,$W296)&amp;"")</f>
        <v/>
      </c>
      <c r="G296" s="68" t="str">
        <f aca="false">IF($W296="","",IF(INDEX(发票统计!G$4:G$1003,$W296)="","",INDEX(发票统计!G$4:G$1003,$W296)))</f>
        <v/>
      </c>
      <c r="H296" s="56" t="str">
        <f aca="false">IF($W296="","",N(INDEX(发票统计!H$4:H$1003,$W296)))</f>
        <v/>
      </c>
      <c r="I296" s="56" t="str">
        <f aca="false">IF($W296="","",N(INDEX(发票统计!I$4:I$1003,$W296)))</f>
        <v/>
      </c>
      <c r="J296" s="56" t="str">
        <f aca="false">IF($W296="","",N(INDEX(发票统计!J$4:J$1003,$W296)))</f>
        <v/>
      </c>
      <c r="K296" s="56" t="str">
        <f aca="false">IF($W296="","",N(INDEX(发票统计!K$4:K$1003,$W296)))</f>
        <v/>
      </c>
      <c r="L296" s="56" t="str">
        <f aca="false">IF($W296="","",SUM(J$4:J296)-SUM(K$4:K296))</f>
        <v/>
      </c>
      <c r="M296" s="56" t="str">
        <f aca="false">IF($W296="","",N(INDEX(发票统计!M$4:M$1003,$W296)))</f>
        <v/>
      </c>
      <c r="N296" s="56" t="str">
        <f aca="false">IF($W296="","",N(INDEX(发票统计!N$4:N$1003,$W296)))</f>
        <v/>
      </c>
      <c r="O296" s="56" t="str">
        <f aca="false">IF($W296="","",N(INDEX(发票统计!O$4:O$1003,$W296)))</f>
        <v/>
      </c>
      <c r="P296" s="56" t="str">
        <f aca="false">IF($W296="","",SUM(M$4:M296)-SUM(N$4:N296)-SUM(O$4:O296))</f>
        <v/>
      </c>
      <c r="Q296" s="56" t="str">
        <f aca="false">IF($W296="","",N(INDEX(发票统计!Q$4:Q$1003,$W296)))</f>
        <v/>
      </c>
      <c r="R296" s="56" t="str">
        <f aca="false">IF($W296="","",N(INDEX(发票统计!R$4:R$1003,$W296)))</f>
        <v/>
      </c>
      <c r="S296" s="56" t="str">
        <f aca="false">IF($W296="","",N(INDEX(发票统计!S$4:S$1003,$W296)))</f>
        <v/>
      </c>
      <c r="T296" s="56" t="str">
        <f aca="false">IF($W296="","",SUM(Q$4:Q296)-SUM(R$4:R296)-SUM(S$4:S296))</f>
        <v/>
      </c>
      <c r="U296" s="56" t="str">
        <f aca="false">IF($W296="","",INDEX(发票统计!U$4:U$1003,$W296)&amp;"")</f>
        <v/>
      </c>
      <c r="W296" s="1" t="str">
        <f aca="false">IF($V$3="","",IFERROR(MATCH($V$3&amp;"#"&amp;ROWS(W$4:W296),发票统计!$W$4:$W$1003,0),""))</f>
        <v/>
      </c>
    </row>
    <row r="297" customFormat="false" ht="16.5" hidden="false" customHeight="false" outlineLevel="0" collapsed="false">
      <c r="A297" s="3" t="str">
        <f aca="false">IF($W297="","",INDEX(发票统计!A$4:A$1003,$W297)&amp;"")</f>
        <v/>
      </c>
      <c r="B297" s="3" t="str">
        <f aca="false">IF($W297="","",INDEX(发票统计!B$4:B$1003,$W297)&amp;"")</f>
        <v/>
      </c>
      <c r="C297" s="3" t="str">
        <f aca="false">IF($W297="","",INDEX(发票统计!C$4:C$1003,$W297)&amp;"")</f>
        <v/>
      </c>
      <c r="D297" s="3" t="str">
        <f aca="false">IF($W297="","",INDEX(发票统计!D$4:D$1003,$W297)&amp;"")</f>
        <v/>
      </c>
      <c r="E297" s="56" t="str">
        <f aca="false">IF($W297="","",INDEX(发票统计!E$4:E$1003,$W297)&amp;"")</f>
        <v/>
      </c>
      <c r="F297" s="56" t="str">
        <f aca="false">IF($W297="","",INDEX(发票统计!F$4:F$1003,$W297)&amp;"")</f>
        <v/>
      </c>
      <c r="G297" s="68" t="str">
        <f aca="false">IF($W297="","",IF(INDEX(发票统计!G$4:G$1003,$W297)="","",INDEX(发票统计!G$4:G$1003,$W297)))</f>
        <v/>
      </c>
      <c r="H297" s="56" t="str">
        <f aca="false">IF($W297="","",N(INDEX(发票统计!H$4:H$1003,$W297)))</f>
        <v/>
      </c>
      <c r="I297" s="56" t="str">
        <f aca="false">IF($W297="","",N(INDEX(发票统计!I$4:I$1003,$W297)))</f>
        <v/>
      </c>
      <c r="J297" s="56" t="str">
        <f aca="false">IF($W297="","",N(INDEX(发票统计!J$4:J$1003,$W297)))</f>
        <v/>
      </c>
      <c r="K297" s="56" t="str">
        <f aca="false">IF($W297="","",N(INDEX(发票统计!K$4:K$1003,$W297)))</f>
        <v/>
      </c>
      <c r="L297" s="56" t="str">
        <f aca="false">IF($W297="","",SUM(J$4:J297)-SUM(K$4:K297))</f>
        <v/>
      </c>
      <c r="M297" s="56" t="str">
        <f aca="false">IF($W297="","",N(INDEX(发票统计!M$4:M$1003,$W297)))</f>
        <v/>
      </c>
      <c r="N297" s="56" t="str">
        <f aca="false">IF($W297="","",N(INDEX(发票统计!N$4:N$1003,$W297)))</f>
        <v/>
      </c>
      <c r="O297" s="56" t="str">
        <f aca="false">IF($W297="","",N(INDEX(发票统计!O$4:O$1003,$W297)))</f>
        <v/>
      </c>
      <c r="P297" s="56" t="str">
        <f aca="false">IF($W297="","",SUM(M$4:M297)-SUM(N$4:N297)-SUM(O$4:O297))</f>
        <v/>
      </c>
      <c r="Q297" s="56" t="str">
        <f aca="false">IF($W297="","",N(INDEX(发票统计!Q$4:Q$1003,$W297)))</f>
        <v/>
      </c>
      <c r="R297" s="56" t="str">
        <f aca="false">IF($W297="","",N(INDEX(发票统计!R$4:R$1003,$W297)))</f>
        <v/>
      </c>
      <c r="S297" s="56" t="str">
        <f aca="false">IF($W297="","",N(INDEX(发票统计!S$4:S$1003,$W297)))</f>
        <v/>
      </c>
      <c r="T297" s="56" t="str">
        <f aca="false">IF($W297="","",SUM(Q$4:Q297)-SUM(R$4:R297)-SUM(S$4:S297))</f>
        <v/>
      </c>
      <c r="U297" s="56" t="str">
        <f aca="false">IF($W297="","",INDEX(发票统计!U$4:U$1003,$W297)&amp;"")</f>
        <v/>
      </c>
      <c r="W297" s="1" t="str">
        <f aca="false">IF($V$3="","",IFERROR(MATCH($V$3&amp;"#"&amp;ROWS(W$4:W297),发票统计!$W$4:$W$1003,0),""))</f>
        <v/>
      </c>
    </row>
    <row r="298" customFormat="false" ht="16.5" hidden="false" customHeight="false" outlineLevel="0" collapsed="false">
      <c r="A298" s="3" t="str">
        <f aca="false">IF($W298="","",INDEX(发票统计!A$4:A$1003,$W298)&amp;"")</f>
        <v/>
      </c>
      <c r="B298" s="3" t="str">
        <f aca="false">IF($W298="","",INDEX(发票统计!B$4:B$1003,$W298)&amp;"")</f>
        <v/>
      </c>
      <c r="C298" s="3" t="str">
        <f aca="false">IF($W298="","",INDEX(发票统计!C$4:C$1003,$W298)&amp;"")</f>
        <v/>
      </c>
      <c r="D298" s="3" t="str">
        <f aca="false">IF($W298="","",INDEX(发票统计!D$4:D$1003,$W298)&amp;"")</f>
        <v/>
      </c>
      <c r="E298" s="56" t="str">
        <f aca="false">IF($W298="","",INDEX(发票统计!E$4:E$1003,$W298)&amp;"")</f>
        <v/>
      </c>
      <c r="F298" s="56" t="str">
        <f aca="false">IF($W298="","",INDEX(发票统计!F$4:F$1003,$W298)&amp;"")</f>
        <v/>
      </c>
      <c r="G298" s="68" t="str">
        <f aca="false">IF($W298="","",IF(INDEX(发票统计!G$4:G$1003,$W298)="","",INDEX(发票统计!G$4:G$1003,$W298)))</f>
        <v/>
      </c>
      <c r="H298" s="56" t="str">
        <f aca="false">IF($W298="","",N(INDEX(发票统计!H$4:H$1003,$W298)))</f>
        <v/>
      </c>
      <c r="I298" s="56" t="str">
        <f aca="false">IF($W298="","",N(INDEX(发票统计!I$4:I$1003,$W298)))</f>
        <v/>
      </c>
      <c r="J298" s="56" t="str">
        <f aca="false">IF($W298="","",N(INDEX(发票统计!J$4:J$1003,$W298)))</f>
        <v/>
      </c>
      <c r="K298" s="56" t="str">
        <f aca="false">IF($W298="","",N(INDEX(发票统计!K$4:K$1003,$W298)))</f>
        <v/>
      </c>
      <c r="L298" s="56" t="str">
        <f aca="false">IF($W298="","",SUM(J$4:J298)-SUM(K$4:K298))</f>
        <v/>
      </c>
      <c r="M298" s="56" t="str">
        <f aca="false">IF($W298="","",N(INDEX(发票统计!M$4:M$1003,$W298)))</f>
        <v/>
      </c>
      <c r="N298" s="56" t="str">
        <f aca="false">IF($W298="","",N(INDEX(发票统计!N$4:N$1003,$W298)))</f>
        <v/>
      </c>
      <c r="O298" s="56" t="str">
        <f aca="false">IF($W298="","",N(INDEX(发票统计!O$4:O$1003,$W298)))</f>
        <v/>
      </c>
      <c r="P298" s="56" t="str">
        <f aca="false">IF($W298="","",SUM(M$4:M298)-SUM(N$4:N298)-SUM(O$4:O298))</f>
        <v/>
      </c>
      <c r="Q298" s="56" t="str">
        <f aca="false">IF($W298="","",N(INDEX(发票统计!Q$4:Q$1003,$W298)))</f>
        <v/>
      </c>
      <c r="R298" s="56" t="str">
        <f aca="false">IF($W298="","",N(INDEX(发票统计!R$4:R$1003,$W298)))</f>
        <v/>
      </c>
      <c r="S298" s="56" t="str">
        <f aca="false">IF($W298="","",N(INDEX(发票统计!S$4:S$1003,$W298)))</f>
        <v/>
      </c>
      <c r="T298" s="56" t="str">
        <f aca="false">IF($W298="","",SUM(Q$4:Q298)-SUM(R$4:R298)-SUM(S$4:S298))</f>
        <v/>
      </c>
      <c r="U298" s="56" t="str">
        <f aca="false">IF($W298="","",INDEX(发票统计!U$4:U$1003,$W298)&amp;"")</f>
        <v/>
      </c>
      <c r="W298" s="1" t="str">
        <f aca="false">IF($V$3="","",IFERROR(MATCH($V$3&amp;"#"&amp;ROWS(W$4:W298),发票统计!$W$4:$W$1003,0),""))</f>
        <v/>
      </c>
    </row>
    <row r="299" customFormat="false" ht="16.5" hidden="false" customHeight="false" outlineLevel="0" collapsed="false">
      <c r="A299" s="3" t="str">
        <f aca="false">IF($W299="","",INDEX(发票统计!A$4:A$1003,$W299)&amp;"")</f>
        <v/>
      </c>
      <c r="B299" s="3" t="str">
        <f aca="false">IF($W299="","",INDEX(发票统计!B$4:B$1003,$W299)&amp;"")</f>
        <v/>
      </c>
      <c r="C299" s="3" t="str">
        <f aca="false">IF($W299="","",INDEX(发票统计!C$4:C$1003,$W299)&amp;"")</f>
        <v/>
      </c>
      <c r="D299" s="3" t="str">
        <f aca="false">IF($W299="","",INDEX(发票统计!D$4:D$1003,$W299)&amp;"")</f>
        <v/>
      </c>
      <c r="E299" s="56" t="str">
        <f aca="false">IF($W299="","",INDEX(发票统计!E$4:E$1003,$W299)&amp;"")</f>
        <v/>
      </c>
      <c r="F299" s="56" t="str">
        <f aca="false">IF($W299="","",INDEX(发票统计!F$4:F$1003,$W299)&amp;"")</f>
        <v/>
      </c>
      <c r="G299" s="68" t="str">
        <f aca="false">IF($W299="","",IF(INDEX(发票统计!G$4:G$1003,$W299)="","",INDEX(发票统计!G$4:G$1003,$W299)))</f>
        <v/>
      </c>
      <c r="H299" s="56" t="str">
        <f aca="false">IF($W299="","",N(INDEX(发票统计!H$4:H$1003,$W299)))</f>
        <v/>
      </c>
      <c r="I299" s="56" t="str">
        <f aca="false">IF($W299="","",N(INDEX(发票统计!I$4:I$1003,$W299)))</f>
        <v/>
      </c>
      <c r="J299" s="56" t="str">
        <f aca="false">IF($W299="","",N(INDEX(发票统计!J$4:J$1003,$W299)))</f>
        <v/>
      </c>
      <c r="K299" s="56" t="str">
        <f aca="false">IF($W299="","",N(INDEX(发票统计!K$4:K$1003,$W299)))</f>
        <v/>
      </c>
      <c r="L299" s="56" t="str">
        <f aca="false">IF($W299="","",SUM(J$4:J299)-SUM(K$4:K299))</f>
        <v/>
      </c>
      <c r="M299" s="56" t="str">
        <f aca="false">IF($W299="","",N(INDEX(发票统计!M$4:M$1003,$W299)))</f>
        <v/>
      </c>
      <c r="N299" s="56" t="str">
        <f aca="false">IF($W299="","",N(INDEX(发票统计!N$4:N$1003,$W299)))</f>
        <v/>
      </c>
      <c r="O299" s="56" t="str">
        <f aca="false">IF($W299="","",N(INDEX(发票统计!O$4:O$1003,$W299)))</f>
        <v/>
      </c>
      <c r="P299" s="56" t="str">
        <f aca="false">IF($W299="","",SUM(M$4:M299)-SUM(N$4:N299)-SUM(O$4:O299))</f>
        <v/>
      </c>
      <c r="Q299" s="56" t="str">
        <f aca="false">IF($W299="","",N(INDEX(发票统计!Q$4:Q$1003,$W299)))</f>
        <v/>
      </c>
      <c r="R299" s="56" t="str">
        <f aca="false">IF($W299="","",N(INDEX(发票统计!R$4:R$1003,$W299)))</f>
        <v/>
      </c>
      <c r="S299" s="56" t="str">
        <f aca="false">IF($W299="","",N(INDEX(发票统计!S$4:S$1003,$W299)))</f>
        <v/>
      </c>
      <c r="T299" s="56" t="str">
        <f aca="false">IF($W299="","",SUM(Q$4:Q299)-SUM(R$4:R299)-SUM(S$4:S299))</f>
        <v/>
      </c>
      <c r="U299" s="56" t="str">
        <f aca="false">IF($W299="","",INDEX(发票统计!U$4:U$1003,$W299)&amp;"")</f>
        <v/>
      </c>
      <c r="W299" s="1" t="str">
        <f aca="false">IF($V$3="","",IFERROR(MATCH($V$3&amp;"#"&amp;ROWS(W$4:W299),发票统计!$W$4:$W$1003,0),""))</f>
        <v/>
      </c>
    </row>
    <row r="300" customFormat="false" ht="16.5" hidden="false" customHeight="false" outlineLevel="0" collapsed="false">
      <c r="A300" s="3" t="str">
        <f aca="false">IF($W300="","",INDEX(发票统计!A$4:A$1003,$W300)&amp;"")</f>
        <v/>
      </c>
      <c r="B300" s="3" t="str">
        <f aca="false">IF($W300="","",INDEX(发票统计!B$4:B$1003,$W300)&amp;"")</f>
        <v/>
      </c>
      <c r="C300" s="3" t="str">
        <f aca="false">IF($W300="","",INDEX(发票统计!C$4:C$1003,$W300)&amp;"")</f>
        <v/>
      </c>
      <c r="D300" s="3" t="str">
        <f aca="false">IF($W300="","",INDEX(发票统计!D$4:D$1003,$W300)&amp;"")</f>
        <v/>
      </c>
      <c r="E300" s="56" t="str">
        <f aca="false">IF($W300="","",INDEX(发票统计!E$4:E$1003,$W300)&amp;"")</f>
        <v/>
      </c>
      <c r="F300" s="56" t="str">
        <f aca="false">IF($W300="","",INDEX(发票统计!F$4:F$1003,$W300)&amp;"")</f>
        <v/>
      </c>
      <c r="G300" s="68" t="str">
        <f aca="false">IF($W300="","",IF(INDEX(发票统计!G$4:G$1003,$W300)="","",INDEX(发票统计!G$4:G$1003,$W300)))</f>
        <v/>
      </c>
      <c r="H300" s="56" t="str">
        <f aca="false">IF($W300="","",N(INDEX(发票统计!H$4:H$1003,$W300)))</f>
        <v/>
      </c>
      <c r="I300" s="56" t="str">
        <f aca="false">IF($W300="","",N(INDEX(发票统计!I$4:I$1003,$W300)))</f>
        <v/>
      </c>
      <c r="J300" s="56" t="str">
        <f aca="false">IF($W300="","",N(INDEX(发票统计!J$4:J$1003,$W300)))</f>
        <v/>
      </c>
      <c r="K300" s="56" t="str">
        <f aca="false">IF($W300="","",N(INDEX(发票统计!K$4:K$1003,$W300)))</f>
        <v/>
      </c>
      <c r="L300" s="56" t="str">
        <f aca="false">IF($W300="","",SUM(J$4:J300)-SUM(K$4:K300))</f>
        <v/>
      </c>
      <c r="M300" s="56" t="str">
        <f aca="false">IF($W300="","",N(INDEX(发票统计!M$4:M$1003,$W300)))</f>
        <v/>
      </c>
      <c r="N300" s="56" t="str">
        <f aca="false">IF($W300="","",N(INDEX(发票统计!N$4:N$1003,$W300)))</f>
        <v/>
      </c>
      <c r="O300" s="56" t="str">
        <f aca="false">IF($W300="","",N(INDEX(发票统计!O$4:O$1003,$W300)))</f>
        <v/>
      </c>
      <c r="P300" s="56" t="str">
        <f aca="false">IF($W300="","",SUM(M$4:M300)-SUM(N$4:N300)-SUM(O$4:O300))</f>
        <v/>
      </c>
      <c r="Q300" s="56" t="str">
        <f aca="false">IF($W300="","",N(INDEX(发票统计!Q$4:Q$1003,$W300)))</f>
        <v/>
      </c>
      <c r="R300" s="56" t="str">
        <f aca="false">IF($W300="","",N(INDEX(发票统计!R$4:R$1003,$W300)))</f>
        <v/>
      </c>
      <c r="S300" s="56" t="str">
        <f aca="false">IF($W300="","",N(INDEX(发票统计!S$4:S$1003,$W300)))</f>
        <v/>
      </c>
      <c r="T300" s="56" t="str">
        <f aca="false">IF($W300="","",SUM(Q$4:Q300)-SUM(R$4:R300)-SUM(S$4:S300))</f>
        <v/>
      </c>
      <c r="U300" s="56" t="str">
        <f aca="false">IF($W300="","",INDEX(发票统计!U$4:U$1003,$W300)&amp;"")</f>
        <v/>
      </c>
      <c r="W300" s="1" t="str">
        <f aca="false">IF($V$3="","",IFERROR(MATCH($V$3&amp;"#"&amp;ROWS(W$4:W300),发票统计!$W$4:$W$1003,0),""))</f>
        <v/>
      </c>
    </row>
    <row r="301" customFormat="false" ht="16.5" hidden="false" customHeight="false" outlineLevel="0" collapsed="false">
      <c r="A301" s="3" t="str">
        <f aca="false">IF($W301="","",INDEX(发票统计!A$4:A$1003,$W301)&amp;"")</f>
        <v/>
      </c>
      <c r="B301" s="3" t="str">
        <f aca="false">IF($W301="","",INDEX(发票统计!B$4:B$1003,$W301)&amp;"")</f>
        <v/>
      </c>
      <c r="C301" s="3" t="str">
        <f aca="false">IF($W301="","",INDEX(发票统计!C$4:C$1003,$W301)&amp;"")</f>
        <v/>
      </c>
      <c r="D301" s="3" t="str">
        <f aca="false">IF($W301="","",INDEX(发票统计!D$4:D$1003,$W301)&amp;"")</f>
        <v/>
      </c>
      <c r="E301" s="56" t="str">
        <f aca="false">IF($W301="","",INDEX(发票统计!E$4:E$1003,$W301)&amp;"")</f>
        <v/>
      </c>
      <c r="F301" s="56" t="str">
        <f aca="false">IF($W301="","",INDEX(发票统计!F$4:F$1003,$W301)&amp;"")</f>
        <v/>
      </c>
      <c r="G301" s="68" t="str">
        <f aca="false">IF($W301="","",IF(INDEX(发票统计!G$4:G$1003,$W301)="","",INDEX(发票统计!G$4:G$1003,$W301)))</f>
        <v/>
      </c>
      <c r="H301" s="56" t="str">
        <f aca="false">IF($W301="","",N(INDEX(发票统计!H$4:H$1003,$W301)))</f>
        <v/>
      </c>
      <c r="I301" s="56" t="str">
        <f aca="false">IF($W301="","",N(INDEX(发票统计!I$4:I$1003,$W301)))</f>
        <v/>
      </c>
      <c r="J301" s="56" t="str">
        <f aca="false">IF($W301="","",N(INDEX(发票统计!J$4:J$1003,$W301)))</f>
        <v/>
      </c>
      <c r="K301" s="56" t="str">
        <f aca="false">IF($W301="","",N(INDEX(发票统计!K$4:K$1003,$W301)))</f>
        <v/>
      </c>
      <c r="L301" s="56" t="str">
        <f aca="false">IF($W301="","",SUM(J$4:J301)-SUM(K$4:K301))</f>
        <v/>
      </c>
      <c r="M301" s="56" t="str">
        <f aca="false">IF($W301="","",N(INDEX(发票统计!M$4:M$1003,$W301)))</f>
        <v/>
      </c>
      <c r="N301" s="56" t="str">
        <f aca="false">IF($W301="","",N(INDEX(发票统计!N$4:N$1003,$W301)))</f>
        <v/>
      </c>
      <c r="O301" s="56" t="str">
        <f aca="false">IF($W301="","",N(INDEX(发票统计!O$4:O$1003,$W301)))</f>
        <v/>
      </c>
      <c r="P301" s="56" t="str">
        <f aca="false">IF($W301="","",SUM(M$4:M301)-SUM(N$4:N301)-SUM(O$4:O301))</f>
        <v/>
      </c>
      <c r="Q301" s="56" t="str">
        <f aca="false">IF($W301="","",N(INDEX(发票统计!Q$4:Q$1003,$W301)))</f>
        <v/>
      </c>
      <c r="R301" s="56" t="str">
        <f aca="false">IF($W301="","",N(INDEX(发票统计!R$4:R$1003,$W301)))</f>
        <v/>
      </c>
      <c r="S301" s="56" t="str">
        <f aca="false">IF($W301="","",N(INDEX(发票统计!S$4:S$1003,$W301)))</f>
        <v/>
      </c>
      <c r="T301" s="56" t="str">
        <f aca="false">IF($W301="","",SUM(Q$4:Q301)-SUM(R$4:R301)-SUM(S$4:S301))</f>
        <v/>
      </c>
      <c r="U301" s="56" t="str">
        <f aca="false">IF($W301="","",INDEX(发票统计!U$4:U$1003,$W301)&amp;"")</f>
        <v/>
      </c>
      <c r="W301" s="1" t="str">
        <f aca="false">IF($V$3="","",IFERROR(MATCH($V$3&amp;"#"&amp;ROWS(W$4:W301),发票统计!$W$4:$W$1003,0),""))</f>
        <v/>
      </c>
    </row>
    <row r="302" customFormat="false" ht="16.5" hidden="false" customHeight="false" outlineLevel="0" collapsed="false">
      <c r="A302" s="3" t="str">
        <f aca="false">IF($W302="","",INDEX(发票统计!A$4:A$1003,$W302)&amp;"")</f>
        <v/>
      </c>
      <c r="B302" s="3" t="str">
        <f aca="false">IF($W302="","",INDEX(发票统计!B$4:B$1003,$W302)&amp;"")</f>
        <v/>
      </c>
      <c r="C302" s="3" t="str">
        <f aca="false">IF($W302="","",INDEX(发票统计!C$4:C$1003,$W302)&amp;"")</f>
        <v/>
      </c>
      <c r="D302" s="3" t="str">
        <f aca="false">IF($W302="","",INDEX(发票统计!D$4:D$1003,$W302)&amp;"")</f>
        <v/>
      </c>
      <c r="E302" s="56" t="str">
        <f aca="false">IF($W302="","",INDEX(发票统计!E$4:E$1003,$W302)&amp;"")</f>
        <v/>
      </c>
      <c r="F302" s="56" t="str">
        <f aca="false">IF($W302="","",INDEX(发票统计!F$4:F$1003,$W302)&amp;"")</f>
        <v/>
      </c>
      <c r="G302" s="68" t="str">
        <f aca="false">IF($W302="","",IF(INDEX(发票统计!G$4:G$1003,$W302)="","",INDEX(发票统计!G$4:G$1003,$W302)))</f>
        <v/>
      </c>
      <c r="H302" s="56" t="str">
        <f aca="false">IF($W302="","",N(INDEX(发票统计!H$4:H$1003,$W302)))</f>
        <v/>
      </c>
      <c r="I302" s="56" t="str">
        <f aca="false">IF($W302="","",N(INDEX(发票统计!I$4:I$1003,$W302)))</f>
        <v/>
      </c>
      <c r="J302" s="56" t="str">
        <f aca="false">IF($W302="","",N(INDEX(发票统计!J$4:J$1003,$W302)))</f>
        <v/>
      </c>
      <c r="K302" s="56" t="str">
        <f aca="false">IF($W302="","",N(INDEX(发票统计!K$4:K$1003,$W302)))</f>
        <v/>
      </c>
      <c r="L302" s="56" t="str">
        <f aca="false">IF($W302="","",SUM(J$4:J302)-SUM(K$4:K302))</f>
        <v/>
      </c>
      <c r="M302" s="56" t="str">
        <f aca="false">IF($W302="","",N(INDEX(发票统计!M$4:M$1003,$W302)))</f>
        <v/>
      </c>
      <c r="N302" s="56" t="str">
        <f aca="false">IF($W302="","",N(INDEX(发票统计!N$4:N$1003,$W302)))</f>
        <v/>
      </c>
      <c r="O302" s="56" t="str">
        <f aca="false">IF($W302="","",N(INDEX(发票统计!O$4:O$1003,$W302)))</f>
        <v/>
      </c>
      <c r="P302" s="56" t="str">
        <f aca="false">IF($W302="","",SUM(M$4:M302)-SUM(N$4:N302)-SUM(O$4:O302))</f>
        <v/>
      </c>
      <c r="Q302" s="56" t="str">
        <f aca="false">IF($W302="","",N(INDEX(发票统计!Q$4:Q$1003,$W302)))</f>
        <v/>
      </c>
      <c r="R302" s="56" t="str">
        <f aca="false">IF($W302="","",N(INDEX(发票统计!R$4:R$1003,$W302)))</f>
        <v/>
      </c>
      <c r="S302" s="56" t="str">
        <f aca="false">IF($W302="","",N(INDEX(发票统计!S$4:S$1003,$W302)))</f>
        <v/>
      </c>
      <c r="T302" s="56" t="str">
        <f aca="false">IF($W302="","",SUM(Q$4:Q302)-SUM(R$4:R302)-SUM(S$4:S302))</f>
        <v/>
      </c>
      <c r="U302" s="56" t="str">
        <f aca="false">IF($W302="","",INDEX(发票统计!U$4:U$1003,$W302)&amp;"")</f>
        <v/>
      </c>
      <c r="W302" s="1" t="str">
        <f aca="false">IF($V$3="","",IFERROR(MATCH($V$3&amp;"#"&amp;ROWS(W$4:W302),发票统计!$W$4:$W$1003,0),""))</f>
        <v/>
      </c>
    </row>
    <row r="303" customFormat="false" ht="16.5" hidden="false" customHeight="false" outlineLevel="0" collapsed="false">
      <c r="A303" s="3" t="str">
        <f aca="false">IF($W303="","",INDEX(发票统计!A$4:A$1003,$W303)&amp;"")</f>
        <v/>
      </c>
      <c r="B303" s="3" t="str">
        <f aca="false">IF($W303="","",INDEX(发票统计!B$4:B$1003,$W303)&amp;"")</f>
        <v/>
      </c>
      <c r="C303" s="3" t="str">
        <f aca="false">IF($W303="","",INDEX(发票统计!C$4:C$1003,$W303)&amp;"")</f>
        <v/>
      </c>
      <c r="D303" s="3" t="str">
        <f aca="false">IF($W303="","",INDEX(发票统计!D$4:D$1003,$W303)&amp;"")</f>
        <v/>
      </c>
      <c r="E303" s="56" t="str">
        <f aca="false">IF($W303="","",INDEX(发票统计!E$4:E$1003,$W303)&amp;"")</f>
        <v/>
      </c>
      <c r="F303" s="56" t="str">
        <f aca="false">IF($W303="","",INDEX(发票统计!F$4:F$1003,$W303)&amp;"")</f>
        <v/>
      </c>
      <c r="G303" s="68" t="str">
        <f aca="false">IF($W303="","",IF(INDEX(发票统计!G$4:G$1003,$W303)="","",INDEX(发票统计!G$4:G$1003,$W303)))</f>
        <v/>
      </c>
      <c r="H303" s="56" t="str">
        <f aca="false">IF($W303="","",N(INDEX(发票统计!H$4:H$1003,$W303)))</f>
        <v/>
      </c>
      <c r="I303" s="56" t="str">
        <f aca="false">IF($W303="","",N(INDEX(发票统计!I$4:I$1003,$W303)))</f>
        <v/>
      </c>
      <c r="J303" s="56" t="str">
        <f aca="false">IF($W303="","",N(INDEX(发票统计!J$4:J$1003,$W303)))</f>
        <v/>
      </c>
      <c r="K303" s="56" t="str">
        <f aca="false">IF($W303="","",N(INDEX(发票统计!K$4:K$1003,$W303)))</f>
        <v/>
      </c>
      <c r="L303" s="56" t="str">
        <f aca="false">IF($W303="","",SUM(J$4:J303)-SUM(K$4:K303))</f>
        <v/>
      </c>
      <c r="M303" s="56" t="str">
        <f aca="false">IF($W303="","",N(INDEX(发票统计!M$4:M$1003,$W303)))</f>
        <v/>
      </c>
      <c r="N303" s="56" t="str">
        <f aca="false">IF($W303="","",N(INDEX(发票统计!N$4:N$1003,$W303)))</f>
        <v/>
      </c>
      <c r="O303" s="56" t="str">
        <f aca="false">IF($W303="","",N(INDEX(发票统计!O$4:O$1003,$W303)))</f>
        <v/>
      </c>
      <c r="P303" s="56" t="str">
        <f aca="false">IF($W303="","",SUM(M$4:M303)-SUM(N$4:N303)-SUM(O$4:O303))</f>
        <v/>
      </c>
      <c r="Q303" s="56" t="str">
        <f aca="false">IF($W303="","",N(INDEX(发票统计!Q$4:Q$1003,$W303)))</f>
        <v/>
      </c>
      <c r="R303" s="56" t="str">
        <f aca="false">IF($W303="","",N(INDEX(发票统计!R$4:R$1003,$W303)))</f>
        <v/>
      </c>
      <c r="S303" s="56" t="str">
        <f aca="false">IF($W303="","",N(INDEX(发票统计!S$4:S$1003,$W303)))</f>
        <v/>
      </c>
      <c r="T303" s="56" t="str">
        <f aca="false">IF($W303="","",SUM(Q$4:Q303)-SUM(R$4:R303)-SUM(S$4:S303))</f>
        <v/>
      </c>
      <c r="U303" s="56" t="str">
        <f aca="false">IF($W303="","",INDEX(发票统计!U$4:U$1003,$W303)&amp;"")</f>
        <v/>
      </c>
      <c r="W303" s="1" t="str">
        <f aca="false">IF($V$3="","",IFERROR(MATCH($V$3&amp;"#"&amp;ROWS(W$4:W303),发票统计!$W$4:$W$1003,0),""))</f>
        <v/>
      </c>
    </row>
  </sheetData>
  <autoFilter ref="A2:U48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3"/>
  <sheetViews>
    <sheetView showFormulas="false" showGridLines="true" showRowColHeaders="true" showZeros="true" rightToLeft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6.5" zeroHeight="false" outlineLevelRow="0" outlineLevelCol="0"/>
  <cols>
    <col collapsed="false" customWidth="true" hidden="false" outlineLevel="0" max="1" min="1" style="1" width="7.73"/>
    <col collapsed="false" customWidth="true" hidden="false" outlineLevel="0" max="2" min="2" style="1" width="5.73"/>
    <col collapsed="false" customWidth="true" hidden="true" outlineLevel="0" max="3" min="3" style="1" width="57.46"/>
    <col collapsed="false" customWidth="true" hidden="false" outlineLevel="0" max="4" min="4" style="1" width="47"/>
    <col collapsed="false" customWidth="true" hidden="false" outlineLevel="0" max="6" min="5" style="63" width="8.64"/>
    <col collapsed="false" customWidth="true" hidden="false" outlineLevel="0" max="7" min="7" style="64" width="7"/>
    <col collapsed="false" customWidth="true" hidden="false" outlineLevel="0" max="8" min="8" style="63" width="12.63"/>
    <col collapsed="false" customWidth="true" hidden="false" outlineLevel="0" max="9" min="9" style="63" width="11.27"/>
    <col collapsed="false" customWidth="true" hidden="false" outlineLevel="0" max="11" min="10" style="63" width="12.63"/>
    <col collapsed="false" customWidth="true" hidden="false" outlineLevel="0" max="12" min="12" style="63" width="13.91"/>
    <col collapsed="false" customWidth="true" hidden="false" outlineLevel="0" max="14" min="13" style="1" width="13.91"/>
    <col collapsed="false" customWidth="true" hidden="false" outlineLevel="0" max="15" min="15" style="1" width="12.54"/>
    <col collapsed="false" customWidth="true" hidden="false" outlineLevel="0" max="17" min="16" style="1" width="14.82"/>
    <col collapsed="false" customWidth="true" hidden="false" outlineLevel="0" max="20" min="18" style="1" width="12.54"/>
    <col collapsed="false" customWidth="true" hidden="false" outlineLevel="0" max="21" min="21" style="1" width="26.73"/>
    <col collapsed="false" customWidth="true" hidden="false" outlineLevel="0" max="22" min="22" style="1" width="24"/>
    <col collapsed="false" customWidth="false" hidden="true" outlineLevel="0" max="23" min="23" style="1" width="9"/>
    <col collapsed="false" customWidth="false" hidden="false" outlineLevel="0" max="16379" min="24" style="1" width="9"/>
  </cols>
  <sheetData>
    <row r="1" customFormat="false" ht="37.5" hidden="false" customHeight="true" outlineLevel="0" collapsed="false">
      <c r="A1" s="65" t="s">
        <v>152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="8" customFormat="true" ht="33" hidden="false" customHeight="true" outlineLevel="0" collapsed="false">
      <c r="A2" s="10" t="s">
        <v>148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66" t="s">
        <v>149</v>
      </c>
    </row>
    <row r="3" s="8" customFormat="true" ht="16.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SUM(H4:H303)</f>
        <v>227260.8</v>
      </c>
      <c r="I3" s="15" t="n">
        <f aca="false">SUM(I4:I303)</f>
        <v>0</v>
      </c>
      <c r="J3" s="15" t="n">
        <f aca="false">SUM(J4:J303)</f>
        <v>227260.8</v>
      </c>
      <c r="K3" s="15" t="n">
        <f aca="false">SUM(K4:K303)</f>
        <v>227260.8</v>
      </c>
      <c r="L3" s="15" t="n">
        <f aca="false">J3-K3</f>
        <v>0</v>
      </c>
      <c r="M3" s="15" t="n">
        <f aca="false">SUM(M4:M303)</f>
        <v>227260.8</v>
      </c>
      <c r="N3" s="15" t="n">
        <f aca="false">SUM(N4:N303)</f>
        <v>0</v>
      </c>
      <c r="O3" s="15" t="n">
        <f aca="false">SUM(O4:O303)</f>
        <v>227260.8</v>
      </c>
      <c r="P3" s="15" t="n">
        <f aca="false">M3-N3-O3</f>
        <v>0</v>
      </c>
      <c r="Q3" s="15" t="n">
        <f aca="false">SUM(Q4:Q303)</f>
        <v>0</v>
      </c>
      <c r="R3" s="15" t="n">
        <f aca="false">SUM(R4:R303)</f>
        <v>0</v>
      </c>
      <c r="S3" s="15" t="n">
        <f aca="false">SUM(S4:S303)</f>
        <v>0</v>
      </c>
      <c r="T3" s="15" t="n">
        <f aca="false">Q3-R3-S3</f>
        <v>0</v>
      </c>
      <c r="U3" s="15"/>
      <c r="V3" s="16" t="str">
        <f aca="true">IFERROR(MID(CELL("filename",$A$1),FIND("]",CELL("filename",$A$1))+1,99),IFERROR(SUBSTITUTE(MID(CELL("filename",$A$1),FIND("#$",CELL("filename",$A$1))+2,99),"'",""),""))</f>
        <v>云龙社区</v>
      </c>
    </row>
    <row r="4" customFormat="false" ht="16.5" hidden="false" customHeight="false" outlineLevel="0" collapsed="false">
      <c r="A4" s="3" t="str">
        <f aca="false">IF($W4="","",INDEX(发票统计!A$4:A$1003,$W4)&amp;"")</f>
        <v>云龙社区</v>
      </c>
      <c r="B4" s="3" t="str">
        <f aca="false">IF($W4="","",INDEX(发票统计!B$4:B$1003,$W4)&amp;"")</f>
        <v>4月</v>
      </c>
      <c r="C4" s="3" t="str">
        <f aca="false">IF($W4="","",INDEX(发票统计!C$4:C$1003,$W4)&amp;"")</f>
        <v>重庆市合川区云门街道云龙社区居民委员会(铁工厂还房建设项目)高压新装用电工程</v>
      </c>
      <c r="D4" s="3" t="str">
        <f aca="false">IF($W4="","",INDEX(发票统计!D$4:D$1003,$W4)&amp;"")</f>
        <v>2026.4.28庆文开票给新德润：云龙社区居民委员会</v>
      </c>
      <c r="E4" s="67" t="str">
        <f aca="false">IF($W4="","",INDEX(发票统计!E$4:E$1003,$W4)&amp;"")</f>
        <v>新德润</v>
      </c>
      <c r="F4" s="68" t="str">
        <f aca="false">IF($W4="","",INDEX(发票统计!F$4:F$1003,$W4)&amp;"")</f>
        <v>3%专票</v>
      </c>
      <c r="G4" s="68" t="str">
        <f aca="false">IF($W4="","",IF(INDEX(发票统计!G$4:G$1003,$W4)="","",INDEX(发票统计!G$4:G$1003,$W4)))</f>
        <v/>
      </c>
      <c r="H4" s="56" t="n">
        <f aca="false">IF($W4="","",N(INDEX(发票统计!H$4:H$1003,$W4)))</f>
        <v>183486.24</v>
      </c>
      <c r="I4" s="56" t="n">
        <f aca="false">IF($W4="","",N(INDEX(发票统计!I$4:I$1003,$W4)))</f>
        <v>0</v>
      </c>
      <c r="J4" s="56" t="n">
        <f aca="false">IF($W4="","",N(INDEX(发票统计!J$4:J$1003,$W4)))</f>
        <v>183486.24</v>
      </c>
      <c r="K4" s="56" t="n">
        <f aca="false">IF($W4="","",N(INDEX(发票统计!K$4:K$1003,$W4)))</f>
        <v>183486.24</v>
      </c>
      <c r="L4" s="56" t="n">
        <f aca="false">IF($W4="","",SUM(J$4:J4)-SUM(K$4:K4))</f>
        <v>0</v>
      </c>
      <c r="M4" s="56" t="n">
        <f aca="false">IF($W4="","",N(INDEX(发票统计!M$4:M$1003,$W4)))</f>
        <v>183486.24</v>
      </c>
      <c r="N4" s="56" t="n">
        <f aca="false">IF($W4="","",N(INDEX(发票统计!N$4:N$1003,$W4)))</f>
        <v>0</v>
      </c>
      <c r="O4" s="56" t="n">
        <f aca="false">IF($W4="","",N(INDEX(发票统计!O$4:O$1003,$W4)))</f>
        <v>0</v>
      </c>
      <c r="P4" s="56" t="n">
        <f aca="false">IF($W4="","",SUM(M$4:M4)-SUM(N$4:N4)-SUM(O$4:O4))</f>
        <v>183486.24</v>
      </c>
      <c r="Q4" s="56" t="n">
        <f aca="false">IF($W4="","",N(INDEX(发票统计!Q$4:Q$1003,$W4)))</f>
        <v>0</v>
      </c>
      <c r="R4" s="56" t="n">
        <f aca="false">IF($W4="","",N(INDEX(发票统计!R$4:R$1003,$W4)))</f>
        <v>0</v>
      </c>
      <c r="S4" s="56" t="n">
        <f aca="false">IF($W4="","",N(INDEX(发票统计!S$4:S$1003,$W4)))</f>
        <v>0</v>
      </c>
      <c r="T4" s="56" t="n">
        <f aca="false">IF($W4="","",SUM(Q$4:Q4)-SUM(R$4:R4)-SUM(S$4:S4))</f>
        <v>0</v>
      </c>
      <c r="U4" s="56" t="str">
        <f aca="false">IF($W4="","",INDEX(发票统计!U$4:U$1003,$W4)&amp;"")</f>
        <v/>
      </c>
      <c r="V4" s="69" t="str">
        <f aca="false">IF($V$3="","⚠ 取不到表名，请在 V3 手填项目简称",IF(COUNTIF(发票统计!$A$4:$A$1003,$V$3)=0,"⚠ 发票统计里没有「"&amp;$V$3&amp;"」的行，表名要和目录里的简称一样",IF(COUNTIF(发票统计!$A$4:$A$1003,$V$3)&gt;300,"⚠ 本项目超过 300 行，后面的没显示","共 "&amp;COUNTIF(发票统计!$A$4:$A$1003,$V$3)&amp;" 笔")))</f>
        <v>共 4 笔</v>
      </c>
      <c r="W4" s="1" t="n">
        <f aca="false">IF($V$3="","",IFERROR(MATCH($V$3&amp;"#"&amp;ROWS(W$4:W4),发票统计!$W$4:$W$1003,0),""))</f>
        <v>3</v>
      </c>
    </row>
    <row r="5" customFormat="false" ht="16.5" hidden="false" customHeight="false" outlineLevel="0" collapsed="false">
      <c r="A5" s="3" t="str">
        <f aca="false">IF($W5="","",INDEX(发票统计!A$4:A$1003,$W5)&amp;"")</f>
        <v>云龙社区</v>
      </c>
      <c r="B5" s="3" t="str">
        <f aca="false">IF($W5="","",INDEX(发票统计!B$4:B$1003,$W5)&amp;"")</f>
        <v>4月</v>
      </c>
      <c r="C5" s="3" t="str">
        <f aca="false">IF($W5="","",INDEX(发票统计!C$4:C$1003,$W5)&amp;"")</f>
        <v>重庆市合川区云门街道云龙社区居民委员会(铁工厂还房建设项目)高压新装用电工程</v>
      </c>
      <c r="D5" s="3" t="str">
        <f aca="false">IF($W5="","",INDEX(发票统计!D$4:D$1003,$W5)&amp;"")</f>
        <v>2026.4.30莨富收到新德润款项：云龙社区居民委员会</v>
      </c>
      <c r="E5" s="67" t="str">
        <f aca="false">IF($W5="","",INDEX(发票统计!E$4:E$1003,$W5)&amp;"")</f>
        <v>新德润</v>
      </c>
      <c r="F5" s="68" t="str">
        <f aca="false">IF($W5="","",INDEX(发票统计!F$4:F$1003,$W5)&amp;"")</f>
        <v/>
      </c>
      <c r="G5" s="68" t="str">
        <f aca="false">IF($W5="","",IF(INDEX(发票统计!G$4:G$1003,$W5)="","",INDEX(发票统计!G$4:G$1003,$W5)))</f>
        <v/>
      </c>
      <c r="H5" s="56" t="n">
        <f aca="false">IF($W5="","",N(INDEX(发票统计!H$4:H$1003,$W5)))</f>
        <v>0</v>
      </c>
      <c r="I5" s="56" t="n">
        <f aca="false">IF($W5="","",N(INDEX(发票统计!I$4:I$1003,$W5)))</f>
        <v>0</v>
      </c>
      <c r="J5" s="56" t="n">
        <f aca="false">IF($W5="","",N(INDEX(发票统计!J$4:J$1003,$W5)))</f>
        <v>0</v>
      </c>
      <c r="K5" s="56" t="n">
        <f aca="false">IF($W5="","",N(INDEX(发票统计!K$4:K$1003,$W5)))</f>
        <v>0</v>
      </c>
      <c r="L5" s="56" t="n">
        <f aca="false">IF($W5="","",SUM(J$4:J5)-SUM(K$4:K5))</f>
        <v>0</v>
      </c>
      <c r="M5" s="56" t="n">
        <f aca="false">IF($W5="","",N(INDEX(发票统计!M$4:M$1003,$W5)))</f>
        <v>0</v>
      </c>
      <c r="N5" s="56" t="n">
        <f aca="false">IF($W5="","",N(INDEX(发票统计!N$4:N$1003,$W5)))</f>
        <v>0</v>
      </c>
      <c r="O5" s="56" t="n">
        <f aca="false">IF($W5="","",N(INDEX(发票统计!O$4:O$1003,$W5)))</f>
        <v>183486.24</v>
      </c>
      <c r="P5" s="56" t="n">
        <f aca="false">IF($W5="","",SUM(M$4:M5)-SUM(N$4:N5)-SUM(O$4:O5))</f>
        <v>0</v>
      </c>
      <c r="Q5" s="56" t="n">
        <f aca="false">IF($W5="","",N(INDEX(发票统计!Q$4:Q$1003,$W5)))</f>
        <v>0</v>
      </c>
      <c r="R5" s="56" t="n">
        <f aca="false">IF($W5="","",N(INDEX(发票统计!R$4:R$1003,$W5)))</f>
        <v>0</v>
      </c>
      <c r="S5" s="56" t="n">
        <f aca="false">IF($W5="","",N(INDEX(发票统计!S$4:S$1003,$W5)))</f>
        <v>0</v>
      </c>
      <c r="T5" s="56" t="n">
        <f aca="false">IF($W5="","",SUM(Q$4:Q5)-SUM(R$4:R5)-SUM(S$4:S5))</f>
        <v>0</v>
      </c>
      <c r="U5" s="56" t="str">
        <f aca="false">IF($W5="","",INDEX(发票统计!U$4:U$1003,$W5)&amp;"")</f>
        <v/>
      </c>
      <c r="W5" s="1" t="n">
        <f aca="false">IF($V$3="","",IFERROR(MATCH($V$3&amp;"#"&amp;ROWS(W$4:W5),发票统计!$W$4:$W$1003,0),""))</f>
        <v>4</v>
      </c>
    </row>
    <row r="6" customFormat="false" ht="16.5" hidden="false" customHeight="false" outlineLevel="0" collapsed="false">
      <c r="A6" s="3" t="str">
        <f aca="false">IF($W6="","",INDEX(发票统计!A$4:A$1003,$W6)&amp;"")</f>
        <v>云龙社区</v>
      </c>
      <c r="B6" s="3" t="str">
        <f aca="false">IF($W6="","",INDEX(发票统计!B$4:B$1003,$W6)&amp;"")</f>
        <v>5月</v>
      </c>
      <c r="C6" s="3" t="str">
        <f aca="false">IF($W6="","",INDEX(发票统计!C$4:C$1003,$W6)&amp;"")</f>
        <v>重庆市合川区云门街道云龙社区居民委员会(铁工厂还房建设项目)高压新装用电工程</v>
      </c>
      <c r="D6" s="3" t="str">
        <f aca="false">IF($W6="","",INDEX(发票统计!D$4:D$1003,$W6)&amp;"")</f>
        <v>2026.5.7庆文开票给新德润：云龙社区居民委员会</v>
      </c>
      <c r="E6" s="67" t="str">
        <f aca="false">IF($W6="","",INDEX(发票统计!E$4:E$1003,$W6)&amp;"")</f>
        <v>新德润</v>
      </c>
      <c r="F6" s="68" t="str">
        <f aca="false">IF($W6="","",INDEX(发票统计!F$4:F$1003,$W6)&amp;"")</f>
        <v>3%专票</v>
      </c>
      <c r="G6" s="68" t="str">
        <f aca="false">IF($W6="","",IF(INDEX(发票统计!G$4:G$1003,$W6)="","",INDEX(发票统计!G$4:G$1003,$W6)))</f>
        <v/>
      </c>
      <c r="H6" s="56" t="n">
        <f aca="false">IF($W6="","",N(INDEX(发票统计!H$4:H$1003,$W6)))</f>
        <v>43774.56</v>
      </c>
      <c r="I6" s="56" t="n">
        <f aca="false">IF($W6="","",N(INDEX(发票统计!I$4:I$1003,$W6)))</f>
        <v>0</v>
      </c>
      <c r="J6" s="56" t="n">
        <f aca="false">IF($W6="","",N(INDEX(发票统计!J$4:J$1003,$W6)))</f>
        <v>43774.56</v>
      </c>
      <c r="K6" s="56" t="n">
        <f aca="false">IF($W6="","",N(INDEX(发票统计!K$4:K$1003,$W6)))</f>
        <v>43774.56</v>
      </c>
      <c r="L6" s="56" t="n">
        <f aca="false">IF($W6="","",SUM(J$4:J6)-SUM(K$4:K6))</f>
        <v>0</v>
      </c>
      <c r="M6" s="56" t="n">
        <f aca="false">IF($W6="","",N(INDEX(发票统计!M$4:M$1003,$W6)))</f>
        <v>43774.56</v>
      </c>
      <c r="N6" s="56" t="n">
        <f aca="false">IF($W6="","",N(INDEX(发票统计!N$4:N$1003,$W6)))</f>
        <v>0</v>
      </c>
      <c r="O6" s="56" t="n">
        <f aca="false">IF($W6="","",N(INDEX(发票统计!O$4:O$1003,$W6)))</f>
        <v>0</v>
      </c>
      <c r="P6" s="56" t="n">
        <f aca="false">IF($W6="","",SUM(M$4:M6)-SUM(N$4:N6)-SUM(O$4:O6))</f>
        <v>43774.56</v>
      </c>
      <c r="Q6" s="56" t="n">
        <f aca="false">IF($W6="","",N(INDEX(发票统计!Q$4:Q$1003,$W6)))</f>
        <v>0</v>
      </c>
      <c r="R6" s="56" t="n">
        <f aca="false">IF($W6="","",N(INDEX(发票统计!R$4:R$1003,$W6)))</f>
        <v>0</v>
      </c>
      <c r="S6" s="56" t="n">
        <f aca="false">IF($W6="","",N(INDEX(发票统计!S$4:S$1003,$W6)))</f>
        <v>0</v>
      </c>
      <c r="T6" s="56" t="n">
        <f aca="false">IF($W6="","",SUM(Q$4:Q6)-SUM(R$4:R6)-SUM(S$4:S6))</f>
        <v>0</v>
      </c>
      <c r="U6" s="56" t="str">
        <f aca="false">IF($W6="","",INDEX(发票统计!U$4:U$1003,$W6)&amp;"")</f>
        <v/>
      </c>
      <c r="W6" s="1" t="n">
        <f aca="false">IF($V$3="","",IFERROR(MATCH($V$3&amp;"#"&amp;ROWS(W$4:W6),发票统计!$W$4:$W$1003,0),""))</f>
        <v>5</v>
      </c>
    </row>
    <row r="7" customFormat="false" ht="16.5" hidden="false" customHeight="false" outlineLevel="0" collapsed="false">
      <c r="A7" s="3" t="str">
        <f aca="false">IF($W7="","",INDEX(发票统计!A$4:A$1003,$W7)&amp;"")</f>
        <v>云龙社区</v>
      </c>
      <c r="B7" s="3" t="str">
        <f aca="false">IF($W7="","",INDEX(发票统计!B$4:B$1003,$W7)&amp;"")</f>
        <v>5月</v>
      </c>
      <c r="C7" s="3" t="str">
        <f aca="false">IF($W7="","",INDEX(发票统计!C$4:C$1003,$W7)&amp;"")</f>
        <v>重庆市合川区云门街道云龙社区居民委员会(铁工厂还房建设项目)高压新装用电工程</v>
      </c>
      <c r="D7" s="3" t="str">
        <f aca="false">IF($W7="","",INDEX(发票统计!D$4:D$1003,$W7)&amp;"")</f>
        <v>2026.5.13庆文公账收到新德润款项：云龙社区居民委员会</v>
      </c>
      <c r="E7" s="67" t="str">
        <f aca="false">IF($W7="","",INDEX(发票统计!E$4:E$1003,$W7)&amp;"")</f>
        <v>新德润</v>
      </c>
      <c r="F7" s="68" t="str">
        <f aca="false">IF($W7="","",INDEX(发票统计!F$4:F$1003,$W7)&amp;"")</f>
        <v/>
      </c>
      <c r="G7" s="68" t="str">
        <f aca="false">IF($W7="","",IF(INDEX(发票统计!G$4:G$1003,$W7)="","",INDEX(发票统计!G$4:G$1003,$W7)))</f>
        <v/>
      </c>
      <c r="H7" s="56" t="n">
        <f aca="false">IF($W7="","",N(INDEX(发票统计!H$4:H$1003,$W7)))</f>
        <v>0</v>
      </c>
      <c r="I7" s="56" t="n">
        <f aca="false">IF($W7="","",N(INDEX(发票统计!I$4:I$1003,$W7)))</f>
        <v>0</v>
      </c>
      <c r="J7" s="56" t="n">
        <f aca="false">IF($W7="","",N(INDEX(发票统计!J$4:J$1003,$W7)))</f>
        <v>0</v>
      </c>
      <c r="K7" s="56" t="n">
        <f aca="false">IF($W7="","",N(INDEX(发票统计!K$4:K$1003,$W7)))</f>
        <v>0</v>
      </c>
      <c r="L7" s="56" t="n">
        <f aca="false">IF($W7="","",SUM(J$4:J7)-SUM(K$4:K7))</f>
        <v>0</v>
      </c>
      <c r="M7" s="56" t="n">
        <f aca="false">IF($W7="","",N(INDEX(发票统计!M$4:M$1003,$W7)))</f>
        <v>0</v>
      </c>
      <c r="N7" s="56" t="n">
        <f aca="false">IF($W7="","",N(INDEX(发票统计!N$4:N$1003,$W7)))</f>
        <v>0</v>
      </c>
      <c r="O7" s="56" t="n">
        <f aca="false">IF($W7="","",N(INDEX(发票统计!O$4:O$1003,$W7)))</f>
        <v>43774.56</v>
      </c>
      <c r="P7" s="56" t="n">
        <f aca="false">IF($W7="","",SUM(M$4:M7)-SUM(N$4:N7)-SUM(O$4:O7))</f>
        <v>0</v>
      </c>
      <c r="Q7" s="56" t="n">
        <f aca="false">IF($W7="","",N(INDEX(发票统计!Q$4:Q$1003,$W7)))</f>
        <v>0</v>
      </c>
      <c r="R7" s="56" t="n">
        <f aca="false">IF($W7="","",N(INDEX(发票统计!R$4:R$1003,$W7)))</f>
        <v>0</v>
      </c>
      <c r="S7" s="56" t="n">
        <f aca="false">IF($W7="","",N(INDEX(发票统计!S$4:S$1003,$W7)))</f>
        <v>0</v>
      </c>
      <c r="T7" s="56" t="n">
        <f aca="false">IF($W7="","",SUM(Q$4:Q7)-SUM(R$4:R7)-SUM(S$4:S7))</f>
        <v>0</v>
      </c>
      <c r="U7" s="56" t="str">
        <f aca="false">IF($W7="","",INDEX(发票统计!U$4:U$1003,$W7)&amp;"")</f>
        <v/>
      </c>
      <c r="W7" s="1" t="n">
        <f aca="false">IF($V$3="","",IFERROR(MATCH($V$3&amp;"#"&amp;ROWS(W$4:W7),发票统计!$W$4:$W$1003,0),""))</f>
        <v>6</v>
      </c>
    </row>
    <row r="8" customFormat="false" ht="16.5" hidden="false" customHeight="false" outlineLevel="0" collapsed="false">
      <c r="A8" s="3" t="str">
        <f aca="false">IF($W8="","",INDEX(发票统计!A$4:A$1003,$W8)&amp;"")</f>
        <v/>
      </c>
      <c r="B8" s="3" t="str">
        <f aca="false">IF($W8="","",INDEX(发票统计!B$4:B$1003,$W8)&amp;"")</f>
        <v/>
      </c>
      <c r="C8" s="3" t="str">
        <f aca="false">IF($W8="","",INDEX(发票统计!C$4:C$1003,$W8)&amp;"")</f>
        <v/>
      </c>
      <c r="D8" s="3" t="str">
        <f aca="false">IF($W8="","",INDEX(发票统计!D$4:D$1003,$W8)&amp;"")</f>
        <v/>
      </c>
      <c r="E8" s="67" t="str">
        <f aca="false">IF($W8="","",INDEX(发票统计!E$4:E$1003,$W8)&amp;"")</f>
        <v/>
      </c>
      <c r="F8" s="68" t="str">
        <f aca="false">IF($W8="","",INDEX(发票统计!F$4:F$1003,$W8)&amp;"")</f>
        <v/>
      </c>
      <c r="G8" s="68" t="str">
        <f aca="false">IF($W8="","",IF(INDEX(发票统计!G$4:G$1003,$W8)="","",INDEX(发票统计!G$4:G$1003,$W8)))</f>
        <v/>
      </c>
      <c r="H8" s="56" t="str">
        <f aca="false">IF($W8="","",N(INDEX(发票统计!H$4:H$1003,$W8)))</f>
        <v/>
      </c>
      <c r="I8" s="56" t="str">
        <f aca="false">IF($W8="","",N(INDEX(发票统计!I$4:I$1003,$W8)))</f>
        <v/>
      </c>
      <c r="J8" s="56" t="str">
        <f aca="false">IF($W8="","",N(INDEX(发票统计!J$4:J$1003,$W8)))</f>
        <v/>
      </c>
      <c r="K8" s="56" t="str">
        <f aca="false">IF($W8="","",N(INDEX(发票统计!K$4:K$1003,$W8)))</f>
        <v/>
      </c>
      <c r="L8" s="56" t="str">
        <f aca="false">IF($W8="","",SUM(J$4:J8)-SUM(K$4:K8))</f>
        <v/>
      </c>
      <c r="M8" s="56" t="str">
        <f aca="false">IF($W8="","",N(INDEX(发票统计!M$4:M$1003,$W8)))</f>
        <v/>
      </c>
      <c r="N8" s="56" t="str">
        <f aca="false">IF($W8="","",N(INDEX(发票统计!N$4:N$1003,$W8)))</f>
        <v/>
      </c>
      <c r="O8" s="56" t="str">
        <f aca="false">IF($W8="","",N(INDEX(发票统计!O$4:O$1003,$W8)))</f>
        <v/>
      </c>
      <c r="P8" s="56" t="str">
        <f aca="false">IF($W8="","",SUM(M$4:M8)-SUM(N$4:N8)-SUM(O$4:O8))</f>
        <v/>
      </c>
      <c r="Q8" s="56" t="str">
        <f aca="false">IF($W8="","",N(INDEX(发票统计!Q$4:Q$1003,$W8)))</f>
        <v/>
      </c>
      <c r="R8" s="56" t="str">
        <f aca="false">IF($W8="","",N(INDEX(发票统计!R$4:R$1003,$W8)))</f>
        <v/>
      </c>
      <c r="S8" s="56" t="str">
        <f aca="false">IF($W8="","",N(INDEX(发票统计!S$4:S$1003,$W8)))</f>
        <v/>
      </c>
      <c r="T8" s="56" t="str">
        <f aca="false">IF($W8="","",SUM(Q$4:Q8)-SUM(R$4:R8)-SUM(S$4:S8))</f>
        <v/>
      </c>
      <c r="U8" s="56" t="str">
        <f aca="false">IF($W8="","",INDEX(发票统计!U$4:U$1003,$W8)&amp;"")</f>
        <v/>
      </c>
      <c r="W8" s="1" t="str">
        <f aca="false">IF($V$3="","",IFERROR(MATCH($V$3&amp;"#"&amp;ROWS(W$4:W8),发票统计!$W$4:$W$1003,0),""))</f>
        <v/>
      </c>
    </row>
    <row r="9" customFormat="false" ht="16.5" hidden="false" customHeight="false" outlineLevel="0" collapsed="false">
      <c r="A9" s="3" t="str">
        <f aca="false">IF($W9="","",INDEX(发票统计!A$4:A$1003,$W9)&amp;"")</f>
        <v/>
      </c>
      <c r="B9" s="3" t="str">
        <f aca="false">IF($W9="","",INDEX(发票统计!B$4:B$1003,$W9)&amp;"")</f>
        <v/>
      </c>
      <c r="C9" s="3" t="str">
        <f aca="false">IF($W9="","",INDEX(发票统计!C$4:C$1003,$W9)&amp;"")</f>
        <v/>
      </c>
      <c r="D9" s="3" t="str">
        <f aca="false">IF($W9="","",INDEX(发票统计!D$4:D$1003,$W9)&amp;"")</f>
        <v/>
      </c>
      <c r="E9" s="67" t="str">
        <f aca="false">IF($W9="","",INDEX(发票统计!E$4:E$1003,$W9)&amp;"")</f>
        <v/>
      </c>
      <c r="F9" s="68" t="str">
        <f aca="false">IF($W9="","",INDEX(发票统计!F$4:F$1003,$W9)&amp;"")</f>
        <v/>
      </c>
      <c r="G9" s="68" t="str">
        <f aca="false">IF($W9="","",IF(INDEX(发票统计!G$4:G$1003,$W9)="","",INDEX(发票统计!G$4:G$1003,$W9)))</f>
        <v/>
      </c>
      <c r="H9" s="56" t="str">
        <f aca="false">IF($W9="","",N(INDEX(发票统计!H$4:H$1003,$W9)))</f>
        <v/>
      </c>
      <c r="I9" s="56" t="str">
        <f aca="false">IF($W9="","",N(INDEX(发票统计!I$4:I$1003,$W9)))</f>
        <v/>
      </c>
      <c r="J9" s="56" t="str">
        <f aca="false">IF($W9="","",N(INDEX(发票统计!J$4:J$1003,$W9)))</f>
        <v/>
      </c>
      <c r="K9" s="56" t="str">
        <f aca="false">IF($W9="","",N(INDEX(发票统计!K$4:K$1003,$W9)))</f>
        <v/>
      </c>
      <c r="L9" s="56" t="str">
        <f aca="false">IF($W9="","",SUM(J$4:J9)-SUM(K$4:K9))</f>
        <v/>
      </c>
      <c r="M9" s="56" t="str">
        <f aca="false">IF($W9="","",N(INDEX(发票统计!M$4:M$1003,$W9)))</f>
        <v/>
      </c>
      <c r="N9" s="56" t="str">
        <f aca="false">IF($W9="","",N(INDEX(发票统计!N$4:N$1003,$W9)))</f>
        <v/>
      </c>
      <c r="O9" s="56" t="str">
        <f aca="false">IF($W9="","",N(INDEX(发票统计!O$4:O$1003,$W9)))</f>
        <v/>
      </c>
      <c r="P9" s="56" t="str">
        <f aca="false">IF($W9="","",SUM(M$4:M9)-SUM(N$4:N9)-SUM(O$4:O9))</f>
        <v/>
      </c>
      <c r="Q9" s="56" t="str">
        <f aca="false">IF($W9="","",N(INDEX(发票统计!Q$4:Q$1003,$W9)))</f>
        <v/>
      </c>
      <c r="R9" s="56" t="str">
        <f aca="false">IF($W9="","",N(INDEX(发票统计!R$4:R$1003,$W9)))</f>
        <v/>
      </c>
      <c r="S9" s="56" t="str">
        <f aca="false">IF($W9="","",N(INDEX(发票统计!S$4:S$1003,$W9)))</f>
        <v/>
      </c>
      <c r="T9" s="56" t="str">
        <f aca="false">IF($W9="","",SUM(Q$4:Q9)-SUM(R$4:R9)-SUM(S$4:S9))</f>
        <v/>
      </c>
      <c r="U9" s="56" t="str">
        <f aca="false">IF($W9="","",INDEX(发票统计!U$4:U$1003,$W9)&amp;"")</f>
        <v/>
      </c>
      <c r="W9" s="1" t="str">
        <f aca="false">IF($V$3="","",IFERROR(MATCH($V$3&amp;"#"&amp;ROWS(W$4:W9),发票统计!$W$4:$W$1003,0),""))</f>
        <v/>
      </c>
    </row>
    <row r="10" customFormat="false" ht="16.5" hidden="false" customHeight="false" outlineLevel="0" collapsed="false">
      <c r="A10" s="3" t="str">
        <f aca="false">IF($W10="","",INDEX(发票统计!A$4:A$1003,$W10)&amp;"")</f>
        <v/>
      </c>
      <c r="B10" s="3" t="str">
        <f aca="false">IF($W10="","",INDEX(发票统计!B$4:B$1003,$W10)&amp;"")</f>
        <v/>
      </c>
      <c r="C10" s="3" t="str">
        <f aca="false">IF($W10="","",INDEX(发票统计!C$4:C$1003,$W10)&amp;"")</f>
        <v/>
      </c>
      <c r="D10" s="3" t="str">
        <f aca="false">IF($W10="","",INDEX(发票统计!D$4:D$1003,$W10)&amp;"")</f>
        <v/>
      </c>
      <c r="E10" s="67" t="str">
        <f aca="false">IF($W10="","",INDEX(发票统计!E$4:E$1003,$W10)&amp;"")</f>
        <v/>
      </c>
      <c r="F10" s="68" t="str">
        <f aca="false">IF($W10="","",INDEX(发票统计!F$4:F$1003,$W10)&amp;"")</f>
        <v/>
      </c>
      <c r="G10" s="68" t="str">
        <f aca="false">IF($W10="","",IF(INDEX(发票统计!G$4:G$1003,$W10)="","",INDEX(发票统计!G$4:G$1003,$W10)))</f>
        <v/>
      </c>
      <c r="H10" s="56" t="str">
        <f aca="false">IF($W10="","",N(INDEX(发票统计!H$4:H$1003,$W10)))</f>
        <v/>
      </c>
      <c r="I10" s="56" t="str">
        <f aca="false">IF($W10="","",N(INDEX(发票统计!I$4:I$1003,$W10)))</f>
        <v/>
      </c>
      <c r="J10" s="56" t="str">
        <f aca="false">IF($W10="","",N(INDEX(发票统计!J$4:J$1003,$W10)))</f>
        <v/>
      </c>
      <c r="K10" s="56" t="str">
        <f aca="false">IF($W10="","",N(INDEX(发票统计!K$4:K$1003,$W10)))</f>
        <v/>
      </c>
      <c r="L10" s="56" t="str">
        <f aca="false">IF($W10="","",SUM(J$4:J10)-SUM(K$4:K10))</f>
        <v/>
      </c>
      <c r="M10" s="56" t="str">
        <f aca="false">IF($W10="","",N(INDEX(发票统计!M$4:M$1003,$W10)))</f>
        <v/>
      </c>
      <c r="N10" s="56" t="str">
        <f aca="false">IF($W10="","",N(INDEX(发票统计!N$4:N$1003,$W10)))</f>
        <v/>
      </c>
      <c r="O10" s="56" t="str">
        <f aca="false">IF($W10="","",N(INDEX(发票统计!O$4:O$1003,$W10)))</f>
        <v/>
      </c>
      <c r="P10" s="56" t="str">
        <f aca="false">IF($W10="","",SUM(M$4:M10)-SUM(N$4:N10)-SUM(O$4:O10))</f>
        <v/>
      </c>
      <c r="Q10" s="56" t="str">
        <f aca="false">IF($W10="","",N(INDEX(发票统计!Q$4:Q$1003,$W10)))</f>
        <v/>
      </c>
      <c r="R10" s="56" t="str">
        <f aca="false">IF($W10="","",N(INDEX(发票统计!R$4:R$1003,$W10)))</f>
        <v/>
      </c>
      <c r="S10" s="56" t="str">
        <f aca="false">IF($W10="","",N(INDEX(发票统计!S$4:S$1003,$W10)))</f>
        <v/>
      </c>
      <c r="T10" s="56" t="str">
        <f aca="false">IF($W10="","",SUM(Q$4:Q10)-SUM(R$4:R10)-SUM(S$4:S10))</f>
        <v/>
      </c>
      <c r="U10" s="56" t="str">
        <f aca="false">IF($W10="","",INDEX(发票统计!U$4:U$1003,$W10)&amp;"")</f>
        <v/>
      </c>
      <c r="W10" s="1" t="str">
        <f aca="false">IF($V$3="","",IFERROR(MATCH($V$3&amp;"#"&amp;ROWS(W$4:W10),发票统计!$W$4:$W$1003,0),""))</f>
        <v/>
      </c>
    </row>
    <row r="11" customFormat="false" ht="16.5" hidden="false" customHeight="false" outlineLevel="0" collapsed="false">
      <c r="A11" s="3" t="str">
        <f aca="false">IF($W11="","",INDEX(发票统计!A$4:A$1003,$W11)&amp;"")</f>
        <v/>
      </c>
      <c r="B11" s="3" t="str">
        <f aca="false">IF($W11="","",INDEX(发票统计!B$4:B$1003,$W11)&amp;"")</f>
        <v/>
      </c>
      <c r="C11" s="3" t="str">
        <f aca="false">IF($W11="","",INDEX(发票统计!C$4:C$1003,$W11)&amp;"")</f>
        <v/>
      </c>
      <c r="D11" s="3" t="str">
        <f aca="false">IF($W11="","",INDEX(发票统计!D$4:D$1003,$W11)&amp;"")</f>
        <v/>
      </c>
      <c r="E11" s="67" t="str">
        <f aca="false">IF($W11="","",INDEX(发票统计!E$4:E$1003,$W11)&amp;"")</f>
        <v/>
      </c>
      <c r="F11" s="68" t="str">
        <f aca="false">IF($W11="","",INDEX(发票统计!F$4:F$1003,$W11)&amp;"")</f>
        <v/>
      </c>
      <c r="G11" s="68" t="str">
        <f aca="false">IF($W11="","",IF(INDEX(发票统计!G$4:G$1003,$W11)="","",INDEX(发票统计!G$4:G$1003,$W11)))</f>
        <v/>
      </c>
      <c r="H11" s="56" t="str">
        <f aca="false">IF($W11="","",N(INDEX(发票统计!H$4:H$1003,$W11)))</f>
        <v/>
      </c>
      <c r="I11" s="56" t="str">
        <f aca="false">IF($W11="","",N(INDEX(发票统计!I$4:I$1003,$W11)))</f>
        <v/>
      </c>
      <c r="J11" s="56" t="str">
        <f aca="false">IF($W11="","",N(INDEX(发票统计!J$4:J$1003,$W11)))</f>
        <v/>
      </c>
      <c r="K11" s="56" t="str">
        <f aca="false">IF($W11="","",N(INDEX(发票统计!K$4:K$1003,$W11)))</f>
        <v/>
      </c>
      <c r="L11" s="56" t="str">
        <f aca="false">IF($W11="","",SUM(J$4:J11)-SUM(K$4:K11))</f>
        <v/>
      </c>
      <c r="M11" s="56" t="str">
        <f aca="false">IF($W11="","",N(INDEX(发票统计!M$4:M$1003,$W11)))</f>
        <v/>
      </c>
      <c r="N11" s="56" t="str">
        <f aca="false">IF($W11="","",N(INDEX(发票统计!N$4:N$1003,$W11)))</f>
        <v/>
      </c>
      <c r="O11" s="56" t="str">
        <f aca="false">IF($W11="","",N(INDEX(发票统计!O$4:O$1003,$W11)))</f>
        <v/>
      </c>
      <c r="P11" s="56" t="str">
        <f aca="false">IF($W11="","",SUM(M$4:M11)-SUM(N$4:N11)-SUM(O$4:O11))</f>
        <v/>
      </c>
      <c r="Q11" s="56" t="str">
        <f aca="false">IF($W11="","",N(INDEX(发票统计!Q$4:Q$1003,$W11)))</f>
        <v/>
      </c>
      <c r="R11" s="56" t="str">
        <f aca="false">IF($W11="","",N(INDEX(发票统计!R$4:R$1003,$W11)))</f>
        <v/>
      </c>
      <c r="S11" s="56" t="str">
        <f aca="false">IF($W11="","",N(INDEX(发票统计!S$4:S$1003,$W11)))</f>
        <v/>
      </c>
      <c r="T11" s="56" t="str">
        <f aca="false">IF($W11="","",SUM(Q$4:Q11)-SUM(R$4:R11)-SUM(S$4:S11))</f>
        <v/>
      </c>
      <c r="U11" s="56" t="str">
        <f aca="false">IF($W11="","",INDEX(发票统计!U$4:U$1003,$W11)&amp;"")</f>
        <v/>
      </c>
      <c r="W11" s="1" t="str">
        <f aca="false">IF($V$3="","",IFERROR(MATCH($V$3&amp;"#"&amp;ROWS(W$4:W11),发票统计!$W$4:$W$1003,0),""))</f>
        <v/>
      </c>
    </row>
    <row r="12" customFormat="false" ht="16.5" hidden="false" customHeight="false" outlineLevel="0" collapsed="false">
      <c r="A12" s="3" t="str">
        <f aca="false">IF($W12="","",INDEX(发票统计!A$4:A$1003,$W12)&amp;"")</f>
        <v/>
      </c>
      <c r="B12" s="3" t="str">
        <f aca="false">IF($W12="","",INDEX(发票统计!B$4:B$1003,$W12)&amp;"")</f>
        <v/>
      </c>
      <c r="C12" s="3" t="str">
        <f aca="false">IF($W12="","",INDEX(发票统计!C$4:C$1003,$W12)&amp;"")</f>
        <v/>
      </c>
      <c r="D12" s="3" t="str">
        <f aca="false">IF($W12="","",INDEX(发票统计!D$4:D$1003,$W12)&amp;"")</f>
        <v/>
      </c>
      <c r="E12" s="67" t="str">
        <f aca="false">IF($W12="","",INDEX(发票统计!E$4:E$1003,$W12)&amp;"")</f>
        <v/>
      </c>
      <c r="F12" s="68" t="str">
        <f aca="false">IF($W12="","",INDEX(发票统计!F$4:F$1003,$W12)&amp;"")</f>
        <v/>
      </c>
      <c r="G12" s="68" t="str">
        <f aca="false">IF($W12="","",IF(INDEX(发票统计!G$4:G$1003,$W12)="","",INDEX(发票统计!G$4:G$1003,$W12)))</f>
        <v/>
      </c>
      <c r="H12" s="56" t="str">
        <f aca="false">IF($W12="","",N(INDEX(发票统计!H$4:H$1003,$W12)))</f>
        <v/>
      </c>
      <c r="I12" s="56" t="str">
        <f aca="false">IF($W12="","",N(INDEX(发票统计!I$4:I$1003,$W12)))</f>
        <v/>
      </c>
      <c r="J12" s="56" t="str">
        <f aca="false">IF($W12="","",N(INDEX(发票统计!J$4:J$1003,$W12)))</f>
        <v/>
      </c>
      <c r="K12" s="56" t="str">
        <f aca="false">IF($W12="","",N(INDEX(发票统计!K$4:K$1003,$W12)))</f>
        <v/>
      </c>
      <c r="L12" s="56" t="str">
        <f aca="false">IF($W12="","",SUM(J$4:J12)-SUM(K$4:K12))</f>
        <v/>
      </c>
      <c r="M12" s="56" t="str">
        <f aca="false">IF($W12="","",N(INDEX(发票统计!M$4:M$1003,$W12)))</f>
        <v/>
      </c>
      <c r="N12" s="56" t="str">
        <f aca="false">IF($W12="","",N(INDEX(发票统计!N$4:N$1003,$W12)))</f>
        <v/>
      </c>
      <c r="O12" s="56" t="str">
        <f aca="false">IF($W12="","",N(INDEX(发票统计!O$4:O$1003,$W12)))</f>
        <v/>
      </c>
      <c r="P12" s="56" t="str">
        <f aca="false">IF($W12="","",SUM(M$4:M12)-SUM(N$4:N12)-SUM(O$4:O12))</f>
        <v/>
      </c>
      <c r="Q12" s="56" t="str">
        <f aca="false">IF($W12="","",N(INDEX(发票统计!Q$4:Q$1003,$W12)))</f>
        <v/>
      </c>
      <c r="R12" s="56" t="str">
        <f aca="false">IF($W12="","",N(INDEX(发票统计!R$4:R$1003,$W12)))</f>
        <v/>
      </c>
      <c r="S12" s="56" t="str">
        <f aca="false">IF($W12="","",N(INDEX(发票统计!S$4:S$1003,$W12)))</f>
        <v/>
      </c>
      <c r="T12" s="56" t="str">
        <f aca="false">IF($W12="","",SUM(Q$4:Q12)-SUM(R$4:R12)-SUM(S$4:S12))</f>
        <v/>
      </c>
      <c r="U12" s="56" t="str">
        <f aca="false">IF($W12="","",INDEX(发票统计!U$4:U$1003,$W12)&amp;"")</f>
        <v/>
      </c>
      <c r="W12" s="1" t="str">
        <f aca="false">IF($V$3="","",IFERROR(MATCH($V$3&amp;"#"&amp;ROWS(W$4:W12),发票统计!$W$4:$W$1003,0),""))</f>
        <v/>
      </c>
    </row>
    <row r="13" customFormat="false" ht="16.5" hidden="false" customHeight="false" outlineLevel="0" collapsed="false">
      <c r="A13" s="3" t="str">
        <f aca="false">IF($W13="","",INDEX(发票统计!A$4:A$1003,$W13)&amp;"")</f>
        <v/>
      </c>
      <c r="B13" s="3" t="str">
        <f aca="false">IF($W13="","",INDEX(发票统计!B$4:B$1003,$W13)&amp;"")</f>
        <v/>
      </c>
      <c r="C13" s="3" t="str">
        <f aca="false">IF($W13="","",INDEX(发票统计!C$4:C$1003,$W13)&amp;"")</f>
        <v/>
      </c>
      <c r="D13" s="3" t="str">
        <f aca="false">IF($W13="","",INDEX(发票统计!D$4:D$1003,$W13)&amp;"")</f>
        <v/>
      </c>
      <c r="E13" s="67" t="str">
        <f aca="false">IF($W13="","",INDEX(发票统计!E$4:E$1003,$W13)&amp;"")</f>
        <v/>
      </c>
      <c r="F13" s="68" t="str">
        <f aca="false">IF($W13="","",INDEX(发票统计!F$4:F$1003,$W13)&amp;"")</f>
        <v/>
      </c>
      <c r="G13" s="68" t="str">
        <f aca="false">IF($W13="","",IF(INDEX(发票统计!G$4:G$1003,$W13)="","",INDEX(发票统计!G$4:G$1003,$W13)))</f>
        <v/>
      </c>
      <c r="H13" s="56" t="str">
        <f aca="false">IF($W13="","",N(INDEX(发票统计!H$4:H$1003,$W13)))</f>
        <v/>
      </c>
      <c r="I13" s="56" t="str">
        <f aca="false">IF($W13="","",N(INDEX(发票统计!I$4:I$1003,$W13)))</f>
        <v/>
      </c>
      <c r="J13" s="56" t="str">
        <f aca="false">IF($W13="","",N(INDEX(发票统计!J$4:J$1003,$W13)))</f>
        <v/>
      </c>
      <c r="K13" s="56" t="str">
        <f aca="false">IF($W13="","",N(INDEX(发票统计!K$4:K$1003,$W13)))</f>
        <v/>
      </c>
      <c r="L13" s="56" t="str">
        <f aca="false">IF($W13="","",SUM(J$4:J13)-SUM(K$4:K13))</f>
        <v/>
      </c>
      <c r="M13" s="56" t="str">
        <f aca="false">IF($W13="","",N(INDEX(发票统计!M$4:M$1003,$W13)))</f>
        <v/>
      </c>
      <c r="N13" s="56" t="str">
        <f aca="false">IF($W13="","",N(INDEX(发票统计!N$4:N$1003,$W13)))</f>
        <v/>
      </c>
      <c r="O13" s="56" t="str">
        <f aca="false">IF($W13="","",N(INDEX(发票统计!O$4:O$1003,$W13)))</f>
        <v/>
      </c>
      <c r="P13" s="56" t="str">
        <f aca="false">IF($W13="","",SUM(M$4:M13)-SUM(N$4:N13)-SUM(O$4:O13))</f>
        <v/>
      </c>
      <c r="Q13" s="56" t="str">
        <f aca="false">IF($W13="","",N(INDEX(发票统计!Q$4:Q$1003,$W13)))</f>
        <v/>
      </c>
      <c r="R13" s="56" t="str">
        <f aca="false">IF($W13="","",N(INDEX(发票统计!R$4:R$1003,$W13)))</f>
        <v/>
      </c>
      <c r="S13" s="56" t="str">
        <f aca="false">IF($W13="","",N(INDEX(发票统计!S$4:S$1003,$W13)))</f>
        <v/>
      </c>
      <c r="T13" s="56" t="str">
        <f aca="false">IF($W13="","",SUM(Q$4:Q13)-SUM(R$4:R13)-SUM(S$4:S13))</f>
        <v/>
      </c>
      <c r="U13" s="56" t="str">
        <f aca="false">IF($W13="","",INDEX(发票统计!U$4:U$1003,$W13)&amp;"")</f>
        <v/>
      </c>
      <c r="W13" s="1" t="str">
        <f aca="false">IF($V$3="","",IFERROR(MATCH($V$3&amp;"#"&amp;ROWS(W$4:W13),发票统计!$W$4:$W$1003,0),""))</f>
        <v/>
      </c>
    </row>
    <row r="14" customFormat="false" ht="16.5" hidden="false" customHeight="false" outlineLevel="0" collapsed="false">
      <c r="A14" s="3" t="str">
        <f aca="false">IF($W14="","",INDEX(发票统计!A$4:A$1003,$W14)&amp;"")</f>
        <v/>
      </c>
      <c r="B14" s="3" t="str">
        <f aca="false">IF($W14="","",INDEX(发票统计!B$4:B$1003,$W14)&amp;"")</f>
        <v/>
      </c>
      <c r="C14" s="3" t="str">
        <f aca="false">IF($W14="","",INDEX(发票统计!C$4:C$1003,$W14)&amp;"")</f>
        <v/>
      </c>
      <c r="D14" s="3" t="str">
        <f aca="false">IF($W14="","",INDEX(发票统计!D$4:D$1003,$W14)&amp;"")</f>
        <v/>
      </c>
      <c r="E14" s="67" t="str">
        <f aca="false">IF($W14="","",INDEX(发票统计!E$4:E$1003,$W14)&amp;"")</f>
        <v/>
      </c>
      <c r="F14" s="68" t="str">
        <f aca="false">IF($W14="","",INDEX(发票统计!F$4:F$1003,$W14)&amp;"")</f>
        <v/>
      </c>
      <c r="G14" s="68" t="str">
        <f aca="false">IF($W14="","",IF(INDEX(发票统计!G$4:G$1003,$W14)="","",INDEX(发票统计!G$4:G$1003,$W14)))</f>
        <v/>
      </c>
      <c r="H14" s="56" t="str">
        <f aca="false">IF($W14="","",N(INDEX(发票统计!H$4:H$1003,$W14)))</f>
        <v/>
      </c>
      <c r="I14" s="56" t="str">
        <f aca="false">IF($W14="","",N(INDEX(发票统计!I$4:I$1003,$W14)))</f>
        <v/>
      </c>
      <c r="J14" s="56" t="str">
        <f aca="false">IF($W14="","",N(INDEX(发票统计!J$4:J$1003,$W14)))</f>
        <v/>
      </c>
      <c r="K14" s="56" t="str">
        <f aca="false">IF($W14="","",N(INDEX(发票统计!K$4:K$1003,$W14)))</f>
        <v/>
      </c>
      <c r="L14" s="56" t="str">
        <f aca="false">IF($W14="","",SUM(J$4:J14)-SUM(K$4:K14))</f>
        <v/>
      </c>
      <c r="M14" s="56" t="str">
        <f aca="false">IF($W14="","",N(INDEX(发票统计!M$4:M$1003,$W14)))</f>
        <v/>
      </c>
      <c r="N14" s="56" t="str">
        <f aca="false">IF($W14="","",N(INDEX(发票统计!N$4:N$1003,$W14)))</f>
        <v/>
      </c>
      <c r="O14" s="56" t="str">
        <f aca="false">IF($W14="","",N(INDEX(发票统计!O$4:O$1003,$W14)))</f>
        <v/>
      </c>
      <c r="P14" s="56" t="str">
        <f aca="false">IF($W14="","",SUM(M$4:M14)-SUM(N$4:N14)-SUM(O$4:O14))</f>
        <v/>
      </c>
      <c r="Q14" s="56" t="str">
        <f aca="false">IF($W14="","",N(INDEX(发票统计!Q$4:Q$1003,$W14)))</f>
        <v/>
      </c>
      <c r="R14" s="56" t="str">
        <f aca="false">IF($W14="","",N(INDEX(发票统计!R$4:R$1003,$W14)))</f>
        <v/>
      </c>
      <c r="S14" s="56" t="str">
        <f aca="false">IF($W14="","",N(INDEX(发票统计!S$4:S$1003,$W14)))</f>
        <v/>
      </c>
      <c r="T14" s="56" t="str">
        <f aca="false">IF($W14="","",SUM(Q$4:Q14)-SUM(R$4:R14)-SUM(S$4:S14))</f>
        <v/>
      </c>
      <c r="U14" s="56" t="str">
        <f aca="false">IF($W14="","",INDEX(发票统计!U$4:U$1003,$W14)&amp;"")</f>
        <v/>
      </c>
      <c r="W14" s="1" t="str">
        <f aca="false">IF($V$3="","",IFERROR(MATCH($V$3&amp;"#"&amp;ROWS(W$4:W14),发票统计!$W$4:$W$1003,0),""))</f>
        <v/>
      </c>
    </row>
    <row r="15" customFormat="false" ht="16.5" hidden="false" customHeight="false" outlineLevel="0" collapsed="false">
      <c r="A15" s="3" t="str">
        <f aca="false">IF($W15="","",INDEX(发票统计!A$4:A$1003,$W15)&amp;"")</f>
        <v/>
      </c>
      <c r="B15" s="3" t="str">
        <f aca="false">IF($W15="","",INDEX(发票统计!B$4:B$1003,$W15)&amp;"")</f>
        <v/>
      </c>
      <c r="C15" s="3" t="str">
        <f aca="false">IF($W15="","",INDEX(发票统计!C$4:C$1003,$W15)&amp;"")</f>
        <v/>
      </c>
      <c r="D15" s="3" t="str">
        <f aca="false">IF($W15="","",INDEX(发票统计!D$4:D$1003,$W15)&amp;"")</f>
        <v/>
      </c>
      <c r="E15" s="67" t="str">
        <f aca="false">IF($W15="","",INDEX(发票统计!E$4:E$1003,$W15)&amp;"")</f>
        <v/>
      </c>
      <c r="F15" s="68" t="str">
        <f aca="false">IF($W15="","",INDEX(发票统计!F$4:F$1003,$W15)&amp;"")</f>
        <v/>
      </c>
      <c r="G15" s="68" t="str">
        <f aca="false">IF($W15="","",IF(INDEX(发票统计!G$4:G$1003,$W15)="","",INDEX(发票统计!G$4:G$1003,$W15)))</f>
        <v/>
      </c>
      <c r="H15" s="56" t="str">
        <f aca="false">IF($W15="","",N(INDEX(发票统计!H$4:H$1003,$W15)))</f>
        <v/>
      </c>
      <c r="I15" s="56" t="str">
        <f aca="false">IF($W15="","",N(INDEX(发票统计!I$4:I$1003,$W15)))</f>
        <v/>
      </c>
      <c r="J15" s="56" t="str">
        <f aca="false">IF($W15="","",N(INDEX(发票统计!J$4:J$1003,$W15)))</f>
        <v/>
      </c>
      <c r="K15" s="56" t="str">
        <f aca="false">IF($W15="","",N(INDEX(发票统计!K$4:K$1003,$W15)))</f>
        <v/>
      </c>
      <c r="L15" s="56" t="str">
        <f aca="false">IF($W15="","",SUM(J$4:J15)-SUM(K$4:K15))</f>
        <v/>
      </c>
      <c r="M15" s="56" t="str">
        <f aca="false">IF($W15="","",N(INDEX(发票统计!M$4:M$1003,$W15)))</f>
        <v/>
      </c>
      <c r="N15" s="56" t="str">
        <f aca="false">IF($W15="","",N(INDEX(发票统计!N$4:N$1003,$W15)))</f>
        <v/>
      </c>
      <c r="O15" s="56" t="str">
        <f aca="false">IF($W15="","",N(INDEX(发票统计!O$4:O$1003,$W15)))</f>
        <v/>
      </c>
      <c r="P15" s="56" t="str">
        <f aca="false">IF($W15="","",SUM(M$4:M15)-SUM(N$4:N15)-SUM(O$4:O15))</f>
        <v/>
      </c>
      <c r="Q15" s="56" t="str">
        <f aca="false">IF($W15="","",N(INDEX(发票统计!Q$4:Q$1003,$W15)))</f>
        <v/>
      </c>
      <c r="R15" s="56" t="str">
        <f aca="false">IF($W15="","",N(INDEX(发票统计!R$4:R$1003,$W15)))</f>
        <v/>
      </c>
      <c r="S15" s="56" t="str">
        <f aca="false">IF($W15="","",N(INDEX(发票统计!S$4:S$1003,$W15)))</f>
        <v/>
      </c>
      <c r="T15" s="56" t="str">
        <f aca="false">IF($W15="","",SUM(Q$4:Q15)-SUM(R$4:R15)-SUM(S$4:S15))</f>
        <v/>
      </c>
      <c r="U15" s="56" t="str">
        <f aca="false">IF($W15="","",INDEX(发票统计!U$4:U$1003,$W15)&amp;"")</f>
        <v/>
      </c>
      <c r="W15" s="1" t="str">
        <f aca="false">IF($V$3="","",IFERROR(MATCH($V$3&amp;"#"&amp;ROWS(W$4:W15),发票统计!$W$4:$W$1003,0),""))</f>
        <v/>
      </c>
    </row>
    <row r="16" customFormat="false" ht="16.5" hidden="false" customHeight="false" outlineLevel="0" collapsed="false">
      <c r="A16" s="3" t="str">
        <f aca="false">IF($W16="","",INDEX(发票统计!A$4:A$1003,$W16)&amp;"")</f>
        <v/>
      </c>
      <c r="B16" s="3" t="str">
        <f aca="false">IF($W16="","",INDEX(发票统计!B$4:B$1003,$W16)&amp;"")</f>
        <v/>
      </c>
      <c r="C16" s="3" t="str">
        <f aca="false">IF($W16="","",INDEX(发票统计!C$4:C$1003,$W16)&amp;"")</f>
        <v/>
      </c>
      <c r="D16" s="3" t="str">
        <f aca="false">IF($W16="","",INDEX(发票统计!D$4:D$1003,$W16)&amp;"")</f>
        <v/>
      </c>
      <c r="E16" s="67" t="str">
        <f aca="false">IF($W16="","",INDEX(发票统计!E$4:E$1003,$W16)&amp;"")</f>
        <v/>
      </c>
      <c r="F16" s="67" t="str">
        <f aca="false">IF($W16="","",INDEX(发票统计!F$4:F$1003,$W16)&amp;"")</f>
        <v/>
      </c>
      <c r="G16" s="68" t="str">
        <f aca="false">IF($W16="","",IF(INDEX(发票统计!G$4:G$1003,$W16)="","",INDEX(发票统计!G$4:G$1003,$W16)))</f>
        <v/>
      </c>
      <c r="H16" s="56" t="str">
        <f aca="false">IF($W16="","",N(INDEX(发票统计!H$4:H$1003,$W16)))</f>
        <v/>
      </c>
      <c r="I16" s="56" t="str">
        <f aca="false">IF($W16="","",N(INDEX(发票统计!I$4:I$1003,$W16)))</f>
        <v/>
      </c>
      <c r="J16" s="56" t="str">
        <f aca="false">IF($W16="","",N(INDEX(发票统计!J$4:J$1003,$W16)))</f>
        <v/>
      </c>
      <c r="K16" s="56" t="str">
        <f aca="false">IF($W16="","",N(INDEX(发票统计!K$4:K$1003,$W16)))</f>
        <v/>
      </c>
      <c r="L16" s="56" t="str">
        <f aca="false">IF($W16="","",SUM(J$4:J16)-SUM(K$4:K16))</f>
        <v/>
      </c>
      <c r="M16" s="56" t="str">
        <f aca="false">IF($W16="","",N(INDEX(发票统计!M$4:M$1003,$W16)))</f>
        <v/>
      </c>
      <c r="N16" s="56" t="str">
        <f aca="false">IF($W16="","",N(INDEX(发票统计!N$4:N$1003,$W16)))</f>
        <v/>
      </c>
      <c r="O16" s="56" t="str">
        <f aca="false">IF($W16="","",N(INDEX(发票统计!O$4:O$1003,$W16)))</f>
        <v/>
      </c>
      <c r="P16" s="56" t="str">
        <f aca="false">IF($W16="","",SUM(M$4:M16)-SUM(N$4:N16)-SUM(O$4:O16))</f>
        <v/>
      </c>
      <c r="Q16" s="56" t="str">
        <f aca="false">IF($W16="","",N(INDEX(发票统计!Q$4:Q$1003,$W16)))</f>
        <v/>
      </c>
      <c r="R16" s="56" t="str">
        <f aca="false">IF($W16="","",N(INDEX(发票统计!R$4:R$1003,$W16)))</f>
        <v/>
      </c>
      <c r="S16" s="56" t="str">
        <f aca="false">IF($W16="","",N(INDEX(发票统计!S$4:S$1003,$W16)))</f>
        <v/>
      </c>
      <c r="T16" s="56" t="str">
        <f aca="false">IF($W16="","",SUM(Q$4:Q16)-SUM(R$4:R16)-SUM(S$4:S16))</f>
        <v/>
      </c>
      <c r="U16" s="56" t="str">
        <f aca="false">IF($W16="","",INDEX(发票统计!U$4:U$1003,$W16)&amp;"")</f>
        <v/>
      </c>
      <c r="W16" s="1" t="str">
        <f aca="false">IF($V$3="","",IFERROR(MATCH($V$3&amp;"#"&amp;ROWS(W$4:W16),发票统计!$W$4:$W$1003,0),""))</f>
        <v/>
      </c>
    </row>
    <row r="17" customFormat="false" ht="16.5" hidden="false" customHeight="false" outlineLevel="0" collapsed="false">
      <c r="A17" s="3" t="str">
        <f aca="false">IF($W17="","",INDEX(发票统计!A$4:A$1003,$W17)&amp;"")</f>
        <v/>
      </c>
      <c r="B17" s="3" t="str">
        <f aca="false">IF($W17="","",INDEX(发票统计!B$4:B$1003,$W17)&amp;"")</f>
        <v/>
      </c>
      <c r="C17" s="3" t="str">
        <f aca="false">IF($W17="","",INDEX(发票统计!C$4:C$1003,$W17)&amp;"")</f>
        <v/>
      </c>
      <c r="D17" s="3" t="str">
        <f aca="false">IF($W17="","",INDEX(发票统计!D$4:D$1003,$W17)&amp;"")</f>
        <v/>
      </c>
      <c r="E17" s="67" t="str">
        <f aca="false">IF($W17="","",INDEX(发票统计!E$4:E$1003,$W17)&amp;"")</f>
        <v/>
      </c>
      <c r="F17" s="67" t="str">
        <f aca="false">IF($W17="","",INDEX(发票统计!F$4:F$1003,$W17)&amp;"")</f>
        <v/>
      </c>
      <c r="G17" s="68" t="str">
        <f aca="false">IF($W17="","",IF(INDEX(发票统计!G$4:G$1003,$W17)="","",INDEX(发票统计!G$4:G$1003,$W17)))</f>
        <v/>
      </c>
      <c r="H17" s="56" t="str">
        <f aca="false">IF($W17="","",N(INDEX(发票统计!H$4:H$1003,$W17)))</f>
        <v/>
      </c>
      <c r="I17" s="56" t="str">
        <f aca="false">IF($W17="","",N(INDEX(发票统计!I$4:I$1003,$W17)))</f>
        <v/>
      </c>
      <c r="J17" s="56" t="str">
        <f aca="false">IF($W17="","",N(INDEX(发票统计!J$4:J$1003,$W17)))</f>
        <v/>
      </c>
      <c r="K17" s="56" t="str">
        <f aca="false">IF($W17="","",N(INDEX(发票统计!K$4:K$1003,$W17)))</f>
        <v/>
      </c>
      <c r="L17" s="56" t="str">
        <f aca="false">IF($W17="","",SUM(J$4:J17)-SUM(K$4:K17))</f>
        <v/>
      </c>
      <c r="M17" s="56" t="str">
        <f aca="false">IF($W17="","",N(INDEX(发票统计!M$4:M$1003,$W17)))</f>
        <v/>
      </c>
      <c r="N17" s="56" t="str">
        <f aca="false">IF($W17="","",N(INDEX(发票统计!N$4:N$1003,$W17)))</f>
        <v/>
      </c>
      <c r="O17" s="56" t="str">
        <f aca="false">IF($W17="","",N(INDEX(发票统计!O$4:O$1003,$W17)))</f>
        <v/>
      </c>
      <c r="P17" s="56" t="str">
        <f aca="false">IF($W17="","",SUM(M$4:M17)-SUM(N$4:N17)-SUM(O$4:O17))</f>
        <v/>
      </c>
      <c r="Q17" s="56" t="str">
        <f aca="false">IF($W17="","",N(INDEX(发票统计!Q$4:Q$1003,$W17)))</f>
        <v/>
      </c>
      <c r="R17" s="56" t="str">
        <f aca="false">IF($W17="","",N(INDEX(发票统计!R$4:R$1003,$W17)))</f>
        <v/>
      </c>
      <c r="S17" s="56" t="str">
        <f aca="false">IF($W17="","",N(INDEX(发票统计!S$4:S$1003,$W17)))</f>
        <v/>
      </c>
      <c r="T17" s="56" t="str">
        <f aca="false">IF($W17="","",SUM(Q$4:Q17)-SUM(R$4:R17)-SUM(S$4:S17))</f>
        <v/>
      </c>
      <c r="U17" s="56" t="str">
        <f aca="false">IF($W17="","",INDEX(发票统计!U$4:U$1003,$W17)&amp;"")</f>
        <v/>
      </c>
      <c r="W17" s="1" t="str">
        <f aca="false">IF($V$3="","",IFERROR(MATCH($V$3&amp;"#"&amp;ROWS(W$4:W17),发票统计!$W$4:$W$1003,0),""))</f>
        <v/>
      </c>
    </row>
    <row r="18" customFormat="false" ht="16.5" hidden="false" customHeight="false" outlineLevel="0" collapsed="false">
      <c r="A18" s="3" t="str">
        <f aca="false">IF($W18="","",INDEX(发票统计!A$4:A$1003,$W18)&amp;"")</f>
        <v/>
      </c>
      <c r="B18" s="3" t="str">
        <f aca="false">IF($W18="","",INDEX(发票统计!B$4:B$1003,$W18)&amp;"")</f>
        <v/>
      </c>
      <c r="C18" s="3" t="str">
        <f aca="false">IF($W18="","",INDEX(发票统计!C$4:C$1003,$W18)&amp;"")</f>
        <v/>
      </c>
      <c r="D18" s="3" t="str">
        <f aca="false">IF($W18="","",INDEX(发票统计!D$4:D$1003,$W18)&amp;"")</f>
        <v/>
      </c>
      <c r="E18" s="67" t="str">
        <f aca="false">IF($W18="","",INDEX(发票统计!E$4:E$1003,$W18)&amp;"")</f>
        <v/>
      </c>
      <c r="F18" s="67" t="str">
        <f aca="false">IF($W18="","",INDEX(发票统计!F$4:F$1003,$W18)&amp;"")</f>
        <v/>
      </c>
      <c r="G18" s="68" t="str">
        <f aca="false">IF($W18="","",IF(INDEX(发票统计!G$4:G$1003,$W18)="","",INDEX(发票统计!G$4:G$1003,$W18)))</f>
        <v/>
      </c>
      <c r="H18" s="56" t="str">
        <f aca="false">IF($W18="","",N(INDEX(发票统计!H$4:H$1003,$W18)))</f>
        <v/>
      </c>
      <c r="I18" s="56" t="str">
        <f aca="false">IF($W18="","",N(INDEX(发票统计!I$4:I$1003,$W18)))</f>
        <v/>
      </c>
      <c r="J18" s="56" t="str">
        <f aca="false">IF($W18="","",N(INDEX(发票统计!J$4:J$1003,$W18)))</f>
        <v/>
      </c>
      <c r="K18" s="56" t="str">
        <f aca="false">IF($W18="","",N(INDEX(发票统计!K$4:K$1003,$W18)))</f>
        <v/>
      </c>
      <c r="L18" s="56" t="str">
        <f aca="false">IF($W18="","",SUM(J$4:J18)-SUM(K$4:K18))</f>
        <v/>
      </c>
      <c r="M18" s="56" t="str">
        <f aca="false">IF($W18="","",N(INDEX(发票统计!M$4:M$1003,$W18)))</f>
        <v/>
      </c>
      <c r="N18" s="56" t="str">
        <f aca="false">IF($W18="","",N(INDEX(发票统计!N$4:N$1003,$W18)))</f>
        <v/>
      </c>
      <c r="O18" s="56" t="str">
        <f aca="false">IF($W18="","",N(INDEX(发票统计!O$4:O$1003,$W18)))</f>
        <v/>
      </c>
      <c r="P18" s="56" t="str">
        <f aca="false">IF($W18="","",SUM(M$4:M18)-SUM(N$4:N18)-SUM(O$4:O18))</f>
        <v/>
      </c>
      <c r="Q18" s="56" t="str">
        <f aca="false">IF($W18="","",N(INDEX(发票统计!Q$4:Q$1003,$W18)))</f>
        <v/>
      </c>
      <c r="R18" s="56" t="str">
        <f aca="false">IF($W18="","",N(INDEX(发票统计!R$4:R$1003,$W18)))</f>
        <v/>
      </c>
      <c r="S18" s="56" t="str">
        <f aca="false">IF($W18="","",N(INDEX(发票统计!S$4:S$1003,$W18)))</f>
        <v/>
      </c>
      <c r="T18" s="56" t="str">
        <f aca="false">IF($W18="","",SUM(Q$4:Q18)-SUM(R$4:R18)-SUM(S$4:S18))</f>
        <v/>
      </c>
      <c r="U18" s="56" t="str">
        <f aca="false">IF($W18="","",INDEX(发票统计!U$4:U$1003,$W18)&amp;"")</f>
        <v/>
      </c>
      <c r="W18" s="1" t="str">
        <f aca="false">IF($V$3="","",IFERROR(MATCH($V$3&amp;"#"&amp;ROWS(W$4:W18),发票统计!$W$4:$W$1003,0),""))</f>
        <v/>
      </c>
    </row>
    <row r="19" customFormat="false" ht="16.5" hidden="false" customHeight="false" outlineLevel="0" collapsed="false">
      <c r="A19" s="3" t="str">
        <f aca="false">IF($W19="","",INDEX(发票统计!A$4:A$1003,$W19)&amp;"")</f>
        <v/>
      </c>
      <c r="B19" s="3" t="str">
        <f aca="false">IF($W19="","",INDEX(发票统计!B$4:B$1003,$W19)&amp;"")</f>
        <v/>
      </c>
      <c r="C19" s="3" t="str">
        <f aca="false">IF($W19="","",INDEX(发票统计!C$4:C$1003,$W19)&amp;"")</f>
        <v/>
      </c>
      <c r="D19" s="3" t="str">
        <f aca="false">IF($W19="","",INDEX(发票统计!D$4:D$1003,$W19)&amp;"")</f>
        <v/>
      </c>
      <c r="E19" s="67" t="str">
        <f aca="false">IF($W19="","",INDEX(发票统计!E$4:E$1003,$W19)&amp;"")</f>
        <v/>
      </c>
      <c r="F19" s="67" t="str">
        <f aca="false">IF($W19="","",INDEX(发票统计!F$4:F$1003,$W19)&amp;"")</f>
        <v/>
      </c>
      <c r="G19" s="68" t="str">
        <f aca="false">IF($W19="","",IF(INDEX(发票统计!G$4:G$1003,$W19)="","",INDEX(发票统计!G$4:G$1003,$W19)))</f>
        <v/>
      </c>
      <c r="H19" s="56" t="str">
        <f aca="false">IF($W19="","",N(INDEX(发票统计!H$4:H$1003,$W19)))</f>
        <v/>
      </c>
      <c r="I19" s="56" t="str">
        <f aca="false">IF($W19="","",N(INDEX(发票统计!I$4:I$1003,$W19)))</f>
        <v/>
      </c>
      <c r="J19" s="56" t="str">
        <f aca="false">IF($W19="","",N(INDEX(发票统计!J$4:J$1003,$W19)))</f>
        <v/>
      </c>
      <c r="K19" s="56" t="str">
        <f aca="false">IF($W19="","",N(INDEX(发票统计!K$4:K$1003,$W19)))</f>
        <v/>
      </c>
      <c r="L19" s="56" t="str">
        <f aca="false">IF($W19="","",SUM(J$4:J19)-SUM(K$4:K19))</f>
        <v/>
      </c>
      <c r="M19" s="56" t="str">
        <f aca="false">IF($W19="","",N(INDEX(发票统计!M$4:M$1003,$W19)))</f>
        <v/>
      </c>
      <c r="N19" s="56" t="str">
        <f aca="false">IF($W19="","",N(INDEX(发票统计!N$4:N$1003,$W19)))</f>
        <v/>
      </c>
      <c r="O19" s="56" t="str">
        <f aca="false">IF($W19="","",N(INDEX(发票统计!O$4:O$1003,$W19)))</f>
        <v/>
      </c>
      <c r="P19" s="56" t="str">
        <f aca="false">IF($W19="","",SUM(M$4:M19)-SUM(N$4:N19)-SUM(O$4:O19))</f>
        <v/>
      </c>
      <c r="Q19" s="56" t="str">
        <f aca="false">IF($W19="","",N(INDEX(发票统计!Q$4:Q$1003,$W19)))</f>
        <v/>
      </c>
      <c r="R19" s="56" t="str">
        <f aca="false">IF($W19="","",N(INDEX(发票统计!R$4:R$1003,$W19)))</f>
        <v/>
      </c>
      <c r="S19" s="56" t="str">
        <f aca="false">IF($W19="","",N(INDEX(发票统计!S$4:S$1003,$W19)))</f>
        <v/>
      </c>
      <c r="T19" s="56" t="str">
        <f aca="false">IF($W19="","",SUM(Q$4:Q19)-SUM(R$4:R19)-SUM(S$4:S19))</f>
        <v/>
      </c>
      <c r="U19" s="56" t="str">
        <f aca="false">IF($W19="","",INDEX(发票统计!U$4:U$1003,$W19)&amp;"")</f>
        <v/>
      </c>
      <c r="W19" s="1" t="str">
        <f aca="false">IF($V$3="","",IFERROR(MATCH($V$3&amp;"#"&amp;ROWS(W$4:W19),发票统计!$W$4:$W$1003,0),""))</f>
        <v/>
      </c>
    </row>
    <row r="20" customFormat="false" ht="16.5" hidden="false" customHeight="false" outlineLevel="0" collapsed="false">
      <c r="A20" s="3" t="str">
        <f aca="false">IF($W20="","",INDEX(发票统计!A$4:A$1003,$W20)&amp;"")</f>
        <v/>
      </c>
      <c r="B20" s="3" t="str">
        <f aca="false">IF($W20="","",INDEX(发票统计!B$4:B$1003,$W20)&amp;"")</f>
        <v/>
      </c>
      <c r="C20" s="3" t="str">
        <f aca="false">IF($W20="","",INDEX(发票统计!C$4:C$1003,$W20)&amp;"")</f>
        <v/>
      </c>
      <c r="D20" s="3" t="str">
        <f aca="false">IF($W20="","",INDEX(发票统计!D$4:D$1003,$W20)&amp;"")</f>
        <v/>
      </c>
      <c r="E20" s="67" t="str">
        <f aca="false">IF($W20="","",INDEX(发票统计!E$4:E$1003,$W20)&amp;"")</f>
        <v/>
      </c>
      <c r="F20" s="67" t="str">
        <f aca="false">IF($W20="","",INDEX(发票统计!F$4:F$1003,$W20)&amp;"")</f>
        <v/>
      </c>
      <c r="G20" s="68" t="str">
        <f aca="false">IF($W20="","",IF(INDEX(发票统计!G$4:G$1003,$W20)="","",INDEX(发票统计!G$4:G$1003,$W20)))</f>
        <v/>
      </c>
      <c r="H20" s="56" t="str">
        <f aca="false">IF($W20="","",N(INDEX(发票统计!H$4:H$1003,$W20)))</f>
        <v/>
      </c>
      <c r="I20" s="56" t="str">
        <f aca="false">IF($W20="","",N(INDEX(发票统计!I$4:I$1003,$W20)))</f>
        <v/>
      </c>
      <c r="J20" s="56" t="str">
        <f aca="false">IF($W20="","",N(INDEX(发票统计!J$4:J$1003,$W20)))</f>
        <v/>
      </c>
      <c r="K20" s="56" t="str">
        <f aca="false">IF($W20="","",N(INDEX(发票统计!K$4:K$1003,$W20)))</f>
        <v/>
      </c>
      <c r="L20" s="56" t="str">
        <f aca="false">IF($W20="","",SUM(J$4:J20)-SUM(K$4:K20))</f>
        <v/>
      </c>
      <c r="M20" s="56" t="str">
        <f aca="false">IF($W20="","",N(INDEX(发票统计!M$4:M$1003,$W20)))</f>
        <v/>
      </c>
      <c r="N20" s="56" t="str">
        <f aca="false">IF($W20="","",N(INDEX(发票统计!N$4:N$1003,$W20)))</f>
        <v/>
      </c>
      <c r="O20" s="56" t="str">
        <f aca="false">IF($W20="","",N(INDEX(发票统计!O$4:O$1003,$W20)))</f>
        <v/>
      </c>
      <c r="P20" s="56" t="str">
        <f aca="false">IF($W20="","",SUM(M$4:M20)-SUM(N$4:N20)-SUM(O$4:O20))</f>
        <v/>
      </c>
      <c r="Q20" s="56" t="str">
        <f aca="false">IF($W20="","",N(INDEX(发票统计!Q$4:Q$1003,$W20)))</f>
        <v/>
      </c>
      <c r="R20" s="56" t="str">
        <f aca="false">IF($W20="","",N(INDEX(发票统计!R$4:R$1003,$W20)))</f>
        <v/>
      </c>
      <c r="S20" s="56" t="str">
        <f aca="false">IF($W20="","",N(INDEX(发票统计!S$4:S$1003,$W20)))</f>
        <v/>
      </c>
      <c r="T20" s="56" t="str">
        <f aca="false">IF($W20="","",SUM(Q$4:Q20)-SUM(R$4:R20)-SUM(S$4:S20))</f>
        <v/>
      </c>
      <c r="U20" s="56" t="str">
        <f aca="false">IF($W20="","",INDEX(发票统计!U$4:U$1003,$W20)&amp;"")</f>
        <v/>
      </c>
      <c r="W20" s="1" t="str">
        <f aca="false">IF($V$3="","",IFERROR(MATCH($V$3&amp;"#"&amp;ROWS(W$4:W20),发票统计!$W$4:$W$1003,0),""))</f>
        <v/>
      </c>
    </row>
    <row r="21" customFormat="false" ht="16.5" hidden="false" customHeight="false" outlineLevel="0" collapsed="false">
      <c r="A21" s="3" t="str">
        <f aca="false">IF($W21="","",INDEX(发票统计!A$4:A$1003,$W21)&amp;"")</f>
        <v/>
      </c>
      <c r="B21" s="3" t="str">
        <f aca="false">IF($W21="","",INDEX(发票统计!B$4:B$1003,$W21)&amp;"")</f>
        <v/>
      </c>
      <c r="C21" s="3" t="str">
        <f aca="false">IF($W21="","",INDEX(发票统计!C$4:C$1003,$W21)&amp;"")</f>
        <v/>
      </c>
      <c r="D21" s="3" t="str">
        <f aca="false">IF($W21="","",INDEX(发票统计!D$4:D$1003,$W21)&amp;"")</f>
        <v/>
      </c>
      <c r="E21" s="67" t="str">
        <f aca="false">IF($W21="","",INDEX(发票统计!E$4:E$1003,$W21)&amp;"")</f>
        <v/>
      </c>
      <c r="F21" s="67" t="str">
        <f aca="false">IF($W21="","",INDEX(发票统计!F$4:F$1003,$W21)&amp;"")</f>
        <v/>
      </c>
      <c r="G21" s="68" t="str">
        <f aca="false">IF($W21="","",IF(INDEX(发票统计!G$4:G$1003,$W21)="","",INDEX(发票统计!G$4:G$1003,$W21)))</f>
        <v/>
      </c>
      <c r="H21" s="56" t="str">
        <f aca="false">IF($W21="","",N(INDEX(发票统计!H$4:H$1003,$W21)))</f>
        <v/>
      </c>
      <c r="I21" s="56" t="str">
        <f aca="false">IF($W21="","",N(INDEX(发票统计!I$4:I$1003,$W21)))</f>
        <v/>
      </c>
      <c r="J21" s="56" t="str">
        <f aca="false">IF($W21="","",N(INDEX(发票统计!J$4:J$1003,$W21)))</f>
        <v/>
      </c>
      <c r="K21" s="56" t="str">
        <f aca="false">IF($W21="","",N(INDEX(发票统计!K$4:K$1003,$W21)))</f>
        <v/>
      </c>
      <c r="L21" s="56" t="str">
        <f aca="false">IF($W21="","",SUM(J$4:J21)-SUM(K$4:K21))</f>
        <v/>
      </c>
      <c r="M21" s="56" t="str">
        <f aca="false">IF($W21="","",N(INDEX(发票统计!M$4:M$1003,$W21)))</f>
        <v/>
      </c>
      <c r="N21" s="56" t="str">
        <f aca="false">IF($W21="","",N(INDEX(发票统计!N$4:N$1003,$W21)))</f>
        <v/>
      </c>
      <c r="O21" s="56" t="str">
        <f aca="false">IF($W21="","",N(INDEX(发票统计!O$4:O$1003,$W21)))</f>
        <v/>
      </c>
      <c r="P21" s="56" t="str">
        <f aca="false">IF($W21="","",SUM(M$4:M21)-SUM(N$4:N21)-SUM(O$4:O21))</f>
        <v/>
      </c>
      <c r="Q21" s="56" t="str">
        <f aca="false">IF($W21="","",N(INDEX(发票统计!Q$4:Q$1003,$W21)))</f>
        <v/>
      </c>
      <c r="R21" s="56" t="str">
        <f aca="false">IF($W21="","",N(INDEX(发票统计!R$4:R$1003,$W21)))</f>
        <v/>
      </c>
      <c r="S21" s="56" t="str">
        <f aca="false">IF($W21="","",N(INDEX(发票统计!S$4:S$1003,$W21)))</f>
        <v/>
      </c>
      <c r="T21" s="56" t="str">
        <f aca="false">IF($W21="","",SUM(Q$4:Q21)-SUM(R$4:R21)-SUM(S$4:S21))</f>
        <v/>
      </c>
      <c r="U21" s="56" t="str">
        <f aca="false">IF($W21="","",INDEX(发票统计!U$4:U$1003,$W21)&amp;"")</f>
        <v/>
      </c>
      <c r="W21" s="1" t="str">
        <f aca="false">IF($V$3="","",IFERROR(MATCH($V$3&amp;"#"&amp;ROWS(W$4:W21),发票统计!$W$4:$W$1003,0),""))</f>
        <v/>
      </c>
    </row>
    <row r="22" customFormat="false" ht="16.5" hidden="false" customHeight="false" outlineLevel="0" collapsed="false">
      <c r="A22" s="3" t="str">
        <f aca="false">IF($W22="","",INDEX(发票统计!A$4:A$1003,$W22)&amp;"")</f>
        <v/>
      </c>
      <c r="B22" s="3" t="str">
        <f aca="false">IF($W22="","",INDEX(发票统计!B$4:B$1003,$W22)&amp;"")</f>
        <v/>
      </c>
      <c r="C22" s="3" t="str">
        <f aca="false">IF($W22="","",INDEX(发票统计!C$4:C$1003,$W22)&amp;"")</f>
        <v/>
      </c>
      <c r="D22" s="3" t="str">
        <f aca="false">IF($W22="","",INDEX(发票统计!D$4:D$1003,$W22)&amp;"")</f>
        <v/>
      </c>
      <c r="E22" s="67" t="str">
        <f aca="false">IF($W22="","",INDEX(发票统计!E$4:E$1003,$W22)&amp;"")</f>
        <v/>
      </c>
      <c r="F22" s="67" t="str">
        <f aca="false">IF($W22="","",INDEX(发票统计!F$4:F$1003,$W22)&amp;"")</f>
        <v/>
      </c>
      <c r="G22" s="68" t="str">
        <f aca="false">IF($W22="","",IF(INDEX(发票统计!G$4:G$1003,$W22)="","",INDEX(发票统计!G$4:G$1003,$W22)))</f>
        <v/>
      </c>
      <c r="H22" s="56" t="str">
        <f aca="false">IF($W22="","",N(INDEX(发票统计!H$4:H$1003,$W22)))</f>
        <v/>
      </c>
      <c r="I22" s="56" t="str">
        <f aca="false">IF($W22="","",N(INDEX(发票统计!I$4:I$1003,$W22)))</f>
        <v/>
      </c>
      <c r="J22" s="56" t="str">
        <f aca="false">IF($W22="","",N(INDEX(发票统计!J$4:J$1003,$W22)))</f>
        <v/>
      </c>
      <c r="K22" s="56" t="str">
        <f aca="false">IF($W22="","",N(INDEX(发票统计!K$4:K$1003,$W22)))</f>
        <v/>
      </c>
      <c r="L22" s="56" t="str">
        <f aca="false">IF($W22="","",SUM(J$4:J22)-SUM(K$4:K22))</f>
        <v/>
      </c>
      <c r="M22" s="56" t="str">
        <f aca="false">IF($W22="","",N(INDEX(发票统计!M$4:M$1003,$W22)))</f>
        <v/>
      </c>
      <c r="N22" s="56" t="str">
        <f aca="false">IF($W22="","",N(INDEX(发票统计!N$4:N$1003,$W22)))</f>
        <v/>
      </c>
      <c r="O22" s="56" t="str">
        <f aca="false">IF($W22="","",N(INDEX(发票统计!O$4:O$1003,$W22)))</f>
        <v/>
      </c>
      <c r="P22" s="56" t="str">
        <f aca="false">IF($W22="","",SUM(M$4:M22)-SUM(N$4:N22)-SUM(O$4:O22))</f>
        <v/>
      </c>
      <c r="Q22" s="56" t="str">
        <f aca="false">IF($W22="","",N(INDEX(发票统计!Q$4:Q$1003,$W22)))</f>
        <v/>
      </c>
      <c r="R22" s="56" t="str">
        <f aca="false">IF($W22="","",N(INDEX(发票统计!R$4:R$1003,$W22)))</f>
        <v/>
      </c>
      <c r="S22" s="56" t="str">
        <f aca="false">IF($W22="","",N(INDEX(发票统计!S$4:S$1003,$W22)))</f>
        <v/>
      </c>
      <c r="T22" s="56" t="str">
        <f aca="false">IF($W22="","",SUM(Q$4:Q22)-SUM(R$4:R22)-SUM(S$4:S22))</f>
        <v/>
      </c>
      <c r="U22" s="56" t="str">
        <f aca="false">IF($W22="","",INDEX(发票统计!U$4:U$1003,$W22)&amp;"")</f>
        <v/>
      </c>
      <c r="W22" s="1" t="str">
        <f aca="false">IF($V$3="","",IFERROR(MATCH($V$3&amp;"#"&amp;ROWS(W$4:W22),发票统计!$W$4:$W$1003,0),""))</f>
        <v/>
      </c>
    </row>
    <row r="23" customFormat="false" ht="16.5" hidden="false" customHeight="false" outlineLevel="0" collapsed="false">
      <c r="A23" s="3" t="str">
        <f aca="false">IF($W23="","",INDEX(发票统计!A$4:A$1003,$W23)&amp;"")</f>
        <v/>
      </c>
      <c r="B23" s="3" t="str">
        <f aca="false">IF($W23="","",INDEX(发票统计!B$4:B$1003,$W23)&amp;"")</f>
        <v/>
      </c>
      <c r="C23" s="3" t="str">
        <f aca="false">IF($W23="","",INDEX(发票统计!C$4:C$1003,$W23)&amp;"")</f>
        <v/>
      </c>
      <c r="D23" s="3" t="str">
        <f aca="false">IF($W23="","",INDEX(发票统计!D$4:D$1003,$W23)&amp;"")</f>
        <v/>
      </c>
      <c r="E23" s="67" t="str">
        <f aca="false">IF($W23="","",INDEX(发票统计!E$4:E$1003,$W23)&amp;"")</f>
        <v/>
      </c>
      <c r="F23" s="67" t="str">
        <f aca="false">IF($W23="","",INDEX(发票统计!F$4:F$1003,$W23)&amp;"")</f>
        <v/>
      </c>
      <c r="G23" s="68" t="str">
        <f aca="false">IF($W23="","",IF(INDEX(发票统计!G$4:G$1003,$W23)="","",INDEX(发票统计!G$4:G$1003,$W23)))</f>
        <v/>
      </c>
      <c r="H23" s="56" t="str">
        <f aca="false">IF($W23="","",N(INDEX(发票统计!H$4:H$1003,$W23)))</f>
        <v/>
      </c>
      <c r="I23" s="56" t="str">
        <f aca="false">IF($W23="","",N(INDEX(发票统计!I$4:I$1003,$W23)))</f>
        <v/>
      </c>
      <c r="J23" s="56" t="str">
        <f aca="false">IF($W23="","",N(INDEX(发票统计!J$4:J$1003,$W23)))</f>
        <v/>
      </c>
      <c r="K23" s="56" t="str">
        <f aca="false">IF($W23="","",N(INDEX(发票统计!K$4:K$1003,$W23)))</f>
        <v/>
      </c>
      <c r="L23" s="56" t="str">
        <f aca="false">IF($W23="","",SUM(J$4:J23)-SUM(K$4:K23))</f>
        <v/>
      </c>
      <c r="M23" s="56" t="str">
        <f aca="false">IF($W23="","",N(INDEX(发票统计!M$4:M$1003,$W23)))</f>
        <v/>
      </c>
      <c r="N23" s="56" t="str">
        <f aca="false">IF($W23="","",N(INDEX(发票统计!N$4:N$1003,$W23)))</f>
        <v/>
      </c>
      <c r="O23" s="56" t="str">
        <f aca="false">IF($W23="","",N(INDEX(发票统计!O$4:O$1003,$W23)))</f>
        <v/>
      </c>
      <c r="P23" s="56" t="str">
        <f aca="false">IF($W23="","",SUM(M$4:M23)-SUM(N$4:N23)-SUM(O$4:O23))</f>
        <v/>
      </c>
      <c r="Q23" s="56" t="str">
        <f aca="false">IF($W23="","",N(INDEX(发票统计!Q$4:Q$1003,$W23)))</f>
        <v/>
      </c>
      <c r="R23" s="56" t="str">
        <f aca="false">IF($W23="","",N(INDEX(发票统计!R$4:R$1003,$W23)))</f>
        <v/>
      </c>
      <c r="S23" s="56" t="str">
        <f aca="false">IF($W23="","",N(INDEX(发票统计!S$4:S$1003,$W23)))</f>
        <v/>
      </c>
      <c r="T23" s="56" t="str">
        <f aca="false">IF($W23="","",SUM(Q$4:Q23)-SUM(R$4:R23)-SUM(S$4:S23))</f>
        <v/>
      </c>
      <c r="U23" s="56" t="str">
        <f aca="false">IF($W23="","",INDEX(发票统计!U$4:U$1003,$W23)&amp;"")</f>
        <v/>
      </c>
      <c r="W23" s="1" t="str">
        <f aca="false">IF($V$3="","",IFERROR(MATCH($V$3&amp;"#"&amp;ROWS(W$4:W23),发票统计!$W$4:$W$1003,0),""))</f>
        <v/>
      </c>
    </row>
    <row r="24" customFormat="false" ht="16.5" hidden="false" customHeight="false" outlineLevel="0" collapsed="false">
      <c r="A24" s="3" t="str">
        <f aca="false">IF($W24="","",INDEX(发票统计!A$4:A$1003,$W24)&amp;"")</f>
        <v/>
      </c>
      <c r="B24" s="3" t="str">
        <f aca="false">IF($W24="","",INDEX(发票统计!B$4:B$1003,$W24)&amp;"")</f>
        <v/>
      </c>
      <c r="C24" s="3" t="str">
        <f aca="false">IF($W24="","",INDEX(发票统计!C$4:C$1003,$W24)&amp;"")</f>
        <v/>
      </c>
      <c r="D24" s="3" t="str">
        <f aca="false">IF($W24="","",INDEX(发票统计!D$4:D$1003,$W24)&amp;"")</f>
        <v/>
      </c>
      <c r="E24" s="67" t="str">
        <f aca="false">IF($W24="","",INDEX(发票统计!E$4:E$1003,$W24)&amp;"")</f>
        <v/>
      </c>
      <c r="F24" s="67" t="str">
        <f aca="false">IF($W24="","",INDEX(发票统计!F$4:F$1003,$W24)&amp;"")</f>
        <v/>
      </c>
      <c r="G24" s="68" t="str">
        <f aca="false">IF($W24="","",IF(INDEX(发票统计!G$4:G$1003,$W24)="","",INDEX(发票统计!G$4:G$1003,$W24)))</f>
        <v/>
      </c>
      <c r="H24" s="56" t="str">
        <f aca="false">IF($W24="","",N(INDEX(发票统计!H$4:H$1003,$W24)))</f>
        <v/>
      </c>
      <c r="I24" s="56" t="str">
        <f aca="false">IF($W24="","",N(INDEX(发票统计!I$4:I$1003,$W24)))</f>
        <v/>
      </c>
      <c r="J24" s="56" t="str">
        <f aca="false">IF($W24="","",N(INDEX(发票统计!J$4:J$1003,$W24)))</f>
        <v/>
      </c>
      <c r="K24" s="56" t="str">
        <f aca="false">IF($W24="","",N(INDEX(发票统计!K$4:K$1003,$W24)))</f>
        <v/>
      </c>
      <c r="L24" s="56" t="str">
        <f aca="false">IF($W24="","",SUM(J$4:J24)-SUM(K$4:K24))</f>
        <v/>
      </c>
      <c r="M24" s="56" t="str">
        <f aca="false">IF($W24="","",N(INDEX(发票统计!M$4:M$1003,$W24)))</f>
        <v/>
      </c>
      <c r="N24" s="56" t="str">
        <f aca="false">IF($W24="","",N(INDEX(发票统计!N$4:N$1003,$W24)))</f>
        <v/>
      </c>
      <c r="O24" s="56" t="str">
        <f aca="false">IF($W24="","",N(INDEX(发票统计!O$4:O$1003,$W24)))</f>
        <v/>
      </c>
      <c r="P24" s="56" t="str">
        <f aca="false">IF($W24="","",SUM(M$4:M24)-SUM(N$4:N24)-SUM(O$4:O24))</f>
        <v/>
      </c>
      <c r="Q24" s="56" t="str">
        <f aca="false">IF($W24="","",N(INDEX(发票统计!Q$4:Q$1003,$W24)))</f>
        <v/>
      </c>
      <c r="R24" s="56" t="str">
        <f aca="false">IF($W24="","",N(INDEX(发票统计!R$4:R$1003,$W24)))</f>
        <v/>
      </c>
      <c r="S24" s="56" t="str">
        <f aca="false">IF($W24="","",N(INDEX(发票统计!S$4:S$1003,$W24)))</f>
        <v/>
      </c>
      <c r="T24" s="56" t="str">
        <f aca="false">IF($W24="","",SUM(Q$4:Q24)-SUM(R$4:R24)-SUM(S$4:S24))</f>
        <v/>
      </c>
      <c r="U24" s="56" t="str">
        <f aca="false">IF($W24="","",INDEX(发票统计!U$4:U$1003,$W24)&amp;"")</f>
        <v/>
      </c>
      <c r="W24" s="1" t="str">
        <f aca="false">IF($V$3="","",IFERROR(MATCH($V$3&amp;"#"&amp;ROWS(W$4:W24),发票统计!$W$4:$W$1003,0),""))</f>
        <v/>
      </c>
    </row>
    <row r="25" customFormat="false" ht="16.5" hidden="false" customHeight="false" outlineLevel="0" collapsed="false">
      <c r="A25" s="3" t="str">
        <f aca="false">IF($W25="","",INDEX(发票统计!A$4:A$1003,$W25)&amp;"")</f>
        <v/>
      </c>
      <c r="B25" s="3" t="str">
        <f aca="false">IF($W25="","",INDEX(发票统计!B$4:B$1003,$W25)&amp;"")</f>
        <v/>
      </c>
      <c r="C25" s="3" t="str">
        <f aca="false">IF($W25="","",INDEX(发票统计!C$4:C$1003,$W25)&amp;"")</f>
        <v/>
      </c>
      <c r="D25" s="3" t="str">
        <f aca="false">IF($W25="","",INDEX(发票统计!D$4:D$1003,$W25)&amp;"")</f>
        <v/>
      </c>
      <c r="E25" s="67" t="str">
        <f aca="false">IF($W25="","",INDEX(发票统计!E$4:E$1003,$W25)&amp;"")</f>
        <v/>
      </c>
      <c r="F25" s="67" t="str">
        <f aca="false">IF($W25="","",INDEX(发票统计!F$4:F$1003,$W25)&amp;"")</f>
        <v/>
      </c>
      <c r="G25" s="68" t="str">
        <f aca="false">IF($W25="","",IF(INDEX(发票统计!G$4:G$1003,$W25)="","",INDEX(发票统计!G$4:G$1003,$W25)))</f>
        <v/>
      </c>
      <c r="H25" s="56" t="str">
        <f aca="false">IF($W25="","",N(INDEX(发票统计!H$4:H$1003,$W25)))</f>
        <v/>
      </c>
      <c r="I25" s="56" t="str">
        <f aca="false">IF($W25="","",N(INDEX(发票统计!I$4:I$1003,$W25)))</f>
        <v/>
      </c>
      <c r="J25" s="56" t="str">
        <f aca="false">IF($W25="","",N(INDEX(发票统计!J$4:J$1003,$W25)))</f>
        <v/>
      </c>
      <c r="K25" s="56" t="str">
        <f aca="false">IF($W25="","",N(INDEX(发票统计!K$4:K$1003,$W25)))</f>
        <v/>
      </c>
      <c r="L25" s="56" t="str">
        <f aca="false">IF($W25="","",SUM(J$4:J25)-SUM(K$4:K25))</f>
        <v/>
      </c>
      <c r="M25" s="56" t="str">
        <f aca="false">IF($W25="","",N(INDEX(发票统计!M$4:M$1003,$W25)))</f>
        <v/>
      </c>
      <c r="N25" s="56" t="str">
        <f aca="false">IF($W25="","",N(INDEX(发票统计!N$4:N$1003,$W25)))</f>
        <v/>
      </c>
      <c r="O25" s="56" t="str">
        <f aca="false">IF($W25="","",N(INDEX(发票统计!O$4:O$1003,$W25)))</f>
        <v/>
      </c>
      <c r="P25" s="56" t="str">
        <f aca="false">IF($W25="","",SUM(M$4:M25)-SUM(N$4:N25)-SUM(O$4:O25))</f>
        <v/>
      </c>
      <c r="Q25" s="56" t="str">
        <f aca="false">IF($W25="","",N(INDEX(发票统计!Q$4:Q$1003,$W25)))</f>
        <v/>
      </c>
      <c r="R25" s="56" t="str">
        <f aca="false">IF($W25="","",N(INDEX(发票统计!R$4:R$1003,$W25)))</f>
        <v/>
      </c>
      <c r="S25" s="56" t="str">
        <f aca="false">IF($W25="","",N(INDEX(发票统计!S$4:S$1003,$W25)))</f>
        <v/>
      </c>
      <c r="T25" s="56" t="str">
        <f aca="false">IF($W25="","",SUM(Q$4:Q25)-SUM(R$4:R25)-SUM(S$4:S25))</f>
        <v/>
      </c>
      <c r="U25" s="56" t="str">
        <f aca="false">IF($W25="","",INDEX(发票统计!U$4:U$1003,$W25)&amp;"")</f>
        <v/>
      </c>
      <c r="W25" s="1" t="str">
        <f aca="false">IF($V$3="","",IFERROR(MATCH($V$3&amp;"#"&amp;ROWS(W$4:W25),发票统计!$W$4:$W$1003,0),""))</f>
        <v/>
      </c>
    </row>
    <row r="26" customFormat="false" ht="16.5" hidden="false" customHeight="false" outlineLevel="0" collapsed="false">
      <c r="A26" s="3" t="str">
        <f aca="false">IF($W26="","",INDEX(发票统计!A$4:A$1003,$W26)&amp;"")</f>
        <v/>
      </c>
      <c r="B26" s="3" t="str">
        <f aca="false">IF($W26="","",INDEX(发票统计!B$4:B$1003,$W26)&amp;"")</f>
        <v/>
      </c>
      <c r="C26" s="3" t="str">
        <f aca="false">IF($W26="","",INDEX(发票统计!C$4:C$1003,$W26)&amp;"")</f>
        <v/>
      </c>
      <c r="D26" s="3" t="str">
        <f aca="false">IF($W26="","",INDEX(发票统计!D$4:D$1003,$W26)&amp;"")</f>
        <v/>
      </c>
      <c r="E26" s="67" t="str">
        <f aca="false">IF($W26="","",INDEX(发票统计!E$4:E$1003,$W26)&amp;"")</f>
        <v/>
      </c>
      <c r="F26" s="67" t="str">
        <f aca="false">IF($W26="","",INDEX(发票统计!F$4:F$1003,$W26)&amp;"")</f>
        <v/>
      </c>
      <c r="G26" s="68" t="str">
        <f aca="false">IF($W26="","",IF(INDEX(发票统计!G$4:G$1003,$W26)="","",INDEX(发票统计!G$4:G$1003,$W26)))</f>
        <v/>
      </c>
      <c r="H26" s="56" t="str">
        <f aca="false">IF($W26="","",N(INDEX(发票统计!H$4:H$1003,$W26)))</f>
        <v/>
      </c>
      <c r="I26" s="56" t="str">
        <f aca="false">IF($W26="","",N(INDEX(发票统计!I$4:I$1003,$W26)))</f>
        <v/>
      </c>
      <c r="J26" s="56" t="str">
        <f aca="false">IF($W26="","",N(INDEX(发票统计!J$4:J$1003,$W26)))</f>
        <v/>
      </c>
      <c r="K26" s="56" t="str">
        <f aca="false">IF($W26="","",N(INDEX(发票统计!K$4:K$1003,$W26)))</f>
        <v/>
      </c>
      <c r="L26" s="56" t="str">
        <f aca="false">IF($W26="","",SUM(J$4:J26)-SUM(K$4:K26))</f>
        <v/>
      </c>
      <c r="M26" s="56" t="str">
        <f aca="false">IF($W26="","",N(INDEX(发票统计!M$4:M$1003,$W26)))</f>
        <v/>
      </c>
      <c r="N26" s="56" t="str">
        <f aca="false">IF($W26="","",N(INDEX(发票统计!N$4:N$1003,$W26)))</f>
        <v/>
      </c>
      <c r="O26" s="56" t="str">
        <f aca="false">IF($W26="","",N(INDEX(发票统计!O$4:O$1003,$W26)))</f>
        <v/>
      </c>
      <c r="P26" s="56" t="str">
        <f aca="false">IF($W26="","",SUM(M$4:M26)-SUM(N$4:N26)-SUM(O$4:O26))</f>
        <v/>
      </c>
      <c r="Q26" s="56" t="str">
        <f aca="false">IF($W26="","",N(INDEX(发票统计!Q$4:Q$1003,$W26)))</f>
        <v/>
      </c>
      <c r="R26" s="56" t="str">
        <f aca="false">IF($W26="","",N(INDEX(发票统计!R$4:R$1003,$W26)))</f>
        <v/>
      </c>
      <c r="S26" s="56" t="str">
        <f aca="false">IF($W26="","",N(INDEX(发票统计!S$4:S$1003,$W26)))</f>
        <v/>
      </c>
      <c r="T26" s="56" t="str">
        <f aca="false">IF($W26="","",SUM(Q$4:Q26)-SUM(R$4:R26)-SUM(S$4:S26))</f>
        <v/>
      </c>
      <c r="U26" s="56" t="str">
        <f aca="false">IF($W26="","",INDEX(发票统计!U$4:U$1003,$W26)&amp;"")</f>
        <v/>
      </c>
      <c r="W26" s="1" t="str">
        <f aca="false">IF($V$3="","",IFERROR(MATCH($V$3&amp;"#"&amp;ROWS(W$4:W26),发票统计!$W$4:$W$1003,0),""))</f>
        <v/>
      </c>
    </row>
    <row r="27" customFormat="false" ht="16.5" hidden="false" customHeight="false" outlineLevel="0" collapsed="false">
      <c r="A27" s="3" t="str">
        <f aca="false">IF($W27="","",INDEX(发票统计!A$4:A$1003,$W27)&amp;"")</f>
        <v/>
      </c>
      <c r="B27" s="3" t="str">
        <f aca="false">IF($W27="","",INDEX(发票统计!B$4:B$1003,$W27)&amp;"")</f>
        <v/>
      </c>
      <c r="C27" s="3" t="str">
        <f aca="false">IF($W27="","",INDEX(发票统计!C$4:C$1003,$W27)&amp;"")</f>
        <v/>
      </c>
      <c r="D27" s="3" t="str">
        <f aca="false">IF($W27="","",INDEX(发票统计!D$4:D$1003,$W27)&amp;"")</f>
        <v/>
      </c>
      <c r="E27" s="67" t="str">
        <f aca="false">IF($W27="","",INDEX(发票统计!E$4:E$1003,$W27)&amp;"")</f>
        <v/>
      </c>
      <c r="F27" s="67" t="str">
        <f aca="false">IF($W27="","",INDEX(发票统计!F$4:F$1003,$W27)&amp;"")</f>
        <v/>
      </c>
      <c r="G27" s="68" t="str">
        <f aca="false">IF($W27="","",IF(INDEX(发票统计!G$4:G$1003,$W27)="","",INDEX(发票统计!G$4:G$1003,$W27)))</f>
        <v/>
      </c>
      <c r="H27" s="56" t="str">
        <f aca="false">IF($W27="","",N(INDEX(发票统计!H$4:H$1003,$W27)))</f>
        <v/>
      </c>
      <c r="I27" s="56" t="str">
        <f aca="false">IF($W27="","",N(INDEX(发票统计!I$4:I$1003,$W27)))</f>
        <v/>
      </c>
      <c r="J27" s="56" t="str">
        <f aca="false">IF($W27="","",N(INDEX(发票统计!J$4:J$1003,$W27)))</f>
        <v/>
      </c>
      <c r="K27" s="56" t="str">
        <f aca="false">IF($W27="","",N(INDEX(发票统计!K$4:K$1003,$W27)))</f>
        <v/>
      </c>
      <c r="L27" s="56" t="str">
        <f aca="false">IF($W27="","",SUM(J$4:J27)-SUM(K$4:K27))</f>
        <v/>
      </c>
      <c r="M27" s="56" t="str">
        <f aca="false">IF($W27="","",N(INDEX(发票统计!M$4:M$1003,$W27)))</f>
        <v/>
      </c>
      <c r="N27" s="56" t="str">
        <f aca="false">IF($W27="","",N(INDEX(发票统计!N$4:N$1003,$W27)))</f>
        <v/>
      </c>
      <c r="O27" s="56" t="str">
        <f aca="false">IF($W27="","",N(INDEX(发票统计!O$4:O$1003,$W27)))</f>
        <v/>
      </c>
      <c r="P27" s="56" t="str">
        <f aca="false">IF($W27="","",SUM(M$4:M27)-SUM(N$4:N27)-SUM(O$4:O27))</f>
        <v/>
      </c>
      <c r="Q27" s="56" t="str">
        <f aca="false">IF($W27="","",N(INDEX(发票统计!Q$4:Q$1003,$W27)))</f>
        <v/>
      </c>
      <c r="R27" s="56" t="str">
        <f aca="false">IF($W27="","",N(INDEX(发票统计!R$4:R$1003,$W27)))</f>
        <v/>
      </c>
      <c r="S27" s="56" t="str">
        <f aca="false">IF($W27="","",N(INDEX(发票统计!S$4:S$1003,$W27)))</f>
        <v/>
      </c>
      <c r="T27" s="56" t="str">
        <f aca="false">IF($W27="","",SUM(Q$4:Q27)-SUM(R$4:R27)-SUM(S$4:S27))</f>
        <v/>
      </c>
      <c r="U27" s="56" t="str">
        <f aca="false">IF($W27="","",INDEX(发票统计!U$4:U$1003,$W27)&amp;"")</f>
        <v/>
      </c>
      <c r="W27" s="1" t="str">
        <f aca="false">IF($V$3="","",IFERROR(MATCH($V$3&amp;"#"&amp;ROWS(W$4:W27),发票统计!$W$4:$W$1003,0),""))</f>
        <v/>
      </c>
    </row>
    <row r="28" customFormat="false" ht="16.5" hidden="false" customHeight="false" outlineLevel="0" collapsed="false">
      <c r="A28" s="3" t="str">
        <f aca="false">IF($W28="","",INDEX(发票统计!A$4:A$1003,$W28)&amp;"")</f>
        <v/>
      </c>
      <c r="B28" s="3" t="str">
        <f aca="false">IF($W28="","",INDEX(发票统计!B$4:B$1003,$W28)&amp;"")</f>
        <v/>
      </c>
      <c r="C28" s="3" t="str">
        <f aca="false">IF($W28="","",INDEX(发票统计!C$4:C$1003,$W28)&amp;"")</f>
        <v/>
      </c>
      <c r="D28" s="3" t="str">
        <f aca="false">IF($W28="","",INDEX(发票统计!D$4:D$1003,$W28)&amp;"")</f>
        <v/>
      </c>
      <c r="E28" s="67" t="str">
        <f aca="false">IF($W28="","",INDEX(发票统计!E$4:E$1003,$W28)&amp;"")</f>
        <v/>
      </c>
      <c r="F28" s="67" t="str">
        <f aca="false">IF($W28="","",INDEX(发票统计!F$4:F$1003,$W28)&amp;"")</f>
        <v/>
      </c>
      <c r="G28" s="68" t="str">
        <f aca="false">IF($W28="","",IF(INDEX(发票统计!G$4:G$1003,$W28)="","",INDEX(发票统计!G$4:G$1003,$W28)))</f>
        <v/>
      </c>
      <c r="H28" s="56" t="str">
        <f aca="false">IF($W28="","",N(INDEX(发票统计!H$4:H$1003,$W28)))</f>
        <v/>
      </c>
      <c r="I28" s="56" t="str">
        <f aca="false">IF($W28="","",N(INDEX(发票统计!I$4:I$1003,$W28)))</f>
        <v/>
      </c>
      <c r="J28" s="56" t="str">
        <f aca="false">IF($W28="","",N(INDEX(发票统计!J$4:J$1003,$W28)))</f>
        <v/>
      </c>
      <c r="K28" s="56" t="str">
        <f aca="false">IF($W28="","",N(INDEX(发票统计!K$4:K$1003,$W28)))</f>
        <v/>
      </c>
      <c r="L28" s="56" t="str">
        <f aca="false">IF($W28="","",SUM(J$4:J28)-SUM(K$4:K28))</f>
        <v/>
      </c>
      <c r="M28" s="56" t="str">
        <f aca="false">IF($W28="","",N(INDEX(发票统计!M$4:M$1003,$W28)))</f>
        <v/>
      </c>
      <c r="N28" s="56" t="str">
        <f aca="false">IF($W28="","",N(INDEX(发票统计!N$4:N$1003,$W28)))</f>
        <v/>
      </c>
      <c r="O28" s="56" t="str">
        <f aca="false">IF($W28="","",N(INDEX(发票统计!O$4:O$1003,$W28)))</f>
        <v/>
      </c>
      <c r="P28" s="56" t="str">
        <f aca="false">IF($W28="","",SUM(M$4:M28)-SUM(N$4:N28)-SUM(O$4:O28))</f>
        <v/>
      </c>
      <c r="Q28" s="56" t="str">
        <f aca="false">IF($W28="","",N(INDEX(发票统计!Q$4:Q$1003,$W28)))</f>
        <v/>
      </c>
      <c r="R28" s="56" t="str">
        <f aca="false">IF($W28="","",N(INDEX(发票统计!R$4:R$1003,$W28)))</f>
        <v/>
      </c>
      <c r="S28" s="56" t="str">
        <f aca="false">IF($W28="","",N(INDEX(发票统计!S$4:S$1003,$W28)))</f>
        <v/>
      </c>
      <c r="T28" s="56" t="str">
        <f aca="false">IF($W28="","",SUM(Q$4:Q28)-SUM(R$4:R28)-SUM(S$4:S28))</f>
        <v/>
      </c>
      <c r="U28" s="56" t="str">
        <f aca="false">IF($W28="","",INDEX(发票统计!U$4:U$1003,$W28)&amp;"")</f>
        <v/>
      </c>
      <c r="W28" s="1" t="str">
        <f aca="false">IF($V$3="","",IFERROR(MATCH($V$3&amp;"#"&amp;ROWS(W$4:W28),发票统计!$W$4:$W$1003,0),""))</f>
        <v/>
      </c>
    </row>
    <row r="29" customFormat="false" ht="16.5" hidden="false" customHeight="false" outlineLevel="0" collapsed="false">
      <c r="A29" s="3" t="str">
        <f aca="false">IF($W29="","",INDEX(发票统计!A$4:A$1003,$W29)&amp;"")</f>
        <v/>
      </c>
      <c r="B29" s="3" t="str">
        <f aca="false">IF($W29="","",INDEX(发票统计!B$4:B$1003,$W29)&amp;"")</f>
        <v/>
      </c>
      <c r="C29" s="3" t="str">
        <f aca="false">IF($W29="","",INDEX(发票统计!C$4:C$1003,$W29)&amp;"")</f>
        <v/>
      </c>
      <c r="D29" s="3" t="str">
        <f aca="false">IF($W29="","",INDEX(发票统计!D$4:D$1003,$W29)&amp;"")</f>
        <v/>
      </c>
      <c r="E29" s="67" t="str">
        <f aca="false">IF($W29="","",INDEX(发票统计!E$4:E$1003,$W29)&amp;"")</f>
        <v/>
      </c>
      <c r="F29" s="67" t="str">
        <f aca="false">IF($W29="","",INDEX(发票统计!F$4:F$1003,$W29)&amp;"")</f>
        <v/>
      </c>
      <c r="G29" s="68" t="str">
        <f aca="false">IF($W29="","",IF(INDEX(发票统计!G$4:G$1003,$W29)="","",INDEX(发票统计!G$4:G$1003,$W29)))</f>
        <v/>
      </c>
      <c r="H29" s="56" t="str">
        <f aca="false">IF($W29="","",N(INDEX(发票统计!H$4:H$1003,$W29)))</f>
        <v/>
      </c>
      <c r="I29" s="56" t="str">
        <f aca="false">IF($W29="","",N(INDEX(发票统计!I$4:I$1003,$W29)))</f>
        <v/>
      </c>
      <c r="J29" s="56" t="str">
        <f aca="false">IF($W29="","",N(INDEX(发票统计!J$4:J$1003,$W29)))</f>
        <v/>
      </c>
      <c r="K29" s="56" t="str">
        <f aca="false">IF($W29="","",N(INDEX(发票统计!K$4:K$1003,$W29)))</f>
        <v/>
      </c>
      <c r="L29" s="56" t="str">
        <f aca="false">IF($W29="","",SUM(J$4:J29)-SUM(K$4:K29))</f>
        <v/>
      </c>
      <c r="M29" s="56" t="str">
        <f aca="false">IF($W29="","",N(INDEX(发票统计!M$4:M$1003,$W29)))</f>
        <v/>
      </c>
      <c r="N29" s="56" t="str">
        <f aca="false">IF($W29="","",N(INDEX(发票统计!N$4:N$1003,$W29)))</f>
        <v/>
      </c>
      <c r="O29" s="56" t="str">
        <f aca="false">IF($W29="","",N(INDEX(发票统计!O$4:O$1003,$W29)))</f>
        <v/>
      </c>
      <c r="P29" s="56" t="str">
        <f aca="false">IF($W29="","",SUM(M$4:M29)-SUM(N$4:N29)-SUM(O$4:O29))</f>
        <v/>
      </c>
      <c r="Q29" s="56" t="str">
        <f aca="false">IF($W29="","",N(INDEX(发票统计!Q$4:Q$1003,$W29)))</f>
        <v/>
      </c>
      <c r="R29" s="56" t="str">
        <f aca="false">IF($W29="","",N(INDEX(发票统计!R$4:R$1003,$W29)))</f>
        <v/>
      </c>
      <c r="S29" s="56" t="str">
        <f aca="false">IF($W29="","",N(INDEX(发票统计!S$4:S$1003,$W29)))</f>
        <v/>
      </c>
      <c r="T29" s="56" t="str">
        <f aca="false">IF($W29="","",SUM(Q$4:Q29)-SUM(R$4:R29)-SUM(S$4:S29))</f>
        <v/>
      </c>
      <c r="U29" s="56" t="str">
        <f aca="false">IF($W29="","",INDEX(发票统计!U$4:U$1003,$W29)&amp;"")</f>
        <v/>
      </c>
      <c r="W29" s="1" t="str">
        <f aca="false">IF($V$3="","",IFERROR(MATCH($V$3&amp;"#"&amp;ROWS(W$4:W29),发票统计!$W$4:$W$1003,0),""))</f>
        <v/>
      </c>
    </row>
    <row r="30" customFormat="false" ht="16.5" hidden="false" customHeight="false" outlineLevel="0" collapsed="false">
      <c r="A30" s="3" t="str">
        <f aca="false">IF($W30="","",INDEX(发票统计!A$4:A$1003,$W30)&amp;"")</f>
        <v/>
      </c>
      <c r="B30" s="3" t="str">
        <f aca="false">IF($W30="","",INDEX(发票统计!B$4:B$1003,$W30)&amp;"")</f>
        <v/>
      </c>
      <c r="C30" s="3" t="str">
        <f aca="false">IF($W30="","",INDEX(发票统计!C$4:C$1003,$W30)&amp;"")</f>
        <v/>
      </c>
      <c r="D30" s="3" t="str">
        <f aca="false">IF($W30="","",INDEX(发票统计!D$4:D$1003,$W30)&amp;"")</f>
        <v/>
      </c>
      <c r="E30" s="67" t="str">
        <f aca="false">IF($W30="","",INDEX(发票统计!E$4:E$1003,$W30)&amp;"")</f>
        <v/>
      </c>
      <c r="F30" s="67" t="str">
        <f aca="false">IF($W30="","",INDEX(发票统计!F$4:F$1003,$W30)&amp;"")</f>
        <v/>
      </c>
      <c r="G30" s="68" t="str">
        <f aca="false">IF($W30="","",IF(INDEX(发票统计!G$4:G$1003,$W30)="","",INDEX(发票统计!G$4:G$1003,$W30)))</f>
        <v/>
      </c>
      <c r="H30" s="56" t="str">
        <f aca="false">IF($W30="","",N(INDEX(发票统计!H$4:H$1003,$W30)))</f>
        <v/>
      </c>
      <c r="I30" s="56" t="str">
        <f aca="false">IF($W30="","",N(INDEX(发票统计!I$4:I$1003,$W30)))</f>
        <v/>
      </c>
      <c r="J30" s="56" t="str">
        <f aca="false">IF($W30="","",N(INDEX(发票统计!J$4:J$1003,$W30)))</f>
        <v/>
      </c>
      <c r="K30" s="56" t="str">
        <f aca="false">IF($W30="","",N(INDEX(发票统计!K$4:K$1003,$W30)))</f>
        <v/>
      </c>
      <c r="L30" s="56" t="str">
        <f aca="false">IF($W30="","",SUM(J$4:J30)-SUM(K$4:K30))</f>
        <v/>
      </c>
      <c r="M30" s="56" t="str">
        <f aca="false">IF($W30="","",N(INDEX(发票统计!M$4:M$1003,$W30)))</f>
        <v/>
      </c>
      <c r="N30" s="56" t="str">
        <f aca="false">IF($W30="","",N(INDEX(发票统计!N$4:N$1003,$W30)))</f>
        <v/>
      </c>
      <c r="O30" s="56" t="str">
        <f aca="false">IF($W30="","",N(INDEX(发票统计!O$4:O$1003,$W30)))</f>
        <v/>
      </c>
      <c r="P30" s="56" t="str">
        <f aca="false">IF($W30="","",SUM(M$4:M30)-SUM(N$4:N30)-SUM(O$4:O30))</f>
        <v/>
      </c>
      <c r="Q30" s="56" t="str">
        <f aca="false">IF($W30="","",N(INDEX(发票统计!Q$4:Q$1003,$W30)))</f>
        <v/>
      </c>
      <c r="R30" s="56" t="str">
        <f aca="false">IF($W30="","",N(INDEX(发票统计!R$4:R$1003,$W30)))</f>
        <v/>
      </c>
      <c r="S30" s="56" t="str">
        <f aca="false">IF($W30="","",N(INDEX(发票统计!S$4:S$1003,$W30)))</f>
        <v/>
      </c>
      <c r="T30" s="56" t="str">
        <f aca="false">IF($W30="","",SUM(Q$4:Q30)-SUM(R$4:R30)-SUM(S$4:S30))</f>
        <v/>
      </c>
      <c r="U30" s="56" t="str">
        <f aca="false">IF($W30="","",INDEX(发票统计!U$4:U$1003,$W30)&amp;"")</f>
        <v/>
      </c>
      <c r="W30" s="1" t="str">
        <f aca="false">IF($V$3="","",IFERROR(MATCH($V$3&amp;"#"&amp;ROWS(W$4:W30),发票统计!$W$4:$W$1003,0),""))</f>
        <v/>
      </c>
    </row>
    <row r="31" customFormat="false" ht="16.5" hidden="false" customHeight="false" outlineLevel="0" collapsed="false">
      <c r="A31" s="3" t="str">
        <f aca="false">IF($W31="","",INDEX(发票统计!A$4:A$1003,$W31)&amp;"")</f>
        <v/>
      </c>
      <c r="B31" s="3" t="str">
        <f aca="false">IF($W31="","",INDEX(发票统计!B$4:B$1003,$W31)&amp;"")</f>
        <v/>
      </c>
      <c r="C31" s="3" t="str">
        <f aca="false">IF($W31="","",INDEX(发票统计!C$4:C$1003,$W31)&amp;"")</f>
        <v/>
      </c>
      <c r="D31" s="3" t="str">
        <f aca="false">IF($W31="","",INDEX(发票统计!D$4:D$1003,$W31)&amp;"")</f>
        <v/>
      </c>
      <c r="E31" s="67" t="str">
        <f aca="false">IF($W31="","",INDEX(发票统计!E$4:E$1003,$W31)&amp;"")</f>
        <v/>
      </c>
      <c r="F31" s="67" t="str">
        <f aca="false">IF($W31="","",INDEX(发票统计!F$4:F$1003,$W31)&amp;"")</f>
        <v/>
      </c>
      <c r="G31" s="68" t="str">
        <f aca="false">IF($W31="","",IF(INDEX(发票统计!G$4:G$1003,$W31)="","",INDEX(发票统计!G$4:G$1003,$W31)))</f>
        <v/>
      </c>
      <c r="H31" s="56" t="str">
        <f aca="false">IF($W31="","",N(INDEX(发票统计!H$4:H$1003,$W31)))</f>
        <v/>
      </c>
      <c r="I31" s="56" t="str">
        <f aca="false">IF($W31="","",N(INDEX(发票统计!I$4:I$1003,$W31)))</f>
        <v/>
      </c>
      <c r="J31" s="56" t="str">
        <f aca="false">IF($W31="","",N(INDEX(发票统计!J$4:J$1003,$W31)))</f>
        <v/>
      </c>
      <c r="K31" s="56" t="str">
        <f aca="false">IF($W31="","",N(INDEX(发票统计!K$4:K$1003,$W31)))</f>
        <v/>
      </c>
      <c r="L31" s="56" t="str">
        <f aca="false">IF($W31="","",SUM(J$4:J31)-SUM(K$4:K31))</f>
        <v/>
      </c>
      <c r="M31" s="56" t="str">
        <f aca="false">IF($W31="","",N(INDEX(发票统计!M$4:M$1003,$W31)))</f>
        <v/>
      </c>
      <c r="N31" s="56" t="str">
        <f aca="false">IF($W31="","",N(INDEX(发票统计!N$4:N$1003,$W31)))</f>
        <v/>
      </c>
      <c r="O31" s="56" t="str">
        <f aca="false">IF($W31="","",N(INDEX(发票统计!O$4:O$1003,$W31)))</f>
        <v/>
      </c>
      <c r="P31" s="56" t="str">
        <f aca="false">IF($W31="","",SUM(M$4:M31)-SUM(N$4:N31)-SUM(O$4:O31))</f>
        <v/>
      </c>
      <c r="Q31" s="56" t="str">
        <f aca="false">IF($W31="","",N(INDEX(发票统计!Q$4:Q$1003,$W31)))</f>
        <v/>
      </c>
      <c r="R31" s="56" t="str">
        <f aca="false">IF($W31="","",N(INDEX(发票统计!R$4:R$1003,$W31)))</f>
        <v/>
      </c>
      <c r="S31" s="56" t="str">
        <f aca="false">IF($W31="","",N(INDEX(发票统计!S$4:S$1003,$W31)))</f>
        <v/>
      </c>
      <c r="T31" s="56" t="str">
        <f aca="false">IF($W31="","",SUM(Q$4:Q31)-SUM(R$4:R31)-SUM(S$4:S31))</f>
        <v/>
      </c>
      <c r="U31" s="56" t="str">
        <f aca="false">IF($W31="","",INDEX(发票统计!U$4:U$1003,$W31)&amp;"")</f>
        <v/>
      </c>
      <c r="W31" s="1" t="str">
        <f aca="false">IF($V$3="","",IFERROR(MATCH($V$3&amp;"#"&amp;ROWS(W$4:W31),发票统计!$W$4:$W$1003,0),""))</f>
        <v/>
      </c>
    </row>
    <row r="32" customFormat="false" ht="16.5" hidden="false" customHeight="false" outlineLevel="0" collapsed="false">
      <c r="A32" s="3" t="str">
        <f aca="false">IF($W32="","",INDEX(发票统计!A$4:A$1003,$W32)&amp;"")</f>
        <v/>
      </c>
      <c r="B32" s="3" t="str">
        <f aca="false">IF($W32="","",INDEX(发票统计!B$4:B$1003,$W32)&amp;"")</f>
        <v/>
      </c>
      <c r="C32" s="3" t="str">
        <f aca="false">IF($W32="","",INDEX(发票统计!C$4:C$1003,$W32)&amp;"")</f>
        <v/>
      </c>
      <c r="D32" s="3" t="str">
        <f aca="false">IF($W32="","",INDEX(发票统计!D$4:D$1003,$W32)&amp;"")</f>
        <v/>
      </c>
      <c r="E32" s="67" t="str">
        <f aca="false">IF($W32="","",INDEX(发票统计!E$4:E$1003,$W32)&amp;"")</f>
        <v/>
      </c>
      <c r="F32" s="67" t="str">
        <f aca="false">IF($W32="","",INDEX(发票统计!F$4:F$1003,$W32)&amp;"")</f>
        <v/>
      </c>
      <c r="G32" s="68" t="str">
        <f aca="false">IF($W32="","",IF(INDEX(发票统计!G$4:G$1003,$W32)="","",INDEX(发票统计!G$4:G$1003,$W32)))</f>
        <v/>
      </c>
      <c r="H32" s="56" t="str">
        <f aca="false">IF($W32="","",N(INDEX(发票统计!H$4:H$1003,$W32)))</f>
        <v/>
      </c>
      <c r="I32" s="56" t="str">
        <f aca="false">IF($W32="","",N(INDEX(发票统计!I$4:I$1003,$W32)))</f>
        <v/>
      </c>
      <c r="J32" s="56" t="str">
        <f aca="false">IF($W32="","",N(INDEX(发票统计!J$4:J$1003,$W32)))</f>
        <v/>
      </c>
      <c r="K32" s="56" t="str">
        <f aca="false">IF($W32="","",N(INDEX(发票统计!K$4:K$1003,$W32)))</f>
        <v/>
      </c>
      <c r="L32" s="56" t="str">
        <f aca="false">IF($W32="","",SUM(J$4:J32)-SUM(K$4:K32))</f>
        <v/>
      </c>
      <c r="M32" s="56" t="str">
        <f aca="false">IF($W32="","",N(INDEX(发票统计!M$4:M$1003,$W32)))</f>
        <v/>
      </c>
      <c r="N32" s="56" t="str">
        <f aca="false">IF($W32="","",N(INDEX(发票统计!N$4:N$1003,$W32)))</f>
        <v/>
      </c>
      <c r="O32" s="56" t="str">
        <f aca="false">IF($W32="","",N(INDEX(发票统计!O$4:O$1003,$W32)))</f>
        <v/>
      </c>
      <c r="P32" s="56" t="str">
        <f aca="false">IF($W32="","",SUM(M$4:M32)-SUM(N$4:N32)-SUM(O$4:O32))</f>
        <v/>
      </c>
      <c r="Q32" s="56" t="str">
        <f aca="false">IF($W32="","",N(INDEX(发票统计!Q$4:Q$1003,$W32)))</f>
        <v/>
      </c>
      <c r="R32" s="56" t="str">
        <f aca="false">IF($W32="","",N(INDEX(发票统计!R$4:R$1003,$W32)))</f>
        <v/>
      </c>
      <c r="S32" s="56" t="str">
        <f aca="false">IF($W32="","",N(INDEX(发票统计!S$4:S$1003,$W32)))</f>
        <v/>
      </c>
      <c r="T32" s="56" t="str">
        <f aca="false">IF($W32="","",SUM(Q$4:Q32)-SUM(R$4:R32)-SUM(S$4:S32))</f>
        <v/>
      </c>
      <c r="U32" s="56" t="str">
        <f aca="false">IF($W32="","",INDEX(发票统计!U$4:U$1003,$W32)&amp;"")</f>
        <v/>
      </c>
      <c r="W32" s="1" t="str">
        <f aca="false">IF($V$3="","",IFERROR(MATCH($V$3&amp;"#"&amp;ROWS(W$4:W32),发票统计!$W$4:$W$1003,0),""))</f>
        <v/>
      </c>
    </row>
    <row r="33" customFormat="false" ht="16.5" hidden="false" customHeight="false" outlineLevel="0" collapsed="false">
      <c r="A33" s="3" t="str">
        <f aca="false">IF($W33="","",INDEX(发票统计!A$4:A$1003,$W33)&amp;"")</f>
        <v/>
      </c>
      <c r="B33" s="3" t="str">
        <f aca="false">IF($W33="","",INDEX(发票统计!B$4:B$1003,$W33)&amp;"")</f>
        <v/>
      </c>
      <c r="C33" s="3" t="str">
        <f aca="false">IF($W33="","",INDEX(发票统计!C$4:C$1003,$W33)&amp;"")</f>
        <v/>
      </c>
      <c r="D33" s="3" t="str">
        <f aca="false">IF($W33="","",INDEX(发票统计!D$4:D$1003,$W33)&amp;"")</f>
        <v/>
      </c>
      <c r="E33" s="56" t="str">
        <f aca="false">IF($W33="","",INDEX(发票统计!E$4:E$1003,$W33)&amp;"")</f>
        <v/>
      </c>
      <c r="F33" s="56" t="str">
        <f aca="false">IF($W33="","",INDEX(发票统计!F$4:F$1003,$W33)&amp;"")</f>
        <v/>
      </c>
      <c r="G33" s="68" t="str">
        <f aca="false">IF($W33="","",IF(INDEX(发票统计!G$4:G$1003,$W33)="","",INDEX(发票统计!G$4:G$1003,$W33)))</f>
        <v/>
      </c>
      <c r="H33" s="56" t="str">
        <f aca="false">IF($W33="","",N(INDEX(发票统计!H$4:H$1003,$W33)))</f>
        <v/>
      </c>
      <c r="I33" s="56" t="str">
        <f aca="false">IF($W33="","",N(INDEX(发票统计!I$4:I$1003,$W33)))</f>
        <v/>
      </c>
      <c r="J33" s="56" t="str">
        <f aca="false">IF($W33="","",N(INDEX(发票统计!J$4:J$1003,$W33)))</f>
        <v/>
      </c>
      <c r="K33" s="56" t="str">
        <f aca="false">IF($W33="","",N(INDEX(发票统计!K$4:K$1003,$W33)))</f>
        <v/>
      </c>
      <c r="L33" s="56" t="str">
        <f aca="false">IF($W33="","",SUM(J$4:J33)-SUM(K$4:K33))</f>
        <v/>
      </c>
      <c r="M33" s="56" t="str">
        <f aca="false">IF($W33="","",N(INDEX(发票统计!M$4:M$1003,$W33)))</f>
        <v/>
      </c>
      <c r="N33" s="56" t="str">
        <f aca="false">IF($W33="","",N(INDEX(发票统计!N$4:N$1003,$W33)))</f>
        <v/>
      </c>
      <c r="O33" s="56" t="str">
        <f aca="false">IF($W33="","",N(INDEX(发票统计!O$4:O$1003,$W33)))</f>
        <v/>
      </c>
      <c r="P33" s="56" t="str">
        <f aca="false">IF($W33="","",SUM(M$4:M33)-SUM(N$4:N33)-SUM(O$4:O33))</f>
        <v/>
      </c>
      <c r="Q33" s="56" t="str">
        <f aca="false">IF($W33="","",N(INDEX(发票统计!Q$4:Q$1003,$W33)))</f>
        <v/>
      </c>
      <c r="R33" s="56" t="str">
        <f aca="false">IF($W33="","",N(INDEX(发票统计!R$4:R$1003,$W33)))</f>
        <v/>
      </c>
      <c r="S33" s="56" t="str">
        <f aca="false">IF($W33="","",N(INDEX(发票统计!S$4:S$1003,$W33)))</f>
        <v/>
      </c>
      <c r="T33" s="56" t="str">
        <f aca="false">IF($W33="","",SUM(Q$4:Q33)-SUM(R$4:R33)-SUM(S$4:S33))</f>
        <v/>
      </c>
      <c r="U33" s="56" t="str">
        <f aca="false">IF($W33="","",INDEX(发票统计!U$4:U$1003,$W33)&amp;"")</f>
        <v/>
      </c>
      <c r="W33" s="1" t="str">
        <f aca="false">IF($V$3="","",IFERROR(MATCH($V$3&amp;"#"&amp;ROWS(W$4:W33),发票统计!$W$4:$W$1003,0),""))</f>
        <v/>
      </c>
    </row>
    <row r="34" customFormat="false" ht="16.5" hidden="false" customHeight="false" outlineLevel="0" collapsed="false">
      <c r="A34" s="3" t="str">
        <f aca="false">IF($W34="","",INDEX(发票统计!A$4:A$1003,$W34)&amp;"")</f>
        <v/>
      </c>
      <c r="B34" s="3" t="str">
        <f aca="false">IF($W34="","",INDEX(发票统计!B$4:B$1003,$W34)&amp;"")</f>
        <v/>
      </c>
      <c r="C34" s="3" t="str">
        <f aca="false">IF($W34="","",INDEX(发票统计!C$4:C$1003,$W34)&amp;"")</f>
        <v/>
      </c>
      <c r="D34" s="3" t="str">
        <f aca="false">IF($W34="","",INDEX(发票统计!D$4:D$1003,$W34)&amp;"")</f>
        <v/>
      </c>
      <c r="E34" s="56" t="str">
        <f aca="false">IF($W34="","",INDEX(发票统计!E$4:E$1003,$W34)&amp;"")</f>
        <v/>
      </c>
      <c r="F34" s="56" t="str">
        <f aca="false">IF($W34="","",INDEX(发票统计!F$4:F$1003,$W34)&amp;"")</f>
        <v/>
      </c>
      <c r="G34" s="68" t="str">
        <f aca="false">IF($W34="","",IF(INDEX(发票统计!G$4:G$1003,$W34)="","",INDEX(发票统计!G$4:G$1003,$W34)))</f>
        <v/>
      </c>
      <c r="H34" s="56" t="str">
        <f aca="false">IF($W34="","",N(INDEX(发票统计!H$4:H$1003,$W34)))</f>
        <v/>
      </c>
      <c r="I34" s="56" t="str">
        <f aca="false">IF($W34="","",N(INDEX(发票统计!I$4:I$1003,$W34)))</f>
        <v/>
      </c>
      <c r="J34" s="56" t="str">
        <f aca="false">IF($W34="","",N(INDEX(发票统计!J$4:J$1003,$W34)))</f>
        <v/>
      </c>
      <c r="K34" s="56" t="str">
        <f aca="false">IF($W34="","",N(INDEX(发票统计!K$4:K$1003,$W34)))</f>
        <v/>
      </c>
      <c r="L34" s="56" t="str">
        <f aca="false">IF($W34="","",SUM(J$4:J34)-SUM(K$4:K34))</f>
        <v/>
      </c>
      <c r="M34" s="56" t="str">
        <f aca="false">IF($W34="","",N(INDEX(发票统计!M$4:M$1003,$W34)))</f>
        <v/>
      </c>
      <c r="N34" s="56" t="str">
        <f aca="false">IF($W34="","",N(INDEX(发票统计!N$4:N$1003,$W34)))</f>
        <v/>
      </c>
      <c r="O34" s="56" t="str">
        <f aca="false">IF($W34="","",N(INDEX(发票统计!O$4:O$1003,$W34)))</f>
        <v/>
      </c>
      <c r="P34" s="56" t="str">
        <f aca="false">IF($W34="","",SUM(M$4:M34)-SUM(N$4:N34)-SUM(O$4:O34))</f>
        <v/>
      </c>
      <c r="Q34" s="56" t="str">
        <f aca="false">IF($W34="","",N(INDEX(发票统计!Q$4:Q$1003,$W34)))</f>
        <v/>
      </c>
      <c r="R34" s="56" t="str">
        <f aca="false">IF($W34="","",N(INDEX(发票统计!R$4:R$1003,$W34)))</f>
        <v/>
      </c>
      <c r="S34" s="56" t="str">
        <f aca="false">IF($W34="","",N(INDEX(发票统计!S$4:S$1003,$W34)))</f>
        <v/>
      </c>
      <c r="T34" s="56" t="str">
        <f aca="false">IF($W34="","",SUM(Q$4:Q34)-SUM(R$4:R34)-SUM(S$4:S34))</f>
        <v/>
      </c>
      <c r="U34" s="56" t="str">
        <f aca="false">IF($W34="","",INDEX(发票统计!U$4:U$1003,$W34)&amp;"")</f>
        <v/>
      </c>
      <c r="W34" s="1" t="str">
        <f aca="false">IF($V$3="","",IFERROR(MATCH($V$3&amp;"#"&amp;ROWS(W$4:W34),发票统计!$W$4:$W$1003,0),""))</f>
        <v/>
      </c>
    </row>
    <row r="35" customFormat="false" ht="16.5" hidden="false" customHeight="false" outlineLevel="0" collapsed="false">
      <c r="A35" s="3" t="str">
        <f aca="false">IF($W35="","",INDEX(发票统计!A$4:A$1003,$W35)&amp;"")</f>
        <v/>
      </c>
      <c r="B35" s="3" t="str">
        <f aca="false">IF($W35="","",INDEX(发票统计!B$4:B$1003,$W35)&amp;"")</f>
        <v/>
      </c>
      <c r="C35" s="3" t="str">
        <f aca="false">IF($W35="","",INDEX(发票统计!C$4:C$1003,$W35)&amp;"")</f>
        <v/>
      </c>
      <c r="D35" s="3" t="str">
        <f aca="false">IF($W35="","",INDEX(发票统计!D$4:D$1003,$W35)&amp;"")</f>
        <v/>
      </c>
      <c r="E35" s="56" t="str">
        <f aca="false">IF($W35="","",INDEX(发票统计!E$4:E$1003,$W35)&amp;"")</f>
        <v/>
      </c>
      <c r="F35" s="56" t="str">
        <f aca="false">IF($W35="","",INDEX(发票统计!F$4:F$1003,$W35)&amp;"")</f>
        <v/>
      </c>
      <c r="G35" s="68" t="str">
        <f aca="false">IF($W35="","",IF(INDEX(发票统计!G$4:G$1003,$W35)="","",INDEX(发票统计!G$4:G$1003,$W35)))</f>
        <v/>
      </c>
      <c r="H35" s="56" t="str">
        <f aca="false">IF($W35="","",N(INDEX(发票统计!H$4:H$1003,$W35)))</f>
        <v/>
      </c>
      <c r="I35" s="56" t="str">
        <f aca="false">IF($W35="","",N(INDEX(发票统计!I$4:I$1003,$W35)))</f>
        <v/>
      </c>
      <c r="J35" s="56" t="str">
        <f aca="false">IF($W35="","",N(INDEX(发票统计!J$4:J$1003,$W35)))</f>
        <v/>
      </c>
      <c r="K35" s="56" t="str">
        <f aca="false">IF($W35="","",N(INDEX(发票统计!K$4:K$1003,$W35)))</f>
        <v/>
      </c>
      <c r="L35" s="56" t="str">
        <f aca="false">IF($W35="","",SUM(J$4:J35)-SUM(K$4:K35))</f>
        <v/>
      </c>
      <c r="M35" s="56" t="str">
        <f aca="false">IF($W35="","",N(INDEX(发票统计!M$4:M$1003,$W35)))</f>
        <v/>
      </c>
      <c r="N35" s="56" t="str">
        <f aca="false">IF($W35="","",N(INDEX(发票统计!N$4:N$1003,$W35)))</f>
        <v/>
      </c>
      <c r="O35" s="56" t="str">
        <f aca="false">IF($W35="","",N(INDEX(发票统计!O$4:O$1003,$W35)))</f>
        <v/>
      </c>
      <c r="P35" s="56" t="str">
        <f aca="false">IF($W35="","",SUM(M$4:M35)-SUM(N$4:N35)-SUM(O$4:O35))</f>
        <v/>
      </c>
      <c r="Q35" s="56" t="str">
        <f aca="false">IF($W35="","",N(INDEX(发票统计!Q$4:Q$1003,$W35)))</f>
        <v/>
      </c>
      <c r="R35" s="56" t="str">
        <f aca="false">IF($W35="","",N(INDEX(发票统计!R$4:R$1003,$W35)))</f>
        <v/>
      </c>
      <c r="S35" s="56" t="str">
        <f aca="false">IF($W35="","",N(INDEX(发票统计!S$4:S$1003,$W35)))</f>
        <v/>
      </c>
      <c r="T35" s="56" t="str">
        <f aca="false">IF($W35="","",SUM(Q$4:Q35)-SUM(R$4:R35)-SUM(S$4:S35))</f>
        <v/>
      </c>
      <c r="U35" s="56" t="str">
        <f aca="false">IF($W35="","",INDEX(发票统计!U$4:U$1003,$W35)&amp;"")</f>
        <v/>
      </c>
      <c r="W35" s="1" t="str">
        <f aca="false">IF($V$3="","",IFERROR(MATCH($V$3&amp;"#"&amp;ROWS(W$4:W35),发票统计!$W$4:$W$1003,0),""))</f>
        <v/>
      </c>
    </row>
    <row r="36" customFormat="false" ht="16.5" hidden="false" customHeight="false" outlineLevel="0" collapsed="false">
      <c r="A36" s="3" t="str">
        <f aca="false">IF($W36="","",INDEX(发票统计!A$4:A$1003,$W36)&amp;"")</f>
        <v/>
      </c>
      <c r="B36" s="3" t="str">
        <f aca="false">IF($W36="","",INDEX(发票统计!B$4:B$1003,$W36)&amp;"")</f>
        <v/>
      </c>
      <c r="C36" s="3" t="str">
        <f aca="false">IF($W36="","",INDEX(发票统计!C$4:C$1003,$W36)&amp;"")</f>
        <v/>
      </c>
      <c r="D36" s="3" t="str">
        <f aca="false">IF($W36="","",INDEX(发票统计!D$4:D$1003,$W36)&amp;"")</f>
        <v/>
      </c>
      <c r="E36" s="67" t="str">
        <f aca="false">IF($W36="","",INDEX(发票统计!E$4:E$1003,$W36)&amp;"")</f>
        <v/>
      </c>
      <c r="F36" s="67" t="str">
        <f aca="false">IF($W36="","",INDEX(发票统计!F$4:F$1003,$W36)&amp;"")</f>
        <v/>
      </c>
      <c r="G36" s="68" t="str">
        <f aca="false">IF($W36="","",IF(INDEX(发票统计!G$4:G$1003,$W36)="","",INDEX(发票统计!G$4:G$1003,$W36)))</f>
        <v/>
      </c>
      <c r="H36" s="56" t="str">
        <f aca="false">IF($W36="","",N(INDEX(发票统计!H$4:H$1003,$W36)))</f>
        <v/>
      </c>
      <c r="I36" s="56" t="str">
        <f aca="false">IF($W36="","",N(INDEX(发票统计!I$4:I$1003,$W36)))</f>
        <v/>
      </c>
      <c r="J36" s="56" t="str">
        <f aca="false">IF($W36="","",N(INDEX(发票统计!J$4:J$1003,$W36)))</f>
        <v/>
      </c>
      <c r="K36" s="56" t="str">
        <f aca="false">IF($W36="","",N(INDEX(发票统计!K$4:K$1003,$W36)))</f>
        <v/>
      </c>
      <c r="L36" s="56" t="str">
        <f aca="false">IF($W36="","",SUM(J$4:J36)-SUM(K$4:K36))</f>
        <v/>
      </c>
      <c r="M36" s="56" t="str">
        <f aca="false">IF($W36="","",N(INDEX(发票统计!M$4:M$1003,$W36)))</f>
        <v/>
      </c>
      <c r="N36" s="56" t="str">
        <f aca="false">IF($W36="","",N(INDEX(发票统计!N$4:N$1003,$W36)))</f>
        <v/>
      </c>
      <c r="O36" s="56" t="str">
        <f aca="false">IF($W36="","",N(INDEX(发票统计!O$4:O$1003,$W36)))</f>
        <v/>
      </c>
      <c r="P36" s="56" t="str">
        <f aca="false">IF($W36="","",SUM(M$4:M36)-SUM(N$4:N36)-SUM(O$4:O36))</f>
        <v/>
      </c>
      <c r="Q36" s="56" t="str">
        <f aca="false">IF($W36="","",N(INDEX(发票统计!Q$4:Q$1003,$W36)))</f>
        <v/>
      </c>
      <c r="R36" s="56" t="str">
        <f aca="false">IF($W36="","",N(INDEX(发票统计!R$4:R$1003,$W36)))</f>
        <v/>
      </c>
      <c r="S36" s="56" t="str">
        <f aca="false">IF($W36="","",N(INDEX(发票统计!S$4:S$1003,$W36)))</f>
        <v/>
      </c>
      <c r="T36" s="56" t="str">
        <f aca="false">IF($W36="","",SUM(Q$4:Q36)-SUM(R$4:R36)-SUM(S$4:S36))</f>
        <v/>
      </c>
      <c r="U36" s="56" t="str">
        <f aca="false">IF($W36="","",INDEX(发票统计!U$4:U$1003,$W36)&amp;"")</f>
        <v/>
      </c>
      <c r="W36" s="1" t="str">
        <f aca="false">IF($V$3="","",IFERROR(MATCH($V$3&amp;"#"&amp;ROWS(W$4:W36),发票统计!$W$4:$W$1003,0),""))</f>
        <v/>
      </c>
    </row>
    <row r="37" customFormat="false" ht="16.5" hidden="false" customHeight="false" outlineLevel="0" collapsed="false">
      <c r="A37" s="3" t="str">
        <f aca="false">IF($W37="","",INDEX(发票统计!A$4:A$1003,$W37)&amp;"")</f>
        <v/>
      </c>
      <c r="B37" s="3" t="str">
        <f aca="false">IF($W37="","",INDEX(发票统计!B$4:B$1003,$W37)&amp;"")</f>
        <v/>
      </c>
      <c r="C37" s="3" t="str">
        <f aca="false">IF($W37="","",INDEX(发票统计!C$4:C$1003,$W37)&amp;"")</f>
        <v/>
      </c>
      <c r="D37" s="3" t="str">
        <f aca="false">IF($W37="","",INDEX(发票统计!D$4:D$1003,$W37)&amp;"")</f>
        <v/>
      </c>
      <c r="E37" s="67" t="str">
        <f aca="false">IF($W37="","",INDEX(发票统计!E$4:E$1003,$W37)&amp;"")</f>
        <v/>
      </c>
      <c r="F37" s="67" t="str">
        <f aca="false">IF($W37="","",INDEX(发票统计!F$4:F$1003,$W37)&amp;"")</f>
        <v/>
      </c>
      <c r="G37" s="68" t="str">
        <f aca="false">IF($W37="","",IF(INDEX(发票统计!G$4:G$1003,$W37)="","",INDEX(发票统计!G$4:G$1003,$W37)))</f>
        <v/>
      </c>
      <c r="H37" s="56" t="str">
        <f aca="false">IF($W37="","",N(INDEX(发票统计!H$4:H$1003,$W37)))</f>
        <v/>
      </c>
      <c r="I37" s="56" t="str">
        <f aca="false">IF($W37="","",N(INDEX(发票统计!I$4:I$1003,$W37)))</f>
        <v/>
      </c>
      <c r="J37" s="56" t="str">
        <f aca="false">IF($W37="","",N(INDEX(发票统计!J$4:J$1003,$W37)))</f>
        <v/>
      </c>
      <c r="K37" s="56" t="str">
        <f aca="false">IF($W37="","",N(INDEX(发票统计!K$4:K$1003,$W37)))</f>
        <v/>
      </c>
      <c r="L37" s="56" t="str">
        <f aca="false">IF($W37="","",SUM(J$4:J37)-SUM(K$4:K37))</f>
        <v/>
      </c>
      <c r="M37" s="56" t="str">
        <f aca="false">IF($W37="","",N(INDEX(发票统计!M$4:M$1003,$W37)))</f>
        <v/>
      </c>
      <c r="N37" s="56" t="str">
        <f aca="false">IF($W37="","",N(INDEX(发票统计!N$4:N$1003,$W37)))</f>
        <v/>
      </c>
      <c r="O37" s="56" t="str">
        <f aca="false">IF($W37="","",N(INDEX(发票统计!O$4:O$1003,$W37)))</f>
        <v/>
      </c>
      <c r="P37" s="56" t="str">
        <f aca="false">IF($W37="","",SUM(M$4:M37)-SUM(N$4:N37)-SUM(O$4:O37))</f>
        <v/>
      </c>
      <c r="Q37" s="56" t="str">
        <f aca="false">IF($W37="","",N(INDEX(发票统计!Q$4:Q$1003,$W37)))</f>
        <v/>
      </c>
      <c r="R37" s="56" t="str">
        <f aca="false">IF($W37="","",N(INDEX(发票统计!R$4:R$1003,$W37)))</f>
        <v/>
      </c>
      <c r="S37" s="56" t="str">
        <f aca="false">IF($W37="","",N(INDEX(发票统计!S$4:S$1003,$W37)))</f>
        <v/>
      </c>
      <c r="T37" s="56" t="str">
        <f aca="false">IF($W37="","",SUM(Q$4:Q37)-SUM(R$4:R37)-SUM(S$4:S37))</f>
        <v/>
      </c>
      <c r="U37" s="56" t="str">
        <f aca="false">IF($W37="","",INDEX(发票统计!U$4:U$1003,$W37)&amp;"")</f>
        <v/>
      </c>
      <c r="W37" s="1" t="str">
        <f aca="false">IF($V$3="","",IFERROR(MATCH($V$3&amp;"#"&amp;ROWS(W$4:W37),发票统计!$W$4:$W$1003,0),""))</f>
        <v/>
      </c>
    </row>
    <row r="38" customFormat="false" ht="16.5" hidden="false" customHeight="false" outlineLevel="0" collapsed="false">
      <c r="A38" s="3" t="str">
        <f aca="false">IF($W38="","",INDEX(发票统计!A$4:A$1003,$W38)&amp;"")</f>
        <v/>
      </c>
      <c r="B38" s="3" t="str">
        <f aca="false">IF($W38="","",INDEX(发票统计!B$4:B$1003,$W38)&amp;"")</f>
        <v/>
      </c>
      <c r="C38" s="3" t="str">
        <f aca="false">IF($W38="","",INDEX(发票统计!C$4:C$1003,$W38)&amp;"")</f>
        <v/>
      </c>
      <c r="D38" s="3" t="str">
        <f aca="false">IF($W38="","",INDEX(发票统计!D$4:D$1003,$W38)&amp;"")</f>
        <v/>
      </c>
      <c r="E38" s="67" t="str">
        <f aca="false">IF($W38="","",INDEX(发票统计!E$4:E$1003,$W38)&amp;"")</f>
        <v/>
      </c>
      <c r="F38" s="67" t="str">
        <f aca="false">IF($W38="","",INDEX(发票统计!F$4:F$1003,$W38)&amp;"")</f>
        <v/>
      </c>
      <c r="G38" s="68" t="str">
        <f aca="false">IF($W38="","",IF(INDEX(发票统计!G$4:G$1003,$W38)="","",INDEX(发票统计!G$4:G$1003,$W38)))</f>
        <v/>
      </c>
      <c r="H38" s="56" t="str">
        <f aca="false">IF($W38="","",N(INDEX(发票统计!H$4:H$1003,$W38)))</f>
        <v/>
      </c>
      <c r="I38" s="56" t="str">
        <f aca="false">IF($W38="","",N(INDEX(发票统计!I$4:I$1003,$W38)))</f>
        <v/>
      </c>
      <c r="J38" s="56" t="str">
        <f aca="false">IF($W38="","",N(INDEX(发票统计!J$4:J$1003,$W38)))</f>
        <v/>
      </c>
      <c r="K38" s="56" t="str">
        <f aca="false">IF($W38="","",N(INDEX(发票统计!K$4:K$1003,$W38)))</f>
        <v/>
      </c>
      <c r="L38" s="56" t="str">
        <f aca="false">IF($W38="","",SUM(J$4:J38)-SUM(K$4:K38))</f>
        <v/>
      </c>
      <c r="M38" s="56" t="str">
        <f aca="false">IF($W38="","",N(INDEX(发票统计!M$4:M$1003,$W38)))</f>
        <v/>
      </c>
      <c r="N38" s="56" t="str">
        <f aca="false">IF($W38="","",N(INDEX(发票统计!N$4:N$1003,$W38)))</f>
        <v/>
      </c>
      <c r="O38" s="56" t="str">
        <f aca="false">IF($W38="","",N(INDEX(发票统计!O$4:O$1003,$W38)))</f>
        <v/>
      </c>
      <c r="P38" s="56" t="str">
        <f aca="false">IF($W38="","",SUM(M$4:M38)-SUM(N$4:N38)-SUM(O$4:O38))</f>
        <v/>
      </c>
      <c r="Q38" s="56" t="str">
        <f aca="false">IF($W38="","",N(INDEX(发票统计!Q$4:Q$1003,$W38)))</f>
        <v/>
      </c>
      <c r="R38" s="56" t="str">
        <f aca="false">IF($W38="","",N(INDEX(发票统计!R$4:R$1003,$W38)))</f>
        <v/>
      </c>
      <c r="S38" s="56" t="str">
        <f aca="false">IF($W38="","",N(INDEX(发票统计!S$4:S$1003,$W38)))</f>
        <v/>
      </c>
      <c r="T38" s="56" t="str">
        <f aca="false">IF($W38="","",SUM(Q$4:Q38)-SUM(R$4:R38)-SUM(S$4:S38))</f>
        <v/>
      </c>
      <c r="U38" s="56" t="str">
        <f aca="false">IF($W38="","",INDEX(发票统计!U$4:U$1003,$W38)&amp;"")</f>
        <v/>
      </c>
      <c r="W38" s="1" t="str">
        <f aca="false">IF($V$3="","",IFERROR(MATCH($V$3&amp;"#"&amp;ROWS(W$4:W38),发票统计!$W$4:$W$1003,0),""))</f>
        <v/>
      </c>
    </row>
    <row r="39" customFormat="false" ht="16.5" hidden="false" customHeight="false" outlineLevel="0" collapsed="false">
      <c r="A39" s="3" t="str">
        <f aca="false">IF($W39="","",INDEX(发票统计!A$4:A$1003,$W39)&amp;"")</f>
        <v/>
      </c>
      <c r="B39" s="3" t="str">
        <f aca="false">IF($W39="","",INDEX(发票统计!B$4:B$1003,$W39)&amp;"")</f>
        <v/>
      </c>
      <c r="C39" s="3" t="str">
        <f aca="false">IF($W39="","",INDEX(发票统计!C$4:C$1003,$W39)&amp;"")</f>
        <v/>
      </c>
      <c r="D39" s="3" t="str">
        <f aca="false">IF($W39="","",INDEX(发票统计!D$4:D$1003,$W39)&amp;"")</f>
        <v/>
      </c>
      <c r="E39" s="67" t="str">
        <f aca="false">IF($W39="","",INDEX(发票统计!E$4:E$1003,$W39)&amp;"")</f>
        <v/>
      </c>
      <c r="F39" s="67" t="str">
        <f aca="false">IF($W39="","",INDEX(发票统计!F$4:F$1003,$W39)&amp;"")</f>
        <v/>
      </c>
      <c r="G39" s="68" t="str">
        <f aca="false">IF($W39="","",IF(INDEX(发票统计!G$4:G$1003,$W39)="","",INDEX(发票统计!G$4:G$1003,$W39)))</f>
        <v/>
      </c>
      <c r="H39" s="56" t="str">
        <f aca="false">IF($W39="","",N(INDEX(发票统计!H$4:H$1003,$W39)))</f>
        <v/>
      </c>
      <c r="I39" s="56" t="str">
        <f aca="false">IF($W39="","",N(INDEX(发票统计!I$4:I$1003,$W39)))</f>
        <v/>
      </c>
      <c r="J39" s="56" t="str">
        <f aca="false">IF($W39="","",N(INDEX(发票统计!J$4:J$1003,$W39)))</f>
        <v/>
      </c>
      <c r="K39" s="56" t="str">
        <f aca="false">IF($W39="","",N(INDEX(发票统计!K$4:K$1003,$W39)))</f>
        <v/>
      </c>
      <c r="L39" s="56" t="str">
        <f aca="false">IF($W39="","",SUM(J$4:J39)-SUM(K$4:K39))</f>
        <v/>
      </c>
      <c r="M39" s="56" t="str">
        <f aca="false">IF($W39="","",N(INDEX(发票统计!M$4:M$1003,$W39)))</f>
        <v/>
      </c>
      <c r="N39" s="56" t="str">
        <f aca="false">IF($W39="","",N(INDEX(发票统计!N$4:N$1003,$W39)))</f>
        <v/>
      </c>
      <c r="O39" s="56" t="str">
        <f aca="false">IF($W39="","",N(INDEX(发票统计!O$4:O$1003,$W39)))</f>
        <v/>
      </c>
      <c r="P39" s="56" t="str">
        <f aca="false">IF($W39="","",SUM(M$4:M39)-SUM(N$4:N39)-SUM(O$4:O39))</f>
        <v/>
      </c>
      <c r="Q39" s="56" t="str">
        <f aca="false">IF($W39="","",N(INDEX(发票统计!Q$4:Q$1003,$W39)))</f>
        <v/>
      </c>
      <c r="R39" s="56" t="str">
        <f aca="false">IF($W39="","",N(INDEX(发票统计!R$4:R$1003,$W39)))</f>
        <v/>
      </c>
      <c r="S39" s="56" t="str">
        <f aca="false">IF($W39="","",N(INDEX(发票统计!S$4:S$1003,$W39)))</f>
        <v/>
      </c>
      <c r="T39" s="56" t="str">
        <f aca="false">IF($W39="","",SUM(Q$4:Q39)-SUM(R$4:R39)-SUM(S$4:S39))</f>
        <v/>
      </c>
      <c r="U39" s="56" t="str">
        <f aca="false">IF($W39="","",INDEX(发票统计!U$4:U$1003,$W39)&amp;"")</f>
        <v/>
      </c>
      <c r="W39" s="1" t="str">
        <f aca="false">IF($V$3="","",IFERROR(MATCH($V$3&amp;"#"&amp;ROWS(W$4:W39),发票统计!$W$4:$W$1003,0),""))</f>
        <v/>
      </c>
    </row>
    <row r="40" customFormat="false" ht="16.5" hidden="false" customHeight="false" outlineLevel="0" collapsed="false">
      <c r="A40" s="3" t="str">
        <f aca="false">IF($W40="","",INDEX(发票统计!A$4:A$1003,$W40)&amp;"")</f>
        <v/>
      </c>
      <c r="B40" s="3" t="str">
        <f aca="false">IF($W40="","",INDEX(发票统计!B$4:B$1003,$W40)&amp;"")</f>
        <v/>
      </c>
      <c r="C40" s="3" t="str">
        <f aca="false">IF($W40="","",INDEX(发票统计!C$4:C$1003,$W40)&amp;"")</f>
        <v/>
      </c>
      <c r="D40" s="3" t="str">
        <f aca="false">IF($W40="","",INDEX(发票统计!D$4:D$1003,$W40)&amp;"")</f>
        <v/>
      </c>
      <c r="E40" s="67" t="str">
        <f aca="false">IF($W40="","",INDEX(发票统计!E$4:E$1003,$W40)&amp;"")</f>
        <v/>
      </c>
      <c r="F40" s="67" t="str">
        <f aca="false">IF($W40="","",INDEX(发票统计!F$4:F$1003,$W40)&amp;"")</f>
        <v/>
      </c>
      <c r="G40" s="68" t="str">
        <f aca="false">IF($W40="","",IF(INDEX(发票统计!G$4:G$1003,$W40)="","",INDEX(发票统计!G$4:G$1003,$W40)))</f>
        <v/>
      </c>
      <c r="H40" s="56" t="str">
        <f aca="false">IF($W40="","",N(INDEX(发票统计!H$4:H$1003,$W40)))</f>
        <v/>
      </c>
      <c r="I40" s="56" t="str">
        <f aca="false">IF($W40="","",N(INDEX(发票统计!I$4:I$1003,$W40)))</f>
        <v/>
      </c>
      <c r="J40" s="56" t="str">
        <f aca="false">IF($W40="","",N(INDEX(发票统计!J$4:J$1003,$W40)))</f>
        <v/>
      </c>
      <c r="K40" s="56" t="str">
        <f aca="false">IF($W40="","",N(INDEX(发票统计!K$4:K$1003,$W40)))</f>
        <v/>
      </c>
      <c r="L40" s="56" t="str">
        <f aca="false">IF($W40="","",SUM(J$4:J40)-SUM(K$4:K40))</f>
        <v/>
      </c>
      <c r="M40" s="56" t="str">
        <f aca="false">IF($W40="","",N(INDEX(发票统计!M$4:M$1003,$W40)))</f>
        <v/>
      </c>
      <c r="N40" s="56" t="str">
        <f aca="false">IF($W40="","",N(INDEX(发票统计!N$4:N$1003,$W40)))</f>
        <v/>
      </c>
      <c r="O40" s="56" t="str">
        <f aca="false">IF($W40="","",N(INDEX(发票统计!O$4:O$1003,$W40)))</f>
        <v/>
      </c>
      <c r="P40" s="56" t="str">
        <f aca="false">IF($W40="","",SUM(M$4:M40)-SUM(N$4:N40)-SUM(O$4:O40))</f>
        <v/>
      </c>
      <c r="Q40" s="56" t="str">
        <f aca="false">IF($W40="","",N(INDEX(发票统计!Q$4:Q$1003,$W40)))</f>
        <v/>
      </c>
      <c r="R40" s="56" t="str">
        <f aca="false">IF($W40="","",N(INDEX(发票统计!R$4:R$1003,$W40)))</f>
        <v/>
      </c>
      <c r="S40" s="56" t="str">
        <f aca="false">IF($W40="","",N(INDEX(发票统计!S$4:S$1003,$W40)))</f>
        <v/>
      </c>
      <c r="T40" s="56" t="str">
        <f aca="false">IF($W40="","",SUM(Q$4:Q40)-SUM(R$4:R40)-SUM(S$4:S40))</f>
        <v/>
      </c>
      <c r="U40" s="56" t="str">
        <f aca="false">IF($W40="","",INDEX(发票统计!U$4:U$1003,$W40)&amp;"")</f>
        <v/>
      </c>
      <c r="W40" s="1" t="str">
        <f aca="false">IF($V$3="","",IFERROR(MATCH($V$3&amp;"#"&amp;ROWS(W$4:W40),发票统计!$W$4:$W$1003,0),""))</f>
        <v/>
      </c>
    </row>
    <row r="41" customFormat="false" ht="16.5" hidden="false" customHeight="false" outlineLevel="0" collapsed="false">
      <c r="A41" s="3" t="str">
        <f aca="false">IF($W41="","",INDEX(发票统计!A$4:A$1003,$W41)&amp;"")</f>
        <v/>
      </c>
      <c r="B41" s="3" t="str">
        <f aca="false">IF($W41="","",INDEX(发票统计!B$4:B$1003,$W41)&amp;"")</f>
        <v/>
      </c>
      <c r="C41" s="3" t="str">
        <f aca="false">IF($W41="","",INDEX(发票统计!C$4:C$1003,$W41)&amp;"")</f>
        <v/>
      </c>
      <c r="D41" s="3" t="str">
        <f aca="false">IF($W41="","",INDEX(发票统计!D$4:D$1003,$W41)&amp;"")</f>
        <v/>
      </c>
      <c r="E41" s="67" t="str">
        <f aca="false">IF($W41="","",INDEX(发票统计!E$4:E$1003,$W41)&amp;"")</f>
        <v/>
      </c>
      <c r="F41" s="67" t="str">
        <f aca="false">IF($W41="","",INDEX(发票统计!F$4:F$1003,$W41)&amp;"")</f>
        <v/>
      </c>
      <c r="G41" s="68" t="str">
        <f aca="false">IF($W41="","",IF(INDEX(发票统计!G$4:G$1003,$W41)="","",INDEX(发票统计!G$4:G$1003,$W41)))</f>
        <v/>
      </c>
      <c r="H41" s="56" t="str">
        <f aca="false">IF($W41="","",N(INDEX(发票统计!H$4:H$1003,$W41)))</f>
        <v/>
      </c>
      <c r="I41" s="56" t="str">
        <f aca="false">IF($W41="","",N(INDEX(发票统计!I$4:I$1003,$W41)))</f>
        <v/>
      </c>
      <c r="J41" s="56" t="str">
        <f aca="false">IF($W41="","",N(INDEX(发票统计!J$4:J$1003,$W41)))</f>
        <v/>
      </c>
      <c r="K41" s="56" t="str">
        <f aca="false">IF($W41="","",N(INDEX(发票统计!K$4:K$1003,$W41)))</f>
        <v/>
      </c>
      <c r="L41" s="56" t="str">
        <f aca="false">IF($W41="","",SUM(J$4:J41)-SUM(K$4:K41))</f>
        <v/>
      </c>
      <c r="M41" s="56" t="str">
        <f aca="false">IF($W41="","",N(INDEX(发票统计!M$4:M$1003,$W41)))</f>
        <v/>
      </c>
      <c r="N41" s="56" t="str">
        <f aca="false">IF($W41="","",N(INDEX(发票统计!N$4:N$1003,$W41)))</f>
        <v/>
      </c>
      <c r="O41" s="56" t="str">
        <f aca="false">IF($W41="","",N(INDEX(发票统计!O$4:O$1003,$W41)))</f>
        <v/>
      </c>
      <c r="P41" s="56" t="str">
        <f aca="false">IF($W41="","",SUM(M$4:M41)-SUM(N$4:N41)-SUM(O$4:O41))</f>
        <v/>
      </c>
      <c r="Q41" s="56" t="str">
        <f aca="false">IF($W41="","",N(INDEX(发票统计!Q$4:Q$1003,$W41)))</f>
        <v/>
      </c>
      <c r="R41" s="56" t="str">
        <f aca="false">IF($W41="","",N(INDEX(发票统计!R$4:R$1003,$W41)))</f>
        <v/>
      </c>
      <c r="S41" s="56" t="str">
        <f aca="false">IF($W41="","",N(INDEX(发票统计!S$4:S$1003,$W41)))</f>
        <v/>
      </c>
      <c r="T41" s="56" t="str">
        <f aca="false">IF($W41="","",SUM(Q$4:Q41)-SUM(R$4:R41)-SUM(S$4:S41))</f>
        <v/>
      </c>
      <c r="U41" s="56" t="str">
        <f aca="false">IF($W41="","",INDEX(发票统计!U$4:U$1003,$W41)&amp;"")</f>
        <v/>
      </c>
      <c r="W41" s="1" t="str">
        <f aca="false">IF($V$3="","",IFERROR(MATCH($V$3&amp;"#"&amp;ROWS(W$4:W41),发票统计!$W$4:$W$1003,0),""))</f>
        <v/>
      </c>
    </row>
    <row r="42" customFormat="false" ht="16.5" hidden="false" customHeight="false" outlineLevel="0" collapsed="false">
      <c r="A42" s="3" t="str">
        <f aca="false">IF($W42="","",INDEX(发票统计!A$4:A$1003,$W42)&amp;"")</f>
        <v/>
      </c>
      <c r="B42" s="3" t="str">
        <f aca="false">IF($W42="","",INDEX(发票统计!B$4:B$1003,$W42)&amp;"")</f>
        <v/>
      </c>
      <c r="C42" s="3" t="str">
        <f aca="false">IF($W42="","",INDEX(发票统计!C$4:C$1003,$W42)&amp;"")</f>
        <v/>
      </c>
      <c r="D42" s="3" t="str">
        <f aca="false">IF($W42="","",INDEX(发票统计!D$4:D$1003,$W42)&amp;"")</f>
        <v/>
      </c>
      <c r="E42" s="67" t="str">
        <f aca="false">IF($W42="","",INDEX(发票统计!E$4:E$1003,$W42)&amp;"")</f>
        <v/>
      </c>
      <c r="F42" s="67" t="str">
        <f aca="false">IF($W42="","",INDEX(发票统计!F$4:F$1003,$W42)&amp;"")</f>
        <v/>
      </c>
      <c r="G42" s="68" t="str">
        <f aca="false">IF($W42="","",IF(INDEX(发票统计!G$4:G$1003,$W42)="","",INDEX(发票统计!G$4:G$1003,$W42)))</f>
        <v/>
      </c>
      <c r="H42" s="56" t="str">
        <f aca="false">IF($W42="","",N(INDEX(发票统计!H$4:H$1003,$W42)))</f>
        <v/>
      </c>
      <c r="I42" s="56" t="str">
        <f aca="false">IF($W42="","",N(INDEX(发票统计!I$4:I$1003,$W42)))</f>
        <v/>
      </c>
      <c r="J42" s="56" t="str">
        <f aca="false">IF($W42="","",N(INDEX(发票统计!J$4:J$1003,$W42)))</f>
        <v/>
      </c>
      <c r="K42" s="56" t="str">
        <f aca="false">IF($W42="","",N(INDEX(发票统计!K$4:K$1003,$W42)))</f>
        <v/>
      </c>
      <c r="L42" s="56" t="str">
        <f aca="false">IF($W42="","",SUM(J$4:J42)-SUM(K$4:K42))</f>
        <v/>
      </c>
      <c r="M42" s="56" t="str">
        <f aca="false">IF($W42="","",N(INDEX(发票统计!M$4:M$1003,$W42)))</f>
        <v/>
      </c>
      <c r="N42" s="56" t="str">
        <f aca="false">IF($W42="","",N(INDEX(发票统计!N$4:N$1003,$W42)))</f>
        <v/>
      </c>
      <c r="O42" s="56" t="str">
        <f aca="false">IF($W42="","",N(INDEX(发票统计!O$4:O$1003,$W42)))</f>
        <v/>
      </c>
      <c r="P42" s="56" t="str">
        <f aca="false">IF($W42="","",SUM(M$4:M42)-SUM(N$4:N42)-SUM(O$4:O42))</f>
        <v/>
      </c>
      <c r="Q42" s="56" t="str">
        <f aca="false">IF($W42="","",N(INDEX(发票统计!Q$4:Q$1003,$W42)))</f>
        <v/>
      </c>
      <c r="R42" s="56" t="str">
        <f aca="false">IF($W42="","",N(INDEX(发票统计!R$4:R$1003,$W42)))</f>
        <v/>
      </c>
      <c r="S42" s="56" t="str">
        <f aca="false">IF($W42="","",N(INDEX(发票统计!S$4:S$1003,$W42)))</f>
        <v/>
      </c>
      <c r="T42" s="56" t="str">
        <f aca="false">IF($W42="","",SUM(Q$4:Q42)-SUM(R$4:R42)-SUM(S$4:S42))</f>
        <v/>
      </c>
      <c r="U42" s="56" t="str">
        <f aca="false">IF($W42="","",INDEX(发票统计!U$4:U$1003,$W42)&amp;"")</f>
        <v/>
      </c>
      <c r="W42" s="1" t="str">
        <f aca="false">IF($V$3="","",IFERROR(MATCH($V$3&amp;"#"&amp;ROWS(W$4:W42),发票统计!$W$4:$W$1003,0),""))</f>
        <v/>
      </c>
    </row>
    <row r="43" customFormat="false" ht="16.5" hidden="false" customHeight="false" outlineLevel="0" collapsed="false">
      <c r="A43" s="3" t="str">
        <f aca="false">IF($W43="","",INDEX(发票统计!A$4:A$1003,$W43)&amp;"")</f>
        <v/>
      </c>
      <c r="B43" s="3" t="str">
        <f aca="false">IF($W43="","",INDEX(发票统计!B$4:B$1003,$W43)&amp;"")</f>
        <v/>
      </c>
      <c r="C43" s="3" t="str">
        <f aca="false">IF($W43="","",INDEX(发票统计!C$4:C$1003,$W43)&amp;"")</f>
        <v/>
      </c>
      <c r="D43" s="3" t="str">
        <f aca="false">IF($W43="","",INDEX(发票统计!D$4:D$1003,$W43)&amp;"")</f>
        <v/>
      </c>
      <c r="E43" s="67" t="str">
        <f aca="false">IF($W43="","",INDEX(发票统计!E$4:E$1003,$W43)&amp;"")</f>
        <v/>
      </c>
      <c r="F43" s="67" t="str">
        <f aca="false">IF($W43="","",INDEX(发票统计!F$4:F$1003,$W43)&amp;"")</f>
        <v/>
      </c>
      <c r="G43" s="68" t="str">
        <f aca="false">IF($W43="","",IF(INDEX(发票统计!G$4:G$1003,$W43)="","",INDEX(发票统计!G$4:G$1003,$W43)))</f>
        <v/>
      </c>
      <c r="H43" s="56" t="str">
        <f aca="false">IF($W43="","",N(INDEX(发票统计!H$4:H$1003,$W43)))</f>
        <v/>
      </c>
      <c r="I43" s="56" t="str">
        <f aca="false">IF($W43="","",N(INDEX(发票统计!I$4:I$1003,$W43)))</f>
        <v/>
      </c>
      <c r="J43" s="56" t="str">
        <f aca="false">IF($W43="","",N(INDEX(发票统计!J$4:J$1003,$W43)))</f>
        <v/>
      </c>
      <c r="K43" s="56" t="str">
        <f aca="false">IF($W43="","",N(INDEX(发票统计!K$4:K$1003,$W43)))</f>
        <v/>
      </c>
      <c r="L43" s="56" t="str">
        <f aca="false">IF($W43="","",SUM(J$4:J43)-SUM(K$4:K43))</f>
        <v/>
      </c>
      <c r="M43" s="56" t="str">
        <f aca="false">IF($W43="","",N(INDEX(发票统计!M$4:M$1003,$W43)))</f>
        <v/>
      </c>
      <c r="N43" s="56" t="str">
        <f aca="false">IF($W43="","",N(INDEX(发票统计!N$4:N$1003,$W43)))</f>
        <v/>
      </c>
      <c r="O43" s="56" t="str">
        <f aca="false">IF($W43="","",N(INDEX(发票统计!O$4:O$1003,$W43)))</f>
        <v/>
      </c>
      <c r="P43" s="56" t="str">
        <f aca="false">IF($W43="","",SUM(M$4:M43)-SUM(N$4:N43)-SUM(O$4:O43))</f>
        <v/>
      </c>
      <c r="Q43" s="56" t="str">
        <f aca="false">IF($W43="","",N(INDEX(发票统计!Q$4:Q$1003,$W43)))</f>
        <v/>
      </c>
      <c r="R43" s="56" t="str">
        <f aca="false">IF($W43="","",N(INDEX(发票统计!R$4:R$1003,$W43)))</f>
        <v/>
      </c>
      <c r="S43" s="56" t="str">
        <f aca="false">IF($W43="","",N(INDEX(发票统计!S$4:S$1003,$W43)))</f>
        <v/>
      </c>
      <c r="T43" s="56" t="str">
        <f aca="false">IF($W43="","",SUM(Q$4:Q43)-SUM(R$4:R43)-SUM(S$4:S43))</f>
        <v/>
      </c>
      <c r="U43" s="56" t="str">
        <f aca="false">IF($W43="","",INDEX(发票统计!U$4:U$1003,$W43)&amp;"")</f>
        <v/>
      </c>
      <c r="W43" s="1" t="str">
        <f aca="false">IF($V$3="","",IFERROR(MATCH($V$3&amp;"#"&amp;ROWS(W$4:W43),发票统计!$W$4:$W$1003,0),""))</f>
        <v/>
      </c>
    </row>
    <row r="44" customFormat="false" ht="16.5" hidden="false" customHeight="false" outlineLevel="0" collapsed="false">
      <c r="A44" s="3" t="str">
        <f aca="false">IF($W44="","",INDEX(发票统计!A$4:A$1003,$W44)&amp;"")</f>
        <v/>
      </c>
      <c r="B44" s="3" t="str">
        <f aca="false">IF($W44="","",INDEX(发票统计!B$4:B$1003,$W44)&amp;"")</f>
        <v/>
      </c>
      <c r="C44" s="3" t="str">
        <f aca="false">IF($W44="","",INDEX(发票统计!C$4:C$1003,$W44)&amp;"")</f>
        <v/>
      </c>
      <c r="D44" s="3" t="str">
        <f aca="false">IF($W44="","",INDEX(发票统计!D$4:D$1003,$W44)&amp;"")</f>
        <v/>
      </c>
      <c r="E44" s="67" t="str">
        <f aca="false">IF($W44="","",INDEX(发票统计!E$4:E$1003,$W44)&amp;"")</f>
        <v/>
      </c>
      <c r="F44" s="67" t="str">
        <f aca="false">IF($W44="","",INDEX(发票统计!F$4:F$1003,$W44)&amp;"")</f>
        <v/>
      </c>
      <c r="G44" s="68" t="str">
        <f aca="false">IF($W44="","",IF(INDEX(发票统计!G$4:G$1003,$W44)="","",INDEX(发票统计!G$4:G$1003,$W44)))</f>
        <v/>
      </c>
      <c r="H44" s="56" t="str">
        <f aca="false">IF($W44="","",N(INDEX(发票统计!H$4:H$1003,$W44)))</f>
        <v/>
      </c>
      <c r="I44" s="56" t="str">
        <f aca="false">IF($W44="","",N(INDEX(发票统计!I$4:I$1003,$W44)))</f>
        <v/>
      </c>
      <c r="J44" s="56" t="str">
        <f aca="false">IF($W44="","",N(INDEX(发票统计!J$4:J$1003,$W44)))</f>
        <v/>
      </c>
      <c r="K44" s="56" t="str">
        <f aca="false">IF($W44="","",N(INDEX(发票统计!K$4:K$1003,$W44)))</f>
        <v/>
      </c>
      <c r="L44" s="56" t="str">
        <f aca="false">IF($W44="","",SUM(J$4:J44)-SUM(K$4:K44))</f>
        <v/>
      </c>
      <c r="M44" s="56" t="str">
        <f aca="false">IF($W44="","",N(INDEX(发票统计!M$4:M$1003,$W44)))</f>
        <v/>
      </c>
      <c r="N44" s="56" t="str">
        <f aca="false">IF($W44="","",N(INDEX(发票统计!N$4:N$1003,$W44)))</f>
        <v/>
      </c>
      <c r="O44" s="56" t="str">
        <f aca="false">IF($W44="","",N(INDEX(发票统计!O$4:O$1003,$W44)))</f>
        <v/>
      </c>
      <c r="P44" s="56" t="str">
        <f aca="false">IF($W44="","",SUM(M$4:M44)-SUM(N$4:N44)-SUM(O$4:O44))</f>
        <v/>
      </c>
      <c r="Q44" s="56" t="str">
        <f aca="false">IF($W44="","",N(INDEX(发票统计!Q$4:Q$1003,$W44)))</f>
        <v/>
      </c>
      <c r="R44" s="56" t="str">
        <f aca="false">IF($W44="","",N(INDEX(发票统计!R$4:R$1003,$W44)))</f>
        <v/>
      </c>
      <c r="S44" s="56" t="str">
        <f aca="false">IF($W44="","",N(INDEX(发票统计!S$4:S$1003,$W44)))</f>
        <v/>
      </c>
      <c r="T44" s="56" t="str">
        <f aca="false">IF($W44="","",SUM(Q$4:Q44)-SUM(R$4:R44)-SUM(S$4:S44))</f>
        <v/>
      </c>
      <c r="U44" s="56" t="str">
        <f aca="false">IF($W44="","",INDEX(发票统计!U$4:U$1003,$W44)&amp;"")</f>
        <v/>
      </c>
      <c r="W44" s="1" t="str">
        <f aca="false">IF($V$3="","",IFERROR(MATCH($V$3&amp;"#"&amp;ROWS(W$4:W44),发票统计!$W$4:$W$1003,0),""))</f>
        <v/>
      </c>
    </row>
    <row r="45" customFormat="false" ht="16.5" hidden="false" customHeight="false" outlineLevel="0" collapsed="false">
      <c r="A45" s="3" t="str">
        <f aca="false">IF($W45="","",INDEX(发票统计!A$4:A$1003,$W45)&amp;"")</f>
        <v/>
      </c>
      <c r="B45" s="3" t="str">
        <f aca="false">IF($W45="","",INDEX(发票统计!B$4:B$1003,$W45)&amp;"")</f>
        <v/>
      </c>
      <c r="C45" s="3" t="str">
        <f aca="false">IF($W45="","",INDEX(发票统计!C$4:C$1003,$W45)&amp;"")</f>
        <v/>
      </c>
      <c r="D45" s="3" t="str">
        <f aca="false">IF($W45="","",INDEX(发票统计!D$4:D$1003,$W45)&amp;"")</f>
        <v/>
      </c>
      <c r="E45" s="67" t="str">
        <f aca="false">IF($W45="","",INDEX(发票统计!E$4:E$1003,$W45)&amp;"")</f>
        <v/>
      </c>
      <c r="F45" s="67" t="str">
        <f aca="false">IF($W45="","",INDEX(发票统计!F$4:F$1003,$W45)&amp;"")</f>
        <v/>
      </c>
      <c r="G45" s="68" t="str">
        <f aca="false">IF($W45="","",IF(INDEX(发票统计!G$4:G$1003,$W45)="","",INDEX(发票统计!G$4:G$1003,$W45)))</f>
        <v/>
      </c>
      <c r="H45" s="56" t="str">
        <f aca="false">IF($W45="","",N(INDEX(发票统计!H$4:H$1003,$W45)))</f>
        <v/>
      </c>
      <c r="I45" s="56" t="str">
        <f aca="false">IF($W45="","",N(INDEX(发票统计!I$4:I$1003,$W45)))</f>
        <v/>
      </c>
      <c r="J45" s="56" t="str">
        <f aca="false">IF($W45="","",N(INDEX(发票统计!J$4:J$1003,$W45)))</f>
        <v/>
      </c>
      <c r="K45" s="56" t="str">
        <f aca="false">IF($W45="","",N(INDEX(发票统计!K$4:K$1003,$W45)))</f>
        <v/>
      </c>
      <c r="L45" s="56" t="str">
        <f aca="false">IF($W45="","",SUM(J$4:J45)-SUM(K$4:K45))</f>
        <v/>
      </c>
      <c r="M45" s="56" t="str">
        <f aca="false">IF($W45="","",N(INDEX(发票统计!M$4:M$1003,$W45)))</f>
        <v/>
      </c>
      <c r="N45" s="56" t="str">
        <f aca="false">IF($W45="","",N(INDEX(发票统计!N$4:N$1003,$W45)))</f>
        <v/>
      </c>
      <c r="O45" s="56" t="str">
        <f aca="false">IF($W45="","",N(INDEX(发票统计!O$4:O$1003,$W45)))</f>
        <v/>
      </c>
      <c r="P45" s="56" t="str">
        <f aca="false">IF($W45="","",SUM(M$4:M45)-SUM(N$4:N45)-SUM(O$4:O45))</f>
        <v/>
      </c>
      <c r="Q45" s="56" t="str">
        <f aca="false">IF($W45="","",N(INDEX(发票统计!Q$4:Q$1003,$W45)))</f>
        <v/>
      </c>
      <c r="R45" s="56" t="str">
        <f aca="false">IF($W45="","",N(INDEX(发票统计!R$4:R$1003,$W45)))</f>
        <v/>
      </c>
      <c r="S45" s="56" t="str">
        <f aca="false">IF($W45="","",N(INDEX(发票统计!S$4:S$1003,$W45)))</f>
        <v/>
      </c>
      <c r="T45" s="56" t="str">
        <f aca="false">IF($W45="","",SUM(Q$4:Q45)-SUM(R$4:R45)-SUM(S$4:S45))</f>
        <v/>
      </c>
      <c r="U45" s="56" t="str">
        <f aca="false">IF($W45="","",INDEX(发票统计!U$4:U$1003,$W45)&amp;"")</f>
        <v/>
      </c>
      <c r="W45" s="1" t="str">
        <f aca="false">IF($V$3="","",IFERROR(MATCH($V$3&amp;"#"&amp;ROWS(W$4:W45),发票统计!$W$4:$W$1003,0),""))</f>
        <v/>
      </c>
    </row>
    <row r="46" customFormat="false" ht="16.5" hidden="false" customHeight="false" outlineLevel="0" collapsed="false">
      <c r="A46" s="3" t="str">
        <f aca="false">IF($W46="","",INDEX(发票统计!A$4:A$1003,$W46)&amp;"")</f>
        <v/>
      </c>
      <c r="B46" s="3" t="str">
        <f aca="false">IF($W46="","",INDEX(发票统计!B$4:B$1003,$W46)&amp;"")</f>
        <v/>
      </c>
      <c r="C46" s="3" t="str">
        <f aca="false">IF($W46="","",INDEX(发票统计!C$4:C$1003,$W46)&amp;"")</f>
        <v/>
      </c>
      <c r="D46" s="3" t="str">
        <f aca="false">IF($W46="","",INDEX(发票统计!D$4:D$1003,$W46)&amp;"")</f>
        <v/>
      </c>
      <c r="E46" s="67" t="str">
        <f aca="false">IF($W46="","",INDEX(发票统计!E$4:E$1003,$W46)&amp;"")</f>
        <v/>
      </c>
      <c r="F46" s="67" t="str">
        <f aca="false">IF($W46="","",INDEX(发票统计!F$4:F$1003,$W46)&amp;"")</f>
        <v/>
      </c>
      <c r="G46" s="68" t="str">
        <f aca="false">IF($W46="","",IF(INDEX(发票统计!G$4:G$1003,$W46)="","",INDEX(发票统计!G$4:G$1003,$W46)))</f>
        <v/>
      </c>
      <c r="H46" s="56" t="str">
        <f aca="false">IF($W46="","",N(INDEX(发票统计!H$4:H$1003,$W46)))</f>
        <v/>
      </c>
      <c r="I46" s="56" t="str">
        <f aca="false">IF($W46="","",N(INDEX(发票统计!I$4:I$1003,$W46)))</f>
        <v/>
      </c>
      <c r="J46" s="56" t="str">
        <f aca="false">IF($W46="","",N(INDEX(发票统计!J$4:J$1003,$W46)))</f>
        <v/>
      </c>
      <c r="K46" s="56" t="str">
        <f aca="false">IF($W46="","",N(INDEX(发票统计!K$4:K$1003,$W46)))</f>
        <v/>
      </c>
      <c r="L46" s="56" t="str">
        <f aca="false">IF($W46="","",SUM(J$4:J46)-SUM(K$4:K46))</f>
        <v/>
      </c>
      <c r="M46" s="56" t="str">
        <f aca="false">IF($W46="","",N(INDEX(发票统计!M$4:M$1003,$W46)))</f>
        <v/>
      </c>
      <c r="N46" s="56" t="str">
        <f aca="false">IF($W46="","",N(INDEX(发票统计!N$4:N$1003,$W46)))</f>
        <v/>
      </c>
      <c r="O46" s="56" t="str">
        <f aca="false">IF($W46="","",N(INDEX(发票统计!O$4:O$1003,$W46)))</f>
        <v/>
      </c>
      <c r="P46" s="56" t="str">
        <f aca="false">IF($W46="","",SUM(M$4:M46)-SUM(N$4:N46)-SUM(O$4:O46))</f>
        <v/>
      </c>
      <c r="Q46" s="56" t="str">
        <f aca="false">IF($W46="","",N(INDEX(发票统计!Q$4:Q$1003,$W46)))</f>
        <v/>
      </c>
      <c r="R46" s="56" t="str">
        <f aca="false">IF($W46="","",N(INDEX(发票统计!R$4:R$1003,$W46)))</f>
        <v/>
      </c>
      <c r="S46" s="56" t="str">
        <f aca="false">IF($W46="","",N(INDEX(发票统计!S$4:S$1003,$W46)))</f>
        <v/>
      </c>
      <c r="T46" s="56" t="str">
        <f aca="false">IF($W46="","",SUM(Q$4:Q46)-SUM(R$4:R46)-SUM(S$4:S46))</f>
        <v/>
      </c>
      <c r="U46" s="56" t="str">
        <f aca="false">IF($W46="","",INDEX(发票统计!U$4:U$1003,$W46)&amp;"")</f>
        <v/>
      </c>
      <c r="W46" s="1" t="str">
        <f aca="false">IF($V$3="","",IFERROR(MATCH($V$3&amp;"#"&amp;ROWS(W$4:W46),发票统计!$W$4:$W$1003,0),""))</f>
        <v/>
      </c>
    </row>
    <row r="47" customFormat="false" ht="16.5" hidden="false" customHeight="false" outlineLevel="0" collapsed="false">
      <c r="A47" s="3" t="str">
        <f aca="false">IF($W47="","",INDEX(发票统计!A$4:A$1003,$W47)&amp;"")</f>
        <v/>
      </c>
      <c r="B47" s="3" t="str">
        <f aca="false">IF($W47="","",INDEX(发票统计!B$4:B$1003,$W47)&amp;"")</f>
        <v/>
      </c>
      <c r="C47" s="3" t="str">
        <f aca="false">IF($W47="","",INDEX(发票统计!C$4:C$1003,$W47)&amp;"")</f>
        <v/>
      </c>
      <c r="D47" s="3" t="str">
        <f aca="false">IF($W47="","",INDEX(发票统计!D$4:D$1003,$W47)&amp;"")</f>
        <v/>
      </c>
      <c r="E47" s="67" t="str">
        <f aca="false">IF($W47="","",INDEX(发票统计!E$4:E$1003,$W47)&amp;"")</f>
        <v/>
      </c>
      <c r="F47" s="67" t="str">
        <f aca="false">IF($W47="","",INDEX(发票统计!F$4:F$1003,$W47)&amp;"")</f>
        <v/>
      </c>
      <c r="G47" s="68" t="str">
        <f aca="false">IF($W47="","",IF(INDEX(发票统计!G$4:G$1003,$W47)="","",INDEX(发票统计!G$4:G$1003,$W47)))</f>
        <v/>
      </c>
      <c r="H47" s="56" t="str">
        <f aca="false">IF($W47="","",N(INDEX(发票统计!H$4:H$1003,$W47)))</f>
        <v/>
      </c>
      <c r="I47" s="56" t="str">
        <f aca="false">IF($W47="","",N(INDEX(发票统计!I$4:I$1003,$W47)))</f>
        <v/>
      </c>
      <c r="J47" s="56" t="str">
        <f aca="false">IF($W47="","",N(INDEX(发票统计!J$4:J$1003,$W47)))</f>
        <v/>
      </c>
      <c r="K47" s="56" t="str">
        <f aca="false">IF($W47="","",N(INDEX(发票统计!K$4:K$1003,$W47)))</f>
        <v/>
      </c>
      <c r="L47" s="56" t="str">
        <f aca="false">IF($W47="","",SUM(J$4:J47)-SUM(K$4:K47))</f>
        <v/>
      </c>
      <c r="M47" s="56" t="str">
        <f aca="false">IF($W47="","",N(INDEX(发票统计!M$4:M$1003,$W47)))</f>
        <v/>
      </c>
      <c r="N47" s="56" t="str">
        <f aca="false">IF($W47="","",N(INDEX(发票统计!N$4:N$1003,$W47)))</f>
        <v/>
      </c>
      <c r="O47" s="56" t="str">
        <f aca="false">IF($W47="","",N(INDEX(发票统计!O$4:O$1003,$W47)))</f>
        <v/>
      </c>
      <c r="P47" s="56" t="str">
        <f aca="false">IF($W47="","",SUM(M$4:M47)-SUM(N$4:N47)-SUM(O$4:O47))</f>
        <v/>
      </c>
      <c r="Q47" s="56" t="str">
        <f aca="false">IF($W47="","",N(INDEX(发票统计!Q$4:Q$1003,$W47)))</f>
        <v/>
      </c>
      <c r="R47" s="56" t="str">
        <f aca="false">IF($W47="","",N(INDEX(发票统计!R$4:R$1003,$W47)))</f>
        <v/>
      </c>
      <c r="S47" s="56" t="str">
        <f aca="false">IF($W47="","",N(INDEX(发票统计!S$4:S$1003,$W47)))</f>
        <v/>
      </c>
      <c r="T47" s="56" t="str">
        <f aca="false">IF($W47="","",SUM(Q$4:Q47)-SUM(R$4:R47)-SUM(S$4:S47))</f>
        <v/>
      </c>
      <c r="U47" s="56" t="str">
        <f aca="false">IF($W47="","",INDEX(发票统计!U$4:U$1003,$W47)&amp;"")</f>
        <v/>
      </c>
      <c r="W47" s="1" t="str">
        <f aca="false">IF($V$3="","",IFERROR(MATCH($V$3&amp;"#"&amp;ROWS(W$4:W47),发票统计!$W$4:$W$1003,0),""))</f>
        <v/>
      </c>
    </row>
    <row r="48" customFormat="false" ht="16.5" hidden="false" customHeight="false" outlineLevel="0" collapsed="false">
      <c r="A48" s="3" t="str">
        <f aca="false">IF($W48="","",INDEX(发票统计!A$4:A$1003,$W48)&amp;"")</f>
        <v/>
      </c>
      <c r="B48" s="3" t="str">
        <f aca="false">IF($W48="","",INDEX(发票统计!B$4:B$1003,$W48)&amp;"")</f>
        <v/>
      </c>
      <c r="C48" s="3" t="str">
        <f aca="false">IF($W48="","",INDEX(发票统计!C$4:C$1003,$W48)&amp;"")</f>
        <v/>
      </c>
      <c r="D48" s="3" t="str">
        <f aca="false">IF($W48="","",INDEX(发票统计!D$4:D$1003,$W48)&amp;"")</f>
        <v/>
      </c>
      <c r="E48" s="67" t="str">
        <f aca="false">IF($W48="","",INDEX(发票统计!E$4:E$1003,$W48)&amp;"")</f>
        <v/>
      </c>
      <c r="F48" s="67" t="str">
        <f aca="false">IF($W48="","",INDEX(发票统计!F$4:F$1003,$W48)&amp;"")</f>
        <v/>
      </c>
      <c r="G48" s="68" t="str">
        <f aca="false">IF($W48="","",IF(INDEX(发票统计!G$4:G$1003,$W48)="","",INDEX(发票统计!G$4:G$1003,$W48)))</f>
        <v/>
      </c>
      <c r="H48" s="56" t="str">
        <f aca="false">IF($W48="","",N(INDEX(发票统计!H$4:H$1003,$W48)))</f>
        <v/>
      </c>
      <c r="I48" s="56" t="str">
        <f aca="false">IF($W48="","",N(INDEX(发票统计!I$4:I$1003,$W48)))</f>
        <v/>
      </c>
      <c r="J48" s="56" t="str">
        <f aca="false">IF($W48="","",N(INDEX(发票统计!J$4:J$1003,$W48)))</f>
        <v/>
      </c>
      <c r="K48" s="56" t="str">
        <f aca="false">IF($W48="","",N(INDEX(发票统计!K$4:K$1003,$W48)))</f>
        <v/>
      </c>
      <c r="L48" s="56" t="str">
        <f aca="false">IF($W48="","",SUM(J$4:J48)-SUM(K$4:K48))</f>
        <v/>
      </c>
      <c r="M48" s="56" t="str">
        <f aca="false">IF($W48="","",N(INDEX(发票统计!M$4:M$1003,$W48)))</f>
        <v/>
      </c>
      <c r="N48" s="56" t="str">
        <f aca="false">IF($W48="","",N(INDEX(发票统计!N$4:N$1003,$W48)))</f>
        <v/>
      </c>
      <c r="O48" s="56" t="str">
        <f aca="false">IF($W48="","",N(INDEX(发票统计!O$4:O$1003,$W48)))</f>
        <v/>
      </c>
      <c r="P48" s="56" t="str">
        <f aca="false">IF($W48="","",SUM(M$4:M48)-SUM(N$4:N48)-SUM(O$4:O48))</f>
        <v/>
      </c>
      <c r="Q48" s="56" t="str">
        <f aca="false">IF($W48="","",N(INDEX(发票统计!Q$4:Q$1003,$W48)))</f>
        <v/>
      </c>
      <c r="R48" s="56" t="str">
        <f aca="false">IF($W48="","",N(INDEX(发票统计!R$4:R$1003,$W48)))</f>
        <v/>
      </c>
      <c r="S48" s="56" t="str">
        <f aca="false">IF($W48="","",N(INDEX(发票统计!S$4:S$1003,$W48)))</f>
        <v/>
      </c>
      <c r="T48" s="56" t="str">
        <f aca="false">IF($W48="","",SUM(Q$4:Q48)-SUM(R$4:R48)-SUM(S$4:S48))</f>
        <v/>
      </c>
      <c r="U48" s="56" t="str">
        <f aca="false">IF($W48="","",INDEX(发票统计!U$4:U$1003,$W48)&amp;"")</f>
        <v/>
      </c>
      <c r="W48" s="1" t="str">
        <f aca="false">IF($V$3="","",IFERROR(MATCH($V$3&amp;"#"&amp;ROWS(W$4:W48),发票统计!$W$4:$W$1003,0),""))</f>
        <v/>
      </c>
    </row>
    <row r="49" customFormat="false" ht="16.5" hidden="false" customHeight="false" outlineLevel="0" collapsed="false">
      <c r="A49" s="3" t="str">
        <f aca="false">IF($W49="","",INDEX(发票统计!A$4:A$1003,$W49)&amp;"")</f>
        <v/>
      </c>
      <c r="B49" s="3" t="str">
        <f aca="false">IF($W49="","",INDEX(发票统计!B$4:B$1003,$W49)&amp;"")</f>
        <v/>
      </c>
      <c r="C49" s="3" t="str">
        <f aca="false">IF($W49="","",INDEX(发票统计!C$4:C$1003,$W49)&amp;"")</f>
        <v/>
      </c>
      <c r="D49" s="3" t="str">
        <f aca="false">IF($W49="","",INDEX(发票统计!D$4:D$1003,$W49)&amp;"")</f>
        <v/>
      </c>
      <c r="E49" s="67" t="str">
        <f aca="false">IF($W49="","",INDEX(发票统计!E$4:E$1003,$W49)&amp;"")</f>
        <v/>
      </c>
      <c r="F49" s="68" t="str">
        <f aca="false">IF($W49="","",INDEX(发票统计!F$4:F$1003,$W49)&amp;"")</f>
        <v/>
      </c>
      <c r="G49" s="68" t="str">
        <f aca="false">IF($W49="","",IF(INDEX(发票统计!G$4:G$1003,$W49)="","",INDEX(发票统计!G$4:G$1003,$W49)))</f>
        <v/>
      </c>
      <c r="H49" s="56" t="str">
        <f aca="false">IF($W49="","",N(INDEX(发票统计!H$4:H$1003,$W49)))</f>
        <v/>
      </c>
      <c r="I49" s="56" t="str">
        <f aca="false">IF($W49="","",N(INDEX(发票统计!I$4:I$1003,$W49)))</f>
        <v/>
      </c>
      <c r="J49" s="56" t="str">
        <f aca="false">IF($W49="","",N(INDEX(发票统计!J$4:J$1003,$W49)))</f>
        <v/>
      </c>
      <c r="K49" s="56" t="str">
        <f aca="false">IF($W49="","",N(INDEX(发票统计!K$4:K$1003,$W49)))</f>
        <v/>
      </c>
      <c r="L49" s="56" t="str">
        <f aca="false">IF($W49="","",SUM(J$4:J49)-SUM(K$4:K49))</f>
        <v/>
      </c>
      <c r="M49" s="56" t="str">
        <f aca="false">IF($W49="","",N(INDEX(发票统计!M$4:M$1003,$W49)))</f>
        <v/>
      </c>
      <c r="N49" s="56" t="str">
        <f aca="false">IF($W49="","",N(INDEX(发票统计!N$4:N$1003,$W49)))</f>
        <v/>
      </c>
      <c r="O49" s="56" t="str">
        <f aca="false">IF($W49="","",N(INDEX(发票统计!O$4:O$1003,$W49)))</f>
        <v/>
      </c>
      <c r="P49" s="56" t="str">
        <f aca="false">IF($W49="","",SUM(M$4:M49)-SUM(N$4:N49)-SUM(O$4:O49))</f>
        <v/>
      </c>
      <c r="Q49" s="56" t="str">
        <f aca="false">IF($W49="","",N(INDEX(发票统计!Q$4:Q$1003,$W49)))</f>
        <v/>
      </c>
      <c r="R49" s="56" t="str">
        <f aca="false">IF($W49="","",N(INDEX(发票统计!R$4:R$1003,$W49)))</f>
        <v/>
      </c>
      <c r="S49" s="56" t="str">
        <f aca="false">IF($W49="","",N(INDEX(发票统计!S$4:S$1003,$W49)))</f>
        <v/>
      </c>
      <c r="T49" s="56" t="str">
        <f aca="false">IF($W49="","",SUM(Q$4:Q49)-SUM(R$4:R49)-SUM(S$4:S49))</f>
        <v/>
      </c>
      <c r="U49" s="56" t="str">
        <f aca="false">IF($W49="","",INDEX(发票统计!U$4:U$1003,$W49)&amp;"")</f>
        <v/>
      </c>
      <c r="W49" s="1" t="str">
        <f aca="false">IF($V$3="","",IFERROR(MATCH($V$3&amp;"#"&amp;ROWS(W$4:W49),发票统计!$W$4:$W$1003,0),""))</f>
        <v/>
      </c>
    </row>
    <row r="50" customFormat="false" ht="16.5" hidden="false" customHeight="false" outlineLevel="0" collapsed="false">
      <c r="A50" s="3" t="str">
        <f aca="false">IF($W50="","",INDEX(发票统计!A$4:A$1003,$W50)&amp;"")</f>
        <v/>
      </c>
      <c r="B50" s="3" t="str">
        <f aca="false">IF($W50="","",INDEX(发票统计!B$4:B$1003,$W50)&amp;"")</f>
        <v/>
      </c>
      <c r="C50" s="3" t="str">
        <f aca="false">IF($W50="","",INDEX(发票统计!C$4:C$1003,$W50)&amp;"")</f>
        <v/>
      </c>
      <c r="D50" s="3" t="str">
        <f aca="false">IF($W50="","",INDEX(发票统计!D$4:D$1003,$W50)&amp;"")</f>
        <v/>
      </c>
      <c r="E50" s="67" t="str">
        <f aca="false">IF($W50="","",INDEX(发票统计!E$4:E$1003,$W50)&amp;"")</f>
        <v/>
      </c>
      <c r="F50" s="68" t="str">
        <f aca="false">IF($W50="","",INDEX(发票统计!F$4:F$1003,$W50)&amp;"")</f>
        <v/>
      </c>
      <c r="G50" s="68" t="str">
        <f aca="false">IF($W50="","",IF(INDEX(发票统计!G$4:G$1003,$W50)="","",INDEX(发票统计!G$4:G$1003,$W50)))</f>
        <v/>
      </c>
      <c r="H50" s="56" t="str">
        <f aca="false">IF($W50="","",N(INDEX(发票统计!H$4:H$1003,$W50)))</f>
        <v/>
      </c>
      <c r="I50" s="56" t="str">
        <f aca="false">IF($W50="","",N(INDEX(发票统计!I$4:I$1003,$W50)))</f>
        <v/>
      </c>
      <c r="J50" s="56" t="str">
        <f aca="false">IF($W50="","",N(INDEX(发票统计!J$4:J$1003,$W50)))</f>
        <v/>
      </c>
      <c r="K50" s="56" t="str">
        <f aca="false">IF($W50="","",N(INDEX(发票统计!K$4:K$1003,$W50)))</f>
        <v/>
      </c>
      <c r="L50" s="56" t="str">
        <f aca="false">IF($W50="","",SUM(J$4:J50)-SUM(K$4:K50))</f>
        <v/>
      </c>
      <c r="M50" s="56" t="str">
        <f aca="false">IF($W50="","",N(INDEX(发票统计!M$4:M$1003,$W50)))</f>
        <v/>
      </c>
      <c r="N50" s="56" t="str">
        <f aca="false">IF($W50="","",N(INDEX(发票统计!N$4:N$1003,$W50)))</f>
        <v/>
      </c>
      <c r="O50" s="56" t="str">
        <f aca="false">IF($W50="","",N(INDEX(发票统计!O$4:O$1003,$W50)))</f>
        <v/>
      </c>
      <c r="P50" s="56" t="str">
        <f aca="false">IF($W50="","",SUM(M$4:M50)-SUM(N$4:N50)-SUM(O$4:O50))</f>
        <v/>
      </c>
      <c r="Q50" s="56" t="str">
        <f aca="false">IF($W50="","",N(INDEX(发票统计!Q$4:Q$1003,$W50)))</f>
        <v/>
      </c>
      <c r="R50" s="56" t="str">
        <f aca="false">IF($W50="","",N(INDEX(发票统计!R$4:R$1003,$W50)))</f>
        <v/>
      </c>
      <c r="S50" s="56" t="str">
        <f aca="false">IF($W50="","",N(INDEX(发票统计!S$4:S$1003,$W50)))</f>
        <v/>
      </c>
      <c r="T50" s="56" t="str">
        <f aca="false">IF($W50="","",SUM(Q$4:Q50)-SUM(R$4:R50)-SUM(S$4:S50))</f>
        <v/>
      </c>
      <c r="U50" s="56" t="str">
        <f aca="false">IF($W50="","",INDEX(发票统计!U$4:U$1003,$W50)&amp;"")</f>
        <v/>
      </c>
      <c r="W50" s="1" t="str">
        <f aca="false">IF($V$3="","",IFERROR(MATCH($V$3&amp;"#"&amp;ROWS(W$4:W50),发票统计!$W$4:$W$1003,0),""))</f>
        <v/>
      </c>
    </row>
    <row r="51" customFormat="false" ht="16.5" hidden="false" customHeight="false" outlineLevel="0" collapsed="false">
      <c r="A51" s="3" t="str">
        <f aca="false">IF($W51="","",INDEX(发票统计!A$4:A$1003,$W51)&amp;"")</f>
        <v/>
      </c>
      <c r="B51" s="3" t="str">
        <f aca="false">IF($W51="","",INDEX(发票统计!B$4:B$1003,$W51)&amp;"")</f>
        <v/>
      </c>
      <c r="C51" s="3" t="str">
        <f aca="false">IF($W51="","",INDEX(发票统计!C$4:C$1003,$W51)&amp;"")</f>
        <v/>
      </c>
      <c r="D51" s="3" t="str">
        <f aca="false">IF($W51="","",INDEX(发票统计!D$4:D$1003,$W51)&amp;"")</f>
        <v/>
      </c>
      <c r="E51" s="67" t="str">
        <f aca="false">IF($W51="","",INDEX(发票统计!E$4:E$1003,$W51)&amp;"")</f>
        <v/>
      </c>
      <c r="F51" s="68" t="str">
        <f aca="false">IF($W51="","",INDEX(发票统计!F$4:F$1003,$W51)&amp;"")</f>
        <v/>
      </c>
      <c r="G51" s="68" t="str">
        <f aca="false">IF($W51="","",IF(INDEX(发票统计!G$4:G$1003,$W51)="","",INDEX(发票统计!G$4:G$1003,$W51)))</f>
        <v/>
      </c>
      <c r="H51" s="56" t="str">
        <f aca="false">IF($W51="","",N(INDEX(发票统计!H$4:H$1003,$W51)))</f>
        <v/>
      </c>
      <c r="I51" s="56" t="str">
        <f aca="false">IF($W51="","",N(INDEX(发票统计!I$4:I$1003,$W51)))</f>
        <v/>
      </c>
      <c r="J51" s="56" t="str">
        <f aca="false">IF($W51="","",N(INDEX(发票统计!J$4:J$1003,$W51)))</f>
        <v/>
      </c>
      <c r="K51" s="56" t="str">
        <f aca="false">IF($W51="","",N(INDEX(发票统计!K$4:K$1003,$W51)))</f>
        <v/>
      </c>
      <c r="L51" s="56" t="str">
        <f aca="false">IF($W51="","",SUM(J$4:J51)-SUM(K$4:K51))</f>
        <v/>
      </c>
      <c r="M51" s="56" t="str">
        <f aca="false">IF($W51="","",N(INDEX(发票统计!M$4:M$1003,$W51)))</f>
        <v/>
      </c>
      <c r="N51" s="56" t="str">
        <f aca="false">IF($W51="","",N(INDEX(发票统计!N$4:N$1003,$W51)))</f>
        <v/>
      </c>
      <c r="O51" s="56" t="str">
        <f aca="false">IF($W51="","",N(INDEX(发票统计!O$4:O$1003,$W51)))</f>
        <v/>
      </c>
      <c r="P51" s="56" t="str">
        <f aca="false">IF($W51="","",SUM(M$4:M51)-SUM(N$4:N51)-SUM(O$4:O51))</f>
        <v/>
      </c>
      <c r="Q51" s="56" t="str">
        <f aca="false">IF($W51="","",N(INDEX(发票统计!Q$4:Q$1003,$W51)))</f>
        <v/>
      </c>
      <c r="R51" s="56" t="str">
        <f aca="false">IF($W51="","",N(INDEX(发票统计!R$4:R$1003,$W51)))</f>
        <v/>
      </c>
      <c r="S51" s="56" t="str">
        <f aca="false">IF($W51="","",N(INDEX(发票统计!S$4:S$1003,$W51)))</f>
        <v/>
      </c>
      <c r="T51" s="56" t="str">
        <f aca="false">IF($W51="","",SUM(Q$4:Q51)-SUM(R$4:R51)-SUM(S$4:S51))</f>
        <v/>
      </c>
      <c r="U51" s="56" t="str">
        <f aca="false">IF($W51="","",INDEX(发票统计!U$4:U$1003,$W51)&amp;"")</f>
        <v/>
      </c>
      <c r="W51" s="1" t="str">
        <f aca="false">IF($V$3="","",IFERROR(MATCH($V$3&amp;"#"&amp;ROWS(W$4:W51),发票统计!$W$4:$W$1003,0),""))</f>
        <v/>
      </c>
    </row>
    <row r="52" customFormat="false" ht="16.5" hidden="false" customHeight="false" outlineLevel="0" collapsed="false">
      <c r="A52" s="3" t="str">
        <f aca="false">IF($W52="","",INDEX(发票统计!A$4:A$1003,$W52)&amp;"")</f>
        <v/>
      </c>
      <c r="B52" s="3" t="str">
        <f aca="false">IF($W52="","",INDEX(发票统计!B$4:B$1003,$W52)&amp;"")</f>
        <v/>
      </c>
      <c r="C52" s="3" t="str">
        <f aca="false">IF($W52="","",INDEX(发票统计!C$4:C$1003,$W52)&amp;"")</f>
        <v/>
      </c>
      <c r="D52" s="3" t="str">
        <f aca="false">IF($W52="","",INDEX(发票统计!D$4:D$1003,$W52)&amp;"")</f>
        <v/>
      </c>
      <c r="E52" s="67" t="str">
        <f aca="false">IF($W52="","",INDEX(发票统计!E$4:E$1003,$W52)&amp;"")</f>
        <v/>
      </c>
      <c r="F52" s="68" t="str">
        <f aca="false">IF($W52="","",INDEX(发票统计!F$4:F$1003,$W52)&amp;"")</f>
        <v/>
      </c>
      <c r="G52" s="68" t="str">
        <f aca="false">IF($W52="","",IF(INDEX(发票统计!G$4:G$1003,$W52)="","",INDEX(发票统计!G$4:G$1003,$W52)))</f>
        <v/>
      </c>
      <c r="H52" s="56" t="str">
        <f aca="false">IF($W52="","",N(INDEX(发票统计!H$4:H$1003,$W52)))</f>
        <v/>
      </c>
      <c r="I52" s="56" t="str">
        <f aca="false">IF($W52="","",N(INDEX(发票统计!I$4:I$1003,$W52)))</f>
        <v/>
      </c>
      <c r="J52" s="56" t="str">
        <f aca="false">IF($W52="","",N(INDEX(发票统计!J$4:J$1003,$W52)))</f>
        <v/>
      </c>
      <c r="K52" s="56" t="str">
        <f aca="false">IF($W52="","",N(INDEX(发票统计!K$4:K$1003,$W52)))</f>
        <v/>
      </c>
      <c r="L52" s="56" t="str">
        <f aca="false">IF($W52="","",SUM(J$4:J52)-SUM(K$4:K52))</f>
        <v/>
      </c>
      <c r="M52" s="56" t="str">
        <f aca="false">IF($W52="","",N(INDEX(发票统计!M$4:M$1003,$W52)))</f>
        <v/>
      </c>
      <c r="N52" s="56" t="str">
        <f aca="false">IF($W52="","",N(INDEX(发票统计!N$4:N$1003,$W52)))</f>
        <v/>
      </c>
      <c r="O52" s="56" t="str">
        <f aca="false">IF($W52="","",N(INDEX(发票统计!O$4:O$1003,$W52)))</f>
        <v/>
      </c>
      <c r="P52" s="56" t="str">
        <f aca="false">IF($W52="","",SUM(M$4:M52)-SUM(N$4:N52)-SUM(O$4:O52))</f>
        <v/>
      </c>
      <c r="Q52" s="56" t="str">
        <f aca="false">IF($W52="","",N(INDEX(发票统计!Q$4:Q$1003,$W52)))</f>
        <v/>
      </c>
      <c r="R52" s="56" t="str">
        <f aca="false">IF($W52="","",N(INDEX(发票统计!R$4:R$1003,$W52)))</f>
        <v/>
      </c>
      <c r="S52" s="56" t="str">
        <f aca="false">IF($W52="","",N(INDEX(发票统计!S$4:S$1003,$W52)))</f>
        <v/>
      </c>
      <c r="T52" s="56" t="str">
        <f aca="false">IF($W52="","",SUM(Q$4:Q52)-SUM(R$4:R52)-SUM(S$4:S52))</f>
        <v/>
      </c>
      <c r="U52" s="56" t="str">
        <f aca="false">IF($W52="","",INDEX(发票统计!U$4:U$1003,$W52)&amp;"")</f>
        <v/>
      </c>
      <c r="W52" s="1" t="str">
        <f aca="false">IF($V$3="","",IFERROR(MATCH($V$3&amp;"#"&amp;ROWS(W$4:W52),发票统计!$W$4:$W$1003,0),""))</f>
        <v/>
      </c>
    </row>
    <row r="53" customFormat="false" ht="16.5" hidden="false" customHeight="false" outlineLevel="0" collapsed="false">
      <c r="A53" s="3" t="str">
        <f aca="false">IF($W53="","",INDEX(发票统计!A$4:A$1003,$W53)&amp;"")</f>
        <v/>
      </c>
      <c r="B53" s="3" t="str">
        <f aca="false">IF($W53="","",INDEX(发票统计!B$4:B$1003,$W53)&amp;"")</f>
        <v/>
      </c>
      <c r="C53" s="3" t="str">
        <f aca="false">IF($W53="","",INDEX(发票统计!C$4:C$1003,$W53)&amp;"")</f>
        <v/>
      </c>
      <c r="D53" s="3" t="str">
        <f aca="false">IF($W53="","",INDEX(发票统计!D$4:D$1003,$W53)&amp;"")</f>
        <v/>
      </c>
      <c r="E53" s="67" t="str">
        <f aca="false">IF($W53="","",INDEX(发票统计!E$4:E$1003,$W53)&amp;"")</f>
        <v/>
      </c>
      <c r="F53" s="68" t="str">
        <f aca="false">IF($W53="","",INDEX(发票统计!F$4:F$1003,$W53)&amp;"")</f>
        <v/>
      </c>
      <c r="G53" s="68" t="str">
        <f aca="false">IF($W53="","",IF(INDEX(发票统计!G$4:G$1003,$W53)="","",INDEX(发票统计!G$4:G$1003,$W53)))</f>
        <v/>
      </c>
      <c r="H53" s="56" t="str">
        <f aca="false">IF($W53="","",N(INDEX(发票统计!H$4:H$1003,$W53)))</f>
        <v/>
      </c>
      <c r="I53" s="56" t="str">
        <f aca="false">IF($W53="","",N(INDEX(发票统计!I$4:I$1003,$W53)))</f>
        <v/>
      </c>
      <c r="J53" s="56" t="str">
        <f aca="false">IF($W53="","",N(INDEX(发票统计!J$4:J$1003,$W53)))</f>
        <v/>
      </c>
      <c r="K53" s="56" t="str">
        <f aca="false">IF($W53="","",N(INDEX(发票统计!K$4:K$1003,$W53)))</f>
        <v/>
      </c>
      <c r="L53" s="56" t="str">
        <f aca="false">IF($W53="","",SUM(J$4:J53)-SUM(K$4:K53))</f>
        <v/>
      </c>
      <c r="M53" s="56" t="str">
        <f aca="false">IF($W53="","",N(INDEX(发票统计!M$4:M$1003,$W53)))</f>
        <v/>
      </c>
      <c r="N53" s="56" t="str">
        <f aca="false">IF($W53="","",N(INDEX(发票统计!N$4:N$1003,$W53)))</f>
        <v/>
      </c>
      <c r="O53" s="56" t="str">
        <f aca="false">IF($W53="","",N(INDEX(发票统计!O$4:O$1003,$W53)))</f>
        <v/>
      </c>
      <c r="P53" s="56" t="str">
        <f aca="false">IF($W53="","",SUM(M$4:M53)-SUM(N$4:N53)-SUM(O$4:O53))</f>
        <v/>
      </c>
      <c r="Q53" s="56" t="str">
        <f aca="false">IF($W53="","",N(INDEX(发票统计!Q$4:Q$1003,$W53)))</f>
        <v/>
      </c>
      <c r="R53" s="56" t="str">
        <f aca="false">IF($W53="","",N(INDEX(发票统计!R$4:R$1003,$W53)))</f>
        <v/>
      </c>
      <c r="S53" s="56" t="str">
        <f aca="false">IF($W53="","",N(INDEX(发票统计!S$4:S$1003,$W53)))</f>
        <v/>
      </c>
      <c r="T53" s="56" t="str">
        <f aca="false">IF($W53="","",SUM(Q$4:Q53)-SUM(R$4:R53)-SUM(S$4:S53))</f>
        <v/>
      </c>
      <c r="U53" s="56" t="str">
        <f aca="false">IF($W53="","",INDEX(发票统计!U$4:U$1003,$W53)&amp;"")</f>
        <v/>
      </c>
      <c r="W53" s="1" t="str">
        <f aca="false">IF($V$3="","",IFERROR(MATCH($V$3&amp;"#"&amp;ROWS(W$4:W53),发票统计!$W$4:$W$1003,0),""))</f>
        <v/>
      </c>
    </row>
    <row r="54" customFormat="false" ht="16.5" hidden="false" customHeight="false" outlineLevel="0" collapsed="false">
      <c r="A54" s="3" t="str">
        <f aca="false">IF($W54="","",INDEX(发票统计!A$4:A$1003,$W54)&amp;"")</f>
        <v/>
      </c>
      <c r="B54" s="3" t="str">
        <f aca="false">IF($W54="","",INDEX(发票统计!B$4:B$1003,$W54)&amp;"")</f>
        <v/>
      </c>
      <c r="C54" s="3" t="str">
        <f aca="false">IF($W54="","",INDEX(发票统计!C$4:C$1003,$W54)&amp;"")</f>
        <v/>
      </c>
      <c r="D54" s="3" t="str">
        <f aca="false">IF($W54="","",INDEX(发票统计!D$4:D$1003,$W54)&amp;"")</f>
        <v/>
      </c>
      <c r="E54" s="67" t="str">
        <f aca="false">IF($W54="","",INDEX(发票统计!E$4:E$1003,$W54)&amp;"")</f>
        <v/>
      </c>
      <c r="F54" s="68" t="str">
        <f aca="false">IF($W54="","",INDEX(发票统计!F$4:F$1003,$W54)&amp;"")</f>
        <v/>
      </c>
      <c r="G54" s="68" t="str">
        <f aca="false">IF($W54="","",IF(INDEX(发票统计!G$4:G$1003,$W54)="","",INDEX(发票统计!G$4:G$1003,$W54)))</f>
        <v/>
      </c>
      <c r="H54" s="56" t="str">
        <f aca="false">IF($W54="","",N(INDEX(发票统计!H$4:H$1003,$W54)))</f>
        <v/>
      </c>
      <c r="I54" s="56" t="str">
        <f aca="false">IF($W54="","",N(INDEX(发票统计!I$4:I$1003,$W54)))</f>
        <v/>
      </c>
      <c r="J54" s="56" t="str">
        <f aca="false">IF($W54="","",N(INDEX(发票统计!J$4:J$1003,$W54)))</f>
        <v/>
      </c>
      <c r="K54" s="56" t="str">
        <f aca="false">IF($W54="","",N(INDEX(发票统计!K$4:K$1003,$W54)))</f>
        <v/>
      </c>
      <c r="L54" s="56" t="str">
        <f aca="false">IF($W54="","",SUM(J$4:J54)-SUM(K$4:K54))</f>
        <v/>
      </c>
      <c r="M54" s="56" t="str">
        <f aca="false">IF($W54="","",N(INDEX(发票统计!M$4:M$1003,$W54)))</f>
        <v/>
      </c>
      <c r="N54" s="56" t="str">
        <f aca="false">IF($W54="","",N(INDEX(发票统计!N$4:N$1003,$W54)))</f>
        <v/>
      </c>
      <c r="O54" s="56" t="str">
        <f aca="false">IF($W54="","",N(INDEX(发票统计!O$4:O$1003,$W54)))</f>
        <v/>
      </c>
      <c r="P54" s="56" t="str">
        <f aca="false">IF($W54="","",SUM(M$4:M54)-SUM(N$4:N54)-SUM(O$4:O54))</f>
        <v/>
      </c>
      <c r="Q54" s="56" t="str">
        <f aca="false">IF($W54="","",N(INDEX(发票统计!Q$4:Q$1003,$W54)))</f>
        <v/>
      </c>
      <c r="R54" s="56" t="str">
        <f aca="false">IF($W54="","",N(INDEX(发票统计!R$4:R$1003,$W54)))</f>
        <v/>
      </c>
      <c r="S54" s="56" t="str">
        <f aca="false">IF($W54="","",N(INDEX(发票统计!S$4:S$1003,$W54)))</f>
        <v/>
      </c>
      <c r="T54" s="56" t="str">
        <f aca="false">IF($W54="","",SUM(Q$4:Q54)-SUM(R$4:R54)-SUM(S$4:S54))</f>
        <v/>
      </c>
      <c r="U54" s="56" t="str">
        <f aca="false">IF($W54="","",INDEX(发票统计!U$4:U$1003,$W54)&amp;"")</f>
        <v/>
      </c>
      <c r="W54" s="1" t="str">
        <f aca="false">IF($V$3="","",IFERROR(MATCH($V$3&amp;"#"&amp;ROWS(W$4:W54),发票统计!$W$4:$W$1003,0),""))</f>
        <v/>
      </c>
    </row>
    <row r="55" customFormat="false" ht="16.5" hidden="false" customHeight="false" outlineLevel="0" collapsed="false">
      <c r="A55" s="3" t="str">
        <f aca="false">IF($W55="","",INDEX(发票统计!A$4:A$1003,$W55)&amp;"")</f>
        <v/>
      </c>
      <c r="B55" s="3" t="str">
        <f aca="false">IF($W55="","",INDEX(发票统计!B$4:B$1003,$W55)&amp;"")</f>
        <v/>
      </c>
      <c r="C55" s="3" t="str">
        <f aca="false">IF($W55="","",INDEX(发票统计!C$4:C$1003,$W55)&amp;"")</f>
        <v/>
      </c>
      <c r="D55" s="3" t="str">
        <f aca="false">IF($W55="","",INDEX(发票统计!D$4:D$1003,$W55)&amp;"")</f>
        <v/>
      </c>
      <c r="E55" s="67" t="str">
        <f aca="false">IF($W55="","",INDEX(发票统计!E$4:E$1003,$W55)&amp;"")</f>
        <v/>
      </c>
      <c r="F55" s="68" t="str">
        <f aca="false">IF($W55="","",INDEX(发票统计!F$4:F$1003,$W55)&amp;"")</f>
        <v/>
      </c>
      <c r="G55" s="68" t="str">
        <f aca="false">IF($W55="","",IF(INDEX(发票统计!G$4:G$1003,$W55)="","",INDEX(发票统计!G$4:G$1003,$W55)))</f>
        <v/>
      </c>
      <c r="H55" s="56" t="str">
        <f aca="false">IF($W55="","",N(INDEX(发票统计!H$4:H$1003,$W55)))</f>
        <v/>
      </c>
      <c r="I55" s="56" t="str">
        <f aca="false">IF($W55="","",N(INDEX(发票统计!I$4:I$1003,$W55)))</f>
        <v/>
      </c>
      <c r="J55" s="56" t="str">
        <f aca="false">IF($W55="","",N(INDEX(发票统计!J$4:J$1003,$W55)))</f>
        <v/>
      </c>
      <c r="K55" s="56" t="str">
        <f aca="false">IF($W55="","",N(INDEX(发票统计!K$4:K$1003,$W55)))</f>
        <v/>
      </c>
      <c r="L55" s="56" t="str">
        <f aca="false">IF($W55="","",SUM(J$4:J55)-SUM(K$4:K55))</f>
        <v/>
      </c>
      <c r="M55" s="56" t="str">
        <f aca="false">IF($W55="","",N(INDEX(发票统计!M$4:M$1003,$W55)))</f>
        <v/>
      </c>
      <c r="N55" s="56" t="str">
        <f aca="false">IF($W55="","",N(INDEX(发票统计!N$4:N$1003,$W55)))</f>
        <v/>
      </c>
      <c r="O55" s="56" t="str">
        <f aca="false">IF($W55="","",N(INDEX(发票统计!O$4:O$1003,$W55)))</f>
        <v/>
      </c>
      <c r="P55" s="56" t="str">
        <f aca="false">IF($W55="","",SUM(M$4:M55)-SUM(N$4:N55)-SUM(O$4:O55))</f>
        <v/>
      </c>
      <c r="Q55" s="56" t="str">
        <f aca="false">IF($W55="","",N(INDEX(发票统计!Q$4:Q$1003,$W55)))</f>
        <v/>
      </c>
      <c r="R55" s="56" t="str">
        <f aca="false">IF($W55="","",N(INDEX(发票统计!R$4:R$1003,$W55)))</f>
        <v/>
      </c>
      <c r="S55" s="56" t="str">
        <f aca="false">IF($W55="","",N(INDEX(发票统计!S$4:S$1003,$W55)))</f>
        <v/>
      </c>
      <c r="T55" s="56" t="str">
        <f aca="false">IF($W55="","",SUM(Q$4:Q55)-SUM(R$4:R55)-SUM(S$4:S55))</f>
        <v/>
      </c>
      <c r="U55" s="56" t="str">
        <f aca="false">IF($W55="","",INDEX(发票统计!U$4:U$1003,$W55)&amp;"")</f>
        <v/>
      </c>
      <c r="W55" s="1" t="str">
        <f aca="false">IF($V$3="","",IFERROR(MATCH($V$3&amp;"#"&amp;ROWS(W$4:W55),发票统计!$W$4:$W$1003,0),""))</f>
        <v/>
      </c>
    </row>
    <row r="56" customFormat="false" ht="16.5" hidden="false" customHeight="false" outlineLevel="0" collapsed="false">
      <c r="A56" s="3" t="str">
        <f aca="false">IF($W56="","",INDEX(发票统计!A$4:A$1003,$W56)&amp;"")</f>
        <v/>
      </c>
      <c r="B56" s="3" t="str">
        <f aca="false">IF($W56="","",INDEX(发票统计!B$4:B$1003,$W56)&amp;"")</f>
        <v/>
      </c>
      <c r="C56" s="3" t="str">
        <f aca="false">IF($W56="","",INDEX(发票统计!C$4:C$1003,$W56)&amp;"")</f>
        <v/>
      </c>
      <c r="D56" s="3" t="str">
        <f aca="false">IF($W56="","",INDEX(发票统计!D$4:D$1003,$W56)&amp;"")</f>
        <v/>
      </c>
      <c r="E56" s="67" t="str">
        <f aca="false">IF($W56="","",INDEX(发票统计!E$4:E$1003,$W56)&amp;"")</f>
        <v/>
      </c>
      <c r="F56" s="68" t="str">
        <f aca="false">IF($W56="","",INDEX(发票统计!F$4:F$1003,$W56)&amp;"")</f>
        <v/>
      </c>
      <c r="G56" s="68" t="str">
        <f aca="false">IF($W56="","",IF(INDEX(发票统计!G$4:G$1003,$W56)="","",INDEX(发票统计!G$4:G$1003,$W56)))</f>
        <v/>
      </c>
      <c r="H56" s="56" t="str">
        <f aca="false">IF($W56="","",N(INDEX(发票统计!H$4:H$1003,$W56)))</f>
        <v/>
      </c>
      <c r="I56" s="56" t="str">
        <f aca="false">IF($W56="","",N(INDEX(发票统计!I$4:I$1003,$W56)))</f>
        <v/>
      </c>
      <c r="J56" s="56" t="str">
        <f aca="false">IF($W56="","",N(INDEX(发票统计!J$4:J$1003,$W56)))</f>
        <v/>
      </c>
      <c r="K56" s="56" t="str">
        <f aca="false">IF($W56="","",N(INDEX(发票统计!K$4:K$1003,$W56)))</f>
        <v/>
      </c>
      <c r="L56" s="56" t="str">
        <f aca="false">IF($W56="","",SUM(J$4:J56)-SUM(K$4:K56))</f>
        <v/>
      </c>
      <c r="M56" s="56" t="str">
        <f aca="false">IF($W56="","",N(INDEX(发票统计!M$4:M$1003,$W56)))</f>
        <v/>
      </c>
      <c r="N56" s="56" t="str">
        <f aca="false">IF($W56="","",N(INDEX(发票统计!N$4:N$1003,$W56)))</f>
        <v/>
      </c>
      <c r="O56" s="56" t="str">
        <f aca="false">IF($W56="","",N(INDEX(发票统计!O$4:O$1003,$W56)))</f>
        <v/>
      </c>
      <c r="P56" s="56" t="str">
        <f aca="false">IF($W56="","",SUM(M$4:M56)-SUM(N$4:N56)-SUM(O$4:O56))</f>
        <v/>
      </c>
      <c r="Q56" s="56" t="str">
        <f aca="false">IF($W56="","",N(INDEX(发票统计!Q$4:Q$1003,$W56)))</f>
        <v/>
      </c>
      <c r="R56" s="56" t="str">
        <f aca="false">IF($W56="","",N(INDEX(发票统计!R$4:R$1003,$W56)))</f>
        <v/>
      </c>
      <c r="S56" s="56" t="str">
        <f aca="false">IF($W56="","",N(INDEX(发票统计!S$4:S$1003,$W56)))</f>
        <v/>
      </c>
      <c r="T56" s="56" t="str">
        <f aca="false">IF($W56="","",SUM(Q$4:Q56)-SUM(R$4:R56)-SUM(S$4:S56))</f>
        <v/>
      </c>
      <c r="U56" s="56" t="str">
        <f aca="false">IF($W56="","",INDEX(发票统计!U$4:U$1003,$W56)&amp;"")</f>
        <v/>
      </c>
      <c r="W56" s="1" t="str">
        <f aca="false">IF($V$3="","",IFERROR(MATCH($V$3&amp;"#"&amp;ROWS(W$4:W56),发票统计!$W$4:$W$1003,0),""))</f>
        <v/>
      </c>
    </row>
    <row r="57" customFormat="false" ht="16.5" hidden="false" customHeight="false" outlineLevel="0" collapsed="false">
      <c r="A57" s="3" t="str">
        <f aca="false">IF($W57="","",INDEX(发票统计!A$4:A$1003,$W57)&amp;"")</f>
        <v/>
      </c>
      <c r="B57" s="3" t="str">
        <f aca="false">IF($W57="","",INDEX(发票统计!B$4:B$1003,$W57)&amp;"")</f>
        <v/>
      </c>
      <c r="C57" s="3" t="str">
        <f aca="false">IF($W57="","",INDEX(发票统计!C$4:C$1003,$W57)&amp;"")</f>
        <v/>
      </c>
      <c r="D57" s="3" t="str">
        <f aca="false">IF($W57="","",INDEX(发票统计!D$4:D$1003,$W57)&amp;"")</f>
        <v/>
      </c>
      <c r="E57" s="67" t="str">
        <f aca="false">IF($W57="","",INDEX(发票统计!E$4:E$1003,$W57)&amp;"")</f>
        <v/>
      </c>
      <c r="F57" s="68" t="str">
        <f aca="false">IF($W57="","",INDEX(发票统计!F$4:F$1003,$W57)&amp;"")</f>
        <v/>
      </c>
      <c r="G57" s="68" t="str">
        <f aca="false">IF($W57="","",IF(INDEX(发票统计!G$4:G$1003,$W57)="","",INDEX(发票统计!G$4:G$1003,$W57)))</f>
        <v/>
      </c>
      <c r="H57" s="56" t="str">
        <f aca="false">IF($W57="","",N(INDEX(发票统计!H$4:H$1003,$W57)))</f>
        <v/>
      </c>
      <c r="I57" s="56" t="str">
        <f aca="false">IF($W57="","",N(INDEX(发票统计!I$4:I$1003,$W57)))</f>
        <v/>
      </c>
      <c r="J57" s="56" t="str">
        <f aca="false">IF($W57="","",N(INDEX(发票统计!J$4:J$1003,$W57)))</f>
        <v/>
      </c>
      <c r="K57" s="56" t="str">
        <f aca="false">IF($W57="","",N(INDEX(发票统计!K$4:K$1003,$W57)))</f>
        <v/>
      </c>
      <c r="L57" s="56" t="str">
        <f aca="false">IF($W57="","",SUM(J$4:J57)-SUM(K$4:K57))</f>
        <v/>
      </c>
      <c r="M57" s="56" t="str">
        <f aca="false">IF($W57="","",N(INDEX(发票统计!M$4:M$1003,$W57)))</f>
        <v/>
      </c>
      <c r="N57" s="56" t="str">
        <f aca="false">IF($W57="","",N(INDEX(发票统计!N$4:N$1003,$W57)))</f>
        <v/>
      </c>
      <c r="O57" s="56" t="str">
        <f aca="false">IF($W57="","",N(INDEX(发票统计!O$4:O$1003,$W57)))</f>
        <v/>
      </c>
      <c r="P57" s="56" t="str">
        <f aca="false">IF($W57="","",SUM(M$4:M57)-SUM(N$4:N57)-SUM(O$4:O57))</f>
        <v/>
      </c>
      <c r="Q57" s="56" t="str">
        <f aca="false">IF($W57="","",N(INDEX(发票统计!Q$4:Q$1003,$W57)))</f>
        <v/>
      </c>
      <c r="R57" s="56" t="str">
        <f aca="false">IF($W57="","",N(INDEX(发票统计!R$4:R$1003,$W57)))</f>
        <v/>
      </c>
      <c r="S57" s="56" t="str">
        <f aca="false">IF($W57="","",N(INDEX(发票统计!S$4:S$1003,$W57)))</f>
        <v/>
      </c>
      <c r="T57" s="56" t="str">
        <f aca="false">IF($W57="","",SUM(Q$4:Q57)-SUM(R$4:R57)-SUM(S$4:S57))</f>
        <v/>
      </c>
      <c r="U57" s="56" t="str">
        <f aca="false">IF($W57="","",INDEX(发票统计!U$4:U$1003,$W57)&amp;"")</f>
        <v/>
      </c>
      <c r="W57" s="1" t="str">
        <f aca="false">IF($V$3="","",IFERROR(MATCH($V$3&amp;"#"&amp;ROWS(W$4:W57),发票统计!$W$4:$W$1003,0),""))</f>
        <v/>
      </c>
    </row>
    <row r="58" customFormat="false" ht="16.5" hidden="false" customHeight="false" outlineLevel="0" collapsed="false">
      <c r="A58" s="3" t="str">
        <f aca="false">IF($W58="","",INDEX(发票统计!A$4:A$1003,$W58)&amp;"")</f>
        <v/>
      </c>
      <c r="B58" s="3" t="str">
        <f aca="false">IF($W58="","",INDEX(发票统计!B$4:B$1003,$W58)&amp;"")</f>
        <v/>
      </c>
      <c r="C58" s="3" t="str">
        <f aca="false">IF($W58="","",INDEX(发票统计!C$4:C$1003,$W58)&amp;"")</f>
        <v/>
      </c>
      <c r="D58" s="3" t="str">
        <f aca="false">IF($W58="","",INDEX(发票统计!D$4:D$1003,$W58)&amp;"")</f>
        <v/>
      </c>
      <c r="E58" s="67" t="str">
        <f aca="false">IF($W58="","",INDEX(发票统计!E$4:E$1003,$W58)&amp;"")</f>
        <v/>
      </c>
      <c r="F58" s="68" t="str">
        <f aca="false">IF($W58="","",INDEX(发票统计!F$4:F$1003,$W58)&amp;"")</f>
        <v/>
      </c>
      <c r="G58" s="68" t="str">
        <f aca="false">IF($W58="","",IF(INDEX(发票统计!G$4:G$1003,$W58)="","",INDEX(发票统计!G$4:G$1003,$W58)))</f>
        <v/>
      </c>
      <c r="H58" s="56" t="str">
        <f aca="false">IF($W58="","",N(INDEX(发票统计!H$4:H$1003,$W58)))</f>
        <v/>
      </c>
      <c r="I58" s="56" t="str">
        <f aca="false">IF($W58="","",N(INDEX(发票统计!I$4:I$1003,$W58)))</f>
        <v/>
      </c>
      <c r="J58" s="56" t="str">
        <f aca="false">IF($W58="","",N(INDEX(发票统计!J$4:J$1003,$W58)))</f>
        <v/>
      </c>
      <c r="K58" s="56" t="str">
        <f aca="false">IF($W58="","",N(INDEX(发票统计!K$4:K$1003,$W58)))</f>
        <v/>
      </c>
      <c r="L58" s="56" t="str">
        <f aca="false">IF($W58="","",SUM(J$4:J58)-SUM(K$4:K58))</f>
        <v/>
      </c>
      <c r="M58" s="56" t="str">
        <f aca="false">IF($W58="","",N(INDEX(发票统计!M$4:M$1003,$W58)))</f>
        <v/>
      </c>
      <c r="N58" s="56" t="str">
        <f aca="false">IF($W58="","",N(INDEX(发票统计!N$4:N$1003,$W58)))</f>
        <v/>
      </c>
      <c r="O58" s="56" t="str">
        <f aca="false">IF($W58="","",N(INDEX(发票统计!O$4:O$1003,$W58)))</f>
        <v/>
      </c>
      <c r="P58" s="56" t="str">
        <f aca="false">IF($W58="","",SUM(M$4:M58)-SUM(N$4:N58)-SUM(O$4:O58))</f>
        <v/>
      </c>
      <c r="Q58" s="56" t="str">
        <f aca="false">IF($W58="","",N(INDEX(发票统计!Q$4:Q$1003,$W58)))</f>
        <v/>
      </c>
      <c r="R58" s="56" t="str">
        <f aca="false">IF($W58="","",N(INDEX(发票统计!R$4:R$1003,$W58)))</f>
        <v/>
      </c>
      <c r="S58" s="56" t="str">
        <f aca="false">IF($W58="","",N(INDEX(发票统计!S$4:S$1003,$W58)))</f>
        <v/>
      </c>
      <c r="T58" s="56" t="str">
        <f aca="false">IF($W58="","",SUM(Q$4:Q58)-SUM(R$4:R58)-SUM(S$4:S58))</f>
        <v/>
      </c>
      <c r="U58" s="56" t="str">
        <f aca="false">IF($W58="","",INDEX(发票统计!U$4:U$1003,$W58)&amp;"")</f>
        <v/>
      </c>
      <c r="W58" s="1" t="str">
        <f aca="false">IF($V$3="","",IFERROR(MATCH($V$3&amp;"#"&amp;ROWS(W$4:W58),发票统计!$W$4:$W$1003,0),""))</f>
        <v/>
      </c>
    </row>
    <row r="59" customFormat="false" ht="16.5" hidden="false" customHeight="false" outlineLevel="0" collapsed="false">
      <c r="A59" s="3" t="str">
        <f aca="false">IF($W59="","",INDEX(发票统计!A$4:A$1003,$W59)&amp;"")</f>
        <v/>
      </c>
      <c r="B59" s="3" t="str">
        <f aca="false">IF($W59="","",INDEX(发票统计!B$4:B$1003,$W59)&amp;"")</f>
        <v/>
      </c>
      <c r="C59" s="3" t="str">
        <f aca="false">IF($W59="","",INDEX(发票统计!C$4:C$1003,$W59)&amp;"")</f>
        <v/>
      </c>
      <c r="D59" s="3" t="str">
        <f aca="false">IF($W59="","",INDEX(发票统计!D$4:D$1003,$W59)&amp;"")</f>
        <v/>
      </c>
      <c r="E59" s="67" t="str">
        <f aca="false">IF($W59="","",INDEX(发票统计!E$4:E$1003,$W59)&amp;"")</f>
        <v/>
      </c>
      <c r="F59" s="68" t="str">
        <f aca="false">IF($W59="","",INDEX(发票统计!F$4:F$1003,$W59)&amp;"")</f>
        <v/>
      </c>
      <c r="G59" s="68" t="str">
        <f aca="false">IF($W59="","",IF(INDEX(发票统计!G$4:G$1003,$W59)="","",INDEX(发票统计!G$4:G$1003,$W59)))</f>
        <v/>
      </c>
      <c r="H59" s="56" t="str">
        <f aca="false">IF($W59="","",N(INDEX(发票统计!H$4:H$1003,$W59)))</f>
        <v/>
      </c>
      <c r="I59" s="56" t="str">
        <f aca="false">IF($W59="","",N(INDEX(发票统计!I$4:I$1003,$W59)))</f>
        <v/>
      </c>
      <c r="J59" s="56" t="str">
        <f aca="false">IF($W59="","",N(INDEX(发票统计!J$4:J$1003,$W59)))</f>
        <v/>
      </c>
      <c r="K59" s="56" t="str">
        <f aca="false">IF($W59="","",N(INDEX(发票统计!K$4:K$1003,$W59)))</f>
        <v/>
      </c>
      <c r="L59" s="56" t="str">
        <f aca="false">IF($W59="","",SUM(J$4:J59)-SUM(K$4:K59))</f>
        <v/>
      </c>
      <c r="M59" s="56" t="str">
        <f aca="false">IF($W59="","",N(INDEX(发票统计!M$4:M$1003,$W59)))</f>
        <v/>
      </c>
      <c r="N59" s="56" t="str">
        <f aca="false">IF($W59="","",N(INDEX(发票统计!N$4:N$1003,$W59)))</f>
        <v/>
      </c>
      <c r="O59" s="56" t="str">
        <f aca="false">IF($W59="","",N(INDEX(发票统计!O$4:O$1003,$W59)))</f>
        <v/>
      </c>
      <c r="P59" s="56" t="str">
        <f aca="false">IF($W59="","",SUM(M$4:M59)-SUM(N$4:N59)-SUM(O$4:O59))</f>
        <v/>
      </c>
      <c r="Q59" s="56" t="str">
        <f aca="false">IF($W59="","",N(INDEX(发票统计!Q$4:Q$1003,$W59)))</f>
        <v/>
      </c>
      <c r="R59" s="56" t="str">
        <f aca="false">IF($W59="","",N(INDEX(发票统计!R$4:R$1003,$W59)))</f>
        <v/>
      </c>
      <c r="S59" s="56" t="str">
        <f aca="false">IF($W59="","",N(INDEX(发票统计!S$4:S$1003,$W59)))</f>
        <v/>
      </c>
      <c r="T59" s="56" t="str">
        <f aca="false">IF($W59="","",SUM(Q$4:Q59)-SUM(R$4:R59)-SUM(S$4:S59))</f>
        <v/>
      </c>
      <c r="U59" s="56" t="str">
        <f aca="false">IF($W59="","",INDEX(发票统计!U$4:U$1003,$W59)&amp;"")</f>
        <v/>
      </c>
      <c r="W59" s="1" t="str">
        <f aca="false">IF($V$3="","",IFERROR(MATCH($V$3&amp;"#"&amp;ROWS(W$4:W59),发票统计!$W$4:$W$1003,0),""))</f>
        <v/>
      </c>
    </row>
    <row r="60" customFormat="false" ht="16.5" hidden="false" customHeight="false" outlineLevel="0" collapsed="false">
      <c r="A60" s="3" t="str">
        <f aca="false">IF($W60="","",INDEX(发票统计!A$4:A$1003,$W60)&amp;"")</f>
        <v/>
      </c>
      <c r="B60" s="3" t="str">
        <f aca="false">IF($W60="","",INDEX(发票统计!B$4:B$1003,$W60)&amp;"")</f>
        <v/>
      </c>
      <c r="C60" s="3" t="str">
        <f aca="false">IF($W60="","",INDEX(发票统计!C$4:C$1003,$W60)&amp;"")</f>
        <v/>
      </c>
      <c r="D60" s="3" t="str">
        <f aca="false">IF($W60="","",INDEX(发票统计!D$4:D$1003,$W60)&amp;"")</f>
        <v/>
      </c>
      <c r="E60" s="67" t="str">
        <f aca="false">IF($W60="","",INDEX(发票统计!E$4:E$1003,$W60)&amp;"")</f>
        <v/>
      </c>
      <c r="F60" s="68" t="str">
        <f aca="false">IF($W60="","",INDEX(发票统计!F$4:F$1003,$W60)&amp;"")</f>
        <v/>
      </c>
      <c r="G60" s="68" t="str">
        <f aca="false">IF($W60="","",IF(INDEX(发票统计!G$4:G$1003,$W60)="","",INDEX(发票统计!G$4:G$1003,$W60)))</f>
        <v/>
      </c>
      <c r="H60" s="56" t="str">
        <f aca="false">IF($W60="","",N(INDEX(发票统计!H$4:H$1003,$W60)))</f>
        <v/>
      </c>
      <c r="I60" s="56" t="str">
        <f aca="false">IF($W60="","",N(INDEX(发票统计!I$4:I$1003,$W60)))</f>
        <v/>
      </c>
      <c r="J60" s="56" t="str">
        <f aca="false">IF($W60="","",N(INDEX(发票统计!J$4:J$1003,$W60)))</f>
        <v/>
      </c>
      <c r="K60" s="56" t="str">
        <f aca="false">IF($W60="","",N(INDEX(发票统计!K$4:K$1003,$W60)))</f>
        <v/>
      </c>
      <c r="L60" s="56" t="str">
        <f aca="false">IF($W60="","",SUM(J$4:J60)-SUM(K$4:K60))</f>
        <v/>
      </c>
      <c r="M60" s="56" t="str">
        <f aca="false">IF($W60="","",N(INDEX(发票统计!M$4:M$1003,$W60)))</f>
        <v/>
      </c>
      <c r="N60" s="56" t="str">
        <f aca="false">IF($W60="","",N(INDEX(发票统计!N$4:N$1003,$W60)))</f>
        <v/>
      </c>
      <c r="O60" s="56" t="str">
        <f aca="false">IF($W60="","",N(INDEX(发票统计!O$4:O$1003,$W60)))</f>
        <v/>
      </c>
      <c r="P60" s="56" t="str">
        <f aca="false">IF($W60="","",SUM(M$4:M60)-SUM(N$4:N60)-SUM(O$4:O60))</f>
        <v/>
      </c>
      <c r="Q60" s="56" t="str">
        <f aca="false">IF($W60="","",N(INDEX(发票统计!Q$4:Q$1003,$W60)))</f>
        <v/>
      </c>
      <c r="R60" s="56" t="str">
        <f aca="false">IF($W60="","",N(INDEX(发票统计!R$4:R$1003,$W60)))</f>
        <v/>
      </c>
      <c r="S60" s="56" t="str">
        <f aca="false">IF($W60="","",N(INDEX(发票统计!S$4:S$1003,$W60)))</f>
        <v/>
      </c>
      <c r="T60" s="56" t="str">
        <f aca="false">IF($W60="","",SUM(Q$4:Q60)-SUM(R$4:R60)-SUM(S$4:S60))</f>
        <v/>
      </c>
      <c r="U60" s="56" t="str">
        <f aca="false">IF($W60="","",INDEX(发票统计!U$4:U$1003,$W60)&amp;"")</f>
        <v/>
      </c>
      <c r="W60" s="1" t="str">
        <f aca="false">IF($V$3="","",IFERROR(MATCH($V$3&amp;"#"&amp;ROWS(W$4:W60),发票统计!$W$4:$W$1003,0),""))</f>
        <v/>
      </c>
    </row>
    <row r="61" customFormat="false" ht="16.5" hidden="false" customHeight="false" outlineLevel="0" collapsed="false">
      <c r="A61" s="3" t="str">
        <f aca="false">IF($W61="","",INDEX(发票统计!A$4:A$1003,$W61)&amp;"")</f>
        <v/>
      </c>
      <c r="B61" s="3" t="str">
        <f aca="false">IF($W61="","",INDEX(发票统计!B$4:B$1003,$W61)&amp;"")</f>
        <v/>
      </c>
      <c r="C61" s="3" t="str">
        <f aca="false">IF($W61="","",INDEX(发票统计!C$4:C$1003,$W61)&amp;"")</f>
        <v/>
      </c>
      <c r="D61" s="3" t="str">
        <f aca="false">IF($W61="","",INDEX(发票统计!D$4:D$1003,$W61)&amp;"")</f>
        <v/>
      </c>
      <c r="E61" s="67" t="str">
        <f aca="false">IF($W61="","",INDEX(发票统计!E$4:E$1003,$W61)&amp;"")</f>
        <v/>
      </c>
      <c r="F61" s="68" t="str">
        <f aca="false">IF($W61="","",INDEX(发票统计!F$4:F$1003,$W61)&amp;"")</f>
        <v/>
      </c>
      <c r="G61" s="68" t="str">
        <f aca="false">IF($W61="","",IF(INDEX(发票统计!G$4:G$1003,$W61)="","",INDEX(发票统计!G$4:G$1003,$W61)))</f>
        <v/>
      </c>
      <c r="H61" s="56" t="str">
        <f aca="false">IF($W61="","",N(INDEX(发票统计!H$4:H$1003,$W61)))</f>
        <v/>
      </c>
      <c r="I61" s="56" t="str">
        <f aca="false">IF($W61="","",N(INDEX(发票统计!I$4:I$1003,$W61)))</f>
        <v/>
      </c>
      <c r="J61" s="56" t="str">
        <f aca="false">IF($W61="","",N(INDEX(发票统计!J$4:J$1003,$W61)))</f>
        <v/>
      </c>
      <c r="K61" s="56" t="str">
        <f aca="false">IF($W61="","",N(INDEX(发票统计!K$4:K$1003,$W61)))</f>
        <v/>
      </c>
      <c r="L61" s="56" t="str">
        <f aca="false">IF($W61="","",SUM(J$4:J61)-SUM(K$4:K61))</f>
        <v/>
      </c>
      <c r="M61" s="56" t="str">
        <f aca="false">IF($W61="","",N(INDEX(发票统计!M$4:M$1003,$W61)))</f>
        <v/>
      </c>
      <c r="N61" s="56" t="str">
        <f aca="false">IF($W61="","",N(INDEX(发票统计!N$4:N$1003,$W61)))</f>
        <v/>
      </c>
      <c r="O61" s="56" t="str">
        <f aca="false">IF($W61="","",N(INDEX(发票统计!O$4:O$1003,$W61)))</f>
        <v/>
      </c>
      <c r="P61" s="56" t="str">
        <f aca="false">IF($W61="","",SUM(M$4:M61)-SUM(N$4:N61)-SUM(O$4:O61))</f>
        <v/>
      </c>
      <c r="Q61" s="56" t="str">
        <f aca="false">IF($W61="","",N(INDEX(发票统计!Q$4:Q$1003,$W61)))</f>
        <v/>
      </c>
      <c r="R61" s="56" t="str">
        <f aca="false">IF($W61="","",N(INDEX(发票统计!R$4:R$1003,$W61)))</f>
        <v/>
      </c>
      <c r="S61" s="56" t="str">
        <f aca="false">IF($W61="","",N(INDEX(发票统计!S$4:S$1003,$W61)))</f>
        <v/>
      </c>
      <c r="T61" s="56" t="str">
        <f aca="false">IF($W61="","",SUM(Q$4:Q61)-SUM(R$4:R61)-SUM(S$4:S61))</f>
        <v/>
      </c>
      <c r="U61" s="56" t="str">
        <f aca="false">IF($W61="","",INDEX(发票统计!U$4:U$1003,$W61)&amp;"")</f>
        <v/>
      </c>
      <c r="W61" s="1" t="str">
        <f aca="false">IF($V$3="","",IFERROR(MATCH($V$3&amp;"#"&amp;ROWS(W$4:W61),发票统计!$W$4:$W$1003,0),""))</f>
        <v/>
      </c>
    </row>
    <row r="62" customFormat="false" ht="16.5" hidden="false" customHeight="false" outlineLevel="0" collapsed="false">
      <c r="A62" s="3" t="str">
        <f aca="false">IF($W62="","",INDEX(发票统计!A$4:A$1003,$W62)&amp;"")</f>
        <v/>
      </c>
      <c r="B62" s="3" t="str">
        <f aca="false">IF($W62="","",INDEX(发票统计!B$4:B$1003,$W62)&amp;"")</f>
        <v/>
      </c>
      <c r="C62" s="3" t="str">
        <f aca="false">IF($W62="","",INDEX(发票统计!C$4:C$1003,$W62)&amp;"")</f>
        <v/>
      </c>
      <c r="D62" s="3" t="str">
        <f aca="false">IF($W62="","",INDEX(发票统计!D$4:D$1003,$W62)&amp;"")</f>
        <v/>
      </c>
      <c r="E62" s="67" t="str">
        <f aca="false">IF($W62="","",INDEX(发票统计!E$4:E$1003,$W62)&amp;"")</f>
        <v/>
      </c>
      <c r="F62" s="68" t="str">
        <f aca="false">IF($W62="","",INDEX(发票统计!F$4:F$1003,$W62)&amp;"")</f>
        <v/>
      </c>
      <c r="G62" s="68" t="str">
        <f aca="false">IF($W62="","",IF(INDEX(发票统计!G$4:G$1003,$W62)="","",INDEX(发票统计!G$4:G$1003,$W62)))</f>
        <v/>
      </c>
      <c r="H62" s="56" t="str">
        <f aca="false">IF($W62="","",N(INDEX(发票统计!H$4:H$1003,$W62)))</f>
        <v/>
      </c>
      <c r="I62" s="56" t="str">
        <f aca="false">IF($W62="","",N(INDEX(发票统计!I$4:I$1003,$W62)))</f>
        <v/>
      </c>
      <c r="J62" s="56" t="str">
        <f aca="false">IF($W62="","",N(INDEX(发票统计!J$4:J$1003,$W62)))</f>
        <v/>
      </c>
      <c r="K62" s="56" t="str">
        <f aca="false">IF($W62="","",N(INDEX(发票统计!K$4:K$1003,$W62)))</f>
        <v/>
      </c>
      <c r="L62" s="56" t="str">
        <f aca="false">IF($W62="","",SUM(J$4:J62)-SUM(K$4:K62))</f>
        <v/>
      </c>
      <c r="M62" s="56" t="str">
        <f aca="false">IF($W62="","",N(INDEX(发票统计!M$4:M$1003,$W62)))</f>
        <v/>
      </c>
      <c r="N62" s="56" t="str">
        <f aca="false">IF($W62="","",N(INDEX(发票统计!N$4:N$1003,$W62)))</f>
        <v/>
      </c>
      <c r="O62" s="56" t="str">
        <f aca="false">IF($W62="","",N(INDEX(发票统计!O$4:O$1003,$W62)))</f>
        <v/>
      </c>
      <c r="P62" s="56" t="str">
        <f aca="false">IF($W62="","",SUM(M$4:M62)-SUM(N$4:N62)-SUM(O$4:O62))</f>
        <v/>
      </c>
      <c r="Q62" s="56" t="str">
        <f aca="false">IF($W62="","",N(INDEX(发票统计!Q$4:Q$1003,$W62)))</f>
        <v/>
      </c>
      <c r="R62" s="56" t="str">
        <f aca="false">IF($W62="","",N(INDEX(发票统计!R$4:R$1003,$W62)))</f>
        <v/>
      </c>
      <c r="S62" s="56" t="str">
        <f aca="false">IF($W62="","",N(INDEX(发票统计!S$4:S$1003,$W62)))</f>
        <v/>
      </c>
      <c r="T62" s="56" t="str">
        <f aca="false">IF($W62="","",SUM(Q$4:Q62)-SUM(R$4:R62)-SUM(S$4:S62))</f>
        <v/>
      </c>
      <c r="U62" s="56" t="str">
        <f aca="false">IF($W62="","",INDEX(发票统计!U$4:U$1003,$W62)&amp;"")</f>
        <v/>
      </c>
      <c r="W62" s="1" t="str">
        <f aca="false">IF($V$3="","",IFERROR(MATCH($V$3&amp;"#"&amp;ROWS(W$4:W62),发票统计!$W$4:$W$1003,0),""))</f>
        <v/>
      </c>
    </row>
    <row r="63" customFormat="false" ht="16.5" hidden="false" customHeight="false" outlineLevel="0" collapsed="false">
      <c r="A63" s="3" t="str">
        <f aca="false">IF($W63="","",INDEX(发票统计!A$4:A$1003,$W63)&amp;"")</f>
        <v/>
      </c>
      <c r="B63" s="3" t="str">
        <f aca="false">IF($W63="","",INDEX(发票统计!B$4:B$1003,$W63)&amp;"")</f>
        <v/>
      </c>
      <c r="C63" s="3" t="str">
        <f aca="false">IF($W63="","",INDEX(发票统计!C$4:C$1003,$W63)&amp;"")</f>
        <v/>
      </c>
      <c r="D63" s="3" t="str">
        <f aca="false">IF($W63="","",INDEX(发票统计!D$4:D$1003,$W63)&amp;"")</f>
        <v/>
      </c>
      <c r="E63" s="67" t="str">
        <f aca="false">IF($W63="","",INDEX(发票统计!E$4:E$1003,$W63)&amp;"")</f>
        <v/>
      </c>
      <c r="F63" s="68" t="str">
        <f aca="false">IF($W63="","",INDEX(发票统计!F$4:F$1003,$W63)&amp;"")</f>
        <v/>
      </c>
      <c r="G63" s="68" t="str">
        <f aca="false">IF($W63="","",IF(INDEX(发票统计!G$4:G$1003,$W63)="","",INDEX(发票统计!G$4:G$1003,$W63)))</f>
        <v/>
      </c>
      <c r="H63" s="56" t="str">
        <f aca="false">IF($W63="","",N(INDEX(发票统计!H$4:H$1003,$W63)))</f>
        <v/>
      </c>
      <c r="I63" s="56" t="str">
        <f aca="false">IF($W63="","",N(INDEX(发票统计!I$4:I$1003,$W63)))</f>
        <v/>
      </c>
      <c r="J63" s="56" t="str">
        <f aca="false">IF($W63="","",N(INDEX(发票统计!J$4:J$1003,$W63)))</f>
        <v/>
      </c>
      <c r="K63" s="56" t="str">
        <f aca="false">IF($W63="","",N(INDEX(发票统计!K$4:K$1003,$W63)))</f>
        <v/>
      </c>
      <c r="L63" s="56" t="str">
        <f aca="false">IF($W63="","",SUM(J$4:J63)-SUM(K$4:K63))</f>
        <v/>
      </c>
      <c r="M63" s="56" t="str">
        <f aca="false">IF($W63="","",N(INDEX(发票统计!M$4:M$1003,$W63)))</f>
        <v/>
      </c>
      <c r="N63" s="56" t="str">
        <f aca="false">IF($W63="","",N(INDEX(发票统计!N$4:N$1003,$W63)))</f>
        <v/>
      </c>
      <c r="O63" s="56" t="str">
        <f aca="false">IF($W63="","",N(INDEX(发票统计!O$4:O$1003,$W63)))</f>
        <v/>
      </c>
      <c r="P63" s="56" t="str">
        <f aca="false">IF($W63="","",SUM(M$4:M63)-SUM(N$4:N63)-SUM(O$4:O63))</f>
        <v/>
      </c>
      <c r="Q63" s="56" t="str">
        <f aca="false">IF($W63="","",N(INDEX(发票统计!Q$4:Q$1003,$W63)))</f>
        <v/>
      </c>
      <c r="R63" s="56" t="str">
        <f aca="false">IF($W63="","",N(INDEX(发票统计!R$4:R$1003,$W63)))</f>
        <v/>
      </c>
      <c r="S63" s="56" t="str">
        <f aca="false">IF($W63="","",N(INDEX(发票统计!S$4:S$1003,$W63)))</f>
        <v/>
      </c>
      <c r="T63" s="56" t="str">
        <f aca="false">IF($W63="","",SUM(Q$4:Q63)-SUM(R$4:R63)-SUM(S$4:S63))</f>
        <v/>
      </c>
      <c r="U63" s="56" t="str">
        <f aca="false">IF($W63="","",INDEX(发票统计!U$4:U$1003,$W63)&amp;"")</f>
        <v/>
      </c>
      <c r="W63" s="1" t="str">
        <f aca="false">IF($V$3="","",IFERROR(MATCH($V$3&amp;"#"&amp;ROWS(W$4:W63),发票统计!$W$4:$W$1003,0),""))</f>
        <v/>
      </c>
    </row>
    <row r="64" customFormat="false" ht="16.5" hidden="false" customHeight="false" outlineLevel="0" collapsed="false">
      <c r="A64" s="3" t="str">
        <f aca="false">IF($W64="","",INDEX(发票统计!A$4:A$1003,$W64)&amp;"")</f>
        <v/>
      </c>
      <c r="B64" s="3" t="str">
        <f aca="false">IF($W64="","",INDEX(发票统计!B$4:B$1003,$W64)&amp;"")</f>
        <v/>
      </c>
      <c r="C64" s="3" t="str">
        <f aca="false">IF($W64="","",INDEX(发票统计!C$4:C$1003,$W64)&amp;"")</f>
        <v/>
      </c>
      <c r="D64" s="3" t="str">
        <f aca="false">IF($W64="","",INDEX(发票统计!D$4:D$1003,$W64)&amp;"")</f>
        <v/>
      </c>
      <c r="E64" s="67" t="str">
        <f aca="false">IF($W64="","",INDEX(发票统计!E$4:E$1003,$W64)&amp;"")</f>
        <v/>
      </c>
      <c r="F64" s="68" t="str">
        <f aca="false">IF($W64="","",INDEX(发票统计!F$4:F$1003,$W64)&amp;"")</f>
        <v/>
      </c>
      <c r="G64" s="68" t="str">
        <f aca="false">IF($W64="","",IF(INDEX(发票统计!G$4:G$1003,$W64)="","",INDEX(发票统计!G$4:G$1003,$W64)))</f>
        <v/>
      </c>
      <c r="H64" s="56" t="str">
        <f aca="false">IF($W64="","",N(INDEX(发票统计!H$4:H$1003,$W64)))</f>
        <v/>
      </c>
      <c r="I64" s="56" t="str">
        <f aca="false">IF($W64="","",N(INDEX(发票统计!I$4:I$1003,$W64)))</f>
        <v/>
      </c>
      <c r="J64" s="56" t="str">
        <f aca="false">IF($W64="","",N(INDEX(发票统计!J$4:J$1003,$W64)))</f>
        <v/>
      </c>
      <c r="K64" s="56" t="str">
        <f aca="false">IF($W64="","",N(INDEX(发票统计!K$4:K$1003,$W64)))</f>
        <v/>
      </c>
      <c r="L64" s="56" t="str">
        <f aca="false">IF($W64="","",SUM(J$4:J64)-SUM(K$4:K64))</f>
        <v/>
      </c>
      <c r="M64" s="56" t="str">
        <f aca="false">IF($W64="","",N(INDEX(发票统计!M$4:M$1003,$W64)))</f>
        <v/>
      </c>
      <c r="N64" s="56" t="str">
        <f aca="false">IF($W64="","",N(INDEX(发票统计!N$4:N$1003,$W64)))</f>
        <v/>
      </c>
      <c r="O64" s="56" t="str">
        <f aca="false">IF($W64="","",N(INDEX(发票统计!O$4:O$1003,$W64)))</f>
        <v/>
      </c>
      <c r="P64" s="56" t="str">
        <f aca="false">IF($W64="","",SUM(M$4:M64)-SUM(N$4:N64)-SUM(O$4:O64))</f>
        <v/>
      </c>
      <c r="Q64" s="56" t="str">
        <f aca="false">IF($W64="","",N(INDEX(发票统计!Q$4:Q$1003,$W64)))</f>
        <v/>
      </c>
      <c r="R64" s="56" t="str">
        <f aca="false">IF($W64="","",N(INDEX(发票统计!R$4:R$1003,$W64)))</f>
        <v/>
      </c>
      <c r="S64" s="56" t="str">
        <f aca="false">IF($W64="","",N(INDEX(发票统计!S$4:S$1003,$W64)))</f>
        <v/>
      </c>
      <c r="T64" s="56" t="str">
        <f aca="false">IF($W64="","",SUM(Q$4:Q64)-SUM(R$4:R64)-SUM(S$4:S64))</f>
        <v/>
      </c>
      <c r="U64" s="56" t="str">
        <f aca="false">IF($W64="","",INDEX(发票统计!U$4:U$1003,$W64)&amp;"")</f>
        <v/>
      </c>
      <c r="W64" s="1" t="str">
        <f aca="false">IF($V$3="","",IFERROR(MATCH($V$3&amp;"#"&amp;ROWS(W$4:W64),发票统计!$W$4:$W$1003,0),""))</f>
        <v/>
      </c>
    </row>
    <row r="65" customFormat="false" ht="16.5" hidden="false" customHeight="false" outlineLevel="0" collapsed="false">
      <c r="A65" s="3" t="str">
        <f aca="false">IF($W65="","",INDEX(发票统计!A$4:A$1003,$W65)&amp;"")</f>
        <v/>
      </c>
      <c r="B65" s="3" t="str">
        <f aca="false">IF($W65="","",INDEX(发票统计!B$4:B$1003,$W65)&amp;"")</f>
        <v/>
      </c>
      <c r="C65" s="3" t="str">
        <f aca="false">IF($W65="","",INDEX(发票统计!C$4:C$1003,$W65)&amp;"")</f>
        <v/>
      </c>
      <c r="D65" s="3" t="str">
        <f aca="false">IF($W65="","",INDEX(发票统计!D$4:D$1003,$W65)&amp;"")</f>
        <v/>
      </c>
      <c r="E65" s="67" t="str">
        <f aca="false">IF($W65="","",INDEX(发票统计!E$4:E$1003,$W65)&amp;"")</f>
        <v/>
      </c>
      <c r="F65" s="68" t="str">
        <f aca="false">IF($W65="","",INDEX(发票统计!F$4:F$1003,$W65)&amp;"")</f>
        <v/>
      </c>
      <c r="G65" s="68" t="str">
        <f aca="false">IF($W65="","",IF(INDEX(发票统计!G$4:G$1003,$W65)="","",INDEX(发票统计!G$4:G$1003,$W65)))</f>
        <v/>
      </c>
      <c r="H65" s="56" t="str">
        <f aca="false">IF($W65="","",N(INDEX(发票统计!H$4:H$1003,$W65)))</f>
        <v/>
      </c>
      <c r="I65" s="56" t="str">
        <f aca="false">IF($W65="","",N(INDEX(发票统计!I$4:I$1003,$W65)))</f>
        <v/>
      </c>
      <c r="J65" s="56" t="str">
        <f aca="false">IF($W65="","",N(INDEX(发票统计!J$4:J$1003,$W65)))</f>
        <v/>
      </c>
      <c r="K65" s="56" t="str">
        <f aca="false">IF($W65="","",N(INDEX(发票统计!K$4:K$1003,$W65)))</f>
        <v/>
      </c>
      <c r="L65" s="56" t="str">
        <f aca="false">IF($W65="","",SUM(J$4:J65)-SUM(K$4:K65))</f>
        <v/>
      </c>
      <c r="M65" s="56" t="str">
        <f aca="false">IF($W65="","",N(INDEX(发票统计!M$4:M$1003,$W65)))</f>
        <v/>
      </c>
      <c r="N65" s="56" t="str">
        <f aca="false">IF($W65="","",N(INDEX(发票统计!N$4:N$1003,$W65)))</f>
        <v/>
      </c>
      <c r="O65" s="56" t="str">
        <f aca="false">IF($W65="","",N(INDEX(发票统计!O$4:O$1003,$W65)))</f>
        <v/>
      </c>
      <c r="P65" s="56" t="str">
        <f aca="false">IF($W65="","",SUM(M$4:M65)-SUM(N$4:N65)-SUM(O$4:O65))</f>
        <v/>
      </c>
      <c r="Q65" s="56" t="str">
        <f aca="false">IF($W65="","",N(INDEX(发票统计!Q$4:Q$1003,$W65)))</f>
        <v/>
      </c>
      <c r="R65" s="56" t="str">
        <f aca="false">IF($W65="","",N(INDEX(发票统计!R$4:R$1003,$W65)))</f>
        <v/>
      </c>
      <c r="S65" s="56" t="str">
        <f aca="false">IF($W65="","",N(INDEX(发票统计!S$4:S$1003,$W65)))</f>
        <v/>
      </c>
      <c r="T65" s="56" t="str">
        <f aca="false">IF($W65="","",SUM(Q$4:Q65)-SUM(R$4:R65)-SUM(S$4:S65))</f>
        <v/>
      </c>
      <c r="U65" s="56" t="str">
        <f aca="false">IF($W65="","",INDEX(发票统计!U$4:U$1003,$W65)&amp;"")</f>
        <v/>
      </c>
      <c r="W65" s="1" t="str">
        <f aca="false">IF($V$3="","",IFERROR(MATCH($V$3&amp;"#"&amp;ROWS(W$4:W65),发票统计!$W$4:$W$1003,0),""))</f>
        <v/>
      </c>
    </row>
    <row r="66" customFormat="false" ht="16.5" hidden="false" customHeight="false" outlineLevel="0" collapsed="false">
      <c r="A66" s="3" t="str">
        <f aca="false">IF($W66="","",INDEX(发票统计!A$4:A$1003,$W66)&amp;"")</f>
        <v/>
      </c>
      <c r="B66" s="3" t="str">
        <f aca="false">IF($W66="","",INDEX(发票统计!B$4:B$1003,$W66)&amp;"")</f>
        <v/>
      </c>
      <c r="C66" s="3" t="str">
        <f aca="false">IF($W66="","",INDEX(发票统计!C$4:C$1003,$W66)&amp;"")</f>
        <v/>
      </c>
      <c r="D66" s="3" t="str">
        <f aca="false">IF($W66="","",INDEX(发票统计!D$4:D$1003,$W66)&amp;"")</f>
        <v/>
      </c>
      <c r="E66" s="67" t="str">
        <f aca="false">IF($W66="","",INDEX(发票统计!E$4:E$1003,$W66)&amp;"")</f>
        <v/>
      </c>
      <c r="F66" s="68" t="str">
        <f aca="false">IF($W66="","",INDEX(发票统计!F$4:F$1003,$W66)&amp;"")</f>
        <v/>
      </c>
      <c r="G66" s="68" t="str">
        <f aca="false">IF($W66="","",IF(INDEX(发票统计!G$4:G$1003,$W66)="","",INDEX(发票统计!G$4:G$1003,$W66)))</f>
        <v/>
      </c>
      <c r="H66" s="56" t="str">
        <f aca="false">IF($W66="","",N(INDEX(发票统计!H$4:H$1003,$W66)))</f>
        <v/>
      </c>
      <c r="I66" s="56" t="str">
        <f aca="false">IF($W66="","",N(INDEX(发票统计!I$4:I$1003,$W66)))</f>
        <v/>
      </c>
      <c r="J66" s="56" t="str">
        <f aca="false">IF($W66="","",N(INDEX(发票统计!J$4:J$1003,$W66)))</f>
        <v/>
      </c>
      <c r="K66" s="56" t="str">
        <f aca="false">IF($W66="","",N(INDEX(发票统计!K$4:K$1003,$W66)))</f>
        <v/>
      </c>
      <c r="L66" s="56" t="str">
        <f aca="false">IF($W66="","",SUM(J$4:J66)-SUM(K$4:K66))</f>
        <v/>
      </c>
      <c r="M66" s="56" t="str">
        <f aca="false">IF($W66="","",N(INDEX(发票统计!M$4:M$1003,$W66)))</f>
        <v/>
      </c>
      <c r="N66" s="56" t="str">
        <f aca="false">IF($W66="","",N(INDEX(发票统计!N$4:N$1003,$W66)))</f>
        <v/>
      </c>
      <c r="O66" s="56" t="str">
        <f aca="false">IF($W66="","",N(INDEX(发票统计!O$4:O$1003,$W66)))</f>
        <v/>
      </c>
      <c r="P66" s="56" t="str">
        <f aca="false">IF($W66="","",SUM(M$4:M66)-SUM(N$4:N66)-SUM(O$4:O66))</f>
        <v/>
      </c>
      <c r="Q66" s="56" t="str">
        <f aca="false">IF($W66="","",N(INDEX(发票统计!Q$4:Q$1003,$W66)))</f>
        <v/>
      </c>
      <c r="R66" s="56" t="str">
        <f aca="false">IF($W66="","",N(INDEX(发票统计!R$4:R$1003,$W66)))</f>
        <v/>
      </c>
      <c r="S66" s="56" t="str">
        <f aca="false">IF($W66="","",N(INDEX(发票统计!S$4:S$1003,$W66)))</f>
        <v/>
      </c>
      <c r="T66" s="56" t="str">
        <f aca="false">IF($W66="","",SUM(Q$4:Q66)-SUM(R$4:R66)-SUM(S$4:S66))</f>
        <v/>
      </c>
      <c r="U66" s="56" t="str">
        <f aca="false">IF($W66="","",INDEX(发票统计!U$4:U$1003,$W66)&amp;"")</f>
        <v/>
      </c>
      <c r="W66" s="1" t="str">
        <f aca="false">IF($V$3="","",IFERROR(MATCH($V$3&amp;"#"&amp;ROWS(W$4:W66),发票统计!$W$4:$W$1003,0),""))</f>
        <v/>
      </c>
    </row>
    <row r="67" customFormat="false" ht="16.5" hidden="false" customHeight="false" outlineLevel="0" collapsed="false">
      <c r="A67" s="3" t="str">
        <f aca="false">IF($W67="","",INDEX(发票统计!A$4:A$1003,$W67)&amp;"")</f>
        <v/>
      </c>
      <c r="B67" s="3" t="str">
        <f aca="false">IF($W67="","",INDEX(发票统计!B$4:B$1003,$W67)&amp;"")</f>
        <v/>
      </c>
      <c r="C67" s="3" t="str">
        <f aca="false">IF($W67="","",INDEX(发票统计!C$4:C$1003,$W67)&amp;"")</f>
        <v/>
      </c>
      <c r="D67" s="3" t="str">
        <f aca="false">IF($W67="","",INDEX(发票统计!D$4:D$1003,$W67)&amp;"")</f>
        <v/>
      </c>
      <c r="E67" s="67" t="str">
        <f aca="false">IF($W67="","",INDEX(发票统计!E$4:E$1003,$W67)&amp;"")</f>
        <v/>
      </c>
      <c r="F67" s="68" t="str">
        <f aca="false">IF($W67="","",INDEX(发票统计!F$4:F$1003,$W67)&amp;"")</f>
        <v/>
      </c>
      <c r="G67" s="68" t="str">
        <f aca="false">IF($W67="","",IF(INDEX(发票统计!G$4:G$1003,$W67)="","",INDEX(发票统计!G$4:G$1003,$W67)))</f>
        <v/>
      </c>
      <c r="H67" s="56" t="str">
        <f aca="false">IF($W67="","",N(INDEX(发票统计!H$4:H$1003,$W67)))</f>
        <v/>
      </c>
      <c r="I67" s="56" t="str">
        <f aca="false">IF($W67="","",N(INDEX(发票统计!I$4:I$1003,$W67)))</f>
        <v/>
      </c>
      <c r="J67" s="56" t="str">
        <f aca="false">IF($W67="","",N(INDEX(发票统计!J$4:J$1003,$W67)))</f>
        <v/>
      </c>
      <c r="K67" s="56" t="str">
        <f aca="false">IF($W67="","",N(INDEX(发票统计!K$4:K$1003,$W67)))</f>
        <v/>
      </c>
      <c r="L67" s="56" t="str">
        <f aca="false">IF($W67="","",SUM(J$4:J67)-SUM(K$4:K67))</f>
        <v/>
      </c>
      <c r="M67" s="56" t="str">
        <f aca="false">IF($W67="","",N(INDEX(发票统计!M$4:M$1003,$W67)))</f>
        <v/>
      </c>
      <c r="N67" s="56" t="str">
        <f aca="false">IF($W67="","",N(INDEX(发票统计!N$4:N$1003,$W67)))</f>
        <v/>
      </c>
      <c r="O67" s="56" t="str">
        <f aca="false">IF($W67="","",N(INDEX(发票统计!O$4:O$1003,$W67)))</f>
        <v/>
      </c>
      <c r="P67" s="56" t="str">
        <f aca="false">IF($W67="","",SUM(M$4:M67)-SUM(N$4:N67)-SUM(O$4:O67))</f>
        <v/>
      </c>
      <c r="Q67" s="56" t="str">
        <f aca="false">IF($W67="","",N(INDEX(发票统计!Q$4:Q$1003,$W67)))</f>
        <v/>
      </c>
      <c r="R67" s="56" t="str">
        <f aca="false">IF($W67="","",N(INDEX(发票统计!R$4:R$1003,$W67)))</f>
        <v/>
      </c>
      <c r="S67" s="56" t="str">
        <f aca="false">IF($W67="","",N(INDEX(发票统计!S$4:S$1003,$W67)))</f>
        <v/>
      </c>
      <c r="T67" s="56" t="str">
        <f aca="false">IF($W67="","",SUM(Q$4:Q67)-SUM(R$4:R67)-SUM(S$4:S67))</f>
        <v/>
      </c>
      <c r="U67" s="56" t="str">
        <f aca="false">IF($W67="","",INDEX(发票统计!U$4:U$1003,$W67)&amp;"")</f>
        <v/>
      </c>
      <c r="W67" s="1" t="str">
        <f aca="false">IF($V$3="","",IFERROR(MATCH($V$3&amp;"#"&amp;ROWS(W$4:W67),发票统计!$W$4:$W$1003,0),""))</f>
        <v/>
      </c>
    </row>
    <row r="68" customFormat="false" ht="16.5" hidden="false" customHeight="false" outlineLevel="0" collapsed="false">
      <c r="A68" s="3" t="str">
        <f aca="false">IF($W68="","",INDEX(发票统计!A$4:A$1003,$W68)&amp;"")</f>
        <v/>
      </c>
      <c r="B68" s="3" t="str">
        <f aca="false">IF($W68="","",INDEX(发票统计!B$4:B$1003,$W68)&amp;"")</f>
        <v/>
      </c>
      <c r="C68" s="3" t="str">
        <f aca="false">IF($W68="","",INDEX(发票统计!C$4:C$1003,$W68)&amp;"")</f>
        <v/>
      </c>
      <c r="D68" s="3" t="str">
        <f aca="false">IF($W68="","",INDEX(发票统计!D$4:D$1003,$W68)&amp;"")</f>
        <v/>
      </c>
      <c r="E68" s="67" t="str">
        <f aca="false">IF($W68="","",INDEX(发票统计!E$4:E$1003,$W68)&amp;"")</f>
        <v/>
      </c>
      <c r="F68" s="68" t="str">
        <f aca="false">IF($W68="","",INDEX(发票统计!F$4:F$1003,$W68)&amp;"")</f>
        <v/>
      </c>
      <c r="G68" s="68" t="str">
        <f aca="false">IF($W68="","",IF(INDEX(发票统计!G$4:G$1003,$W68)="","",INDEX(发票统计!G$4:G$1003,$W68)))</f>
        <v/>
      </c>
      <c r="H68" s="56" t="str">
        <f aca="false">IF($W68="","",N(INDEX(发票统计!H$4:H$1003,$W68)))</f>
        <v/>
      </c>
      <c r="I68" s="56" t="str">
        <f aca="false">IF($W68="","",N(INDEX(发票统计!I$4:I$1003,$W68)))</f>
        <v/>
      </c>
      <c r="J68" s="56" t="str">
        <f aca="false">IF($W68="","",N(INDEX(发票统计!J$4:J$1003,$W68)))</f>
        <v/>
      </c>
      <c r="K68" s="56" t="str">
        <f aca="false">IF($W68="","",N(INDEX(发票统计!K$4:K$1003,$W68)))</f>
        <v/>
      </c>
      <c r="L68" s="56" t="str">
        <f aca="false">IF($W68="","",SUM(J$4:J68)-SUM(K$4:K68))</f>
        <v/>
      </c>
      <c r="M68" s="56" t="str">
        <f aca="false">IF($W68="","",N(INDEX(发票统计!M$4:M$1003,$W68)))</f>
        <v/>
      </c>
      <c r="N68" s="56" t="str">
        <f aca="false">IF($W68="","",N(INDEX(发票统计!N$4:N$1003,$W68)))</f>
        <v/>
      </c>
      <c r="O68" s="56" t="str">
        <f aca="false">IF($W68="","",N(INDEX(发票统计!O$4:O$1003,$W68)))</f>
        <v/>
      </c>
      <c r="P68" s="56" t="str">
        <f aca="false">IF($W68="","",SUM(M$4:M68)-SUM(N$4:N68)-SUM(O$4:O68))</f>
        <v/>
      </c>
      <c r="Q68" s="56" t="str">
        <f aca="false">IF($W68="","",N(INDEX(发票统计!Q$4:Q$1003,$W68)))</f>
        <v/>
      </c>
      <c r="R68" s="56" t="str">
        <f aca="false">IF($W68="","",N(INDEX(发票统计!R$4:R$1003,$W68)))</f>
        <v/>
      </c>
      <c r="S68" s="56" t="str">
        <f aca="false">IF($W68="","",N(INDEX(发票统计!S$4:S$1003,$W68)))</f>
        <v/>
      </c>
      <c r="T68" s="56" t="str">
        <f aca="false">IF($W68="","",SUM(Q$4:Q68)-SUM(R$4:R68)-SUM(S$4:S68))</f>
        <v/>
      </c>
      <c r="U68" s="56" t="str">
        <f aca="false">IF($W68="","",INDEX(发票统计!U$4:U$1003,$W68)&amp;"")</f>
        <v/>
      </c>
      <c r="W68" s="1" t="str">
        <f aca="false">IF($V$3="","",IFERROR(MATCH($V$3&amp;"#"&amp;ROWS(W$4:W68),发票统计!$W$4:$W$1003,0),""))</f>
        <v/>
      </c>
    </row>
    <row r="69" customFormat="false" ht="16.5" hidden="false" customHeight="false" outlineLevel="0" collapsed="false">
      <c r="A69" s="3" t="str">
        <f aca="false">IF($W69="","",INDEX(发票统计!A$4:A$1003,$W69)&amp;"")</f>
        <v/>
      </c>
      <c r="B69" s="3" t="str">
        <f aca="false">IF($W69="","",INDEX(发票统计!B$4:B$1003,$W69)&amp;"")</f>
        <v/>
      </c>
      <c r="C69" s="3" t="str">
        <f aca="false">IF($W69="","",INDEX(发票统计!C$4:C$1003,$W69)&amp;"")</f>
        <v/>
      </c>
      <c r="D69" s="3" t="str">
        <f aca="false">IF($W69="","",INDEX(发票统计!D$4:D$1003,$W69)&amp;"")</f>
        <v/>
      </c>
      <c r="E69" s="67" t="str">
        <f aca="false">IF($W69="","",INDEX(发票统计!E$4:E$1003,$W69)&amp;"")</f>
        <v/>
      </c>
      <c r="F69" s="68" t="str">
        <f aca="false">IF($W69="","",INDEX(发票统计!F$4:F$1003,$W69)&amp;"")</f>
        <v/>
      </c>
      <c r="G69" s="68" t="str">
        <f aca="false">IF($W69="","",IF(INDEX(发票统计!G$4:G$1003,$W69)="","",INDEX(发票统计!G$4:G$1003,$W69)))</f>
        <v/>
      </c>
      <c r="H69" s="56" t="str">
        <f aca="false">IF($W69="","",N(INDEX(发票统计!H$4:H$1003,$W69)))</f>
        <v/>
      </c>
      <c r="I69" s="56" t="str">
        <f aca="false">IF($W69="","",N(INDEX(发票统计!I$4:I$1003,$W69)))</f>
        <v/>
      </c>
      <c r="J69" s="56" t="str">
        <f aca="false">IF($W69="","",N(INDEX(发票统计!J$4:J$1003,$W69)))</f>
        <v/>
      </c>
      <c r="K69" s="56" t="str">
        <f aca="false">IF($W69="","",N(INDEX(发票统计!K$4:K$1003,$W69)))</f>
        <v/>
      </c>
      <c r="L69" s="56" t="str">
        <f aca="false">IF($W69="","",SUM(J$4:J69)-SUM(K$4:K69))</f>
        <v/>
      </c>
      <c r="M69" s="56" t="str">
        <f aca="false">IF($W69="","",N(INDEX(发票统计!M$4:M$1003,$W69)))</f>
        <v/>
      </c>
      <c r="N69" s="56" t="str">
        <f aca="false">IF($W69="","",N(INDEX(发票统计!N$4:N$1003,$W69)))</f>
        <v/>
      </c>
      <c r="O69" s="56" t="str">
        <f aca="false">IF($W69="","",N(INDEX(发票统计!O$4:O$1003,$W69)))</f>
        <v/>
      </c>
      <c r="P69" s="56" t="str">
        <f aca="false">IF($W69="","",SUM(M$4:M69)-SUM(N$4:N69)-SUM(O$4:O69))</f>
        <v/>
      </c>
      <c r="Q69" s="56" t="str">
        <f aca="false">IF($W69="","",N(INDEX(发票统计!Q$4:Q$1003,$W69)))</f>
        <v/>
      </c>
      <c r="R69" s="56" t="str">
        <f aca="false">IF($W69="","",N(INDEX(发票统计!R$4:R$1003,$W69)))</f>
        <v/>
      </c>
      <c r="S69" s="56" t="str">
        <f aca="false">IF($W69="","",N(INDEX(发票统计!S$4:S$1003,$W69)))</f>
        <v/>
      </c>
      <c r="T69" s="56" t="str">
        <f aca="false">IF($W69="","",SUM(Q$4:Q69)-SUM(R$4:R69)-SUM(S$4:S69))</f>
        <v/>
      </c>
      <c r="U69" s="56" t="str">
        <f aca="false">IF($W69="","",INDEX(发票统计!U$4:U$1003,$W69)&amp;"")</f>
        <v/>
      </c>
      <c r="W69" s="1" t="str">
        <f aca="false">IF($V$3="","",IFERROR(MATCH($V$3&amp;"#"&amp;ROWS(W$4:W69),发票统计!$W$4:$W$1003,0),""))</f>
        <v/>
      </c>
    </row>
    <row r="70" customFormat="false" ht="16.5" hidden="false" customHeight="false" outlineLevel="0" collapsed="false">
      <c r="A70" s="3" t="str">
        <f aca="false">IF($W70="","",INDEX(发票统计!A$4:A$1003,$W70)&amp;"")</f>
        <v/>
      </c>
      <c r="B70" s="3" t="str">
        <f aca="false">IF($W70="","",INDEX(发票统计!B$4:B$1003,$W70)&amp;"")</f>
        <v/>
      </c>
      <c r="C70" s="3" t="str">
        <f aca="false">IF($W70="","",INDEX(发票统计!C$4:C$1003,$W70)&amp;"")</f>
        <v/>
      </c>
      <c r="D70" s="3" t="str">
        <f aca="false">IF($W70="","",INDEX(发票统计!D$4:D$1003,$W70)&amp;"")</f>
        <v/>
      </c>
      <c r="E70" s="67" t="str">
        <f aca="false">IF($W70="","",INDEX(发票统计!E$4:E$1003,$W70)&amp;"")</f>
        <v/>
      </c>
      <c r="F70" s="68" t="str">
        <f aca="false">IF($W70="","",INDEX(发票统计!F$4:F$1003,$W70)&amp;"")</f>
        <v/>
      </c>
      <c r="G70" s="68" t="str">
        <f aca="false">IF($W70="","",IF(INDEX(发票统计!G$4:G$1003,$W70)="","",INDEX(发票统计!G$4:G$1003,$W70)))</f>
        <v/>
      </c>
      <c r="H70" s="56" t="str">
        <f aca="false">IF($W70="","",N(INDEX(发票统计!H$4:H$1003,$W70)))</f>
        <v/>
      </c>
      <c r="I70" s="56" t="str">
        <f aca="false">IF($W70="","",N(INDEX(发票统计!I$4:I$1003,$W70)))</f>
        <v/>
      </c>
      <c r="J70" s="56" t="str">
        <f aca="false">IF($W70="","",N(INDEX(发票统计!J$4:J$1003,$W70)))</f>
        <v/>
      </c>
      <c r="K70" s="56" t="str">
        <f aca="false">IF($W70="","",N(INDEX(发票统计!K$4:K$1003,$W70)))</f>
        <v/>
      </c>
      <c r="L70" s="56" t="str">
        <f aca="false">IF($W70="","",SUM(J$4:J70)-SUM(K$4:K70))</f>
        <v/>
      </c>
      <c r="M70" s="56" t="str">
        <f aca="false">IF($W70="","",N(INDEX(发票统计!M$4:M$1003,$W70)))</f>
        <v/>
      </c>
      <c r="N70" s="56" t="str">
        <f aca="false">IF($W70="","",N(INDEX(发票统计!N$4:N$1003,$W70)))</f>
        <v/>
      </c>
      <c r="O70" s="56" t="str">
        <f aca="false">IF($W70="","",N(INDEX(发票统计!O$4:O$1003,$W70)))</f>
        <v/>
      </c>
      <c r="P70" s="56" t="str">
        <f aca="false">IF($W70="","",SUM(M$4:M70)-SUM(N$4:N70)-SUM(O$4:O70))</f>
        <v/>
      </c>
      <c r="Q70" s="56" t="str">
        <f aca="false">IF($W70="","",N(INDEX(发票统计!Q$4:Q$1003,$W70)))</f>
        <v/>
      </c>
      <c r="R70" s="56" t="str">
        <f aca="false">IF($W70="","",N(INDEX(发票统计!R$4:R$1003,$W70)))</f>
        <v/>
      </c>
      <c r="S70" s="56" t="str">
        <f aca="false">IF($W70="","",N(INDEX(发票统计!S$4:S$1003,$W70)))</f>
        <v/>
      </c>
      <c r="T70" s="56" t="str">
        <f aca="false">IF($W70="","",SUM(Q$4:Q70)-SUM(R$4:R70)-SUM(S$4:S70))</f>
        <v/>
      </c>
      <c r="U70" s="56" t="str">
        <f aca="false">IF($W70="","",INDEX(发票统计!U$4:U$1003,$W70)&amp;"")</f>
        <v/>
      </c>
      <c r="W70" s="1" t="str">
        <f aca="false">IF($V$3="","",IFERROR(MATCH($V$3&amp;"#"&amp;ROWS(W$4:W70),发票统计!$W$4:$W$1003,0),""))</f>
        <v/>
      </c>
    </row>
    <row r="71" customFormat="false" ht="16.5" hidden="false" customHeight="false" outlineLevel="0" collapsed="false">
      <c r="A71" s="3" t="str">
        <f aca="false">IF($W71="","",INDEX(发票统计!A$4:A$1003,$W71)&amp;"")</f>
        <v/>
      </c>
      <c r="B71" s="3" t="str">
        <f aca="false">IF($W71="","",INDEX(发票统计!B$4:B$1003,$W71)&amp;"")</f>
        <v/>
      </c>
      <c r="C71" s="3" t="str">
        <f aca="false">IF($W71="","",INDEX(发票统计!C$4:C$1003,$W71)&amp;"")</f>
        <v/>
      </c>
      <c r="D71" s="3" t="str">
        <f aca="false">IF($W71="","",INDEX(发票统计!D$4:D$1003,$W71)&amp;"")</f>
        <v/>
      </c>
      <c r="E71" s="67" t="str">
        <f aca="false">IF($W71="","",INDEX(发票统计!E$4:E$1003,$W71)&amp;"")</f>
        <v/>
      </c>
      <c r="F71" s="68" t="str">
        <f aca="false">IF($W71="","",INDEX(发票统计!F$4:F$1003,$W71)&amp;"")</f>
        <v/>
      </c>
      <c r="G71" s="68" t="str">
        <f aca="false">IF($W71="","",IF(INDEX(发票统计!G$4:G$1003,$W71)="","",INDEX(发票统计!G$4:G$1003,$W71)))</f>
        <v/>
      </c>
      <c r="H71" s="56" t="str">
        <f aca="false">IF($W71="","",N(INDEX(发票统计!H$4:H$1003,$W71)))</f>
        <v/>
      </c>
      <c r="I71" s="56" t="str">
        <f aca="false">IF($W71="","",N(INDEX(发票统计!I$4:I$1003,$W71)))</f>
        <v/>
      </c>
      <c r="J71" s="56" t="str">
        <f aca="false">IF($W71="","",N(INDEX(发票统计!J$4:J$1003,$W71)))</f>
        <v/>
      </c>
      <c r="K71" s="56" t="str">
        <f aca="false">IF($W71="","",N(INDEX(发票统计!K$4:K$1003,$W71)))</f>
        <v/>
      </c>
      <c r="L71" s="56" t="str">
        <f aca="false">IF($W71="","",SUM(J$4:J71)-SUM(K$4:K71))</f>
        <v/>
      </c>
      <c r="M71" s="56" t="str">
        <f aca="false">IF($W71="","",N(INDEX(发票统计!M$4:M$1003,$W71)))</f>
        <v/>
      </c>
      <c r="N71" s="56" t="str">
        <f aca="false">IF($W71="","",N(INDEX(发票统计!N$4:N$1003,$W71)))</f>
        <v/>
      </c>
      <c r="O71" s="56" t="str">
        <f aca="false">IF($W71="","",N(INDEX(发票统计!O$4:O$1003,$W71)))</f>
        <v/>
      </c>
      <c r="P71" s="56" t="str">
        <f aca="false">IF($W71="","",SUM(M$4:M71)-SUM(N$4:N71)-SUM(O$4:O71))</f>
        <v/>
      </c>
      <c r="Q71" s="56" t="str">
        <f aca="false">IF($W71="","",N(INDEX(发票统计!Q$4:Q$1003,$W71)))</f>
        <v/>
      </c>
      <c r="R71" s="56" t="str">
        <f aca="false">IF($W71="","",N(INDEX(发票统计!R$4:R$1003,$W71)))</f>
        <v/>
      </c>
      <c r="S71" s="56" t="str">
        <f aca="false">IF($W71="","",N(INDEX(发票统计!S$4:S$1003,$W71)))</f>
        <v/>
      </c>
      <c r="T71" s="56" t="str">
        <f aca="false">IF($W71="","",SUM(Q$4:Q71)-SUM(R$4:R71)-SUM(S$4:S71))</f>
        <v/>
      </c>
      <c r="U71" s="56" t="str">
        <f aca="false">IF($W71="","",INDEX(发票统计!U$4:U$1003,$W71)&amp;"")</f>
        <v/>
      </c>
      <c r="W71" s="1" t="str">
        <f aca="false">IF($V$3="","",IFERROR(MATCH($V$3&amp;"#"&amp;ROWS(W$4:W71),发票统计!$W$4:$W$1003,0),""))</f>
        <v/>
      </c>
    </row>
    <row r="72" customFormat="false" ht="16.5" hidden="false" customHeight="false" outlineLevel="0" collapsed="false">
      <c r="A72" s="3" t="str">
        <f aca="false">IF($W72="","",INDEX(发票统计!A$4:A$1003,$W72)&amp;"")</f>
        <v/>
      </c>
      <c r="B72" s="3" t="str">
        <f aca="false">IF($W72="","",INDEX(发票统计!B$4:B$1003,$W72)&amp;"")</f>
        <v/>
      </c>
      <c r="C72" s="3" t="str">
        <f aca="false">IF($W72="","",INDEX(发票统计!C$4:C$1003,$W72)&amp;"")</f>
        <v/>
      </c>
      <c r="D72" s="3" t="str">
        <f aca="false">IF($W72="","",INDEX(发票统计!D$4:D$1003,$W72)&amp;"")</f>
        <v/>
      </c>
      <c r="E72" s="67" t="str">
        <f aca="false">IF($W72="","",INDEX(发票统计!E$4:E$1003,$W72)&amp;"")</f>
        <v/>
      </c>
      <c r="F72" s="68" t="str">
        <f aca="false">IF($W72="","",INDEX(发票统计!F$4:F$1003,$W72)&amp;"")</f>
        <v/>
      </c>
      <c r="G72" s="68" t="str">
        <f aca="false">IF($W72="","",IF(INDEX(发票统计!G$4:G$1003,$W72)="","",INDEX(发票统计!G$4:G$1003,$W72)))</f>
        <v/>
      </c>
      <c r="H72" s="56" t="str">
        <f aca="false">IF($W72="","",N(INDEX(发票统计!H$4:H$1003,$W72)))</f>
        <v/>
      </c>
      <c r="I72" s="56" t="str">
        <f aca="false">IF($W72="","",N(INDEX(发票统计!I$4:I$1003,$W72)))</f>
        <v/>
      </c>
      <c r="J72" s="56" t="str">
        <f aca="false">IF($W72="","",N(INDEX(发票统计!J$4:J$1003,$W72)))</f>
        <v/>
      </c>
      <c r="K72" s="56" t="str">
        <f aca="false">IF($W72="","",N(INDEX(发票统计!K$4:K$1003,$W72)))</f>
        <v/>
      </c>
      <c r="L72" s="56" t="str">
        <f aca="false">IF($W72="","",SUM(J$4:J72)-SUM(K$4:K72))</f>
        <v/>
      </c>
      <c r="M72" s="56" t="str">
        <f aca="false">IF($W72="","",N(INDEX(发票统计!M$4:M$1003,$W72)))</f>
        <v/>
      </c>
      <c r="N72" s="56" t="str">
        <f aca="false">IF($W72="","",N(INDEX(发票统计!N$4:N$1003,$W72)))</f>
        <v/>
      </c>
      <c r="O72" s="56" t="str">
        <f aca="false">IF($W72="","",N(INDEX(发票统计!O$4:O$1003,$W72)))</f>
        <v/>
      </c>
      <c r="P72" s="56" t="str">
        <f aca="false">IF($W72="","",SUM(M$4:M72)-SUM(N$4:N72)-SUM(O$4:O72))</f>
        <v/>
      </c>
      <c r="Q72" s="56" t="str">
        <f aca="false">IF($W72="","",N(INDEX(发票统计!Q$4:Q$1003,$W72)))</f>
        <v/>
      </c>
      <c r="R72" s="56" t="str">
        <f aca="false">IF($W72="","",N(INDEX(发票统计!R$4:R$1003,$W72)))</f>
        <v/>
      </c>
      <c r="S72" s="56" t="str">
        <f aca="false">IF($W72="","",N(INDEX(发票统计!S$4:S$1003,$W72)))</f>
        <v/>
      </c>
      <c r="T72" s="56" t="str">
        <f aca="false">IF($W72="","",SUM(Q$4:Q72)-SUM(R$4:R72)-SUM(S$4:S72))</f>
        <v/>
      </c>
      <c r="U72" s="56" t="str">
        <f aca="false">IF($W72="","",INDEX(发票统计!U$4:U$1003,$W72)&amp;"")</f>
        <v/>
      </c>
      <c r="W72" s="1" t="str">
        <f aca="false">IF($V$3="","",IFERROR(MATCH($V$3&amp;"#"&amp;ROWS(W$4:W72),发票统计!$W$4:$W$1003,0),""))</f>
        <v/>
      </c>
    </row>
    <row r="73" customFormat="false" ht="16.5" hidden="false" customHeight="false" outlineLevel="0" collapsed="false">
      <c r="A73" s="3" t="str">
        <f aca="false">IF($W73="","",INDEX(发票统计!A$4:A$1003,$W73)&amp;"")</f>
        <v/>
      </c>
      <c r="B73" s="3" t="str">
        <f aca="false">IF($W73="","",INDEX(发票统计!B$4:B$1003,$W73)&amp;"")</f>
        <v/>
      </c>
      <c r="C73" s="3" t="str">
        <f aca="false">IF($W73="","",INDEX(发票统计!C$4:C$1003,$W73)&amp;"")</f>
        <v/>
      </c>
      <c r="D73" s="3" t="str">
        <f aca="false">IF($W73="","",INDEX(发票统计!D$4:D$1003,$W73)&amp;"")</f>
        <v/>
      </c>
      <c r="E73" s="67" t="str">
        <f aca="false">IF($W73="","",INDEX(发票统计!E$4:E$1003,$W73)&amp;"")</f>
        <v/>
      </c>
      <c r="F73" s="68" t="str">
        <f aca="false">IF($W73="","",INDEX(发票统计!F$4:F$1003,$W73)&amp;"")</f>
        <v/>
      </c>
      <c r="G73" s="68" t="str">
        <f aca="false">IF($W73="","",IF(INDEX(发票统计!G$4:G$1003,$W73)="","",INDEX(发票统计!G$4:G$1003,$W73)))</f>
        <v/>
      </c>
      <c r="H73" s="56" t="str">
        <f aca="false">IF($W73="","",N(INDEX(发票统计!H$4:H$1003,$W73)))</f>
        <v/>
      </c>
      <c r="I73" s="56" t="str">
        <f aca="false">IF($W73="","",N(INDEX(发票统计!I$4:I$1003,$W73)))</f>
        <v/>
      </c>
      <c r="J73" s="56" t="str">
        <f aca="false">IF($W73="","",N(INDEX(发票统计!J$4:J$1003,$W73)))</f>
        <v/>
      </c>
      <c r="K73" s="56" t="str">
        <f aca="false">IF($W73="","",N(INDEX(发票统计!K$4:K$1003,$W73)))</f>
        <v/>
      </c>
      <c r="L73" s="56" t="str">
        <f aca="false">IF($W73="","",SUM(J$4:J73)-SUM(K$4:K73))</f>
        <v/>
      </c>
      <c r="M73" s="56" t="str">
        <f aca="false">IF($W73="","",N(INDEX(发票统计!M$4:M$1003,$W73)))</f>
        <v/>
      </c>
      <c r="N73" s="56" t="str">
        <f aca="false">IF($W73="","",N(INDEX(发票统计!N$4:N$1003,$W73)))</f>
        <v/>
      </c>
      <c r="O73" s="56" t="str">
        <f aca="false">IF($W73="","",N(INDEX(发票统计!O$4:O$1003,$W73)))</f>
        <v/>
      </c>
      <c r="P73" s="56" t="str">
        <f aca="false">IF($W73="","",SUM(M$4:M73)-SUM(N$4:N73)-SUM(O$4:O73))</f>
        <v/>
      </c>
      <c r="Q73" s="56" t="str">
        <f aca="false">IF($W73="","",N(INDEX(发票统计!Q$4:Q$1003,$W73)))</f>
        <v/>
      </c>
      <c r="R73" s="56" t="str">
        <f aca="false">IF($W73="","",N(INDEX(发票统计!R$4:R$1003,$W73)))</f>
        <v/>
      </c>
      <c r="S73" s="56" t="str">
        <f aca="false">IF($W73="","",N(INDEX(发票统计!S$4:S$1003,$W73)))</f>
        <v/>
      </c>
      <c r="T73" s="56" t="str">
        <f aca="false">IF($W73="","",SUM(Q$4:Q73)-SUM(R$4:R73)-SUM(S$4:S73))</f>
        <v/>
      </c>
      <c r="U73" s="56" t="str">
        <f aca="false">IF($W73="","",INDEX(发票统计!U$4:U$1003,$W73)&amp;"")</f>
        <v/>
      </c>
      <c r="W73" s="1" t="str">
        <f aca="false">IF($V$3="","",IFERROR(MATCH($V$3&amp;"#"&amp;ROWS(W$4:W73),发票统计!$W$4:$W$1003,0),""))</f>
        <v/>
      </c>
    </row>
    <row r="74" customFormat="false" ht="16.5" hidden="false" customHeight="false" outlineLevel="0" collapsed="false">
      <c r="A74" s="3" t="str">
        <f aca="false">IF($W74="","",INDEX(发票统计!A$4:A$1003,$W74)&amp;"")</f>
        <v/>
      </c>
      <c r="B74" s="3" t="str">
        <f aca="false">IF($W74="","",INDEX(发票统计!B$4:B$1003,$W74)&amp;"")</f>
        <v/>
      </c>
      <c r="C74" s="3" t="str">
        <f aca="false">IF($W74="","",INDEX(发票统计!C$4:C$1003,$W74)&amp;"")</f>
        <v/>
      </c>
      <c r="D74" s="3" t="str">
        <f aca="false">IF($W74="","",INDEX(发票统计!D$4:D$1003,$W74)&amp;"")</f>
        <v/>
      </c>
      <c r="E74" s="67" t="str">
        <f aca="false">IF($W74="","",INDEX(发票统计!E$4:E$1003,$W74)&amp;"")</f>
        <v/>
      </c>
      <c r="F74" s="68" t="str">
        <f aca="false">IF($W74="","",INDEX(发票统计!F$4:F$1003,$W74)&amp;"")</f>
        <v/>
      </c>
      <c r="G74" s="68" t="str">
        <f aca="false">IF($W74="","",IF(INDEX(发票统计!G$4:G$1003,$W74)="","",INDEX(发票统计!G$4:G$1003,$W74)))</f>
        <v/>
      </c>
      <c r="H74" s="56" t="str">
        <f aca="false">IF($W74="","",N(INDEX(发票统计!H$4:H$1003,$W74)))</f>
        <v/>
      </c>
      <c r="I74" s="56" t="str">
        <f aca="false">IF($W74="","",N(INDEX(发票统计!I$4:I$1003,$W74)))</f>
        <v/>
      </c>
      <c r="J74" s="56" t="str">
        <f aca="false">IF($W74="","",N(INDEX(发票统计!J$4:J$1003,$W74)))</f>
        <v/>
      </c>
      <c r="K74" s="56" t="str">
        <f aca="false">IF($W74="","",N(INDEX(发票统计!K$4:K$1003,$W74)))</f>
        <v/>
      </c>
      <c r="L74" s="56" t="str">
        <f aca="false">IF($W74="","",SUM(J$4:J74)-SUM(K$4:K74))</f>
        <v/>
      </c>
      <c r="M74" s="56" t="str">
        <f aca="false">IF($W74="","",N(INDEX(发票统计!M$4:M$1003,$W74)))</f>
        <v/>
      </c>
      <c r="N74" s="56" t="str">
        <f aca="false">IF($W74="","",N(INDEX(发票统计!N$4:N$1003,$W74)))</f>
        <v/>
      </c>
      <c r="O74" s="56" t="str">
        <f aca="false">IF($W74="","",N(INDEX(发票统计!O$4:O$1003,$W74)))</f>
        <v/>
      </c>
      <c r="P74" s="56" t="str">
        <f aca="false">IF($W74="","",SUM(M$4:M74)-SUM(N$4:N74)-SUM(O$4:O74))</f>
        <v/>
      </c>
      <c r="Q74" s="56" t="str">
        <f aca="false">IF($W74="","",N(INDEX(发票统计!Q$4:Q$1003,$W74)))</f>
        <v/>
      </c>
      <c r="R74" s="56" t="str">
        <f aca="false">IF($W74="","",N(INDEX(发票统计!R$4:R$1003,$W74)))</f>
        <v/>
      </c>
      <c r="S74" s="56" t="str">
        <f aca="false">IF($W74="","",N(INDEX(发票统计!S$4:S$1003,$W74)))</f>
        <v/>
      </c>
      <c r="T74" s="56" t="str">
        <f aca="false">IF($W74="","",SUM(Q$4:Q74)-SUM(R$4:R74)-SUM(S$4:S74))</f>
        <v/>
      </c>
      <c r="U74" s="56" t="str">
        <f aca="false">IF($W74="","",INDEX(发票统计!U$4:U$1003,$W74)&amp;"")</f>
        <v/>
      </c>
      <c r="W74" s="1" t="str">
        <f aca="false">IF($V$3="","",IFERROR(MATCH($V$3&amp;"#"&amp;ROWS(W$4:W74),发票统计!$W$4:$W$1003,0),""))</f>
        <v/>
      </c>
    </row>
    <row r="75" customFormat="false" ht="16.5" hidden="false" customHeight="false" outlineLevel="0" collapsed="false">
      <c r="A75" s="3" t="str">
        <f aca="false">IF($W75="","",INDEX(发票统计!A$4:A$1003,$W75)&amp;"")</f>
        <v/>
      </c>
      <c r="B75" s="3" t="str">
        <f aca="false">IF($W75="","",INDEX(发票统计!B$4:B$1003,$W75)&amp;"")</f>
        <v/>
      </c>
      <c r="C75" s="3" t="str">
        <f aca="false">IF($W75="","",INDEX(发票统计!C$4:C$1003,$W75)&amp;"")</f>
        <v/>
      </c>
      <c r="D75" s="3" t="str">
        <f aca="false">IF($W75="","",INDEX(发票统计!D$4:D$1003,$W75)&amp;"")</f>
        <v/>
      </c>
      <c r="E75" s="67" t="str">
        <f aca="false">IF($W75="","",INDEX(发票统计!E$4:E$1003,$W75)&amp;"")</f>
        <v/>
      </c>
      <c r="F75" s="68" t="str">
        <f aca="false">IF($W75="","",INDEX(发票统计!F$4:F$1003,$W75)&amp;"")</f>
        <v/>
      </c>
      <c r="G75" s="68" t="str">
        <f aca="false">IF($W75="","",IF(INDEX(发票统计!G$4:G$1003,$W75)="","",INDEX(发票统计!G$4:G$1003,$W75)))</f>
        <v/>
      </c>
      <c r="H75" s="56" t="str">
        <f aca="false">IF($W75="","",N(INDEX(发票统计!H$4:H$1003,$W75)))</f>
        <v/>
      </c>
      <c r="I75" s="56" t="str">
        <f aca="false">IF($W75="","",N(INDEX(发票统计!I$4:I$1003,$W75)))</f>
        <v/>
      </c>
      <c r="J75" s="56" t="str">
        <f aca="false">IF($W75="","",N(INDEX(发票统计!J$4:J$1003,$W75)))</f>
        <v/>
      </c>
      <c r="K75" s="56" t="str">
        <f aca="false">IF($W75="","",N(INDEX(发票统计!K$4:K$1003,$W75)))</f>
        <v/>
      </c>
      <c r="L75" s="56" t="str">
        <f aca="false">IF($W75="","",SUM(J$4:J75)-SUM(K$4:K75))</f>
        <v/>
      </c>
      <c r="M75" s="56" t="str">
        <f aca="false">IF($W75="","",N(INDEX(发票统计!M$4:M$1003,$W75)))</f>
        <v/>
      </c>
      <c r="N75" s="56" t="str">
        <f aca="false">IF($W75="","",N(INDEX(发票统计!N$4:N$1003,$W75)))</f>
        <v/>
      </c>
      <c r="O75" s="56" t="str">
        <f aca="false">IF($W75="","",N(INDEX(发票统计!O$4:O$1003,$W75)))</f>
        <v/>
      </c>
      <c r="P75" s="56" t="str">
        <f aca="false">IF($W75="","",SUM(M$4:M75)-SUM(N$4:N75)-SUM(O$4:O75))</f>
        <v/>
      </c>
      <c r="Q75" s="56" t="str">
        <f aca="false">IF($W75="","",N(INDEX(发票统计!Q$4:Q$1003,$W75)))</f>
        <v/>
      </c>
      <c r="R75" s="56" t="str">
        <f aca="false">IF($W75="","",N(INDEX(发票统计!R$4:R$1003,$W75)))</f>
        <v/>
      </c>
      <c r="S75" s="56" t="str">
        <f aca="false">IF($W75="","",N(INDEX(发票统计!S$4:S$1003,$W75)))</f>
        <v/>
      </c>
      <c r="T75" s="56" t="str">
        <f aca="false">IF($W75="","",SUM(Q$4:Q75)-SUM(R$4:R75)-SUM(S$4:S75))</f>
        <v/>
      </c>
      <c r="U75" s="56" t="str">
        <f aca="false">IF($W75="","",INDEX(发票统计!U$4:U$1003,$W75)&amp;"")</f>
        <v/>
      </c>
      <c r="W75" s="1" t="str">
        <f aca="false">IF($V$3="","",IFERROR(MATCH($V$3&amp;"#"&amp;ROWS(W$4:W75),发票统计!$W$4:$W$1003,0),""))</f>
        <v/>
      </c>
    </row>
    <row r="76" customFormat="false" ht="16.5" hidden="false" customHeight="false" outlineLevel="0" collapsed="false">
      <c r="A76" s="3" t="str">
        <f aca="false">IF($W76="","",INDEX(发票统计!A$4:A$1003,$W76)&amp;"")</f>
        <v/>
      </c>
      <c r="B76" s="3" t="str">
        <f aca="false">IF($W76="","",INDEX(发票统计!B$4:B$1003,$W76)&amp;"")</f>
        <v/>
      </c>
      <c r="C76" s="3" t="str">
        <f aca="false">IF($W76="","",INDEX(发票统计!C$4:C$1003,$W76)&amp;"")</f>
        <v/>
      </c>
      <c r="D76" s="3" t="str">
        <f aca="false">IF($W76="","",INDEX(发票统计!D$4:D$1003,$W76)&amp;"")</f>
        <v/>
      </c>
      <c r="E76" s="67" t="str">
        <f aca="false">IF($W76="","",INDEX(发票统计!E$4:E$1003,$W76)&amp;"")</f>
        <v/>
      </c>
      <c r="F76" s="68" t="str">
        <f aca="false">IF($W76="","",INDEX(发票统计!F$4:F$1003,$W76)&amp;"")</f>
        <v/>
      </c>
      <c r="G76" s="68" t="str">
        <f aca="false">IF($W76="","",IF(INDEX(发票统计!G$4:G$1003,$W76)="","",INDEX(发票统计!G$4:G$1003,$W76)))</f>
        <v/>
      </c>
      <c r="H76" s="56" t="str">
        <f aca="false">IF($W76="","",N(INDEX(发票统计!H$4:H$1003,$W76)))</f>
        <v/>
      </c>
      <c r="I76" s="56" t="str">
        <f aca="false">IF($W76="","",N(INDEX(发票统计!I$4:I$1003,$W76)))</f>
        <v/>
      </c>
      <c r="J76" s="56" t="str">
        <f aca="false">IF($W76="","",N(INDEX(发票统计!J$4:J$1003,$W76)))</f>
        <v/>
      </c>
      <c r="K76" s="56" t="str">
        <f aca="false">IF($W76="","",N(INDEX(发票统计!K$4:K$1003,$W76)))</f>
        <v/>
      </c>
      <c r="L76" s="56" t="str">
        <f aca="false">IF($W76="","",SUM(J$4:J76)-SUM(K$4:K76))</f>
        <v/>
      </c>
      <c r="M76" s="56" t="str">
        <f aca="false">IF($W76="","",N(INDEX(发票统计!M$4:M$1003,$W76)))</f>
        <v/>
      </c>
      <c r="N76" s="56" t="str">
        <f aca="false">IF($W76="","",N(INDEX(发票统计!N$4:N$1003,$W76)))</f>
        <v/>
      </c>
      <c r="O76" s="56" t="str">
        <f aca="false">IF($W76="","",N(INDEX(发票统计!O$4:O$1003,$W76)))</f>
        <v/>
      </c>
      <c r="P76" s="56" t="str">
        <f aca="false">IF($W76="","",SUM(M$4:M76)-SUM(N$4:N76)-SUM(O$4:O76))</f>
        <v/>
      </c>
      <c r="Q76" s="56" t="str">
        <f aca="false">IF($W76="","",N(INDEX(发票统计!Q$4:Q$1003,$W76)))</f>
        <v/>
      </c>
      <c r="R76" s="56" t="str">
        <f aca="false">IF($W76="","",N(INDEX(发票统计!R$4:R$1003,$W76)))</f>
        <v/>
      </c>
      <c r="S76" s="56" t="str">
        <f aca="false">IF($W76="","",N(INDEX(发票统计!S$4:S$1003,$W76)))</f>
        <v/>
      </c>
      <c r="T76" s="56" t="str">
        <f aca="false">IF($W76="","",SUM(Q$4:Q76)-SUM(R$4:R76)-SUM(S$4:S76))</f>
        <v/>
      </c>
      <c r="U76" s="56" t="str">
        <f aca="false">IF($W76="","",INDEX(发票统计!U$4:U$1003,$W76)&amp;"")</f>
        <v/>
      </c>
      <c r="W76" s="1" t="str">
        <f aca="false">IF($V$3="","",IFERROR(MATCH($V$3&amp;"#"&amp;ROWS(W$4:W76),发票统计!$W$4:$W$1003,0),""))</f>
        <v/>
      </c>
    </row>
    <row r="77" customFormat="false" ht="16.5" hidden="false" customHeight="false" outlineLevel="0" collapsed="false">
      <c r="A77" s="3" t="str">
        <f aca="false">IF($W77="","",INDEX(发票统计!A$4:A$1003,$W77)&amp;"")</f>
        <v/>
      </c>
      <c r="B77" s="3" t="str">
        <f aca="false">IF($W77="","",INDEX(发票统计!B$4:B$1003,$W77)&amp;"")</f>
        <v/>
      </c>
      <c r="C77" s="3" t="str">
        <f aca="false">IF($W77="","",INDEX(发票统计!C$4:C$1003,$W77)&amp;"")</f>
        <v/>
      </c>
      <c r="D77" s="3" t="str">
        <f aca="false">IF($W77="","",INDEX(发票统计!D$4:D$1003,$W77)&amp;"")</f>
        <v/>
      </c>
      <c r="E77" s="67" t="str">
        <f aca="false">IF($W77="","",INDEX(发票统计!E$4:E$1003,$W77)&amp;"")</f>
        <v/>
      </c>
      <c r="F77" s="68" t="str">
        <f aca="false">IF($W77="","",INDEX(发票统计!F$4:F$1003,$W77)&amp;"")</f>
        <v/>
      </c>
      <c r="G77" s="68" t="str">
        <f aca="false">IF($W77="","",IF(INDEX(发票统计!G$4:G$1003,$W77)="","",INDEX(发票统计!G$4:G$1003,$W77)))</f>
        <v/>
      </c>
      <c r="H77" s="56" t="str">
        <f aca="false">IF($W77="","",N(INDEX(发票统计!H$4:H$1003,$W77)))</f>
        <v/>
      </c>
      <c r="I77" s="56" t="str">
        <f aca="false">IF($W77="","",N(INDEX(发票统计!I$4:I$1003,$W77)))</f>
        <v/>
      </c>
      <c r="J77" s="56" t="str">
        <f aca="false">IF($W77="","",N(INDEX(发票统计!J$4:J$1003,$W77)))</f>
        <v/>
      </c>
      <c r="K77" s="56" t="str">
        <f aca="false">IF($W77="","",N(INDEX(发票统计!K$4:K$1003,$W77)))</f>
        <v/>
      </c>
      <c r="L77" s="56" t="str">
        <f aca="false">IF($W77="","",SUM(J$4:J77)-SUM(K$4:K77))</f>
        <v/>
      </c>
      <c r="M77" s="56" t="str">
        <f aca="false">IF($W77="","",N(INDEX(发票统计!M$4:M$1003,$W77)))</f>
        <v/>
      </c>
      <c r="N77" s="56" t="str">
        <f aca="false">IF($W77="","",N(INDEX(发票统计!N$4:N$1003,$W77)))</f>
        <v/>
      </c>
      <c r="O77" s="56" t="str">
        <f aca="false">IF($W77="","",N(INDEX(发票统计!O$4:O$1003,$W77)))</f>
        <v/>
      </c>
      <c r="P77" s="56" t="str">
        <f aca="false">IF($W77="","",SUM(M$4:M77)-SUM(N$4:N77)-SUM(O$4:O77))</f>
        <v/>
      </c>
      <c r="Q77" s="56" t="str">
        <f aca="false">IF($W77="","",N(INDEX(发票统计!Q$4:Q$1003,$W77)))</f>
        <v/>
      </c>
      <c r="R77" s="56" t="str">
        <f aca="false">IF($W77="","",N(INDEX(发票统计!R$4:R$1003,$W77)))</f>
        <v/>
      </c>
      <c r="S77" s="56" t="str">
        <f aca="false">IF($W77="","",N(INDEX(发票统计!S$4:S$1003,$W77)))</f>
        <v/>
      </c>
      <c r="T77" s="56" t="str">
        <f aca="false">IF($W77="","",SUM(Q$4:Q77)-SUM(R$4:R77)-SUM(S$4:S77))</f>
        <v/>
      </c>
      <c r="U77" s="56" t="str">
        <f aca="false">IF($W77="","",INDEX(发票统计!U$4:U$1003,$W77)&amp;"")</f>
        <v/>
      </c>
      <c r="W77" s="1" t="str">
        <f aca="false">IF($V$3="","",IFERROR(MATCH($V$3&amp;"#"&amp;ROWS(W$4:W77),发票统计!$W$4:$W$1003,0),""))</f>
        <v/>
      </c>
    </row>
    <row r="78" customFormat="false" ht="16.5" hidden="false" customHeight="false" outlineLevel="0" collapsed="false">
      <c r="A78" s="3" t="str">
        <f aca="false">IF($W78="","",INDEX(发票统计!A$4:A$1003,$W78)&amp;"")</f>
        <v/>
      </c>
      <c r="B78" s="3" t="str">
        <f aca="false">IF($W78="","",INDEX(发票统计!B$4:B$1003,$W78)&amp;"")</f>
        <v/>
      </c>
      <c r="C78" s="3" t="str">
        <f aca="false">IF($W78="","",INDEX(发票统计!C$4:C$1003,$W78)&amp;"")</f>
        <v/>
      </c>
      <c r="D78" s="3" t="str">
        <f aca="false">IF($W78="","",INDEX(发票统计!D$4:D$1003,$W78)&amp;"")</f>
        <v/>
      </c>
      <c r="E78" s="67" t="str">
        <f aca="false">IF($W78="","",INDEX(发票统计!E$4:E$1003,$W78)&amp;"")</f>
        <v/>
      </c>
      <c r="F78" s="68" t="str">
        <f aca="false">IF($W78="","",INDEX(发票统计!F$4:F$1003,$W78)&amp;"")</f>
        <v/>
      </c>
      <c r="G78" s="68" t="str">
        <f aca="false">IF($W78="","",IF(INDEX(发票统计!G$4:G$1003,$W78)="","",INDEX(发票统计!G$4:G$1003,$W78)))</f>
        <v/>
      </c>
      <c r="H78" s="56" t="str">
        <f aca="false">IF($W78="","",N(INDEX(发票统计!H$4:H$1003,$W78)))</f>
        <v/>
      </c>
      <c r="I78" s="56" t="str">
        <f aca="false">IF($W78="","",N(INDEX(发票统计!I$4:I$1003,$W78)))</f>
        <v/>
      </c>
      <c r="J78" s="56" t="str">
        <f aca="false">IF($W78="","",N(INDEX(发票统计!J$4:J$1003,$W78)))</f>
        <v/>
      </c>
      <c r="K78" s="56" t="str">
        <f aca="false">IF($W78="","",N(INDEX(发票统计!K$4:K$1003,$W78)))</f>
        <v/>
      </c>
      <c r="L78" s="56" t="str">
        <f aca="false">IF($W78="","",SUM(J$4:J78)-SUM(K$4:K78))</f>
        <v/>
      </c>
      <c r="M78" s="56" t="str">
        <f aca="false">IF($W78="","",N(INDEX(发票统计!M$4:M$1003,$W78)))</f>
        <v/>
      </c>
      <c r="N78" s="56" t="str">
        <f aca="false">IF($W78="","",N(INDEX(发票统计!N$4:N$1003,$W78)))</f>
        <v/>
      </c>
      <c r="O78" s="56" t="str">
        <f aca="false">IF($W78="","",N(INDEX(发票统计!O$4:O$1003,$W78)))</f>
        <v/>
      </c>
      <c r="P78" s="56" t="str">
        <f aca="false">IF($W78="","",SUM(M$4:M78)-SUM(N$4:N78)-SUM(O$4:O78))</f>
        <v/>
      </c>
      <c r="Q78" s="56" t="str">
        <f aca="false">IF($W78="","",N(INDEX(发票统计!Q$4:Q$1003,$W78)))</f>
        <v/>
      </c>
      <c r="R78" s="56" t="str">
        <f aca="false">IF($W78="","",N(INDEX(发票统计!R$4:R$1003,$W78)))</f>
        <v/>
      </c>
      <c r="S78" s="56" t="str">
        <f aca="false">IF($W78="","",N(INDEX(发票统计!S$4:S$1003,$W78)))</f>
        <v/>
      </c>
      <c r="T78" s="56" t="str">
        <f aca="false">IF($W78="","",SUM(Q$4:Q78)-SUM(R$4:R78)-SUM(S$4:S78))</f>
        <v/>
      </c>
      <c r="U78" s="56" t="str">
        <f aca="false">IF($W78="","",INDEX(发票统计!U$4:U$1003,$W78)&amp;"")</f>
        <v/>
      </c>
      <c r="W78" s="1" t="str">
        <f aca="false">IF($V$3="","",IFERROR(MATCH($V$3&amp;"#"&amp;ROWS(W$4:W78),发票统计!$W$4:$W$1003,0),""))</f>
        <v/>
      </c>
    </row>
    <row r="79" customFormat="false" ht="16.5" hidden="false" customHeight="false" outlineLevel="0" collapsed="false">
      <c r="A79" s="3" t="str">
        <f aca="false">IF($W79="","",INDEX(发票统计!A$4:A$1003,$W79)&amp;"")</f>
        <v/>
      </c>
      <c r="B79" s="3" t="str">
        <f aca="false">IF($W79="","",INDEX(发票统计!B$4:B$1003,$W79)&amp;"")</f>
        <v/>
      </c>
      <c r="C79" s="3" t="str">
        <f aca="false">IF($W79="","",INDEX(发票统计!C$4:C$1003,$W79)&amp;"")</f>
        <v/>
      </c>
      <c r="D79" s="3" t="str">
        <f aca="false">IF($W79="","",INDEX(发票统计!D$4:D$1003,$W79)&amp;"")</f>
        <v/>
      </c>
      <c r="E79" s="67" t="str">
        <f aca="false">IF($W79="","",INDEX(发票统计!E$4:E$1003,$W79)&amp;"")</f>
        <v/>
      </c>
      <c r="F79" s="68" t="str">
        <f aca="false">IF($W79="","",INDEX(发票统计!F$4:F$1003,$W79)&amp;"")</f>
        <v/>
      </c>
      <c r="G79" s="68" t="str">
        <f aca="false">IF($W79="","",IF(INDEX(发票统计!G$4:G$1003,$W79)="","",INDEX(发票统计!G$4:G$1003,$W79)))</f>
        <v/>
      </c>
      <c r="H79" s="56" t="str">
        <f aca="false">IF($W79="","",N(INDEX(发票统计!H$4:H$1003,$W79)))</f>
        <v/>
      </c>
      <c r="I79" s="56" t="str">
        <f aca="false">IF($W79="","",N(INDEX(发票统计!I$4:I$1003,$W79)))</f>
        <v/>
      </c>
      <c r="J79" s="56" t="str">
        <f aca="false">IF($W79="","",N(INDEX(发票统计!J$4:J$1003,$W79)))</f>
        <v/>
      </c>
      <c r="K79" s="56" t="str">
        <f aca="false">IF($W79="","",N(INDEX(发票统计!K$4:K$1003,$W79)))</f>
        <v/>
      </c>
      <c r="L79" s="56" t="str">
        <f aca="false">IF($W79="","",SUM(J$4:J79)-SUM(K$4:K79))</f>
        <v/>
      </c>
      <c r="M79" s="56" t="str">
        <f aca="false">IF($W79="","",N(INDEX(发票统计!M$4:M$1003,$W79)))</f>
        <v/>
      </c>
      <c r="N79" s="56" t="str">
        <f aca="false">IF($W79="","",N(INDEX(发票统计!N$4:N$1003,$W79)))</f>
        <v/>
      </c>
      <c r="O79" s="56" t="str">
        <f aca="false">IF($W79="","",N(INDEX(发票统计!O$4:O$1003,$W79)))</f>
        <v/>
      </c>
      <c r="P79" s="56" t="str">
        <f aca="false">IF($W79="","",SUM(M$4:M79)-SUM(N$4:N79)-SUM(O$4:O79))</f>
        <v/>
      </c>
      <c r="Q79" s="56" t="str">
        <f aca="false">IF($W79="","",N(INDEX(发票统计!Q$4:Q$1003,$W79)))</f>
        <v/>
      </c>
      <c r="R79" s="56" t="str">
        <f aca="false">IF($W79="","",N(INDEX(发票统计!R$4:R$1003,$W79)))</f>
        <v/>
      </c>
      <c r="S79" s="56" t="str">
        <f aca="false">IF($W79="","",N(INDEX(发票统计!S$4:S$1003,$W79)))</f>
        <v/>
      </c>
      <c r="T79" s="56" t="str">
        <f aca="false">IF($W79="","",SUM(Q$4:Q79)-SUM(R$4:R79)-SUM(S$4:S79))</f>
        <v/>
      </c>
      <c r="U79" s="56" t="str">
        <f aca="false">IF($W79="","",INDEX(发票统计!U$4:U$1003,$W79)&amp;"")</f>
        <v/>
      </c>
      <c r="W79" s="1" t="str">
        <f aca="false">IF($V$3="","",IFERROR(MATCH($V$3&amp;"#"&amp;ROWS(W$4:W79),发票统计!$W$4:$W$1003,0),""))</f>
        <v/>
      </c>
    </row>
    <row r="80" customFormat="false" ht="16.5" hidden="false" customHeight="false" outlineLevel="0" collapsed="false">
      <c r="A80" s="3" t="str">
        <f aca="false">IF($W80="","",INDEX(发票统计!A$4:A$1003,$W80)&amp;"")</f>
        <v/>
      </c>
      <c r="B80" s="3" t="str">
        <f aca="false">IF($W80="","",INDEX(发票统计!B$4:B$1003,$W80)&amp;"")</f>
        <v/>
      </c>
      <c r="C80" s="3" t="str">
        <f aca="false">IF($W80="","",INDEX(发票统计!C$4:C$1003,$W80)&amp;"")</f>
        <v/>
      </c>
      <c r="D80" s="3" t="str">
        <f aca="false">IF($W80="","",INDEX(发票统计!D$4:D$1003,$W80)&amp;"")</f>
        <v/>
      </c>
      <c r="E80" s="67" t="str">
        <f aca="false">IF($W80="","",INDEX(发票统计!E$4:E$1003,$W80)&amp;"")</f>
        <v/>
      </c>
      <c r="F80" s="68" t="str">
        <f aca="false">IF($W80="","",INDEX(发票统计!F$4:F$1003,$W80)&amp;"")</f>
        <v/>
      </c>
      <c r="G80" s="68" t="str">
        <f aca="false">IF($W80="","",IF(INDEX(发票统计!G$4:G$1003,$W80)="","",INDEX(发票统计!G$4:G$1003,$W80)))</f>
        <v/>
      </c>
      <c r="H80" s="56" t="str">
        <f aca="false">IF($W80="","",N(INDEX(发票统计!H$4:H$1003,$W80)))</f>
        <v/>
      </c>
      <c r="I80" s="56" t="str">
        <f aca="false">IF($W80="","",N(INDEX(发票统计!I$4:I$1003,$W80)))</f>
        <v/>
      </c>
      <c r="J80" s="56" t="str">
        <f aca="false">IF($W80="","",N(INDEX(发票统计!J$4:J$1003,$W80)))</f>
        <v/>
      </c>
      <c r="K80" s="56" t="str">
        <f aca="false">IF($W80="","",N(INDEX(发票统计!K$4:K$1003,$W80)))</f>
        <v/>
      </c>
      <c r="L80" s="56" t="str">
        <f aca="false">IF($W80="","",SUM(J$4:J80)-SUM(K$4:K80))</f>
        <v/>
      </c>
      <c r="M80" s="56" t="str">
        <f aca="false">IF($W80="","",N(INDEX(发票统计!M$4:M$1003,$W80)))</f>
        <v/>
      </c>
      <c r="N80" s="56" t="str">
        <f aca="false">IF($W80="","",N(INDEX(发票统计!N$4:N$1003,$W80)))</f>
        <v/>
      </c>
      <c r="O80" s="56" t="str">
        <f aca="false">IF($W80="","",N(INDEX(发票统计!O$4:O$1003,$W80)))</f>
        <v/>
      </c>
      <c r="P80" s="56" t="str">
        <f aca="false">IF($W80="","",SUM(M$4:M80)-SUM(N$4:N80)-SUM(O$4:O80))</f>
        <v/>
      </c>
      <c r="Q80" s="56" t="str">
        <f aca="false">IF($W80="","",N(INDEX(发票统计!Q$4:Q$1003,$W80)))</f>
        <v/>
      </c>
      <c r="R80" s="56" t="str">
        <f aca="false">IF($W80="","",N(INDEX(发票统计!R$4:R$1003,$W80)))</f>
        <v/>
      </c>
      <c r="S80" s="56" t="str">
        <f aca="false">IF($W80="","",N(INDEX(发票统计!S$4:S$1003,$W80)))</f>
        <v/>
      </c>
      <c r="T80" s="56" t="str">
        <f aca="false">IF($W80="","",SUM(Q$4:Q80)-SUM(R$4:R80)-SUM(S$4:S80))</f>
        <v/>
      </c>
      <c r="U80" s="56" t="str">
        <f aca="false">IF($W80="","",INDEX(发票统计!U$4:U$1003,$W80)&amp;"")</f>
        <v/>
      </c>
      <c r="W80" s="1" t="str">
        <f aca="false">IF($V$3="","",IFERROR(MATCH($V$3&amp;"#"&amp;ROWS(W$4:W80),发票统计!$W$4:$W$1003,0),""))</f>
        <v/>
      </c>
    </row>
    <row r="81" customFormat="false" ht="16.5" hidden="false" customHeight="false" outlineLevel="0" collapsed="false">
      <c r="A81" s="3" t="str">
        <f aca="false">IF($W81="","",INDEX(发票统计!A$4:A$1003,$W81)&amp;"")</f>
        <v/>
      </c>
      <c r="B81" s="3" t="str">
        <f aca="false">IF($W81="","",INDEX(发票统计!B$4:B$1003,$W81)&amp;"")</f>
        <v/>
      </c>
      <c r="C81" s="3" t="str">
        <f aca="false">IF($W81="","",INDEX(发票统计!C$4:C$1003,$W81)&amp;"")</f>
        <v/>
      </c>
      <c r="D81" s="3" t="str">
        <f aca="false">IF($W81="","",INDEX(发票统计!D$4:D$1003,$W81)&amp;"")</f>
        <v/>
      </c>
      <c r="E81" s="67" t="str">
        <f aca="false">IF($W81="","",INDEX(发票统计!E$4:E$1003,$W81)&amp;"")</f>
        <v/>
      </c>
      <c r="F81" s="68" t="str">
        <f aca="false">IF($W81="","",INDEX(发票统计!F$4:F$1003,$W81)&amp;"")</f>
        <v/>
      </c>
      <c r="G81" s="68" t="str">
        <f aca="false">IF($W81="","",IF(INDEX(发票统计!G$4:G$1003,$W81)="","",INDEX(发票统计!G$4:G$1003,$W81)))</f>
        <v/>
      </c>
      <c r="H81" s="56" t="str">
        <f aca="false">IF($W81="","",N(INDEX(发票统计!H$4:H$1003,$W81)))</f>
        <v/>
      </c>
      <c r="I81" s="56" t="str">
        <f aca="false">IF($W81="","",N(INDEX(发票统计!I$4:I$1003,$W81)))</f>
        <v/>
      </c>
      <c r="J81" s="56" t="str">
        <f aca="false">IF($W81="","",N(INDEX(发票统计!J$4:J$1003,$W81)))</f>
        <v/>
      </c>
      <c r="K81" s="56" t="str">
        <f aca="false">IF($W81="","",N(INDEX(发票统计!K$4:K$1003,$W81)))</f>
        <v/>
      </c>
      <c r="L81" s="56" t="str">
        <f aca="false">IF($W81="","",SUM(J$4:J81)-SUM(K$4:K81))</f>
        <v/>
      </c>
      <c r="M81" s="56" t="str">
        <f aca="false">IF($W81="","",N(INDEX(发票统计!M$4:M$1003,$W81)))</f>
        <v/>
      </c>
      <c r="N81" s="56" t="str">
        <f aca="false">IF($W81="","",N(INDEX(发票统计!N$4:N$1003,$W81)))</f>
        <v/>
      </c>
      <c r="O81" s="56" t="str">
        <f aca="false">IF($W81="","",N(INDEX(发票统计!O$4:O$1003,$W81)))</f>
        <v/>
      </c>
      <c r="P81" s="56" t="str">
        <f aca="false">IF($W81="","",SUM(M$4:M81)-SUM(N$4:N81)-SUM(O$4:O81))</f>
        <v/>
      </c>
      <c r="Q81" s="56" t="str">
        <f aca="false">IF($W81="","",N(INDEX(发票统计!Q$4:Q$1003,$W81)))</f>
        <v/>
      </c>
      <c r="R81" s="56" t="str">
        <f aca="false">IF($W81="","",N(INDEX(发票统计!R$4:R$1003,$W81)))</f>
        <v/>
      </c>
      <c r="S81" s="56" t="str">
        <f aca="false">IF($W81="","",N(INDEX(发票统计!S$4:S$1003,$W81)))</f>
        <v/>
      </c>
      <c r="T81" s="56" t="str">
        <f aca="false">IF($W81="","",SUM(Q$4:Q81)-SUM(R$4:R81)-SUM(S$4:S81))</f>
        <v/>
      </c>
      <c r="U81" s="56" t="str">
        <f aca="false">IF($W81="","",INDEX(发票统计!U$4:U$1003,$W81)&amp;"")</f>
        <v/>
      </c>
      <c r="W81" s="1" t="str">
        <f aca="false">IF($V$3="","",IFERROR(MATCH($V$3&amp;"#"&amp;ROWS(W$4:W81),发票统计!$W$4:$W$1003,0),""))</f>
        <v/>
      </c>
    </row>
    <row r="82" customFormat="false" ht="16.5" hidden="false" customHeight="false" outlineLevel="0" collapsed="false">
      <c r="A82" s="3" t="str">
        <f aca="false">IF($W82="","",INDEX(发票统计!A$4:A$1003,$W82)&amp;"")</f>
        <v/>
      </c>
      <c r="B82" s="3" t="str">
        <f aca="false">IF($W82="","",INDEX(发票统计!B$4:B$1003,$W82)&amp;"")</f>
        <v/>
      </c>
      <c r="C82" s="3" t="str">
        <f aca="false">IF($W82="","",INDEX(发票统计!C$4:C$1003,$W82)&amp;"")</f>
        <v/>
      </c>
      <c r="D82" s="3" t="str">
        <f aca="false">IF($W82="","",INDEX(发票统计!D$4:D$1003,$W82)&amp;"")</f>
        <v/>
      </c>
      <c r="E82" s="67" t="str">
        <f aca="false">IF($W82="","",INDEX(发票统计!E$4:E$1003,$W82)&amp;"")</f>
        <v/>
      </c>
      <c r="F82" s="68" t="str">
        <f aca="false">IF($W82="","",INDEX(发票统计!F$4:F$1003,$W82)&amp;"")</f>
        <v/>
      </c>
      <c r="G82" s="68" t="str">
        <f aca="false">IF($W82="","",IF(INDEX(发票统计!G$4:G$1003,$W82)="","",INDEX(发票统计!G$4:G$1003,$W82)))</f>
        <v/>
      </c>
      <c r="H82" s="56" t="str">
        <f aca="false">IF($W82="","",N(INDEX(发票统计!H$4:H$1003,$W82)))</f>
        <v/>
      </c>
      <c r="I82" s="56" t="str">
        <f aca="false">IF($W82="","",N(INDEX(发票统计!I$4:I$1003,$W82)))</f>
        <v/>
      </c>
      <c r="J82" s="56" t="str">
        <f aca="false">IF($W82="","",N(INDEX(发票统计!J$4:J$1003,$W82)))</f>
        <v/>
      </c>
      <c r="K82" s="56" t="str">
        <f aca="false">IF($W82="","",N(INDEX(发票统计!K$4:K$1003,$W82)))</f>
        <v/>
      </c>
      <c r="L82" s="56" t="str">
        <f aca="false">IF($W82="","",SUM(J$4:J82)-SUM(K$4:K82))</f>
        <v/>
      </c>
      <c r="M82" s="56" t="str">
        <f aca="false">IF($W82="","",N(INDEX(发票统计!M$4:M$1003,$W82)))</f>
        <v/>
      </c>
      <c r="N82" s="56" t="str">
        <f aca="false">IF($W82="","",N(INDEX(发票统计!N$4:N$1003,$W82)))</f>
        <v/>
      </c>
      <c r="O82" s="56" t="str">
        <f aca="false">IF($W82="","",N(INDEX(发票统计!O$4:O$1003,$W82)))</f>
        <v/>
      </c>
      <c r="P82" s="56" t="str">
        <f aca="false">IF($W82="","",SUM(M$4:M82)-SUM(N$4:N82)-SUM(O$4:O82))</f>
        <v/>
      </c>
      <c r="Q82" s="56" t="str">
        <f aca="false">IF($W82="","",N(INDEX(发票统计!Q$4:Q$1003,$W82)))</f>
        <v/>
      </c>
      <c r="R82" s="56" t="str">
        <f aca="false">IF($W82="","",N(INDEX(发票统计!R$4:R$1003,$W82)))</f>
        <v/>
      </c>
      <c r="S82" s="56" t="str">
        <f aca="false">IF($W82="","",N(INDEX(发票统计!S$4:S$1003,$W82)))</f>
        <v/>
      </c>
      <c r="T82" s="56" t="str">
        <f aca="false">IF($W82="","",SUM(Q$4:Q82)-SUM(R$4:R82)-SUM(S$4:S82))</f>
        <v/>
      </c>
      <c r="U82" s="56" t="str">
        <f aca="false">IF($W82="","",INDEX(发票统计!U$4:U$1003,$W82)&amp;"")</f>
        <v/>
      </c>
      <c r="W82" s="1" t="str">
        <f aca="false">IF($V$3="","",IFERROR(MATCH($V$3&amp;"#"&amp;ROWS(W$4:W82),发票统计!$W$4:$W$1003,0),""))</f>
        <v/>
      </c>
    </row>
    <row r="83" customFormat="false" ht="16.5" hidden="false" customHeight="false" outlineLevel="0" collapsed="false">
      <c r="A83" s="3" t="str">
        <f aca="false">IF($W83="","",INDEX(发票统计!A$4:A$1003,$W83)&amp;"")</f>
        <v/>
      </c>
      <c r="B83" s="3" t="str">
        <f aca="false">IF($W83="","",INDEX(发票统计!B$4:B$1003,$W83)&amp;"")</f>
        <v/>
      </c>
      <c r="C83" s="3" t="str">
        <f aca="false">IF($W83="","",INDEX(发票统计!C$4:C$1003,$W83)&amp;"")</f>
        <v/>
      </c>
      <c r="D83" s="3" t="str">
        <f aca="false">IF($W83="","",INDEX(发票统计!D$4:D$1003,$W83)&amp;"")</f>
        <v/>
      </c>
      <c r="E83" s="67" t="str">
        <f aca="false">IF($W83="","",INDEX(发票统计!E$4:E$1003,$W83)&amp;"")</f>
        <v/>
      </c>
      <c r="F83" s="68" t="str">
        <f aca="false">IF($W83="","",INDEX(发票统计!F$4:F$1003,$W83)&amp;"")</f>
        <v/>
      </c>
      <c r="G83" s="68" t="str">
        <f aca="false">IF($W83="","",IF(INDEX(发票统计!G$4:G$1003,$W83)="","",INDEX(发票统计!G$4:G$1003,$W83)))</f>
        <v/>
      </c>
      <c r="H83" s="56" t="str">
        <f aca="false">IF($W83="","",N(INDEX(发票统计!H$4:H$1003,$W83)))</f>
        <v/>
      </c>
      <c r="I83" s="56" t="str">
        <f aca="false">IF($W83="","",N(INDEX(发票统计!I$4:I$1003,$W83)))</f>
        <v/>
      </c>
      <c r="J83" s="56" t="str">
        <f aca="false">IF($W83="","",N(INDEX(发票统计!J$4:J$1003,$W83)))</f>
        <v/>
      </c>
      <c r="K83" s="56" t="str">
        <f aca="false">IF($W83="","",N(INDEX(发票统计!K$4:K$1003,$W83)))</f>
        <v/>
      </c>
      <c r="L83" s="56" t="str">
        <f aca="false">IF($W83="","",SUM(J$4:J83)-SUM(K$4:K83))</f>
        <v/>
      </c>
      <c r="M83" s="56" t="str">
        <f aca="false">IF($W83="","",N(INDEX(发票统计!M$4:M$1003,$W83)))</f>
        <v/>
      </c>
      <c r="N83" s="56" t="str">
        <f aca="false">IF($W83="","",N(INDEX(发票统计!N$4:N$1003,$W83)))</f>
        <v/>
      </c>
      <c r="O83" s="56" t="str">
        <f aca="false">IF($W83="","",N(INDEX(发票统计!O$4:O$1003,$W83)))</f>
        <v/>
      </c>
      <c r="P83" s="56" t="str">
        <f aca="false">IF($W83="","",SUM(M$4:M83)-SUM(N$4:N83)-SUM(O$4:O83))</f>
        <v/>
      </c>
      <c r="Q83" s="56" t="str">
        <f aca="false">IF($W83="","",N(INDEX(发票统计!Q$4:Q$1003,$W83)))</f>
        <v/>
      </c>
      <c r="R83" s="56" t="str">
        <f aca="false">IF($W83="","",N(INDEX(发票统计!R$4:R$1003,$W83)))</f>
        <v/>
      </c>
      <c r="S83" s="56" t="str">
        <f aca="false">IF($W83="","",N(INDEX(发票统计!S$4:S$1003,$W83)))</f>
        <v/>
      </c>
      <c r="T83" s="56" t="str">
        <f aca="false">IF($W83="","",SUM(Q$4:Q83)-SUM(R$4:R83)-SUM(S$4:S83))</f>
        <v/>
      </c>
      <c r="U83" s="56" t="str">
        <f aca="false">IF($W83="","",INDEX(发票统计!U$4:U$1003,$W83)&amp;"")</f>
        <v/>
      </c>
      <c r="W83" s="1" t="str">
        <f aca="false">IF($V$3="","",IFERROR(MATCH($V$3&amp;"#"&amp;ROWS(W$4:W83),发票统计!$W$4:$W$1003,0),""))</f>
        <v/>
      </c>
    </row>
    <row r="84" customFormat="false" ht="16.5" hidden="false" customHeight="false" outlineLevel="0" collapsed="false">
      <c r="A84" s="3" t="str">
        <f aca="false">IF($W84="","",INDEX(发票统计!A$4:A$1003,$W84)&amp;"")</f>
        <v/>
      </c>
      <c r="B84" s="3" t="str">
        <f aca="false">IF($W84="","",INDEX(发票统计!B$4:B$1003,$W84)&amp;"")</f>
        <v/>
      </c>
      <c r="C84" s="3" t="str">
        <f aca="false">IF($W84="","",INDEX(发票统计!C$4:C$1003,$W84)&amp;"")</f>
        <v/>
      </c>
      <c r="D84" s="3" t="str">
        <f aca="false">IF($W84="","",INDEX(发票统计!D$4:D$1003,$W84)&amp;"")</f>
        <v/>
      </c>
      <c r="E84" s="67" t="str">
        <f aca="false">IF($W84="","",INDEX(发票统计!E$4:E$1003,$W84)&amp;"")</f>
        <v/>
      </c>
      <c r="F84" s="68" t="str">
        <f aca="false">IF($W84="","",INDEX(发票统计!F$4:F$1003,$W84)&amp;"")</f>
        <v/>
      </c>
      <c r="G84" s="68" t="str">
        <f aca="false">IF($W84="","",IF(INDEX(发票统计!G$4:G$1003,$W84)="","",INDEX(发票统计!G$4:G$1003,$W84)))</f>
        <v/>
      </c>
      <c r="H84" s="56" t="str">
        <f aca="false">IF($W84="","",N(INDEX(发票统计!H$4:H$1003,$W84)))</f>
        <v/>
      </c>
      <c r="I84" s="56" t="str">
        <f aca="false">IF($W84="","",N(INDEX(发票统计!I$4:I$1003,$W84)))</f>
        <v/>
      </c>
      <c r="J84" s="56" t="str">
        <f aca="false">IF($W84="","",N(INDEX(发票统计!J$4:J$1003,$W84)))</f>
        <v/>
      </c>
      <c r="K84" s="56" t="str">
        <f aca="false">IF($W84="","",N(INDEX(发票统计!K$4:K$1003,$W84)))</f>
        <v/>
      </c>
      <c r="L84" s="56" t="str">
        <f aca="false">IF($W84="","",SUM(J$4:J84)-SUM(K$4:K84))</f>
        <v/>
      </c>
      <c r="M84" s="56" t="str">
        <f aca="false">IF($W84="","",N(INDEX(发票统计!M$4:M$1003,$W84)))</f>
        <v/>
      </c>
      <c r="N84" s="56" t="str">
        <f aca="false">IF($W84="","",N(INDEX(发票统计!N$4:N$1003,$W84)))</f>
        <v/>
      </c>
      <c r="O84" s="56" t="str">
        <f aca="false">IF($W84="","",N(INDEX(发票统计!O$4:O$1003,$W84)))</f>
        <v/>
      </c>
      <c r="P84" s="56" t="str">
        <f aca="false">IF($W84="","",SUM(M$4:M84)-SUM(N$4:N84)-SUM(O$4:O84))</f>
        <v/>
      </c>
      <c r="Q84" s="56" t="str">
        <f aca="false">IF($W84="","",N(INDEX(发票统计!Q$4:Q$1003,$W84)))</f>
        <v/>
      </c>
      <c r="R84" s="56" t="str">
        <f aca="false">IF($W84="","",N(INDEX(发票统计!R$4:R$1003,$W84)))</f>
        <v/>
      </c>
      <c r="S84" s="56" t="str">
        <f aca="false">IF($W84="","",N(INDEX(发票统计!S$4:S$1003,$W84)))</f>
        <v/>
      </c>
      <c r="T84" s="56" t="str">
        <f aca="false">IF($W84="","",SUM(Q$4:Q84)-SUM(R$4:R84)-SUM(S$4:S84))</f>
        <v/>
      </c>
      <c r="U84" s="56" t="str">
        <f aca="false">IF($W84="","",INDEX(发票统计!U$4:U$1003,$W84)&amp;"")</f>
        <v/>
      </c>
      <c r="W84" s="1" t="str">
        <f aca="false">IF($V$3="","",IFERROR(MATCH($V$3&amp;"#"&amp;ROWS(W$4:W84),发票统计!$W$4:$W$1003,0),""))</f>
        <v/>
      </c>
    </row>
    <row r="85" customFormat="false" ht="16.5" hidden="false" customHeight="false" outlineLevel="0" collapsed="false">
      <c r="A85" s="3" t="str">
        <f aca="false">IF($W85="","",INDEX(发票统计!A$4:A$1003,$W85)&amp;"")</f>
        <v/>
      </c>
      <c r="B85" s="3" t="str">
        <f aca="false">IF($W85="","",INDEX(发票统计!B$4:B$1003,$W85)&amp;"")</f>
        <v/>
      </c>
      <c r="C85" s="3" t="str">
        <f aca="false">IF($W85="","",INDEX(发票统计!C$4:C$1003,$W85)&amp;"")</f>
        <v/>
      </c>
      <c r="D85" s="3" t="str">
        <f aca="false">IF($W85="","",INDEX(发票统计!D$4:D$1003,$W85)&amp;"")</f>
        <v/>
      </c>
      <c r="E85" s="67" t="str">
        <f aca="false">IF($W85="","",INDEX(发票统计!E$4:E$1003,$W85)&amp;"")</f>
        <v/>
      </c>
      <c r="F85" s="68" t="str">
        <f aca="false">IF($W85="","",INDEX(发票统计!F$4:F$1003,$W85)&amp;"")</f>
        <v/>
      </c>
      <c r="G85" s="68" t="str">
        <f aca="false">IF($W85="","",IF(INDEX(发票统计!G$4:G$1003,$W85)="","",INDEX(发票统计!G$4:G$1003,$W85)))</f>
        <v/>
      </c>
      <c r="H85" s="56" t="str">
        <f aca="false">IF($W85="","",N(INDEX(发票统计!H$4:H$1003,$W85)))</f>
        <v/>
      </c>
      <c r="I85" s="56" t="str">
        <f aca="false">IF($W85="","",N(INDEX(发票统计!I$4:I$1003,$W85)))</f>
        <v/>
      </c>
      <c r="J85" s="56" t="str">
        <f aca="false">IF($W85="","",N(INDEX(发票统计!J$4:J$1003,$W85)))</f>
        <v/>
      </c>
      <c r="K85" s="56" t="str">
        <f aca="false">IF($W85="","",N(INDEX(发票统计!K$4:K$1003,$W85)))</f>
        <v/>
      </c>
      <c r="L85" s="56" t="str">
        <f aca="false">IF($W85="","",SUM(J$4:J85)-SUM(K$4:K85))</f>
        <v/>
      </c>
      <c r="M85" s="56" t="str">
        <f aca="false">IF($W85="","",N(INDEX(发票统计!M$4:M$1003,$W85)))</f>
        <v/>
      </c>
      <c r="N85" s="56" t="str">
        <f aca="false">IF($W85="","",N(INDEX(发票统计!N$4:N$1003,$W85)))</f>
        <v/>
      </c>
      <c r="O85" s="56" t="str">
        <f aca="false">IF($W85="","",N(INDEX(发票统计!O$4:O$1003,$W85)))</f>
        <v/>
      </c>
      <c r="P85" s="56" t="str">
        <f aca="false">IF($W85="","",SUM(M$4:M85)-SUM(N$4:N85)-SUM(O$4:O85))</f>
        <v/>
      </c>
      <c r="Q85" s="56" t="str">
        <f aca="false">IF($W85="","",N(INDEX(发票统计!Q$4:Q$1003,$W85)))</f>
        <v/>
      </c>
      <c r="R85" s="56" t="str">
        <f aca="false">IF($W85="","",N(INDEX(发票统计!R$4:R$1003,$W85)))</f>
        <v/>
      </c>
      <c r="S85" s="56" t="str">
        <f aca="false">IF($W85="","",N(INDEX(发票统计!S$4:S$1003,$W85)))</f>
        <v/>
      </c>
      <c r="T85" s="56" t="str">
        <f aca="false">IF($W85="","",SUM(Q$4:Q85)-SUM(R$4:R85)-SUM(S$4:S85))</f>
        <v/>
      </c>
      <c r="U85" s="56" t="str">
        <f aca="false">IF($W85="","",INDEX(发票统计!U$4:U$1003,$W85)&amp;"")</f>
        <v/>
      </c>
      <c r="W85" s="1" t="str">
        <f aca="false">IF($V$3="","",IFERROR(MATCH($V$3&amp;"#"&amp;ROWS(W$4:W85),发票统计!$W$4:$W$1003,0),""))</f>
        <v/>
      </c>
    </row>
    <row r="86" customFormat="false" ht="16.5" hidden="false" customHeight="false" outlineLevel="0" collapsed="false">
      <c r="A86" s="3" t="str">
        <f aca="false">IF($W86="","",INDEX(发票统计!A$4:A$1003,$W86)&amp;"")</f>
        <v/>
      </c>
      <c r="B86" s="3" t="str">
        <f aca="false">IF($W86="","",INDEX(发票统计!B$4:B$1003,$W86)&amp;"")</f>
        <v/>
      </c>
      <c r="C86" s="3" t="str">
        <f aca="false">IF($W86="","",INDEX(发票统计!C$4:C$1003,$W86)&amp;"")</f>
        <v/>
      </c>
      <c r="D86" s="3" t="str">
        <f aca="false">IF($W86="","",INDEX(发票统计!D$4:D$1003,$W86)&amp;"")</f>
        <v/>
      </c>
      <c r="E86" s="67" t="str">
        <f aca="false">IF($W86="","",INDEX(发票统计!E$4:E$1003,$W86)&amp;"")</f>
        <v/>
      </c>
      <c r="F86" s="68" t="str">
        <f aca="false">IF($W86="","",INDEX(发票统计!F$4:F$1003,$W86)&amp;"")</f>
        <v/>
      </c>
      <c r="G86" s="68" t="str">
        <f aca="false">IF($W86="","",IF(INDEX(发票统计!G$4:G$1003,$W86)="","",INDEX(发票统计!G$4:G$1003,$W86)))</f>
        <v/>
      </c>
      <c r="H86" s="56" t="str">
        <f aca="false">IF($W86="","",N(INDEX(发票统计!H$4:H$1003,$W86)))</f>
        <v/>
      </c>
      <c r="I86" s="56" t="str">
        <f aca="false">IF($W86="","",N(INDEX(发票统计!I$4:I$1003,$W86)))</f>
        <v/>
      </c>
      <c r="J86" s="56" t="str">
        <f aca="false">IF($W86="","",N(INDEX(发票统计!J$4:J$1003,$W86)))</f>
        <v/>
      </c>
      <c r="K86" s="56" t="str">
        <f aca="false">IF($W86="","",N(INDEX(发票统计!K$4:K$1003,$W86)))</f>
        <v/>
      </c>
      <c r="L86" s="56" t="str">
        <f aca="false">IF($W86="","",SUM(J$4:J86)-SUM(K$4:K86))</f>
        <v/>
      </c>
      <c r="M86" s="56" t="str">
        <f aca="false">IF($W86="","",N(INDEX(发票统计!M$4:M$1003,$W86)))</f>
        <v/>
      </c>
      <c r="N86" s="56" t="str">
        <f aca="false">IF($W86="","",N(INDEX(发票统计!N$4:N$1003,$W86)))</f>
        <v/>
      </c>
      <c r="O86" s="56" t="str">
        <f aca="false">IF($W86="","",N(INDEX(发票统计!O$4:O$1003,$W86)))</f>
        <v/>
      </c>
      <c r="P86" s="56" t="str">
        <f aca="false">IF($W86="","",SUM(M$4:M86)-SUM(N$4:N86)-SUM(O$4:O86))</f>
        <v/>
      </c>
      <c r="Q86" s="56" t="str">
        <f aca="false">IF($W86="","",N(INDEX(发票统计!Q$4:Q$1003,$W86)))</f>
        <v/>
      </c>
      <c r="R86" s="56" t="str">
        <f aca="false">IF($W86="","",N(INDEX(发票统计!R$4:R$1003,$W86)))</f>
        <v/>
      </c>
      <c r="S86" s="56" t="str">
        <f aca="false">IF($W86="","",N(INDEX(发票统计!S$4:S$1003,$W86)))</f>
        <v/>
      </c>
      <c r="T86" s="56" t="str">
        <f aca="false">IF($W86="","",SUM(Q$4:Q86)-SUM(R$4:R86)-SUM(S$4:S86))</f>
        <v/>
      </c>
      <c r="U86" s="56" t="str">
        <f aca="false">IF($W86="","",INDEX(发票统计!U$4:U$1003,$W86)&amp;"")</f>
        <v/>
      </c>
      <c r="W86" s="1" t="str">
        <f aca="false">IF($V$3="","",IFERROR(MATCH($V$3&amp;"#"&amp;ROWS(W$4:W86),发票统计!$W$4:$W$1003,0),""))</f>
        <v/>
      </c>
    </row>
    <row r="87" customFormat="false" ht="16.5" hidden="false" customHeight="false" outlineLevel="0" collapsed="false">
      <c r="A87" s="3" t="str">
        <f aca="false">IF($W87="","",INDEX(发票统计!A$4:A$1003,$W87)&amp;"")</f>
        <v/>
      </c>
      <c r="B87" s="3" t="str">
        <f aca="false">IF($W87="","",INDEX(发票统计!B$4:B$1003,$W87)&amp;"")</f>
        <v/>
      </c>
      <c r="C87" s="3" t="str">
        <f aca="false">IF($W87="","",INDEX(发票统计!C$4:C$1003,$W87)&amp;"")</f>
        <v/>
      </c>
      <c r="D87" s="3" t="str">
        <f aca="false">IF($W87="","",INDEX(发票统计!D$4:D$1003,$W87)&amp;"")</f>
        <v/>
      </c>
      <c r="E87" s="67" t="str">
        <f aca="false">IF($W87="","",INDEX(发票统计!E$4:E$1003,$W87)&amp;"")</f>
        <v/>
      </c>
      <c r="F87" s="68" t="str">
        <f aca="false">IF($W87="","",INDEX(发票统计!F$4:F$1003,$W87)&amp;"")</f>
        <v/>
      </c>
      <c r="G87" s="68" t="str">
        <f aca="false">IF($W87="","",IF(INDEX(发票统计!G$4:G$1003,$W87)="","",INDEX(发票统计!G$4:G$1003,$W87)))</f>
        <v/>
      </c>
      <c r="H87" s="56" t="str">
        <f aca="false">IF($W87="","",N(INDEX(发票统计!H$4:H$1003,$W87)))</f>
        <v/>
      </c>
      <c r="I87" s="56" t="str">
        <f aca="false">IF($W87="","",N(INDEX(发票统计!I$4:I$1003,$W87)))</f>
        <v/>
      </c>
      <c r="J87" s="56" t="str">
        <f aca="false">IF($W87="","",N(INDEX(发票统计!J$4:J$1003,$W87)))</f>
        <v/>
      </c>
      <c r="K87" s="56" t="str">
        <f aca="false">IF($W87="","",N(INDEX(发票统计!K$4:K$1003,$W87)))</f>
        <v/>
      </c>
      <c r="L87" s="56" t="str">
        <f aca="false">IF($W87="","",SUM(J$4:J87)-SUM(K$4:K87))</f>
        <v/>
      </c>
      <c r="M87" s="56" t="str">
        <f aca="false">IF($W87="","",N(INDEX(发票统计!M$4:M$1003,$W87)))</f>
        <v/>
      </c>
      <c r="N87" s="56" t="str">
        <f aca="false">IF($W87="","",N(INDEX(发票统计!N$4:N$1003,$W87)))</f>
        <v/>
      </c>
      <c r="O87" s="56" t="str">
        <f aca="false">IF($W87="","",N(INDEX(发票统计!O$4:O$1003,$W87)))</f>
        <v/>
      </c>
      <c r="P87" s="56" t="str">
        <f aca="false">IF($W87="","",SUM(M$4:M87)-SUM(N$4:N87)-SUM(O$4:O87))</f>
        <v/>
      </c>
      <c r="Q87" s="56" t="str">
        <f aca="false">IF($W87="","",N(INDEX(发票统计!Q$4:Q$1003,$W87)))</f>
        <v/>
      </c>
      <c r="R87" s="56" t="str">
        <f aca="false">IF($W87="","",N(INDEX(发票统计!R$4:R$1003,$W87)))</f>
        <v/>
      </c>
      <c r="S87" s="56" t="str">
        <f aca="false">IF($W87="","",N(INDEX(发票统计!S$4:S$1003,$W87)))</f>
        <v/>
      </c>
      <c r="T87" s="56" t="str">
        <f aca="false">IF($W87="","",SUM(Q$4:Q87)-SUM(R$4:R87)-SUM(S$4:S87))</f>
        <v/>
      </c>
      <c r="U87" s="56" t="str">
        <f aca="false">IF($W87="","",INDEX(发票统计!U$4:U$1003,$W87)&amp;"")</f>
        <v/>
      </c>
      <c r="W87" s="1" t="str">
        <f aca="false">IF($V$3="","",IFERROR(MATCH($V$3&amp;"#"&amp;ROWS(W$4:W87),发票统计!$W$4:$W$1003,0),""))</f>
        <v/>
      </c>
    </row>
    <row r="88" customFormat="false" ht="16.5" hidden="false" customHeight="false" outlineLevel="0" collapsed="false">
      <c r="A88" s="3" t="str">
        <f aca="false">IF($W88="","",INDEX(发票统计!A$4:A$1003,$W88)&amp;"")</f>
        <v/>
      </c>
      <c r="B88" s="3" t="str">
        <f aca="false">IF($W88="","",INDEX(发票统计!B$4:B$1003,$W88)&amp;"")</f>
        <v/>
      </c>
      <c r="C88" s="3" t="str">
        <f aca="false">IF($W88="","",INDEX(发票统计!C$4:C$1003,$W88)&amp;"")</f>
        <v/>
      </c>
      <c r="D88" s="3" t="str">
        <f aca="false">IF($W88="","",INDEX(发票统计!D$4:D$1003,$W88)&amp;"")</f>
        <v/>
      </c>
      <c r="E88" s="67" t="str">
        <f aca="false">IF($W88="","",INDEX(发票统计!E$4:E$1003,$W88)&amp;"")</f>
        <v/>
      </c>
      <c r="F88" s="68" t="str">
        <f aca="false">IF($W88="","",INDEX(发票统计!F$4:F$1003,$W88)&amp;"")</f>
        <v/>
      </c>
      <c r="G88" s="68" t="str">
        <f aca="false">IF($W88="","",IF(INDEX(发票统计!G$4:G$1003,$W88)="","",INDEX(发票统计!G$4:G$1003,$W88)))</f>
        <v/>
      </c>
      <c r="H88" s="56" t="str">
        <f aca="false">IF($W88="","",N(INDEX(发票统计!H$4:H$1003,$W88)))</f>
        <v/>
      </c>
      <c r="I88" s="56" t="str">
        <f aca="false">IF($W88="","",N(INDEX(发票统计!I$4:I$1003,$W88)))</f>
        <v/>
      </c>
      <c r="J88" s="56" t="str">
        <f aca="false">IF($W88="","",N(INDEX(发票统计!J$4:J$1003,$W88)))</f>
        <v/>
      </c>
      <c r="K88" s="56" t="str">
        <f aca="false">IF($W88="","",N(INDEX(发票统计!K$4:K$1003,$W88)))</f>
        <v/>
      </c>
      <c r="L88" s="56" t="str">
        <f aca="false">IF($W88="","",SUM(J$4:J88)-SUM(K$4:K88))</f>
        <v/>
      </c>
      <c r="M88" s="56" t="str">
        <f aca="false">IF($W88="","",N(INDEX(发票统计!M$4:M$1003,$W88)))</f>
        <v/>
      </c>
      <c r="N88" s="56" t="str">
        <f aca="false">IF($W88="","",N(INDEX(发票统计!N$4:N$1003,$W88)))</f>
        <v/>
      </c>
      <c r="O88" s="56" t="str">
        <f aca="false">IF($W88="","",N(INDEX(发票统计!O$4:O$1003,$W88)))</f>
        <v/>
      </c>
      <c r="P88" s="56" t="str">
        <f aca="false">IF($W88="","",SUM(M$4:M88)-SUM(N$4:N88)-SUM(O$4:O88))</f>
        <v/>
      </c>
      <c r="Q88" s="56" t="str">
        <f aca="false">IF($W88="","",N(INDEX(发票统计!Q$4:Q$1003,$W88)))</f>
        <v/>
      </c>
      <c r="R88" s="56" t="str">
        <f aca="false">IF($W88="","",N(INDEX(发票统计!R$4:R$1003,$W88)))</f>
        <v/>
      </c>
      <c r="S88" s="56" t="str">
        <f aca="false">IF($W88="","",N(INDEX(发票统计!S$4:S$1003,$W88)))</f>
        <v/>
      </c>
      <c r="T88" s="56" t="str">
        <f aca="false">IF($W88="","",SUM(Q$4:Q88)-SUM(R$4:R88)-SUM(S$4:S88))</f>
        <v/>
      </c>
      <c r="U88" s="56" t="str">
        <f aca="false">IF($W88="","",INDEX(发票统计!U$4:U$1003,$W88)&amp;"")</f>
        <v/>
      </c>
      <c r="W88" s="1" t="str">
        <f aca="false">IF($V$3="","",IFERROR(MATCH($V$3&amp;"#"&amp;ROWS(W$4:W88),发票统计!$W$4:$W$1003,0),""))</f>
        <v/>
      </c>
    </row>
    <row r="89" customFormat="false" ht="16.5" hidden="false" customHeight="false" outlineLevel="0" collapsed="false">
      <c r="A89" s="3" t="str">
        <f aca="false">IF($W89="","",INDEX(发票统计!A$4:A$1003,$W89)&amp;"")</f>
        <v/>
      </c>
      <c r="B89" s="3" t="str">
        <f aca="false">IF($W89="","",INDEX(发票统计!B$4:B$1003,$W89)&amp;"")</f>
        <v/>
      </c>
      <c r="C89" s="3" t="str">
        <f aca="false">IF($W89="","",INDEX(发票统计!C$4:C$1003,$W89)&amp;"")</f>
        <v/>
      </c>
      <c r="D89" s="3" t="str">
        <f aca="false">IF($W89="","",INDEX(发票统计!D$4:D$1003,$W89)&amp;"")</f>
        <v/>
      </c>
      <c r="E89" s="67" t="str">
        <f aca="false">IF($W89="","",INDEX(发票统计!E$4:E$1003,$W89)&amp;"")</f>
        <v/>
      </c>
      <c r="F89" s="68" t="str">
        <f aca="false">IF($W89="","",INDEX(发票统计!F$4:F$1003,$W89)&amp;"")</f>
        <v/>
      </c>
      <c r="G89" s="68" t="str">
        <f aca="false">IF($W89="","",IF(INDEX(发票统计!G$4:G$1003,$W89)="","",INDEX(发票统计!G$4:G$1003,$W89)))</f>
        <v/>
      </c>
      <c r="H89" s="56" t="str">
        <f aca="false">IF($W89="","",N(INDEX(发票统计!H$4:H$1003,$W89)))</f>
        <v/>
      </c>
      <c r="I89" s="56" t="str">
        <f aca="false">IF($W89="","",N(INDEX(发票统计!I$4:I$1003,$W89)))</f>
        <v/>
      </c>
      <c r="J89" s="56" t="str">
        <f aca="false">IF($W89="","",N(INDEX(发票统计!J$4:J$1003,$W89)))</f>
        <v/>
      </c>
      <c r="K89" s="56" t="str">
        <f aca="false">IF($W89="","",N(INDEX(发票统计!K$4:K$1003,$W89)))</f>
        <v/>
      </c>
      <c r="L89" s="56" t="str">
        <f aca="false">IF($W89="","",SUM(J$4:J89)-SUM(K$4:K89))</f>
        <v/>
      </c>
      <c r="M89" s="56" t="str">
        <f aca="false">IF($W89="","",N(INDEX(发票统计!M$4:M$1003,$W89)))</f>
        <v/>
      </c>
      <c r="N89" s="56" t="str">
        <f aca="false">IF($W89="","",N(INDEX(发票统计!N$4:N$1003,$W89)))</f>
        <v/>
      </c>
      <c r="O89" s="56" t="str">
        <f aca="false">IF($W89="","",N(INDEX(发票统计!O$4:O$1003,$W89)))</f>
        <v/>
      </c>
      <c r="P89" s="56" t="str">
        <f aca="false">IF($W89="","",SUM(M$4:M89)-SUM(N$4:N89)-SUM(O$4:O89))</f>
        <v/>
      </c>
      <c r="Q89" s="56" t="str">
        <f aca="false">IF($W89="","",N(INDEX(发票统计!Q$4:Q$1003,$W89)))</f>
        <v/>
      </c>
      <c r="R89" s="56" t="str">
        <f aca="false">IF($W89="","",N(INDEX(发票统计!R$4:R$1003,$W89)))</f>
        <v/>
      </c>
      <c r="S89" s="56" t="str">
        <f aca="false">IF($W89="","",N(INDEX(发票统计!S$4:S$1003,$W89)))</f>
        <v/>
      </c>
      <c r="T89" s="56" t="str">
        <f aca="false">IF($W89="","",SUM(Q$4:Q89)-SUM(R$4:R89)-SUM(S$4:S89))</f>
        <v/>
      </c>
      <c r="U89" s="56" t="str">
        <f aca="false">IF($W89="","",INDEX(发票统计!U$4:U$1003,$W89)&amp;"")</f>
        <v/>
      </c>
      <c r="W89" s="1" t="str">
        <f aca="false">IF($V$3="","",IFERROR(MATCH($V$3&amp;"#"&amp;ROWS(W$4:W89),发票统计!$W$4:$W$1003,0),""))</f>
        <v/>
      </c>
    </row>
    <row r="90" customFormat="false" ht="16.5" hidden="false" customHeight="false" outlineLevel="0" collapsed="false">
      <c r="A90" s="3" t="str">
        <f aca="false">IF($W90="","",INDEX(发票统计!A$4:A$1003,$W90)&amp;"")</f>
        <v/>
      </c>
      <c r="B90" s="3" t="str">
        <f aca="false">IF($W90="","",INDEX(发票统计!B$4:B$1003,$W90)&amp;"")</f>
        <v/>
      </c>
      <c r="C90" s="3" t="str">
        <f aca="false">IF($W90="","",INDEX(发票统计!C$4:C$1003,$W90)&amp;"")</f>
        <v/>
      </c>
      <c r="D90" s="3" t="str">
        <f aca="false">IF($W90="","",INDEX(发票统计!D$4:D$1003,$W90)&amp;"")</f>
        <v/>
      </c>
      <c r="E90" s="67" t="str">
        <f aca="false">IF($W90="","",INDEX(发票统计!E$4:E$1003,$W90)&amp;"")</f>
        <v/>
      </c>
      <c r="F90" s="68" t="str">
        <f aca="false">IF($W90="","",INDEX(发票统计!F$4:F$1003,$W90)&amp;"")</f>
        <v/>
      </c>
      <c r="G90" s="68" t="str">
        <f aca="false">IF($W90="","",IF(INDEX(发票统计!G$4:G$1003,$W90)="","",INDEX(发票统计!G$4:G$1003,$W90)))</f>
        <v/>
      </c>
      <c r="H90" s="56" t="str">
        <f aca="false">IF($W90="","",N(INDEX(发票统计!H$4:H$1003,$W90)))</f>
        <v/>
      </c>
      <c r="I90" s="56" t="str">
        <f aca="false">IF($W90="","",N(INDEX(发票统计!I$4:I$1003,$W90)))</f>
        <v/>
      </c>
      <c r="J90" s="56" t="str">
        <f aca="false">IF($W90="","",N(INDEX(发票统计!J$4:J$1003,$W90)))</f>
        <v/>
      </c>
      <c r="K90" s="56" t="str">
        <f aca="false">IF($W90="","",N(INDEX(发票统计!K$4:K$1003,$W90)))</f>
        <v/>
      </c>
      <c r="L90" s="56" t="str">
        <f aca="false">IF($W90="","",SUM(J$4:J90)-SUM(K$4:K90))</f>
        <v/>
      </c>
      <c r="M90" s="56" t="str">
        <f aca="false">IF($W90="","",N(INDEX(发票统计!M$4:M$1003,$W90)))</f>
        <v/>
      </c>
      <c r="N90" s="56" t="str">
        <f aca="false">IF($W90="","",N(INDEX(发票统计!N$4:N$1003,$W90)))</f>
        <v/>
      </c>
      <c r="O90" s="56" t="str">
        <f aca="false">IF($W90="","",N(INDEX(发票统计!O$4:O$1003,$W90)))</f>
        <v/>
      </c>
      <c r="P90" s="56" t="str">
        <f aca="false">IF($W90="","",SUM(M$4:M90)-SUM(N$4:N90)-SUM(O$4:O90))</f>
        <v/>
      </c>
      <c r="Q90" s="56" t="str">
        <f aca="false">IF($W90="","",N(INDEX(发票统计!Q$4:Q$1003,$W90)))</f>
        <v/>
      </c>
      <c r="R90" s="56" t="str">
        <f aca="false">IF($W90="","",N(INDEX(发票统计!R$4:R$1003,$W90)))</f>
        <v/>
      </c>
      <c r="S90" s="56" t="str">
        <f aca="false">IF($W90="","",N(INDEX(发票统计!S$4:S$1003,$W90)))</f>
        <v/>
      </c>
      <c r="T90" s="56" t="str">
        <f aca="false">IF($W90="","",SUM(Q$4:Q90)-SUM(R$4:R90)-SUM(S$4:S90))</f>
        <v/>
      </c>
      <c r="U90" s="56" t="str">
        <f aca="false">IF($W90="","",INDEX(发票统计!U$4:U$1003,$W90)&amp;"")</f>
        <v/>
      </c>
      <c r="W90" s="1" t="str">
        <f aca="false">IF($V$3="","",IFERROR(MATCH($V$3&amp;"#"&amp;ROWS(W$4:W90),发票统计!$W$4:$W$1003,0),""))</f>
        <v/>
      </c>
    </row>
    <row r="91" customFormat="false" ht="16.5" hidden="false" customHeight="false" outlineLevel="0" collapsed="false">
      <c r="A91" s="3" t="str">
        <f aca="false">IF($W91="","",INDEX(发票统计!A$4:A$1003,$W91)&amp;"")</f>
        <v/>
      </c>
      <c r="B91" s="3" t="str">
        <f aca="false">IF($W91="","",INDEX(发票统计!B$4:B$1003,$W91)&amp;"")</f>
        <v/>
      </c>
      <c r="C91" s="3" t="str">
        <f aca="false">IF($W91="","",INDEX(发票统计!C$4:C$1003,$W91)&amp;"")</f>
        <v/>
      </c>
      <c r="D91" s="3" t="str">
        <f aca="false">IF($W91="","",INDEX(发票统计!D$4:D$1003,$W91)&amp;"")</f>
        <v/>
      </c>
      <c r="E91" s="67" t="str">
        <f aca="false">IF($W91="","",INDEX(发票统计!E$4:E$1003,$W91)&amp;"")</f>
        <v/>
      </c>
      <c r="F91" s="68" t="str">
        <f aca="false">IF($W91="","",INDEX(发票统计!F$4:F$1003,$W91)&amp;"")</f>
        <v/>
      </c>
      <c r="G91" s="68" t="str">
        <f aca="false">IF($W91="","",IF(INDEX(发票统计!G$4:G$1003,$W91)="","",INDEX(发票统计!G$4:G$1003,$W91)))</f>
        <v/>
      </c>
      <c r="H91" s="56" t="str">
        <f aca="false">IF($W91="","",N(INDEX(发票统计!H$4:H$1003,$W91)))</f>
        <v/>
      </c>
      <c r="I91" s="56" t="str">
        <f aca="false">IF($W91="","",N(INDEX(发票统计!I$4:I$1003,$W91)))</f>
        <v/>
      </c>
      <c r="J91" s="56" t="str">
        <f aca="false">IF($W91="","",N(INDEX(发票统计!J$4:J$1003,$W91)))</f>
        <v/>
      </c>
      <c r="K91" s="56" t="str">
        <f aca="false">IF($W91="","",N(INDEX(发票统计!K$4:K$1003,$W91)))</f>
        <v/>
      </c>
      <c r="L91" s="56" t="str">
        <f aca="false">IF($W91="","",SUM(J$4:J91)-SUM(K$4:K91))</f>
        <v/>
      </c>
      <c r="M91" s="56" t="str">
        <f aca="false">IF($W91="","",N(INDEX(发票统计!M$4:M$1003,$W91)))</f>
        <v/>
      </c>
      <c r="N91" s="56" t="str">
        <f aca="false">IF($W91="","",N(INDEX(发票统计!N$4:N$1003,$W91)))</f>
        <v/>
      </c>
      <c r="O91" s="56" t="str">
        <f aca="false">IF($W91="","",N(INDEX(发票统计!O$4:O$1003,$W91)))</f>
        <v/>
      </c>
      <c r="P91" s="56" t="str">
        <f aca="false">IF($W91="","",SUM(M$4:M91)-SUM(N$4:N91)-SUM(O$4:O91))</f>
        <v/>
      </c>
      <c r="Q91" s="56" t="str">
        <f aca="false">IF($W91="","",N(INDEX(发票统计!Q$4:Q$1003,$W91)))</f>
        <v/>
      </c>
      <c r="R91" s="56" t="str">
        <f aca="false">IF($W91="","",N(INDEX(发票统计!R$4:R$1003,$W91)))</f>
        <v/>
      </c>
      <c r="S91" s="56" t="str">
        <f aca="false">IF($W91="","",N(INDEX(发票统计!S$4:S$1003,$W91)))</f>
        <v/>
      </c>
      <c r="T91" s="56" t="str">
        <f aca="false">IF($W91="","",SUM(Q$4:Q91)-SUM(R$4:R91)-SUM(S$4:S91))</f>
        <v/>
      </c>
      <c r="U91" s="56" t="str">
        <f aca="false">IF($W91="","",INDEX(发票统计!U$4:U$1003,$W91)&amp;"")</f>
        <v/>
      </c>
      <c r="W91" s="1" t="str">
        <f aca="false">IF($V$3="","",IFERROR(MATCH($V$3&amp;"#"&amp;ROWS(W$4:W91),发票统计!$W$4:$W$1003,0),""))</f>
        <v/>
      </c>
    </row>
    <row r="92" customFormat="false" ht="16.5" hidden="false" customHeight="false" outlineLevel="0" collapsed="false">
      <c r="A92" s="3" t="str">
        <f aca="false">IF($W92="","",INDEX(发票统计!A$4:A$1003,$W92)&amp;"")</f>
        <v/>
      </c>
      <c r="B92" s="3" t="str">
        <f aca="false">IF($W92="","",INDEX(发票统计!B$4:B$1003,$W92)&amp;"")</f>
        <v/>
      </c>
      <c r="C92" s="3" t="str">
        <f aca="false">IF($W92="","",INDEX(发票统计!C$4:C$1003,$W92)&amp;"")</f>
        <v/>
      </c>
      <c r="D92" s="3" t="str">
        <f aca="false">IF($W92="","",INDEX(发票统计!D$4:D$1003,$W92)&amp;"")</f>
        <v/>
      </c>
      <c r="E92" s="67" t="str">
        <f aca="false">IF($W92="","",INDEX(发票统计!E$4:E$1003,$W92)&amp;"")</f>
        <v/>
      </c>
      <c r="F92" s="68" t="str">
        <f aca="false">IF($W92="","",INDEX(发票统计!F$4:F$1003,$W92)&amp;"")</f>
        <v/>
      </c>
      <c r="G92" s="68" t="str">
        <f aca="false">IF($W92="","",IF(INDEX(发票统计!G$4:G$1003,$W92)="","",INDEX(发票统计!G$4:G$1003,$W92)))</f>
        <v/>
      </c>
      <c r="H92" s="56" t="str">
        <f aca="false">IF($W92="","",N(INDEX(发票统计!H$4:H$1003,$W92)))</f>
        <v/>
      </c>
      <c r="I92" s="56" t="str">
        <f aca="false">IF($W92="","",N(INDEX(发票统计!I$4:I$1003,$W92)))</f>
        <v/>
      </c>
      <c r="J92" s="56" t="str">
        <f aca="false">IF($W92="","",N(INDEX(发票统计!J$4:J$1003,$W92)))</f>
        <v/>
      </c>
      <c r="K92" s="56" t="str">
        <f aca="false">IF($W92="","",N(INDEX(发票统计!K$4:K$1003,$W92)))</f>
        <v/>
      </c>
      <c r="L92" s="56" t="str">
        <f aca="false">IF($W92="","",SUM(J$4:J92)-SUM(K$4:K92))</f>
        <v/>
      </c>
      <c r="M92" s="56" t="str">
        <f aca="false">IF($W92="","",N(INDEX(发票统计!M$4:M$1003,$W92)))</f>
        <v/>
      </c>
      <c r="N92" s="56" t="str">
        <f aca="false">IF($W92="","",N(INDEX(发票统计!N$4:N$1003,$W92)))</f>
        <v/>
      </c>
      <c r="O92" s="56" t="str">
        <f aca="false">IF($W92="","",N(INDEX(发票统计!O$4:O$1003,$W92)))</f>
        <v/>
      </c>
      <c r="P92" s="56" t="str">
        <f aca="false">IF($W92="","",SUM(M$4:M92)-SUM(N$4:N92)-SUM(O$4:O92))</f>
        <v/>
      </c>
      <c r="Q92" s="56" t="str">
        <f aca="false">IF($W92="","",N(INDEX(发票统计!Q$4:Q$1003,$W92)))</f>
        <v/>
      </c>
      <c r="R92" s="56" t="str">
        <f aca="false">IF($W92="","",N(INDEX(发票统计!R$4:R$1003,$W92)))</f>
        <v/>
      </c>
      <c r="S92" s="56" t="str">
        <f aca="false">IF($W92="","",N(INDEX(发票统计!S$4:S$1003,$W92)))</f>
        <v/>
      </c>
      <c r="T92" s="56" t="str">
        <f aca="false">IF($W92="","",SUM(Q$4:Q92)-SUM(R$4:R92)-SUM(S$4:S92))</f>
        <v/>
      </c>
      <c r="U92" s="56" t="str">
        <f aca="false">IF($W92="","",INDEX(发票统计!U$4:U$1003,$W92)&amp;"")</f>
        <v/>
      </c>
      <c r="W92" s="1" t="str">
        <f aca="false">IF($V$3="","",IFERROR(MATCH($V$3&amp;"#"&amp;ROWS(W$4:W92),发票统计!$W$4:$W$1003,0),""))</f>
        <v/>
      </c>
    </row>
    <row r="93" customFormat="false" ht="16.5" hidden="false" customHeight="false" outlineLevel="0" collapsed="false">
      <c r="A93" s="3" t="str">
        <f aca="false">IF($W93="","",INDEX(发票统计!A$4:A$1003,$W93)&amp;"")</f>
        <v/>
      </c>
      <c r="B93" s="3" t="str">
        <f aca="false">IF($W93="","",INDEX(发票统计!B$4:B$1003,$W93)&amp;"")</f>
        <v/>
      </c>
      <c r="C93" s="3" t="str">
        <f aca="false">IF($W93="","",INDEX(发票统计!C$4:C$1003,$W93)&amp;"")</f>
        <v/>
      </c>
      <c r="D93" s="3" t="str">
        <f aca="false">IF($W93="","",INDEX(发票统计!D$4:D$1003,$W93)&amp;"")</f>
        <v/>
      </c>
      <c r="E93" s="67" t="str">
        <f aca="false">IF($W93="","",INDEX(发票统计!E$4:E$1003,$W93)&amp;"")</f>
        <v/>
      </c>
      <c r="F93" s="68" t="str">
        <f aca="false">IF($W93="","",INDEX(发票统计!F$4:F$1003,$W93)&amp;"")</f>
        <v/>
      </c>
      <c r="G93" s="68" t="str">
        <f aca="false">IF($W93="","",IF(INDEX(发票统计!G$4:G$1003,$W93)="","",INDEX(发票统计!G$4:G$1003,$W93)))</f>
        <v/>
      </c>
      <c r="H93" s="56" t="str">
        <f aca="false">IF($W93="","",N(INDEX(发票统计!H$4:H$1003,$W93)))</f>
        <v/>
      </c>
      <c r="I93" s="56" t="str">
        <f aca="false">IF($W93="","",N(INDEX(发票统计!I$4:I$1003,$W93)))</f>
        <v/>
      </c>
      <c r="J93" s="56" t="str">
        <f aca="false">IF($W93="","",N(INDEX(发票统计!J$4:J$1003,$W93)))</f>
        <v/>
      </c>
      <c r="K93" s="56" t="str">
        <f aca="false">IF($W93="","",N(INDEX(发票统计!K$4:K$1003,$W93)))</f>
        <v/>
      </c>
      <c r="L93" s="56" t="str">
        <f aca="false">IF($W93="","",SUM(J$4:J93)-SUM(K$4:K93))</f>
        <v/>
      </c>
      <c r="M93" s="56" t="str">
        <f aca="false">IF($W93="","",N(INDEX(发票统计!M$4:M$1003,$W93)))</f>
        <v/>
      </c>
      <c r="N93" s="56" t="str">
        <f aca="false">IF($W93="","",N(INDEX(发票统计!N$4:N$1003,$W93)))</f>
        <v/>
      </c>
      <c r="O93" s="56" t="str">
        <f aca="false">IF($W93="","",N(INDEX(发票统计!O$4:O$1003,$W93)))</f>
        <v/>
      </c>
      <c r="P93" s="56" t="str">
        <f aca="false">IF($W93="","",SUM(M$4:M93)-SUM(N$4:N93)-SUM(O$4:O93))</f>
        <v/>
      </c>
      <c r="Q93" s="56" t="str">
        <f aca="false">IF($W93="","",N(INDEX(发票统计!Q$4:Q$1003,$W93)))</f>
        <v/>
      </c>
      <c r="R93" s="56" t="str">
        <f aca="false">IF($W93="","",N(INDEX(发票统计!R$4:R$1003,$W93)))</f>
        <v/>
      </c>
      <c r="S93" s="56" t="str">
        <f aca="false">IF($W93="","",N(INDEX(发票统计!S$4:S$1003,$W93)))</f>
        <v/>
      </c>
      <c r="T93" s="56" t="str">
        <f aca="false">IF($W93="","",SUM(Q$4:Q93)-SUM(R$4:R93)-SUM(S$4:S93))</f>
        <v/>
      </c>
      <c r="U93" s="56" t="str">
        <f aca="false">IF($W93="","",INDEX(发票统计!U$4:U$1003,$W93)&amp;"")</f>
        <v/>
      </c>
      <c r="W93" s="1" t="str">
        <f aca="false">IF($V$3="","",IFERROR(MATCH($V$3&amp;"#"&amp;ROWS(W$4:W93),发票统计!$W$4:$W$1003,0),""))</f>
        <v/>
      </c>
    </row>
    <row r="94" customFormat="false" ht="16.5" hidden="false" customHeight="false" outlineLevel="0" collapsed="false">
      <c r="A94" s="3" t="str">
        <f aca="false">IF($W94="","",INDEX(发票统计!A$4:A$1003,$W94)&amp;"")</f>
        <v/>
      </c>
      <c r="B94" s="3" t="str">
        <f aca="false">IF($W94="","",INDEX(发票统计!B$4:B$1003,$W94)&amp;"")</f>
        <v/>
      </c>
      <c r="C94" s="3" t="str">
        <f aca="false">IF($W94="","",INDEX(发票统计!C$4:C$1003,$W94)&amp;"")</f>
        <v/>
      </c>
      <c r="D94" s="3" t="str">
        <f aca="false">IF($W94="","",INDEX(发票统计!D$4:D$1003,$W94)&amp;"")</f>
        <v/>
      </c>
      <c r="E94" s="67" t="str">
        <f aca="false">IF($W94="","",INDEX(发票统计!E$4:E$1003,$W94)&amp;"")</f>
        <v/>
      </c>
      <c r="F94" s="68" t="str">
        <f aca="false">IF($W94="","",INDEX(发票统计!F$4:F$1003,$W94)&amp;"")</f>
        <v/>
      </c>
      <c r="G94" s="68" t="str">
        <f aca="false">IF($W94="","",IF(INDEX(发票统计!G$4:G$1003,$W94)="","",INDEX(发票统计!G$4:G$1003,$W94)))</f>
        <v/>
      </c>
      <c r="H94" s="56" t="str">
        <f aca="false">IF($W94="","",N(INDEX(发票统计!H$4:H$1003,$W94)))</f>
        <v/>
      </c>
      <c r="I94" s="56" t="str">
        <f aca="false">IF($W94="","",N(INDEX(发票统计!I$4:I$1003,$W94)))</f>
        <v/>
      </c>
      <c r="J94" s="56" t="str">
        <f aca="false">IF($W94="","",N(INDEX(发票统计!J$4:J$1003,$W94)))</f>
        <v/>
      </c>
      <c r="K94" s="56" t="str">
        <f aca="false">IF($W94="","",N(INDEX(发票统计!K$4:K$1003,$W94)))</f>
        <v/>
      </c>
      <c r="L94" s="56" t="str">
        <f aca="false">IF($W94="","",SUM(J$4:J94)-SUM(K$4:K94))</f>
        <v/>
      </c>
      <c r="M94" s="56" t="str">
        <f aca="false">IF($W94="","",N(INDEX(发票统计!M$4:M$1003,$W94)))</f>
        <v/>
      </c>
      <c r="N94" s="56" t="str">
        <f aca="false">IF($W94="","",N(INDEX(发票统计!N$4:N$1003,$W94)))</f>
        <v/>
      </c>
      <c r="O94" s="56" t="str">
        <f aca="false">IF($W94="","",N(INDEX(发票统计!O$4:O$1003,$W94)))</f>
        <v/>
      </c>
      <c r="P94" s="56" t="str">
        <f aca="false">IF($W94="","",SUM(M$4:M94)-SUM(N$4:N94)-SUM(O$4:O94))</f>
        <v/>
      </c>
      <c r="Q94" s="56" t="str">
        <f aca="false">IF($W94="","",N(INDEX(发票统计!Q$4:Q$1003,$W94)))</f>
        <v/>
      </c>
      <c r="R94" s="56" t="str">
        <f aca="false">IF($W94="","",N(INDEX(发票统计!R$4:R$1003,$W94)))</f>
        <v/>
      </c>
      <c r="S94" s="56" t="str">
        <f aca="false">IF($W94="","",N(INDEX(发票统计!S$4:S$1003,$W94)))</f>
        <v/>
      </c>
      <c r="T94" s="56" t="str">
        <f aca="false">IF($W94="","",SUM(Q$4:Q94)-SUM(R$4:R94)-SUM(S$4:S94))</f>
        <v/>
      </c>
      <c r="U94" s="56" t="str">
        <f aca="false">IF($W94="","",INDEX(发票统计!U$4:U$1003,$W94)&amp;"")</f>
        <v/>
      </c>
      <c r="W94" s="1" t="str">
        <f aca="false">IF($V$3="","",IFERROR(MATCH($V$3&amp;"#"&amp;ROWS(W$4:W94),发票统计!$W$4:$W$1003,0),""))</f>
        <v/>
      </c>
    </row>
    <row r="95" customFormat="false" ht="16.5" hidden="false" customHeight="false" outlineLevel="0" collapsed="false">
      <c r="A95" s="3" t="str">
        <f aca="false">IF($W95="","",INDEX(发票统计!A$4:A$1003,$W95)&amp;"")</f>
        <v/>
      </c>
      <c r="B95" s="3" t="str">
        <f aca="false">IF($W95="","",INDEX(发票统计!B$4:B$1003,$W95)&amp;"")</f>
        <v/>
      </c>
      <c r="C95" s="3" t="str">
        <f aca="false">IF($W95="","",INDEX(发票统计!C$4:C$1003,$W95)&amp;"")</f>
        <v/>
      </c>
      <c r="D95" s="3" t="str">
        <f aca="false">IF($W95="","",INDEX(发票统计!D$4:D$1003,$W95)&amp;"")</f>
        <v/>
      </c>
      <c r="E95" s="67" t="str">
        <f aca="false">IF($W95="","",INDEX(发票统计!E$4:E$1003,$W95)&amp;"")</f>
        <v/>
      </c>
      <c r="F95" s="68" t="str">
        <f aca="false">IF($W95="","",INDEX(发票统计!F$4:F$1003,$W95)&amp;"")</f>
        <v/>
      </c>
      <c r="G95" s="68" t="str">
        <f aca="false">IF($W95="","",IF(INDEX(发票统计!G$4:G$1003,$W95)="","",INDEX(发票统计!G$4:G$1003,$W95)))</f>
        <v/>
      </c>
      <c r="H95" s="56" t="str">
        <f aca="false">IF($W95="","",N(INDEX(发票统计!H$4:H$1003,$W95)))</f>
        <v/>
      </c>
      <c r="I95" s="56" t="str">
        <f aca="false">IF($W95="","",N(INDEX(发票统计!I$4:I$1003,$W95)))</f>
        <v/>
      </c>
      <c r="J95" s="56" t="str">
        <f aca="false">IF($W95="","",N(INDEX(发票统计!J$4:J$1003,$W95)))</f>
        <v/>
      </c>
      <c r="K95" s="56" t="str">
        <f aca="false">IF($W95="","",N(INDEX(发票统计!K$4:K$1003,$W95)))</f>
        <v/>
      </c>
      <c r="L95" s="56" t="str">
        <f aca="false">IF($W95="","",SUM(J$4:J95)-SUM(K$4:K95))</f>
        <v/>
      </c>
      <c r="M95" s="56" t="str">
        <f aca="false">IF($W95="","",N(INDEX(发票统计!M$4:M$1003,$W95)))</f>
        <v/>
      </c>
      <c r="N95" s="56" t="str">
        <f aca="false">IF($W95="","",N(INDEX(发票统计!N$4:N$1003,$W95)))</f>
        <v/>
      </c>
      <c r="O95" s="56" t="str">
        <f aca="false">IF($W95="","",N(INDEX(发票统计!O$4:O$1003,$W95)))</f>
        <v/>
      </c>
      <c r="P95" s="56" t="str">
        <f aca="false">IF($W95="","",SUM(M$4:M95)-SUM(N$4:N95)-SUM(O$4:O95))</f>
        <v/>
      </c>
      <c r="Q95" s="56" t="str">
        <f aca="false">IF($W95="","",N(INDEX(发票统计!Q$4:Q$1003,$W95)))</f>
        <v/>
      </c>
      <c r="R95" s="56" t="str">
        <f aca="false">IF($W95="","",N(INDEX(发票统计!R$4:R$1003,$W95)))</f>
        <v/>
      </c>
      <c r="S95" s="56" t="str">
        <f aca="false">IF($W95="","",N(INDEX(发票统计!S$4:S$1003,$W95)))</f>
        <v/>
      </c>
      <c r="T95" s="56" t="str">
        <f aca="false">IF($W95="","",SUM(Q$4:Q95)-SUM(R$4:R95)-SUM(S$4:S95))</f>
        <v/>
      </c>
      <c r="U95" s="56" t="str">
        <f aca="false">IF($W95="","",INDEX(发票统计!U$4:U$1003,$W95)&amp;"")</f>
        <v/>
      </c>
      <c r="W95" s="1" t="str">
        <f aca="false">IF($V$3="","",IFERROR(MATCH($V$3&amp;"#"&amp;ROWS(W$4:W95),发票统计!$W$4:$W$1003,0),""))</f>
        <v/>
      </c>
    </row>
    <row r="96" customFormat="false" ht="16.5" hidden="false" customHeight="false" outlineLevel="0" collapsed="false">
      <c r="A96" s="3" t="str">
        <f aca="false">IF($W96="","",INDEX(发票统计!A$4:A$1003,$W96)&amp;"")</f>
        <v/>
      </c>
      <c r="B96" s="3" t="str">
        <f aca="false">IF($W96="","",INDEX(发票统计!B$4:B$1003,$W96)&amp;"")</f>
        <v/>
      </c>
      <c r="C96" s="3" t="str">
        <f aca="false">IF($W96="","",INDEX(发票统计!C$4:C$1003,$W96)&amp;"")</f>
        <v/>
      </c>
      <c r="D96" s="3" t="str">
        <f aca="false">IF($W96="","",INDEX(发票统计!D$4:D$1003,$W96)&amp;"")</f>
        <v/>
      </c>
      <c r="E96" s="67" t="str">
        <f aca="false">IF($W96="","",INDEX(发票统计!E$4:E$1003,$W96)&amp;"")</f>
        <v/>
      </c>
      <c r="F96" s="68" t="str">
        <f aca="false">IF($W96="","",INDEX(发票统计!F$4:F$1003,$W96)&amp;"")</f>
        <v/>
      </c>
      <c r="G96" s="68" t="str">
        <f aca="false">IF($W96="","",IF(INDEX(发票统计!G$4:G$1003,$W96)="","",INDEX(发票统计!G$4:G$1003,$W96)))</f>
        <v/>
      </c>
      <c r="H96" s="56" t="str">
        <f aca="false">IF($W96="","",N(INDEX(发票统计!H$4:H$1003,$W96)))</f>
        <v/>
      </c>
      <c r="I96" s="56" t="str">
        <f aca="false">IF($W96="","",N(INDEX(发票统计!I$4:I$1003,$W96)))</f>
        <v/>
      </c>
      <c r="J96" s="56" t="str">
        <f aca="false">IF($W96="","",N(INDEX(发票统计!J$4:J$1003,$W96)))</f>
        <v/>
      </c>
      <c r="K96" s="56" t="str">
        <f aca="false">IF($W96="","",N(INDEX(发票统计!K$4:K$1003,$W96)))</f>
        <v/>
      </c>
      <c r="L96" s="56" t="str">
        <f aca="false">IF($W96="","",SUM(J$4:J96)-SUM(K$4:K96))</f>
        <v/>
      </c>
      <c r="M96" s="56" t="str">
        <f aca="false">IF($W96="","",N(INDEX(发票统计!M$4:M$1003,$W96)))</f>
        <v/>
      </c>
      <c r="N96" s="56" t="str">
        <f aca="false">IF($W96="","",N(INDEX(发票统计!N$4:N$1003,$W96)))</f>
        <v/>
      </c>
      <c r="O96" s="56" t="str">
        <f aca="false">IF($W96="","",N(INDEX(发票统计!O$4:O$1003,$W96)))</f>
        <v/>
      </c>
      <c r="P96" s="56" t="str">
        <f aca="false">IF($W96="","",SUM(M$4:M96)-SUM(N$4:N96)-SUM(O$4:O96))</f>
        <v/>
      </c>
      <c r="Q96" s="56" t="str">
        <f aca="false">IF($W96="","",N(INDEX(发票统计!Q$4:Q$1003,$W96)))</f>
        <v/>
      </c>
      <c r="R96" s="56" t="str">
        <f aca="false">IF($W96="","",N(INDEX(发票统计!R$4:R$1003,$W96)))</f>
        <v/>
      </c>
      <c r="S96" s="56" t="str">
        <f aca="false">IF($W96="","",N(INDEX(发票统计!S$4:S$1003,$W96)))</f>
        <v/>
      </c>
      <c r="T96" s="56" t="str">
        <f aca="false">IF($W96="","",SUM(Q$4:Q96)-SUM(R$4:R96)-SUM(S$4:S96))</f>
        <v/>
      </c>
      <c r="U96" s="56" t="str">
        <f aca="false">IF($W96="","",INDEX(发票统计!U$4:U$1003,$W96)&amp;"")</f>
        <v/>
      </c>
      <c r="W96" s="1" t="str">
        <f aca="false">IF($V$3="","",IFERROR(MATCH($V$3&amp;"#"&amp;ROWS(W$4:W96),发票统计!$W$4:$W$1003,0),""))</f>
        <v/>
      </c>
    </row>
    <row r="97" customFormat="false" ht="16.5" hidden="false" customHeight="false" outlineLevel="0" collapsed="false">
      <c r="A97" s="3" t="str">
        <f aca="false">IF($W97="","",INDEX(发票统计!A$4:A$1003,$W97)&amp;"")</f>
        <v/>
      </c>
      <c r="B97" s="3" t="str">
        <f aca="false">IF($W97="","",INDEX(发票统计!B$4:B$1003,$W97)&amp;"")</f>
        <v/>
      </c>
      <c r="C97" s="3" t="str">
        <f aca="false">IF($W97="","",INDEX(发票统计!C$4:C$1003,$W97)&amp;"")</f>
        <v/>
      </c>
      <c r="D97" s="3" t="str">
        <f aca="false">IF($W97="","",INDEX(发票统计!D$4:D$1003,$W97)&amp;"")</f>
        <v/>
      </c>
      <c r="E97" s="67" t="str">
        <f aca="false">IF($W97="","",INDEX(发票统计!E$4:E$1003,$W97)&amp;"")</f>
        <v/>
      </c>
      <c r="F97" s="68" t="str">
        <f aca="false">IF($W97="","",INDEX(发票统计!F$4:F$1003,$W97)&amp;"")</f>
        <v/>
      </c>
      <c r="G97" s="68" t="str">
        <f aca="false">IF($W97="","",IF(INDEX(发票统计!G$4:G$1003,$W97)="","",INDEX(发票统计!G$4:G$1003,$W97)))</f>
        <v/>
      </c>
      <c r="H97" s="56" t="str">
        <f aca="false">IF($W97="","",N(INDEX(发票统计!H$4:H$1003,$W97)))</f>
        <v/>
      </c>
      <c r="I97" s="56" t="str">
        <f aca="false">IF($W97="","",N(INDEX(发票统计!I$4:I$1003,$W97)))</f>
        <v/>
      </c>
      <c r="J97" s="56" t="str">
        <f aca="false">IF($W97="","",N(INDEX(发票统计!J$4:J$1003,$W97)))</f>
        <v/>
      </c>
      <c r="K97" s="56" t="str">
        <f aca="false">IF($W97="","",N(INDEX(发票统计!K$4:K$1003,$W97)))</f>
        <v/>
      </c>
      <c r="L97" s="56" t="str">
        <f aca="false">IF($W97="","",SUM(J$4:J97)-SUM(K$4:K97))</f>
        <v/>
      </c>
      <c r="M97" s="56" t="str">
        <f aca="false">IF($W97="","",N(INDEX(发票统计!M$4:M$1003,$W97)))</f>
        <v/>
      </c>
      <c r="N97" s="56" t="str">
        <f aca="false">IF($W97="","",N(INDEX(发票统计!N$4:N$1003,$W97)))</f>
        <v/>
      </c>
      <c r="O97" s="56" t="str">
        <f aca="false">IF($W97="","",N(INDEX(发票统计!O$4:O$1003,$W97)))</f>
        <v/>
      </c>
      <c r="P97" s="56" t="str">
        <f aca="false">IF($W97="","",SUM(M$4:M97)-SUM(N$4:N97)-SUM(O$4:O97))</f>
        <v/>
      </c>
      <c r="Q97" s="56" t="str">
        <f aca="false">IF($W97="","",N(INDEX(发票统计!Q$4:Q$1003,$W97)))</f>
        <v/>
      </c>
      <c r="R97" s="56" t="str">
        <f aca="false">IF($W97="","",N(INDEX(发票统计!R$4:R$1003,$W97)))</f>
        <v/>
      </c>
      <c r="S97" s="56" t="str">
        <f aca="false">IF($W97="","",N(INDEX(发票统计!S$4:S$1003,$W97)))</f>
        <v/>
      </c>
      <c r="T97" s="56" t="str">
        <f aca="false">IF($W97="","",SUM(Q$4:Q97)-SUM(R$4:R97)-SUM(S$4:S97))</f>
        <v/>
      </c>
      <c r="U97" s="56" t="str">
        <f aca="false">IF($W97="","",INDEX(发票统计!U$4:U$1003,$W97)&amp;"")</f>
        <v/>
      </c>
      <c r="W97" s="1" t="str">
        <f aca="false">IF($V$3="","",IFERROR(MATCH($V$3&amp;"#"&amp;ROWS(W$4:W97),发票统计!$W$4:$W$1003,0),""))</f>
        <v/>
      </c>
    </row>
    <row r="98" customFormat="false" ht="16.5" hidden="false" customHeight="false" outlineLevel="0" collapsed="false">
      <c r="A98" s="3" t="str">
        <f aca="false">IF($W98="","",INDEX(发票统计!A$4:A$1003,$W98)&amp;"")</f>
        <v/>
      </c>
      <c r="B98" s="3" t="str">
        <f aca="false">IF($W98="","",INDEX(发票统计!B$4:B$1003,$W98)&amp;"")</f>
        <v/>
      </c>
      <c r="C98" s="3" t="str">
        <f aca="false">IF($W98="","",INDEX(发票统计!C$4:C$1003,$W98)&amp;"")</f>
        <v/>
      </c>
      <c r="D98" s="3" t="str">
        <f aca="false">IF($W98="","",INDEX(发票统计!D$4:D$1003,$W98)&amp;"")</f>
        <v/>
      </c>
      <c r="E98" s="67" t="str">
        <f aca="false">IF($W98="","",INDEX(发票统计!E$4:E$1003,$W98)&amp;"")</f>
        <v/>
      </c>
      <c r="F98" s="68" t="str">
        <f aca="false">IF($W98="","",INDEX(发票统计!F$4:F$1003,$W98)&amp;"")</f>
        <v/>
      </c>
      <c r="G98" s="68" t="str">
        <f aca="false">IF($W98="","",IF(INDEX(发票统计!G$4:G$1003,$W98)="","",INDEX(发票统计!G$4:G$1003,$W98)))</f>
        <v/>
      </c>
      <c r="H98" s="56" t="str">
        <f aca="false">IF($W98="","",N(INDEX(发票统计!H$4:H$1003,$W98)))</f>
        <v/>
      </c>
      <c r="I98" s="56" t="str">
        <f aca="false">IF($W98="","",N(INDEX(发票统计!I$4:I$1003,$W98)))</f>
        <v/>
      </c>
      <c r="J98" s="56" t="str">
        <f aca="false">IF($W98="","",N(INDEX(发票统计!J$4:J$1003,$W98)))</f>
        <v/>
      </c>
      <c r="K98" s="56" t="str">
        <f aca="false">IF($W98="","",N(INDEX(发票统计!K$4:K$1003,$W98)))</f>
        <v/>
      </c>
      <c r="L98" s="56" t="str">
        <f aca="false">IF($W98="","",SUM(J$4:J98)-SUM(K$4:K98))</f>
        <v/>
      </c>
      <c r="M98" s="56" t="str">
        <f aca="false">IF($W98="","",N(INDEX(发票统计!M$4:M$1003,$W98)))</f>
        <v/>
      </c>
      <c r="N98" s="56" t="str">
        <f aca="false">IF($W98="","",N(INDEX(发票统计!N$4:N$1003,$W98)))</f>
        <v/>
      </c>
      <c r="O98" s="56" t="str">
        <f aca="false">IF($W98="","",N(INDEX(发票统计!O$4:O$1003,$W98)))</f>
        <v/>
      </c>
      <c r="P98" s="56" t="str">
        <f aca="false">IF($W98="","",SUM(M$4:M98)-SUM(N$4:N98)-SUM(O$4:O98))</f>
        <v/>
      </c>
      <c r="Q98" s="56" t="str">
        <f aca="false">IF($W98="","",N(INDEX(发票统计!Q$4:Q$1003,$W98)))</f>
        <v/>
      </c>
      <c r="R98" s="56" t="str">
        <f aca="false">IF($W98="","",N(INDEX(发票统计!R$4:R$1003,$W98)))</f>
        <v/>
      </c>
      <c r="S98" s="56" t="str">
        <f aca="false">IF($W98="","",N(INDEX(发票统计!S$4:S$1003,$W98)))</f>
        <v/>
      </c>
      <c r="T98" s="56" t="str">
        <f aca="false">IF($W98="","",SUM(Q$4:Q98)-SUM(R$4:R98)-SUM(S$4:S98))</f>
        <v/>
      </c>
      <c r="U98" s="56" t="str">
        <f aca="false">IF($W98="","",INDEX(发票统计!U$4:U$1003,$W98)&amp;"")</f>
        <v/>
      </c>
      <c r="W98" s="1" t="str">
        <f aca="false">IF($V$3="","",IFERROR(MATCH($V$3&amp;"#"&amp;ROWS(W$4:W98),发票统计!$W$4:$W$1003,0),""))</f>
        <v/>
      </c>
    </row>
    <row r="99" customFormat="false" ht="16.5" hidden="false" customHeight="false" outlineLevel="0" collapsed="false">
      <c r="A99" s="3" t="str">
        <f aca="false">IF($W99="","",INDEX(发票统计!A$4:A$1003,$W99)&amp;"")</f>
        <v/>
      </c>
      <c r="B99" s="3" t="str">
        <f aca="false">IF($W99="","",INDEX(发票统计!B$4:B$1003,$W99)&amp;"")</f>
        <v/>
      </c>
      <c r="C99" s="3" t="str">
        <f aca="false">IF($W99="","",INDEX(发票统计!C$4:C$1003,$W99)&amp;"")</f>
        <v/>
      </c>
      <c r="D99" s="3" t="str">
        <f aca="false">IF($W99="","",INDEX(发票统计!D$4:D$1003,$W99)&amp;"")</f>
        <v/>
      </c>
      <c r="E99" s="67" t="str">
        <f aca="false">IF($W99="","",INDEX(发票统计!E$4:E$1003,$W99)&amp;"")</f>
        <v/>
      </c>
      <c r="F99" s="68" t="str">
        <f aca="false">IF($W99="","",INDEX(发票统计!F$4:F$1003,$W99)&amp;"")</f>
        <v/>
      </c>
      <c r="G99" s="68" t="str">
        <f aca="false">IF($W99="","",IF(INDEX(发票统计!G$4:G$1003,$W99)="","",INDEX(发票统计!G$4:G$1003,$W99)))</f>
        <v/>
      </c>
      <c r="H99" s="56" t="str">
        <f aca="false">IF($W99="","",N(INDEX(发票统计!H$4:H$1003,$W99)))</f>
        <v/>
      </c>
      <c r="I99" s="56" t="str">
        <f aca="false">IF($W99="","",N(INDEX(发票统计!I$4:I$1003,$W99)))</f>
        <v/>
      </c>
      <c r="J99" s="56" t="str">
        <f aca="false">IF($W99="","",N(INDEX(发票统计!J$4:J$1003,$W99)))</f>
        <v/>
      </c>
      <c r="K99" s="56" t="str">
        <f aca="false">IF($W99="","",N(INDEX(发票统计!K$4:K$1003,$W99)))</f>
        <v/>
      </c>
      <c r="L99" s="56" t="str">
        <f aca="false">IF($W99="","",SUM(J$4:J99)-SUM(K$4:K99))</f>
        <v/>
      </c>
      <c r="M99" s="56" t="str">
        <f aca="false">IF($W99="","",N(INDEX(发票统计!M$4:M$1003,$W99)))</f>
        <v/>
      </c>
      <c r="N99" s="56" t="str">
        <f aca="false">IF($W99="","",N(INDEX(发票统计!N$4:N$1003,$W99)))</f>
        <v/>
      </c>
      <c r="O99" s="56" t="str">
        <f aca="false">IF($W99="","",N(INDEX(发票统计!O$4:O$1003,$W99)))</f>
        <v/>
      </c>
      <c r="P99" s="56" t="str">
        <f aca="false">IF($W99="","",SUM(M$4:M99)-SUM(N$4:N99)-SUM(O$4:O99))</f>
        <v/>
      </c>
      <c r="Q99" s="56" t="str">
        <f aca="false">IF($W99="","",N(INDEX(发票统计!Q$4:Q$1003,$W99)))</f>
        <v/>
      </c>
      <c r="R99" s="56" t="str">
        <f aca="false">IF($W99="","",N(INDEX(发票统计!R$4:R$1003,$W99)))</f>
        <v/>
      </c>
      <c r="S99" s="56" t="str">
        <f aca="false">IF($W99="","",N(INDEX(发票统计!S$4:S$1003,$W99)))</f>
        <v/>
      </c>
      <c r="T99" s="56" t="str">
        <f aca="false">IF($W99="","",SUM(Q$4:Q99)-SUM(R$4:R99)-SUM(S$4:S99))</f>
        <v/>
      </c>
      <c r="U99" s="56" t="str">
        <f aca="false">IF($W99="","",INDEX(发票统计!U$4:U$1003,$W99)&amp;"")</f>
        <v/>
      </c>
      <c r="W99" s="1" t="str">
        <f aca="false">IF($V$3="","",IFERROR(MATCH($V$3&amp;"#"&amp;ROWS(W$4:W99),发票统计!$W$4:$W$1003,0),""))</f>
        <v/>
      </c>
    </row>
    <row r="100" customFormat="false" ht="16.5" hidden="false" customHeight="false" outlineLevel="0" collapsed="false">
      <c r="A100" s="3" t="str">
        <f aca="false">IF($W100="","",INDEX(发票统计!A$4:A$1003,$W100)&amp;"")</f>
        <v/>
      </c>
      <c r="B100" s="3" t="str">
        <f aca="false">IF($W100="","",INDEX(发票统计!B$4:B$1003,$W100)&amp;"")</f>
        <v/>
      </c>
      <c r="C100" s="3" t="str">
        <f aca="false">IF($W100="","",INDEX(发票统计!C$4:C$1003,$W100)&amp;"")</f>
        <v/>
      </c>
      <c r="D100" s="3" t="str">
        <f aca="false">IF($W100="","",INDEX(发票统计!D$4:D$1003,$W100)&amp;"")</f>
        <v/>
      </c>
      <c r="E100" s="67" t="str">
        <f aca="false">IF($W100="","",INDEX(发票统计!E$4:E$1003,$W100)&amp;"")</f>
        <v/>
      </c>
      <c r="F100" s="68" t="str">
        <f aca="false">IF($W100="","",INDEX(发票统计!F$4:F$1003,$W100)&amp;"")</f>
        <v/>
      </c>
      <c r="G100" s="68" t="str">
        <f aca="false">IF($W100="","",IF(INDEX(发票统计!G$4:G$1003,$W100)="","",INDEX(发票统计!G$4:G$1003,$W100)))</f>
        <v/>
      </c>
      <c r="H100" s="56" t="str">
        <f aca="false">IF($W100="","",N(INDEX(发票统计!H$4:H$1003,$W100)))</f>
        <v/>
      </c>
      <c r="I100" s="56" t="str">
        <f aca="false">IF($W100="","",N(INDEX(发票统计!I$4:I$1003,$W100)))</f>
        <v/>
      </c>
      <c r="J100" s="56" t="str">
        <f aca="false">IF($W100="","",N(INDEX(发票统计!J$4:J$1003,$W100)))</f>
        <v/>
      </c>
      <c r="K100" s="56" t="str">
        <f aca="false">IF($W100="","",N(INDEX(发票统计!K$4:K$1003,$W100)))</f>
        <v/>
      </c>
      <c r="L100" s="56" t="str">
        <f aca="false">IF($W100="","",SUM(J$4:J100)-SUM(K$4:K100))</f>
        <v/>
      </c>
      <c r="M100" s="56" t="str">
        <f aca="false">IF($W100="","",N(INDEX(发票统计!M$4:M$1003,$W100)))</f>
        <v/>
      </c>
      <c r="N100" s="56" t="str">
        <f aca="false">IF($W100="","",N(INDEX(发票统计!N$4:N$1003,$W100)))</f>
        <v/>
      </c>
      <c r="O100" s="56" t="str">
        <f aca="false">IF($W100="","",N(INDEX(发票统计!O$4:O$1003,$W100)))</f>
        <v/>
      </c>
      <c r="P100" s="56" t="str">
        <f aca="false">IF($W100="","",SUM(M$4:M100)-SUM(N$4:N100)-SUM(O$4:O100))</f>
        <v/>
      </c>
      <c r="Q100" s="56" t="str">
        <f aca="false">IF($W100="","",N(INDEX(发票统计!Q$4:Q$1003,$W100)))</f>
        <v/>
      </c>
      <c r="R100" s="56" t="str">
        <f aca="false">IF($W100="","",N(INDEX(发票统计!R$4:R$1003,$W100)))</f>
        <v/>
      </c>
      <c r="S100" s="56" t="str">
        <f aca="false">IF($W100="","",N(INDEX(发票统计!S$4:S$1003,$W100)))</f>
        <v/>
      </c>
      <c r="T100" s="56" t="str">
        <f aca="false">IF($W100="","",SUM(Q$4:Q100)-SUM(R$4:R100)-SUM(S$4:S100))</f>
        <v/>
      </c>
      <c r="U100" s="56" t="str">
        <f aca="false">IF($W100="","",INDEX(发票统计!U$4:U$1003,$W100)&amp;"")</f>
        <v/>
      </c>
      <c r="W100" s="1" t="str">
        <f aca="false">IF($V$3="","",IFERROR(MATCH($V$3&amp;"#"&amp;ROWS(W$4:W100),发票统计!$W$4:$W$1003,0),""))</f>
        <v/>
      </c>
    </row>
    <row r="101" customFormat="false" ht="16.5" hidden="false" customHeight="false" outlineLevel="0" collapsed="false">
      <c r="A101" s="3" t="str">
        <f aca="false">IF($W101="","",INDEX(发票统计!A$4:A$1003,$W101)&amp;"")</f>
        <v/>
      </c>
      <c r="B101" s="3" t="str">
        <f aca="false">IF($W101="","",INDEX(发票统计!B$4:B$1003,$W101)&amp;"")</f>
        <v/>
      </c>
      <c r="C101" s="3" t="str">
        <f aca="false">IF($W101="","",INDEX(发票统计!C$4:C$1003,$W101)&amp;"")</f>
        <v/>
      </c>
      <c r="D101" s="3" t="str">
        <f aca="false">IF($W101="","",INDEX(发票统计!D$4:D$1003,$W101)&amp;"")</f>
        <v/>
      </c>
      <c r="E101" s="67" t="str">
        <f aca="false">IF($W101="","",INDEX(发票统计!E$4:E$1003,$W101)&amp;"")</f>
        <v/>
      </c>
      <c r="F101" s="68" t="str">
        <f aca="false">IF($W101="","",INDEX(发票统计!F$4:F$1003,$W101)&amp;"")</f>
        <v/>
      </c>
      <c r="G101" s="68" t="str">
        <f aca="false">IF($W101="","",IF(INDEX(发票统计!G$4:G$1003,$W101)="","",INDEX(发票统计!G$4:G$1003,$W101)))</f>
        <v/>
      </c>
      <c r="H101" s="56" t="str">
        <f aca="false">IF($W101="","",N(INDEX(发票统计!H$4:H$1003,$W101)))</f>
        <v/>
      </c>
      <c r="I101" s="56" t="str">
        <f aca="false">IF($W101="","",N(INDEX(发票统计!I$4:I$1003,$W101)))</f>
        <v/>
      </c>
      <c r="J101" s="56" t="str">
        <f aca="false">IF($W101="","",N(INDEX(发票统计!J$4:J$1003,$W101)))</f>
        <v/>
      </c>
      <c r="K101" s="56" t="str">
        <f aca="false">IF($W101="","",N(INDEX(发票统计!K$4:K$1003,$W101)))</f>
        <v/>
      </c>
      <c r="L101" s="56" t="str">
        <f aca="false">IF($W101="","",SUM(J$4:J101)-SUM(K$4:K101))</f>
        <v/>
      </c>
      <c r="M101" s="56" t="str">
        <f aca="false">IF($W101="","",N(INDEX(发票统计!M$4:M$1003,$W101)))</f>
        <v/>
      </c>
      <c r="N101" s="56" t="str">
        <f aca="false">IF($W101="","",N(INDEX(发票统计!N$4:N$1003,$W101)))</f>
        <v/>
      </c>
      <c r="O101" s="56" t="str">
        <f aca="false">IF($W101="","",N(INDEX(发票统计!O$4:O$1003,$W101)))</f>
        <v/>
      </c>
      <c r="P101" s="56" t="str">
        <f aca="false">IF($W101="","",SUM(M$4:M101)-SUM(N$4:N101)-SUM(O$4:O101))</f>
        <v/>
      </c>
      <c r="Q101" s="56" t="str">
        <f aca="false">IF($W101="","",N(INDEX(发票统计!Q$4:Q$1003,$W101)))</f>
        <v/>
      </c>
      <c r="R101" s="56" t="str">
        <f aca="false">IF($W101="","",N(INDEX(发票统计!R$4:R$1003,$W101)))</f>
        <v/>
      </c>
      <c r="S101" s="56" t="str">
        <f aca="false">IF($W101="","",N(INDEX(发票统计!S$4:S$1003,$W101)))</f>
        <v/>
      </c>
      <c r="T101" s="56" t="str">
        <f aca="false">IF($W101="","",SUM(Q$4:Q101)-SUM(R$4:R101)-SUM(S$4:S101))</f>
        <v/>
      </c>
      <c r="U101" s="56" t="str">
        <f aca="false">IF($W101="","",INDEX(发票统计!U$4:U$1003,$W101)&amp;"")</f>
        <v/>
      </c>
      <c r="W101" s="1" t="str">
        <f aca="false">IF($V$3="","",IFERROR(MATCH($V$3&amp;"#"&amp;ROWS(W$4:W101),发票统计!$W$4:$W$1003,0),""))</f>
        <v/>
      </c>
    </row>
    <row r="102" customFormat="false" ht="16.5" hidden="false" customHeight="false" outlineLevel="0" collapsed="false">
      <c r="A102" s="3" t="str">
        <f aca="false">IF($W102="","",INDEX(发票统计!A$4:A$1003,$W102)&amp;"")</f>
        <v/>
      </c>
      <c r="B102" s="3" t="str">
        <f aca="false">IF($W102="","",INDEX(发票统计!B$4:B$1003,$W102)&amp;"")</f>
        <v/>
      </c>
      <c r="C102" s="3" t="str">
        <f aca="false">IF($W102="","",INDEX(发票统计!C$4:C$1003,$W102)&amp;"")</f>
        <v/>
      </c>
      <c r="D102" s="3" t="str">
        <f aca="false">IF($W102="","",INDEX(发票统计!D$4:D$1003,$W102)&amp;"")</f>
        <v/>
      </c>
      <c r="E102" s="67" t="str">
        <f aca="false">IF($W102="","",INDEX(发票统计!E$4:E$1003,$W102)&amp;"")</f>
        <v/>
      </c>
      <c r="F102" s="68" t="str">
        <f aca="false">IF($W102="","",INDEX(发票统计!F$4:F$1003,$W102)&amp;"")</f>
        <v/>
      </c>
      <c r="G102" s="68" t="str">
        <f aca="false">IF($W102="","",IF(INDEX(发票统计!G$4:G$1003,$W102)="","",INDEX(发票统计!G$4:G$1003,$W102)))</f>
        <v/>
      </c>
      <c r="H102" s="56" t="str">
        <f aca="false">IF($W102="","",N(INDEX(发票统计!H$4:H$1003,$W102)))</f>
        <v/>
      </c>
      <c r="I102" s="56" t="str">
        <f aca="false">IF($W102="","",N(INDEX(发票统计!I$4:I$1003,$W102)))</f>
        <v/>
      </c>
      <c r="J102" s="56" t="str">
        <f aca="false">IF($W102="","",N(INDEX(发票统计!J$4:J$1003,$W102)))</f>
        <v/>
      </c>
      <c r="K102" s="56" t="str">
        <f aca="false">IF($W102="","",N(INDEX(发票统计!K$4:K$1003,$W102)))</f>
        <v/>
      </c>
      <c r="L102" s="56" t="str">
        <f aca="false">IF($W102="","",SUM(J$4:J102)-SUM(K$4:K102))</f>
        <v/>
      </c>
      <c r="M102" s="56" t="str">
        <f aca="false">IF($W102="","",N(INDEX(发票统计!M$4:M$1003,$W102)))</f>
        <v/>
      </c>
      <c r="N102" s="56" t="str">
        <f aca="false">IF($W102="","",N(INDEX(发票统计!N$4:N$1003,$W102)))</f>
        <v/>
      </c>
      <c r="O102" s="56" t="str">
        <f aca="false">IF($W102="","",N(INDEX(发票统计!O$4:O$1003,$W102)))</f>
        <v/>
      </c>
      <c r="P102" s="56" t="str">
        <f aca="false">IF($W102="","",SUM(M$4:M102)-SUM(N$4:N102)-SUM(O$4:O102))</f>
        <v/>
      </c>
      <c r="Q102" s="56" t="str">
        <f aca="false">IF($W102="","",N(INDEX(发票统计!Q$4:Q$1003,$W102)))</f>
        <v/>
      </c>
      <c r="R102" s="56" t="str">
        <f aca="false">IF($W102="","",N(INDEX(发票统计!R$4:R$1003,$W102)))</f>
        <v/>
      </c>
      <c r="S102" s="56" t="str">
        <f aca="false">IF($W102="","",N(INDEX(发票统计!S$4:S$1003,$W102)))</f>
        <v/>
      </c>
      <c r="T102" s="56" t="str">
        <f aca="false">IF($W102="","",SUM(Q$4:Q102)-SUM(R$4:R102)-SUM(S$4:S102))</f>
        <v/>
      </c>
      <c r="U102" s="56" t="str">
        <f aca="false">IF($W102="","",INDEX(发票统计!U$4:U$1003,$W102)&amp;"")</f>
        <v/>
      </c>
      <c r="W102" s="1" t="str">
        <f aca="false">IF($V$3="","",IFERROR(MATCH($V$3&amp;"#"&amp;ROWS(W$4:W102),发票统计!$W$4:$W$1003,0),""))</f>
        <v/>
      </c>
    </row>
    <row r="103" customFormat="false" ht="16.5" hidden="false" customHeight="false" outlineLevel="0" collapsed="false">
      <c r="A103" s="3" t="str">
        <f aca="false">IF($W103="","",INDEX(发票统计!A$4:A$1003,$W103)&amp;"")</f>
        <v/>
      </c>
      <c r="B103" s="3" t="str">
        <f aca="false">IF($W103="","",INDEX(发票统计!B$4:B$1003,$W103)&amp;"")</f>
        <v/>
      </c>
      <c r="C103" s="3" t="str">
        <f aca="false">IF($W103="","",INDEX(发票统计!C$4:C$1003,$W103)&amp;"")</f>
        <v/>
      </c>
      <c r="D103" s="3" t="str">
        <f aca="false">IF($W103="","",INDEX(发票统计!D$4:D$1003,$W103)&amp;"")</f>
        <v/>
      </c>
      <c r="E103" s="67" t="str">
        <f aca="false">IF($W103="","",INDEX(发票统计!E$4:E$1003,$W103)&amp;"")</f>
        <v/>
      </c>
      <c r="F103" s="68" t="str">
        <f aca="false">IF($W103="","",INDEX(发票统计!F$4:F$1003,$W103)&amp;"")</f>
        <v/>
      </c>
      <c r="G103" s="68" t="str">
        <f aca="false">IF($W103="","",IF(INDEX(发票统计!G$4:G$1003,$W103)="","",INDEX(发票统计!G$4:G$1003,$W103)))</f>
        <v/>
      </c>
      <c r="H103" s="56" t="str">
        <f aca="false">IF($W103="","",N(INDEX(发票统计!H$4:H$1003,$W103)))</f>
        <v/>
      </c>
      <c r="I103" s="56" t="str">
        <f aca="false">IF($W103="","",N(INDEX(发票统计!I$4:I$1003,$W103)))</f>
        <v/>
      </c>
      <c r="J103" s="56" t="str">
        <f aca="false">IF($W103="","",N(INDEX(发票统计!J$4:J$1003,$W103)))</f>
        <v/>
      </c>
      <c r="K103" s="56" t="str">
        <f aca="false">IF($W103="","",N(INDEX(发票统计!K$4:K$1003,$W103)))</f>
        <v/>
      </c>
      <c r="L103" s="56" t="str">
        <f aca="false">IF($W103="","",SUM(J$4:J103)-SUM(K$4:K103))</f>
        <v/>
      </c>
      <c r="M103" s="56" t="str">
        <f aca="false">IF($W103="","",N(INDEX(发票统计!M$4:M$1003,$W103)))</f>
        <v/>
      </c>
      <c r="N103" s="56" t="str">
        <f aca="false">IF($W103="","",N(INDEX(发票统计!N$4:N$1003,$W103)))</f>
        <v/>
      </c>
      <c r="O103" s="56" t="str">
        <f aca="false">IF($W103="","",N(INDEX(发票统计!O$4:O$1003,$W103)))</f>
        <v/>
      </c>
      <c r="P103" s="56" t="str">
        <f aca="false">IF($W103="","",SUM(M$4:M103)-SUM(N$4:N103)-SUM(O$4:O103))</f>
        <v/>
      </c>
      <c r="Q103" s="56" t="str">
        <f aca="false">IF($W103="","",N(INDEX(发票统计!Q$4:Q$1003,$W103)))</f>
        <v/>
      </c>
      <c r="R103" s="56" t="str">
        <f aca="false">IF($W103="","",N(INDEX(发票统计!R$4:R$1003,$W103)))</f>
        <v/>
      </c>
      <c r="S103" s="56" t="str">
        <f aca="false">IF($W103="","",N(INDEX(发票统计!S$4:S$1003,$W103)))</f>
        <v/>
      </c>
      <c r="T103" s="56" t="str">
        <f aca="false">IF($W103="","",SUM(Q$4:Q103)-SUM(R$4:R103)-SUM(S$4:S103))</f>
        <v/>
      </c>
      <c r="U103" s="56" t="str">
        <f aca="false">IF($W103="","",INDEX(发票统计!U$4:U$1003,$W103)&amp;"")</f>
        <v/>
      </c>
      <c r="W103" s="1" t="str">
        <f aca="false">IF($V$3="","",IFERROR(MATCH($V$3&amp;"#"&amp;ROWS(W$4:W103),发票统计!$W$4:$W$1003,0),""))</f>
        <v/>
      </c>
    </row>
    <row r="104" customFormat="false" ht="16.5" hidden="false" customHeight="false" outlineLevel="0" collapsed="false">
      <c r="A104" s="3" t="str">
        <f aca="false">IF($W104="","",INDEX(发票统计!A$4:A$1003,$W104)&amp;"")</f>
        <v/>
      </c>
      <c r="B104" s="3" t="str">
        <f aca="false">IF($W104="","",INDEX(发票统计!B$4:B$1003,$W104)&amp;"")</f>
        <v/>
      </c>
      <c r="C104" s="3" t="str">
        <f aca="false">IF($W104="","",INDEX(发票统计!C$4:C$1003,$W104)&amp;"")</f>
        <v/>
      </c>
      <c r="D104" s="3" t="str">
        <f aca="false">IF($W104="","",INDEX(发票统计!D$4:D$1003,$W104)&amp;"")</f>
        <v/>
      </c>
      <c r="E104" s="67" t="str">
        <f aca="false">IF($W104="","",INDEX(发票统计!E$4:E$1003,$W104)&amp;"")</f>
        <v/>
      </c>
      <c r="F104" s="68" t="str">
        <f aca="false">IF($W104="","",INDEX(发票统计!F$4:F$1003,$W104)&amp;"")</f>
        <v/>
      </c>
      <c r="G104" s="68" t="str">
        <f aca="false">IF($W104="","",IF(INDEX(发票统计!G$4:G$1003,$W104)="","",INDEX(发票统计!G$4:G$1003,$W104)))</f>
        <v/>
      </c>
      <c r="H104" s="56" t="str">
        <f aca="false">IF($W104="","",N(INDEX(发票统计!H$4:H$1003,$W104)))</f>
        <v/>
      </c>
      <c r="I104" s="56" t="str">
        <f aca="false">IF($W104="","",N(INDEX(发票统计!I$4:I$1003,$W104)))</f>
        <v/>
      </c>
      <c r="J104" s="56" t="str">
        <f aca="false">IF($W104="","",N(INDEX(发票统计!J$4:J$1003,$W104)))</f>
        <v/>
      </c>
      <c r="K104" s="56" t="str">
        <f aca="false">IF($W104="","",N(INDEX(发票统计!K$4:K$1003,$W104)))</f>
        <v/>
      </c>
      <c r="L104" s="56" t="str">
        <f aca="false">IF($W104="","",SUM(J$4:J104)-SUM(K$4:K104))</f>
        <v/>
      </c>
      <c r="M104" s="56" t="str">
        <f aca="false">IF($W104="","",N(INDEX(发票统计!M$4:M$1003,$W104)))</f>
        <v/>
      </c>
      <c r="N104" s="56" t="str">
        <f aca="false">IF($W104="","",N(INDEX(发票统计!N$4:N$1003,$W104)))</f>
        <v/>
      </c>
      <c r="O104" s="56" t="str">
        <f aca="false">IF($W104="","",N(INDEX(发票统计!O$4:O$1003,$W104)))</f>
        <v/>
      </c>
      <c r="P104" s="56" t="str">
        <f aca="false">IF($W104="","",SUM(M$4:M104)-SUM(N$4:N104)-SUM(O$4:O104))</f>
        <v/>
      </c>
      <c r="Q104" s="56" t="str">
        <f aca="false">IF($W104="","",N(INDEX(发票统计!Q$4:Q$1003,$W104)))</f>
        <v/>
      </c>
      <c r="R104" s="56" t="str">
        <f aca="false">IF($W104="","",N(INDEX(发票统计!R$4:R$1003,$W104)))</f>
        <v/>
      </c>
      <c r="S104" s="56" t="str">
        <f aca="false">IF($W104="","",N(INDEX(发票统计!S$4:S$1003,$W104)))</f>
        <v/>
      </c>
      <c r="T104" s="56" t="str">
        <f aca="false">IF($W104="","",SUM(Q$4:Q104)-SUM(R$4:R104)-SUM(S$4:S104))</f>
        <v/>
      </c>
      <c r="U104" s="56" t="str">
        <f aca="false">IF($W104="","",INDEX(发票统计!U$4:U$1003,$W104)&amp;"")</f>
        <v/>
      </c>
      <c r="W104" s="1" t="str">
        <f aca="false">IF($V$3="","",IFERROR(MATCH($V$3&amp;"#"&amp;ROWS(W$4:W104),发票统计!$W$4:$W$1003,0),""))</f>
        <v/>
      </c>
    </row>
    <row r="105" customFormat="false" ht="16.5" hidden="false" customHeight="false" outlineLevel="0" collapsed="false">
      <c r="A105" s="3" t="str">
        <f aca="false">IF($W105="","",INDEX(发票统计!A$4:A$1003,$W105)&amp;"")</f>
        <v/>
      </c>
      <c r="B105" s="3" t="str">
        <f aca="false">IF($W105="","",INDEX(发票统计!B$4:B$1003,$W105)&amp;"")</f>
        <v/>
      </c>
      <c r="C105" s="3" t="str">
        <f aca="false">IF($W105="","",INDEX(发票统计!C$4:C$1003,$W105)&amp;"")</f>
        <v/>
      </c>
      <c r="D105" s="3" t="str">
        <f aca="false">IF($W105="","",INDEX(发票统计!D$4:D$1003,$W105)&amp;"")</f>
        <v/>
      </c>
      <c r="E105" s="67" t="str">
        <f aca="false">IF($W105="","",INDEX(发票统计!E$4:E$1003,$W105)&amp;"")</f>
        <v/>
      </c>
      <c r="F105" s="68" t="str">
        <f aca="false">IF($W105="","",INDEX(发票统计!F$4:F$1003,$W105)&amp;"")</f>
        <v/>
      </c>
      <c r="G105" s="68" t="str">
        <f aca="false">IF($W105="","",IF(INDEX(发票统计!G$4:G$1003,$W105)="","",INDEX(发票统计!G$4:G$1003,$W105)))</f>
        <v/>
      </c>
      <c r="H105" s="56" t="str">
        <f aca="false">IF($W105="","",N(INDEX(发票统计!H$4:H$1003,$W105)))</f>
        <v/>
      </c>
      <c r="I105" s="56" t="str">
        <f aca="false">IF($W105="","",N(INDEX(发票统计!I$4:I$1003,$W105)))</f>
        <v/>
      </c>
      <c r="J105" s="56" t="str">
        <f aca="false">IF($W105="","",N(INDEX(发票统计!J$4:J$1003,$W105)))</f>
        <v/>
      </c>
      <c r="K105" s="56" t="str">
        <f aca="false">IF($W105="","",N(INDEX(发票统计!K$4:K$1003,$W105)))</f>
        <v/>
      </c>
      <c r="L105" s="56" t="str">
        <f aca="false">IF($W105="","",SUM(J$4:J105)-SUM(K$4:K105))</f>
        <v/>
      </c>
      <c r="M105" s="56" t="str">
        <f aca="false">IF($W105="","",N(INDEX(发票统计!M$4:M$1003,$W105)))</f>
        <v/>
      </c>
      <c r="N105" s="56" t="str">
        <f aca="false">IF($W105="","",N(INDEX(发票统计!N$4:N$1003,$W105)))</f>
        <v/>
      </c>
      <c r="O105" s="56" t="str">
        <f aca="false">IF($W105="","",N(INDEX(发票统计!O$4:O$1003,$W105)))</f>
        <v/>
      </c>
      <c r="P105" s="56" t="str">
        <f aca="false">IF($W105="","",SUM(M$4:M105)-SUM(N$4:N105)-SUM(O$4:O105))</f>
        <v/>
      </c>
      <c r="Q105" s="56" t="str">
        <f aca="false">IF($W105="","",N(INDEX(发票统计!Q$4:Q$1003,$W105)))</f>
        <v/>
      </c>
      <c r="R105" s="56" t="str">
        <f aca="false">IF($W105="","",N(INDEX(发票统计!R$4:R$1003,$W105)))</f>
        <v/>
      </c>
      <c r="S105" s="56" t="str">
        <f aca="false">IF($W105="","",N(INDEX(发票统计!S$4:S$1003,$W105)))</f>
        <v/>
      </c>
      <c r="T105" s="56" t="str">
        <f aca="false">IF($W105="","",SUM(Q$4:Q105)-SUM(R$4:R105)-SUM(S$4:S105))</f>
        <v/>
      </c>
      <c r="U105" s="56" t="str">
        <f aca="false">IF($W105="","",INDEX(发票统计!U$4:U$1003,$W105)&amp;"")</f>
        <v/>
      </c>
      <c r="W105" s="1" t="str">
        <f aca="false">IF($V$3="","",IFERROR(MATCH($V$3&amp;"#"&amp;ROWS(W$4:W105),发票统计!$W$4:$W$1003,0),""))</f>
        <v/>
      </c>
    </row>
    <row r="106" customFormat="false" ht="16.5" hidden="false" customHeight="false" outlineLevel="0" collapsed="false">
      <c r="A106" s="3" t="str">
        <f aca="false">IF($W106="","",INDEX(发票统计!A$4:A$1003,$W106)&amp;"")</f>
        <v/>
      </c>
      <c r="B106" s="3" t="str">
        <f aca="false">IF($W106="","",INDEX(发票统计!B$4:B$1003,$W106)&amp;"")</f>
        <v/>
      </c>
      <c r="C106" s="3" t="str">
        <f aca="false">IF($W106="","",INDEX(发票统计!C$4:C$1003,$W106)&amp;"")</f>
        <v/>
      </c>
      <c r="D106" s="3" t="str">
        <f aca="false">IF($W106="","",INDEX(发票统计!D$4:D$1003,$W106)&amp;"")</f>
        <v/>
      </c>
      <c r="E106" s="67" t="str">
        <f aca="false">IF($W106="","",INDEX(发票统计!E$4:E$1003,$W106)&amp;"")</f>
        <v/>
      </c>
      <c r="F106" s="68" t="str">
        <f aca="false">IF($W106="","",INDEX(发票统计!F$4:F$1003,$W106)&amp;"")</f>
        <v/>
      </c>
      <c r="G106" s="68" t="str">
        <f aca="false">IF($W106="","",IF(INDEX(发票统计!G$4:G$1003,$W106)="","",INDEX(发票统计!G$4:G$1003,$W106)))</f>
        <v/>
      </c>
      <c r="H106" s="56" t="str">
        <f aca="false">IF($W106="","",N(INDEX(发票统计!H$4:H$1003,$W106)))</f>
        <v/>
      </c>
      <c r="I106" s="56" t="str">
        <f aca="false">IF($W106="","",N(INDEX(发票统计!I$4:I$1003,$W106)))</f>
        <v/>
      </c>
      <c r="J106" s="56" t="str">
        <f aca="false">IF($W106="","",N(INDEX(发票统计!J$4:J$1003,$W106)))</f>
        <v/>
      </c>
      <c r="K106" s="56" t="str">
        <f aca="false">IF($W106="","",N(INDEX(发票统计!K$4:K$1003,$W106)))</f>
        <v/>
      </c>
      <c r="L106" s="56" t="str">
        <f aca="false">IF($W106="","",SUM(J$4:J106)-SUM(K$4:K106))</f>
        <v/>
      </c>
      <c r="M106" s="56" t="str">
        <f aca="false">IF($W106="","",N(INDEX(发票统计!M$4:M$1003,$W106)))</f>
        <v/>
      </c>
      <c r="N106" s="56" t="str">
        <f aca="false">IF($W106="","",N(INDEX(发票统计!N$4:N$1003,$W106)))</f>
        <v/>
      </c>
      <c r="O106" s="56" t="str">
        <f aca="false">IF($W106="","",N(INDEX(发票统计!O$4:O$1003,$W106)))</f>
        <v/>
      </c>
      <c r="P106" s="56" t="str">
        <f aca="false">IF($W106="","",SUM(M$4:M106)-SUM(N$4:N106)-SUM(O$4:O106))</f>
        <v/>
      </c>
      <c r="Q106" s="56" t="str">
        <f aca="false">IF($W106="","",N(INDEX(发票统计!Q$4:Q$1003,$W106)))</f>
        <v/>
      </c>
      <c r="R106" s="56" t="str">
        <f aca="false">IF($W106="","",N(INDEX(发票统计!R$4:R$1003,$W106)))</f>
        <v/>
      </c>
      <c r="S106" s="56" t="str">
        <f aca="false">IF($W106="","",N(INDEX(发票统计!S$4:S$1003,$W106)))</f>
        <v/>
      </c>
      <c r="T106" s="56" t="str">
        <f aca="false">IF($W106="","",SUM(Q$4:Q106)-SUM(R$4:R106)-SUM(S$4:S106))</f>
        <v/>
      </c>
      <c r="U106" s="56" t="str">
        <f aca="false">IF($W106="","",INDEX(发票统计!U$4:U$1003,$W106)&amp;"")</f>
        <v/>
      </c>
      <c r="W106" s="1" t="str">
        <f aca="false">IF($V$3="","",IFERROR(MATCH($V$3&amp;"#"&amp;ROWS(W$4:W106),发票统计!$W$4:$W$1003,0),""))</f>
        <v/>
      </c>
    </row>
    <row r="107" customFormat="false" ht="16.5" hidden="false" customHeight="false" outlineLevel="0" collapsed="false">
      <c r="A107" s="3" t="str">
        <f aca="false">IF($W107="","",INDEX(发票统计!A$4:A$1003,$W107)&amp;"")</f>
        <v/>
      </c>
      <c r="B107" s="3" t="str">
        <f aca="false">IF($W107="","",INDEX(发票统计!B$4:B$1003,$W107)&amp;"")</f>
        <v/>
      </c>
      <c r="C107" s="3" t="str">
        <f aca="false">IF($W107="","",INDEX(发票统计!C$4:C$1003,$W107)&amp;"")</f>
        <v/>
      </c>
      <c r="D107" s="3" t="str">
        <f aca="false">IF($W107="","",INDEX(发票统计!D$4:D$1003,$W107)&amp;"")</f>
        <v/>
      </c>
      <c r="E107" s="67" t="str">
        <f aca="false">IF($W107="","",INDEX(发票统计!E$4:E$1003,$W107)&amp;"")</f>
        <v/>
      </c>
      <c r="F107" s="68" t="str">
        <f aca="false">IF($W107="","",INDEX(发票统计!F$4:F$1003,$W107)&amp;"")</f>
        <v/>
      </c>
      <c r="G107" s="68" t="str">
        <f aca="false">IF($W107="","",IF(INDEX(发票统计!G$4:G$1003,$W107)="","",INDEX(发票统计!G$4:G$1003,$W107)))</f>
        <v/>
      </c>
      <c r="H107" s="56" t="str">
        <f aca="false">IF($W107="","",N(INDEX(发票统计!H$4:H$1003,$W107)))</f>
        <v/>
      </c>
      <c r="I107" s="56" t="str">
        <f aca="false">IF($W107="","",N(INDEX(发票统计!I$4:I$1003,$W107)))</f>
        <v/>
      </c>
      <c r="J107" s="56" t="str">
        <f aca="false">IF($W107="","",N(INDEX(发票统计!J$4:J$1003,$W107)))</f>
        <v/>
      </c>
      <c r="K107" s="56" t="str">
        <f aca="false">IF($W107="","",N(INDEX(发票统计!K$4:K$1003,$W107)))</f>
        <v/>
      </c>
      <c r="L107" s="56" t="str">
        <f aca="false">IF($W107="","",SUM(J$4:J107)-SUM(K$4:K107))</f>
        <v/>
      </c>
      <c r="M107" s="56" t="str">
        <f aca="false">IF($W107="","",N(INDEX(发票统计!M$4:M$1003,$W107)))</f>
        <v/>
      </c>
      <c r="N107" s="56" t="str">
        <f aca="false">IF($W107="","",N(INDEX(发票统计!N$4:N$1003,$W107)))</f>
        <v/>
      </c>
      <c r="O107" s="56" t="str">
        <f aca="false">IF($W107="","",N(INDEX(发票统计!O$4:O$1003,$W107)))</f>
        <v/>
      </c>
      <c r="P107" s="56" t="str">
        <f aca="false">IF($W107="","",SUM(M$4:M107)-SUM(N$4:N107)-SUM(O$4:O107))</f>
        <v/>
      </c>
      <c r="Q107" s="56" t="str">
        <f aca="false">IF($W107="","",N(INDEX(发票统计!Q$4:Q$1003,$W107)))</f>
        <v/>
      </c>
      <c r="R107" s="56" t="str">
        <f aca="false">IF($W107="","",N(INDEX(发票统计!R$4:R$1003,$W107)))</f>
        <v/>
      </c>
      <c r="S107" s="56" t="str">
        <f aca="false">IF($W107="","",N(INDEX(发票统计!S$4:S$1003,$W107)))</f>
        <v/>
      </c>
      <c r="T107" s="56" t="str">
        <f aca="false">IF($W107="","",SUM(Q$4:Q107)-SUM(R$4:R107)-SUM(S$4:S107))</f>
        <v/>
      </c>
      <c r="U107" s="56" t="str">
        <f aca="false">IF($W107="","",INDEX(发票统计!U$4:U$1003,$W107)&amp;"")</f>
        <v/>
      </c>
      <c r="W107" s="1" t="str">
        <f aca="false">IF($V$3="","",IFERROR(MATCH($V$3&amp;"#"&amp;ROWS(W$4:W107),发票统计!$W$4:$W$1003,0),""))</f>
        <v/>
      </c>
    </row>
    <row r="108" customFormat="false" ht="16.5" hidden="false" customHeight="false" outlineLevel="0" collapsed="false">
      <c r="A108" s="3" t="str">
        <f aca="false">IF($W108="","",INDEX(发票统计!A$4:A$1003,$W108)&amp;"")</f>
        <v/>
      </c>
      <c r="B108" s="3" t="str">
        <f aca="false">IF($W108="","",INDEX(发票统计!B$4:B$1003,$W108)&amp;"")</f>
        <v/>
      </c>
      <c r="C108" s="3" t="str">
        <f aca="false">IF($W108="","",INDEX(发票统计!C$4:C$1003,$W108)&amp;"")</f>
        <v/>
      </c>
      <c r="D108" s="3" t="str">
        <f aca="false">IF($W108="","",INDEX(发票统计!D$4:D$1003,$W108)&amp;"")</f>
        <v/>
      </c>
      <c r="E108" s="67" t="str">
        <f aca="false">IF($W108="","",INDEX(发票统计!E$4:E$1003,$W108)&amp;"")</f>
        <v/>
      </c>
      <c r="F108" s="68" t="str">
        <f aca="false">IF($W108="","",INDEX(发票统计!F$4:F$1003,$W108)&amp;"")</f>
        <v/>
      </c>
      <c r="G108" s="68" t="str">
        <f aca="false">IF($W108="","",IF(INDEX(发票统计!G$4:G$1003,$W108)="","",INDEX(发票统计!G$4:G$1003,$W108)))</f>
        <v/>
      </c>
      <c r="H108" s="56" t="str">
        <f aca="false">IF($W108="","",N(INDEX(发票统计!H$4:H$1003,$W108)))</f>
        <v/>
      </c>
      <c r="I108" s="56" t="str">
        <f aca="false">IF($W108="","",N(INDEX(发票统计!I$4:I$1003,$W108)))</f>
        <v/>
      </c>
      <c r="J108" s="56" t="str">
        <f aca="false">IF($W108="","",N(INDEX(发票统计!J$4:J$1003,$W108)))</f>
        <v/>
      </c>
      <c r="K108" s="56" t="str">
        <f aca="false">IF($W108="","",N(INDEX(发票统计!K$4:K$1003,$W108)))</f>
        <v/>
      </c>
      <c r="L108" s="56" t="str">
        <f aca="false">IF($W108="","",SUM(J$4:J108)-SUM(K$4:K108))</f>
        <v/>
      </c>
      <c r="M108" s="56" t="str">
        <f aca="false">IF($W108="","",N(INDEX(发票统计!M$4:M$1003,$W108)))</f>
        <v/>
      </c>
      <c r="N108" s="56" t="str">
        <f aca="false">IF($W108="","",N(INDEX(发票统计!N$4:N$1003,$W108)))</f>
        <v/>
      </c>
      <c r="O108" s="56" t="str">
        <f aca="false">IF($W108="","",N(INDEX(发票统计!O$4:O$1003,$W108)))</f>
        <v/>
      </c>
      <c r="P108" s="56" t="str">
        <f aca="false">IF($W108="","",SUM(M$4:M108)-SUM(N$4:N108)-SUM(O$4:O108))</f>
        <v/>
      </c>
      <c r="Q108" s="56" t="str">
        <f aca="false">IF($W108="","",N(INDEX(发票统计!Q$4:Q$1003,$W108)))</f>
        <v/>
      </c>
      <c r="R108" s="56" t="str">
        <f aca="false">IF($W108="","",N(INDEX(发票统计!R$4:R$1003,$W108)))</f>
        <v/>
      </c>
      <c r="S108" s="56" t="str">
        <f aca="false">IF($W108="","",N(INDEX(发票统计!S$4:S$1003,$W108)))</f>
        <v/>
      </c>
      <c r="T108" s="56" t="str">
        <f aca="false">IF($W108="","",SUM(Q$4:Q108)-SUM(R$4:R108)-SUM(S$4:S108))</f>
        <v/>
      </c>
      <c r="U108" s="56" t="str">
        <f aca="false">IF($W108="","",INDEX(发票统计!U$4:U$1003,$W108)&amp;"")</f>
        <v/>
      </c>
      <c r="W108" s="1" t="str">
        <f aca="false">IF($V$3="","",IFERROR(MATCH($V$3&amp;"#"&amp;ROWS(W$4:W108),发票统计!$W$4:$W$1003,0),""))</f>
        <v/>
      </c>
    </row>
    <row r="109" customFormat="false" ht="16.5" hidden="false" customHeight="false" outlineLevel="0" collapsed="false">
      <c r="A109" s="3" t="str">
        <f aca="false">IF($W109="","",INDEX(发票统计!A$4:A$1003,$W109)&amp;"")</f>
        <v/>
      </c>
      <c r="B109" s="3" t="str">
        <f aca="false">IF($W109="","",INDEX(发票统计!B$4:B$1003,$W109)&amp;"")</f>
        <v/>
      </c>
      <c r="C109" s="3" t="str">
        <f aca="false">IF($W109="","",INDEX(发票统计!C$4:C$1003,$W109)&amp;"")</f>
        <v/>
      </c>
      <c r="D109" s="3" t="str">
        <f aca="false">IF($W109="","",INDEX(发票统计!D$4:D$1003,$W109)&amp;"")</f>
        <v/>
      </c>
      <c r="E109" s="67" t="str">
        <f aca="false">IF($W109="","",INDEX(发票统计!E$4:E$1003,$W109)&amp;"")</f>
        <v/>
      </c>
      <c r="F109" s="68" t="str">
        <f aca="false">IF($W109="","",INDEX(发票统计!F$4:F$1003,$W109)&amp;"")</f>
        <v/>
      </c>
      <c r="G109" s="68" t="str">
        <f aca="false">IF($W109="","",IF(INDEX(发票统计!G$4:G$1003,$W109)="","",INDEX(发票统计!G$4:G$1003,$W109)))</f>
        <v/>
      </c>
      <c r="H109" s="56" t="str">
        <f aca="false">IF($W109="","",N(INDEX(发票统计!H$4:H$1003,$W109)))</f>
        <v/>
      </c>
      <c r="I109" s="56" t="str">
        <f aca="false">IF($W109="","",N(INDEX(发票统计!I$4:I$1003,$W109)))</f>
        <v/>
      </c>
      <c r="J109" s="56" t="str">
        <f aca="false">IF($W109="","",N(INDEX(发票统计!J$4:J$1003,$W109)))</f>
        <v/>
      </c>
      <c r="K109" s="56" t="str">
        <f aca="false">IF($W109="","",N(INDEX(发票统计!K$4:K$1003,$W109)))</f>
        <v/>
      </c>
      <c r="L109" s="56" t="str">
        <f aca="false">IF($W109="","",SUM(J$4:J109)-SUM(K$4:K109))</f>
        <v/>
      </c>
      <c r="M109" s="56" t="str">
        <f aca="false">IF($W109="","",N(INDEX(发票统计!M$4:M$1003,$W109)))</f>
        <v/>
      </c>
      <c r="N109" s="56" t="str">
        <f aca="false">IF($W109="","",N(INDEX(发票统计!N$4:N$1003,$W109)))</f>
        <v/>
      </c>
      <c r="O109" s="56" t="str">
        <f aca="false">IF($W109="","",N(INDEX(发票统计!O$4:O$1003,$W109)))</f>
        <v/>
      </c>
      <c r="P109" s="56" t="str">
        <f aca="false">IF($W109="","",SUM(M$4:M109)-SUM(N$4:N109)-SUM(O$4:O109))</f>
        <v/>
      </c>
      <c r="Q109" s="56" t="str">
        <f aca="false">IF($W109="","",N(INDEX(发票统计!Q$4:Q$1003,$W109)))</f>
        <v/>
      </c>
      <c r="R109" s="56" t="str">
        <f aca="false">IF($W109="","",N(INDEX(发票统计!R$4:R$1003,$W109)))</f>
        <v/>
      </c>
      <c r="S109" s="56" t="str">
        <f aca="false">IF($W109="","",N(INDEX(发票统计!S$4:S$1003,$W109)))</f>
        <v/>
      </c>
      <c r="T109" s="56" t="str">
        <f aca="false">IF($W109="","",SUM(Q$4:Q109)-SUM(R$4:R109)-SUM(S$4:S109))</f>
        <v/>
      </c>
      <c r="U109" s="56" t="str">
        <f aca="false">IF($W109="","",INDEX(发票统计!U$4:U$1003,$W109)&amp;"")</f>
        <v/>
      </c>
      <c r="W109" s="1" t="str">
        <f aca="false">IF($V$3="","",IFERROR(MATCH($V$3&amp;"#"&amp;ROWS(W$4:W109),发票统计!$W$4:$W$1003,0),""))</f>
        <v/>
      </c>
    </row>
    <row r="110" customFormat="false" ht="16.5" hidden="false" customHeight="false" outlineLevel="0" collapsed="false">
      <c r="A110" s="3" t="str">
        <f aca="false">IF($W110="","",INDEX(发票统计!A$4:A$1003,$W110)&amp;"")</f>
        <v/>
      </c>
      <c r="B110" s="3" t="str">
        <f aca="false">IF($W110="","",INDEX(发票统计!B$4:B$1003,$W110)&amp;"")</f>
        <v/>
      </c>
      <c r="C110" s="3" t="str">
        <f aca="false">IF($W110="","",INDEX(发票统计!C$4:C$1003,$W110)&amp;"")</f>
        <v/>
      </c>
      <c r="D110" s="3" t="str">
        <f aca="false">IF($W110="","",INDEX(发票统计!D$4:D$1003,$W110)&amp;"")</f>
        <v/>
      </c>
      <c r="E110" s="67" t="str">
        <f aca="false">IF($W110="","",INDEX(发票统计!E$4:E$1003,$W110)&amp;"")</f>
        <v/>
      </c>
      <c r="F110" s="68" t="str">
        <f aca="false">IF($W110="","",INDEX(发票统计!F$4:F$1003,$W110)&amp;"")</f>
        <v/>
      </c>
      <c r="G110" s="68" t="str">
        <f aca="false">IF($W110="","",IF(INDEX(发票统计!G$4:G$1003,$W110)="","",INDEX(发票统计!G$4:G$1003,$W110)))</f>
        <v/>
      </c>
      <c r="H110" s="56" t="str">
        <f aca="false">IF($W110="","",N(INDEX(发票统计!H$4:H$1003,$W110)))</f>
        <v/>
      </c>
      <c r="I110" s="56" t="str">
        <f aca="false">IF($W110="","",N(INDEX(发票统计!I$4:I$1003,$W110)))</f>
        <v/>
      </c>
      <c r="J110" s="56" t="str">
        <f aca="false">IF($W110="","",N(INDEX(发票统计!J$4:J$1003,$W110)))</f>
        <v/>
      </c>
      <c r="K110" s="56" t="str">
        <f aca="false">IF($W110="","",N(INDEX(发票统计!K$4:K$1003,$W110)))</f>
        <v/>
      </c>
      <c r="L110" s="56" t="str">
        <f aca="false">IF($W110="","",SUM(J$4:J110)-SUM(K$4:K110))</f>
        <v/>
      </c>
      <c r="M110" s="56" t="str">
        <f aca="false">IF($W110="","",N(INDEX(发票统计!M$4:M$1003,$W110)))</f>
        <v/>
      </c>
      <c r="N110" s="56" t="str">
        <f aca="false">IF($W110="","",N(INDEX(发票统计!N$4:N$1003,$W110)))</f>
        <v/>
      </c>
      <c r="O110" s="56" t="str">
        <f aca="false">IF($W110="","",N(INDEX(发票统计!O$4:O$1003,$W110)))</f>
        <v/>
      </c>
      <c r="P110" s="56" t="str">
        <f aca="false">IF($W110="","",SUM(M$4:M110)-SUM(N$4:N110)-SUM(O$4:O110))</f>
        <v/>
      </c>
      <c r="Q110" s="56" t="str">
        <f aca="false">IF($W110="","",N(INDEX(发票统计!Q$4:Q$1003,$W110)))</f>
        <v/>
      </c>
      <c r="R110" s="56" t="str">
        <f aca="false">IF($W110="","",N(INDEX(发票统计!R$4:R$1003,$W110)))</f>
        <v/>
      </c>
      <c r="S110" s="56" t="str">
        <f aca="false">IF($W110="","",N(INDEX(发票统计!S$4:S$1003,$W110)))</f>
        <v/>
      </c>
      <c r="T110" s="56" t="str">
        <f aca="false">IF($W110="","",SUM(Q$4:Q110)-SUM(R$4:R110)-SUM(S$4:S110))</f>
        <v/>
      </c>
      <c r="U110" s="56" t="str">
        <f aca="false">IF($W110="","",INDEX(发票统计!U$4:U$1003,$W110)&amp;"")</f>
        <v/>
      </c>
      <c r="W110" s="1" t="str">
        <f aca="false">IF($V$3="","",IFERROR(MATCH($V$3&amp;"#"&amp;ROWS(W$4:W110),发票统计!$W$4:$W$1003,0),""))</f>
        <v/>
      </c>
    </row>
    <row r="111" customFormat="false" ht="16.5" hidden="false" customHeight="false" outlineLevel="0" collapsed="false">
      <c r="A111" s="3" t="str">
        <f aca="false">IF($W111="","",INDEX(发票统计!A$4:A$1003,$W111)&amp;"")</f>
        <v/>
      </c>
      <c r="B111" s="3" t="str">
        <f aca="false">IF($W111="","",INDEX(发票统计!B$4:B$1003,$W111)&amp;"")</f>
        <v/>
      </c>
      <c r="C111" s="3" t="str">
        <f aca="false">IF($W111="","",INDEX(发票统计!C$4:C$1003,$W111)&amp;"")</f>
        <v/>
      </c>
      <c r="D111" s="3" t="str">
        <f aca="false">IF($W111="","",INDEX(发票统计!D$4:D$1003,$W111)&amp;"")</f>
        <v/>
      </c>
      <c r="E111" s="67" t="str">
        <f aca="false">IF($W111="","",INDEX(发票统计!E$4:E$1003,$W111)&amp;"")</f>
        <v/>
      </c>
      <c r="F111" s="68" t="str">
        <f aca="false">IF($W111="","",INDEX(发票统计!F$4:F$1003,$W111)&amp;"")</f>
        <v/>
      </c>
      <c r="G111" s="68" t="str">
        <f aca="false">IF($W111="","",IF(INDEX(发票统计!G$4:G$1003,$W111)="","",INDEX(发票统计!G$4:G$1003,$W111)))</f>
        <v/>
      </c>
      <c r="H111" s="56" t="str">
        <f aca="false">IF($W111="","",N(INDEX(发票统计!H$4:H$1003,$W111)))</f>
        <v/>
      </c>
      <c r="I111" s="56" t="str">
        <f aca="false">IF($W111="","",N(INDEX(发票统计!I$4:I$1003,$W111)))</f>
        <v/>
      </c>
      <c r="J111" s="56" t="str">
        <f aca="false">IF($W111="","",N(INDEX(发票统计!J$4:J$1003,$W111)))</f>
        <v/>
      </c>
      <c r="K111" s="56" t="str">
        <f aca="false">IF($W111="","",N(INDEX(发票统计!K$4:K$1003,$W111)))</f>
        <v/>
      </c>
      <c r="L111" s="56" t="str">
        <f aca="false">IF($W111="","",SUM(J$4:J111)-SUM(K$4:K111))</f>
        <v/>
      </c>
      <c r="M111" s="56" t="str">
        <f aca="false">IF($W111="","",N(INDEX(发票统计!M$4:M$1003,$W111)))</f>
        <v/>
      </c>
      <c r="N111" s="56" t="str">
        <f aca="false">IF($W111="","",N(INDEX(发票统计!N$4:N$1003,$W111)))</f>
        <v/>
      </c>
      <c r="O111" s="56" t="str">
        <f aca="false">IF($W111="","",N(INDEX(发票统计!O$4:O$1003,$W111)))</f>
        <v/>
      </c>
      <c r="P111" s="56" t="str">
        <f aca="false">IF($W111="","",SUM(M$4:M111)-SUM(N$4:N111)-SUM(O$4:O111))</f>
        <v/>
      </c>
      <c r="Q111" s="56" t="str">
        <f aca="false">IF($W111="","",N(INDEX(发票统计!Q$4:Q$1003,$W111)))</f>
        <v/>
      </c>
      <c r="R111" s="56" t="str">
        <f aca="false">IF($W111="","",N(INDEX(发票统计!R$4:R$1003,$W111)))</f>
        <v/>
      </c>
      <c r="S111" s="56" t="str">
        <f aca="false">IF($W111="","",N(INDEX(发票统计!S$4:S$1003,$W111)))</f>
        <v/>
      </c>
      <c r="T111" s="56" t="str">
        <f aca="false">IF($W111="","",SUM(Q$4:Q111)-SUM(R$4:R111)-SUM(S$4:S111))</f>
        <v/>
      </c>
      <c r="U111" s="56" t="str">
        <f aca="false">IF($W111="","",INDEX(发票统计!U$4:U$1003,$W111)&amp;"")</f>
        <v/>
      </c>
      <c r="W111" s="1" t="str">
        <f aca="false">IF($V$3="","",IFERROR(MATCH($V$3&amp;"#"&amp;ROWS(W$4:W111),发票统计!$W$4:$W$1003,0),""))</f>
        <v/>
      </c>
    </row>
    <row r="112" customFormat="false" ht="16.5" hidden="false" customHeight="false" outlineLevel="0" collapsed="false">
      <c r="A112" s="3" t="str">
        <f aca="false">IF($W112="","",INDEX(发票统计!A$4:A$1003,$W112)&amp;"")</f>
        <v/>
      </c>
      <c r="B112" s="3" t="str">
        <f aca="false">IF($W112="","",INDEX(发票统计!B$4:B$1003,$W112)&amp;"")</f>
        <v/>
      </c>
      <c r="C112" s="3" t="str">
        <f aca="false">IF($W112="","",INDEX(发票统计!C$4:C$1003,$W112)&amp;"")</f>
        <v/>
      </c>
      <c r="D112" s="3" t="str">
        <f aca="false">IF($W112="","",INDEX(发票统计!D$4:D$1003,$W112)&amp;"")</f>
        <v/>
      </c>
      <c r="E112" s="67" t="str">
        <f aca="false">IF($W112="","",INDEX(发票统计!E$4:E$1003,$W112)&amp;"")</f>
        <v/>
      </c>
      <c r="F112" s="68" t="str">
        <f aca="false">IF($W112="","",INDEX(发票统计!F$4:F$1003,$W112)&amp;"")</f>
        <v/>
      </c>
      <c r="G112" s="68" t="str">
        <f aca="false">IF($W112="","",IF(INDEX(发票统计!G$4:G$1003,$W112)="","",INDEX(发票统计!G$4:G$1003,$W112)))</f>
        <v/>
      </c>
      <c r="H112" s="56" t="str">
        <f aca="false">IF($W112="","",N(INDEX(发票统计!H$4:H$1003,$W112)))</f>
        <v/>
      </c>
      <c r="I112" s="56" t="str">
        <f aca="false">IF($W112="","",N(INDEX(发票统计!I$4:I$1003,$W112)))</f>
        <v/>
      </c>
      <c r="J112" s="56" t="str">
        <f aca="false">IF($W112="","",N(INDEX(发票统计!J$4:J$1003,$W112)))</f>
        <v/>
      </c>
      <c r="K112" s="56" t="str">
        <f aca="false">IF($W112="","",N(INDEX(发票统计!K$4:K$1003,$W112)))</f>
        <v/>
      </c>
      <c r="L112" s="56" t="str">
        <f aca="false">IF($W112="","",SUM(J$4:J112)-SUM(K$4:K112))</f>
        <v/>
      </c>
      <c r="M112" s="56" t="str">
        <f aca="false">IF($W112="","",N(INDEX(发票统计!M$4:M$1003,$W112)))</f>
        <v/>
      </c>
      <c r="N112" s="56" t="str">
        <f aca="false">IF($W112="","",N(INDEX(发票统计!N$4:N$1003,$W112)))</f>
        <v/>
      </c>
      <c r="O112" s="56" t="str">
        <f aca="false">IF($W112="","",N(INDEX(发票统计!O$4:O$1003,$W112)))</f>
        <v/>
      </c>
      <c r="P112" s="56" t="str">
        <f aca="false">IF($W112="","",SUM(M$4:M112)-SUM(N$4:N112)-SUM(O$4:O112))</f>
        <v/>
      </c>
      <c r="Q112" s="56" t="str">
        <f aca="false">IF($W112="","",N(INDEX(发票统计!Q$4:Q$1003,$W112)))</f>
        <v/>
      </c>
      <c r="R112" s="56" t="str">
        <f aca="false">IF($W112="","",N(INDEX(发票统计!R$4:R$1003,$W112)))</f>
        <v/>
      </c>
      <c r="S112" s="56" t="str">
        <f aca="false">IF($W112="","",N(INDEX(发票统计!S$4:S$1003,$W112)))</f>
        <v/>
      </c>
      <c r="T112" s="56" t="str">
        <f aca="false">IF($W112="","",SUM(Q$4:Q112)-SUM(R$4:R112)-SUM(S$4:S112))</f>
        <v/>
      </c>
      <c r="U112" s="56" t="str">
        <f aca="false">IF($W112="","",INDEX(发票统计!U$4:U$1003,$W112)&amp;"")</f>
        <v/>
      </c>
      <c r="W112" s="1" t="str">
        <f aca="false">IF($V$3="","",IFERROR(MATCH($V$3&amp;"#"&amp;ROWS(W$4:W112),发票统计!$W$4:$W$1003,0),""))</f>
        <v/>
      </c>
    </row>
    <row r="113" customFormat="false" ht="16.5" hidden="false" customHeight="false" outlineLevel="0" collapsed="false">
      <c r="A113" s="3" t="str">
        <f aca="false">IF($W113="","",INDEX(发票统计!A$4:A$1003,$W113)&amp;"")</f>
        <v/>
      </c>
      <c r="B113" s="3" t="str">
        <f aca="false">IF($W113="","",INDEX(发票统计!B$4:B$1003,$W113)&amp;"")</f>
        <v/>
      </c>
      <c r="C113" s="3" t="str">
        <f aca="false">IF($W113="","",INDEX(发票统计!C$4:C$1003,$W113)&amp;"")</f>
        <v/>
      </c>
      <c r="D113" s="3" t="str">
        <f aca="false">IF($W113="","",INDEX(发票统计!D$4:D$1003,$W113)&amp;"")</f>
        <v/>
      </c>
      <c r="E113" s="67" t="str">
        <f aca="false">IF($W113="","",INDEX(发票统计!E$4:E$1003,$W113)&amp;"")</f>
        <v/>
      </c>
      <c r="F113" s="68" t="str">
        <f aca="false">IF($W113="","",INDEX(发票统计!F$4:F$1003,$W113)&amp;"")</f>
        <v/>
      </c>
      <c r="G113" s="68" t="str">
        <f aca="false">IF($W113="","",IF(INDEX(发票统计!G$4:G$1003,$W113)="","",INDEX(发票统计!G$4:G$1003,$W113)))</f>
        <v/>
      </c>
      <c r="H113" s="56" t="str">
        <f aca="false">IF($W113="","",N(INDEX(发票统计!H$4:H$1003,$W113)))</f>
        <v/>
      </c>
      <c r="I113" s="56" t="str">
        <f aca="false">IF($W113="","",N(INDEX(发票统计!I$4:I$1003,$W113)))</f>
        <v/>
      </c>
      <c r="J113" s="56" t="str">
        <f aca="false">IF($W113="","",N(INDEX(发票统计!J$4:J$1003,$W113)))</f>
        <v/>
      </c>
      <c r="K113" s="56" t="str">
        <f aca="false">IF($W113="","",N(INDEX(发票统计!K$4:K$1003,$W113)))</f>
        <v/>
      </c>
      <c r="L113" s="56" t="str">
        <f aca="false">IF($W113="","",SUM(J$4:J113)-SUM(K$4:K113))</f>
        <v/>
      </c>
      <c r="M113" s="56" t="str">
        <f aca="false">IF($W113="","",N(INDEX(发票统计!M$4:M$1003,$W113)))</f>
        <v/>
      </c>
      <c r="N113" s="56" t="str">
        <f aca="false">IF($W113="","",N(INDEX(发票统计!N$4:N$1003,$W113)))</f>
        <v/>
      </c>
      <c r="O113" s="56" t="str">
        <f aca="false">IF($W113="","",N(INDEX(发票统计!O$4:O$1003,$W113)))</f>
        <v/>
      </c>
      <c r="P113" s="56" t="str">
        <f aca="false">IF($W113="","",SUM(M$4:M113)-SUM(N$4:N113)-SUM(O$4:O113))</f>
        <v/>
      </c>
      <c r="Q113" s="56" t="str">
        <f aca="false">IF($W113="","",N(INDEX(发票统计!Q$4:Q$1003,$W113)))</f>
        <v/>
      </c>
      <c r="R113" s="56" t="str">
        <f aca="false">IF($W113="","",N(INDEX(发票统计!R$4:R$1003,$W113)))</f>
        <v/>
      </c>
      <c r="S113" s="56" t="str">
        <f aca="false">IF($W113="","",N(INDEX(发票统计!S$4:S$1003,$W113)))</f>
        <v/>
      </c>
      <c r="T113" s="56" t="str">
        <f aca="false">IF($W113="","",SUM(Q$4:Q113)-SUM(R$4:R113)-SUM(S$4:S113))</f>
        <v/>
      </c>
      <c r="U113" s="56" t="str">
        <f aca="false">IF($W113="","",INDEX(发票统计!U$4:U$1003,$W113)&amp;"")</f>
        <v/>
      </c>
      <c r="W113" s="1" t="str">
        <f aca="false">IF($V$3="","",IFERROR(MATCH($V$3&amp;"#"&amp;ROWS(W$4:W113),发票统计!$W$4:$W$1003,0),""))</f>
        <v/>
      </c>
    </row>
    <row r="114" customFormat="false" ht="16.5" hidden="false" customHeight="false" outlineLevel="0" collapsed="false">
      <c r="A114" s="3" t="str">
        <f aca="false">IF($W114="","",INDEX(发票统计!A$4:A$1003,$W114)&amp;"")</f>
        <v/>
      </c>
      <c r="B114" s="3" t="str">
        <f aca="false">IF($W114="","",INDEX(发票统计!B$4:B$1003,$W114)&amp;"")</f>
        <v/>
      </c>
      <c r="C114" s="3" t="str">
        <f aca="false">IF($W114="","",INDEX(发票统计!C$4:C$1003,$W114)&amp;"")</f>
        <v/>
      </c>
      <c r="D114" s="3" t="str">
        <f aca="false">IF($W114="","",INDEX(发票统计!D$4:D$1003,$W114)&amp;"")</f>
        <v/>
      </c>
      <c r="E114" s="67" t="str">
        <f aca="false">IF($W114="","",INDEX(发票统计!E$4:E$1003,$W114)&amp;"")</f>
        <v/>
      </c>
      <c r="F114" s="68" t="str">
        <f aca="false">IF($W114="","",INDEX(发票统计!F$4:F$1003,$W114)&amp;"")</f>
        <v/>
      </c>
      <c r="G114" s="68" t="str">
        <f aca="false">IF($W114="","",IF(INDEX(发票统计!G$4:G$1003,$W114)="","",INDEX(发票统计!G$4:G$1003,$W114)))</f>
        <v/>
      </c>
      <c r="H114" s="56" t="str">
        <f aca="false">IF($W114="","",N(INDEX(发票统计!H$4:H$1003,$W114)))</f>
        <v/>
      </c>
      <c r="I114" s="56" t="str">
        <f aca="false">IF($W114="","",N(INDEX(发票统计!I$4:I$1003,$W114)))</f>
        <v/>
      </c>
      <c r="J114" s="56" t="str">
        <f aca="false">IF($W114="","",N(INDEX(发票统计!J$4:J$1003,$W114)))</f>
        <v/>
      </c>
      <c r="K114" s="56" t="str">
        <f aca="false">IF($W114="","",N(INDEX(发票统计!K$4:K$1003,$W114)))</f>
        <v/>
      </c>
      <c r="L114" s="56" t="str">
        <f aca="false">IF($W114="","",SUM(J$4:J114)-SUM(K$4:K114))</f>
        <v/>
      </c>
      <c r="M114" s="56" t="str">
        <f aca="false">IF($W114="","",N(INDEX(发票统计!M$4:M$1003,$W114)))</f>
        <v/>
      </c>
      <c r="N114" s="56" t="str">
        <f aca="false">IF($W114="","",N(INDEX(发票统计!N$4:N$1003,$W114)))</f>
        <v/>
      </c>
      <c r="O114" s="56" t="str">
        <f aca="false">IF($W114="","",N(INDEX(发票统计!O$4:O$1003,$W114)))</f>
        <v/>
      </c>
      <c r="P114" s="56" t="str">
        <f aca="false">IF($W114="","",SUM(M$4:M114)-SUM(N$4:N114)-SUM(O$4:O114))</f>
        <v/>
      </c>
      <c r="Q114" s="56" t="str">
        <f aca="false">IF($W114="","",N(INDEX(发票统计!Q$4:Q$1003,$W114)))</f>
        <v/>
      </c>
      <c r="R114" s="56" t="str">
        <f aca="false">IF($W114="","",N(INDEX(发票统计!R$4:R$1003,$W114)))</f>
        <v/>
      </c>
      <c r="S114" s="56" t="str">
        <f aca="false">IF($W114="","",N(INDEX(发票统计!S$4:S$1003,$W114)))</f>
        <v/>
      </c>
      <c r="T114" s="56" t="str">
        <f aca="false">IF($W114="","",SUM(Q$4:Q114)-SUM(R$4:R114)-SUM(S$4:S114))</f>
        <v/>
      </c>
      <c r="U114" s="56" t="str">
        <f aca="false">IF($W114="","",INDEX(发票统计!U$4:U$1003,$W114)&amp;"")</f>
        <v/>
      </c>
      <c r="W114" s="1" t="str">
        <f aca="false">IF($V$3="","",IFERROR(MATCH($V$3&amp;"#"&amp;ROWS(W$4:W114),发票统计!$W$4:$W$1003,0),""))</f>
        <v/>
      </c>
    </row>
    <row r="115" customFormat="false" ht="16.5" hidden="false" customHeight="false" outlineLevel="0" collapsed="false">
      <c r="A115" s="3" t="str">
        <f aca="false">IF($W115="","",INDEX(发票统计!A$4:A$1003,$W115)&amp;"")</f>
        <v/>
      </c>
      <c r="B115" s="3" t="str">
        <f aca="false">IF($W115="","",INDEX(发票统计!B$4:B$1003,$W115)&amp;"")</f>
        <v/>
      </c>
      <c r="C115" s="3" t="str">
        <f aca="false">IF($W115="","",INDEX(发票统计!C$4:C$1003,$W115)&amp;"")</f>
        <v/>
      </c>
      <c r="D115" s="3" t="str">
        <f aca="false">IF($W115="","",INDEX(发票统计!D$4:D$1003,$W115)&amp;"")</f>
        <v/>
      </c>
      <c r="E115" s="67" t="str">
        <f aca="false">IF($W115="","",INDEX(发票统计!E$4:E$1003,$W115)&amp;"")</f>
        <v/>
      </c>
      <c r="F115" s="68" t="str">
        <f aca="false">IF($W115="","",INDEX(发票统计!F$4:F$1003,$W115)&amp;"")</f>
        <v/>
      </c>
      <c r="G115" s="68" t="str">
        <f aca="false">IF($W115="","",IF(INDEX(发票统计!G$4:G$1003,$W115)="","",INDEX(发票统计!G$4:G$1003,$W115)))</f>
        <v/>
      </c>
      <c r="H115" s="56" t="str">
        <f aca="false">IF($W115="","",N(INDEX(发票统计!H$4:H$1003,$W115)))</f>
        <v/>
      </c>
      <c r="I115" s="56" t="str">
        <f aca="false">IF($W115="","",N(INDEX(发票统计!I$4:I$1003,$W115)))</f>
        <v/>
      </c>
      <c r="J115" s="56" t="str">
        <f aca="false">IF($W115="","",N(INDEX(发票统计!J$4:J$1003,$W115)))</f>
        <v/>
      </c>
      <c r="K115" s="56" t="str">
        <f aca="false">IF($W115="","",N(INDEX(发票统计!K$4:K$1003,$W115)))</f>
        <v/>
      </c>
      <c r="L115" s="56" t="str">
        <f aca="false">IF($W115="","",SUM(J$4:J115)-SUM(K$4:K115))</f>
        <v/>
      </c>
      <c r="M115" s="56" t="str">
        <f aca="false">IF($W115="","",N(INDEX(发票统计!M$4:M$1003,$W115)))</f>
        <v/>
      </c>
      <c r="N115" s="56" t="str">
        <f aca="false">IF($W115="","",N(INDEX(发票统计!N$4:N$1003,$W115)))</f>
        <v/>
      </c>
      <c r="O115" s="56" t="str">
        <f aca="false">IF($W115="","",N(INDEX(发票统计!O$4:O$1003,$W115)))</f>
        <v/>
      </c>
      <c r="P115" s="56" t="str">
        <f aca="false">IF($W115="","",SUM(M$4:M115)-SUM(N$4:N115)-SUM(O$4:O115))</f>
        <v/>
      </c>
      <c r="Q115" s="56" t="str">
        <f aca="false">IF($W115="","",N(INDEX(发票统计!Q$4:Q$1003,$W115)))</f>
        <v/>
      </c>
      <c r="R115" s="56" t="str">
        <f aca="false">IF($W115="","",N(INDEX(发票统计!R$4:R$1003,$W115)))</f>
        <v/>
      </c>
      <c r="S115" s="56" t="str">
        <f aca="false">IF($W115="","",N(INDEX(发票统计!S$4:S$1003,$W115)))</f>
        <v/>
      </c>
      <c r="T115" s="56" t="str">
        <f aca="false">IF($W115="","",SUM(Q$4:Q115)-SUM(R$4:R115)-SUM(S$4:S115))</f>
        <v/>
      </c>
      <c r="U115" s="56" t="str">
        <f aca="false">IF($W115="","",INDEX(发票统计!U$4:U$1003,$W115)&amp;"")</f>
        <v/>
      </c>
      <c r="W115" s="1" t="str">
        <f aca="false">IF($V$3="","",IFERROR(MATCH($V$3&amp;"#"&amp;ROWS(W$4:W115),发票统计!$W$4:$W$1003,0),""))</f>
        <v/>
      </c>
    </row>
    <row r="116" customFormat="false" ht="16.5" hidden="false" customHeight="false" outlineLevel="0" collapsed="false">
      <c r="A116" s="3" t="str">
        <f aca="false">IF($W116="","",INDEX(发票统计!A$4:A$1003,$W116)&amp;"")</f>
        <v/>
      </c>
      <c r="B116" s="3" t="str">
        <f aca="false">IF($W116="","",INDEX(发票统计!B$4:B$1003,$W116)&amp;"")</f>
        <v/>
      </c>
      <c r="C116" s="3" t="str">
        <f aca="false">IF($W116="","",INDEX(发票统计!C$4:C$1003,$W116)&amp;"")</f>
        <v/>
      </c>
      <c r="D116" s="3" t="str">
        <f aca="false">IF($W116="","",INDEX(发票统计!D$4:D$1003,$W116)&amp;"")</f>
        <v/>
      </c>
      <c r="E116" s="67" t="str">
        <f aca="false">IF($W116="","",INDEX(发票统计!E$4:E$1003,$W116)&amp;"")</f>
        <v/>
      </c>
      <c r="F116" s="68" t="str">
        <f aca="false">IF($W116="","",INDEX(发票统计!F$4:F$1003,$W116)&amp;"")</f>
        <v/>
      </c>
      <c r="G116" s="68" t="str">
        <f aca="false">IF($W116="","",IF(INDEX(发票统计!G$4:G$1003,$W116)="","",INDEX(发票统计!G$4:G$1003,$W116)))</f>
        <v/>
      </c>
      <c r="H116" s="56" t="str">
        <f aca="false">IF($W116="","",N(INDEX(发票统计!H$4:H$1003,$W116)))</f>
        <v/>
      </c>
      <c r="I116" s="56" t="str">
        <f aca="false">IF($W116="","",N(INDEX(发票统计!I$4:I$1003,$W116)))</f>
        <v/>
      </c>
      <c r="J116" s="56" t="str">
        <f aca="false">IF($W116="","",N(INDEX(发票统计!J$4:J$1003,$W116)))</f>
        <v/>
      </c>
      <c r="K116" s="56" t="str">
        <f aca="false">IF($W116="","",N(INDEX(发票统计!K$4:K$1003,$W116)))</f>
        <v/>
      </c>
      <c r="L116" s="56" t="str">
        <f aca="false">IF($W116="","",SUM(J$4:J116)-SUM(K$4:K116))</f>
        <v/>
      </c>
      <c r="M116" s="56" t="str">
        <f aca="false">IF($W116="","",N(INDEX(发票统计!M$4:M$1003,$W116)))</f>
        <v/>
      </c>
      <c r="N116" s="56" t="str">
        <f aca="false">IF($W116="","",N(INDEX(发票统计!N$4:N$1003,$W116)))</f>
        <v/>
      </c>
      <c r="O116" s="56" t="str">
        <f aca="false">IF($W116="","",N(INDEX(发票统计!O$4:O$1003,$W116)))</f>
        <v/>
      </c>
      <c r="P116" s="56" t="str">
        <f aca="false">IF($W116="","",SUM(M$4:M116)-SUM(N$4:N116)-SUM(O$4:O116))</f>
        <v/>
      </c>
      <c r="Q116" s="56" t="str">
        <f aca="false">IF($W116="","",N(INDEX(发票统计!Q$4:Q$1003,$W116)))</f>
        <v/>
      </c>
      <c r="R116" s="56" t="str">
        <f aca="false">IF($W116="","",N(INDEX(发票统计!R$4:R$1003,$W116)))</f>
        <v/>
      </c>
      <c r="S116" s="56" t="str">
        <f aca="false">IF($W116="","",N(INDEX(发票统计!S$4:S$1003,$W116)))</f>
        <v/>
      </c>
      <c r="T116" s="56" t="str">
        <f aca="false">IF($W116="","",SUM(Q$4:Q116)-SUM(R$4:R116)-SUM(S$4:S116))</f>
        <v/>
      </c>
      <c r="U116" s="56" t="str">
        <f aca="false">IF($W116="","",INDEX(发票统计!U$4:U$1003,$W116)&amp;"")</f>
        <v/>
      </c>
      <c r="W116" s="1" t="str">
        <f aca="false">IF($V$3="","",IFERROR(MATCH($V$3&amp;"#"&amp;ROWS(W$4:W116),发票统计!$W$4:$W$1003,0),""))</f>
        <v/>
      </c>
    </row>
    <row r="117" customFormat="false" ht="16.5" hidden="false" customHeight="false" outlineLevel="0" collapsed="false">
      <c r="A117" s="3" t="str">
        <f aca="false">IF($W117="","",INDEX(发票统计!A$4:A$1003,$W117)&amp;"")</f>
        <v/>
      </c>
      <c r="B117" s="3" t="str">
        <f aca="false">IF($W117="","",INDEX(发票统计!B$4:B$1003,$W117)&amp;"")</f>
        <v/>
      </c>
      <c r="C117" s="3" t="str">
        <f aca="false">IF($W117="","",INDEX(发票统计!C$4:C$1003,$W117)&amp;"")</f>
        <v/>
      </c>
      <c r="D117" s="3" t="str">
        <f aca="false">IF($W117="","",INDEX(发票统计!D$4:D$1003,$W117)&amp;"")</f>
        <v/>
      </c>
      <c r="E117" s="67" t="str">
        <f aca="false">IF($W117="","",INDEX(发票统计!E$4:E$1003,$W117)&amp;"")</f>
        <v/>
      </c>
      <c r="F117" s="68" t="str">
        <f aca="false">IF($W117="","",INDEX(发票统计!F$4:F$1003,$W117)&amp;"")</f>
        <v/>
      </c>
      <c r="G117" s="68" t="str">
        <f aca="false">IF($W117="","",IF(INDEX(发票统计!G$4:G$1003,$W117)="","",INDEX(发票统计!G$4:G$1003,$W117)))</f>
        <v/>
      </c>
      <c r="H117" s="56" t="str">
        <f aca="false">IF($W117="","",N(INDEX(发票统计!H$4:H$1003,$W117)))</f>
        <v/>
      </c>
      <c r="I117" s="56" t="str">
        <f aca="false">IF($W117="","",N(INDEX(发票统计!I$4:I$1003,$W117)))</f>
        <v/>
      </c>
      <c r="J117" s="56" t="str">
        <f aca="false">IF($W117="","",N(INDEX(发票统计!J$4:J$1003,$W117)))</f>
        <v/>
      </c>
      <c r="K117" s="56" t="str">
        <f aca="false">IF($W117="","",N(INDEX(发票统计!K$4:K$1003,$W117)))</f>
        <v/>
      </c>
      <c r="L117" s="56" t="str">
        <f aca="false">IF($W117="","",SUM(J$4:J117)-SUM(K$4:K117))</f>
        <v/>
      </c>
      <c r="M117" s="56" t="str">
        <f aca="false">IF($W117="","",N(INDEX(发票统计!M$4:M$1003,$W117)))</f>
        <v/>
      </c>
      <c r="N117" s="56" t="str">
        <f aca="false">IF($W117="","",N(INDEX(发票统计!N$4:N$1003,$W117)))</f>
        <v/>
      </c>
      <c r="O117" s="56" t="str">
        <f aca="false">IF($W117="","",N(INDEX(发票统计!O$4:O$1003,$W117)))</f>
        <v/>
      </c>
      <c r="P117" s="56" t="str">
        <f aca="false">IF($W117="","",SUM(M$4:M117)-SUM(N$4:N117)-SUM(O$4:O117))</f>
        <v/>
      </c>
      <c r="Q117" s="56" t="str">
        <f aca="false">IF($W117="","",N(INDEX(发票统计!Q$4:Q$1003,$W117)))</f>
        <v/>
      </c>
      <c r="R117" s="56" t="str">
        <f aca="false">IF($W117="","",N(INDEX(发票统计!R$4:R$1003,$W117)))</f>
        <v/>
      </c>
      <c r="S117" s="56" t="str">
        <f aca="false">IF($W117="","",N(INDEX(发票统计!S$4:S$1003,$W117)))</f>
        <v/>
      </c>
      <c r="T117" s="56" t="str">
        <f aca="false">IF($W117="","",SUM(Q$4:Q117)-SUM(R$4:R117)-SUM(S$4:S117))</f>
        <v/>
      </c>
      <c r="U117" s="56" t="str">
        <f aca="false">IF($W117="","",INDEX(发票统计!U$4:U$1003,$W117)&amp;"")</f>
        <v/>
      </c>
      <c r="W117" s="1" t="str">
        <f aca="false">IF($V$3="","",IFERROR(MATCH($V$3&amp;"#"&amp;ROWS(W$4:W117),发票统计!$W$4:$W$1003,0),""))</f>
        <v/>
      </c>
    </row>
    <row r="118" customFormat="false" ht="16.5" hidden="false" customHeight="false" outlineLevel="0" collapsed="false">
      <c r="A118" s="3" t="str">
        <f aca="false">IF($W118="","",INDEX(发票统计!A$4:A$1003,$W118)&amp;"")</f>
        <v/>
      </c>
      <c r="B118" s="3" t="str">
        <f aca="false">IF($W118="","",INDEX(发票统计!B$4:B$1003,$W118)&amp;"")</f>
        <v/>
      </c>
      <c r="C118" s="3" t="str">
        <f aca="false">IF($W118="","",INDEX(发票统计!C$4:C$1003,$W118)&amp;"")</f>
        <v/>
      </c>
      <c r="D118" s="3" t="str">
        <f aca="false">IF($W118="","",INDEX(发票统计!D$4:D$1003,$W118)&amp;"")</f>
        <v/>
      </c>
      <c r="E118" s="67" t="str">
        <f aca="false">IF($W118="","",INDEX(发票统计!E$4:E$1003,$W118)&amp;"")</f>
        <v/>
      </c>
      <c r="F118" s="68" t="str">
        <f aca="false">IF($W118="","",INDEX(发票统计!F$4:F$1003,$W118)&amp;"")</f>
        <v/>
      </c>
      <c r="G118" s="68" t="str">
        <f aca="false">IF($W118="","",IF(INDEX(发票统计!G$4:G$1003,$W118)="","",INDEX(发票统计!G$4:G$1003,$W118)))</f>
        <v/>
      </c>
      <c r="H118" s="56" t="str">
        <f aca="false">IF($W118="","",N(INDEX(发票统计!H$4:H$1003,$W118)))</f>
        <v/>
      </c>
      <c r="I118" s="56" t="str">
        <f aca="false">IF($W118="","",N(INDEX(发票统计!I$4:I$1003,$W118)))</f>
        <v/>
      </c>
      <c r="J118" s="56" t="str">
        <f aca="false">IF($W118="","",N(INDEX(发票统计!J$4:J$1003,$W118)))</f>
        <v/>
      </c>
      <c r="K118" s="56" t="str">
        <f aca="false">IF($W118="","",N(INDEX(发票统计!K$4:K$1003,$W118)))</f>
        <v/>
      </c>
      <c r="L118" s="56" t="str">
        <f aca="false">IF($W118="","",SUM(J$4:J118)-SUM(K$4:K118))</f>
        <v/>
      </c>
      <c r="M118" s="56" t="str">
        <f aca="false">IF($W118="","",N(INDEX(发票统计!M$4:M$1003,$W118)))</f>
        <v/>
      </c>
      <c r="N118" s="56" t="str">
        <f aca="false">IF($W118="","",N(INDEX(发票统计!N$4:N$1003,$W118)))</f>
        <v/>
      </c>
      <c r="O118" s="56" t="str">
        <f aca="false">IF($W118="","",N(INDEX(发票统计!O$4:O$1003,$W118)))</f>
        <v/>
      </c>
      <c r="P118" s="56" t="str">
        <f aca="false">IF($W118="","",SUM(M$4:M118)-SUM(N$4:N118)-SUM(O$4:O118))</f>
        <v/>
      </c>
      <c r="Q118" s="56" t="str">
        <f aca="false">IF($W118="","",N(INDEX(发票统计!Q$4:Q$1003,$W118)))</f>
        <v/>
      </c>
      <c r="R118" s="56" t="str">
        <f aca="false">IF($W118="","",N(INDEX(发票统计!R$4:R$1003,$W118)))</f>
        <v/>
      </c>
      <c r="S118" s="56" t="str">
        <f aca="false">IF($W118="","",N(INDEX(发票统计!S$4:S$1003,$W118)))</f>
        <v/>
      </c>
      <c r="T118" s="56" t="str">
        <f aca="false">IF($W118="","",SUM(Q$4:Q118)-SUM(R$4:R118)-SUM(S$4:S118))</f>
        <v/>
      </c>
      <c r="U118" s="56" t="str">
        <f aca="false">IF($W118="","",INDEX(发票统计!U$4:U$1003,$W118)&amp;"")</f>
        <v/>
      </c>
      <c r="W118" s="1" t="str">
        <f aca="false">IF($V$3="","",IFERROR(MATCH($V$3&amp;"#"&amp;ROWS(W$4:W118),发票统计!$W$4:$W$1003,0),""))</f>
        <v/>
      </c>
    </row>
    <row r="119" customFormat="false" ht="16.5" hidden="false" customHeight="false" outlineLevel="0" collapsed="false">
      <c r="A119" s="3" t="str">
        <f aca="false">IF($W119="","",INDEX(发票统计!A$4:A$1003,$W119)&amp;"")</f>
        <v/>
      </c>
      <c r="B119" s="3" t="str">
        <f aca="false">IF($W119="","",INDEX(发票统计!B$4:B$1003,$W119)&amp;"")</f>
        <v/>
      </c>
      <c r="C119" s="3" t="str">
        <f aca="false">IF($W119="","",INDEX(发票统计!C$4:C$1003,$W119)&amp;"")</f>
        <v/>
      </c>
      <c r="D119" s="3" t="str">
        <f aca="false">IF($W119="","",INDEX(发票统计!D$4:D$1003,$W119)&amp;"")</f>
        <v/>
      </c>
      <c r="E119" s="67" t="str">
        <f aca="false">IF($W119="","",INDEX(发票统计!E$4:E$1003,$W119)&amp;"")</f>
        <v/>
      </c>
      <c r="F119" s="68" t="str">
        <f aca="false">IF($W119="","",INDEX(发票统计!F$4:F$1003,$W119)&amp;"")</f>
        <v/>
      </c>
      <c r="G119" s="68" t="str">
        <f aca="false">IF($W119="","",IF(INDEX(发票统计!G$4:G$1003,$W119)="","",INDEX(发票统计!G$4:G$1003,$W119)))</f>
        <v/>
      </c>
      <c r="H119" s="56" t="str">
        <f aca="false">IF($W119="","",N(INDEX(发票统计!H$4:H$1003,$W119)))</f>
        <v/>
      </c>
      <c r="I119" s="56" t="str">
        <f aca="false">IF($W119="","",N(INDEX(发票统计!I$4:I$1003,$W119)))</f>
        <v/>
      </c>
      <c r="J119" s="56" t="str">
        <f aca="false">IF($W119="","",N(INDEX(发票统计!J$4:J$1003,$W119)))</f>
        <v/>
      </c>
      <c r="K119" s="56" t="str">
        <f aca="false">IF($W119="","",N(INDEX(发票统计!K$4:K$1003,$W119)))</f>
        <v/>
      </c>
      <c r="L119" s="56" t="str">
        <f aca="false">IF($W119="","",SUM(J$4:J119)-SUM(K$4:K119))</f>
        <v/>
      </c>
      <c r="M119" s="56" t="str">
        <f aca="false">IF($W119="","",N(INDEX(发票统计!M$4:M$1003,$W119)))</f>
        <v/>
      </c>
      <c r="N119" s="56" t="str">
        <f aca="false">IF($W119="","",N(INDEX(发票统计!N$4:N$1003,$W119)))</f>
        <v/>
      </c>
      <c r="O119" s="56" t="str">
        <f aca="false">IF($W119="","",N(INDEX(发票统计!O$4:O$1003,$W119)))</f>
        <v/>
      </c>
      <c r="P119" s="56" t="str">
        <f aca="false">IF($W119="","",SUM(M$4:M119)-SUM(N$4:N119)-SUM(O$4:O119))</f>
        <v/>
      </c>
      <c r="Q119" s="56" t="str">
        <f aca="false">IF($W119="","",N(INDEX(发票统计!Q$4:Q$1003,$W119)))</f>
        <v/>
      </c>
      <c r="R119" s="56" t="str">
        <f aca="false">IF($W119="","",N(INDEX(发票统计!R$4:R$1003,$W119)))</f>
        <v/>
      </c>
      <c r="S119" s="56" t="str">
        <f aca="false">IF($W119="","",N(INDEX(发票统计!S$4:S$1003,$W119)))</f>
        <v/>
      </c>
      <c r="T119" s="56" t="str">
        <f aca="false">IF($W119="","",SUM(Q$4:Q119)-SUM(R$4:R119)-SUM(S$4:S119))</f>
        <v/>
      </c>
      <c r="U119" s="56" t="str">
        <f aca="false">IF($W119="","",INDEX(发票统计!U$4:U$1003,$W119)&amp;"")</f>
        <v/>
      </c>
      <c r="W119" s="1" t="str">
        <f aca="false">IF($V$3="","",IFERROR(MATCH($V$3&amp;"#"&amp;ROWS(W$4:W119),发票统计!$W$4:$W$1003,0),""))</f>
        <v/>
      </c>
    </row>
    <row r="120" customFormat="false" ht="16.5" hidden="false" customHeight="false" outlineLevel="0" collapsed="false">
      <c r="A120" s="3" t="str">
        <f aca="false">IF($W120="","",INDEX(发票统计!A$4:A$1003,$W120)&amp;"")</f>
        <v/>
      </c>
      <c r="B120" s="3" t="str">
        <f aca="false">IF($W120="","",INDEX(发票统计!B$4:B$1003,$W120)&amp;"")</f>
        <v/>
      </c>
      <c r="C120" s="3" t="str">
        <f aca="false">IF($W120="","",INDEX(发票统计!C$4:C$1003,$W120)&amp;"")</f>
        <v/>
      </c>
      <c r="D120" s="3" t="str">
        <f aca="false">IF($W120="","",INDEX(发票统计!D$4:D$1003,$W120)&amp;"")</f>
        <v/>
      </c>
      <c r="E120" s="67" t="str">
        <f aca="false">IF($W120="","",INDEX(发票统计!E$4:E$1003,$W120)&amp;"")</f>
        <v/>
      </c>
      <c r="F120" s="68" t="str">
        <f aca="false">IF($W120="","",INDEX(发票统计!F$4:F$1003,$W120)&amp;"")</f>
        <v/>
      </c>
      <c r="G120" s="68" t="str">
        <f aca="false">IF($W120="","",IF(INDEX(发票统计!G$4:G$1003,$W120)="","",INDEX(发票统计!G$4:G$1003,$W120)))</f>
        <v/>
      </c>
      <c r="H120" s="56" t="str">
        <f aca="false">IF($W120="","",N(INDEX(发票统计!H$4:H$1003,$W120)))</f>
        <v/>
      </c>
      <c r="I120" s="56" t="str">
        <f aca="false">IF($W120="","",N(INDEX(发票统计!I$4:I$1003,$W120)))</f>
        <v/>
      </c>
      <c r="J120" s="56" t="str">
        <f aca="false">IF($W120="","",N(INDEX(发票统计!J$4:J$1003,$W120)))</f>
        <v/>
      </c>
      <c r="K120" s="56" t="str">
        <f aca="false">IF($W120="","",N(INDEX(发票统计!K$4:K$1003,$W120)))</f>
        <v/>
      </c>
      <c r="L120" s="56" t="str">
        <f aca="false">IF($W120="","",SUM(J$4:J120)-SUM(K$4:K120))</f>
        <v/>
      </c>
      <c r="M120" s="56" t="str">
        <f aca="false">IF($W120="","",N(INDEX(发票统计!M$4:M$1003,$W120)))</f>
        <v/>
      </c>
      <c r="N120" s="56" t="str">
        <f aca="false">IF($W120="","",N(INDEX(发票统计!N$4:N$1003,$W120)))</f>
        <v/>
      </c>
      <c r="O120" s="56" t="str">
        <f aca="false">IF($W120="","",N(INDEX(发票统计!O$4:O$1003,$W120)))</f>
        <v/>
      </c>
      <c r="P120" s="56" t="str">
        <f aca="false">IF($W120="","",SUM(M$4:M120)-SUM(N$4:N120)-SUM(O$4:O120))</f>
        <v/>
      </c>
      <c r="Q120" s="56" t="str">
        <f aca="false">IF($W120="","",N(INDEX(发票统计!Q$4:Q$1003,$W120)))</f>
        <v/>
      </c>
      <c r="R120" s="56" t="str">
        <f aca="false">IF($W120="","",N(INDEX(发票统计!R$4:R$1003,$W120)))</f>
        <v/>
      </c>
      <c r="S120" s="56" t="str">
        <f aca="false">IF($W120="","",N(INDEX(发票统计!S$4:S$1003,$W120)))</f>
        <v/>
      </c>
      <c r="T120" s="56" t="str">
        <f aca="false">IF($W120="","",SUM(Q$4:Q120)-SUM(R$4:R120)-SUM(S$4:S120))</f>
        <v/>
      </c>
      <c r="U120" s="56" t="str">
        <f aca="false">IF($W120="","",INDEX(发票统计!U$4:U$1003,$W120)&amp;"")</f>
        <v/>
      </c>
      <c r="W120" s="1" t="str">
        <f aca="false">IF($V$3="","",IFERROR(MATCH($V$3&amp;"#"&amp;ROWS(W$4:W120),发票统计!$W$4:$W$1003,0),""))</f>
        <v/>
      </c>
    </row>
    <row r="121" customFormat="false" ht="16.5" hidden="false" customHeight="false" outlineLevel="0" collapsed="false">
      <c r="A121" s="3" t="str">
        <f aca="false">IF($W121="","",INDEX(发票统计!A$4:A$1003,$W121)&amp;"")</f>
        <v/>
      </c>
      <c r="B121" s="3" t="str">
        <f aca="false">IF($W121="","",INDEX(发票统计!B$4:B$1003,$W121)&amp;"")</f>
        <v/>
      </c>
      <c r="C121" s="3" t="str">
        <f aca="false">IF($W121="","",INDEX(发票统计!C$4:C$1003,$W121)&amp;"")</f>
        <v/>
      </c>
      <c r="D121" s="3" t="str">
        <f aca="false">IF($W121="","",INDEX(发票统计!D$4:D$1003,$W121)&amp;"")</f>
        <v/>
      </c>
      <c r="E121" s="67" t="str">
        <f aca="false">IF($W121="","",INDEX(发票统计!E$4:E$1003,$W121)&amp;"")</f>
        <v/>
      </c>
      <c r="F121" s="68" t="str">
        <f aca="false">IF($W121="","",INDEX(发票统计!F$4:F$1003,$W121)&amp;"")</f>
        <v/>
      </c>
      <c r="G121" s="68" t="str">
        <f aca="false">IF($W121="","",IF(INDEX(发票统计!G$4:G$1003,$W121)="","",INDEX(发票统计!G$4:G$1003,$W121)))</f>
        <v/>
      </c>
      <c r="H121" s="56" t="str">
        <f aca="false">IF($W121="","",N(INDEX(发票统计!H$4:H$1003,$W121)))</f>
        <v/>
      </c>
      <c r="I121" s="56" t="str">
        <f aca="false">IF($W121="","",N(INDEX(发票统计!I$4:I$1003,$W121)))</f>
        <v/>
      </c>
      <c r="J121" s="56" t="str">
        <f aca="false">IF($W121="","",N(INDEX(发票统计!J$4:J$1003,$W121)))</f>
        <v/>
      </c>
      <c r="K121" s="56" t="str">
        <f aca="false">IF($W121="","",N(INDEX(发票统计!K$4:K$1003,$W121)))</f>
        <v/>
      </c>
      <c r="L121" s="56" t="str">
        <f aca="false">IF($W121="","",SUM(J$4:J121)-SUM(K$4:K121))</f>
        <v/>
      </c>
      <c r="M121" s="56" t="str">
        <f aca="false">IF($W121="","",N(INDEX(发票统计!M$4:M$1003,$W121)))</f>
        <v/>
      </c>
      <c r="N121" s="56" t="str">
        <f aca="false">IF($W121="","",N(INDEX(发票统计!N$4:N$1003,$W121)))</f>
        <v/>
      </c>
      <c r="O121" s="56" t="str">
        <f aca="false">IF($W121="","",N(INDEX(发票统计!O$4:O$1003,$W121)))</f>
        <v/>
      </c>
      <c r="P121" s="56" t="str">
        <f aca="false">IF($W121="","",SUM(M$4:M121)-SUM(N$4:N121)-SUM(O$4:O121))</f>
        <v/>
      </c>
      <c r="Q121" s="56" t="str">
        <f aca="false">IF($W121="","",N(INDEX(发票统计!Q$4:Q$1003,$W121)))</f>
        <v/>
      </c>
      <c r="R121" s="56" t="str">
        <f aca="false">IF($W121="","",N(INDEX(发票统计!R$4:R$1003,$W121)))</f>
        <v/>
      </c>
      <c r="S121" s="56" t="str">
        <f aca="false">IF($W121="","",N(INDEX(发票统计!S$4:S$1003,$W121)))</f>
        <v/>
      </c>
      <c r="T121" s="56" t="str">
        <f aca="false">IF($W121="","",SUM(Q$4:Q121)-SUM(R$4:R121)-SUM(S$4:S121))</f>
        <v/>
      </c>
      <c r="U121" s="56" t="str">
        <f aca="false">IF($W121="","",INDEX(发票统计!U$4:U$1003,$W121)&amp;"")</f>
        <v/>
      </c>
      <c r="W121" s="1" t="str">
        <f aca="false">IF($V$3="","",IFERROR(MATCH($V$3&amp;"#"&amp;ROWS(W$4:W121),发票统计!$W$4:$W$1003,0),""))</f>
        <v/>
      </c>
    </row>
    <row r="122" customFormat="false" ht="16.5" hidden="false" customHeight="false" outlineLevel="0" collapsed="false">
      <c r="A122" s="3" t="str">
        <f aca="false">IF($W122="","",INDEX(发票统计!A$4:A$1003,$W122)&amp;"")</f>
        <v/>
      </c>
      <c r="B122" s="3" t="str">
        <f aca="false">IF($W122="","",INDEX(发票统计!B$4:B$1003,$W122)&amp;"")</f>
        <v/>
      </c>
      <c r="C122" s="3" t="str">
        <f aca="false">IF($W122="","",INDEX(发票统计!C$4:C$1003,$W122)&amp;"")</f>
        <v/>
      </c>
      <c r="D122" s="3" t="str">
        <f aca="false">IF($W122="","",INDEX(发票统计!D$4:D$1003,$W122)&amp;"")</f>
        <v/>
      </c>
      <c r="E122" s="67" t="str">
        <f aca="false">IF($W122="","",INDEX(发票统计!E$4:E$1003,$W122)&amp;"")</f>
        <v/>
      </c>
      <c r="F122" s="68" t="str">
        <f aca="false">IF($W122="","",INDEX(发票统计!F$4:F$1003,$W122)&amp;"")</f>
        <v/>
      </c>
      <c r="G122" s="68" t="str">
        <f aca="false">IF($W122="","",IF(INDEX(发票统计!G$4:G$1003,$W122)="","",INDEX(发票统计!G$4:G$1003,$W122)))</f>
        <v/>
      </c>
      <c r="H122" s="56" t="str">
        <f aca="false">IF($W122="","",N(INDEX(发票统计!H$4:H$1003,$W122)))</f>
        <v/>
      </c>
      <c r="I122" s="56" t="str">
        <f aca="false">IF($W122="","",N(INDEX(发票统计!I$4:I$1003,$W122)))</f>
        <v/>
      </c>
      <c r="J122" s="56" t="str">
        <f aca="false">IF($W122="","",N(INDEX(发票统计!J$4:J$1003,$W122)))</f>
        <v/>
      </c>
      <c r="K122" s="56" t="str">
        <f aca="false">IF($W122="","",N(INDEX(发票统计!K$4:K$1003,$W122)))</f>
        <v/>
      </c>
      <c r="L122" s="56" t="str">
        <f aca="false">IF($W122="","",SUM(J$4:J122)-SUM(K$4:K122))</f>
        <v/>
      </c>
      <c r="M122" s="56" t="str">
        <f aca="false">IF($W122="","",N(INDEX(发票统计!M$4:M$1003,$W122)))</f>
        <v/>
      </c>
      <c r="N122" s="56" t="str">
        <f aca="false">IF($W122="","",N(INDEX(发票统计!N$4:N$1003,$W122)))</f>
        <v/>
      </c>
      <c r="O122" s="56" t="str">
        <f aca="false">IF($W122="","",N(INDEX(发票统计!O$4:O$1003,$W122)))</f>
        <v/>
      </c>
      <c r="P122" s="56" t="str">
        <f aca="false">IF($W122="","",SUM(M$4:M122)-SUM(N$4:N122)-SUM(O$4:O122))</f>
        <v/>
      </c>
      <c r="Q122" s="56" t="str">
        <f aca="false">IF($W122="","",N(INDEX(发票统计!Q$4:Q$1003,$W122)))</f>
        <v/>
      </c>
      <c r="R122" s="56" t="str">
        <f aca="false">IF($W122="","",N(INDEX(发票统计!R$4:R$1003,$W122)))</f>
        <v/>
      </c>
      <c r="S122" s="56" t="str">
        <f aca="false">IF($W122="","",N(INDEX(发票统计!S$4:S$1003,$W122)))</f>
        <v/>
      </c>
      <c r="T122" s="56" t="str">
        <f aca="false">IF($W122="","",SUM(Q$4:Q122)-SUM(R$4:R122)-SUM(S$4:S122))</f>
        <v/>
      </c>
      <c r="U122" s="56" t="str">
        <f aca="false">IF($W122="","",INDEX(发票统计!U$4:U$1003,$W122)&amp;"")</f>
        <v/>
      </c>
      <c r="W122" s="1" t="str">
        <f aca="false">IF($V$3="","",IFERROR(MATCH($V$3&amp;"#"&amp;ROWS(W$4:W122),发票统计!$W$4:$W$1003,0),""))</f>
        <v/>
      </c>
    </row>
    <row r="123" customFormat="false" ht="16.5" hidden="false" customHeight="false" outlineLevel="0" collapsed="false">
      <c r="A123" s="3" t="str">
        <f aca="false">IF($W123="","",INDEX(发票统计!A$4:A$1003,$W123)&amp;"")</f>
        <v/>
      </c>
      <c r="B123" s="3" t="str">
        <f aca="false">IF($W123="","",INDEX(发票统计!B$4:B$1003,$W123)&amp;"")</f>
        <v/>
      </c>
      <c r="C123" s="3" t="str">
        <f aca="false">IF($W123="","",INDEX(发票统计!C$4:C$1003,$W123)&amp;"")</f>
        <v/>
      </c>
      <c r="D123" s="3" t="str">
        <f aca="false">IF($W123="","",INDEX(发票统计!D$4:D$1003,$W123)&amp;"")</f>
        <v/>
      </c>
      <c r="E123" s="67" t="str">
        <f aca="false">IF($W123="","",INDEX(发票统计!E$4:E$1003,$W123)&amp;"")</f>
        <v/>
      </c>
      <c r="F123" s="68" t="str">
        <f aca="false">IF($W123="","",INDEX(发票统计!F$4:F$1003,$W123)&amp;"")</f>
        <v/>
      </c>
      <c r="G123" s="68" t="str">
        <f aca="false">IF($W123="","",IF(INDEX(发票统计!G$4:G$1003,$W123)="","",INDEX(发票统计!G$4:G$1003,$W123)))</f>
        <v/>
      </c>
      <c r="H123" s="56" t="str">
        <f aca="false">IF($W123="","",N(INDEX(发票统计!H$4:H$1003,$W123)))</f>
        <v/>
      </c>
      <c r="I123" s="56" t="str">
        <f aca="false">IF($W123="","",N(INDEX(发票统计!I$4:I$1003,$W123)))</f>
        <v/>
      </c>
      <c r="J123" s="56" t="str">
        <f aca="false">IF($W123="","",N(INDEX(发票统计!J$4:J$1003,$W123)))</f>
        <v/>
      </c>
      <c r="K123" s="56" t="str">
        <f aca="false">IF($W123="","",N(INDEX(发票统计!K$4:K$1003,$W123)))</f>
        <v/>
      </c>
      <c r="L123" s="56" t="str">
        <f aca="false">IF($W123="","",SUM(J$4:J123)-SUM(K$4:K123))</f>
        <v/>
      </c>
      <c r="M123" s="56" t="str">
        <f aca="false">IF($W123="","",N(INDEX(发票统计!M$4:M$1003,$W123)))</f>
        <v/>
      </c>
      <c r="N123" s="56" t="str">
        <f aca="false">IF($W123="","",N(INDEX(发票统计!N$4:N$1003,$W123)))</f>
        <v/>
      </c>
      <c r="O123" s="56" t="str">
        <f aca="false">IF($W123="","",N(INDEX(发票统计!O$4:O$1003,$W123)))</f>
        <v/>
      </c>
      <c r="P123" s="56" t="str">
        <f aca="false">IF($W123="","",SUM(M$4:M123)-SUM(N$4:N123)-SUM(O$4:O123))</f>
        <v/>
      </c>
      <c r="Q123" s="56" t="str">
        <f aca="false">IF($W123="","",N(INDEX(发票统计!Q$4:Q$1003,$W123)))</f>
        <v/>
      </c>
      <c r="R123" s="56" t="str">
        <f aca="false">IF($W123="","",N(INDEX(发票统计!R$4:R$1003,$W123)))</f>
        <v/>
      </c>
      <c r="S123" s="56" t="str">
        <f aca="false">IF($W123="","",N(INDEX(发票统计!S$4:S$1003,$W123)))</f>
        <v/>
      </c>
      <c r="T123" s="56" t="str">
        <f aca="false">IF($W123="","",SUM(Q$4:Q123)-SUM(R$4:R123)-SUM(S$4:S123))</f>
        <v/>
      </c>
      <c r="U123" s="56" t="str">
        <f aca="false">IF($W123="","",INDEX(发票统计!U$4:U$1003,$W123)&amp;"")</f>
        <v/>
      </c>
      <c r="W123" s="1" t="str">
        <f aca="false">IF($V$3="","",IFERROR(MATCH($V$3&amp;"#"&amp;ROWS(W$4:W123),发票统计!$W$4:$W$1003,0),""))</f>
        <v/>
      </c>
    </row>
    <row r="124" customFormat="false" ht="16.5" hidden="false" customHeight="false" outlineLevel="0" collapsed="false">
      <c r="A124" s="3" t="str">
        <f aca="false">IF($W124="","",INDEX(发票统计!A$4:A$1003,$W124)&amp;"")</f>
        <v/>
      </c>
      <c r="B124" s="3" t="str">
        <f aca="false">IF($W124="","",INDEX(发票统计!B$4:B$1003,$W124)&amp;"")</f>
        <v/>
      </c>
      <c r="C124" s="3" t="str">
        <f aca="false">IF($W124="","",INDEX(发票统计!C$4:C$1003,$W124)&amp;"")</f>
        <v/>
      </c>
      <c r="D124" s="3" t="str">
        <f aca="false">IF($W124="","",INDEX(发票统计!D$4:D$1003,$W124)&amp;"")</f>
        <v/>
      </c>
      <c r="E124" s="67" t="str">
        <f aca="false">IF($W124="","",INDEX(发票统计!E$4:E$1003,$W124)&amp;"")</f>
        <v/>
      </c>
      <c r="F124" s="68" t="str">
        <f aca="false">IF($W124="","",INDEX(发票统计!F$4:F$1003,$W124)&amp;"")</f>
        <v/>
      </c>
      <c r="G124" s="68" t="str">
        <f aca="false">IF($W124="","",IF(INDEX(发票统计!G$4:G$1003,$W124)="","",INDEX(发票统计!G$4:G$1003,$W124)))</f>
        <v/>
      </c>
      <c r="H124" s="56" t="str">
        <f aca="false">IF($W124="","",N(INDEX(发票统计!H$4:H$1003,$W124)))</f>
        <v/>
      </c>
      <c r="I124" s="56" t="str">
        <f aca="false">IF($W124="","",N(INDEX(发票统计!I$4:I$1003,$W124)))</f>
        <v/>
      </c>
      <c r="J124" s="56" t="str">
        <f aca="false">IF($W124="","",N(INDEX(发票统计!J$4:J$1003,$W124)))</f>
        <v/>
      </c>
      <c r="K124" s="56" t="str">
        <f aca="false">IF($W124="","",N(INDEX(发票统计!K$4:K$1003,$W124)))</f>
        <v/>
      </c>
      <c r="L124" s="56" t="str">
        <f aca="false">IF($W124="","",SUM(J$4:J124)-SUM(K$4:K124))</f>
        <v/>
      </c>
      <c r="M124" s="56" t="str">
        <f aca="false">IF($W124="","",N(INDEX(发票统计!M$4:M$1003,$W124)))</f>
        <v/>
      </c>
      <c r="N124" s="56" t="str">
        <f aca="false">IF($W124="","",N(INDEX(发票统计!N$4:N$1003,$W124)))</f>
        <v/>
      </c>
      <c r="O124" s="56" t="str">
        <f aca="false">IF($W124="","",N(INDEX(发票统计!O$4:O$1003,$W124)))</f>
        <v/>
      </c>
      <c r="P124" s="56" t="str">
        <f aca="false">IF($W124="","",SUM(M$4:M124)-SUM(N$4:N124)-SUM(O$4:O124))</f>
        <v/>
      </c>
      <c r="Q124" s="56" t="str">
        <f aca="false">IF($W124="","",N(INDEX(发票统计!Q$4:Q$1003,$W124)))</f>
        <v/>
      </c>
      <c r="R124" s="56" t="str">
        <f aca="false">IF($W124="","",N(INDEX(发票统计!R$4:R$1003,$W124)))</f>
        <v/>
      </c>
      <c r="S124" s="56" t="str">
        <f aca="false">IF($W124="","",N(INDEX(发票统计!S$4:S$1003,$W124)))</f>
        <v/>
      </c>
      <c r="T124" s="56" t="str">
        <f aca="false">IF($W124="","",SUM(Q$4:Q124)-SUM(R$4:R124)-SUM(S$4:S124))</f>
        <v/>
      </c>
      <c r="U124" s="56" t="str">
        <f aca="false">IF($W124="","",INDEX(发票统计!U$4:U$1003,$W124)&amp;"")</f>
        <v/>
      </c>
      <c r="W124" s="1" t="str">
        <f aca="false">IF($V$3="","",IFERROR(MATCH($V$3&amp;"#"&amp;ROWS(W$4:W124),发票统计!$W$4:$W$1003,0),""))</f>
        <v/>
      </c>
    </row>
    <row r="125" customFormat="false" ht="16.5" hidden="false" customHeight="false" outlineLevel="0" collapsed="false">
      <c r="A125" s="3" t="str">
        <f aca="false">IF($W125="","",INDEX(发票统计!A$4:A$1003,$W125)&amp;"")</f>
        <v/>
      </c>
      <c r="B125" s="3" t="str">
        <f aca="false">IF($W125="","",INDEX(发票统计!B$4:B$1003,$W125)&amp;"")</f>
        <v/>
      </c>
      <c r="C125" s="3" t="str">
        <f aca="false">IF($W125="","",INDEX(发票统计!C$4:C$1003,$W125)&amp;"")</f>
        <v/>
      </c>
      <c r="D125" s="3" t="str">
        <f aca="false">IF($W125="","",INDEX(发票统计!D$4:D$1003,$W125)&amp;"")</f>
        <v/>
      </c>
      <c r="E125" s="67" t="str">
        <f aca="false">IF($W125="","",INDEX(发票统计!E$4:E$1003,$W125)&amp;"")</f>
        <v/>
      </c>
      <c r="F125" s="68" t="str">
        <f aca="false">IF($W125="","",INDEX(发票统计!F$4:F$1003,$W125)&amp;"")</f>
        <v/>
      </c>
      <c r="G125" s="68" t="str">
        <f aca="false">IF($W125="","",IF(INDEX(发票统计!G$4:G$1003,$W125)="","",INDEX(发票统计!G$4:G$1003,$W125)))</f>
        <v/>
      </c>
      <c r="H125" s="56" t="str">
        <f aca="false">IF($W125="","",N(INDEX(发票统计!H$4:H$1003,$W125)))</f>
        <v/>
      </c>
      <c r="I125" s="56" t="str">
        <f aca="false">IF($W125="","",N(INDEX(发票统计!I$4:I$1003,$W125)))</f>
        <v/>
      </c>
      <c r="J125" s="56" t="str">
        <f aca="false">IF($W125="","",N(INDEX(发票统计!J$4:J$1003,$W125)))</f>
        <v/>
      </c>
      <c r="K125" s="56" t="str">
        <f aca="false">IF($W125="","",N(INDEX(发票统计!K$4:K$1003,$W125)))</f>
        <v/>
      </c>
      <c r="L125" s="56" t="str">
        <f aca="false">IF($W125="","",SUM(J$4:J125)-SUM(K$4:K125))</f>
        <v/>
      </c>
      <c r="M125" s="56" t="str">
        <f aca="false">IF($W125="","",N(INDEX(发票统计!M$4:M$1003,$W125)))</f>
        <v/>
      </c>
      <c r="N125" s="56" t="str">
        <f aca="false">IF($W125="","",N(INDEX(发票统计!N$4:N$1003,$W125)))</f>
        <v/>
      </c>
      <c r="O125" s="56" t="str">
        <f aca="false">IF($W125="","",N(INDEX(发票统计!O$4:O$1003,$W125)))</f>
        <v/>
      </c>
      <c r="P125" s="56" t="str">
        <f aca="false">IF($W125="","",SUM(M$4:M125)-SUM(N$4:N125)-SUM(O$4:O125))</f>
        <v/>
      </c>
      <c r="Q125" s="56" t="str">
        <f aca="false">IF($W125="","",N(INDEX(发票统计!Q$4:Q$1003,$W125)))</f>
        <v/>
      </c>
      <c r="R125" s="56" t="str">
        <f aca="false">IF($W125="","",N(INDEX(发票统计!R$4:R$1003,$W125)))</f>
        <v/>
      </c>
      <c r="S125" s="56" t="str">
        <f aca="false">IF($W125="","",N(INDEX(发票统计!S$4:S$1003,$W125)))</f>
        <v/>
      </c>
      <c r="T125" s="56" t="str">
        <f aca="false">IF($W125="","",SUM(Q$4:Q125)-SUM(R$4:R125)-SUM(S$4:S125))</f>
        <v/>
      </c>
      <c r="U125" s="56" t="str">
        <f aca="false">IF($W125="","",INDEX(发票统计!U$4:U$1003,$W125)&amp;"")</f>
        <v/>
      </c>
      <c r="W125" s="1" t="str">
        <f aca="false">IF($V$3="","",IFERROR(MATCH($V$3&amp;"#"&amp;ROWS(W$4:W125),发票统计!$W$4:$W$1003,0),""))</f>
        <v/>
      </c>
    </row>
    <row r="126" customFormat="false" ht="16.5" hidden="false" customHeight="false" outlineLevel="0" collapsed="false">
      <c r="A126" s="3" t="str">
        <f aca="false">IF($W126="","",INDEX(发票统计!A$4:A$1003,$W126)&amp;"")</f>
        <v/>
      </c>
      <c r="B126" s="3" t="str">
        <f aca="false">IF($W126="","",INDEX(发票统计!B$4:B$1003,$W126)&amp;"")</f>
        <v/>
      </c>
      <c r="C126" s="3" t="str">
        <f aca="false">IF($W126="","",INDEX(发票统计!C$4:C$1003,$W126)&amp;"")</f>
        <v/>
      </c>
      <c r="D126" s="3" t="str">
        <f aca="false">IF($W126="","",INDEX(发票统计!D$4:D$1003,$W126)&amp;"")</f>
        <v/>
      </c>
      <c r="E126" s="67" t="str">
        <f aca="false">IF($W126="","",INDEX(发票统计!E$4:E$1003,$W126)&amp;"")</f>
        <v/>
      </c>
      <c r="F126" s="68" t="str">
        <f aca="false">IF($W126="","",INDEX(发票统计!F$4:F$1003,$W126)&amp;"")</f>
        <v/>
      </c>
      <c r="G126" s="68" t="str">
        <f aca="false">IF($W126="","",IF(INDEX(发票统计!G$4:G$1003,$W126)="","",INDEX(发票统计!G$4:G$1003,$W126)))</f>
        <v/>
      </c>
      <c r="H126" s="56" t="str">
        <f aca="false">IF($W126="","",N(INDEX(发票统计!H$4:H$1003,$W126)))</f>
        <v/>
      </c>
      <c r="I126" s="56" t="str">
        <f aca="false">IF($W126="","",N(INDEX(发票统计!I$4:I$1003,$W126)))</f>
        <v/>
      </c>
      <c r="J126" s="56" t="str">
        <f aca="false">IF($W126="","",N(INDEX(发票统计!J$4:J$1003,$W126)))</f>
        <v/>
      </c>
      <c r="K126" s="56" t="str">
        <f aca="false">IF($W126="","",N(INDEX(发票统计!K$4:K$1003,$W126)))</f>
        <v/>
      </c>
      <c r="L126" s="56" t="str">
        <f aca="false">IF($W126="","",SUM(J$4:J126)-SUM(K$4:K126))</f>
        <v/>
      </c>
      <c r="M126" s="56" t="str">
        <f aca="false">IF($W126="","",N(INDEX(发票统计!M$4:M$1003,$W126)))</f>
        <v/>
      </c>
      <c r="N126" s="56" t="str">
        <f aca="false">IF($W126="","",N(INDEX(发票统计!N$4:N$1003,$W126)))</f>
        <v/>
      </c>
      <c r="O126" s="56" t="str">
        <f aca="false">IF($W126="","",N(INDEX(发票统计!O$4:O$1003,$W126)))</f>
        <v/>
      </c>
      <c r="P126" s="56" t="str">
        <f aca="false">IF($W126="","",SUM(M$4:M126)-SUM(N$4:N126)-SUM(O$4:O126))</f>
        <v/>
      </c>
      <c r="Q126" s="56" t="str">
        <f aca="false">IF($W126="","",N(INDEX(发票统计!Q$4:Q$1003,$W126)))</f>
        <v/>
      </c>
      <c r="R126" s="56" t="str">
        <f aca="false">IF($W126="","",N(INDEX(发票统计!R$4:R$1003,$W126)))</f>
        <v/>
      </c>
      <c r="S126" s="56" t="str">
        <f aca="false">IF($W126="","",N(INDEX(发票统计!S$4:S$1003,$W126)))</f>
        <v/>
      </c>
      <c r="T126" s="56" t="str">
        <f aca="false">IF($W126="","",SUM(Q$4:Q126)-SUM(R$4:R126)-SUM(S$4:S126))</f>
        <v/>
      </c>
      <c r="U126" s="56" t="str">
        <f aca="false">IF($W126="","",INDEX(发票统计!U$4:U$1003,$W126)&amp;"")</f>
        <v/>
      </c>
      <c r="W126" s="1" t="str">
        <f aca="false">IF($V$3="","",IFERROR(MATCH($V$3&amp;"#"&amp;ROWS(W$4:W126),发票统计!$W$4:$W$1003,0),""))</f>
        <v/>
      </c>
    </row>
    <row r="127" customFormat="false" ht="16.5" hidden="false" customHeight="false" outlineLevel="0" collapsed="false">
      <c r="A127" s="3" t="str">
        <f aca="false">IF($W127="","",INDEX(发票统计!A$4:A$1003,$W127)&amp;"")</f>
        <v/>
      </c>
      <c r="B127" s="3" t="str">
        <f aca="false">IF($W127="","",INDEX(发票统计!B$4:B$1003,$W127)&amp;"")</f>
        <v/>
      </c>
      <c r="C127" s="3" t="str">
        <f aca="false">IF($W127="","",INDEX(发票统计!C$4:C$1003,$W127)&amp;"")</f>
        <v/>
      </c>
      <c r="D127" s="3" t="str">
        <f aca="false">IF($W127="","",INDEX(发票统计!D$4:D$1003,$W127)&amp;"")</f>
        <v/>
      </c>
      <c r="E127" s="67" t="str">
        <f aca="false">IF($W127="","",INDEX(发票统计!E$4:E$1003,$W127)&amp;"")</f>
        <v/>
      </c>
      <c r="F127" s="68" t="str">
        <f aca="false">IF($W127="","",INDEX(发票统计!F$4:F$1003,$W127)&amp;"")</f>
        <v/>
      </c>
      <c r="G127" s="68" t="str">
        <f aca="false">IF($W127="","",IF(INDEX(发票统计!G$4:G$1003,$W127)="","",INDEX(发票统计!G$4:G$1003,$W127)))</f>
        <v/>
      </c>
      <c r="H127" s="56" t="str">
        <f aca="false">IF($W127="","",N(INDEX(发票统计!H$4:H$1003,$W127)))</f>
        <v/>
      </c>
      <c r="I127" s="56" t="str">
        <f aca="false">IF($W127="","",N(INDEX(发票统计!I$4:I$1003,$W127)))</f>
        <v/>
      </c>
      <c r="J127" s="56" t="str">
        <f aca="false">IF($W127="","",N(INDEX(发票统计!J$4:J$1003,$W127)))</f>
        <v/>
      </c>
      <c r="K127" s="56" t="str">
        <f aca="false">IF($W127="","",N(INDEX(发票统计!K$4:K$1003,$W127)))</f>
        <v/>
      </c>
      <c r="L127" s="56" t="str">
        <f aca="false">IF($W127="","",SUM(J$4:J127)-SUM(K$4:K127))</f>
        <v/>
      </c>
      <c r="M127" s="56" t="str">
        <f aca="false">IF($W127="","",N(INDEX(发票统计!M$4:M$1003,$W127)))</f>
        <v/>
      </c>
      <c r="N127" s="56" t="str">
        <f aca="false">IF($W127="","",N(INDEX(发票统计!N$4:N$1003,$W127)))</f>
        <v/>
      </c>
      <c r="O127" s="56" t="str">
        <f aca="false">IF($W127="","",N(INDEX(发票统计!O$4:O$1003,$W127)))</f>
        <v/>
      </c>
      <c r="P127" s="56" t="str">
        <f aca="false">IF($W127="","",SUM(M$4:M127)-SUM(N$4:N127)-SUM(O$4:O127))</f>
        <v/>
      </c>
      <c r="Q127" s="56" t="str">
        <f aca="false">IF($W127="","",N(INDEX(发票统计!Q$4:Q$1003,$W127)))</f>
        <v/>
      </c>
      <c r="R127" s="56" t="str">
        <f aca="false">IF($W127="","",N(INDEX(发票统计!R$4:R$1003,$W127)))</f>
        <v/>
      </c>
      <c r="S127" s="56" t="str">
        <f aca="false">IF($W127="","",N(INDEX(发票统计!S$4:S$1003,$W127)))</f>
        <v/>
      </c>
      <c r="T127" s="56" t="str">
        <f aca="false">IF($W127="","",SUM(Q$4:Q127)-SUM(R$4:R127)-SUM(S$4:S127))</f>
        <v/>
      </c>
      <c r="U127" s="56" t="str">
        <f aca="false">IF($W127="","",INDEX(发票统计!U$4:U$1003,$W127)&amp;"")</f>
        <v/>
      </c>
      <c r="W127" s="1" t="str">
        <f aca="false">IF($V$3="","",IFERROR(MATCH($V$3&amp;"#"&amp;ROWS(W$4:W127),发票统计!$W$4:$W$1003,0),""))</f>
        <v/>
      </c>
    </row>
    <row r="128" customFormat="false" ht="16.5" hidden="false" customHeight="false" outlineLevel="0" collapsed="false">
      <c r="A128" s="3" t="str">
        <f aca="false">IF($W128="","",INDEX(发票统计!A$4:A$1003,$W128)&amp;"")</f>
        <v/>
      </c>
      <c r="B128" s="3" t="str">
        <f aca="false">IF($W128="","",INDEX(发票统计!B$4:B$1003,$W128)&amp;"")</f>
        <v/>
      </c>
      <c r="C128" s="3" t="str">
        <f aca="false">IF($W128="","",INDEX(发票统计!C$4:C$1003,$W128)&amp;"")</f>
        <v/>
      </c>
      <c r="D128" s="3" t="str">
        <f aca="false">IF($W128="","",INDEX(发票统计!D$4:D$1003,$W128)&amp;"")</f>
        <v/>
      </c>
      <c r="E128" s="67" t="str">
        <f aca="false">IF($W128="","",INDEX(发票统计!E$4:E$1003,$W128)&amp;"")</f>
        <v/>
      </c>
      <c r="F128" s="68" t="str">
        <f aca="false">IF($W128="","",INDEX(发票统计!F$4:F$1003,$W128)&amp;"")</f>
        <v/>
      </c>
      <c r="G128" s="68" t="str">
        <f aca="false">IF($W128="","",IF(INDEX(发票统计!G$4:G$1003,$W128)="","",INDEX(发票统计!G$4:G$1003,$W128)))</f>
        <v/>
      </c>
      <c r="H128" s="56" t="str">
        <f aca="false">IF($W128="","",N(INDEX(发票统计!H$4:H$1003,$W128)))</f>
        <v/>
      </c>
      <c r="I128" s="56" t="str">
        <f aca="false">IF($W128="","",N(INDEX(发票统计!I$4:I$1003,$W128)))</f>
        <v/>
      </c>
      <c r="J128" s="56" t="str">
        <f aca="false">IF($W128="","",N(INDEX(发票统计!J$4:J$1003,$W128)))</f>
        <v/>
      </c>
      <c r="K128" s="56" t="str">
        <f aca="false">IF($W128="","",N(INDEX(发票统计!K$4:K$1003,$W128)))</f>
        <v/>
      </c>
      <c r="L128" s="56" t="str">
        <f aca="false">IF($W128="","",SUM(J$4:J128)-SUM(K$4:K128))</f>
        <v/>
      </c>
      <c r="M128" s="56" t="str">
        <f aca="false">IF($W128="","",N(INDEX(发票统计!M$4:M$1003,$W128)))</f>
        <v/>
      </c>
      <c r="N128" s="56" t="str">
        <f aca="false">IF($W128="","",N(INDEX(发票统计!N$4:N$1003,$W128)))</f>
        <v/>
      </c>
      <c r="O128" s="56" t="str">
        <f aca="false">IF($W128="","",N(INDEX(发票统计!O$4:O$1003,$W128)))</f>
        <v/>
      </c>
      <c r="P128" s="56" t="str">
        <f aca="false">IF($W128="","",SUM(M$4:M128)-SUM(N$4:N128)-SUM(O$4:O128))</f>
        <v/>
      </c>
      <c r="Q128" s="56" t="str">
        <f aca="false">IF($W128="","",N(INDEX(发票统计!Q$4:Q$1003,$W128)))</f>
        <v/>
      </c>
      <c r="R128" s="56" t="str">
        <f aca="false">IF($W128="","",N(INDEX(发票统计!R$4:R$1003,$W128)))</f>
        <v/>
      </c>
      <c r="S128" s="56" t="str">
        <f aca="false">IF($W128="","",N(INDEX(发票统计!S$4:S$1003,$W128)))</f>
        <v/>
      </c>
      <c r="T128" s="56" t="str">
        <f aca="false">IF($W128="","",SUM(Q$4:Q128)-SUM(R$4:R128)-SUM(S$4:S128))</f>
        <v/>
      </c>
      <c r="U128" s="56" t="str">
        <f aca="false">IF($W128="","",INDEX(发票统计!U$4:U$1003,$W128)&amp;"")</f>
        <v/>
      </c>
      <c r="W128" s="1" t="str">
        <f aca="false">IF($V$3="","",IFERROR(MATCH($V$3&amp;"#"&amp;ROWS(W$4:W128),发票统计!$W$4:$W$1003,0),""))</f>
        <v/>
      </c>
    </row>
    <row r="129" customFormat="false" ht="16.5" hidden="false" customHeight="false" outlineLevel="0" collapsed="false">
      <c r="A129" s="3" t="str">
        <f aca="false">IF($W129="","",INDEX(发票统计!A$4:A$1003,$W129)&amp;"")</f>
        <v/>
      </c>
      <c r="B129" s="3" t="str">
        <f aca="false">IF($W129="","",INDEX(发票统计!B$4:B$1003,$W129)&amp;"")</f>
        <v/>
      </c>
      <c r="C129" s="3" t="str">
        <f aca="false">IF($W129="","",INDEX(发票统计!C$4:C$1003,$W129)&amp;"")</f>
        <v/>
      </c>
      <c r="D129" s="3" t="str">
        <f aca="false">IF($W129="","",INDEX(发票统计!D$4:D$1003,$W129)&amp;"")</f>
        <v/>
      </c>
      <c r="E129" s="67" t="str">
        <f aca="false">IF($W129="","",INDEX(发票统计!E$4:E$1003,$W129)&amp;"")</f>
        <v/>
      </c>
      <c r="F129" s="68" t="str">
        <f aca="false">IF($W129="","",INDEX(发票统计!F$4:F$1003,$W129)&amp;"")</f>
        <v/>
      </c>
      <c r="G129" s="68" t="str">
        <f aca="false">IF($W129="","",IF(INDEX(发票统计!G$4:G$1003,$W129)="","",INDEX(发票统计!G$4:G$1003,$W129)))</f>
        <v/>
      </c>
      <c r="H129" s="56" t="str">
        <f aca="false">IF($W129="","",N(INDEX(发票统计!H$4:H$1003,$W129)))</f>
        <v/>
      </c>
      <c r="I129" s="56" t="str">
        <f aca="false">IF($W129="","",N(INDEX(发票统计!I$4:I$1003,$W129)))</f>
        <v/>
      </c>
      <c r="J129" s="56" t="str">
        <f aca="false">IF($W129="","",N(INDEX(发票统计!J$4:J$1003,$W129)))</f>
        <v/>
      </c>
      <c r="K129" s="56" t="str">
        <f aca="false">IF($W129="","",N(INDEX(发票统计!K$4:K$1003,$W129)))</f>
        <v/>
      </c>
      <c r="L129" s="56" t="str">
        <f aca="false">IF($W129="","",SUM(J$4:J129)-SUM(K$4:K129))</f>
        <v/>
      </c>
      <c r="M129" s="56" t="str">
        <f aca="false">IF($W129="","",N(INDEX(发票统计!M$4:M$1003,$W129)))</f>
        <v/>
      </c>
      <c r="N129" s="56" t="str">
        <f aca="false">IF($W129="","",N(INDEX(发票统计!N$4:N$1003,$W129)))</f>
        <v/>
      </c>
      <c r="O129" s="56" t="str">
        <f aca="false">IF($W129="","",N(INDEX(发票统计!O$4:O$1003,$W129)))</f>
        <v/>
      </c>
      <c r="P129" s="56" t="str">
        <f aca="false">IF($W129="","",SUM(M$4:M129)-SUM(N$4:N129)-SUM(O$4:O129))</f>
        <v/>
      </c>
      <c r="Q129" s="56" t="str">
        <f aca="false">IF($W129="","",N(INDEX(发票统计!Q$4:Q$1003,$W129)))</f>
        <v/>
      </c>
      <c r="R129" s="56" t="str">
        <f aca="false">IF($W129="","",N(INDEX(发票统计!R$4:R$1003,$W129)))</f>
        <v/>
      </c>
      <c r="S129" s="56" t="str">
        <f aca="false">IF($W129="","",N(INDEX(发票统计!S$4:S$1003,$W129)))</f>
        <v/>
      </c>
      <c r="T129" s="56" t="str">
        <f aca="false">IF($W129="","",SUM(Q$4:Q129)-SUM(R$4:R129)-SUM(S$4:S129))</f>
        <v/>
      </c>
      <c r="U129" s="56" t="str">
        <f aca="false">IF($W129="","",INDEX(发票统计!U$4:U$1003,$W129)&amp;"")</f>
        <v/>
      </c>
      <c r="W129" s="1" t="str">
        <f aca="false">IF($V$3="","",IFERROR(MATCH($V$3&amp;"#"&amp;ROWS(W$4:W129),发票统计!$W$4:$W$1003,0),""))</f>
        <v/>
      </c>
    </row>
    <row r="130" customFormat="false" ht="16.5" hidden="false" customHeight="false" outlineLevel="0" collapsed="false">
      <c r="A130" s="3" t="str">
        <f aca="false">IF($W130="","",INDEX(发票统计!A$4:A$1003,$W130)&amp;"")</f>
        <v/>
      </c>
      <c r="B130" s="3" t="str">
        <f aca="false">IF($W130="","",INDEX(发票统计!B$4:B$1003,$W130)&amp;"")</f>
        <v/>
      </c>
      <c r="C130" s="3" t="str">
        <f aca="false">IF($W130="","",INDEX(发票统计!C$4:C$1003,$W130)&amp;"")</f>
        <v/>
      </c>
      <c r="D130" s="3" t="str">
        <f aca="false">IF($W130="","",INDEX(发票统计!D$4:D$1003,$W130)&amp;"")</f>
        <v/>
      </c>
      <c r="E130" s="67" t="str">
        <f aca="false">IF($W130="","",INDEX(发票统计!E$4:E$1003,$W130)&amp;"")</f>
        <v/>
      </c>
      <c r="F130" s="68" t="str">
        <f aca="false">IF($W130="","",INDEX(发票统计!F$4:F$1003,$W130)&amp;"")</f>
        <v/>
      </c>
      <c r="G130" s="68" t="str">
        <f aca="false">IF($W130="","",IF(INDEX(发票统计!G$4:G$1003,$W130)="","",INDEX(发票统计!G$4:G$1003,$W130)))</f>
        <v/>
      </c>
      <c r="H130" s="56" t="str">
        <f aca="false">IF($W130="","",N(INDEX(发票统计!H$4:H$1003,$W130)))</f>
        <v/>
      </c>
      <c r="I130" s="56" t="str">
        <f aca="false">IF($W130="","",N(INDEX(发票统计!I$4:I$1003,$W130)))</f>
        <v/>
      </c>
      <c r="J130" s="56" t="str">
        <f aca="false">IF($W130="","",N(INDEX(发票统计!J$4:J$1003,$W130)))</f>
        <v/>
      </c>
      <c r="K130" s="56" t="str">
        <f aca="false">IF($W130="","",N(INDEX(发票统计!K$4:K$1003,$W130)))</f>
        <v/>
      </c>
      <c r="L130" s="56" t="str">
        <f aca="false">IF($W130="","",SUM(J$4:J130)-SUM(K$4:K130))</f>
        <v/>
      </c>
      <c r="M130" s="56" t="str">
        <f aca="false">IF($W130="","",N(INDEX(发票统计!M$4:M$1003,$W130)))</f>
        <v/>
      </c>
      <c r="N130" s="56" t="str">
        <f aca="false">IF($W130="","",N(INDEX(发票统计!N$4:N$1003,$W130)))</f>
        <v/>
      </c>
      <c r="O130" s="56" t="str">
        <f aca="false">IF($W130="","",N(INDEX(发票统计!O$4:O$1003,$W130)))</f>
        <v/>
      </c>
      <c r="P130" s="56" t="str">
        <f aca="false">IF($W130="","",SUM(M$4:M130)-SUM(N$4:N130)-SUM(O$4:O130))</f>
        <v/>
      </c>
      <c r="Q130" s="56" t="str">
        <f aca="false">IF($W130="","",N(INDEX(发票统计!Q$4:Q$1003,$W130)))</f>
        <v/>
      </c>
      <c r="R130" s="56" t="str">
        <f aca="false">IF($W130="","",N(INDEX(发票统计!R$4:R$1003,$W130)))</f>
        <v/>
      </c>
      <c r="S130" s="56" t="str">
        <f aca="false">IF($W130="","",N(INDEX(发票统计!S$4:S$1003,$W130)))</f>
        <v/>
      </c>
      <c r="T130" s="56" t="str">
        <f aca="false">IF($W130="","",SUM(Q$4:Q130)-SUM(R$4:R130)-SUM(S$4:S130))</f>
        <v/>
      </c>
      <c r="U130" s="56" t="str">
        <f aca="false">IF($W130="","",INDEX(发票统计!U$4:U$1003,$W130)&amp;"")</f>
        <v/>
      </c>
      <c r="W130" s="1" t="str">
        <f aca="false">IF($V$3="","",IFERROR(MATCH($V$3&amp;"#"&amp;ROWS(W$4:W130),发票统计!$W$4:$W$1003,0),""))</f>
        <v/>
      </c>
    </row>
    <row r="131" customFormat="false" ht="16.5" hidden="false" customHeight="false" outlineLevel="0" collapsed="false">
      <c r="A131" s="3" t="str">
        <f aca="false">IF($W131="","",INDEX(发票统计!A$4:A$1003,$W131)&amp;"")</f>
        <v/>
      </c>
      <c r="B131" s="3" t="str">
        <f aca="false">IF($W131="","",INDEX(发票统计!B$4:B$1003,$W131)&amp;"")</f>
        <v/>
      </c>
      <c r="C131" s="3" t="str">
        <f aca="false">IF($W131="","",INDEX(发票统计!C$4:C$1003,$W131)&amp;"")</f>
        <v/>
      </c>
      <c r="D131" s="3" t="str">
        <f aca="false">IF($W131="","",INDEX(发票统计!D$4:D$1003,$W131)&amp;"")</f>
        <v/>
      </c>
      <c r="E131" s="67" t="str">
        <f aca="false">IF($W131="","",INDEX(发票统计!E$4:E$1003,$W131)&amp;"")</f>
        <v/>
      </c>
      <c r="F131" s="68" t="str">
        <f aca="false">IF($W131="","",INDEX(发票统计!F$4:F$1003,$W131)&amp;"")</f>
        <v/>
      </c>
      <c r="G131" s="68" t="str">
        <f aca="false">IF($W131="","",IF(INDEX(发票统计!G$4:G$1003,$W131)="","",INDEX(发票统计!G$4:G$1003,$W131)))</f>
        <v/>
      </c>
      <c r="H131" s="56" t="str">
        <f aca="false">IF($W131="","",N(INDEX(发票统计!H$4:H$1003,$W131)))</f>
        <v/>
      </c>
      <c r="I131" s="56" t="str">
        <f aca="false">IF($W131="","",N(INDEX(发票统计!I$4:I$1003,$W131)))</f>
        <v/>
      </c>
      <c r="J131" s="56" t="str">
        <f aca="false">IF($W131="","",N(INDEX(发票统计!J$4:J$1003,$W131)))</f>
        <v/>
      </c>
      <c r="K131" s="56" t="str">
        <f aca="false">IF($W131="","",N(INDEX(发票统计!K$4:K$1003,$W131)))</f>
        <v/>
      </c>
      <c r="L131" s="56" t="str">
        <f aca="false">IF($W131="","",SUM(J$4:J131)-SUM(K$4:K131))</f>
        <v/>
      </c>
      <c r="M131" s="56" t="str">
        <f aca="false">IF($W131="","",N(INDEX(发票统计!M$4:M$1003,$W131)))</f>
        <v/>
      </c>
      <c r="N131" s="56" t="str">
        <f aca="false">IF($W131="","",N(INDEX(发票统计!N$4:N$1003,$W131)))</f>
        <v/>
      </c>
      <c r="O131" s="56" t="str">
        <f aca="false">IF($W131="","",N(INDEX(发票统计!O$4:O$1003,$W131)))</f>
        <v/>
      </c>
      <c r="P131" s="56" t="str">
        <f aca="false">IF($W131="","",SUM(M$4:M131)-SUM(N$4:N131)-SUM(O$4:O131))</f>
        <v/>
      </c>
      <c r="Q131" s="56" t="str">
        <f aca="false">IF($W131="","",N(INDEX(发票统计!Q$4:Q$1003,$W131)))</f>
        <v/>
      </c>
      <c r="R131" s="56" t="str">
        <f aca="false">IF($W131="","",N(INDEX(发票统计!R$4:R$1003,$W131)))</f>
        <v/>
      </c>
      <c r="S131" s="56" t="str">
        <f aca="false">IF($W131="","",N(INDEX(发票统计!S$4:S$1003,$W131)))</f>
        <v/>
      </c>
      <c r="T131" s="56" t="str">
        <f aca="false">IF($W131="","",SUM(Q$4:Q131)-SUM(R$4:R131)-SUM(S$4:S131))</f>
        <v/>
      </c>
      <c r="U131" s="56" t="str">
        <f aca="false">IF($W131="","",INDEX(发票统计!U$4:U$1003,$W131)&amp;"")</f>
        <v/>
      </c>
      <c r="W131" s="1" t="str">
        <f aca="false">IF($V$3="","",IFERROR(MATCH($V$3&amp;"#"&amp;ROWS(W$4:W131),发票统计!$W$4:$W$1003,0),""))</f>
        <v/>
      </c>
    </row>
    <row r="132" customFormat="false" ht="16.5" hidden="false" customHeight="false" outlineLevel="0" collapsed="false">
      <c r="A132" s="3" t="str">
        <f aca="false">IF($W132="","",INDEX(发票统计!A$4:A$1003,$W132)&amp;"")</f>
        <v/>
      </c>
      <c r="B132" s="3" t="str">
        <f aca="false">IF($W132="","",INDEX(发票统计!B$4:B$1003,$W132)&amp;"")</f>
        <v/>
      </c>
      <c r="C132" s="3" t="str">
        <f aca="false">IF($W132="","",INDEX(发票统计!C$4:C$1003,$W132)&amp;"")</f>
        <v/>
      </c>
      <c r="D132" s="3" t="str">
        <f aca="false">IF($W132="","",INDEX(发票统计!D$4:D$1003,$W132)&amp;"")</f>
        <v/>
      </c>
      <c r="E132" s="67" t="str">
        <f aca="false">IF($W132="","",INDEX(发票统计!E$4:E$1003,$W132)&amp;"")</f>
        <v/>
      </c>
      <c r="F132" s="68" t="str">
        <f aca="false">IF($W132="","",INDEX(发票统计!F$4:F$1003,$W132)&amp;"")</f>
        <v/>
      </c>
      <c r="G132" s="68" t="str">
        <f aca="false">IF($W132="","",IF(INDEX(发票统计!G$4:G$1003,$W132)="","",INDEX(发票统计!G$4:G$1003,$W132)))</f>
        <v/>
      </c>
      <c r="H132" s="56" t="str">
        <f aca="false">IF($W132="","",N(INDEX(发票统计!H$4:H$1003,$W132)))</f>
        <v/>
      </c>
      <c r="I132" s="56" t="str">
        <f aca="false">IF($W132="","",N(INDEX(发票统计!I$4:I$1003,$W132)))</f>
        <v/>
      </c>
      <c r="J132" s="56" t="str">
        <f aca="false">IF($W132="","",N(INDEX(发票统计!J$4:J$1003,$W132)))</f>
        <v/>
      </c>
      <c r="K132" s="56" t="str">
        <f aca="false">IF($W132="","",N(INDEX(发票统计!K$4:K$1003,$W132)))</f>
        <v/>
      </c>
      <c r="L132" s="56" t="str">
        <f aca="false">IF($W132="","",SUM(J$4:J132)-SUM(K$4:K132))</f>
        <v/>
      </c>
      <c r="M132" s="56" t="str">
        <f aca="false">IF($W132="","",N(INDEX(发票统计!M$4:M$1003,$W132)))</f>
        <v/>
      </c>
      <c r="N132" s="56" t="str">
        <f aca="false">IF($W132="","",N(INDEX(发票统计!N$4:N$1003,$W132)))</f>
        <v/>
      </c>
      <c r="O132" s="56" t="str">
        <f aca="false">IF($W132="","",N(INDEX(发票统计!O$4:O$1003,$W132)))</f>
        <v/>
      </c>
      <c r="P132" s="56" t="str">
        <f aca="false">IF($W132="","",SUM(M$4:M132)-SUM(N$4:N132)-SUM(O$4:O132))</f>
        <v/>
      </c>
      <c r="Q132" s="56" t="str">
        <f aca="false">IF($W132="","",N(INDEX(发票统计!Q$4:Q$1003,$W132)))</f>
        <v/>
      </c>
      <c r="R132" s="56" t="str">
        <f aca="false">IF($W132="","",N(INDEX(发票统计!R$4:R$1003,$W132)))</f>
        <v/>
      </c>
      <c r="S132" s="56" t="str">
        <f aca="false">IF($W132="","",N(INDEX(发票统计!S$4:S$1003,$W132)))</f>
        <v/>
      </c>
      <c r="T132" s="56" t="str">
        <f aca="false">IF($W132="","",SUM(Q$4:Q132)-SUM(R$4:R132)-SUM(S$4:S132))</f>
        <v/>
      </c>
      <c r="U132" s="56" t="str">
        <f aca="false">IF($W132="","",INDEX(发票统计!U$4:U$1003,$W132)&amp;"")</f>
        <v/>
      </c>
      <c r="W132" s="1" t="str">
        <f aca="false">IF($V$3="","",IFERROR(MATCH($V$3&amp;"#"&amp;ROWS(W$4:W132),发票统计!$W$4:$W$1003,0),""))</f>
        <v/>
      </c>
    </row>
    <row r="133" customFormat="false" ht="16.5" hidden="false" customHeight="false" outlineLevel="0" collapsed="false">
      <c r="A133" s="3" t="str">
        <f aca="false">IF($W133="","",INDEX(发票统计!A$4:A$1003,$W133)&amp;"")</f>
        <v/>
      </c>
      <c r="B133" s="3" t="str">
        <f aca="false">IF($W133="","",INDEX(发票统计!B$4:B$1003,$W133)&amp;"")</f>
        <v/>
      </c>
      <c r="C133" s="3" t="str">
        <f aca="false">IF($W133="","",INDEX(发票统计!C$4:C$1003,$W133)&amp;"")</f>
        <v/>
      </c>
      <c r="D133" s="3" t="str">
        <f aca="false">IF($W133="","",INDEX(发票统计!D$4:D$1003,$W133)&amp;"")</f>
        <v/>
      </c>
      <c r="E133" s="67" t="str">
        <f aca="false">IF($W133="","",INDEX(发票统计!E$4:E$1003,$W133)&amp;"")</f>
        <v/>
      </c>
      <c r="F133" s="68" t="str">
        <f aca="false">IF($W133="","",INDEX(发票统计!F$4:F$1003,$W133)&amp;"")</f>
        <v/>
      </c>
      <c r="G133" s="68" t="str">
        <f aca="false">IF($W133="","",IF(INDEX(发票统计!G$4:G$1003,$W133)="","",INDEX(发票统计!G$4:G$1003,$W133)))</f>
        <v/>
      </c>
      <c r="H133" s="56" t="str">
        <f aca="false">IF($W133="","",N(INDEX(发票统计!H$4:H$1003,$W133)))</f>
        <v/>
      </c>
      <c r="I133" s="56" t="str">
        <f aca="false">IF($W133="","",N(INDEX(发票统计!I$4:I$1003,$W133)))</f>
        <v/>
      </c>
      <c r="J133" s="56" t="str">
        <f aca="false">IF($W133="","",N(INDEX(发票统计!J$4:J$1003,$W133)))</f>
        <v/>
      </c>
      <c r="K133" s="56" t="str">
        <f aca="false">IF($W133="","",N(INDEX(发票统计!K$4:K$1003,$W133)))</f>
        <v/>
      </c>
      <c r="L133" s="56" t="str">
        <f aca="false">IF($W133="","",SUM(J$4:J133)-SUM(K$4:K133))</f>
        <v/>
      </c>
      <c r="M133" s="56" t="str">
        <f aca="false">IF($W133="","",N(INDEX(发票统计!M$4:M$1003,$W133)))</f>
        <v/>
      </c>
      <c r="N133" s="56" t="str">
        <f aca="false">IF($W133="","",N(INDEX(发票统计!N$4:N$1003,$W133)))</f>
        <v/>
      </c>
      <c r="O133" s="56" t="str">
        <f aca="false">IF($W133="","",N(INDEX(发票统计!O$4:O$1003,$W133)))</f>
        <v/>
      </c>
      <c r="P133" s="56" t="str">
        <f aca="false">IF($W133="","",SUM(M$4:M133)-SUM(N$4:N133)-SUM(O$4:O133))</f>
        <v/>
      </c>
      <c r="Q133" s="56" t="str">
        <f aca="false">IF($W133="","",N(INDEX(发票统计!Q$4:Q$1003,$W133)))</f>
        <v/>
      </c>
      <c r="R133" s="56" t="str">
        <f aca="false">IF($W133="","",N(INDEX(发票统计!R$4:R$1003,$W133)))</f>
        <v/>
      </c>
      <c r="S133" s="56" t="str">
        <f aca="false">IF($W133="","",N(INDEX(发票统计!S$4:S$1003,$W133)))</f>
        <v/>
      </c>
      <c r="T133" s="56" t="str">
        <f aca="false">IF($W133="","",SUM(Q$4:Q133)-SUM(R$4:R133)-SUM(S$4:S133))</f>
        <v/>
      </c>
      <c r="U133" s="56" t="str">
        <f aca="false">IF($W133="","",INDEX(发票统计!U$4:U$1003,$W133)&amp;"")</f>
        <v/>
      </c>
      <c r="W133" s="1" t="str">
        <f aca="false">IF($V$3="","",IFERROR(MATCH($V$3&amp;"#"&amp;ROWS(W$4:W133),发票统计!$W$4:$W$1003,0),""))</f>
        <v/>
      </c>
    </row>
    <row r="134" customFormat="false" ht="16.5" hidden="false" customHeight="false" outlineLevel="0" collapsed="false">
      <c r="A134" s="3" t="str">
        <f aca="false">IF($W134="","",INDEX(发票统计!A$4:A$1003,$W134)&amp;"")</f>
        <v/>
      </c>
      <c r="B134" s="3" t="str">
        <f aca="false">IF($W134="","",INDEX(发票统计!B$4:B$1003,$W134)&amp;"")</f>
        <v/>
      </c>
      <c r="C134" s="3" t="str">
        <f aca="false">IF($W134="","",INDEX(发票统计!C$4:C$1003,$W134)&amp;"")</f>
        <v/>
      </c>
      <c r="D134" s="3" t="str">
        <f aca="false">IF($W134="","",INDEX(发票统计!D$4:D$1003,$W134)&amp;"")</f>
        <v/>
      </c>
      <c r="E134" s="67" t="str">
        <f aca="false">IF($W134="","",INDEX(发票统计!E$4:E$1003,$W134)&amp;"")</f>
        <v/>
      </c>
      <c r="F134" s="68" t="str">
        <f aca="false">IF($W134="","",INDEX(发票统计!F$4:F$1003,$W134)&amp;"")</f>
        <v/>
      </c>
      <c r="G134" s="68" t="str">
        <f aca="false">IF($W134="","",IF(INDEX(发票统计!G$4:G$1003,$W134)="","",INDEX(发票统计!G$4:G$1003,$W134)))</f>
        <v/>
      </c>
      <c r="H134" s="56" t="str">
        <f aca="false">IF($W134="","",N(INDEX(发票统计!H$4:H$1003,$W134)))</f>
        <v/>
      </c>
      <c r="I134" s="56" t="str">
        <f aca="false">IF($W134="","",N(INDEX(发票统计!I$4:I$1003,$W134)))</f>
        <v/>
      </c>
      <c r="J134" s="56" t="str">
        <f aca="false">IF($W134="","",N(INDEX(发票统计!J$4:J$1003,$W134)))</f>
        <v/>
      </c>
      <c r="K134" s="56" t="str">
        <f aca="false">IF($W134="","",N(INDEX(发票统计!K$4:K$1003,$W134)))</f>
        <v/>
      </c>
      <c r="L134" s="56" t="str">
        <f aca="false">IF($W134="","",SUM(J$4:J134)-SUM(K$4:K134))</f>
        <v/>
      </c>
      <c r="M134" s="56" t="str">
        <f aca="false">IF($W134="","",N(INDEX(发票统计!M$4:M$1003,$W134)))</f>
        <v/>
      </c>
      <c r="N134" s="56" t="str">
        <f aca="false">IF($W134="","",N(INDEX(发票统计!N$4:N$1003,$W134)))</f>
        <v/>
      </c>
      <c r="O134" s="56" t="str">
        <f aca="false">IF($W134="","",N(INDEX(发票统计!O$4:O$1003,$W134)))</f>
        <v/>
      </c>
      <c r="P134" s="56" t="str">
        <f aca="false">IF($W134="","",SUM(M$4:M134)-SUM(N$4:N134)-SUM(O$4:O134))</f>
        <v/>
      </c>
      <c r="Q134" s="56" t="str">
        <f aca="false">IF($W134="","",N(INDEX(发票统计!Q$4:Q$1003,$W134)))</f>
        <v/>
      </c>
      <c r="R134" s="56" t="str">
        <f aca="false">IF($W134="","",N(INDEX(发票统计!R$4:R$1003,$W134)))</f>
        <v/>
      </c>
      <c r="S134" s="56" t="str">
        <f aca="false">IF($W134="","",N(INDEX(发票统计!S$4:S$1003,$W134)))</f>
        <v/>
      </c>
      <c r="T134" s="56" t="str">
        <f aca="false">IF($W134="","",SUM(Q$4:Q134)-SUM(R$4:R134)-SUM(S$4:S134))</f>
        <v/>
      </c>
      <c r="U134" s="56" t="str">
        <f aca="false">IF($W134="","",INDEX(发票统计!U$4:U$1003,$W134)&amp;"")</f>
        <v/>
      </c>
      <c r="W134" s="1" t="str">
        <f aca="false">IF($V$3="","",IFERROR(MATCH($V$3&amp;"#"&amp;ROWS(W$4:W134),发票统计!$W$4:$W$1003,0),""))</f>
        <v/>
      </c>
    </row>
    <row r="135" customFormat="false" ht="16.5" hidden="false" customHeight="false" outlineLevel="0" collapsed="false">
      <c r="A135" s="3" t="str">
        <f aca="false">IF($W135="","",INDEX(发票统计!A$4:A$1003,$W135)&amp;"")</f>
        <v/>
      </c>
      <c r="B135" s="3" t="str">
        <f aca="false">IF($W135="","",INDEX(发票统计!B$4:B$1003,$W135)&amp;"")</f>
        <v/>
      </c>
      <c r="C135" s="3" t="str">
        <f aca="false">IF($W135="","",INDEX(发票统计!C$4:C$1003,$W135)&amp;"")</f>
        <v/>
      </c>
      <c r="D135" s="3" t="str">
        <f aca="false">IF($W135="","",INDEX(发票统计!D$4:D$1003,$W135)&amp;"")</f>
        <v/>
      </c>
      <c r="E135" s="67" t="str">
        <f aca="false">IF($W135="","",INDEX(发票统计!E$4:E$1003,$W135)&amp;"")</f>
        <v/>
      </c>
      <c r="F135" s="68" t="str">
        <f aca="false">IF($W135="","",INDEX(发票统计!F$4:F$1003,$W135)&amp;"")</f>
        <v/>
      </c>
      <c r="G135" s="68" t="str">
        <f aca="false">IF($W135="","",IF(INDEX(发票统计!G$4:G$1003,$W135)="","",INDEX(发票统计!G$4:G$1003,$W135)))</f>
        <v/>
      </c>
      <c r="H135" s="56" t="str">
        <f aca="false">IF($W135="","",N(INDEX(发票统计!H$4:H$1003,$W135)))</f>
        <v/>
      </c>
      <c r="I135" s="56" t="str">
        <f aca="false">IF($W135="","",N(INDEX(发票统计!I$4:I$1003,$W135)))</f>
        <v/>
      </c>
      <c r="J135" s="56" t="str">
        <f aca="false">IF($W135="","",N(INDEX(发票统计!J$4:J$1003,$W135)))</f>
        <v/>
      </c>
      <c r="K135" s="56" t="str">
        <f aca="false">IF($W135="","",N(INDEX(发票统计!K$4:K$1003,$W135)))</f>
        <v/>
      </c>
      <c r="L135" s="56" t="str">
        <f aca="false">IF($W135="","",SUM(J$4:J135)-SUM(K$4:K135))</f>
        <v/>
      </c>
      <c r="M135" s="56" t="str">
        <f aca="false">IF($W135="","",N(INDEX(发票统计!M$4:M$1003,$W135)))</f>
        <v/>
      </c>
      <c r="N135" s="56" t="str">
        <f aca="false">IF($W135="","",N(INDEX(发票统计!N$4:N$1003,$W135)))</f>
        <v/>
      </c>
      <c r="O135" s="56" t="str">
        <f aca="false">IF($W135="","",N(INDEX(发票统计!O$4:O$1003,$W135)))</f>
        <v/>
      </c>
      <c r="P135" s="56" t="str">
        <f aca="false">IF($W135="","",SUM(M$4:M135)-SUM(N$4:N135)-SUM(O$4:O135))</f>
        <v/>
      </c>
      <c r="Q135" s="56" t="str">
        <f aca="false">IF($W135="","",N(INDEX(发票统计!Q$4:Q$1003,$W135)))</f>
        <v/>
      </c>
      <c r="R135" s="56" t="str">
        <f aca="false">IF($W135="","",N(INDEX(发票统计!R$4:R$1003,$W135)))</f>
        <v/>
      </c>
      <c r="S135" s="56" t="str">
        <f aca="false">IF($W135="","",N(INDEX(发票统计!S$4:S$1003,$W135)))</f>
        <v/>
      </c>
      <c r="T135" s="56" t="str">
        <f aca="false">IF($W135="","",SUM(Q$4:Q135)-SUM(R$4:R135)-SUM(S$4:S135))</f>
        <v/>
      </c>
      <c r="U135" s="56" t="str">
        <f aca="false">IF($W135="","",INDEX(发票统计!U$4:U$1003,$W135)&amp;"")</f>
        <v/>
      </c>
      <c r="W135" s="1" t="str">
        <f aca="false">IF($V$3="","",IFERROR(MATCH($V$3&amp;"#"&amp;ROWS(W$4:W135),发票统计!$W$4:$W$1003,0),""))</f>
        <v/>
      </c>
    </row>
    <row r="136" customFormat="false" ht="16.5" hidden="false" customHeight="false" outlineLevel="0" collapsed="false">
      <c r="A136" s="3" t="str">
        <f aca="false">IF($W136="","",INDEX(发票统计!A$4:A$1003,$W136)&amp;"")</f>
        <v/>
      </c>
      <c r="B136" s="3" t="str">
        <f aca="false">IF($W136="","",INDEX(发票统计!B$4:B$1003,$W136)&amp;"")</f>
        <v/>
      </c>
      <c r="C136" s="3" t="str">
        <f aca="false">IF($W136="","",INDEX(发票统计!C$4:C$1003,$W136)&amp;"")</f>
        <v/>
      </c>
      <c r="D136" s="3" t="str">
        <f aca="false">IF($W136="","",INDEX(发票统计!D$4:D$1003,$W136)&amp;"")</f>
        <v/>
      </c>
      <c r="E136" s="67" t="str">
        <f aca="false">IF($W136="","",INDEX(发票统计!E$4:E$1003,$W136)&amp;"")</f>
        <v/>
      </c>
      <c r="F136" s="68" t="str">
        <f aca="false">IF($W136="","",INDEX(发票统计!F$4:F$1003,$W136)&amp;"")</f>
        <v/>
      </c>
      <c r="G136" s="68" t="str">
        <f aca="false">IF($W136="","",IF(INDEX(发票统计!G$4:G$1003,$W136)="","",INDEX(发票统计!G$4:G$1003,$W136)))</f>
        <v/>
      </c>
      <c r="H136" s="56" t="str">
        <f aca="false">IF($W136="","",N(INDEX(发票统计!H$4:H$1003,$W136)))</f>
        <v/>
      </c>
      <c r="I136" s="56" t="str">
        <f aca="false">IF($W136="","",N(INDEX(发票统计!I$4:I$1003,$W136)))</f>
        <v/>
      </c>
      <c r="J136" s="56" t="str">
        <f aca="false">IF($W136="","",N(INDEX(发票统计!J$4:J$1003,$W136)))</f>
        <v/>
      </c>
      <c r="K136" s="56" t="str">
        <f aca="false">IF($W136="","",N(INDEX(发票统计!K$4:K$1003,$W136)))</f>
        <v/>
      </c>
      <c r="L136" s="56" t="str">
        <f aca="false">IF($W136="","",SUM(J$4:J136)-SUM(K$4:K136))</f>
        <v/>
      </c>
      <c r="M136" s="56" t="str">
        <f aca="false">IF($W136="","",N(INDEX(发票统计!M$4:M$1003,$W136)))</f>
        <v/>
      </c>
      <c r="N136" s="56" t="str">
        <f aca="false">IF($W136="","",N(INDEX(发票统计!N$4:N$1003,$W136)))</f>
        <v/>
      </c>
      <c r="O136" s="56" t="str">
        <f aca="false">IF($W136="","",N(INDEX(发票统计!O$4:O$1003,$W136)))</f>
        <v/>
      </c>
      <c r="P136" s="56" t="str">
        <f aca="false">IF($W136="","",SUM(M$4:M136)-SUM(N$4:N136)-SUM(O$4:O136))</f>
        <v/>
      </c>
      <c r="Q136" s="56" t="str">
        <f aca="false">IF($W136="","",N(INDEX(发票统计!Q$4:Q$1003,$W136)))</f>
        <v/>
      </c>
      <c r="R136" s="56" t="str">
        <f aca="false">IF($W136="","",N(INDEX(发票统计!R$4:R$1003,$W136)))</f>
        <v/>
      </c>
      <c r="S136" s="56" t="str">
        <f aca="false">IF($W136="","",N(INDEX(发票统计!S$4:S$1003,$W136)))</f>
        <v/>
      </c>
      <c r="T136" s="56" t="str">
        <f aca="false">IF($W136="","",SUM(Q$4:Q136)-SUM(R$4:R136)-SUM(S$4:S136))</f>
        <v/>
      </c>
      <c r="U136" s="56" t="str">
        <f aca="false">IF($W136="","",INDEX(发票统计!U$4:U$1003,$W136)&amp;"")</f>
        <v/>
      </c>
      <c r="W136" s="1" t="str">
        <f aca="false">IF($V$3="","",IFERROR(MATCH($V$3&amp;"#"&amp;ROWS(W$4:W136),发票统计!$W$4:$W$1003,0),""))</f>
        <v/>
      </c>
    </row>
    <row r="137" customFormat="false" ht="16.5" hidden="false" customHeight="false" outlineLevel="0" collapsed="false">
      <c r="A137" s="3" t="str">
        <f aca="false">IF($W137="","",INDEX(发票统计!A$4:A$1003,$W137)&amp;"")</f>
        <v/>
      </c>
      <c r="B137" s="3" t="str">
        <f aca="false">IF($W137="","",INDEX(发票统计!B$4:B$1003,$W137)&amp;"")</f>
        <v/>
      </c>
      <c r="C137" s="3" t="str">
        <f aca="false">IF($W137="","",INDEX(发票统计!C$4:C$1003,$W137)&amp;"")</f>
        <v/>
      </c>
      <c r="D137" s="3" t="str">
        <f aca="false">IF($W137="","",INDEX(发票统计!D$4:D$1003,$W137)&amp;"")</f>
        <v/>
      </c>
      <c r="E137" s="67" t="str">
        <f aca="false">IF($W137="","",INDEX(发票统计!E$4:E$1003,$W137)&amp;"")</f>
        <v/>
      </c>
      <c r="F137" s="68" t="str">
        <f aca="false">IF($W137="","",INDEX(发票统计!F$4:F$1003,$W137)&amp;"")</f>
        <v/>
      </c>
      <c r="G137" s="68" t="str">
        <f aca="false">IF($W137="","",IF(INDEX(发票统计!G$4:G$1003,$W137)="","",INDEX(发票统计!G$4:G$1003,$W137)))</f>
        <v/>
      </c>
      <c r="H137" s="56" t="str">
        <f aca="false">IF($W137="","",N(INDEX(发票统计!H$4:H$1003,$W137)))</f>
        <v/>
      </c>
      <c r="I137" s="56" t="str">
        <f aca="false">IF($W137="","",N(INDEX(发票统计!I$4:I$1003,$W137)))</f>
        <v/>
      </c>
      <c r="J137" s="56" t="str">
        <f aca="false">IF($W137="","",N(INDEX(发票统计!J$4:J$1003,$W137)))</f>
        <v/>
      </c>
      <c r="K137" s="56" t="str">
        <f aca="false">IF($W137="","",N(INDEX(发票统计!K$4:K$1003,$W137)))</f>
        <v/>
      </c>
      <c r="L137" s="56" t="str">
        <f aca="false">IF($W137="","",SUM(J$4:J137)-SUM(K$4:K137))</f>
        <v/>
      </c>
      <c r="M137" s="56" t="str">
        <f aca="false">IF($W137="","",N(INDEX(发票统计!M$4:M$1003,$W137)))</f>
        <v/>
      </c>
      <c r="N137" s="56" t="str">
        <f aca="false">IF($W137="","",N(INDEX(发票统计!N$4:N$1003,$W137)))</f>
        <v/>
      </c>
      <c r="O137" s="56" t="str">
        <f aca="false">IF($W137="","",N(INDEX(发票统计!O$4:O$1003,$W137)))</f>
        <v/>
      </c>
      <c r="P137" s="56" t="str">
        <f aca="false">IF($W137="","",SUM(M$4:M137)-SUM(N$4:N137)-SUM(O$4:O137))</f>
        <v/>
      </c>
      <c r="Q137" s="56" t="str">
        <f aca="false">IF($W137="","",N(INDEX(发票统计!Q$4:Q$1003,$W137)))</f>
        <v/>
      </c>
      <c r="R137" s="56" t="str">
        <f aca="false">IF($W137="","",N(INDEX(发票统计!R$4:R$1003,$W137)))</f>
        <v/>
      </c>
      <c r="S137" s="56" t="str">
        <f aca="false">IF($W137="","",N(INDEX(发票统计!S$4:S$1003,$W137)))</f>
        <v/>
      </c>
      <c r="T137" s="56" t="str">
        <f aca="false">IF($W137="","",SUM(Q$4:Q137)-SUM(R$4:R137)-SUM(S$4:S137))</f>
        <v/>
      </c>
      <c r="U137" s="56" t="str">
        <f aca="false">IF($W137="","",INDEX(发票统计!U$4:U$1003,$W137)&amp;"")</f>
        <v/>
      </c>
      <c r="W137" s="1" t="str">
        <f aca="false">IF($V$3="","",IFERROR(MATCH($V$3&amp;"#"&amp;ROWS(W$4:W137),发票统计!$W$4:$W$1003,0),""))</f>
        <v/>
      </c>
    </row>
    <row r="138" customFormat="false" ht="16.5" hidden="false" customHeight="false" outlineLevel="0" collapsed="false">
      <c r="A138" s="3" t="str">
        <f aca="false">IF($W138="","",INDEX(发票统计!A$4:A$1003,$W138)&amp;"")</f>
        <v/>
      </c>
      <c r="B138" s="3" t="str">
        <f aca="false">IF($W138="","",INDEX(发票统计!B$4:B$1003,$W138)&amp;"")</f>
        <v/>
      </c>
      <c r="C138" s="3" t="str">
        <f aca="false">IF($W138="","",INDEX(发票统计!C$4:C$1003,$W138)&amp;"")</f>
        <v/>
      </c>
      <c r="D138" s="3" t="str">
        <f aca="false">IF($W138="","",INDEX(发票统计!D$4:D$1003,$W138)&amp;"")</f>
        <v/>
      </c>
      <c r="E138" s="67" t="str">
        <f aca="false">IF($W138="","",INDEX(发票统计!E$4:E$1003,$W138)&amp;"")</f>
        <v/>
      </c>
      <c r="F138" s="68" t="str">
        <f aca="false">IF($W138="","",INDEX(发票统计!F$4:F$1003,$W138)&amp;"")</f>
        <v/>
      </c>
      <c r="G138" s="68" t="str">
        <f aca="false">IF($W138="","",IF(INDEX(发票统计!G$4:G$1003,$W138)="","",INDEX(发票统计!G$4:G$1003,$W138)))</f>
        <v/>
      </c>
      <c r="H138" s="56" t="str">
        <f aca="false">IF($W138="","",N(INDEX(发票统计!H$4:H$1003,$W138)))</f>
        <v/>
      </c>
      <c r="I138" s="56" t="str">
        <f aca="false">IF($W138="","",N(INDEX(发票统计!I$4:I$1003,$W138)))</f>
        <v/>
      </c>
      <c r="J138" s="56" t="str">
        <f aca="false">IF($W138="","",N(INDEX(发票统计!J$4:J$1003,$W138)))</f>
        <v/>
      </c>
      <c r="K138" s="56" t="str">
        <f aca="false">IF($W138="","",N(INDEX(发票统计!K$4:K$1003,$W138)))</f>
        <v/>
      </c>
      <c r="L138" s="56" t="str">
        <f aca="false">IF($W138="","",SUM(J$4:J138)-SUM(K$4:K138))</f>
        <v/>
      </c>
      <c r="M138" s="56" t="str">
        <f aca="false">IF($W138="","",N(INDEX(发票统计!M$4:M$1003,$W138)))</f>
        <v/>
      </c>
      <c r="N138" s="56" t="str">
        <f aca="false">IF($W138="","",N(INDEX(发票统计!N$4:N$1003,$W138)))</f>
        <v/>
      </c>
      <c r="O138" s="56" t="str">
        <f aca="false">IF($W138="","",N(INDEX(发票统计!O$4:O$1003,$W138)))</f>
        <v/>
      </c>
      <c r="P138" s="56" t="str">
        <f aca="false">IF($W138="","",SUM(M$4:M138)-SUM(N$4:N138)-SUM(O$4:O138))</f>
        <v/>
      </c>
      <c r="Q138" s="56" t="str">
        <f aca="false">IF($W138="","",N(INDEX(发票统计!Q$4:Q$1003,$W138)))</f>
        <v/>
      </c>
      <c r="R138" s="56" t="str">
        <f aca="false">IF($W138="","",N(INDEX(发票统计!R$4:R$1003,$W138)))</f>
        <v/>
      </c>
      <c r="S138" s="56" t="str">
        <f aca="false">IF($W138="","",N(INDEX(发票统计!S$4:S$1003,$W138)))</f>
        <v/>
      </c>
      <c r="T138" s="56" t="str">
        <f aca="false">IF($W138="","",SUM(Q$4:Q138)-SUM(R$4:R138)-SUM(S$4:S138))</f>
        <v/>
      </c>
      <c r="U138" s="56" t="str">
        <f aca="false">IF($W138="","",INDEX(发票统计!U$4:U$1003,$W138)&amp;"")</f>
        <v/>
      </c>
      <c r="W138" s="1" t="str">
        <f aca="false">IF($V$3="","",IFERROR(MATCH($V$3&amp;"#"&amp;ROWS(W$4:W138),发票统计!$W$4:$W$1003,0),""))</f>
        <v/>
      </c>
    </row>
    <row r="139" customFormat="false" ht="16.5" hidden="false" customHeight="false" outlineLevel="0" collapsed="false">
      <c r="A139" s="3" t="str">
        <f aca="false">IF($W139="","",INDEX(发票统计!A$4:A$1003,$W139)&amp;"")</f>
        <v/>
      </c>
      <c r="B139" s="3" t="str">
        <f aca="false">IF($W139="","",INDEX(发票统计!B$4:B$1003,$W139)&amp;"")</f>
        <v/>
      </c>
      <c r="C139" s="3" t="str">
        <f aca="false">IF($W139="","",INDEX(发票统计!C$4:C$1003,$W139)&amp;"")</f>
        <v/>
      </c>
      <c r="D139" s="3" t="str">
        <f aca="false">IF($W139="","",INDEX(发票统计!D$4:D$1003,$W139)&amp;"")</f>
        <v/>
      </c>
      <c r="E139" s="67" t="str">
        <f aca="false">IF($W139="","",INDEX(发票统计!E$4:E$1003,$W139)&amp;"")</f>
        <v/>
      </c>
      <c r="F139" s="68" t="str">
        <f aca="false">IF($W139="","",INDEX(发票统计!F$4:F$1003,$W139)&amp;"")</f>
        <v/>
      </c>
      <c r="G139" s="68" t="str">
        <f aca="false">IF($W139="","",IF(INDEX(发票统计!G$4:G$1003,$W139)="","",INDEX(发票统计!G$4:G$1003,$W139)))</f>
        <v/>
      </c>
      <c r="H139" s="56" t="str">
        <f aca="false">IF($W139="","",N(INDEX(发票统计!H$4:H$1003,$W139)))</f>
        <v/>
      </c>
      <c r="I139" s="56" t="str">
        <f aca="false">IF($W139="","",N(INDEX(发票统计!I$4:I$1003,$W139)))</f>
        <v/>
      </c>
      <c r="J139" s="56" t="str">
        <f aca="false">IF($W139="","",N(INDEX(发票统计!J$4:J$1003,$W139)))</f>
        <v/>
      </c>
      <c r="K139" s="56" t="str">
        <f aca="false">IF($W139="","",N(INDEX(发票统计!K$4:K$1003,$W139)))</f>
        <v/>
      </c>
      <c r="L139" s="56" t="str">
        <f aca="false">IF($W139="","",SUM(J$4:J139)-SUM(K$4:K139))</f>
        <v/>
      </c>
      <c r="M139" s="56" t="str">
        <f aca="false">IF($W139="","",N(INDEX(发票统计!M$4:M$1003,$W139)))</f>
        <v/>
      </c>
      <c r="N139" s="56" t="str">
        <f aca="false">IF($W139="","",N(INDEX(发票统计!N$4:N$1003,$W139)))</f>
        <v/>
      </c>
      <c r="O139" s="56" t="str">
        <f aca="false">IF($W139="","",N(INDEX(发票统计!O$4:O$1003,$W139)))</f>
        <v/>
      </c>
      <c r="P139" s="56" t="str">
        <f aca="false">IF($W139="","",SUM(M$4:M139)-SUM(N$4:N139)-SUM(O$4:O139))</f>
        <v/>
      </c>
      <c r="Q139" s="56" t="str">
        <f aca="false">IF($W139="","",N(INDEX(发票统计!Q$4:Q$1003,$W139)))</f>
        <v/>
      </c>
      <c r="R139" s="56" t="str">
        <f aca="false">IF($W139="","",N(INDEX(发票统计!R$4:R$1003,$W139)))</f>
        <v/>
      </c>
      <c r="S139" s="56" t="str">
        <f aca="false">IF($W139="","",N(INDEX(发票统计!S$4:S$1003,$W139)))</f>
        <v/>
      </c>
      <c r="T139" s="56" t="str">
        <f aca="false">IF($W139="","",SUM(Q$4:Q139)-SUM(R$4:R139)-SUM(S$4:S139))</f>
        <v/>
      </c>
      <c r="U139" s="56" t="str">
        <f aca="false">IF($W139="","",INDEX(发票统计!U$4:U$1003,$W139)&amp;"")</f>
        <v/>
      </c>
      <c r="W139" s="1" t="str">
        <f aca="false">IF($V$3="","",IFERROR(MATCH($V$3&amp;"#"&amp;ROWS(W$4:W139),发票统计!$W$4:$W$1003,0),""))</f>
        <v/>
      </c>
    </row>
    <row r="140" customFormat="false" ht="16.5" hidden="false" customHeight="false" outlineLevel="0" collapsed="false">
      <c r="A140" s="3" t="str">
        <f aca="false">IF($W140="","",INDEX(发票统计!A$4:A$1003,$W140)&amp;"")</f>
        <v/>
      </c>
      <c r="B140" s="3" t="str">
        <f aca="false">IF($W140="","",INDEX(发票统计!B$4:B$1003,$W140)&amp;"")</f>
        <v/>
      </c>
      <c r="C140" s="3" t="str">
        <f aca="false">IF($W140="","",INDEX(发票统计!C$4:C$1003,$W140)&amp;"")</f>
        <v/>
      </c>
      <c r="D140" s="3" t="str">
        <f aca="false">IF($W140="","",INDEX(发票统计!D$4:D$1003,$W140)&amp;"")</f>
        <v/>
      </c>
      <c r="E140" s="67" t="str">
        <f aca="false">IF($W140="","",INDEX(发票统计!E$4:E$1003,$W140)&amp;"")</f>
        <v/>
      </c>
      <c r="F140" s="68" t="str">
        <f aca="false">IF($W140="","",INDEX(发票统计!F$4:F$1003,$W140)&amp;"")</f>
        <v/>
      </c>
      <c r="G140" s="68" t="str">
        <f aca="false">IF($W140="","",IF(INDEX(发票统计!G$4:G$1003,$W140)="","",INDEX(发票统计!G$4:G$1003,$W140)))</f>
        <v/>
      </c>
      <c r="H140" s="56" t="str">
        <f aca="false">IF($W140="","",N(INDEX(发票统计!H$4:H$1003,$W140)))</f>
        <v/>
      </c>
      <c r="I140" s="56" t="str">
        <f aca="false">IF($W140="","",N(INDEX(发票统计!I$4:I$1003,$W140)))</f>
        <v/>
      </c>
      <c r="J140" s="56" t="str">
        <f aca="false">IF($W140="","",N(INDEX(发票统计!J$4:J$1003,$W140)))</f>
        <v/>
      </c>
      <c r="K140" s="56" t="str">
        <f aca="false">IF($W140="","",N(INDEX(发票统计!K$4:K$1003,$W140)))</f>
        <v/>
      </c>
      <c r="L140" s="56" t="str">
        <f aca="false">IF($W140="","",SUM(J$4:J140)-SUM(K$4:K140))</f>
        <v/>
      </c>
      <c r="M140" s="56" t="str">
        <f aca="false">IF($W140="","",N(INDEX(发票统计!M$4:M$1003,$W140)))</f>
        <v/>
      </c>
      <c r="N140" s="56" t="str">
        <f aca="false">IF($W140="","",N(INDEX(发票统计!N$4:N$1003,$W140)))</f>
        <v/>
      </c>
      <c r="O140" s="56" t="str">
        <f aca="false">IF($W140="","",N(INDEX(发票统计!O$4:O$1003,$W140)))</f>
        <v/>
      </c>
      <c r="P140" s="56" t="str">
        <f aca="false">IF($W140="","",SUM(M$4:M140)-SUM(N$4:N140)-SUM(O$4:O140))</f>
        <v/>
      </c>
      <c r="Q140" s="56" t="str">
        <f aca="false">IF($W140="","",N(INDEX(发票统计!Q$4:Q$1003,$W140)))</f>
        <v/>
      </c>
      <c r="R140" s="56" t="str">
        <f aca="false">IF($W140="","",N(INDEX(发票统计!R$4:R$1003,$W140)))</f>
        <v/>
      </c>
      <c r="S140" s="56" t="str">
        <f aca="false">IF($W140="","",N(INDEX(发票统计!S$4:S$1003,$W140)))</f>
        <v/>
      </c>
      <c r="T140" s="56" t="str">
        <f aca="false">IF($W140="","",SUM(Q$4:Q140)-SUM(R$4:R140)-SUM(S$4:S140))</f>
        <v/>
      </c>
      <c r="U140" s="56" t="str">
        <f aca="false">IF($W140="","",INDEX(发票统计!U$4:U$1003,$W140)&amp;"")</f>
        <v/>
      </c>
      <c r="W140" s="1" t="str">
        <f aca="false">IF($V$3="","",IFERROR(MATCH($V$3&amp;"#"&amp;ROWS(W$4:W140),发票统计!$W$4:$W$1003,0),""))</f>
        <v/>
      </c>
    </row>
    <row r="141" customFormat="false" ht="16.5" hidden="false" customHeight="false" outlineLevel="0" collapsed="false">
      <c r="A141" s="3" t="str">
        <f aca="false">IF($W141="","",INDEX(发票统计!A$4:A$1003,$W141)&amp;"")</f>
        <v/>
      </c>
      <c r="B141" s="3" t="str">
        <f aca="false">IF($W141="","",INDEX(发票统计!B$4:B$1003,$W141)&amp;"")</f>
        <v/>
      </c>
      <c r="C141" s="3" t="str">
        <f aca="false">IF($W141="","",INDEX(发票统计!C$4:C$1003,$W141)&amp;"")</f>
        <v/>
      </c>
      <c r="D141" s="3" t="str">
        <f aca="false">IF($W141="","",INDEX(发票统计!D$4:D$1003,$W141)&amp;"")</f>
        <v/>
      </c>
      <c r="E141" s="67" t="str">
        <f aca="false">IF($W141="","",INDEX(发票统计!E$4:E$1003,$W141)&amp;"")</f>
        <v/>
      </c>
      <c r="F141" s="68" t="str">
        <f aca="false">IF($W141="","",INDEX(发票统计!F$4:F$1003,$W141)&amp;"")</f>
        <v/>
      </c>
      <c r="G141" s="68" t="str">
        <f aca="false">IF($W141="","",IF(INDEX(发票统计!G$4:G$1003,$W141)="","",INDEX(发票统计!G$4:G$1003,$W141)))</f>
        <v/>
      </c>
      <c r="H141" s="56" t="str">
        <f aca="false">IF($W141="","",N(INDEX(发票统计!H$4:H$1003,$W141)))</f>
        <v/>
      </c>
      <c r="I141" s="56" t="str">
        <f aca="false">IF($W141="","",N(INDEX(发票统计!I$4:I$1003,$W141)))</f>
        <v/>
      </c>
      <c r="J141" s="56" t="str">
        <f aca="false">IF($W141="","",N(INDEX(发票统计!J$4:J$1003,$W141)))</f>
        <v/>
      </c>
      <c r="K141" s="56" t="str">
        <f aca="false">IF($W141="","",N(INDEX(发票统计!K$4:K$1003,$W141)))</f>
        <v/>
      </c>
      <c r="L141" s="56" t="str">
        <f aca="false">IF($W141="","",SUM(J$4:J141)-SUM(K$4:K141))</f>
        <v/>
      </c>
      <c r="M141" s="56" t="str">
        <f aca="false">IF($W141="","",N(INDEX(发票统计!M$4:M$1003,$W141)))</f>
        <v/>
      </c>
      <c r="N141" s="56" t="str">
        <f aca="false">IF($W141="","",N(INDEX(发票统计!N$4:N$1003,$W141)))</f>
        <v/>
      </c>
      <c r="O141" s="56" t="str">
        <f aca="false">IF($W141="","",N(INDEX(发票统计!O$4:O$1003,$W141)))</f>
        <v/>
      </c>
      <c r="P141" s="56" t="str">
        <f aca="false">IF($W141="","",SUM(M$4:M141)-SUM(N$4:N141)-SUM(O$4:O141))</f>
        <v/>
      </c>
      <c r="Q141" s="56" t="str">
        <f aca="false">IF($W141="","",N(INDEX(发票统计!Q$4:Q$1003,$W141)))</f>
        <v/>
      </c>
      <c r="R141" s="56" t="str">
        <f aca="false">IF($W141="","",N(INDEX(发票统计!R$4:R$1003,$W141)))</f>
        <v/>
      </c>
      <c r="S141" s="56" t="str">
        <f aca="false">IF($W141="","",N(INDEX(发票统计!S$4:S$1003,$W141)))</f>
        <v/>
      </c>
      <c r="T141" s="56" t="str">
        <f aca="false">IF($W141="","",SUM(Q$4:Q141)-SUM(R$4:R141)-SUM(S$4:S141))</f>
        <v/>
      </c>
      <c r="U141" s="56" t="str">
        <f aca="false">IF($W141="","",INDEX(发票统计!U$4:U$1003,$W141)&amp;"")</f>
        <v/>
      </c>
      <c r="W141" s="1" t="str">
        <f aca="false">IF($V$3="","",IFERROR(MATCH($V$3&amp;"#"&amp;ROWS(W$4:W141),发票统计!$W$4:$W$1003,0),""))</f>
        <v/>
      </c>
    </row>
    <row r="142" customFormat="false" ht="16.5" hidden="false" customHeight="false" outlineLevel="0" collapsed="false">
      <c r="A142" s="3" t="str">
        <f aca="false">IF($W142="","",INDEX(发票统计!A$4:A$1003,$W142)&amp;"")</f>
        <v/>
      </c>
      <c r="B142" s="3" t="str">
        <f aca="false">IF($W142="","",INDEX(发票统计!B$4:B$1003,$W142)&amp;"")</f>
        <v/>
      </c>
      <c r="C142" s="3" t="str">
        <f aca="false">IF($W142="","",INDEX(发票统计!C$4:C$1003,$W142)&amp;"")</f>
        <v/>
      </c>
      <c r="D142" s="3" t="str">
        <f aca="false">IF($W142="","",INDEX(发票统计!D$4:D$1003,$W142)&amp;"")</f>
        <v/>
      </c>
      <c r="E142" s="67" t="str">
        <f aca="false">IF($W142="","",INDEX(发票统计!E$4:E$1003,$W142)&amp;"")</f>
        <v/>
      </c>
      <c r="F142" s="68" t="str">
        <f aca="false">IF($W142="","",INDEX(发票统计!F$4:F$1003,$W142)&amp;"")</f>
        <v/>
      </c>
      <c r="G142" s="68" t="str">
        <f aca="false">IF($W142="","",IF(INDEX(发票统计!G$4:G$1003,$W142)="","",INDEX(发票统计!G$4:G$1003,$W142)))</f>
        <v/>
      </c>
      <c r="H142" s="56" t="str">
        <f aca="false">IF($W142="","",N(INDEX(发票统计!H$4:H$1003,$W142)))</f>
        <v/>
      </c>
      <c r="I142" s="56" t="str">
        <f aca="false">IF($W142="","",N(INDEX(发票统计!I$4:I$1003,$W142)))</f>
        <v/>
      </c>
      <c r="J142" s="56" t="str">
        <f aca="false">IF($W142="","",N(INDEX(发票统计!J$4:J$1003,$W142)))</f>
        <v/>
      </c>
      <c r="K142" s="56" t="str">
        <f aca="false">IF($W142="","",N(INDEX(发票统计!K$4:K$1003,$W142)))</f>
        <v/>
      </c>
      <c r="L142" s="56" t="str">
        <f aca="false">IF($W142="","",SUM(J$4:J142)-SUM(K$4:K142))</f>
        <v/>
      </c>
      <c r="M142" s="56" t="str">
        <f aca="false">IF($W142="","",N(INDEX(发票统计!M$4:M$1003,$W142)))</f>
        <v/>
      </c>
      <c r="N142" s="56" t="str">
        <f aca="false">IF($W142="","",N(INDEX(发票统计!N$4:N$1003,$W142)))</f>
        <v/>
      </c>
      <c r="O142" s="56" t="str">
        <f aca="false">IF($W142="","",N(INDEX(发票统计!O$4:O$1003,$W142)))</f>
        <v/>
      </c>
      <c r="P142" s="56" t="str">
        <f aca="false">IF($W142="","",SUM(M$4:M142)-SUM(N$4:N142)-SUM(O$4:O142))</f>
        <v/>
      </c>
      <c r="Q142" s="56" t="str">
        <f aca="false">IF($W142="","",N(INDEX(发票统计!Q$4:Q$1003,$W142)))</f>
        <v/>
      </c>
      <c r="R142" s="56" t="str">
        <f aca="false">IF($W142="","",N(INDEX(发票统计!R$4:R$1003,$W142)))</f>
        <v/>
      </c>
      <c r="S142" s="56" t="str">
        <f aca="false">IF($W142="","",N(INDEX(发票统计!S$4:S$1003,$W142)))</f>
        <v/>
      </c>
      <c r="T142" s="56" t="str">
        <f aca="false">IF($W142="","",SUM(Q$4:Q142)-SUM(R$4:R142)-SUM(S$4:S142))</f>
        <v/>
      </c>
      <c r="U142" s="56" t="str">
        <f aca="false">IF($W142="","",INDEX(发票统计!U$4:U$1003,$W142)&amp;"")</f>
        <v/>
      </c>
      <c r="W142" s="1" t="str">
        <f aca="false">IF($V$3="","",IFERROR(MATCH($V$3&amp;"#"&amp;ROWS(W$4:W142),发票统计!$W$4:$W$1003,0),""))</f>
        <v/>
      </c>
    </row>
    <row r="143" customFormat="false" ht="16.5" hidden="false" customHeight="false" outlineLevel="0" collapsed="false">
      <c r="A143" s="3" t="str">
        <f aca="false">IF($W143="","",INDEX(发票统计!A$4:A$1003,$W143)&amp;"")</f>
        <v/>
      </c>
      <c r="B143" s="3" t="str">
        <f aca="false">IF($W143="","",INDEX(发票统计!B$4:B$1003,$W143)&amp;"")</f>
        <v/>
      </c>
      <c r="C143" s="3" t="str">
        <f aca="false">IF($W143="","",INDEX(发票统计!C$4:C$1003,$W143)&amp;"")</f>
        <v/>
      </c>
      <c r="D143" s="3" t="str">
        <f aca="false">IF($W143="","",INDEX(发票统计!D$4:D$1003,$W143)&amp;"")</f>
        <v/>
      </c>
      <c r="E143" s="67" t="str">
        <f aca="false">IF($W143="","",INDEX(发票统计!E$4:E$1003,$W143)&amp;"")</f>
        <v/>
      </c>
      <c r="F143" s="68" t="str">
        <f aca="false">IF($W143="","",INDEX(发票统计!F$4:F$1003,$W143)&amp;"")</f>
        <v/>
      </c>
      <c r="G143" s="68" t="str">
        <f aca="false">IF($W143="","",IF(INDEX(发票统计!G$4:G$1003,$W143)="","",INDEX(发票统计!G$4:G$1003,$W143)))</f>
        <v/>
      </c>
      <c r="H143" s="56" t="str">
        <f aca="false">IF($W143="","",N(INDEX(发票统计!H$4:H$1003,$W143)))</f>
        <v/>
      </c>
      <c r="I143" s="56" t="str">
        <f aca="false">IF($W143="","",N(INDEX(发票统计!I$4:I$1003,$W143)))</f>
        <v/>
      </c>
      <c r="J143" s="56" t="str">
        <f aca="false">IF($W143="","",N(INDEX(发票统计!J$4:J$1003,$W143)))</f>
        <v/>
      </c>
      <c r="K143" s="56" t="str">
        <f aca="false">IF($W143="","",N(INDEX(发票统计!K$4:K$1003,$W143)))</f>
        <v/>
      </c>
      <c r="L143" s="56" t="str">
        <f aca="false">IF($W143="","",SUM(J$4:J143)-SUM(K$4:K143))</f>
        <v/>
      </c>
      <c r="M143" s="56" t="str">
        <f aca="false">IF($W143="","",N(INDEX(发票统计!M$4:M$1003,$W143)))</f>
        <v/>
      </c>
      <c r="N143" s="56" t="str">
        <f aca="false">IF($W143="","",N(INDEX(发票统计!N$4:N$1003,$W143)))</f>
        <v/>
      </c>
      <c r="O143" s="56" t="str">
        <f aca="false">IF($W143="","",N(INDEX(发票统计!O$4:O$1003,$W143)))</f>
        <v/>
      </c>
      <c r="P143" s="56" t="str">
        <f aca="false">IF($W143="","",SUM(M$4:M143)-SUM(N$4:N143)-SUM(O$4:O143))</f>
        <v/>
      </c>
      <c r="Q143" s="56" t="str">
        <f aca="false">IF($W143="","",N(INDEX(发票统计!Q$4:Q$1003,$W143)))</f>
        <v/>
      </c>
      <c r="R143" s="56" t="str">
        <f aca="false">IF($W143="","",N(INDEX(发票统计!R$4:R$1003,$W143)))</f>
        <v/>
      </c>
      <c r="S143" s="56" t="str">
        <f aca="false">IF($W143="","",N(INDEX(发票统计!S$4:S$1003,$W143)))</f>
        <v/>
      </c>
      <c r="T143" s="56" t="str">
        <f aca="false">IF($W143="","",SUM(Q$4:Q143)-SUM(R$4:R143)-SUM(S$4:S143))</f>
        <v/>
      </c>
      <c r="U143" s="56" t="str">
        <f aca="false">IF($W143="","",INDEX(发票统计!U$4:U$1003,$W143)&amp;"")</f>
        <v/>
      </c>
      <c r="W143" s="1" t="str">
        <f aca="false">IF($V$3="","",IFERROR(MATCH($V$3&amp;"#"&amp;ROWS(W$4:W143),发票统计!$W$4:$W$1003,0),""))</f>
        <v/>
      </c>
    </row>
    <row r="144" customFormat="false" ht="16.5" hidden="false" customHeight="false" outlineLevel="0" collapsed="false">
      <c r="A144" s="3" t="str">
        <f aca="false">IF($W144="","",INDEX(发票统计!A$4:A$1003,$W144)&amp;"")</f>
        <v/>
      </c>
      <c r="B144" s="3" t="str">
        <f aca="false">IF($W144="","",INDEX(发票统计!B$4:B$1003,$W144)&amp;"")</f>
        <v/>
      </c>
      <c r="C144" s="3" t="str">
        <f aca="false">IF($W144="","",INDEX(发票统计!C$4:C$1003,$W144)&amp;"")</f>
        <v/>
      </c>
      <c r="D144" s="3" t="str">
        <f aca="false">IF($W144="","",INDEX(发票统计!D$4:D$1003,$W144)&amp;"")</f>
        <v/>
      </c>
      <c r="E144" s="67" t="str">
        <f aca="false">IF($W144="","",INDEX(发票统计!E$4:E$1003,$W144)&amp;"")</f>
        <v/>
      </c>
      <c r="F144" s="68" t="str">
        <f aca="false">IF($W144="","",INDEX(发票统计!F$4:F$1003,$W144)&amp;"")</f>
        <v/>
      </c>
      <c r="G144" s="68" t="str">
        <f aca="false">IF($W144="","",IF(INDEX(发票统计!G$4:G$1003,$W144)="","",INDEX(发票统计!G$4:G$1003,$W144)))</f>
        <v/>
      </c>
      <c r="H144" s="56" t="str">
        <f aca="false">IF($W144="","",N(INDEX(发票统计!H$4:H$1003,$W144)))</f>
        <v/>
      </c>
      <c r="I144" s="56" t="str">
        <f aca="false">IF($W144="","",N(INDEX(发票统计!I$4:I$1003,$W144)))</f>
        <v/>
      </c>
      <c r="J144" s="56" t="str">
        <f aca="false">IF($W144="","",N(INDEX(发票统计!J$4:J$1003,$W144)))</f>
        <v/>
      </c>
      <c r="K144" s="56" t="str">
        <f aca="false">IF($W144="","",N(INDEX(发票统计!K$4:K$1003,$W144)))</f>
        <v/>
      </c>
      <c r="L144" s="56" t="str">
        <f aca="false">IF($W144="","",SUM(J$4:J144)-SUM(K$4:K144))</f>
        <v/>
      </c>
      <c r="M144" s="56" t="str">
        <f aca="false">IF($W144="","",N(INDEX(发票统计!M$4:M$1003,$W144)))</f>
        <v/>
      </c>
      <c r="N144" s="56" t="str">
        <f aca="false">IF($W144="","",N(INDEX(发票统计!N$4:N$1003,$W144)))</f>
        <v/>
      </c>
      <c r="O144" s="56" t="str">
        <f aca="false">IF($W144="","",N(INDEX(发票统计!O$4:O$1003,$W144)))</f>
        <v/>
      </c>
      <c r="P144" s="56" t="str">
        <f aca="false">IF($W144="","",SUM(M$4:M144)-SUM(N$4:N144)-SUM(O$4:O144))</f>
        <v/>
      </c>
      <c r="Q144" s="56" t="str">
        <f aca="false">IF($W144="","",N(INDEX(发票统计!Q$4:Q$1003,$W144)))</f>
        <v/>
      </c>
      <c r="R144" s="56" t="str">
        <f aca="false">IF($W144="","",N(INDEX(发票统计!R$4:R$1003,$W144)))</f>
        <v/>
      </c>
      <c r="S144" s="56" t="str">
        <f aca="false">IF($W144="","",N(INDEX(发票统计!S$4:S$1003,$W144)))</f>
        <v/>
      </c>
      <c r="T144" s="56" t="str">
        <f aca="false">IF($W144="","",SUM(Q$4:Q144)-SUM(R$4:R144)-SUM(S$4:S144))</f>
        <v/>
      </c>
      <c r="U144" s="56" t="str">
        <f aca="false">IF($W144="","",INDEX(发票统计!U$4:U$1003,$W144)&amp;"")</f>
        <v/>
      </c>
      <c r="W144" s="1" t="str">
        <f aca="false">IF($V$3="","",IFERROR(MATCH($V$3&amp;"#"&amp;ROWS(W$4:W144),发票统计!$W$4:$W$1003,0),""))</f>
        <v/>
      </c>
    </row>
    <row r="145" customFormat="false" ht="16.5" hidden="false" customHeight="false" outlineLevel="0" collapsed="false">
      <c r="A145" s="3" t="str">
        <f aca="false">IF($W145="","",INDEX(发票统计!A$4:A$1003,$W145)&amp;"")</f>
        <v/>
      </c>
      <c r="B145" s="3" t="str">
        <f aca="false">IF($W145="","",INDEX(发票统计!B$4:B$1003,$W145)&amp;"")</f>
        <v/>
      </c>
      <c r="C145" s="3" t="str">
        <f aca="false">IF($W145="","",INDEX(发票统计!C$4:C$1003,$W145)&amp;"")</f>
        <v/>
      </c>
      <c r="D145" s="3" t="str">
        <f aca="false">IF($W145="","",INDEX(发票统计!D$4:D$1003,$W145)&amp;"")</f>
        <v/>
      </c>
      <c r="E145" s="67" t="str">
        <f aca="false">IF($W145="","",INDEX(发票统计!E$4:E$1003,$W145)&amp;"")</f>
        <v/>
      </c>
      <c r="F145" s="68" t="str">
        <f aca="false">IF($W145="","",INDEX(发票统计!F$4:F$1003,$W145)&amp;"")</f>
        <v/>
      </c>
      <c r="G145" s="68" t="str">
        <f aca="false">IF($W145="","",IF(INDEX(发票统计!G$4:G$1003,$W145)="","",INDEX(发票统计!G$4:G$1003,$W145)))</f>
        <v/>
      </c>
      <c r="H145" s="56" t="str">
        <f aca="false">IF($W145="","",N(INDEX(发票统计!H$4:H$1003,$W145)))</f>
        <v/>
      </c>
      <c r="I145" s="56" t="str">
        <f aca="false">IF($W145="","",N(INDEX(发票统计!I$4:I$1003,$W145)))</f>
        <v/>
      </c>
      <c r="J145" s="56" t="str">
        <f aca="false">IF($W145="","",N(INDEX(发票统计!J$4:J$1003,$W145)))</f>
        <v/>
      </c>
      <c r="K145" s="56" t="str">
        <f aca="false">IF($W145="","",N(INDEX(发票统计!K$4:K$1003,$W145)))</f>
        <v/>
      </c>
      <c r="L145" s="56" t="str">
        <f aca="false">IF($W145="","",SUM(J$4:J145)-SUM(K$4:K145))</f>
        <v/>
      </c>
      <c r="M145" s="56" t="str">
        <f aca="false">IF($W145="","",N(INDEX(发票统计!M$4:M$1003,$W145)))</f>
        <v/>
      </c>
      <c r="N145" s="56" t="str">
        <f aca="false">IF($W145="","",N(INDEX(发票统计!N$4:N$1003,$W145)))</f>
        <v/>
      </c>
      <c r="O145" s="56" t="str">
        <f aca="false">IF($W145="","",N(INDEX(发票统计!O$4:O$1003,$W145)))</f>
        <v/>
      </c>
      <c r="P145" s="56" t="str">
        <f aca="false">IF($W145="","",SUM(M$4:M145)-SUM(N$4:N145)-SUM(O$4:O145))</f>
        <v/>
      </c>
      <c r="Q145" s="56" t="str">
        <f aca="false">IF($W145="","",N(INDEX(发票统计!Q$4:Q$1003,$W145)))</f>
        <v/>
      </c>
      <c r="R145" s="56" t="str">
        <f aca="false">IF($W145="","",N(INDEX(发票统计!R$4:R$1003,$W145)))</f>
        <v/>
      </c>
      <c r="S145" s="56" t="str">
        <f aca="false">IF($W145="","",N(INDEX(发票统计!S$4:S$1003,$W145)))</f>
        <v/>
      </c>
      <c r="T145" s="56" t="str">
        <f aca="false">IF($W145="","",SUM(Q$4:Q145)-SUM(R$4:R145)-SUM(S$4:S145))</f>
        <v/>
      </c>
      <c r="U145" s="56" t="str">
        <f aca="false">IF($W145="","",INDEX(发票统计!U$4:U$1003,$W145)&amp;"")</f>
        <v/>
      </c>
      <c r="W145" s="1" t="str">
        <f aca="false">IF($V$3="","",IFERROR(MATCH($V$3&amp;"#"&amp;ROWS(W$4:W145),发票统计!$W$4:$W$1003,0),""))</f>
        <v/>
      </c>
    </row>
    <row r="146" customFormat="false" ht="16.5" hidden="false" customHeight="false" outlineLevel="0" collapsed="false">
      <c r="A146" s="3" t="str">
        <f aca="false">IF($W146="","",INDEX(发票统计!A$4:A$1003,$W146)&amp;"")</f>
        <v/>
      </c>
      <c r="B146" s="3" t="str">
        <f aca="false">IF($W146="","",INDEX(发票统计!B$4:B$1003,$W146)&amp;"")</f>
        <v/>
      </c>
      <c r="C146" s="3" t="str">
        <f aca="false">IF($W146="","",INDEX(发票统计!C$4:C$1003,$W146)&amp;"")</f>
        <v/>
      </c>
      <c r="D146" s="3" t="str">
        <f aca="false">IF($W146="","",INDEX(发票统计!D$4:D$1003,$W146)&amp;"")</f>
        <v/>
      </c>
      <c r="E146" s="67" t="str">
        <f aca="false">IF($W146="","",INDEX(发票统计!E$4:E$1003,$W146)&amp;"")</f>
        <v/>
      </c>
      <c r="F146" s="68" t="str">
        <f aca="false">IF($W146="","",INDEX(发票统计!F$4:F$1003,$W146)&amp;"")</f>
        <v/>
      </c>
      <c r="G146" s="68" t="str">
        <f aca="false">IF($W146="","",IF(INDEX(发票统计!G$4:G$1003,$W146)="","",INDEX(发票统计!G$4:G$1003,$W146)))</f>
        <v/>
      </c>
      <c r="H146" s="56" t="str">
        <f aca="false">IF($W146="","",N(INDEX(发票统计!H$4:H$1003,$W146)))</f>
        <v/>
      </c>
      <c r="I146" s="56" t="str">
        <f aca="false">IF($W146="","",N(INDEX(发票统计!I$4:I$1003,$W146)))</f>
        <v/>
      </c>
      <c r="J146" s="56" t="str">
        <f aca="false">IF($W146="","",N(INDEX(发票统计!J$4:J$1003,$W146)))</f>
        <v/>
      </c>
      <c r="K146" s="56" t="str">
        <f aca="false">IF($W146="","",N(INDEX(发票统计!K$4:K$1003,$W146)))</f>
        <v/>
      </c>
      <c r="L146" s="56" t="str">
        <f aca="false">IF($W146="","",SUM(J$4:J146)-SUM(K$4:K146))</f>
        <v/>
      </c>
      <c r="M146" s="56" t="str">
        <f aca="false">IF($W146="","",N(INDEX(发票统计!M$4:M$1003,$W146)))</f>
        <v/>
      </c>
      <c r="N146" s="56" t="str">
        <f aca="false">IF($W146="","",N(INDEX(发票统计!N$4:N$1003,$W146)))</f>
        <v/>
      </c>
      <c r="O146" s="56" t="str">
        <f aca="false">IF($W146="","",N(INDEX(发票统计!O$4:O$1003,$W146)))</f>
        <v/>
      </c>
      <c r="P146" s="56" t="str">
        <f aca="false">IF($W146="","",SUM(M$4:M146)-SUM(N$4:N146)-SUM(O$4:O146))</f>
        <v/>
      </c>
      <c r="Q146" s="56" t="str">
        <f aca="false">IF($W146="","",N(INDEX(发票统计!Q$4:Q$1003,$W146)))</f>
        <v/>
      </c>
      <c r="R146" s="56" t="str">
        <f aca="false">IF($W146="","",N(INDEX(发票统计!R$4:R$1003,$W146)))</f>
        <v/>
      </c>
      <c r="S146" s="56" t="str">
        <f aca="false">IF($W146="","",N(INDEX(发票统计!S$4:S$1003,$W146)))</f>
        <v/>
      </c>
      <c r="T146" s="56" t="str">
        <f aca="false">IF($W146="","",SUM(Q$4:Q146)-SUM(R$4:R146)-SUM(S$4:S146))</f>
        <v/>
      </c>
      <c r="U146" s="56" t="str">
        <f aca="false">IF($W146="","",INDEX(发票统计!U$4:U$1003,$W146)&amp;"")</f>
        <v/>
      </c>
      <c r="W146" s="1" t="str">
        <f aca="false">IF($V$3="","",IFERROR(MATCH($V$3&amp;"#"&amp;ROWS(W$4:W146),发票统计!$W$4:$W$1003,0),""))</f>
        <v/>
      </c>
    </row>
    <row r="147" customFormat="false" ht="16.5" hidden="false" customHeight="false" outlineLevel="0" collapsed="false">
      <c r="A147" s="3" t="str">
        <f aca="false">IF($W147="","",INDEX(发票统计!A$4:A$1003,$W147)&amp;"")</f>
        <v/>
      </c>
      <c r="B147" s="3" t="str">
        <f aca="false">IF($W147="","",INDEX(发票统计!B$4:B$1003,$W147)&amp;"")</f>
        <v/>
      </c>
      <c r="C147" s="3" t="str">
        <f aca="false">IF($W147="","",INDEX(发票统计!C$4:C$1003,$W147)&amp;"")</f>
        <v/>
      </c>
      <c r="D147" s="3" t="str">
        <f aca="false">IF($W147="","",INDEX(发票统计!D$4:D$1003,$W147)&amp;"")</f>
        <v/>
      </c>
      <c r="E147" s="67" t="str">
        <f aca="false">IF($W147="","",INDEX(发票统计!E$4:E$1003,$W147)&amp;"")</f>
        <v/>
      </c>
      <c r="F147" s="68" t="str">
        <f aca="false">IF($W147="","",INDEX(发票统计!F$4:F$1003,$W147)&amp;"")</f>
        <v/>
      </c>
      <c r="G147" s="68" t="str">
        <f aca="false">IF($W147="","",IF(INDEX(发票统计!G$4:G$1003,$W147)="","",INDEX(发票统计!G$4:G$1003,$W147)))</f>
        <v/>
      </c>
      <c r="H147" s="56" t="str">
        <f aca="false">IF($W147="","",N(INDEX(发票统计!H$4:H$1003,$W147)))</f>
        <v/>
      </c>
      <c r="I147" s="56" t="str">
        <f aca="false">IF($W147="","",N(INDEX(发票统计!I$4:I$1003,$W147)))</f>
        <v/>
      </c>
      <c r="J147" s="56" t="str">
        <f aca="false">IF($W147="","",N(INDEX(发票统计!J$4:J$1003,$W147)))</f>
        <v/>
      </c>
      <c r="K147" s="56" t="str">
        <f aca="false">IF($W147="","",N(INDEX(发票统计!K$4:K$1003,$W147)))</f>
        <v/>
      </c>
      <c r="L147" s="56" t="str">
        <f aca="false">IF($W147="","",SUM(J$4:J147)-SUM(K$4:K147))</f>
        <v/>
      </c>
      <c r="M147" s="56" t="str">
        <f aca="false">IF($W147="","",N(INDEX(发票统计!M$4:M$1003,$W147)))</f>
        <v/>
      </c>
      <c r="N147" s="56" t="str">
        <f aca="false">IF($W147="","",N(INDEX(发票统计!N$4:N$1003,$W147)))</f>
        <v/>
      </c>
      <c r="O147" s="56" t="str">
        <f aca="false">IF($W147="","",N(INDEX(发票统计!O$4:O$1003,$W147)))</f>
        <v/>
      </c>
      <c r="P147" s="56" t="str">
        <f aca="false">IF($W147="","",SUM(M$4:M147)-SUM(N$4:N147)-SUM(O$4:O147))</f>
        <v/>
      </c>
      <c r="Q147" s="56" t="str">
        <f aca="false">IF($W147="","",N(INDEX(发票统计!Q$4:Q$1003,$W147)))</f>
        <v/>
      </c>
      <c r="R147" s="56" t="str">
        <f aca="false">IF($W147="","",N(INDEX(发票统计!R$4:R$1003,$W147)))</f>
        <v/>
      </c>
      <c r="S147" s="56" t="str">
        <f aca="false">IF($W147="","",N(INDEX(发票统计!S$4:S$1003,$W147)))</f>
        <v/>
      </c>
      <c r="T147" s="56" t="str">
        <f aca="false">IF($W147="","",SUM(Q$4:Q147)-SUM(R$4:R147)-SUM(S$4:S147))</f>
        <v/>
      </c>
      <c r="U147" s="56" t="str">
        <f aca="false">IF($W147="","",INDEX(发票统计!U$4:U$1003,$W147)&amp;"")</f>
        <v/>
      </c>
      <c r="W147" s="1" t="str">
        <f aca="false">IF($V$3="","",IFERROR(MATCH($V$3&amp;"#"&amp;ROWS(W$4:W147),发票统计!$W$4:$W$1003,0),""))</f>
        <v/>
      </c>
    </row>
    <row r="148" customFormat="false" ht="16.5" hidden="false" customHeight="false" outlineLevel="0" collapsed="false">
      <c r="A148" s="3" t="str">
        <f aca="false">IF($W148="","",INDEX(发票统计!A$4:A$1003,$W148)&amp;"")</f>
        <v/>
      </c>
      <c r="B148" s="3" t="str">
        <f aca="false">IF($W148="","",INDEX(发票统计!B$4:B$1003,$W148)&amp;"")</f>
        <v/>
      </c>
      <c r="C148" s="3" t="str">
        <f aca="false">IF($W148="","",INDEX(发票统计!C$4:C$1003,$W148)&amp;"")</f>
        <v/>
      </c>
      <c r="D148" s="3" t="str">
        <f aca="false">IF($W148="","",INDEX(发票统计!D$4:D$1003,$W148)&amp;"")</f>
        <v/>
      </c>
      <c r="E148" s="67" t="str">
        <f aca="false">IF($W148="","",INDEX(发票统计!E$4:E$1003,$W148)&amp;"")</f>
        <v/>
      </c>
      <c r="F148" s="68" t="str">
        <f aca="false">IF($W148="","",INDEX(发票统计!F$4:F$1003,$W148)&amp;"")</f>
        <v/>
      </c>
      <c r="G148" s="68" t="str">
        <f aca="false">IF($W148="","",IF(INDEX(发票统计!G$4:G$1003,$W148)="","",INDEX(发票统计!G$4:G$1003,$W148)))</f>
        <v/>
      </c>
      <c r="H148" s="56" t="str">
        <f aca="false">IF($W148="","",N(INDEX(发票统计!H$4:H$1003,$W148)))</f>
        <v/>
      </c>
      <c r="I148" s="56" t="str">
        <f aca="false">IF($W148="","",N(INDEX(发票统计!I$4:I$1003,$W148)))</f>
        <v/>
      </c>
      <c r="J148" s="56" t="str">
        <f aca="false">IF($W148="","",N(INDEX(发票统计!J$4:J$1003,$W148)))</f>
        <v/>
      </c>
      <c r="K148" s="56" t="str">
        <f aca="false">IF($W148="","",N(INDEX(发票统计!K$4:K$1003,$W148)))</f>
        <v/>
      </c>
      <c r="L148" s="56" t="str">
        <f aca="false">IF($W148="","",SUM(J$4:J148)-SUM(K$4:K148))</f>
        <v/>
      </c>
      <c r="M148" s="56" t="str">
        <f aca="false">IF($W148="","",N(INDEX(发票统计!M$4:M$1003,$W148)))</f>
        <v/>
      </c>
      <c r="N148" s="56" t="str">
        <f aca="false">IF($W148="","",N(INDEX(发票统计!N$4:N$1003,$W148)))</f>
        <v/>
      </c>
      <c r="O148" s="56" t="str">
        <f aca="false">IF($W148="","",N(INDEX(发票统计!O$4:O$1003,$W148)))</f>
        <v/>
      </c>
      <c r="P148" s="56" t="str">
        <f aca="false">IF($W148="","",SUM(M$4:M148)-SUM(N$4:N148)-SUM(O$4:O148))</f>
        <v/>
      </c>
      <c r="Q148" s="56" t="str">
        <f aca="false">IF($W148="","",N(INDEX(发票统计!Q$4:Q$1003,$W148)))</f>
        <v/>
      </c>
      <c r="R148" s="56" t="str">
        <f aca="false">IF($W148="","",N(INDEX(发票统计!R$4:R$1003,$W148)))</f>
        <v/>
      </c>
      <c r="S148" s="56" t="str">
        <f aca="false">IF($W148="","",N(INDEX(发票统计!S$4:S$1003,$W148)))</f>
        <v/>
      </c>
      <c r="T148" s="56" t="str">
        <f aca="false">IF($W148="","",SUM(Q$4:Q148)-SUM(R$4:R148)-SUM(S$4:S148))</f>
        <v/>
      </c>
      <c r="U148" s="56" t="str">
        <f aca="false">IF($W148="","",INDEX(发票统计!U$4:U$1003,$W148)&amp;"")</f>
        <v/>
      </c>
      <c r="W148" s="1" t="str">
        <f aca="false">IF($V$3="","",IFERROR(MATCH($V$3&amp;"#"&amp;ROWS(W$4:W148),发票统计!$W$4:$W$1003,0),""))</f>
        <v/>
      </c>
    </row>
    <row r="149" customFormat="false" ht="16.5" hidden="false" customHeight="false" outlineLevel="0" collapsed="false">
      <c r="A149" s="3" t="str">
        <f aca="false">IF($W149="","",INDEX(发票统计!A$4:A$1003,$W149)&amp;"")</f>
        <v/>
      </c>
      <c r="B149" s="3" t="str">
        <f aca="false">IF($W149="","",INDEX(发票统计!B$4:B$1003,$W149)&amp;"")</f>
        <v/>
      </c>
      <c r="C149" s="3" t="str">
        <f aca="false">IF($W149="","",INDEX(发票统计!C$4:C$1003,$W149)&amp;"")</f>
        <v/>
      </c>
      <c r="D149" s="3" t="str">
        <f aca="false">IF($W149="","",INDEX(发票统计!D$4:D$1003,$W149)&amp;"")</f>
        <v/>
      </c>
      <c r="E149" s="67" t="str">
        <f aca="false">IF($W149="","",INDEX(发票统计!E$4:E$1003,$W149)&amp;"")</f>
        <v/>
      </c>
      <c r="F149" s="68" t="str">
        <f aca="false">IF($W149="","",INDEX(发票统计!F$4:F$1003,$W149)&amp;"")</f>
        <v/>
      </c>
      <c r="G149" s="68" t="str">
        <f aca="false">IF($W149="","",IF(INDEX(发票统计!G$4:G$1003,$W149)="","",INDEX(发票统计!G$4:G$1003,$W149)))</f>
        <v/>
      </c>
      <c r="H149" s="56" t="str">
        <f aca="false">IF($W149="","",N(INDEX(发票统计!H$4:H$1003,$W149)))</f>
        <v/>
      </c>
      <c r="I149" s="56" t="str">
        <f aca="false">IF($W149="","",N(INDEX(发票统计!I$4:I$1003,$W149)))</f>
        <v/>
      </c>
      <c r="J149" s="56" t="str">
        <f aca="false">IF($W149="","",N(INDEX(发票统计!J$4:J$1003,$W149)))</f>
        <v/>
      </c>
      <c r="K149" s="56" t="str">
        <f aca="false">IF($W149="","",N(INDEX(发票统计!K$4:K$1003,$W149)))</f>
        <v/>
      </c>
      <c r="L149" s="56" t="str">
        <f aca="false">IF($W149="","",SUM(J$4:J149)-SUM(K$4:K149))</f>
        <v/>
      </c>
      <c r="M149" s="56" t="str">
        <f aca="false">IF($W149="","",N(INDEX(发票统计!M$4:M$1003,$W149)))</f>
        <v/>
      </c>
      <c r="N149" s="56" t="str">
        <f aca="false">IF($W149="","",N(INDEX(发票统计!N$4:N$1003,$W149)))</f>
        <v/>
      </c>
      <c r="O149" s="56" t="str">
        <f aca="false">IF($W149="","",N(INDEX(发票统计!O$4:O$1003,$W149)))</f>
        <v/>
      </c>
      <c r="P149" s="56" t="str">
        <f aca="false">IF($W149="","",SUM(M$4:M149)-SUM(N$4:N149)-SUM(O$4:O149))</f>
        <v/>
      </c>
      <c r="Q149" s="56" t="str">
        <f aca="false">IF($W149="","",N(INDEX(发票统计!Q$4:Q$1003,$W149)))</f>
        <v/>
      </c>
      <c r="R149" s="56" t="str">
        <f aca="false">IF($W149="","",N(INDEX(发票统计!R$4:R$1003,$W149)))</f>
        <v/>
      </c>
      <c r="S149" s="56" t="str">
        <f aca="false">IF($W149="","",N(INDEX(发票统计!S$4:S$1003,$W149)))</f>
        <v/>
      </c>
      <c r="T149" s="56" t="str">
        <f aca="false">IF($W149="","",SUM(Q$4:Q149)-SUM(R$4:R149)-SUM(S$4:S149))</f>
        <v/>
      </c>
      <c r="U149" s="56" t="str">
        <f aca="false">IF($W149="","",INDEX(发票统计!U$4:U$1003,$W149)&amp;"")</f>
        <v/>
      </c>
      <c r="W149" s="1" t="str">
        <f aca="false">IF($V$3="","",IFERROR(MATCH($V$3&amp;"#"&amp;ROWS(W$4:W149),发票统计!$W$4:$W$1003,0),""))</f>
        <v/>
      </c>
    </row>
    <row r="150" customFormat="false" ht="16.5" hidden="false" customHeight="false" outlineLevel="0" collapsed="false">
      <c r="A150" s="3" t="str">
        <f aca="false">IF($W150="","",INDEX(发票统计!A$4:A$1003,$W150)&amp;"")</f>
        <v/>
      </c>
      <c r="B150" s="3" t="str">
        <f aca="false">IF($W150="","",INDEX(发票统计!B$4:B$1003,$W150)&amp;"")</f>
        <v/>
      </c>
      <c r="C150" s="3" t="str">
        <f aca="false">IF($W150="","",INDEX(发票统计!C$4:C$1003,$W150)&amp;"")</f>
        <v/>
      </c>
      <c r="D150" s="3" t="str">
        <f aca="false">IF($W150="","",INDEX(发票统计!D$4:D$1003,$W150)&amp;"")</f>
        <v/>
      </c>
      <c r="E150" s="67" t="str">
        <f aca="false">IF($W150="","",INDEX(发票统计!E$4:E$1003,$W150)&amp;"")</f>
        <v/>
      </c>
      <c r="F150" s="68" t="str">
        <f aca="false">IF($W150="","",INDEX(发票统计!F$4:F$1003,$W150)&amp;"")</f>
        <v/>
      </c>
      <c r="G150" s="68" t="str">
        <f aca="false">IF($W150="","",IF(INDEX(发票统计!G$4:G$1003,$W150)="","",INDEX(发票统计!G$4:G$1003,$W150)))</f>
        <v/>
      </c>
      <c r="H150" s="56" t="str">
        <f aca="false">IF($W150="","",N(INDEX(发票统计!H$4:H$1003,$W150)))</f>
        <v/>
      </c>
      <c r="I150" s="56" t="str">
        <f aca="false">IF($W150="","",N(INDEX(发票统计!I$4:I$1003,$W150)))</f>
        <v/>
      </c>
      <c r="J150" s="56" t="str">
        <f aca="false">IF($W150="","",N(INDEX(发票统计!J$4:J$1003,$W150)))</f>
        <v/>
      </c>
      <c r="K150" s="56" t="str">
        <f aca="false">IF($W150="","",N(INDEX(发票统计!K$4:K$1003,$W150)))</f>
        <v/>
      </c>
      <c r="L150" s="56" t="str">
        <f aca="false">IF($W150="","",SUM(J$4:J150)-SUM(K$4:K150))</f>
        <v/>
      </c>
      <c r="M150" s="56" t="str">
        <f aca="false">IF($W150="","",N(INDEX(发票统计!M$4:M$1003,$W150)))</f>
        <v/>
      </c>
      <c r="N150" s="56" t="str">
        <f aca="false">IF($W150="","",N(INDEX(发票统计!N$4:N$1003,$W150)))</f>
        <v/>
      </c>
      <c r="O150" s="56" t="str">
        <f aca="false">IF($W150="","",N(INDEX(发票统计!O$4:O$1003,$W150)))</f>
        <v/>
      </c>
      <c r="P150" s="56" t="str">
        <f aca="false">IF($W150="","",SUM(M$4:M150)-SUM(N$4:N150)-SUM(O$4:O150))</f>
        <v/>
      </c>
      <c r="Q150" s="56" t="str">
        <f aca="false">IF($W150="","",N(INDEX(发票统计!Q$4:Q$1003,$W150)))</f>
        <v/>
      </c>
      <c r="R150" s="56" t="str">
        <f aca="false">IF($W150="","",N(INDEX(发票统计!R$4:R$1003,$W150)))</f>
        <v/>
      </c>
      <c r="S150" s="56" t="str">
        <f aca="false">IF($W150="","",N(INDEX(发票统计!S$4:S$1003,$W150)))</f>
        <v/>
      </c>
      <c r="T150" s="56" t="str">
        <f aca="false">IF($W150="","",SUM(Q$4:Q150)-SUM(R$4:R150)-SUM(S$4:S150))</f>
        <v/>
      </c>
      <c r="U150" s="56" t="str">
        <f aca="false">IF($W150="","",INDEX(发票统计!U$4:U$1003,$W150)&amp;"")</f>
        <v/>
      </c>
      <c r="W150" s="1" t="str">
        <f aca="false">IF($V$3="","",IFERROR(MATCH($V$3&amp;"#"&amp;ROWS(W$4:W150),发票统计!$W$4:$W$1003,0),""))</f>
        <v/>
      </c>
    </row>
    <row r="151" customFormat="false" ht="16.5" hidden="false" customHeight="false" outlineLevel="0" collapsed="false">
      <c r="A151" s="3" t="str">
        <f aca="false">IF($W151="","",INDEX(发票统计!A$4:A$1003,$W151)&amp;"")</f>
        <v/>
      </c>
      <c r="B151" s="3" t="str">
        <f aca="false">IF($W151="","",INDEX(发票统计!B$4:B$1003,$W151)&amp;"")</f>
        <v/>
      </c>
      <c r="C151" s="3" t="str">
        <f aca="false">IF($W151="","",INDEX(发票统计!C$4:C$1003,$W151)&amp;"")</f>
        <v/>
      </c>
      <c r="D151" s="3" t="str">
        <f aca="false">IF($W151="","",INDEX(发票统计!D$4:D$1003,$W151)&amp;"")</f>
        <v/>
      </c>
      <c r="E151" s="67" t="str">
        <f aca="false">IF($W151="","",INDEX(发票统计!E$4:E$1003,$W151)&amp;"")</f>
        <v/>
      </c>
      <c r="F151" s="68" t="str">
        <f aca="false">IF($W151="","",INDEX(发票统计!F$4:F$1003,$W151)&amp;"")</f>
        <v/>
      </c>
      <c r="G151" s="68" t="str">
        <f aca="false">IF($W151="","",IF(INDEX(发票统计!G$4:G$1003,$W151)="","",INDEX(发票统计!G$4:G$1003,$W151)))</f>
        <v/>
      </c>
      <c r="H151" s="56" t="str">
        <f aca="false">IF($W151="","",N(INDEX(发票统计!H$4:H$1003,$W151)))</f>
        <v/>
      </c>
      <c r="I151" s="56" t="str">
        <f aca="false">IF($W151="","",N(INDEX(发票统计!I$4:I$1003,$W151)))</f>
        <v/>
      </c>
      <c r="J151" s="56" t="str">
        <f aca="false">IF($W151="","",N(INDEX(发票统计!J$4:J$1003,$W151)))</f>
        <v/>
      </c>
      <c r="K151" s="56" t="str">
        <f aca="false">IF($W151="","",N(INDEX(发票统计!K$4:K$1003,$W151)))</f>
        <v/>
      </c>
      <c r="L151" s="56" t="str">
        <f aca="false">IF($W151="","",SUM(J$4:J151)-SUM(K$4:K151))</f>
        <v/>
      </c>
      <c r="M151" s="56" t="str">
        <f aca="false">IF($W151="","",N(INDEX(发票统计!M$4:M$1003,$W151)))</f>
        <v/>
      </c>
      <c r="N151" s="56" t="str">
        <f aca="false">IF($W151="","",N(INDEX(发票统计!N$4:N$1003,$W151)))</f>
        <v/>
      </c>
      <c r="O151" s="56" t="str">
        <f aca="false">IF($W151="","",N(INDEX(发票统计!O$4:O$1003,$W151)))</f>
        <v/>
      </c>
      <c r="P151" s="56" t="str">
        <f aca="false">IF($W151="","",SUM(M$4:M151)-SUM(N$4:N151)-SUM(O$4:O151))</f>
        <v/>
      </c>
      <c r="Q151" s="56" t="str">
        <f aca="false">IF($W151="","",N(INDEX(发票统计!Q$4:Q$1003,$W151)))</f>
        <v/>
      </c>
      <c r="R151" s="56" t="str">
        <f aca="false">IF($W151="","",N(INDEX(发票统计!R$4:R$1003,$W151)))</f>
        <v/>
      </c>
      <c r="S151" s="56" t="str">
        <f aca="false">IF($W151="","",N(INDEX(发票统计!S$4:S$1003,$W151)))</f>
        <v/>
      </c>
      <c r="T151" s="56" t="str">
        <f aca="false">IF($W151="","",SUM(Q$4:Q151)-SUM(R$4:R151)-SUM(S$4:S151))</f>
        <v/>
      </c>
      <c r="U151" s="56" t="str">
        <f aca="false">IF($W151="","",INDEX(发票统计!U$4:U$1003,$W151)&amp;"")</f>
        <v/>
      </c>
      <c r="W151" s="1" t="str">
        <f aca="false">IF($V$3="","",IFERROR(MATCH($V$3&amp;"#"&amp;ROWS(W$4:W151),发票统计!$W$4:$W$1003,0),""))</f>
        <v/>
      </c>
    </row>
    <row r="152" customFormat="false" ht="16.5" hidden="false" customHeight="false" outlineLevel="0" collapsed="false">
      <c r="A152" s="3" t="str">
        <f aca="false">IF($W152="","",INDEX(发票统计!A$4:A$1003,$W152)&amp;"")</f>
        <v/>
      </c>
      <c r="B152" s="3" t="str">
        <f aca="false">IF($W152="","",INDEX(发票统计!B$4:B$1003,$W152)&amp;"")</f>
        <v/>
      </c>
      <c r="C152" s="3" t="str">
        <f aca="false">IF($W152="","",INDEX(发票统计!C$4:C$1003,$W152)&amp;"")</f>
        <v/>
      </c>
      <c r="D152" s="3" t="str">
        <f aca="false">IF($W152="","",INDEX(发票统计!D$4:D$1003,$W152)&amp;"")</f>
        <v/>
      </c>
      <c r="E152" s="67" t="str">
        <f aca="false">IF($W152="","",INDEX(发票统计!E$4:E$1003,$W152)&amp;"")</f>
        <v/>
      </c>
      <c r="F152" s="68" t="str">
        <f aca="false">IF($W152="","",INDEX(发票统计!F$4:F$1003,$W152)&amp;"")</f>
        <v/>
      </c>
      <c r="G152" s="68" t="str">
        <f aca="false">IF($W152="","",IF(INDEX(发票统计!G$4:G$1003,$W152)="","",INDEX(发票统计!G$4:G$1003,$W152)))</f>
        <v/>
      </c>
      <c r="H152" s="56" t="str">
        <f aca="false">IF($W152="","",N(INDEX(发票统计!H$4:H$1003,$W152)))</f>
        <v/>
      </c>
      <c r="I152" s="56" t="str">
        <f aca="false">IF($W152="","",N(INDEX(发票统计!I$4:I$1003,$W152)))</f>
        <v/>
      </c>
      <c r="J152" s="56" t="str">
        <f aca="false">IF($W152="","",N(INDEX(发票统计!J$4:J$1003,$W152)))</f>
        <v/>
      </c>
      <c r="K152" s="56" t="str">
        <f aca="false">IF($W152="","",N(INDEX(发票统计!K$4:K$1003,$W152)))</f>
        <v/>
      </c>
      <c r="L152" s="56" t="str">
        <f aca="false">IF($W152="","",SUM(J$4:J152)-SUM(K$4:K152))</f>
        <v/>
      </c>
      <c r="M152" s="56" t="str">
        <f aca="false">IF($W152="","",N(INDEX(发票统计!M$4:M$1003,$W152)))</f>
        <v/>
      </c>
      <c r="N152" s="56" t="str">
        <f aca="false">IF($W152="","",N(INDEX(发票统计!N$4:N$1003,$W152)))</f>
        <v/>
      </c>
      <c r="O152" s="56" t="str">
        <f aca="false">IF($W152="","",N(INDEX(发票统计!O$4:O$1003,$W152)))</f>
        <v/>
      </c>
      <c r="P152" s="56" t="str">
        <f aca="false">IF($W152="","",SUM(M$4:M152)-SUM(N$4:N152)-SUM(O$4:O152))</f>
        <v/>
      </c>
      <c r="Q152" s="56" t="str">
        <f aca="false">IF($W152="","",N(INDEX(发票统计!Q$4:Q$1003,$W152)))</f>
        <v/>
      </c>
      <c r="R152" s="56" t="str">
        <f aca="false">IF($W152="","",N(INDEX(发票统计!R$4:R$1003,$W152)))</f>
        <v/>
      </c>
      <c r="S152" s="56" t="str">
        <f aca="false">IF($W152="","",N(INDEX(发票统计!S$4:S$1003,$W152)))</f>
        <v/>
      </c>
      <c r="T152" s="56" t="str">
        <f aca="false">IF($W152="","",SUM(Q$4:Q152)-SUM(R$4:R152)-SUM(S$4:S152))</f>
        <v/>
      </c>
      <c r="U152" s="56" t="str">
        <f aca="false">IF($W152="","",INDEX(发票统计!U$4:U$1003,$W152)&amp;"")</f>
        <v/>
      </c>
      <c r="W152" s="1" t="str">
        <f aca="false">IF($V$3="","",IFERROR(MATCH($V$3&amp;"#"&amp;ROWS(W$4:W152),发票统计!$W$4:$W$1003,0),""))</f>
        <v/>
      </c>
    </row>
    <row r="153" customFormat="false" ht="16.5" hidden="false" customHeight="false" outlineLevel="0" collapsed="false">
      <c r="A153" s="3" t="str">
        <f aca="false">IF($W153="","",INDEX(发票统计!A$4:A$1003,$W153)&amp;"")</f>
        <v/>
      </c>
      <c r="B153" s="3" t="str">
        <f aca="false">IF($W153="","",INDEX(发票统计!B$4:B$1003,$W153)&amp;"")</f>
        <v/>
      </c>
      <c r="C153" s="3" t="str">
        <f aca="false">IF($W153="","",INDEX(发票统计!C$4:C$1003,$W153)&amp;"")</f>
        <v/>
      </c>
      <c r="D153" s="3" t="str">
        <f aca="false">IF($W153="","",INDEX(发票统计!D$4:D$1003,$W153)&amp;"")</f>
        <v/>
      </c>
      <c r="E153" s="67" t="str">
        <f aca="false">IF($W153="","",INDEX(发票统计!E$4:E$1003,$W153)&amp;"")</f>
        <v/>
      </c>
      <c r="F153" s="68" t="str">
        <f aca="false">IF($W153="","",INDEX(发票统计!F$4:F$1003,$W153)&amp;"")</f>
        <v/>
      </c>
      <c r="G153" s="68" t="str">
        <f aca="false">IF($W153="","",IF(INDEX(发票统计!G$4:G$1003,$W153)="","",INDEX(发票统计!G$4:G$1003,$W153)))</f>
        <v/>
      </c>
      <c r="H153" s="56" t="str">
        <f aca="false">IF($W153="","",N(INDEX(发票统计!H$4:H$1003,$W153)))</f>
        <v/>
      </c>
      <c r="I153" s="56" t="str">
        <f aca="false">IF($W153="","",N(INDEX(发票统计!I$4:I$1003,$W153)))</f>
        <v/>
      </c>
      <c r="J153" s="56" t="str">
        <f aca="false">IF($W153="","",N(INDEX(发票统计!J$4:J$1003,$W153)))</f>
        <v/>
      </c>
      <c r="K153" s="56" t="str">
        <f aca="false">IF($W153="","",N(INDEX(发票统计!K$4:K$1003,$W153)))</f>
        <v/>
      </c>
      <c r="L153" s="56" t="str">
        <f aca="false">IF($W153="","",SUM(J$4:J153)-SUM(K$4:K153))</f>
        <v/>
      </c>
      <c r="M153" s="56" t="str">
        <f aca="false">IF($W153="","",N(INDEX(发票统计!M$4:M$1003,$W153)))</f>
        <v/>
      </c>
      <c r="N153" s="56" t="str">
        <f aca="false">IF($W153="","",N(INDEX(发票统计!N$4:N$1003,$W153)))</f>
        <v/>
      </c>
      <c r="O153" s="56" t="str">
        <f aca="false">IF($W153="","",N(INDEX(发票统计!O$4:O$1003,$W153)))</f>
        <v/>
      </c>
      <c r="P153" s="56" t="str">
        <f aca="false">IF($W153="","",SUM(M$4:M153)-SUM(N$4:N153)-SUM(O$4:O153))</f>
        <v/>
      </c>
      <c r="Q153" s="56" t="str">
        <f aca="false">IF($W153="","",N(INDEX(发票统计!Q$4:Q$1003,$W153)))</f>
        <v/>
      </c>
      <c r="R153" s="56" t="str">
        <f aca="false">IF($W153="","",N(INDEX(发票统计!R$4:R$1003,$W153)))</f>
        <v/>
      </c>
      <c r="S153" s="56" t="str">
        <f aca="false">IF($W153="","",N(INDEX(发票统计!S$4:S$1003,$W153)))</f>
        <v/>
      </c>
      <c r="T153" s="56" t="str">
        <f aca="false">IF($W153="","",SUM(Q$4:Q153)-SUM(R$4:R153)-SUM(S$4:S153))</f>
        <v/>
      </c>
      <c r="U153" s="56" t="str">
        <f aca="false">IF($W153="","",INDEX(发票统计!U$4:U$1003,$W153)&amp;"")</f>
        <v/>
      </c>
      <c r="W153" s="1" t="str">
        <f aca="false">IF($V$3="","",IFERROR(MATCH($V$3&amp;"#"&amp;ROWS(W$4:W153),发票统计!$W$4:$W$1003,0),""))</f>
        <v/>
      </c>
    </row>
    <row r="154" customFormat="false" ht="16.5" hidden="false" customHeight="false" outlineLevel="0" collapsed="false">
      <c r="A154" s="3" t="str">
        <f aca="false">IF($W154="","",INDEX(发票统计!A$4:A$1003,$W154)&amp;"")</f>
        <v/>
      </c>
      <c r="B154" s="3" t="str">
        <f aca="false">IF($W154="","",INDEX(发票统计!B$4:B$1003,$W154)&amp;"")</f>
        <v/>
      </c>
      <c r="C154" s="3" t="str">
        <f aca="false">IF($W154="","",INDEX(发票统计!C$4:C$1003,$W154)&amp;"")</f>
        <v/>
      </c>
      <c r="D154" s="3" t="str">
        <f aca="false">IF($W154="","",INDEX(发票统计!D$4:D$1003,$W154)&amp;"")</f>
        <v/>
      </c>
      <c r="E154" s="67" t="str">
        <f aca="false">IF($W154="","",INDEX(发票统计!E$4:E$1003,$W154)&amp;"")</f>
        <v/>
      </c>
      <c r="F154" s="68" t="str">
        <f aca="false">IF($W154="","",INDEX(发票统计!F$4:F$1003,$W154)&amp;"")</f>
        <v/>
      </c>
      <c r="G154" s="68" t="str">
        <f aca="false">IF($W154="","",IF(INDEX(发票统计!G$4:G$1003,$W154)="","",INDEX(发票统计!G$4:G$1003,$W154)))</f>
        <v/>
      </c>
      <c r="H154" s="56" t="str">
        <f aca="false">IF($W154="","",N(INDEX(发票统计!H$4:H$1003,$W154)))</f>
        <v/>
      </c>
      <c r="I154" s="56" t="str">
        <f aca="false">IF($W154="","",N(INDEX(发票统计!I$4:I$1003,$W154)))</f>
        <v/>
      </c>
      <c r="J154" s="56" t="str">
        <f aca="false">IF($W154="","",N(INDEX(发票统计!J$4:J$1003,$W154)))</f>
        <v/>
      </c>
      <c r="K154" s="56" t="str">
        <f aca="false">IF($W154="","",N(INDEX(发票统计!K$4:K$1003,$W154)))</f>
        <v/>
      </c>
      <c r="L154" s="56" t="str">
        <f aca="false">IF($W154="","",SUM(J$4:J154)-SUM(K$4:K154))</f>
        <v/>
      </c>
      <c r="M154" s="56" t="str">
        <f aca="false">IF($W154="","",N(INDEX(发票统计!M$4:M$1003,$W154)))</f>
        <v/>
      </c>
      <c r="N154" s="56" t="str">
        <f aca="false">IF($W154="","",N(INDEX(发票统计!N$4:N$1003,$W154)))</f>
        <v/>
      </c>
      <c r="O154" s="56" t="str">
        <f aca="false">IF($W154="","",N(INDEX(发票统计!O$4:O$1003,$W154)))</f>
        <v/>
      </c>
      <c r="P154" s="56" t="str">
        <f aca="false">IF($W154="","",SUM(M$4:M154)-SUM(N$4:N154)-SUM(O$4:O154))</f>
        <v/>
      </c>
      <c r="Q154" s="56" t="str">
        <f aca="false">IF($W154="","",N(INDEX(发票统计!Q$4:Q$1003,$W154)))</f>
        <v/>
      </c>
      <c r="R154" s="56" t="str">
        <f aca="false">IF($W154="","",N(INDEX(发票统计!R$4:R$1003,$W154)))</f>
        <v/>
      </c>
      <c r="S154" s="56" t="str">
        <f aca="false">IF($W154="","",N(INDEX(发票统计!S$4:S$1003,$W154)))</f>
        <v/>
      </c>
      <c r="T154" s="56" t="str">
        <f aca="false">IF($W154="","",SUM(Q$4:Q154)-SUM(R$4:R154)-SUM(S$4:S154))</f>
        <v/>
      </c>
      <c r="U154" s="56" t="str">
        <f aca="false">IF($W154="","",INDEX(发票统计!U$4:U$1003,$W154)&amp;"")</f>
        <v/>
      </c>
      <c r="W154" s="1" t="str">
        <f aca="false">IF($V$3="","",IFERROR(MATCH($V$3&amp;"#"&amp;ROWS(W$4:W154),发票统计!$W$4:$W$1003,0),""))</f>
        <v/>
      </c>
    </row>
    <row r="155" customFormat="false" ht="16.5" hidden="false" customHeight="false" outlineLevel="0" collapsed="false">
      <c r="A155" s="3" t="str">
        <f aca="false">IF($W155="","",INDEX(发票统计!A$4:A$1003,$W155)&amp;"")</f>
        <v/>
      </c>
      <c r="B155" s="3" t="str">
        <f aca="false">IF($W155="","",INDEX(发票统计!B$4:B$1003,$W155)&amp;"")</f>
        <v/>
      </c>
      <c r="C155" s="3" t="str">
        <f aca="false">IF($W155="","",INDEX(发票统计!C$4:C$1003,$W155)&amp;"")</f>
        <v/>
      </c>
      <c r="D155" s="3" t="str">
        <f aca="false">IF($W155="","",INDEX(发票统计!D$4:D$1003,$W155)&amp;"")</f>
        <v/>
      </c>
      <c r="E155" s="67" t="str">
        <f aca="false">IF($W155="","",INDEX(发票统计!E$4:E$1003,$W155)&amp;"")</f>
        <v/>
      </c>
      <c r="F155" s="68" t="str">
        <f aca="false">IF($W155="","",INDEX(发票统计!F$4:F$1003,$W155)&amp;"")</f>
        <v/>
      </c>
      <c r="G155" s="68" t="str">
        <f aca="false">IF($W155="","",IF(INDEX(发票统计!G$4:G$1003,$W155)="","",INDEX(发票统计!G$4:G$1003,$W155)))</f>
        <v/>
      </c>
      <c r="H155" s="56" t="str">
        <f aca="false">IF($W155="","",N(INDEX(发票统计!H$4:H$1003,$W155)))</f>
        <v/>
      </c>
      <c r="I155" s="56" t="str">
        <f aca="false">IF($W155="","",N(INDEX(发票统计!I$4:I$1003,$W155)))</f>
        <v/>
      </c>
      <c r="J155" s="56" t="str">
        <f aca="false">IF($W155="","",N(INDEX(发票统计!J$4:J$1003,$W155)))</f>
        <v/>
      </c>
      <c r="K155" s="56" t="str">
        <f aca="false">IF($W155="","",N(INDEX(发票统计!K$4:K$1003,$W155)))</f>
        <v/>
      </c>
      <c r="L155" s="56" t="str">
        <f aca="false">IF($W155="","",SUM(J$4:J155)-SUM(K$4:K155))</f>
        <v/>
      </c>
      <c r="M155" s="56" t="str">
        <f aca="false">IF($W155="","",N(INDEX(发票统计!M$4:M$1003,$W155)))</f>
        <v/>
      </c>
      <c r="N155" s="56" t="str">
        <f aca="false">IF($W155="","",N(INDEX(发票统计!N$4:N$1003,$W155)))</f>
        <v/>
      </c>
      <c r="O155" s="56" t="str">
        <f aca="false">IF($W155="","",N(INDEX(发票统计!O$4:O$1003,$W155)))</f>
        <v/>
      </c>
      <c r="P155" s="56" t="str">
        <f aca="false">IF($W155="","",SUM(M$4:M155)-SUM(N$4:N155)-SUM(O$4:O155))</f>
        <v/>
      </c>
      <c r="Q155" s="56" t="str">
        <f aca="false">IF($W155="","",N(INDEX(发票统计!Q$4:Q$1003,$W155)))</f>
        <v/>
      </c>
      <c r="R155" s="56" t="str">
        <f aca="false">IF($W155="","",N(INDEX(发票统计!R$4:R$1003,$W155)))</f>
        <v/>
      </c>
      <c r="S155" s="56" t="str">
        <f aca="false">IF($W155="","",N(INDEX(发票统计!S$4:S$1003,$W155)))</f>
        <v/>
      </c>
      <c r="T155" s="56" t="str">
        <f aca="false">IF($W155="","",SUM(Q$4:Q155)-SUM(R$4:R155)-SUM(S$4:S155))</f>
        <v/>
      </c>
      <c r="U155" s="56" t="str">
        <f aca="false">IF($W155="","",INDEX(发票统计!U$4:U$1003,$W155)&amp;"")</f>
        <v/>
      </c>
      <c r="W155" s="1" t="str">
        <f aca="false">IF($V$3="","",IFERROR(MATCH($V$3&amp;"#"&amp;ROWS(W$4:W155),发票统计!$W$4:$W$1003,0),""))</f>
        <v/>
      </c>
    </row>
    <row r="156" customFormat="false" ht="16.5" hidden="false" customHeight="false" outlineLevel="0" collapsed="false">
      <c r="A156" s="3" t="str">
        <f aca="false">IF($W156="","",INDEX(发票统计!A$4:A$1003,$W156)&amp;"")</f>
        <v/>
      </c>
      <c r="B156" s="3" t="str">
        <f aca="false">IF($W156="","",INDEX(发票统计!B$4:B$1003,$W156)&amp;"")</f>
        <v/>
      </c>
      <c r="C156" s="3" t="str">
        <f aca="false">IF($W156="","",INDEX(发票统计!C$4:C$1003,$W156)&amp;"")</f>
        <v/>
      </c>
      <c r="D156" s="3" t="str">
        <f aca="false">IF($W156="","",INDEX(发票统计!D$4:D$1003,$W156)&amp;"")</f>
        <v/>
      </c>
      <c r="E156" s="67" t="str">
        <f aca="false">IF($W156="","",INDEX(发票统计!E$4:E$1003,$W156)&amp;"")</f>
        <v/>
      </c>
      <c r="F156" s="68" t="str">
        <f aca="false">IF($W156="","",INDEX(发票统计!F$4:F$1003,$W156)&amp;"")</f>
        <v/>
      </c>
      <c r="G156" s="68" t="str">
        <f aca="false">IF($W156="","",IF(INDEX(发票统计!G$4:G$1003,$W156)="","",INDEX(发票统计!G$4:G$1003,$W156)))</f>
        <v/>
      </c>
      <c r="H156" s="56" t="str">
        <f aca="false">IF($W156="","",N(INDEX(发票统计!H$4:H$1003,$W156)))</f>
        <v/>
      </c>
      <c r="I156" s="56" t="str">
        <f aca="false">IF($W156="","",N(INDEX(发票统计!I$4:I$1003,$W156)))</f>
        <v/>
      </c>
      <c r="J156" s="56" t="str">
        <f aca="false">IF($W156="","",N(INDEX(发票统计!J$4:J$1003,$W156)))</f>
        <v/>
      </c>
      <c r="K156" s="56" t="str">
        <f aca="false">IF($W156="","",N(INDEX(发票统计!K$4:K$1003,$W156)))</f>
        <v/>
      </c>
      <c r="L156" s="56" t="str">
        <f aca="false">IF($W156="","",SUM(J$4:J156)-SUM(K$4:K156))</f>
        <v/>
      </c>
      <c r="M156" s="56" t="str">
        <f aca="false">IF($W156="","",N(INDEX(发票统计!M$4:M$1003,$W156)))</f>
        <v/>
      </c>
      <c r="N156" s="56" t="str">
        <f aca="false">IF($W156="","",N(INDEX(发票统计!N$4:N$1003,$W156)))</f>
        <v/>
      </c>
      <c r="O156" s="56" t="str">
        <f aca="false">IF($W156="","",N(INDEX(发票统计!O$4:O$1003,$W156)))</f>
        <v/>
      </c>
      <c r="P156" s="56" t="str">
        <f aca="false">IF($W156="","",SUM(M$4:M156)-SUM(N$4:N156)-SUM(O$4:O156))</f>
        <v/>
      </c>
      <c r="Q156" s="56" t="str">
        <f aca="false">IF($W156="","",N(INDEX(发票统计!Q$4:Q$1003,$W156)))</f>
        <v/>
      </c>
      <c r="R156" s="56" t="str">
        <f aca="false">IF($W156="","",N(INDEX(发票统计!R$4:R$1003,$W156)))</f>
        <v/>
      </c>
      <c r="S156" s="56" t="str">
        <f aca="false">IF($W156="","",N(INDEX(发票统计!S$4:S$1003,$W156)))</f>
        <v/>
      </c>
      <c r="T156" s="56" t="str">
        <f aca="false">IF($W156="","",SUM(Q$4:Q156)-SUM(R$4:R156)-SUM(S$4:S156))</f>
        <v/>
      </c>
      <c r="U156" s="56" t="str">
        <f aca="false">IF($W156="","",INDEX(发票统计!U$4:U$1003,$W156)&amp;"")</f>
        <v/>
      </c>
      <c r="W156" s="1" t="str">
        <f aca="false">IF($V$3="","",IFERROR(MATCH($V$3&amp;"#"&amp;ROWS(W$4:W156),发票统计!$W$4:$W$1003,0),""))</f>
        <v/>
      </c>
    </row>
    <row r="157" customFormat="false" ht="16.5" hidden="false" customHeight="false" outlineLevel="0" collapsed="false">
      <c r="A157" s="3" t="str">
        <f aca="false">IF($W157="","",INDEX(发票统计!A$4:A$1003,$W157)&amp;"")</f>
        <v/>
      </c>
      <c r="B157" s="3" t="str">
        <f aca="false">IF($W157="","",INDEX(发票统计!B$4:B$1003,$W157)&amp;"")</f>
        <v/>
      </c>
      <c r="C157" s="3" t="str">
        <f aca="false">IF($W157="","",INDEX(发票统计!C$4:C$1003,$W157)&amp;"")</f>
        <v/>
      </c>
      <c r="D157" s="3" t="str">
        <f aca="false">IF($W157="","",INDEX(发票统计!D$4:D$1003,$W157)&amp;"")</f>
        <v/>
      </c>
      <c r="E157" s="67" t="str">
        <f aca="false">IF($W157="","",INDEX(发票统计!E$4:E$1003,$W157)&amp;"")</f>
        <v/>
      </c>
      <c r="F157" s="68" t="str">
        <f aca="false">IF($W157="","",INDEX(发票统计!F$4:F$1003,$W157)&amp;"")</f>
        <v/>
      </c>
      <c r="G157" s="68" t="str">
        <f aca="false">IF($W157="","",IF(INDEX(发票统计!G$4:G$1003,$W157)="","",INDEX(发票统计!G$4:G$1003,$W157)))</f>
        <v/>
      </c>
      <c r="H157" s="56" t="str">
        <f aca="false">IF($W157="","",N(INDEX(发票统计!H$4:H$1003,$W157)))</f>
        <v/>
      </c>
      <c r="I157" s="56" t="str">
        <f aca="false">IF($W157="","",N(INDEX(发票统计!I$4:I$1003,$W157)))</f>
        <v/>
      </c>
      <c r="J157" s="56" t="str">
        <f aca="false">IF($W157="","",N(INDEX(发票统计!J$4:J$1003,$W157)))</f>
        <v/>
      </c>
      <c r="K157" s="56" t="str">
        <f aca="false">IF($W157="","",N(INDEX(发票统计!K$4:K$1003,$W157)))</f>
        <v/>
      </c>
      <c r="L157" s="56" t="str">
        <f aca="false">IF($W157="","",SUM(J$4:J157)-SUM(K$4:K157))</f>
        <v/>
      </c>
      <c r="M157" s="56" t="str">
        <f aca="false">IF($W157="","",N(INDEX(发票统计!M$4:M$1003,$W157)))</f>
        <v/>
      </c>
      <c r="N157" s="56" t="str">
        <f aca="false">IF($W157="","",N(INDEX(发票统计!N$4:N$1003,$W157)))</f>
        <v/>
      </c>
      <c r="O157" s="56" t="str">
        <f aca="false">IF($W157="","",N(INDEX(发票统计!O$4:O$1003,$W157)))</f>
        <v/>
      </c>
      <c r="P157" s="56" t="str">
        <f aca="false">IF($W157="","",SUM(M$4:M157)-SUM(N$4:N157)-SUM(O$4:O157))</f>
        <v/>
      </c>
      <c r="Q157" s="56" t="str">
        <f aca="false">IF($W157="","",N(INDEX(发票统计!Q$4:Q$1003,$W157)))</f>
        <v/>
      </c>
      <c r="R157" s="56" t="str">
        <f aca="false">IF($W157="","",N(INDEX(发票统计!R$4:R$1003,$W157)))</f>
        <v/>
      </c>
      <c r="S157" s="56" t="str">
        <f aca="false">IF($W157="","",N(INDEX(发票统计!S$4:S$1003,$W157)))</f>
        <v/>
      </c>
      <c r="T157" s="56" t="str">
        <f aca="false">IF($W157="","",SUM(Q$4:Q157)-SUM(R$4:R157)-SUM(S$4:S157))</f>
        <v/>
      </c>
      <c r="U157" s="56" t="str">
        <f aca="false">IF($W157="","",INDEX(发票统计!U$4:U$1003,$W157)&amp;"")</f>
        <v/>
      </c>
      <c r="W157" s="1" t="str">
        <f aca="false">IF($V$3="","",IFERROR(MATCH($V$3&amp;"#"&amp;ROWS(W$4:W157),发票统计!$W$4:$W$1003,0),""))</f>
        <v/>
      </c>
    </row>
    <row r="158" customFormat="false" ht="16.5" hidden="false" customHeight="false" outlineLevel="0" collapsed="false">
      <c r="A158" s="3" t="str">
        <f aca="false">IF($W158="","",INDEX(发票统计!A$4:A$1003,$W158)&amp;"")</f>
        <v/>
      </c>
      <c r="B158" s="3" t="str">
        <f aca="false">IF($W158="","",INDEX(发票统计!B$4:B$1003,$W158)&amp;"")</f>
        <v/>
      </c>
      <c r="C158" s="3" t="str">
        <f aca="false">IF($W158="","",INDEX(发票统计!C$4:C$1003,$W158)&amp;"")</f>
        <v/>
      </c>
      <c r="D158" s="3" t="str">
        <f aca="false">IF($W158="","",INDEX(发票统计!D$4:D$1003,$W158)&amp;"")</f>
        <v/>
      </c>
      <c r="E158" s="67" t="str">
        <f aca="false">IF($W158="","",INDEX(发票统计!E$4:E$1003,$W158)&amp;"")</f>
        <v/>
      </c>
      <c r="F158" s="68" t="str">
        <f aca="false">IF($W158="","",INDEX(发票统计!F$4:F$1003,$W158)&amp;"")</f>
        <v/>
      </c>
      <c r="G158" s="68" t="str">
        <f aca="false">IF($W158="","",IF(INDEX(发票统计!G$4:G$1003,$W158)="","",INDEX(发票统计!G$4:G$1003,$W158)))</f>
        <v/>
      </c>
      <c r="H158" s="56" t="str">
        <f aca="false">IF($W158="","",N(INDEX(发票统计!H$4:H$1003,$W158)))</f>
        <v/>
      </c>
      <c r="I158" s="56" t="str">
        <f aca="false">IF($W158="","",N(INDEX(发票统计!I$4:I$1003,$W158)))</f>
        <v/>
      </c>
      <c r="J158" s="56" t="str">
        <f aca="false">IF($W158="","",N(INDEX(发票统计!J$4:J$1003,$W158)))</f>
        <v/>
      </c>
      <c r="K158" s="56" t="str">
        <f aca="false">IF($W158="","",N(INDEX(发票统计!K$4:K$1003,$W158)))</f>
        <v/>
      </c>
      <c r="L158" s="56" t="str">
        <f aca="false">IF($W158="","",SUM(J$4:J158)-SUM(K$4:K158))</f>
        <v/>
      </c>
      <c r="M158" s="56" t="str">
        <f aca="false">IF($W158="","",N(INDEX(发票统计!M$4:M$1003,$W158)))</f>
        <v/>
      </c>
      <c r="N158" s="56" t="str">
        <f aca="false">IF($W158="","",N(INDEX(发票统计!N$4:N$1003,$W158)))</f>
        <v/>
      </c>
      <c r="O158" s="56" t="str">
        <f aca="false">IF($W158="","",N(INDEX(发票统计!O$4:O$1003,$W158)))</f>
        <v/>
      </c>
      <c r="P158" s="56" t="str">
        <f aca="false">IF($W158="","",SUM(M$4:M158)-SUM(N$4:N158)-SUM(O$4:O158))</f>
        <v/>
      </c>
      <c r="Q158" s="56" t="str">
        <f aca="false">IF($W158="","",N(INDEX(发票统计!Q$4:Q$1003,$W158)))</f>
        <v/>
      </c>
      <c r="R158" s="56" t="str">
        <f aca="false">IF($W158="","",N(INDEX(发票统计!R$4:R$1003,$W158)))</f>
        <v/>
      </c>
      <c r="S158" s="56" t="str">
        <f aca="false">IF($W158="","",N(INDEX(发票统计!S$4:S$1003,$W158)))</f>
        <v/>
      </c>
      <c r="T158" s="56" t="str">
        <f aca="false">IF($W158="","",SUM(Q$4:Q158)-SUM(R$4:R158)-SUM(S$4:S158))</f>
        <v/>
      </c>
      <c r="U158" s="56" t="str">
        <f aca="false">IF($W158="","",INDEX(发票统计!U$4:U$1003,$W158)&amp;"")</f>
        <v/>
      </c>
      <c r="W158" s="1" t="str">
        <f aca="false">IF($V$3="","",IFERROR(MATCH($V$3&amp;"#"&amp;ROWS(W$4:W158),发票统计!$W$4:$W$1003,0),""))</f>
        <v/>
      </c>
    </row>
    <row r="159" customFormat="false" ht="16.5" hidden="false" customHeight="false" outlineLevel="0" collapsed="false">
      <c r="A159" s="3" t="str">
        <f aca="false">IF($W159="","",INDEX(发票统计!A$4:A$1003,$W159)&amp;"")</f>
        <v/>
      </c>
      <c r="B159" s="3" t="str">
        <f aca="false">IF($W159="","",INDEX(发票统计!B$4:B$1003,$W159)&amp;"")</f>
        <v/>
      </c>
      <c r="C159" s="3" t="str">
        <f aca="false">IF($W159="","",INDEX(发票统计!C$4:C$1003,$W159)&amp;"")</f>
        <v/>
      </c>
      <c r="D159" s="3" t="str">
        <f aca="false">IF($W159="","",INDEX(发票统计!D$4:D$1003,$W159)&amp;"")</f>
        <v/>
      </c>
      <c r="E159" s="67" t="str">
        <f aca="false">IF($W159="","",INDEX(发票统计!E$4:E$1003,$W159)&amp;"")</f>
        <v/>
      </c>
      <c r="F159" s="68" t="str">
        <f aca="false">IF($W159="","",INDEX(发票统计!F$4:F$1003,$W159)&amp;"")</f>
        <v/>
      </c>
      <c r="G159" s="68" t="str">
        <f aca="false">IF($W159="","",IF(INDEX(发票统计!G$4:G$1003,$W159)="","",INDEX(发票统计!G$4:G$1003,$W159)))</f>
        <v/>
      </c>
      <c r="H159" s="56" t="str">
        <f aca="false">IF($W159="","",N(INDEX(发票统计!H$4:H$1003,$W159)))</f>
        <v/>
      </c>
      <c r="I159" s="56" t="str">
        <f aca="false">IF($W159="","",N(INDEX(发票统计!I$4:I$1003,$W159)))</f>
        <v/>
      </c>
      <c r="J159" s="56" t="str">
        <f aca="false">IF($W159="","",N(INDEX(发票统计!J$4:J$1003,$W159)))</f>
        <v/>
      </c>
      <c r="K159" s="56" t="str">
        <f aca="false">IF($W159="","",N(INDEX(发票统计!K$4:K$1003,$W159)))</f>
        <v/>
      </c>
      <c r="L159" s="56" t="str">
        <f aca="false">IF($W159="","",SUM(J$4:J159)-SUM(K$4:K159))</f>
        <v/>
      </c>
      <c r="M159" s="56" t="str">
        <f aca="false">IF($W159="","",N(INDEX(发票统计!M$4:M$1003,$W159)))</f>
        <v/>
      </c>
      <c r="N159" s="56" t="str">
        <f aca="false">IF($W159="","",N(INDEX(发票统计!N$4:N$1003,$W159)))</f>
        <v/>
      </c>
      <c r="O159" s="56" t="str">
        <f aca="false">IF($W159="","",N(INDEX(发票统计!O$4:O$1003,$W159)))</f>
        <v/>
      </c>
      <c r="P159" s="56" t="str">
        <f aca="false">IF($W159="","",SUM(M$4:M159)-SUM(N$4:N159)-SUM(O$4:O159))</f>
        <v/>
      </c>
      <c r="Q159" s="56" t="str">
        <f aca="false">IF($W159="","",N(INDEX(发票统计!Q$4:Q$1003,$W159)))</f>
        <v/>
      </c>
      <c r="R159" s="56" t="str">
        <f aca="false">IF($W159="","",N(INDEX(发票统计!R$4:R$1003,$W159)))</f>
        <v/>
      </c>
      <c r="S159" s="56" t="str">
        <f aca="false">IF($W159="","",N(INDEX(发票统计!S$4:S$1003,$W159)))</f>
        <v/>
      </c>
      <c r="T159" s="56" t="str">
        <f aca="false">IF($W159="","",SUM(Q$4:Q159)-SUM(R$4:R159)-SUM(S$4:S159))</f>
        <v/>
      </c>
      <c r="U159" s="56" t="str">
        <f aca="false">IF($W159="","",INDEX(发票统计!U$4:U$1003,$W159)&amp;"")</f>
        <v/>
      </c>
      <c r="W159" s="1" t="str">
        <f aca="false">IF($V$3="","",IFERROR(MATCH($V$3&amp;"#"&amp;ROWS(W$4:W159),发票统计!$W$4:$W$1003,0),""))</f>
        <v/>
      </c>
    </row>
    <row r="160" customFormat="false" ht="16.5" hidden="false" customHeight="false" outlineLevel="0" collapsed="false">
      <c r="A160" s="3" t="str">
        <f aca="false">IF($W160="","",INDEX(发票统计!A$4:A$1003,$W160)&amp;"")</f>
        <v/>
      </c>
      <c r="B160" s="3" t="str">
        <f aca="false">IF($W160="","",INDEX(发票统计!B$4:B$1003,$W160)&amp;"")</f>
        <v/>
      </c>
      <c r="C160" s="3" t="str">
        <f aca="false">IF($W160="","",INDEX(发票统计!C$4:C$1003,$W160)&amp;"")</f>
        <v/>
      </c>
      <c r="D160" s="3" t="str">
        <f aca="false">IF($W160="","",INDEX(发票统计!D$4:D$1003,$W160)&amp;"")</f>
        <v/>
      </c>
      <c r="E160" s="67" t="str">
        <f aca="false">IF($W160="","",INDEX(发票统计!E$4:E$1003,$W160)&amp;"")</f>
        <v/>
      </c>
      <c r="F160" s="68" t="str">
        <f aca="false">IF($W160="","",INDEX(发票统计!F$4:F$1003,$W160)&amp;"")</f>
        <v/>
      </c>
      <c r="G160" s="68" t="str">
        <f aca="false">IF($W160="","",IF(INDEX(发票统计!G$4:G$1003,$W160)="","",INDEX(发票统计!G$4:G$1003,$W160)))</f>
        <v/>
      </c>
      <c r="H160" s="56" t="str">
        <f aca="false">IF($W160="","",N(INDEX(发票统计!H$4:H$1003,$W160)))</f>
        <v/>
      </c>
      <c r="I160" s="56" t="str">
        <f aca="false">IF($W160="","",N(INDEX(发票统计!I$4:I$1003,$W160)))</f>
        <v/>
      </c>
      <c r="J160" s="56" t="str">
        <f aca="false">IF($W160="","",N(INDEX(发票统计!J$4:J$1003,$W160)))</f>
        <v/>
      </c>
      <c r="K160" s="56" t="str">
        <f aca="false">IF($W160="","",N(INDEX(发票统计!K$4:K$1003,$W160)))</f>
        <v/>
      </c>
      <c r="L160" s="56" t="str">
        <f aca="false">IF($W160="","",SUM(J$4:J160)-SUM(K$4:K160))</f>
        <v/>
      </c>
      <c r="M160" s="56" t="str">
        <f aca="false">IF($W160="","",N(INDEX(发票统计!M$4:M$1003,$W160)))</f>
        <v/>
      </c>
      <c r="N160" s="56" t="str">
        <f aca="false">IF($W160="","",N(INDEX(发票统计!N$4:N$1003,$W160)))</f>
        <v/>
      </c>
      <c r="O160" s="56" t="str">
        <f aca="false">IF($W160="","",N(INDEX(发票统计!O$4:O$1003,$W160)))</f>
        <v/>
      </c>
      <c r="P160" s="56" t="str">
        <f aca="false">IF($W160="","",SUM(M$4:M160)-SUM(N$4:N160)-SUM(O$4:O160))</f>
        <v/>
      </c>
      <c r="Q160" s="56" t="str">
        <f aca="false">IF($W160="","",N(INDEX(发票统计!Q$4:Q$1003,$W160)))</f>
        <v/>
      </c>
      <c r="R160" s="56" t="str">
        <f aca="false">IF($W160="","",N(INDEX(发票统计!R$4:R$1003,$W160)))</f>
        <v/>
      </c>
      <c r="S160" s="56" t="str">
        <f aca="false">IF($W160="","",N(INDEX(发票统计!S$4:S$1003,$W160)))</f>
        <v/>
      </c>
      <c r="T160" s="56" t="str">
        <f aca="false">IF($W160="","",SUM(Q$4:Q160)-SUM(R$4:R160)-SUM(S$4:S160))</f>
        <v/>
      </c>
      <c r="U160" s="56" t="str">
        <f aca="false">IF($W160="","",INDEX(发票统计!U$4:U$1003,$W160)&amp;"")</f>
        <v/>
      </c>
      <c r="W160" s="1" t="str">
        <f aca="false">IF($V$3="","",IFERROR(MATCH($V$3&amp;"#"&amp;ROWS(W$4:W160),发票统计!$W$4:$W$1003,0),""))</f>
        <v/>
      </c>
    </row>
    <row r="161" customFormat="false" ht="16.5" hidden="false" customHeight="false" outlineLevel="0" collapsed="false">
      <c r="A161" s="3" t="str">
        <f aca="false">IF($W161="","",INDEX(发票统计!A$4:A$1003,$W161)&amp;"")</f>
        <v/>
      </c>
      <c r="B161" s="3" t="str">
        <f aca="false">IF($W161="","",INDEX(发票统计!B$4:B$1003,$W161)&amp;"")</f>
        <v/>
      </c>
      <c r="C161" s="3" t="str">
        <f aca="false">IF($W161="","",INDEX(发票统计!C$4:C$1003,$W161)&amp;"")</f>
        <v/>
      </c>
      <c r="D161" s="3" t="str">
        <f aca="false">IF($W161="","",INDEX(发票统计!D$4:D$1003,$W161)&amp;"")</f>
        <v/>
      </c>
      <c r="E161" s="67" t="str">
        <f aca="false">IF($W161="","",INDEX(发票统计!E$4:E$1003,$W161)&amp;"")</f>
        <v/>
      </c>
      <c r="F161" s="68" t="str">
        <f aca="false">IF($W161="","",INDEX(发票统计!F$4:F$1003,$W161)&amp;"")</f>
        <v/>
      </c>
      <c r="G161" s="68" t="str">
        <f aca="false">IF($W161="","",IF(INDEX(发票统计!G$4:G$1003,$W161)="","",INDEX(发票统计!G$4:G$1003,$W161)))</f>
        <v/>
      </c>
      <c r="H161" s="56" t="str">
        <f aca="false">IF($W161="","",N(INDEX(发票统计!H$4:H$1003,$W161)))</f>
        <v/>
      </c>
      <c r="I161" s="56" t="str">
        <f aca="false">IF($W161="","",N(INDEX(发票统计!I$4:I$1003,$W161)))</f>
        <v/>
      </c>
      <c r="J161" s="56" t="str">
        <f aca="false">IF($W161="","",N(INDEX(发票统计!J$4:J$1003,$W161)))</f>
        <v/>
      </c>
      <c r="K161" s="56" t="str">
        <f aca="false">IF($W161="","",N(INDEX(发票统计!K$4:K$1003,$W161)))</f>
        <v/>
      </c>
      <c r="L161" s="56" t="str">
        <f aca="false">IF($W161="","",SUM(J$4:J161)-SUM(K$4:K161))</f>
        <v/>
      </c>
      <c r="M161" s="56" t="str">
        <f aca="false">IF($W161="","",N(INDEX(发票统计!M$4:M$1003,$W161)))</f>
        <v/>
      </c>
      <c r="N161" s="56" t="str">
        <f aca="false">IF($W161="","",N(INDEX(发票统计!N$4:N$1003,$W161)))</f>
        <v/>
      </c>
      <c r="O161" s="56" t="str">
        <f aca="false">IF($W161="","",N(INDEX(发票统计!O$4:O$1003,$W161)))</f>
        <v/>
      </c>
      <c r="P161" s="56" t="str">
        <f aca="false">IF($W161="","",SUM(M$4:M161)-SUM(N$4:N161)-SUM(O$4:O161))</f>
        <v/>
      </c>
      <c r="Q161" s="56" t="str">
        <f aca="false">IF($W161="","",N(INDEX(发票统计!Q$4:Q$1003,$W161)))</f>
        <v/>
      </c>
      <c r="R161" s="56" t="str">
        <f aca="false">IF($W161="","",N(INDEX(发票统计!R$4:R$1003,$W161)))</f>
        <v/>
      </c>
      <c r="S161" s="56" t="str">
        <f aca="false">IF($W161="","",N(INDEX(发票统计!S$4:S$1003,$W161)))</f>
        <v/>
      </c>
      <c r="T161" s="56" t="str">
        <f aca="false">IF($W161="","",SUM(Q$4:Q161)-SUM(R$4:R161)-SUM(S$4:S161))</f>
        <v/>
      </c>
      <c r="U161" s="56" t="str">
        <f aca="false">IF($W161="","",INDEX(发票统计!U$4:U$1003,$W161)&amp;"")</f>
        <v/>
      </c>
      <c r="W161" s="1" t="str">
        <f aca="false">IF($V$3="","",IFERROR(MATCH($V$3&amp;"#"&amp;ROWS(W$4:W161),发票统计!$W$4:$W$1003,0),""))</f>
        <v/>
      </c>
    </row>
    <row r="162" customFormat="false" ht="16.5" hidden="false" customHeight="false" outlineLevel="0" collapsed="false">
      <c r="A162" s="3" t="str">
        <f aca="false">IF($W162="","",INDEX(发票统计!A$4:A$1003,$W162)&amp;"")</f>
        <v/>
      </c>
      <c r="B162" s="3" t="str">
        <f aca="false">IF($W162="","",INDEX(发票统计!B$4:B$1003,$W162)&amp;"")</f>
        <v/>
      </c>
      <c r="C162" s="3" t="str">
        <f aca="false">IF($W162="","",INDEX(发票统计!C$4:C$1003,$W162)&amp;"")</f>
        <v/>
      </c>
      <c r="D162" s="3" t="str">
        <f aca="false">IF($W162="","",INDEX(发票统计!D$4:D$1003,$W162)&amp;"")</f>
        <v/>
      </c>
      <c r="E162" s="67" t="str">
        <f aca="false">IF($W162="","",INDEX(发票统计!E$4:E$1003,$W162)&amp;"")</f>
        <v/>
      </c>
      <c r="F162" s="68" t="str">
        <f aca="false">IF($W162="","",INDEX(发票统计!F$4:F$1003,$W162)&amp;"")</f>
        <v/>
      </c>
      <c r="G162" s="68" t="str">
        <f aca="false">IF($W162="","",IF(INDEX(发票统计!G$4:G$1003,$W162)="","",INDEX(发票统计!G$4:G$1003,$W162)))</f>
        <v/>
      </c>
      <c r="H162" s="56" t="str">
        <f aca="false">IF($W162="","",N(INDEX(发票统计!H$4:H$1003,$W162)))</f>
        <v/>
      </c>
      <c r="I162" s="56" t="str">
        <f aca="false">IF($W162="","",N(INDEX(发票统计!I$4:I$1003,$W162)))</f>
        <v/>
      </c>
      <c r="J162" s="56" t="str">
        <f aca="false">IF($W162="","",N(INDEX(发票统计!J$4:J$1003,$W162)))</f>
        <v/>
      </c>
      <c r="K162" s="56" t="str">
        <f aca="false">IF($W162="","",N(INDEX(发票统计!K$4:K$1003,$W162)))</f>
        <v/>
      </c>
      <c r="L162" s="56" t="str">
        <f aca="false">IF($W162="","",SUM(J$4:J162)-SUM(K$4:K162))</f>
        <v/>
      </c>
      <c r="M162" s="56" t="str">
        <f aca="false">IF($W162="","",N(INDEX(发票统计!M$4:M$1003,$W162)))</f>
        <v/>
      </c>
      <c r="N162" s="56" t="str">
        <f aca="false">IF($W162="","",N(INDEX(发票统计!N$4:N$1003,$W162)))</f>
        <v/>
      </c>
      <c r="O162" s="56" t="str">
        <f aca="false">IF($W162="","",N(INDEX(发票统计!O$4:O$1003,$W162)))</f>
        <v/>
      </c>
      <c r="P162" s="56" t="str">
        <f aca="false">IF($W162="","",SUM(M$4:M162)-SUM(N$4:N162)-SUM(O$4:O162))</f>
        <v/>
      </c>
      <c r="Q162" s="56" t="str">
        <f aca="false">IF($W162="","",N(INDEX(发票统计!Q$4:Q$1003,$W162)))</f>
        <v/>
      </c>
      <c r="R162" s="56" t="str">
        <f aca="false">IF($W162="","",N(INDEX(发票统计!R$4:R$1003,$W162)))</f>
        <v/>
      </c>
      <c r="S162" s="56" t="str">
        <f aca="false">IF($W162="","",N(INDEX(发票统计!S$4:S$1003,$W162)))</f>
        <v/>
      </c>
      <c r="T162" s="56" t="str">
        <f aca="false">IF($W162="","",SUM(Q$4:Q162)-SUM(R$4:R162)-SUM(S$4:S162))</f>
        <v/>
      </c>
      <c r="U162" s="56" t="str">
        <f aca="false">IF($W162="","",INDEX(发票统计!U$4:U$1003,$W162)&amp;"")</f>
        <v/>
      </c>
      <c r="W162" s="1" t="str">
        <f aca="false">IF($V$3="","",IFERROR(MATCH($V$3&amp;"#"&amp;ROWS(W$4:W162),发票统计!$W$4:$W$1003,0),""))</f>
        <v/>
      </c>
    </row>
    <row r="163" customFormat="false" ht="16.5" hidden="false" customHeight="false" outlineLevel="0" collapsed="false">
      <c r="A163" s="3" t="str">
        <f aca="false">IF($W163="","",INDEX(发票统计!A$4:A$1003,$W163)&amp;"")</f>
        <v/>
      </c>
      <c r="B163" s="3" t="str">
        <f aca="false">IF($W163="","",INDEX(发票统计!B$4:B$1003,$W163)&amp;"")</f>
        <v/>
      </c>
      <c r="C163" s="3" t="str">
        <f aca="false">IF($W163="","",INDEX(发票统计!C$4:C$1003,$W163)&amp;"")</f>
        <v/>
      </c>
      <c r="D163" s="3" t="str">
        <f aca="false">IF($W163="","",INDEX(发票统计!D$4:D$1003,$W163)&amp;"")</f>
        <v/>
      </c>
      <c r="E163" s="67" t="str">
        <f aca="false">IF($W163="","",INDEX(发票统计!E$4:E$1003,$W163)&amp;"")</f>
        <v/>
      </c>
      <c r="F163" s="68" t="str">
        <f aca="false">IF($W163="","",INDEX(发票统计!F$4:F$1003,$W163)&amp;"")</f>
        <v/>
      </c>
      <c r="G163" s="68" t="str">
        <f aca="false">IF($W163="","",IF(INDEX(发票统计!G$4:G$1003,$W163)="","",INDEX(发票统计!G$4:G$1003,$W163)))</f>
        <v/>
      </c>
      <c r="H163" s="56" t="str">
        <f aca="false">IF($W163="","",N(INDEX(发票统计!H$4:H$1003,$W163)))</f>
        <v/>
      </c>
      <c r="I163" s="56" t="str">
        <f aca="false">IF($W163="","",N(INDEX(发票统计!I$4:I$1003,$W163)))</f>
        <v/>
      </c>
      <c r="J163" s="56" t="str">
        <f aca="false">IF($W163="","",N(INDEX(发票统计!J$4:J$1003,$W163)))</f>
        <v/>
      </c>
      <c r="K163" s="56" t="str">
        <f aca="false">IF($W163="","",N(INDEX(发票统计!K$4:K$1003,$W163)))</f>
        <v/>
      </c>
      <c r="L163" s="56" t="str">
        <f aca="false">IF($W163="","",SUM(J$4:J163)-SUM(K$4:K163))</f>
        <v/>
      </c>
      <c r="M163" s="56" t="str">
        <f aca="false">IF($W163="","",N(INDEX(发票统计!M$4:M$1003,$W163)))</f>
        <v/>
      </c>
      <c r="N163" s="56" t="str">
        <f aca="false">IF($W163="","",N(INDEX(发票统计!N$4:N$1003,$W163)))</f>
        <v/>
      </c>
      <c r="O163" s="56" t="str">
        <f aca="false">IF($W163="","",N(INDEX(发票统计!O$4:O$1003,$W163)))</f>
        <v/>
      </c>
      <c r="P163" s="56" t="str">
        <f aca="false">IF($W163="","",SUM(M$4:M163)-SUM(N$4:N163)-SUM(O$4:O163))</f>
        <v/>
      </c>
      <c r="Q163" s="56" t="str">
        <f aca="false">IF($W163="","",N(INDEX(发票统计!Q$4:Q$1003,$W163)))</f>
        <v/>
      </c>
      <c r="R163" s="56" t="str">
        <f aca="false">IF($W163="","",N(INDEX(发票统计!R$4:R$1003,$W163)))</f>
        <v/>
      </c>
      <c r="S163" s="56" t="str">
        <f aca="false">IF($W163="","",N(INDEX(发票统计!S$4:S$1003,$W163)))</f>
        <v/>
      </c>
      <c r="T163" s="56" t="str">
        <f aca="false">IF($W163="","",SUM(Q$4:Q163)-SUM(R$4:R163)-SUM(S$4:S163))</f>
        <v/>
      </c>
      <c r="U163" s="56" t="str">
        <f aca="false">IF($W163="","",INDEX(发票统计!U$4:U$1003,$W163)&amp;"")</f>
        <v/>
      </c>
      <c r="W163" s="1" t="str">
        <f aca="false">IF($V$3="","",IFERROR(MATCH($V$3&amp;"#"&amp;ROWS(W$4:W163),发票统计!$W$4:$W$1003,0),""))</f>
        <v/>
      </c>
    </row>
    <row r="164" customFormat="false" ht="16.5" hidden="false" customHeight="false" outlineLevel="0" collapsed="false">
      <c r="A164" s="3" t="str">
        <f aca="false">IF($W164="","",INDEX(发票统计!A$4:A$1003,$W164)&amp;"")</f>
        <v/>
      </c>
      <c r="B164" s="3" t="str">
        <f aca="false">IF($W164="","",INDEX(发票统计!B$4:B$1003,$W164)&amp;"")</f>
        <v/>
      </c>
      <c r="C164" s="3" t="str">
        <f aca="false">IF($W164="","",INDEX(发票统计!C$4:C$1003,$W164)&amp;"")</f>
        <v/>
      </c>
      <c r="D164" s="3" t="str">
        <f aca="false">IF($W164="","",INDEX(发票统计!D$4:D$1003,$W164)&amp;"")</f>
        <v/>
      </c>
      <c r="E164" s="67" t="str">
        <f aca="false">IF($W164="","",INDEX(发票统计!E$4:E$1003,$W164)&amp;"")</f>
        <v/>
      </c>
      <c r="F164" s="68" t="str">
        <f aca="false">IF($W164="","",INDEX(发票统计!F$4:F$1003,$W164)&amp;"")</f>
        <v/>
      </c>
      <c r="G164" s="68" t="str">
        <f aca="false">IF($W164="","",IF(INDEX(发票统计!G$4:G$1003,$W164)="","",INDEX(发票统计!G$4:G$1003,$W164)))</f>
        <v/>
      </c>
      <c r="H164" s="56" t="str">
        <f aca="false">IF($W164="","",N(INDEX(发票统计!H$4:H$1003,$W164)))</f>
        <v/>
      </c>
      <c r="I164" s="56" t="str">
        <f aca="false">IF($W164="","",N(INDEX(发票统计!I$4:I$1003,$W164)))</f>
        <v/>
      </c>
      <c r="J164" s="56" t="str">
        <f aca="false">IF($W164="","",N(INDEX(发票统计!J$4:J$1003,$W164)))</f>
        <v/>
      </c>
      <c r="K164" s="56" t="str">
        <f aca="false">IF($W164="","",N(INDEX(发票统计!K$4:K$1003,$W164)))</f>
        <v/>
      </c>
      <c r="L164" s="56" t="str">
        <f aca="false">IF($W164="","",SUM(J$4:J164)-SUM(K$4:K164))</f>
        <v/>
      </c>
      <c r="M164" s="56" t="str">
        <f aca="false">IF($W164="","",N(INDEX(发票统计!M$4:M$1003,$W164)))</f>
        <v/>
      </c>
      <c r="N164" s="56" t="str">
        <f aca="false">IF($W164="","",N(INDEX(发票统计!N$4:N$1003,$W164)))</f>
        <v/>
      </c>
      <c r="O164" s="56" t="str">
        <f aca="false">IF($W164="","",N(INDEX(发票统计!O$4:O$1003,$W164)))</f>
        <v/>
      </c>
      <c r="P164" s="56" t="str">
        <f aca="false">IF($W164="","",SUM(M$4:M164)-SUM(N$4:N164)-SUM(O$4:O164))</f>
        <v/>
      </c>
      <c r="Q164" s="56" t="str">
        <f aca="false">IF($W164="","",N(INDEX(发票统计!Q$4:Q$1003,$W164)))</f>
        <v/>
      </c>
      <c r="R164" s="56" t="str">
        <f aca="false">IF($W164="","",N(INDEX(发票统计!R$4:R$1003,$W164)))</f>
        <v/>
      </c>
      <c r="S164" s="56" t="str">
        <f aca="false">IF($W164="","",N(INDEX(发票统计!S$4:S$1003,$W164)))</f>
        <v/>
      </c>
      <c r="T164" s="56" t="str">
        <f aca="false">IF($W164="","",SUM(Q$4:Q164)-SUM(R$4:R164)-SUM(S$4:S164))</f>
        <v/>
      </c>
      <c r="U164" s="56" t="str">
        <f aca="false">IF($W164="","",INDEX(发票统计!U$4:U$1003,$W164)&amp;"")</f>
        <v/>
      </c>
      <c r="W164" s="1" t="str">
        <f aca="false">IF($V$3="","",IFERROR(MATCH($V$3&amp;"#"&amp;ROWS(W$4:W164),发票统计!$W$4:$W$1003,0),""))</f>
        <v/>
      </c>
    </row>
    <row r="165" customFormat="false" ht="16.5" hidden="false" customHeight="false" outlineLevel="0" collapsed="false">
      <c r="A165" s="3" t="str">
        <f aca="false">IF($W165="","",INDEX(发票统计!A$4:A$1003,$W165)&amp;"")</f>
        <v/>
      </c>
      <c r="B165" s="3" t="str">
        <f aca="false">IF($W165="","",INDEX(发票统计!B$4:B$1003,$W165)&amp;"")</f>
        <v/>
      </c>
      <c r="C165" s="3" t="str">
        <f aca="false">IF($W165="","",INDEX(发票统计!C$4:C$1003,$W165)&amp;"")</f>
        <v/>
      </c>
      <c r="D165" s="3" t="str">
        <f aca="false">IF($W165="","",INDEX(发票统计!D$4:D$1003,$W165)&amp;"")</f>
        <v/>
      </c>
      <c r="E165" s="67" t="str">
        <f aca="false">IF($W165="","",INDEX(发票统计!E$4:E$1003,$W165)&amp;"")</f>
        <v/>
      </c>
      <c r="F165" s="68" t="str">
        <f aca="false">IF($W165="","",INDEX(发票统计!F$4:F$1003,$W165)&amp;"")</f>
        <v/>
      </c>
      <c r="G165" s="68" t="str">
        <f aca="false">IF($W165="","",IF(INDEX(发票统计!G$4:G$1003,$W165)="","",INDEX(发票统计!G$4:G$1003,$W165)))</f>
        <v/>
      </c>
      <c r="H165" s="56" t="str">
        <f aca="false">IF($W165="","",N(INDEX(发票统计!H$4:H$1003,$W165)))</f>
        <v/>
      </c>
      <c r="I165" s="56" t="str">
        <f aca="false">IF($W165="","",N(INDEX(发票统计!I$4:I$1003,$W165)))</f>
        <v/>
      </c>
      <c r="J165" s="56" t="str">
        <f aca="false">IF($W165="","",N(INDEX(发票统计!J$4:J$1003,$W165)))</f>
        <v/>
      </c>
      <c r="K165" s="56" t="str">
        <f aca="false">IF($W165="","",N(INDEX(发票统计!K$4:K$1003,$W165)))</f>
        <v/>
      </c>
      <c r="L165" s="56" t="str">
        <f aca="false">IF($W165="","",SUM(J$4:J165)-SUM(K$4:K165))</f>
        <v/>
      </c>
      <c r="M165" s="56" t="str">
        <f aca="false">IF($W165="","",N(INDEX(发票统计!M$4:M$1003,$W165)))</f>
        <v/>
      </c>
      <c r="N165" s="56" t="str">
        <f aca="false">IF($W165="","",N(INDEX(发票统计!N$4:N$1003,$W165)))</f>
        <v/>
      </c>
      <c r="O165" s="56" t="str">
        <f aca="false">IF($W165="","",N(INDEX(发票统计!O$4:O$1003,$W165)))</f>
        <v/>
      </c>
      <c r="P165" s="56" t="str">
        <f aca="false">IF($W165="","",SUM(M$4:M165)-SUM(N$4:N165)-SUM(O$4:O165))</f>
        <v/>
      </c>
      <c r="Q165" s="56" t="str">
        <f aca="false">IF($W165="","",N(INDEX(发票统计!Q$4:Q$1003,$W165)))</f>
        <v/>
      </c>
      <c r="R165" s="56" t="str">
        <f aca="false">IF($W165="","",N(INDEX(发票统计!R$4:R$1003,$W165)))</f>
        <v/>
      </c>
      <c r="S165" s="56" t="str">
        <f aca="false">IF($W165="","",N(INDEX(发票统计!S$4:S$1003,$W165)))</f>
        <v/>
      </c>
      <c r="T165" s="56" t="str">
        <f aca="false">IF($W165="","",SUM(Q$4:Q165)-SUM(R$4:R165)-SUM(S$4:S165))</f>
        <v/>
      </c>
      <c r="U165" s="56" t="str">
        <f aca="false">IF($W165="","",INDEX(发票统计!U$4:U$1003,$W165)&amp;"")</f>
        <v/>
      </c>
      <c r="W165" s="1" t="str">
        <f aca="false">IF($V$3="","",IFERROR(MATCH($V$3&amp;"#"&amp;ROWS(W$4:W165),发票统计!$W$4:$W$1003,0),""))</f>
        <v/>
      </c>
    </row>
    <row r="166" customFormat="false" ht="16.5" hidden="false" customHeight="false" outlineLevel="0" collapsed="false">
      <c r="A166" s="3" t="str">
        <f aca="false">IF($W166="","",INDEX(发票统计!A$4:A$1003,$W166)&amp;"")</f>
        <v/>
      </c>
      <c r="B166" s="3" t="str">
        <f aca="false">IF($W166="","",INDEX(发票统计!B$4:B$1003,$W166)&amp;"")</f>
        <v/>
      </c>
      <c r="C166" s="3" t="str">
        <f aca="false">IF($W166="","",INDEX(发票统计!C$4:C$1003,$W166)&amp;"")</f>
        <v/>
      </c>
      <c r="D166" s="3" t="str">
        <f aca="false">IF($W166="","",INDEX(发票统计!D$4:D$1003,$W166)&amp;"")</f>
        <v/>
      </c>
      <c r="E166" s="67" t="str">
        <f aca="false">IF($W166="","",INDEX(发票统计!E$4:E$1003,$W166)&amp;"")</f>
        <v/>
      </c>
      <c r="F166" s="68" t="str">
        <f aca="false">IF($W166="","",INDEX(发票统计!F$4:F$1003,$W166)&amp;"")</f>
        <v/>
      </c>
      <c r="G166" s="68" t="str">
        <f aca="false">IF($W166="","",IF(INDEX(发票统计!G$4:G$1003,$W166)="","",INDEX(发票统计!G$4:G$1003,$W166)))</f>
        <v/>
      </c>
      <c r="H166" s="56" t="str">
        <f aca="false">IF($W166="","",N(INDEX(发票统计!H$4:H$1003,$W166)))</f>
        <v/>
      </c>
      <c r="I166" s="56" t="str">
        <f aca="false">IF($W166="","",N(INDEX(发票统计!I$4:I$1003,$W166)))</f>
        <v/>
      </c>
      <c r="J166" s="56" t="str">
        <f aca="false">IF($W166="","",N(INDEX(发票统计!J$4:J$1003,$W166)))</f>
        <v/>
      </c>
      <c r="K166" s="56" t="str">
        <f aca="false">IF($W166="","",N(INDEX(发票统计!K$4:K$1003,$W166)))</f>
        <v/>
      </c>
      <c r="L166" s="56" t="str">
        <f aca="false">IF($W166="","",SUM(J$4:J166)-SUM(K$4:K166))</f>
        <v/>
      </c>
      <c r="M166" s="56" t="str">
        <f aca="false">IF($W166="","",N(INDEX(发票统计!M$4:M$1003,$W166)))</f>
        <v/>
      </c>
      <c r="N166" s="56" t="str">
        <f aca="false">IF($W166="","",N(INDEX(发票统计!N$4:N$1003,$W166)))</f>
        <v/>
      </c>
      <c r="O166" s="56" t="str">
        <f aca="false">IF($W166="","",N(INDEX(发票统计!O$4:O$1003,$W166)))</f>
        <v/>
      </c>
      <c r="P166" s="56" t="str">
        <f aca="false">IF($W166="","",SUM(M$4:M166)-SUM(N$4:N166)-SUM(O$4:O166))</f>
        <v/>
      </c>
      <c r="Q166" s="56" t="str">
        <f aca="false">IF($W166="","",N(INDEX(发票统计!Q$4:Q$1003,$W166)))</f>
        <v/>
      </c>
      <c r="R166" s="56" t="str">
        <f aca="false">IF($W166="","",N(INDEX(发票统计!R$4:R$1003,$W166)))</f>
        <v/>
      </c>
      <c r="S166" s="56" t="str">
        <f aca="false">IF($W166="","",N(INDEX(发票统计!S$4:S$1003,$W166)))</f>
        <v/>
      </c>
      <c r="T166" s="56" t="str">
        <f aca="false">IF($W166="","",SUM(Q$4:Q166)-SUM(R$4:R166)-SUM(S$4:S166))</f>
        <v/>
      </c>
      <c r="U166" s="56" t="str">
        <f aca="false">IF($W166="","",INDEX(发票统计!U$4:U$1003,$W166)&amp;"")</f>
        <v/>
      </c>
      <c r="W166" s="1" t="str">
        <f aca="false">IF($V$3="","",IFERROR(MATCH($V$3&amp;"#"&amp;ROWS(W$4:W166),发票统计!$W$4:$W$1003,0),""))</f>
        <v/>
      </c>
    </row>
    <row r="167" customFormat="false" ht="16.5" hidden="false" customHeight="false" outlineLevel="0" collapsed="false">
      <c r="A167" s="3" t="str">
        <f aca="false">IF($W167="","",INDEX(发票统计!A$4:A$1003,$W167)&amp;"")</f>
        <v/>
      </c>
      <c r="B167" s="3" t="str">
        <f aca="false">IF($W167="","",INDEX(发票统计!B$4:B$1003,$W167)&amp;"")</f>
        <v/>
      </c>
      <c r="C167" s="3" t="str">
        <f aca="false">IF($W167="","",INDEX(发票统计!C$4:C$1003,$W167)&amp;"")</f>
        <v/>
      </c>
      <c r="D167" s="3" t="str">
        <f aca="false">IF($W167="","",INDEX(发票统计!D$4:D$1003,$W167)&amp;"")</f>
        <v/>
      </c>
      <c r="E167" s="67" t="str">
        <f aca="false">IF($W167="","",INDEX(发票统计!E$4:E$1003,$W167)&amp;"")</f>
        <v/>
      </c>
      <c r="F167" s="68" t="str">
        <f aca="false">IF($W167="","",INDEX(发票统计!F$4:F$1003,$W167)&amp;"")</f>
        <v/>
      </c>
      <c r="G167" s="68" t="str">
        <f aca="false">IF($W167="","",IF(INDEX(发票统计!G$4:G$1003,$W167)="","",INDEX(发票统计!G$4:G$1003,$W167)))</f>
        <v/>
      </c>
      <c r="H167" s="56" t="str">
        <f aca="false">IF($W167="","",N(INDEX(发票统计!H$4:H$1003,$W167)))</f>
        <v/>
      </c>
      <c r="I167" s="56" t="str">
        <f aca="false">IF($W167="","",N(INDEX(发票统计!I$4:I$1003,$W167)))</f>
        <v/>
      </c>
      <c r="J167" s="56" t="str">
        <f aca="false">IF($W167="","",N(INDEX(发票统计!J$4:J$1003,$W167)))</f>
        <v/>
      </c>
      <c r="K167" s="56" t="str">
        <f aca="false">IF($W167="","",N(INDEX(发票统计!K$4:K$1003,$W167)))</f>
        <v/>
      </c>
      <c r="L167" s="56" t="str">
        <f aca="false">IF($W167="","",SUM(J$4:J167)-SUM(K$4:K167))</f>
        <v/>
      </c>
      <c r="M167" s="56" t="str">
        <f aca="false">IF($W167="","",N(INDEX(发票统计!M$4:M$1003,$W167)))</f>
        <v/>
      </c>
      <c r="N167" s="56" t="str">
        <f aca="false">IF($W167="","",N(INDEX(发票统计!N$4:N$1003,$W167)))</f>
        <v/>
      </c>
      <c r="O167" s="56" t="str">
        <f aca="false">IF($W167="","",N(INDEX(发票统计!O$4:O$1003,$W167)))</f>
        <v/>
      </c>
      <c r="P167" s="56" t="str">
        <f aca="false">IF($W167="","",SUM(M$4:M167)-SUM(N$4:N167)-SUM(O$4:O167))</f>
        <v/>
      </c>
      <c r="Q167" s="56" t="str">
        <f aca="false">IF($W167="","",N(INDEX(发票统计!Q$4:Q$1003,$W167)))</f>
        <v/>
      </c>
      <c r="R167" s="56" t="str">
        <f aca="false">IF($W167="","",N(INDEX(发票统计!R$4:R$1003,$W167)))</f>
        <v/>
      </c>
      <c r="S167" s="56" t="str">
        <f aca="false">IF($W167="","",N(INDEX(发票统计!S$4:S$1003,$W167)))</f>
        <v/>
      </c>
      <c r="T167" s="56" t="str">
        <f aca="false">IF($W167="","",SUM(Q$4:Q167)-SUM(R$4:R167)-SUM(S$4:S167))</f>
        <v/>
      </c>
      <c r="U167" s="56" t="str">
        <f aca="false">IF($W167="","",INDEX(发票统计!U$4:U$1003,$W167)&amp;"")</f>
        <v/>
      </c>
      <c r="W167" s="1" t="str">
        <f aca="false">IF($V$3="","",IFERROR(MATCH($V$3&amp;"#"&amp;ROWS(W$4:W167),发票统计!$W$4:$W$1003,0),""))</f>
        <v/>
      </c>
    </row>
    <row r="168" customFormat="false" ht="16.5" hidden="false" customHeight="false" outlineLevel="0" collapsed="false">
      <c r="A168" s="3" t="str">
        <f aca="false">IF($W168="","",INDEX(发票统计!A$4:A$1003,$W168)&amp;"")</f>
        <v/>
      </c>
      <c r="B168" s="3" t="str">
        <f aca="false">IF($W168="","",INDEX(发票统计!B$4:B$1003,$W168)&amp;"")</f>
        <v/>
      </c>
      <c r="C168" s="3" t="str">
        <f aca="false">IF($W168="","",INDEX(发票统计!C$4:C$1003,$W168)&amp;"")</f>
        <v/>
      </c>
      <c r="D168" s="3" t="str">
        <f aca="false">IF($W168="","",INDEX(发票统计!D$4:D$1003,$W168)&amp;"")</f>
        <v/>
      </c>
      <c r="E168" s="67" t="str">
        <f aca="false">IF($W168="","",INDEX(发票统计!E$4:E$1003,$W168)&amp;"")</f>
        <v/>
      </c>
      <c r="F168" s="68" t="str">
        <f aca="false">IF($W168="","",INDEX(发票统计!F$4:F$1003,$W168)&amp;"")</f>
        <v/>
      </c>
      <c r="G168" s="68" t="str">
        <f aca="false">IF($W168="","",IF(INDEX(发票统计!G$4:G$1003,$W168)="","",INDEX(发票统计!G$4:G$1003,$W168)))</f>
        <v/>
      </c>
      <c r="H168" s="56" t="str">
        <f aca="false">IF($W168="","",N(INDEX(发票统计!H$4:H$1003,$W168)))</f>
        <v/>
      </c>
      <c r="I168" s="56" t="str">
        <f aca="false">IF($W168="","",N(INDEX(发票统计!I$4:I$1003,$W168)))</f>
        <v/>
      </c>
      <c r="J168" s="56" t="str">
        <f aca="false">IF($W168="","",N(INDEX(发票统计!J$4:J$1003,$W168)))</f>
        <v/>
      </c>
      <c r="K168" s="56" t="str">
        <f aca="false">IF($W168="","",N(INDEX(发票统计!K$4:K$1003,$W168)))</f>
        <v/>
      </c>
      <c r="L168" s="56" t="str">
        <f aca="false">IF($W168="","",SUM(J$4:J168)-SUM(K$4:K168))</f>
        <v/>
      </c>
      <c r="M168" s="56" t="str">
        <f aca="false">IF($W168="","",N(INDEX(发票统计!M$4:M$1003,$W168)))</f>
        <v/>
      </c>
      <c r="N168" s="56" t="str">
        <f aca="false">IF($W168="","",N(INDEX(发票统计!N$4:N$1003,$W168)))</f>
        <v/>
      </c>
      <c r="O168" s="56" t="str">
        <f aca="false">IF($W168="","",N(INDEX(发票统计!O$4:O$1003,$W168)))</f>
        <v/>
      </c>
      <c r="P168" s="56" t="str">
        <f aca="false">IF($W168="","",SUM(M$4:M168)-SUM(N$4:N168)-SUM(O$4:O168))</f>
        <v/>
      </c>
      <c r="Q168" s="56" t="str">
        <f aca="false">IF($W168="","",N(INDEX(发票统计!Q$4:Q$1003,$W168)))</f>
        <v/>
      </c>
      <c r="R168" s="56" t="str">
        <f aca="false">IF($W168="","",N(INDEX(发票统计!R$4:R$1003,$W168)))</f>
        <v/>
      </c>
      <c r="S168" s="56" t="str">
        <f aca="false">IF($W168="","",N(INDEX(发票统计!S$4:S$1003,$W168)))</f>
        <v/>
      </c>
      <c r="T168" s="56" t="str">
        <f aca="false">IF($W168="","",SUM(Q$4:Q168)-SUM(R$4:R168)-SUM(S$4:S168))</f>
        <v/>
      </c>
      <c r="U168" s="56" t="str">
        <f aca="false">IF($W168="","",INDEX(发票统计!U$4:U$1003,$W168)&amp;"")</f>
        <v/>
      </c>
      <c r="W168" s="1" t="str">
        <f aca="false">IF($V$3="","",IFERROR(MATCH($V$3&amp;"#"&amp;ROWS(W$4:W168),发票统计!$W$4:$W$1003,0),""))</f>
        <v/>
      </c>
    </row>
    <row r="169" customFormat="false" ht="16.5" hidden="false" customHeight="false" outlineLevel="0" collapsed="false">
      <c r="A169" s="3" t="str">
        <f aca="false">IF($W169="","",INDEX(发票统计!A$4:A$1003,$W169)&amp;"")</f>
        <v/>
      </c>
      <c r="B169" s="3" t="str">
        <f aca="false">IF($W169="","",INDEX(发票统计!B$4:B$1003,$W169)&amp;"")</f>
        <v/>
      </c>
      <c r="C169" s="3" t="str">
        <f aca="false">IF($W169="","",INDEX(发票统计!C$4:C$1003,$W169)&amp;"")</f>
        <v/>
      </c>
      <c r="D169" s="3" t="str">
        <f aca="false">IF($W169="","",INDEX(发票统计!D$4:D$1003,$W169)&amp;"")</f>
        <v/>
      </c>
      <c r="E169" s="67" t="str">
        <f aca="false">IF($W169="","",INDEX(发票统计!E$4:E$1003,$W169)&amp;"")</f>
        <v/>
      </c>
      <c r="F169" s="68" t="str">
        <f aca="false">IF($W169="","",INDEX(发票统计!F$4:F$1003,$W169)&amp;"")</f>
        <v/>
      </c>
      <c r="G169" s="68" t="str">
        <f aca="false">IF($W169="","",IF(INDEX(发票统计!G$4:G$1003,$W169)="","",INDEX(发票统计!G$4:G$1003,$W169)))</f>
        <v/>
      </c>
      <c r="H169" s="56" t="str">
        <f aca="false">IF($W169="","",N(INDEX(发票统计!H$4:H$1003,$W169)))</f>
        <v/>
      </c>
      <c r="I169" s="56" t="str">
        <f aca="false">IF($W169="","",N(INDEX(发票统计!I$4:I$1003,$W169)))</f>
        <v/>
      </c>
      <c r="J169" s="56" t="str">
        <f aca="false">IF($W169="","",N(INDEX(发票统计!J$4:J$1003,$W169)))</f>
        <v/>
      </c>
      <c r="K169" s="56" t="str">
        <f aca="false">IF($W169="","",N(INDEX(发票统计!K$4:K$1003,$W169)))</f>
        <v/>
      </c>
      <c r="L169" s="56" t="str">
        <f aca="false">IF($W169="","",SUM(J$4:J169)-SUM(K$4:K169))</f>
        <v/>
      </c>
      <c r="M169" s="56" t="str">
        <f aca="false">IF($W169="","",N(INDEX(发票统计!M$4:M$1003,$W169)))</f>
        <v/>
      </c>
      <c r="N169" s="56" t="str">
        <f aca="false">IF($W169="","",N(INDEX(发票统计!N$4:N$1003,$W169)))</f>
        <v/>
      </c>
      <c r="O169" s="56" t="str">
        <f aca="false">IF($W169="","",N(INDEX(发票统计!O$4:O$1003,$W169)))</f>
        <v/>
      </c>
      <c r="P169" s="56" t="str">
        <f aca="false">IF($W169="","",SUM(M$4:M169)-SUM(N$4:N169)-SUM(O$4:O169))</f>
        <v/>
      </c>
      <c r="Q169" s="56" t="str">
        <f aca="false">IF($W169="","",N(INDEX(发票统计!Q$4:Q$1003,$W169)))</f>
        <v/>
      </c>
      <c r="R169" s="56" t="str">
        <f aca="false">IF($W169="","",N(INDEX(发票统计!R$4:R$1003,$W169)))</f>
        <v/>
      </c>
      <c r="S169" s="56" t="str">
        <f aca="false">IF($W169="","",N(INDEX(发票统计!S$4:S$1003,$W169)))</f>
        <v/>
      </c>
      <c r="T169" s="56" t="str">
        <f aca="false">IF($W169="","",SUM(Q$4:Q169)-SUM(R$4:R169)-SUM(S$4:S169))</f>
        <v/>
      </c>
      <c r="U169" s="56" t="str">
        <f aca="false">IF($W169="","",INDEX(发票统计!U$4:U$1003,$W169)&amp;"")</f>
        <v/>
      </c>
      <c r="W169" s="1" t="str">
        <f aca="false">IF($V$3="","",IFERROR(MATCH($V$3&amp;"#"&amp;ROWS(W$4:W169),发票统计!$W$4:$W$1003,0),""))</f>
        <v/>
      </c>
    </row>
    <row r="170" customFormat="false" ht="16.5" hidden="false" customHeight="false" outlineLevel="0" collapsed="false">
      <c r="A170" s="3" t="str">
        <f aca="false">IF($W170="","",INDEX(发票统计!A$4:A$1003,$W170)&amp;"")</f>
        <v/>
      </c>
      <c r="B170" s="3" t="str">
        <f aca="false">IF($W170="","",INDEX(发票统计!B$4:B$1003,$W170)&amp;"")</f>
        <v/>
      </c>
      <c r="C170" s="3" t="str">
        <f aca="false">IF($W170="","",INDEX(发票统计!C$4:C$1003,$W170)&amp;"")</f>
        <v/>
      </c>
      <c r="D170" s="3" t="str">
        <f aca="false">IF($W170="","",INDEX(发票统计!D$4:D$1003,$W170)&amp;"")</f>
        <v/>
      </c>
      <c r="E170" s="67" t="str">
        <f aca="false">IF($W170="","",INDEX(发票统计!E$4:E$1003,$W170)&amp;"")</f>
        <v/>
      </c>
      <c r="F170" s="68" t="str">
        <f aca="false">IF($W170="","",INDEX(发票统计!F$4:F$1003,$W170)&amp;"")</f>
        <v/>
      </c>
      <c r="G170" s="68" t="str">
        <f aca="false">IF($W170="","",IF(INDEX(发票统计!G$4:G$1003,$W170)="","",INDEX(发票统计!G$4:G$1003,$W170)))</f>
        <v/>
      </c>
      <c r="H170" s="56" t="str">
        <f aca="false">IF($W170="","",N(INDEX(发票统计!H$4:H$1003,$W170)))</f>
        <v/>
      </c>
      <c r="I170" s="56" t="str">
        <f aca="false">IF($W170="","",N(INDEX(发票统计!I$4:I$1003,$W170)))</f>
        <v/>
      </c>
      <c r="J170" s="56" t="str">
        <f aca="false">IF($W170="","",N(INDEX(发票统计!J$4:J$1003,$W170)))</f>
        <v/>
      </c>
      <c r="K170" s="56" t="str">
        <f aca="false">IF($W170="","",N(INDEX(发票统计!K$4:K$1003,$W170)))</f>
        <v/>
      </c>
      <c r="L170" s="56" t="str">
        <f aca="false">IF($W170="","",SUM(J$4:J170)-SUM(K$4:K170))</f>
        <v/>
      </c>
      <c r="M170" s="56" t="str">
        <f aca="false">IF($W170="","",N(INDEX(发票统计!M$4:M$1003,$W170)))</f>
        <v/>
      </c>
      <c r="N170" s="56" t="str">
        <f aca="false">IF($W170="","",N(INDEX(发票统计!N$4:N$1003,$W170)))</f>
        <v/>
      </c>
      <c r="O170" s="56" t="str">
        <f aca="false">IF($W170="","",N(INDEX(发票统计!O$4:O$1003,$W170)))</f>
        <v/>
      </c>
      <c r="P170" s="56" t="str">
        <f aca="false">IF($W170="","",SUM(M$4:M170)-SUM(N$4:N170)-SUM(O$4:O170))</f>
        <v/>
      </c>
      <c r="Q170" s="56" t="str">
        <f aca="false">IF($W170="","",N(INDEX(发票统计!Q$4:Q$1003,$W170)))</f>
        <v/>
      </c>
      <c r="R170" s="56" t="str">
        <f aca="false">IF($W170="","",N(INDEX(发票统计!R$4:R$1003,$W170)))</f>
        <v/>
      </c>
      <c r="S170" s="56" t="str">
        <f aca="false">IF($W170="","",N(INDEX(发票统计!S$4:S$1003,$W170)))</f>
        <v/>
      </c>
      <c r="T170" s="56" t="str">
        <f aca="false">IF($W170="","",SUM(Q$4:Q170)-SUM(R$4:R170)-SUM(S$4:S170))</f>
        <v/>
      </c>
      <c r="U170" s="56" t="str">
        <f aca="false">IF($W170="","",INDEX(发票统计!U$4:U$1003,$W170)&amp;"")</f>
        <v/>
      </c>
      <c r="W170" s="1" t="str">
        <f aca="false">IF($V$3="","",IFERROR(MATCH($V$3&amp;"#"&amp;ROWS(W$4:W170),发票统计!$W$4:$W$1003,0),""))</f>
        <v/>
      </c>
    </row>
    <row r="171" customFormat="false" ht="16.5" hidden="false" customHeight="false" outlineLevel="0" collapsed="false">
      <c r="A171" s="3" t="str">
        <f aca="false">IF($W171="","",INDEX(发票统计!A$4:A$1003,$W171)&amp;"")</f>
        <v/>
      </c>
      <c r="B171" s="3" t="str">
        <f aca="false">IF($W171="","",INDEX(发票统计!B$4:B$1003,$W171)&amp;"")</f>
        <v/>
      </c>
      <c r="C171" s="3" t="str">
        <f aca="false">IF($W171="","",INDEX(发票统计!C$4:C$1003,$W171)&amp;"")</f>
        <v/>
      </c>
      <c r="D171" s="3" t="str">
        <f aca="false">IF($W171="","",INDEX(发票统计!D$4:D$1003,$W171)&amp;"")</f>
        <v/>
      </c>
      <c r="E171" s="67" t="str">
        <f aca="false">IF($W171="","",INDEX(发票统计!E$4:E$1003,$W171)&amp;"")</f>
        <v/>
      </c>
      <c r="F171" s="68" t="str">
        <f aca="false">IF($W171="","",INDEX(发票统计!F$4:F$1003,$W171)&amp;"")</f>
        <v/>
      </c>
      <c r="G171" s="68" t="str">
        <f aca="false">IF($W171="","",IF(INDEX(发票统计!G$4:G$1003,$W171)="","",INDEX(发票统计!G$4:G$1003,$W171)))</f>
        <v/>
      </c>
      <c r="H171" s="56" t="str">
        <f aca="false">IF($W171="","",N(INDEX(发票统计!H$4:H$1003,$W171)))</f>
        <v/>
      </c>
      <c r="I171" s="56" t="str">
        <f aca="false">IF($W171="","",N(INDEX(发票统计!I$4:I$1003,$W171)))</f>
        <v/>
      </c>
      <c r="J171" s="56" t="str">
        <f aca="false">IF($W171="","",N(INDEX(发票统计!J$4:J$1003,$W171)))</f>
        <v/>
      </c>
      <c r="K171" s="56" t="str">
        <f aca="false">IF($W171="","",N(INDEX(发票统计!K$4:K$1003,$W171)))</f>
        <v/>
      </c>
      <c r="L171" s="56" t="str">
        <f aca="false">IF($W171="","",SUM(J$4:J171)-SUM(K$4:K171))</f>
        <v/>
      </c>
      <c r="M171" s="56" t="str">
        <f aca="false">IF($W171="","",N(INDEX(发票统计!M$4:M$1003,$W171)))</f>
        <v/>
      </c>
      <c r="N171" s="56" t="str">
        <f aca="false">IF($W171="","",N(INDEX(发票统计!N$4:N$1003,$W171)))</f>
        <v/>
      </c>
      <c r="O171" s="56" t="str">
        <f aca="false">IF($W171="","",N(INDEX(发票统计!O$4:O$1003,$W171)))</f>
        <v/>
      </c>
      <c r="P171" s="56" t="str">
        <f aca="false">IF($W171="","",SUM(M$4:M171)-SUM(N$4:N171)-SUM(O$4:O171))</f>
        <v/>
      </c>
      <c r="Q171" s="56" t="str">
        <f aca="false">IF($W171="","",N(INDEX(发票统计!Q$4:Q$1003,$W171)))</f>
        <v/>
      </c>
      <c r="R171" s="56" t="str">
        <f aca="false">IF($W171="","",N(INDEX(发票统计!R$4:R$1003,$W171)))</f>
        <v/>
      </c>
      <c r="S171" s="56" t="str">
        <f aca="false">IF($W171="","",N(INDEX(发票统计!S$4:S$1003,$W171)))</f>
        <v/>
      </c>
      <c r="T171" s="56" t="str">
        <f aca="false">IF($W171="","",SUM(Q$4:Q171)-SUM(R$4:R171)-SUM(S$4:S171))</f>
        <v/>
      </c>
      <c r="U171" s="56" t="str">
        <f aca="false">IF($W171="","",INDEX(发票统计!U$4:U$1003,$W171)&amp;"")</f>
        <v/>
      </c>
      <c r="W171" s="1" t="str">
        <f aca="false">IF($V$3="","",IFERROR(MATCH($V$3&amp;"#"&amp;ROWS(W$4:W171),发票统计!$W$4:$W$1003,0),""))</f>
        <v/>
      </c>
    </row>
    <row r="172" customFormat="false" ht="16.5" hidden="false" customHeight="false" outlineLevel="0" collapsed="false">
      <c r="A172" s="3" t="str">
        <f aca="false">IF($W172="","",INDEX(发票统计!A$4:A$1003,$W172)&amp;"")</f>
        <v/>
      </c>
      <c r="B172" s="3" t="str">
        <f aca="false">IF($W172="","",INDEX(发票统计!B$4:B$1003,$W172)&amp;"")</f>
        <v/>
      </c>
      <c r="C172" s="3" t="str">
        <f aca="false">IF($W172="","",INDEX(发票统计!C$4:C$1003,$W172)&amp;"")</f>
        <v/>
      </c>
      <c r="D172" s="3" t="str">
        <f aca="false">IF($W172="","",INDEX(发票统计!D$4:D$1003,$W172)&amp;"")</f>
        <v/>
      </c>
      <c r="E172" s="67" t="str">
        <f aca="false">IF($W172="","",INDEX(发票统计!E$4:E$1003,$W172)&amp;"")</f>
        <v/>
      </c>
      <c r="F172" s="68" t="str">
        <f aca="false">IF($W172="","",INDEX(发票统计!F$4:F$1003,$W172)&amp;"")</f>
        <v/>
      </c>
      <c r="G172" s="68" t="str">
        <f aca="false">IF($W172="","",IF(INDEX(发票统计!G$4:G$1003,$W172)="","",INDEX(发票统计!G$4:G$1003,$W172)))</f>
        <v/>
      </c>
      <c r="H172" s="56" t="str">
        <f aca="false">IF($W172="","",N(INDEX(发票统计!H$4:H$1003,$W172)))</f>
        <v/>
      </c>
      <c r="I172" s="56" t="str">
        <f aca="false">IF($W172="","",N(INDEX(发票统计!I$4:I$1003,$W172)))</f>
        <v/>
      </c>
      <c r="J172" s="56" t="str">
        <f aca="false">IF($W172="","",N(INDEX(发票统计!J$4:J$1003,$W172)))</f>
        <v/>
      </c>
      <c r="K172" s="56" t="str">
        <f aca="false">IF($W172="","",N(INDEX(发票统计!K$4:K$1003,$W172)))</f>
        <v/>
      </c>
      <c r="L172" s="56" t="str">
        <f aca="false">IF($W172="","",SUM(J$4:J172)-SUM(K$4:K172))</f>
        <v/>
      </c>
      <c r="M172" s="56" t="str">
        <f aca="false">IF($W172="","",N(INDEX(发票统计!M$4:M$1003,$W172)))</f>
        <v/>
      </c>
      <c r="N172" s="56" t="str">
        <f aca="false">IF($W172="","",N(INDEX(发票统计!N$4:N$1003,$W172)))</f>
        <v/>
      </c>
      <c r="O172" s="56" t="str">
        <f aca="false">IF($W172="","",N(INDEX(发票统计!O$4:O$1003,$W172)))</f>
        <v/>
      </c>
      <c r="P172" s="56" t="str">
        <f aca="false">IF($W172="","",SUM(M$4:M172)-SUM(N$4:N172)-SUM(O$4:O172))</f>
        <v/>
      </c>
      <c r="Q172" s="56" t="str">
        <f aca="false">IF($W172="","",N(INDEX(发票统计!Q$4:Q$1003,$W172)))</f>
        <v/>
      </c>
      <c r="R172" s="56" t="str">
        <f aca="false">IF($W172="","",N(INDEX(发票统计!R$4:R$1003,$W172)))</f>
        <v/>
      </c>
      <c r="S172" s="56" t="str">
        <f aca="false">IF($W172="","",N(INDEX(发票统计!S$4:S$1003,$W172)))</f>
        <v/>
      </c>
      <c r="T172" s="56" t="str">
        <f aca="false">IF($W172="","",SUM(Q$4:Q172)-SUM(R$4:R172)-SUM(S$4:S172))</f>
        <v/>
      </c>
      <c r="U172" s="56" t="str">
        <f aca="false">IF($W172="","",INDEX(发票统计!U$4:U$1003,$W172)&amp;"")</f>
        <v/>
      </c>
      <c r="W172" s="1" t="str">
        <f aca="false">IF($V$3="","",IFERROR(MATCH($V$3&amp;"#"&amp;ROWS(W$4:W172),发票统计!$W$4:$W$1003,0),""))</f>
        <v/>
      </c>
    </row>
    <row r="173" customFormat="false" ht="16.5" hidden="false" customHeight="false" outlineLevel="0" collapsed="false">
      <c r="A173" s="3" t="str">
        <f aca="false">IF($W173="","",INDEX(发票统计!A$4:A$1003,$W173)&amp;"")</f>
        <v/>
      </c>
      <c r="B173" s="3" t="str">
        <f aca="false">IF($W173="","",INDEX(发票统计!B$4:B$1003,$W173)&amp;"")</f>
        <v/>
      </c>
      <c r="C173" s="3" t="str">
        <f aca="false">IF($W173="","",INDEX(发票统计!C$4:C$1003,$W173)&amp;"")</f>
        <v/>
      </c>
      <c r="D173" s="3" t="str">
        <f aca="false">IF($W173="","",INDEX(发票统计!D$4:D$1003,$W173)&amp;"")</f>
        <v/>
      </c>
      <c r="E173" s="67" t="str">
        <f aca="false">IF($W173="","",INDEX(发票统计!E$4:E$1003,$W173)&amp;"")</f>
        <v/>
      </c>
      <c r="F173" s="68" t="str">
        <f aca="false">IF($W173="","",INDEX(发票统计!F$4:F$1003,$W173)&amp;"")</f>
        <v/>
      </c>
      <c r="G173" s="68" t="str">
        <f aca="false">IF($W173="","",IF(INDEX(发票统计!G$4:G$1003,$W173)="","",INDEX(发票统计!G$4:G$1003,$W173)))</f>
        <v/>
      </c>
      <c r="H173" s="56" t="str">
        <f aca="false">IF($W173="","",N(INDEX(发票统计!H$4:H$1003,$W173)))</f>
        <v/>
      </c>
      <c r="I173" s="56" t="str">
        <f aca="false">IF($W173="","",N(INDEX(发票统计!I$4:I$1003,$W173)))</f>
        <v/>
      </c>
      <c r="J173" s="56" t="str">
        <f aca="false">IF($W173="","",N(INDEX(发票统计!J$4:J$1003,$W173)))</f>
        <v/>
      </c>
      <c r="K173" s="56" t="str">
        <f aca="false">IF($W173="","",N(INDEX(发票统计!K$4:K$1003,$W173)))</f>
        <v/>
      </c>
      <c r="L173" s="56" t="str">
        <f aca="false">IF($W173="","",SUM(J$4:J173)-SUM(K$4:K173))</f>
        <v/>
      </c>
      <c r="M173" s="56" t="str">
        <f aca="false">IF($W173="","",N(INDEX(发票统计!M$4:M$1003,$W173)))</f>
        <v/>
      </c>
      <c r="N173" s="56" t="str">
        <f aca="false">IF($W173="","",N(INDEX(发票统计!N$4:N$1003,$W173)))</f>
        <v/>
      </c>
      <c r="O173" s="56" t="str">
        <f aca="false">IF($W173="","",N(INDEX(发票统计!O$4:O$1003,$W173)))</f>
        <v/>
      </c>
      <c r="P173" s="56" t="str">
        <f aca="false">IF($W173="","",SUM(M$4:M173)-SUM(N$4:N173)-SUM(O$4:O173))</f>
        <v/>
      </c>
      <c r="Q173" s="56" t="str">
        <f aca="false">IF($W173="","",N(INDEX(发票统计!Q$4:Q$1003,$W173)))</f>
        <v/>
      </c>
      <c r="R173" s="56" t="str">
        <f aca="false">IF($W173="","",N(INDEX(发票统计!R$4:R$1003,$W173)))</f>
        <v/>
      </c>
      <c r="S173" s="56" t="str">
        <f aca="false">IF($W173="","",N(INDEX(发票统计!S$4:S$1003,$W173)))</f>
        <v/>
      </c>
      <c r="T173" s="56" t="str">
        <f aca="false">IF($W173="","",SUM(Q$4:Q173)-SUM(R$4:R173)-SUM(S$4:S173))</f>
        <v/>
      </c>
      <c r="U173" s="56" t="str">
        <f aca="false">IF($W173="","",INDEX(发票统计!U$4:U$1003,$W173)&amp;"")</f>
        <v/>
      </c>
      <c r="W173" s="1" t="str">
        <f aca="false">IF($V$3="","",IFERROR(MATCH($V$3&amp;"#"&amp;ROWS(W$4:W173),发票统计!$W$4:$W$1003,0),""))</f>
        <v/>
      </c>
    </row>
    <row r="174" customFormat="false" ht="16.5" hidden="false" customHeight="false" outlineLevel="0" collapsed="false">
      <c r="A174" s="3" t="str">
        <f aca="false">IF($W174="","",INDEX(发票统计!A$4:A$1003,$W174)&amp;"")</f>
        <v/>
      </c>
      <c r="B174" s="3" t="str">
        <f aca="false">IF($W174="","",INDEX(发票统计!B$4:B$1003,$W174)&amp;"")</f>
        <v/>
      </c>
      <c r="C174" s="3" t="str">
        <f aca="false">IF($W174="","",INDEX(发票统计!C$4:C$1003,$W174)&amp;"")</f>
        <v/>
      </c>
      <c r="D174" s="3" t="str">
        <f aca="false">IF($W174="","",INDEX(发票统计!D$4:D$1003,$W174)&amp;"")</f>
        <v/>
      </c>
      <c r="E174" s="67" t="str">
        <f aca="false">IF($W174="","",INDEX(发票统计!E$4:E$1003,$W174)&amp;"")</f>
        <v/>
      </c>
      <c r="F174" s="68" t="str">
        <f aca="false">IF($W174="","",INDEX(发票统计!F$4:F$1003,$W174)&amp;"")</f>
        <v/>
      </c>
      <c r="G174" s="68" t="str">
        <f aca="false">IF($W174="","",IF(INDEX(发票统计!G$4:G$1003,$W174)="","",INDEX(发票统计!G$4:G$1003,$W174)))</f>
        <v/>
      </c>
      <c r="H174" s="56" t="str">
        <f aca="false">IF($W174="","",N(INDEX(发票统计!H$4:H$1003,$W174)))</f>
        <v/>
      </c>
      <c r="I174" s="56" t="str">
        <f aca="false">IF($W174="","",N(INDEX(发票统计!I$4:I$1003,$W174)))</f>
        <v/>
      </c>
      <c r="J174" s="56" t="str">
        <f aca="false">IF($W174="","",N(INDEX(发票统计!J$4:J$1003,$W174)))</f>
        <v/>
      </c>
      <c r="K174" s="56" t="str">
        <f aca="false">IF($W174="","",N(INDEX(发票统计!K$4:K$1003,$W174)))</f>
        <v/>
      </c>
      <c r="L174" s="56" t="str">
        <f aca="false">IF($W174="","",SUM(J$4:J174)-SUM(K$4:K174))</f>
        <v/>
      </c>
      <c r="M174" s="56" t="str">
        <f aca="false">IF($W174="","",N(INDEX(发票统计!M$4:M$1003,$W174)))</f>
        <v/>
      </c>
      <c r="N174" s="56" t="str">
        <f aca="false">IF($W174="","",N(INDEX(发票统计!N$4:N$1003,$W174)))</f>
        <v/>
      </c>
      <c r="O174" s="56" t="str">
        <f aca="false">IF($W174="","",N(INDEX(发票统计!O$4:O$1003,$W174)))</f>
        <v/>
      </c>
      <c r="P174" s="56" t="str">
        <f aca="false">IF($W174="","",SUM(M$4:M174)-SUM(N$4:N174)-SUM(O$4:O174))</f>
        <v/>
      </c>
      <c r="Q174" s="56" t="str">
        <f aca="false">IF($W174="","",N(INDEX(发票统计!Q$4:Q$1003,$W174)))</f>
        <v/>
      </c>
      <c r="R174" s="56" t="str">
        <f aca="false">IF($W174="","",N(INDEX(发票统计!R$4:R$1003,$W174)))</f>
        <v/>
      </c>
      <c r="S174" s="56" t="str">
        <f aca="false">IF($W174="","",N(INDEX(发票统计!S$4:S$1003,$W174)))</f>
        <v/>
      </c>
      <c r="T174" s="56" t="str">
        <f aca="false">IF($W174="","",SUM(Q$4:Q174)-SUM(R$4:R174)-SUM(S$4:S174))</f>
        <v/>
      </c>
      <c r="U174" s="56" t="str">
        <f aca="false">IF($W174="","",INDEX(发票统计!U$4:U$1003,$W174)&amp;"")</f>
        <v/>
      </c>
      <c r="W174" s="1" t="str">
        <f aca="false">IF($V$3="","",IFERROR(MATCH($V$3&amp;"#"&amp;ROWS(W$4:W174),发票统计!$W$4:$W$1003,0),""))</f>
        <v/>
      </c>
    </row>
    <row r="175" customFormat="false" ht="16.5" hidden="false" customHeight="false" outlineLevel="0" collapsed="false">
      <c r="A175" s="3" t="str">
        <f aca="false">IF($W175="","",INDEX(发票统计!A$4:A$1003,$W175)&amp;"")</f>
        <v/>
      </c>
      <c r="B175" s="3" t="str">
        <f aca="false">IF($W175="","",INDEX(发票统计!B$4:B$1003,$W175)&amp;"")</f>
        <v/>
      </c>
      <c r="C175" s="3" t="str">
        <f aca="false">IF($W175="","",INDEX(发票统计!C$4:C$1003,$W175)&amp;"")</f>
        <v/>
      </c>
      <c r="D175" s="3" t="str">
        <f aca="false">IF($W175="","",INDEX(发票统计!D$4:D$1003,$W175)&amp;"")</f>
        <v/>
      </c>
      <c r="E175" s="67" t="str">
        <f aca="false">IF($W175="","",INDEX(发票统计!E$4:E$1003,$W175)&amp;"")</f>
        <v/>
      </c>
      <c r="F175" s="68" t="str">
        <f aca="false">IF($W175="","",INDEX(发票统计!F$4:F$1003,$W175)&amp;"")</f>
        <v/>
      </c>
      <c r="G175" s="68" t="str">
        <f aca="false">IF($W175="","",IF(INDEX(发票统计!G$4:G$1003,$W175)="","",INDEX(发票统计!G$4:G$1003,$W175)))</f>
        <v/>
      </c>
      <c r="H175" s="56" t="str">
        <f aca="false">IF($W175="","",N(INDEX(发票统计!H$4:H$1003,$W175)))</f>
        <v/>
      </c>
      <c r="I175" s="56" t="str">
        <f aca="false">IF($W175="","",N(INDEX(发票统计!I$4:I$1003,$W175)))</f>
        <v/>
      </c>
      <c r="J175" s="56" t="str">
        <f aca="false">IF($W175="","",N(INDEX(发票统计!J$4:J$1003,$W175)))</f>
        <v/>
      </c>
      <c r="K175" s="56" t="str">
        <f aca="false">IF($W175="","",N(INDEX(发票统计!K$4:K$1003,$W175)))</f>
        <v/>
      </c>
      <c r="L175" s="56" t="str">
        <f aca="false">IF($W175="","",SUM(J$4:J175)-SUM(K$4:K175))</f>
        <v/>
      </c>
      <c r="M175" s="56" t="str">
        <f aca="false">IF($W175="","",N(INDEX(发票统计!M$4:M$1003,$W175)))</f>
        <v/>
      </c>
      <c r="N175" s="56" t="str">
        <f aca="false">IF($W175="","",N(INDEX(发票统计!N$4:N$1003,$W175)))</f>
        <v/>
      </c>
      <c r="O175" s="56" t="str">
        <f aca="false">IF($W175="","",N(INDEX(发票统计!O$4:O$1003,$W175)))</f>
        <v/>
      </c>
      <c r="P175" s="56" t="str">
        <f aca="false">IF($W175="","",SUM(M$4:M175)-SUM(N$4:N175)-SUM(O$4:O175))</f>
        <v/>
      </c>
      <c r="Q175" s="56" t="str">
        <f aca="false">IF($W175="","",N(INDEX(发票统计!Q$4:Q$1003,$W175)))</f>
        <v/>
      </c>
      <c r="R175" s="56" t="str">
        <f aca="false">IF($W175="","",N(INDEX(发票统计!R$4:R$1003,$W175)))</f>
        <v/>
      </c>
      <c r="S175" s="56" t="str">
        <f aca="false">IF($W175="","",N(INDEX(发票统计!S$4:S$1003,$W175)))</f>
        <v/>
      </c>
      <c r="T175" s="56" t="str">
        <f aca="false">IF($W175="","",SUM(Q$4:Q175)-SUM(R$4:R175)-SUM(S$4:S175))</f>
        <v/>
      </c>
      <c r="U175" s="56" t="str">
        <f aca="false">IF($W175="","",INDEX(发票统计!U$4:U$1003,$W175)&amp;"")</f>
        <v/>
      </c>
      <c r="W175" s="1" t="str">
        <f aca="false">IF($V$3="","",IFERROR(MATCH($V$3&amp;"#"&amp;ROWS(W$4:W175),发票统计!$W$4:$W$1003,0),""))</f>
        <v/>
      </c>
    </row>
    <row r="176" customFormat="false" ht="16.5" hidden="false" customHeight="false" outlineLevel="0" collapsed="false">
      <c r="A176" s="3" t="str">
        <f aca="false">IF($W176="","",INDEX(发票统计!A$4:A$1003,$W176)&amp;"")</f>
        <v/>
      </c>
      <c r="B176" s="3" t="str">
        <f aca="false">IF($W176="","",INDEX(发票统计!B$4:B$1003,$W176)&amp;"")</f>
        <v/>
      </c>
      <c r="C176" s="3" t="str">
        <f aca="false">IF($W176="","",INDEX(发票统计!C$4:C$1003,$W176)&amp;"")</f>
        <v/>
      </c>
      <c r="D176" s="3" t="str">
        <f aca="false">IF($W176="","",INDEX(发票统计!D$4:D$1003,$W176)&amp;"")</f>
        <v/>
      </c>
      <c r="E176" s="67" t="str">
        <f aca="false">IF($W176="","",INDEX(发票统计!E$4:E$1003,$W176)&amp;"")</f>
        <v/>
      </c>
      <c r="F176" s="68" t="str">
        <f aca="false">IF($W176="","",INDEX(发票统计!F$4:F$1003,$W176)&amp;"")</f>
        <v/>
      </c>
      <c r="G176" s="68" t="str">
        <f aca="false">IF($W176="","",IF(INDEX(发票统计!G$4:G$1003,$W176)="","",INDEX(发票统计!G$4:G$1003,$W176)))</f>
        <v/>
      </c>
      <c r="H176" s="56" t="str">
        <f aca="false">IF($W176="","",N(INDEX(发票统计!H$4:H$1003,$W176)))</f>
        <v/>
      </c>
      <c r="I176" s="56" t="str">
        <f aca="false">IF($W176="","",N(INDEX(发票统计!I$4:I$1003,$W176)))</f>
        <v/>
      </c>
      <c r="J176" s="56" t="str">
        <f aca="false">IF($W176="","",N(INDEX(发票统计!J$4:J$1003,$W176)))</f>
        <v/>
      </c>
      <c r="K176" s="56" t="str">
        <f aca="false">IF($W176="","",N(INDEX(发票统计!K$4:K$1003,$W176)))</f>
        <v/>
      </c>
      <c r="L176" s="56" t="str">
        <f aca="false">IF($W176="","",SUM(J$4:J176)-SUM(K$4:K176))</f>
        <v/>
      </c>
      <c r="M176" s="56" t="str">
        <f aca="false">IF($W176="","",N(INDEX(发票统计!M$4:M$1003,$W176)))</f>
        <v/>
      </c>
      <c r="N176" s="56" t="str">
        <f aca="false">IF($W176="","",N(INDEX(发票统计!N$4:N$1003,$W176)))</f>
        <v/>
      </c>
      <c r="O176" s="56" t="str">
        <f aca="false">IF($W176="","",N(INDEX(发票统计!O$4:O$1003,$W176)))</f>
        <v/>
      </c>
      <c r="P176" s="56" t="str">
        <f aca="false">IF($W176="","",SUM(M$4:M176)-SUM(N$4:N176)-SUM(O$4:O176))</f>
        <v/>
      </c>
      <c r="Q176" s="56" t="str">
        <f aca="false">IF($W176="","",N(INDEX(发票统计!Q$4:Q$1003,$W176)))</f>
        <v/>
      </c>
      <c r="R176" s="56" t="str">
        <f aca="false">IF($W176="","",N(INDEX(发票统计!R$4:R$1003,$W176)))</f>
        <v/>
      </c>
      <c r="S176" s="56" t="str">
        <f aca="false">IF($W176="","",N(INDEX(发票统计!S$4:S$1003,$W176)))</f>
        <v/>
      </c>
      <c r="T176" s="56" t="str">
        <f aca="false">IF($W176="","",SUM(Q$4:Q176)-SUM(R$4:R176)-SUM(S$4:S176))</f>
        <v/>
      </c>
      <c r="U176" s="56" t="str">
        <f aca="false">IF($W176="","",INDEX(发票统计!U$4:U$1003,$W176)&amp;"")</f>
        <v/>
      </c>
      <c r="W176" s="1" t="str">
        <f aca="false">IF($V$3="","",IFERROR(MATCH($V$3&amp;"#"&amp;ROWS(W$4:W176),发票统计!$W$4:$W$1003,0),""))</f>
        <v/>
      </c>
    </row>
    <row r="177" customFormat="false" ht="16.5" hidden="false" customHeight="false" outlineLevel="0" collapsed="false">
      <c r="A177" s="3" t="str">
        <f aca="false">IF($W177="","",INDEX(发票统计!A$4:A$1003,$W177)&amp;"")</f>
        <v/>
      </c>
      <c r="B177" s="3" t="str">
        <f aca="false">IF($W177="","",INDEX(发票统计!B$4:B$1003,$W177)&amp;"")</f>
        <v/>
      </c>
      <c r="C177" s="3" t="str">
        <f aca="false">IF($W177="","",INDEX(发票统计!C$4:C$1003,$W177)&amp;"")</f>
        <v/>
      </c>
      <c r="D177" s="3" t="str">
        <f aca="false">IF($W177="","",INDEX(发票统计!D$4:D$1003,$W177)&amp;"")</f>
        <v/>
      </c>
      <c r="E177" s="67" t="str">
        <f aca="false">IF($W177="","",INDEX(发票统计!E$4:E$1003,$W177)&amp;"")</f>
        <v/>
      </c>
      <c r="F177" s="68" t="str">
        <f aca="false">IF($W177="","",INDEX(发票统计!F$4:F$1003,$W177)&amp;"")</f>
        <v/>
      </c>
      <c r="G177" s="68" t="str">
        <f aca="false">IF($W177="","",IF(INDEX(发票统计!G$4:G$1003,$W177)="","",INDEX(发票统计!G$4:G$1003,$W177)))</f>
        <v/>
      </c>
      <c r="H177" s="56" t="str">
        <f aca="false">IF($W177="","",N(INDEX(发票统计!H$4:H$1003,$W177)))</f>
        <v/>
      </c>
      <c r="I177" s="56" t="str">
        <f aca="false">IF($W177="","",N(INDEX(发票统计!I$4:I$1003,$W177)))</f>
        <v/>
      </c>
      <c r="J177" s="56" t="str">
        <f aca="false">IF($W177="","",N(INDEX(发票统计!J$4:J$1003,$W177)))</f>
        <v/>
      </c>
      <c r="K177" s="56" t="str">
        <f aca="false">IF($W177="","",N(INDEX(发票统计!K$4:K$1003,$W177)))</f>
        <v/>
      </c>
      <c r="L177" s="56" t="str">
        <f aca="false">IF($W177="","",SUM(J$4:J177)-SUM(K$4:K177))</f>
        <v/>
      </c>
      <c r="M177" s="56" t="str">
        <f aca="false">IF($W177="","",N(INDEX(发票统计!M$4:M$1003,$W177)))</f>
        <v/>
      </c>
      <c r="N177" s="56" t="str">
        <f aca="false">IF($W177="","",N(INDEX(发票统计!N$4:N$1003,$W177)))</f>
        <v/>
      </c>
      <c r="O177" s="56" t="str">
        <f aca="false">IF($W177="","",N(INDEX(发票统计!O$4:O$1003,$W177)))</f>
        <v/>
      </c>
      <c r="P177" s="56" t="str">
        <f aca="false">IF($W177="","",SUM(M$4:M177)-SUM(N$4:N177)-SUM(O$4:O177))</f>
        <v/>
      </c>
      <c r="Q177" s="56" t="str">
        <f aca="false">IF($W177="","",N(INDEX(发票统计!Q$4:Q$1003,$W177)))</f>
        <v/>
      </c>
      <c r="R177" s="56" t="str">
        <f aca="false">IF($W177="","",N(INDEX(发票统计!R$4:R$1003,$W177)))</f>
        <v/>
      </c>
      <c r="S177" s="56" t="str">
        <f aca="false">IF($W177="","",N(INDEX(发票统计!S$4:S$1003,$W177)))</f>
        <v/>
      </c>
      <c r="T177" s="56" t="str">
        <f aca="false">IF($W177="","",SUM(Q$4:Q177)-SUM(R$4:R177)-SUM(S$4:S177))</f>
        <v/>
      </c>
      <c r="U177" s="56" t="str">
        <f aca="false">IF($W177="","",INDEX(发票统计!U$4:U$1003,$W177)&amp;"")</f>
        <v/>
      </c>
      <c r="W177" s="1" t="str">
        <f aca="false">IF($V$3="","",IFERROR(MATCH($V$3&amp;"#"&amp;ROWS(W$4:W177),发票统计!$W$4:$W$1003,0),""))</f>
        <v/>
      </c>
    </row>
    <row r="178" customFormat="false" ht="16.5" hidden="false" customHeight="false" outlineLevel="0" collapsed="false">
      <c r="A178" s="3" t="str">
        <f aca="false">IF($W178="","",INDEX(发票统计!A$4:A$1003,$W178)&amp;"")</f>
        <v/>
      </c>
      <c r="B178" s="3" t="str">
        <f aca="false">IF($W178="","",INDEX(发票统计!B$4:B$1003,$W178)&amp;"")</f>
        <v/>
      </c>
      <c r="C178" s="3" t="str">
        <f aca="false">IF($W178="","",INDEX(发票统计!C$4:C$1003,$W178)&amp;"")</f>
        <v/>
      </c>
      <c r="D178" s="3" t="str">
        <f aca="false">IF($W178="","",INDEX(发票统计!D$4:D$1003,$W178)&amp;"")</f>
        <v/>
      </c>
      <c r="E178" s="67" t="str">
        <f aca="false">IF($W178="","",INDEX(发票统计!E$4:E$1003,$W178)&amp;"")</f>
        <v/>
      </c>
      <c r="F178" s="68" t="str">
        <f aca="false">IF($W178="","",INDEX(发票统计!F$4:F$1003,$W178)&amp;"")</f>
        <v/>
      </c>
      <c r="G178" s="68" t="str">
        <f aca="false">IF($W178="","",IF(INDEX(发票统计!G$4:G$1003,$W178)="","",INDEX(发票统计!G$4:G$1003,$W178)))</f>
        <v/>
      </c>
      <c r="H178" s="56" t="str">
        <f aca="false">IF($W178="","",N(INDEX(发票统计!H$4:H$1003,$W178)))</f>
        <v/>
      </c>
      <c r="I178" s="56" t="str">
        <f aca="false">IF($W178="","",N(INDEX(发票统计!I$4:I$1003,$W178)))</f>
        <v/>
      </c>
      <c r="J178" s="56" t="str">
        <f aca="false">IF($W178="","",N(INDEX(发票统计!J$4:J$1003,$W178)))</f>
        <v/>
      </c>
      <c r="K178" s="56" t="str">
        <f aca="false">IF($W178="","",N(INDEX(发票统计!K$4:K$1003,$W178)))</f>
        <v/>
      </c>
      <c r="L178" s="56" t="str">
        <f aca="false">IF($W178="","",SUM(J$4:J178)-SUM(K$4:K178))</f>
        <v/>
      </c>
      <c r="M178" s="56" t="str">
        <f aca="false">IF($W178="","",N(INDEX(发票统计!M$4:M$1003,$W178)))</f>
        <v/>
      </c>
      <c r="N178" s="56" t="str">
        <f aca="false">IF($W178="","",N(INDEX(发票统计!N$4:N$1003,$W178)))</f>
        <v/>
      </c>
      <c r="O178" s="56" t="str">
        <f aca="false">IF($W178="","",N(INDEX(发票统计!O$4:O$1003,$W178)))</f>
        <v/>
      </c>
      <c r="P178" s="56" t="str">
        <f aca="false">IF($W178="","",SUM(M$4:M178)-SUM(N$4:N178)-SUM(O$4:O178))</f>
        <v/>
      </c>
      <c r="Q178" s="56" t="str">
        <f aca="false">IF($W178="","",N(INDEX(发票统计!Q$4:Q$1003,$W178)))</f>
        <v/>
      </c>
      <c r="R178" s="56" t="str">
        <f aca="false">IF($W178="","",N(INDEX(发票统计!R$4:R$1003,$W178)))</f>
        <v/>
      </c>
      <c r="S178" s="56" t="str">
        <f aca="false">IF($W178="","",N(INDEX(发票统计!S$4:S$1003,$W178)))</f>
        <v/>
      </c>
      <c r="T178" s="56" t="str">
        <f aca="false">IF($W178="","",SUM(Q$4:Q178)-SUM(R$4:R178)-SUM(S$4:S178))</f>
        <v/>
      </c>
      <c r="U178" s="56" t="str">
        <f aca="false">IF($W178="","",INDEX(发票统计!U$4:U$1003,$W178)&amp;"")</f>
        <v/>
      </c>
      <c r="W178" s="1" t="str">
        <f aca="false">IF($V$3="","",IFERROR(MATCH($V$3&amp;"#"&amp;ROWS(W$4:W178),发票统计!$W$4:$W$1003,0),""))</f>
        <v/>
      </c>
    </row>
    <row r="179" customFormat="false" ht="16.5" hidden="false" customHeight="false" outlineLevel="0" collapsed="false">
      <c r="A179" s="3" t="str">
        <f aca="false">IF($W179="","",INDEX(发票统计!A$4:A$1003,$W179)&amp;"")</f>
        <v/>
      </c>
      <c r="B179" s="3" t="str">
        <f aca="false">IF($W179="","",INDEX(发票统计!B$4:B$1003,$W179)&amp;"")</f>
        <v/>
      </c>
      <c r="C179" s="3" t="str">
        <f aca="false">IF($W179="","",INDEX(发票统计!C$4:C$1003,$W179)&amp;"")</f>
        <v/>
      </c>
      <c r="D179" s="3" t="str">
        <f aca="false">IF($W179="","",INDEX(发票统计!D$4:D$1003,$W179)&amp;"")</f>
        <v/>
      </c>
      <c r="E179" s="67" t="str">
        <f aca="false">IF($W179="","",INDEX(发票统计!E$4:E$1003,$W179)&amp;"")</f>
        <v/>
      </c>
      <c r="F179" s="68" t="str">
        <f aca="false">IF($W179="","",INDEX(发票统计!F$4:F$1003,$W179)&amp;"")</f>
        <v/>
      </c>
      <c r="G179" s="68" t="str">
        <f aca="false">IF($W179="","",IF(INDEX(发票统计!G$4:G$1003,$W179)="","",INDEX(发票统计!G$4:G$1003,$W179)))</f>
        <v/>
      </c>
      <c r="H179" s="56" t="str">
        <f aca="false">IF($W179="","",N(INDEX(发票统计!H$4:H$1003,$W179)))</f>
        <v/>
      </c>
      <c r="I179" s="56" t="str">
        <f aca="false">IF($W179="","",N(INDEX(发票统计!I$4:I$1003,$W179)))</f>
        <v/>
      </c>
      <c r="J179" s="56" t="str">
        <f aca="false">IF($W179="","",N(INDEX(发票统计!J$4:J$1003,$W179)))</f>
        <v/>
      </c>
      <c r="K179" s="56" t="str">
        <f aca="false">IF($W179="","",N(INDEX(发票统计!K$4:K$1003,$W179)))</f>
        <v/>
      </c>
      <c r="L179" s="56" t="str">
        <f aca="false">IF($W179="","",SUM(J$4:J179)-SUM(K$4:K179))</f>
        <v/>
      </c>
      <c r="M179" s="56" t="str">
        <f aca="false">IF($W179="","",N(INDEX(发票统计!M$4:M$1003,$W179)))</f>
        <v/>
      </c>
      <c r="N179" s="56" t="str">
        <f aca="false">IF($W179="","",N(INDEX(发票统计!N$4:N$1003,$W179)))</f>
        <v/>
      </c>
      <c r="O179" s="56" t="str">
        <f aca="false">IF($W179="","",N(INDEX(发票统计!O$4:O$1003,$W179)))</f>
        <v/>
      </c>
      <c r="P179" s="56" t="str">
        <f aca="false">IF($W179="","",SUM(M$4:M179)-SUM(N$4:N179)-SUM(O$4:O179))</f>
        <v/>
      </c>
      <c r="Q179" s="56" t="str">
        <f aca="false">IF($W179="","",N(INDEX(发票统计!Q$4:Q$1003,$W179)))</f>
        <v/>
      </c>
      <c r="R179" s="56" t="str">
        <f aca="false">IF($W179="","",N(INDEX(发票统计!R$4:R$1003,$W179)))</f>
        <v/>
      </c>
      <c r="S179" s="56" t="str">
        <f aca="false">IF($W179="","",N(INDEX(发票统计!S$4:S$1003,$W179)))</f>
        <v/>
      </c>
      <c r="T179" s="56" t="str">
        <f aca="false">IF($W179="","",SUM(Q$4:Q179)-SUM(R$4:R179)-SUM(S$4:S179))</f>
        <v/>
      </c>
      <c r="U179" s="56" t="str">
        <f aca="false">IF($W179="","",INDEX(发票统计!U$4:U$1003,$W179)&amp;"")</f>
        <v/>
      </c>
      <c r="W179" s="1" t="str">
        <f aca="false">IF($V$3="","",IFERROR(MATCH($V$3&amp;"#"&amp;ROWS(W$4:W179),发票统计!$W$4:$W$1003,0),""))</f>
        <v/>
      </c>
    </row>
    <row r="180" customFormat="false" ht="16.5" hidden="false" customHeight="false" outlineLevel="0" collapsed="false">
      <c r="A180" s="3" t="str">
        <f aca="false">IF($W180="","",INDEX(发票统计!A$4:A$1003,$W180)&amp;"")</f>
        <v/>
      </c>
      <c r="B180" s="3" t="str">
        <f aca="false">IF($W180="","",INDEX(发票统计!B$4:B$1003,$W180)&amp;"")</f>
        <v/>
      </c>
      <c r="C180" s="3" t="str">
        <f aca="false">IF($W180="","",INDEX(发票统计!C$4:C$1003,$W180)&amp;"")</f>
        <v/>
      </c>
      <c r="D180" s="3" t="str">
        <f aca="false">IF($W180="","",INDEX(发票统计!D$4:D$1003,$W180)&amp;"")</f>
        <v/>
      </c>
      <c r="E180" s="67" t="str">
        <f aca="false">IF($W180="","",INDEX(发票统计!E$4:E$1003,$W180)&amp;"")</f>
        <v/>
      </c>
      <c r="F180" s="68" t="str">
        <f aca="false">IF($W180="","",INDEX(发票统计!F$4:F$1003,$W180)&amp;"")</f>
        <v/>
      </c>
      <c r="G180" s="68" t="str">
        <f aca="false">IF($W180="","",IF(INDEX(发票统计!G$4:G$1003,$W180)="","",INDEX(发票统计!G$4:G$1003,$W180)))</f>
        <v/>
      </c>
      <c r="H180" s="56" t="str">
        <f aca="false">IF($W180="","",N(INDEX(发票统计!H$4:H$1003,$W180)))</f>
        <v/>
      </c>
      <c r="I180" s="56" t="str">
        <f aca="false">IF($W180="","",N(INDEX(发票统计!I$4:I$1003,$W180)))</f>
        <v/>
      </c>
      <c r="J180" s="56" t="str">
        <f aca="false">IF($W180="","",N(INDEX(发票统计!J$4:J$1003,$W180)))</f>
        <v/>
      </c>
      <c r="K180" s="56" t="str">
        <f aca="false">IF($W180="","",N(INDEX(发票统计!K$4:K$1003,$W180)))</f>
        <v/>
      </c>
      <c r="L180" s="56" t="str">
        <f aca="false">IF($W180="","",SUM(J$4:J180)-SUM(K$4:K180))</f>
        <v/>
      </c>
      <c r="M180" s="56" t="str">
        <f aca="false">IF($W180="","",N(INDEX(发票统计!M$4:M$1003,$W180)))</f>
        <v/>
      </c>
      <c r="N180" s="56" t="str">
        <f aca="false">IF($W180="","",N(INDEX(发票统计!N$4:N$1003,$W180)))</f>
        <v/>
      </c>
      <c r="O180" s="56" t="str">
        <f aca="false">IF($W180="","",N(INDEX(发票统计!O$4:O$1003,$W180)))</f>
        <v/>
      </c>
      <c r="P180" s="56" t="str">
        <f aca="false">IF($W180="","",SUM(M$4:M180)-SUM(N$4:N180)-SUM(O$4:O180))</f>
        <v/>
      </c>
      <c r="Q180" s="56" t="str">
        <f aca="false">IF($W180="","",N(INDEX(发票统计!Q$4:Q$1003,$W180)))</f>
        <v/>
      </c>
      <c r="R180" s="56" t="str">
        <f aca="false">IF($W180="","",N(INDEX(发票统计!R$4:R$1003,$W180)))</f>
        <v/>
      </c>
      <c r="S180" s="56" t="str">
        <f aca="false">IF($W180="","",N(INDEX(发票统计!S$4:S$1003,$W180)))</f>
        <v/>
      </c>
      <c r="T180" s="56" t="str">
        <f aca="false">IF($W180="","",SUM(Q$4:Q180)-SUM(R$4:R180)-SUM(S$4:S180))</f>
        <v/>
      </c>
      <c r="U180" s="56" t="str">
        <f aca="false">IF($W180="","",INDEX(发票统计!U$4:U$1003,$W180)&amp;"")</f>
        <v/>
      </c>
      <c r="W180" s="1" t="str">
        <f aca="false">IF($V$3="","",IFERROR(MATCH($V$3&amp;"#"&amp;ROWS(W$4:W180),发票统计!$W$4:$W$1003,0),""))</f>
        <v/>
      </c>
    </row>
    <row r="181" customFormat="false" ht="16.5" hidden="false" customHeight="false" outlineLevel="0" collapsed="false">
      <c r="A181" s="3" t="str">
        <f aca="false">IF($W181="","",INDEX(发票统计!A$4:A$1003,$W181)&amp;"")</f>
        <v/>
      </c>
      <c r="B181" s="3" t="str">
        <f aca="false">IF($W181="","",INDEX(发票统计!B$4:B$1003,$W181)&amp;"")</f>
        <v/>
      </c>
      <c r="C181" s="3" t="str">
        <f aca="false">IF($W181="","",INDEX(发票统计!C$4:C$1003,$W181)&amp;"")</f>
        <v/>
      </c>
      <c r="D181" s="3" t="str">
        <f aca="false">IF($W181="","",INDEX(发票统计!D$4:D$1003,$W181)&amp;"")</f>
        <v/>
      </c>
      <c r="E181" s="67" t="str">
        <f aca="false">IF($W181="","",INDEX(发票统计!E$4:E$1003,$W181)&amp;"")</f>
        <v/>
      </c>
      <c r="F181" s="68" t="str">
        <f aca="false">IF($W181="","",INDEX(发票统计!F$4:F$1003,$W181)&amp;"")</f>
        <v/>
      </c>
      <c r="G181" s="68" t="str">
        <f aca="false">IF($W181="","",IF(INDEX(发票统计!G$4:G$1003,$W181)="","",INDEX(发票统计!G$4:G$1003,$W181)))</f>
        <v/>
      </c>
      <c r="H181" s="56" t="str">
        <f aca="false">IF($W181="","",N(INDEX(发票统计!H$4:H$1003,$W181)))</f>
        <v/>
      </c>
      <c r="I181" s="56" t="str">
        <f aca="false">IF($W181="","",N(INDEX(发票统计!I$4:I$1003,$W181)))</f>
        <v/>
      </c>
      <c r="J181" s="56" t="str">
        <f aca="false">IF($W181="","",N(INDEX(发票统计!J$4:J$1003,$W181)))</f>
        <v/>
      </c>
      <c r="K181" s="56" t="str">
        <f aca="false">IF($W181="","",N(INDEX(发票统计!K$4:K$1003,$W181)))</f>
        <v/>
      </c>
      <c r="L181" s="56" t="str">
        <f aca="false">IF($W181="","",SUM(J$4:J181)-SUM(K$4:K181))</f>
        <v/>
      </c>
      <c r="M181" s="56" t="str">
        <f aca="false">IF($W181="","",N(INDEX(发票统计!M$4:M$1003,$W181)))</f>
        <v/>
      </c>
      <c r="N181" s="56" t="str">
        <f aca="false">IF($W181="","",N(INDEX(发票统计!N$4:N$1003,$W181)))</f>
        <v/>
      </c>
      <c r="O181" s="56" t="str">
        <f aca="false">IF($W181="","",N(INDEX(发票统计!O$4:O$1003,$W181)))</f>
        <v/>
      </c>
      <c r="P181" s="56" t="str">
        <f aca="false">IF($W181="","",SUM(M$4:M181)-SUM(N$4:N181)-SUM(O$4:O181))</f>
        <v/>
      </c>
      <c r="Q181" s="56" t="str">
        <f aca="false">IF($W181="","",N(INDEX(发票统计!Q$4:Q$1003,$W181)))</f>
        <v/>
      </c>
      <c r="R181" s="56" t="str">
        <f aca="false">IF($W181="","",N(INDEX(发票统计!R$4:R$1003,$W181)))</f>
        <v/>
      </c>
      <c r="S181" s="56" t="str">
        <f aca="false">IF($W181="","",N(INDEX(发票统计!S$4:S$1003,$W181)))</f>
        <v/>
      </c>
      <c r="T181" s="56" t="str">
        <f aca="false">IF($W181="","",SUM(Q$4:Q181)-SUM(R$4:R181)-SUM(S$4:S181))</f>
        <v/>
      </c>
      <c r="U181" s="56" t="str">
        <f aca="false">IF($W181="","",INDEX(发票统计!U$4:U$1003,$W181)&amp;"")</f>
        <v/>
      </c>
      <c r="W181" s="1" t="str">
        <f aca="false">IF($V$3="","",IFERROR(MATCH($V$3&amp;"#"&amp;ROWS(W$4:W181),发票统计!$W$4:$W$1003,0),""))</f>
        <v/>
      </c>
    </row>
    <row r="182" customFormat="false" ht="16.5" hidden="false" customHeight="false" outlineLevel="0" collapsed="false">
      <c r="A182" s="3" t="str">
        <f aca="false">IF($W182="","",INDEX(发票统计!A$4:A$1003,$W182)&amp;"")</f>
        <v/>
      </c>
      <c r="B182" s="3" t="str">
        <f aca="false">IF($W182="","",INDEX(发票统计!B$4:B$1003,$W182)&amp;"")</f>
        <v/>
      </c>
      <c r="C182" s="3" t="str">
        <f aca="false">IF($W182="","",INDEX(发票统计!C$4:C$1003,$W182)&amp;"")</f>
        <v/>
      </c>
      <c r="D182" s="3" t="str">
        <f aca="false">IF($W182="","",INDEX(发票统计!D$4:D$1003,$W182)&amp;"")</f>
        <v/>
      </c>
      <c r="E182" s="67" t="str">
        <f aca="false">IF($W182="","",INDEX(发票统计!E$4:E$1003,$W182)&amp;"")</f>
        <v/>
      </c>
      <c r="F182" s="68" t="str">
        <f aca="false">IF($W182="","",INDEX(发票统计!F$4:F$1003,$W182)&amp;"")</f>
        <v/>
      </c>
      <c r="G182" s="68" t="str">
        <f aca="false">IF($W182="","",IF(INDEX(发票统计!G$4:G$1003,$W182)="","",INDEX(发票统计!G$4:G$1003,$W182)))</f>
        <v/>
      </c>
      <c r="H182" s="56" t="str">
        <f aca="false">IF($W182="","",N(INDEX(发票统计!H$4:H$1003,$W182)))</f>
        <v/>
      </c>
      <c r="I182" s="56" t="str">
        <f aca="false">IF($W182="","",N(INDEX(发票统计!I$4:I$1003,$W182)))</f>
        <v/>
      </c>
      <c r="J182" s="56" t="str">
        <f aca="false">IF($W182="","",N(INDEX(发票统计!J$4:J$1003,$W182)))</f>
        <v/>
      </c>
      <c r="K182" s="56" t="str">
        <f aca="false">IF($W182="","",N(INDEX(发票统计!K$4:K$1003,$W182)))</f>
        <v/>
      </c>
      <c r="L182" s="56" t="str">
        <f aca="false">IF($W182="","",SUM(J$4:J182)-SUM(K$4:K182))</f>
        <v/>
      </c>
      <c r="M182" s="56" t="str">
        <f aca="false">IF($W182="","",N(INDEX(发票统计!M$4:M$1003,$W182)))</f>
        <v/>
      </c>
      <c r="N182" s="56" t="str">
        <f aca="false">IF($W182="","",N(INDEX(发票统计!N$4:N$1003,$W182)))</f>
        <v/>
      </c>
      <c r="O182" s="56" t="str">
        <f aca="false">IF($W182="","",N(INDEX(发票统计!O$4:O$1003,$W182)))</f>
        <v/>
      </c>
      <c r="P182" s="56" t="str">
        <f aca="false">IF($W182="","",SUM(M$4:M182)-SUM(N$4:N182)-SUM(O$4:O182))</f>
        <v/>
      </c>
      <c r="Q182" s="56" t="str">
        <f aca="false">IF($W182="","",N(INDEX(发票统计!Q$4:Q$1003,$W182)))</f>
        <v/>
      </c>
      <c r="R182" s="56" t="str">
        <f aca="false">IF($W182="","",N(INDEX(发票统计!R$4:R$1003,$W182)))</f>
        <v/>
      </c>
      <c r="S182" s="56" t="str">
        <f aca="false">IF($W182="","",N(INDEX(发票统计!S$4:S$1003,$W182)))</f>
        <v/>
      </c>
      <c r="T182" s="56" t="str">
        <f aca="false">IF($W182="","",SUM(Q$4:Q182)-SUM(R$4:R182)-SUM(S$4:S182))</f>
        <v/>
      </c>
      <c r="U182" s="56" t="str">
        <f aca="false">IF($W182="","",INDEX(发票统计!U$4:U$1003,$W182)&amp;"")</f>
        <v/>
      </c>
      <c r="W182" s="1" t="str">
        <f aca="false">IF($V$3="","",IFERROR(MATCH($V$3&amp;"#"&amp;ROWS(W$4:W182),发票统计!$W$4:$W$1003,0),""))</f>
        <v/>
      </c>
    </row>
    <row r="183" customFormat="false" ht="16.5" hidden="false" customHeight="false" outlineLevel="0" collapsed="false">
      <c r="A183" s="3" t="str">
        <f aca="false">IF($W183="","",INDEX(发票统计!A$4:A$1003,$W183)&amp;"")</f>
        <v/>
      </c>
      <c r="B183" s="3" t="str">
        <f aca="false">IF($W183="","",INDEX(发票统计!B$4:B$1003,$W183)&amp;"")</f>
        <v/>
      </c>
      <c r="C183" s="3" t="str">
        <f aca="false">IF($W183="","",INDEX(发票统计!C$4:C$1003,$W183)&amp;"")</f>
        <v/>
      </c>
      <c r="D183" s="3" t="str">
        <f aca="false">IF($W183="","",INDEX(发票统计!D$4:D$1003,$W183)&amp;"")</f>
        <v/>
      </c>
      <c r="E183" s="67" t="str">
        <f aca="false">IF($W183="","",INDEX(发票统计!E$4:E$1003,$W183)&amp;"")</f>
        <v/>
      </c>
      <c r="F183" s="68" t="str">
        <f aca="false">IF($W183="","",INDEX(发票统计!F$4:F$1003,$W183)&amp;"")</f>
        <v/>
      </c>
      <c r="G183" s="68" t="str">
        <f aca="false">IF($W183="","",IF(INDEX(发票统计!G$4:G$1003,$W183)="","",INDEX(发票统计!G$4:G$1003,$W183)))</f>
        <v/>
      </c>
      <c r="H183" s="56" t="str">
        <f aca="false">IF($W183="","",N(INDEX(发票统计!H$4:H$1003,$W183)))</f>
        <v/>
      </c>
      <c r="I183" s="56" t="str">
        <f aca="false">IF($W183="","",N(INDEX(发票统计!I$4:I$1003,$W183)))</f>
        <v/>
      </c>
      <c r="J183" s="56" t="str">
        <f aca="false">IF($W183="","",N(INDEX(发票统计!J$4:J$1003,$W183)))</f>
        <v/>
      </c>
      <c r="K183" s="56" t="str">
        <f aca="false">IF($W183="","",N(INDEX(发票统计!K$4:K$1003,$W183)))</f>
        <v/>
      </c>
      <c r="L183" s="56" t="str">
        <f aca="false">IF($W183="","",SUM(J$4:J183)-SUM(K$4:K183))</f>
        <v/>
      </c>
      <c r="M183" s="56" t="str">
        <f aca="false">IF($W183="","",N(INDEX(发票统计!M$4:M$1003,$W183)))</f>
        <v/>
      </c>
      <c r="N183" s="56" t="str">
        <f aca="false">IF($W183="","",N(INDEX(发票统计!N$4:N$1003,$W183)))</f>
        <v/>
      </c>
      <c r="O183" s="56" t="str">
        <f aca="false">IF($W183="","",N(INDEX(发票统计!O$4:O$1003,$W183)))</f>
        <v/>
      </c>
      <c r="P183" s="56" t="str">
        <f aca="false">IF($W183="","",SUM(M$4:M183)-SUM(N$4:N183)-SUM(O$4:O183))</f>
        <v/>
      </c>
      <c r="Q183" s="56" t="str">
        <f aca="false">IF($W183="","",N(INDEX(发票统计!Q$4:Q$1003,$W183)))</f>
        <v/>
      </c>
      <c r="R183" s="56" t="str">
        <f aca="false">IF($W183="","",N(INDEX(发票统计!R$4:R$1003,$W183)))</f>
        <v/>
      </c>
      <c r="S183" s="56" t="str">
        <f aca="false">IF($W183="","",N(INDEX(发票统计!S$4:S$1003,$W183)))</f>
        <v/>
      </c>
      <c r="T183" s="56" t="str">
        <f aca="false">IF($W183="","",SUM(Q$4:Q183)-SUM(R$4:R183)-SUM(S$4:S183))</f>
        <v/>
      </c>
      <c r="U183" s="56" t="str">
        <f aca="false">IF($W183="","",INDEX(发票统计!U$4:U$1003,$W183)&amp;"")</f>
        <v/>
      </c>
      <c r="W183" s="1" t="str">
        <f aca="false">IF($V$3="","",IFERROR(MATCH($V$3&amp;"#"&amp;ROWS(W$4:W183),发票统计!$W$4:$W$1003,0),""))</f>
        <v/>
      </c>
    </row>
    <row r="184" customFormat="false" ht="16.5" hidden="false" customHeight="false" outlineLevel="0" collapsed="false">
      <c r="A184" s="3" t="str">
        <f aca="false">IF($W184="","",INDEX(发票统计!A$4:A$1003,$W184)&amp;"")</f>
        <v/>
      </c>
      <c r="B184" s="3" t="str">
        <f aca="false">IF($W184="","",INDEX(发票统计!B$4:B$1003,$W184)&amp;"")</f>
        <v/>
      </c>
      <c r="C184" s="3" t="str">
        <f aca="false">IF($W184="","",INDEX(发票统计!C$4:C$1003,$W184)&amp;"")</f>
        <v/>
      </c>
      <c r="D184" s="3" t="str">
        <f aca="false">IF($W184="","",INDEX(发票统计!D$4:D$1003,$W184)&amp;"")</f>
        <v/>
      </c>
      <c r="E184" s="67" t="str">
        <f aca="false">IF($W184="","",INDEX(发票统计!E$4:E$1003,$W184)&amp;"")</f>
        <v/>
      </c>
      <c r="F184" s="68" t="str">
        <f aca="false">IF($W184="","",INDEX(发票统计!F$4:F$1003,$W184)&amp;"")</f>
        <v/>
      </c>
      <c r="G184" s="68" t="str">
        <f aca="false">IF($W184="","",IF(INDEX(发票统计!G$4:G$1003,$W184)="","",INDEX(发票统计!G$4:G$1003,$W184)))</f>
        <v/>
      </c>
      <c r="H184" s="56" t="str">
        <f aca="false">IF($W184="","",N(INDEX(发票统计!H$4:H$1003,$W184)))</f>
        <v/>
      </c>
      <c r="I184" s="56" t="str">
        <f aca="false">IF($W184="","",N(INDEX(发票统计!I$4:I$1003,$W184)))</f>
        <v/>
      </c>
      <c r="J184" s="56" t="str">
        <f aca="false">IF($W184="","",N(INDEX(发票统计!J$4:J$1003,$W184)))</f>
        <v/>
      </c>
      <c r="K184" s="56" t="str">
        <f aca="false">IF($W184="","",N(INDEX(发票统计!K$4:K$1003,$W184)))</f>
        <v/>
      </c>
      <c r="L184" s="56" t="str">
        <f aca="false">IF($W184="","",SUM(J$4:J184)-SUM(K$4:K184))</f>
        <v/>
      </c>
      <c r="M184" s="56" t="str">
        <f aca="false">IF($W184="","",N(INDEX(发票统计!M$4:M$1003,$W184)))</f>
        <v/>
      </c>
      <c r="N184" s="56" t="str">
        <f aca="false">IF($W184="","",N(INDEX(发票统计!N$4:N$1003,$W184)))</f>
        <v/>
      </c>
      <c r="O184" s="56" t="str">
        <f aca="false">IF($W184="","",N(INDEX(发票统计!O$4:O$1003,$W184)))</f>
        <v/>
      </c>
      <c r="P184" s="56" t="str">
        <f aca="false">IF($W184="","",SUM(M$4:M184)-SUM(N$4:N184)-SUM(O$4:O184))</f>
        <v/>
      </c>
      <c r="Q184" s="56" t="str">
        <f aca="false">IF($W184="","",N(INDEX(发票统计!Q$4:Q$1003,$W184)))</f>
        <v/>
      </c>
      <c r="R184" s="56" t="str">
        <f aca="false">IF($W184="","",N(INDEX(发票统计!R$4:R$1003,$W184)))</f>
        <v/>
      </c>
      <c r="S184" s="56" t="str">
        <f aca="false">IF($W184="","",N(INDEX(发票统计!S$4:S$1003,$W184)))</f>
        <v/>
      </c>
      <c r="T184" s="56" t="str">
        <f aca="false">IF($W184="","",SUM(Q$4:Q184)-SUM(R$4:R184)-SUM(S$4:S184))</f>
        <v/>
      </c>
      <c r="U184" s="56" t="str">
        <f aca="false">IF($W184="","",INDEX(发票统计!U$4:U$1003,$W184)&amp;"")</f>
        <v/>
      </c>
      <c r="W184" s="1" t="str">
        <f aca="false">IF($V$3="","",IFERROR(MATCH($V$3&amp;"#"&amp;ROWS(W$4:W184),发票统计!$W$4:$W$1003,0),""))</f>
        <v/>
      </c>
    </row>
    <row r="185" customFormat="false" ht="16.5" hidden="false" customHeight="false" outlineLevel="0" collapsed="false">
      <c r="A185" s="3" t="str">
        <f aca="false">IF($W185="","",INDEX(发票统计!A$4:A$1003,$W185)&amp;"")</f>
        <v/>
      </c>
      <c r="B185" s="3" t="str">
        <f aca="false">IF($W185="","",INDEX(发票统计!B$4:B$1003,$W185)&amp;"")</f>
        <v/>
      </c>
      <c r="C185" s="3" t="str">
        <f aca="false">IF($W185="","",INDEX(发票统计!C$4:C$1003,$W185)&amp;"")</f>
        <v/>
      </c>
      <c r="D185" s="3" t="str">
        <f aca="false">IF($W185="","",INDEX(发票统计!D$4:D$1003,$W185)&amp;"")</f>
        <v/>
      </c>
      <c r="E185" s="67" t="str">
        <f aca="false">IF($W185="","",INDEX(发票统计!E$4:E$1003,$W185)&amp;"")</f>
        <v/>
      </c>
      <c r="F185" s="68" t="str">
        <f aca="false">IF($W185="","",INDEX(发票统计!F$4:F$1003,$W185)&amp;"")</f>
        <v/>
      </c>
      <c r="G185" s="68" t="str">
        <f aca="false">IF($W185="","",IF(INDEX(发票统计!G$4:G$1003,$W185)="","",INDEX(发票统计!G$4:G$1003,$W185)))</f>
        <v/>
      </c>
      <c r="H185" s="56" t="str">
        <f aca="false">IF($W185="","",N(INDEX(发票统计!H$4:H$1003,$W185)))</f>
        <v/>
      </c>
      <c r="I185" s="56" t="str">
        <f aca="false">IF($W185="","",N(INDEX(发票统计!I$4:I$1003,$W185)))</f>
        <v/>
      </c>
      <c r="J185" s="56" t="str">
        <f aca="false">IF($W185="","",N(INDEX(发票统计!J$4:J$1003,$W185)))</f>
        <v/>
      </c>
      <c r="K185" s="56" t="str">
        <f aca="false">IF($W185="","",N(INDEX(发票统计!K$4:K$1003,$W185)))</f>
        <v/>
      </c>
      <c r="L185" s="56" t="str">
        <f aca="false">IF($W185="","",SUM(J$4:J185)-SUM(K$4:K185))</f>
        <v/>
      </c>
      <c r="M185" s="56" t="str">
        <f aca="false">IF($W185="","",N(INDEX(发票统计!M$4:M$1003,$W185)))</f>
        <v/>
      </c>
      <c r="N185" s="56" t="str">
        <f aca="false">IF($W185="","",N(INDEX(发票统计!N$4:N$1003,$W185)))</f>
        <v/>
      </c>
      <c r="O185" s="56" t="str">
        <f aca="false">IF($W185="","",N(INDEX(发票统计!O$4:O$1003,$W185)))</f>
        <v/>
      </c>
      <c r="P185" s="56" t="str">
        <f aca="false">IF($W185="","",SUM(M$4:M185)-SUM(N$4:N185)-SUM(O$4:O185))</f>
        <v/>
      </c>
      <c r="Q185" s="56" t="str">
        <f aca="false">IF($W185="","",N(INDEX(发票统计!Q$4:Q$1003,$W185)))</f>
        <v/>
      </c>
      <c r="R185" s="56" t="str">
        <f aca="false">IF($W185="","",N(INDEX(发票统计!R$4:R$1003,$W185)))</f>
        <v/>
      </c>
      <c r="S185" s="56" t="str">
        <f aca="false">IF($W185="","",N(INDEX(发票统计!S$4:S$1003,$W185)))</f>
        <v/>
      </c>
      <c r="T185" s="56" t="str">
        <f aca="false">IF($W185="","",SUM(Q$4:Q185)-SUM(R$4:R185)-SUM(S$4:S185))</f>
        <v/>
      </c>
      <c r="U185" s="56" t="str">
        <f aca="false">IF($W185="","",INDEX(发票统计!U$4:U$1003,$W185)&amp;"")</f>
        <v/>
      </c>
      <c r="W185" s="1" t="str">
        <f aca="false">IF($V$3="","",IFERROR(MATCH($V$3&amp;"#"&amp;ROWS(W$4:W185),发票统计!$W$4:$W$1003,0),""))</f>
        <v/>
      </c>
    </row>
    <row r="186" customFormat="false" ht="16.5" hidden="false" customHeight="false" outlineLevel="0" collapsed="false">
      <c r="A186" s="3" t="str">
        <f aca="false">IF($W186="","",INDEX(发票统计!A$4:A$1003,$W186)&amp;"")</f>
        <v/>
      </c>
      <c r="B186" s="3" t="str">
        <f aca="false">IF($W186="","",INDEX(发票统计!B$4:B$1003,$W186)&amp;"")</f>
        <v/>
      </c>
      <c r="C186" s="3" t="str">
        <f aca="false">IF($W186="","",INDEX(发票统计!C$4:C$1003,$W186)&amp;"")</f>
        <v/>
      </c>
      <c r="D186" s="3" t="str">
        <f aca="false">IF($W186="","",INDEX(发票统计!D$4:D$1003,$W186)&amp;"")</f>
        <v/>
      </c>
      <c r="E186" s="67" t="str">
        <f aca="false">IF($W186="","",INDEX(发票统计!E$4:E$1003,$W186)&amp;"")</f>
        <v/>
      </c>
      <c r="F186" s="68" t="str">
        <f aca="false">IF($W186="","",INDEX(发票统计!F$4:F$1003,$W186)&amp;"")</f>
        <v/>
      </c>
      <c r="G186" s="68" t="str">
        <f aca="false">IF($W186="","",IF(INDEX(发票统计!G$4:G$1003,$W186)="","",INDEX(发票统计!G$4:G$1003,$W186)))</f>
        <v/>
      </c>
      <c r="H186" s="56" t="str">
        <f aca="false">IF($W186="","",N(INDEX(发票统计!H$4:H$1003,$W186)))</f>
        <v/>
      </c>
      <c r="I186" s="56" t="str">
        <f aca="false">IF($W186="","",N(INDEX(发票统计!I$4:I$1003,$W186)))</f>
        <v/>
      </c>
      <c r="J186" s="56" t="str">
        <f aca="false">IF($W186="","",N(INDEX(发票统计!J$4:J$1003,$W186)))</f>
        <v/>
      </c>
      <c r="K186" s="56" t="str">
        <f aca="false">IF($W186="","",N(INDEX(发票统计!K$4:K$1003,$W186)))</f>
        <v/>
      </c>
      <c r="L186" s="56" t="str">
        <f aca="false">IF($W186="","",SUM(J$4:J186)-SUM(K$4:K186))</f>
        <v/>
      </c>
      <c r="M186" s="56" t="str">
        <f aca="false">IF($W186="","",N(INDEX(发票统计!M$4:M$1003,$W186)))</f>
        <v/>
      </c>
      <c r="N186" s="56" t="str">
        <f aca="false">IF($W186="","",N(INDEX(发票统计!N$4:N$1003,$W186)))</f>
        <v/>
      </c>
      <c r="O186" s="56" t="str">
        <f aca="false">IF($W186="","",N(INDEX(发票统计!O$4:O$1003,$W186)))</f>
        <v/>
      </c>
      <c r="P186" s="56" t="str">
        <f aca="false">IF($W186="","",SUM(M$4:M186)-SUM(N$4:N186)-SUM(O$4:O186))</f>
        <v/>
      </c>
      <c r="Q186" s="56" t="str">
        <f aca="false">IF($W186="","",N(INDEX(发票统计!Q$4:Q$1003,$W186)))</f>
        <v/>
      </c>
      <c r="R186" s="56" t="str">
        <f aca="false">IF($W186="","",N(INDEX(发票统计!R$4:R$1003,$W186)))</f>
        <v/>
      </c>
      <c r="S186" s="56" t="str">
        <f aca="false">IF($W186="","",N(INDEX(发票统计!S$4:S$1003,$W186)))</f>
        <v/>
      </c>
      <c r="T186" s="56" t="str">
        <f aca="false">IF($W186="","",SUM(Q$4:Q186)-SUM(R$4:R186)-SUM(S$4:S186))</f>
        <v/>
      </c>
      <c r="U186" s="56" t="str">
        <f aca="false">IF($W186="","",INDEX(发票统计!U$4:U$1003,$W186)&amp;"")</f>
        <v/>
      </c>
      <c r="W186" s="1" t="str">
        <f aca="false">IF($V$3="","",IFERROR(MATCH($V$3&amp;"#"&amp;ROWS(W$4:W186),发票统计!$W$4:$W$1003,0),""))</f>
        <v/>
      </c>
    </row>
    <row r="187" customFormat="false" ht="16.5" hidden="false" customHeight="false" outlineLevel="0" collapsed="false">
      <c r="A187" s="3" t="str">
        <f aca="false">IF($W187="","",INDEX(发票统计!A$4:A$1003,$W187)&amp;"")</f>
        <v/>
      </c>
      <c r="B187" s="3" t="str">
        <f aca="false">IF($W187="","",INDEX(发票统计!B$4:B$1003,$W187)&amp;"")</f>
        <v/>
      </c>
      <c r="C187" s="3" t="str">
        <f aca="false">IF($W187="","",INDEX(发票统计!C$4:C$1003,$W187)&amp;"")</f>
        <v/>
      </c>
      <c r="D187" s="3" t="str">
        <f aca="false">IF($W187="","",INDEX(发票统计!D$4:D$1003,$W187)&amp;"")</f>
        <v/>
      </c>
      <c r="E187" s="67" t="str">
        <f aca="false">IF($W187="","",INDEX(发票统计!E$4:E$1003,$W187)&amp;"")</f>
        <v/>
      </c>
      <c r="F187" s="68" t="str">
        <f aca="false">IF($W187="","",INDEX(发票统计!F$4:F$1003,$W187)&amp;"")</f>
        <v/>
      </c>
      <c r="G187" s="68" t="str">
        <f aca="false">IF($W187="","",IF(INDEX(发票统计!G$4:G$1003,$W187)="","",INDEX(发票统计!G$4:G$1003,$W187)))</f>
        <v/>
      </c>
      <c r="H187" s="56" t="str">
        <f aca="false">IF($W187="","",N(INDEX(发票统计!H$4:H$1003,$W187)))</f>
        <v/>
      </c>
      <c r="I187" s="56" t="str">
        <f aca="false">IF($W187="","",N(INDEX(发票统计!I$4:I$1003,$W187)))</f>
        <v/>
      </c>
      <c r="J187" s="56" t="str">
        <f aca="false">IF($W187="","",N(INDEX(发票统计!J$4:J$1003,$W187)))</f>
        <v/>
      </c>
      <c r="K187" s="56" t="str">
        <f aca="false">IF($W187="","",N(INDEX(发票统计!K$4:K$1003,$W187)))</f>
        <v/>
      </c>
      <c r="L187" s="56" t="str">
        <f aca="false">IF($W187="","",SUM(J$4:J187)-SUM(K$4:K187))</f>
        <v/>
      </c>
      <c r="M187" s="56" t="str">
        <f aca="false">IF($W187="","",N(INDEX(发票统计!M$4:M$1003,$W187)))</f>
        <v/>
      </c>
      <c r="N187" s="56" t="str">
        <f aca="false">IF($W187="","",N(INDEX(发票统计!N$4:N$1003,$W187)))</f>
        <v/>
      </c>
      <c r="O187" s="56" t="str">
        <f aca="false">IF($W187="","",N(INDEX(发票统计!O$4:O$1003,$W187)))</f>
        <v/>
      </c>
      <c r="P187" s="56" t="str">
        <f aca="false">IF($W187="","",SUM(M$4:M187)-SUM(N$4:N187)-SUM(O$4:O187))</f>
        <v/>
      </c>
      <c r="Q187" s="56" t="str">
        <f aca="false">IF($W187="","",N(INDEX(发票统计!Q$4:Q$1003,$W187)))</f>
        <v/>
      </c>
      <c r="R187" s="56" t="str">
        <f aca="false">IF($W187="","",N(INDEX(发票统计!R$4:R$1003,$W187)))</f>
        <v/>
      </c>
      <c r="S187" s="56" t="str">
        <f aca="false">IF($W187="","",N(INDEX(发票统计!S$4:S$1003,$W187)))</f>
        <v/>
      </c>
      <c r="T187" s="56" t="str">
        <f aca="false">IF($W187="","",SUM(Q$4:Q187)-SUM(R$4:R187)-SUM(S$4:S187))</f>
        <v/>
      </c>
      <c r="U187" s="56" t="str">
        <f aca="false">IF($W187="","",INDEX(发票统计!U$4:U$1003,$W187)&amp;"")</f>
        <v/>
      </c>
      <c r="W187" s="1" t="str">
        <f aca="false">IF($V$3="","",IFERROR(MATCH($V$3&amp;"#"&amp;ROWS(W$4:W187),发票统计!$W$4:$W$1003,0),""))</f>
        <v/>
      </c>
    </row>
    <row r="188" customFormat="false" ht="16.5" hidden="false" customHeight="false" outlineLevel="0" collapsed="false">
      <c r="A188" s="3" t="str">
        <f aca="false">IF($W188="","",INDEX(发票统计!A$4:A$1003,$W188)&amp;"")</f>
        <v/>
      </c>
      <c r="B188" s="3" t="str">
        <f aca="false">IF($W188="","",INDEX(发票统计!B$4:B$1003,$W188)&amp;"")</f>
        <v/>
      </c>
      <c r="C188" s="3" t="str">
        <f aca="false">IF($W188="","",INDEX(发票统计!C$4:C$1003,$W188)&amp;"")</f>
        <v/>
      </c>
      <c r="D188" s="3" t="str">
        <f aca="false">IF($W188="","",INDEX(发票统计!D$4:D$1003,$W188)&amp;"")</f>
        <v/>
      </c>
      <c r="E188" s="67" t="str">
        <f aca="false">IF($W188="","",INDEX(发票统计!E$4:E$1003,$W188)&amp;"")</f>
        <v/>
      </c>
      <c r="F188" s="68" t="str">
        <f aca="false">IF($W188="","",INDEX(发票统计!F$4:F$1003,$W188)&amp;"")</f>
        <v/>
      </c>
      <c r="G188" s="68" t="str">
        <f aca="false">IF($W188="","",IF(INDEX(发票统计!G$4:G$1003,$W188)="","",INDEX(发票统计!G$4:G$1003,$W188)))</f>
        <v/>
      </c>
      <c r="H188" s="56" t="str">
        <f aca="false">IF($W188="","",N(INDEX(发票统计!H$4:H$1003,$W188)))</f>
        <v/>
      </c>
      <c r="I188" s="56" t="str">
        <f aca="false">IF($W188="","",N(INDEX(发票统计!I$4:I$1003,$W188)))</f>
        <v/>
      </c>
      <c r="J188" s="56" t="str">
        <f aca="false">IF($W188="","",N(INDEX(发票统计!J$4:J$1003,$W188)))</f>
        <v/>
      </c>
      <c r="K188" s="56" t="str">
        <f aca="false">IF($W188="","",N(INDEX(发票统计!K$4:K$1003,$W188)))</f>
        <v/>
      </c>
      <c r="L188" s="56" t="str">
        <f aca="false">IF($W188="","",SUM(J$4:J188)-SUM(K$4:K188))</f>
        <v/>
      </c>
      <c r="M188" s="56" t="str">
        <f aca="false">IF($W188="","",N(INDEX(发票统计!M$4:M$1003,$W188)))</f>
        <v/>
      </c>
      <c r="N188" s="56" t="str">
        <f aca="false">IF($W188="","",N(INDEX(发票统计!N$4:N$1003,$W188)))</f>
        <v/>
      </c>
      <c r="O188" s="56" t="str">
        <f aca="false">IF($W188="","",N(INDEX(发票统计!O$4:O$1003,$W188)))</f>
        <v/>
      </c>
      <c r="P188" s="56" t="str">
        <f aca="false">IF($W188="","",SUM(M$4:M188)-SUM(N$4:N188)-SUM(O$4:O188))</f>
        <v/>
      </c>
      <c r="Q188" s="56" t="str">
        <f aca="false">IF($W188="","",N(INDEX(发票统计!Q$4:Q$1003,$W188)))</f>
        <v/>
      </c>
      <c r="R188" s="56" t="str">
        <f aca="false">IF($W188="","",N(INDEX(发票统计!R$4:R$1003,$W188)))</f>
        <v/>
      </c>
      <c r="S188" s="56" t="str">
        <f aca="false">IF($W188="","",N(INDEX(发票统计!S$4:S$1003,$W188)))</f>
        <v/>
      </c>
      <c r="T188" s="56" t="str">
        <f aca="false">IF($W188="","",SUM(Q$4:Q188)-SUM(R$4:R188)-SUM(S$4:S188))</f>
        <v/>
      </c>
      <c r="U188" s="56" t="str">
        <f aca="false">IF($W188="","",INDEX(发票统计!U$4:U$1003,$W188)&amp;"")</f>
        <v/>
      </c>
      <c r="W188" s="1" t="str">
        <f aca="false">IF($V$3="","",IFERROR(MATCH($V$3&amp;"#"&amp;ROWS(W$4:W188),发票统计!$W$4:$W$1003,0),""))</f>
        <v/>
      </c>
    </row>
    <row r="189" customFormat="false" ht="16.5" hidden="false" customHeight="false" outlineLevel="0" collapsed="false">
      <c r="A189" s="3" t="str">
        <f aca="false">IF($W189="","",INDEX(发票统计!A$4:A$1003,$W189)&amp;"")</f>
        <v/>
      </c>
      <c r="B189" s="3" t="str">
        <f aca="false">IF($W189="","",INDEX(发票统计!B$4:B$1003,$W189)&amp;"")</f>
        <v/>
      </c>
      <c r="C189" s="3" t="str">
        <f aca="false">IF($W189="","",INDEX(发票统计!C$4:C$1003,$W189)&amp;"")</f>
        <v/>
      </c>
      <c r="D189" s="3" t="str">
        <f aca="false">IF($W189="","",INDEX(发票统计!D$4:D$1003,$W189)&amp;"")</f>
        <v/>
      </c>
      <c r="E189" s="67" t="str">
        <f aca="false">IF($W189="","",INDEX(发票统计!E$4:E$1003,$W189)&amp;"")</f>
        <v/>
      </c>
      <c r="F189" s="68" t="str">
        <f aca="false">IF($W189="","",INDEX(发票统计!F$4:F$1003,$W189)&amp;"")</f>
        <v/>
      </c>
      <c r="G189" s="68" t="str">
        <f aca="false">IF($W189="","",IF(INDEX(发票统计!G$4:G$1003,$W189)="","",INDEX(发票统计!G$4:G$1003,$W189)))</f>
        <v/>
      </c>
      <c r="H189" s="56" t="str">
        <f aca="false">IF($W189="","",N(INDEX(发票统计!H$4:H$1003,$W189)))</f>
        <v/>
      </c>
      <c r="I189" s="56" t="str">
        <f aca="false">IF($W189="","",N(INDEX(发票统计!I$4:I$1003,$W189)))</f>
        <v/>
      </c>
      <c r="J189" s="56" t="str">
        <f aca="false">IF($W189="","",N(INDEX(发票统计!J$4:J$1003,$W189)))</f>
        <v/>
      </c>
      <c r="K189" s="56" t="str">
        <f aca="false">IF($W189="","",N(INDEX(发票统计!K$4:K$1003,$W189)))</f>
        <v/>
      </c>
      <c r="L189" s="56" t="str">
        <f aca="false">IF($W189="","",SUM(J$4:J189)-SUM(K$4:K189))</f>
        <v/>
      </c>
      <c r="M189" s="56" t="str">
        <f aca="false">IF($W189="","",N(INDEX(发票统计!M$4:M$1003,$W189)))</f>
        <v/>
      </c>
      <c r="N189" s="56" t="str">
        <f aca="false">IF($W189="","",N(INDEX(发票统计!N$4:N$1003,$W189)))</f>
        <v/>
      </c>
      <c r="O189" s="56" t="str">
        <f aca="false">IF($W189="","",N(INDEX(发票统计!O$4:O$1003,$W189)))</f>
        <v/>
      </c>
      <c r="P189" s="56" t="str">
        <f aca="false">IF($W189="","",SUM(M$4:M189)-SUM(N$4:N189)-SUM(O$4:O189))</f>
        <v/>
      </c>
      <c r="Q189" s="56" t="str">
        <f aca="false">IF($W189="","",N(INDEX(发票统计!Q$4:Q$1003,$W189)))</f>
        <v/>
      </c>
      <c r="R189" s="56" t="str">
        <f aca="false">IF($W189="","",N(INDEX(发票统计!R$4:R$1003,$W189)))</f>
        <v/>
      </c>
      <c r="S189" s="56" t="str">
        <f aca="false">IF($W189="","",N(INDEX(发票统计!S$4:S$1003,$W189)))</f>
        <v/>
      </c>
      <c r="T189" s="56" t="str">
        <f aca="false">IF($W189="","",SUM(Q$4:Q189)-SUM(R$4:R189)-SUM(S$4:S189))</f>
        <v/>
      </c>
      <c r="U189" s="56" t="str">
        <f aca="false">IF($W189="","",INDEX(发票统计!U$4:U$1003,$W189)&amp;"")</f>
        <v/>
      </c>
      <c r="W189" s="1" t="str">
        <f aca="false">IF($V$3="","",IFERROR(MATCH($V$3&amp;"#"&amp;ROWS(W$4:W189),发票统计!$W$4:$W$1003,0),""))</f>
        <v/>
      </c>
    </row>
    <row r="190" customFormat="false" ht="16.5" hidden="false" customHeight="false" outlineLevel="0" collapsed="false">
      <c r="A190" s="3" t="str">
        <f aca="false">IF($W190="","",INDEX(发票统计!A$4:A$1003,$W190)&amp;"")</f>
        <v/>
      </c>
      <c r="B190" s="3" t="str">
        <f aca="false">IF($W190="","",INDEX(发票统计!B$4:B$1003,$W190)&amp;"")</f>
        <v/>
      </c>
      <c r="C190" s="3" t="str">
        <f aca="false">IF($W190="","",INDEX(发票统计!C$4:C$1003,$W190)&amp;"")</f>
        <v/>
      </c>
      <c r="D190" s="3" t="str">
        <f aca="false">IF($W190="","",INDEX(发票统计!D$4:D$1003,$W190)&amp;"")</f>
        <v/>
      </c>
      <c r="E190" s="67" t="str">
        <f aca="false">IF($W190="","",INDEX(发票统计!E$4:E$1003,$W190)&amp;"")</f>
        <v/>
      </c>
      <c r="F190" s="68" t="str">
        <f aca="false">IF($W190="","",INDEX(发票统计!F$4:F$1003,$W190)&amp;"")</f>
        <v/>
      </c>
      <c r="G190" s="68" t="str">
        <f aca="false">IF($W190="","",IF(INDEX(发票统计!G$4:G$1003,$W190)="","",INDEX(发票统计!G$4:G$1003,$W190)))</f>
        <v/>
      </c>
      <c r="H190" s="56" t="str">
        <f aca="false">IF($W190="","",N(INDEX(发票统计!H$4:H$1003,$W190)))</f>
        <v/>
      </c>
      <c r="I190" s="56" t="str">
        <f aca="false">IF($W190="","",N(INDEX(发票统计!I$4:I$1003,$W190)))</f>
        <v/>
      </c>
      <c r="J190" s="56" t="str">
        <f aca="false">IF($W190="","",N(INDEX(发票统计!J$4:J$1003,$W190)))</f>
        <v/>
      </c>
      <c r="K190" s="56" t="str">
        <f aca="false">IF($W190="","",N(INDEX(发票统计!K$4:K$1003,$W190)))</f>
        <v/>
      </c>
      <c r="L190" s="56" t="str">
        <f aca="false">IF($W190="","",SUM(J$4:J190)-SUM(K$4:K190))</f>
        <v/>
      </c>
      <c r="M190" s="56" t="str">
        <f aca="false">IF($W190="","",N(INDEX(发票统计!M$4:M$1003,$W190)))</f>
        <v/>
      </c>
      <c r="N190" s="56" t="str">
        <f aca="false">IF($W190="","",N(INDEX(发票统计!N$4:N$1003,$W190)))</f>
        <v/>
      </c>
      <c r="O190" s="56" t="str">
        <f aca="false">IF($W190="","",N(INDEX(发票统计!O$4:O$1003,$W190)))</f>
        <v/>
      </c>
      <c r="P190" s="56" t="str">
        <f aca="false">IF($W190="","",SUM(M$4:M190)-SUM(N$4:N190)-SUM(O$4:O190))</f>
        <v/>
      </c>
      <c r="Q190" s="56" t="str">
        <f aca="false">IF($W190="","",N(INDEX(发票统计!Q$4:Q$1003,$W190)))</f>
        <v/>
      </c>
      <c r="R190" s="56" t="str">
        <f aca="false">IF($W190="","",N(INDEX(发票统计!R$4:R$1003,$W190)))</f>
        <v/>
      </c>
      <c r="S190" s="56" t="str">
        <f aca="false">IF($W190="","",N(INDEX(发票统计!S$4:S$1003,$W190)))</f>
        <v/>
      </c>
      <c r="T190" s="56" t="str">
        <f aca="false">IF($W190="","",SUM(Q$4:Q190)-SUM(R$4:R190)-SUM(S$4:S190))</f>
        <v/>
      </c>
      <c r="U190" s="56" t="str">
        <f aca="false">IF($W190="","",INDEX(发票统计!U$4:U$1003,$W190)&amp;"")</f>
        <v/>
      </c>
      <c r="W190" s="1" t="str">
        <f aca="false">IF($V$3="","",IFERROR(MATCH($V$3&amp;"#"&amp;ROWS(W$4:W190),发票统计!$W$4:$W$1003,0),""))</f>
        <v/>
      </c>
    </row>
    <row r="191" customFormat="false" ht="16.5" hidden="false" customHeight="false" outlineLevel="0" collapsed="false">
      <c r="A191" s="3" t="str">
        <f aca="false">IF($W191="","",INDEX(发票统计!A$4:A$1003,$W191)&amp;"")</f>
        <v/>
      </c>
      <c r="B191" s="3" t="str">
        <f aca="false">IF($W191="","",INDEX(发票统计!B$4:B$1003,$W191)&amp;"")</f>
        <v/>
      </c>
      <c r="C191" s="3" t="str">
        <f aca="false">IF($W191="","",INDEX(发票统计!C$4:C$1003,$W191)&amp;"")</f>
        <v/>
      </c>
      <c r="D191" s="3" t="str">
        <f aca="false">IF($W191="","",INDEX(发票统计!D$4:D$1003,$W191)&amp;"")</f>
        <v/>
      </c>
      <c r="E191" s="67" t="str">
        <f aca="false">IF($W191="","",INDEX(发票统计!E$4:E$1003,$W191)&amp;"")</f>
        <v/>
      </c>
      <c r="F191" s="68" t="str">
        <f aca="false">IF($W191="","",INDEX(发票统计!F$4:F$1003,$W191)&amp;"")</f>
        <v/>
      </c>
      <c r="G191" s="68" t="str">
        <f aca="false">IF($W191="","",IF(INDEX(发票统计!G$4:G$1003,$W191)="","",INDEX(发票统计!G$4:G$1003,$W191)))</f>
        <v/>
      </c>
      <c r="H191" s="56" t="str">
        <f aca="false">IF($W191="","",N(INDEX(发票统计!H$4:H$1003,$W191)))</f>
        <v/>
      </c>
      <c r="I191" s="56" t="str">
        <f aca="false">IF($W191="","",N(INDEX(发票统计!I$4:I$1003,$W191)))</f>
        <v/>
      </c>
      <c r="J191" s="56" t="str">
        <f aca="false">IF($W191="","",N(INDEX(发票统计!J$4:J$1003,$W191)))</f>
        <v/>
      </c>
      <c r="K191" s="56" t="str">
        <f aca="false">IF($W191="","",N(INDEX(发票统计!K$4:K$1003,$W191)))</f>
        <v/>
      </c>
      <c r="L191" s="56" t="str">
        <f aca="false">IF($W191="","",SUM(J$4:J191)-SUM(K$4:K191))</f>
        <v/>
      </c>
      <c r="M191" s="56" t="str">
        <f aca="false">IF($W191="","",N(INDEX(发票统计!M$4:M$1003,$W191)))</f>
        <v/>
      </c>
      <c r="N191" s="56" t="str">
        <f aca="false">IF($W191="","",N(INDEX(发票统计!N$4:N$1003,$W191)))</f>
        <v/>
      </c>
      <c r="O191" s="56" t="str">
        <f aca="false">IF($W191="","",N(INDEX(发票统计!O$4:O$1003,$W191)))</f>
        <v/>
      </c>
      <c r="P191" s="56" t="str">
        <f aca="false">IF($W191="","",SUM(M$4:M191)-SUM(N$4:N191)-SUM(O$4:O191))</f>
        <v/>
      </c>
      <c r="Q191" s="56" t="str">
        <f aca="false">IF($W191="","",N(INDEX(发票统计!Q$4:Q$1003,$W191)))</f>
        <v/>
      </c>
      <c r="R191" s="56" t="str">
        <f aca="false">IF($W191="","",N(INDEX(发票统计!R$4:R$1003,$W191)))</f>
        <v/>
      </c>
      <c r="S191" s="56" t="str">
        <f aca="false">IF($W191="","",N(INDEX(发票统计!S$4:S$1003,$W191)))</f>
        <v/>
      </c>
      <c r="T191" s="56" t="str">
        <f aca="false">IF($W191="","",SUM(Q$4:Q191)-SUM(R$4:R191)-SUM(S$4:S191))</f>
        <v/>
      </c>
      <c r="U191" s="56" t="str">
        <f aca="false">IF($W191="","",INDEX(发票统计!U$4:U$1003,$W191)&amp;"")</f>
        <v/>
      </c>
      <c r="W191" s="1" t="str">
        <f aca="false">IF($V$3="","",IFERROR(MATCH($V$3&amp;"#"&amp;ROWS(W$4:W191),发票统计!$W$4:$W$1003,0),""))</f>
        <v/>
      </c>
    </row>
    <row r="192" customFormat="false" ht="16.5" hidden="false" customHeight="false" outlineLevel="0" collapsed="false">
      <c r="A192" s="3" t="str">
        <f aca="false">IF($W192="","",INDEX(发票统计!A$4:A$1003,$W192)&amp;"")</f>
        <v/>
      </c>
      <c r="B192" s="3" t="str">
        <f aca="false">IF($W192="","",INDEX(发票统计!B$4:B$1003,$W192)&amp;"")</f>
        <v/>
      </c>
      <c r="C192" s="3" t="str">
        <f aca="false">IF($W192="","",INDEX(发票统计!C$4:C$1003,$W192)&amp;"")</f>
        <v/>
      </c>
      <c r="D192" s="3" t="str">
        <f aca="false">IF($W192="","",INDEX(发票统计!D$4:D$1003,$W192)&amp;"")</f>
        <v/>
      </c>
      <c r="E192" s="67" t="str">
        <f aca="false">IF($W192="","",INDEX(发票统计!E$4:E$1003,$W192)&amp;"")</f>
        <v/>
      </c>
      <c r="F192" s="68" t="str">
        <f aca="false">IF($W192="","",INDEX(发票统计!F$4:F$1003,$W192)&amp;"")</f>
        <v/>
      </c>
      <c r="G192" s="68" t="str">
        <f aca="false">IF($W192="","",IF(INDEX(发票统计!G$4:G$1003,$W192)="","",INDEX(发票统计!G$4:G$1003,$W192)))</f>
        <v/>
      </c>
      <c r="H192" s="56" t="str">
        <f aca="false">IF($W192="","",N(INDEX(发票统计!H$4:H$1003,$W192)))</f>
        <v/>
      </c>
      <c r="I192" s="56" t="str">
        <f aca="false">IF($W192="","",N(INDEX(发票统计!I$4:I$1003,$W192)))</f>
        <v/>
      </c>
      <c r="J192" s="56" t="str">
        <f aca="false">IF($W192="","",N(INDEX(发票统计!J$4:J$1003,$W192)))</f>
        <v/>
      </c>
      <c r="K192" s="56" t="str">
        <f aca="false">IF($W192="","",N(INDEX(发票统计!K$4:K$1003,$W192)))</f>
        <v/>
      </c>
      <c r="L192" s="56" t="str">
        <f aca="false">IF($W192="","",SUM(J$4:J192)-SUM(K$4:K192))</f>
        <v/>
      </c>
      <c r="M192" s="56" t="str">
        <f aca="false">IF($W192="","",N(INDEX(发票统计!M$4:M$1003,$W192)))</f>
        <v/>
      </c>
      <c r="N192" s="56" t="str">
        <f aca="false">IF($W192="","",N(INDEX(发票统计!N$4:N$1003,$W192)))</f>
        <v/>
      </c>
      <c r="O192" s="56" t="str">
        <f aca="false">IF($W192="","",N(INDEX(发票统计!O$4:O$1003,$W192)))</f>
        <v/>
      </c>
      <c r="P192" s="56" t="str">
        <f aca="false">IF($W192="","",SUM(M$4:M192)-SUM(N$4:N192)-SUM(O$4:O192))</f>
        <v/>
      </c>
      <c r="Q192" s="56" t="str">
        <f aca="false">IF($W192="","",N(INDEX(发票统计!Q$4:Q$1003,$W192)))</f>
        <v/>
      </c>
      <c r="R192" s="56" t="str">
        <f aca="false">IF($W192="","",N(INDEX(发票统计!R$4:R$1003,$W192)))</f>
        <v/>
      </c>
      <c r="S192" s="56" t="str">
        <f aca="false">IF($W192="","",N(INDEX(发票统计!S$4:S$1003,$W192)))</f>
        <v/>
      </c>
      <c r="T192" s="56" t="str">
        <f aca="false">IF($W192="","",SUM(Q$4:Q192)-SUM(R$4:R192)-SUM(S$4:S192))</f>
        <v/>
      </c>
      <c r="U192" s="56" t="str">
        <f aca="false">IF($W192="","",INDEX(发票统计!U$4:U$1003,$W192)&amp;"")</f>
        <v/>
      </c>
      <c r="W192" s="1" t="str">
        <f aca="false">IF($V$3="","",IFERROR(MATCH($V$3&amp;"#"&amp;ROWS(W$4:W192),发票统计!$W$4:$W$1003,0),""))</f>
        <v/>
      </c>
    </row>
    <row r="193" customFormat="false" ht="16.5" hidden="false" customHeight="false" outlineLevel="0" collapsed="false">
      <c r="A193" s="3" t="str">
        <f aca="false">IF($W193="","",INDEX(发票统计!A$4:A$1003,$W193)&amp;"")</f>
        <v/>
      </c>
      <c r="B193" s="3" t="str">
        <f aca="false">IF($W193="","",INDEX(发票统计!B$4:B$1003,$W193)&amp;"")</f>
        <v/>
      </c>
      <c r="C193" s="3" t="str">
        <f aca="false">IF($W193="","",INDEX(发票统计!C$4:C$1003,$W193)&amp;"")</f>
        <v/>
      </c>
      <c r="D193" s="3" t="str">
        <f aca="false">IF($W193="","",INDEX(发票统计!D$4:D$1003,$W193)&amp;"")</f>
        <v/>
      </c>
      <c r="E193" s="67" t="str">
        <f aca="false">IF($W193="","",INDEX(发票统计!E$4:E$1003,$W193)&amp;"")</f>
        <v/>
      </c>
      <c r="F193" s="68" t="str">
        <f aca="false">IF($W193="","",INDEX(发票统计!F$4:F$1003,$W193)&amp;"")</f>
        <v/>
      </c>
      <c r="G193" s="68" t="str">
        <f aca="false">IF($W193="","",IF(INDEX(发票统计!G$4:G$1003,$W193)="","",INDEX(发票统计!G$4:G$1003,$W193)))</f>
        <v/>
      </c>
      <c r="H193" s="56" t="str">
        <f aca="false">IF($W193="","",N(INDEX(发票统计!H$4:H$1003,$W193)))</f>
        <v/>
      </c>
      <c r="I193" s="56" t="str">
        <f aca="false">IF($W193="","",N(INDEX(发票统计!I$4:I$1003,$W193)))</f>
        <v/>
      </c>
      <c r="J193" s="56" t="str">
        <f aca="false">IF($W193="","",N(INDEX(发票统计!J$4:J$1003,$W193)))</f>
        <v/>
      </c>
      <c r="K193" s="56" t="str">
        <f aca="false">IF($W193="","",N(INDEX(发票统计!K$4:K$1003,$W193)))</f>
        <v/>
      </c>
      <c r="L193" s="56" t="str">
        <f aca="false">IF($W193="","",SUM(J$4:J193)-SUM(K$4:K193))</f>
        <v/>
      </c>
      <c r="M193" s="56" t="str">
        <f aca="false">IF($W193="","",N(INDEX(发票统计!M$4:M$1003,$W193)))</f>
        <v/>
      </c>
      <c r="N193" s="56" t="str">
        <f aca="false">IF($W193="","",N(INDEX(发票统计!N$4:N$1003,$W193)))</f>
        <v/>
      </c>
      <c r="O193" s="56" t="str">
        <f aca="false">IF($W193="","",N(INDEX(发票统计!O$4:O$1003,$W193)))</f>
        <v/>
      </c>
      <c r="P193" s="56" t="str">
        <f aca="false">IF($W193="","",SUM(M$4:M193)-SUM(N$4:N193)-SUM(O$4:O193))</f>
        <v/>
      </c>
      <c r="Q193" s="56" t="str">
        <f aca="false">IF($W193="","",N(INDEX(发票统计!Q$4:Q$1003,$W193)))</f>
        <v/>
      </c>
      <c r="R193" s="56" t="str">
        <f aca="false">IF($W193="","",N(INDEX(发票统计!R$4:R$1003,$W193)))</f>
        <v/>
      </c>
      <c r="S193" s="56" t="str">
        <f aca="false">IF($W193="","",N(INDEX(发票统计!S$4:S$1003,$W193)))</f>
        <v/>
      </c>
      <c r="T193" s="56" t="str">
        <f aca="false">IF($W193="","",SUM(Q$4:Q193)-SUM(R$4:R193)-SUM(S$4:S193))</f>
        <v/>
      </c>
      <c r="U193" s="56" t="str">
        <f aca="false">IF($W193="","",INDEX(发票统计!U$4:U$1003,$W193)&amp;"")</f>
        <v/>
      </c>
      <c r="W193" s="1" t="str">
        <f aca="false">IF($V$3="","",IFERROR(MATCH($V$3&amp;"#"&amp;ROWS(W$4:W193),发票统计!$W$4:$W$1003,0),""))</f>
        <v/>
      </c>
    </row>
    <row r="194" customFormat="false" ht="16.5" hidden="false" customHeight="false" outlineLevel="0" collapsed="false">
      <c r="A194" s="3" t="str">
        <f aca="false">IF($W194="","",INDEX(发票统计!A$4:A$1003,$W194)&amp;"")</f>
        <v/>
      </c>
      <c r="B194" s="3" t="str">
        <f aca="false">IF($W194="","",INDEX(发票统计!B$4:B$1003,$W194)&amp;"")</f>
        <v/>
      </c>
      <c r="C194" s="3" t="str">
        <f aca="false">IF($W194="","",INDEX(发票统计!C$4:C$1003,$W194)&amp;"")</f>
        <v/>
      </c>
      <c r="D194" s="3" t="str">
        <f aca="false">IF($W194="","",INDEX(发票统计!D$4:D$1003,$W194)&amp;"")</f>
        <v/>
      </c>
      <c r="E194" s="67" t="str">
        <f aca="false">IF($W194="","",INDEX(发票统计!E$4:E$1003,$W194)&amp;"")</f>
        <v/>
      </c>
      <c r="F194" s="68" t="str">
        <f aca="false">IF($W194="","",INDEX(发票统计!F$4:F$1003,$W194)&amp;"")</f>
        <v/>
      </c>
      <c r="G194" s="68" t="str">
        <f aca="false">IF($W194="","",IF(INDEX(发票统计!G$4:G$1003,$W194)="","",INDEX(发票统计!G$4:G$1003,$W194)))</f>
        <v/>
      </c>
      <c r="H194" s="56" t="str">
        <f aca="false">IF($W194="","",N(INDEX(发票统计!H$4:H$1003,$W194)))</f>
        <v/>
      </c>
      <c r="I194" s="56" t="str">
        <f aca="false">IF($W194="","",N(INDEX(发票统计!I$4:I$1003,$W194)))</f>
        <v/>
      </c>
      <c r="J194" s="56" t="str">
        <f aca="false">IF($W194="","",N(INDEX(发票统计!J$4:J$1003,$W194)))</f>
        <v/>
      </c>
      <c r="K194" s="56" t="str">
        <f aca="false">IF($W194="","",N(INDEX(发票统计!K$4:K$1003,$W194)))</f>
        <v/>
      </c>
      <c r="L194" s="56" t="str">
        <f aca="false">IF($W194="","",SUM(J$4:J194)-SUM(K$4:K194))</f>
        <v/>
      </c>
      <c r="M194" s="56" t="str">
        <f aca="false">IF($W194="","",N(INDEX(发票统计!M$4:M$1003,$W194)))</f>
        <v/>
      </c>
      <c r="N194" s="56" t="str">
        <f aca="false">IF($W194="","",N(INDEX(发票统计!N$4:N$1003,$W194)))</f>
        <v/>
      </c>
      <c r="O194" s="56" t="str">
        <f aca="false">IF($W194="","",N(INDEX(发票统计!O$4:O$1003,$W194)))</f>
        <v/>
      </c>
      <c r="P194" s="56" t="str">
        <f aca="false">IF($W194="","",SUM(M$4:M194)-SUM(N$4:N194)-SUM(O$4:O194))</f>
        <v/>
      </c>
      <c r="Q194" s="56" t="str">
        <f aca="false">IF($W194="","",N(INDEX(发票统计!Q$4:Q$1003,$W194)))</f>
        <v/>
      </c>
      <c r="R194" s="56" t="str">
        <f aca="false">IF($W194="","",N(INDEX(发票统计!R$4:R$1003,$W194)))</f>
        <v/>
      </c>
      <c r="S194" s="56" t="str">
        <f aca="false">IF($W194="","",N(INDEX(发票统计!S$4:S$1003,$W194)))</f>
        <v/>
      </c>
      <c r="T194" s="56" t="str">
        <f aca="false">IF($W194="","",SUM(Q$4:Q194)-SUM(R$4:R194)-SUM(S$4:S194))</f>
        <v/>
      </c>
      <c r="U194" s="56" t="str">
        <f aca="false">IF($W194="","",INDEX(发票统计!U$4:U$1003,$W194)&amp;"")</f>
        <v/>
      </c>
      <c r="W194" s="1" t="str">
        <f aca="false">IF($V$3="","",IFERROR(MATCH($V$3&amp;"#"&amp;ROWS(W$4:W194),发票统计!$W$4:$W$1003,0),""))</f>
        <v/>
      </c>
    </row>
    <row r="195" customFormat="false" ht="16.5" hidden="false" customHeight="false" outlineLevel="0" collapsed="false">
      <c r="A195" s="3" t="str">
        <f aca="false">IF($W195="","",INDEX(发票统计!A$4:A$1003,$W195)&amp;"")</f>
        <v/>
      </c>
      <c r="B195" s="3" t="str">
        <f aca="false">IF($W195="","",INDEX(发票统计!B$4:B$1003,$W195)&amp;"")</f>
        <v/>
      </c>
      <c r="C195" s="3" t="str">
        <f aca="false">IF($W195="","",INDEX(发票统计!C$4:C$1003,$W195)&amp;"")</f>
        <v/>
      </c>
      <c r="D195" s="3" t="str">
        <f aca="false">IF($W195="","",INDEX(发票统计!D$4:D$1003,$W195)&amp;"")</f>
        <v/>
      </c>
      <c r="E195" s="67" t="str">
        <f aca="false">IF($W195="","",INDEX(发票统计!E$4:E$1003,$W195)&amp;"")</f>
        <v/>
      </c>
      <c r="F195" s="68" t="str">
        <f aca="false">IF($W195="","",INDEX(发票统计!F$4:F$1003,$W195)&amp;"")</f>
        <v/>
      </c>
      <c r="G195" s="68" t="str">
        <f aca="false">IF($W195="","",IF(INDEX(发票统计!G$4:G$1003,$W195)="","",INDEX(发票统计!G$4:G$1003,$W195)))</f>
        <v/>
      </c>
      <c r="H195" s="56" t="str">
        <f aca="false">IF($W195="","",N(INDEX(发票统计!H$4:H$1003,$W195)))</f>
        <v/>
      </c>
      <c r="I195" s="56" t="str">
        <f aca="false">IF($W195="","",N(INDEX(发票统计!I$4:I$1003,$W195)))</f>
        <v/>
      </c>
      <c r="J195" s="56" t="str">
        <f aca="false">IF($W195="","",N(INDEX(发票统计!J$4:J$1003,$W195)))</f>
        <v/>
      </c>
      <c r="K195" s="56" t="str">
        <f aca="false">IF($W195="","",N(INDEX(发票统计!K$4:K$1003,$W195)))</f>
        <v/>
      </c>
      <c r="L195" s="56" t="str">
        <f aca="false">IF($W195="","",SUM(J$4:J195)-SUM(K$4:K195))</f>
        <v/>
      </c>
      <c r="M195" s="56" t="str">
        <f aca="false">IF($W195="","",N(INDEX(发票统计!M$4:M$1003,$W195)))</f>
        <v/>
      </c>
      <c r="N195" s="56" t="str">
        <f aca="false">IF($W195="","",N(INDEX(发票统计!N$4:N$1003,$W195)))</f>
        <v/>
      </c>
      <c r="O195" s="56" t="str">
        <f aca="false">IF($W195="","",N(INDEX(发票统计!O$4:O$1003,$W195)))</f>
        <v/>
      </c>
      <c r="P195" s="56" t="str">
        <f aca="false">IF($W195="","",SUM(M$4:M195)-SUM(N$4:N195)-SUM(O$4:O195))</f>
        <v/>
      </c>
      <c r="Q195" s="56" t="str">
        <f aca="false">IF($W195="","",N(INDEX(发票统计!Q$4:Q$1003,$W195)))</f>
        <v/>
      </c>
      <c r="R195" s="56" t="str">
        <f aca="false">IF($W195="","",N(INDEX(发票统计!R$4:R$1003,$W195)))</f>
        <v/>
      </c>
      <c r="S195" s="56" t="str">
        <f aca="false">IF($W195="","",N(INDEX(发票统计!S$4:S$1003,$W195)))</f>
        <v/>
      </c>
      <c r="T195" s="56" t="str">
        <f aca="false">IF($W195="","",SUM(Q$4:Q195)-SUM(R$4:R195)-SUM(S$4:S195))</f>
        <v/>
      </c>
      <c r="U195" s="56" t="str">
        <f aca="false">IF($W195="","",INDEX(发票统计!U$4:U$1003,$W195)&amp;"")</f>
        <v/>
      </c>
      <c r="W195" s="1" t="str">
        <f aca="false">IF($V$3="","",IFERROR(MATCH($V$3&amp;"#"&amp;ROWS(W$4:W195),发票统计!$W$4:$W$1003,0),""))</f>
        <v/>
      </c>
    </row>
    <row r="196" customFormat="false" ht="16.5" hidden="false" customHeight="false" outlineLevel="0" collapsed="false">
      <c r="A196" s="3" t="str">
        <f aca="false">IF($W196="","",INDEX(发票统计!A$4:A$1003,$W196)&amp;"")</f>
        <v/>
      </c>
      <c r="B196" s="3" t="str">
        <f aca="false">IF($W196="","",INDEX(发票统计!B$4:B$1003,$W196)&amp;"")</f>
        <v/>
      </c>
      <c r="C196" s="3" t="str">
        <f aca="false">IF($W196="","",INDEX(发票统计!C$4:C$1003,$W196)&amp;"")</f>
        <v/>
      </c>
      <c r="D196" s="3" t="str">
        <f aca="false">IF($W196="","",INDEX(发票统计!D$4:D$1003,$W196)&amp;"")</f>
        <v/>
      </c>
      <c r="E196" s="67" t="str">
        <f aca="false">IF($W196="","",INDEX(发票统计!E$4:E$1003,$W196)&amp;"")</f>
        <v/>
      </c>
      <c r="F196" s="68" t="str">
        <f aca="false">IF($W196="","",INDEX(发票统计!F$4:F$1003,$W196)&amp;"")</f>
        <v/>
      </c>
      <c r="G196" s="68" t="str">
        <f aca="false">IF($W196="","",IF(INDEX(发票统计!G$4:G$1003,$W196)="","",INDEX(发票统计!G$4:G$1003,$W196)))</f>
        <v/>
      </c>
      <c r="H196" s="56" t="str">
        <f aca="false">IF($W196="","",N(INDEX(发票统计!H$4:H$1003,$W196)))</f>
        <v/>
      </c>
      <c r="I196" s="56" t="str">
        <f aca="false">IF($W196="","",N(INDEX(发票统计!I$4:I$1003,$W196)))</f>
        <v/>
      </c>
      <c r="J196" s="56" t="str">
        <f aca="false">IF($W196="","",N(INDEX(发票统计!J$4:J$1003,$W196)))</f>
        <v/>
      </c>
      <c r="K196" s="56" t="str">
        <f aca="false">IF($W196="","",N(INDEX(发票统计!K$4:K$1003,$W196)))</f>
        <v/>
      </c>
      <c r="L196" s="56" t="str">
        <f aca="false">IF($W196="","",SUM(J$4:J196)-SUM(K$4:K196))</f>
        <v/>
      </c>
      <c r="M196" s="56" t="str">
        <f aca="false">IF($W196="","",N(INDEX(发票统计!M$4:M$1003,$W196)))</f>
        <v/>
      </c>
      <c r="N196" s="56" t="str">
        <f aca="false">IF($W196="","",N(INDEX(发票统计!N$4:N$1003,$W196)))</f>
        <v/>
      </c>
      <c r="O196" s="56" t="str">
        <f aca="false">IF($W196="","",N(INDEX(发票统计!O$4:O$1003,$W196)))</f>
        <v/>
      </c>
      <c r="P196" s="56" t="str">
        <f aca="false">IF($W196="","",SUM(M$4:M196)-SUM(N$4:N196)-SUM(O$4:O196))</f>
        <v/>
      </c>
      <c r="Q196" s="56" t="str">
        <f aca="false">IF($W196="","",N(INDEX(发票统计!Q$4:Q$1003,$W196)))</f>
        <v/>
      </c>
      <c r="R196" s="56" t="str">
        <f aca="false">IF($W196="","",N(INDEX(发票统计!R$4:R$1003,$W196)))</f>
        <v/>
      </c>
      <c r="S196" s="56" t="str">
        <f aca="false">IF($W196="","",N(INDEX(发票统计!S$4:S$1003,$W196)))</f>
        <v/>
      </c>
      <c r="T196" s="56" t="str">
        <f aca="false">IF($W196="","",SUM(Q$4:Q196)-SUM(R$4:R196)-SUM(S$4:S196))</f>
        <v/>
      </c>
      <c r="U196" s="56" t="str">
        <f aca="false">IF($W196="","",INDEX(发票统计!U$4:U$1003,$W196)&amp;"")</f>
        <v/>
      </c>
      <c r="W196" s="1" t="str">
        <f aca="false">IF($V$3="","",IFERROR(MATCH($V$3&amp;"#"&amp;ROWS(W$4:W196),发票统计!$W$4:$W$1003,0),""))</f>
        <v/>
      </c>
    </row>
    <row r="197" customFormat="false" ht="16.5" hidden="false" customHeight="false" outlineLevel="0" collapsed="false">
      <c r="A197" s="3" t="str">
        <f aca="false">IF($W197="","",INDEX(发票统计!A$4:A$1003,$W197)&amp;"")</f>
        <v/>
      </c>
      <c r="B197" s="3" t="str">
        <f aca="false">IF($W197="","",INDEX(发票统计!B$4:B$1003,$W197)&amp;"")</f>
        <v/>
      </c>
      <c r="C197" s="3" t="str">
        <f aca="false">IF($W197="","",INDEX(发票统计!C$4:C$1003,$W197)&amp;"")</f>
        <v/>
      </c>
      <c r="D197" s="3" t="str">
        <f aca="false">IF($W197="","",INDEX(发票统计!D$4:D$1003,$W197)&amp;"")</f>
        <v/>
      </c>
      <c r="E197" s="67" t="str">
        <f aca="false">IF($W197="","",INDEX(发票统计!E$4:E$1003,$W197)&amp;"")</f>
        <v/>
      </c>
      <c r="F197" s="68" t="str">
        <f aca="false">IF($W197="","",INDEX(发票统计!F$4:F$1003,$W197)&amp;"")</f>
        <v/>
      </c>
      <c r="G197" s="68" t="str">
        <f aca="false">IF($W197="","",IF(INDEX(发票统计!G$4:G$1003,$W197)="","",INDEX(发票统计!G$4:G$1003,$W197)))</f>
        <v/>
      </c>
      <c r="H197" s="56" t="str">
        <f aca="false">IF($W197="","",N(INDEX(发票统计!H$4:H$1003,$W197)))</f>
        <v/>
      </c>
      <c r="I197" s="56" t="str">
        <f aca="false">IF($W197="","",N(INDEX(发票统计!I$4:I$1003,$W197)))</f>
        <v/>
      </c>
      <c r="J197" s="56" t="str">
        <f aca="false">IF($W197="","",N(INDEX(发票统计!J$4:J$1003,$W197)))</f>
        <v/>
      </c>
      <c r="K197" s="56" t="str">
        <f aca="false">IF($W197="","",N(INDEX(发票统计!K$4:K$1003,$W197)))</f>
        <v/>
      </c>
      <c r="L197" s="56" t="str">
        <f aca="false">IF($W197="","",SUM(J$4:J197)-SUM(K$4:K197))</f>
        <v/>
      </c>
      <c r="M197" s="56" t="str">
        <f aca="false">IF($W197="","",N(INDEX(发票统计!M$4:M$1003,$W197)))</f>
        <v/>
      </c>
      <c r="N197" s="56" t="str">
        <f aca="false">IF($W197="","",N(INDEX(发票统计!N$4:N$1003,$W197)))</f>
        <v/>
      </c>
      <c r="O197" s="56" t="str">
        <f aca="false">IF($W197="","",N(INDEX(发票统计!O$4:O$1003,$W197)))</f>
        <v/>
      </c>
      <c r="P197" s="56" t="str">
        <f aca="false">IF($W197="","",SUM(M$4:M197)-SUM(N$4:N197)-SUM(O$4:O197))</f>
        <v/>
      </c>
      <c r="Q197" s="56" t="str">
        <f aca="false">IF($W197="","",N(INDEX(发票统计!Q$4:Q$1003,$W197)))</f>
        <v/>
      </c>
      <c r="R197" s="56" t="str">
        <f aca="false">IF($W197="","",N(INDEX(发票统计!R$4:R$1003,$W197)))</f>
        <v/>
      </c>
      <c r="S197" s="56" t="str">
        <f aca="false">IF($W197="","",N(INDEX(发票统计!S$4:S$1003,$W197)))</f>
        <v/>
      </c>
      <c r="T197" s="56" t="str">
        <f aca="false">IF($W197="","",SUM(Q$4:Q197)-SUM(R$4:R197)-SUM(S$4:S197))</f>
        <v/>
      </c>
      <c r="U197" s="56" t="str">
        <f aca="false">IF($W197="","",INDEX(发票统计!U$4:U$1003,$W197)&amp;"")</f>
        <v/>
      </c>
      <c r="W197" s="1" t="str">
        <f aca="false">IF($V$3="","",IFERROR(MATCH($V$3&amp;"#"&amp;ROWS(W$4:W197),发票统计!$W$4:$W$1003,0),""))</f>
        <v/>
      </c>
    </row>
    <row r="198" customFormat="false" ht="16.5" hidden="false" customHeight="false" outlineLevel="0" collapsed="false">
      <c r="A198" s="3" t="str">
        <f aca="false">IF($W198="","",INDEX(发票统计!A$4:A$1003,$W198)&amp;"")</f>
        <v/>
      </c>
      <c r="B198" s="3" t="str">
        <f aca="false">IF($W198="","",INDEX(发票统计!B$4:B$1003,$W198)&amp;"")</f>
        <v/>
      </c>
      <c r="C198" s="3" t="str">
        <f aca="false">IF($W198="","",INDEX(发票统计!C$4:C$1003,$W198)&amp;"")</f>
        <v/>
      </c>
      <c r="D198" s="3" t="str">
        <f aca="false">IF($W198="","",INDEX(发票统计!D$4:D$1003,$W198)&amp;"")</f>
        <v/>
      </c>
      <c r="E198" s="67" t="str">
        <f aca="false">IF($W198="","",INDEX(发票统计!E$4:E$1003,$W198)&amp;"")</f>
        <v/>
      </c>
      <c r="F198" s="68" t="str">
        <f aca="false">IF($W198="","",INDEX(发票统计!F$4:F$1003,$W198)&amp;"")</f>
        <v/>
      </c>
      <c r="G198" s="68" t="str">
        <f aca="false">IF($W198="","",IF(INDEX(发票统计!G$4:G$1003,$W198)="","",INDEX(发票统计!G$4:G$1003,$W198)))</f>
        <v/>
      </c>
      <c r="H198" s="56" t="str">
        <f aca="false">IF($W198="","",N(INDEX(发票统计!H$4:H$1003,$W198)))</f>
        <v/>
      </c>
      <c r="I198" s="56" t="str">
        <f aca="false">IF($W198="","",N(INDEX(发票统计!I$4:I$1003,$W198)))</f>
        <v/>
      </c>
      <c r="J198" s="56" t="str">
        <f aca="false">IF($W198="","",N(INDEX(发票统计!J$4:J$1003,$W198)))</f>
        <v/>
      </c>
      <c r="K198" s="56" t="str">
        <f aca="false">IF($W198="","",N(INDEX(发票统计!K$4:K$1003,$W198)))</f>
        <v/>
      </c>
      <c r="L198" s="56" t="str">
        <f aca="false">IF($W198="","",SUM(J$4:J198)-SUM(K$4:K198))</f>
        <v/>
      </c>
      <c r="M198" s="56" t="str">
        <f aca="false">IF($W198="","",N(INDEX(发票统计!M$4:M$1003,$W198)))</f>
        <v/>
      </c>
      <c r="N198" s="56" t="str">
        <f aca="false">IF($W198="","",N(INDEX(发票统计!N$4:N$1003,$W198)))</f>
        <v/>
      </c>
      <c r="O198" s="56" t="str">
        <f aca="false">IF($W198="","",N(INDEX(发票统计!O$4:O$1003,$W198)))</f>
        <v/>
      </c>
      <c r="P198" s="56" t="str">
        <f aca="false">IF($W198="","",SUM(M$4:M198)-SUM(N$4:N198)-SUM(O$4:O198))</f>
        <v/>
      </c>
      <c r="Q198" s="56" t="str">
        <f aca="false">IF($W198="","",N(INDEX(发票统计!Q$4:Q$1003,$W198)))</f>
        <v/>
      </c>
      <c r="R198" s="56" t="str">
        <f aca="false">IF($W198="","",N(INDEX(发票统计!R$4:R$1003,$W198)))</f>
        <v/>
      </c>
      <c r="S198" s="56" t="str">
        <f aca="false">IF($W198="","",N(INDEX(发票统计!S$4:S$1003,$W198)))</f>
        <v/>
      </c>
      <c r="T198" s="56" t="str">
        <f aca="false">IF($W198="","",SUM(Q$4:Q198)-SUM(R$4:R198)-SUM(S$4:S198))</f>
        <v/>
      </c>
      <c r="U198" s="56" t="str">
        <f aca="false">IF($W198="","",INDEX(发票统计!U$4:U$1003,$W198)&amp;"")</f>
        <v/>
      </c>
      <c r="W198" s="1" t="str">
        <f aca="false">IF($V$3="","",IFERROR(MATCH($V$3&amp;"#"&amp;ROWS(W$4:W198),发票统计!$W$4:$W$1003,0),""))</f>
        <v/>
      </c>
    </row>
    <row r="199" customFormat="false" ht="16.5" hidden="false" customHeight="false" outlineLevel="0" collapsed="false">
      <c r="A199" s="3" t="str">
        <f aca="false">IF($W199="","",INDEX(发票统计!A$4:A$1003,$W199)&amp;"")</f>
        <v/>
      </c>
      <c r="B199" s="3" t="str">
        <f aca="false">IF($W199="","",INDEX(发票统计!B$4:B$1003,$W199)&amp;"")</f>
        <v/>
      </c>
      <c r="C199" s="3" t="str">
        <f aca="false">IF($W199="","",INDEX(发票统计!C$4:C$1003,$W199)&amp;"")</f>
        <v/>
      </c>
      <c r="D199" s="3" t="str">
        <f aca="false">IF($W199="","",INDEX(发票统计!D$4:D$1003,$W199)&amp;"")</f>
        <v/>
      </c>
      <c r="E199" s="67" t="str">
        <f aca="false">IF($W199="","",INDEX(发票统计!E$4:E$1003,$W199)&amp;"")</f>
        <v/>
      </c>
      <c r="F199" s="68" t="str">
        <f aca="false">IF($W199="","",INDEX(发票统计!F$4:F$1003,$W199)&amp;"")</f>
        <v/>
      </c>
      <c r="G199" s="68" t="str">
        <f aca="false">IF($W199="","",IF(INDEX(发票统计!G$4:G$1003,$W199)="","",INDEX(发票统计!G$4:G$1003,$W199)))</f>
        <v/>
      </c>
      <c r="H199" s="56" t="str">
        <f aca="false">IF($W199="","",N(INDEX(发票统计!H$4:H$1003,$W199)))</f>
        <v/>
      </c>
      <c r="I199" s="56" t="str">
        <f aca="false">IF($W199="","",N(INDEX(发票统计!I$4:I$1003,$W199)))</f>
        <v/>
      </c>
      <c r="J199" s="56" t="str">
        <f aca="false">IF($W199="","",N(INDEX(发票统计!J$4:J$1003,$W199)))</f>
        <v/>
      </c>
      <c r="K199" s="56" t="str">
        <f aca="false">IF($W199="","",N(INDEX(发票统计!K$4:K$1003,$W199)))</f>
        <v/>
      </c>
      <c r="L199" s="56" t="str">
        <f aca="false">IF($W199="","",SUM(J$4:J199)-SUM(K$4:K199))</f>
        <v/>
      </c>
      <c r="M199" s="56" t="str">
        <f aca="false">IF($W199="","",N(INDEX(发票统计!M$4:M$1003,$W199)))</f>
        <v/>
      </c>
      <c r="N199" s="56" t="str">
        <f aca="false">IF($W199="","",N(INDEX(发票统计!N$4:N$1003,$W199)))</f>
        <v/>
      </c>
      <c r="O199" s="56" t="str">
        <f aca="false">IF($W199="","",N(INDEX(发票统计!O$4:O$1003,$W199)))</f>
        <v/>
      </c>
      <c r="P199" s="56" t="str">
        <f aca="false">IF($W199="","",SUM(M$4:M199)-SUM(N$4:N199)-SUM(O$4:O199))</f>
        <v/>
      </c>
      <c r="Q199" s="56" t="str">
        <f aca="false">IF($W199="","",N(INDEX(发票统计!Q$4:Q$1003,$W199)))</f>
        <v/>
      </c>
      <c r="R199" s="56" t="str">
        <f aca="false">IF($W199="","",N(INDEX(发票统计!R$4:R$1003,$W199)))</f>
        <v/>
      </c>
      <c r="S199" s="56" t="str">
        <f aca="false">IF($W199="","",N(INDEX(发票统计!S$4:S$1003,$W199)))</f>
        <v/>
      </c>
      <c r="T199" s="56" t="str">
        <f aca="false">IF($W199="","",SUM(Q$4:Q199)-SUM(R$4:R199)-SUM(S$4:S199))</f>
        <v/>
      </c>
      <c r="U199" s="56" t="str">
        <f aca="false">IF($W199="","",INDEX(发票统计!U$4:U$1003,$W199)&amp;"")</f>
        <v/>
      </c>
      <c r="W199" s="1" t="str">
        <f aca="false">IF($V$3="","",IFERROR(MATCH($V$3&amp;"#"&amp;ROWS(W$4:W199),发票统计!$W$4:$W$1003,0),""))</f>
        <v/>
      </c>
    </row>
    <row r="200" customFormat="false" ht="16.5" hidden="false" customHeight="false" outlineLevel="0" collapsed="false">
      <c r="A200" s="3" t="str">
        <f aca="false">IF($W200="","",INDEX(发票统计!A$4:A$1003,$W200)&amp;"")</f>
        <v/>
      </c>
      <c r="B200" s="3" t="str">
        <f aca="false">IF($W200="","",INDEX(发票统计!B$4:B$1003,$W200)&amp;"")</f>
        <v/>
      </c>
      <c r="C200" s="3" t="str">
        <f aca="false">IF($W200="","",INDEX(发票统计!C$4:C$1003,$W200)&amp;"")</f>
        <v/>
      </c>
      <c r="D200" s="3" t="str">
        <f aca="false">IF($W200="","",INDEX(发票统计!D$4:D$1003,$W200)&amp;"")</f>
        <v/>
      </c>
      <c r="E200" s="67" t="str">
        <f aca="false">IF($W200="","",INDEX(发票统计!E$4:E$1003,$W200)&amp;"")</f>
        <v/>
      </c>
      <c r="F200" s="68" t="str">
        <f aca="false">IF($W200="","",INDEX(发票统计!F$4:F$1003,$W200)&amp;"")</f>
        <v/>
      </c>
      <c r="G200" s="68" t="str">
        <f aca="false">IF($W200="","",IF(INDEX(发票统计!G$4:G$1003,$W200)="","",INDEX(发票统计!G$4:G$1003,$W200)))</f>
        <v/>
      </c>
      <c r="H200" s="56" t="str">
        <f aca="false">IF($W200="","",N(INDEX(发票统计!H$4:H$1003,$W200)))</f>
        <v/>
      </c>
      <c r="I200" s="56" t="str">
        <f aca="false">IF($W200="","",N(INDEX(发票统计!I$4:I$1003,$W200)))</f>
        <v/>
      </c>
      <c r="J200" s="56" t="str">
        <f aca="false">IF($W200="","",N(INDEX(发票统计!J$4:J$1003,$W200)))</f>
        <v/>
      </c>
      <c r="K200" s="56" t="str">
        <f aca="false">IF($W200="","",N(INDEX(发票统计!K$4:K$1003,$W200)))</f>
        <v/>
      </c>
      <c r="L200" s="56" t="str">
        <f aca="false">IF($W200="","",SUM(J$4:J200)-SUM(K$4:K200))</f>
        <v/>
      </c>
      <c r="M200" s="56" t="str">
        <f aca="false">IF($W200="","",N(INDEX(发票统计!M$4:M$1003,$W200)))</f>
        <v/>
      </c>
      <c r="N200" s="56" t="str">
        <f aca="false">IF($W200="","",N(INDEX(发票统计!N$4:N$1003,$W200)))</f>
        <v/>
      </c>
      <c r="O200" s="56" t="str">
        <f aca="false">IF($W200="","",N(INDEX(发票统计!O$4:O$1003,$W200)))</f>
        <v/>
      </c>
      <c r="P200" s="56" t="str">
        <f aca="false">IF($W200="","",SUM(M$4:M200)-SUM(N$4:N200)-SUM(O$4:O200))</f>
        <v/>
      </c>
      <c r="Q200" s="56" t="str">
        <f aca="false">IF($W200="","",N(INDEX(发票统计!Q$4:Q$1003,$W200)))</f>
        <v/>
      </c>
      <c r="R200" s="56" t="str">
        <f aca="false">IF($W200="","",N(INDEX(发票统计!R$4:R$1003,$W200)))</f>
        <v/>
      </c>
      <c r="S200" s="56" t="str">
        <f aca="false">IF($W200="","",N(INDEX(发票统计!S$4:S$1003,$W200)))</f>
        <v/>
      </c>
      <c r="T200" s="56" t="str">
        <f aca="false">IF($W200="","",SUM(Q$4:Q200)-SUM(R$4:R200)-SUM(S$4:S200))</f>
        <v/>
      </c>
      <c r="U200" s="56" t="str">
        <f aca="false">IF($W200="","",INDEX(发票统计!U$4:U$1003,$W200)&amp;"")</f>
        <v/>
      </c>
      <c r="W200" s="1" t="str">
        <f aca="false">IF($V$3="","",IFERROR(MATCH($V$3&amp;"#"&amp;ROWS(W$4:W200),发票统计!$W$4:$W$1003,0),""))</f>
        <v/>
      </c>
    </row>
    <row r="201" customFormat="false" ht="16.5" hidden="false" customHeight="false" outlineLevel="0" collapsed="false">
      <c r="A201" s="3" t="str">
        <f aca="false">IF($W201="","",INDEX(发票统计!A$4:A$1003,$W201)&amp;"")</f>
        <v/>
      </c>
      <c r="B201" s="3" t="str">
        <f aca="false">IF($W201="","",INDEX(发票统计!B$4:B$1003,$W201)&amp;"")</f>
        <v/>
      </c>
      <c r="C201" s="3" t="str">
        <f aca="false">IF($W201="","",INDEX(发票统计!C$4:C$1003,$W201)&amp;"")</f>
        <v/>
      </c>
      <c r="D201" s="3" t="str">
        <f aca="false">IF($W201="","",INDEX(发票统计!D$4:D$1003,$W201)&amp;"")</f>
        <v/>
      </c>
      <c r="E201" s="67" t="str">
        <f aca="false">IF($W201="","",INDEX(发票统计!E$4:E$1003,$W201)&amp;"")</f>
        <v/>
      </c>
      <c r="F201" s="68" t="str">
        <f aca="false">IF($W201="","",INDEX(发票统计!F$4:F$1003,$W201)&amp;"")</f>
        <v/>
      </c>
      <c r="G201" s="68" t="str">
        <f aca="false">IF($W201="","",IF(INDEX(发票统计!G$4:G$1003,$W201)="","",INDEX(发票统计!G$4:G$1003,$W201)))</f>
        <v/>
      </c>
      <c r="H201" s="56" t="str">
        <f aca="false">IF($W201="","",N(INDEX(发票统计!H$4:H$1003,$W201)))</f>
        <v/>
      </c>
      <c r="I201" s="56" t="str">
        <f aca="false">IF($W201="","",N(INDEX(发票统计!I$4:I$1003,$W201)))</f>
        <v/>
      </c>
      <c r="J201" s="56" t="str">
        <f aca="false">IF($W201="","",N(INDEX(发票统计!J$4:J$1003,$W201)))</f>
        <v/>
      </c>
      <c r="K201" s="56" t="str">
        <f aca="false">IF($W201="","",N(INDEX(发票统计!K$4:K$1003,$W201)))</f>
        <v/>
      </c>
      <c r="L201" s="56" t="str">
        <f aca="false">IF($W201="","",SUM(J$4:J201)-SUM(K$4:K201))</f>
        <v/>
      </c>
      <c r="M201" s="56" t="str">
        <f aca="false">IF($W201="","",N(INDEX(发票统计!M$4:M$1003,$W201)))</f>
        <v/>
      </c>
      <c r="N201" s="56" t="str">
        <f aca="false">IF($W201="","",N(INDEX(发票统计!N$4:N$1003,$W201)))</f>
        <v/>
      </c>
      <c r="O201" s="56" t="str">
        <f aca="false">IF($W201="","",N(INDEX(发票统计!O$4:O$1003,$W201)))</f>
        <v/>
      </c>
      <c r="P201" s="56" t="str">
        <f aca="false">IF($W201="","",SUM(M$4:M201)-SUM(N$4:N201)-SUM(O$4:O201))</f>
        <v/>
      </c>
      <c r="Q201" s="56" t="str">
        <f aca="false">IF($W201="","",N(INDEX(发票统计!Q$4:Q$1003,$W201)))</f>
        <v/>
      </c>
      <c r="R201" s="56" t="str">
        <f aca="false">IF($W201="","",N(INDEX(发票统计!R$4:R$1003,$W201)))</f>
        <v/>
      </c>
      <c r="S201" s="56" t="str">
        <f aca="false">IF($W201="","",N(INDEX(发票统计!S$4:S$1003,$W201)))</f>
        <v/>
      </c>
      <c r="T201" s="56" t="str">
        <f aca="false">IF($W201="","",SUM(Q$4:Q201)-SUM(R$4:R201)-SUM(S$4:S201))</f>
        <v/>
      </c>
      <c r="U201" s="56" t="str">
        <f aca="false">IF($W201="","",INDEX(发票统计!U$4:U$1003,$W201)&amp;"")</f>
        <v/>
      </c>
      <c r="W201" s="1" t="str">
        <f aca="false">IF($V$3="","",IFERROR(MATCH($V$3&amp;"#"&amp;ROWS(W$4:W201),发票统计!$W$4:$W$1003,0),""))</f>
        <v/>
      </c>
    </row>
    <row r="202" customFormat="false" ht="16.5" hidden="false" customHeight="false" outlineLevel="0" collapsed="false">
      <c r="A202" s="3" t="str">
        <f aca="false">IF($W202="","",INDEX(发票统计!A$4:A$1003,$W202)&amp;"")</f>
        <v/>
      </c>
      <c r="B202" s="3" t="str">
        <f aca="false">IF($W202="","",INDEX(发票统计!B$4:B$1003,$W202)&amp;"")</f>
        <v/>
      </c>
      <c r="C202" s="3" t="str">
        <f aca="false">IF($W202="","",INDEX(发票统计!C$4:C$1003,$W202)&amp;"")</f>
        <v/>
      </c>
      <c r="D202" s="3" t="str">
        <f aca="false">IF($W202="","",INDEX(发票统计!D$4:D$1003,$W202)&amp;"")</f>
        <v/>
      </c>
      <c r="E202" s="67" t="str">
        <f aca="false">IF($W202="","",INDEX(发票统计!E$4:E$1003,$W202)&amp;"")</f>
        <v/>
      </c>
      <c r="F202" s="68" t="str">
        <f aca="false">IF($W202="","",INDEX(发票统计!F$4:F$1003,$W202)&amp;"")</f>
        <v/>
      </c>
      <c r="G202" s="68" t="str">
        <f aca="false">IF($W202="","",IF(INDEX(发票统计!G$4:G$1003,$W202)="","",INDEX(发票统计!G$4:G$1003,$W202)))</f>
        <v/>
      </c>
      <c r="H202" s="56" t="str">
        <f aca="false">IF($W202="","",N(INDEX(发票统计!H$4:H$1003,$W202)))</f>
        <v/>
      </c>
      <c r="I202" s="56" t="str">
        <f aca="false">IF($W202="","",N(INDEX(发票统计!I$4:I$1003,$W202)))</f>
        <v/>
      </c>
      <c r="J202" s="56" t="str">
        <f aca="false">IF($W202="","",N(INDEX(发票统计!J$4:J$1003,$W202)))</f>
        <v/>
      </c>
      <c r="K202" s="56" t="str">
        <f aca="false">IF($W202="","",N(INDEX(发票统计!K$4:K$1003,$W202)))</f>
        <v/>
      </c>
      <c r="L202" s="56" t="str">
        <f aca="false">IF($W202="","",SUM(J$4:J202)-SUM(K$4:K202))</f>
        <v/>
      </c>
      <c r="M202" s="56" t="str">
        <f aca="false">IF($W202="","",N(INDEX(发票统计!M$4:M$1003,$W202)))</f>
        <v/>
      </c>
      <c r="N202" s="56" t="str">
        <f aca="false">IF($W202="","",N(INDEX(发票统计!N$4:N$1003,$W202)))</f>
        <v/>
      </c>
      <c r="O202" s="56" t="str">
        <f aca="false">IF($W202="","",N(INDEX(发票统计!O$4:O$1003,$W202)))</f>
        <v/>
      </c>
      <c r="P202" s="56" t="str">
        <f aca="false">IF($W202="","",SUM(M$4:M202)-SUM(N$4:N202)-SUM(O$4:O202))</f>
        <v/>
      </c>
      <c r="Q202" s="56" t="str">
        <f aca="false">IF($W202="","",N(INDEX(发票统计!Q$4:Q$1003,$W202)))</f>
        <v/>
      </c>
      <c r="R202" s="56" t="str">
        <f aca="false">IF($W202="","",N(INDEX(发票统计!R$4:R$1003,$W202)))</f>
        <v/>
      </c>
      <c r="S202" s="56" t="str">
        <f aca="false">IF($W202="","",N(INDEX(发票统计!S$4:S$1003,$W202)))</f>
        <v/>
      </c>
      <c r="T202" s="56" t="str">
        <f aca="false">IF($W202="","",SUM(Q$4:Q202)-SUM(R$4:R202)-SUM(S$4:S202))</f>
        <v/>
      </c>
      <c r="U202" s="56" t="str">
        <f aca="false">IF($W202="","",INDEX(发票统计!U$4:U$1003,$W202)&amp;"")</f>
        <v/>
      </c>
      <c r="W202" s="1" t="str">
        <f aca="false">IF($V$3="","",IFERROR(MATCH($V$3&amp;"#"&amp;ROWS(W$4:W202),发票统计!$W$4:$W$1003,0),""))</f>
        <v/>
      </c>
    </row>
    <row r="203" customFormat="false" ht="16.5" hidden="false" customHeight="false" outlineLevel="0" collapsed="false">
      <c r="A203" s="3" t="str">
        <f aca="false">IF($W203="","",INDEX(发票统计!A$4:A$1003,$W203)&amp;"")</f>
        <v/>
      </c>
      <c r="B203" s="3" t="str">
        <f aca="false">IF($W203="","",INDEX(发票统计!B$4:B$1003,$W203)&amp;"")</f>
        <v/>
      </c>
      <c r="C203" s="3" t="str">
        <f aca="false">IF($W203="","",INDEX(发票统计!C$4:C$1003,$W203)&amp;"")</f>
        <v/>
      </c>
      <c r="D203" s="3" t="str">
        <f aca="false">IF($W203="","",INDEX(发票统计!D$4:D$1003,$W203)&amp;"")</f>
        <v/>
      </c>
      <c r="E203" s="67" t="str">
        <f aca="false">IF($W203="","",INDEX(发票统计!E$4:E$1003,$W203)&amp;"")</f>
        <v/>
      </c>
      <c r="F203" s="68" t="str">
        <f aca="false">IF($W203="","",INDEX(发票统计!F$4:F$1003,$W203)&amp;"")</f>
        <v/>
      </c>
      <c r="G203" s="68" t="str">
        <f aca="false">IF($W203="","",IF(INDEX(发票统计!G$4:G$1003,$W203)="","",INDEX(发票统计!G$4:G$1003,$W203)))</f>
        <v/>
      </c>
      <c r="H203" s="56" t="str">
        <f aca="false">IF($W203="","",N(INDEX(发票统计!H$4:H$1003,$W203)))</f>
        <v/>
      </c>
      <c r="I203" s="56" t="str">
        <f aca="false">IF($W203="","",N(INDEX(发票统计!I$4:I$1003,$W203)))</f>
        <v/>
      </c>
      <c r="J203" s="56" t="str">
        <f aca="false">IF($W203="","",N(INDEX(发票统计!J$4:J$1003,$W203)))</f>
        <v/>
      </c>
      <c r="K203" s="56" t="str">
        <f aca="false">IF($W203="","",N(INDEX(发票统计!K$4:K$1003,$W203)))</f>
        <v/>
      </c>
      <c r="L203" s="56" t="str">
        <f aca="false">IF($W203="","",SUM(J$4:J203)-SUM(K$4:K203))</f>
        <v/>
      </c>
      <c r="M203" s="56" t="str">
        <f aca="false">IF($W203="","",N(INDEX(发票统计!M$4:M$1003,$W203)))</f>
        <v/>
      </c>
      <c r="N203" s="56" t="str">
        <f aca="false">IF($W203="","",N(INDEX(发票统计!N$4:N$1003,$W203)))</f>
        <v/>
      </c>
      <c r="O203" s="56" t="str">
        <f aca="false">IF($W203="","",N(INDEX(发票统计!O$4:O$1003,$W203)))</f>
        <v/>
      </c>
      <c r="P203" s="56" t="str">
        <f aca="false">IF($W203="","",SUM(M$4:M203)-SUM(N$4:N203)-SUM(O$4:O203))</f>
        <v/>
      </c>
      <c r="Q203" s="56" t="str">
        <f aca="false">IF($W203="","",N(INDEX(发票统计!Q$4:Q$1003,$W203)))</f>
        <v/>
      </c>
      <c r="R203" s="56" t="str">
        <f aca="false">IF($W203="","",N(INDEX(发票统计!R$4:R$1003,$W203)))</f>
        <v/>
      </c>
      <c r="S203" s="56" t="str">
        <f aca="false">IF($W203="","",N(INDEX(发票统计!S$4:S$1003,$W203)))</f>
        <v/>
      </c>
      <c r="T203" s="56" t="str">
        <f aca="false">IF($W203="","",SUM(Q$4:Q203)-SUM(R$4:R203)-SUM(S$4:S203))</f>
        <v/>
      </c>
      <c r="U203" s="56" t="str">
        <f aca="false">IF($W203="","",INDEX(发票统计!U$4:U$1003,$W203)&amp;"")</f>
        <v/>
      </c>
      <c r="W203" s="1" t="str">
        <f aca="false">IF($V$3="","",IFERROR(MATCH($V$3&amp;"#"&amp;ROWS(W$4:W203),发票统计!$W$4:$W$1003,0),""))</f>
        <v/>
      </c>
    </row>
    <row r="204" customFormat="false" ht="16.5" hidden="false" customHeight="false" outlineLevel="0" collapsed="false">
      <c r="A204" s="3" t="str">
        <f aca="false">IF($W204="","",INDEX(发票统计!A$4:A$1003,$W204)&amp;"")</f>
        <v/>
      </c>
      <c r="B204" s="3" t="str">
        <f aca="false">IF($W204="","",INDEX(发票统计!B$4:B$1003,$W204)&amp;"")</f>
        <v/>
      </c>
      <c r="C204" s="3" t="str">
        <f aca="false">IF($W204="","",INDEX(发票统计!C$4:C$1003,$W204)&amp;"")</f>
        <v/>
      </c>
      <c r="D204" s="3" t="str">
        <f aca="false">IF($W204="","",INDEX(发票统计!D$4:D$1003,$W204)&amp;"")</f>
        <v/>
      </c>
      <c r="E204" s="67" t="str">
        <f aca="false">IF($W204="","",INDEX(发票统计!E$4:E$1003,$W204)&amp;"")</f>
        <v/>
      </c>
      <c r="F204" s="68" t="str">
        <f aca="false">IF($W204="","",INDEX(发票统计!F$4:F$1003,$W204)&amp;"")</f>
        <v/>
      </c>
      <c r="G204" s="68" t="str">
        <f aca="false">IF($W204="","",IF(INDEX(发票统计!G$4:G$1003,$W204)="","",INDEX(发票统计!G$4:G$1003,$W204)))</f>
        <v/>
      </c>
      <c r="H204" s="56" t="str">
        <f aca="false">IF($W204="","",N(INDEX(发票统计!H$4:H$1003,$W204)))</f>
        <v/>
      </c>
      <c r="I204" s="56" t="str">
        <f aca="false">IF($W204="","",N(INDEX(发票统计!I$4:I$1003,$W204)))</f>
        <v/>
      </c>
      <c r="J204" s="56" t="str">
        <f aca="false">IF($W204="","",N(INDEX(发票统计!J$4:J$1003,$W204)))</f>
        <v/>
      </c>
      <c r="K204" s="56" t="str">
        <f aca="false">IF($W204="","",N(INDEX(发票统计!K$4:K$1003,$W204)))</f>
        <v/>
      </c>
      <c r="L204" s="56" t="str">
        <f aca="false">IF($W204="","",SUM(J$4:J204)-SUM(K$4:K204))</f>
        <v/>
      </c>
      <c r="M204" s="56" t="str">
        <f aca="false">IF($W204="","",N(INDEX(发票统计!M$4:M$1003,$W204)))</f>
        <v/>
      </c>
      <c r="N204" s="56" t="str">
        <f aca="false">IF($W204="","",N(INDEX(发票统计!N$4:N$1003,$W204)))</f>
        <v/>
      </c>
      <c r="O204" s="56" t="str">
        <f aca="false">IF($W204="","",N(INDEX(发票统计!O$4:O$1003,$W204)))</f>
        <v/>
      </c>
      <c r="P204" s="56" t="str">
        <f aca="false">IF($W204="","",SUM(M$4:M204)-SUM(N$4:N204)-SUM(O$4:O204))</f>
        <v/>
      </c>
      <c r="Q204" s="56" t="str">
        <f aca="false">IF($W204="","",N(INDEX(发票统计!Q$4:Q$1003,$W204)))</f>
        <v/>
      </c>
      <c r="R204" s="56" t="str">
        <f aca="false">IF($W204="","",N(INDEX(发票统计!R$4:R$1003,$W204)))</f>
        <v/>
      </c>
      <c r="S204" s="56" t="str">
        <f aca="false">IF($W204="","",N(INDEX(发票统计!S$4:S$1003,$W204)))</f>
        <v/>
      </c>
      <c r="T204" s="56" t="str">
        <f aca="false">IF($W204="","",SUM(Q$4:Q204)-SUM(R$4:R204)-SUM(S$4:S204))</f>
        <v/>
      </c>
      <c r="U204" s="56" t="str">
        <f aca="false">IF($W204="","",INDEX(发票统计!U$4:U$1003,$W204)&amp;"")</f>
        <v/>
      </c>
      <c r="W204" s="1" t="str">
        <f aca="false">IF($V$3="","",IFERROR(MATCH($V$3&amp;"#"&amp;ROWS(W$4:W204),发票统计!$W$4:$W$1003,0),""))</f>
        <v/>
      </c>
    </row>
    <row r="205" customFormat="false" ht="16.5" hidden="false" customHeight="false" outlineLevel="0" collapsed="false">
      <c r="A205" s="3" t="str">
        <f aca="false">IF($W205="","",INDEX(发票统计!A$4:A$1003,$W205)&amp;"")</f>
        <v/>
      </c>
      <c r="B205" s="3" t="str">
        <f aca="false">IF($W205="","",INDEX(发票统计!B$4:B$1003,$W205)&amp;"")</f>
        <v/>
      </c>
      <c r="C205" s="3" t="str">
        <f aca="false">IF($W205="","",INDEX(发票统计!C$4:C$1003,$W205)&amp;"")</f>
        <v/>
      </c>
      <c r="D205" s="3" t="str">
        <f aca="false">IF($W205="","",INDEX(发票统计!D$4:D$1003,$W205)&amp;"")</f>
        <v/>
      </c>
      <c r="E205" s="67" t="str">
        <f aca="false">IF($W205="","",INDEX(发票统计!E$4:E$1003,$W205)&amp;"")</f>
        <v/>
      </c>
      <c r="F205" s="68" t="str">
        <f aca="false">IF($W205="","",INDEX(发票统计!F$4:F$1003,$W205)&amp;"")</f>
        <v/>
      </c>
      <c r="G205" s="68" t="str">
        <f aca="false">IF($W205="","",IF(INDEX(发票统计!G$4:G$1003,$W205)="","",INDEX(发票统计!G$4:G$1003,$W205)))</f>
        <v/>
      </c>
      <c r="H205" s="56" t="str">
        <f aca="false">IF($W205="","",N(INDEX(发票统计!H$4:H$1003,$W205)))</f>
        <v/>
      </c>
      <c r="I205" s="56" t="str">
        <f aca="false">IF($W205="","",N(INDEX(发票统计!I$4:I$1003,$W205)))</f>
        <v/>
      </c>
      <c r="J205" s="56" t="str">
        <f aca="false">IF($W205="","",N(INDEX(发票统计!J$4:J$1003,$W205)))</f>
        <v/>
      </c>
      <c r="K205" s="56" t="str">
        <f aca="false">IF($W205="","",N(INDEX(发票统计!K$4:K$1003,$W205)))</f>
        <v/>
      </c>
      <c r="L205" s="56" t="str">
        <f aca="false">IF($W205="","",SUM(J$4:J205)-SUM(K$4:K205))</f>
        <v/>
      </c>
      <c r="M205" s="56" t="str">
        <f aca="false">IF($W205="","",N(INDEX(发票统计!M$4:M$1003,$W205)))</f>
        <v/>
      </c>
      <c r="N205" s="56" t="str">
        <f aca="false">IF($W205="","",N(INDEX(发票统计!N$4:N$1003,$W205)))</f>
        <v/>
      </c>
      <c r="O205" s="56" t="str">
        <f aca="false">IF($W205="","",N(INDEX(发票统计!O$4:O$1003,$W205)))</f>
        <v/>
      </c>
      <c r="P205" s="56" t="str">
        <f aca="false">IF($W205="","",SUM(M$4:M205)-SUM(N$4:N205)-SUM(O$4:O205))</f>
        <v/>
      </c>
      <c r="Q205" s="56" t="str">
        <f aca="false">IF($W205="","",N(INDEX(发票统计!Q$4:Q$1003,$W205)))</f>
        <v/>
      </c>
      <c r="R205" s="56" t="str">
        <f aca="false">IF($W205="","",N(INDEX(发票统计!R$4:R$1003,$W205)))</f>
        <v/>
      </c>
      <c r="S205" s="56" t="str">
        <f aca="false">IF($W205="","",N(INDEX(发票统计!S$4:S$1003,$W205)))</f>
        <v/>
      </c>
      <c r="T205" s="56" t="str">
        <f aca="false">IF($W205="","",SUM(Q$4:Q205)-SUM(R$4:R205)-SUM(S$4:S205))</f>
        <v/>
      </c>
      <c r="U205" s="56" t="str">
        <f aca="false">IF($W205="","",INDEX(发票统计!U$4:U$1003,$W205)&amp;"")</f>
        <v/>
      </c>
      <c r="W205" s="1" t="str">
        <f aca="false">IF($V$3="","",IFERROR(MATCH($V$3&amp;"#"&amp;ROWS(W$4:W205),发票统计!$W$4:$W$1003,0),""))</f>
        <v/>
      </c>
    </row>
    <row r="206" customFormat="false" ht="16.5" hidden="false" customHeight="false" outlineLevel="0" collapsed="false">
      <c r="A206" s="3" t="str">
        <f aca="false">IF($W206="","",INDEX(发票统计!A$4:A$1003,$W206)&amp;"")</f>
        <v/>
      </c>
      <c r="B206" s="3" t="str">
        <f aca="false">IF($W206="","",INDEX(发票统计!B$4:B$1003,$W206)&amp;"")</f>
        <v/>
      </c>
      <c r="C206" s="3" t="str">
        <f aca="false">IF($W206="","",INDEX(发票统计!C$4:C$1003,$W206)&amp;"")</f>
        <v/>
      </c>
      <c r="D206" s="3" t="str">
        <f aca="false">IF($W206="","",INDEX(发票统计!D$4:D$1003,$W206)&amp;"")</f>
        <v/>
      </c>
      <c r="E206" s="67" t="str">
        <f aca="false">IF($W206="","",INDEX(发票统计!E$4:E$1003,$W206)&amp;"")</f>
        <v/>
      </c>
      <c r="F206" s="68" t="str">
        <f aca="false">IF($W206="","",INDEX(发票统计!F$4:F$1003,$W206)&amp;"")</f>
        <v/>
      </c>
      <c r="G206" s="68" t="str">
        <f aca="false">IF($W206="","",IF(INDEX(发票统计!G$4:G$1003,$W206)="","",INDEX(发票统计!G$4:G$1003,$W206)))</f>
        <v/>
      </c>
      <c r="H206" s="56" t="str">
        <f aca="false">IF($W206="","",N(INDEX(发票统计!H$4:H$1003,$W206)))</f>
        <v/>
      </c>
      <c r="I206" s="56" t="str">
        <f aca="false">IF($W206="","",N(INDEX(发票统计!I$4:I$1003,$W206)))</f>
        <v/>
      </c>
      <c r="J206" s="56" t="str">
        <f aca="false">IF($W206="","",N(INDEX(发票统计!J$4:J$1003,$W206)))</f>
        <v/>
      </c>
      <c r="K206" s="56" t="str">
        <f aca="false">IF($W206="","",N(INDEX(发票统计!K$4:K$1003,$W206)))</f>
        <v/>
      </c>
      <c r="L206" s="56" t="str">
        <f aca="false">IF($W206="","",SUM(J$4:J206)-SUM(K$4:K206))</f>
        <v/>
      </c>
      <c r="M206" s="56" t="str">
        <f aca="false">IF($W206="","",N(INDEX(发票统计!M$4:M$1003,$W206)))</f>
        <v/>
      </c>
      <c r="N206" s="56" t="str">
        <f aca="false">IF($W206="","",N(INDEX(发票统计!N$4:N$1003,$W206)))</f>
        <v/>
      </c>
      <c r="O206" s="56" t="str">
        <f aca="false">IF($W206="","",N(INDEX(发票统计!O$4:O$1003,$W206)))</f>
        <v/>
      </c>
      <c r="P206" s="56" t="str">
        <f aca="false">IF($W206="","",SUM(M$4:M206)-SUM(N$4:N206)-SUM(O$4:O206))</f>
        <v/>
      </c>
      <c r="Q206" s="56" t="str">
        <f aca="false">IF($W206="","",N(INDEX(发票统计!Q$4:Q$1003,$W206)))</f>
        <v/>
      </c>
      <c r="R206" s="56" t="str">
        <f aca="false">IF($W206="","",N(INDEX(发票统计!R$4:R$1003,$W206)))</f>
        <v/>
      </c>
      <c r="S206" s="56" t="str">
        <f aca="false">IF($W206="","",N(INDEX(发票统计!S$4:S$1003,$W206)))</f>
        <v/>
      </c>
      <c r="T206" s="56" t="str">
        <f aca="false">IF($W206="","",SUM(Q$4:Q206)-SUM(R$4:R206)-SUM(S$4:S206))</f>
        <v/>
      </c>
      <c r="U206" s="56" t="str">
        <f aca="false">IF($W206="","",INDEX(发票统计!U$4:U$1003,$W206)&amp;"")</f>
        <v/>
      </c>
      <c r="W206" s="1" t="str">
        <f aca="false">IF($V$3="","",IFERROR(MATCH($V$3&amp;"#"&amp;ROWS(W$4:W206),发票统计!$W$4:$W$1003,0),""))</f>
        <v/>
      </c>
    </row>
    <row r="207" customFormat="false" ht="16.5" hidden="false" customHeight="false" outlineLevel="0" collapsed="false">
      <c r="A207" s="3" t="str">
        <f aca="false">IF($W207="","",INDEX(发票统计!A$4:A$1003,$W207)&amp;"")</f>
        <v/>
      </c>
      <c r="B207" s="3" t="str">
        <f aca="false">IF($W207="","",INDEX(发票统计!B$4:B$1003,$W207)&amp;"")</f>
        <v/>
      </c>
      <c r="C207" s="3" t="str">
        <f aca="false">IF($W207="","",INDEX(发票统计!C$4:C$1003,$W207)&amp;"")</f>
        <v/>
      </c>
      <c r="D207" s="3" t="str">
        <f aca="false">IF($W207="","",INDEX(发票统计!D$4:D$1003,$W207)&amp;"")</f>
        <v/>
      </c>
      <c r="E207" s="67" t="str">
        <f aca="false">IF($W207="","",INDEX(发票统计!E$4:E$1003,$W207)&amp;"")</f>
        <v/>
      </c>
      <c r="F207" s="68" t="str">
        <f aca="false">IF($W207="","",INDEX(发票统计!F$4:F$1003,$W207)&amp;"")</f>
        <v/>
      </c>
      <c r="G207" s="68" t="str">
        <f aca="false">IF($W207="","",IF(INDEX(发票统计!G$4:G$1003,$W207)="","",INDEX(发票统计!G$4:G$1003,$W207)))</f>
        <v/>
      </c>
      <c r="H207" s="56" t="str">
        <f aca="false">IF($W207="","",N(INDEX(发票统计!H$4:H$1003,$W207)))</f>
        <v/>
      </c>
      <c r="I207" s="56" t="str">
        <f aca="false">IF($W207="","",N(INDEX(发票统计!I$4:I$1003,$W207)))</f>
        <v/>
      </c>
      <c r="J207" s="56" t="str">
        <f aca="false">IF($W207="","",N(INDEX(发票统计!J$4:J$1003,$W207)))</f>
        <v/>
      </c>
      <c r="K207" s="56" t="str">
        <f aca="false">IF($W207="","",N(INDEX(发票统计!K$4:K$1003,$W207)))</f>
        <v/>
      </c>
      <c r="L207" s="56" t="str">
        <f aca="false">IF($W207="","",SUM(J$4:J207)-SUM(K$4:K207))</f>
        <v/>
      </c>
      <c r="M207" s="56" t="str">
        <f aca="false">IF($W207="","",N(INDEX(发票统计!M$4:M$1003,$W207)))</f>
        <v/>
      </c>
      <c r="N207" s="56" t="str">
        <f aca="false">IF($W207="","",N(INDEX(发票统计!N$4:N$1003,$W207)))</f>
        <v/>
      </c>
      <c r="O207" s="56" t="str">
        <f aca="false">IF($W207="","",N(INDEX(发票统计!O$4:O$1003,$W207)))</f>
        <v/>
      </c>
      <c r="P207" s="56" t="str">
        <f aca="false">IF($W207="","",SUM(M$4:M207)-SUM(N$4:N207)-SUM(O$4:O207))</f>
        <v/>
      </c>
      <c r="Q207" s="56" t="str">
        <f aca="false">IF($W207="","",N(INDEX(发票统计!Q$4:Q$1003,$W207)))</f>
        <v/>
      </c>
      <c r="R207" s="56" t="str">
        <f aca="false">IF($W207="","",N(INDEX(发票统计!R$4:R$1003,$W207)))</f>
        <v/>
      </c>
      <c r="S207" s="56" t="str">
        <f aca="false">IF($W207="","",N(INDEX(发票统计!S$4:S$1003,$W207)))</f>
        <v/>
      </c>
      <c r="T207" s="56" t="str">
        <f aca="false">IF($W207="","",SUM(Q$4:Q207)-SUM(R$4:R207)-SUM(S$4:S207))</f>
        <v/>
      </c>
      <c r="U207" s="56" t="str">
        <f aca="false">IF($W207="","",INDEX(发票统计!U$4:U$1003,$W207)&amp;"")</f>
        <v/>
      </c>
      <c r="W207" s="1" t="str">
        <f aca="false">IF($V$3="","",IFERROR(MATCH($V$3&amp;"#"&amp;ROWS(W$4:W207),发票统计!$W$4:$W$1003,0),""))</f>
        <v/>
      </c>
    </row>
    <row r="208" customFormat="false" ht="16.5" hidden="false" customHeight="false" outlineLevel="0" collapsed="false">
      <c r="A208" s="3" t="str">
        <f aca="false">IF($W208="","",INDEX(发票统计!A$4:A$1003,$W208)&amp;"")</f>
        <v/>
      </c>
      <c r="B208" s="3" t="str">
        <f aca="false">IF($W208="","",INDEX(发票统计!B$4:B$1003,$W208)&amp;"")</f>
        <v/>
      </c>
      <c r="C208" s="3" t="str">
        <f aca="false">IF($W208="","",INDEX(发票统计!C$4:C$1003,$W208)&amp;"")</f>
        <v/>
      </c>
      <c r="D208" s="3" t="str">
        <f aca="false">IF($W208="","",INDEX(发票统计!D$4:D$1003,$W208)&amp;"")</f>
        <v/>
      </c>
      <c r="E208" s="67" t="str">
        <f aca="false">IF($W208="","",INDEX(发票统计!E$4:E$1003,$W208)&amp;"")</f>
        <v/>
      </c>
      <c r="F208" s="68" t="str">
        <f aca="false">IF($W208="","",INDEX(发票统计!F$4:F$1003,$W208)&amp;"")</f>
        <v/>
      </c>
      <c r="G208" s="68" t="str">
        <f aca="false">IF($W208="","",IF(INDEX(发票统计!G$4:G$1003,$W208)="","",INDEX(发票统计!G$4:G$1003,$W208)))</f>
        <v/>
      </c>
      <c r="H208" s="56" t="str">
        <f aca="false">IF($W208="","",N(INDEX(发票统计!H$4:H$1003,$W208)))</f>
        <v/>
      </c>
      <c r="I208" s="56" t="str">
        <f aca="false">IF($W208="","",N(INDEX(发票统计!I$4:I$1003,$W208)))</f>
        <v/>
      </c>
      <c r="J208" s="56" t="str">
        <f aca="false">IF($W208="","",N(INDEX(发票统计!J$4:J$1003,$W208)))</f>
        <v/>
      </c>
      <c r="K208" s="56" t="str">
        <f aca="false">IF($W208="","",N(INDEX(发票统计!K$4:K$1003,$W208)))</f>
        <v/>
      </c>
      <c r="L208" s="56" t="str">
        <f aca="false">IF($W208="","",SUM(J$4:J208)-SUM(K$4:K208))</f>
        <v/>
      </c>
      <c r="M208" s="56" t="str">
        <f aca="false">IF($W208="","",N(INDEX(发票统计!M$4:M$1003,$W208)))</f>
        <v/>
      </c>
      <c r="N208" s="56" t="str">
        <f aca="false">IF($W208="","",N(INDEX(发票统计!N$4:N$1003,$W208)))</f>
        <v/>
      </c>
      <c r="O208" s="56" t="str">
        <f aca="false">IF($W208="","",N(INDEX(发票统计!O$4:O$1003,$W208)))</f>
        <v/>
      </c>
      <c r="P208" s="56" t="str">
        <f aca="false">IF($W208="","",SUM(M$4:M208)-SUM(N$4:N208)-SUM(O$4:O208))</f>
        <v/>
      </c>
      <c r="Q208" s="56" t="str">
        <f aca="false">IF($W208="","",N(INDEX(发票统计!Q$4:Q$1003,$W208)))</f>
        <v/>
      </c>
      <c r="R208" s="56" t="str">
        <f aca="false">IF($W208="","",N(INDEX(发票统计!R$4:R$1003,$W208)))</f>
        <v/>
      </c>
      <c r="S208" s="56" t="str">
        <f aca="false">IF($W208="","",N(INDEX(发票统计!S$4:S$1003,$W208)))</f>
        <v/>
      </c>
      <c r="T208" s="56" t="str">
        <f aca="false">IF($W208="","",SUM(Q$4:Q208)-SUM(R$4:R208)-SUM(S$4:S208))</f>
        <v/>
      </c>
      <c r="U208" s="56" t="str">
        <f aca="false">IF($W208="","",INDEX(发票统计!U$4:U$1003,$W208)&amp;"")</f>
        <v/>
      </c>
      <c r="W208" s="1" t="str">
        <f aca="false">IF($V$3="","",IFERROR(MATCH($V$3&amp;"#"&amp;ROWS(W$4:W208),发票统计!$W$4:$W$1003,0),""))</f>
        <v/>
      </c>
    </row>
    <row r="209" customFormat="false" ht="16.5" hidden="false" customHeight="false" outlineLevel="0" collapsed="false">
      <c r="A209" s="3" t="str">
        <f aca="false">IF($W209="","",INDEX(发票统计!A$4:A$1003,$W209)&amp;"")</f>
        <v/>
      </c>
      <c r="B209" s="3" t="str">
        <f aca="false">IF($W209="","",INDEX(发票统计!B$4:B$1003,$W209)&amp;"")</f>
        <v/>
      </c>
      <c r="C209" s="3" t="str">
        <f aca="false">IF($W209="","",INDEX(发票统计!C$4:C$1003,$W209)&amp;"")</f>
        <v/>
      </c>
      <c r="D209" s="3" t="str">
        <f aca="false">IF($W209="","",INDEX(发票统计!D$4:D$1003,$W209)&amp;"")</f>
        <v/>
      </c>
      <c r="E209" s="67" t="str">
        <f aca="false">IF($W209="","",INDEX(发票统计!E$4:E$1003,$W209)&amp;"")</f>
        <v/>
      </c>
      <c r="F209" s="68" t="str">
        <f aca="false">IF($W209="","",INDEX(发票统计!F$4:F$1003,$W209)&amp;"")</f>
        <v/>
      </c>
      <c r="G209" s="68" t="str">
        <f aca="false">IF($W209="","",IF(INDEX(发票统计!G$4:G$1003,$W209)="","",INDEX(发票统计!G$4:G$1003,$W209)))</f>
        <v/>
      </c>
      <c r="H209" s="56" t="str">
        <f aca="false">IF($W209="","",N(INDEX(发票统计!H$4:H$1003,$W209)))</f>
        <v/>
      </c>
      <c r="I209" s="56" t="str">
        <f aca="false">IF($W209="","",N(INDEX(发票统计!I$4:I$1003,$W209)))</f>
        <v/>
      </c>
      <c r="J209" s="56" t="str">
        <f aca="false">IF($W209="","",N(INDEX(发票统计!J$4:J$1003,$W209)))</f>
        <v/>
      </c>
      <c r="K209" s="56" t="str">
        <f aca="false">IF($W209="","",N(INDEX(发票统计!K$4:K$1003,$W209)))</f>
        <v/>
      </c>
      <c r="L209" s="56" t="str">
        <f aca="false">IF($W209="","",SUM(J$4:J209)-SUM(K$4:K209))</f>
        <v/>
      </c>
      <c r="M209" s="56" t="str">
        <f aca="false">IF($W209="","",N(INDEX(发票统计!M$4:M$1003,$W209)))</f>
        <v/>
      </c>
      <c r="N209" s="56" t="str">
        <f aca="false">IF($W209="","",N(INDEX(发票统计!N$4:N$1003,$W209)))</f>
        <v/>
      </c>
      <c r="O209" s="56" t="str">
        <f aca="false">IF($W209="","",N(INDEX(发票统计!O$4:O$1003,$W209)))</f>
        <v/>
      </c>
      <c r="P209" s="56" t="str">
        <f aca="false">IF($W209="","",SUM(M$4:M209)-SUM(N$4:N209)-SUM(O$4:O209))</f>
        <v/>
      </c>
      <c r="Q209" s="56" t="str">
        <f aca="false">IF($W209="","",N(INDEX(发票统计!Q$4:Q$1003,$W209)))</f>
        <v/>
      </c>
      <c r="R209" s="56" t="str">
        <f aca="false">IF($W209="","",N(INDEX(发票统计!R$4:R$1003,$W209)))</f>
        <v/>
      </c>
      <c r="S209" s="56" t="str">
        <f aca="false">IF($W209="","",N(INDEX(发票统计!S$4:S$1003,$W209)))</f>
        <v/>
      </c>
      <c r="T209" s="56" t="str">
        <f aca="false">IF($W209="","",SUM(Q$4:Q209)-SUM(R$4:R209)-SUM(S$4:S209))</f>
        <v/>
      </c>
      <c r="U209" s="56" t="str">
        <f aca="false">IF($W209="","",INDEX(发票统计!U$4:U$1003,$W209)&amp;"")</f>
        <v/>
      </c>
      <c r="W209" s="1" t="str">
        <f aca="false">IF($V$3="","",IFERROR(MATCH($V$3&amp;"#"&amp;ROWS(W$4:W209),发票统计!$W$4:$W$1003,0),""))</f>
        <v/>
      </c>
    </row>
    <row r="210" customFormat="false" ht="16.5" hidden="false" customHeight="false" outlineLevel="0" collapsed="false">
      <c r="A210" s="3" t="str">
        <f aca="false">IF($W210="","",INDEX(发票统计!A$4:A$1003,$W210)&amp;"")</f>
        <v/>
      </c>
      <c r="B210" s="3" t="str">
        <f aca="false">IF($W210="","",INDEX(发票统计!B$4:B$1003,$W210)&amp;"")</f>
        <v/>
      </c>
      <c r="C210" s="3" t="str">
        <f aca="false">IF($W210="","",INDEX(发票统计!C$4:C$1003,$W210)&amp;"")</f>
        <v/>
      </c>
      <c r="D210" s="3" t="str">
        <f aca="false">IF($W210="","",INDEX(发票统计!D$4:D$1003,$W210)&amp;"")</f>
        <v/>
      </c>
      <c r="E210" s="67" t="str">
        <f aca="false">IF($W210="","",INDEX(发票统计!E$4:E$1003,$W210)&amp;"")</f>
        <v/>
      </c>
      <c r="F210" s="68" t="str">
        <f aca="false">IF($W210="","",INDEX(发票统计!F$4:F$1003,$W210)&amp;"")</f>
        <v/>
      </c>
      <c r="G210" s="68" t="str">
        <f aca="false">IF($W210="","",IF(INDEX(发票统计!G$4:G$1003,$W210)="","",INDEX(发票统计!G$4:G$1003,$W210)))</f>
        <v/>
      </c>
      <c r="H210" s="56" t="str">
        <f aca="false">IF($W210="","",N(INDEX(发票统计!H$4:H$1003,$W210)))</f>
        <v/>
      </c>
      <c r="I210" s="56" t="str">
        <f aca="false">IF($W210="","",N(INDEX(发票统计!I$4:I$1003,$W210)))</f>
        <v/>
      </c>
      <c r="J210" s="56" t="str">
        <f aca="false">IF($W210="","",N(INDEX(发票统计!J$4:J$1003,$W210)))</f>
        <v/>
      </c>
      <c r="K210" s="56" t="str">
        <f aca="false">IF($W210="","",N(INDEX(发票统计!K$4:K$1003,$W210)))</f>
        <v/>
      </c>
      <c r="L210" s="56" t="str">
        <f aca="false">IF($W210="","",SUM(J$4:J210)-SUM(K$4:K210))</f>
        <v/>
      </c>
      <c r="M210" s="56" t="str">
        <f aca="false">IF($W210="","",N(INDEX(发票统计!M$4:M$1003,$W210)))</f>
        <v/>
      </c>
      <c r="N210" s="56" t="str">
        <f aca="false">IF($W210="","",N(INDEX(发票统计!N$4:N$1003,$W210)))</f>
        <v/>
      </c>
      <c r="O210" s="56" t="str">
        <f aca="false">IF($W210="","",N(INDEX(发票统计!O$4:O$1003,$W210)))</f>
        <v/>
      </c>
      <c r="P210" s="56" t="str">
        <f aca="false">IF($W210="","",SUM(M$4:M210)-SUM(N$4:N210)-SUM(O$4:O210))</f>
        <v/>
      </c>
      <c r="Q210" s="56" t="str">
        <f aca="false">IF($W210="","",N(INDEX(发票统计!Q$4:Q$1003,$W210)))</f>
        <v/>
      </c>
      <c r="R210" s="56" t="str">
        <f aca="false">IF($W210="","",N(INDEX(发票统计!R$4:R$1003,$W210)))</f>
        <v/>
      </c>
      <c r="S210" s="56" t="str">
        <f aca="false">IF($W210="","",N(INDEX(发票统计!S$4:S$1003,$W210)))</f>
        <v/>
      </c>
      <c r="T210" s="56" t="str">
        <f aca="false">IF($W210="","",SUM(Q$4:Q210)-SUM(R$4:R210)-SUM(S$4:S210))</f>
        <v/>
      </c>
      <c r="U210" s="56" t="str">
        <f aca="false">IF($W210="","",INDEX(发票统计!U$4:U$1003,$W210)&amp;"")</f>
        <v/>
      </c>
      <c r="W210" s="1" t="str">
        <f aca="false">IF($V$3="","",IFERROR(MATCH($V$3&amp;"#"&amp;ROWS(W$4:W210),发票统计!$W$4:$W$1003,0),""))</f>
        <v/>
      </c>
    </row>
    <row r="211" customFormat="false" ht="16.5" hidden="false" customHeight="false" outlineLevel="0" collapsed="false">
      <c r="A211" s="3" t="str">
        <f aca="false">IF($W211="","",INDEX(发票统计!A$4:A$1003,$W211)&amp;"")</f>
        <v/>
      </c>
      <c r="B211" s="3" t="str">
        <f aca="false">IF($W211="","",INDEX(发票统计!B$4:B$1003,$W211)&amp;"")</f>
        <v/>
      </c>
      <c r="C211" s="3" t="str">
        <f aca="false">IF($W211="","",INDEX(发票统计!C$4:C$1003,$W211)&amp;"")</f>
        <v/>
      </c>
      <c r="D211" s="3" t="str">
        <f aca="false">IF($W211="","",INDEX(发票统计!D$4:D$1003,$W211)&amp;"")</f>
        <v/>
      </c>
      <c r="E211" s="67" t="str">
        <f aca="false">IF($W211="","",INDEX(发票统计!E$4:E$1003,$W211)&amp;"")</f>
        <v/>
      </c>
      <c r="F211" s="68" t="str">
        <f aca="false">IF($W211="","",INDEX(发票统计!F$4:F$1003,$W211)&amp;"")</f>
        <v/>
      </c>
      <c r="G211" s="68" t="str">
        <f aca="false">IF($W211="","",IF(INDEX(发票统计!G$4:G$1003,$W211)="","",INDEX(发票统计!G$4:G$1003,$W211)))</f>
        <v/>
      </c>
      <c r="H211" s="56" t="str">
        <f aca="false">IF($W211="","",N(INDEX(发票统计!H$4:H$1003,$W211)))</f>
        <v/>
      </c>
      <c r="I211" s="56" t="str">
        <f aca="false">IF($W211="","",N(INDEX(发票统计!I$4:I$1003,$W211)))</f>
        <v/>
      </c>
      <c r="J211" s="56" t="str">
        <f aca="false">IF($W211="","",N(INDEX(发票统计!J$4:J$1003,$W211)))</f>
        <v/>
      </c>
      <c r="K211" s="56" t="str">
        <f aca="false">IF($W211="","",N(INDEX(发票统计!K$4:K$1003,$W211)))</f>
        <v/>
      </c>
      <c r="L211" s="56" t="str">
        <f aca="false">IF($W211="","",SUM(J$4:J211)-SUM(K$4:K211))</f>
        <v/>
      </c>
      <c r="M211" s="56" t="str">
        <f aca="false">IF($W211="","",N(INDEX(发票统计!M$4:M$1003,$W211)))</f>
        <v/>
      </c>
      <c r="N211" s="56" t="str">
        <f aca="false">IF($W211="","",N(INDEX(发票统计!N$4:N$1003,$W211)))</f>
        <v/>
      </c>
      <c r="O211" s="56" t="str">
        <f aca="false">IF($W211="","",N(INDEX(发票统计!O$4:O$1003,$W211)))</f>
        <v/>
      </c>
      <c r="P211" s="56" t="str">
        <f aca="false">IF($W211="","",SUM(M$4:M211)-SUM(N$4:N211)-SUM(O$4:O211))</f>
        <v/>
      </c>
      <c r="Q211" s="56" t="str">
        <f aca="false">IF($W211="","",N(INDEX(发票统计!Q$4:Q$1003,$W211)))</f>
        <v/>
      </c>
      <c r="R211" s="56" t="str">
        <f aca="false">IF($W211="","",N(INDEX(发票统计!R$4:R$1003,$W211)))</f>
        <v/>
      </c>
      <c r="S211" s="56" t="str">
        <f aca="false">IF($W211="","",N(INDEX(发票统计!S$4:S$1003,$W211)))</f>
        <v/>
      </c>
      <c r="T211" s="56" t="str">
        <f aca="false">IF($W211="","",SUM(Q$4:Q211)-SUM(R$4:R211)-SUM(S$4:S211))</f>
        <v/>
      </c>
      <c r="U211" s="56" t="str">
        <f aca="false">IF($W211="","",INDEX(发票统计!U$4:U$1003,$W211)&amp;"")</f>
        <v/>
      </c>
      <c r="W211" s="1" t="str">
        <f aca="false">IF($V$3="","",IFERROR(MATCH($V$3&amp;"#"&amp;ROWS(W$4:W211),发票统计!$W$4:$W$1003,0),""))</f>
        <v/>
      </c>
    </row>
    <row r="212" customFormat="false" ht="16.5" hidden="false" customHeight="false" outlineLevel="0" collapsed="false">
      <c r="A212" s="3" t="str">
        <f aca="false">IF($W212="","",INDEX(发票统计!A$4:A$1003,$W212)&amp;"")</f>
        <v/>
      </c>
      <c r="B212" s="3" t="str">
        <f aca="false">IF($W212="","",INDEX(发票统计!B$4:B$1003,$W212)&amp;"")</f>
        <v/>
      </c>
      <c r="C212" s="3" t="str">
        <f aca="false">IF($W212="","",INDEX(发票统计!C$4:C$1003,$W212)&amp;"")</f>
        <v/>
      </c>
      <c r="D212" s="3" t="str">
        <f aca="false">IF($W212="","",INDEX(发票统计!D$4:D$1003,$W212)&amp;"")</f>
        <v/>
      </c>
      <c r="E212" s="67" t="str">
        <f aca="false">IF($W212="","",INDEX(发票统计!E$4:E$1003,$W212)&amp;"")</f>
        <v/>
      </c>
      <c r="F212" s="68" t="str">
        <f aca="false">IF($W212="","",INDEX(发票统计!F$4:F$1003,$W212)&amp;"")</f>
        <v/>
      </c>
      <c r="G212" s="68" t="str">
        <f aca="false">IF($W212="","",IF(INDEX(发票统计!G$4:G$1003,$W212)="","",INDEX(发票统计!G$4:G$1003,$W212)))</f>
        <v/>
      </c>
      <c r="H212" s="56" t="str">
        <f aca="false">IF($W212="","",N(INDEX(发票统计!H$4:H$1003,$W212)))</f>
        <v/>
      </c>
      <c r="I212" s="56" t="str">
        <f aca="false">IF($W212="","",N(INDEX(发票统计!I$4:I$1003,$W212)))</f>
        <v/>
      </c>
      <c r="J212" s="56" t="str">
        <f aca="false">IF($W212="","",N(INDEX(发票统计!J$4:J$1003,$W212)))</f>
        <v/>
      </c>
      <c r="K212" s="56" t="str">
        <f aca="false">IF($W212="","",N(INDEX(发票统计!K$4:K$1003,$W212)))</f>
        <v/>
      </c>
      <c r="L212" s="56" t="str">
        <f aca="false">IF($W212="","",SUM(J$4:J212)-SUM(K$4:K212))</f>
        <v/>
      </c>
      <c r="M212" s="56" t="str">
        <f aca="false">IF($W212="","",N(INDEX(发票统计!M$4:M$1003,$W212)))</f>
        <v/>
      </c>
      <c r="N212" s="56" t="str">
        <f aca="false">IF($W212="","",N(INDEX(发票统计!N$4:N$1003,$W212)))</f>
        <v/>
      </c>
      <c r="O212" s="56" t="str">
        <f aca="false">IF($W212="","",N(INDEX(发票统计!O$4:O$1003,$W212)))</f>
        <v/>
      </c>
      <c r="P212" s="56" t="str">
        <f aca="false">IF($W212="","",SUM(M$4:M212)-SUM(N$4:N212)-SUM(O$4:O212))</f>
        <v/>
      </c>
      <c r="Q212" s="56" t="str">
        <f aca="false">IF($W212="","",N(INDEX(发票统计!Q$4:Q$1003,$W212)))</f>
        <v/>
      </c>
      <c r="R212" s="56" t="str">
        <f aca="false">IF($W212="","",N(INDEX(发票统计!R$4:R$1003,$W212)))</f>
        <v/>
      </c>
      <c r="S212" s="56" t="str">
        <f aca="false">IF($W212="","",N(INDEX(发票统计!S$4:S$1003,$W212)))</f>
        <v/>
      </c>
      <c r="T212" s="56" t="str">
        <f aca="false">IF($W212="","",SUM(Q$4:Q212)-SUM(R$4:R212)-SUM(S$4:S212))</f>
        <v/>
      </c>
      <c r="U212" s="56" t="str">
        <f aca="false">IF($W212="","",INDEX(发票统计!U$4:U$1003,$W212)&amp;"")</f>
        <v/>
      </c>
      <c r="W212" s="1" t="str">
        <f aca="false">IF($V$3="","",IFERROR(MATCH($V$3&amp;"#"&amp;ROWS(W$4:W212),发票统计!$W$4:$W$1003,0),""))</f>
        <v/>
      </c>
    </row>
    <row r="213" customFormat="false" ht="16.5" hidden="false" customHeight="false" outlineLevel="0" collapsed="false">
      <c r="A213" s="3" t="str">
        <f aca="false">IF($W213="","",INDEX(发票统计!A$4:A$1003,$W213)&amp;"")</f>
        <v/>
      </c>
      <c r="B213" s="3" t="str">
        <f aca="false">IF($W213="","",INDEX(发票统计!B$4:B$1003,$W213)&amp;"")</f>
        <v/>
      </c>
      <c r="C213" s="3" t="str">
        <f aca="false">IF($W213="","",INDEX(发票统计!C$4:C$1003,$W213)&amp;"")</f>
        <v/>
      </c>
      <c r="D213" s="3" t="str">
        <f aca="false">IF($W213="","",INDEX(发票统计!D$4:D$1003,$W213)&amp;"")</f>
        <v/>
      </c>
      <c r="E213" s="67" t="str">
        <f aca="false">IF($W213="","",INDEX(发票统计!E$4:E$1003,$W213)&amp;"")</f>
        <v/>
      </c>
      <c r="F213" s="68" t="str">
        <f aca="false">IF($W213="","",INDEX(发票统计!F$4:F$1003,$W213)&amp;"")</f>
        <v/>
      </c>
      <c r="G213" s="68" t="str">
        <f aca="false">IF($W213="","",IF(INDEX(发票统计!G$4:G$1003,$W213)="","",INDEX(发票统计!G$4:G$1003,$W213)))</f>
        <v/>
      </c>
      <c r="H213" s="56" t="str">
        <f aca="false">IF($W213="","",N(INDEX(发票统计!H$4:H$1003,$W213)))</f>
        <v/>
      </c>
      <c r="I213" s="56" t="str">
        <f aca="false">IF($W213="","",N(INDEX(发票统计!I$4:I$1003,$W213)))</f>
        <v/>
      </c>
      <c r="J213" s="56" t="str">
        <f aca="false">IF($W213="","",N(INDEX(发票统计!J$4:J$1003,$W213)))</f>
        <v/>
      </c>
      <c r="K213" s="56" t="str">
        <f aca="false">IF($W213="","",N(INDEX(发票统计!K$4:K$1003,$W213)))</f>
        <v/>
      </c>
      <c r="L213" s="56" t="str">
        <f aca="false">IF($W213="","",SUM(J$4:J213)-SUM(K$4:K213))</f>
        <v/>
      </c>
      <c r="M213" s="56" t="str">
        <f aca="false">IF($W213="","",N(INDEX(发票统计!M$4:M$1003,$W213)))</f>
        <v/>
      </c>
      <c r="N213" s="56" t="str">
        <f aca="false">IF($W213="","",N(INDEX(发票统计!N$4:N$1003,$W213)))</f>
        <v/>
      </c>
      <c r="O213" s="56" t="str">
        <f aca="false">IF($W213="","",N(INDEX(发票统计!O$4:O$1003,$W213)))</f>
        <v/>
      </c>
      <c r="P213" s="56" t="str">
        <f aca="false">IF($W213="","",SUM(M$4:M213)-SUM(N$4:N213)-SUM(O$4:O213))</f>
        <v/>
      </c>
      <c r="Q213" s="56" t="str">
        <f aca="false">IF($W213="","",N(INDEX(发票统计!Q$4:Q$1003,$W213)))</f>
        <v/>
      </c>
      <c r="R213" s="56" t="str">
        <f aca="false">IF($W213="","",N(INDEX(发票统计!R$4:R$1003,$W213)))</f>
        <v/>
      </c>
      <c r="S213" s="56" t="str">
        <f aca="false">IF($W213="","",N(INDEX(发票统计!S$4:S$1003,$W213)))</f>
        <v/>
      </c>
      <c r="T213" s="56" t="str">
        <f aca="false">IF($W213="","",SUM(Q$4:Q213)-SUM(R$4:R213)-SUM(S$4:S213))</f>
        <v/>
      </c>
      <c r="U213" s="56" t="str">
        <f aca="false">IF($W213="","",INDEX(发票统计!U$4:U$1003,$W213)&amp;"")</f>
        <v/>
      </c>
      <c r="W213" s="1" t="str">
        <f aca="false">IF($V$3="","",IFERROR(MATCH($V$3&amp;"#"&amp;ROWS(W$4:W213),发票统计!$W$4:$W$1003,0),""))</f>
        <v/>
      </c>
    </row>
    <row r="214" customFormat="false" ht="16.5" hidden="false" customHeight="false" outlineLevel="0" collapsed="false">
      <c r="A214" s="3" t="str">
        <f aca="false">IF($W214="","",INDEX(发票统计!A$4:A$1003,$W214)&amp;"")</f>
        <v/>
      </c>
      <c r="B214" s="3" t="str">
        <f aca="false">IF($W214="","",INDEX(发票统计!B$4:B$1003,$W214)&amp;"")</f>
        <v/>
      </c>
      <c r="C214" s="3" t="str">
        <f aca="false">IF($W214="","",INDEX(发票统计!C$4:C$1003,$W214)&amp;"")</f>
        <v/>
      </c>
      <c r="D214" s="3" t="str">
        <f aca="false">IF($W214="","",INDEX(发票统计!D$4:D$1003,$W214)&amp;"")</f>
        <v/>
      </c>
      <c r="E214" s="67" t="str">
        <f aca="false">IF($W214="","",INDEX(发票统计!E$4:E$1003,$W214)&amp;"")</f>
        <v/>
      </c>
      <c r="F214" s="68" t="str">
        <f aca="false">IF($W214="","",INDEX(发票统计!F$4:F$1003,$W214)&amp;"")</f>
        <v/>
      </c>
      <c r="G214" s="68" t="str">
        <f aca="false">IF($W214="","",IF(INDEX(发票统计!G$4:G$1003,$W214)="","",INDEX(发票统计!G$4:G$1003,$W214)))</f>
        <v/>
      </c>
      <c r="H214" s="56" t="str">
        <f aca="false">IF($W214="","",N(INDEX(发票统计!H$4:H$1003,$W214)))</f>
        <v/>
      </c>
      <c r="I214" s="56" t="str">
        <f aca="false">IF($W214="","",N(INDEX(发票统计!I$4:I$1003,$W214)))</f>
        <v/>
      </c>
      <c r="J214" s="56" t="str">
        <f aca="false">IF($W214="","",N(INDEX(发票统计!J$4:J$1003,$W214)))</f>
        <v/>
      </c>
      <c r="K214" s="56" t="str">
        <f aca="false">IF($W214="","",N(INDEX(发票统计!K$4:K$1003,$W214)))</f>
        <v/>
      </c>
      <c r="L214" s="56" t="str">
        <f aca="false">IF($W214="","",SUM(J$4:J214)-SUM(K$4:K214))</f>
        <v/>
      </c>
      <c r="M214" s="56" t="str">
        <f aca="false">IF($W214="","",N(INDEX(发票统计!M$4:M$1003,$W214)))</f>
        <v/>
      </c>
      <c r="N214" s="56" t="str">
        <f aca="false">IF($W214="","",N(INDEX(发票统计!N$4:N$1003,$W214)))</f>
        <v/>
      </c>
      <c r="O214" s="56" t="str">
        <f aca="false">IF($W214="","",N(INDEX(发票统计!O$4:O$1003,$W214)))</f>
        <v/>
      </c>
      <c r="P214" s="56" t="str">
        <f aca="false">IF($W214="","",SUM(M$4:M214)-SUM(N$4:N214)-SUM(O$4:O214))</f>
        <v/>
      </c>
      <c r="Q214" s="56" t="str">
        <f aca="false">IF($W214="","",N(INDEX(发票统计!Q$4:Q$1003,$W214)))</f>
        <v/>
      </c>
      <c r="R214" s="56" t="str">
        <f aca="false">IF($W214="","",N(INDEX(发票统计!R$4:R$1003,$W214)))</f>
        <v/>
      </c>
      <c r="S214" s="56" t="str">
        <f aca="false">IF($W214="","",N(INDEX(发票统计!S$4:S$1003,$W214)))</f>
        <v/>
      </c>
      <c r="T214" s="56" t="str">
        <f aca="false">IF($W214="","",SUM(Q$4:Q214)-SUM(R$4:R214)-SUM(S$4:S214))</f>
        <v/>
      </c>
      <c r="U214" s="56" t="str">
        <f aca="false">IF($W214="","",INDEX(发票统计!U$4:U$1003,$W214)&amp;"")</f>
        <v/>
      </c>
      <c r="W214" s="1" t="str">
        <f aca="false">IF($V$3="","",IFERROR(MATCH($V$3&amp;"#"&amp;ROWS(W$4:W214),发票统计!$W$4:$W$1003,0),""))</f>
        <v/>
      </c>
    </row>
    <row r="215" customFormat="false" ht="16.5" hidden="false" customHeight="false" outlineLevel="0" collapsed="false">
      <c r="A215" s="3" t="str">
        <f aca="false">IF($W215="","",INDEX(发票统计!A$4:A$1003,$W215)&amp;"")</f>
        <v/>
      </c>
      <c r="B215" s="3" t="str">
        <f aca="false">IF($W215="","",INDEX(发票统计!B$4:B$1003,$W215)&amp;"")</f>
        <v/>
      </c>
      <c r="C215" s="3" t="str">
        <f aca="false">IF($W215="","",INDEX(发票统计!C$4:C$1003,$W215)&amp;"")</f>
        <v/>
      </c>
      <c r="D215" s="3" t="str">
        <f aca="false">IF($W215="","",INDEX(发票统计!D$4:D$1003,$W215)&amp;"")</f>
        <v/>
      </c>
      <c r="E215" s="67" t="str">
        <f aca="false">IF($W215="","",INDEX(发票统计!E$4:E$1003,$W215)&amp;"")</f>
        <v/>
      </c>
      <c r="F215" s="68" t="str">
        <f aca="false">IF($W215="","",INDEX(发票统计!F$4:F$1003,$W215)&amp;"")</f>
        <v/>
      </c>
      <c r="G215" s="68" t="str">
        <f aca="false">IF($W215="","",IF(INDEX(发票统计!G$4:G$1003,$W215)="","",INDEX(发票统计!G$4:G$1003,$W215)))</f>
        <v/>
      </c>
      <c r="H215" s="56" t="str">
        <f aca="false">IF($W215="","",N(INDEX(发票统计!H$4:H$1003,$W215)))</f>
        <v/>
      </c>
      <c r="I215" s="56" t="str">
        <f aca="false">IF($W215="","",N(INDEX(发票统计!I$4:I$1003,$W215)))</f>
        <v/>
      </c>
      <c r="J215" s="56" t="str">
        <f aca="false">IF($W215="","",N(INDEX(发票统计!J$4:J$1003,$W215)))</f>
        <v/>
      </c>
      <c r="K215" s="56" t="str">
        <f aca="false">IF($W215="","",N(INDEX(发票统计!K$4:K$1003,$W215)))</f>
        <v/>
      </c>
      <c r="L215" s="56" t="str">
        <f aca="false">IF($W215="","",SUM(J$4:J215)-SUM(K$4:K215))</f>
        <v/>
      </c>
      <c r="M215" s="56" t="str">
        <f aca="false">IF($W215="","",N(INDEX(发票统计!M$4:M$1003,$W215)))</f>
        <v/>
      </c>
      <c r="N215" s="56" t="str">
        <f aca="false">IF($W215="","",N(INDEX(发票统计!N$4:N$1003,$W215)))</f>
        <v/>
      </c>
      <c r="O215" s="56" t="str">
        <f aca="false">IF($W215="","",N(INDEX(发票统计!O$4:O$1003,$W215)))</f>
        <v/>
      </c>
      <c r="P215" s="56" t="str">
        <f aca="false">IF($W215="","",SUM(M$4:M215)-SUM(N$4:N215)-SUM(O$4:O215))</f>
        <v/>
      </c>
      <c r="Q215" s="56" t="str">
        <f aca="false">IF($W215="","",N(INDEX(发票统计!Q$4:Q$1003,$W215)))</f>
        <v/>
      </c>
      <c r="R215" s="56" t="str">
        <f aca="false">IF($W215="","",N(INDEX(发票统计!R$4:R$1003,$W215)))</f>
        <v/>
      </c>
      <c r="S215" s="56" t="str">
        <f aca="false">IF($W215="","",N(INDEX(发票统计!S$4:S$1003,$W215)))</f>
        <v/>
      </c>
      <c r="T215" s="56" t="str">
        <f aca="false">IF($W215="","",SUM(Q$4:Q215)-SUM(R$4:R215)-SUM(S$4:S215))</f>
        <v/>
      </c>
      <c r="U215" s="56" t="str">
        <f aca="false">IF($W215="","",INDEX(发票统计!U$4:U$1003,$W215)&amp;"")</f>
        <v/>
      </c>
      <c r="W215" s="1" t="str">
        <f aca="false">IF($V$3="","",IFERROR(MATCH($V$3&amp;"#"&amp;ROWS(W$4:W215),发票统计!$W$4:$W$1003,0),""))</f>
        <v/>
      </c>
    </row>
    <row r="216" customFormat="false" ht="16.5" hidden="false" customHeight="false" outlineLevel="0" collapsed="false">
      <c r="A216" s="3" t="str">
        <f aca="false">IF($W216="","",INDEX(发票统计!A$4:A$1003,$W216)&amp;"")</f>
        <v/>
      </c>
      <c r="B216" s="3" t="str">
        <f aca="false">IF($W216="","",INDEX(发票统计!B$4:B$1003,$W216)&amp;"")</f>
        <v/>
      </c>
      <c r="C216" s="3" t="str">
        <f aca="false">IF($W216="","",INDEX(发票统计!C$4:C$1003,$W216)&amp;"")</f>
        <v/>
      </c>
      <c r="D216" s="3" t="str">
        <f aca="false">IF($W216="","",INDEX(发票统计!D$4:D$1003,$W216)&amp;"")</f>
        <v/>
      </c>
      <c r="E216" s="67" t="str">
        <f aca="false">IF($W216="","",INDEX(发票统计!E$4:E$1003,$W216)&amp;"")</f>
        <v/>
      </c>
      <c r="F216" s="68" t="str">
        <f aca="false">IF($W216="","",INDEX(发票统计!F$4:F$1003,$W216)&amp;"")</f>
        <v/>
      </c>
      <c r="G216" s="68" t="str">
        <f aca="false">IF($W216="","",IF(INDEX(发票统计!G$4:G$1003,$W216)="","",INDEX(发票统计!G$4:G$1003,$W216)))</f>
        <v/>
      </c>
      <c r="H216" s="56" t="str">
        <f aca="false">IF($W216="","",N(INDEX(发票统计!H$4:H$1003,$W216)))</f>
        <v/>
      </c>
      <c r="I216" s="56" t="str">
        <f aca="false">IF($W216="","",N(INDEX(发票统计!I$4:I$1003,$W216)))</f>
        <v/>
      </c>
      <c r="J216" s="56" t="str">
        <f aca="false">IF($W216="","",N(INDEX(发票统计!J$4:J$1003,$W216)))</f>
        <v/>
      </c>
      <c r="K216" s="56" t="str">
        <f aca="false">IF($W216="","",N(INDEX(发票统计!K$4:K$1003,$W216)))</f>
        <v/>
      </c>
      <c r="L216" s="56" t="str">
        <f aca="false">IF($W216="","",SUM(J$4:J216)-SUM(K$4:K216))</f>
        <v/>
      </c>
      <c r="M216" s="56" t="str">
        <f aca="false">IF($W216="","",N(INDEX(发票统计!M$4:M$1003,$W216)))</f>
        <v/>
      </c>
      <c r="N216" s="56" t="str">
        <f aca="false">IF($W216="","",N(INDEX(发票统计!N$4:N$1003,$W216)))</f>
        <v/>
      </c>
      <c r="O216" s="56" t="str">
        <f aca="false">IF($W216="","",N(INDEX(发票统计!O$4:O$1003,$W216)))</f>
        <v/>
      </c>
      <c r="P216" s="56" t="str">
        <f aca="false">IF($W216="","",SUM(M$4:M216)-SUM(N$4:N216)-SUM(O$4:O216))</f>
        <v/>
      </c>
      <c r="Q216" s="56" t="str">
        <f aca="false">IF($W216="","",N(INDEX(发票统计!Q$4:Q$1003,$W216)))</f>
        <v/>
      </c>
      <c r="R216" s="56" t="str">
        <f aca="false">IF($W216="","",N(INDEX(发票统计!R$4:R$1003,$W216)))</f>
        <v/>
      </c>
      <c r="S216" s="56" t="str">
        <f aca="false">IF($W216="","",N(INDEX(发票统计!S$4:S$1003,$W216)))</f>
        <v/>
      </c>
      <c r="T216" s="56" t="str">
        <f aca="false">IF($W216="","",SUM(Q$4:Q216)-SUM(R$4:R216)-SUM(S$4:S216))</f>
        <v/>
      </c>
      <c r="U216" s="56" t="str">
        <f aca="false">IF($W216="","",INDEX(发票统计!U$4:U$1003,$W216)&amp;"")</f>
        <v/>
      </c>
      <c r="W216" s="1" t="str">
        <f aca="false">IF($V$3="","",IFERROR(MATCH($V$3&amp;"#"&amp;ROWS(W$4:W216),发票统计!$W$4:$W$1003,0),""))</f>
        <v/>
      </c>
    </row>
    <row r="217" customFormat="false" ht="16.5" hidden="false" customHeight="false" outlineLevel="0" collapsed="false">
      <c r="A217" s="3" t="str">
        <f aca="false">IF($W217="","",INDEX(发票统计!A$4:A$1003,$W217)&amp;"")</f>
        <v/>
      </c>
      <c r="B217" s="3" t="str">
        <f aca="false">IF($W217="","",INDEX(发票统计!B$4:B$1003,$W217)&amp;"")</f>
        <v/>
      </c>
      <c r="C217" s="3" t="str">
        <f aca="false">IF($W217="","",INDEX(发票统计!C$4:C$1003,$W217)&amp;"")</f>
        <v/>
      </c>
      <c r="D217" s="3" t="str">
        <f aca="false">IF($W217="","",INDEX(发票统计!D$4:D$1003,$W217)&amp;"")</f>
        <v/>
      </c>
      <c r="E217" s="67" t="str">
        <f aca="false">IF($W217="","",INDEX(发票统计!E$4:E$1003,$W217)&amp;"")</f>
        <v/>
      </c>
      <c r="F217" s="68" t="str">
        <f aca="false">IF($W217="","",INDEX(发票统计!F$4:F$1003,$W217)&amp;"")</f>
        <v/>
      </c>
      <c r="G217" s="68" t="str">
        <f aca="false">IF($W217="","",IF(INDEX(发票统计!G$4:G$1003,$W217)="","",INDEX(发票统计!G$4:G$1003,$W217)))</f>
        <v/>
      </c>
      <c r="H217" s="56" t="str">
        <f aca="false">IF($W217="","",N(INDEX(发票统计!H$4:H$1003,$W217)))</f>
        <v/>
      </c>
      <c r="I217" s="56" t="str">
        <f aca="false">IF($W217="","",N(INDEX(发票统计!I$4:I$1003,$W217)))</f>
        <v/>
      </c>
      <c r="J217" s="56" t="str">
        <f aca="false">IF($W217="","",N(INDEX(发票统计!J$4:J$1003,$W217)))</f>
        <v/>
      </c>
      <c r="K217" s="56" t="str">
        <f aca="false">IF($W217="","",N(INDEX(发票统计!K$4:K$1003,$W217)))</f>
        <v/>
      </c>
      <c r="L217" s="56" t="str">
        <f aca="false">IF($W217="","",SUM(J$4:J217)-SUM(K$4:K217))</f>
        <v/>
      </c>
      <c r="M217" s="56" t="str">
        <f aca="false">IF($W217="","",N(INDEX(发票统计!M$4:M$1003,$W217)))</f>
        <v/>
      </c>
      <c r="N217" s="56" t="str">
        <f aca="false">IF($W217="","",N(INDEX(发票统计!N$4:N$1003,$W217)))</f>
        <v/>
      </c>
      <c r="O217" s="56" t="str">
        <f aca="false">IF($W217="","",N(INDEX(发票统计!O$4:O$1003,$W217)))</f>
        <v/>
      </c>
      <c r="P217" s="56" t="str">
        <f aca="false">IF($W217="","",SUM(M$4:M217)-SUM(N$4:N217)-SUM(O$4:O217))</f>
        <v/>
      </c>
      <c r="Q217" s="56" t="str">
        <f aca="false">IF($W217="","",N(INDEX(发票统计!Q$4:Q$1003,$W217)))</f>
        <v/>
      </c>
      <c r="R217" s="56" t="str">
        <f aca="false">IF($W217="","",N(INDEX(发票统计!R$4:R$1003,$W217)))</f>
        <v/>
      </c>
      <c r="S217" s="56" t="str">
        <f aca="false">IF($W217="","",N(INDEX(发票统计!S$4:S$1003,$W217)))</f>
        <v/>
      </c>
      <c r="T217" s="56" t="str">
        <f aca="false">IF($W217="","",SUM(Q$4:Q217)-SUM(R$4:R217)-SUM(S$4:S217))</f>
        <v/>
      </c>
      <c r="U217" s="56" t="str">
        <f aca="false">IF($W217="","",INDEX(发票统计!U$4:U$1003,$W217)&amp;"")</f>
        <v/>
      </c>
      <c r="W217" s="1" t="str">
        <f aca="false">IF($V$3="","",IFERROR(MATCH($V$3&amp;"#"&amp;ROWS(W$4:W217),发票统计!$W$4:$W$1003,0),""))</f>
        <v/>
      </c>
    </row>
    <row r="218" customFormat="false" ht="16.5" hidden="false" customHeight="false" outlineLevel="0" collapsed="false">
      <c r="A218" s="3" t="str">
        <f aca="false">IF($W218="","",INDEX(发票统计!A$4:A$1003,$W218)&amp;"")</f>
        <v/>
      </c>
      <c r="B218" s="3" t="str">
        <f aca="false">IF($W218="","",INDEX(发票统计!B$4:B$1003,$W218)&amp;"")</f>
        <v/>
      </c>
      <c r="C218" s="3" t="str">
        <f aca="false">IF($W218="","",INDEX(发票统计!C$4:C$1003,$W218)&amp;"")</f>
        <v/>
      </c>
      <c r="D218" s="3" t="str">
        <f aca="false">IF($W218="","",INDEX(发票统计!D$4:D$1003,$W218)&amp;"")</f>
        <v/>
      </c>
      <c r="E218" s="67" t="str">
        <f aca="false">IF($W218="","",INDEX(发票统计!E$4:E$1003,$W218)&amp;"")</f>
        <v/>
      </c>
      <c r="F218" s="68" t="str">
        <f aca="false">IF($W218="","",INDEX(发票统计!F$4:F$1003,$W218)&amp;"")</f>
        <v/>
      </c>
      <c r="G218" s="68" t="str">
        <f aca="false">IF($W218="","",IF(INDEX(发票统计!G$4:G$1003,$W218)="","",INDEX(发票统计!G$4:G$1003,$W218)))</f>
        <v/>
      </c>
      <c r="H218" s="56" t="str">
        <f aca="false">IF($W218="","",N(INDEX(发票统计!H$4:H$1003,$W218)))</f>
        <v/>
      </c>
      <c r="I218" s="56" t="str">
        <f aca="false">IF($W218="","",N(INDEX(发票统计!I$4:I$1003,$W218)))</f>
        <v/>
      </c>
      <c r="J218" s="56" t="str">
        <f aca="false">IF($W218="","",N(INDEX(发票统计!J$4:J$1003,$W218)))</f>
        <v/>
      </c>
      <c r="K218" s="56" t="str">
        <f aca="false">IF($W218="","",N(INDEX(发票统计!K$4:K$1003,$W218)))</f>
        <v/>
      </c>
      <c r="L218" s="56" t="str">
        <f aca="false">IF($W218="","",SUM(J$4:J218)-SUM(K$4:K218))</f>
        <v/>
      </c>
      <c r="M218" s="56" t="str">
        <f aca="false">IF($W218="","",N(INDEX(发票统计!M$4:M$1003,$W218)))</f>
        <v/>
      </c>
      <c r="N218" s="56" t="str">
        <f aca="false">IF($W218="","",N(INDEX(发票统计!N$4:N$1003,$W218)))</f>
        <v/>
      </c>
      <c r="O218" s="56" t="str">
        <f aca="false">IF($W218="","",N(INDEX(发票统计!O$4:O$1003,$W218)))</f>
        <v/>
      </c>
      <c r="P218" s="56" t="str">
        <f aca="false">IF($W218="","",SUM(M$4:M218)-SUM(N$4:N218)-SUM(O$4:O218))</f>
        <v/>
      </c>
      <c r="Q218" s="56" t="str">
        <f aca="false">IF($W218="","",N(INDEX(发票统计!Q$4:Q$1003,$W218)))</f>
        <v/>
      </c>
      <c r="R218" s="56" t="str">
        <f aca="false">IF($W218="","",N(INDEX(发票统计!R$4:R$1003,$W218)))</f>
        <v/>
      </c>
      <c r="S218" s="56" t="str">
        <f aca="false">IF($W218="","",N(INDEX(发票统计!S$4:S$1003,$W218)))</f>
        <v/>
      </c>
      <c r="T218" s="56" t="str">
        <f aca="false">IF($W218="","",SUM(Q$4:Q218)-SUM(R$4:R218)-SUM(S$4:S218))</f>
        <v/>
      </c>
      <c r="U218" s="56" t="str">
        <f aca="false">IF($W218="","",INDEX(发票统计!U$4:U$1003,$W218)&amp;"")</f>
        <v/>
      </c>
      <c r="W218" s="1" t="str">
        <f aca="false">IF($V$3="","",IFERROR(MATCH($V$3&amp;"#"&amp;ROWS(W$4:W218),发票统计!$W$4:$W$1003,0),""))</f>
        <v/>
      </c>
    </row>
    <row r="219" customFormat="false" ht="16.5" hidden="false" customHeight="false" outlineLevel="0" collapsed="false">
      <c r="A219" s="3" t="str">
        <f aca="false">IF($W219="","",INDEX(发票统计!A$4:A$1003,$W219)&amp;"")</f>
        <v/>
      </c>
      <c r="B219" s="3" t="str">
        <f aca="false">IF($W219="","",INDEX(发票统计!B$4:B$1003,$W219)&amp;"")</f>
        <v/>
      </c>
      <c r="C219" s="3" t="str">
        <f aca="false">IF($W219="","",INDEX(发票统计!C$4:C$1003,$W219)&amp;"")</f>
        <v/>
      </c>
      <c r="D219" s="3" t="str">
        <f aca="false">IF($W219="","",INDEX(发票统计!D$4:D$1003,$W219)&amp;"")</f>
        <v/>
      </c>
      <c r="E219" s="67" t="str">
        <f aca="false">IF($W219="","",INDEX(发票统计!E$4:E$1003,$W219)&amp;"")</f>
        <v/>
      </c>
      <c r="F219" s="68" t="str">
        <f aca="false">IF($W219="","",INDEX(发票统计!F$4:F$1003,$W219)&amp;"")</f>
        <v/>
      </c>
      <c r="G219" s="68" t="str">
        <f aca="false">IF($W219="","",IF(INDEX(发票统计!G$4:G$1003,$W219)="","",INDEX(发票统计!G$4:G$1003,$W219)))</f>
        <v/>
      </c>
      <c r="H219" s="56" t="str">
        <f aca="false">IF($W219="","",N(INDEX(发票统计!H$4:H$1003,$W219)))</f>
        <v/>
      </c>
      <c r="I219" s="56" t="str">
        <f aca="false">IF($W219="","",N(INDEX(发票统计!I$4:I$1003,$W219)))</f>
        <v/>
      </c>
      <c r="J219" s="56" t="str">
        <f aca="false">IF($W219="","",N(INDEX(发票统计!J$4:J$1003,$W219)))</f>
        <v/>
      </c>
      <c r="K219" s="56" t="str">
        <f aca="false">IF($W219="","",N(INDEX(发票统计!K$4:K$1003,$W219)))</f>
        <v/>
      </c>
      <c r="L219" s="56" t="str">
        <f aca="false">IF($W219="","",SUM(J$4:J219)-SUM(K$4:K219))</f>
        <v/>
      </c>
      <c r="M219" s="56" t="str">
        <f aca="false">IF($W219="","",N(INDEX(发票统计!M$4:M$1003,$W219)))</f>
        <v/>
      </c>
      <c r="N219" s="56" t="str">
        <f aca="false">IF($W219="","",N(INDEX(发票统计!N$4:N$1003,$W219)))</f>
        <v/>
      </c>
      <c r="O219" s="56" t="str">
        <f aca="false">IF($W219="","",N(INDEX(发票统计!O$4:O$1003,$W219)))</f>
        <v/>
      </c>
      <c r="P219" s="56" t="str">
        <f aca="false">IF($W219="","",SUM(M$4:M219)-SUM(N$4:N219)-SUM(O$4:O219))</f>
        <v/>
      </c>
      <c r="Q219" s="56" t="str">
        <f aca="false">IF($W219="","",N(INDEX(发票统计!Q$4:Q$1003,$W219)))</f>
        <v/>
      </c>
      <c r="R219" s="56" t="str">
        <f aca="false">IF($W219="","",N(INDEX(发票统计!R$4:R$1003,$W219)))</f>
        <v/>
      </c>
      <c r="S219" s="56" t="str">
        <f aca="false">IF($W219="","",N(INDEX(发票统计!S$4:S$1003,$W219)))</f>
        <v/>
      </c>
      <c r="T219" s="56" t="str">
        <f aca="false">IF($W219="","",SUM(Q$4:Q219)-SUM(R$4:R219)-SUM(S$4:S219))</f>
        <v/>
      </c>
      <c r="U219" s="56" t="str">
        <f aca="false">IF($W219="","",INDEX(发票统计!U$4:U$1003,$W219)&amp;"")</f>
        <v/>
      </c>
      <c r="W219" s="1" t="str">
        <f aca="false">IF($V$3="","",IFERROR(MATCH($V$3&amp;"#"&amp;ROWS(W$4:W219),发票统计!$W$4:$W$1003,0),""))</f>
        <v/>
      </c>
    </row>
    <row r="220" customFormat="false" ht="16.5" hidden="false" customHeight="false" outlineLevel="0" collapsed="false">
      <c r="A220" s="3" t="str">
        <f aca="false">IF($W220="","",INDEX(发票统计!A$4:A$1003,$W220)&amp;"")</f>
        <v/>
      </c>
      <c r="B220" s="3" t="str">
        <f aca="false">IF($W220="","",INDEX(发票统计!B$4:B$1003,$W220)&amp;"")</f>
        <v/>
      </c>
      <c r="C220" s="3" t="str">
        <f aca="false">IF($W220="","",INDEX(发票统计!C$4:C$1003,$W220)&amp;"")</f>
        <v/>
      </c>
      <c r="D220" s="3" t="str">
        <f aca="false">IF($W220="","",INDEX(发票统计!D$4:D$1003,$W220)&amp;"")</f>
        <v/>
      </c>
      <c r="E220" s="67" t="str">
        <f aca="false">IF($W220="","",INDEX(发票统计!E$4:E$1003,$W220)&amp;"")</f>
        <v/>
      </c>
      <c r="F220" s="68" t="str">
        <f aca="false">IF($W220="","",INDEX(发票统计!F$4:F$1003,$W220)&amp;"")</f>
        <v/>
      </c>
      <c r="G220" s="68" t="str">
        <f aca="false">IF($W220="","",IF(INDEX(发票统计!G$4:G$1003,$W220)="","",INDEX(发票统计!G$4:G$1003,$W220)))</f>
        <v/>
      </c>
      <c r="H220" s="56" t="str">
        <f aca="false">IF($W220="","",N(INDEX(发票统计!H$4:H$1003,$W220)))</f>
        <v/>
      </c>
      <c r="I220" s="56" t="str">
        <f aca="false">IF($W220="","",N(INDEX(发票统计!I$4:I$1003,$W220)))</f>
        <v/>
      </c>
      <c r="J220" s="56" t="str">
        <f aca="false">IF($W220="","",N(INDEX(发票统计!J$4:J$1003,$W220)))</f>
        <v/>
      </c>
      <c r="K220" s="56" t="str">
        <f aca="false">IF($W220="","",N(INDEX(发票统计!K$4:K$1003,$W220)))</f>
        <v/>
      </c>
      <c r="L220" s="56" t="str">
        <f aca="false">IF($W220="","",SUM(J$4:J220)-SUM(K$4:K220))</f>
        <v/>
      </c>
      <c r="M220" s="56" t="str">
        <f aca="false">IF($W220="","",N(INDEX(发票统计!M$4:M$1003,$W220)))</f>
        <v/>
      </c>
      <c r="N220" s="56" t="str">
        <f aca="false">IF($W220="","",N(INDEX(发票统计!N$4:N$1003,$W220)))</f>
        <v/>
      </c>
      <c r="O220" s="56" t="str">
        <f aca="false">IF($W220="","",N(INDEX(发票统计!O$4:O$1003,$W220)))</f>
        <v/>
      </c>
      <c r="P220" s="56" t="str">
        <f aca="false">IF($W220="","",SUM(M$4:M220)-SUM(N$4:N220)-SUM(O$4:O220))</f>
        <v/>
      </c>
      <c r="Q220" s="56" t="str">
        <f aca="false">IF($W220="","",N(INDEX(发票统计!Q$4:Q$1003,$W220)))</f>
        <v/>
      </c>
      <c r="R220" s="56" t="str">
        <f aca="false">IF($W220="","",N(INDEX(发票统计!R$4:R$1003,$W220)))</f>
        <v/>
      </c>
      <c r="S220" s="56" t="str">
        <f aca="false">IF($W220="","",N(INDEX(发票统计!S$4:S$1003,$W220)))</f>
        <v/>
      </c>
      <c r="T220" s="56" t="str">
        <f aca="false">IF($W220="","",SUM(Q$4:Q220)-SUM(R$4:R220)-SUM(S$4:S220))</f>
        <v/>
      </c>
      <c r="U220" s="56" t="str">
        <f aca="false">IF($W220="","",INDEX(发票统计!U$4:U$1003,$W220)&amp;"")</f>
        <v/>
      </c>
      <c r="W220" s="1" t="str">
        <f aca="false">IF($V$3="","",IFERROR(MATCH($V$3&amp;"#"&amp;ROWS(W$4:W220),发票统计!$W$4:$W$1003,0),""))</f>
        <v/>
      </c>
    </row>
    <row r="221" customFormat="false" ht="16.5" hidden="false" customHeight="false" outlineLevel="0" collapsed="false">
      <c r="A221" s="3" t="str">
        <f aca="false">IF($W221="","",INDEX(发票统计!A$4:A$1003,$W221)&amp;"")</f>
        <v/>
      </c>
      <c r="B221" s="3" t="str">
        <f aca="false">IF($W221="","",INDEX(发票统计!B$4:B$1003,$W221)&amp;"")</f>
        <v/>
      </c>
      <c r="C221" s="3" t="str">
        <f aca="false">IF($W221="","",INDEX(发票统计!C$4:C$1003,$W221)&amp;"")</f>
        <v/>
      </c>
      <c r="D221" s="3" t="str">
        <f aca="false">IF($W221="","",INDEX(发票统计!D$4:D$1003,$W221)&amp;"")</f>
        <v/>
      </c>
      <c r="E221" s="67" t="str">
        <f aca="false">IF($W221="","",INDEX(发票统计!E$4:E$1003,$W221)&amp;"")</f>
        <v/>
      </c>
      <c r="F221" s="68" t="str">
        <f aca="false">IF($W221="","",INDEX(发票统计!F$4:F$1003,$W221)&amp;"")</f>
        <v/>
      </c>
      <c r="G221" s="68" t="str">
        <f aca="false">IF($W221="","",IF(INDEX(发票统计!G$4:G$1003,$W221)="","",INDEX(发票统计!G$4:G$1003,$W221)))</f>
        <v/>
      </c>
      <c r="H221" s="56" t="str">
        <f aca="false">IF($W221="","",N(INDEX(发票统计!H$4:H$1003,$W221)))</f>
        <v/>
      </c>
      <c r="I221" s="56" t="str">
        <f aca="false">IF($W221="","",N(INDEX(发票统计!I$4:I$1003,$W221)))</f>
        <v/>
      </c>
      <c r="J221" s="56" t="str">
        <f aca="false">IF($W221="","",N(INDEX(发票统计!J$4:J$1003,$W221)))</f>
        <v/>
      </c>
      <c r="K221" s="56" t="str">
        <f aca="false">IF($W221="","",N(INDEX(发票统计!K$4:K$1003,$W221)))</f>
        <v/>
      </c>
      <c r="L221" s="56" t="str">
        <f aca="false">IF($W221="","",SUM(J$4:J221)-SUM(K$4:K221))</f>
        <v/>
      </c>
      <c r="M221" s="56" t="str">
        <f aca="false">IF($W221="","",N(INDEX(发票统计!M$4:M$1003,$W221)))</f>
        <v/>
      </c>
      <c r="N221" s="56" t="str">
        <f aca="false">IF($W221="","",N(INDEX(发票统计!N$4:N$1003,$W221)))</f>
        <v/>
      </c>
      <c r="O221" s="56" t="str">
        <f aca="false">IF($W221="","",N(INDEX(发票统计!O$4:O$1003,$W221)))</f>
        <v/>
      </c>
      <c r="P221" s="56" t="str">
        <f aca="false">IF($W221="","",SUM(M$4:M221)-SUM(N$4:N221)-SUM(O$4:O221))</f>
        <v/>
      </c>
      <c r="Q221" s="56" t="str">
        <f aca="false">IF($W221="","",N(INDEX(发票统计!Q$4:Q$1003,$W221)))</f>
        <v/>
      </c>
      <c r="R221" s="56" t="str">
        <f aca="false">IF($W221="","",N(INDEX(发票统计!R$4:R$1003,$W221)))</f>
        <v/>
      </c>
      <c r="S221" s="56" t="str">
        <f aca="false">IF($W221="","",N(INDEX(发票统计!S$4:S$1003,$W221)))</f>
        <v/>
      </c>
      <c r="T221" s="56" t="str">
        <f aca="false">IF($W221="","",SUM(Q$4:Q221)-SUM(R$4:R221)-SUM(S$4:S221))</f>
        <v/>
      </c>
      <c r="U221" s="56" t="str">
        <f aca="false">IF($W221="","",INDEX(发票统计!U$4:U$1003,$W221)&amp;"")</f>
        <v/>
      </c>
      <c r="W221" s="1" t="str">
        <f aca="false">IF($V$3="","",IFERROR(MATCH($V$3&amp;"#"&amp;ROWS(W$4:W221),发票统计!$W$4:$W$1003,0),""))</f>
        <v/>
      </c>
    </row>
    <row r="222" customFormat="false" ht="16.5" hidden="false" customHeight="false" outlineLevel="0" collapsed="false">
      <c r="A222" s="3" t="str">
        <f aca="false">IF($W222="","",INDEX(发票统计!A$4:A$1003,$W222)&amp;"")</f>
        <v/>
      </c>
      <c r="B222" s="3" t="str">
        <f aca="false">IF($W222="","",INDEX(发票统计!B$4:B$1003,$W222)&amp;"")</f>
        <v/>
      </c>
      <c r="C222" s="3" t="str">
        <f aca="false">IF($W222="","",INDEX(发票统计!C$4:C$1003,$W222)&amp;"")</f>
        <v/>
      </c>
      <c r="D222" s="3" t="str">
        <f aca="false">IF($W222="","",INDEX(发票统计!D$4:D$1003,$W222)&amp;"")</f>
        <v/>
      </c>
      <c r="E222" s="67" t="str">
        <f aca="false">IF($W222="","",INDEX(发票统计!E$4:E$1003,$W222)&amp;"")</f>
        <v/>
      </c>
      <c r="F222" s="68" t="str">
        <f aca="false">IF($W222="","",INDEX(发票统计!F$4:F$1003,$W222)&amp;"")</f>
        <v/>
      </c>
      <c r="G222" s="68" t="str">
        <f aca="false">IF($W222="","",IF(INDEX(发票统计!G$4:G$1003,$W222)="","",INDEX(发票统计!G$4:G$1003,$W222)))</f>
        <v/>
      </c>
      <c r="H222" s="56" t="str">
        <f aca="false">IF($W222="","",N(INDEX(发票统计!H$4:H$1003,$W222)))</f>
        <v/>
      </c>
      <c r="I222" s="56" t="str">
        <f aca="false">IF($W222="","",N(INDEX(发票统计!I$4:I$1003,$W222)))</f>
        <v/>
      </c>
      <c r="J222" s="56" t="str">
        <f aca="false">IF($W222="","",N(INDEX(发票统计!J$4:J$1003,$W222)))</f>
        <v/>
      </c>
      <c r="K222" s="56" t="str">
        <f aca="false">IF($W222="","",N(INDEX(发票统计!K$4:K$1003,$W222)))</f>
        <v/>
      </c>
      <c r="L222" s="56" t="str">
        <f aca="false">IF($W222="","",SUM(J$4:J222)-SUM(K$4:K222))</f>
        <v/>
      </c>
      <c r="M222" s="56" t="str">
        <f aca="false">IF($W222="","",N(INDEX(发票统计!M$4:M$1003,$W222)))</f>
        <v/>
      </c>
      <c r="N222" s="56" t="str">
        <f aca="false">IF($W222="","",N(INDEX(发票统计!N$4:N$1003,$W222)))</f>
        <v/>
      </c>
      <c r="O222" s="56" t="str">
        <f aca="false">IF($W222="","",N(INDEX(发票统计!O$4:O$1003,$W222)))</f>
        <v/>
      </c>
      <c r="P222" s="56" t="str">
        <f aca="false">IF($W222="","",SUM(M$4:M222)-SUM(N$4:N222)-SUM(O$4:O222))</f>
        <v/>
      </c>
      <c r="Q222" s="56" t="str">
        <f aca="false">IF($W222="","",N(INDEX(发票统计!Q$4:Q$1003,$W222)))</f>
        <v/>
      </c>
      <c r="R222" s="56" t="str">
        <f aca="false">IF($W222="","",N(INDEX(发票统计!R$4:R$1003,$W222)))</f>
        <v/>
      </c>
      <c r="S222" s="56" t="str">
        <f aca="false">IF($W222="","",N(INDEX(发票统计!S$4:S$1003,$W222)))</f>
        <v/>
      </c>
      <c r="T222" s="56" t="str">
        <f aca="false">IF($W222="","",SUM(Q$4:Q222)-SUM(R$4:R222)-SUM(S$4:S222))</f>
        <v/>
      </c>
      <c r="U222" s="56" t="str">
        <f aca="false">IF($W222="","",INDEX(发票统计!U$4:U$1003,$W222)&amp;"")</f>
        <v/>
      </c>
      <c r="W222" s="1" t="str">
        <f aca="false">IF($V$3="","",IFERROR(MATCH($V$3&amp;"#"&amp;ROWS(W$4:W222),发票统计!$W$4:$W$1003,0),""))</f>
        <v/>
      </c>
    </row>
    <row r="223" customFormat="false" ht="16.5" hidden="false" customHeight="false" outlineLevel="0" collapsed="false">
      <c r="A223" s="3" t="str">
        <f aca="false">IF($W223="","",INDEX(发票统计!A$4:A$1003,$W223)&amp;"")</f>
        <v/>
      </c>
      <c r="B223" s="3" t="str">
        <f aca="false">IF($W223="","",INDEX(发票统计!B$4:B$1003,$W223)&amp;"")</f>
        <v/>
      </c>
      <c r="C223" s="3" t="str">
        <f aca="false">IF($W223="","",INDEX(发票统计!C$4:C$1003,$W223)&amp;"")</f>
        <v/>
      </c>
      <c r="D223" s="3" t="str">
        <f aca="false">IF($W223="","",INDEX(发票统计!D$4:D$1003,$W223)&amp;"")</f>
        <v/>
      </c>
      <c r="E223" s="67" t="str">
        <f aca="false">IF($W223="","",INDEX(发票统计!E$4:E$1003,$W223)&amp;"")</f>
        <v/>
      </c>
      <c r="F223" s="68" t="str">
        <f aca="false">IF($W223="","",INDEX(发票统计!F$4:F$1003,$W223)&amp;"")</f>
        <v/>
      </c>
      <c r="G223" s="68" t="str">
        <f aca="false">IF($W223="","",IF(INDEX(发票统计!G$4:G$1003,$W223)="","",INDEX(发票统计!G$4:G$1003,$W223)))</f>
        <v/>
      </c>
      <c r="H223" s="56" t="str">
        <f aca="false">IF($W223="","",N(INDEX(发票统计!H$4:H$1003,$W223)))</f>
        <v/>
      </c>
      <c r="I223" s="56" t="str">
        <f aca="false">IF($W223="","",N(INDEX(发票统计!I$4:I$1003,$W223)))</f>
        <v/>
      </c>
      <c r="J223" s="56" t="str">
        <f aca="false">IF($W223="","",N(INDEX(发票统计!J$4:J$1003,$W223)))</f>
        <v/>
      </c>
      <c r="K223" s="56" t="str">
        <f aca="false">IF($W223="","",N(INDEX(发票统计!K$4:K$1003,$W223)))</f>
        <v/>
      </c>
      <c r="L223" s="56" t="str">
        <f aca="false">IF($W223="","",SUM(J$4:J223)-SUM(K$4:K223))</f>
        <v/>
      </c>
      <c r="M223" s="56" t="str">
        <f aca="false">IF($W223="","",N(INDEX(发票统计!M$4:M$1003,$W223)))</f>
        <v/>
      </c>
      <c r="N223" s="56" t="str">
        <f aca="false">IF($W223="","",N(INDEX(发票统计!N$4:N$1003,$W223)))</f>
        <v/>
      </c>
      <c r="O223" s="56" t="str">
        <f aca="false">IF($W223="","",N(INDEX(发票统计!O$4:O$1003,$W223)))</f>
        <v/>
      </c>
      <c r="P223" s="56" t="str">
        <f aca="false">IF($W223="","",SUM(M$4:M223)-SUM(N$4:N223)-SUM(O$4:O223))</f>
        <v/>
      </c>
      <c r="Q223" s="56" t="str">
        <f aca="false">IF($W223="","",N(INDEX(发票统计!Q$4:Q$1003,$W223)))</f>
        <v/>
      </c>
      <c r="R223" s="56" t="str">
        <f aca="false">IF($W223="","",N(INDEX(发票统计!R$4:R$1003,$W223)))</f>
        <v/>
      </c>
      <c r="S223" s="56" t="str">
        <f aca="false">IF($W223="","",N(INDEX(发票统计!S$4:S$1003,$W223)))</f>
        <v/>
      </c>
      <c r="T223" s="56" t="str">
        <f aca="false">IF($W223="","",SUM(Q$4:Q223)-SUM(R$4:R223)-SUM(S$4:S223))</f>
        <v/>
      </c>
      <c r="U223" s="56" t="str">
        <f aca="false">IF($W223="","",INDEX(发票统计!U$4:U$1003,$W223)&amp;"")</f>
        <v/>
      </c>
      <c r="W223" s="1" t="str">
        <f aca="false">IF($V$3="","",IFERROR(MATCH($V$3&amp;"#"&amp;ROWS(W$4:W223),发票统计!$W$4:$W$1003,0),""))</f>
        <v/>
      </c>
    </row>
    <row r="224" customFormat="false" ht="16.5" hidden="false" customHeight="false" outlineLevel="0" collapsed="false">
      <c r="A224" s="3" t="str">
        <f aca="false">IF($W224="","",INDEX(发票统计!A$4:A$1003,$W224)&amp;"")</f>
        <v/>
      </c>
      <c r="B224" s="3" t="str">
        <f aca="false">IF($W224="","",INDEX(发票统计!B$4:B$1003,$W224)&amp;"")</f>
        <v/>
      </c>
      <c r="C224" s="3" t="str">
        <f aca="false">IF($W224="","",INDEX(发票统计!C$4:C$1003,$W224)&amp;"")</f>
        <v/>
      </c>
      <c r="D224" s="3" t="str">
        <f aca="false">IF($W224="","",INDEX(发票统计!D$4:D$1003,$W224)&amp;"")</f>
        <v/>
      </c>
      <c r="E224" s="67" t="str">
        <f aca="false">IF($W224="","",INDEX(发票统计!E$4:E$1003,$W224)&amp;"")</f>
        <v/>
      </c>
      <c r="F224" s="68" t="str">
        <f aca="false">IF($W224="","",INDEX(发票统计!F$4:F$1003,$W224)&amp;"")</f>
        <v/>
      </c>
      <c r="G224" s="68" t="str">
        <f aca="false">IF($W224="","",IF(INDEX(发票统计!G$4:G$1003,$W224)="","",INDEX(发票统计!G$4:G$1003,$W224)))</f>
        <v/>
      </c>
      <c r="H224" s="56" t="str">
        <f aca="false">IF($W224="","",N(INDEX(发票统计!H$4:H$1003,$W224)))</f>
        <v/>
      </c>
      <c r="I224" s="56" t="str">
        <f aca="false">IF($W224="","",N(INDEX(发票统计!I$4:I$1003,$W224)))</f>
        <v/>
      </c>
      <c r="J224" s="56" t="str">
        <f aca="false">IF($W224="","",N(INDEX(发票统计!J$4:J$1003,$W224)))</f>
        <v/>
      </c>
      <c r="K224" s="56" t="str">
        <f aca="false">IF($W224="","",N(INDEX(发票统计!K$4:K$1003,$W224)))</f>
        <v/>
      </c>
      <c r="L224" s="56" t="str">
        <f aca="false">IF($W224="","",SUM(J$4:J224)-SUM(K$4:K224))</f>
        <v/>
      </c>
      <c r="M224" s="56" t="str">
        <f aca="false">IF($W224="","",N(INDEX(发票统计!M$4:M$1003,$W224)))</f>
        <v/>
      </c>
      <c r="N224" s="56" t="str">
        <f aca="false">IF($W224="","",N(INDEX(发票统计!N$4:N$1003,$W224)))</f>
        <v/>
      </c>
      <c r="O224" s="56" t="str">
        <f aca="false">IF($W224="","",N(INDEX(发票统计!O$4:O$1003,$W224)))</f>
        <v/>
      </c>
      <c r="P224" s="56" t="str">
        <f aca="false">IF($W224="","",SUM(M$4:M224)-SUM(N$4:N224)-SUM(O$4:O224))</f>
        <v/>
      </c>
      <c r="Q224" s="56" t="str">
        <f aca="false">IF($W224="","",N(INDEX(发票统计!Q$4:Q$1003,$W224)))</f>
        <v/>
      </c>
      <c r="R224" s="56" t="str">
        <f aca="false">IF($W224="","",N(INDEX(发票统计!R$4:R$1003,$W224)))</f>
        <v/>
      </c>
      <c r="S224" s="56" t="str">
        <f aca="false">IF($W224="","",N(INDEX(发票统计!S$4:S$1003,$W224)))</f>
        <v/>
      </c>
      <c r="T224" s="56" t="str">
        <f aca="false">IF($W224="","",SUM(Q$4:Q224)-SUM(R$4:R224)-SUM(S$4:S224))</f>
        <v/>
      </c>
      <c r="U224" s="56" t="str">
        <f aca="false">IF($W224="","",INDEX(发票统计!U$4:U$1003,$W224)&amp;"")</f>
        <v/>
      </c>
      <c r="W224" s="1" t="str">
        <f aca="false">IF($V$3="","",IFERROR(MATCH($V$3&amp;"#"&amp;ROWS(W$4:W224),发票统计!$W$4:$W$1003,0),""))</f>
        <v/>
      </c>
    </row>
    <row r="225" customFormat="false" ht="16.5" hidden="false" customHeight="false" outlineLevel="0" collapsed="false">
      <c r="A225" s="3" t="str">
        <f aca="false">IF($W225="","",INDEX(发票统计!A$4:A$1003,$W225)&amp;"")</f>
        <v/>
      </c>
      <c r="B225" s="3" t="str">
        <f aca="false">IF($W225="","",INDEX(发票统计!B$4:B$1003,$W225)&amp;"")</f>
        <v/>
      </c>
      <c r="C225" s="3" t="str">
        <f aca="false">IF($W225="","",INDEX(发票统计!C$4:C$1003,$W225)&amp;"")</f>
        <v/>
      </c>
      <c r="D225" s="3" t="str">
        <f aca="false">IF($W225="","",INDEX(发票统计!D$4:D$1003,$W225)&amp;"")</f>
        <v/>
      </c>
      <c r="E225" s="67" t="str">
        <f aca="false">IF($W225="","",INDEX(发票统计!E$4:E$1003,$W225)&amp;"")</f>
        <v/>
      </c>
      <c r="F225" s="68" t="str">
        <f aca="false">IF($W225="","",INDEX(发票统计!F$4:F$1003,$W225)&amp;"")</f>
        <v/>
      </c>
      <c r="G225" s="68" t="str">
        <f aca="false">IF($W225="","",IF(INDEX(发票统计!G$4:G$1003,$W225)="","",INDEX(发票统计!G$4:G$1003,$W225)))</f>
        <v/>
      </c>
      <c r="H225" s="56" t="str">
        <f aca="false">IF($W225="","",N(INDEX(发票统计!H$4:H$1003,$W225)))</f>
        <v/>
      </c>
      <c r="I225" s="56" t="str">
        <f aca="false">IF($W225="","",N(INDEX(发票统计!I$4:I$1003,$W225)))</f>
        <v/>
      </c>
      <c r="J225" s="56" t="str">
        <f aca="false">IF($W225="","",N(INDEX(发票统计!J$4:J$1003,$W225)))</f>
        <v/>
      </c>
      <c r="K225" s="56" t="str">
        <f aca="false">IF($W225="","",N(INDEX(发票统计!K$4:K$1003,$W225)))</f>
        <v/>
      </c>
      <c r="L225" s="56" t="str">
        <f aca="false">IF($W225="","",SUM(J$4:J225)-SUM(K$4:K225))</f>
        <v/>
      </c>
      <c r="M225" s="56" t="str">
        <f aca="false">IF($W225="","",N(INDEX(发票统计!M$4:M$1003,$W225)))</f>
        <v/>
      </c>
      <c r="N225" s="56" t="str">
        <f aca="false">IF($W225="","",N(INDEX(发票统计!N$4:N$1003,$W225)))</f>
        <v/>
      </c>
      <c r="O225" s="56" t="str">
        <f aca="false">IF($W225="","",N(INDEX(发票统计!O$4:O$1003,$W225)))</f>
        <v/>
      </c>
      <c r="P225" s="56" t="str">
        <f aca="false">IF($W225="","",SUM(M$4:M225)-SUM(N$4:N225)-SUM(O$4:O225))</f>
        <v/>
      </c>
      <c r="Q225" s="56" t="str">
        <f aca="false">IF($W225="","",N(INDEX(发票统计!Q$4:Q$1003,$W225)))</f>
        <v/>
      </c>
      <c r="R225" s="56" t="str">
        <f aca="false">IF($W225="","",N(INDEX(发票统计!R$4:R$1003,$W225)))</f>
        <v/>
      </c>
      <c r="S225" s="56" t="str">
        <f aca="false">IF($W225="","",N(INDEX(发票统计!S$4:S$1003,$W225)))</f>
        <v/>
      </c>
      <c r="T225" s="56" t="str">
        <f aca="false">IF($W225="","",SUM(Q$4:Q225)-SUM(R$4:R225)-SUM(S$4:S225))</f>
        <v/>
      </c>
      <c r="U225" s="56" t="str">
        <f aca="false">IF($W225="","",INDEX(发票统计!U$4:U$1003,$W225)&amp;"")</f>
        <v/>
      </c>
      <c r="W225" s="1" t="str">
        <f aca="false">IF($V$3="","",IFERROR(MATCH($V$3&amp;"#"&amp;ROWS(W$4:W225),发票统计!$W$4:$W$1003,0),""))</f>
        <v/>
      </c>
    </row>
    <row r="226" customFormat="false" ht="16.5" hidden="false" customHeight="false" outlineLevel="0" collapsed="false">
      <c r="A226" s="3" t="str">
        <f aca="false">IF($W226="","",INDEX(发票统计!A$4:A$1003,$W226)&amp;"")</f>
        <v/>
      </c>
      <c r="B226" s="3" t="str">
        <f aca="false">IF($W226="","",INDEX(发票统计!B$4:B$1003,$W226)&amp;"")</f>
        <v/>
      </c>
      <c r="C226" s="3" t="str">
        <f aca="false">IF($W226="","",INDEX(发票统计!C$4:C$1003,$W226)&amp;"")</f>
        <v/>
      </c>
      <c r="D226" s="3" t="str">
        <f aca="false">IF($W226="","",INDEX(发票统计!D$4:D$1003,$W226)&amp;"")</f>
        <v/>
      </c>
      <c r="E226" s="67" t="str">
        <f aca="false">IF($W226="","",INDEX(发票统计!E$4:E$1003,$W226)&amp;"")</f>
        <v/>
      </c>
      <c r="F226" s="68" t="str">
        <f aca="false">IF($W226="","",INDEX(发票统计!F$4:F$1003,$W226)&amp;"")</f>
        <v/>
      </c>
      <c r="G226" s="68" t="str">
        <f aca="false">IF($W226="","",IF(INDEX(发票统计!G$4:G$1003,$W226)="","",INDEX(发票统计!G$4:G$1003,$W226)))</f>
        <v/>
      </c>
      <c r="H226" s="56" t="str">
        <f aca="false">IF($W226="","",N(INDEX(发票统计!H$4:H$1003,$W226)))</f>
        <v/>
      </c>
      <c r="I226" s="56" t="str">
        <f aca="false">IF($W226="","",N(INDEX(发票统计!I$4:I$1003,$W226)))</f>
        <v/>
      </c>
      <c r="J226" s="56" t="str">
        <f aca="false">IF($W226="","",N(INDEX(发票统计!J$4:J$1003,$W226)))</f>
        <v/>
      </c>
      <c r="K226" s="56" t="str">
        <f aca="false">IF($W226="","",N(INDEX(发票统计!K$4:K$1003,$W226)))</f>
        <v/>
      </c>
      <c r="L226" s="56" t="str">
        <f aca="false">IF($W226="","",SUM(J$4:J226)-SUM(K$4:K226))</f>
        <v/>
      </c>
      <c r="M226" s="56" t="str">
        <f aca="false">IF($W226="","",N(INDEX(发票统计!M$4:M$1003,$W226)))</f>
        <v/>
      </c>
      <c r="N226" s="56" t="str">
        <f aca="false">IF($W226="","",N(INDEX(发票统计!N$4:N$1003,$W226)))</f>
        <v/>
      </c>
      <c r="O226" s="56" t="str">
        <f aca="false">IF($W226="","",N(INDEX(发票统计!O$4:O$1003,$W226)))</f>
        <v/>
      </c>
      <c r="P226" s="56" t="str">
        <f aca="false">IF($W226="","",SUM(M$4:M226)-SUM(N$4:N226)-SUM(O$4:O226))</f>
        <v/>
      </c>
      <c r="Q226" s="56" t="str">
        <f aca="false">IF($W226="","",N(INDEX(发票统计!Q$4:Q$1003,$W226)))</f>
        <v/>
      </c>
      <c r="R226" s="56" t="str">
        <f aca="false">IF($W226="","",N(INDEX(发票统计!R$4:R$1003,$W226)))</f>
        <v/>
      </c>
      <c r="S226" s="56" t="str">
        <f aca="false">IF($W226="","",N(INDEX(发票统计!S$4:S$1003,$W226)))</f>
        <v/>
      </c>
      <c r="T226" s="56" t="str">
        <f aca="false">IF($W226="","",SUM(Q$4:Q226)-SUM(R$4:R226)-SUM(S$4:S226))</f>
        <v/>
      </c>
      <c r="U226" s="56" t="str">
        <f aca="false">IF($W226="","",INDEX(发票统计!U$4:U$1003,$W226)&amp;"")</f>
        <v/>
      </c>
      <c r="W226" s="1" t="str">
        <f aca="false">IF($V$3="","",IFERROR(MATCH($V$3&amp;"#"&amp;ROWS(W$4:W226),发票统计!$W$4:$W$1003,0),""))</f>
        <v/>
      </c>
    </row>
    <row r="227" customFormat="false" ht="16.5" hidden="false" customHeight="false" outlineLevel="0" collapsed="false">
      <c r="A227" s="3" t="str">
        <f aca="false">IF($W227="","",INDEX(发票统计!A$4:A$1003,$W227)&amp;"")</f>
        <v/>
      </c>
      <c r="B227" s="3" t="str">
        <f aca="false">IF($W227="","",INDEX(发票统计!B$4:B$1003,$W227)&amp;"")</f>
        <v/>
      </c>
      <c r="C227" s="3" t="str">
        <f aca="false">IF($W227="","",INDEX(发票统计!C$4:C$1003,$W227)&amp;"")</f>
        <v/>
      </c>
      <c r="D227" s="3" t="str">
        <f aca="false">IF($W227="","",INDEX(发票统计!D$4:D$1003,$W227)&amp;"")</f>
        <v/>
      </c>
      <c r="E227" s="67" t="str">
        <f aca="false">IF($W227="","",INDEX(发票统计!E$4:E$1003,$W227)&amp;"")</f>
        <v/>
      </c>
      <c r="F227" s="68" t="str">
        <f aca="false">IF($W227="","",INDEX(发票统计!F$4:F$1003,$W227)&amp;"")</f>
        <v/>
      </c>
      <c r="G227" s="68" t="str">
        <f aca="false">IF($W227="","",IF(INDEX(发票统计!G$4:G$1003,$W227)="","",INDEX(发票统计!G$4:G$1003,$W227)))</f>
        <v/>
      </c>
      <c r="H227" s="56" t="str">
        <f aca="false">IF($W227="","",N(INDEX(发票统计!H$4:H$1003,$W227)))</f>
        <v/>
      </c>
      <c r="I227" s="56" t="str">
        <f aca="false">IF($W227="","",N(INDEX(发票统计!I$4:I$1003,$W227)))</f>
        <v/>
      </c>
      <c r="J227" s="56" t="str">
        <f aca="false">IF($W227="","",N(INDEX(发票统计!J$4:J$1003,$W227)))</f>
        <v/>
      </c>
      <c r="K227" s="56" t="str">
        <f aca="false">IF($W227="","",N(INDEX(发票统计!K$4:K$1003,$W227)))</f>
        <v/>
      </c>
      <c r="L227" s="56" t="str">
        <f aca="false">IF($W227="","",SUM(J$4:J227)-SUM(K$4:K227))</f>
        <v/>
      </c>
      <c r="M227" s="56" t="str">
        <f aca="false">IF($W227="","",N(INDEX(发票统计!M$4:M$1003,$W227)))</f>
        <v/>
      </c>
      <c r="N227" s="56" t="str">
        <f aca="false">IF($W227="","",N(INDEX(发票统计!N$4:N$1003,$W227)))</f>
        <v/>
      </c>
      <c r="O227" s="56" t="str">
        <f aca="false">IF($W227="","",N(INDEX(发票统计!O$4:O$1003,$W227)))</f>
        <v/>
      </c>
      <c r="P227" s="56" t="str">
        <f aca="false">IF($W227="","",SUM(M$4:M227)-SUM(N$4:N227)-SUM(O$4:O227))</f>
        <v/>
      </c>
      <c r="Q227" s="56" t="str">
        <f aca="false">IF($W227="","",N(INDEX(发票统计!Q$4:Q$1003,$W227)))</f>
        <v/>
      </c>
      <c r="R227" s="56" t="str">
        <f aca="false">IF($W227="","",N(INDEX(发票统计!R$4:R$1003,$W227)))</f>
        <v/>
      </c>
      <c r="S227" s="56" t="str">
        <f aca="false">IF($W227="","",N(INDEX(发票统计!S$4:S$1003,$W227)))</f>
        <v/>
      </c>
      <c r="T227" s="56" t="str">
        <f aca="false">IF($W227="","",SUM(Q$4:Q227)-SUM(R$4:R227)-SUM(S$4:S227))</f>
        <v/>
      </c>
      <c r="U227" s="56" t="str">
        <f aca="false">IF($W227="","",INDEX(发票统计!U$4:U$1003,$W227)&amp;"")</f>
        <v/>
      </c>
      <c r="W227" s="1" t="str">
        <f aca="false">IF($V$3="","",IFERROR(MATCH($V$3&amp;"#"&amp;ROWS(W$4:W227),发票统计!$W$4:$W$1003,0),""))</f>
        <v/>
      </c>
    </row>
    <row r="228" customFormat="false" ht="16.5" hidden="false" customHeight="false" outlineLevel="0" collapsed="false">
      <c r="A228" s="3" t="str">
        <f aca="false">IF($W228="","",INDEX(发票统计!A$4:A$1003,$W228)&amp;"")</f>
        <v/>
      </c>
      <c r="B228" s="3" t="str">
        <f aca="false">IF($W228="","",INDEX(发票统计!B$4:B$1003,$W228)&amp;"")</f>
        <v/>
      </c>
      <c r="C228" s="3" t="str">
        <f aca="false">IF($W228="","",INDEX(发票统计!C$4:C$1003,$W228)&amp;"")</f>
        <v/>
      </c>
      <c r="D228" s="3" t="str">
        <f aca="false">IF($W228="","",INDEX(发票统计!D$4:D$1003,$W228)&amp;"")</f>
        <v/>
      </c>
      <c r="E228" s="67" t="str">
        <f aca="false">IF($W228="","",INDEX(发票统计!E$4:E$1003,$W228)&amp;"")</f>
        <v/>
      </c>
      <c r="F228" s="68" t="str">
        <f aca="false">IF($W228="","",INDEX(发票统计!F$4:F$1003,$W228)&amp;"")</f>
        <v/>
      </c>
      <c r="G228" s="68" t="str">
        <f aca="false">IF($W228="","",IF(INDEX(发票统计!G$4:G$1003,$W228)="","",INDEX(发票统计!G$4:G$1003,$W228)))</f>
        <v/>
      </c>
      <c r="H228" s="56" t="str">
        <f aca="false">IF($W228="","",N(INDEX(发票统计!H$4:H$1003,$W228)))</f>
        <v/>
      </c>
      <c r="I228" s="56" t="str">
        <f aca="false">IF($W228="","",N(INDEX(发票统计!I$4:I$1003,$W228)))</f>
        <v/>
      </c>
      <c r="J228" s="56" t="str">
        <f aca="false">IF($W228="","",N(INDEX(发票统计!J$4:J$1003,$W228)))</f>
        <v/>
      </c>
      <c r="K228" s="56" t="str">
        <f aca="false">IF($W228="","",N(INDEX(发票统计!K$4:K$1003,$W228)))</f>
        <v/>
      </c>
      <c r="L228" s="56" t="str">
        <f aca="false">IF($W228="","",SUM(J$4:J228)-SUM(K$4:K228))</f>
        <v/>
      </c>
      <c r="M228" s="56" t="str">
        <f aca="false">IF($W228="","",N(INDEX(发票统计!M$4:M$1003,$W228)))</f>
        <v/>
      </c>
      <c r="N228" s="56" t="str">
        <f aca="false">IF($W228="","",N(INDEX(发票统计!N$4:N$1003,$W228)))</f>
        <v/>
      </c>
      <c r="O228" s="56" t="str">
        <f aca="false">IF($W228="","",N(INDEX(发票统计!O$4:O$1003,$W228)))</f>
        <v/>
      </c>
      <c r="P228" s="56" t="str">
        <f aca="false">IF($W228="","",SUM(M$4:M228)-SUM(N$4:N228)-SUM(O$4:O228))</f>
        <v/>
      </c>
      <c r="Q228" s="56" t="str">
        <f aca="false">IF($W228="","",N(INDEX(发票统计!Q$4:Q$1003,$W228)))</f>
        <v/>
      </c>
      <c r="R228" s="56" t="str">
        <f aca="false">IF($W228="","",N(INDEX(发票统计!R$4:R$1003,$W228)))</f>
        <v/>
      </c>
      <c r="S228" s="56" t="str">
        <f aca="false">IF($W228="","",N(INDEX(发票统计!S$4:S$1003,$W228)))</f>
        <v/>
      </c>
      <c r="T228" s="56" t="str">
        <f aca="false">IF($W228="","",SUM(Q$4:Q228)-SUM(R$4:R228)-SUM(S$4:S228))</f>
        <v/>
      </c>
      <c r="U228" s="56" t="str">
        <f aca="false">IF($W228="","",INDEX(发票统计!U$4:U$1003,$W228)&amp;"")</f>
        <v/>
      </c>
      <c r="W228" s="1" t="str">
        <f aca="false">IF($V$3="","",IFERROR(MATCH($V$3&amp;"#"&amp;ROWS(W$4:W228),发票统计!$W$4:$W$1003,0),""))</f>
        <v/>
      </c>
    </row>
    <row r="229" customFormat="false" ht="16.5" hidden="false" customHeight="false" outlineLevel="0" collapsed="false">
      <c r="A229" s="3" t="str">
        <f aca="false">IF($W229="","",INDEX(发票统计!A$4:A$1003,$W229)&amp;"")</f>
        <v/>
      </c>
      <c r="B229" s="3" t="str">
        <f aca="false">IF($W229="","",INDEX(发票统计!B$4:B$1003,$W229)&amp;"")</f>
        <v/>
      </c>
      <c r="C229" s="3" t="str">
        <f aca="false">IF($W229="","",INDEX(发票统计!C$4:C$1003,$W229)&amp;"")</f>
        <v/>
      </c>
      <c r="D229" s="3" t="str">
        <f aca="false">IF($W229="","",INDEX(发票统计!D$4:D$1003,$W229)&amp;"")</f>
        <v/>
      </c>
      <c r="E229" s="67" t="str">
        <f aca="false">IF($W229="","",INDEX(发票统计!E$4:E$1003,$W229)&amp;"")</f>
        <v/>
      </c>
      <c r="F229" s="68" t="str">
        <f aca="false">IF($W229="","",INDEX(发票统计!F$4:F$1003,$W229)&amp;"")</f>
        <v/>
      </c>
      <c r="G229" s="68" t="str">
        <f aca="false">IF($W229="","",IF(INDEX(发票统计!G$4:G$1003,$W229)="","",INDEX(发票统计!G$4:G$1003,$W229)))</f>
        <v/>
      </c>
      <c r="H229" s="56" t="str">
        <f aca="false">IF($W229="","",N(INDEX(发票统计!H$4:H$1003,$W229)))</f>
        <v/>
      </c>
      <c r="I229" s="56" t="str">
        <f aca="false">IF($W229="","",N(INDEX(发票统计!I$4:I$1003,$W229)))</f>
        <v/>
      </c>
      <c r="J229" s="56" t="str">
        <f aca="false">IF($W229="","",N(INDEX(发票统计!J$4:J$1003,$W229)))</f>
        <v/>
      </c>
      <c r="K229" s="56" t="str">
        <f aca="false">IF($W229="","",N(INDEX(发票统计!K$4:K$1003,$W229)))</f>
        <v/>
      </c>
      <c r="L229" s="56" t="str">
        <f aca="false">IF($W229="","",SUM(J$4:J229)-SUM(K$4:K229))</f>
        <v/>
      </c>
      <c r="M229" s="56" t="str">
        <f aca="false">IF($W229="","",N(INDEX(发票统计!M$4:M$1003,$W229)))</f>
        <v/>
      </c>
      <c r="N229" s="56" t="str">
        <f aca="false">IF($W229="","",N(INDEX(发票统计!N$4:N$1003,$W229)))</f>
        <v/>
      </c>
      <c r="O229" s="56" t="str">
        <f aca="false">IF($W229="","",N(INDEX(发票统计!O$4:O$1003,$W229)))</f>
        <v/>
      </c>
      <c r="P229" s="56" t="str">
        <f aca="false">IF($W229="","",SUM(M$4:M229)-SUM(N$4:N229)-SUM(O$4:O229))</f>
        <v/>
      </c>
      <c r="Q229" s="56" t="str">
        <f aca="false">IF($W229="","",N(INDEX(发票统计!Q$4:Q$1003,$W229)))</f>
        <v/>
      </c>
      <c r="R229" s="56" t="str">
        <f aca="false">IF($W229="","",N(INDEX(发票统计!R$4:R$1003,$W229)))</f>
        <v/>
      </c>
      <c r="S229" s="56" t="str">
        <f aca="false">IF($W229="","",N(INDEX(发票统计!S$4:S$1003,$W229)))</f>
        <v/>
      </c>
      <c r="T229" s="56" t="str">
        <f aca="false">IF($W229="","",SUM(Q$4:Q229)-SUM(R$4:R229)-SUM(S$4:S229))</f>
        <v/>
      </c>
      <c r="U229" s="56" t="str">
        <f aca="false">IF($W229="","",INDEX(发票统计!U$4:U$1003,$W229)&amp;"")</f>
        <v/>
      </c>
      <c r="W229" s="1" t="str">
        <f aca="false">IF($V$3="","",IFERROR(MATCH($V$3&amp;"#"&amp;ROWS(W$4:W229),发票统计!$W$4:$W$1003,0),""))</f>
        <v/>
      </c>
    </row>
    <row r="230" customFormat="false" ht="16.5" hidden="false" customHeight="false" outlineLevel="0" collapsed="false">
      <c r="A230" s="3" t="str">
        <f aca="false">IF($W230="","",INDEX(发票统计!A$4:A$1003,$W230)&amp;"")</f>
        <v/>
      </c>
      <c r="B230" s="3" t="str">
        <f aca="false">IF($W230="","",INDEX(发票统计!B$4:B$1003,$W230)&amp;"")</f>
        <v/>
      </c>
      <c r="C230" s="3" t="str">
        <f aca="false">IF($W230="","",INDEX(发票统计!C$4:C$1003,$W230)&amp;"")</f>
        <v/>
      </c>
      <c r="D230" s="3" t="str">
        <f aca="false">IF($W230="","",INDEX(发票统计!D$4:D$1003,$W230)&amp;"")</f>
        <v/>
      </c>
      <c r="E230" s="67" t="str">
        <f aca="false">IF($W230="","",INDEX(发票统计!E$4:E$1003,$W230)&amp;"")</f>
        <v/>
      </c>
      <c r="F230" s="68" t="str">
        <f aca="false">IF($W230="","",INDEX(发票统计!F$4:F$1003,$W230)&amp;"")</f>
        <v/>
      </c>
      <c r="G230" s="68" t="str">
        <f aca="false">IF($W230="","",IF(INDEX(发票统计!G$4:G$1003,$W230)="","",INDEX(发票统计!G$4:G$1003,$W230)))</f>
        <v/>
      </c>
      <c r="H230" s="56" t="str">
        <f aca="false">IF($W230="","",N(INDEX(发票统计!H$4:H$1003,$W230)))</f>
        <v/>
      </c>
      <c r="I230" s="56" t="str">
        <f aca="false">IF($W230="","",N(INDEX(发票统计!I$4:I$1003,$W230)))</f>
        <v/>
      </c>
      <c r="J230" s="56" t="str">
        <f aca="false">IF($W230="","",N(INDEX(发票统计!J$4:J$1003,$W230)))</f>
        <v/>
      </c>
      <c r="K230" s="56" t="str">
        <f aca="false">IF($W230="","",N(INDEX(发票统计!K$4:K$1003,$W230)))</f>
        <v/>
      </c>
      <c r="L230" s="56" t="str">
        <f aca="false">IF($W230="","",SUM(J$4:J230)-SUM(K$4:K230))</f>
        <v/>
      </c>
      <c r="M230" s="56" t="str">
        <f aca="false">IF($W230="","",N(INDEX(发票统计!M$4:M$1003,$W230)))</f>
        <v/>
      </c>
      <c r="N230" s="56" t="str">
        <f aca="false">IF($W230="","",N(INDEX(发票统计!N$4:N$1003,$W230)))</f>
        <v/>
      </c>
      <c r="O230" s="56" t="str">
        <f aca="false">IF($W230="","",N(INDEX(发票统计!O$4:O$1003,$W230)))</f>
        <v/>
      </c>
      <c r="P230" s="56" t="str">
        <f aca="false">IF($W230="","",SUM(M$4:M230)-SUM(N$4:N230)-SUM(O$4:O230))</f>
        <v/>
      </c>
      <c r="Q230" s="56" t="str">
        <f aca="false">IF($W230="","",N(INDEX(发票统计!Q$4:Q$1003,$W230)))</f>
        <v/>
      </c>
      <c r="R230" s="56" t="str">
        <f aca="false">IF($W230="","",N(INDEX(发票统计!R$4:R$1003,$W230)))</f>
        <v/>
      </c>
      <c r="S230" s="56" t="str">
        <f aca="false">IF($W230="","",N(INDEX(发票统计!S$4:S$1003,$W230)))</f>
        <v/>
      </c>
      <c r="T230" s="56" t="str">
        <f aca="false">IF($W230="","",SUM(Q$4:Q230)-SUM(R$4:R230)-SUM(S$4:S230))</f>
        <v/>
      </c>
      <c r="U230" s="56" t="str">
        <f aca="false">IF($W230="","",INDEX(发票统计!U$4:U$1003,$W230)&amp;"")</f>
        <v/>
      </c>
      <c r="W230" s="1" t="str">
        <f aca="false">IF($V$3="","",IFERROR(MATCH($V$3&amp;"#"&amp;ROWS(W$4:W230),发票统计!$W$4:$W$1003,0),""))</f>
        <v/>
      </c>
    </row>
    <row r="231" customFormat="false" ht="16.5" hidden="false" customHeight="false" outlineLevel="0" collapsed="false">
      <c r="A231" s="3" t="str">
        <f aca="false">IF($W231="","",INDEX(发票统计!A$4:A$1003,$W231)&amp;"")</f>
        <v/>
      </c>
      <c r="B231" s="3" t="str">
        <f aca="false">IF($W231="","",INDEX(发票统计!B$4:B$1003,$W231)&amp;"")</f>
        <v/>
      </c>
      <c r="C231" s="3" t="str">
        <f aca="false">IF($W231="","",INDEX(发票统计!C$4:C$1003,$W231)&amp;"")</f>
        <v/>
      </c>
      <c r="D231" s="3" t="str">
        <f aca="false">IF($W231="","",INDEX(发票统计!D$4:D$1003,$W231)&amp;"")</f>
        <v/>
      </c>
      <c r="E231" s="67" t="str">
        <f aca="false">IF($W231="","",INDEX(发票统计!E$4:E$1003,$W231)&amp;"")</f>
        <v/>
      </c>
      <c r="F231" s="68" t="str">
        <f aca="false">IF($W231="","",INDEX(发票统计!F$4:F$1003,$W231)&amp;"")</f>
        <v/>
      </c>
      <c r="G231" s="68" t="str">
        <f aca="false">IF($W231="","",IF(INDEX(发票统计!G$4:G$1003,$W231)="","",INDEX(发票统计!G$4:G$1003,$W231)))</f>
        <v/>
      </c>
      <c r="H231" s="56" t="str">
        <f aca="false">IF($W231="","",N(INDEX(发票统计!H$4:H$1003,$W231)))</f>
        <v/>
      </c>
      <c r="I231" s="56" t="str">
        <f aca="false">IF($W231="","",N(INDEX(发票统计!I$4:I$1003,$W231)))</f>
        <v/>
      </c>
      <c r="J231" s="56" t="str">
        <f aca="false">IF($W231="","",N(INDEX(发票统计!J$4:J$1003,$W231)))</f>
        <v/>
      </c>
      <c r="K231" s="56" t="str">
        <f aca="false">IF($W231="","",N(INDEX(发票统计!K$4:K$1003,$W231)))</f>
        <v/>
      </c>
      <c r="L231" s="56" t="str">
        <f aca="false">IF($W231="","",SUM(J$4:J231)-SUM(K$4:K231))</f>
        <v/>
      </c>
      <c r="M231" s="56" t="str">
        <f aca="false">IF($W231="","",N(INDEX(发票统计!M$4:M$1003,$W231)))</f>
        <v/>
      </c>
      <c r="N231" s="56" t="str">
        <f aca="false">IF($W231="","",N(INDEX(发票统计!N$4:N$1003,$W231)))</f>
        <v/>
      </c>
      <c r="O231" s="56" t="str">
        <f aca="false">IF($W231="","",N(INDEX(发票统计!O$4:O$1003,$W231)))</f>
        <v/>
      </c>
      <c r="P231" s="56" t="str">
        <f aca="false">IF($W231="","",SUM(M$4:M231)-SUM(N$4:N231)-SUM(O$4:O231))</f>
        <v/>
      </c>
      <c r="Q231" s="56" t="str">
        <f aca="false">IF($W231="","",N(INDEX(发票统计!Q$4:Q$1003,$W231)))</f>
        <v/>
      </c>
      <c r="R231" s="56" t="str">
        <f aca="false">IF($W231="","",N(INDEX(发票统计!R$4:R$1003,$W231)))</f>
        <v/>
      </c>
      <c r="S231" s="56" t="str">
        <f aca="false">IF($W231="","",N(INDEX(发票统计!S$4:S$1003,$W231)))</f>
        <v/>
      </c>
      <c r="T231" s="56" t="str">
        <f aca="false">IF($W231="","",SUM(Q$4:Q231)-SUM(R$4:R231)-SUM(S$4:S231))</f>
        <v/>
      </c>
      <c r="U231" s="56" t="str">
        <f aca="false">IF($W231="","",INDEX(发票统计!U$4:U$1003,$W231)&amp;"")</f>
        <v/>
      </c>
      <c r="W231" s="1" t="str">
        <f aca="false">IF($V$3="","",IFERROR(MATCH($V$3&amp;"#"&amp;ROWS(W$4:W231),发票统计!$W$4:$W$1003,0),""))</f>
        <v/>
      </c>
    </row>
    <row r="232" customFormat="false" ht="16.5" hidden="false" customHeight="false" outlineLevel="0" collapsed="false">
      <c r="A232" s="3" t="str">
        <f aca="false">IF($W232="","",INDEX(发票统计!A$4:A$1003,$W232)&amp;"")</f>
        <v/>
      </c>
      <c r="B232" s="3" t="str">
        <f aca="false">IF($W232="","",INDEX(发票统计!B$4:B$1003,$W232)&amp;"")</f>
        <v/>
      </c>
      <c r="C232" s="3" t="str">
        <f aca="false">IF($W232="","",INDEX(发票统计!C$4:C$1003,$W232)&amp;"")</f>
        <v/>
      </c>
      <c r="D232" s="3" t="str">
        <f aca="false">IF($W232="","",INDEX(发票统计!D$4:D$1003,$W232)&amp;"")</f>
        <v/>
      </c>
      <c r="E232" s="67" t="str">
        <f aca="false">IF($W232="","",INDEX(发票统计!E$4:E$1003,$W232)&amp;"")</f>
        <v/>
      </c>
      <c r="F232" s="68" t="str">
        <f aca="false">IF($W232="","",INDEX(发票统计!F$4:F$1003,$W232)&amp;"")</f>
        <v/>
      </c>
      <c r="G232" s="68" t="str">
        <f aca="false">IF($W232="","",IF(INDEX(发票统计!G$4:G$1003,$W232)="","",INDEX(发票统计!G$4:G$1003,$W232)))</f>
        <v/>
      </c>
      <c r="H232" s="56" t="str">
        <f aca="false">IF($W232="","",N(INDEX(发票统计!H$4:H$1003,$W232)))</f>
        <v/>
      </c>
      <c r="I232" s="56" t="str">
        <f aca="false">IF($W232="","",N(INDEX(发票统计!I$4:I$1003,$W232)))</f>
        <v/>
      </c>
      <c r="J232" s="56" t="str">
        <f aca="false">IF($W232="","",N(INDEX(发票统计!J$4:J$1003,$W232)))</f>
        <v/>
      </c>
      <c r="K232" s="56" t="str">
        <f aca="false">IF($W232="","",N(INDEX(发票统计!K$4:K$1003,$W232)))</f>
        <v/>
      </c>
      <c r="L232" s="56" t="str">
        <f aca="false">IF($W232="","",SUM(J$4:J232)-SUM(K$4:K232))</f>
        <v/>
      </c>
      <c r="M232" s="56" t="str">
        <f aca="false">IF($W232="","",N(INDEX(发票统计!M$4:M$1003,$W232)))</f>
        <v/>
      </c>
      <c r="N232" s="56" t="str">
        <f aca="false">IF($W232="","",N(INDEX(发票统计!N$4:N$1003,$W232)))</f>
        <v/>
      </c>
      <c r="O232" s="56" t="str">
        <f aca="false">IF($W232="","",N(INDEX(发票统计!O$4:O$1003,$W232)))</f>
        <v/>
      </c>
      <c r="P232" s="56" t="str">
        <f aca="false">IF($W232="","",SUM(M$4:M232)-SUM(N$4:N232)-SUM(O$4:O232))</f>
        <v/>
      </c>
      <c r="Q232" s="56" t="str">
        <f aca="false">IF($W232="","",N(INDEX(发票统计!Q$4:Q$1003,$W232)))</f>
        <v/>
      </c>
      <c r="R232" s="56" t="str">
        <f aca="false">IF($W232="","",N(INDEX(发票统计!R$4:R$1003,$W232)))</f>
        <v/>
      </c>
      <c r="S232" s="56" t="str">
        <f aca="false">IF($W232="","",N(INDEX(发票统计!S$4:S$1003,$W232)))</f>
        <v/>
      </c>
      <c r="T232" s="56" t="str">
        <f aca="false">IF($W232="","",SUM(Q$4:Q232)-SUM(R$4:R232)-SUM(S$4:S232))</f>
        <v/>
      </c>
      <c r="U232" s="56" t="str">
        <f aca="false">IF($W232="","",INDEX(发票统计!U$4:U$1003,$W232)&amp;"")</f>
        <v/>
      </c>
      <c r="W232" s="1" t="str">
        <f aca="false">IF($V$3="","",IFERROR(MATCH($V$3&amp;"#"&amp;ROWS(W$4:W232),发票统计!$W$4:$W$1003,0),""))</f>
        <v/>
      </c>
    </row>
    <row r="233" customFormat="false" ht="16.5" hidden="false" customHeight="false" outlineLevel="0" collapsed="false">
      <c r="A233" s="3" t="str">
        <f aca="false">IF($W233="","",INDEX(发票统计!A$4:A$1003,$W233)&amp;"")</f>
        <v/>
      </c>
      <c r="B233" s="3" t="str">
        <f aca="false">IF($W233="","",INDEX(发票统计!B$4:B$1003,$W233)&amp;"")</f>
        <v/>
      </c>
      <c r="C233" s="3" t="str">
        <f aca="false">IF($W233="","",INDEX(发票统计!C$4:C$1003,$W233)&amp;"")</f>
        <v/>
      </c>
      <c r="D233" s="3" t="str">
        <f aca="false">IF($W233="","",INDEX(发票统计!D$4:D$1003,$W233)&amp;"")</f>
        <v/>
      </c>
      <c r="E233" s="67" t="str">
        <f aca="false">IF($W233="","",INDEX(发票统计!E$4:E$1003,$W233)&amp;"")</f>
        <v/>
      </c>
      <c r="F233" s="68" t="str">
        <f aca="false">IF($W233="","",INDEX(发票统计!F$4:F$1003,$W233)&amp;"")</f>
        <v/>
      </c>
      <c r="G233" s="68" t="str">
        <f aca="false">IF($W233="","",IF(INDEX(发票统计!G$4:G$1003,$W233)="","",INDEX(发票统计!G$4:G$1003,$W233)))</f>
        <v/>
      </c>
      <c r="H233" s="56" t="str">
        <f aca="false">IF($W233="","",N(INDEX(发票统计!H$4:H$1003,$W233)))</f>
        <v/>
      </c>
      <c r="I233" s="56" t="str">
        <f aca="false">IF($W233="","",N(INDEX(发票统计!I$4:I$1003,$W233)))</f>
        <v/>
      </c>
      <c r="J233" s="56" t="str">
        <f aca="false">IF($W233="","",N(INDEX(发票统计!J$4:J$1003,$W233)))</f>
        <v/>
      </c>
      <c r="K233" s="56" t="str">
        <f aca="false">IF($W233="","",N(INDEX(发票统计!K$4:K$1003,$W233)))</f>
        <v/>
      </c>
      <c r="L233" s="56" t="str">
        <f aca="false">IF($W233="","",SUM(J$4:J233)-SUM(K$4:K233))</f>
        <v/>
      </c>
      <c r="M233" s="56" t="str">
        <f aca="false">IF($W233="","",N(INDEX(发票统计!M$4:M$1003,$W233)))</f>
        <v/>
      </c>
      <c r="N233" s="56" t="str">
        <f aca="false">IF($W233="","",N(INDEX(发票统计!N$4:N$1003,$W233)))</f>
        <v/>
      </c>
      <c r="O233" s="56" t="str">
        <f aca="false">IF($W233="","",N(INDEX(发票统计!O$4:O$1003,$W233)))</f>
        <v/>
      </c>
      <c r="P233" s="56" t="str">
        <f aca="false">IF($W233="","",SUM(M$4:M233)-SUM(N$4:N233)-SUM(O$4:O233))</f>
        <v/>
      </c>
      <c r="Q233" s="56" t="str">
        <f aca="false">IF($W233="","",N(INDEX(发票统计!Q$4:Q$1003,$W233)))</f>
        <v/>
      </c>
      <c r="R233" s="56" t="str">
        <f aca="false">IF($W233="","",N(INDEX(发票统计!R$4:R$1003,$W233)))</f>
        <v/>
      </c>
      <c r="S233" s="56" t="str">
        <f aca="false">IF($W233="","",N(INDEX(发票统计!S$4:S$1003,$W233)))</f>
        <v/>
      </c>
      <c r="T233" s="56" t="str">
        <f aca="false">IF($W233="","",SUM(Q$4:Q233)-SUM(R$4:R233)-SUM(S$4:S233))</f>
        <v/>
      </c>
      <c r="U233" s="56" t="str">
        <f aca="false">IF($W233="","",INDEX(发票统计!U$4:U$1003,$W233)&amp;"")</f>
        <v/>
      </c>
      <c r="W233" s="1" t="str">
        <f aca="false">IF($V$3="","",IFERROR(MATCH($V$3&amp;"#"&amp;ROWS(W$4:W233),发票统计!$W$4:$W$1003,0),""))</f>
        <v/>
      </c>
    </row>
    <row r="234" customFormat="false" ht="16.5" hidden="false" customHeight="false" outlineLevel="0" collapsed="false">
      <c r="A234" s="3" t="str">
        <f aca="false">IF($W234="","",INDEX(发票统计!A$4:A$1003,$W234)&amp;"")</f>
        <v/>
      </c>
      <c r="B234" s="3" t="str">
        <f aca="false">IF($W234="","",INDEX(发票统计!B$4:B$1003,$W234)&amp;"")</f>
        <v/>
      </c>
      <c r="C234" s="3" t="str">
        <f aca="false">IF($W234="","",INDEX(发票统计!C$4:C$1003,$W234)&amp;"")</f>
        <v/>
      </c>
      <c r="D234" s="3" t="str">
        <f aca="false">IF($W234="","",INDEX(发票统计!D$4:D$1003,$W234)&amp;"")</f>
        <v/>
      </c>
      <c r="E234" s="67" t="str">
        <f aca="false">IF($W234="","",INDEX(发票统计!E$4:E$1003,$W234)&amp;"")</f>
        <v/>
      </c>
      <c r="F234" s="68" t="str">
        <f aca="false">IF($W234="","",INDEX(发票统计!F$4:F$1003,$W234)&amp;"")</f>
        <v/>
      </c>
      <c r="G234" s="68" t="str">
        <f aca="false">IF($W234="","",IF(INDEX(发票统计!G$4:G$1003,$W234)="","",INDEX(发票统计!G$4:G$1003,$W234)))</f>
        <v/>
      </c>
      <c r="H234" s="56" t="str">
        <f aca="false">IF($W234="","",N(INDEX(发票统计!H$4:H$1003,$W234)))</f>
        <v/>
      </c>
      <c r="I234" s="56" t="str">
        <f aca="false">IF($W234="","",N(INDEX(发票统计!I$4:I$1003,$W234)))</f>
        <v/>
      </c>
      <c r="J234" s="56" t="str">
        <f aca="false">IF($W234="","",N(INDEX(发票统计!J$4:J$1003,$W234)))</f>
        <v/>
      </c>
      <c r="K234" s="56" t="str">
        <f aca="false">IF($W234="","",N(INDEX(发票统计!K$4:K$1003,$W234)))</f>
        <v/>
      </c>
      <c r="L234" s="56" t="str">
        <f aca="false">IF($W234="","",SUM(J$4:J234)-SUM(K$4:K234))</f>
        <v/>
      </c>
      <c r="M234" s="56" t="str">
        <f aca="false">IF($W234="","",N(INDEX(发票统计!M$4:M$1003,$W234)))</f>
        <v/>
      </c>
      <c r="N234" s="56" t="str">
        <f aca="false">IF($W234="","",N(INDEX(发票统计!N$4:N$1003,$W234)))</f>
        <v/>
      </c>
      <c r="O234" s="56" t="str">
        <f aca="false">IF($W234="","",N(INDEX(发票统计!O$4:O$1003,$W234)))</f>
        <v/>
      </c>
      <c r="P234" s="56" t="str">
        <f aca="false">IF($W234="","",SUM(M$4:M234)-SUM(N$4:N234)-SUM(O$4:O234))</f>
        <v/>
      </c>
      <c r="Q234" s="56" t="str">
        <f aca="false">IF($W234="","",N(INDEX(发票统计!Q$4:Q$1003,$W234)))</f>
        <v/>
      </c>
      <c r="R234" s="56" t="str">
        <f aca="false">IF($W234="","",N(INDEX(发票统计!R$4:R$1003,$W234)))</f>
        <v/>
      </c>
      <c r="S234" s="56" t="str">
        <f aca="false">IF($W234="","",N(INDEX(发票统计!S$4:S$1003,$W234)))</f>
        <v/>
      </c>
      <c r="T234" s="56" t="str">
        <f aca="false">IF($W234="","",SUM(Q$4:Q234)-SUM(R$4:R234)-SUM(S$4:S234))</f>
        <v/>
      </c>
      <c r="U234" s="56" t="str">
        <f aca="false">IF($W234="","",INDEX(发票统计!U$4:U$1003,$W234)&amp;"")</f>
        <v/>
      </c>
      <c r="W234" s="1" t="str">
        <f aca="false">IF($V$3="","",IFERROR(MATCH($V$3&amp;"#"&amp;ROWS(W$4:W234),发票统计!$W$4:$W$1003,0),""))</f>
        <v/>
      </c>
    </row>
    <row r="235" customFormat="false" ht="16.5" hidden="false" customHeight="false" outlineLevel="0" collapsed="false">
      <c r="A235" s="3" t="str">
        <f aca="false">IF($W235="","",INDEX(发票统计!A$4:A$1003,$W235)&amp;"")</f>
        <v/>
      </c>
      <c r="B235" s="3" t="str">
        <f aca="false">IF($W235="","",INDEX(发票统计!B$4:B$1003,$W235)&amp;"")</f>
        <v/>
      </c>
      <c r="C235" s="3" t="str">
        <f aca="false">IF($W235="","",INDEX(发票统计!C$4:C$1003,$W235)&amp;"")</f>
        <v/>
      </c>
      <c r="D235" s="3" t="str">
        <f aca="false">IF($W235="","",INDEX(发票统计!D$4:D$1003,$W235)&amp;"")</f>
        <v/>
      </c>
      <c r="E235" s="67" t="str">
        <f aca="false">IF($W235="","",INDEX(发票统计!E$4:E$1003,$W235)&amp;"")</f>
        <v/>
      </c>
      <c r="F235" s="68" t="str">
        <f aca="false">IF($W235="","",INDEX(发票统计!F$4:F$1003,$W235)&amp;"")</f>
        <v/>
      </c>
      <c r="G235" s="68" t="str">
        <f aca="false">IF($W235="","",IF(INDEX(发票统计!G$4:G$1003,$W235)="","",INDEX(发票统计!G$4:G$1003,$W235)))</f>
        <v/>
      </c>
      <c r="H235" s="56" t="str">
        <f aca="false">IF($W235="","",N(INDEX(发票统计!H$4:H$1003,$W235)))</f>
        <v/>
      </c>
      <c r="I235" s="56" t="str">
        <f aca="false">IF($W235="","",N(INDEX(发票统计!I$4:I$1003,$W235)))</f>
        <v/>
      </c>
      <c r="J235" s="56" t="str">
        <f aca="false">IF($W235="","",N(INDEX(发票统计!J$4:J$1003,$W235)))</f>
        <v/>
      </c>
      <c r="K235" s="56" t="str">
        <f aca="false">IF($W235="","",N(INDEX(发票统计!K$4:K$1003,$W235)))</f>
        <v/>
      </c>
      <c r="L235" s="56" t="str">
        <f aca="false">IF($W235="","",SUM(J$4:J235)-SUM(K$4:K235))</f>
        <v/>
      </c>
      <c r="M235" s="56" t="str">
        <f aca="false">IF($W235="","",N(INDEX(发票统计!M$4:M$1003,$W235)))</f>
        <v/>
      </c>
      <c r="N235" s="56" t="str">
        <f aca="false">IF($W235="","",N(INDEX(发票统计!N$4:N$1003,$W235)))</f>
        <v/>
      </c>
      <c r="O235" s="56" t="str">
        <f aca="false">IF($W235="","",N(INDEX(发票统计!O$4:O$1003,$W235)))</f>
        <v/>
      </c>
      <c r="P235" s="56" t="str">
        <f aca="false">IF($W235="","",SUM(M$4:M235)-SUM(N$4:N235)-SUM(O$4:O235))</f>
        <v/>
      </c>
      <c r="Q235" s="56" t="str">
        <f aca="false">IF($W235="","",N(INDEX(发票统计!Q$4:Q$1003,$W235)))</f>
        <v/>
      </c>
      <c r="R235" s="56" t="str">
        <f aca="false">IF($W235="","",N(INDEX(发票统计!R$4:R$1003,$W235)))</f>
        <v/>
      </c>
      <c r="S235" s="56" t="str">
        <f aca="false">IF($W235="","",N(INDEX(发票统计!S$4:S$1003,$W235)))</f>
        <v/>
      </c>
      <c r="T235" s="56" t="str">
        <f aca="false">IF($W235="","",SUM(Q$4:Q235)-SUM(R$4:R235)-SUM(S$4:S235))</f>
        <v/>
      </c>
      <c r="U235" s="56" t="str">
        <f aca="false">IF($W235="","",INDEX(发票统计!U$4:U$1003,$W235)&amp;"")</f>
        <v/>
      </c>
      <c r="W235" s="1" t="str">
        <f aca="false">IF($V$3="","",IFERROR(MATCH($V$3&amp;"#"&amp;ROWS(W$4:W235),发票统计!$W$4:$W$1003,0),""))</f>
        <v/>
      </c>
    </row>
    <row r="236" customFormat="false" ht="16.5" hidden="false" customHeight="false" outlineLevel="0" collapsed="false">
      <c r="A236" s="3" t="str">
        <f aca="false">IF($W236="","",INDEX(发票统计!A$4:A$1003,$W236)&amp;"")</f>
        <v/>
      </c>
      <c r="B236" s="3" t="str">
        <f aca="false">IF($W236="","",INDEX(发票统计!B$4:B$1003,$W236)&amp;"")</f>
        <v/>
      </c>
      <c r="C236" s="3" t="str">
        <f aca="false">IF($W236="","",INDEX(发票统计!C$4:C$1003,$W236)&amp;"")</f>
        <v/>
      </c>
      <c r="D236" s="3" t="str">
        <f aca="false">IF($W236="","",INDEX(发票统计!D$4:D$1003,$W236)&amp;"")</f>
        <v/>
      </c>
      <c r="E236" s="67" t="str">
        <f aca="false">IF($W236="","",INDEX(发票统计!E$4:E$1003,$W236)&amp;"")</f>
        <v/>
      </c>
      <c r="F236" s="68" t="str">
        <f aca="false">IF($W236="","",INDEX(发票统计!F$4:F$1003,$W236)&amp;"")</f>
        <v/>
      </c>
      <c r="G236" s="68" t="str">
        <f aca="false">IF($W236="","",IF(INDEX(发票统计!G$4:G$1003,$W236)="","",INDEX(发票统计!G$4:G$1003,$W236)))</f>
        <v/>
      </c>
      <c r="H236" s="56" t="str">
        <f aca="false">IF($W236="","",N(INDEX(发票统计!H$4:H$1003,$W236)))</f>
        <v/>
      </c>
      <c r="I236" s="56" t="str">
        <f aca="false">IF($W236="","",N(INDEX(发票统计!I$4:I$1003,$W236)))</f>
        <v/>
      </c>
      <c r="J236" s="56" t="str">
        <f aca="false">IF($W236="","",N(INDEX(发票统计!J$4:J$1003,$W236)))</f>
        <v/>
      </c>
      <c r="K236" s="56" t="str">
        <f aca="false">IF($W236="","",N(INDEX(发票统计!K$4:K$1003,$W236)))</f>
        <v/>
      </c>
      <c r="L236" s="56" t="str">
        <f aca="false">IF($W236="","",SUM(J$4:J236)-SUM(K$4:K236))</f>
        <v/>
      </c>
      <c r="M236" s="56" t="str">
        <f aca="false">IF($W236="","",N(INDEX(发票统计!M$4:M$1003,$W236)))</f>
        <v/>
      </c>
      <c r="N236" s="56" t="str">
        <f aca="false">IF($W236="","",N(INDEX(发票统计!N$4:N$1003,$W236)))</f>
        <v/>
      </c>
      <c r="O236" s="56" t="str">
        <f aca="false">IF($W236="","",N(INDEX(发票统计!O$4:O$1003,$W236)))</f>
        <v/>
      </c>
      <c r="P236" s="56" t="str">
        <f aca="false">IF($W236="","",SUM(M$4:M236)-SUM(N$4:N236)-SUM(O$4:O236))</f>
        <v/>
      </c>
      <c r="Q236" s="56" t="str">
        <f aca="false">IF($W236="","",N(INDEX(发票统计!Q$4:Q$1003,$W236)))</f>
        <v/>
      </c>
      <c r="R236" s="56" t="str">
        <f aca="false">IF($W236="","",N(INDEX(发票统计!R$4:R$1003,$W236)))</f>
        <v/>
      </c>
      <c r="S236" s="56" t="str">
        <f aca="false">IF($W236="","",N(INDEX(发票统计!S$4:S$1003,$W236)))</f>
        <v/>
      </c>
      <c r="T236" s="56" t="str">
        <f aca="false">IF($W236="","",SUM(Q$4:Q236)-SUM(R$4:R236)-SUM(S$4:S236))</f>
        <v/>
      </c>
      <c r="U236" s="56" t="str">
        <f aca="false">IF($W236="","",INDEX(发票统计!U$4:U$1003,$W236)&amp;"")</f>
        <v/>
      </c>
      <c r="W236" s="1" t="str">
        <f aca="false">IF($V$3="","",IFERROR(MATCH($V$3&amp;"#"&amp;ROWS(W$4:W236),发票统计!$W$4:$W$1003,0),""))</f>
        <v/>
      </c>
    </row>
    <row r="237" customFormat="false" ht="16.5" hidden="false" customHeight="false" outlineLevel="0" collapsed="false">
      <c r="A237" s="3" t="str">
        <f aca="false">IF($W237="","",INDEX(发票统计!A$4:A$1003,$W237)&amp;"")</f>
        <v/>
      </c>
      <c r="B237" s="3" t="str">
        <f aca="false">IF($W237="","",INDEX(发票统计!B$4:B$1003,$W237)&amp;"")</f>
        <v/>
      </c>
      <c r="C237" s="3" t="str">
        <f aca="false">IF($W237="","",INDEX(发票统计!C$4:C$1003,$W237)&amp;"")</f>
        <v/>
      </c>
      <c r="D237" s="3" t="str">
        <f aca="false">IF($W237="","",INDEX(发票统计!D$4:D$1003,$W237)&amp;"")</f>
        <v/>
      </c>
      <c r="E237" s="67" t="str">
        <f aca="false">IF($W237="","",INDEX(发票统计!E$4:E$1003,$W237)&amp;"")</f>
        <v/>
      </c>
      <c r="F237" s="68" t="str">
        <f aca="false">IF($W237="","",INDEX(发票统计!F$4:F$1003,$W237)&amp;"")</f>
        <v/>
      </c>
      <c r="G237" s="68" t="str">
        <f aca="false">IF($W237="","",IF(INDEX(发票统计!G$4:G$1003,$W237)="","",INDEX(发票统计!G$4:G$1003,$W237)))</f>
        <v/>
      </c>
      <c r="H237" s="56" t="str">
        <f aca="false">IF($W237="","",N(INDEX(发票统计!H$4:H$1003,$W237)))</f>
        <v/>
      </c>
      <c r="I237" s="56" t="str">
        <f aca="false">IF($W237="","",N(INDEX(发票统计!I$4:I$1003,$W237)))</f>
        <v/>
      </c>
      <c r="J237" s="56" t="str">
        <f aca="false">IF($W237="","",N(INDEX(发票统计!J$4:J$1003,$W237)))</f>
        <v/>
      </c>
      <c r="K237" s="56" t="str">
        <f aca="false">IF($W237="","",N(INDEX(发票统计!K$4:K$1003,$W237)))</f>
        <v/>
      </c>
      <c r="L237" s="56" t="str">
        <f aca="false">IF($W237="","",SUM(J$4:J237)-SUM(K$4:K237))</f>
        <v/>
      </c>
      <c r="M237" s="56" t="str">
        <f aca="false">IF($W237="","",N(INDEX(发票统计!M$4:M$1003,$W237)))</f>
        <v/>
      </c>
      <c r="N237" s="56" t="str">
        <f aca="false">IF($W237="","",N(INDEX(发票统计!N$4:N$1003,$W237)))</f>
        <v/>
      </c>
      <c r="O237" s="56" t="str">
        <f aca="false">IF($W237="","",N(INDEX(发票统计!O$4:O$1003,$W237)))</f>
        <v/>
      </c>
      <c r="P237" s="56" t="str">
        <f aca="false">IF($W237="","",SUM(M$4:M237)-SUM(N$4:N237)-SUM(O$4:O237))</f>
        <v/>
      </c>
      <c r="Q237" s="56" t="str">
        <f aca="false">IF($W237="","",N(INDEX(发票统计!Q$4:Q$1003,$W237)))</f>
        <v/>
      </c>
      <c r="R237" s="56" t="str">
        <f aca="false">IF($W237="","",N(INDEX(发票统计!R$4:R$1003,$W237)))</f>
        <v/>
      </c>
      <c r="S237" s="56" t="str">
        <f aca="false">IF($W237="","",N(INDEX(发票统计!S$4:S$1003,$W237)))</f>
        <v/>
      </c>
      <c r="T237" s="56" t="str">
        <f aca="false">IF($W237="","",SUM(Q$4:Q237)-SUM(R$4:R237)-SUM(S$4:S237))</f>
        <v/>
      </c>
      <c r="U237" s="56" t="str">
        <f aca="false">IF($W237="","",INDEX(发票统计!U$4:U$1003,$W237)&amp;"")</f>
        <v/>
      </c>
      <c r="W237" s="1" t="str">
        <f aca="false">IF($V$3="","",IFERROR(MATCH($V$3&amp;"#"&amp;ROWS(W$4:W237),发票统计!$W$4:$W$1003,0),""))</f>
        <v/>
      </c>
    </row>
    <row r="238" customFormat="false" ht="16.5" hidden="false" customHeight="false" outlineLevel="0" collapsed="false">
      <c r="A238" s="3" t="str">
        <f aca="false">IF($W238="","",INDEX(发票统计!A$4:A$1003,$W238)&amp;"")</f>
        <v/>
      </c>
      <c r="B238" s="3" t="str">
        <f aca="false">IF($W238="","",INDEX(发票统计!B$4:B$1003,$W238)&amp;"")</f>
        <v/>
      </c>
      <c r="C238" s="3" t="str">
        <f aca="false">IF($W238="","",INDEX(发票统计!C$4:C$1003,$W238)&amp;"")</f>
        <v/>
      </c>
      <c r="D238" s="3" t="str">
        <f aca="false">IF($W238="","",INDEX(发票统计!D$4:D$1003,$W238)&amp;"")</f>
        <v/>
      </c>
      <c r="E238" s="67" t="str">
        <f aca="false">IF($W238="","",INDEX(发票统计!E$4:E$1003,$W238)&amp;"")</f>
        <v/>
      </c>
      <c r="F238" s="68" t="str">
        <f aca="false">IF($W238="","",INDEX(发票统计!F$4:F$1003,$W238)&amp;"")</f>
        <v/>
      </c>
      <c r="G238" s="68" t="str">
        <f aca="false">IF($W238="","",IF(INDEX(发票统计!G$4:G$1003,$W238)="","",INDEX(发票统计!G$4:G$1003,$W238)))</f>
        <v/>
      </c>
      <c r="H238" s="56" t="str">
        <f aca="false">IF($W238="","",N(INDEX(发票统计!H$4:H$1003,$W238)))</f>
        <v/>
      </c>
      <c r="I238" s="56" t="str">
        <f aca="false">IF($W238="","",N(INDEX(发票统计!I$4:I$1003,$W238)))</f>
        <v/>
      </c>
      <c r="J238" s="56" t="str">
        <f aca="false">IF($W238="","",N(INDEX(发票统计!J$4:J$1003,$W238)))</f>
        <v/>
      </c>
      <c r="K238" s="56" t="str">
        <f aca="false">IF($W238="","",N(INDEX(发票统计!K$4:K$1003,$W238)))</f>
        <v/>
      </c>
      <c r="L238" s="56" t="str">
        <f aca="false">IF($W238="","",SUM(J$4:J238)-SUM(K$4:K238))</f>
        <v/>
      </c>
      <c r="M238" s="56" t="str">
        <f aca="false">IF($W238="","",N(INDEX(发票统计!M$4:M$1003,$W238)))</f>
        <v/>
      </c>
      <c r="N238" s="56" t="str">
        <f aca="false">IF($W238="","",N(INDEX(发票统计!N$4:N$1003,$W238)))</f>
        <v/>
      </c>
      <c r="O238" s="56" t="str">
        <f aca="false">IF($W238="","",N(INDEX(发票统计!O$4:O$1003,$W238)))</f>
        <v/>
      </c>
      <c r="P238" s="56" t="str">
        <f aca="false">IF($W238="","",SUM(M$4:M238)-SUM(N$4:N238)-SUM(O$4:O238))</f>
        <v/>
      </c>
      <c r="Q238" s="56" t="str">
        <f aca="false">IF($W238="","",N(INDEX(发票统计!Q$4:Q$1003,$W238)))</f>
        <v/>
      </c>
      <c r="R238" s="56" t="str">
        <f aca="false">IF($W238="","",N(INDEX(发票统计!R$4:R$1003,$W238)))</f>
        <v/>
      </c>
      <c r="S238" s="56" t="str">
        <f aca="false">IF($W238="","",N(INDEX(发票统计!S$4:S$1003,$W238)))</f>
        <v/>
      </c>
      <c r="T238" s="56" t="str">
        <f aca="false">IF($W238="","",SUM(Q$4:Q238)-SUM(R$4:R238)-SUM(S$4:S238))</f>
        <v/>
      </c>
      <c r="U238" s="56" t="str">
        <f aca="false">IF($W238="","",INDEX(发票统计!U$4:U$1003,$W238)&amp;"")</f>
        <v/>
      </c>
      <c r="W238" s="1" t="str">
        <f aca="false">IF($V$3="","",IFERROR(MATCH($V$3&amp;"#"&amp;ROWS(W$4:W238),发票统计!$W$4:$W$1003,0),""))</f>
        <v/>
      </c>
    </row>
    <row r="239" customFormat="false" ht="16.5" hidden="false" customHeight="false" outlineLevel="0" collapsed="false">
      <c r="A239" s="3" t="str">
        <f aca="false">IF($W239="","",INDEX(发票统计!A$4:A$1003,$W239)&amp;"")</f>
        <v/>
      </c>
      <c r="B239" s="3" t="str">
        <f aca="false">IF($W239="","",INDEX(发票统计!B$4:B$1003,$W239)&amp;"")</f>
        <v/>
      </c>
      <c r="C239" s="3" t="str">
        <f aca="false">IF($W239="","",INDEX(发票统计!C$4:C$1003,$W239)&amp;"")</f>
        <v/>
      </c>
      <c r="D239" s="3" t="str">
        <f aca="false">IF($W239="","",INDEX(发票统计!D$4:D$1003,$W239)&amp;"")</f>
        <v/>
      </c>
      <c r="E239" s="67" t="str">
        <f aca="false">IF($W239="","",INDEX(发票统计!E$4:E$1003,$W239)&amp;"")</f>
        <v/>
      </c>
      <c r="F239" s="68" t="str">
        <f aca="false">IF($W239="","",INDEX(发票统计!F$4:F$1003,$W239)&amp;"")</f>
        <v/>
      </c>
      <c r="G239" s="68" t="str">
        <f aca="false">IF($W239="","",IF(INDEX(发票统计!G$4:G$1003,$W239)="","",INDEX(发票统计!G$4:G$1003,$W239)))</f>
        <v/>
      </c>
      <c r="H239" s="56" t="str">
        <f aca="false">IF($W239="","",N(INDEX(发票统计!H$4:H$1003,$W239)))</f>
        <v/>
      </c>
      <c r="I239" s="56" t="str">
        <f aca="false">IF($W239="","",N(INDEX(发票统计!I$4:I$1003,$W239)))</f>
        <v/>
      </c>
      <c r="J239" s="56" t="str">
        <f aca="false">IF($W239="","",N(INDEX(发票统计!J$4:J$1003,$W239)))</f>
        <v/>
      </c>
      <c r="K239" s="56" t="str">
        <f aca="false">IF($W239="","",N(INDEX(发票统计!K$4:K$1003,$W239)))</f>
        <v/>
      </c>
      <c r="L239" s="56" t="str">
        <f aca="false">IF($W239="","",SUM(J$4:J239)-SUM(K$4:K239))</f>
        <v/>
      </c>
      <c r="M239" s="56" t="str">
        <f aca="false">IF($W239="","",N(INDEX(发票统计!M$4:M$1003,$W239)))</f>
        <v/>
      </c>
      <c r="N239" s="56" t="str">
        <f aca="false">IF($W239="","",N(INDEX(发票统计!N$4:N$1003,$W239)))</f>
        <v/>
      </c>
      <c r="O239" s="56" t="str">
        <f aca="false">IF($W239="","",N(INDEX(发票统计!O$4:O$1003,$W239)))</f>
        <v/>
      </c>
      <c r="P239" s="56" t="str">
        <f aca="false">IF($W239="","",SUM(M$4:M239)-SUM(N$4:N239)-SUM(O$4:O239))</f>
        <v/>
      </c>
      <c r="Q239" s="56" t="str">
        <f aca="false">IF($W239="","",N(INDEX(发票统计!Q$4:Q$1003,$W239)))</f>
        <v/>
      </c>
      <c r="R239" s="56" t="str">
        <f aca="false">IF($W239="","",N(INDEX(发票统计!R$4:R$1003,$W239)))</f>
        <v/>
      </c>
      <c r="S239" s="56" t="str">
        <f aca="false">IF($W239="","",N(INDEX(发票统计!S$4:S$1003,$W239)))</f>
        <v/>
      </c>
      <c r="T239" s="56" t="str">
        <f aca="false">IF($W239="","",SUM(Q$4:Q239)-SUM(R$4:R239)-SUM(S$4:S239))</f>
        <v/>
      </c>
      <c r="U239" s="56" t="str">
        <f aca="false">IF($W239="","",INDEX(发票统计!U$4:U$1003,$W239)&amp;"")</f>
        <v/>
      </c>
      <c r="W239" s="1" t="str">
        <f aca="false">IF($V$3="","",IFERROR(MATCH($V$3&amp;"#"&amp;ROWS(W$4:W239),发票统计!$W$4:$W$1003,0),""))</f>
        <v/>
      </c>
    </row>
    <row r="240" customFormat="false" ht="16.5" hidden="false" customHeight="false" outlineLevel="0" collapsed="false">
      <c r="A240" s="3" t="str">
        <f aca="false">IF($W240="","",INDEX(发票统计!A$4:A$1003,$W240)&amp;"")</f>
        <v/>
      </c>
      <c r="B240" s="3" t="str">
        <f aca="false">IF($W240="","",INDEX(发票统计!B$4:B$1003,$W240)&amp;"")</f>
        <v/>
      </c>
      <c r="C240" s="3" t="str">
        <f aca="false">IF($W240="","",INDEX(发票统计!C$4:C$1003,$W240)&amp;"")</f>
        <v/>
      </c>
      <c r="D240" s="3" t="str">
        <f aca="false">IF($W240="","",INDEX(发票统计!D$4:D$1003,$W240)&amp;"")</f>
        <v/>
      </c>
      <c r="E240" s="67" t="str">
        <f aca="false">IF($W240="","",INDEX(发票统计!E$4:E$1003,$W240)&amp;"")</f>
        <v/>
      </c>
      <c r="F240" s="68" t="str">
        <f aca="false">IF($W240="","",INDEX(发票统计!F$4:F$1003,$W240)&amp;"")</f>
        <v/>
      </c>
      <c r="G240" s="68" t="str">
        <f aca="false">IF($W240="","",IF(INDEX(发票统计!G$4:G$1003,$W240)="","",INDEX(发票统计!G$4:G$1003,$W240)))</f>
        <v/>
      </c>
      <c r="H240" s="56" t="str">
        <f aca="false">IF($W240="","",N(INDEX(发票统计!H$4:H$1003,$W240)))</f>
        <v/>
      </c>
      <c r="I240" s="56" t="str">
        <f aca="false">IF($W240="","",N(INDEX(发票统计!I$4:I$1003,$W240)))</f>
        <v/>
      </c>
      <c r="J240" s="56" t="str">
        <f aca="false">IF($W240="","",N(INDEX(发票统计!J$4:J$1003,$W240)))</f>
        <v/>
      </c>
      <c r="K240" s="56" t="str">
        <f aca="false">IF($W240="","",N(INDEX(发票统计!K$4:K$1003,$W240)))</f>
        <v/>
      </c>
      <c r="L240" s="56" t="str">
        <f aca="false">IF($W240="","",SUM(J$4:J240)-SUM(K$4:K240))</f>
        <v/>
      </c>
      <c r="M240" s="56" t="str">
        <f aca="false">IF($W240="","",N(INDEX(发票统计!M$4:M$1003,$W240)))</f>
        <v/>
      </c>
      <c r="N240" s="56" t="str">
        <f aca="false">IF($W240="","",N(INDEX(发票统计!N$4:N$1003,$W240)))</f>
        <v/>
      </c>
      <c r="O240" s="56" t="str">
        <f aca="false">IF($W240="","",N(INDEX(发票统计!O$4:O$1003,$W240)))</f>
        <v/>
      </c>
      <c r="P240" s="56" t="str">
        <f aca="false">IF($W240="","",SUM(M$4:M240)-SUM(N$4:N240)-SUM(O$4:O240))</f>
        <v/>
      </c>
      <c r="Q240" s="56" t="str">
        <f aca="false">IF($W240="","",N(INDEX(发票统计!Q$4:Q$1003,$W240)))</f>
        <v/>
      </c>
      <c r="R240" s="56" t="str">
        <f aca="false">IF($W240="","",N(INDEX(发票统计!R$4:R$1003,$W240)))</f>
        <v/>
      </c>
      <c r="S240" s="56" t="str">
        <f aca="false">IF($W240="","",N(INDEX(发票统计!S$4:S$1003,$W240)))</f>
        <v/>
      </c>
      <c r="T240" s="56" t="str">
        <f aca="false">IF($W240="","",SUM(Q$4:Q240)-SUM(R$4:R240)-SUM(S$4:S240))</f>
        <v/>
      </c>
      <c r="U240" s="56" t="str">
        <f aca="false">IF($W240="","",INDEX(发票统计!U$4:U$1003,$W240)&amp;"")</f>
        <v/>
      </c>
      <c r="W240" s="1" t="str">
        <f aca="false">IF($V$3="","",IFERROR(MATCH($V$3&amp;"#"&amp;ROWS(W$4:W240),发票统计!$W$4:$W$1003,0),""))</f>
        <v/>
      </c>
    </row>
    <row r="241" customFormat="false" ht="16.5" hidden="false" customHeight="false" outlineLevel="0" collapsed="false">
      <c r="A241" s="3" t="str">
        <f aca="false">IF($W241="","",INDEX(发票统计!A$4:A$1003,$W241)&amp;"")</f>
        <v/>
      </c>
      <c r="B241" s="3" t="str">
        <f aca="false">IF($W241="","",INDEX(发票统计!B$4:B$1003,$W241)&amp;"")</f>
        <v/>
      </c>
      <c r="C241" s="3" t="str">
        <f aca="false">IF($W241="","",INDEX(发票统计!C$4:C$1003,$W241)&amp;"")</f>
        <v/>
      </c>
      <c r="D241" s="3" t="str">
        <f aca="false">IF($W241="","",INDEX(发票统计!D$4:D$1003,$W241)&amp;"")</f>
        <v/>
      </c>
      <c r="E241" s="67" t="str">
        <f aca="false">IF($W241="","",INDEX(发票统计!E$4:E$1003,$W241)&amp;"")</f>
        <v/>
      </c>
      <c r="F241" s="68" t="str">
        <f aca="false">IF($W241="","",INDEX(发票统计!F$4:F$1003,$W241)&amp;"")</f>
        <v/>
      </c>
      <c r="G241" s="68" t="str">
        <f aca="false">IF($W241="","",IF(INDEX(发票统计!G$4:G$1003,$W241)="","",INDEX(发票统计!G$4:G$1003,$W241)))</f>
        <v/>
      </c>
      <c r="H241" s="56" t="str">
        <f aca="false">IF($W241="","",N(INDEX(发票统计!H$4:H$1003,$W241)))</f>
        <v/>
      </c>
      <c r="I241" s="56" t="str">
        <f aca="false">IF($W241="","",N(INDEX(发票统计!I$4:I$1003,$W241)))</f>
        <v/>
      </c>
      <c r="J241" s="56" t="str">
        <f aca="false">IF($W241="","",N(INDEX(发票统计!J$4:J$1003,$W241)))</f>
        <v/>
      </c>
      <c r="K241" s="56" t="str">
        <f aca="false">IF($W241="","",N(INDEX(发票统计!K$4:K$1003,$W241)))</f>
        <v/>
      </c>
      <c r="L241" s="56" t="str">
        <f aca="false">IF($W241="","",SUM(J$4:J241)-SUM(K$4:K241))</f>
        <v/>
      </c>
      <c r="M241" s="56" t="str">
        <f aca="false">IF($W241="","",N(INDEX(发票统计!M$4:M$1003,$W241)))</f>
        <v/>
      </c>
      <c r="N241" s="56" t="str">
        <f aca="false">IF($W241="","",N(INDEX(发票统计!N$4:N$1003,$W241)))</f>
        <v/>
      </c>
      <c r="O241" s="56" t="str">
        <f aca="false">IF($W241="","",N(INDEX(发票统计!O$4:O$1003,$W241)))</f>
        <v/>
      </c>
      <c r="P241" s="56" t="str">
        <f aca="false">IF($W241="","",SUM(M$4:M241)-SUM(N$4:N241)-SUM(O$4:O241))</f>
        <v/>
      </c>
      <c r="Q241" s="56" t="str">
        <f aca="false">IF($W241="","",N(INDEX(发票统计!Q$4:Q$1003,$W241)))</f>
        <v/>
      </c>
      <c r="R241" s="56" t="str">
        <f aca="false">IF($W241="","",N(INDEX(发票统计!R$4:R$1003,$W241)))</f>
        <v/>
      </c>
      <c r="S241" s="56" t="str">
        <f aca="false">IF($W241="","",N(INDEX(发票统计!S$4:S$1003,$W241)))</f>
        <v/>
      </c>
      <c r="T241" s="56" t="str">
        <f aca="false">IF($W241="","",SUM(Q$4:Q241)-SUM(R$4:R241)-SUM(S$4:S241))</f>
        <v/>
      </c>
      <c r="U241" s="56" t="str">
        <f aca="false">IF($W241="","",INDEX(发票统计!U$4:U$1003,$W241)&amp;"")</f>
        <v/>
      </c>
      <c r="W241" s="1" t="str">
        <f aca="false">IF($V$3="","",IFERROR(MATCH($V$3&amp;"#"&amp;ROWS(W$4:W241),发票统计!$W$4:$W$1003,0),""))</f>
        <v/>
      </c>
    </row>
    <row r="242" customFormat="false" ht="16.5" hidden="false" customHeight="false" outlineLevel="0" collapsed="false">
      <c r="A242" s="3" t="str">
        <f aca="false">IF($W242="","",INDEX(发票统计!A$4:A$1003,$W242)&amp;"")</f>
        <v/>
      </c>
      <c r="B242" s="3" t="str">
        <f aca="false">IF($W242="","",INDEX(发票统计!B$4:B$1003,$W242)&amp;"")</f>
        <v/>
      </c>
      <c r="C242" s="3" t="str">
        <f aca="false">IF($W242="","",INDEX(发票统计!C$4:C$1003,$W242)&amp;"")</f>
        <v/>
      </c>
      <c r="D242" s="3" t="str">
        <f aca="false">IF($W242="","",INDEX(发票统计!D$4:D$1003,$W242)&amp;"")</f>
        <v/>
      </c>
      <c r="E242" s="67" t="str">
        <f aca="false">IF($W242="","",INDEX(发票统计!E$4:E$1003,$W242)&amp;"")</f>
        <v/>
      </c>
      <c r="F242" s="68" t="str">
        <f aca="false">IF($W242="","",INDEX(发票统计!F$4:F$1003,$W242)&amp;"")</f>
        <v/>
      </c>
      <c r="G242" s="68" t="str">
        <f aca="false">IF($W242="","",IF(INDEX(发票统计!G$4:G$1003,$W242)="","",INDEX(发票统计!G$4:G$1003,$W242)))</f>
        <v/>
      </c>
      <c r="H242" s="56" t="str">
        <f aca="false">IF($W242="","",N(INDEX(发票统计!H$4:H$1003,$W242)))</f>
        <v/>
      </c>
      <c r="I242" s="56" t="str">
        <f aca="false">IF($W242="","",N(INDEX(发票统计!I$4:I$1003,$W242)))</f>
        <v/>
      </c>
      <c r="J242" s="56" t="str">
        <f aca="false">IF($W242="","",N(INDEX(发票统计!J$4:J$1003,$W242)))</f>
        <v/>
      </c>
      <c r="K242" s="56" t="str">
        <f aca="false">IF($W242="","",N(INDEX(发票统计!K$4:K$1003,$W242)))</f>
        <v/>
      </c>
      <c r="L242" s="56" t="str">
        <f aca="false">IF($W242="","",SUM(J$4:J242)-SUM(K$4:K242))</f>
        <v/>
      </c>
      <c r="M242" s="56" t="str">
        <f aca="false">IF($W242="","",N(INDEX(发票统计!M$4:M$1003,$W242)))</f>
        <v/>
      </c>
      <c r="N242" s="56" t="str">
        <f aca="false">IF($W242="","",N(INDEX(发票统计!N$4:N$1003,$W242)))</f>
        <v/>
      </c>
      <c r="O242" s="56" t="str">
        <f aca="false">IF($W242="","",N(INDEX(发票统计!O$4:O$1003,$W242)))</f>
        <v/>
      </c>
      <c r="P242" s="56" t="str">
        <f aca="false">IF($W242="","",SUM(M$4:M242)-SUM(N$4:N242)-SUM(O$4:O242))</f>
        <v/>
      </c>
      <c r="Q242" s="56" t="str">
        <f aca="false">IF($W242="","",N(INDEX(发票统计!Q$4:Q$1003,$W242)))</f>
        <v/>
      </c>
      <c r="R242" s="56" t="str">
        <f aca="false">IF($W242="","",N(INDEX(发票统计!R$4:R$1003,$W242)))</f>
        <v/>
      </c>
      <c r="S242" s="56" t="str">
        <f aca="false">IF($W242="","",N(INDEX(发票统计!S$4:S$1003,$W242)))</f>
        <v/>
      </c>
      <c r="T242" s="56" t="str">
        <f aca="false">IF($W242="","",SUM(Q$4:Q242)-SUM(R$4:R242)-SUM(S$4:S242))</f>
        <v/>
      </c>
      <c r="U242" s="56" t="str">
        <f aca="false">IF($W242="","",INDEX(发票统计!U$4:U$1003,$W242)&amp;"")</f>
        <v/>
      </c>
      <c r="W242" s="1" t="str">
        <f aca="false">IF($V$3="","",IFERROR(MATCH($V$3&amp;"#"&amp;ROWS(W$4:W242),发票统计!$W$4:$W$1003,0),""))</f>
        <v/>
      </c>
    </row>
    <row r="243" customFormat="false" ht="16.5" hidden="false" customHeight="false" outlineLevel="0" collapsed="false">
      <c r="A243" s="3" t="str">
        <f aca="false">IF($W243="","",INDEX(发票统计!A$4:A$1003,$W243)&amp;"")</f>
        <v/>
      </c>
      <c r="B243" s="3" t="str">
        <f aca="false">IF($W243="","",INDEX(发票统计!B$4:B$1003,$W243)&amp;"")</f>
        <v/>
      </c>
      <c r="C243" s="3" t="str">
        <f aca="false">IF($W243="","",INDEX(发票统计!C$4:C$1003,$W243)&amp;"")</f>
        <v/>
      </c>
      <c r="D243" s="3" t="str">
        <f aca="false">IF($W243="","",INDEX(发票统计!D$4:D$1003,$W243)&amp;"")</f>
        <v/>
      </c>
      <c r="E243" s="67" t="str">
        <f aca="false">IF($W243="","",INDEX(发票统计!E$4:E$1003,$W243)&amp;"")</f>
        <v/>
      </c>
      <c r="F243" s="68" t="str">
        <f aca="false">IF($W243="","",INDEX(发票统计!F$4:F$1003,$W243)&amp;"")</f>
        <v/>
      </c>
      <c r="G243" s="68" t="str">
        <f aca="false">IF($W243="","",IF(INDEX(发票统计!G$4:G$1003,$W243)="","",INDEX(发票统计!G$4:G$1003,$W243)))</f>
        <v/>
      </c>
      <c r="H243" s="56" t="str">
        <f aca="false">IF($W243="","",N(INDEX(发票统计!H$4:H$1003,$W243)))</f>
        <v/>
      </c>
      <c r="I243" s="56" t="str">
        <f aca="false">IF($W243="","",N(INDEX(发票统计!I$4:I$1003,$W243)))</f>
        <v/>
      </c>
      <c r="J243" s="56" t="str">
        <f aca="false">IF($W243="","",N(INDEX(发票统计!J$4:J$1003,$W243)))</f>
        <v/>
      </c>
      <c r="K243" s="56" t="str">
        <f aca="false">IF($W243="","",N(INDEX(发票统计!K$4:K$1003,$W243)))</f>
        <v/>
      </c>
      <c r="L243" s="56" t="str">
        <f aca="false">IF($W243="","",SUM(J$4:J243)-SUM(K$4:K243))</f>
        <v/>
      </c>
      <c r="M243" s="56" t="str">
        <f aca="false">IF($W243="","",N(INDEX(发票统计!M$4:M$1003,$W243)))</f>
        <v/>
      </c>
      <c r="N243" s="56" t="str">
        <f aca="false">IF($W243="","",N(INDEX(发票统计!N$4:N$1003,$W243)))</f>
        <v/>
      </c>
      <c r="O243" s="56" t="str">
        <f aca="false">IF($W243="","",N(INDEX(发票统计!O$4:O$1003,$W243)))</f>
        <v/>
      </c>
      <c r="P243" s="56" t="str">
        <f aca="false">IF($W243="","",SUM(M$4:M243)-SUM(N$4:N243)-SUM(O$4:O243))</f>
        <v/>
      </c>
      <c r="Q243" s="56" t="str">
        <f aca="false">IF($W243="","",N(INDEX(发票统计!Q$4:Q$1003,$W243)))</f>
        <v/>
      </c>
      <c r="R243" s="56" t="str">
        <f aca="false">IF($W243="","",N(INDEX(发票统计!R$4:R$1003,$W243)))</f>
        <v/>
      </c>
      <c r="S243" s="56" t="str">
        <f aca="false">IF($W243="","",N(INDEX(发票统计!S$4:S$1003,$W243)))</f>
        <v/>
      </c>
      <c r="T243" s="56" t="str">
        <f aca="false">IF($W243="","",SUM(Q$4:Q243)-SUM(R$4:R243)-SUM(S$4:S243))</f>
        <v/>
      </c>
      <c r="U243" s="56" t="str">
        <f aca="false">IF($W243="","",INDEX(发票统计!U$4:U$1003,$W243)&amp;"")</f>
        <v/>
      </c>
      <c r="W243" s="1" t="str">
        <f aca="false">IF($V$3="","",IFERROR(MATCH($V$3&amp;"#"&amp;ROWS(W$4:W243),发票统计!$W$4:$W$1003,0),""))</f>
        <v/>
      </c>
    </row>
    <row r="244" customFormat="false" ht="16.5" hidden="false" customHeight="false" outlineLevel="0" collapsed="false">
      <c r="A244" s="3" t="str">
        <f aca="false">IF($W244="","",INDEX(发票统计!A$4:A$1003,$W244)&amp;"")</f>
        <v/>
      </c>
      <c r="B244" s="3" t="str">
        <f aca="false">IF($W244="","",INDEX(发票统计!B$4:B$1003,$W244)&amp;"")</f>
        <v/>
      </c>
      <c r="C244" s="3" t="str">
        <f aca="false">IF($W244="","",INDEX(发票统计!C$4:C$1003,$W244)&amp;"")</f>
        <v/>
      </c>
      <c r="D244" s="3" t="str">
        <f aca="false">IF($W244="","",INDEX(发票统计!D$4:D$1003,$W244)&amp;"")</f>
        <v/>
      </c>
      <c r="E244" s="67" t="str">
        <f aca="false">IF($W244="","",INDEX(发票统计!E$4:E$1003,$W244)&amp;"")</f>
        <v/>
      </c>
      <c r="F244" s="68" t="str">
        <f aca="false">IF($W244="","",INDEX(发票统计!F$4:F$1003,$W244)&amp;"")</f>
        <v/>
      </c>
      <c r="G244" s="68" t="str">
        <f aca="false">IF($W244="","",IF(INDEX(发票统计!G$4:G$1003,$W244)="","",INDEX(发票统计!G$4:G$1003,$W244)))</f>
        <v/>
      </c>
      <c r="H244" s="56" t="str">
        <f aca="false">IF($W244="","",N(INDEX(发票统计!H$4:H$1003,$W244)))</f>
        <v/>
      </c>
      <c r="I244" s="56" t="str">
        <f aca="false">IF($W244="","",N(INDEX(发票统计!I$4:I$1003,$W244)))</f>
        <v/>
      </c>
      <c r="J244" s="56" t="str">
        <f aca="false">IF($W244="","",N(INDEX(发票统计!J$4:J$1003,$W244)))</f>
        <v/>
      </c>
      <c r="K244" s="56" t="str">
        <f aca="false">IF($W244="","",N(INDEX(发票统计!K$4:K$1003,$W244)))</f>
        <v/>
      </c>
      <c r="L244" s="56" t="str">
        <f aca="false">IF($W244="","",SUM(J$4:J244)-SUM(K$4:K244))</f>
        <v/>
      </c>
      <c r="M244" s="56" t="str">
        <f aca="false">IF($W244="","",N(INDEX(发票统计!M$4:M$1003,$W244)))</f>
        <v/>
      </c>
      <c r="N244" s="56" t="str">
        <f aca="false">IF($W244="","",N(INDEX(发票统计!N$4:N$1003,$W244)))</f>
        <v/>
      </c>
      <c r="O244" s="56" t="str">
        <f aca="false">IF($W244="","",N(INDEX(发票统计!O$4:O$1003,$W244)))</f>
        <v/>
      </c>
      <c r="P244" s="56" t="str">
        <f aca="false">IF($W244="","",SUM(M$4:M244)-SUM(N$4:N244)-SUM(O$4:O244))</f>
        <v/>
      </c>
      <c r="Q244" s="56" t="str">
        <f aca="false">IF($W244="","",N(INDEX(发票统计!Q$4:Q$1003,$W244)))</f>
        <v/>
      </c>
      <c r="R244" s="56" t="str">
        <f aca="false">IF($W244="","",N(INDEX(发票统计!R$4:R$1003,$W244)))</f>
        <v/>
      </c>
      <c r="S244" s="56" t="str">
        <f aca="false">IF($W244="","",N(INDEX(发票统计!S$4:S$1003,$W244)))</f>
        <v/>
      </c>
      <c r="T244" s="56" t="str">
        <f aca="false">IF($W244="","",SUM(Q$4:Q244)-SUM(R$4:R244)-SUM(S$4:S244))</f>
        <v/>
      </c>
      <c r="U244" s="56" t="str">
        <f aca="false">IF($W244="","",INDEX(发票统计!U$4:U$1003,$W244)&amp;"")</f>
        <v/>
      </c>
      <c r="W244" s="1" t="str">
        <f aca="false">IF($V$3="","",IFERROR(MATCH($V$3&amp;"#"&amp;ROWS(W$4:W244),发票统计!$W$4:$W$1003,0),""))</f>
        <v/>
      </c>
    </row>
    <row r="245" customFormat="false" ht="16.5" hidden="false" customHeight="false" outlineLevel="0" collapsed="false">
      <c r="A245" s="3" t="str">
        <f aca="false">IF($W245="","",INDEX(发票统计!A$4:A$1003,$W245)&amp;"")</f>
        <v/>
      </c>
      <c r="B245" s="3" t="str">
        <f aca="false">IF($W245="","",INDEX(发票统计!B$4:B$1003,$W245)&amp;"")</f>
        <v/>
      </c>
      <c r="C245" s="3" t="str">
        <f aca="false">IF($W245="","",INDEX(发票统计!C$4:C$1003,$W245)&amp;"")</f>
        <v/>
      </c>
      <c r="D245" s="3" t="str">
        <f aca="false">IF($W245="","",INDEX(发票统计!D$4:D$1003,$W245)&amp;"")</f>
        <v/>
      </c>
      <c r="E245" s="67" t="str">
        <f aca="false">IF($W245="","",INDEX(发票统计!E$4:E$1003,$W245)&amp;"")</f>
        <v/>
      </c>
      <c r="F245" s="68" t="str">
        <f aca="false">IF($W245="","",INDEX(发票统计!F$4:F$1003,$W245)&amp;"")</f>
        <v/>
      </c>
      <c r="G245" s="68" t="str">
        <f aca="false">IF($W245="","",IF(INDEX(发票统计!G$4:G$1003,$W245)="","",INDEX(发票统计!G$4:G$1003,$W245)))</f>
        <v/>
      </c>
      <c r="H245" s="56" t="str">
        <f aca="false">IF($W245="","",N(INDEX(发票统计!H$4:H$1003,$W245)))</f>
        <v/>
      </c>
      <c r="I245" s="56" t="str">
        <f aca="false">IF($W245="","",N(INDEX(发票统计!I$4:I$1003,$W245)))</f>
        <v/>
      </c>
      <c r="J245" s="56" t="str">
        <f aca="false">IF($W245="","",N(INDEX(发票统计!J$4:J$1003,$W245)))</f>
        <v/>
      </c>
      <c r="K245" s="56" t="str">
        <f aca="false">IF($W245="","",N(INDEX(发票统计!K$4:K$1003,$W245)))</f>
        <v/>
      </c>
      <c r="L245" s="56" t="str">
        <f aca="false">IF($W245="","",SUM(J$4:J245)-SUM(K$4:K245))</f>
        <v/>
      </c>
      <c r="M245" s="56" t="str">
        <f aca="false">IF($W245="","",N(INDEX(发票统计!M$4:M$1003,$W245)))</f>
        <v/>
      </c>
      <c r="N245" s="56" t="str">
        <f aca="false">IF($W245="","",N(INDEX(发票统计!N$4:N$1003,$W245)))</f>
        <v/>
      </c>
      <c r="O245" s="56" t="str">
        <f aca="false">IF($W245="","",N(INDEX(发票统计!O$4:O$1003,$W245)))</f>
        <v/>
      </c>
      <c r="P245" s="56" t="str">
        <f aca="false">IF($W245="","",SUM(M$4:M245)-SUM(N$4:N245)-SUM(O$4:O245))</f>
        <v/>
      </c>
      <c r="Q245" s="56" t="str">
        <f aca="false">IF($W245="","",N(INDEX(发票统计!Q$4:Q$1003,$W245)))</f>
        <v/>
      </c>
      <c r="R245" s="56" t="str">
        <f aca="false">IF($W245="","",N(INDEX(发票统计!R$4:R$1003,$W245)))</f>
        <v/>
      </c>
      <c r="S245" s="56" t="str">
        <f aca="false">IF($W245="","",N(INDEX(发票统计!S$4:S$1003,$W245)))</f>
        <v/>
      </c>
      <c r="T245" s="56" t="str">
        <f aca="false">IF($W245="","",SUM(Q$4:Q245)-SUM(R$4:R245)-SUM(S$4:S245))</f>
        <v/>
      </c>
      <c r="U245" s="56" t="str">
        <f aca="false">IF($W245="","",INDEX(发票统计!U$4:U$1003,$W245)&amp;"")</f>
        <v/>
      </c>
      <c r="W245" s="1" t="str">
        <f aca="false">IF($V$3="","",IFERROR(MATCH($V$3&amp;"#"&amp;ROWS(W$4:W245),发票统计!$W$4:$W$1003,0),""))</f>
        <v/>
      </c>
    </row>
    <row r="246" customFormat="false" ht="16.5" hidden="false" customHeight="false" outlineLevel="0" collapsed="false">
      <c r="A246" s="3" t="str">
        <f aca="false">IF($W246="","",INDEX(发票统计!A$4:A$1003,$W246)&amp;"")</f>
        <v/>
      </c>
      <c r="B246" s="3" t="str">
        <f aca="false">IF($W246="","",INDEX(发票统计!B$4:B$1003,$W246)&amp;"")</f>
        <v/>
      </c>
      <c r="C246" s="3" t="str">
        <f aca="false">IF($W246="","",INDEX(发票统计!C$4:C$1003,$W246)&amp;"")</f>
        <v/>
      </c>
      <c r="D246" s="3" t="str">
        <f aca="false">IF($W246="","",INDEX(发票统计!D$4:D$1003,$W246)&amp;"")</f>
        <v/>
      </c>
      <c r="E246" s="67" t="str">
        <f aca="false">IF($W246="","",INDEX(发票统计!E$4:E$1003,$W246)&amp;"")</f>
        <v/>
      </c>
      <c r="F246" s="68" t="str">
        <f aca="false">IF($W246="","",INDEX(发票统计!F$4:F$1003,$W246)&amp;"")</f>
        <v/>
      </c>
      <c r="G246" s="68" t="str">
        <f aca="false">IF($W246="","",IF(INDEX(发票统计!G$4:G$1003,$W246)="","",INDEX(发票统计!G$4:G$1003,$W246)))</f>
        <v/>
      </c>
      <c r="H246" s="56" t="str">
        <f aca="false">IF($W246="","",N(INDEX(发票统计!H$4:H$1003,$W246)))</f>
        <v/>
      </c>
      <c r="I246" s="56" t="str">
        <f aca="false">IF($W246="","",N(INDEX(发票统计!I$4:I$1003,$W246)))</f>
        <v/>
      </c>
      <c r="J246" s="56" t="str">
        <f aca="false">IF($W246="","",N(INDEX(发票统计!J$4:J$1003,$W246)))</f>
        <v/>
      </c>
      <c r="K246" s="56" t="str">
        <f aca="false">IF($W246="","",N(INDEX(发票统计!K$4:K$1003,$W246)))</f>
        <v/>
      </c>
      <c r="L246" s="56" t="str">
        <f aca="false">IF($W246="","",SUM(J$4:J246)-SUM(K$4:K246))</f>
        <v/>
      </c>
      <c r="M246" s="56" t="str">
        <f aca="false">IF($W246="","",N(INDEX(发票统计!M$4:M$1003,$W246)))</f>
        <v/>
      </c>
      <c r="N246" s="56" t="str">
        <f aca="false">IF($W246="","",N(INDEX(发票统计!N$4:N$1003,$W246)))</f>
        <v/>
      </c>
      <c r="O246" s="56" t="str">
        <f aca="false">IF($W246="","",N(INDEX(发票统计!O$4:O$1003,$W246)))</f>
        <v/>
      </c>
      <c r="P246" s="56" t="str">
        <f aca="false">IF($W246="","",SUM(M$4:M246)-SUM(N$4:N246)-SUM(O$4:O246))</f>
        <v/>
      </c>
      <c r="Q246" s="56" t="str">
        <f aca="false">IF($W246="","",N(INDEX(发票统计!Q$4:Q$1003,$W246)))</f>
        <v/>
      </c>
      <c r="R246" s="56" t="str">
        <f aca="false">IF($W246="","",N(INDEX(发票统计!R$4:R$1003,$W246)))</f>
        <v/>
      </c>
      <c r="S246" s="56" t="str">
        <f aca="false">IF($W246="","",N(INDEX(发票统计!S$4:S$1003,$W246)))</f>
        <v/>
      </c>
      <c r="T246" s="56" t="str">
        <f aca="false">IF($W246="","",SUM(Q$4:Q246)-SUM(R$4:R246)-SUM(S$4:S246))</f>
        <v/>
      </c>
      <c r="U246" s="56" t="str">
        <f aca="false">IF($W246="","",INDEX(发票统计!U$4:U$1003,$W246)&amp;"")</f>
        <v/>
      </c>
      <c r="W246" s="1" t="str">
        <f aca="false">IF($V$3="","",IFERROR(MATCH($V$3&amp;"#"&amp;ROWS(W$4:W246),发票统计!$W$4:$W$1003,0),""))</f>
        <v/>
      </c>
    </row>
    <row r="247" customFormat="false" ht="16.5" hidden="false" customHeight="false" outlineLevel="0" collapsed="false">
      <c r="A247" s="3" t="str">
        <f aca="false">IF($W247="","",INDEX(发票统计!A$4:A$1003,$W247)&amp;"")</f>
        <v/>
      </c>
      <c r="B247" s="3" t="str">
        <f aca="false">IF($W247="","",INDEX(发票统计!B$4:B$1003,$W247)&amp;"")</f>
        <v/>
      </c>
      <c r="C247" s="3" t="str">
        <f aca="false">IF($W247="","",INDEX(发票统计!C$4:C$1003,$W247)&amp;"")</f>
        <v/>
      </c>
      <c r="D247" s="3" t="str">
        <f aca="false">IF($W247="","",INDEX(发票统计!D$4:D$1003,$W247)&amp;"")</f>
        <v/>
      </c>
      <c r="E247" s="67" t="str">
        <f aca="false">IF($W247="","",INDEX(发票统计!E$4:E$1003,$W247)&amp;"")</f>
        <v/>
      </c>
      <c r="F247" s="68" t="str">
        <f aca="false">IF($W247="","",INDEX(发票统计!F$4:F$1003,$W247)&amp;"")</f>
        <v/>
      </c>
      <c r="G247" s="68" t="str">
        <f aca="false">IF($W247="","",IF(INDEX(发票统计!G$4:G$1003,$W247)="","",INDEX(发票统计!G$4:G$1003,$W247)))</f>
        <v/>
      </c>
      <c r="H247" s="56" t="str">
        <f aca="false">IF($W247="","",N(INDEX(发票统计!H$4:H$1003,$W247)))</f>
        <v/>
      </c>
      <c r="I247" s="56" t="str">
        <f aca="false">IF($W247="","",N(INDEX(发票统计!I$4:I$1003,$W247)))</f>
        <v/>
      </c>
      <c r="J247" s="56" t="str">
        <f aca="false">IF($W247="","",N(INDEX(发票统计!J$4:J$1003,$W247)))</f>
        <v/>
      </c>
      <c r="K247" s="56" t="str">
        <f aca="false">IF($W247="","",N(INDEX(发票统计!K$4:K$1003,$W247)))</f>
        <v/>
      </c>
      <c r="L247" s="56" t="str">
        <f aca="false">IF($W247="","",SUM(J$4:J247)-SUM(K$4:K247))</f>
        <v/>
      </c>
      <c r="M247" s="56" t="str">
        <f aca="false">IF($W247="","",N(INDEX(发票统计!M$4:M$1003,$W247)))</f>
        <v/>
      </c>
      <c r="N247" s="56" t="str">
        <f aca="false">IF($W247="","",N(INDEX(发票统计!N$4:N$1003,$W247)))</f>
        <v/>
      </c>
      <c r="O247" s="56" t="str">
        <f aca="false">IF($W247="","",N(INDEX(发票统计!O$4:O$1003,$W247)))</f>
        <v/>
      </c>
      <c r="P247" s="56" t="str">
        <f aca="false">IF($W247="","",SUM(M$4:M247)-SUM(N$4:N247)-SUM(O$4:O247))</f>
        <v/>
      </c>
      <c r="Q247" s="56" t="str">
        <f aca="false">IF($W247="","",N(INDEX(发票统计!Q$4:Q$1003,$W247)))</f>
        <v/>
      </c>
      <c r="R247" s="56" t="str">
        <f aca="false">IF($W247="","",N(INDEX(发票统计!R$4:R$1003,$W247)))</f>
        <v/>
      </c>
      <c r="S247" s="56" t="str">
        <f aca="false">IF($W247="","",N(INDEX(发票统计!S$4:S$1003,$W247)))</f>
        <v/>
      </c>
      <c r="T247" s="56" t="str">
        <f aca="false">IF($W247="","",SUM(Q$4:Q247)-SUM(R$4:R247)-SUM(S$4:S247))</f>
        <v/>
      </c>
      <c r="U247" s="56" t="str">
        <f aca="false">IF($W247="","",INDEX(发票统计!U$4:U$1003,$W247)&amp;"")</f>
        <v/>
      </c>
      <c r="W247" s="1" t="str">
        <f aca="false">IF($V$3="","",IFERROR(MATCH($V$3&amp;"#"&amp;ROWS(W$4:W247),发票统计!$W$4:$W$1003,0),""))</f>
        <v/>
      </c>
    </row>
    <row r="248" customFormat="false" ht="16.5" hidden="false" customHeight="false" outlineLevel="0" collapsed="false">
      <c r="A248" s="3" t="str">
        <f aca="false">IF($W248="","",INDEX(发票统计!A$4:A$1003,$W248)&amp;"")</f>
        <v/>
      </c>
      <c r="B248" s="3" t="str">
        <f aca="false">IF($W248="","",INDEX(发票统计!B$4:B$1003,$W248)&amp;"")</f>
        <v/>
      </c>
      <c r="C248" s="3" t="str">
        <f aca="false">IF($W248="","",INDEX(发票统计!C$4:C$1003,$W248)&amp;"")</f>
        <v/>
      </c>
      <c r="D248" s="3" t="str">
        <f aca="false">IF($W248="","",INDEX(发票统计!D$4:D$1003,$W248)&amp;"")</f>
        <v/>
      </c>
      <c r="E248" s="67" t="str">
        <f aca="false">IF($W248="","",INDEX(发票统计!E$4:E$1003,$W248)&amp;"")</f>
        <v/>
      </c>
      <c r="F248" s="68" t="str">
        <f aca="false">IF($W248="","",INDEX(发票统计!F$4:F$1003,$W248)&amp;"")</f>
        <v/>
      </c>
      <c r="G248" s="68" t="str">
        <f aca="false">IF($W248="","",IF(INDEX(发票统计!G$4:G$1003,$W248)="","",INDEX(发票统计!G$4:G$1003,$W248)))</f>
        <v/>
      </c>
      <c r="H248" s="56" t="str">
        <f aca="false">IF($W248="","",N(INDEX(发票统计!H$4:H$1003,$W248)))</f>
        <v/>
      </c>
      <c r="I248" s="56" t="str">
        <f aca="false">IF($W248="","",N(INDEX(发票统计!I$4:I$1003,$W248)))</f>
        <v/>
      </c>
      <c r="J248" s="56" t="str">
        <f aca="false">IF($W248="","",N(INDEX(发票统计!J$4:J$1003,$W248)))</f>
        <v/>
      </c>
      <c r="K248" s="56" t="str">
        <f aca="false">IF($W248="","",N(INDEX(发票统计!K$4:K$1003,$W248)))</f>
        <v/>
      </c>
      <c r="L248" s="56" t="str">
        <f aca="false">IF($W248="","",SUM(J$4:J248)-SUM(K$4:K248))</f>
        <v/>
      </c>
      <c r="M248" s="56" t="str">
        <f aca="false">IF($W248="","",N(INDEX(发票统计!M$4:M$1003,$W248)))</f>
        <v/>
      </c>
      <c r="N248" s="56" t="str">
        <f aca="false">IF($W248="","",N(INDEX(发票统计!N$4:N$1003,$W248)))</f>
        <v/>
      </c>
      <c r="O248" s="56" t="str">
        <f aca="false">IF($W248="","",N(INDEX(发票统计!O$4:O$1003,$W248)))</f>
        <v/>
      </c>
      <c r="P248" s="56" t="str">
        <f aca="false">IF($W248="","",SUM(M$4:M248)-SUM(N$4:N248)-SUM(O$4:O248))</f>
        <v/>
      </c>
      <c r="Q248" s="56" t="str">
        <f aca="false">IF($W248="","",N(INDEX(发票统计!Q$4:Q$1003,$W248)))</f>
        <v/>
      </c>
      <c r="R248" s="56" t="str">
        <f aca="false">IF($W248="","",N(INDEX(发票统计!R$4:R$1003,$W248)))</f>
        <v/>
      </c>
      <c r="S248" s="56" t="str">
        <f aca="false">IF($W248="","",N(INDEX(发票统计!S$4:S$1003,$W248)))</f>
        <v/>
      </c>
      <c r="T248" s="56" t="str">
        <f aca="false">IF($W248="","",SUM(Q$4:Q248)-SUM(R$4:R248)-SUM(S$4:S248))</f>
        <v/>
      </c>
      <c r="U248" s="56" t="str">
        <f aca="false">IF($W248="","",INDEX(发票统计!U$4:U$1003,$W248)&amp;"")</f>
        <v/>
      </c>
      <c r="W248" s="1" t="str">
        <f aca="false">IF($V$3="","",IFERROR(MATCH($V$3&amp;"#"&amp;ROWS(W$4:W248),发票统计!$W$4:$W$1003,0),""))</f>
        <v/>
      </c>
    </row>
    <row r="249" customFormat="false" ht="16.5" hidden="false" customHeight="false" outlineLevel="0" collapsed="false">
      <c r="A249" s="3" t="str">
        <f aca="false">IF($W249="","",INDEX(发票统计!A$4:A$1003,$W249)&amp;"")</f>
        <v/>
      </c>
      <c r="B249" s="3" t="str">
        <f aca="false">IF($W249="","",INDEX(发票统计!B$4:B$1003,$W249)&amp;"")</f>
        <v/>
      </c>
      <c r="C249" s="3" t="str">
        <f aca="false">IF($W249="","",INDEX(发票统计!C$4:C$1003,$W249)&amp;"")</f>
        <v/>
      </c>
      <c r="D249" s="3" t="str">
        <f aca="false">IF($W249="","",INDEX(发票统计!D$4:D$1003,$W249)&amp;"")</f>
        <v/>
      </c>
      <c r="E249" s="67" t="str">
        <f aca="false">IF($W249="","",INDEX(发票统计!E$4:E$1003,$W249)&amp;"")</f>
        <v/>
      </c>
      <c r="F249" s="68" t="str">
        <f aca="false">IF($W249="","",INDEX(发票统计!F$4:F$1003,$W249)&amp;"")</f>
        <v/>
      </c>
      <c r="G249" s="68" t="str">
        <f aca="false">IF($W249="","",IF(INDEX(发票统计!G$4:G$1003,$W249)="","",INDEX(发票统计!G$4:G$1003,$W249)))</f>
        <v/>
      </c>
      <c r="H249" s="56" t="str">
        <f aca="false">IF($W249="","",N(INDEX(发票统计!H$4:H$1003,$W249)))</f>
        <v/>
      </c>
      <c r="I249" s="56" t="str">
        <f aca="false">IF($W249="","",N(INDEX(发票统计!I$4:I$1003,$W249)))</f>
        <v/>
      </c>
      <c r="J249" s="56" t="str">
        <f aca="false">IF($W249="","",N(INDEX(发票统计!J$4:J$1003,$W249)))</f>
        <v/>
      </c>
      <c r="K249" s="56" t="str">
        <f aca="false">IF($W249="","",N(INDEX(发票统计!K$4:K$1003,$W249)))</f>
        <v/>
      </c>
      <c r="L249" s="56" t="str">
        <f aca="false">IF($W249="","",SUM(J$4:J249)-SUM(K$4:K249))</f>
        <v/>
      </c>
      <c r="M249" s="56" t="str">
        <f aca="false">IF($W249="","",N(INDEX(发票统计!M$4:M$1003,$W249)))</f>
        <v/>
      </c>
      <c r="N249" s="56" t="str">
        <f aca="false">IF($W249="","",N(INDEX(发票统计!N$4:N$1003,$W249)))</f>
        <v/>
      </c>
      <c r="O249" s="56" t="str">
        <f aca="false">IF($W249="","",N(INDEX(发票统计!O$4:O$1003,$W249)))</f>
        <v/>
      </c>
      <c r="P249" s="56" t="str">
        <f aca="false">IF($W249="","",SUM(M$4:M249)-SUM(N$4:N249)-SUM(O$4:O249))</f>
        <v/>
      </c>
      <c r="Q249" s="56" t="str">
        <f aca="false">IF($W249="","",N(INDEX(发票统计!Q$4:Q$1003,$W249)))</f>
        <v/>
      </c>
      <c r="R249" s="56" t="str">
        <f aca="false">IF($W249="","",N(INDEX(发票统计!R$4:R$1003,$W249)))</f>
        <v/>
      </c>
      <c r="S249" s="56" t="str">
        <f aca="false">IF($W249="","",N(INDEX(发票统计!S$4:S$1003,$W249)))</f>
        <v/>
      </c>
      <c r="T249" s="56" t="str">
        <f aca="false">IF($W249="","",SUM(Q$4:Q249)-SUM(R$4:R249)-SUM(S$4:S249))</f>
        <v/>
      </c>
      <c r="U249" s="56" t="str">
        <f aca="false">IF($W249="","",INDEX(发票统计!U$4:U$1003,$W249)&amp;"")</f>
        <v/>
      </c>
      <c r="W249" s="1" t="str">
        <f aca="false">IF($V$3="","",IFERROR(MATCH($V$3&amp;"#"&amp;ROWS(W$4:W249),发票统计!$W$4:$W$1003,0),""))</f>
        <v/>
      </c>
    </row>
    <row r="250" customFormat="false" ht="16.5" hidden="false" customHeight="false" outlineLevel="0" collapsed="false">
      <c r="A250" s="3" t="str">
        <f aca="false">IF($W250="","",INDEX(发票统计!A$4:A$1003,$W250)&amp;"")</f>
        <v/>
      </c>
      <c r="B250" s="3" t="str">
        <f aca="false">IF($W250="","",INDEX(发票统计!B$4:B$1003,$W250)&amp;"")</f>
        <v/>
      </c>
      <c r="C250" s="3" t="str">
        <f aca="false">IF($W250="","",INDEX(发票统计!C$4:C$1003,$W250)&amp;"")</f>
        <v/>
      </c>
      <c r="D250" s="3" t="str">
        <f aca="false">IF($W250="","",INDEX(发票统计!D$4:D$1003,$W250)&amp;"")</f>
        <v/>
      </c>
      <c r="E250" s="67" t="str">
        <f aca="false">IF($W250="","",INDEX(发票统计!E$4:E$1003,$W250)&amp;"")</f>
        <v/>
      </c>
      <c r="F250" s="68" t="str">
        <f aca="false">IF($W250="","",INDEX(发票统计!F$4:F$1003,$W250)&amp;"")</f>
        <v/>
      </c>
      <c r="G250" s="68" t="str">
        <f aca="false">IF($W250="","",IF(INDEX(发票统计!G$4:G$1003,$W250)="","",INDEX(发票统计!G$4:G$1003,$W250)))</f>
        <v/>
      </c>
      <c r="H250" s="56" t="str">
        <f aca="false">IF($W250="","",N(INDEX(发票统计!H$4:H$1003,$W250)))</f>
        <v/>
      </c>
      <c r="I250" s="56" t="str">
        <f aca="false">IF($W250="","",N(INDEX(发票统计!I$4:I$1003,$W250)))</f>
        <v/>
      </c>
      <c r="J250" s="56" t="str">
        <f aca="false">IF($W250="","",N(INDEX(发票统计!J$4:J$1003,$W250)))</f>
        <v/>
      </c>
      <c r="K250" s="56" t="str">
        <f aca="false">IF($W250="","",N(INDEX(发票统计!K$4:K$1003,$W250)))</f>
        <v/>
      </c>
      <c r="L250" s="56" t="str">
        <f aca="false">IF($W250="","",SUM(J$4:J250)-SUM(K$4:K250))</f>
        <v/>
      </c>
      <c r="M250" s="56" t="str">
        <f aca="false">IF($W250="","",N(INDEX(发票统计!M$4:M$1003,$W250)))</f>
        <v/>
      </c>
      <c r="N250" s="56" t="str">
        <f aca="false">IF($W250="","",N(INDEX(发票统计!N$4:N$1003,$W250)))</f>
        <v/>
      </c>
      <c r="O250" s="56" t="str">
        <f aca="false">IF($W250="","",N(INDEX(发票统计!O$4:O$1003,$W250)))</f>
        <v/>
      </c>
      <c r="P250" s="56" t="str">
        <f aca="false">IF($W250="","",SUM(M$4:M250)-SUM(N$4:N250)-SUM(O$4:O250))</f>
        <v/>
      </c>
      <c r="Q250" s="56" t="str">
        <f aca="false">IF($W250="","",N(INDEX(发票统计!Q$4:Q$1003,$W250)))</f>
        <v/>
      </c>
      <c r="R250" s="56" t="str">
        <f aca="false">IF($W250="","",N(INDEX(发票统计!R$4:R$1003,$W250)))</f>
        <v/>
      </c>
      <c r="S250" s="56" t="str">
        <f aca="false">IF($W250="","",N(INDEX(发票统计!S$4:S$1003,$W250)))</f>
        <v/>
      </c>
      <c r="T250" s="56" t="str">
        <f aca="false">IF($W250="","",SUM(Q$4:Q250)-SUM(R$4:R250)-SUM(S$4:S250))</f>
        <v/>
      </c>
      <c r="U250" s="56" t="str">
        <f aca="false">IF($W250="","",INDEX(发票统计!U$4:U$1003,$W250)&amp;"")</f>
        <v/>
      </c>
      <c r="W250" s="1" t="str">
        <f aca="false">IF($V$3="","",IFERROR(MATCH($V$3&amp;"#"&amp;ROWS(W$4:W250),发票统计!$W$4:$W$1003,0),""))</f>
        <v/>
      </c>
    </row>
    <row r="251" customFormat="false" ht="16.5" hidden="false" customHeight="false" outlineLevel="0" collapsed="false">
      <c r="A251" s="3" t="str">
        <f aca="false">IF($W251="","",INDEX(发票统计!A$4:A$1003,$W251)&amp;"")</f>
        <v/>
      </c>
      <c r="B251" s="3" t="str">
        <f aca="false">IF($W251="","",INDEX(发票统计!B$4:B$1003,$W251)&amp;"")</f>
        <v/>
      </c>
      <c r="C251" s="3" t="str">
        <f aca="false">IF($W251="","",INDEX(发票统计!C$4:C$1003,$W251)&amp;"")</f>
        <v/>
      </c>
      <c r="D251" s="3" t="str">
        <f aca="false">IF($W251="","",INDEX(发票统计!D$4:D$1003,$W251)&amp;"")</f>
        <v/>
      </c>
      <c r="E251" s="67" t="str">
        <f aca="false">IF($W251="","",INDEX(发票统计!E$4:E$1003,$W251)&amp;"")</f>
        <v/>
      </c>
      <c r="F251" s="68" t="str">
        <f aca="false">IF($W251="","",INDEX(发票统计!F$4:F$1003,$W251)&amp;"")</f>
        <v/>
      </c>
      <c r="G251" s="68" t="str">
        <f aca="false">IF($W251="","",IF(INDEX(发票统计!G$4:G$1003,$W251)="","",INDEX(发票统计!G$4:G$1003,$W251)))</f>
        <v/>
      </c>
      <c r="H251" s="56" t="str">
        <f aca="false">IF($W251="","",N(INDEX(发票统计!H$4:H$1003,$W251)))</f>
        <v/>
      </c>
      <c r="I251" s="56" t="str">
        <f aca="false">IF($W251="","",N(INDEX(发票统计!I$4:I$1003,$W251)))</f>
        <v/>
      </c>
      <c r="J251" s="56" t="str">
        <f aca="false">IF($W251="","",N(INDEX(发票统计!J$4:J$1003,$W251)))</f>
        <v/>
      </c>
      <c r="K251" s="56" t="str">
        <f aca="false">IF($W251="","",N(INDEX(发票统计!K$4:K$1003,$W251)))</f>
        <v/>
      </c>
      <c r="L251" s="56" t="str">
        <f aca="false">IF($W251="","",SUM(J$4:J251)-SUM(K$4:K251))</f>
        <v/>
      </c>
      <c r="M251" s="56" t="str">
        <f aca="false">IF($W251="","",N(INDEX(发票统计!M$4:M$1003,$W251)))</f>
        <v/>
      </c>
      <c r="N251" s="56" t="str">
        <f aca="false">IF($W251="","",N(INDEX(发票统计!N$4:N$1003,$W251)))</f>
        <v/>
      </c>
      <c r="O251" s="56" t="str">
        <f aca="false">IF($W251="","",N(INDEX(发票统计!O$4:O$1003,$W251)))</f>
        <v/>
      </c>
      <c r="P251" s="56" t="str">
        <f aca="false">IF($W251="","",SUM(M$4:M251)-SUM(N$4:N251)-SUM(O$4:O251))</f>
        <v/>
      </c>
      <c r="Q251" s="56" t="str">
        <f aca="false">IF($W251="","",N(INDEX(发票统计!Q$4:Q$1003,$W251)))</f>
        <v/>
      </c>
      <c r="R251" s="56" t="str">
        <f aca="false">IF($W251="","",N(INDEX(发票统计!R$4:R$1003,$W251)))</f>
        <v/>
      </c>
      <c r="S251" s="56" t="str">
        <f aca="false">IF($W251="","",N(INDEX(发票统计!S$4:S$1003,$W251)))</f>
        <v/>
      </c>
      <c r="T251" s="56" t="str">
        <f aca="false">IF($W251="","",SUM(Q$4:Q251)-SUM(R$4:R251)-SUM(S$4:S251))</f>
        <v/>
      </c>
      <c r="U251" s="56" t="str">
        <f aca="false">IF($W251="","",INDEX(发票统计!U$4:U$1003,$W251)&amp;"")</f>
        <v/>
      </c>
      <c r="W251" s="1" t="str">
        <f aca="false">IF($V$3="","",IFERROR(MATCH($V$3&amp;"#"&amp;ROWS(W$4:W251),发票统计!$W$4:$W$1003,0),""))</f>
        <v/>
      </c>
    </row>
    <row r="252" customFormat="false" ht="16.5" hidden="false" customHeight="false" outlineLevel="0" collapsed="false">
      <c r="A252" s="3" t="str">
        <f aca="false">IF($W252="","",INDEX(发票统计!A$4:A$1003,$W252)&amp;"")</f>
        <v/>
      </c>
      <c r="B252" s="3" t="str">
        <f aca="false">IF($W252="","",INDEX(发票统计!B$4:B$1003,$W252)&amp;"")</f>
        <v/>
      </c>
      <c r="C252" s="3" t="str">
        <f aca="false">IF($W252="","",INDEX(发票统计!C$4:C$1003,$W252)&amp;"")</f>
        <v/>
      </c>
      <c r="D252" s="3" t="str">
        <f aca="false">IF($W252="","",INDEX(发票统计!D$4:D$1003,$W252)&amp;"")</f>
        <v/>
      </c>
      <c r="E252" s="67" t="str">
        <f aca="false">IF($W252="","",INDEX(发票统计!E$4:E$1003,$W252)&amp;"")</f>
        <v/>
      </c>
      <c r="F252" s="68" t="str">
        <f aca="false">IF($W252="","",INDEX(发票统计!F$4:F$1003,$W252)&amp;"")</f>
        <v/>
      </c>
      <c r="G252" s="68" t="str">
        <f aca="false">IF($W252="","",IF(INDEX(发票统计!G$4:G$1003,$W252)="","",INDEX(发票统计!G$4:G$1003,$W252)))</f>
        <v/>
      </c>
      <c r="H252" s="56" t="str">
        <f aca="false">IF($W252="","",N(INDEX(发票统计!H$4:H$1003,$W252)))</f>
        <v/>
      </c>
      <c r="I252" s="56" t="str">
        <f aca="false">IF($W252="","",N(INDEX(发票统计!I$4:I$1003,$W252)))</f>
        <v/>
      </c>
      <c r="J252" s="56" t="str">
        <f aca="false">IF($W252="","",N(INDEX(发票统计!J$4:J$1003,$W252)))</f>
        <v/>
      </c>
      <c r="K252" s="56" t="str">
        <f aca="false">IF($W252="","",N(INDEX(发票统计!K$4:K$1003,$W252)))</f>
        <v/>
      </c>
      <c r="L252" s="56" t="str">
        <f aca="false">IF($W252="","",SUM(J$4:J252)-SUM(K$4:K252))</f>
        <v/>
      </c>
      <c r="M252" s="56" t="str">
        <f aca="false">IF($W252="","",N(INDEX(发票统计!M$4:M$1003,$W252)))</f>
        <v/>
      </c>
      <c r="N252" s="56" t="str">
        <f aca="false">IF($W252="","",N(INDEX(发票统计!N$4:N$1003,$W252)))</f>
        <v/>
      </c>
      <c r="O252" s="56" t="str">
        <f aca="false">IF($W252="","",N(INDEX(发票统计!O$4:O$1003,$W252)))</f>
        <v/>
      </c>
      <c r="P252" s="56" t="str">
        <f aca="false">IF($W252="","",SUM(M$4:M252)-SUM(N$4:N252)-SUM(O$4:O252))</f>
        <v/>
      </c>
      <c r="Q252" s="56" t="str">
        <f aca="false">IF($W252="","",N(INDEX(发票统计!Q$4:Q$1003,$W252)))</f>
        <v/>
      </c>
      <c r="R252" s="56" t="str">
        <f aca="false">IF($W252="","",N(INDEX(发票统计!R$4:R$1003,$W252)))</f>
        <v/>
      </c>
      <c r="S252" s="56" t="str">
        <f aca="false">IF($W252="","",N(INDEX(发票统计!S$4:S$1003,$W252)))</f>
        <v/>
      </c>
      <c r="T252" s="56" t="str">
        <f aca="false">IF($W252="","",SUM(Q$4:Q252)-SUM(R$4:R252)-SUM(S$4:S252))</f>
        <v/>
      </c>
      <c r="U252" s="56" t="str">
        <f aca="false">IF($W252="","",INDEX(发票统计!U$4:U$1003,$W252)&amp;"")</f>
        <v/>
      </c>
      <c r="W252" s="1" t="str">
        <f aca="false">IF($V$3="","",IFERROR(MATCH($V$3&amp;"#"&amp;ROWS(W$4:W252),发票统计!$W$4:$W$1003,0),""))</f>
        <v/>
      </c>
    </row>
    <row r="253" customFormat="false" ht="16.5" hidden="false" customHeight="false" outlineLevel="0" collapsed="false">
      <c r="A253" s="3" t="str">
        <f aca="false">IF($W253="","",INDEX(发票统计!A$4:A$1003,$W253)&amp;"")</f>
        <v/>
      </c>
      <c r="B253" s="3" t="str">
        <f aca="false">IF($W253="","",INDEX(发票统计!B$4:B$1003,$W253)&amp;"")</f>
        <v/>
      </c>
      <c r="C253" s="3" t="str">
        <f aca="false">IF($W253="","",INDEX(发票统计!C$4:C$1003,$W253)&amp;"")</f>
        <v/>
      </c>
      <c r="D253" s="3" t="str">
        <f aca="false">IF($W253="","",INDEX(发票统计!D$4:D$1003,$W253)&amp;"")</f>
        <v/>
      </c>
      <c r="E253" s="67" t="str">
        <f aca="false">IF($W253="","",INDEX(发票统计!E$4:E$1003,$W253)&amp;"")</f>
        <v/>
      </c>
      <c r="F253" s="68" t="str">
        <f aca="false">IF($W253="","",INDEX(发票统计!F$4:F$1003,$W253)&amp;"")</f>
        <v/>
      </c>
      <c r="G253" s="68" t="str">
        <f aca="false">IF($W253="","",IF(INDEX(发票统计!G$4:G$1003,$W253)="","",INDEX(发票统计!G$4:G$1003,$W253)))</f>
        <v/>
      </c>
      <c r="H253" s="56" t="str">
        <f aca="false">IF($W253="","",N(INDEX(发票统计!H$4:H$1003,$W253)))</f>
        <v/>
      </c>
      <c r="I253" s="56" t="str">
        <f aca="false">IF($W253="","",N(INDEX(发票统计!I$4:I$1003,$W253)))</f>
        <v/>
      </c>
      <c r="J253" s="56" t="str">
        <f aca="false">IF($W253="","",N(INDEX(发票统计!J$4:J$1003,$W253)))</f>
        <v/>
      </c>
      <c r="K253" s="56" t="str">
        <f aca="false">IF($W253="","",N(INDEX(发票统计!K$4:K$1003,$W253)))</f>
        <v/>
      </c>
      <c r="L253" s="56" t="str">
        <f aca="false">IF($W253="","",SUM(J$4:J253)-SUM(K$4:K253))</f>
        <v/>
      </c>
      <c r="M253" s="56" t="str">
        <f aca="false">IF($W253="","",N(INDEX(发票统计!M$4:M$1003,$W253)))</f>
        <v/>
      </c>
      <c r="N253" s="56" t="str">
        <f aca="false">IF($W253="","",N(INDEX(发票统计!N$4:N$1003,$W253)))</f>
        <v/>
      </c>
      <c r="O253" s="56" t="str">
        <f aca="false">IF($W253="","",N(INDEX(发票统计!O$4:O$1003,$W253)))</f>
        <v/>
      </c>
      <c r="P253" s="56" t="str">
        <f aca="false">IF($W253="","",SUM(M$4:M253)-SUM(N$4:N253)-SUM(O$4:O253))</f>
        <v/>
      </c>
      <c r="Q253" s="56" t="str">
        <f aca="false">IF($W253="","",N(INDEX(发票统计!Q$4:Q$1003,$W253)))</f>
        <v/>
      </c>
      <c r="R253" s="56" t="str">
        <f aca="false">IF($W253="","",N(INDEX(发票统计!R$4:R$1003,$W253)))</f>
        <v/>
      </c>
      <c r="S253" s="56" t="str">
        <f aca="false">IF($W253="","",N(INDEX(发票统计!S$4:S$1003,$W253)))</f>
        <v/>
      </c>
      <c r="T253" s="56" t="str">
        <f aca="false">IF($W253="","",SUM(Q$4:Q253)-SUM(R$4:R253)-SUM(S$4:S253))</f>
        <v/>
      </c>
      <c r="U253" s="56" t="str">
        <f aca="false">IF($W253="","",INDEX(发票统计!U$4:U$1003,$W253)&amp;"")</f>
        <v/>
      </c>
      <c r="W253" s="1" t="str">
        <f aca="false">IF($V$3="","",IFERROR(MATCH($V$3&amp;"#"&amp;ROWS(W$4:W253),发票统计!$W$4:$W$1003,0),""))</f>
        <v/>
      </c>
    </row>
    <row r="254" customFormat="false" ht="16.5" hidden="false" customHeight="false" outlineLevel="0" collapsed="false">
      <c r="A254" s="3" t="str">
        <f aca="false">IF($W254="","",INDEX(发票统计!A$4:A$1003,$W254)&amp;"")</f>
        <v/>
      </c>
      <c r="B254" s="3" t="str">
        <f aca="false">IF($W254="","",INDEX(发票统计!B$4:B$1003,$W254)&amp;"")</f>
        <v/>
      </c>
      <c r="C254" s="3" t="str">
        <f aca="false">IF($W254="","",INDEX(发票统计!C$4:C$1003,$W254)&amp;"")</f>
        <v/>
      </c>
      <c r="D254" s="3" t="str">
        <f aca="false">IF($W254="","",INDEX(发票统计!D$4:D$1003,$W254)&amp;"")</f>
        <v/>
      </c>
      <c r="E254" s="67" t="str">
        <f aca="false">IF($W254="","",INDEX(发票统计!E$4:E$1003,$W254)&amp;"")</f>
        <v/>
      </c>
      <c r="F254" s="68" t="str">
        <f aca="false">IF($W254="","",INDEX(发票统计!F$4:F$1003,$W254)&amp;"")</f>
        <v/>
      </c>
      <c r="G254" s="68" t="str">
        <f aca="false">IF($W254="","",IF(INDEX(发票统计!G$4:G$1003,$W254)="","",INDEX(发票统计!G$4:G$1003,$W254)))</f>
        <v/>
      </c>
      <c r="H254" s="56" t="str">
        <f aca="false">IF($W254="","",N(INDEX(发票统计!H$4:H$1003,$W254)))</f>
        <v/>
      </c>
      <c r="I254" s="56" t="str">
        <f aca="false">IF($W254="","",N(INDEX(发票统计!I$4:I$1003,$W254)))</f>
        <v/>
      </c>
      <c r="J254" s="56" t="str">
        <f aca="false">IF($W254="","",N(INDEX(发票统计!J$4:J$1003,$W254)))</f>
        <v/>
      </c>
      <c r="K254" s="56" t="str">
        <f aca="false">IF($W254="","",N(INDEX(发票统计!K$4:K$1003,$W254)))</f>
        <v/>
      </c>
      <c r="L254" s="56" t="str">
        <f aca="false">IF($W254="","",SUM(J$4:J254)-SUM(K$4:K254))</f>
        <v/>
      </c>
      <c r="M254" s="56" t="str">
        <f aca="false">IF($W254="","",N(INDEX(发票统计!M$4:M$1003,$W254)))</f>
        <v/>
      </c>
      <c r="N254" s="56" t="str">
        <f aca="false">IF($W254="","",N(INDEX(发票统计!N$4:N$1003,$W254)))</f>
        <v/>
      </c>
      <c r="O254" s="56" t="str">
        <f aca="false">IF($W254="","",N(INDEX(发票统计!O$4:O$1003,$W254)))</f>
        <v/>
      </c>
      <c r="P254" s="56" t="str">
        <f aca="false">IF($W254="","",SUM(M$4:M254)-SUM(N$4:N254)-SUM(O$4:O254))</f>
        <v/>
      </c>
      <c r="Q254" s="56" t="str">
        <f aca="false">IF($W254="","",N(INDEX(发票统计!Q$4:Q$1003,$W254)))</f>
        <v/>
      </c>
      <c r="R254" s="56" t="str">
        <f aca="false">IF($W254="","",N(INDEX(发票统计!R$4:R$1003,$W254)))</f>
        <v/>
      </c>
      <c r="S254" s="56" t="str">
        <f aca="false">IF($W254="","",N(INDEX(发票统计!S$4:S$1003,$W254)))</f>
        <v/>
      </c>
      <c r="T254" s="56" t="str">
        <f aca="false">IF($W254="","",SUM(Q$4:Q254)-SUM(R$4:R254)-SUM(S$4:S254))</f>
        <v/>
      </c>
      <c r="U254" s="56" t="str">
        <f aca="false">IF($W254="","",INDEX(发票统计!U$4:U$1003,$W254)&amp;"")</f>
        <v/>
      </c>
      <c r="W254" s="1" t="str">
        <f aca="false">IF($V$3="","",IFERROR(MATCH($V$3&amp;"#"&amp;ROWS(W$4:W254),发票统计!$W$4:$W$1003,0),""))</f>
        <v/>
      </c>
    </row>
    <row r="255" customFormat="false" ht="16.5" hidden="false" customHeight="false" outlineLevel="0" collapsed="false">
      <c r="A255" s="3" t="str">
        <f aca="false">IF($W255="","",INDEX(发票统计!A$4:A$1003,$W255)&amp;"")</f>
        <v/>
      </c>
      <c r="B255" s="3" t="str">
        <f aca="false">IF($W255="","",INDEX(发票统计!B$4:B$1003,$W255)&amp;"")</f>
        <v/>
      </c>
      <c r="C255" s="3" t="str">
        <f aca="false">IF($W255="","",INDEX(发票统计!C$4:C$1003,$W255)&amp;"")</f>
        <v/>
      </c>
      <c r="D255" s="3" t="str">
        <f aca="false">IF($W255="","",INDEX(发票统计!D$4:D$1003,$W255)&amp;"")</f>
        <v/>
      </c>
      <c r="E255" s="67" t="str">
        <f aca="false">IF($W255="","",INDEX(发票统计!E$4:E$1003,$W255)&amp;"")</f>
        <v/>
      </c>
      <c r="F255" s="68" t="str">
        <f aca="false">IF($W255="","",INDEX(发票统计!F$4:F$1003,$W255)&amp;"")</f>
        <v/>
      </c>
      <c r="G255" s="68" t="str">
        <f aca="false">IF($W255="","",IF(INDEX(发票统计!G$4:G$1003,$W255)="","",INDEX(发票统计!G$4:G$1003,$W255)))</f>
        <v/>
      </c>
      <c r="H255" s="56" t="str">
        <f aca="false">IF($W255="","",N(INDEX(发票统计!H$4:H$1003,$W255)))</f>
        <v/>
      </c>
      <c r="I255" s="56" t="str">
        <f aca="false">IF($W255="","",N(INDEX(发票统计!I$4:I$1003,$W255)))</f>
        <v/>
      </c>
      <c r="J255" s="56" t="str">
        <f aca="false">IF($W255="","",N(INDEX(发票统计!J$4:J$1003,$W255)))</f>
        <v/>
      </c>
      <c r="K255" s="56" t="str">
        <f aca="false">IF($W255="","",N(INDEX(发票统计!K$4:K$1003,$W255)))</f>
        <v/>
      </c>
      <c r="L255" s="56" t="str">
        <f aca="false">IF($W255="","",SUM(J$4:J255)-SUM(K$4:K255))</f>
        <v/>
      </c>
      <c r="M255" s="56" t="str">
        <f aca="false">IF($W255="","",N(INDEX(发票统计!M$4:M$1003,$W255)))</f>
        <v/>
      </c>
      <c r="N255" s="56" t="str">
        <f aca="false">IF($W255="","",N(INDEX(发票统计!N$4:N$1003,$W255)))</f>
        <v/>
      </c>
      <c r="O255" s="56" t="str">
        <f aca="false">IF($W255="","",N(INDEX(发票统计!O$4:O$1003,$W255)))</f>
        <v/>
      </c>
      <c r="P255" s="56" t="str">
        <f aca="false">IF($W255="","",SUM(M$4:M255)-SUM(N$4:N255)-SUM(O$4:O255))</f>
        <v/>
      </c>
      <c r="Q255" s="56" t="str">
        <f aca="false">IF($W255="","",N(INDEX(发票统计!Q$4:Q$1003,$W255)))</f>
        <v/>
      </c>
      <c r="R255" s="56" t="str">
        <f aca="false">IF($W255="","",N(INDEX(发票统计!R$4:R$1003,$W255)))</f>
        <v/>
      </c>
      <c r="S255" s="56" t="str">
        <f aca="false">IF($W255="","",N(INDEX(发票统计!S$4:S$1003,$W255)))</f>
        <v/>
      </c>
      <c r="T255" s="56" t="str">
        <f aca="false">IF($W255="","",SUM(Q$4:Q255)-SUM(R$4:R255)-SUM(S$4:S255))</f>
        <v/>
      </c>
      <c r="U255" s="56" t="str">
        <f aca="false">IF($W255="","",INDEX(发票统计!U$4:U$1003,$W255)&amp;"")</f>
        <v/>
      </c>
      <c r="W255" s="1" t="str">
        <f aca="false">IF($V$3="","",IFERROR(MATCH($V$3&amp;"#"&amp;ROWS(W$4:W255),发票统计!$W$4:$W$1003,0),""))</f>
        <v/>
      </c>
    </row>
    <row r="256" customFormat="false" ht="16.5" hidden="false" customHeight="false" outlineLevel="0" collapsed="false">
      <c r="A256" s="3" t="str">
        <f aca="false">IF($W256="","",INDEX(发票统计!A$4:A$1003,$W256)&amp;"")</f>
        <v/>
      </c>
      <c r="B256" s="3" t="str">
        <f aca="false">IF($W256="","",INDEX(发票统计!B$4:B$1003,$W256)&amp;"")</f>
        <v/>
      </c>
      <c r="C256" s="3" t="str">
        <f aca="false">IF($W256="","",INDEX(发票统计!C$4:C$1003,$W256)&amp;"")</f>
        <v/>
      </c>
      <c r="D256" s="3" t="str">
        <f aca="false">IF($W256="","",INDEX(发票统计!D$4:D$1003,$W256)&amp;"")</f>
        <v/>
      </c>
      <c r="E256" s="67" t="str">
        <f aca="false">IF($W256="","",INDEX(发票统计!E$4:E$1003,$W256)&amp;"")</f>
        <v/>
      </c>
      <c r="F256" s="68" t="str">
        <f aca="false">IF($W256="","",INDEX(发票统计!F$4:F$1003,$W256)&amp;"")</f>
        <v/>
      </c>
      <c r="G256" s="68" t="str">
        <f aca="false">IF($W256="","",IF(INDEX(发票统计!G$4:G$1003,$W256)="","",INDEX(发票统计!G$4:G$1003,$W256)))</f>
        <v/>
      </c>
      <c r="H256" s="56" t="str">
        <f aca="false">IF($W256="","",N(INDEX(发票统计!H$4:H$1003,$W256)))</f>
        <v/>
      </c>
      <c r="I256" s="56" t="str">
        <f aca="false">IF($W256="","",N(INDEX(发票统计!I$4:I$1003,$W256)))</f>
        <v/>
      </c>
      <c r="J256" s="56" t="str">
        <f aca="false">IF($W256="","",N(INDEX(发票统计!J$4:J$1003,$W256)))</f>
        <v/>
      </c>
      <c r="K256" s="56" t="str">
        <f aca="false">IF($W256="","",N(INDEX(发票统计!K$4:K$1003,$W256)))</f>
        <v/>
      </c>
      <c r="L256" s="56" t="str">
        <f aca="false">IF($W256="","",SUM(J$4:J256)-SUM(K$4:K256))</f>
        <v/>
      </c>
      <c r="M256" s="56" t="str">
        <f aca="false">IF($W256="","",N(INDEX(发票统计!M$4:M$1003,$W256)))</f>
        <v/>
      </c>
      <c r="N256" s="56" t="str">
        <f aca="false">IF($W256="","",N(INDEX(发票统计!N$4:N$1003,$W256)))</f>
        <v/>
      </c>
      <c r="O256" s="56" t="str">
        <f aca="false">IF($W256="","",N(INDEX(发票统计!O$4:O$1003,$W256)))</f>
        <v/>
      </c>
      <c r="P256" s="56" t="str">
        <f aca="false">IF($W256="","",SUM(M$4:M256)-SUM(N$4:N256)-SUM(O$4:O256))</f>
        <v/>
      </c>
      <c r="Q256" s="56" t="str">
        <f aca="false">IF($W256="","",N(INDEX(发票统计!Q$4:Q$1003,$W256)))</f>
        <v/>
      </c>
      <c r="R256" s="56" t="str">
        <f aca="false">IF($W256="","",N(INDEX(发票统计!R$4:R$1003,$W256)))</f>
        <v/>
      </c>
      <c r="S256" s="56" t="str">
        <f aca="false">IF($W256="","",N(INDEX(发票统计!S$4:S$1003,$W256)))</f>
        <v/>
      </c>
      <c r="T256" s="56" t="str">
        <f aca="false">IF($W256="","",SUM(Q$4:Q256)-SUM(R$4:R256)-SUM(S$4:S256))</f>
        <v/>
      </c>
      <c r="U256" s="56" t="str">
        <f aca="false">IF($W256="","",INDEX(发票统计!U$4:U$1003,$W256)&amp;"")</f>
        <v/>
      </c>
      <c r="W256" s="1" t="str">
        <f aca="false">IF($V$3="","",IFERROR(MATCH($V$3&amp;"#"&amp;ROWS(W$4:W256),发票统计!$W$4:$W$1003,0),""))</f>
        <v/>
      </c>
    </row>
    <row r="257" customFormat="false" ht="16.5" hidden="false" customHeight="false" outlineLevel="0" collapsed="false">
      <c r="A257" s="3" t="str">
        <f aca="false">IF($W257="","",INDEX(发票统计!A$4:A$1003,$W257)&amp;"")</f>
        <v/>
      </c>
      <c r="B257" s="3" t="str">
        <f aca="false">IF($W257="","",INDEX(发票统计!B$4:B$1003,$W257)&amp;"")</f>
        <v/>
      </c>
      <c r="C257" s="3" t="str">
        <f aca="false">IF($W257="","",INDEX(发票统计!C$4:C$1003,$W257)&amp;"")</f>
        <v/>
      </c>
      <c r="D257" s="3" t="str">
        <f aca="false">IF($W257="","",INDEX(发票统计!D$4:D$1003,$W257)&amp;"")</f>
        <v/>
      </c>
      <c r="E257" s="67" t="str">
        <f aca="false">IF($W257="","",INDEX(发票统计!E$4:E$1003,$W257)&amp;"")</f>
        <v/>
      </c>
      <c r="F257" s="68" t="str">
        <f aca="false">IF($W257="","",INDEX(发票统计!F$4:F$1003,$W257)&amp;"")</f>
        <v/>
      </c>
      <c r="G257" s="68" t="str">
        <f aca="false">IF($W257="","",IF(INDEX(发票统计!G$4:G$1003,$W257)="","",INDEX(发票统计!G$4:G$1003,$W257)))</f>
        <v/>
      </c>
      <c r="H257" s="56" t="str">
        <f aca="false">IF($W257="","",N(INDEX(发票统计!H$4:H$1003,$W257)))</f>
        <v/>
      </c>
      <c r="I257" s="56" t="str">
        <f aca="false">IF($W257="","",N(INDEX(发票统计!I$4:I$1003,$W257)))</f>
        <v/>
      </c>
      <c r="J257" s="56" t="str">
        <f aca="false">IF($W257="","",N(INDEX(发票统计!J$4:J$1003,$W257)))</f>
        <v/>
      </c>
      <c r="K257" s="56" t="str">
        <f aca="false">IF($W257="","",N(INDEX(发票统计!K$4:K$1003,$W257)))</f>
        <v/>
      </c>
      <c r="L257" s="56" t="str">
        <f aca="false">IF($W257="","",SUM(J$4:J257)-SUM(K$4:K257))</f>
        <v/>
      </c>
      <c r="M257" s="56" t="str">
        <f aca="false">IF($W257="","",N(INDEX(发票统计!M$4:M$1003,$W257)))</f>
        <v/>
      </c>
      <c r="N257" s="56" t="str">
        <f aca="false">IF($W257="","",N(INDEX(发票统计!N$4:N$1003,$W257)))</f>
        <v/>
      </c>
      <c r="O257" s="56" t="str">
        <f aca="false">IF($W257="","",N(INDEX(发票统计!O$4:O$1003,$W257)))</f>
        <v/>
      </c>
      <c r="P257" s="56" t="str">
        <f aca="false">IF($W257="","",SUM(M$4:M257)-SUM(N$4:N257)-SUM(O$4:O257))</f>
        <v/>
      </c>
      <c r="Q257" s="56" t="str">
        <f aca="false">IF($W257="","",N(INDEX(发票统计!Q$4:Q$1003,$W257)))</f>
        <v/>
      </c>
      <c r="R257" s="56" t="str">
        <f aca="false">IF($W257="","",N(INDEX(发票统计!R$4:R$1003,$W257)))</f>
        <v/>
      </c>
      <c r="S257" s="56" t="str">
        <f aca="false">IF($W257="","",N(INDEX(发票统计!S$4:S$1003,$W257)))</f>
        <v/>
      </c>
      <c r="T257" s="56" t="str">
        <f aca="false">IF($W257="","",SUM(Q$4:Q257)-SUM(R$4:R257)-SUM(S$4:S257))</f>
        <v/>
      </c>
      <c r="U257" s="56" t="str">
        <f aca="false">IF($W257="","",INDEX(发票统计!U$4:U$1003,$W257)&amp;"")</f>
        <v/>
      </c>
      <c r="W257" s="1" t="str">
        <f aca="false">IF($V$3="","",IFERROR(MATCH($V$3&amp;"#"&amp;ROWS(W$4:W257),发票统计!$W$4:$W$1003,0),""))</f>
        <v/>
      </c>
    </row>
    <row r="258" customFormat="false" ht="16.5" hidden="false" customHeight="false" outlineLevel="0" collapsed="false">
      <c r="A258" s="3" t="str">
        <f aca="false">IF($W258="","",INDEX(发票统计!A$4:A$1003,$W258)&amp;"")</f>
        <v/>
      </c>
      <c r="B258" s="3" t="str">
        <f aca="false">IF($W258="","",INDEX(发票统计!B$4:B$1003,$W258)&amp;"")</f>
        <v/>
      </c>
      <c r="C258" s="3" t="str">
        <f aca="false">IF($W258="","",INDEX(发票统计!C$4:C$1003,$W258)&amp;"")</f>
        <v/>
      </c>
      <c r="D258" s="3" t="str">
        <f aca="false">IF($W258="","",INDEX(发票统计!D$4:D$1003,$W258)&amp;"")</f>
        <v/>
      </c>
      <c r="E258" s="67" t="str">
        <f aca="false">IF($W258="","",INDEX(发票统计!E$4:E$1003,$W258)&amp;"")</f>
        <v/>
      </c>
      <c r="F258" s="68" t="str">
        <f aca="false">IF($W258="","",INDEX(发票统计!F$4:F$1003,$W258)&amp;"")</f>
        <v/>
      </c>
      <c r="G258" s="68" t="str">
        <f aca="false">IF($W258="","",IF(INDEX(发票统计!G$4:G$1003,$W258)="","",INDEX(发票统计!G$4:G$1003,$W258)))</f>
        <v/>
      </c>
      <c r="H258" s="56" t="str">
        <f aca="false">IF($W258="","",N(INDEX(发票统计!H$4:H$1003,$W258)))</f>
        <v/>
      </c>
      <c r="I258" s="56" t="str">
        <f aca="false">IF($W258="","",N(INDEX(发票统计!I$4:I$1003,$W258)))</f>
        <v/>
      </c>
      <c r="J258" s="56" t="str">
        <f aca="false">IF($W258="","",N(INDEX(发票统计!J$4:J$1003,$W258)))</f>
        <v/>
      </c>
      <c r="K258" s="56" t="str">
        <f aca="false">IF($W258="","",N(INDEX(发票统计!K$4:K$1003,$W258)))</f>
        <v/>
      </c>
      <c r="L258" s="56" t="str">
        <f aca="false">IF($W258="","",SUM(J$4:J258)-SUM(K$4:K258))</f>
        <v/>
      </c>
      <c r="M258" s="56" t="str">
        <f aca="false">IF($W258="","",N(INDEX(发票统计!M$4:M$1003,$W258)))</f>
        <v/>
      </c>
      <c r="N258" s="56" t="str">
        <f aca="false">IF($W258="","",N(INDEX(发票统计!N$4:N$1003,$W258)))</f>
        <v/>
      </c>
      <c r="O258" s="56" t="str">
        <f aca="false">IF($W258="","",N(INDEX(发票统计!O$4:O$1003,$W258)))</f>
        <v/>
      </c>
      <c r="P258" s="56" t="str">
        <f aca="false">IF($W258="","",SUM(M$4:M258)-SUM(N$4:N258)-SUM(O$4:O258))</f>
        <v/>
      </c>
      <c r="Q258" s="56" t="str">
        <f aca="false">IF($W258="","",N(INDEX(发票统计!Q$4:Q$1003,$W258)))</f>
        <v/>
      </c>
      <c r="R258" s="56" t="str">
        <f aca="false">IF($W258="","",N(INDEX(发票统计!R$4:R$1003,$W258)))</f>
        <v/>
      </c>
      <c r="S258" s="56" t="str">
        <f aca="false">IF($W258="","",N(INDEX(发票统计!S$4:S$1003,$W258)))</f>
        <v/>
      </c>
      <c r="T258" s="56" t="str">
        <f aca="false">IF($W258="","",SUM(Q$4:Q258)-SUM(R$4:R258)-SUM(S$4:S258))</f>
        <v/>
      </c>
      <c r="U258" s="56" t="str">
        <f aca="false">IF($W258="","",INDEX(发票统计!U$4:U$1003,$W258)&amp;"")</f>
        <v/>
      </c>
      <c r="W258" s="1" t="str">
        <f aca="false">IF($V$3="","",IFERROR(MATCH($V$3&amp;"#"&amp;ROWS(W$4:W258),发票统计!$W$4:$W$1003,0),""))</f>
        <v/>
      </c>
    </row>
    <row r="259" customFormat="false" ht="16.5" hidden="false" customHeight="false" outlineLevel="0" collapsed="false">
      <c r="A259" s="3" t="str">
        <f aca="false">IF($W259="","",INDEX(发票统计!A$4:A$1003,$W259)&amp;"")</f>
        <v/>
      </c>
      <c r="B259" s="3" t="str">
        <f aca="false">IF($W259="","",INDEX(发票统计!B$4:B$1003,$W259)&amp;"")</f>
        <v/>
      </c>
      <c r="C259" s="3" t="str">
        <f aca="false">IF($W259="","",INDEX(发票统计!C$4:C$1003,$W259)&amp;"")</f>
        <v/>
      </c>
      <c r="D259" s="3" t="str">
        <f aca="false">IF($W259="","",INDEX(发票统计!D$4:D$1003,$W259)&amp;"")</f>
        <v/>
      </c>
      <c r="E259" s="67" t="str">
        <f aca="false">IF($W259="","",INDEX(发票统计!E$4:E$1003,$W259)&amp;"")</f>
        <v/>
      </c>
      <c r="F259" s="68" t="str">
        <f aca="false">IF($W259="","",INDEX(发票统计!F$4:F$1003,$W259)&amp;"")</f>
        <v/>
      </c>
      <c r="G259" s="68" t="str">
        <f aca="false">IF($W259="","",IF(INDEX(发票统计!G$4:G$1003,$W259)="","",INDEX(发票统计!G$4:G$1003,$W259)))</f>
        <v/>
      </c>
      <c r="H259" s="56" t="str">
        <f aca="false">IF($W259="","",N(INDEX(发票统计!H$4:H$1003,$W259)))</f>
        <v/>
      </c>
      <c r="I259" s="56" t="str">
        <f aca="false">IF($W259="","",N(INDEX(发票统计!I$4:I$1003,$W259)))</f>
        <v/>
      </c>
      <c r="J259" s="56" t="str">
        <f aca="false">IF($W259="","",N(INDEX(发票统计!J$4:J$1003,$W259)))</f>
        <v/>
      </c>
      <c r="K259" s="56" t="str">
        <f aca="false">IF($W259="","",N(INDEX(发票统计!K$4:K$1003,$W259)))</f>
        <v/>
      </c>
      <c r="L259" s="56" t="str">
        <f aca="false">IF($W259="","",SUM(J$4:J259)-SUM(K$4:K259))</f>
        <v/>
      </c>
      <c r="M259" s="56" t="str">
        <f aca="false">IF($W259="","",N(INDEX(发票统计!M$4:M$1003,$W259)))</f>
        <v/>
      </c>
      <c r="N259" s="56" t="str">
        <f aca="false">IF($W259="","",N(INDEX(发票统计!N$4:N$1003,$W259)))</f>
        <v/>
      </c>
      <c r="O259" s="56" t="str">
        <f aca="false">IF($W259="","",N(INDEX(发票统计!O$4:O$1003,$W259)))</f>
        <v/>
      </c>
      <c r="P259" s="56" t="str">
        <f aca="false">IF($W259="","",SUM(M$4:M259)-SUM(N$4:N259)-SUM(O$4:O259))</f>
        <v/>
      </c>
      <c r="Q259" s="56" t="str">
        <f aca="false">IF($W259="","",N(INDEX(发票统计!Q$4:Q$1003,$W259)))</f>
        <v/>
      </c>
      <c r="R259" s="56" t="str">
        <f aca="false">IF($W259="","",N(INDEX(发票统计!R$4:R$1003,$W259)))</f>
        <v/>
      </c>
      <c r="S259" s="56" t="str">
        <f aca="false">IF($W259="","",N(INDEX(发票统计!S$4:S$1003,$W259)))</f>
        <v/>
      </c>
      <c r="T259" s="56" t="str">
        <f aca="false">IF($W259="","",SUM(Q$4:Q259)-SUM(R$4:R259)-SUM(S$4:S259))</f>
        <v/>
      </c>
      <c r="U259" s="56" t="str">
        <f aca="false">IF($W259="","",INDEX(发票统计!U$4:U$1003,$W259)&amp;"")</f>
        <v/>
      </c>
      <c r="W259" s="1" t="str">
        <f aca="false">IF($V$3="","",IFERROR(MATCH($V$3&amp;"#"&amp;ROWS(W$4:W259),发票统计!$W$4:$W$1003,0),""))</f>
        <v/>
      </c>
    </row>
    <row r="260" customFormat="false" ht="16.5" hidden="false" customHeight="false" outlineLevel="0" collapsed="false">
      <c r="A260" s="3" t="str">
        <f aca="false">IF($W260="","",INDEX(发票统计!A$4:A$1003,$W260)&amp;"")</f>
        <v/>
      </c>
      <c r="B260" s="3" t="str">
        <f aca="false">IF($W260="","",INDEX(发票统计!B$4:B$1003,$W260)&amp;"")</f>
        <v/>
      </c>
      <c r="C260" s="3" t="str">
        <f aca="false">IF($W260="","",INDEX(发票统计!C$4:C$1003,$W260)&amp;"")</f>
        <v/>
      </c>
      <c r="D260" s="3" t="str">
        <f aca="false">IF($W260="","",INDEX(发票统计!D$4:D$1003,$W260)&amp;"")</f>
        <v/>
      </c>
      <c r="E260" s="67" t="str">
        <f aca="false">IF($W260="","",INDEX(发票统计!E$4:E$1003,$W260)&amp;"")</f>
        <v/>
      </c>
      <c r="F260" s="68" t="str">
        <f aca="false">IF($W260="","",INDEX(发票统计!F$4:F$1003,$W260)&amp;"")</f>
        <v/>
      </c>
      <c r="G260" s="68" t="str">
        <f aca="false">IF($W260="","",IF(INDEX(发票统计!G$4:G$1003,$W260)="","",INDEX(发票统计!G$4:G$1003,$W260)))</f>
        <v/>
      </c>
      <c r="H260" s="56" t="str">
        <f aca="false">IF($W260="","",N(INDEX(发票统计!H$4:H$1003,$W260)))</f>
        <v/>
      </c>
      <c r="I260" s="56" t="str">
        <f aca="false">IF($W260="","",N(INDEX(发票统计!I$4:I$1003,$W260)))</f>
        <v/>
      </c>
      <c r="J260" s="56" t="str">
        <f aca="false">IF($W260="","",N(INDEX(发票统计!J$4:J$1003,$W260)))</f>
        <v/>
      </c>
      <c r="K260" s="56" t="str">
        <f aca="false">IF($W260="","",N(INDEX(发票统计!K$4:K$1003,$W260)))</f>
        <v/>
      </c>
      <c r="L260" s="56" t="str">
        <f aca="false">IF($W260="","",SUM(J$4:J260)-SUM(K$4:K260))</f>
        <v/>
      </c>
      <c r="M260" s="56" t="str">
        <f aca="false">IF($W260="","",N(INDEX(发票统计!M$4:M$1003,$W260)))</f>
        <v/>
      </c>
      <c r="N260" s="56" t="str">
        <f aca="false">IF($W260="","",N(INDEX(发票统计!N$4:N$1003,$W260)))</f>
        <v/>
      </c>
      <c r="O260" s="56" t="str">
        <f aca="false">IF($W260="","",N(INDEX(发票统计!O$4:O$1003,$W260)))</f>
        <v/>
      </c>
      <c r="P260" s="56" t="str">
        <f aca="false">IF($W260="","",SUM(M$4:M260)-SUM(N$4:N260)-SUM(O$4:O260))</f>
        <v/>
      </c>
      <c r="Q260" s="56" t="str">
        <f aca="false">IF($W260="","",N(INDEX(发票统计!Q$4:Q$1003,$W260)))</f>
        <v/>
      </c>
      <c r="R260" s="56" t="str">
        <f aca="false">IF($W260="","",N(INDEX(发票统计!R$4:R$1003,$W260)))</f>
        <v/>
      </c>
      <c r="S260" s="56" t="str">
        <f aca="false">IF($W260="","",N(INDEX(发票统计!S$4:S$1003,$W260)))</f>
        <v/>
      </c>
      <c r="T260" s="56" t="str">
        <f aca="false">IF($W260="","",SUM(Q$4:Q260)-SUM(R$4:R260)-SUM(S$4:S260))</f>
        <v/>
      </c>
      <c r="U260" s="56" t="str">
        <f aca="false">IF($W260="","",INDEX(发票统计!U$4:U$1003,$W260)&amp;"")</f>
        <v/>
      </c>
      <c r="W260" s="1" t="str">
        <f aca="false">IF($V$3="","",IFERROR(MATCH($V$3&amp;"#"&amp;ROWS(W$4:W260),发票统计!$W$4:$W$1003,0),""))</f>
        <v/>
      </c>
    </row>
    <row r="261" customFormat="false" ht="16.5" hidden="false" customHeight="false" outlineLevel="0" collapsed="false">
      <c r="A261" s="3" t="str">
        <f aca="false">IF($W261="","",INDEX(发票统计!A$4:A$1003,$W261)&amp;"")</f>
        <v/>
      </c>
      <c r="B261" s="3" t="str">
        <f aca="false">IF($W261="","",INDEX(发票统计!B$4:B$1003,$W261)&amp;"")</f>
        <v/>
      </c>
      <c r="C261" s="3" t="str">
        <f aca="false">IF($W261="","",INDEX(发票统计!C$4:C$1003,$W261)&amp;"")</f>
        <v/>
      </c>
      <c r="D261" s="3" t="str">
        <f aca="false">IF($W261="","",INDEX(发票统计!D$4:D$1003,$W261)&amp;"")</f>
        <v/>
      </c>
      <c r="E261" s="67" t="str">
        <f aca="false">IF($W261="","",INDEX(发票统计!E$4:E$1003,$W261)&amp;"")</f>
        <v/>
      </c>
      <c r="F261" s="68" t="str">
        <f aca="false">IF($W261="","",INDEX(发票统计!F$4:F$1003,$W261)&amp;"")</f>
        <v/>
      </c>
      <c r="G261" s="68" t="str">
        <f aca="false">IF($W261="","",IF(INDEX(发票统计!G$4:G$1003,$W261)="","",INDEX(发票统计!G$4:G$1003,$W261)))</f>
        <v/>
      </c>
      <c r="H261" s="56" t="str">
        <f aca="false">IF($W261="","",N(INDEX(发票统计!H$4:H$1003,$W261)))</f>
        <v/>
      </c>
      <c r="I261" s="56" t="str">
        <f aca="false">IF($W261="","",N(INDEX(发票统计!I$4:I$1003,$W261)))</f>
        <v/>
      </c>
      <c r="J261" s="56" t="str">
        <f aca="false">IF($W261="","",N(INDEX(发票统计!J$4:J$1003,$W261)))</f>
        <v/>
      </c>
      <c r="K261" s="56" t="str">
        <f aca="false">IF($W261="","",N(INDEX(发票统计!K$4:K$1003,$W261)))</f>
        <v/>
      </c>
      <c r="L261" s="56" t="str">
        <f aca="false">IF($W261="","",SUM(J$4:J261)-SUM(K$4:K261))</f>
        <v/>
      </c>
      <c r="M261" s="56" t="str">
        <f aca="false">IF($W261="","",N(INDEX(发票统计!M$4:M$1003,$W261)))</f>
        <v/>
      </c>
      <c r="N261" s="56" t="str">
        <f aca="false">IF($W261="","",N(INDEX(发票统计!N$4:N$1003,$W261)))</f>
        <v/>
      </c>
      <c r="O261" s="56" t="str">
        <f aca="false">IF($W261="","",N(INDEX(发票统计!O$4:O$1003,$W261)))</f>
        <v/>
      </c>
      <c r="P261" s="56" t="str">
        <f aca="false">IF($W261="","",SUM(M$4:M261)-SUM(N$4:N261)-SUM(O$4:O261))</f>
        <v/>
      </c>
      <c r="Q261" s="56" t="str">
        <f aca="false">IF($W261="","",N(INDEX(发票统计!Q$4:Q$1003,$W261)))</f>
        <v/>
      </c>
      <c r="R261" s="56" t="str">
        <f aca="false">IF($W261="","",N(INDEX(发票统计!R$4:R$1003,$W261)))</f>
        <v/>
      </c>
      <c r="S261" s="56" t="str">
        <f aca="false">IF($W261="","",N(INDEX(发票统计!S$4:S$1003,$W261)))</f>
        <v/>
      </c>
      <c r="T261" s="56" t="str">
        <f aca="false">IF($W261="","",SUM(Q$4:Q261)-SUM(R$4:R261)-SUM(S$4:S261))</f>
        <v/>
      </c>
      <c r="U261" s="56" t="str">
        <f aca="false">IF($W261="","",INDEX(发票统计!U$4:U$1003,$W261)&amp;"")</f>
        <v/>
      </c>
      <c r="W261" s="1" t="str">
        <f aca="false">IF($V$3="","",IFERROR(MATCH($V$3&amp;"#"&amp;ROWS(W$4:W261),发票统计!$W$4:$W$1003,0),""))</f>
        <v/>
      </c>
    </row>
    <row r="262" customFormat="false" ht="16.5" hidden="false" customHeight="false" outlineLevel="0" collapsed="false">
      <c r="A262" s="3" t="str">
        <f aca="false">IF($W262="","",INDEX(发票统计!A$4:A$1003,$W262)&amp;"")</f>
        <v/>
      </c>
      <c r="B262" s="3" t="str">
        <f aca="false">IF($W262="","",INDEX(发票统计!B$4:B$1003,$W262)&amp;"")</f>
        <v/>
      </c>
      <c r="C262" s="3" t="str">
        <f aca="false">IF($W262="","",INDEX(发票统计!C$4:C$1003,$W262)&amp;"")</f>
        <v/>
      </c>
      <c r="D262" s="3" t="str">
        <f aca="false">IF($W262="","",INDEX(发票统计!D$4:D$1003,$W262)&amp;"")</f>
        <v/>
      </c>
      <c r="E262" s="67" t="str">
        <f aca="false">IF($W262="","",INDEX(发票统计!E$4:E$1003,$W262)&amp;"")</f>
        <v/>
      </c>
      <c r="F262" s="68" t="str">
        <f aca="false">IF($W262="","",INDEX(发票统计!F$4:F$1003,$W262)&amp;"")</f>
        <v/>
      </c>
      <c r="G262" s="68" t="str">
        <f aca="false">IF($W262="","",IF(INDEX(发票统计!G$4:G$1003,$W262)="","",INDEX(发票统计!G$4:G$1003,$W262)))</f>
        <v/>
      </c>
      <c r="H262" s="56" t="str">
        <f aca="false">IF($W262="","",N(INDEX(发票统计!H$4:H$1003,$W262)))</f>
        <v/>
      </c>
      <c r="I262" s="56" t="str">
        <f aca="false">IF($W262="","",N(INDEX(发票统计!I$4:I$1003,$W262)))</f>
        <v/>
      </c>
      <c r="J262" s="56" t="str">
        <f aca="false">IF($W262="","",N(INDEX(发票统计!J$4:J$1003,$W262)))</f>
        <v/>
      </c>
      <c r="K262" s="56" t="str">
        <f aca="false">IF($W262="","",N(INDEX(发票统计!K$4:K$1003,$W262)))</f>
        <v/>
      </c>
      <c r="L262" s="56" t="str">
        <f aca="false">IF($W262="","",SUM(J$4:J262)-SUM(K$4:K262))</f>
        <v/>
      </c>
      <c r="M262" s="56" t="str">
        <f aca="false">IF($W262="","",N(INDEX(发票统计!M$4:M$1003,$W262)))</f>
        <v/>
      </c>
      <c r="N262" s="56" t="str">
        <f aca="false">IF($W262="","",N(INDEX(发票统计!N$4:N$1003,$W262)))</f>
        <v/>
      </c>
      <c r="O262" s="56" t="str">
        <f aca="false">IF($W262="","",N(INDEX(发票统计!O$4:O$1003,$W262)))</f>
        <v/>
      </c>
      <c r="P262" s="56" t="str">
        <f aca="false">IF($W262="","",SUM(M$4:M262)-SUM(N$4:N262)-SUM(O$4:O262))</f>
        <v/>
      </c>
      <c r="Q262" s="56" t="str">
        <f aca="false">IF($W262="","",N(INDEX(发票统计!Q$4:Q$1003,$W262)))</f>
        <v/>
      </c>
      <c r="R262" s="56" t="str">
        <f aca="false">IF($W262="","",N(INDEX(发票统计!R$4:R$1003,$W262)))</f>
        <v/>
      </c>
      <c r="S262" s="56" t="str">
        <f aca="false">IF($W262="","",N(INDEX(发票统计!S$4:S$1003,$W262)))</f>
        <v/>
      </c>
      <c r="T262" s="56" t="str">
        <f aca="false">IF($W262="","",SUM(Q$4:Q262)-SUM(R$4:R262)-SUM(S$4:S262))</f>
        <v/>
      </c>
      <c r="U262" s="56" t="str">
        <f aca="false">IF($W262="","",INDEX(发票统计!U$4:U$1003,$W262)&amp;"")</f>
        <v/>
      </c>
      <c r="W262" s="1" t="str">
        <f aca="false">IF($V$3="","",IFERROR(MATCH($V$3&amp;"#"&amp;ROWS(W$4:W262),发票统计!$W$4:$W$1003,0),""))</f>
        <v/>
      </c>
    </row>
    <row r="263" customFormat="false" ht="16.5" hidden="false" customHeight="false" outlineLevel="0" collapsed="false">
      <c r="A263" s="3" t="str">
        <f aca="false">IF($W263="","",INDEX(发票统计!A$4:A$1003,$W263)&amp;"")</f>
        <v/>
      </c>
      <c r="B263" s="3" t="str">
        <f aca="false">IF($W263="","",INDEX(发票统计!B$4:B$1003,$W263)&amp;"")</f>
        <v/>
      </c>
      <c r="C263" s="3" t="str">
        <f aca="false">IF($W263="","",INDEX(发票统计!C$4:C$1003,$W263)&amp;"")</f>
        <v/>
      </c>
      <c r="D263" s="3" t="str">
        <f aca="false">IF($W263="","",INDEX(发票统计!D$4:D$1003,$W263)&amp;"")</f>
        <v/>
      </c>
      <c r="E263" s="67" t="str">
        <f aca="false">IF($W263="","",INDEX(发票统计!E$4:E$1003,$W263)&amp;"")</f>
        <v/>
      </c>
      <c r="F263" s="68" t="str">
        <f aca="false">IF($W263="","",INDEX(发票统计!F$4:F$1003,$W263)&amp;"")</f>
        <v/>
      </c>
      <c r="G263" s="68" t="str">
        <f aca="false">IF($W263="","",IF(INDEX(发票统计!G$4:G$1003,$W263)="","",INDEX(发票统计!G$4:G$1003,$W263)))</f>
        <v/>
      </c>
      <c r="H263" s="56" t="str">
        <f aca="false">IF($W263="","",N(INDEX(发票统计!H$4:H$1003,$W263)))</f>
        <v/>
      </c>
      <c r="I263" s="56" t="str">
        <f aca="false">IF($W263="","",N(INDEX(发票统计!I$4:I$1003,$W263)))</f>
        <v/>
      </c>
      <c r="J263" s="56" t="str">
        <f aca="false">IF($W263="","",N(INDEX(发票统计!J$4:J$1003,$W263)))</f>
        <v/>
      </c>
      <c r="K263" s="56" t="str">
        <f aca="false">IF($W263="","",N(INDEX(发票统计!K$4:K$1003,$W263)))</f>
        <v/>
      </c>
      <c r="L263" s="56" t="str">
        <f aca="false">IF($W263="","",SUM(J$4:J263)-SUM(K$4:K263))</f>
        <v/>
      </c>
      <c r="M263" s="56" t="str">
        <f aca="false">IF($W263="","",N(INDEX(发票统计!M$4:M$1003,$W263)))</f>
        <v/>
      </c>
      <c r="N263" s="56" t="str">
        <f aca="false">IF($W263="","",N(INDEX(发票统计!N$4:N$1003,$W263)))</f>
        <v/>
      </c>
      <c r="O263" s="56" t="str">
        <f aca="false">IF($W263="","",N(INDEX(发票统计!O$4:O$1003,$W263)))</f>
        <v/>
      </c>
      <c r="P263" s="56" t="str">
        <f aca="false">IF($W263="","",SUM(M$4:M263)-SUM(N$4:N263)-SUM(O$4:O263))</f>
        <v/>
      </c>
      <c r="Q263" s="56" t="str">
        <f aca="false">IF($W263="","",N(INDEX(发票统计!Q$4:Q$1003,$W263)))</f>
        <v/>
      </c>
      <c r="R263" s="56" t="str">
        <f aca="false">IF($W263="","",N(INDEX(发票统计!R$4:R$1003,$W263)))</f>
        <v/>
      </c>
      <c r="S263" s="56" t="str">
        <f aca="false">IF($W263="","",N(INDEX(发票统计!S$4:S$1003,$W263)))</f>
        <v/>
      </c>
      <c r="T263" s="56" t="str">
        <f aca="false">IF($W263="","",SUM(Q$4:Q263)-SUM(R$4:R263)-SUM(S$4:S263))</f>
        <v/>
      </c>
      <c r="U263" s="56" t="str">
        <f aca="false">IF($W263="","",INDEX(发票统计!U$4:U$1003,$W263)&amp;"")</f>
        <v/>
      </c>
      <c r="W263" s="1" t="str">
        <f aca="false">IF($V$3="","",IFERROR(MATCH($V$3&amp;"#"&amp;ROWS(W$4:W263),发票统计!$W$4:$W$1003,0),""))</f>
        <v/>
      </c>
    </row>
    <row r="264" customFormat="false" ht="16.5" hidden="false" customHeight="false" outlineLevel="0" collapsed="false">
      <c r="A264" s="3" t="str">
        <f aca="false">IF($W264="","",INDEX(发票统计!A$4:A$1003,$W264)&amp;"")</f>
        <v/>
      </c>
      <c r="B264" s="3" t="str">
        <f aca="false">IF($W264="","",INDEX(发票统计!B$4:B$1003,$W264)&amp;"")</f>
        <v/>
      </c>
      <c r="C264" s="3" t="str">
        <f aca="false">IF($W264="","",INDEX(发票统计!C$4:C$1003,$W264)&amp;"")</f>
        <v/>
      </c>
      <c r="D264" s="3" t="str">
        <f aca="false">IF($W264="","",INDEX(发票统计!D$4:D$1003,$W264)&amp;"")</f>
        <v/>
      </c>
      <c r="E264" s="67" t="str">
        <f aca="false">IF($W264="","",INDEX(发票统计!E$4:E$1003,$W264)&amp;"")</f>
        <v/>
      </c>
      <c r="F264" s="68" t="str">
        <f aca="false">IF($W264="","",INDEX(发票统计!F$4:F$1003,$W264)&amp;"")</f>
        <v/>
      </c>
      <c r="G264" s="68" t="str">
        <f aca="false">IF($W264="","",IF(INDEX(发票统计!G$4:G$1003,$W264)="","",INDEX(发票统计!G$4:G$1003,$W264)))</f>
        <v/>
      </c>
      <c r="H264" s="56" t="str">
        <f aca="false">IF($W264="","",N(INDEX(发票统计!H$4:H$1003,$W264)))</f>
        <v/>
      </c>
      <c r="I264" s="56" t="str">
        <f aca="false">IF($W264="","",N(INDEX(发票统计!I$4:I$1003,$W264)))</f>
        <v/>
      </c>
      <c r="J264" s="56" t="str">
        <f aca="false">IF($W264="","",N(INDEX(发票统计!J$4:J$1003,$W264)))</f>
        <v/>
      </c>
      <c r="K264" s="56" t="str">
        <f aca="false">IF($W264="","",N(INDEX(发票统计!K$4:K$1003,$W264)))</f>
        <v/>
      </c>
      <c r="L264" s="56" t="str">
        <f aca="false">IF($W264="","",SUM(J$4:J264)-SUM(K$4:K264))</f>
        <v/>
      </c>
      <c r="M264" s="56" t="str">
        <f aca="false">IF($W264="","",N(INDEX(发票统计!M$4:M$1003,$W264)))</f>
        <v/>
      </c>
      <c r="N264" s="56" t="str">
        <f aca="false">IF($W264="","",N(INDEX(发票统计!N$4:N$1003,$W264)))</f>
        <v/>
      </c>
      <c r="O264" s="56" t="str">
        <f aca="false">IF($W264="","",N(INDEX(发票统计!O$4:O$1003,$W264)))</f>
        <v/>
      </c>
      <c r="P264" s="56" t="str">
        <f aca="false">IF($W264="","",SUM(M$4:M264)-SUM(N$4:N264)-SUM(O$4:O264))</f>
        <v/>
      </c>
      <c r="Q264" s="56" t="str">
        <f aca="false">IF($W264="","",N(INDEX(发票统计!Q$4:Q$1003,$W264)))</f>
        <v/>
      </c>
      <c r="R264" s="56" t="str">
        <f aca="false">IF($W264="","",N(INDEX(发票统计!R$4:R$1003,$W264)))</f>
        <v/>
      </c>
      <c r="S264" s="56" t="str">
        <f aca="false">IF($W264="","",N(INDEX(发票统计!S$4:S$1003,$W264)))</f>
        <v/>
      </c>
      <c r="T264" s="56" t="str">
        <f aca="false">IF($W264="","",SUM(Q$4:Q264)-SUM(R$4:R264)-SUM(S$4:S264))</f>
        <v/>
      </c>
      <c r="U264" s="56" t="str">
        <f aca="false">IF($W264="","",INDEX(发票统计!U$4:U$1003,$W264)&amp;"")</f>
        <v/>
      </c>
      <c r="W264" s="1" t="str">
        <f aca="false">IF($V$3="","",IFERROR(MATCH($V$3&amp;"#"&amp;ROWS(W$4:W264),发票统计!$W$4:$W$1003,0),""))</f>
        <v/>
      </c>
    </row>
    <row r="265" customFormat="false" ht="16.5" hidden="false" customHeight="false" outlineLevel="0" collapsed="false">
      <c r="A265" s="3" t="str">
        <f aca="false">IF($W265="","",INDEX(发票统计!A$4:A$1003,$W265)&amp;"")</f>
        <v/>
      </c>
      <c r="B265" s="3" t="str">
        <f aca="false">IF($W265="","",INDEX(发票统计!B$4:B$1003,$W265)&amp;"")</f>
        <v/>
      </c>
      <c r="C265" s="3" t="str">
        <f aca="false">IF($W265="","",INDEX(发票统计!C$4:C$1003,$W265)&amp;"")</f>
        <v/>
      </c>
      <c r="D265" s="3" t="str">
        <f aca="false">IF($W265="","",INDEX(发票统计!D$4:D$1003,$W265)&amp;"")</f>
        <v/>
      </c>
      <c r="E265" s="67" t="str">
        <f aca="false">IF($W265="","",INDEX(发票统计!E$4:E$1003,$W265)&amp;"")</f>
        <v/>
      </c>
      <c r="F265" s="68" t="str">
        <f aca="false">IF($W265="","",INDEX(发票统计!F$4:F$1003,$W265)&amp;"")</f>
        <v/>
      </c>
      <c r="G265" s="68" t="str">
        <f aca="false">IF($W265="","",IF(INDEX(发票统计!G$4:G$1003,$W265)="","",INDEX(发票统计!G$4:G$1003,$W265)))</f>
        <v/>
      </c>
      <c r="H265" s="56" t="str">
        <f aca="false">IF($W265="","",N(INDEX(发票统计!H$4:H$1003,$W265)))</f>
        <v/>
      </c>
      <c r="I265" s="56" t="str">
        <f aca="false">IF($W265="","",N(INDEX(发票统计!I$4:I$1003,$W265)))</f>
        <v/>
      </c>
      <c r="J265" s="56" t="str">
        <f aca="false">IF($W265="","",N(INDEX(发票统计!J$4:J$1003,$W265)))</f>
        <v/>
      </c>
      <c r="K265" s="56" t="str">
        <f aca="false">IF($W265="","",N(INDEX(发票统计!K$4:K$1003,$W265)))</f>
        <v/>
      </c>
      <c r="L265" s="56" t="str">
        <f aca="false">IF($W265="","",SUM(J$4:J265)-SUM(K$4:K265))</f>
        <v/>
      </c>
      <c r="M265" s="56" t="str">
        <f aca="false">IF($W265="","",N(INDEX(发票统计!M$4:M$1003,$W265)))</f>
        <v/>
      </c>
      <c r="N265" s="56" t="str">
        <f aca="false">IF($W265="","",N(INDEX(发票统计!N$4:N$1003,$W265)))</f>
        <v/>
      </c>
      <c r="O265" s="56" t="str">
        <f aca="false">IF($W265="","",N(INDEX(发票统计!O$4:O$1003,$W265)))</f>
        <v/>
      </c>
      <c r="P265" s="56" t="str">
        <f aca="false">IF($W265="","",SUM(M$4:M265)-SUM(N$4:N265)-SUM(O$4:O265))</f>
        <v/>
      </c>
      <c r="Q265" s="56" t="str">
        <f aca="false">IF($W265="","",N(INDEX(发票统计!Q$4:Q$1003,$W265)))</f>
        <v/>
      </c>
      <c r="R265" s="56" t="str">
        <f aca="false">IF($W265="","",N(INDEX(发票统计!R$4:R$1003,$W265)))</f>
        <v/>
      </c>
      <c r="S265" s="56" t="str">
        <f aca="false">IF($W265="","",N(INDEX(发票统计!S$4:S$1003,$W265)))</f>
        <v/>
      </c>
      <c r="T265" s="56" t="str">
        <f aca="false">IF($W265="","",SUM(Q$4:Q265)-SUM(R$4:R265)-SUM(S$4:S265))</f>
        <v/>
      </c>
      <c r="U265" s="56" t="str">
        <f aca="false">IF($W265="","",INDEX(发票统计!U$4:U$1003,$W265)&amp;"")</f>
        <v/>
      </c>
      <c r="W265" s="1" t="str">
        <f aca="false">IF($V$3="","",IFERROR(MATCH($V$3&amp;"#"&amp;ROWS(W$4:W265),发票统计!$W$4:$W$1003,0),""))</f>
        <v/>
      </c>
    </row>
    <row r="266" customFormat="false" ht="16.5" hidden="false" customHeight="false" outlineLevel="0" collapsed="false">
      <c r="A266" s="3" t="str">
        <f aca="false">IF($W266="","",INDEX(发票统计!A$4:A$1003,$W266)&amp;"")</f>
        <v/>
      </c>
      <c r="B266" s="3" t="str">
        <f aca="false">IF($W266="","",INDEX(发票统计!B$4:B$1003,$W266)&amp;"")</f>
        <v/>
      </c>
      <c r="C266" s="3" t="str">
        <f aca="false">IF($W266="","",INDEX(发票统计!C$4:C$1003,$W266)&amp;"")</f>
        <v/>
      </c>
      <c r="D266" s="3" t="str">
        <f aca="false">IF($W266="","",INDEX(发票统计!D$4:D$1003,$W266)&amp;"")</f>
        <v/>
      </c>
      <c r="E266" s="67" t="str">
        <f aca="false">IF($W266="","",INDEX(发票统计!E$4:E$1003,$W266)&amp;"")</f>
        <v/>
      </c>
      <c r="F266" s="68" t="str">
        <f aca="false">IF($W266="","",INDEX(发票统计!F$4:F$1003,$W266)&amp;"")</f>
        <v/>
      </c>
      <c r="G266" s="68" t="str">
        <f aca="false">IF($W266="","",IF(INDEX(发票统计!G$4:G$1003,$W266)="","",INDEX(发票统计!G$4:G$1003,$W266)))</f>
        <v/>
      </c>
      <c r="H266" s="56" t="str">
        <f aca="false">IF($W266="","",N(INDEX(发票统计!H$4:H$1003,$W266)))</f>
        <v/>
      </c>
      <c r="I266" s="56" t="str">
        <f aca="false">IF($W266="","",N(INDEX(发票统计!I$4:I$1003,$W266)))</f>
        <v/>
      </c>
      <c r="J266" s="56" t="str">
        <f aca="false">IF($W266="","",N(INDEX(发票统计!J$4:J$1003,$W266)))</f>
        <v/>
      </c>
      <c r="K266" s="56" t="str">
        <f aca="false">IF($W266="","",N(INDEX(发票统计!K$4:K$1003,$W266)))</f>
        <v/>
      </c>
      <c r="L266" s="56" t="str">
        <f aca="false">IF($W266="","",SUM(J$4:J266)-SUM(K$4:K266))</f>
        <v/>
      </c>
      <c r="M266" s="56" t="str">
        <f aca="false">IF($W266="","",N(INDEX(发票统计!M$4:M$1003,$W266)))</f>
        <v/>
      </c>
      <c r="N266" s="56" t="str">
        <f aca="false">IF($W266="","",N(INDEX(发票统计!N$4:N$1003,$W266)))</f>
        <v/>
      </c>
      <c r="O266" s="56" t="str">
        <f aca="false">IF($W266="","",N(INDEX(发票统计!O$4:O$1003,$W266)))</f>
        <v/>
      </c>
      <c r="P266" s="56" t="str">
        <f aca="false">IF($W266="","",SUM(M$4:M266)-SUM(N$4:N266)-SUM(O$4:O266))</f>
        <v/>
      </c>
      <c r="Q266" s="56" t="str">
        <f aca="false">IF($W266="","",N(INDEX(发票统计!Q$4:Q$1003,$W266)))</f>
        <v/>
      </c>
      <c r="R266" s="56" t="str">
        <f aca="false">IF($W266="","",N(INDEX(发票统计!R$4:R$1003,$W266)))</f>
        <v/>
      </c>
      <c r="S266" s="56" t="str">
        <f aca="false">IF($W266="","",N(INDEX(发票统计!S$4:S$1003,$W266)))</f>
        <v/>
      </c>
      <c r="T266" s="56" t="str">
        <f aca="false">IF($W266="","",SUM(Q$4:Q266)-SUM(R$4:R266)-SUM(S$4:S266))</f>
        <v/>
      </c>
      <c r="U266" s="56" t="str">
        <f aca="false">IF($W266="","",INDEX(发票统计!U$4:U$1003,$W266)&amp;"")</f>
        <v/>
      </c>
      <c r="W266" s="1" t="str">
        <f aca="false">IF($V$3="","",IFERROR(MATCH($V$3&amp;"#"&amp;ROWS(W$4:W266),发票统计!$W$4:$W$1003,0),""))</f>
        <v/>
      </c>
    </row>
    <row r="267" customFormat="false" ht="16.5" hidden="false" customHeight="false" outlineLevel="0" collapsed="false">
      <c r="A267" s="3" t="str">
        <f aca="false">IF($W267="","",INDEX(发票统计!A$4:A$1003,$W267)&amp;"")</f>
        <v/>
      </c>
      <c r="B267" s="3" t="str">
        <f aca="false">IF($W267="","",INDEX(发票统计!B$4:B$1003,$W267)&amp;"")</f>
        <v/>
      </c>
      <c r="C267" s="3" t="str">
        <f aca="false">IF($W267="","",INDEX(发票统计!C$4:C$1003,$W267)&amp;"")</f>
        <v/>
      </c>
      <c r="D267" s="3" t="str">
        <f aca="false">IF($W267="","",INDEX(发票统计!D$4:D$1003,$W267)&amp;"")</f>
        <v/>
      </c>
      <c r="E267" s="67" t="str">
        <f aca="false">IF($W267="","",INDEX(发票统计!E$4:E$1003,$W267)&amp;"")</f>
        <v/>
      </c>
      <c r="F267" s="68" t="str">
        <f aca="false">IF($W267="","",INDEX(发票统计!F$4:F$1003,$W267)&amp;"")</f>
        <v/>
      </c>
      <c r="G267" s="68" t="str">
        <f aca="false">IF($W267="","",IF(INDEX(发票统计!G$4:G$1003,$W267)="","",INDEX(发票统计!G$4:G$1003,$W267)))</f>
        <v/>
      </c>
      <c r="H267" s="56" t="str">
        <f aca="false">IF($W267="","",N(INDEX(发票统计!H$4:H$1003,$W267)))</f>
        <v/>
      </c>
      <c r="I267" s="56" t="str">
        <f aca="false">IF($W267="","",N(INDEX(发票统计!I$4:I$1003,$W267)))</f>
        <v/>
      </c>
      <c r="J267" s="56" t="str">
        <f aca="false">IF($W267="","",N(INDEX(发票统计!J$4:J$1003,$W267)))</f>
        <v/>
      </c>
      <c r="K267" s="56" t="str">
        <f aca="false">IF($W267="","",N(INDEX(发票统计!K$4:K$1003,$W267)))</f>
        <v/>
      </c>
      <c r="L267" s="56" t="str">
        <f aca="false">IF($W267="","",SUM(J$4:J267)-SUM(K$4:K267))</f>
        <v/>
      </c>
      <c r="M267" s="56" t="str">
        <f aca="false">IF($W267="","",N(INDEX(发票统计!M$4:M$1003,$W267)))</f>
        <v/>
      </c>
      <c r="N267" s="56" t="str">
        <f aca="false">IF($W267="","",N(INDEX(发票统计!N$4:N$1003,$W267)))</f>
        <v/>
      </c>
      <c r="O267" s="56" t="str">
        <f aca="false">IF($W267="","",N(INDEX(发票统计!O$4:O$1003,$W267)))</f>
        <v/>
      </c>
      <c r="P267" s="56" t="str">
        <f aca="false">IF($W267="","",SUM(M$4:M267)-SUM(N$4:N267)-SUM(O$4:O267))</f>
        <v/>
      </c>
      <c r="Q267" s="56" t="str">
        <f aca="false">IF($W267="","",N(INDEX(发票统计!Q$4:Q$1003,$W267)))</f>
        <v/>
      </c>
      <c r="R267" s="56" t="str">
        <f aca="false">IF($W267="","",N(INDEX(发票统计!R$4:R$1003,$W267)))</f>
        <v/>
      </c>
      <c r="S267" s="56" t="str">
        <f aca="false">IF($W267="","",N(INDEX(发票统计!S$4:S$1003,$W267)))</f>
        <v/>
      </c>
      <c r="T267" s="56" t="str">
        <f aca="false">IF($W267="","",SUM(Q$4:Q267)-SUM(R$4:R267)-SUM(S$4:S267))</f>
        <v/>
      </c>
      <c r="U267" s="56" t="str">
        <f aca="false">IF($W267="","",INDEX(发票统计!U$4:U$1003,$W267)&amp;"")</f>
        <v/>
      </c>
      <c r="W267" s="1" t="str">
        <f aca="false">IF($V$3="","",IFERROR(MATCH($V$3&amp;"#"&amp;ROWS(W$4:W267),发票统计!$W$4:$W$1003,0),""))</f>
        <v/>
      </c>
    </row>
    <row r="268" customFormat="false" ht="16.5" hidden="false" customHeight="false" outlineLevel="0" collapsed="false">
      <c r="A268" s="3" t="str">
        <f aca="false">IF($W268="","",INDEX(发票统计!A$4:A$1003,$W268)&amp;"")</f>
        <v/>
      </c>
      <c r="B268" s="3" t="str">
        <f aca="false">IF($W268="","",INDEX(发票统计!B$4:B$1003,$W268)&amp;"")</f>
        <v/>
      </c>
      <c r="C268" s="3" t="str">
        <f aca="false">IF($W268="","",INDEX(发票统计!C$4:C$1003,$W268)&amp;"")</f>
        <v/>
      </c>
      <c r="D268" s="3" t="str">
        <f aca="false">IF($W268="","",INDEX(发票统计!D$4:D$1003,$W268)&amp;"")</f>
        <v/>
      </c>
      <c r="E268" s="67" t="str">
        <f aca="false">IF($W268="","",INDEX(发票统计!E$4:E$1003,$W268)&amp;"")</f>
        <v/>
      </c>
      <c r="F268" s="68" t="str">
        <f aca="false">IF($W268="","",INDEX(发票统计!F$4:F$1003,$W268)&amp;"")</f>
        <v/>
      </c>
      <c r="G268" s="68" t="str">
        <f aca="false">IF($W268="","",IF(INDEX(发票统计!G$4:G$1003,$W268)="","",INDEX(发票统计!G$4:G$1003,$W268)))</f>
        <v/>
      </c>
      <c r="H268" s="56" t="str">
        <f aca="false">IF($W268="","",N(INDEX(发票统计!H$4:H$1003,$W268)))</f>
        <v/>
      </c>
      <c r="I268" s="56" t="str">
        <f aca="false">IF($W268="","",N(INDEX(发票统计!I$4:I$1003,$W268)))</f>
        <v/>
      </c>
      <c r="J268" s="56" t="str">
        <f aca="false">IF($W268="","",N(INDEX(发票统计!J$4:J$1003,$W268)))</f>
        <v/>
      </c>
      <c r="K268" s="56" t="str">
        <f aca="false">IF($W268="","",N(INDEX(发票统计!K$4:K$1003,$W268)))</f>
        <v/>
      </c>
      <c r="L268" s="56" t="str">
        <f aca="false">IF($W268="","",SUM(J$4:J268)-SUM(K$4:K268))</f>
        <v/>
      </c>
      <c r="M268" s="56" t="str">
        <f aca="false">IF($W268="","",N(INDEX(发票统计!M$4:M$1003,$W268)))</f>
        <v/>
      </c>
      <c r="N268" s="56" t="str">
        <f aca="false">IF($W268="","",N(INDEX(发票统计!N$4:N$1003,$W268)))</f>
        <v/>
      </c>
      <c r="O268" s="56" t="str">
        <f aca="false">IF($W268="","",N(INDEX(发票统计!O$4:O$1003,$W268)))</f>
        <v/>
      </c>
      <c r="P268" s="56" t="str">
        <f aca="false">IF($W268="","",SUM(M$4:M268)-SUM(N$4:N268)-SUM(O$4:O268))</f>
        <v/>
      </c>
      <c r="Q268" s="56" t="str">
        <f aca="false">IF($W268="","",N(INDEX(发票统计!Q$4:Q$1003,$W268)))</f>
        <v/>
      </c>
      <c r="R268" s="56" t="str">
        <f aca="false">IF($W268="","",N(INDEX(发票统计!R$4:R$1003,$W268)))</f>
        <v/>
      </c>
      <c r="S268" s="56" t="str">
        <f aca="false">IF($W268="","",N(INDEX(发票统计!S$4:S$1003,$W268)))</f>
        <v/>
      </c>
      <c r="T268" s="56" t="str">
        <f aca="false">IF($W268="","",SUM(Q$4:Q268)-SUM(R$4:R268)-SUM(S$4:S268))</f>
        <v/>
      </c>
      <c r="U268" s="56" t="str">
        <f aca="false">IF($W268="","",INDEX(发票统计!U$4:U$1003,$W268)&amp;"")</f>
        <v/>
      </c>
      <c r="W268" s="1" t="str">
        <f aca="false">IF($V$3="","",IFERROR(MATCH($V$3&amp;"#"&amp;ROWS(W$4:W268),发票统计!$W$4:$W$1003,0),""))</f>
        <v/>
      </c>
    </row>
    <row r="269" customFormat="false" ht="16.5" hidden="false" customHeight="false" outlineLevel="0" collapsed="false">
      <c r="A269" s="3" t="str">
        <f aca="false">IF($W269="","",INDEX(发票统计!A$4:A$1003,$W269)&amp;"")</f>
        <v/>
      </c>
      <c r="B269" s="3" t="str">
        <f aca="false">IF($W269="","",INDEX(发票统计!B$4:B$1003,$W269)&amp;"")</f>
        <v/>
      </c>
      <c r="C269" s="3" t="str">
        <f aca="false">IF($W269="","",INDEX(发票统计!C$4:C$1003,$W269)&amp;"")</f>
        <v/>
      </c>
      <c r="D269" s="3" t="str">
        <f aca="false">IF($W269="","",INDEX(发票统计!D$4:D$1003,$W269)&amp;"")</f>
        <v/>
      </c>
      <c r="E269" s="67" t="str">
        <f aca="false">IF($W269="","",INDEX(发票统计!E$4:E$1003,$W269)&amp;"")</f>
        <v/>
      </c>
      <c r="F269" s="68" t="str">
        <f aca="false">IF($W269="","",INDEX(发票统计!F$4:F$1003,$W269)&amp;"")</f>
        <v/>
      </c>
      <c r="G269" s="68" t="str">
        <f aca="false">IF($W269="","",IF(INDEX(发票统计!G$4:G$1003,$W269)="","",INDEX(发票统计!G$4:G$1003,$W269)))</f>
        <v/>
      </c>
      <c r="H269" s="56" t="str">
        <f aca="false">IF($W269="","",N(INDEX(发票统计!H$4:H$1003,$W269)))</f>
        <v/>
      </c>
      <c r="I269" s="56" t="str">
        <f aca="false">IF($W269="","",N(INDEX(发票统计!I$4:I$1003,$W269)))</f>
        <v/>
      </c>
      <c r="J269" s="56" t="str">
        <f aca="false">IF($W269="","",N(INDEX(发票统计!J$4:J$1003,$W269)))</f>
        <v/>
      </c>
      <c r="K269" s="56" t="str">
        <f aca="false">IF($W269="","",N(INDEX(发票统计!K$4:K$1003,$W269)))</f>
        <v/>
      </c>
      <c r="L269" s="56" t="str">
        <f aca="false">IF($W269="","",SUM(J$4:J269)-SUM(K$4:K269))</f>
        <v/>
      </c>
      <c r="M269" s="56" t="str">
        <f aca="false">IF($W269="","",N(INDEX(发票统计!M$4:M$1003,$W269)))</f>
        <v/>
      </c>
      <c r="N269" s="56" t="str">
        <f aca="false">IF($W269="","",N(INDEX(发票统计!N$4:N$1003,$W269)))</f>
        <v/>
      </c>
      <c r="O269" s="56" t="str">
        <f aca="false">IF($W269="","",N(INDEX(发票统计!O$4:O$1003,$W269)))</f>
        <v/>
      </c>
      <c r="P269" s="56" t="str">
        <f aca="false">IF($W269="","",SUM(M$4:M269)-SUM(N$4:N269)-SUM(O$4:O269))</f>
        <v/>
      </c>
      <c r="Q269" s="56" t="str">
        <f aca="false">IF($W269="","",N(INDEX(发票统计!Q$4:Q$1003,$W269)))</f>
        <v/>
      </c>
      <c r="R269" s="56" t="str">
        <f aca="false">IF($W269="","",N(INDEX(发票统计!R$4:R$1003,$W269)))</f>
        <v/>
      </c>
      <c r="S269" s="56" t="str">
        <f aca="false">IF($W269="","",N(INDEX(发票统计!S$4:S$1003,$W269)))</f>
        <v/>
      </c>
      <c r="T269" s="56" t="str">
        <f aca="false">IF($W269="","",SUM(Q$4:Q269)-SUM(R$4:R269)-SUM(S$4:S269))</f>
        <v/>
      </c>
      <c r="U269" s="56" t="str">
        <f aca="false">IF($W269="","",INDEX(发票统计!U$4:U$1003,$W269)&amp;"")</f>
        <v/>
      </c>
      <c r="W269" s="1" t="str">
        <f aca="false">IF($V$3="","",IFERROR(MATCH($V$3&amp;"#"&amp;ROWS(W$4:W269),发票统计!$W$4:$W$1003,0),""))</f>
        <v/>
      </c>
    </row>
    <row r="270" customFormat="false" ht="16.5" hidden="false" customHeight="false" outlineLevel="0" collapsed="false">
      <c r="A270" s="3" t="str">
        <f aca="false">IF($W270="","",INDEX(发票统计!A$4:A$1003,$W270)&amp;"")</f>
        <v/>
      </c>
      <c r="B270" s="3" t="str">
        <f aca="false">IF($W270="","",INDEX(发票统计!B$4:B$1003,$W270)&amp;"")</f>
        <v/>
      </c>
      <c r="C270" s="3" t="str">
        <f aca="false">IF($W270="","",INDEX(发票统计!C$4:C$1003,$W270)&amp;"")</f>
        <v/>
      </c>
      <c r="D270" s="3" t="str">
        <f aca="false">IF($W270="","",INDEX(发票统计!D$4:D$1003,$W270)&amp;"")</f>
        <v/>
      </c>
      <c r="E270" s="67" t="str">
        <f aca="false">IF($W270="","",INDEX(发票统计!E$4:E$1003,$W270)&amp;"")</f>
        <v/>
      </c>
      <c r="F270" s="68" t="str">
        <f aca="false">IF($W270="","",INDEX(发票统计!F$4:F$1003,$W270)&amp;"")</f>
        <v/>
      </c>
      <c r="G270" s="68" t="str">
        <f aca="false">IF($W270="","",IF(INDEX(发票统计!G$4:G$1003,$W270)="","",INDEX(发票统计!G$4:G$1003,$W270)))</f>
        <v/>
      </c>
      <c r="H270" s="56" t="str">
        <f aca="false">IF($W270="","",N(INDEX(发票统计!H$4:H$1003,$W270)))</f>
        <v/>
      </c>
      <c r="I270" s="56" t="str">
        <f aca="false">IF($W270="","",N(INDEX(发票统计!I$4:I$1003,$W270)))</f>
        <v/>
      </c>
      <c r="J270" s="56" t="str">
        <f aca="false">IF($W270="","",N(INDEX(发票统计!J$4:J$1003,$W270)))</f>
        <v/>
      </c>
      <c r="K270" s="56" t="str">
        <f aca="false">IF($W270="","",N(INDEX(发票统计!K$4:K$1003,$W270)))</f>
        <v/>
      </c>
      <c r="L270" s="56" t="str">
        <f aca="false">IF($W270="","",SUM(J$4:J270)-SUM(K$4:K270))</f>
        <v/>
      </c>
      <c r="M270" s="56" t="str">
        <f aca="false">IF($W270="","",N(INDEX(发票统计!M$4:M$1003,$W270)))</f>
        <v/>
      </c>
      <c r="N270" s="56" t="str">
        <f aca="false">IF($W270="","",N(INDEX(发票统计!N$4:N$1003,$W270)))</f>
        <v/>
      </c>
      <c r="O270" s="56" t="str">
        <f aca="false">IF($W270="","",N(INDEX(发票统计!O$4:O$1003,$W270)))</f>
        <v/>
      </c>
      <c r="P270" s="56" t="str">
        <f aca="false">IF($W270="","",SUM(M$4:M270)-SUM(N$4:N270)-SUM(O$4:O270))</f>
        <v/>
      </c>
      <c r="Q270" s="56" t="str">
        <f aca="false">IF($W270="","",N(INDEX(发票统计!Q$4:Q$1003,$W270)))</f>
        <v/>
      </c>
      <c r="R270" s="56" t="str">
        <f aca="false">IF($W270="","",N(INDEX(发票统计!R$4:R$1003,$W270)))</f>
        <v/>
      </c>
      <c r="S270" s="56" t="str">
        <f aca="false">IF($W270="","",N(INDEX(发票统计!S$4:S$1003,$W270)))</f>
        <v/>
      </c>
      <c r="T270" s="56" t="str">
        <f aca="false">IF($W270="","",SUM(Q$4:Q270)-SUM(R$4:R270)-SUM(S$4:S270))</f>
        <v/>
      </c>
      <c r="U270" s="56" t="str">
        <f aca="false">IF($W270="","",INDEX(发票统计!U$4:U$1003,$W270)&amp;"")</f>
        <v/>
      </c>
      <c r="W270" s="1" t="str">
        <f aca="false">IF($V$3="","",IFERROR(MATCH($V$3&amp;"#"&amp;ROWS(W$4:W270),发票统计!$W$4:$W$1003,0),""))</f>
        <v/>
      </c>
    </row>
    <row r="271" customFormat="false" ht="16.5" hidden="false" customHeight="false" outlineLevel="0" collapsed="false">
      <c r="A271" s="3" t="str">
        <f aca="false">IF($W271="","",INDEX(发票统计!A$4:A$1003,$W271)&amp;"")</f>
        <v/>
      </c>
      <c r="B271" s="3" t="str">
        <f aca="false">IF($W271="","",INDEX(发票统计!B$4:B$1003,$W271)&amp;"")</f>
        <v/>
      </c>
      <c r="C271" s="3" t="str">
        <f aca="false">IF($W271="","",INDEX(发票统计!C$4:C$1003,$W271)&amp;"")</f>
        <v/>
      </c>
      <c r="D271" s="3" t="str">
        <f aca="false">IF($W271="","",INDEX(发票统计!D$4:D$1003,$W271)&amp;"")</f>
        <v/>
      </c>
      <c r="E271" s="67" t="str">
        <f aca="false">IF($W271="","",INDEX(发票统计!E$4:E$1003,$W271)&amp;"")</f>
        <v/>
      </c>
      <c r="F271" s="68" t="str">
        <f aca="false">IF($W271="","",INDEX(发票统计!F$4:F$1003,$W271)&amp;"")</f>
        <v/>
      </c>
      <c r="G271" s="68" t="str">
        <f aca="false">IF($W271="","",IF(INDEX(发票统计!G$4:G$1003,$W271)="","",INDEX(发票统计!G$4:G$1003,$W271)))</f>
        <v/>
      </c>
      <c r="H271" s="56" t="str">
        <f aca="false">IF($W271="","",N(INDEX(发票统计!H$4:H$1003,$W271)))</f>
        <v/>
      </c>
      <c r="I271" s="56" t="str">
        <f aca="false">IF($W271="","",N(INDEX(发票统计!I$4:I$1003,$W271)))</f>
        <v/>
      </c>
      <c r="J271" s="56" t="str">
        <f aca="false">IF($W271="","",N(INDEX(发票统计!J$4:J$1003,$W271)))</f>
        <v/>
      </c>
      <c r="K271" s="56" t="str">
        <f aca="false">IF($W271="","",N(INDEX(发票统计!K$4:K$1003,$W271)))</f>
        <v/>
      </c>
      <c r="L271" s="56" t="str">
        <f aca="false">IF($W271="","",SUM(J$4:J271)-SUM(K$4:K271))</f>
        <v/>
      </c>
      <c r="M271" s="56" t="str">
        <f aca="false">IF($W271="","",N(INDEX(发票统计!M$4:M$1003,$W271)))</f>
        <v/>
      </c>
      <c r="N271" s="56" t="str">
        <f aca="false">IF($W271="","",N(INDEX(发票统计!N$4:N$1003,$W271)))</f>
        <v/>
      </c>
      <c r="O271" s="56" t="str">
        <f aca="false">IF($W271="","",N(INDEX(发票统计!O$4:O$1003,$W271)))</f>
        <v/>
      </c>
      <c r="P271" s="56" t="str">
        <f aca="false">IF($W271="","",SUM(M$4:M271)-SUM(N$4:N271)-SUM(O$4:O271))</f>
        <v/>
      </c>
      <c r="Q271" s="56" t="str">
        <f aca="false">IF($W271="","",N(INDEX(发票统计!Q$4:Q$1003,$W271)))</f>
        <v/>
      </c>
      <c r="R271" s="56" t="str">
        <f aca="false">IF($W271="","",N(INDEX(发票统计!R$4:R$1003,$W271)))</f>
        <v/>
      </c>
      <c r="S271" s="56" t="str">
        <f aca="false">IF($W271="","",N(INDEX(发票统计!S$4:S$1003,$W271)))</f>
        <v/>
      </c>
      <c r="T271" s="56" t="str">
        <f aca="false">IF($W271="","",SUM(Q$4:Q271)-SUM(R$4:R271)-SUM(S$4:S271))</f>
        <v/>
      </c>
      <c r="U271" s="56" t="str">
        <f aca="false">IF($W271="","",INDEX(发票统计!U$4:U$1003,$W271)&amp;"")</f>
        <v/>
      </c>
      <c r="W271" s="1" t="str">
        <f aca="false">IF($V$3="","",IFERROR(MATCH($V$3&amp;"#"&amp;ROWS(W$4:W271),发票统计!$W$4:$W$1003,0),""))</f>
        <v/>
      </c>
    </row>
    <row r="272" customFormat="false" ht="16.5" hidden="false" customHeight="false" outlineLevel="0" collapsed="false">
      <c r="A272" s="3" t="str">
        <f aca="false">IF($W272="","",INDEX(发票统计!A$4:A$1003,$W272)&amp;"")</f>
        <v/>
      </c>
      <c r="B272" s="3" t="str">
        <f aca="false">IF($W272="","",INDEX(发票统计!B$4:B$1003,$W272)&amp;"")</f>
        <v/>
      </c>
      <c r="C272" s="3" t="str">
        <f aca="false">IF($W272="","",INDEX(发票统计!C$4:C$1003,$W272)&amp;"")</f>
        <v/>
      </c>
      <c r="D272" s="3" t="str">
        <f aca="false">IF($W272="","",INDEX(发票统计!D$4:D$1003,$W272)&amp;"")</f>
        <v/>
      </c>
      <c r="E272" s="67" t="str">
        <f aca="false">IF($W272="","",INDEX(发票统计!E$4:E$1003,$W272)&amp;"")</f>
        <v/>
      </c>
      <c r="F272" s="68" t="str">
        <f aca="false">IF($W272="","",INDEX(发票统计!F$4:F$1003,$W272)&amp;"")</f>
        <v/>
      </c>
      <c r="G272" s="68" t="str">
        <f aca="false">IF($W272="","",IF(INDEX(发票统计!G$4:G$1003,$W272)="","",INDEX(发票统计!G$4:G$1003,$W272)))</f>
        <v/>
      </c>
      <c r="H272" s="56" t="str">
        <f aca="false">IF($W272="","",N(INDEX(发票统计!H$4:H$1003,$W272)))</f>
        <v/>
      </c>
      <c r="I272" s="56" t="str">
        <f aca="false">IF($W272="","",N(INDEX(发票统计!I$4:I$1003,$W272)))</f>
        <v/>
      </c>
      <c r="J272" s="56" t="str">
        <f aca="false">IF($W272="","",N(INDEX(发票统计!J$4:J$1003,$W272)))</f>
        <v/>
      </c>
      <c r="K272" s="56" t="str">
        <f aca="false">IF($W272="","",N(INDEX(发票统计!K$4:K$1003,$W272)))</f>
        <v/>
      </c>
      <c r="L272" s="56" t="str">
        <f aca="false">IF($W272="","",SUM(J$4:J272)-SUM(K$4:K272))</f>
        <v/>
      </c>
      <c r="M272" s="56" t="str">
        <f aca="false">IF($W272="","",N(INDEX(发票统计!M$4:M$1003,$W272)))</f>
        <v/>
      </c>
      <c r="N272" s="56" t="str">
        <f aca="false">IF($W272="","",N(INDEX(发票统计!N$4:N$1003,$W272)))</f>
        <v/>
      </c>
      <c r="O272" s="56" t="str">
        <f aca="false">IF($W272="","",N(INDEX(发票统计!O$4:O$1003,$W272)))</f>
        <v/>
      </c>
      <c r="P272" s="56" t="str">
        <f aca="false">IF($W272="","",SUM(M$4:M272)-SUM(N$4:N272)-SUM(O$4:O272))</f>
        <v/>
      </c>
      <c r="Q272" s="56" t="str">
        <f aca="false">IF($W272="","",N(INDEX(发票统计!Q$4:Q$1003,$W272)))</f>
        <v/>
      </c>
      <c r="R272" s="56" t="str">
        <f aca="false">IF($W272="","",N(INDEX(发票统计!R$4:R$1003,$W272)))</f>
        <v/>
      </c>
      <c r="S272" s="56" t="str">
        <f aca="false">IF($W272="","",N(INDEX(发票统计!S$4:S$1003,$W272)))</f>
        <v/>
      </c>
      <c r="T272" s="56" t="str">
        <f aca="false">IF($W272="","",SUM(Q$4:Q272)-SUM(R$4:R272)-SUM(S$4:S272))</f>
        <v/>
      </c>
      <c r="U272" s="56" t="str">
        <f aca="false">IF($W272="","",INDEX(发票统计!U$4:U$1003,$W272)&amp;"")</f>
        <v/>
      </c>
      <c r="W272" s="1" t="str">
        <f aca="false">IF($V$3="","",IFERROR(MATCH($V$3&amp;"#"&amp;ROWS(W$4:W272),发票统计!$W$4:$W$1003,0),""))</f>
        <v/>
      </c>
    </row>
    <row r="273" customFormat="false" ht="16.5" hidden="false" customHeight="false" outlineLevel="0" collapsed="false">
      <c r="A273" s="3" t="str">
        <f aca="false">IF($W273="","",INDEX(发票统计!A$4:A$1003,$W273)&amp;"")</f>
        <v/>
      </c>
      <c r="B273" s="3" t="str">
        <f aca="false">IF($W273="","",INDEX(发票统计!B$4:B$1003,$W273)&amp;"")</f>
        <v/>
      </c>
      <c r="C273" s="3" t="str">
        <f aca="false">IF($W273="","",INDEX(发票统计!C$4:C$1003,$W273)&amp;"")</f>
        <v/>
      </c>
      <c r="D273" s="3" t="str">
        <f aca="false">IF($W273="","",INDEX(发票统计!D$4:D$1003,$W273)&amp;"")</f>
        <v/>
      </c>
      <c r="E273" s="67" t="str">
        <f aca="false">IF($W273="","",INDEX(发票统计!E$4:E$1003,$W273)&amp;"")</f>
        <v/>
      </c>
      <c r="F273" s="68" t="str">
        <f aca="false">IF($W273="","",INDEX(发票统计!F$4:F$1003,$W273)&amp;"")</f>
        <v/>
      </c>
      <c r="G273" s="68" t="str">
        <f aca="false">IF($W273="","",IF(INDEX(发票统计!G$4:G$1003,$W273)="","",INDEX(发票统计!G$4:G$1003,$W273)))</f>
        <v/>
      </c>
      <c r="H273" s="56" t="str">
        <f aca="false">IF($W273="","",N(INDEX(发票统计!H$4:H$1003,$W273)))</f>
        <v/>
      </c>
      <c r="I273" s="56" t="str">
        <f aca="false">IF($W273="","",N(INDEX(发票统计!I$4:I$1003,$W273)))</f>
        <v/>
      </c>
      <c r="J273" s="56" t="str">
        <f aca="false">IF($W273="","",N(INDEX(发票统计!J$4:J$1003,$W273)))</f>
        <v/>
      </c>
      <c r="K273" s="56" t="str">
        <f aca="false">IF($W273="","",N(INDEX(发票统计!K$4:K$1003,$W273)))</f>
        <v/>
      </c>
      <c r="L273" s="56" t="str">
        <f aca="false">IF($W273="","",SUM(J$4:J273)-SUM(K$4:K273))</f>
        <v/>
      </c>
      <c r="M273" s="56" t="str">
        <f aca="false">IF($W273="","",N(INDEX(发票统计!M$4:M$1003,$W273)))</f>
        <v/>
      </c>
      <c r="N273" s="56" t="str">
        <f aca="false">IF($W273="","",N(INDEX(发票统计!N$4:N$1003,$W273)))</f>
        <v/>
      </c>
      <c r="O273" s="56" t="str">
        <f aca="false">IF($W273="","",N(INDEX(发票统计!O$4:O$1003,$W273)))</f>
        <v/>
      </c>
      <c r="P273" s="56" t="str">
        <f aca="false">IF($W273="","",SUM(M$4:M273)-SUM(N$4:N273)-SUM(O$4:O273))</f>
        <v/>
      </c>
      <c r="Q273" s="56" t="str">
        <f aca="false">IF($W273="","",N(INDEX(发票统计!Q$4:Q$1003,$W273)))</f>
        <v/>
      </c>
      <c r="R273" s="56" t="str">
        <f aca="false">IF($W273="","",N(INDEX(发票统计!R$4:R$1003,$W273)))</f>
        <v/>
      </c>
      <c r="S273" s="56" t="str">
        <f aca="false">IF($W273="","",N(INDEX(发票统计!S$4:S$1003,$W273)))</f>
        <v/>
      </c>
      <c r="T273" s="56" t="str">
        <f aca="false">IF($W273="","",SUM(Q$4:Q273)-SUM(R$4:R273)-SUM(S$4:S273))</f>
        <v/>
      </c>
      <c r="U273" s="56" t="str">
        <f aca="false">IF($W273="","",INDEX(发票统计!U$4:U$1003,$W273)&amp;"")</f>
        <v/>
      </c>
      <c r="W273" s="1" t="str">
        <f aca="false">IF($V$3="","",IFERROR(MATCH($V$3&amp;"#"&amp;ROWS(W$4:W273),发票统计!$W$4:$W$1003,0),""))</f>
        <v/>
      </c>
    </row>
    <row r="274" customFormat="false" ht="16.5" hidden="false" customHeight="false" outlineLevel="0" collapsed="false">
      <c r="A274" s="3" t="str">
        <f aca="false">IF($W274="","",INDEX(发票统计!A$4:A$1003,$W274)&amp;"")</f>
        <v/>
      </c>
      <c r="B274" s="3" t="str">
        <f aca="false">IF($W274="","",INDEX(发票统计!B$4:B$1003,$W274)&amp;"")</f>
        <v/>
      </c>
      <c r="C274" s="3" t="str">
        <f aca="false">IF($W274="","",INDEX(发票统计!C$4:C$1003,$W274)&amp;"")</f>
        <v/>
      </c>
      <c r="D274" s="3" t="str">
        <f aca="false">IF($W274="","",INDEX(发票统计!D$4:D$1003,$W274)&amp;"")</f>
        <v/>
      </c>
      <c r="E274" s="67" t="str">
        <f aca="false">IF($W274="","",INDEX(发票统计!E$4:E$1003,$W274)&amp;"")</f>
        <v/>
      </c>
      <c r="F274" s="68" t="str">
        <f aca="false">IF($W274="","",INDEX(发票统计!F$4:F$1003,$W274)&amp;"")</f>
        <v/>
      </c>
      <c r="G274" s="68" t="str">
        <f aca="false">IF($W274="","",IF(INDEX(发票统计!G$4:G$1003,$W274)="","",INDEX(发票统计!G$4:G$1003,$W274)))</f>
        <v/>
      </c>
      <c r="H274" s="56" t="str">
        <f aca="false">IF($W274="","",N(INDEX(发票统计!H$4:H$1003,$W274)))</f>
        <v/>
      </c>
      <c r="I274" s="56" t="str">
        <f aca="false">IF($W274="","",N(INDEX(发票统计!I$4:I$1003,$W274)))</f>
        <v/>
      </c>
      <c r="J274" s="56" t="str">
        <f aca="false">IF($W274="","",N(INDEX(发票统计!J$4:J$1003,$W274)))</f>
        <v/>
      </c>
      <c r="K274" s="56" t="str">
        <f aca="false">IF($W274="","",N(INDEX(发票统计!K$4:K$1003,$W274)))</f>
        <v/>
      </c>
      <c r="L274" s="56" t="str">
        <f aca="false">IF($W274="","",SUM(J$4:J274)-SUM(K$4:K274))</f>
        <v/>
      </c>
      <c r="M274" s="56" t="str">
        <f aca="false">IF($W274="","",N(INDEX(发票统计!M$4:M$1003,$W274)))</f>
        <v/>
      </c>
      <c r="N274" s="56" t="str">
        <f aca="false">IF($W274="","",N(INDEX(发票统计!N$4:N$1003,$W274)))</f>
        <v/>
      </c>
      <c r="O274" s="56" t="str">
        <f aca="false">IF($W274="","",N(INDEX(发票统计!O$4:O$1003,$W274)))</f>
        <v/>
      </c>
      <c r="P274" s="56" t="str">
        <f aca="false">IF($W274="","",SUM(M$4:M274)-SUM(N$4:N274)-SUM(O$4:O274))</f>
        <v/>
      </c>
      <c r="Q274" s="56" t="str">
        <f aca="false">IF($W274="","",N(INDEX(发票统计!Q$4:Q$1003,$W274)))</f>
        <v/>
      </c>
      <c r="R274" s="56" t="str">
        <f aca="false">IF($W274="","",N(INDEX(发票统计!R$4:R$1003,$W274)))</f>
        <v/>
      </c>
      <c r="S274" s="56" t="str">
        <f aca="false">IF($W274="","",N(INDEX(发票统计!S$4:S$1003,$W274)))</f>
        <v/>
      </c>
      <c r="T274" s="56" t="str">
        <f aca="false">IF($W274="","",SUM(Q$4:Q274)-SUM(R$4:R274)-SUM(S$4:S274))</f>
        <v/>
      </c>
      <c r="U274" s="56" t="str">
        <f aca="false">IF($W274="","",INDEX(发票统计!U$4:U$1003,$W274)&amp;"")</f>
        <v/>
      </c>
      <c r="W274" s="1" t="str">
        <f aca="false">IF($V$3="","",IFERROR(MATCH($V$3&amp;"#"&amp;ROWS(W$4:W274),发票统计!$W$4:$W$1003,0),""))</f>
        <v/>
      </c>
    </row>
    <row r="275" customFormat="false" ht="16.5" hidden="false" customHeight="false" outlineLevel="0" collapsed="false">
      <c r="A275" s="3" t="str">
        <f aca="false">IF($W275="","",INDEX(发票统计!A$4:A$1003,$W275)&amp;"")</f>
        <v/>
      </c>
      <c r="B275" s="3" t="str">
        <f aca="false">IF($W275="","",INDEX(发票统计!B$4:B$1003,$W275)&amp;"")</f>
        <v/>
      </c>
      <c r="C275" s="3" t="str">
        <f aca="false">IF($W275="","",INDEX(发票统计!C$4:C$1003,$W275)&amp;"")</f>
        <v/>
      </c>
      <c r="D275" s="3" t="str">
        <f aca="false">IF($W275="","",INDEX(发票统计!D$4:D$1003,$W275)&amp;"")</f>
        <v/>
      </c>
      <c r="E275" s="67" t="str">
        <f aca="false">IF($W275="","",INDEX(发票统计!E$4:E$1003,$W275)&amp;"")</f>
        <v/>
      </c>
      <c r="F275" s="68" t="str">
        <f aca="false">IF($W275="","",INDEX(发票统计!F$4:F$1003,$W275)&amp;"")</f>
        <v/>
      </c>
      <c r="G275" s="68" t="str">
        <f aca="false">IF($W275="","",IF(INDEX(发票统计!G$4:G$1003,$W275)="","",INDEX(发票统计!G$4:G$1003,$W275)))</f>
        <v/>
      </c>
      <c r="H275" s="56" t="str">
        <f aca="false">IF($W275="","",N(INDEX(发票统计!H$4:H$1003,$W275)))</f>
        <v/>
      </c>
      <c r="I275" s="56" t="str">
        <f aca="false">IF($W275="","",N(INDEX(发票统计!I$4:I$1003,$W275)))</f>
        <v/>
      </c>
      <c r="J275" s="56" t="str">
        <f aca="false">IF($W275="","",N(INDEX(发票统计!J$4:J$1003,$W275)))</f>
        <v/>
      </c>
      <c r="K275" s="56" t="str">
        <f aca="false">IF($W275="","",N(INDEX(发票统计!K$4:K$1003,$W275)))</f>
        <v/>
      </c>
      <c r="L275" s="56" t="str">
        <f aca="false">IF($W275="","",SUM(J$4:J275)-SUM(K$4:K275))</f>
        <v/>
      </c>
      <c r="M275" s="56" t="str">
        <f aca="false">IF($W275="","",N(INDEX(发票统计!M$4:M$1003,$W275)))</f>
        <v/>
      </c>
      <c r="N275" s="56" t="str">
        <f aca="false">IF($W275="","",N(INDEX(发票统计!N$4:N$1003,$W275)))</f>
        <v/>
      </c>
      <c r="O275" s="56" t="str">
        <f aca="false">IF($W275="","",N(INDEX(发票统计!O$4:O$1003,$W275)))</f>
        <v/>
      </c>
      <c r="P275" s="56" t="str">
        <f aca="false">IF($W275="","",SUM(M$4:M275)-SUM(N$4:N275)-SUM(O$4:O275))</f>
        <v/>
      </c>
      <c r="Q275" s="56" t="str">
        <f aca="false">IF($W275="","",N(INDEX(发票统计!Q$4:Q$1003,$W275)))</f>
        <v/>
      </c>
      <c r="R275" s="56" t="str">
        <f aca="false">IF($W275="","",N(INDEX(发票统计!R$4:R$1003,$W275)))</f>
        <v/>
      </c>
      <c r="S275" s="56" t="str">
        <f aca="false">IF($W275="","",N(INDEX(发票统计!S$4:S$1003,$W275)))</f>
        <v/>
      </c>
      <c r="T275" s="56" t="str">
        <f aca="false">IF($W275="","",SUM(Q$4:Q275)-SUM(R$4:R275)-SUM(S$4:S275))</f>
        <v/>
      </c>
      <c r="U275" s="56" t="str">
        <f aca="false">IF($W275="","",INDEX(发票统计!U$4:U$1003,$W275)&amp;"")</f>
        <v/>
      </c>
      <c r="W275" s="1" t="str">
        <f aca="false">IF($V$3="","",IFERROR(MATCH($V$3&amp;"#"&amp;ROWS(W$4:W275),发票统计!$W$4:$W$1003,0),""))</f>
        <v/>
      </c>
    </row>
    <row r="276" customFormat="false" ht="16.5" hidden="false" customHeight="false" outlineLevel="0" collapsed="false">
      <c r="A276" s="3" t="str">
        <f aca="false">IF($W276="","",INDEX(发票统计!A$4:A$1003,$W276)&amp;"")</f>
        <v/>
      </c>
      <c r="B276" s="3" t="str">
        <f aca="false">IF($W276="","",INDEX(发票统计!B$4:B$1003,$W276)&amp;"")</f>
        <v/>
      </c>
      <c r="C276" s="3" t="str">
        <f aca="false">IF($W276="","",INDEX(发票统计!C$4:C$1003,$W276)&amp;"")</f>
        <v/>
      </c>
      <c r="D276" s="3" t="str">
        <f aca="false">IF($W276="","",INDEX(发票统计!D$4:D$1003,$W276)&amp;"")</f>
        <v/>
      </c>
      <c r="E276" s="67" t="str">
        <f aca="false">IF($W276="","",INDEX(发票统计!E$4:E$1003,$W276)&amp;"")</f>
        <v/>
      </c>
      <c r="F276" s="68" t="str">
        <f aca="false">IF($W276="","",INDEX(发票统计!F$4:F$1003,$W276)&amp;"")</f>
        <v/>
      </c>
      <c r="G276" s="68" t="str">
        <f aca="false">IF($W276="","",IF(INDEX(发票统计!G$4:G$1003,$W276)="","",INDEX(发票统计!G$4:G$1003,$W276)))</f>
        <v/>
      </c>
      <c r="H276" s="56" t="str">
        <f aca="false">IF($W276="","",N(INDEX(发票统计!H$4:H$1003,$W276)))</f>
        <v/>
      </c>
      <c r="I276" s="56" t="str">
        <f aca="false">IF($W276="","",N(INDEX(发票统计!I$4:I$1003,$W276)))</f>
        <v/>
      </c>
      <c r="J276" s="56" t="str">
        <f aca="false">IF($W276="","",N(INDEX(发票统计!J$4:J$1003,$W276)))</f>
        <v/>
      </c>
      <c r="K276" s="56" t="str">
        <f aca="false">IF($W276="","",N(INDEX(发票统计!K$4:K$1003,$W276)))</f>
        <v/>
      </c>
      <c r="L276" s="56" t="str">
        <f aca="false">IF($W276="","",SUM(J$4:J276)-SUM(K$4:K276))</f>
        <v/>
      </c>
      <c r="M276" s="56" t="str">
        <f aca="false">IF($W276="","",N(INDEX(发票统计!M$4:M$1003,$W276)))</f>
        <v/>
      </c>
      <c r="N276" s="56" t="str">
        <f aca="false">IF($W276="","",N(INDEX(发票统计!N$4:N$1003,$W276)))</f>
        <v/>
      </c>
      <c r="O276" s="56" t="str">
        <f aca="false">IF($W276="","",N(INDEX(发票统计!O$4:O$1003,$W276)))</f>
        <v/>
      </c>
      <c r="P276" s="56" t="str">
        <f aca="false">IF($W276="","",SUM(M$4:M276)-SUM(N$4:N276)-SUM(O$4:O276))</f>
        <v/>
      </c>
      <c r="Q276" s="56" t="str">
        <f aca="false">IF($W276="","",N(INDEX(发票统计!Q$4:Q$1003,$W276)))</f>
        <v/>
      </c>
      <c r="R276" s="56" t="str">
        <f aca="false">IF($W276="","",N(INDEX(发票统计!R$4:R$1003,$W276)))</f>
        <v/>
      </c>
      <c r="S276" s="56" t="str">
        <f aca="false">IF($W276="","",N(INDEX(发票统计!S$4:S$1003,$W276)))</f>
        <v/>
      </c>
      <c r="T276" s="56" t="str">
        <f aca="false">IF($W276="","",SUM(Q$4:Q276)-SUM(R$4:R276)-SUM(S$4:S276))</f>
        <v/>
      </c>
      <c r="U276" s="56" t="str">
        <f aca="false">IF($W276="","",INDEX(发票统计!U$4:U$1003,$W276)&amp;"")</f>
        <v/>
      </c>
      <c r="W276" s="1" t="str">
        <f aca="false">IF($V$3="","",IFERROR(MATCH($V$3&amp;"#"&amp;ROWS(W$4:W276),发票统计!$W$4:$W$1003,0),""))</f>
        <v/>
      </c>
    </row>
    <row r="277" customFormat="false" ht="16.5" hidden="false" customHeight="false" outlineLevel="0" collapsed="false">
      <c r="A277" s="3" t="str">
        <f aca="false">IF($W277="","",INDEX(发票统计!A$4:A$1003,$W277)&amp;"")</f>
        <v/>
      </c>
      <c r="B277" s="3" t="str">
        <f aca="false">IF($W277="","",INDEX(发票统计!B$4:B$1003,$W277)&amp;"")</f>
        <v/>
      </c>
      <c r="C277" s="3" t="str">
        <f aca="false">IF($W277="","",INDEX(发票统计!C$4:C$1003,$W277)&amp;"")</f>
        <v/>
      </c>
      <c r="D277" s="3" t="str">
        <f aca="false">IF($W277="","",INDEX(发票统计!D$4:D$1003,$W277)&amp;"")</f>
        <v/>
      </c>
      <c r="E277" s="67" t="str">
        <f aca="false">IF($W277="","",INDEX(发票统计!E$4:E$1003,$W277)&amp;"")</f>
        <v/>
      </c>
      <c r="F277" s="68" t="str">
        <f aca="false">IF($W277="","",INDEX(发票统计!F$4:F$1003,$W277)&amp;"")</f>
        <v/>
      </c>
      <c r="G277" s="68" t="str">
        <f aca="false">IF($W277="","",IF(INDEX(发票统计!G$4:G$1003,$W277)="","",INDEX(发票统计!G$4:G$1003,$W277)))</f>
        <v/>
      </c>
      <c r="H277" s="56" t="str">
        <f aca="false">IF($W277="","",N(INDEX(发票统计!H$4:H$1003,$W277)))</f>
        <v/>
      </c>
      <c r="I277" s="56" t="str">
        <f aca="false">IF($W277="","",N(INDEX(发票统计!I$4:I$1003,$W277)))</f>
        <v/>
      </c>
      <c r="J277" s="56" t="str">
        <f aca="false">IF($W277="","",N(INDEX(发票统计!J$4:J$1003,$W277)))</f>
        <v/>
      </c>
      <c r="K277" s="56" t="str">
        <f aca="false">IF($W277="","",N(INDEX(发票统计!K$4:K$1003,$W277)))</f>
        <v/>
      </c>
      <c r="L277" s="56" t="str">
        <f aca="false">IF($W277="","",SUM(J$4:J277)-SUM(K$4:K277))</f>
        <v/>
      </c>
      <c r="M277" s="56" t="str">
        <f aca="false">IF($W277="","",N(INDEX(发票统计!M$4:M$1003,$W277)))</f>
        <v/>
      </c>
      <c r="N277" s="56" t="str">
        <f aca="false">IF($W277="","",N(INDEX(发票统计!N$4:N$1003,$W277)))</f>
        <v/>
      </c>
      <c r="O277" s="56" t="str">
        <f aca="false">IF($W277="","",N(INDEX(发票统计!O$4:O$1003,$W277)))</f>
        <v/>
      </c>
      <c r="P277" s="56" t="str">
        <f aca="false">IF($W277="","",SUM(M$4:M277)-SUM(N$4:N277)-SUM(O$4:O277))</f>
        <v/>
      </c>
      <c r="Q277" s="56" t="str">
        <f aca="false">IF($W277="","",N(INDEX(发票统计!Q$4:Q$1003,$W277)))</f>
        <v/>
      </c>
      <c r="R277" s="56" t="str">
        <f aca="false">IF($W277="","",N(INDEX(发票统计!R$4:R$1003,$W277)))</f>
        <v/>
      </c>
      <c r="S277" s="56" t="str">
        <f aca="false">IF($W277="","",N(INDEX(发票统计!S$4:S$1003,$W277)))</f>
        <v/>
      </c>
      <c r="T277" s="56" t="str">
        <f aca="false">IF($W277="","",SUM(Q$4:Q277)-SUM(R$4:R277)-SUM(S$4:S277))</f>
        <v/>
      </c>
      <c r="U277" s="56" t="str">
        <f aca="false">IF($W277="","",INDEX(发票统计!U$4:U$1003,$W277)&amp;"")</f>
        <v/>
      </c>
      <c r="W277" s="1" t="str">
        <f aca="false">IF($V$3="","",IFERROR(MATCH($V$3&amp;"#"&amp;ROWS(W$4:W277),发票统计!$W$4:$W$1003,0),""))</f>
        <v/>
      </c>
    </row>
    <row r="278" customFormat="false" ht="16.5" hidden="false" customHeight="false" outlineLevel="0" collapsed="false">
      <c r="A278" s="3" t="str">
        <f aca="false">IF($W278="","",INDEX(发票统计!A$4:A$1003,$W278)&amp;"")</f>
        <v/>
      </c>
      <c r="B278" s="3" t="str">
        <f aca="false">IF($W278="","",INDEX(发票统计!B$4:B$1003,$W278)&amp;"")</f>
        <v/>
      </c>
      <c r="C278" s="3" t="str">
        <f aca="false">IF($W278="","",INDEX(发票统计!C$4:C$1003,$W278)&amp;"")</f>
        <v/>
      </c>
      <c r="D278" s="3" t="str">
        <f aca="false">IF($W278="","",INDEX(发票统计!D$4:D$1003,$W278)&amp;"")</f>
        <v/>
      </c>
      <c r="E278" s="67" t="str">
        <f aca="false">IF($W278="","",INDEX(发票统计!E$4:E$1003,$W278)&amp;"")</f>
        <v/>
      </c>
      <c r="F278" s="68" t="str">
        <f aca="false">IF($W278="","",INDEX(发票统计!F$4:F$1003,$W278)&amp;"")</f>
        <v/>
      </c>
      <c r="G278" s="68" t="str">
        <f aca="false">IF($W278="","",IF(INDEX(发票统计!G$4:G$1003,$W278)="","",INDEX(发票统计!G$4:G$1003,$W278)))</f>
        <v/>
      </c>
      <c r="H278" s="56" t="str">
        <f aca="false">IF($W278="","",N(INDEX(发票统计!H$4:H$1003,$W278)))</f>
        <v/>
      </c>
      <c r="I278" s="56" t="str">
        <f aca="false">IF($W278="","",N(INDEX(发票统计!I$4:I$1003,$W278)))</f>
        <v/>
      </c>
      <c r="J278" s="56" t="str">
        <f aca="false">IF($W278="","",N(INDEX(发票统计!J$4:J$1003,$W278)))</f>
        <v/>
      </c>
      <c r="K278" s="56" t="str">
        <f aca="false">IF($W278="","",N(INDEX(发票统计!K$4:K$1003,$W278)))</f>
        <v/>
      </c>
      <c r="L278" s="56" t="str">
        <f aca="false">IF($W278="","",SUM(J$4:J278)-SUM(K$4:K278))</f>
        <v/>
      </c>
      <c r="M278" s="56" t="str">
        <f aca="false">IF($W278="","",N(INDEX(发票统计!M$4:M$1003,$W278)))</f>
        <v/>
      </c>
      <c r="N278" s="56" t="str">
        <f aca="false">IF($W278="","",N(INDEX(发票统计!N$4:N$1003,$W278)))</f>
        <v/>
      </c>
      <c r="O278" s="56" t="str">
        <f aca="false">IF($W278="","",N(INDEX(发票统计!O$4:O$1003,$W278)))</f>
        <v/>
      </c>
      <c r="P278" s="56" t="str">
        <f aca="false">IF($W278="","",SUM(M$4:M278)-SUM(N$4:N278)-SUM(O$4:O278))</f>
        <v/>
      </c>
      <c r="Q278" s="56" t="str">
        <f aca="false">IF($W278="","",N(INDEX(发票统计!Q$4:Q$1003,$W278)))</f>
        <v/>
      </c>
      <c r="R278" s="56" t="str">
        <f aca="false">IF($W278="","",N(INDEX(发票统计!R$4:R$1003,$W278)))</f>
        <v/>
      </c>
      <c r="S278" s="56" t="str">
        <f aca="false">IF($W278="","",N(INDEX(发票统计!S$4:S$1003,$W278)))</f>
        <v/>
      </c>
      <c r="T278" s="56" t="str">
        <f aca="false">IF($W278="","",SUM(Q$4:Q278)-SUM(R$4:R278)-SUM(S$4:S278))</f>
        <v/>
      </c>
      <c r="U278" s="56" t="str">
        <f aca="false">IF($W278="","",INDEX(发票统计!U$4:U$1003,$W278)&amp;"")</f>
        <v/>
      </c>
      <c r="W278" s="1" t="str">
        <f aca="false">IF($V$3="","",IFERROR(MATCH($V$3&amp;"#"&amp;ROWS(W$4:W278),发票统计!$W$4:$W$1003,0),""))</f>
        <v/>
      </c>
    </row>
    <row r="279" customFormat="false" ht="16.5" hidden="false" customHeight="false" outlineLevel="0" collapsed="false">
      <c r="A279" s="3" t="str">
        <f aca="false">IF($W279="","",INDEX(发票统计!A$4:A$1003,$W279)&amp;"")</f>
        <v/>
      </c>
      <c r="B279" s="3" t="str">
        <f aca="false">IF($W279="","",INDEX(发票统计!B$4:B$1003,$W279)&amp;"")</f>
        <v/>
      </c>
      <c r="C279" s="3" t="str">
        <f aca="false">IF($W279="","",INDEX(发票统计!C$4:C$1003,$W279)&amp;"")</f>
        <v/>
      </c>
      <c r="D279" s="3" t="str">
        <f aca="false">IF($W279="","",INDEX(发票统计!D$4:D$1003,$W279)&amp;"")</f>
        <v/>
      </c>
      <c r="E279" s="67" t="str">
        <f aca="false">IF($W279="","",INDEX(发票统计!E$4:E$1003,$W279)&amp;"")</f>
        <v/>
      </c>
      <c r="F279" s="68" t="str">
        <f aca="false">IF($W279="","",INDEX(发票统计!F$4:F$1003,$W279)&amp;"")</f>
        <v/>
      </c>
      <c r="G279" s="68" t="str">
        <f aca="false">IF($W279="","",IF(INDEX(发票统计!G$4:G$1003,$W279)="","",INDEX(发票统计!G$4:G$1003,$W279)))</f>
        <v/>
      </c>
      <c r="H279" s="56" t="str">
        <f aca="false">IF($W279="","",N(INDEX(发票统计!H$4:H$1003,$W279)))</f>
        <v/>
      </c>
      <c r="I279" s="56" t="str">
        <f aca="false">IF($W279="","",N(INDEX(发票统计!I$4:I$1003,$W279)))</f>
        <v/>
      </c>
      <c r="J279" s="56" t="str">
        <f aca="false">IF($W279="","",N(INDEX(发票统计!J$4:J$1003,$W279)))</f>
        <v/>
      </c>
      <c r="K279" s="56" t="str">
        <f aca="false">IF($W279="","",N(INDEX(发票统计!K$4:K$1003,$W279)))</f>
        <v/>
      </c>
      <c r="L279" s="56" t="str">
        <f aca="false">IF($W279="","",SUM(J$4:J279)-SUM(K$4:K279))</f>
        <v/>
      </c>
      <c r="M279" s="56" t="str">
        <f aca="false">IF($W279="","",N(INDEX(发票统计!M$4:M$1003,$W279)))</f>
        <v/>
      </c>
      <c r="N279" s="56" t="str">
        <f aca="false">IF($W279="","",N(INDEX(发票统计!N$4:N$1003,$W279)))</f>
        <v/>
      </c>
      <c r="O279" s="56" t="str">
        <f aca="false">IF($W279="","",N(INDEX(发票统计!O$4:O$1003,$W279)))</f>
        <v/>
      </c>
      <c r="P279" s="56" t="str">
        <f aca="false">IF($W279="","",SUM(M$4:M279)-SUM(N$4:N279)-SUM(O$4:O279))</f>
        <v/>
      </c>
      <c r="Q279" s="56" t="str">
        <f aca="false">IF($W279="","",N(INDEX(发票统计!Q$4:Q$1003,$W279)))</f>
        <v/>
      </c>
      <c r="R279" s="56" t="str">
        <f aca="false">IF($W279="","",N(INDEX(发票统计!R$4:R$1003,$W279)))</f>
        <v/>
      </c>
      <c r="S279" s="56" t="str">
        <f aca="false">IF($W279="","",N(INDEX(发票统计!S$4:S$1003,$W279)))</f>
        <v/>
      </c>
      <c r="T279" s="56" t="str">
        <f aca="false">IF($W279="","",SUM(Q$4:Q279)-SUM(R$4:R279)-SUM(S$4:S279))</f>
        <v/>
      </c>
      <c r="U279" s="56" t="str">
        <f aca="false">IF($W279="","",INDEX(发票统计!U$4:U$1003,$W279)&amp;"")</f>
        <v/>
      </c>
      <c r="W279" s="1" t="str">
        <f aca="false">IF($V$3="","",IFERROR(MATCH($V$3&amp;"#"&amp;ROWS(W$4:W279),发票统计!$W$4:$W$1003,0),""))</f>
        <v/>
      </c>
    </row>
    <row r="280" customFormat="false" ht="16.5" hidden="false" customHeight="false" outlineLevel="0" collapsed="false">
      <c r="A280" s="3" t="str">
        <f aca="false">IF($W280="","",INDEX(发票统计!A$4:A$1003,$W280)&amp;"")</f>
        <v/>
      </c>
      <c r="B280" s="3" t="str">
        <f aca="false">IF($W280="","",INDEX(发票统计!B$4:B$1003,$W280)&amp;"")</f>
        <v/>
      </c>
      <c r="C280" s="3" t="str">
        <f aca="false">IF($W280="","",INDEX(发票统计!C$4:C$1003,$W280)&amp;"")</f>
        <v/>
      </c>
      <c r="D280" s="3" t="str">
        <f aca="false">IF($W280="","",INDEX(发票统计!D$4:D$1003,$W280)&amp;"")</f>
        <v/>
      </c>
      <c r="E280" s="67" t="str">
        <f aca="false">IF($W280="","",INDEX(发票统计!E$4:E$1003,$W280)&amp;"")</f>
        <v/>
      </c>
      <c r="F280" s="68" t="str">
        <f aca="false">IF($W280="","",INDEX(发票统计!F$4:F$1003,$W280)&amp;"")</f>
        <v/>
      </c>
      <c r="G280" s="68" t="str">
        <f aca="false">IF($W280="","",IF(INDEX(发票统计!G$4:G$1003,$W280)="","",INDEX(发票统计!G$4:G$1003,$W280)))</f>
        <v/>
      </c>
      <c r="H280" s="56" t="str">
        <f aca="false">IF($W280="","",N(INDEX(发票统计!H$4:H$1003,$W280)))</f>
        <v/>
      </c>
      <c r="I280" s="56" t="str">
        <f aca="false">IF($W280="","",N(INDEX(发票统计!I$4:I$1003,$W280)))</f>
        <v/>
      </c>
      <c r="J280" s="56" t="str">
        <f aca="false">IF($W280="","",N(INDEX(发票统计!J$4:J$1003,$W280)))</f>
        <v/>
      </c>
      <c r="K280" s="56" t="str">
        <f aca="false">IF($W280="","",N(INDEX(发票统计!K$4:K$1003,$W280)))</f>
        <v/>
      </c>
      <c r="L280" s="56" t="str">
        <f aca="false">IF($W280="","",SUM(J$4:J280)-SUM(K$4:K280))</f>
        <v/>
      </c>
      <c r="M280" s="56" t="str">
        <f aca="false">IF($W280="","",N(INDEX(发票统计!M$4:M$1003,$W280)))</f>
        <v/>
      </c>
      <c r="N280" s="56" t="str">
        <f aca="false">IF($W280="","",N(INDEX(发票统计!N$4:N$1003,$W280)))</f>
        <v/>
      </c>
      <c r="O280" s="56" t="str">
        <f aca="false">IF($W280="","",N(INDEX(发票统计!O$4:O$1003,$W280)))</f>
        <v/>
      </c>
      <c r="P280" s="56" t="str">
        <f aca="false">IF($W280="","",SUM(M$4:M280)-SUM(N$4:N280)-SUM(O$4:O280))</f>
        <v/>
      </c>
      <c r="Q280" s="56" t="str">
        <f aca="false">IF($W280="","",N(INDEX(发票统计!Q$4:Q$1003,$W280)))</f>
        <v/>
      </c>
      <c r="R280" s="56" t="str">
        <f aca="false">IF($W280="","",N(INDEX(发票统计!R$4:R$1003,$W280)))</f>
        <v/>
      </c>
      <c r="S280" s="56" t="str">
        <f aca="false">IF($W280="","",N(INDEX(发票统计!S$4:S$1003,$W280)))</f>
        <v/>
      </c>
      <c r="T280" s="56" t="str">
        <f aca="false">IF($W280="","",SUM(Q$4:Q280)-SUM(R$4:R280)-SUM(S$4:S280))</f>
        <v/>
      </c>
      <c r="U280" s="56" t="str">
        <f aca="false">IF($W280="","",INDEX(发票统计!U$4:U$1003,$W280)&amp;"")</f>
        <v/>
      </c>
      <c r="W280" s="1" t="str">
        <f aca="false">IF($V$3="","",IFERROR(MATCH($V$3&amp;"#"&amp;ROWS(W$4:W280),发票统计!$W$4:$W$1003,0),""))</f>
        <v/>
      </c>
    </row>
    <row r="281" customFormat="false" ht="16.5" hidden="false" customHeight="false" outlineLevel="0" collapsed="false">
      <c r="A281" s="3" t="str">
        <f aca="false">IF($W281="","",INDEX(发票统计!A$4:A$1003,$W281)&amp;"")</f>
        <v/>
      </c>
      <c r="B281" s="3" t="str">
        <f aca="false">IF($W281="","",INDEX(发票统计!B$4:B$1003,$W281)&amp;"")</f>
        <v/>
      </c>
      <c r="C281" s="3" t="str">
        <f aca="false">IF($W281="","",INDEX(发票统计!C$4:C$1003,$W281)&amp;"")</f>
        <v/>
      </c>
      <c r="D281" s="3" t="str">
        <f aca="false">IF($W281="","",INDEX(发票统计!D$4:D$1003,$W281)&amp;"")</f>
        <v/>
      </c>
      <c r="E281" s="67" t="str">
        <f aca="false">IF($W281="","",INDEX(发票统计!E$4:E$1003,$W281)&amp;"")</f>
        <v/>
      </c>
      <c r="F281" s="68" t="str">
        <f aca="false">IF($W281="","",INDEX(发票统计!F$4:F$1003,$W281)&amp;"")</f>
        <v/>
      </c>
      <c r="G281" s="68" t="str">
        <f aca="false">IF($W281="","",IF(INDEX(发票统计!G$4:G$1003,$W281)="","",INDEX(发票统计!G$4:G$1003,$W281)))</f>
        <v/>
      </c>
      <c r="H281" s="56" t="str">
        <f aca="false">IF($W281="","",N(INDEX(发票统计!H$4:H$1003,$W281)))</f>
        <v/>
      </c>
      <c r="I281" s="56" t="str">
        <f aca="false">IF($W281="","",N(INDEX(发票统计!I$4:I$1003,$W281)))</f>
        <v/>
      </c>
      <c r="J281" s="56" t="str">
        <f aca="false">IF($W281="","",N(INDEX(发票统计!J$4:J$1003,$W281)))</f>
        <v/>
      </c>
      <c r="K281" s="56" t="str">
        <f aca="false">IF($W281="","",N(INDEX(发票统计!K$4:K$1003,$W281)))</f>
        <v/>
      </c>
      <c r="L281" s="56" t="str">
        <f aca="false">IF($W281="","",SUM(J$4:J281)-SUM(K$4:K281))</f>
        <v/>
      </c>
      <c r="M281" s="56" t="str">
        <f aca="false">IF($W281="","",N(INDEX(发票统计!M$4:M$1003,$W281)))</f>
        <v/>
      </c>
      <c r="N281" s="56" t="str">
        <f aca="false">IF($W281="","",N(INDEX(发票统计!N$4:N$1003,$W281)))</f>
        <v/>
      </c>
      <c r="O281" s="56" t="str">
        <f aca="false">IF($W281="","",N(INDEX(发票统计!O$4:O$1003,$W281)))</f>
        <v/>
      </c>
      <c r="P281" s="56" t="str">
        <f aca="false">IF($W281="","",SUM(M$4:M281)-SUM(N$4:N281)-SUM(O$4:O281))</f>
        <v/>
      </c>
      <c r="Q281" s="56" t="str">
        <f aca="false">IF($W281="","",N(INDEX(发票统计!Q$4:Q$1003,$W281)))</f>
        <v/>
      </c>
      <c r="R281" s="56" t="str">
        <f aca="false">IF($W281="","",N(INDEX(发票统计!R$4:R$1003,$W281)))</f>
        <v/>
      </c>
      <c r="S281" s="56" t="str">
        <f aca="false">IF($W281="","",N(INDEX(发票统计!S$4:S$1003,$W281)))</f>
        <v/>
      </c>
      <c r="T281" s="56" t="str">
        <f aca="false">IF($W281="","",SUM(Q$4:Q281)-SUM(R$4:R281)-SUM(S$4:S281))</f>
        <v/>
      </c>
      <c r="U281" s="56" t="str">
        <f aca="false">IF($W281="","",INDEX(发票统计!U$4:U$1003,$W281)&amp;"")</f>
        <v/>
      </c>
      <c r="W281" s="1" t="str">
        <f aca="false">IF($V$3="","",IFERROR(MATCH($V$3&amp;"#"&amp;ROWS(W$4:W281),发票统计!$W$4:$W$1003,0),""))</f>
        <v/>
      </c>
    </row>
    <row r="282" customFormat="false" ht="16.5" hidden="false" customHeight="false" outlineLevel="0" collapsed="false">
      <c r="A282" s="3" t="str">
        <f aca="false">IF($W282="","",INDEX(发票统计!A$4:A$1003,$W282)&amp;"")</f>
        <v/>
      </c>
      <c r="B282" s="3" t="str">
        <f aca="false">IF($W282="","",INDEX(发票统计!B$4:B$1003,$W282)&amp;"")</f>
        <v/>
      </c>
      <c r="C282" s="3" t="str">
        <f aca="false">IF($W282="","",INDEX(发票统计!C$4:C$1003,$W282)&amp;"")</f>
        <v/>
      </c>
      <c r="D282" s="3" t="str">
        <f aca="false">IF($W282="","",INDEX(发票统计!D$4:D$1003,$W282)&amp;"")</f>
        <v/>
      </c>
      <c r="E282" s="67" t="str">
        <f aca="false">IF($W282="","",INDEX(发票统计!E$4:E$1003,$W282)&amp;"")</f>
        <v/>
      </c>
      <c r="F282" s="68" t="str">
        <f aca="false">IF($W282="","",INDEX(发票统计!F$4:F$1003,$W282)&amp;"")</f>
        <v/>
      </c>
      <c r="G282" s="68" t="str">
        <f aca="false">IF($W282="","",IF(INDEX(发票统计!G$4:G$1003,$W282)="","",INDEX(发票统计!G$4:G$1003,$W282)))</f>
        <v/>
      </c>
      <c r="H282" s="56" t="str">
        <f aca="false">IF($W282="","",N(INDEX(发票统计!H$4:H$1003,$W282)))</f>
        <v/>
      </c>
      <c r="I282" s="56" t="str">
        <f aca="false">IF($W282="","",N(INDEX(发票统计!I$4:I$1003,$W282)))</f>
        <v/>
      </c>
      <c r="J282" s="56" t="str">
        <f aca="false">IF($W282="","",N(INDEX(发票统计!J$4:J$1003,$W282)))</f>
        <v/>
      </c>
      <c r="K282" s="56" t="str">
        <f aca="false">IF($W282="","",N(INDEX(发票统计!K$4:K$1003,$W282)))</f>
        <v/>
      </c>
      <c r="L282" s="56" t="str">
        <f aca="false">IF($W282="","",SUM(J$4:J282)-SUM(K$4:K282))</f>
        <v/>
      </c>
      <c r="M282" s="56" t="str">
        <f aca="false">IF($W282="","",N(INDEX(发票统计!M$4:M$1003,$W282)))</f>
        <v/>
      </c>
      <c r="N282" s="56" t="str">
        <f aca="false">IF($W282="","",N(INDEX(发票统计!N$4:N$1003,$W282)))</f>
        <v/>
      </c>
      <c r="O282" s="56" t="str">
        <f aca="false">IF($W282="","",N(INDEX(发票统计!O$4:O$1003,$W282)))</f>
        <v/>
      </c>
      <c r="P282" s="56" t="str">
        <f aca="false">IF($W282="","",SUM(M$4:M282)-SUM(N$4:N282)-SUM(O$4:O282))</f>
        <v/>
      </c>
      <c r="Q282" s="56" t="str">
        <f aca="false">IF($W282="","",N(INDEX(发票统计!Q$4:Q$1003,$W282)))</f>
        <v/>
      </c>
      <c r="R282" s="56" t="str">
        <f aca="false">IF($W282="","",N(INDEX(发票统计!R$4:R$1003,$W282)))</f>
        <v/>
      </c>
      <c r="S282" s="56" t="str">
        <f aca="false">IF($W282="","",N(INDEX(发票统计!S$4:S$1003,$W282)))</f>
        <v/>
      </c>
      <c r="T282" s="56" t="str">
        <f aca="false">IF($W282="","",SUM(Q$4:Q282)-SUM(R$4:R282)-SUM(S$4:S282))</f>
        <v/>
      </c>
      <c r="U282" s="56" t="str">
        <f aca="false">IF($W282="","",INDEX(发票统计!U$4:U$1003,$W282)&amp;"")</f>
        <v/>
      </c>
      <c r="W282" s="1" t="str">
        <f aca="false">IF($V$3="","",IFERROR(MATCH($V$3&amp;"#"&amp;ROWS(W$4:W282),发票统计!$W$4:$W$1003,0),""))</f>
        <v/>
      </c>
    </row>
    <row r="283" customFormat="false" ht="16.5" hidden="false" customHeight="false" outlineLevel="0" collapsed="false">
      <c r="A283" s="3" t="str">
        <f aca="false">IF($W283="","",INDEX(发票统计!A$4:A$1003,$W283)&amp;"")</f>
        <v/>
      </c>
      <c r="B283" s="3" t="str">
        <f aca="false">IF($W283="","",INDEX(发票统计!B$4:B$1003,$W283)&amp;"")</f>
        <v/>
      </c>
      <c r="C283" s="3" t="str">
        <f aca="false">IF($W283="","",INDEX(发票统计!C$4:C$1003,$W283)&amp;"")</f>
        <v/>
      </c>
      <c r="D283" s="3" t="str">
        <f aca="false">IF($W283="","",INDEX(发票统计!D$4:D$1003,$W283)&amp;"")</f>
        <v/>
      </c>
      <c r="E283" s="67" t="str">
        <f aca="false">IF($W283="","",INDEX(发票统计!E$4:E$1003,$W283)&amp;"")</f>
        <v/>
      </c>
      <c r="F283" s="68" t="str">
        <f aca="false">IF($W283="","",INDEX(发票统计!F$4:F$1003,$W283)&amp;"")</f>
        <v/>
      </c>
      <c r="G283" s="68" t="str">
        <f aca="false">IF($W283="","",IF(INDEX(发票统计!G$4:G$1003,$W283)="","",INDEX(发票统计!G$4:G$1003,$W283)))</f>
        <v/>
      </c>
      <c r="H283" s="56" t="str">
        <f aca="false">IF($W283="","",N(INDEX(发票统计!H$4:H$1003,$W283)))</f>
        <v/>
      </c>
      <c r="I283" s="56" t="str">
        <f aca="false">IF($W283="","",N(INDEX(发票统计!I$4:I$1003,$W283)))</f>
        <v/>
      </c>
      <c r="J283" s="56" t="str">
        <f aca="false">IF($W283="","",N(INDEX(发票统计!J$4:J$1003,$W283)))</f>
        <v/>
      </c>
      <c r="K283" s="56" t="str">
        <f aca="false">IF($W283="","",N(INDEX(发票统计!K$4:K$1003,$W283)))</f>
        <v/>
      </c>
      <c r="L283" s="56" t="str">
        <f aca="false">IF($W283="","",SUM(J$4:J283)-SUM(K$4:K283))</f>
        <v/>
      </c>
      <c r="M283" s="56" t="str">
        <f aca="false">IF($W283="","",N(INDEX(发票统计!M$4:M$1003,$W283)))</f>
        <v/>
      </c>
      <c r="N283" s="56" t="str">
        <f aca="false">IF($W283="","",N(INDEX(发票统计!N$4:N$1003,$W283)))</f>
        <v/>
      </c>
      <c r="O283" s="56" t="str">
        <f aca="false">IF($W283="","",N(INDEX(发票统计!O$4:O$1003,$W283)))</f>
        <v/>
      </c>
      <c r="P283" s="56" t="str">
        <f aca="false">IF($W283="","",SUM(M$4:M283)-SUM(N$4:N283)-SUM(O$4:O283))</f>
        <v/>
      </c>
      <c r="Q283" s="56" t="str">
        <f aca="false">IF($W283="","",N(INDEX(发票统计!Q$4:Q$1003,$W283)))</f>
        <v/>
      </c>
      <c r="R283" s="56" t="str">
        <f aca="false">IF($W283="","",N(INDEX(发票统计!R$4:R$1003,$W283)))</f>
        <v/>
      </c>
      <c r="S283" s="56" t="str">
        <f aca="false">IF($W283="","",N(INDEX(发票统计!S$4:S$1003,$W283)))</f>
        <v/>
      </c>
      <c r="T283" s="56" t="str">
        <f aca="false">IF($W283="","",SUM(Q$4:Q283)-SUM(R$4:R283)-SUM(S$4:S283))</f>
        <v/>
      </c>
      <c r="U283" s="56" t="str">
        <f aca="false">IF($W283="","",INDEX(发票统计!U$4:U$1003,$W283)&amp;"")</f>
        <v/>
      </c>
      <c r="W283" s="1" t="str">
        <f aca="false">IF($V$3="","",IFERROR(MATCH($V$3&amp;"#"&amp;ROWS(W$4:W283),发票统计!$W$4:$W$1003,0),""))</f>
        <v/>
      </c>
    </row>
    <row r="284" customFormat="false" ht="16.5" hidden="false" customHeight="false" outlineLevel="0" collapsed="false">
      <c r="A284" s="3" t="str">
        <f aca="false">IF($W284="","",INDEX(发票统计!A$4:A$1003,$W284)&amp;"")</f>
        <v/>
      </c>
      <c r="B284" s="3" t="str">
        <f aca="false">IF($W284="","",INDEX(发票统计!B$4:B$1003,$W284)&amp;"")</f>
        <v/>
      </c>
      <c r="C284" s="3" t="str">
        <f aca="false">IF($W284="","",INDEX(发票统计!C$4:C$1003,$W284)&amp;"")</f>
        <v/>
      </c>
      <c r="D284" s="3" t="str">
        <f aca="false">IF($W284="","",INDEX(发票统计!D$4:D$1003,$W284)&amp;"")</f>
        <v/>
      </c>
      <c r="E284" s="67" t="str">
        <f aca="false">IF($W284="","",INDEX(发票统计!E$4:E$1003,$W284)&amp;"")</f>
        <v/>
      </c>
      <c r="F284" s="68" t="str">
        <f aca="false">IF($W284="","",INDEX(发票统计!F$4:F$1003,$W284)&amp;"")</f>
        <v/>
      </c>
      <c r="G284" s="68" t="str">
        <f aca="false">IF($W284="","",IF(INDEX(发票统计!G$4:G$1003,$W284)="","",INDEX(发票统计!G$4:G$1003,$W284)))</f>
        <v/>
      </c>
      <c r="H284" s="56" t="str">
        <f aca="false">IF($W284="","",N(INDEX(发票统计!H$4:H$1003,$W284)))</f>
        <v/>
      </c>
      <c r="I284" s="56" t="str">
        <f aca="false">IF($W284="","",N(INDEX(发票统计!I$4:I$1003,$W284)))</f>
        <v/>
      </c>
      <c r="J284" s="56" t="str">
        <f aca="false">IF($W284="","",N(INDEX(发票统计!J$4:J$1003,$W284)))</f>
        <v/>
      </c>
      <c r="K284" s="56" t="str">
        <f aca="false">IF($W284="","",N(INDEX(发票统计!K$4:K$1003,$W284)))</f>
        <v/>
      </c>
      <c r="L284" s="56" t="str">
        <f aca="false">IF($W284="","",SUM(J$4:J284)-SUM(K$4:K284))</f>
        <v/>
      </c>
      <c r="M284" s="56" t="str">
        <f aca="false">IF($W284="","",N(INDEX(发票统计!M$4:M$1003,$W284)))</f>
        <v/>
      </c>
      <c r="N284" s="56" t="str">
        <f aca="false">IF($W284="","",N(INDEX(发票统计!N$4:N$1003,$W284)))</f>
        <v/>
      </c>
      <c r="O284" s="56" t="str">
        <f aca="false">IF($W284="","",N(INDEX(发票统计!O$4:O$1003,$W284)))</f>
        <v/>
      </c>
      <c r="P284" s="56" t="str">
        <f aca="false">IF($W284="","",SUM(M$4:M284)-SUM(N$4:N284)-SUM(O$4:O284))</f>
        <v/>
      </c>
      <c r="Q284" s="56" t="str">
        <f aca="false">IF($W284="","",N(INDEX(发票统计!Q$4:Q$1003,$W284)))</f>
        <v/>
      </c>
      <c r="R284" s="56" t="str">
        <f aca="false">IF($W284="","",N(INDEX(发票统计!R$4:R$1003,$W284)))</f>
        <v/>
      </c>
      <c r="S284" s="56" t="str">
        <f aca="false">IF($W284="","",N(INDEX(发票统计!S$4:S$1003,$W284)))</f>
        <v/>
      </c>
      <c r="T284" s="56" t="str">
        <f aca="false">IF($W284="","",SUM(Q$4:Q284)-SUM(R$4:R284)-SUM(S$4:S284))</f>
        <v/>
      </c>
      <c r="U284" s="56" t="str">
        <f aca="false">IF($W284="","",INDEX(发票统计!U$4:U$1003,$W284)&amp;"")</f>
        <v/>
      </c>
      <c r="W284" s="1" t="str">
        <f aca="false">IF($V$3="","",IFERROR(MATCH($V$3&amp;"#"&amp;ROWS(W$4:W284),发票统计!$W$4:$W$1003,0),""))</f>
        <v/>
      </c>
    </row>
    <row r="285" customFormat="false" ht="16.5" hidden="false" customHeight="false" outlineLevel="0" collapsed="false">
      <c r="A285" s="3" t="str">
        <f aca="false">IF($W285="","",INDEX(发票统计!A$4:A$1003,$W285)&amp;"")</f>
        <v/>
      </c>
      <c r="B285" s="3" t="str">
        <f aca="false">IF($W285="","",INDEX(发票统计!B$4:B$1003,$W285)&amp;"")</f>
        <v/>
      </c>
      <c r="C285" s="3" t="str">
        <f aca="false">IF($W285="","",INDEX(发票统计!C$4:C$1003,$W285)&amp;"")</f>
        <v/>
      </c>
      <c r="D285" s="3" t="str">
        <f aca="false">IF($W285="","",INDEX(发票统计!D$4:D$1003,$W285)&amp;"")</f>
        <v/>
      </c>
      <c r="E285" s="67" t="str">
        <f aca="false">IF($W285="","",INDEX(发票统计!E$4:E$1003,$W285)&amp;"")</f>
        <v/>
      </c>
      <c r="F285" s="68" t="str">
        <f aca="false">IF($W285="","",INDEX(发票统计!F$4:F$1003,$W285)&amp;"")</f>
        <v/>
      </c>
      <c r="G285" s="68" t="str">
        <f aca="false">IF($W285="","",IF(INDEX(发票统计!G$4:G$1003,$W285)="","",INDEX(发票统计!G$4:G$1003,$W285)))</f>
        <v/>
      </c>
      <c r="H285" s="56" t="str">
        <f aca="false">IF($W285="","",N(INDEX(发票统计!H$4:H$1003,$W285)))</f>
        <v/>
      </c>
      <c r="I285" s="56" t="str">
        <f aca="false">IF($W285="","",N(INDEX(发票统计!I$4:I$1003,$W285)))</f>
        <v/>
      </c>
      <c r="J285" s="56" t="str">
        <f aca="false">IF($W285="","",N(INDEX(发票统计!J$4:J$1003,$W285)))</f>
        <v/>
      </c>
      <c r="K285" s="56" t="str">
        <f aca="false">IF($W285="","",N(INDEX(发票统计!K$4:K$1003,$W285)))</f>
        <v/>
      </c>
      <c r="L285" s="56" t="str">
        <f aca="false">IF($W285="","",SUM(J$4:J285)-SUM(K$4:K285))</f>
        <v/>
      </c>
      <c r="M285" s="56" t="str">
        <f aca="false">IF($W285="","",N(INDEX(发票统计!M$4:M$1003,$W285)))</f>
        <v/>
      </c>
      <c r="N285" s="56" t="str">
        <f aca="false">IF($W285="","",N(INDEX(发票统计!N$4:N$1003,$W285)))</f>
        <v/>
      </c>
      <c r="O285" s="56" t="str">
        <f aca="false">IF($W285="","",N(INDEX(发票统计!O$4:O$1003,$W285)))</f>
        <v/>
      </c>
      <c r="P285" s="56" t="str">
        <f aca="false">IF($W285="","",SUM(M$4:M285)-SUM(N$4:N285)-SUM(O$4:O285))</f>
        <v/>
      </c>
      <c r="Q285" s="56" t="str">
        <f aca="false">IF($W285="","",N(INDEX(发票统计!Q$4:Q$1003,$W285)))</f>
        <v/>
      </c>
      <c r="R285" s="56" t="str">
        <f aca="false">IF($W285="","",N(INDEX(发票统计!R$4:R$1003,$W285)))</f>
        <v/>
      </c>
      <c r="S285" s="56" t="str">
        <f aca="false">IF($W285="","",N(INDEX(发票统计!S$4:S$1003,$W285)))</f>
        <v/>
      </c>
      <c r="T285" s="56" t="str">
        <f aca="false">IF($W285="","",SUM(Q$4:Q285)-SUM(R$4:R285)-SUM(S$4:S285))</f>
        <v/>
      </c>
      <c r="U285" s="56" t="str">
        <f aca="false">IF($W285="","",INDEX(发票统计!U$4:U$1003,$W285)&amp;"")</f>
        <v/>
      </c>
      <c r="W285" s="1" t="str">
        <f aca="false">IF($V$3="","",IFERROR(MATCH($V$3&amp;"#"&amp;ROWS(W$4:W285),发票统计!$W$4:$W$1003,0),""))</f>
        <v/>
      </c>
    </row>
    <row r="286" customFormat="false" ht="16.5" hidden="false" customHeight="false" outlineLevel="0" collapsed="false">
      <c r="A286" s="3" t="str">
        <f aca="false">IF($W286="","",INDEX(发票统计!A$4:A$1003,$W286)&amp;"")</f>
        <v/>
      </c>
      <c r="B286" s="3" t="str">
        <f aca="false">IF($W286="","",INDEX(发票统计!B$4:B$1003,$W286)&amp;"")</f>
        <v/>
      </c>
      <c r="C286" s="3" t="str">
        <f aca="false">IF($W286="","",INDEX(发票统计!C$4:C$1003,$W286)&amp;"")</f>
        <v/>
      </c>
      <c r="D286" s="3" t="str">
        <f aca="false">IF($W286="","",INDEX(发票统计!D$4:D$1003,$W286)&amp;"")</f>
        <v/>
      </c>
      <c r="E286" s="67" t="str">
        <f aca="false">IF($W286="","",INDEX(发票统计!E$4:E$1003,$W286)&amp;"")</f>
        <v/>
      </c>
      <c r="F286" s="68" t="str">
        <f aca="false">IF($W286="","",INDEX(发票统计!F$4:F$1003,$W286)&amp;"")</f>
        <v/>
      </c>
      <c r="G286" s="68" t="str">
        <f aca="false">IF($W286="","",IF(INDEX(发票统计!G$4:G$1003,$W286)="","",INDEX(发票统计!G$4:G$1003,$W286)))</f>
        <v/>
      </c>
      <c r="H286" s="56" t="str">
        <f aca="false">IF($W286="","",N(INDEX(发票统计!H$4:H$1003,$W286)))</f>
        <v/>
      </c>
      <c r="I286" s="56" t="str">
        <f aca="false">IF($W286="","",N(INDEX(发票统计!I$4:I$1003,$W286)))</f>
        <v/>
      </c>
      <c r="J286" s="56" t="str">
        <f aca="false">IF($W286="","",N(INDEX(发票统计!J$4:J$1003,$W286)))</f>
        <v/>
      </c>
      <c r="K286" s="56" t="str">
        <f aca="false">IF($W286="","",N(INDEX(发票统计!K$4:K$1003,$W286)))</f>
        <v/>
      </c>
      <c r="L286" s="56" t="str">
        <f aca="false">IF($W286="","",SUM(J$4:J286)-SUM(K$4:K286))</f>
        <v/>
      </c>
      <c r="M286" s="56" t="str">
        <f aca="false">IF($W286="","",N(INDEX(发票统计!M$4:M$1003,$W286)))</f>
        <v/>
      </c>
      <c r="N286" s="56" t="str">
        <f aca="false">IF($W286="","",N(INDEX(发票统计!N$4:N$1003,$W286)))</f>
        <v/>
      </c>
      <c r="O286" s="56" t="str">
        <f aca="false">IF($W286="","",N(INDEX(发票统计!O$4:O$1003,$W286)))</f>
        <v/>
      </c>
      <c r="P286" s="56" t="str">
        <f aca="false">IF($W286="","",SUM(M$4:M286)-SUM(N$4:N286)-SUM(O$4:O286))</f>
        <v/>
      </c>
      <c r="Q286" s="56" t="str">
        <f aca="false">IF($W286="","",N(INDEX(发票统计!Q$4:Q$1003,$W286)))</f>
        <v/>
      </c>
      <c r="R286" s="56" t="str">
        <f aca="false">IF($W286="","",N(INDEX(发票统计!R$4:R$1003,$W286)))</f>
        <v/>
      </c>
      <c r="S286" s="56" t="str">
        <f aca="false">IF($W286="","",N(INDEX(发票统计!S$4:S$1003,$W286)))</f>
        <v/>
      </c>
      <c r="T286" s="56" t="str">
        <f aca="false">IF($W286="","",SUM(Q$4:Q286)-SUM(R$4:R286)-SUM(S$4:S286))</f>
        <v/>
      </c>
      <c r="U286" s="56" t="str">
        <f aca="false">IF($W286="","",INDEX(发票统计!U$4:U$1003,$W286)&amp;"")</f>
        <v/>
      </c>
      <c r="W286" s="1" t="str">
        <f aca="false">IF($V$3="","",IFERROR(MATCH($V$3&amp;"#"&amp;ROWS(W$4:W286),发票统计!$W$4:$W$1003,0),""))</f>
        <v/>
      </c>
    </row>
    <row r="287" customFormat="false" ht="16.5" hidden="false" customHeight="false" outlineLevel="0" collapsed="false">
      <c r="A287" s="3" t="str">
        <f aca="false">IF($W287="","",INDEX(发票统计!A$4:A$1003,$W287)&amp;"")</f>
        <v/>
      </c>
      <c r="B287" s="3" t="str">
        <f aca="false">IF($W287="","",INDEX(发票统计!B$4:B$1003,$W287)&amp;"")</f>
        <v/>
      </c>
      <c r="C287" s="3" t="str">
        <f aca="false">IF($W287="","",INDEX(发票统计!C$4:C$1003,$W287)&amp;"")</f>
        <v/>
      </c>
      <c r="D287" s="3" t="str">
        <f aca="false">IF($W287="","",INDEX(发票统计!D$4:D$1003,$W287)&amp;"")</f>
        <v/>
      </c>
      <c r="E287" s="67" t="str">
        <f aca="false">IF($W287="","",INDEX(发票统计!E$4:E$1003,$W287)&amp;"")</f>
        <v/>
      </c>
      <c r="F287" s="68" t="str">
        <f aca="false">IF($W287="","",INDEX(发票统计!F$4:F$1003,$W287)&amp;"")</f>
        <v/>
      </c>
      <c r="G287" s="68" t="str">
        <f aca="false">IF($W287="","",IF(INDEX(发票统计!G$4:G$1003,$W287)="","",INDEX(发票统计!G$4:G$1003,$W287)))</f>
        <v/>
      </c>
      <c r="H287" s="56" t="str">
        <f aca="false">IF($W287="","",N(INDEX(发票统计!H$4:H$1003,$W287)))</f>
        <v/>
      </c>
      <c r="I287" s="56" t="str">
        <f aca="false">IF($W287="","",N(INDEX(发票统计!I$4:I$1003,$W287)))</f>
        <v/>
      </c>
      <c r="J287" s="56" t="str">
        <f aca="false">IF($W287="","",N(INDEX(发票统计!J$4:J$1003,$W287)))</f>
        <v/>
      </c>
      <c r="K287" s="56" t="str">
        <f aca="false">IF($W287="","",N(INDEX(发票统计!K$4:K$1003,$W287)))</f>
        <v/>
      </c>
      <c r="L287" s="56" t="str">
        <f aca="false">IF($W287="","",SUM(J$4:J287)-SUM(K$4:K287))</f>
        <v/>
      </c>
      <c r="M287" s="56" t="str">
        <f aca="false">IF($W287="","",N(INDEX(发票统计!M$4:M$1003,$W287)))</f>
        <v/>
      </c>
      <c r="N287" s="56" t="str">
        <f aca="false">IF($W287="","",N(INDEX(发票统计!N$4:N$1003,$W287)))</f>
        <v/>
      </c>
      <c r="O287" s="56" t="str">
        <f aca="false">IF($W287="","",N(INDEX(发票统计!O$4:O$1003,$W287)))</f>
        <v/>
      </c>
      <c r="P287" s="56" t="str">
        <f aca="false">IF($W287="","",SUM(M$4:M287)-SUM(N$4:N287)-SUM(O$4:O287))</f>
        <v/>
      </c>
      <c r="Q287" s="56" t="str">
        <f aca="false">IF($W287="","",N(INDEX(发票统计!Q$4:Q$1003,$W287)))</f>
        <v/>
      </c>
      <c r="R287" s="56" t="str">
        <f aca="false">IF($W287="","",N(INDEX(发票统计!R$4:R$1003,$W287)))</f>
        <v/>
      </c>
      <c r="S287" s="56" t="str">
        <f aca="false">IF($W287="","",N(INDEX(发票统计!S$4:S$1003,$W287)))</f>
        <v/>
      </c>
      <c r="T287" s="56" t="str">
        <f aca="false">IF($W287="","",SUM(Q$4:Q287)-SUM(R$4:R287)-SUM(S$4:S287))</f>
        <v/>
      </c>
      <c r="U287" s="56" t="str">
        <f aca="false">IF($W287="","",INDEX(发票统计!U$4:U$1003,$W287)&amp;"")</f>
        <v/>
      </c>
      <c r="W287" s="1" t="str">
        <f aca="false">IF($V$3="","",IFERROR(MATCH($V$3&amp;"#"&amp;ROWS(W$4:W287),发票统计!$W$4:$W$1003,0),""))</f>
        <v/>
      </c>
    </row>
    <row r="288" customFormat="false" ht="16.5" hidden="false" customHeight="false" outlineLevel="0" collapsed="false">
      <c r="A288" s="3" t="str">
        <f aca="false">IF($W288="","",INDEX(发票统计!A$4:A$1003,$W288)&amp;"")</f>
        <v/>
      </c>
      <c r="B288" s="3" t="str">
        <f aca="false">IF($W288="","",INDEX(发票统计!B$4:B$1003,$W288)&amp;"")</f>
        <v/>
      </c>
      <c r="C288" s="3" t="str">
        <f aca="false">IF($W288="","",INDEX(发票统计!C$4:C$1003,$W288)&amp;"")</f>
        <v/>
      </c>
      <c r="D288" s="3" t="str">
        <f aca="false">IF($W288="","",INDEX(发票统计!D$4:D$1003,$W288)&amp;"")</f>
        <v/>
      </c>
      <c r="E288" s="67" t="str">
        <f aca="false">IF($W288="","",INDEX(发票统计!E$4:E$1003,$W288)&amp;"")</f>
        <v/>
      </c>
      <c r="F288" s="68" t="str">
        <f aca="false">IF($W288="","",INDEX(发票统计!F$4:F$1003,$W288)&amp;"")</f>
        <v/>
      </c>
      <c r="G288" s="68" t="str">
        <f aca="false">IF($W288="","",IF(INDEX(发票统计!G$4:G$1003,$W288)="","",INDEX(发票统计!G$4:G$1003,$W288)))</f>
        <v/>
      </c>
      <c r="H288" s="56" t="str">
        <f aca="false">IF($W288="","",N(INDEX(发票统计!H$4:H$1003,$W288)))</f>
        <v/>
      </c>
      <c r="I288" s="56" t="str">
        <f aca="false">IF($W288="","",N(INDEX(发票统计!I$4:I$1003,$W288)))</f>
        <v/>
      </c>
      <c r="J288" s="56" t="str">
        <f aca="false">IF($W288="","",N(INDEX(发票统计!J$4:J$1003,$W288)))</f>
        <v/>
      </c>
      <c r="K288" s="56" t="str">
        <f aca="false">IF($W288="","",N(INDEX(发票统计!K$4:K$1003,$W288)))</f>
        <v/>
      </c>
      <c r="L288" s="56" t="str">
        <f aca="false">IF($W288="","",SUM(J$4:J288)-SUM(K$4:K288))</f>
        <v/>
      </c>
      <c r="M288" s="56" t="str">
        <f aca="false">IF($W288="","",N(INDEX(发票统计!M$4:M$1003,$W288)))</f>
        <v/>
      </c>
      <c r="N288" s="56" t="str">
        <f aca="false">IF($W288="","",N(INDEX(发票统计!N$4:N$1003,$W288)))</f>
        <v/>
      </c>
      <c r="O288" s="56" t="str">
        <f aca="false">IF($W288="","",N(INDEX(发票统计!O$4:O$1003,$W288)))</f>
        <v/>
      </c>
      <c r="P288" s="56" t="str">
        <f aca="false">IF($W288="","",SUM(M$4:M288)-SUM(N$4:N288)-SUM(O$4:O288))</f>
        <v/>
      </c>
      <c r="Q288" s="56" t="str">
        <f aca="false">IF($W288="","",N(INDEX(发票统计!Q$4:Q$1003,$W288)))</f>
        <v/>
      </c>
      <c r="R288" s="56" t="str">
        <f aca="false">IF($W288="","",N(INDEX(发票统计!R$4:R$1003,$W288)))</f>
        <v/>
      </c>
      <c r="S288" s="56" t="str">
        <f aca="false">IF($W288="","",N(INDEX(发票统计!S$4:S$1003,$W288)))</f>
        <v/>
      </c>
      <c r="T288" s="56" t="str">
        <f aca="false">IF($W288="","",SUM(Q$4:Q288)-SUM(R$4:R288)-SUM(S$4:S288))</f>
        <v/>
      </c>
      <c r="U288" s="56" t="str">
        <f aca="false">IF($W288="","",INDEX(发票统计!U$4:U$1003,$W288)&amp;"")</f>
        <v/>
      </c>
      <c r="W288" s="1" t="str">
        <f aca="false">IF($V$3="","",IFERROR(MATCH($V$3&amp;"#"&amp;ROWS(W$4:W288),发票统计!$W$4:$W$1003,0),""))</f>
        <v/>
      </c>
    </row>
    <row r="289" customFormat="false" ht="16.5" hidden="false" customHeight="false" outlineLevel="0" collapsed="false">
      <c r="A289" s="3" t="str">
        <f aca="false">IF($W289="","",INDEX(发票统计!A$4:A$1003,$W289)&amp;"")</f>
        <v/>
      </c>
      <c r="B289" s="3" t="str">
        <f aca="false">IF($W289="","",INDEX(发票统计!B$4:B$1003,$W289)&amp;"")</f>
        <v/>
      </c>
      <c r="C289" s="3" t="str">
        <f aca="false">IF($W289="","",INDEX(发票统计!C$4:C$1003,$W289)&amp;"")</f>
        <v/>
      </c>
      <c r="D289" s="3" t="str">
        <f aca="false">IF($W289="","",INDEX(发票统计!D$4:D$1003,$W289)&amp;"")</f>
        <v/>
      </c>
      <c r="E289" s="67" t="str">
        <f aca="false">IF($W289="","",INDEX(发票统计!E$4:E$1003,$W289)&amp;"")</f>
        <v/>
      </c>
      <c r="F289" s="68" t="str">
        <f aca="false">IF($W289="","",INDEX(发票统计!F$4:F$1003,$W289)&amp;"")</f>
        <v/>
      </c>
      <c r="G289" s="68" t="str">
        <f aca="false">IF($W289="","",IF(INDEX(发票统计!G$4:G$1003,$W289)="","",INDEX(发票统计!G$4:G$1003,$W289)))</f>
        <v/>
      </c>
      <c r="H289" s="56" t="str">
        <f aca="false">IF($W289="","",N(INDEX(发票统计!H$4:H$1003,$W289)))</f>
        <v/>
      </c>
      <c r="I289" s="56" t="str">
        <f aca="false">IF($W289="","",N(INDEX(发票统计!I$4:I$1003,$W289)))</f>
        <v/>
      </c>
      <c r="J289" s="56" t="str">
        <f aca="false">IF($W289="","",N(INDEX(发票统计!J$4:J$1003,$W289)))</f>
        <v/>
      </c>
      <c r="K289" s="56" t="str">
        <f aca="false">IF($W289="","",N(INDEX(发票统计!K$4:K$1003,$W289)))</f>
        <v/>
      </c>
      <c r="L289" s="56" t="str">
        <f aca="false">IF($W289="","",SUM(J$4:J289)-SUM(K$4:K289))</f>
        <v/>
      </c>
      <c r="M289" s="56" t="str">
        <f aca="false">IF($W289="","",N(INDEX(发票统计!M$4:M$1003,$W289)))</f>
        <v/>
      </c>
      <c r="N289" s="56" t="str">
        <f aca="false">IF($W289="","",N(INDEX(发票统计!N$4:N$1003,$W289)))</f>
        <v/>
      </c>
      <c r="O289" s="56" t="str">
        <f aca="false">IF($W289="","",N(INDEX(发票统计!O$4:O$1003,$W289)))</f>
        <v/>
      </c>
      <c r="P289" s="56" t="str">
        <f aca="false">IF($W289="","",SUM(M$4:M289)-SUM(N$4:N289)-SUM(O$4:O289))</f>
        <v/>
      </c>
      <c r="Q289" s="56" t="str">
        <f aca="false">IF($W289="","",N(INDEX(发票统计!Q$4:Q$1003,$W289)))</f>
        <v/>
      </c>
      <c r="R289" s="56" t="str">
        <f aca="false">IF($W289="","",N(INDEX(发票统计!R$4:R$1003,$W289)))</f>
        <v/>
      </c>
      <c r="S289" s="56" t="str">
        <f aca="false">IF($W289="","",N(INDEX(发票统计!S$4:S$1003,$W289)))</f>
        <v/>
      </c>
      <c r="T289" s="56" t="str">
        <f aca="false">IF($W289="","",SUM(Q$4:Q289)-SUM(R$4:R289)-SUM(S$4:S289))</f>
        <v/>
      </c>
      <c r="U289" s="56" t="str">
        <f aca="false">IF($W289="","",INDEX(发票统计!U$4:U$1003,$W289)&amp;"")</f>
        <v/>
      </c>
      <c r="W289" s="1" t="str">
        <f aca="false">IF($V$3="","",IFERROR(MATCH($V$3&amp;"#"&amp;ROWS(W$4:W289),发票统计!$W$4:$W$1003,0),""))</f>
        <v/>
      </c>
    </row>
    <row r="290" customFormat="false" ht="16.5" hidden="false" customHeight="false" outlineLevel="0" collapsed="false">
      <c r="A290" s="3" t="str">
        <f aca="false">IF($W290="","",INDEX(发票统计!A$4:A$1003,$W290)&amp;"")</f>
        <v/>
      </c>
      <c r="B290" s="3" t="str">
        <f aca="false">IF($W290="","",INDEX(发票统计!B$4:B$1003,$W290)&amp;"")</f>
        <v/>
      </c>
      <c r="C290" s="3" t="str">
        <f aca="false">IF($W290="","",INDEX(发票统计!C$4:C$1003,$W290)&amp;"")</f>
        <v/>
      </c>
      <c r="D290" s="3" t="str">
        <f aca="false">IF($W290="","",INDEX(发票统计!D$4:D$1003,$W290)&amp;"")</f>
        <v/>
      </c>
      <c r="E290" s="67" t="str">
        <f aca="false">IF($W290="","",INDEX(发票统计!E$4:E$1003,$W290)&amp;"")</f>
        <v/>
      </c>
      <c r="F290" s="68" t="str">
        <f aca="false">IF($W290="","",INDEX(发票统计!F$4:F$1003,$W290)&amp;"")</f>
        <v/>
      </c>
      <c r="G290" s="68" t="str">
        <f aca="false">IF($W290="","",IF(INDEX(发票统计!G$4:G$1003,$W290)="","",INDEX(发票统计!G$4:G$1003,$W290)))</f>
        <v/>
      </c>
      <c r="H290" s="56" t="str">
        <f aca="false">IF($W290="","",N(INDEX(发票统计!H$4:H$1003,$W290)))</f>
        <v/>
      </c>
      <c r="I290" s="56" t="str">
        <f aca="false">IF($W290="","",N(INDEX(发票统计!I$4:I$1003,$W290)))</f>
        <v/>
      </c>
      <c r="J290" s="56" t="str">
        <f aca="false">IF($W290="","",N(INDEX(发票统计!J$4:J$1003,$W290)))</f>
        <v/>
      </c>
      <c r="K290" s="56" t="str">
        <f aca="false">IF($W290="","",N(INDEX(发票统计!K$4:K$1003,$W290)))</f>
        <v/>
      </c>
      <c r="L290" s="56" t="str">
        <f aca="false">IF($W290="","",SUM(J$4:J290)-SUM(K$4:K290))</f>
        <v/>
      </c>
      <c r="M290" s="56" t="str">
        <f aca="false">IF($W290="","",N(INDEX(发票统计!M$4:M$1003,$W290)))</f>
        <v/>
      </c>
      <c r="N290" s="56" t="str">
        <f aca="false">IF($W290="","",N(INDEX(发票统计!N$4:N$1003,$W290)))</f>
        <v/>
      </c>
      <c r="O290" s="56" t="str">
        <f aca="false">IF($W290="","",N(INDEX(发票统计!O$4:O$1003,$W290)))</f>
        <v/>
      </c>
      <c r="P290" s="56" t="str">
        <f aca="false">IF($W290="","",SUM(M$4:M290)-SUM(N$4:N290)-SUM(O$4:O290))</f>
        <v/>
      </c>
      <c r="Q290" s="56" t="str">
        <f aca="false">IF($W290="","",N(INDEX(发票统计!Q$4:Q$1003,$W290)))</f>
        <v/>
      </c>
      <c r="R290" s="56" t="str">
        <f aca="false">IF($W290="","",N(INDEX(发票统计!R$4:R$1003,$W290)))</f>
        <v/>
      </c>
      <c r="S290" s="56" t="str">
        <f aca="false">IF($W290="","",N(INDEX(发票统计!S$4:S$1003,$W290)))</f>
        <v/>
      </c>
      <c r="T290" s="56" t="str">
        <f aca="false">IF($W290="","",SUM(Q$4:Q290)-SUM(R$4:R290)-SUM(S$4:S290))</f>
        <v/>
      </c>
      <c r="U290" s="56" t="str">
        <f aca="false">IF($W290="","",INDEX(发票统计!U$4:U$1003,$W290)&amp;"")</f>
        <v/>
      </c>
      <c r="W290" s="1" t="str">
        <f aca="false">IF($V$3="","",IFERROR(MATCH($V$3&amp;"#"&amp;ROWS(W$4:W290),发票统计!$W$4:$W$1003,0),""))</f>
        <v/>
      </c>
    </row>
    <row r="291" customFormat="false" ht="16.5" hidden="false" customHeight="false" outlineLevel="0" collapsed="false">
      <c r="A291" s="3" t="str">
        <f aca="false">IF($W291="","",INDEX(发票统计!A$4:A$1003,$W291)&amp;"")</f>
        <v/>
      </c>
      <c r="B291" s="3" t="str">
        <f aca="false">IF($W291="","",INDEX(发票统计!B$4:B$1003,$W291)&amp;"")</f>
        <v/>
      </c>
      <c r="C291" s="3" t="str">
        <f aca="false">IF($W291="","",INDEX(发票统计!C$4:C$1003,$W291)&amp;"")</f>
        <v/>
      </c>
      <c r="D291" s="3" t="str">
        <f aca="false">IF($W291="","",INDEX(发票统计!D$4:D$1003,$W291)&amp;"")</f>
        <v/>
      </c>
      <c r="E291" s="67" t="str">
        <f aca="false">IF($W291="","",INDEX(发票统计!E$4:E$1003,$W291)&amp;"")</f>
        <v/>
      </c>
      <c r="F291" s="68" t="str">
        <f aca="false">IF($W291="","",INDEX(发票统计!F$4:F$1003,$W291)&amp;"")</f>
        <v/>
      </c>
      <c r="G291" s="68" t="str">
        <f aca="false">IF($W291="","",IF(INDEX(发票统计!G$4:G$1003,$W291)="","",INDEX(发票统计!G$4:G$1003,$W291)))</f>
        <v/>
      </c>
      <c r="H291" s="56" t="str">
        <f aca="false">IF($W291="","",N(INDEX(发票统计!H$4:H$1003,$W291)))</f>
        <v/>
      </c>
      <c r="I291" s="56" t="str">
        <f aca="false">IF($W291="","",N(INDEX(发票统计!I$4:I$1003,$W291)))</f>
        <v/>
      </c>
      <c r="J291" s="56" t="str">
        <f aca="false">IF($W291="","",N(INDEX(发票统计!J$4:J$1003,$W291)))</f>
        <v/>
      </c>
      <c r="K291" s="56" t="str">
        <f aca="false">IF($W291="","",N(INDEX(发票统计!K$4:K$1003,$W291)))</f>
        <v/>
      </c>
      <c r="L291" s="56" t="str">
        <f aca="false">IF($W291="","",SUM(J$4:J291)-SUM(K$4:K291))</f>
        <v/>
      </c>
      <c r="M291" s="56" t="str">
        <f aca="false">IF($W291="","",N(INDEX(发票统计!M$4:M$1003,$W291)))</f>
        <v/>
      </c>
      <c r="N291" s="56" t="str">
        <f aca="false">IF($W291="","",N(INDEX(发票统计!N$4:N$1003,$W291)))</f>
        <v/>
      </c>
      <c r="O291" s="56" t="str">
        <f aca="false">IF($W291="","",N(INDEX(发票统计!O$4:O$1003,$W291)))</f>
        <v/>
      </c>
      <c r="P291" s="56" t="str">
        <f aca="false">IF($W291="","",SUM(M$4:M291)-SUM(N$4:N291)-SUM(O$4:O291))</f>
        <v/>
      </c>
      <c r="Q291" s="56" t="str">
        <f aca="false">IF($W291="","",N(INDEX(发票统计!Q$4:Q$1003,$W291)))</f>
        <v/>
      </c>
      <c r="R291" s="56" t="str">
        <f aca="false">IF($W291="","",N(INDEX(发票统计!R$4:R$1003,$W291)))</f>
        <v/>
      </c>
      <c r="S291" s="56" t="str">
        <f aca="false">IF($W291="","",N(INDEX(发票统计!S$4:S$1003,$W291)))</f>
        <v/>
      </c>
      <c r="T291" s="56" t="str">
        <f aca="false">IF($W291="","",SUM(Q$4:Q291)-SUM(R$4:R291)-SUM(S$4:S291))</f>
        <v/>
      </c>
      <c r="U291" s="56" t="str">
        <f aca="false">IF($W291="","",INDEX(发票统计!U$4:U$1003,$W291)&amp;"")</f>
        <v/>
      </c>
      <c r="W291" s="1" t="str">
        <f aca="false">IF($V$3="","",IFERROR(MATCH($V$3&amp;"#"&amp;ROWS(W$4:W291),发票统计!$W$4:$W$1003,0),""))</f>
        <v/>
      </c>
    </row>
    <row r="292" customFormat="false" ht="16.5" hidden="false" customHeight="false" outlineLevel="0" collapsed="false">
      <c r="A292" s="3" t="str">
        <f aca="false">IF($W292="","",INDEX(发票统计!A$4:A$1003,$W292)&amp;"")</f>
        <v/>
      </c>
      <c r="B292" s="3" t="str">
        <f aca="false">IF($W292="","",INDEX(发票统计!B$4:B$1003,$W292)&amp;"")</f>
        <v/>
      </c>
      <c r="C292" s="3" t="str">
        <f aca="false">IF($W292="","",INDEX(发票统计!C$4:C$1003,$W292)&amp;"")</f>
        <v/>
      </c>
      <c r="D292" s="3" t="str">
        <f aca="false">IF($W292="","",INDEX(发票统计!D$4:D$1003,$W292)&amp;"")</f>
        <v/>
      </c>
      <c r="E292" s="67" t="str">
        <f aca="false">IF($W292="","",INDEX(发票统计!E$4:E$1003,$W292)&amp;"")</f>
        <v/>
      </c>
      <c r="F292" s="68" t="str">
        <f aca="false">IF($W292="","",INDEX(发票统计!F$4:F$1003,$W292)&amp;"")</f>
        <v/>
      </c>
      <c r="G292" s="68" t="str">
        <f aca="false">IF($W292="","",IF(INDEX(发票统计!G$4:G$1003,$W292)="","",INDEX(发票统计!G$4:G$1003,$W292)))</f>
        <v/>
      </c>
      <c r="H292" s="56" t="str">
        <f aca="false">IF($W292="","",N(INDEX(发票统计!H$4:H$1003,$W292)))</f>
        <v/>
      </c>
      <c r="I292" s="56" t="str">
        <f aca="false">IF($W292="","",N(INDEX(发票统计!I$4:I$1003,$W292)))</f>
        <v/>
      </c>
      <c r="J292" s="56" t="str">
        <f aca="false">IF($W292="","",N(INDEX(发票统计!J$4:J$1003,$W292)))</f>
        <v/>
      </c>
      <c r="K292" s="56" t="str">
        <f aca="false">IF($W292="","",N(INDEX(发票统计!K$4:K$1003,$W292)))</f>
        <v/>
      </c>
      <c r="L292" s="56" t="str">
        <f aca="false">IF($W292="","",SUM(J$4:J292)-SUM(K$4:K292))</f>
        <v/>
      </c>
      <c r="M292" s="56" t="str">
        <f aca="false">IF($W292="","",N(INDEX(发票统计!M$4:M$1003,$W292)))</f>
        <v/>
      </c>
      <c r="N292" s="56" t="str">
        <f aca="false">IF($W292="","",N(INDEX(发票统计!N$4:N$1003,$W292)))</f>
        <v/>
      </c>
      <c r="O292" s="56" t="str">
        <f aca="false">IF($W292="","",N(INDEX(发票统计!O$4:O$1003,$W292)))</f>
        <v/>
      </c>
      <c r="P292" s="56" t="str">
        <f aca="false">IF($W292="","",SUM(M$4:M292)-SUM(N$4:N292)-SUM(O$4:O292))</f>
        <v/>
      </c>
      <c r="Q292" s="56" t="str">
        <f aca="false">IF($W292="","",N(INDEX(发票统计!Q$4:Q$1003,$W292)))</f>
        <v/>
      </c>
      <c r="R292" s="56" t="str">
        <f aca="false">IF($W292="","",N(INDEX(发票统计!R$4:R$1003,$W292)))</f>
        <v/>
      </c>
      <c r="S292" s="56" t="str">
        <f aca="false">IF($W292="","",N(INDEX(发票统计!S$4:S$1003,$W292)))</f>
        <v/>
      </c>
      <c r="T292" s="56" t="str">
        <f aca="false">IF($W292="","",SUM(Q$4:Q292)-SUM(R$4:R292)-SUM(S$4:S292))</f>
        <v/>
      </c>
      <c r="U292" s="56" t="str">
        <f aca="false">IF($W292="","",INDEX(发票统计!U$4:U$1003,$W292)&amp;"")</f>
        <v/>
      </c>
      <c r="W292" s="1" t="str">
        <f aca="false">IF($V$3="","",IFERROR(MATCH($V$3&amp;"#"&amp;ROWS(W$4:W292),发票统计!$W$4:$W$1003,0),""))</f>
        <v/>
      </c>
    </row>
    <row r="293" customFormat="false" ht="16.5" hidden="false" customHeight="false" outlineLevel="0" collapsed="false">
      <c r="A293" s="3" t="str">
        <f aca="false">IF($W293="","",INDEX(发票统计!A$4:A$1003,$W293)&amp;"")</f>
        <v/>
      </c>
      <c r="B293" s="3" t="str">
        <f aca="false">IF($W293="","",INDEX(发票统计!B$4:B$1003,$W293)&amp;"")</f>
        <v/>
      </c>
      <c r="C293" s="3" t="str">
        <f aca="false">IF($W293="","",INDEX(发票统计!C$4:C$1003,$W293)&amp;"")</f>
        <v/>
      </c>
      <c r="D293" s="3" t="str">
        <f aca="false">IF($W293="","",INDEX(发票统计!D$4:D$1003,$W293)&amp;"")</f>
        <v/>
      </c>
      <c r="E293" s="67" t="str">
        <f aca="false">IF($W293="","",INDEX(发票统计!E$4:E$1003,$W293)&amp;"")</f>
        <v/>
      </c>
      <c r="F293" s="68" t="str">
        <f aca="false">IF($W293="","",INDEX(发票统计!F$4:F$1003,$W293)&amp;"")</f>
        <v/>
      </c>
      <c r="G293" s="68" t="str">
        <f aca="false">IF($W293="","",IF(INDEX(发票统计!G$4:G$1003,$W293)="","",INDEX(发票统计!G$4:G$1003,$W293)))</f>
        <v/>
      </c>
      <c r="H293" s="56" t="str">
        <f aca="false">IF($W293="","",N(INDEX(发票统计!H$4:H$1003,$W293)))</f>
        <v/>
      </c>
      <c r="I293" s="56" t="str">
        <f aca="false">IF($W293="","",N(INDEX(发票统计!I$4:I$1003,$W293)))</f>
        <v/>
      </c>
      <c r="J293" s="56" t="str">
        <f aca="false">IF($W293="","",N(INDEX(发票统计!J$4:J$1003,$W293)))</f>
        <v/>
      </c>
      <c r="K293" s="56" t="str">
        <f aca="false">IF($W293="","",N(INDEX(发票统计!K$4:K$1003,$W293)))</f>
        <v/>
      </c>
      <c r="L293" s="56" t="str">
        <f aca="false">IF($W293="","",SUM(J$4:J293)-SUM(K$4:K293))</f>
        <v/>
      </c>
      <c r="M293" s="56" t="str">
        <f aca="false">IF($W293="","",N(INDEX(发票统计!M$4:M$1003,$W293)))</f>
        <v/>
      </c>
      <c r="N293" s="56" t="str">
        <f aca="false">IF($W293="","",N(INDEX(发票统计!N$4:N$1003,$W293)))</f>
        <v/>
      </c>
      <c r="O293" s="56" t="str">
        <f aca="false">IF($W293="","",N(INDEX(发票统计!O$4:O$1003,$W293)))</f>
        <v/>
      </c>
      <c r="P293" s="56" t="str">
        <f aca="false">IF($W293="","",SUM(M$4:M293)-SUM(N$4:N293)-SUM(O$4:O293))</f>
        <v/>
      </c>
      <c r="Q293" s="56" t="str">
        <f aca="false">IF($W293="","",N(INDEX(发票统计!Q$4:Q$1003,$W293)))</f>
        <v/>
      </c>
      <c r="R293" s="56" t="str">
        <f aca="false">IF($W293="","",N(INDEX(发票统计!R$4:R$1003,$W293)))</f>
        <v/>
      </c>
      <c r="S293" s="56" t="str">
        <f aca="false">IF($W293="","",N(INDEX(发票统计!S$4:S$1003,$W293)))</f>
        <v/>
      </c>
      <c r="T293" s="56" t="str">
        <f aca="false">IF($W293="","",SUM(Q$4:Q293)-SUM(R$4:R293)-SUM(S$4:S293))</f>
        <v/>
      </c>
      <c r="U293" s="56" t="str">
        <f aca="false">IF($W293="","",INDEX(发票统计!U$4:U$1003,$W293)&amp;"")</f>
        <v/>
      </c>
      <c r="W293" s="1" t="str">
        <f aca="false">IF($V$3="","",IFERROR(MATCH($V$3&amp;"#"&amp;ROWS(W$4:W293),发票统计!$W$4:$W$1003,0),""))</f>
        <v/>
      </c>
    </row>
    <row r="294" customFormat="false" ht="16.5" hidden="false" customHeight="false" outlineLevel="0" collapsed="false">
      <c r="A294" s="3" t="str">
        <f aca="false">IF($W294="","",INDEX(发票统计!A$4:A$1003,$W294)&amp;"")</f>
        <v/>
      </c>
      <c r="B294" s="3" t="str">
        <f aca="false">IF($W294="","",INDEX(发票统计!B$4:B$1003,$W294)&amp;"")</f>
        <v/>
      </c>
      <c r="C294" s="3" t="str">
        <f aca="false">IF($W294="","",INDEX(发票统计!C$4:C$1003,$W294)&amp;"")</f>
        <v/>
      </c>
      <c r="D294" s="3" t="str">
        <f aca="false">IF($W294="","",INDEX(发票统计!D$4:D$1003,$W294)&amp;"")</f>
        <v/>
      </c>
      <c r="E294" s="67" t="str">
        <f aca="false">IF($W294="","",INDEX(发票统计!E$4:E$1003,$W294)&amp;"")</f>
        <v/>
      </c>
      <c r="F294" s="68" t="str">
        <f aca="false">IF($W294="","",INDEX(发票统计!F$4:F$1003,$W294)&amp;"")</f>
        <v/>
      </c>
      <c r="G294" s="68" t="str">
        <f aca="false">IF($W294="","",IF(INDEX(发票统计!G$4:G$1003,$W294)="","",INDEX(发票统计!G$4:G$1003,$W294)))</f>
        <v/>
      </c>
      <c r="H294" s="56" t="str">
        <f aca="false">IF($W294="","",N(INDEX(发票统计!H$4:H$1003,$W294)))</f>
        <v/>
      </c>
      <c r="I294" s="56" t="str">
        <f aca="false">IF($W294="","",N(INDEX(发票统计!I$4:I$1003,$W294)))</f>
        <v/>
      </c>
      <c r="J294" s="56" t="str">
        <f aca="false">IF($W294="","",N(INDEX(发票统计!J$4:J$1003,$W294)))</f>
        <v/>
      </c>
      <c r="K294" s="56" t="str">
        <f aca="false">IF($W294="","",N(INDEX(发票统计!K$4:K$1003,$W294)))</f>
        <v/>
      </c>
      <c r="L294" s="56" t="str">
        <f aca="false">IF($W294="","",SUM(J$4:J294)-SUM(K$4:K294))</f>
        <v/>
      </c>
      <c r="M294" s="56" t="str">
        <f aca="false">IF($W294="","",N(INDEX(发票统计!M$4:M$1003,$W294)))</f>
        <v/>
      </c>
      <c r="N294" s="56" t="str">
        <f aca="false">IF($W294="","",N(INDEX(发票统计!N$4:N$1003,$W294)))</f>
        <v/>
      </c>
      <c r="O294" s="56" t="str">
        <f aca="false">IF($W294="","",N(INDEX(发票统计!O$4:O$1003,$W294)))</f>
        <v/>
      </c>
      <c r="P294" s="56" t="str">
        <f aca="false">IF($W294="","",SUM(M$4:M294)-SUM(N$4:N294)-SUM(O$4:O294))</f>
        <v/>
      </c>
      <c r="Q294" s="56" t="str">
        <f aca="false">IF($W294="","",N(INDEX(发票统计!Q$4:Q$1003,$W294)))</f>
        <v/>
      </c>
      <c r="R294" s="56" t="str">
        <f aca="false">IF($W294="","",N(INDEX(发票统计!R$4:R$1003,$W294)))</f>
        <v/>
      </c>
      <c r="S294" s="56" t="str">
        <f aca="false">IF($W294="","",N(INDEX(发票统计!S$4:S$1003,$W294)))</f>
        <v/>
      </c>
      <c r="T294" s="56" t="str">
        <f aca="false">IF($W294="","",SUM(Q$4:Q294)-SUM(R$4:R294)-SUM(S$4:S294))</f>
        <v/>
      </c>
      <c r="U294" s="56" t="str">
        <f aca="false">IF($W294="","",INDEX(发票统计!U$4:U$1003,$W294)&amp;"")</f>
        <v/>
      </c>
      <c r="W294" s="1" t="str">
        <f aca="false">IF($V$3="","",IFERROR(MATCH($V$3&amp;"#"&amp;ROWS(W$4:W294),发票统计!$W$4:$W$1003,0),""))</f>
        <v/>
      </c>
    </row>
    <row r="295" customFormat="false" ht="16.5" hidden="false" customHeight="false" outlineLevel="0" collapsed="false">
      <c r="A295" s="3" t="str">
        <f aca="false">IF($W295="","",INDEX(发票统计!A$4:A$1003,$W295)&amp;"")</f>
        <v/>
      </c>
      <c r="B295" s="3" t="str">
        <f aca="false">IF($W295="","",INDEX(发票统计!B$4:B$1003,$W295)&amp;"")</f>
        <v/>
      </c>
      <c r="C295" s="3" t="str">
        <f aca="false">IF($W295="","",INDEX(发票统计!C$4:C$1003,$W295)&amp;"")</f>
        <v/>
      </c>
      <c r="D295" s="3" t="str">
        <f aca="false">IF($W295="","",INDEX(发票统计!D$4:D$1003,$W295)&amp;"")</f>
        <v/>
      </c>
      <c r="E295" s="67" t="str">
        <f aca="false">IF($W295="","",INDEX(发票统计!E$4:E$1003,$W295)&amp;"")</f>
        <v/>
      </c>
      <c r="F295" s="68" t="str">
        <f aca="false">IF($W295="","",INDEX(发票统计!F$4:F$1003,$W295)&amp;"")</f>
        <v/>
      </c>
      <c r="G295" s="68" t="str">
        <f aca="false">IF($W295="","",IF(INDEX(发票统计!G$4:G$1003,$W295)="","",INDEX(发票统计!G$4:G$1003,$W295)))</f>
        <v/>
      </c>
      <c r="H295" s="56" t="str">
        <f aca="false">IF($W295="","",N(INDEX(发票统计!H$4:H$1003,$W295)))</f>
        <v/>
      </c>
      <c r="I295" s="56" t="str">
        <f aca="false">IF($W295="","",N(INDEX(发票统计!I$4:I$1003,$W295)))</f>
        <v/>
      </c>
      <c r="J295" s="56" t="str">
        <f aca="false">IF($W295="","",N(INDEX(发票统计!J$4:J$1003,$W295)))</f>
        <v/>
      </c>
      <c r="K295" s="56" t="str">
        <f aca="false">IF($W295="","",N(INDEX(发票统计!K$4:K$1003,$W295)))</f>
        <v/>
      </c>
      <c r="L295" s="56" t="str">
        <f aca="false">IF($W295="","",SUM(J$4:J295)-SUM(K$4:K295))</f>
        <v/>
      </c>
      <c r="M295" s="56" t="str">
        <f aca="false">IF($W295="","",N(INDEX(发票统计!M$4:M$1003,$W295)))</f>
        <v/>
      </c>
      <c r="N295" s="56" t="str">
        <f aca="false">IF($W295="","",N(INDEX(发票统计!N$4:N$1003,$W295)))</f>
        <v/>
      </c>
      <c r="O295" s="56" t="str">
        <f aca="false">IF($W295="","",N(INDEX(发票统计!O$4:O$1003,$W295)))</f>
        <v/>
      </c>
      <c r="P295" s="56" t="str">
        <f aca="false">IF($W295="","",SUM(M$4:M295)-SUM(N$4:N295)-SUM(O$4:O295))</f>
        <v/>
      </c>
      <c r="Q295" s="56" t="str">
        <f aca="false">IF($W295="","",N(INDEX(发票统计!Q$4:Q$1003,$W295)))</f>
        <v/>
      </c>
      <c r="R295" s="56" t="str">
        <f aca="false">IF($W295="","",N(INDEX(发票统计!R$4:R$1003,$W295)))</f>
        <v/>
      </c>
      <c r="S295" s="56" t="str">
        <f aca="false">IF($W295="","",N(INDEX(发票统计!S$4:S$1003,$W295)))</f>
        <v/>
      </c>
      <c r="T295" s="56" t="str">
        <f aca="false">IF($W295="","",SUM(Q$4:Q295)-SUM(R$4:R295)-SUM(S$4:S295))</f>
        <v/>
      </c>
      <c r="U295" s="56" t="str">
        <f aca="false">IF($W295="","",INDEX(发票统计!U$4:U$1003,$W295)&amp;"")</f>
        <v/>
      </c>
      <c r="W295" s="1" t="str">
        <f aca="false">IF($V$3="","",IFERROR(MATCH($V$3&amp;"#"&amp;ROWS(W$4:W295),发票统计!$W$4:$W$1003,0),""))</f>
        <v/>
      </c>
    </row>
    <row r="296" customFormat="false" ht="16.5" hidden="false" customHeight="false" outlineLevel="0" collapsed="false">
      <c r="A296" s="3" t="str">
        <f aca="false">IF($W296="","",INDEX(发票统计!A$4:A$1003,$W296)&amp;"")</f>
        <v/>
      </c>
      <c r="B296" s="3" t="str">
        <f aca="false">IF($W296="","",INDEX(发票统计!B$4:B$1003,$W296)&amp;"")</f>
        <v/>
      </c>
      <c r="C296" s="3" t="str">
        <f aca="false">IF($W296="","",INDEX(发票统计!C$4:C$1003,$W296)&amp;"")</f>
        <v/>
      </c>
      <c r="D296" s="3" t="str">
        <f aca="false">IF($W296="","",INDEX(发票统计!D$4:D$1003,$W296)&amp;"")</f>
        <v/>
      </c>
      <c r="E296" s="67" t="str">
        <f aca="false">IF($W296="","",INDEX(发票统计!E$4:E$1003,$W296)&amp;"")</f>
        <v/>
      </c>
      <c r="F296" s="68" t="str">
        <f aca="false">IF($W296="","",INDEX(发票统计!F$4:F$1003,$W296)&amp;"")</f>
        <v/>
      </c>
      <c r="G296" s="68" t="str">
        <f aca="false">IF($W296="","",IF(INDEX(发票统计!G$4:G$1003,$W296)="","",INDEX(发票统计!G$4:G$1003,$W296)))</f>
        <v/>
      </c>
      <c r="H296" s="56" t="str">
        <f aca="false">IF($W296="","",N(INDEX(发票统计!H$4:H$1003,$W296)))</f>
        <v/>
      </c>
      <c r="I296" s="56" t="str">
        <f aca="false">IF($W296="","",N(INDEX(发票统计!I$4:I$1003,$W296)))</f>
        <v/>
      </c>
      <c r="J296" s="56" t="str">
        <f aca="false">IF($W296="","",N(INDEX(发票统计!J$4:J$1003,$W296)))</f>
        <v/>
      </c>
      <c r="K296" s="56" t="str">
        <f aca="false">IF($W296="","",N(INDEX(发票统计!K$4:K$1003,$W296)))</f>
        <v/>
      </c>
      <c r="L296" s="56" t="str">
        <f aca="false">IF($W296="","",SUM(J$4:J296)-SUM(K$4:K296))</f>
        <v/>
      </c>
      <c r="M296" s="56" t="str">
        <f aca="false">IF($W296="","",N(INDEX(发票统计!M$4:M$1003,$W296)))</f>
        <v/>
      </c>
      <c r="N296" s="56" t="str">
        <f aca="false">IF($W296="","",N(INDEX(发票统计!N$4:N$1003,$W296)))</f>
        <v/>
      </c>
      <c r="O296" s="56" t="str">
        <f aca="false">IF($W296="","",N(INDEX(发票统计!O$4:O$1003,$W296)))</f>
        <v/>
      </c>
      <c r="P296" s="56" t="str">
        <f aca="false">IF($W296="","",SUM(M$4:M296)-SUM(N$4:N296)-SUM(O$4:O296))</f>
        <v/>
      </c>
      <c r="Q296" s="56" t="str">
        <f aca="false">IF($W296="","",N(INDEX(发票统计!Q$4:Q$1003,$W296)))</f>
        <v/>
      </c>
      <c r="R296" s="56" t="str">
        <f aca="false">IF($W296="","",N(INDEX(发票统计!R$4:R$1003,$W296)))</f>
        <v/>
      </c>
      <c r="S296" s="56" t="str">
        <f aca="false">IF($W296="","",N(INDEX(发票统计!S$4:S$1003,$W296)))</f>
        <v/>
      </c>
      <c r="T296" s="56" t="str">
        <f aca="false">IF($W296="","",SUM(Q$4:Q296)-SUM(R$4:R296)-SUM(S$4:S296))</f>
        <v/>
      </c>
      <c r="U296" s="56" t="str">
        <f aca="false">IF($W296="","",INDEX(发票统计!U$4:U$1003,$W296)&amp;"")</f>
        <v/>
      </c>
      <c r="W296" s="1" t="str">
        <f aca="false">IF($V$3="","",IFERROR(MATCH($V$3&amp;"#"&amp;ROWS(W$4:W296),发票统计!$W$4:$W$1003,0),""))</f>
        <v/>
      </c>
    </row>
    <row r="297" customFormat="false" ht="16.5" hidden="false" customHeight="false" outlineLevel="0" collapsed="false">
      <c r="A297" s="3" t="str">
        <f aca="false">IF($W297="","",INDEX(发票统计!A$4:A$1003,$W297)&amp;"")</f>
        <v/>
      </c>
      <c r="B297" s="3" t="str">
        <f aca="false">IF($W297="","",INDEX(发票统计!B$4:B$1003,$W297)&amp;"")</f>
        <v/>
      </c>
      <c r="C297" s="3" t="str">
        <f aca="false">IF($W297="","",INDEX(发票统计!C$4:C$1003,$W297)&amp;"")</f>
        <v/>
      </c>
      <c r="D297" s="3" t="str">
        <f aca="false">IF($W297="","",INDEX(发票统计!D$4:D$1003,$W297)&amp;"")</f>
        <v/>
      </c>
      <c r="E297" s="67" t="str">
        <f aca="false">IF($W297="","",INDEX(发票统计!E$4:E$1003,$W297)&amp;"")</f>
        <v/>
      </c>
      <c r="F297" s="68" t="str">
        <f aca="false">IF($W297="","",INDEX(发票统计!F$4:F$1003,$W297)&amp;"")</f>
        <v/>
      </c>
      <c r="G297" s="68" t="str">
        <f aca="false">IF($W297="","",IF(INDEX(发票统计!G$4:G$1003,$W297)="","",INDEX(发票统计!G$4:G$1003,$W297)))</f>
        <v/>
      </c>
      <c r="H297" s="56" t="str">
        <f aca="false">IF($W297="","",N(INDEX(发票统计!H$4:H$1003,$W297)))</f>
        <v/>
      </c>
      <c r="I297" s="56" t="str">
        <f aca="false">IF($W297="","",N(INDEX(发票统计!I$4:I$1003,$W297)))</f>
        <v/>
      </c>
      <c r="J297" s="56" t="str">
        <f aca="false">IF($W297="","",N(INDEX(发票统计!J$4:J$1003,$W297)))</f>
        <v/>
      </c>
      <c r="K297" s="56" t="str">
        <f aca="false">IF($W297="","",N(INDEX(发票统计!K$4:K$1003,$W297)))</f>
        <v/>
      </c>
      <c r="L297" s="56" t="str">
        <f aca="false">IF($W297="","",SUM(J$4:J297)-SUM(K$4:K297))</f>
        <v/>
      </c>
      <c r="M297" s="56" t="str">
        <f aca="false">IF($W297="","",N(INDEX(发票统计!M$4:M$1003,$W297)))</f>
        <v/>
      </c>
      <c r="N297" s="56" t="str">
        <f aca="false">IF($W297="","",N(INDEX(发票统计!N$4:N$1003,$W297)))</f>
        <v/>
      </c>
      <c r="O297" s="56" t="str">
        <f aca="false">IF($W297="","",N(INDEX(发票统计!O$4:O$1003,$W297)))</f>
        <v/>
      </c>
      <c r="P297" s="56" t="str">
        <f aca="false">IF($W297="","",SUM(M$4:M297)-SUM(N$4:N297)-SUM(O$4:O297))</f>
        <v/>
      </c>
      <c r="Q297" s="56" t="str">
        <f aca="false">IF($W297="","",N(INDEX(发票统计!Q$4:Q$1003,$W297)))</f>
        <v/>
      </c>
      <c r="R297" s="56" t="str">
        <f aca="false">IF($W297="","",N(INDEX(发票统计!R$4:R$1003,$W297)))</f>
        <v/>
      </c>
      <c r="S297" s="56" t="str">
        <f aca="false">IF($W297="","",N(INDEX(发票统计!S$4:S$1003,$W297)))</f>
        <v/>
      </c>
      <c r="T297" s="56" t="str">
        <f aca="false">IF($W297="","",SUM(Q$4:Q297)-SUM(R$4:R297)-SUM(S$4:S297))</f>
        <v/>
      </c>
      <c r="U297" s="56" t="str">
        <f aca="false">IF($W297="","",INDEX(发票统计!U$4:U$1003,$W297)&amp;"")</f>
        <v/>
      </c>
      <c r="W297" s="1" t="str">
        <f aca="false">IF($V$3="","",IFERROR(MATCH($V$3&amp;"#"&amp;ROWS(W$4:W297),发票统计!$W$4:$W$1003,0),""))</f>
        <v/>
      </c>
    </row>
    <row r="298" customFormat="false" ht="16.5" hidden="false" customHeight="false" outlineLevel="0" collapsed="false">
      <c r="A298" s="3" t="str">
        <f aca="false">IF($W298="","",INDEX(发票统计!A$4:A$1003,$W298)&amp;"")</f>
        <v/>
      </c>
      <c r="B298" s="3" t="str">
        <f aca="false">IF($W298="","",INDEX(发票统计!B$4:B$1003,$W298)&amp;"")</f>
        <v/>
      </c>
      <c r="C298" s="3" t="str">
        <f aca="false">IF($W298="","",INDEX(发票统计!C$4:C$1003,$W298)&amp;"")</f>
        <v/>
      </c>
      <c r="D298" s="3" t="str">
        <f aca="false">IF($W298="","",INDEX(发票统计!D$4:D$1003,$W298)&amp;"")</f>
        <v/>
      </c>
      <c r="E298" s="67" t="str">
        <f aca="false">IF($W298="","",INDEX(发票统计!E$4:E$1003,$W298)&amp;"")</f>
        <v/>
      </c>
      <c r="F298" s="68" t="str">
        <f aca="false">IF($W298="","",INDEX(发票统计!F$4:F$1003,$W298)&amp;"")</f>
        <v/>
      </c>
      <c r="G298" s="68" t="str">
        <f aca="false">IF($W298="","",IF(INDEX(发票统计!G$4:G$1003,$W298)="","",INDEX(发票统计!G$4:G$1003,$W298)))</f>
        <v/>
      </c>
      <c r="H298" s="56" t="str">
        <f aca="false">IF($W298="","",N(INDEX(发票统计!H$4:H$1003,$W298)))</f>
        <v/>
      </c>
      <c r="I298" s="56" t="str">
        <f aca="false">IF($W298="","",N(INDEX(发票统计!I$4:I$1003,$W298)))</f>
        <v/>
      </c>
      <c r="J298" s="56" t="str">
        <f aca="false">IF($W298="","",N(INDEX(发票统计!J$4:J$1003,$W298)))</f>
        <v/>
      </c>
      <c r="K298" s="56" t="str">
        <f aca="false">IF($W298="","",N(INDEX(发票统计!K$4:K$1003,$W298)))</f>
        <v/>
      </c>
      <c r="L298" s="56" t="str">
        <f aca="false">IF($W298="","",SUM(J$4:J298)-SUM(K$4:K298))</f>
        <v/>
      </c>
      <c r="M298" s="56" t="str">
        <f aca="false">IF($W298="","",N(INDEX(发票统计!M$4:M$1003,$W298)))</f>
        <v/>
      </c>
      <c r="N298" s="56" t="str">
        <f aca="false">IF($W298="","",N(INDEX(发票统计!N$4:N$1003,$W298)))</f>
        <v/>
      </c>
      <c r="O298" s="56" t="str">
        <f aca="false">IF($W298="","",N(INDEX(发票统计!O$4:O$1003,$W298)))</f>
        <v/>
      </c>
      <c r="P298" s="56" t="str">
        <f aca="false">IF($W298="","",SUM(M$4:M298)-SUM(N$4:N298)-SUM(O$4:O298))</f>
        <v/>
      </c>
      <c r="Q298" s="56" t="str">
        <f aca="false">IF($W298="","",N(INDEX(发票统计!Q$4:Q$1003,$W298)))</f>
        <v/>
      </c>
      <c r="R298" s="56" t="str">
        <f aca="false">IF($W298="","",N(INDEX(发票统计!R$4:R$1003,$W298)))</f>
        <v/>
      </c>
      <c r="S298" s="56" t="str">
        <f aca="false">IF($W298="","",N(INDEX(发票统计!S$4:S$1003,$W298)))</f>
        <v/>
      </c>
      <c r="T298" s="56" t="str">
        <f aca="false">IF($W298="","",SUM(Q$4:Q298)-SUM(R$4:R298)-SUM(S$4:S298))</f>
        <v/>
      </c>
      <c r="U298" s="56" t="str">
        <f aca="false">IF($W298="","",INDEX(发票统计!U$4:U$1003,$W298)&amp;"")</f>
        <v/>
      </c>
      <c r="W298" s="1" t="str">
        <f aca="false">IF($V$3="","",IFERROR(MATCH($V$3&amp;"#"&amp;ROWS(W$4:W298),发票统计!$W$4:$W$1003,0),""))</f>
        <v/>
      </c>
    </row>
    <row r="299" customFormat="false" ht="16.5" hidden="false" customHeight="false" outlineLevel="0" collapsed="false">
      <c r="A299" s="3" t="str">
        <f aca="false">IF($W299="","",INDEX(发票统计!A$4:A$1003,$W299)&amp;"")</f>
        <v/>
      </c>
      <c r="B299" s="3" t="str">
        <f aca="false">IF($W299="","",INDEX(发票统计!B$4:B$1003,$W299)&amp;"")</f>
        <v/>
      </c>
      <c r="C299" s="3" t="str">
        <f aca="false">IF($W299="","",INDEX(发票统计!C$4:C$1003,$W299)&amp;"")</f>
        <v/>
      </c>
      <c r="D299" s="3" t="str">
        <f aca="false">IF($W299="","",INDEX(发票统计!D$4:D$1003,$W299)&amp;"")</f>
        <v/>
      </c>
      <c r="E299" s="67" t="str">
        <f aca="false">IF($W299="","",INDEX(发票统计!E$4:E$1003,$W299)&amp;"")</f>
        <v/>
      </c>
      <c r="F299" s="68" t="str">
        <f aca="false">IF($W299="","",INDEX(发票统计!F$4:F$1003,$W299)&amp;"")</f>
        <v/>
      </c>
      <c r="G299" s="68" t="str">
        <f aca="false">IF($W299="","",IF(INDEX(发票统计!G$4:G$1003,$W299)="","",INDEX(发票统计!G$4:G$1003,$W299)))</f>
        <v/>
      </c>
      <c r="H299" s="56" t="str">
        <f aca="false">IF($W299="","",N(INDEX(发票统计!H$4:H$1003,$W299)))</f>
        <v/>
      </c>
      <c r="I299" s="56" t="str">
        <f aca="false">IF($W299="","",N(INDEX(发票统计!I$4:I$1003,$W299)))</f>
        <v/>
      </c>
      <c r="J299" s="56" t="str">
        <f aca="false">IF($W299="","",N(INDEX(发票统计!J$4:J$1003,$W299)))</f>
        <v/>
      </c>
      <c r="K299" s="56" t="str">
        <f aca="false">IF($W299="","",N(INDEX(发票统计!K$4:K$1003,$W299)))</f>
        <v/>
      </c>
      <c r="L299" s="56" t="str">
        <f aca="false">IF($W299="","",SUM(J$4:J299)-SUM(K$4:K299))</f>
        <v/>
      </c>
      <c r="M299" s="56" t="str">
        <f aca="false">IF($W299="","",N(INDEX(发票统计!M$4:M$1003,$W299)))</f>
        <v/>
      </c>
      <c r="N299" s="56" t="str">
        <f aca="false">IF($W299="","",N(INDEX(发票统计!N$4:N$1003,$W299)))</f>
        <v/>
      </c>
      <c r="O299" s="56" t="str">
        <f aca="false">IF($W299="","",N(INDEX(发票统计!O$4:O$1003,$W299)))</f>
        <v/>
      </c>
      <c r="P299" s="56" t="str">
        <f aca="false">IF($W299="","",SUM(M$4:M299)-SUM(N$4:N299)-SUM(O$4:O299))</f>
        <v/>
      </c>
      <c r="Q299" s="56" t="str">
        <f aca="false">IF($W299="","",N(INDEX(发票统计!Q$4:Q$1003,$W299)))</f>
        <v/>
      </c>
      <c r="R299" s="56" t="str">
        <f aca="false">IF($W299="","",N(INDEX(发票统计!R$4:R$1003,$W299)))</f>
        <v/>
      </c>
      <c r="S299" s="56" t="str">
        <f aca="false">IF($W299="","",N(INDEX(发票统计!S$4:S$1003,$W299)))</f>
        <v/>
      </c>
      <c r="T299" s="56" t="str">
        <f aca="false">IF($W299="","",SUM(Q$4:Q299)-SUM(R$4:R299)-SUM(S$4:S299))</f>
        <v/>
      </c>
      <c r="U299" s="56" t="str">
        <f aca="false">IF($W299="","",INDEX(发票统计!U$4:U$1003,$W299)&amp;"")</f>
        <v/>
      </c>
      <c r="W299" s="1" t="str">
        <f aca="false">IF($V$3="","",IFERROR(MATCH($V$3&amp;"#"&amp;ROWS(W$4:W299),发票统计!$W$4:$W$1003,0),""))</f>
        <v/>
      </c>
    </row>
    <row r="300" customFormat="false" ht="16.5" hidden="false" customHeight="false" outlineLevel="0" collapsed="false">
      <c r="A300" s="3" t="str">
        <f aca="false">IF($W300="","",INDEX(发票统计!A$4:A$1003,$W300)&amp;"")</f>
        <v/>
      </c>
      <c r="B300" s="3" t="str">
        <f aca="false">IF($W300="","",INDEX(发票统计!B$4:B$1003,$W300)&amp;"")</f>
        <v/>
      </c>
      <c r="C300" s="3" t="str">
        <f aca="false">IF($W300="","",INDEX(发票统计!C$4:C$1003,$W300)&amp;"")</f>
        <v/>
      </c>
      <c r="D300" s="3" t="str">
        <f aca="false">IF($W300="","",INDEX(发票统计!D$4:D$1003,$W300)&amp;"")</f>
        <v/>
      </c>
      <c r="E300" s="67" t="str">
        <f aca="false">IF($W300="","",INDEX(发票统计!E$4:E$1003,$W300)&amp;"")</f>
        <v/>
      </c>
      <c r="F300" s="68" t="str">
        <f aca="false">IF($W300="","",INDEX(发票统计!F$4:F$1003,$W300)&amp;"")</f>
        <v/>
      </c>
      <c r="G300" s="68" t="str">
        <f aca="false">IF($W300="","",IF(INDEX(发票统计!G$4:G$1003,$W300)="","",INDEX(发票统计!G$4:G$1003,$W300)))</f>
        <v/>
      </c>
      <c r="H300" s="56" t="str">
        <f aca="false">IF($W300="","",N(INDEX(发票统计!H$4:H$1003,$W300)))</f>
        <v/>
      </c>
      <c r="I300" s="56" t="str">
        <f aca="false">IF($W300="","",N(INDEX(发票统计!I$4:I$1003,$W300)))</f>
        <v/>
      </c>
      <c r="J300" s="56" t="str">
        <f aca="false">IF($W300="","",N(INDEX(发票统计!J$4:J$1003,$W300)))</f>
        <v/>
      </c>
      <c r="K300" s="56" t="str">
        <f aca="false">IF($W300="","",N(INDEX(发票统计!K$4:K$1003,$W300)))</f>
        <v/>
      </c>
      <c r="L300" s="56" t="str">
        <f aca="false">IF($W300="","",SUM(J$4:J300)-SUM(K$4:K300))</f>
        <v/>
      </c>
      <c r="M300" s="56" t="str">
        <f aca="false">IF($W300="","",N(INDEX(发票统计!M$4:M$1003,$W300)))</f>
        <v/>
      </c>
      <c r="N300" s="56" t="str">
        <f aca="false">IF($W300="","",N(INDEX(发票统计!N$4:N$1003,$W300)))</f>
        <v/>
      </c>
      <c r="O300" s="56" t="str">
        <f aca="false">IF($W300="","",N(INDEX(发票统计!O$4:O$1003,$W300)))</f>
        <v/>
      </c>
      <c r="P300" s="56" t="str">
        <f aca="false">IF($W300="","",SUM(M$4:M300)-SUM(N$4:N300)-SUM(O$4:O300))</f>
        <v/>
      </c>
      <c r="Q300" s="56" t="str">
        <f aca="false">IF($W300="","",N(INDEX(发票统计!Q$4:Q$1003,$W300)))</f>
        <v/>
      </c>
      <c r="R300" s="56" t="str">
        <f aca="false">IF($W300="","",N(INDEX(发票统计!R$4:R$1003,$W300)))</f>
        <v/>
      </c>
      <c r="S300" s="56" t="str">
        <f aca="false">IF($W300="","",N(INDEX(发票统计!S$4:S$1003,$W300)))</f>
        <v/>
      </c>
      <c r="T300" s="56" t="str">
        <f aca="false">IF($W300="","",SUM(Q$4:Q300)-SUM(R$4:R300)-SUM(S$4:S300))</f>
        <v/>
      </c>
      <c r="U300" s="56" t="str">
        <f aca="false">IF($W300="","",INDEX(发票统计!U$4:U$1003,$W300)&amp;"")</f>
        <v/>
      </c>
      <c r="W300" s="1" t="str">
        <f aca="false">IF($V$3="","",IFERROR(MATCH($V$3&amp;"#"&amp;ROWS(W$4:W300),发票统计!$W$4:$W$1003,0),""))</f>
        <v/>
      </c>
    </row>
    <row r="301" customFormat="false" ht="16.5" hidden="false" customHeight="false" outlineLevel="0" collapsed="false">
      <c r="A301" s="3" t="str">
        <f aca="false">IF($W301="","",INDEX(发票统计!A$4:A$1003,$W301)&amp;"")</f>
        <v/>
      </c>
      <c r="B301" s="3" t="str">
        <f aca="false">IF($W301="","",INDEX(发票统计!B$4:B$1003,$W301)&amp;"")</f>
        <v/>
      </c>
      <c r="C301" s="3" t="str">
        <f aca="false">IF($W301="","",INDEX(发票统计!C$4:C$1003,$W301)&amp;"")</f>
        <v/>
      </c>
      <c r="D301" s="3" t="str">
        <f aca="false">IF($W301="","",INDEX(发票统计!D$4:D$1003,$W301)&amp;"")</f>
        <v/>
      </c>
      <c r="E301" s="67" t="str">
        <f aca="false">IF($W301="","",INDEX(发票统计!E$4:E$1003,$W301)&amp;"")</f>
        <v/>
      </c>
      <c r="F301" s="68" t="str">
        <f aca="false">IF($W301="","",INDEX(发票统计!F$4:F$1003,$W301)&amp;"")</f>
        <v/>
      </c>
      <c r="G301" s="68" t="str">
        <f aca="false">IF($W301="","",IF(INDEX(发票统计!G$4:G$1003,$W301)="","",INDEX(发票统计!G$4:G$1003,$W301)))</f>
        <v/>
      </c>
      <c r="H301" s="56" t="str">
        <f aca="false">IF($W301="","",N(INDEX(发票统计!H$4:H$1003,$W301)))</f>
        <v/>
      </c>
      <c r="I301" s="56" t="str">
        <f aca="false">IF($W301="","",N(INDEX(发票统计!I$4:I$1003,$W301)))</f>
        <v/>
      </c>
      <c r="J301" s="56" t="str">
        <f aca="false">IF($W301="","",N(INDEX(发票统计!J$4:J$1003,$W301)))</f>
        <v/>
      </c>
      <c r="K301" s="56" t="str">
        <f aca="false">IF($W301="","",N(INDEX(发票统计!K$4:K$1003,$W301)))</f>
        <v/>
      </c>
      <c r="L301" s="56" t="str">
        <f aca="false">IF($W301="","",SUM(J$4:J301)-SUM(K$4:K301))</f>
        <v/>
      </c>
      <c r="M301" s="56" t="str">
        <f aca="false">IF($W301="","",N(INDEX(发票统计!M$4:M$1003,$W301)))</f>
        <v/>
      </c>
      <c r="N301" s="56" t="str">
        <f aca="false">IF($W301="","",N(INDEX(发票统计!N$4:N$1003,$W301)))</f>
        <v/>
      </c>
      <c r="O301" s="56" t="str">
        <f aca="false">IF($W301="","",N(INDEX(发票统计!O$4:O$1003,$W301)))</f>
        <v/>
      </c>
      <c r="P301" s="56" t="str">
        <f aca="false">IF($W301="","",SUM(M$4:M301)-SUM(N$4:N301)-SUM(O$4:O301))</f>
        <v/>
      </c>
      <c r="Q301" s="56" t="str">
        <f aca="false">IF($W301="","",N(INDEX(发票统计!Q$4:Q$1003,$W301)))</f>
        <v/>
      </c>
      <c r="R301" s="56" t="str">
        <f aca="false">IF($W301="","",N(INDEX(发票统计!R$4:R$1003,$W301)))</f>
        <v/>
      </c>
      <c r="S301" s="56" t="str">
        <f aca="false">IF($W301="","",N(INDEX(发票统计!S$4:S$1003,$W301)))</f>
        <v/>
      </c>
      <c r="T301" s="56" t="str">
        <f aca="false">IF($W301="","",SUM(Q$4:Q301)-SUM(R$4:R301)-SUM(S$4:S301))</f>
        <v/>
      </c>
      <c r="U301" s="56" t="str">
        <f aca="false">IF($W301="","",INDEX(发票统计!U$4:U$1003,$W301)&amp;"")</f>
        <v/>
      </c>
      <c r="W301" s="1" t="str">
        <f aca="false">IF($V$3="","",IFERROR(MATCH($V$3&amp;"#"&amp;ROWS(W$4:W301),发票统计!$W$4:$W$1003,0),""))</f>
        <v/>
      </c>
    </row>
    <row r="302" customFormat="false" ht="16.5" hidden="false" customHeight="false" outlineLevel="0" collapsed="false">
      <c r="A302" s="3" t="str">
        <f aca="false">IF($W302="","",INDEX(发票统计!A$4:A$1003,$W302)&amp;"")</f>
        <v/>
      </c>
      <c r="B302" s="3" t="str">
        <f aca="false">IF($W302="","",INDEX(发票统计!B$4:B$1003,$W302)&amp;"")</f>
        <v/>
      </c>
      <c r="C302" s="3" t="str">
        <f aca="false">IF($W302="","",INDEX(发票统计!C$4:C$1003,$W302)&amp;"")</f>
        <v/>
      </c>
      <c r="D302" s="3" t="str">
        <f aca="false">IF($W302="","",INDEX(发票统计!D$4:D$1003,$W302)&amp;"")</f>
        <v/>
      </c>
      <c r="E302" s="67" t="str">
        <f aca="false">IF($W302="","",INDEX(发票统计!E$4:E$1003,$W302)&amp;"")</f>
        <v/>
      </c>
      <c r="F302" s="68" t="str">
        <f aca="false">IF($W302="","",INDEX(发票统计!F$4:F$1003,$W302)&amp;"")</f>
        <v/>
      </c>
      <c r="G302" s="68" t="str">
        <f aca="false">IF($W302="","",IF(INDEX(发票统计!G$4:G$1003,$W302)="","",INDEX(发票统计!G$4:G$1003,$W302)))</f>
        <v/>
      </c>
      <c r="H302" s="56" t="str">
        <f aca="false">IF($W302="","",N(INDEX(发票统计!H$4:H$1003,$W302)))</f>
        <v/>
      </c>
      <c r="I302" s="56" t="str">
        <f aca="false">IF($W302="","",N(INDEX(发票统计!I$4:I$1003,$W302)))</f>
        <v/>
      </c>
      <c r="J302" s="56" t="str">
        <f aca="false">IF($W302="","",N(INDEX(发票统计!J$4:J$1003,$W302)))</f>
        <v/>
      </c>
      <c r="K302" s="56" t="str">
        <f aca="false">IF($W302="","",N(INDEX(发票统计!K$4:K$1003,$W302)))</f>
        <v/>
      </c>
      <c r="L302" s="56" t="str">
        <f aca="false">IF($W302="","",SUM(J$4:J302)-SUM(K$4:K302))</f>
        <v/>
      </c>
      <c r="M302" s="56" t="str">
        <f aca="false">IF($W302="","",N(INDEX(发票统计!M$4:M$1003,$W302)))</f>
        <v/>
      </c>
      <c r="N302" s="56" t="str">
        <f aca="false">IF($W302="","",N(INDEX(发票统计!N$4:N$1003,$W302)))</f>
        <v/>
      </c>
      <c r="O302" s="56" t="str">
        <f aca="false">IF($W302="","",N(INDEX(发票统计!O$4:O$1003,$W302)))</f>
        <v/>
      </c>
      <c r="P302" s="56" t="str">
        <f aca="false">IF($W302="","",SUM(M$4:M302)-SUM(N$4:N302)-SUM(O$4:O302))</f>
        <v/>
      </c>
      <c r="Q302" s="56" t="str">
        <f aca="false">IF($W302="","",N(INDEX(发票统计!Q$4:Q$1003,$W302)))</f>
        <v/>
      </c>
      <c r="R302" s="56" t="str">
        <f aca="false">IF($W302="","",N(INDEX(发票统计!R$4:R$1003,$W302)))</f>
        <v/>
      </c>
      <c r="S302" s="56" t="str">
        <f aca="false">IF($W302="","",N(INDEX(发票统计!S$4:S$1003,$W302)))</f>
        <v/>
      </c>
      <c r="T302" s="56" t="str">
        <f aca="false">IF($W302="","",SUM(Q$4:Q302)-SUM(R$4:R302)-SUM(S$4:S302))</f>
        <v/>
      </c>
      <c r="U302" s="56" t="str">
        <f aca="false">IF($W302="","",INDEX(发票统计!U$4:U$1003,$W302)&amp;"")</f>
        <v/>
      </c>
      <c r="W302" s="1" t="str">
        <f aca="false">IF($V$3="","",IFERROR(MATCH($V$3&amp;"#"&amp;ROWS(W$4:W302),发票统计!$W$4:$W$1003,0),""))</f>
        <v/>
      </c>
    </row>
    <row r="303" customFormat="false" ht="16.5" hidden="false" customHeight="false" outlineLevel="0" collapsed="false">
      <c r="A303" s="3" t="str">
        <f aca="false">IF($W303="","",INDEX(发票统计!A$4:A$1003,$W303)&amp;"")</f>
        <v/>
      </c>
      <c r="B303" s="3" t="str">
        <f aca="false">IF($W303="","",INDEX(发票统计!B$4:B$1003,$W303)&amp;"")</f>
        <v/>
      </c>
      <c r="C303" s="3" t="str">
        <f aca="false">IF($W303="","",INDEX(发票统计!C$4:C$1003,$W303)&amp;"")</f>
        <v/>
      </c>
      <c r="D303" s="3" t="str">
        <f aca="false">IF($W303="","",INDEX(发票统计!D$4:D$1003,$W303)&amp;"")</f>
        <v/>
      </c>
      <c r="E303" s="67" t="str">
        <f aca="false">IF($W303="","",INDEX(发票统计!E$4:E$1003,$W303)&amp;"")</f>
        <v/>
      </c>
      <c r="F303" s="68" t="str">
        <f aca="false">IF($W303="","",INDEX(发票统计!F$4:F$1003,$W303)&amp;"")</f>
        <v/>
      </c>
      <c r="G303" s="68" t="str">
        <f aca="false">IF($W303="","",IF(INDEX(发票统计!G$4:G$1003,$W303)="","",INDEX(发票统计!G$4:G$1003,$W303)))</f>
        <v/>
      </c>
      <c r="H303" s="56" t="str">
        <f aca="false">IF($W303="","",N(INDEX(发票统计!H$4:H$1003,$W303)))</f>
        <v/>
      </c>
      <c r="I303" s="56" t="str">
        <f aca="false">IF($W303="","",N(INDEX(发票统计!I$4:I$1003,$W303)))</f>
        <v/>
      </c>
      <c r="J303" s="56" t="str">
        <f aca="false">IF($W303="","",N(INDEX(发票统计!J$4:J$1003,$W303)))</f>
        <v/>
      </c>
      <c r="K303" s="56" t="str">
        <f aca="false">IF($W303="","",N(INDEX(发票统计!K$4:K$1003,$W303)))</f>
        <v/>
      </c>
      <c r="L303" s="56" t="str">
        <f aca="false">IF($W303="","",SUM(J$4:J303)-SUM(K$4:K303))</f>
        <v/>
      </c>
      <c r="M303" s="56" t="str">
        <f aca="false">IF($W303="","",N(INDEX(发票统计!M$4:M$1003,$W303)))</f>
        <v/>
      </c>
      <c r="N303" s="56" t="str">
        <f aca="false">IF($W303="","",N(INDEX(发票统计!N$4:N$1003,$W303)))</f>
        <v/>
      </c>
      <c r="O303" s="56" t="str">
        <f aca="false">IF($W303="","",N(INDEX(发票统计!O$4:O$1003,$W303)))</f>
        <v/>
      </c>
      <c r="P303" s="56" t="str">
        <f aca="false">IF($W303="","",SUM(M$4:M303)-SUM(N$4:N303)-SUM(O$4:O303))</f>
        <v/>
      </c>
      <c r="Q303" s="56" t="str">
        <f aca="false">IF($W303="","",N(INDEX(发票统计!Q$4:Q$1003,$W303)))</f>
        <v/>
      </c>
      <c r="R303" s="56" t="str">
        <f aca="false">IF($W303="","",N(INDEX(发票统计!R$4:R$1003,$W303)))</f>
        <v/>
      </c>
      <c r="S303" s="56" t="str">
        <f aca="false">IF($W303="","",N(INDEX(发票统计!S$4:S$1003,$W303)))</f>
        <v/>
      </c>
      <c r="T303" s="56" t="str">
        <f aca="false">IF($W303="","",SUM(Q$4:Q303)-SUM(R$4:R303)-SUM(S$4:S303))</f>
        <v/>
      </c>
      <c r="U303" s="56" t="str">
        <f aca="false">IF($W303="","",INDEX(发票统计!U$4:U$1003,$W303)&amp;"")</f>
        <v/>
      </c>
      <c r="W303" s="1" t="str">
        <f aca="false">IF($V$3="","",IFERROR(MATCH($V$3&amp;"#"&amp;ROWS(W$4:W303),发票统计!$W$4:$W$1003,0),""))</f>
        <v/>
      </c>
    </row>
  </sheetData>
  <autoFilter ref="A2:V36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3"/>
  <sheetViews>
    <sheetView showFormulas="false" showGridLines="true" showRowColHeaders="true" showZeros="true" rightToLeft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6.5" zeroHeight="false" outlineLevelRow="0" outlineLevelCol="0"/>
  <cols>
    <col collapsed="false" customWidth="true" hidden="false" outlineLevel="0" max="1" min="1" style="1" width="8.23"/>
    <col collapsed="false" customWidth="true" hidden="true" outlineLevel="0" max="2" min="2" style="1" width="5.73"/>
    <col collapsed="false" customWidth="true" hidden="true" outlineLevel="0" max="3" min="3" style="1" width="57.46"/>
    <col collapsed="false" customWidth="true" hidden="false" outlineLevel="0" max="4" min="4" style="1" width="66.42"/>
    <col collapsed="false" customWidth="true" hidden="false" outlineLevel="0" max="5" min="5" style="63" width="8.87"/>
    <col collapsed="false" customWidth="true" hidden="false" outlineLevel="0" max="6" min="6" style="71" width="9.2"/>
    <col collapsed="false" customWidth="true" hidden="false" outlineLevel="0" max="7" min="7" style="64" width="6.2"/>
    <col collapsed="false" customWidth="true" hidden="false" outlineLevel="0" max="8" min="8" style="63" width="14.91"/>
    <col collapsed="false" customWidth="true" hidden="false" outlineLevel="0" max="9" min="9" style="63" width="13.54"/>
    <col collapsed="false" customWidth="true" hidden="false" outlineLevel="0" max="11" min="10" style="63" width="14.91"/>
    <col collapsed="false" customWidth="true" hidden="false" outlineLevel="0" max="12" min="12" style="63" width="13.91"/>
    <col collapsed="false" customWidth="true" hidden="false" outlineLevel="0" max="14" min="13" style="1" width="13.91"/>
    <col collapsed="false" customWidth="true" hidden="false" outlineLevel="0" max="15" min="15" style="1" width="12.54"/>
    <col collapsed="false" customWidth="true" hidden="false" outlineLevel="0" max="17" min="16" style="1" width="14.82"/>
    <col collapsed="false" customWidth="true" hidden="false" outlineLevel="0" max="20" min="18" style="1" width="12.54"/>
    <col collapsed="false" customWidth="true" hidden="false" outlineLevel="0" max="21" min="21" style="1" width="24.16"/>
    <col collapsed="false" customWidth="true" hidden="false" outlineLevel="0" max="22" min="22" style="1" width="24"/>
    <col collapsed="false" customWidth="false" hidden="true" outlineLevel="0" max="23" min="23" style="1" width="9"/>
    <col collapsed="false" customWidth="false" hidden="false" outlineLevel="0" max="16378" min="24" style="1" width="9"/>
  </cols>
  <sheetData>
    <row r="1" customFormat="false" ht="36.75" hidden="false" customHeight="true" outlineLevel="0" collapsed="false">
      <c r="A1" s="72" t="s">
        <v>153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="8" customFormat="true" ht="33" hidden="false" customHeight="true" outlineLevel="0" collapsed="false">
      <c r="A2" s="10" t="s">
        <v>148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66" t="s">
        <v>149</v>
      </c>
    </row>
    <row r="3" s="8" customFormat="true" ht="26.8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SUM(H4:H303)</f>
        <v>121598.1</v>
      </c>
      <c r="I3" s="15" t="n">
        <f aca="false">SUM(I4:I303)</f>
        <v>12159.81</v>
      </c>
      <c r="J3" s="15" t="n">
        <f aca="false">SUM(J4:J303)</f>
        <v>109438.29</v>
      </c>
      <c r="K3" s="15" t="n">
        <f aca="false">SUM(K4:K303)</f>
        <v>167000</v>
      </c>
      <c r="L3" s="15" t="n">
        <f aca="false">J3-K3</f>
        <v>-57561.71</v>
      </c>
      <c r="M3" s="15" t="n">
        <f aca="false">SUM(M4:M303)</f>
        <v>121598.1</v>
      </c>
      <c r="N3" s="15" t="n">
        <f aca="false">SUM(N4:N303)</f>
        <v>0</v>
      </c>
      <c r="O3" s="15" t="n">
        <f aca="false">SUM(O4:O303)</f>
        <v>115307.26</v>
      </c>
      <c r="P3" s="15" t="n">
        <f aca="false">M3-N3-O3</f>
        <v>6290.84000000001</v>
      </c>
      <c r="Q3" s="15" t="n">
        <f aca="false">SUM(Q4:Q303)</f>
        <v>0</v>
      </c>
      <c r="R3" s="15" t="n">
        <f aca="false">SUM(R4:R303)</f>
        <v>0</v>
      </c>
      <c r="S3" s="15" t="n">
        <f aca="false">SUM(S4:S303)</f>
        <v>0</v>
      </c>
      <c r="T3" s="15" t="n">
        <f aca="false">Q3-R3-S3</f>
        <v>0</v>
      </c>
      <c r="U3" s="15"/>
      <c r="V3" s="16" t="str">
        <f aca="true">IFERROR(MID(CELL("filename",$A$1),FIND("]",CELL("filename",$A$1))+1,99),IFERROR(SUBSTITUTE(MID(CELL("filename",$A$1),FIND("#$",CELL("filename",$A$1))+2,99),"'",""),""))</f>
        <v>铜城2回、玉璟尚线、铁井一回、淮拦线4</v>
      </c>
    </row>
    <row r="4" customFormat="false" ht="16.5" hidden="false" customHeight="false" outlineLevel="0" collapsed="false">
      <c r="A4" s="56" t="str">
        <f aca="false">IF($W4="","",INDEX(发票统计!A$4:A$1003,$W4)&amp;"")</f>
        <v>铜城2回、玉璟尚线、铁井一回、淮拦线4</v>
      </c>
      <c r="B4" s="56" t="str">
        <f aca="false">IF($W4="","",INDEX(发票统计!B$4:B$1003,$W4)&amp;"")</f>
        <v>6月</v>
      </c>
      <c r="C4" s="56" t="str">
        <f aca="false">IF($W4="","",INDEX(发票统计!C$4:C$1003,$W4)&amp;"")</f>
        <v>重庆铜梁铜城2回金龙物业管理有限公司10kV业扩配套工程</v>
      </c>
      <c r="D4" s="56" t="str">
        <f aca="false">IF($W4="","",INDEX(发票统计!D$4:D$1003,$W4)&amp;"")</f>
        <v>2026.6.24新德润开票民能：铜城2回，10%管理费</v>
      </c>
      <c r="E4" s="56" t="str">
        <f aca="false">IF($W4="","",INDEX(发票统计!E$4:E$1003,$W4)&amp;"")</f>
        <v>民能</v>
      </c>
      <c r="F4" s="73" t="str">
        <f aca="false">IF($W4="","",INDEX(发票统计!F$4:F$1003,$W4)&amp;"")</f>
        <v>3%专票</v>
      </c>
      <c r="G4" s="68" t="n">
        <f aca="false">IF($W4="","",IF(INDEX(发票统计!G$4:G$1003,$W4)="","",INDEX(发票统计!G$4:G$1003,$W4)))</f>
        <v>0.1</v>
      </c>
      <c r="H4" s="56" t="n">
        <f aca="false">IF($W4="","",N(INDEX(发票统计!H$4:H$1003,$W4)))</f>
        <v>4002.66</v>
      </c>
      <c r="I4" s="56" t="n">
        <f aca="false">IF($W4="","",N(INDEX(发票统计!I$4:I$1003,$W4)))</f>
        <v>400.266</v>
      </c>
      <c r="J4" s="56" t="n">
        <f aca="false">IF($W4="","",N(INDEX(发票统计!J$4:J$1003,$W4)))</f>
        <v>3602.394</v>
      </c>
      <c r="K4" s="56" t="n">
        <f aca="false">IF($W4="","",N(INDEX(发票统计!K$4:K$1003,$W4)))</f>
        <v>0</v>
      </c>
      <c r="L4" s="56" t="n">
        <f aca="false">IF($W4="","",SUM(J$4:J4)-SUM(K$4:K4))</f>
        <v>3602.394</v>
      </c>
      <c r="M4" s="56" t="n">
        <f aca="false">IF($W4="","",N(INDEX(发票统计!M$4:M$1003,$W4)))</f>
        <v>4002.66</v>
      </c>
      <c r="N4" s="56" t="n">
        <f aca="false">IF($W4="","",N(INDEX(发票统计!N$4:N$1003,$W4)))</f>
        <v>0</v>
      </c>
      <c r="O4" s="56" t="n">
        <f aca="false">IF($W4="","",N(INDEX(发票统计!O$4:O$1003,$W4)))</f>
        <v>0</v>
      </c>
      <c r="P4" s="56" t="n">
        <f aca="false">IF($W4="","",SUM(M$4:M4)-SUM(N$4:N4)-SUM(O$4:O4))</f>
        <v>4002.66</v>
      </c>
      <c r="Q4" s="56" t="n">
        <f aca="false">IF($W4="","",N(INDEX(发票统计!Q$4:Q$1003,$W4)))</f>
        <v>0</v>
      </c>
      <c r="R4" s="56" t="n">
        <f aca="false">IF($W4="","",N(INDEX(发票统计!R$4:R$1003,$W4)))</f>
        <v>0</v>
      </c>
      <c r="S4" s="56" t="n">
        <f aca="false">IF($W4="","",N(INDEX(发票统计!S$4:S$1003,$W4)))</f>
        <v>0</v>
      </c>
      <c r="T4" s="56" t="n">
        <f aca="false">IF($W4="","",SUM(Q$4:Q4)-SUM(R$4:R4)-SUM(S$4:S4))</f>
        <v>0</v>
      </c>
      <c r="U4" s="56" t="str">
        <f aca="false">IF($W4="","",INDEX(发票统计!U$4:U$1003,$W4)&amp;"")</f>
        <v/>
      </c>
      <c r="V4" s="69" t="str">
        <f aca="false">IF($V$3="","⚠ 取不到表名，请在 V3 手填项目简称",IF(COUNTIF(发票统计!$A$4:$A$1003,$V$3)=0,"⚠ 发票统计里没有「"&amp;$V$3&amp;"」的行，表名要和目录里的简称一样",IF(COUNTIF(发票统计!$A$4:$A$1003,$V$3)&gt;300,"⚠ 本项目超过 300 行，后面的没显示","共 "&amp;COUNTIF(发票统计!$A$4:$A$1003,$V$3)&amp;" 笔")))</f>
        <v>共 15 笔</v>
      </c>
      <c r="W4" s="1" t="n">
        <f aca="false">IF($V$3="","",IFERROR(MATCH($V$3&amp;"#"&amp;ROWS(W$4:W4),发票统计!$W$4:$W$1003,0),""))</f>
        <v>22</v>
      </c>
    </row>
    <row r="5" customFormat="false" ht="16.5" hidden="false" customHeight="false" outlineLevel="0" collapsed="false">
      <c r="A5" s="56" t="str">
        <f aca="false">IF($W5="","",INDEX(发票统计!A$4:A$1003,$W5)&amp;"")</f>
        <v>铜城2回、玉璟尚线、铁井一回、淮拦线4</v>
      </c>
      <c r="B5" s="56" t="str">
        <f aca="false">IF($W5="","",INDEX(发票统计!B$4:B$1003,$W5)&amp;"")</f>
        <v>6月</v>
      </c>
      <c r="C5" s="56" t="str">
        <f aca="false">IF($W5="","",INDEX(发票统计!C$4:C$1003,$W5)&amp;"")</f>
        <v>重庆铜梁玉璟尚线金龙物业管理有限公司10kV业扩配套工程</v>
      </c>
      <c r="D5" s="56" t="str">
        <f aca="false">IF($W5="","",INDEX(发票统计!D$4:D$1003,$W5)&amp;"")</f>
        <v>2026.6.24新德润开票民能：玉璟尚线，10%管理费</v>
      </c>
      <c r="E5" s="56" t="str">
        <f aca="false">IF($W5="","",INDEX(发票统计!E$4:E$1003,$W5)&amp;"")</f>
        <v>民能</v>
      </c>
      <c r="F5" s="73" t="str">
        <f aca="false">IF($W5="","",INDEX(发票统计!F$4:F$1003,$W5)&amp;"")</f>
        <v>3%专票</v>
      </c>
      <c r="G5" s="68" t="n">
        <f aca="false">IF($W5="","",IF(INDEX(发票统计!G$4:G$1003,$W5)="","",INDEX(发票统计!G$4:G$1003,$W5)))</f>
        <v>0.1</v>
      </c>
      <c r="H5" s="56" t="n">
        <f aca="false">IF($W5="","",N(INDEX(发票统计!H$4:H$1003,$W5)))</f>
        <v>13079.84</v>
      </c>
      <c r="I5" s="56" t="n">
        <f aca="false">IF($W5="","",N(INDEX(发票统计!I$4:I$1003,$W5)))</f>
        <v>1307.984</v>
      </c>
      <c r="J5" s="56" t="n">
        <f aca="false">IF($W5="","",N(INDEX(发票统计!J$4:J$1003,$W5)))</f>
        <v>11771.856</v>
      </c>
      <c r="K5" s="56" t="n">
        <f aca="false">IF($W5="","",N(INDEX(发票统计!K$4:K$1003,$W5)))</f>
        <v>0</v>
      </c>
      <c r="L5" s="56" t="n">
        <f aca="false">IF($W5="","",SUM(J$4:J5)-SUM(K$4:K5))</f>
        <v>15374.25</v>
      </c>
      <c r="M5" s="56" t="n">
        <f aca="false">IF($W5="","",N(INDEX(发票统计!M$4:M$1003,$W5)))</f>
        <v>13079.84</v>
      </c>
      <c r="N5" s="56" t="n">
        <f aca="false">IF($W5="","",N(INDEX(发票统计!N$4:N$1003,$W5)))</f>
        <v>0</v>
      </c>
      <c r="O5" s="56" t="n">
        <f aca="false">IF($W5="","",N(INDEX(发票统计!O$4:O$1003,$W5)))</f>
        <v>0</v>
      </c>
      <c r="P5" s="56" t="n">
        <f aca="false">IF($W5="","",SUM(M$4:M5)-SUM(N$4:N5)-SUM(O$4:O5))</f>
        <v>17082.5</v>
      </c>
      <c r="Q5" s="56" t="n">
        <f aca="false">IF($W5="","",N(INDEX(发票统计!Q$4:Q$1003,$W5)))</f>
        <v>0</v>
      </c>
      <c r="R5" s="56" t="n">
        <f aca="false">IF($W5="","",N(INDEX(发票统计!R$4:R$1003,$W5)))</f>
        <v>0</v>
      </c>
      <c r="S5" s="56" t="n">
        <f aca="false">IF($W5="","",N(INDEX(发票统计!S$4:S$1003,$W5)))</f>
        <v>0</v>
      </c>
      <c r="T5" s="56" t="n">
        <f aca="false">IF($W5="","",SUM(Q$4:Q5)-SUM(R$4:R5)-SUM(S$4:S5))</f>
        <v>0</v>
      </c>
      <c r="U5" s="56" t="str">
        <f aca="false">IF($W5="","",INDEX(发票统计!U$4:U$1003,$W5)&amp;"")</f>
        <v/>
      </c>
      <c r="W5" s="1" t="n">
        <f aca="false">IF($V$3="","",IFERROR(MATCH($V$3&amp;"#"&amp;ROWS(W$4:W5),发票统计!$W$4:$W$1003,0),""))</f>
        <v>23</v>
      </c>
    </row>
    <row r="6" customFormat="false" ht="16.5" hidden="false" customHeight="false" outlineLevel="0" collapsed="false">
      <c r="A6" s="56" t="str">
        <f aca="false">IF($W6="","",INDEX(发票统计!A$4:A$1003,$W6)&amp;"")</f>
        <v>铜城2回、玉璟尚线、铁井一回、淮拦线4</v>
      </c>
      <c r="B6" s="56" t="str">
        <f aca="false">IF($W6="","",INDEX(发票统计!B$4:B$1003,$W6)&amp;"")</f>
        <v>6月</v>
      </c>
      <c r="C6" s="56" t="str">
        <f aca="false">IF($W6="","",INDEX(发票统计!C$4:C$1003,$W6)&amp;"")</f>
        <v>重庆铜梁铁井一回1#环网柜等6个10kV老旧环网柜改造工程(安装)</v>
      </c>
      <c r="D6" s="56" t="str">
        <f aca="false">IF($W6="","",INDEX(发票统计!D$4:D$1003,$W6)&amp;"")</f>
        <v>2026.6.24新德润开票民能：铁井一回1#环网柜，10%管理费</v>
      </c>
      <c r="E6" s="56" t="str">
        <f aca="false">IF($W6="","",INDEX(发票统计!E$4:E$1003,$W6)&amp;"")</f>
        <v>民能</v>
      </c>
      <c r="F6" s="73" t="str">
        <f aca="false">IF($W6="","",INDEX(发票统计!F$4:F$1003,$W6)&amp;"")</f>
        <v>3%专票</v>
      </c>
      <c r="G6" s="68" t="n">
        <f aca="false">IF($W6="","",IF(INDEX(发票统计!G$4:G$1003,$W6)="","",INDEX(发票统计!G$4:G$1003,$W6)))</f>
        <v>0.1</v>
      </c>
      <c r="H6" s="56" t="n">
        <f aca="false">IF($W6="","",N(INDEX(发票统计!H$4:H$1003,$W6)))</f>
        <v>47546.28</v>
      </c>
      <c r="I6" s="56" t="n">
        <f aca="false">IF($W6="","",N(INDEX(发票统计!I$4:I$1003,$W6)))</f>
        <v>4754.628</v>
      </c>
      <c r="J6" s="56" t="n">
        <f aca="false">IF($W6="","",N(INDEX(发票统计!J$4:J$1003,$W6)))</f>
        <v>42791.652</v>
      </c>
      <c r="K6" s="56" t="n">
        <f aca="false">IF($W6="","",N(INDEX(发票统计!K$4:K$1003,$W6)))</f>
        <v>0</v>
      </c>
      <c r="L6" s="56" t="n">
        <f aca="false">IF($W6="","",SUM(J$4:J6)-SUM(K$4:K6))</f>
        <v>58165.902</v>
      </c>
      <c r="M6" s="56" t="n">
        <f aca="false">IF($W6="","",N(INDEX(发票统计!M$4:M$1003,$W6)))</f>
        <v>47546.28</v>
      </c>
      <c r="N6" s="56" t="n">
        <f aca="false">IF($W6="","",N(INDEX(发票统计!N$4:N$1003,$W6)))</f>
        <v>0</v>
      </c>
      <c r="O6" s="56" t="n">
        <f aca="false">IF($W6="","",N(INDEX(发票统计!O$4:O$1003,$W6)))</f>
        <v>0</v>
      </c>
      <c r="P6" s="56" t="n">
        <f aca="false">IF($W6="","",SUM(M$4:M6)-SUM(N$4:N6)-SUM(O$4:O6))</f>
        <v>64628.78</v>
      </c>
      <c r="Q6" s="56" t="n">
        <f aca="false">IF($W6="","",N(INDEX(发票统计!Q$4:Q$1003,$W6)))</f>
        <v>0</v>
      </c>
      <c r="R6" s="56" t="n">
        <f aca="false">IF($W6="","",N(INDEX(发票统计!R$4:R$1003,$W6)))</f>
        <v>0</v>
      </c>
      <c r="S6" s="56" t="n">
        <f aca="false">IF($W6="","",N(INDEX(发票统计!S$4:S$1003,$W6)))</f>
        <v>0</v>
      </c>
      <c r="T6" s="56" t="n">
        <f aca="false">IF($W6="","",SUM(Q$4:Q6)-SUM(R$4:R6)-SUM(S$4:S6))</f>
        <v>0</v>
      </c>
      <c r="U6" s="56" t="str">
        <f aca="false">IF($W6="","",INDEX(发票统计!U$4:U$1003,$W6)&amp;"")</f>
        <v/>
      </c>
      <c r="W6" s="1" t="n">
        <f aca="false">IF($V$3="","",IFERROR(MATCH($V$3&amp;"#"&amp;ROWS(W$4:W6),发票统计!$W$4:$W$1003,0),""))</f>
        <v>24</v>
      </c>
    </row>
    <row r="7" customFormat="false" ht="16.5" hidden="false" customHeight="false" outlineLevel="0" collapsed="false">
      <c r="A7" s="56" t="str">
        <f aca="false">IF($W7="","",INDEX(发票统计!A$4:A$1003,$W7)&amp;"")</f>
        <v>铜城2回、玉璟尚线、铁井一回、淮拦线4</v>
      </c>
      <c r="B7" s="56" t="str">
        <f aca="false">IF($W7="","",INDEX(发票统计!B$4:B$1003,$W7)&amp;"")</f>
        <v>6月</v>
      </c>
      <c r="C7" s="56" t="str">
        <f aca="false">IF($W7="","",INDEX(发票统计!C$4:C$1003,$W7)&amp;"")</f>
        <v>重庆铜梁淮拦线4#环网柜等6个10kV老旧环网柜改造工程（安装）</v>
      </c>
      <c r="D7" s="56" t="str">
        <f aca="false">IF($W7="","",INDEX(发票统计!D$4:D$1003,$W7)&amp;"")</f>
        <v>2026.6.24新德润开票民能：淮拦线4#环网柜，10%管理费</v>
      </c>
      <c r="E7" s="56" t="str">
        <f aca="false">IF($W7="","",INDEX(发票统计!E$4:E$1003,$W7)&amp;"")</f>
        <v>民能</v>
      </c>
      <c r="F7" s="73" t="str">
        <f aca="false">IF($W7="","",INDEX(发票统计!F$4:F$1003,$W7)&amp;"")</f>
        <v>3%专票</v>
      </c>
      <c r="G7" s="68" t="n">
        <f aca="false">IF($W7="","",IF(INDEX(发票统计!G$4:G$1003,$W7)="","",INDEX(发票统计!G$4:G$1003,$W7)))</f>
        <v>0.1</v>
      </c>
      <c r="H7" s="56" t="n">
        <f aca="false">IF($W7="","",N(INDEX(发票统计!H$4:H$1003,$W7)))</f>
        <v>56969.32</v>
      </c>
      <c r="I7" s="56" t="n">
        <f aca="false">IF($W7="","",N(INDEX(发票统计!I$4:I$1003,$W7)))</f>
        <v>5696.932</v>
      </c>
      <c r="J7" s="56" t="n">
        <f aca="false">IF($W7="","",N(INDEX(发票统计!J$4:J$1003,$W7)))</f>
        <v>51272.388</v>
      </c>
      <c r="K7" s="56" t="n">
        <f aca="false">IF($W7="","",N(INDEX(发票统计!K$4:K$1003,$W7)))</f>
        <v>0</v>
      </c>
      <c r="L7" s="56" t="n">
        <f aca="false">IF($W7="","",SUM(J$4:J7)-SUM(K$4:K7))</f>
        <v>109438.29</v>
      </c>
      <c r="M7" s="56" t="n">
        <f aca="false">IF($W7="","",N(INDEX(发票统计!M$4:M$1003,$W7)))</f>
        <v>56969.32</v>
      </c>
      <c r="N7" s="56" t="n">
        <f aca="false">IF($W7="","",N(INDEX(发票统计!N$4:N$1003,$W7)))</f>
        <v>0</v>
      </c>
      <c r="O7" s="56" t="n">
        <f aca="false">IF($W7="","",N(INDEX(发票统计!O$4:O$1003,$W7)))</f>
        <v>0</v>
      </c>
      <c r="P7" s="56" t="n">
        <f aca="false">IF($W7="","",SUM(M$4:M7)-SUM(N$4:N7)-SUM(O$4:O7))</f>
        <v>121598.1</v>
      </c>
      <c r="Q7" s="56" t="n">
        <f aca="false">IF($W7="","",N(INDEX(发票统计!Q$4:Q$1003,$W7)))</f>
        <v>0</v>
      </c>
      <c r="R7" s="56" t="n">
        <f aca="false">IF($W7="","",N(INDEX(发票统计!R$4:R$1003,$W7)))</f>
        <v>0</v>
      </c>
      <c r="S7" s="56" t="n">
        <f aca="false">IF($W7="","",N(INDEX(发票统计!S$4:S$1003,$W7)))</f>
        <v>0</v>
      </c>
      <c r="T7" s="56" t="n">
        <f aca="false">IF($W7="","",SUM(Q$4:Q7)-SUM(R$4:R7)-SUM(S$4:S7))</f>
        <v>0</v>
      </c>
      <c r="U7" s="56" t="str">
        <f aca="false">IF($W7="","",INDEX(发票统计!U$4:U$1003,$W7)&amp;"")</f>
        <v/>
      </c>
      <c r="W7" s="1" t="n">
        <f aca="false">IF($V$3="","",IFERROR(MATCH($V$3&amp;"#"&amp;ROWS(W$4:W7),发票统计!$W$4:$W$1003,0),""))</f>
        <v>25</v>
      </c>
    </row>
    <row r="8" customFormat="false" ht="16.5" hidden="false" customHeight="false" outlineLevel="0" collapsed="false">
      <c r="A8" s="56" t="str">
        <f aca="false">IF($W8="","",INDEX(发票统计!A$4:A$1003,$W8)&amp;"")</f>
        <v>铜城2回、玉璟尚线、铁井一回、淮拦线4</v>
      </c>
      <c r="B8" s="56" t="str">
        <f aca="false">IF($W8="","",INDEX(发票统计!B$4:B$1003,$W8)&amp;"")</f>
        <v>6月</v>
      </c>
      <c r="C8" s="56" t="str">
        <f aca="false">IF($W8="","",INDEX(发票统计!C$4:C$1003,$W8)&amp;"")</f>
        <v>重庆铜梁淮拦线4#环网柜等6个10kV老旧环网柜改造工程（安装）</v>
      </c>
      <c r="D8" s="56" t="str">
        <f aca="false">IF($W8="","",INDEX(发票统计!D$4:D$1003,$W8)&amp;"")</f>
        <v>2026.6.23桐桐建材开票到新德润：淮拦、铁井、玉璟、铜城2回</v>
      </c>
      <c r="E8" s="56" t="str">
        <f aca="false">IF($W8="","",INDEX(发票统计!E$4:E$1003,$W8)&amp;"")</f>
        <v>新德润</v>
      </c>
      <c r="F8" s="73" t="str">
        <f aca="false">IF($W8="","",INDEX(发票统计!F$4:F$1003,$W8)&amp;"")</f>
        <v>1%普票</v>
      </c>
      <c r="G8" s="68" t="str">
        <f aca="false">IF($W8="","",IF(INDEX(发票统计!G$4:G$1003,$W8)="","",INDEX(发票统计!G$4:G$1003,$W8)))</f>
        <v/>
      </c>
      <c r="H8" s="56" t="n">
        <f aca="false">IF($W8="","",N(INDEX(发票统计!H$4:H$1003,$W8)))</f>
        <v>0</v>
      </c>
      <c r="I8" s="56" t="n">
        <f aca="false">IF($W8="","",N(INDEX(发票统计!I$4:I$1003,$W8)))</f>
        <v>0</v>
      </c>
      <c r="J8" s="56" t="n">
        <f aca="false">IF($W8="","",N(INDEX(发票统计!J$4:J$1003,$W8)))</f>
        <v>0</v>
      </c>
      <c r="K8" s="56" t="n">
        <f aca="false">IF($W8="","",N(INDEX(发票统计!K$4:K$1003,$W8)))</f>
        <v>67200</v>
      </c>
      <c r="L8" s="56" t="n">
        <f aca="false">IF($W8="","",SUM(J$4:J8)-SUM(K$4:K8))</f>
        <v>42238.29</v>
      </c>
      <c r="M8" s="56" t="n">
        <f aca="false">IF($W8="","",N(INDEX(发票统计!M$4:M$1003,$W8)))</f>
        <v>0</v>
      </c>
      <c r="N8" s="56" t="n">
        <f aca="false">IF($W8="","",N(INDEX(发票统计!N$4:N$1003,$W8)))</f>
        <v>0</v>
      </c>
      <c r="O8" s="56" t="n">
        <f aca="false">IF($W8="","",N(INDEX(发票统计!O$4:O$1003,$W8)))</f>
        <v>0</v>
      </c>
      <c r="P8" s="56" t="n">
        <f aca="false">IF($W8="","",SUM(M$4:M8)-SUM(N$4:N8)-SUM(O$4:O8))</f>
        <v>121598.1</v>
      </c>
      <c r="Q8" s="56" t="n">
        <f aca="false">IF($W8="","",N(INDEX(发票统计!Q$4:Q$1003,$W8)))</f>
        <v>0</v>
      </c>
      <c r="R8" s="56" t="n">
        <f aca="false">IF($W8="","",N(INDEX(发票统计!R$4:R$1003,$W8)))</f>
        <v>0</v>
      </c>
      <c r="S8" s="56" t="n">
        <f aca="false">IF($W8="","",N(INDEX(发票统计!S$4:S$1003,$W8)))</f>
        <v>0</v>
      </c>
      <c r="T8" s="56" t="n">
        <f aca="false">IF($W8="","",SUM(Q$4:Q8)-SUM(R$4:R8)-SUM(S$4:S8))</f>
        <v>0</v>
      </c>
      <c r="U8" s="56" t="str">
        <f aca="false">IF($W8="","",INDEX(发票统计!U$4:U$1003,$W8)&amp;"")</f>
        <v/>
      </c>
      <c r="W8" s="1" t="n">
        <f aca="false">IF($V$3="","",IFERROR(MATCH($V$3&amp;"#"&amp;ROWS(W$4:W8),发票统计!$W$4:$W$1003,0),""))</f>
        <v>26</v>
      </c>
    </row>
    <row r="9" customFormat="false" ht="16.5" hidden="false" customHeight="false" outlineLevel="0" collapsed="false">
      <c r="A9" s="56" t="str">
        <f aca="false">IF($W9="","",INDEX(发票统计!A$4:A$1003,$W9)&amp;"")</f>
        <v>铜城2回、玉璟尚线、铁井一回、淮拦线4</v>
      </c>
      <c r="B9" s="56" t="str">
        <f aca="false">IF($W9="","",INDEX(发票统计!B$4:B$1003,$W9)&amp;"")</f>
        <v>6月</v>
      </c>
      <c r="C9" s="56" t="str">
        <f aca="false">IF($W9="","",INDEX(发票统计!C$4:C$1003,$W9)&amp;"")</f>
        <v>重庆铜梁淮拦线4#环网柜等6个10kV老旧环网柜改造工程（安装）</v>
      </c>
      <c r="D9" s="56" t="str">
        <f aca="false">IF($W9="","",INDEX(发票统计!D$4:D$1003,$W9)&amp;"")</f>
        <v>2026.6.24宜宾翠屏开票到新德润淮：淮拦、铁井、玉璟、铜城2回</v>
      </c>
      <c r="E9" s="56" t="str">
        <f aca="false">IF($W9="","",INDEX(发票统计!E$4:E$1003,$W9)&amp;"")</f>
        <v>新德润</v>
      </c>
      <c r="F9" s="73" t="str">
        <f aca="false">IF($W9="","",INDEX(发票统计!F$4:F$1003,$W9)&amp;"")</f>
        <v>1%普票</v>
      </c>
      <c r="G9" s="68" t="str">
        <f aca="false">IF($W9="","",IF(INDEX(发票统计!G$4:G$1003,$W9)="","",INDEX(发票统计!G$4:G$1003,$W9)))</f>
        <v/>
      </c>
      <c r="H9" s="56" t="n">
        <f aca="false">IF($W9="","",N(INDEX(发票统计!H$4:H$1003,$W9)))</f>
        <v>0</v>
      </c>
      <c r="I9" s="56" t="n">
        <f aca="false">IF($W9="","",N(INDEX(发票统计!I$4:I$1003,$W9)))</f>
        <v>0</v>
      </c>
      <c r="J9" s="56" t="n">
        <f aca="false">IF($W9="","",N(INDEX(发票统计!J$4:J$1003,$W9)))</f>
        <v>0</v>
      </c>
      <c r="K9" s="56" t="n">
        <f aca="false">IF($W9="","",N(INDEX(发票统计!K$4:K$1003,$W9)))</f>
        <v>42800</v>
      </c>
      <c r="L9" s="56" t="n">
        <f aca="false">IF($W9="","",SUM(J$4:J9)-SUM(K$4:K9))</f>
        <v>-561.709999999992</v>
      </c>
      <c r="M9" s="56" t="n">
        <f aca="false">IF($W9="","",N(INDEX(发票统计!M$4:M$1003,$W9)))</f>
        <v>0</v>
      </c>
      <c r="N9" s="56" t="n">
        <f aca="false">IF($W9="","",N(INDEX(发票统计!N$4:N$1003,$W9)))</f>
        <v>0</v>
      </c>
      <c r="O9" s="56" t="n">
        <f aca="false">IF($W9="","",N(INDEX(发票统计!O$4:O$1003,$W9)))</f>
        <v>0</v>
      </c>
      <c r="P9" s="56" t="n">
        <f aca="false">IF($W9="","",SUM(M$4:M9)-SUM(N$4:N9)-SUM(O$4:O9))</f>
        <v>121598.1</v>
      </c>
      <c r="Q9" s="56" t="n">
        <f aca="false">IF($W9="","",N(INDEX(发票统计!Q$4:Q$1003,$W9)))</f>
        <v>0</v>
      </c>
      <c r="R9" s="56" t="n">
        <f aca="false">IF($W9="","",N(INDEX(发票统计!R$4:R$1003,$W9)))</f>
        <v>0</v>
      </c>
      <c r="S9" s="56" t="n">
        <f aca="false">IF($W9="","",N(INDEX(发票统计!S$4:S$1003,$W9)))</f>
        <v>0</v>
      </c>
      <c r="T9" s="56" t="n">
        <f aca="false">IF($W9="","",SUM(Q$4:Q9)-SUM(R$4:R9)-SUM(S$4:S9))</f>
        <v>0</v>
      </c>
      <c r="U9" s="56" t="str">
        <f aca="false">IF($W9="","",INDEX(发票统计!U$4:U$1003,$W9)&amp;"")</f>
        <v/>
      </c>
      <c r="W9" s="1" t="n">
        <f aca="false">IF($V$3="","",IFERROR(MATCH($V$3&amp;"#"&amp;ROWS(W$4:W9),发票统计!$W$4:$W$1003,0),""))</f>
        <v>27</v>
      </c>
    </row>
    <row r="10" customFormat="false" ht="16.5" hidden="false" customHeight="false" outlineLevel="0" collapsed="false">
      <c r="A10" s="56" t="str">
        <f aca="false">IF($W10="","",INDEX(发票统计!A$4:A$1003,$W10)&amp;"")</f>
        <v>铜城2回、玉璟尚线、铁井一回、淮拦线4</v>
      </c>
      <c r="B10" s="56" t="str">
        <f aca="false">IF($W10="","",INDEX(发票统计!B$4:B$1003,$W10)&amp;"")</f>
        <v>9月</v>
      </c>
      <c r="C10" s="56" t="str">
        <f aca="false">IF($W10="","",INDEX(发票统计!C$4:C$1003,$W10)&amp;"")</f>
        <v>重庆铜梁淮拦线4#环网柜等6个10kV老旧环网柜改造工程（安装）</v>
      </c>
      <c r="D10" s="56" t="str">
        <f aca="false">IF($W10="","",INDEX(发票统计!D$4:D$1003,$W10)&amp;"")</f>
        <v>2026.9.14新德润扣8月民能农民工工资个税</v>
      </c>
      <c r="E10" s="56" t="str">
        <f aca="false">IF($W10="","",INDEX(发票统计!E$4:E$1003,$W10)&amp;"")</f>
        <v>新德润</v>
      </c>
      <c r="F10" s="73" t="str">
        <f aca="false">IF($W10="","",INDEX(发票统计!F$4:F$1003,$W10)&amp;"")</f>
        <v>1%普票</v>
      </c>
      <c r="G10" s="68" t="str">
        <f aca="false">IF($W10="","",IF(INDEX(发票统计!G$4:G$1003,$W10)="","",INDEX(发票统计!G$4:G$1003,$W10)))</f>
        <v/>
      </c>
      <c r="H10" s="56" t="n">
        <f aca="false">IF($W10="","",N(INDEX(发票统计!H$4:H$1003,$W10)))</f>
        <v>0</v>
      </c>
      <c r="I10" s="56" t="n">
        <f aca="false">IF($W10="","",N(INDEX(发票统计!I$4:I$1003,$W10)))</f>
        <v>0</v>
      </c>
      <c r="J10" s="56" t="n">
        <f aca="false">IF($W10="","",N(INDEX(发票统计!J$4:J$1003,$W10)))</f>
        <v>0</v>
      </c>
      <c r="K10" s="56" t="n">
        <f aca="false">IF($W10="","",N(INDEX(发票统计!K$4:K$1003,$W10)))</f>
        <v>57000</v>
      </c>
      <c r="L10" s="56" t="n">
        <f aca="false">IF($W10="","",SUM(J$4:J10)-SUM(K$4:K10))</f>
        <v>-57561.71</v>
      </c>
      <c r="M10" s="56" t="n">
        <f aca="false">IF($W10="","",N(INDEX(发票统计!M$4:M$1003,$W10)))</f>
        <v>0</v>
      </c>
      <c r="N10" s="56" t="n">
        <f aca="false">IF($W10="","",N(INDEX(发票统计!N$4:N$1003,$W10)))</f>
        <v>0</v>
      </c>
      <c r="O10" s="56" t="n">
        <f aca="false">IF($W10="","",N(INDEX(发票统计!O$4:O$1003,$W10)))</f>
        <v>810</v>
      </c>
      <c r="P10" s="56" t="n">
        <f aca="false">IF($W10="","",SUM(M$4:M10)-SUM(N$4:N10)-SUM(O$4:O10))</f>
        <v>120788.1</v>
      </c>
      <c r="Q10" s="56" t="n">
        <f aca="false">IF($W10="","",N(INDEX(发票统计!Q$4:Q$1003,$W10)))</f>
        <v>0</v>
      </c>
      <c r="R10" s="56" t="n">
        <f aca="false">IF($W10="","",N(INDEX(发票统计!R$4:R$1003,$W10)))</f>
        <v>0</v>
      </c>
      <c r="S10" s="56" t="n">
        <f aca="false">IF($W10="","",N(INDEX(发票统计!S$4:S$1003,$W10)))</f>
        <v>0</v>
      </c>
      <c r="T10" s="56" t="n">
        <f aca="false">IF($W10="","",SUM(Q$4:Q10)-SUM(R$4:R10)-SUM(S$4:S10))</f>
        <v>0</v>
      </c>
      <c r="U10" s="56" t="str">
        <f aca="false">IF($W10="","",INDEX(发票统计!U$4:U$1003,$W10)&amp;"")</f>
        <v/>
      </c>
      <c r="W10" s="1" t="n">
        <f aca="false">IF($V$3="","",IFERROR(MATCH($V$3&amp;"#"&amp;ROWS(W$4:W10),发票统计!$W$4:$W$1003,0),""))</f>
        <v>28</v>
      </c>
    </row>
    <row r="11" customFormat="false" ht="16.5" hidden="false" customHeight="false" outlineLevel="0" collapsed="false">
      <c r="A11" s="56" t="str">
        <f aca="false">IF($W11="","",INDEX(发票统计!A$4:A$1003,$W11)&amp;"")</f>
        <v>铜城2回、玉璟尚线、铁井一回、淮拦线4</v>
      </c>
      <c r="B11" s="56" t="str">
        <f aca="false">IF($W11="","",INDEX(发票统计!B$4:B$1003,$W11)&amp;"")</f>
        <v>9月</v>
      </c>
      <c r="C11" s="56" t="str">
        <f aca="false">IF($W11="","",INDEX(发票统计!C$4:C$1003,$W11)&amp;"")</f>
        <v>重庆铜梁铁井一回1#环网柜等6个10kV老旧环网柜改造工程(安装)</v>
      </c>
      <c r="D11" s="56" t="str">
        <f aca="false">IF($W11="","",INDEX(发票统计!D$4:D$1003,$W11)&amp;"")</f>
        <v>2026.9.14新德润扣8月民能农民工工资：铁井一回1</v>
      </c>
      <c r="E11" s="56" t="str">
        <f aca="false">IF($W11="","",INDEX(发票统计!E$4:E$1003,$W11)&amp;"")</f>
        <v>新德润</v>
      </c>
      <c r="F11" s="73" t="str">
        <f aca="false">IF($W11="","",INDEX(发票统计!F$4:F$1003,$W11)&amp;"")</f>
        <v/>
      </c>
      <c r="G11" s="68" t="str">
        <f aca="false">IF($W11="","",IF(INDEX(发票统计!G$4:G$1003,$W11)="","",INDEX(发票统计!G$4:G$1003,$W11)))</f>
        <v/>
      </c>
      <c r="H11" s="56" t="n">
        <f aca="false">IF($W11="","",N(INDEX(发票统计!H$4:H$1003,$W11)))</f>
        <v>0</v>
      </c>
      <c r="I11" s="56" t="n">
        <f aca="false">IF($W11="","",N(INDEX(发票统计!I$4:I$1003,$W11)))</f>
        <v>0</v>
      </c>
      <c r="J11" s="56" t="n">
        <f aca="false">IF($W11="","",N(INDEX(发票统计!J$4:J$1003,$W11)))</f>
        <v>0</v>
      </c>
      <c r="K11" s="56" t="n">
        <f aca="false">IF($W11="","",N(INDEX(发票统计!K$4:K$1003,$W11)))</f>
        <v>0</v>
      </c>
      <c r="L11" s="56" t="n">
        <f aca="false">IF($W11="","",SUM(J$4:J11)-SUM(K$4:K11))</f>
        <v>-57561.71</v>
      </c>
      <c r="M11" s="56" t="n">
        <f aca="false">IF($W11="","",N(INDEX(发票统计!M$4:M$1003,$W11)))</f>
        <v>0</v>
      </c>
      <c r="N11" s="56" t="n">
        <f aca="false">IF($W11="","",N(INDEX(发票统计!N$4:N$1003,$W11)))</f>
        <v>0</v>
      </c>
      <c r="O11" s="56" t="n">
        <f aca="false">IF($W11="","",N(INDEX(发票统计!O$4:O$1003,$W11)))</f>
        <v>22000</v>
      </c>
      <c r="P11" s="56" t="n">
        <f aca="false">IF($W11="","",SUM(M$4:M11)-SUM(N$4:N11)-SUM(O$4:O11))</f>
        <v>98788.1</v>
      </c>
      <c r="Q11" s="56" t="n">
        <f aca="false">IF($W11="","",N(INDEX(发票统计!Q$4:Q$1003,$W11)))</f>
        <v>0</v>
      </c>
      <c r="R11" s="56" t="n">
        <f aca="false">IF($W11="","",N(INDEX(发票统计!R$4:R$1003,$W11)))</f>
        <v>0</v>
      </c>
      <c r="S11" s="56" t="n">
        <f aca="false">IF($W11="","",N(INDEX(发票统计!S$4:S$1003,$W11)))</f>
        <v>0</v>
      </c>
      <c r="T11" s="56" t="n">
        <f aca="false">IF($W11="","",SUM(Q$4:Q11)-SUM(R$4:R11)-SUM(S$4:S11))</f>
        <v>0</v>
      </c>
      <c r="U11" s="56" t="str">
        <f aca="false">IF($W11="","",INDEX(发票统计!U$4:U$1003,$W11)&amp;"")</f>
        <v/>
      </c>
      <c r="W11" s="1" t="n">
        <f aca="false">IF($V$3="","",IFERROR(MATCH($V$3&amp;"#"&amp;ROWS(W$4:W11),发票统计!$W$4:$W$1003,0),""))</f>
        <v>29</v>
      </c>
    </row>
    <row r="12" customFormat="false" ht="16.5" hidden="false" customHeight="false" outlineLevel="0" collapsed="false">
      <c r="A12" s="56" t="str">
        <f aca="false">IF($W12="","",INDEX(发票统计!A$4:A$1003,$W12)&amp;"")</f>
        <v>铜城2回、玉璟尚线、铁井一回、淮拦线4</v>
      </c>
      <c r="B12" s="56" t="str">
        <f aca="false">IF($W12="","",INDEX(发票统计!B$4:B$1003,$W12)&amp;"")</f>
        <v>9月</v>
      </c>
      <c r="C12" s="56" t="str">
        <f aca="false">IF($W12="","",INDEX(发票统计!C$4:C$1003,$W12)&amp;"")</f>
        <v>重庆铜梁淮拦线4#环网柜等6个10kV老旧环网柜改造工程（安装）</v>
      </c>
      <c r="D12" s="56" t="str">
        <f aca="false">IF($W12="","",INDEX(发票统计!D$4:D$1003,$W12)&amp;"")</f>
        <v>2026.9.14新德润扣8月民能农民工工资：淮拦线4</v>
      </c>
      <c r="E12" s="56" t="str">
        <f aca="false">IF($W12="","",INDEX(发票统计!E$4:E$1003,$W12)&amp;"")</f>
        <v>新德润</v>
      </c>
      <c r="F12" s="73" t="str">
        <f aca="false">IF($W12="","",INDEX(发票统计!F$4:F$1003,$W12)&amp;"")</f>
        <v/>
      </c>
      <c r="G12" s="68" t="str">
        <f aca="false">IF($W12="","",IF(INDEX(发票统计!G$4:G$1003,$W12)="","",INDEX(发票统计!G$4:G$1003,$W12)))</f>
        <v/>
      </c>
      <c r="H12" s="56" t="n">
        <f aca="false">IF($W12="","",N(INDEX(发票统计!H$4:H$1003,$W12)))</f>
        <v>0</v>
      </c>
      <c r="I12" s="56" t="n">
        <f aca="false">IF($W12="","",N(INDEX(发票统计!I$4:I$1003,$W12)))</f>
        <v>0</v>
      </c>
      <c r="J12" s="56" t="n">
        <f aca="false">IF($W12="","",N(INDEX(发票统计!J$4:J$1003,$W12)))</f>
        <v>0</v>
      </c>
      <c r="K12" s="56" t="n">
        <f aca="false">IF($W12="","",N(INDEX(发票统计!K$4:K$1003,$W12)))</f>
        <v>0</v>
      </c>
      <c r="L12" s="56" t="n">
        <f aca="false">IF($W12="","",SUM(J$4:J12)-SUM(K$4:K12))</f>
        <v>-57561.71</v>
      </c>
      <c r="M12" s="56" t="n">
        <f aca="false">IF($W12="","",N(INDEX(发票统计!M$4:M$1003,$W12)))</f>
        <v>0</v>
      </c>
      <c r="N12" s="56" t="n">
        <f aca="false">IF($W12="","",N(INDEX(发票统计!N$4:N$1003,$W12)))</f>
        <v>0</v>
      </c>
      <c r="O12" s="56" t="n">
        <f aca="false">IF($W12="","",N(INDEX(发票统计!O$4:O$1003,$W12)))</f>
        <v>27000</v>
      </c>
      <c r="P12" s="56" t="n">
        <f aca="false">IF($W12="","",SUM(M$4:M12)-SUM(N$4:N12)-SUM(O$4:O12))</f>
        <v>71788.1</v>
      </c>
      <c r="Q12" s="56" t="n">
        <f aca="false">IF($W12="","",N(INDEX(发票统计!Q$4:Q$1003,$W12)))</f>
        <v>0</v>
      </c>
      <c r="R12" s="56" t="n">
        <f aca="false">IF($W12="","",N(INDEX(发票统计!R$4:R$1003,$W12)))</f>
        <v>0</v>
      </c>
      <c r="S12" s="56" t="n">
        <f aca="false">IF($W12="","",N(INDEX(发票统计!S$4:S$1003,$W12)))</f>
        <v>0</v>
      </c>
      <c r="T12" s="56" t="n">
        <f aca="false">IF($W12="","",SUM(Q$4:Q12)-SUM(R$4:R12)-SUM(S$4:S12))</f>
        <v>0</v>
      </c>
      <c r="U12" s="56" t="str">
        <f aca="false">IF($W12="","",INDEX(发票统计!U$4:U$1003,$W12)&amp;"")</f>
        <v/>
      </c>
      <c r="W12" s="1" t="n">
        <f aca="false">IF($V$3="","",IFERROR(MATCH($V$3&amp;"#"&amp;ROWS(W$4:W12),发票统计!$W$4:$W$1003,0),""))</f>
        <v>30</v>
      </c>
    </row>
    <row r="13" customFormat="false" ht="16.5" hidden="false" customHeight="false" outlineLevel="0" collapsed="false">
      <c r="A13" s="56" t="str">
        <f aca="false">IF($W13="","",INDEX(发票统计!A$4:A$1003,$W13)&amp;"")</f>
        <v>铜城2回、玉璟尚线、铁井一回、淮拦线4</v>
      </c>
      <c r="B13" s="56" t="str">
        <f aca="false">IF($W13="","",INDEX(发票统计!B$4:B$1003,$W13)&amp;"")</f>
        <v>9月</v>
      </c>
      <c r="C13" s="56" t="str">
        <f aca="false">IF($W13="","",INDEX(发票统计!C$4:C$1003,$W13)&amp;"")</f>
        <v>重庆铜梁铜城2回金龙物业管理有限公司10kV业扩配套工程</v>
      </c>
      <c r="D13" s="56" t="str">
        <f aca="false">IF($W13="","",INDEX(发票统计!D$4:D$1003,$W13)&amp;"")</f>
        <v>2026.9.14新德润扣8月民能农民工工资：铜城2回</v>
      </c>
      <c r="E13" s="56" t="str">
        <f aca="false">IF($W13="","",INDEX(发票统计!E$4:E$1003,$W13)&amp;"")</f>
        <v>新德润</v>
      </c>
      <c r="F13" s="73" t="str">
        <f aca="false">IF($W13="","",INDEX(发票统计!F$4:F$1003,$W13)&amp;"")</f>
        <v/>
      </c>
      <c r="G13" s="68" t="str">
        <f aca="false">IF($W13="","",IF(INDEX(发票统计!G$4:G$1003,$W13)="","",INDEX(发票统计!G$4:G$1003,$W13)))</f>
        <v/>
      </c>
      <c r="H13" s="56" t="n">
        <f aca="false">IF($W13="","",N(INDEX(发票统计!H$4:H$1003,$W13)))</f>
        <v>0</v>
      </c>
      <c r="I13" s="56" t="n">
        <f aca="false">IF($W13="","",N(INDEX(发票统计!I$4:I$1003,$W13)))</f>
        <v>0</v>
      </c>
      <c r="J13" s="56" t="n">
        <f aca="false">IF($W13="","",N(INDEX(发票统计!J$4:J$1003,$W13)))</f>
        <v>0</v>
      </c>
      <c r="K13" s="56" t="n">
        <f aca="false">IF($W13="","",N(INDEX(发票统计!K$4:K$1003,$W13)))</f>
        <v>0</v>
      </c>
      <c r="L13" s="56" t="n">
        <f aca="false">IF($W13="","",SUM(J$4:J13)-SUM(K$4:K13))</f>
        <v>-57561.71</v>
      </c>
      <c r="M13" s="56" t="n">
        <f aca="false">IF($W13="","",N(INDEX(发票统计!M$4:M$1003,$W13)))</f>
        <v>0</v>
      </c>
      <c r="N13" s="56" t="n">
        <f aca="false">IF($W13="","",N(INDEX(发票统计!N$4:N$1003,$W13)))</f>
        <v>0</v>
      </c>
      <c r="O13" s="56" t="n">
        <f aca="false">IF($W13="","",N(INDEX(发票统计!O$4:O$1003,$W13)))</f>
        <v>2000</v>
      </c>
      <c r="P13" s="56" t="n">
        <f aca="false">IF($W13="","",SUM(M$4:M13)-SUM(N$4:N13)-SUM(O$4:O13))</f>
        <v>69788.1</v>
      </c>
      <c r="Q13" s="56" t="n">
        <f aca="false">IF($W13="","",N(INDEX(发票统计!Q$4:Q$1003,$W13)))</f>
        <v>0</v>
      </c>
      <c r="R13" s="56" t="n">
        <f aca="false">IF($W13="","",N(INDEX(发票统计!R$4:R$1003,$W13)))</f>
        <v>0</v>
      </c>
      <c r="S13" s="56" t="n">
        <f aca="false">IF($W13="","",N(INDEX(发票统计!S$4:S$1003,$W13)))</f>
        <v>0</v>
      </c>
      <c r="T13" s="56" t="n">
        <f aca="false">IF($W13="","",SUM(Q$4:Q13)-SUM(R$4:R13)-SUM(S$4:S13))</f>
        <v>0</v>
      </c>
      <c r="U13" s="56" t="str">
        <f aca="false">IF($W13="","",INDEX(发票统计!U$4:U$1003,$W13)&amp;"")</f>
        <v/>
      </c>
      <c r="W13" s="1" t="n">
        <f aca="false">IF($V$3="","",IFERROR(MATCH($V$3&amp;"#"&amp;ROWS(W$4:W13),发票统计!$W$4:$W$1003,0),""))</f>
        <v>31</v>
      </c>
    </row>
    <row r="14" customFormat="false" ht="16.5" hidden="false" customHeight="false" outlineLevel="0" collapsed="false">
      <c r="A14" s="56" t="str">
        <f aca="false">IF($W14="","",INDEX(发票统计!A$4:A$1003,$W14)&amp;"")</f>
        <v>铜城2回、玉璟尚线、铁井一回、淮拦线4</v>
      </c>
      <c r="B14" s="56" t="str">
        <f aca="false">IF($W14="","",INDEX(发票统计!B$4:B$1003,$W14)&amp;"")</f>
        <v>9月</v>
      </c>
      <c r="C14" s="56" t="str">
        <f aca="false">IF($W14="","",INDEX(发票统计!C$4:C$1003,$W14)&amp;"")</f>
        <v>重庆铜梁玉璟尚线金龙物业管理有限公司10kV业扩配套工程</v>
      </c>
      <c r="D14" s="56" t="str">
        <f aca="false">IF($W14="","",INDEX(发票统计!D$4:D$1003,$W14)&amp;"")</f>
        <v>2026.9.14新德润扣8月民能农民工工资：玉璟尚线</v>
      </c>
      <c r="E14" s="56" t="str">
        <f aca="false">IF($W14="","",INDEX(发票统计!E$4:E$1003,$W14)&amp;"")</f>
        <v>新德润</v>
      </c>
      <c r="F14" s="73" t="str">
        <f aca="false">IF($W14="","",INDEX(发票统计!F$4:F$1003,$W14)&amp;"")</f>
        <v/>
      </c>
      <c r="G14" s="68" t="str">
        <f aca="false">IF($W14="","",IF(INDEX(发票统计!G$4:G$1003,$W14)="","",INDEX(发票统计!G$4:G$1003,$W14)))</f>
        <v/>
      </c>
      <c r="H14" s="56" t="n">
        <f aca="false">IF($W14="","",N(INDEX(发票统计!H$4:H$1003,$W14)))</f>
        <v>0</v>
      </c>
      <c r="I14" s="56" t="n">
        <f aca="false">IF($W14="","",N(INDEX(发票统计!I$4:I$1003,$W14)))</f>
        <v>0</v>
      </c>
      <c r="J14" s="56" t="n">
        <f aca="false">IF($W14="","",N(INDEX(发票统计!J$4:J$1003,$W14)))</f>
        <v>0</v>
      </c>
      <c r="K14" s="56" t="n">
        <f aca="false">IF($W14="","",N(INDEX(发票统计!K$4:K$1003,$W14)))</f>
        <v>0</v>
      </c>
      <c r="L14" s="56" t="n">
        <f aca="false">IF($W14="","",SUM(J$4:J14)-SUM(K$4:K14))</f>
        <v>-57561.71</v>
      </c>
      <c r="M14" s="56" t="n">
        <f aca="false">IF($W14="","",N(INDEX(发票统计!M$4:M$1003,$W14)))</f>
        <v>0</v>
      </c>
      <c r="N14" s="56" t="n">
        <f aca="false">IF($W14="","",N(INDEX(发票统计!N$4:N$1003,$W14)))</f>
        <v>0</v>
      </c>
      <c r="O14" s="56" t="n">
        <f aca="false">IF($W14="","",N(INDEX(发票统计!O$4:O$1003,$W14)))</f>
        <v>6000</v>
      </c>
      <c r="P14" s="56" t="n">
        <f aca="false">IF($W14="","",SUM(M$4:M14)-SUM(N$4:N14)-SUM(O$4:O14))</f>
        <v>63788.1</v>
      </c>
      <c r="Q14" s="56" t="n">
        <f aca="false">IF($W14="","",N(INDEX(发票统计!Q$4:Q$1003,$W14)))</f>
        <v>0</v>
      </c>
      <c r="R14" s="56" t="n">
        <f aca="false">IF($W14="","",N(INDEX(发票统计!R$4:R$1003,$W14)))</f>
        <v>0</v>
      </c>
      <c r="S14" s="56" t="n">
        <f aca="false">IF($W14="","",N(INDEX(发票统计!S$4:S$1003,$W14)))</f>
        <v>0</v>
      </c>
      <c r="T14" s="56" t="n">
        <f aca="false">IF($W14="","",SUM(Q$4:Q14)-SUM(R$4:R14)-SUM(S$4:S14))</f>
        <v>0</v>
      </c>
      <c r="U14" s="56" t="str">
        <f aca="false">IF($W14="","",INDEX(发票统计!U$4:U$1003,$W14)&amp;"")</f>
        <v/>
      </c>
      <c r="W14" s="1" t="n">
        <f aca="false">IF($V$3="","",IFERROR(MATCH($V$3&amp;"#"&amp;ROWS(W$4:W14),发票统计!$W$4:$W$1003,0),""))</f>
        <v>32</v>
      </c>
    </row>
    <row r="15" customFormat="false" ht="16.5" hidden="false" customHeight="false" outlineLevel="0" collapsed="false">
      <c r="A15" s="56" t="str">
        <f aca="false">IF($W15="","",INDEX(发票统计!A$4:A$1003,$W15)&amp;"")</f>
        <v>铜城2回、玉璟尚线、铁井一回、淮拦线4</v>
      </c>
      <c r="B15" s="56" t="str">
        <f aca="false">IF($W15="","",INDEX(发票统计!B$4:B$1003,$W15)&amp;"")</f>
        <v>9月</v>
      </c>
      <c r="C15" s="56" t="str">
        <f aca="false">IF($W15="","",INDEX(发票统计!C$4:C$1003,$W15)&amp;"")</f>
        <v>重庆铜梁淮拦线4#环网柜等6个10kV老旧环网柜改造工程（安装）</v>
      </c>
      <c r="D15" s="56" t="str">
        <f aca="false">IF($W15="","",INDEX(发票统计!D$4:D$1003,$W15)&amp;"")</f>
        <v>2026.9.14新德润扣工资残保金1.5%</v>
      </c>
      <c r="E15" s="56" t="str">
        <f aca="false">IF($W15="","",INDEX(发票统计!E$4:E$1003,$W15)&amp;"")</f>
        <v>新德润</v>
      </c>
      <c r="F15" s="73" t="str">
        <f aca="false">IF($W15="","",INDEX(发票统计!F$4:F$1003,$W15)&amp;"")</f>
        <v/>
      </c>
      <c r="G15" s="68" t="str">
        <f aca="false">IF($W15="","",IF(INDEX(发票统计!G$4:G$1003,$W15)="","",INDEX(发票统计!G$4:G$1003,$W15)))</f>
        <v/>
      </c>
      <c r="H15" s="56" t="n">
        <f aca="false">IF($W15="","",N(INDEX(发票统计!H$4:H$1003,$W15)))</f>
        <v>0</v>
      </c>
      <c r="I15" s="56" t="n">
        <f aca="false">IF($W15="","",N(INDEX(发票统计!I$4:I$1003,$W15)))</f>
        <v>0</v>
      </c>
      <c r="J15" s="56" t="n">
        <f aca="false">IF($W15="","",N(INDEX(发票统计!J$4:J$1003,$W15)))</f>
        <v>0</v>
      </c>
      <c r="K15" s="56" t="n">
        <f aca="false">IF($W15="","",N(INDEX(发票统计!K$4:K$1003,$W15)))</f>
        <v>0</v>
      </c>
      <c r="L15" s="56" t="n">
        <f aca="false">IF($W15="","",SUM(J$4:J15)-SUM(K$4:K15))</f>
        <v>-57561.71</v>
      </c>
      <c r="M15" s="56" t="n">
        <f aca="false">IF($W15="","",N(INDEX(发票统计!M$4:M$1003,$W15)))</f>
        <v>0</v>
      </c>
      <c r="N15" s="56" t="n">
        <f aca="false">IF($W15="","",N(INDEX(发票统计!N$4:N$1003,$W15)))</f>
        <v>0</v>
      </c>
      <c r="O15" s="56" t="n">
        <f aca="false">IF($W15="","",N(INDEX(发票统计!O$4:O$1003,$W15)))</f>
        <v>1823.97</v>
      </c>
      <c r="P15" s="56" t="n">
        <f aca="false">IF($W15="","",SUM(M$4:M15)-SUM(N$4:N15)-SUM(O$4:O15))</f>
        <v>61964.13</v>
      </c>
      <c r="Q15" s="56" t="n">
        <f aca="false">IF($W15="","",N(INDEX(发票统计!Q$4:Q$1003,$W15)))</f>
        <v>0</v>
      </c>
      <c r="R15" s="56" t="n">
        <f aca="false">IF($W15="","",N(INDEX(发票统计!R$4:R$1003,$W15)))</f>
        <v>0</v>
      </c>
      <c r="S15" s="56" t="n">
        <f aca="false">IF($W15="","",N(INDEX(发票统计!S$4:S$1003,$W15)))</f>
        <v>0</v>
      </c>
      <c r="T15" s="56" t="n">
        <f aca="false">IF($W15="","",SUM(Q$4:Q15)-SUM(R$4:R15)-SUM(S$4:S15))</f>
        <v>0</v>
      </c>
      <c r="U15" s="56" t="str">
        <f aca="false">IF($W15="","",INDEX(发票统计!U$4:U$1003,$W15)&amp;"")</f>
        <v/>
      </c>
      <c r="W15" s="1" t="n">
        <f aca="false">IF($V$3="","",IFERROR(MATCH($V$3&amp;"#"&amp;ROWS(W$4:W15),发票统计!$W$4:$W$1003,0),""))</f>
        <v>33</v>
      </c>
    </row>
    <row r="16" customFormat="false" ht="16.5" hidden="false" customHeight="false" outlineLevel="0" collapsed="false">
      <c r="A16" s="56" t="str">
        <f aca="false">IF($W16="","",INDEX(发票统计!A$4:A$1003,$W16)&amp;"")</f>
        <v>铜城2回、玉璟尚线、铁井一回、淮拦线4</v>
      </c>
      <c r="B16" s="56" t="str">
        <f aca="false">IF($W16="","",INDEX(发票统计!B$4:B$1003,$W16)&amp;"")</f>
        <v>9月</v>
      </c>
      <c r="C16" s="56" t="str">
        <f aca="false">IF($W16="","",INDEX(发票统计!C$4:C$1003,$W16)&amp;"")</f>
        <v>重庆铜梁淮拦线4#环网柜等6个10kV老旧环网柜改造工程（安装）</v>
      </c>
      <c r="D16" s="56" t="str">
        <f aca="false">IF($W16="","",INDEX(发票统计!D$4:D$1003,$W16)&amp;"")</f>
        <v>2026.9.14新德润扣增值税3541.69，附加税425，印花税72.96</v>
      </c>
      <c r="E16" s="56" t="str">
        <f aca="false">IF($W16="","",INDEX(发票统计!E$4:E$1003,$W16)&amp;"")</f>
        <v>新德润</v>
      </c>
      <c r="F16" s="73" t="str">
        <f aca="false">IF($W16="","",INDEX(发票统计!F$4:F$1003,$W16)&amp;"")</f>
        <v/>
      </c>
      <c r="G16" s="68" t="str">
        <f aca="false">IF($W16="","",IF(INDEX(发票统计!G$4:G$1003,$W16)="","",INDEX(发票统计!G$4:G$1003,$W16)))</f>
        <v/>
      </c>
      <c r="H16" s="56" t="n">
        <f aca="false">IF($W16="","",N(INDEX(发票统计!H$4:H$1003,$W16)))</f>
        <v>0</v>
      </c>
      <c r="I16" s="56" t="n">
        <f aca="false">IF($W16="","",N(INDEX(发票统计!I$4:I$1003,$W16)))</f>
        <v>0</v>
      </c>
      <c r="J16" s="56" t="n">
        <f aca="false">IF($W16="","",N(INDEX(发票统计!J$4:J$1003,$W16)))</f>
        <v>0</v>
      </c>
      <c r="K16" s="56" t="n">
        <f aca="false">IF($W16="","",N(INDEX(发票统计!K$4:K$1003,$W16)))</f>
        <v>0</v>
      </c>
      <c r="L16" s="56" t="n">
        <f aca="false">IF($W16="","",SUM(J$4:J16)-SUM(K$4:K16))</f>
        <v>-57561.71</v>
      </c>
      <c r="M16" s="56" t="n">
        <f aca="false">IF($W16="","",N(INDEX(发票统计!M$4:M$1003,$W16)))</f>
        <v>0</v>
      </c>
      <c r="N16" s="56" t="n">
        <f aca="false">IF($W16="","",N(INDEX(发票统计!N$4:N$1003,$W16)))</f>
        <v>0</v>
      </c>
      <c r="O16" s="56" t="n">
        <f aca="false">IF($W16="","",N(INDEX(发票统计!O$4:O$1003,$W16)))</f>
        <v>4039.65</v>
      </c>
      <c r="P16" s="56" t="n">
        <f aca="false">IF($W16="","",SUM(M$4:M16)-SUM(N$4:N16)-SUM(O$4:O16))</f>
        <v>57924.48</v>
      </c>
      <c r="Q16" s="56" t="n">
        <f aca="false">IF($W16="","",N(INDEX(发票统计!Q$4:Q$1003,$W16)))</f>
        <v>0</v>
      </c>
      <c r="R16" s="56" t="n">
        <f aca="false">IF($W16="","",N(INDEX(发票统计!R$4:R$1003,$W16)))</f>
        <v>0</v>
      </c>
      <c r="S16" s="56" t="n">
        <f aca="false">IF($W16="","",N(INDEX(发票统计!S$4:S$1003,$W16)))</f>
        <v>0</v>
      </c>
      <c r="T16" s="56" t="n">
        <f aca="false">IF($W16="","",SUM(Q$4:Q16)-SUM(R$4:R16)-SUM(S$4:S16))</f>
        <v>0</v>
      </c>
      <c r="U16" s="56" t="str">
        <f aca="false">IF($W16="","",INDEX(发票统计!U$4:U$1003,$W16)&amp;"")</f>
        <v/>
      </c>
      <c r="W16" s="1" t="n">
        <f aca="false">IF($V$3="","",IFERROR(MATCH($V$3&amp;"#"&amp;ROWS(W$4:W16),发票统计!$W$4:$W$1003,0),""))</f>
        <v>34</v>
      </c>
    </row>
    <row r="17" customFormat="false" ht="16.5" hidden="false" customHeight="false" outlineLevel="0" collapsed="false">
      <c r="A17" s="56" t="str">
        <f aca="false">IF($W17="","",INDEX(发票统计!A$4:A$1003,$W17)&amp;"")</f>
        <v>铜城2回、玉璟尚线、铁井一回、淮拦线4</v>
      </c>
      <c r="B17" s="56" t="str">
        <f aca="false">IF($W17="","",INDEX(发票统计!B$4:B$1003,$W17)&amp;"")</f>
        <v>9月</v>
      </c>
      <c r="C17" s="56" t="str">
        <f aca="false">IF($W17="","",INDEX(发票统计!C$4:C$1003,$W17)&amp;"")</f>
        <v>重庆铜梁淮拦线4#环网柜等6个10kV老旧环网柜改造工程（安装）</v>
      </c>
      <c r="D17" s="56" t="str">
        <f aca="false">IF($W17="","",INDEX(发票统计!D$4:D$1003,$W17)&amp;"")</f>
        <v>2026.9.14新德润扣管理费</v>
      </c>
      <c r="E17" s="56" t="str">
        <f aca="false">IF($W17="","",INDEX(发票统计!E$4:E$1003,$W17)&amp;"")</f>
        <v>新德润</v>
      </c>
      <c r="F17" s="73" t="str">
        <f aca="false">IF($W17="","",INDEX(发票统计!F$4:F$1003,$W17)&amp;"")</f>
        <v/>
      </c>
      <c r="G17" s="68" t="str">
        <f aca="false">IF($W17="","",IF(INDEX(发票统计!G$4:G$1003,$W17)="","",INDEX(发票统计!G$4:G$1003,$W17)))</f>
        <v/>
      </c>
      <c r="H17" s="56" t="n">
        <f aca="false">IF($W17="","",N(INDEX(发票统计!H$4:H$1003,$W17)))</f>
        <v>0</v>
      </c>
      <c r="I17" s="56" t="n">
        <f aca="false">IF($W17="","",N(INDEX(发票统计!I$4:I$1003,$W17)))</f>
        <v>0</v>
      </c>
      <c r="J17" s="56" t="n">
        <f aca="false">IF($W17="","",N(INDEX(发票统计!J$4:J$1003,$W17)))</f>
        <v>0</v>
      </c>
      <c r="K17" s="56" t="n">
        <f aca="false">IF($W17="","",N(INDEX(发票统计!K$4:K$1003,$W17)))</f>
        <v>0</v>
      </c>
      <c r="L17" s="56" t="n">
        <f aca="false">IF($W17="","",SUM(J$4:J17)-SUM(K$4:K17))</f>
        <v>-57561.71</v>
      </c>
      <c r="M17" s="56" t="n">
        <f aca="false">IF($W17="","",N(INDEX(发票统计!M$4:M$1003,$W17)))</f>
        <v>0</v>
      </c>
      <c r="N17" s="56" t="n">
        <f aca="false">IF($W17="","",N(INDEX(发票统计!N$4:N$1003,$W17)))</f>
        <v>0</v>
      </c>
      <c r="O17" s="56" t="n">
        <f aca="false">IF($W17="","",N(INDEX(发票统计!O$4:O$1003,$W17)))</f>
        <v>12159.81</v>
      </c>
      <c r="P17" s="56" t="n">
        <f aca="false">IF($W17="","",SUM(M$4:M17)-SUM(N$4:N17)-SUM(O$4:O17))</f>
        <v>45764.67</v>
      </c>
      <c r="Q17" s="56" t="n">
        <f aca="false">IF($W17="","",N(INDEX(发票统计!Q$4:Q$1003,$W17)))</f>
        <v>0</v>
      </c>
      <c r="R17" s="56" t="n">
        <f aca="false">IF($W17="","",N(INDEX(发票统计!R$4:R$1003,$W17)))</f>
        <v>0</v>
      </c>
      <c r="S17" s="56" t="n">
        <f aca="false">IF($W17="","",N(INDEX(发票统计!S$4:S$1003,$W17)))</f>
        <v>0</v>
      </c>
      <c r="T17" s="56" t="n">
        <f aca="false">IF($W17="","",SUM(Q$4:Q17)-SUM(R$4:R17)-SUM(S$4:S17))</f>
        <v>0</v>
      </c>
      <c r="U17" s="56" t="str">
        <f aca="false">IF($W17="","",INDEX(发票统计!U$4:U$1003,$W17)&amp;"")</f>
        <v/>
      </c>
      <c r="W17" s="1" t="n">
        <f aca="false">IF($V$3="","",IFERROR(MATCH($V$3&amp;"#"&amp;ROWS(W$4:W17),发票统计!$W$4:$W$1003,0),""))</f>
        <v>35</v>
      </c>
    </row>
    <row r="18" customFormat="false" ht="16.5" hidden="false" customHeight="false" outlineLevel="0" collapsed="false">
      <c r="A18" s="56" t="str">
        <f aca="false">IF($W18="","",INDEX(发票统计!A$4:A$1003,$W18)&amp;"")</f>
        <v>铜城2回、玉璟尚线、铁井一回、淮拦线4</v>
      </c>
      <c r="B18" s="56" t="str">
        <f aca="false">IF($W18="","",INDEX(发票统计!B$4:B$1003,$W18)&amp;"")</f>
        <v>9月</v>
      </c>
      <c r="C18" s="56" t="str">
        <f aca="false">IF($W18="","",INDEX(发票统计!C$4:C$1003,$W18)&amp;"")</f>
        <v>重庆铜梁淮拦线4#环网柜等6个10kV老旧环网柜改造工程（安装）</v>
      </c>
      <c r="D18" s="56" t="str">
        <f aca="false">IF($W18="","",INDEX(发票统计!D$4:D$1003,$W18)&amp;"")</f>
        <v>2026.9.14新德润代胡崇文支付宜宾翠屏货款：42800-39473.83=3326.17</v>
      </c>
      <c r="E18" s="56" t="str">
        <f aca="false">IF($W18="","",INDEX(发票统计!E$4:E$1003,$W18)&amp;"")</f>
        <v>新德润</v>
      </c>
      <c r="F18" s="73" t="str">
        <f aca="false">IF($W18="","",INDEX(发票统计!F$4:F$1003,$W18)&amp;"")</f>
        <v/>
      </c>
      <c r="G18" s="68" t="str">
        <f aca="false">IF($W18="","",IF(INDEX(发票统计!G$4:G$1003,$W18)="","",INDEX(发票统计!G$4:G$1003,$W18)))</f>
        <v/>
      </c>
      <c r="H18" s="56" t="n">
        <f aca="false">IF($W18="","",N(INDEX(发票统计!H$4:H$1003,$W18)))</f>
        <v>0</v>
      </c>
      <c r="I18" s="56" t="n">
        <f aca="false">IF($W18="","",N(INDEX(发票统计!I$4:I$1003,$W18)))</f>
        <v>0</v>
      </c>
      <c r="J18" s="56" t="n">
        <f aca="false">IF($W18="","",N(INDEX(发票统计!J$4:J$1003,$W18)))</f>
        <v>0</v>
      </c>
      <c r="K18" s="56" t="n">
        <f aca="false">IF($W18="","",N(INDEX(发票统计!K$4:K$1003,$W18)))</f>
        <v>0</v>
      </c>
      <c r="L18" s="56" t="n">
        <f aca="false">IF($W18="","",SUM(J$4:J18)-SUM(K$4:K18))</f>
        <v>-57561.71</v>
      </c>
      <c r="M18" s="56" t="n">
        <f aca="false">IF($W18="","",N(INDEX(发票统计!M$4:M$1003,$W18)))</f>
        <v>0</v>
      </c>
      <c r="N18" s="56" t="n">
        <f aca="false">IF($W18="","",N(INDEX(发票统计!N$4:N$1003,$W18)))</f>
        <v>0</v>
      </c>
      <c r="O18" s="56" t="n">
        <f aca="false">IF($W18="","",N(INDEX(发票统计!O$4:O$1003,$W18)))</f>
        <v>39473.83</v>
      </c>
      <c r="P18" s="56" t="n">
        <f aca="false">IF($W18="","",SUM(M$4:M18)-SUM(N$4:N18)-SUM(O$4:O18))</f>
        <v>6290.84000000001</v>
      </c>
      <c r="Q18" s="56" t="n">
        <f aca="false">IF($W18="","",N(INDEX(发票统计!Q$4:Q$1003,$W18)))</f>
        <v>0</v>
      </c>
      <c r="R18" s="56" t="n">
        <f aca="false">IF($W18="","",N(INDEX(发票统计!R$4:R$1003,$W18)))</f>
        <v>0</v>
      </c>
      <c r="S18" s="56" t="n">
        <f aca="false">IF($W18="","",N(INDEX(发票统计!S$4:S$1003,$W18)))</f>
        <v>0</v>
      </c>
      <c r="T18" s="56" t="n">
        <f aca="false">IF($W18="","",SUM(Q$4:Q18)-SUM(R$4:R18)-SUM(S$4:S18))</f>
        <v>0</v>
      </c>
      <c r="U18" s="56" t="str">
        <f aca="false">IF($W18="","",INDEX(发票统计!U$4:U$1003,$W18)&amp;"")</f>
        <v/>
      </c>
      <c r="W18" s="1" t="n">
        <f aca="false">IF($V$3="","",IFERROR(MATCH($V$3&amp;"#"&amp;ROWS(W$4:W18),发票统计!$W$4:$W$1003,0),""))</f>
        <v>36</v>
      </c>
    </row>
    <row r="19" customFormat="false" ht="16.5" hidden="false" customHeight="false" outlineLevel="0" collapsed="false">
      <c r="A19" s="56" t="str">
        <f aca="false">IF($W19="","",INDEX(发票统计!A$4:A$1003,$W19)&amp;"")</f>
        <v/>
      </c>
      <c r="B19" s="56" t="str">
        <f aca="false">IF($W19="","",INDEX(发票统计!B$4:B$1003,$W19)&amp;"")</f>
        <v/>
      </c>
      <c r="C19" s="56" t="str">
        <f aca="false">IF($W19="","",INDEX(发票统计!C$4:C$1003,$W19)&amp;"")</f>
        <v/>
      </c>
      <c r="D19" s="56" t="str">
        <f aca="false">IF($W19="","",INDEX(发票统计!D$4:D$1003,$W19)&amp;"")</f>
        <v/>
      </c>
      <c r="E19" s="56" t="str">
        <f aca="false">IF($W19="","",INDEX(发票统计!E$4:E$1003,$W19)&amp;"")</f>
        <v/>
      </c>
      <c r="F19" s="73" t="str">
        <f aca="false">IF($W19="","",INDEX(发票统计!F$4:F$1003,$W19)&amp;"")</f>
        <v/>
      </c>
      <c r="G19" s="68" t="str">
        <f aca="false">IF($W19="","",IF(INDEX(发票统计!G$4:G$1003,$W19)="","",INDEX(发票统计!G$4:G$1003,$W19)))</f>
        <v/>
      </c>
      <c r="H19" s="56" t="str">
        <f aca="false">IF($W19="","",N(INDEX(发票统计!H$4:H$1003,$W19)))</f>
        <v/>
      </c>
      <c r="I19" s="56" t="str">
        <f aca="false">IF($W19="","",N(INDEX(发票统计!I$4:I$1003,$W19)))</f>
        <v/>
      </c>
      <c r="J19" s="56" t="str">
        <f aca="false">IF($W19="","",N(INDEX(发票统计!J$4:J$1003,$W19)))</f>
        <v/>
      </c>
      <c r="K19" s="56" t="str">
        <f aca="false">IF($W19="","",N(INDEX(发票统计!K$4:K$1003,$W19)))</f>
        <v/>
      </c>
      <c r="L19" s="56" t="str">
        <f aca="false">IF($W19="","",SUM(J$4:J19)-SUM(K$4:K19))</f>
        <v/>
      </c>
      <c r="M19" s="56" t="str">
        <f aca="false">IF($W19="","",N(INDEX(发票统计!M$4:M$1003,$W19)))</f>
        <v/>
      </c>
      <c r="N19" s="56" t="str">
        <f aca="false">IF($W19="","",N(INDEX(发票统计!N$4:N$1003,$W19)))</f>
        <v/>
      </c>
      <c r="O19" s="56" t="str">
        <f aca="false">IF($W19="","",N(INDEX(发票统计!O$4:O$1003,$W19)))</f>
        <v/>
      </c>
      <c r="P19" s="56" t="str">
        <f aca="false">IF($W19="","",SUM(M$4:M19)-SUM(N$4:N19)-SUM(O$4:O19))</f>
        <v/>
      </c>
      <c r="Q19" s="56" t="str">
        <f aca="false">IF($W19="","",N(INDEX(发票统计!Q$4:Q$1003,$W19)))</f>
        <v/>
      </c>
      <c r="R19" s="56" t="str">
        <f aca="false">IF($W19="","",N(INDEX(发票统计!R$4:R$1003,$W19)))</f>
        <v/>
      </c>
      <c r="S19" s="56" t="str">
        <f aca="false">IF($W19="","",N(INDEX(发票统计!S$4:S$1003,$W19)))</f>
        <v/>
      </c>
      <c r="T19" s="56" t="str">
        <f aca="false">IF($W19="","",SUM(Q$4:Q19)-SUM(R$4:R19)-SUM(S$4:S19))</f>
        <v/>
      </c>
      <c r="U19" s="56" t="str">
        <f aca="false">IF($W19="","",INDEX(发票统计!U$4:U$1003,$W19)&amp;"")</f>
        <v/>
      </c>
      <c r="W19" s="1" t="str">
        <f aca="false">IF($V$3="","",IFERROR(MATCH($V$3&amp;"#"&amp;ROWS(W$4:W19),发票统计!$W$4:$W$1003,0),""))</f>
        <v/>
      </c>
    </row>
    <row r="20" customFormat="false" ht="16.5" hidden="false" customHeight="false" outlineLevel="0" collapsed="false">
      <c r="A20" s="56" t="str">
        <f aca="false">IF($W20="","",INDEX(发票统计!A$4:A$1003,$W20)&amp;"")</f>
        <v/>
      </c>
      <c r="B20" s="56" t="str">
        <f aca="false">IF($W20="","",INDEX(发票统计!B$4:B$1003,$W20)&amp;"")</f>
        <v/>
      </c>
      <c r="C20" s="56" t="str">
        <f aca="false">IF($W20="","",INDEX(发票统计!C$4:C$1003,$W20)&amp;"")</f>
        <v/>
      </c>
      <c r="D20" s="56" t="str">
        <f aca="false">IF($W20="","",INDEX(发票统计!D$4:D$1003,$W20)&amp;"")</f>
        <v/>
      </c>
      <c r="E20" s="56" t="str">
        <f aca="false">IF($W20="","",INDEX(发票统计!E$4:E$1003,$W20)&amp;"")</f>
        <v/>
      </c>
      <c r="F20" s="73" t="str">
        <f aca="false">IF($W20="","",INDEX(发票统计!F$4:F$1003,$W20)&amp;"")</f>
        <v/>
      </c>
      <c r="G20" s="68" t="str">
        <f aca="false">IF($W20="","",IF(INDEX(发票统计!G$4:G$1003,$W20)="","",INDEX(发票统计!G$4:G$1003,$W20)))</f>
        <v/>
      </c>
      <c r="H20" s="56" t="str">
        <f aca="false">IF($W20="","",N(INDEX(发票统计!H$4:H$1003,$W20)))</f>
        <v/>
      </c>
      <c r="I20" s="56" t="str">
        <f aca="false">IF($W20="","",N(INDEX(发票统计!I$4:I$1003,$W20)))</f>
        <v/>
      </c>
      <c r="J20" s="56" t="str">
        <f aca="false">IF($W20="","",N(INDEX(发票统计!J$4:J$1003,$W20)))</f>
        <v/>
      </c>
      <c r="K20" s="56" t="str">
        <f aca="false">IF($W20="","",N(INDEX(发票统计!K$4:K$1003,$W20)))</f>
        <v/>
      </c>
      <c r="L20" s="56" t="str">
        <f aca="false">IF($W20="","",SUM(J$4:J20)-SUM(K$4:K20))</f>
        <v/>
      </c>
      <c r="M20" s="56" t="str">
        <f aca="false">IF($W20="","",N(INDEX(发票统计!M$4:M$1003,$W20)))</f>
        <v/>
      </c>
      <c r="N20" s="56" t="str">
        <f aca="false">IF($W20="","",N(INDEX(发票统计!N$4:N$1003,$W20)))</f>
        <v/>
      </c>
      <c r="O20" s="56" t="str">
        <f aca="false">IF($W20="","",N(INDEX(发票统计!O$4:O$1003,$W20)))</f>
        <v/>
      </c>
      <c r="P20" s="56" t="str">
        <f aca="false">IF($W20="","",SUM(M$4:M20)-SUM(N$4:N20)-SUM(O$4:O20))</f>
        <v/>
      </c>
      <c r="Q20" s="56" t="str">
        <f aca="false">IF($W20="","",N(INDEX(发票统计!Q$4:Q$1003,$W20)))</f>
        <v/>
      </c>
      <c r="R20" s="56" t="str">
        <f aca="false">IF($W20="","",N(INDEX(发票统计!R$4:R$1003,$W20)))</f>
        <v/>
      </c>
      <c r="S20" s="56" t="str">
        <f aca="false">IF($W20="","",N(INDEX(发票统计!S$4:S$1003,$W20)))</f>
        <v/>
      </c>
      <c r="T20" s="56" t="str">
        <f aca="false">IF($W20="","",SUM(Q$4:Q20)-SUM(R$4:R20)-SUM(S$4:S20))</f>
        <v/>
      </c>
      <c r="U20" s="56" t="str">
        <f aca="false">IF($W20="","",INDEX(发票统计!U$4:U$1003,$W20)&amp;"")</f>
        <v/>
      </c>
      <c r="W20" s="1" t="str">
        <f aca="false">IF($V$3="","",IFERROR(MATCH($V$3&amp;"#"&amp;ROWS(W$4:W20),发票统计!$W$4:$W$1003,0),""))</f>
        <v/>
      </c>
    </row>
    <row r="21" customFormat="false" ht="16.5" hidden="false" customHeight="false" outlineLevel="0" collapsed="false">
      <c r="A21" s="56" t="str">
        <f aca="false">IF($W21="","",INDEX(发票统计!A$4:A$1003,$W21)&amp;"")</f>
        <v/>
      </c>
      <c r="B21" s="56" t="str">
        <f aca="false">IF($W21="","",INDEX(发票统计!B$4:B$1003,$W21)&amp;"")</f>
        <v/>
      </c>
      <c r="C21" s="56" t="str">
        <f aca="false">IF($W21="","",INDEX(发票统计!C$4:C$1003,$W21)&amp;"")</f>
        <v/>
      </c>
      <c r="D21" s="56" t="str">
        <f aca="false">IF($W21="","",INDEX(发票统计!D$4:D$1003,$W21)&amp;"")</f>
        <v/>
      </c>
      <c r="E21" s="56" t="str">
        <f aca="false">IF($W21="","",INDEX(发票统计!E$4:E$1003,$W21)&amp;"")</f>
        <v/>
      </c>
      <c r="F21" s="73" t="str">
        <f aca="false">IF($W21="","",INDEX(发票统计!F$4:F$1003,$W21)&amp;"")</f>
        <v/>
      </c>
      <c r="G21" s="68" t="str">
        <f aca="false">IF($W21="","",IF(INDEX(发票统计!G$4:G$1003,$W21)="","",INDEX(发票统计!G$4:G$1003,$W21)))</f>
        <v/>
      </c>
      <c r="H21" s="56" t="str">
        <f aca="false">IF($W21="","",N(INDEX(发票统计!H$4:H$1003,$W21)))</f>
        <v/>
      </c>
      <c r="I21" s="56" t="str">
        <f aca="false">IF($W21="","",N(INDEX(发票统计!I$4:I$1003,$W21)))</f>
        <v/>
      </c>
      <c r="J21" s="56" t="str">
        <f aca="false">IF($W21="","",N(INDEX(发票统计!J$4:J$1003,$W21)))</f>
        <v/>
      </c>
      <c r="K21" s="56" t="str">
        <f aca="false">IF($W21="","",N(INDEX(发票统计!K$4:K$1003,$W21)))</f>
        <v/>
      </c>
      <c r="L21" s="56" t="str">
        <f aca="false">IF($W21="","",SUM(J$4:J21)-SUM(K$4:K21))</f>
        <v/>
      </c>
      <c r="M21" s="56" t="str">
        <f aca="false">IF($W21="","",N(INDEX(发票统计!M$4:M$1003,$W21)))</f>
        <v/>
      </c>
      <c r="N21" s="56" t="str">
        <f aca="false">IF($W21="","",N(INDEX(发票统计!N$4:N$1003,$W21)))</f>
        <v/>
      </c>
      <c r="O21" s="56" t="str">
        <f aca="false">IF($W21="","",N(INDEX(发票统计!O$4:O$1003,$W21)))</f>
        <v/>
      </c>
      <c r="P21" s="56" t="str">
        <f aca="false">IF($W21="","",SUM(M$4:M21)-SUM(N$4:N21)-SUM(O$4:O21))</f>
        <v/>
      </c>
      <c r="Q21" s="56" t="str">
        <f aca="false">IF($W21="","",N(INDEX(发票统计!Q$4:Q$1003,$W21)))</f>
        <v/>
      </c>
      <c r="R21" s="56" t="str">
        <f aca="false">IF($W21="","",N(INDEX(发票统计!R$4:R$1003,$W21)))</f>
        <v/>
      </c>
      <c r="S21" s="56" t="str">
        <f aca="false">IF($W21="","",N(INDEX(发票统计!S$4:S$1003,$W21)))</f>
        <v/>
      </c>
      <c r="T21" s="56" t="str">
        <f aca="false">IF($W21="","",SUM(Q$4:Q21)-SUM(R$4:R21)-SUM(S$4:S21))</f>
        <v/>
      </c>
      <c r="U21" s="56" t="str">
        <f aca="false">IF($W21="","",INDEX(发票统计!U$4:U$1003,$W21)&amp;"")</f>
        <v/>
      </c>
      <c r="W21" s="1" t="str">
        <f aca="false">IF($V$3="","",IFERROR(MATCH($V$3&amp;"#"&amp;ROWS(W$4:W21),发票统计!$W$4:$W$1003,0),""))</f>
        <v/>
      </c>
    </row>
    <row r="22" customFormat="false" ht="16.5" hidden="false" customHeight="false" outlineLevel="0" collapsed="false">
      <c r="A22" s="56" t="str">
        <f aca="false">IF($W22="","",INDEX(发票统计!A$4:A$1003,$W22)&amp;"")</f>
        <v/>
      </c>
      <c r="B22" s="56" t="str">
        <f aca="false">IF($W22="","",INDEX(发票统计!B$4:B$1003,$W22)&amp;"")</f>
        <v/>
      </c>
      <c r="C22" s="56" t="str">
        <f aca="false">IF($W22="","",INDEX(发票统计!C$4:C$1003,$W22)&amp;"")</f>
        <v/>
      </c>
      <c r="D22" s="56" t="str">
        <f aca="false">IF($W22="","",INDEX(发票统计!D$4:D$1003,$W22)&amp;"")</f>
        <v/>
      </c>
      <c r="E22" s="56" t="str">
        <f aca="false">IF($W22="","",INDEX(发票统计!E$4:E$1003,$W22)&amp;"")</f>
        <v/>
      </c>
      <c r="F22" s="73" t="str">
        <f aca="false">IF($W22="","",INDEX(发票统计!F$4:F$1003,$W22)&amp;"")</f>
        <v/>
      </c>
      <c r="G22" s="68" t="str">
        <f aca="false">IF($W22="","",IF(INDEX(发票统计!G$4:G$1003,$W22)="","",INDEX(发票统计!G$4:G$1003,$W22)))</f>
        <v/>
      </c>
      <c r="H22" s="56" t="str">
        <f aca="false">IF($W22="","",N(INDEX(发票统计!H$4:H$1003,$W22)))</f>
        <v/>
      </c>
      <c r="I22" s="56" t="str">
        <f aca="false">IF($W22="","",N(INDEX(发票统计!I$4:I$1003,$W22)))</f>
        <v/>
      </c>
      <c r="J22" s="56" t="str">
        <f aca="false">IF($W22="","",N(INDEX(发票统计!J$4:J$1003,$W22)))</f>
        <v/>
      </c>
      <c r="K22" s="56" t="str">
        <f aca="false">IF($W22="","",N(INDEX(发票统计!K$4:K$1003,$W22)))</f>
        <v/>
      </c>
      <c r="L22" s="56" t="str">
        <f aca="false">IF($W22="","",SUM(J$4:J22)-SUM(K$4:K22))</f>
        <v/>
      </c>
      <c r="M22" s="56" t="str">
        <f aca="false">IF($W22="","",N(INDEX(发票统计!M$4:M$1003,$W22)))</f>
        <v/>
      </c>
      <c r="N22" s="56" t="str">
        <f aca="false">IF($W22="","",N(INDEX(发票统计!N$4:N$1003,$W22)))</f>
        <v/>
      </c>
      <c r="O22" s="56" t="str">
        <f aca="false">IF($W22="","",N(INDEX(发票统计!O$4:O$1003,$W22)))</f>
        <v/>
      </c>
      <c r="P22" s="56" t="str">
        <f aca="false">IF($W22="","",SUM(M$4:M22)-SUM(N$4:N22)-SUM(O$4:O22))</f>
        <v/>
      </c>
      <c r="Q22" s="56" t="str">
        <f aca="false">IF($W22="","",N(INDEX(发票统计!Q$4:Q$1003,$W22)))</f>
        <v/>
      </c>
      <c r="R22" s="56" t="str">
        <f aca="false">IF($W22="","",N(INDEX(发票统计!R$4:R$1003,$W22)))</f>
        <v/>
      </c>
      <c r="S22" s="56" t="str">
        <f aca="false">IF($W22="","",N(INDEX(发票统计!S$4:S$1003,$W22)))</f>
        <v/>
      </c>
      <c r="T22" s="56" t="str">
        <f aca="false">IF($W22="","",SUM(Q$4:Q22)-SUM(R$4:R22)-SUM(S$4:S22))</f>
        <v/>
      </c>
      <c r="U22" s="56" t="str">
        <f aca="false">IF($W22="","",INDEX(发票统计!U$4:U$1003,$W22)&amp;"")</f>
        <v/>
      </c>
      <c r="W22" s="1" t="str">
        <f aca="false">IF($V$3="","",IFERROR(MATCH($V$3&amp;"#"&amp;ROWS(W$4:W22),发票统计!$W$4:$W$1003,0),""))</f>
        <v/>
      </c>
    </row>
    <row r="23" customFormat="false" ht="16.5" hidden="false" customHeight="false" outlineLevel="0" collapsed="false">
      <c r="A23" s="56" t="str">
        <f aca="false">IF($W23="","",INDEX(发票统计!A$4:A$1003,$W23)&amp;"")</f>
        <v/>
      </c>
      <c r="B23" s="56" t="str">
        <f aca="false">IF($W23="","",INDEX(发票统计!B$4:B$1003,$W23)&amp;"")</f>
        <v/>
      </c>
      <c r="C23" s="56" t="str">
        <f aca="false">IF($W23="","",INDEX(发票统计!C$4:C$1003,$W23)&amp;"")</f>
        <v/>
      </c>
      <c r="D23" s="56" t="str">
        <f aca="false">IF($W23="","",INDEX(发票统计!D$4:D$1003,$W23)&amp;"")</f>
        <v/>
      </c>
      <c r="E23" s="56" t="str">
        <f aca="false">IF($W23="","",INDEX(发票统计!E$4:E$1003,$W23)&amp;"")</f>
        <v/>
      </c>
      <c r="F23" s="73" t="str">
        <f aca="false">IF($W23="","",INDEX(发票统计!F$4:F$1003,$W23)&amp;"")</f>
        <v/>
      </c>
      <c r="G23" s="68" t="str">
        <f aca="false">IF($W23="","",IF(INDEX(发票统计!G$4:G$1003,$W23)="","",INDEX(发票统计!G$4:G$1003,$W23)))</f>
        <v/>
      </c>
      <c r="H23" s="56" t="str">
        <f aca="false">IF($W23="","",N(INDEX(发票统计!H$4:H$1003,$W23)))</f>
        <v/>
      </c>
      <c r="I23" s="56" t="str">
        <f aca="false">IF($W23="","",N(INDEX(发票统计!I$4:I$1003,$W23)))</f>
        <v/>
      </c>
      <c r="J23" s="56" t="str">
        <f aca="false">IF($W23="","",N(INDEX(发票统计!J$4:J$1003,$W23)))</f>
        <v/>
      </c>
      <c r="K23" s="56" t="str">
        <f aca="false">IF($W23="","",N(INDEX(发票统计!K$4:K$1003,$W23)))</f>
        <v/>
      </c>
      <c r="L23" s="56" t="str">
        <f aca="false">IF($W23="","",SUM(J$4:J23)-SUM(K$4:K23))</f>
        <v/>
      </c>
      <c r="M23" s="56" t="str">
        <f aca="false">IF($W23="","",N(INDEX(发票统计!M$4:M$1003,$W23)))</f>
        <v/>
      </c>
      <c r="N23" s="56" t="str">
        <f aca="false">IF($W23="","",N(INDEX(发票统计!N$4:N$1003,$W23)))</f>
        <v/>
      </c>
      <c r="O23" s="56" t="str">
        <f aca="false">IF($W23="","",N(INDEX(发票统计!O$4:O$1003,$W23)))</f>
        <v/>
      </c>
      <c r="P23" s="56" t="str">
        <f aca="false">IF($W23="","",SUM(M$4:M23)-SUM(N$4:N23)-SUM(O$4:O23))</f>
        <v/>
      </c>
      <c r="Q23" s="56" t="str">
        <f aca="false">IF($W23="","",N(INDEX(发票统计!Q$4:Q$1003,$W23)))</f>
        <v/>
      </c>
      <c r="R23" s="56" t="str">
        <f aca="false">IF($W23="","",N(INDEX(发票统计!R$4:R$1003,$W23)))</f>
        <v/>
      </c>
      <c r="S23" s="56" t="str">
        <f aca="false">IF($W23="","",N(INDEX(发票统计!S$4:S$1003,$W23)))</f>
        <v/>
      </c>
      <c r="T23" s="56" t="str">
        <f aca="false">IF($W23="","",SUM(Q$4:Q23)-SUM(R$4:R23)-SUM(S$4:S23))</f>
        <v/>
      </c>
      <c r="U23" s="56" t="str">
        <f aca="false">IF($W23="","",INDEX(发票统计!U$4:U$1003,$W23)&amp;"")</f>
        <v/>
      </c>
      <c r="W23" s="1" t="str">
        <f aca="false">IF($V$3="","",IFERROR(MATCH($V$3&amp;"#"&amp;ROWS(W$4:W23),发票统计!$W$4:$W$1003,0),""))</f>
        <v/>
      </c>
    </row>
    <row r="24" customFormat="false" ht="16.5" hidden="false" customHeight="false" outlineLevel="0" collapsed="false">
      <c r="A24" s="56" t="str">
        <f aca="false">IF($W24="","",INDEX(发票统计!A$4:A$1003,$W24)&amp;"")</f>
        <v/>
      </c>
      <c r="B24" s="56" t="str">
        <f aca="false">IF($W24="","",INDEX(发票统计!B$4:B$1003,$W24)&amp;"")</f>
        <v/>
      </c>
      <c r="C24" s="56" t="str">
        <f aca="false">IF($W24="","",INDEX(发票统计!C$4:C$1003,$W24)&amp;"")</f>
        <v/>
      </c>
      <c r="D24" s="56" t="str">
        <f aca="false">IF($W24="","",INDEX(发票统计!D$4:D$1003,$W24)&amp;"")</f>
        <v/>
      </c>
      <c r="E24" s="56" t="str">
        <f aca="false">IF($W24="","",INDEX(发票统计!E$4:E$1003,$W24)&amp;"")</f>
        <v/>
      </c>
      <c r="F24" s="73" t="str">
        <f aca="false">IF($W24="","",INDEX(发票统计!F$4:F$1003,$W24)&amp;"")</f>
        <v/>
      </c>
      <c r="G24" s="68" t="str">
        <f aca="false">IF($W24="","",IF(INDEX(发票统计!G$4:G$1003,$W24)="","",INDEX(发票统计!G$4:G$1003,$W24)))</f>
        <v/>
      </c>
      <c r="H24" s="56" t="str">
        <f aca="false">IF($W24="","",N(INDEX(发票统计!H$4:H$1003,$W24)))</f>
        <v/>
      </c>
      <c r="I24" s="56" t="str">
        <f aca="false">IF($W24="","",N(INDEX(发票统计!I$4:I$1003,$W24)))</f>
        <v/>
      </c>
      <c r="J24" s="56" t="str">
        <f aca="false">IF($W24="","",N(INDEX(发票统计!J$4:J$1003,$W24)))</f>
        <v/>
      </c>
      <c r="K24" s="56" t="str">
        <f aca="false">IF($W24="","",N(INDEX(发票统计!K$4:K$1003,$W24)))</f>
        <v/>
      </c>
      <c r="L24" s="56" t="str">
        <f aca="false">IF($W24="","",SUM(J$4:J24)-SUM(K$4:K24))</f>
        <v/>
      </c>
      <c r="M24" s="56" t="str">
        <f aca="false">IF($W24="","",N(INDEX(发票统计!M$4:M$1003,$W24)))</f>
        <v/>
      </c>
      <c r="N24" s="56" t="str">
        <f aca="false">IF($W24="","",N(INDEX(发票统计!N$4:N$1003,$W24)))</f>
        <v/>
      </c>
      <c r="O24" s="56" t="str">
        <f aca="false">IF($W24="","",N(INDEX(发票统计!O$4:O$1003,$W24)))</f>
        <v/>
      </c>
      <c r="P24" s="56" t="str">
        <f aca="false">IF($W24="","",SUM(M$4:M24)-SUM(N$4:N24)-SUM(O$4:O24))</f>
        <v/>
      </c>
      <c r="Q24" s="56" t="str">
        <f aca="false">IF($W24="","",N(INDEX(发票统计!Q$4:Q$1003,$W24)))</f>
        <v/>
      </c>
      <c r="R24" s="56" t="str">
        <f aca="false">IF($W24="","",N(INDEX(发票统计!R$4:R$1003,$W24)))</f>
        <v/>
      </c>
      <c r="S24" s="56" t="str">
        <f aca="false">IF($W24="","",N(INDEX(发票统计!S$4:S$1003,$W24)))</f>
        <v/>
      </c>
      <c r="T24" s="56" t="str">
        <f aca="false">IF($W24="","",SUM(Q$4:Q24)-SUM(R$4:R24)-SUM(S$4:S24))</f>
        <v/>
      </c>
      <c r="U24" s="56" t="str">
        <f aca="false">IF($W24="","",INDEX(发票统计!U$4:U$1003,$W24)&amp;"")</f>
        <v/>
      </c>
      <c r="W24" s="1" t="str">
        <f aca="false">IF($V$3="","",IFERROR(MATCH($V$3&amp;"#"&amp;ROWS(W$4:W24),发票统计!$W$4:$W$1003,0),""))</f>
        <v/>
      </c>
    </row>
    <row r="25" customFormat="false" ht="16.5" hidden="false" customHeight="false" outlineLevel="0" collapsed="false">
      <c r="A25" s="56" t="str">
        <f aca="false">IF($W25="","",INDEX(发票统计!A$4:A$1003,$W25)&amp;"")</f>
        <v/>
      </c>
      <c r="B25" s="56" t="str">
        <f aca="false">IF($W25="","",INDEX(发票统计!B$4:B$1003,$W25)&amp;"")</f>
        <v/>
      </c>
      <c r="C25" s="56" t="str">
        <f aca="false">IF($W25="","",INDEX(发票统计!C$4:C$1003,$W25)&amp;"")</f>
        <v/>
      </c>
      <c r="D25" s="56" t="str">
        <f aca="false">IF($W25="","",INDEX(发票统计!D$4:D$1003,$W25)&amp;"")</f>
        <v/>
      </c>
      <c r="E25" s="56" t="str">
        <f aca="false">IF($W25="","",INDEX(发票统计!E$4:E$1003,$W25)&amp;"")</f>
        <v/>
      </c>
      <c r="F25" s="73" t="str">
        <f aca="false">IF($W25="","",INDEX(发票统计!F$4:F$1003,$W25)&amp;"")</f>
        <v/>
      </c>
      <c r="G25" s="68" t="str">
        <f aca="false">IF($W25="","",IF(INDEX(发票统计!G$4:G$1003,$W25)="","",INDEX(发票统计!G$4:G$1003,$W25)))</f>
        <v/>
      </c>
      <c r="H25" s="56" t="str">
        <f aca="false">IF($W25="","",N(INDEX(发票统计!H$4:H$1003,$W25)))</f>
        <v/>
      </c>
      <c r="I25" s="56" t="str">
        <f aca="false">IF($W25="","",N(INDEX(发票统计!I$4:I$1003,$W25)))</f>
        <v/>
      </c>
      <c r="J25" s="56" t="str">
        <f aca="false">IF($W25="","",N(INDEX(发票统计!J$4:J$1003,$W25)))</f>
        <v/>
      </c>
      <c r="K25" s="56" t="str">
        <f aca="false">IF($W25="","",N(INDEX(发票统计!K$4:K$1003,$W25)))</f>
        <v/>
      </c>
      <c r="L25" s="56" t="str">
        <f aca="false">IF($W25="","",SUM(J$4:J25)-SUM(K$4:K25))</f>
        <v/>
      </c>
      <c r="M25" s="56" t="str">
        <f aca="false">IF($W25="","",N(INDEX(发票统计!M$4:M$1003,$W25)))</f>
        <v/>
      </c>
      <c r="N25" s="56" t="str">
        <f aca="false">IF($W25="","",N(INDEX(发票统计!N$4:N$1003,$W25)))</f>
        <v/>
      </c>
      <c r="O25" s="56" t="str">
        <f aca="false">IF($W25="","",N(INDEX(发票统计!O$4:O$1003,$W25)))</f>
        <v/>
      </c>
      <c r="P25" s="56" t="str">
        <f aca="false">IF($W25="","",SUM(M$4:M25)-SUM(N$4:N25)-SUM(O$4:O25))</f>
        <v/>
      </c>
      <c r="Q25" s="56" t="str">
        <f aca="false">IF($W25="","",N(INDEX(发票统计!Q$4:Q$1003,$W25)))</f>
        <v/>
      </c>
      <c r="R25" s="56" t="str">
        <f aca="false">IF($W25="","",N(INDEX(发票统计!R$4:R$1003,$W25)))</f>
        <v/>
      </c>
      <c r="S25" s="56" t="str">
        <f aca="false">IF($W25="","",N(INDEX(发票统计!S$4:S$1003,$W25)))</f>
        <v/>
      </c>
      <c r="T25" s="56" t="str">
        <f aca="false">IF($W25="","",SUM(Q$4:Q25)-SUM(R$4:R25)-SUM(S$4:S25))</f>
        <v/>
      </c>
      <c r="U25" s="56" t="str">
        <f aca="false">IF($W25="","",INDEX(发票统计!U$4:U$1003,$W25)&amp;"")</f>
        <v/>
      </c>
      <c r="W25" s="1" t="str">
        <f aca="false">IF($V$3="","",IFERROR(MATCH($V$3&amp;"#"&amp;ROWS(W$4:W25),发票统计!$W$4:$W$1003,0),""))</f>
        <v/>
      </c>
    </row>
    <row r="26" customFormat="false" ht="16.5" hidden="false" customHeight="false" outlineLevel="0" collapsed="false">
      <c r="A26" s="56" t="str">
        <f aca="false">IF($W26="","",INDEX(发票统计!A$4:A$1003,$W26)&amp;"")</f>
        <v/>
      </c>
      <c r="B26" s="56" t="str">
        <f aca="false">IF($W26="","",INDEX(发票统计!B$4:B$1003,$W26)&amp;"")</f>
        <v/>
      </c>
      <c r="C26" s="56" t="str">
        <f aca="false">IF($W26="","",INDEX(发票统计!C$4:C$1003,$W26)&amp;"")</f>
        <v/>
      </c>
      <c r="D26" s="56" t="str">
        <f aca="false">IF($W26="","",INDEX(发票统计!D$4:D$1003,$W26)&amp;"")</f>
        <v/>
      </c>
      <c r="E26" s="56" t="str">
        <f aca="false">IF($W26="","",INDEX(发票统计!E$4:E$1003,$W26)&amp;"")</f>
        <v/>
      </c>
      <c r="F26" s="73" t="str">
        <f aca="false">IF($W26="","",INDEX(发票统计!F$4:F$1003,$W26)&amp;"")</f>
        <v/>
      </c>
      <c r="G26" s="68" t="str">
        <f aca="false">IF($W26="","",IF(INDEX(发票统计!G$4:G$1003,$W26)="","",INDEX(发票统计!G$4:G$1003,$W26)))</f>
        <v/>
      </c>
      <c r="H26" s="56" t="str">
        <f aca="false">IF($W26="","",N(INDEX(发票统计!H$4:H$1003,$W26)))</f>
        <v/>
      </c>
      <c r="I26" s="56" t="str">
        <f aca="false">IF($W26="","",N(INDEX(发票统计!I$4:I$1003,$W26)))</f>
        <v/>
      </c>
      <c r="J26" s="56" t="str">
        <f aca="false">IF($W26="","",N(INDEX(发票统计!J$4:J$1003,$W26)))</f>
        <v/>
      </c>
      <c r="K26" s="56" t="str">
        <f aca="false">IF($W26="","",N(INDEX(发票统计!K$4:K$1003,$W26)))</f>
        <v/>
      </c>
      <c r="L26" s="56" t="str">
        <f aca="false">IF($W26="","",SUM(J$4:J26)-SUM(K$4:K26))</f>
        <v/>
      </c>
      <c r="M26" s="56" t="str">
        <f aca="false">IF($W26="","",N(INDEX(发票统计!M$4:M$1003,$W26)))</f>
        <v/>
      </c>
      <c r="N26" s="56" t="str">
        <f aca="false">IF($W26="","",N(INDEX(发票统计!N$4:N$1003,$W26)))</f>
        <v/>
      </c>
      <c r="O26" s="56" t="str">
        <f aca="false">IF($W26="","",N(INDEX(发票统计!O$4:O$1003,$W26)))</f>
        <v/>
      </c>
      <c r="P26" s="56" t="str">
        <f aca="false">IF($W26="","",SUM(M$4:M26)-SUM(N$4:N26)-SUM(O$4:O26))</f>
        <v/>
      </c>
      <c r="Q26" s="56" t="str">
        <f aca="false">IF($W26="","",N(INDEX(发票统计!Q$4:Q$1003,$W26)))</f>
        <v/>
      </c>
      <c r="R26" s="56" t="str">
        <f aca="false">IF($W26="","",N(INDEX(发票统计!R$4:R$1003,$W26)))</f>
        <v/>
      </c>
      <c r="S26" s="56" t="str">
        <f aca="false">IF($W26="","",N(INDEX(发票统计!S$4:S$1003,$W26)))</f>
        <v/>
      </c>
      <c r="T26" s="56" t="str">
        <f aca="false">IF($W26="","",SUM(Q$4:Q26)-SUM(R$4:R26)-SUM(S$4:S26))</f>
        <v/>
      </c>
      <c r="U26" s="56" t="str">
        <f aca="false">IF($W26="","",INDEX(发票统计!U$4:U$1003,$W26)&amp;"")</f>
        <v/>
      </c>
      <c r="W26" s="1" t="str">
        <f aca="false">IF($V$3="","",IFERROR(MATCH($V$3&amp;"#"&amp;ROWS(W$4:W26),发票统计!$W$4:$W$1003,0),""))</f>
        <v/>
      </c>
    </row>
    <row r="27" customFormat="false" ht="16.5" hidden="false" customHeight="false" outlineLevel="0" collapsed="false">
      <c r="A27" s="56" t="str">
        <f aca="false">IF($W27="","",INDEX(发票统计!A$4:A$1003,$W27)&amp;"")</f>
        <v/>
      </c>
      <c r="B27" s="56" t="str">
        <f aca="false">IF($W27="","",INDEX(发票统计!B$4:B$1003,$W27)&amp;"")</f>
        <v/>
      </c>
      <c r="C27" s="56" t="str">
        <f aca="false">IF($W27="","",INDEX(发票统计!C$4:C$1003,$W27)&amp;"")</f>
        <v/>
      </c>
      <c r="D27" s="56" t="str">
        <f aca="false">IF($W27="","",INDEX(发票统计!D$4:D$1003,$W27)&amp;"")</f>
        <v/>
      </c>
      <c r="E27" s="56" t="str">
        <f aca="false">IF($W27="","",INDEX(发票统计!E$4:E$1003,$W27)&amp;"")</f>
        <v/>
      </c>
      <c r="F27" s="73" t="str">
        <f aca="false">IF($W27="","",INDEX(发票统计!F$4:F$1003,$W27)&amp;"")</f>
        <v/>
      </c>
      <c r="G27" s="68" t="str">
        <f aca="false">IF($W27="","",IF(INDEX(发票统计!G$4:G$1003,$W27)="","",INDEX(发票统计!G$4:G$1003,$W27)))</f>
        <v/>
      </c>
      <c r="H27" s="56" t="str">
        <f aca="false">IF($W27="","",N(INDEX(发票统计!H$4:H$1003,$W27)))</f>
        <v/>
      </c>
      <c r="I27" s="56" t="str">
        <f aca="false">IF($W27="","",N(INDEX(发票统计!I$4:I$1003,$W27)))</f>
        <v/>
      </c>
      <c r="J27" s="56" t="str">
        <f aca="false">IF($W27="","",N(INDEX(发票统计!J$4:J$1003,$W27)))</f>
        <v/>
      </c>
      <c r="K27" s="56" t="str">
        <f aca="false">IF($W27="","",N(INDEX(发票统计!K$4:K$1003,$W27)))</f>
        <v/>
      </c>
      <c r="L27" s="56" t="str">
        <f aca="false">IF($W27="","",SUM(J$4:J27)-SUM(K$4:K27))</f>
        <v/>
      </c>
      <c r="M27" s="56" t="str">
        <f aca="false">IF($W27="","",N(INDEX(发票统计!M$4:M$1003,$W27)))</f>
        <v/>
      </c>
      <c r="N27" s="56" t="str">
        <f aca="false">IF($W27="","",N(INDEX(发票统计!N$4:N$1003,$W27)))</f>
        <v/>
      </c>
      <c r="O27" s="56" t="str">
        <f aca="false">IF($W27="","",N(INDEX(发票统计!O$4:O$1003,$W27)))</f>
        <v/>
      </c>
      <c r="P27" s="56" t="str">
        <f aca="false">IF($W27="","",SUM(M$4:M27)-SUM(N$4:N27)-SUM(O$4:O27))</f>
        <v/>
      </c>
      <c r="Q27" s="56" t="str">
        <f aca="false">IF($W27="","",N(INDEX(发票统计!Q$4:Q$1003,$W27)))</f>
        <v/>
      </c>
      <c r="R27" s="56" t="str">
        <f aca="false">IF($W27="","",N(INDEX(发票统计!R$4:R$1003,$W27)))</f>
        <v/>
      </c>
      <c r="S27" s="56" t="str">
        <f aca="false">IF($W27="","",N(INDEX(发票统计!S$4:S$1003,$W27)))</f>
        <v/>
      </c>
      <c r="T27" s="56" t="str">
        <f aca="false">IF($W27="","",SUM(Q$4:Q27)-SUM(R$4:R27)-SUM(S$4:S27))</f>
        <v/>
      </c>
      <c r="U27" s="56" t="str">
        <f aca="false">IF($W27="","",INDEX(发票统计!U$4:U$1003,$W27)&amp;"")</f>
        <v/>
      </c>
      <c r="W27" s="1" t="str">
        <f aca="false">IF($V$3="","",IFERROR(MATCH($V$3&amp;"#"&amp;ROWS(W$4:W27),发票统计!$W$4:$W$1003,0),""))</f>
        <v/>
      </c>
    </row>
    <row r="28" customFormat="false" ht="16.5" hidden="false" customHeight="false" outlineLevel="0" collapsed="false">
      <c r="A28" s="56" t="str">
        <f aca="false">IF($W28="","",INDEX(发票统计!A$4:A$1003,$W28)&amp;"")</f>
        <v/>
      </c>
      <c r="B28" s="56" t="str">
        <f aca="false">IF($W28="","",INDEX(发票统计!B$4:B$1003,$W28)&amp;"")</f>
        <v/>
      </c>
      <c r="C28" s="56" t="str">
        <f aca="false">IF($W28="","",INDEX(发票统计!C$4:C$1003,$W28)&amp;"")</f>
        <v/>
      </c>
      <c r="D28" s="56" t="str">
        <f aca="false">IF($W28="","",INDEX(发票统计!D$4:D$1003,$W28)&amp;"")</f>
        <v/>
      </c>
      <c r="E28" s="56" t="str">
        <f aca="false">IF($W28="","",INDEX(发票统计!E$4:E$1003,$W28)&amp;"")</f>
        <v/>
      </c>
      <c r="F28" s="73" t="str">
        <f aca="false">IF($W28="","",INDEX(发票统计!F$4:F$1003,$W28)&amp;"")</f>
        <v/>
      </c>
      <c r="G28" s="68" t="str">
        <f aca="false">IF($W28="","",IF(INDEX(发票统计!G$4:G$1003,$W28)="","",INDEX(发票统计!G$4:G$1003,$W28)))</f>
        <v/>
      </c>
      <c r="H28" s="56" t="str">
        <f aca="false">IF($W28="","",N(INDEX(发票统计!H$4:H$1003,$W28)))</f>
        <v/>
      </c>
      <c r="I28" s="56" t="str">
        <f aca="false">IF($W28="","",N(INDEX(发票统计!I$4:I$1003,$W28)))</f>
        <v/>
      </c>
      <c r="J28" s="56" t="str">
        <f aca="false">IF($W28="","",N(INDEX(发票统计!J$4:J$1003,$W28)))</f>
        <v/>
      </c>
      <c r="K28" s="56" t="str">
        <f aca="false">IF($W28="","",N(INDEX(发票统计!K$4:K$1003,$W28)))</f>
        <v/>
      </c>
      <c r="L28" s="56" t="str">
        <f aca="false">IF($W28="","",SUM(J$4:J28)-SUM(K$4:K28))</f>
        <v/>
      </c>
      <c r="M28" s="56" t="str">
        <f aca="false">IF($W28="","",N(INDEX(发票统计!M$4:M$1003,$W28)))</f>
        <v/>
      </c>
      <c r="N28" s="56" t="str">
        <f aca="false">IF($W28="","",N(INDEX(发票统计!N$4:N$1003,$W28)))</f>
        <v/>
      </c>
      <c r="O28" s="56" t="str">
        <f aca="false">IF($W28="","",N(INDEX(发票统计!O$4:O$1003,$W28)))</f>
        <v/>
      </c>
      <c r="P28" s="56" t="str">
        <f aca="false">IF($W28="","",SUM(M$4:M28)-SUM(N$4:N28)-SUM(O$4:O28))</f>
        <v/>
      </c>
      <c r="Q28" s="56" t="str">
        <f aca="false">IF($W28="","",N(INDEX(发票统计!Q$4:Q$1003,$W28)))</f>
        <v/>
      </c>
      <c r="R28" s="56" t="str">
        <f aca="false">IF($W28="","",N(INDEX(发票统计!R$4:R$1003,$W28)))</f>
        <v/>
      </c>
      <c r="S28" s="56" t="str">
        <f aca="false">IF($W28="","",N(INDEX(发票统计!S$4:S$1003,$W28)))</f>
        <v/>
      </c>
      <c r="T28" s="56" t="str">
        <f aca="false">IF($W28="","",SUM(Q$4:Q28)-SUM(R$4:R28)-SUM(S$4:S28))</f>
        <v/>
      </c>
      <c r="U28" s="56" t="str">
        <f aca="false">IF($W28="","",INDEX(发票统计!U$4:U$1003,$W28)&amp;"")</f>
        <v/>
      </c>
      <c r="W28" s="1" t="str">
        <f aca="false">IF($V$3="","",IFERROR(MATCH($V$3&amp;"#"&amp;ROWS(W$4:W28),发票统计!$W$4:$W$1003,0),""))</f>
        <v/>
      </c>
    </row>
    <row r="29" customFormat="false" ht="16.5" hidden="false" customHeight="false" outlineLevel="0" collapsed="false">
      <c r="A29" s="56" t="str">
        <f aca="false">IF($W29="","",INDEX(发票统计!A$4:A$1003,$W29)&amp;"")</f>
        <v/>
      </c>
      <c r="B29" s="56" t="str">
        <f aca="false">IF($W29="","",INDEX(发票统计!B$4:B$1003,$W29)&amp;"")</f>
        <v/>
      </c>
      <c r="C29" s="56" t="str">
        <f aca="false">IF($W29="","",INDEX(发票统计!C$4:C$1003,$W29)&amp;"")</f>
        <v/>
      </c>
      <c r="D29" s="56" t="str">
        <f aca="false">IF($W29="","",INDEX(发票统计!D$4:D$1003,$W29)&amp;"")</f>
        <v/>
      </c>
      <c r="E29" s="56" t="str">
        <f aca="false">IF($W29="","",INDEX(发票统计!E$4:E$1003,$W29)&amp;"")</f>
        <v/>
      </c>
      <c r="F29" s="73" t="str">
        <f aca="false">IF($W29="","",INDEX(发票统计!F$4:F$1003,$W29)&amp;"")</f>
        <v/>
      </c>
      <c r="G29" s="68" t="str">
        <f aca="false">IF($W29="","",IF(INDEX(发票统计!G$4:G$1003,$W29)="","",INDEX(发票统计!G$4:G$1003,$W29)))</f>
        <v/>
      </c>
      <c r="H29" s="56" t="str">
        <f aca="false">IF($W29="","",N(INDEX(发票统计!H$4:H$1003,$W29)))</f>
        <v/>
      </c>
      <c r="I29" s="56" t="str">
        <f aca="false">IF($W29="","",N(INDEX(发票统计!I$4:I$1003,$W29)))</f>
        <v/>
      </c>
      <c r="J29" s="56" t="str">
        <f aca="false">IF($W29="","",N(INDEX(发票统计!J$4:J$1003,$W29)))</f>
        <v/>
      </c>
      <c r="K29" s="56" t="str">
        <f aca="false">IF($W29="","",N(INDEX(发票统计!K$4:K$1003,$W29)))</f>
        <v/>
      </c>
      <c r="L29" s="56" t="str">
        <f aca="false">IF($W29="","",SUM(J$4:J29)-SUM(K$4:K29))</f>
        <v/>
      </c>
      <c r="M29" s="56" t="str">
        <f aca="false">IF($W29="","",N(INDEX(发票统计!M$4:M$1003,$W29)))</f>
        <v/>
      </c>
      <c r="N29" s="56" t="str">
        <f aca="false">IF($W29="","",N(INDEX(发票统计!N$4:N$1003,$W29)))</f>
        <v/>
      </c>
      <c r="O29" s="56" t="str">
        <f aca="false">IF($W29="","",N(INDEX(发票统计!O$4:O$1003,$W29)))</f>
        <v/>
      </c>
      <c r="P29" s="56" t="str">
        <f aca="false">IF($W29="","",SUM(M$4:M29)-SUM(N$4:N29)-SUM(O$4:O29))</f>
        <v/>
      </c>
      <c r="Q29" s="56" t="str">
        <f aca="false">IF($W29="","",N(INDEX(发票统计!Q$4:Q$1003,$W29)))</f>
        <v/>
      </c>
      <c r="R29" s="56" t="str">
        <f aca="false">IF($W29="","",N(INDEX(发票统计!R$4:R$1003,$W29)))</f>
        <v/>
      </c>
      <c r="S29" s="56" t="str">
        <f aca="false">IF($W29="","",N(INDEX(发票统计!S$4:S$1003,$W29)))</f>
        <v/>
      </c>
      <c r="T29" s="56" t="str">
        <f aca="false">IF($W29="","",SUM(Q$4:Q29)-SUM(R$4:R29)-SUM(S$4:S29))</f>
        <v/>
      </c>
      <c r="U29" s="56" t="str">
        <f aca="false">IF($W29="","",INDEX(发票统计!U$4:U$1003,$W29)&amp;"")</f>
        <v/>
      </c>
      <c r="W29" s="1" t="str">
        <f aca="false">IF($V$3="","",IFERROR(MATCH($V$3&amp;"#"&amp;ROWS(W$4:W29),发票统计!$W$4:$W$1003,0),""))</f>
        <v/>
      </c>
    </row>
    <row r="30" customFormat="false" ht="16.5" hidden="false" customHeight="false" outlineLevel="0" collapsed="false">
      <c r="A30" s="56" t="str">
        <f aca="false">IF($W30="","",INDEX(发票统计!A$4:A$1003,$W30)&amp;"")</f>
        <v/>
      </c>
      <c r="B30" s="56" t="str">
        <f aca="false">IF($W30="","",INDEX(发票统计!B$4:B$1003,$W30)&amp;"")</f>
        <v/>
      </c>
      <c r="C30" s="56" t="str">
        <f aca="false">IF($W30="","",INDEX(发票统计!C$4:C$1003,$W30)&amp;"")</f>
        <v/>
      </c>
      <c r="D30" s="56" t="str">
        <f aca="false">IF($W30="","",INDEX(发票统计!D$4:D$1003,$W30)&amp;"")</f>
        <v/>
      </c>
      <c r="E30" s="56" t="str">
        <f aca="false">IF($W30="","",INDEX(发票统计!E$4:E$1003,$W30)&amp;"")</f>
        <v/>
      </c>
      <c r="F30" s="73" t="str">
        <f aca="false">IF($W30="","",INDEX(发票统计!F$4:F$1003,$W30)&amp;"")</f>
        <v/>
      </c>
      <c r="G30" s="68" t="str">
        <f aca="false">IF($W30="","",IF(INDEX(发票统计!G$4:G$1003,$W30)="","",INDEX(发票统计!G$4:G$1003,$W30)))</f>
        <v/>
      </c>
      <c r="H30" s="56" t="str">
        <f aca="false">IF($W30="","",N(INDEX(发票统计!H$4:H$1003,$W30)))</f>
        <v/>
      </c>
      <c r="I30" s="56" t="str">
        <f aca="false">IF($W30="","",N(INDEX(发票统计!I$4:I$1003,$W30)))</f>
        <v/>
      </c>
      <c r="J30" s="56" t="str">
        <f aca="false">IF($W30="","",N(INDEX(发票统计!J$4:J$1003,$W30)))</f>
        <v/>
      </c>
      <c r="K30" s="56" t="str">
        <f aca="false">IF($W30="","",N(INDEX(发票统计!K$4:K$1003,$W30)))</f>
        <v/>
      </c>
      <c r="L30" s="56" t="str">
        <f aca="false">IF($W30="","",SUM(J$4:J30)-SUM(K$4:K30))</f>
        <v/>
      </c>
      <c r="M30" s="56" t="str">
        <f aca="false">IF($W30="","",N(INDEX(发票统计!M$4:M$1003,$W30)))</f>
        <v/>
      </c>
      <c r="N30" s="56" t="str">
        <f aca="false">IF($W30="","",N(INDEX(发票统计!N$4:N$1003,$W30)))</f>
        <v/>
      </c>
      <c r="O30" s="56" t="str">
        <f aca="false">IF($W30="","",N(INDEX(发票统计!O$4:O$1003,$W30)))</f>
        <v/>
      </c>
      <c r="P30" s="56" t="str">
        <f aca="false">IF($W30="","",SUM(M$4:M30)-SUM(N$4:N30)-SUM(O$4:O30))</f>
        <v/>
      </c>
      <c r="Q30" s="56" t="str">
        <f aca="false">IF($W30="","",N(INDEX(发票统计!Q$4:Q$1003,$W30)))</f>
        <v/>
      </c>
      <c r="R30" s="56" t="str">
        <f aca="false">IF($W30="","",N(INDEX(发票统计!R$4:R$1003,$W30)))</f>
        <v/>
      </c>
      <c r="S30" s="56" t="str">
        <f aca="false">IF($W30="","",N(INDEX(发票统计!S$4:S$1003,$W30)))</f>
        <v/>
      </c>
      <c r="T30" s="56" t="str">
        <f aca="false">IF($W30="","",SUM(Q$4:Q30)-SUM(R$4:R30)-SUM(S$4:S30))</f>
        <v/>
      </c>
      <c r="U30" s="56" t="str">
        <f aca="false">IF($W30="","",INDEX(发票统计!U$4:U$1003,$W30)&amp;"")</f>
        <v/>
      </c>
      <c r="W30" s="1" t="str">
        <f aca="false">IF($V$3="","",IFERROR(MATCH($V$3&amp;"#"&amp;ROWS(W$4:W30),发票统计!$W$4:$W$1003,0),""))</f>
        <v/>
      </c>
    </row>
    <row r="31" customFormat="false" ht="16.5" hidden="false" customHeight="false" outlineLevel="0" collapsed="false">
      <c r="A31" s="56" t="str">
        <f aca="false">IF($W31="","",INDEX(发票统计!A$4:A$1003,$W31)&amp;"")</f>
        <v/>
      </c>
      <c r="B31" s="56" t="str">
        <f aca="false">IF($W31="","",INDEX(发票统计!B$4:B$1003,$W31)&amp;"")</f>
        <v/>
      </c>
      <c r="C31" s="56" t="str">
        <f aca="false">IF($W31="","",INDEX(发票统计!C$4:C$1003,$W31)&amp;"")</f>
        <v/>
      </c>
      <c r="D31" s="56" t="str">
        <f aca="false">IF($W31="","",INDEX(发票统计!D$4:D$1003,$W31)&amp;"")</f>
        <v/>
      </c>
      <c r="E31" s="56" t="str">
        <f aca="false">IF($W31="","",INDEX(发票统计!E$4:E$1003,$W31)&amp;"")</f>
        <v/>
      </c>
      <c r="F31" s="73" t="str">
        <f aca="false">IF($W31="","",INDEX(发票统计!F$4:F$1003,$W31)&amp;"")</f>
        <v/>
      </c>
      <c r="G31" s="68" t="str">
        <f aca="false">IF($W31="","",IF(INDEX(发票统计!G$4:G$1003,$W31)="","",INDEX(发票统计!G$4:G$1003,$W31)))</f>
        <v/>
      </c>
      <c r="H31" s="56" t="str">
        <f aca="false">IF($W31="","",N(INDEX(发票统计!H$4:H$1003,$W31)))</f>
        <v/>
      </c>
      <c r="I31" s="56" t="str">
        <f aca="false">IF($W31="","",N(INDEX(发票统计!I$4:I$1003,$W31)))</f>
        <v/>
      </c>
      <c r="J31" s="56" t="str">
        <f aca="false">IF($W31="","",N(INDEX(发票统计!J$4:J$1003,$W31)))</f>
        <v/>
      </c>
      <c r="K31" s="56" t="str">
        <f aca="false">IF($W31="","",N(INDEX(发票统计!K$4:K$1003,$W31)))</f>
        <v/>
      </c>
      <c r="L31" s="56" t="str">
        <f aca="false">IF($W31="","",SUM(J$4:J31)-SUM(K$4:K31))</f>
        <v/>
      </c>
      <c r="M31" s="56" t="str">
        <f aca="false">IF($W31="","",N(INDEX(发票统计!M$4:M$1003,$W31)))</f>
        <v/>
      </c>
      <c r="N31" s="56" t="str">
        <f aca="false">IF($W31="","",N(INDEX(发票统计!N$4:N$1003,$W31)))</f>
        <v/>
      </c>
      <c r="O31" s="56" t="str">
        <f aca="false">IF($W31="","",N(INDEX(发票统计!O$4:O$1003,$W31)))</f>
        <v/>
      </c>
      <c r="P31" s="56" t="str">
        <f aca="false">IF($W31="","",SUM(M$4:M31)-SUM(N$4:N31)-SUM(O$4:O31))</f>
        <v/>
      </c>
      <c r="Q31" s="56" t="str">
        <f aca="false">IF($W31="","",N(INDEX(发票统计!Q$4:Q$1003,$W31)))</f>
        <v/>
      </c>
      <c r="R31" s="56" t="str">
        <f aca="false">IF($W31="","",N(INDEX(发票统计!R$4:R$1003,$W31)))</f>
        <v/>
      </c>
      <c r="S31" s="56" t="str">
        <f aca="false">IF($W31="","",N(INDEX(发票统计!S$4:S$1003,$W31)))</f>
        <v/>
      </c>
      <c r="T31" s="56" t="str">
        <f aca="false">IF($W31="","",SUM(Q$4:Q31)-SUM(R$4:R31)-SUM(S$4:S31))</f>
        <v/>
      </c>
      <c r="U31" s="56" t="str">
        <f aca="false">IF($W31="","",INDEX(发票统计!U$4:U$1003,$W31)&amp;"")</f>
        <v/>
      </c>
      <c r="W31" s="1" t="str">
        <f aca="false">IF($V$3="","",IFERROR(MATCH($V$3&amp;"#"&amp;ROWS(W$4:W31),发票统计!$W$4:$W$1003,0),""))</f>
        <v/>
      </c>
    </row>
    <row r="32" customFormat="false" ht="16.5" hidden="false" customHeight="false" outlineLevel="0" collapsed="false">
      <c r="A32" s="56" t="str">
        <f aca="false">IF($W32="","",INDEX(发票统计!A$4:A$1003,$W32)&amp;"")</f>
        <v/>
      </c>
      <c r="B32" s="56" t="str">
        <f aca="false">IF($W32="","",INDEX(发票统计!B$4:B$1003,$W32)&amp;"")</f>
        <v/>
      </c>
      <c r="C32" s="56" t="str">
        <f aca="false">IF($W32="","",INDEX(发票统计!C$4:C$1003,$W32)&amp;"")</f>
        <v/>
      </c>
      <c r="D32" s="56" t="str">
        <f aca="false">IF($W32="","",INDEX(发票统计!D$4:D$1003,$W32)&amp;"")</f>
        <v/>
      </c>
      <c r="E32" s="56" t="str">
        <f aca="false">IF($W32="","",INDEX(发票统计!E$4:E$1003,$W32)&amp;"")</f>
        <v/>
      </c>
      <c r="F32" s="73" t="str">
        <f aca="false">IF($W32="","",INDEX(发票统计!F$4:F$1003,$W32)&amp;"")</f>
        <v/>
      </c>
      <c r="G32" s="68" t="str">
        <f aca="false">IF($W32="","",IF(INDEX(发票统计!G$4:G$1003,$W32)="","",INDEX(发票统计!G$4:G$1003,$W32)))</f>
        <v/>
      </c>
      <c r="H32" s="56" t="str">
        <f aca="false">IF($W32="","",N(INDEX(发票统计!H$4:H$1003,$W32)))</f>
        <v/>
      </c>
      <c r="I32" s="56" t="str">
        <f aca="false">IF($W32="","",N(INDEX(发票统计!I$4:I$1003,$W32)))</f>
        <v/>
      </c>
      <c r="J32" s="56" t="str">
        <f aca="false">IF($W32="","",N(INDEX(发票统计!J$4:J$1003,$W32)))</f>
        <v/>
      </c>
      <c r="K32" s="56" t="str">
        <f aca="false">IF($W32="","",N(INDEX(发票统计!K$4:K$1003,$W32)))</f>
        <v/>
      </c>
      <c r="L32" s="56" t="str">
        <f aca="false">IF($W32="","",SUM(J$4:J32)-SUM(K$4:K32))</f>
        <v/>
      </c>
      <c r="M32" s="56" t="str">
        <f aca="false">IF($W32="","",N(INDEX(发票统计!M$4:M$1003,$W32)))</f>
        <v/>
      </c>
      <c r="N32" s="56" t="str">
        <f aca="false">IF($W32="","",N(INDEX(发票统计!N$4:N$1003,$W32)))</f>
        <v/>
      </c>
      <c r="O32" s="56" t="str">
        <f aca="false">IF($W32="","",N(INDEX(发票统计!O$4:O$1003,$W32)))</f>
        <v/>
      </c>
      <c r="P32" s="56" t="str">
        <f aca="false">IF($W32="","",SUM(M$4:M32)-SUM(N$4:N32)-SUM(O$4:O32))</f>
        <v/>
      </c>
      <c r="Q32" s="56" t="str">
        <f aca="false">IF($W32="","",N(INDEX(发票统计!Q$4:Q$1003,$W32)))</f>
        <v/>
      </c>
      <c r="R32" s="56" t="str">
        <f aca="false">IF($W32="","",N(INDEX(发票统计!R$4:R$1003,$W32)))</f>
        <v/>
      </c>
      <c r="S32" s="56" t="str">
        <f aca="false">IF($W32="","",N(INDEX(发票统计!S$4:S$1003,$W32)))</f>
        <v/>
      </c>
      <c r="T32" s="56" t="str">
        <f aca="false">IF($W32="","",SUM(Q$4:Q32)-SUM(R$4:R32)-SUM(S$4:S32))</f>
        <v/>
      </c>
      <c r="U32" s="56" t="str">
        <f aca="false">IF($W32="","",INDEX(发票统计!U$4:U$1003,$W32)&amp;"")</f>
        <v/>
      </c>
      <c r="W32" s="1" t="str">
        <f aca="false">IF($V$3="","",IFERROR(MATCH($V$3&amp;"#"&amp;ROWS(W$4:W32),发票统计!$W$4:$W$1003,0),""))</f>
        <v/>
      </c>
    </row>
    <row r="33" customFormat="false" ht="16.5" hidden="false" customHeight="false" outlineLevel="0" collapsed="false">
      <c r="A33" s="56" t="str">
        <f aca="false">IF($W33="","",INDEX(发票统计!A$4:A$1003,$W33)&amp;"")</f>
        <v/>
      </c>
      <c r="B33" s="56" t="str">
        <f aca="false">IF($W33="","",INDEX(发票统计!B$4:B$1003,$W33)&amp;"")</f>
        <v/>
      </c>
      <c r="C33" s="56" t="str">
        <f aca="false">IF($W33="","",INDEX(发票统计!C$4:C$1003,$W33)&amp;"")</f>
        <v/>
      </c>
      <c r="D33" s="56" t="str">
        <f aca="false">IF($W33="","",INDEX(发票统计!D$4:D$1003,$W33)&amp;"")</f>
        <v/>
      </c>
      <c r="E33" s="56" t="str">
        <f aca="false">IF($W33="","",INDEX(发票统计!E$4:E$1003,$W33)&amp;"")</f>
        <v/>
      </c>
      <c r="F33" s="73" t="str">
        <f aca="false">IF($W33="","",INDEX(发票统计!F$4:F$1003,$W33)&amp;"")</f>
        <v/>
      </c>
      <c r="G33" s="68" t="str">
        <f aca="false">IF($W33="","",IF(INDEX(发票统计!G$4:G$1003,$W33)="","",INDEX(发票统计!G$4:G$1003,$W33)))</f>
        <v/>
      </c>
      <c r="H33" s="56" t="str">
        <f aca="false">IF($W33="","",N(INDEX(发票统计!H$4:H$1003,$W33)))</f>
        <v/>
      </c>
      <c r="I33" s="56" t="str">
        <f aca="false">IF($W33="","",N(INDEX(发票统计!I$4:I$1003,$W33)))</f>
        <v/>
      </c>
      <c r="J33" s="56" t="str">
        <f aca="false">IF($W33="","",N(INDEX(发票统计!J$4:J$1003,$W33)))</f>
        <v/>
      </c>
      <c r="K33" s="56" t="str">
        <f aca="false">IF($W33="","",N(INDEX(发票统计!K$4:K$1003,$W33)))</f>
        <v/>
      </c>
      <c r="L33" s="56" t="str">
        <f aca="false">IF($W33="","",SUM(J$4:J33)-SUM(K$4:K33))</f>
        <v/>
      </c>
      <c r="M33" s="56" t="str">
        <f aca="false">IF($W33="","",N(INDEX(发票统计!M$4:M$1003,$W33)))</f>
        <v/>
      </c>
      <c r="N33" s="56" t="str">
        <f aca="false">IF($W33="","",N(INDEX(发票统计!N$4:N$1003,$W33)))</f>
        <v/>
      </c>
      <c r="O33" s="56" t="str">
        <f aca="false">IF($W33="","",N(INDEX(发票统计!O$4:O$1003,$W33)))</f>
        <v/>
      </c>
      <c r="P33" s="56" t="str">
        <f aca="false">IF($W33="","",SUM(M$4:M33)-SUM(N$4:N33)-SUM(O$4:O33))</f>
        <v/>
      </c>
      <c r="Q33" s="56" t="str">
        <f aca="false">IF($W33="","",N(INDEX(发票统计!Q$4:Q$1003,$W33)))</f>
        <v/>
      </c>
      <c r="R33" s="56" t="str">
        <f aca="false">IF($W33="","",N(INDEX(发票统计!R$4:R$1003,$W33)))</f>
        <v/>
      </c>
      <c r="S33" s="56" t="str">
        <f aca="false">IF($W33="","",N(INDEX(发票统计!S$4:S$1003,$W33)))</f>
        <v/>
      </c>
      <c r="T33" s="56" t="str">
        <f aca="false">IF($W33="","",SUM(Q$4:Q33)-SUM(R$4:R33)-SUM(S$4:S33))</f>
        <v/>
      </c>
      <c r="U33" s="56" t="str">
        <f aca="false">IF($W33="","",INDEX(发票统计!U$4:U$1003,$W33)&amp;"")</f>
        <v/>
      </c>
      <c r="W33" s="1" t="str">
        <f aca="false">IF($V$3="","",IFERROR(MATCH($V$3&amp;"#"&amp;ROWS(W$4:W33),发票统计!$W$4:$W$1003,0),""))</f>
        <v/>
      </c>
    </row>
    <row r="34" customFormat="false" ht="16.5" hidden="false" customHeight="false" outlineLevel="0" collapsed="false">
      <c r="A34" s="56" t="str">
        <f aca="false">IF($W34="","",INDEX(发票统计!A$4:A$1003,$W34)&amp;"")</f>
        <v/>
      </c>
      <c r="B34" s="56" t="str">
        <f aca="false">IF($W34="","",INDEX(发票统计!B$4:B$1003,$W34)&amp;"")</f>
        <v/>
      </c>
      <c r="C34" s="56" t="str">
        <f aca="false">IF($W34="","",INDEX(发票统计!C$4:C$1003,$W34)&amp;"")</f>
        <v/>
      </c>
      <c r="D34" s="56" t="str">
        <f aca="false">IF($W34="","",INDEX(发票统计!D$4:D$1003,$W34)&amp;"")</f>
        <v/>
      </c>
      <c r="E34" s="56" t="str">
        <f aca="false">IF($W34="","",INDEX(发票统计!E$4:E$1003,$W34)&amp;"")</f>
        <v/>
      </c>
      <c r="F34" s="73" t="str">
        <f aca="false">IF($W34="","",INDEX(发票统计!F$4:F$1003,$W34)&amp;"")</f>
        <v/>
      </c>
      <c r="G34" s="68" t="str">
        <f aca="false">IF($W34="","",IF(INDEX(发票统计!G$4:G$1003,$W34)="","",INDEX(发票统计!G$4:G$1003,$W34)))</f>
        <v/>
      </c>
      <c r="H34" s="56" t="str">
        <f aca="false">IF($W34="","",N(INDEX(发票统计!H$4:H$1003,$W34)))</f>
        <v/>
      </c>
      <c r="I34" s="56" t="str">
        <f aca="false">IF($W34="","",N(INDEX(发票统计!I$4:I$1003,$W34)))</f>
        <v/>
      </c>
      <c r="J34" s="56" t="str">
        <f aca="false">IF($W34="","",N(INDEX(发票统计!J$4:J$1003,$W34)))</f>
        <v/>
      </c>
      <c r="K34" s="56" t="str">
        <f aca="false">IF($W34="","",N(INDEX(发票统计!K$4:K$1003,$W34)))</f>
        <v/>
      </c>
      <c r="L34" s="56" t="str">
        <f aca="false">IF($W34="","",SUM(J$4:J34)-SUM(K$4:K34))</f>
        <v/>
      </c>
      <c r="M34" s="56" t="str">
        <f aca="false">IF($W34="","",N(INDEX(发票统计!M$4:M$1003,$W34)))</f>
        <v/>
      </c>
      <c r="N34" s="56" t="str">
        <f aca="false">IF($W34="","",N(INDEX(发票统计!N$4:N$1003,$W34)))</f>
        <v/>
      </c>
      <c r="O34" s="56" t="str">
        <f aca="false">IF($W34="","",N(INDEX(发票统计!O$4:O$1003,$W34)))</f>
        <v/>
      </c>
      <c r="P34" s="56" t="str">
        <f aca="false">IF($W34="","",SUM(M$4:M34)-SUM(N$4:N34)-SUM(O$4:O34))</f>
        <v/>
      </c>
      <c r="Q34" s="56" t="str">
        <f aca="false">IF($W34="","",N(INDEX(发票统计!Q$4:Q$1003,$W34)))</f>
        <v/>
      </c>
      <c r="R34" s="56" t="str">
        <f aca="false">IF($W34="","",N(INDEX(发票统计!R$4:R$1003,$W34)))</f>
        <v/>
      </c>
      <c r="S34" s="56" t="str">
        <f aca="false">IF($W34="","",N(INDEX(发票统计!S$4:S$1003,$W34)))</f>
        <v/>
      </c>
      <c r="T34" s="56" t="str">
        <f aca="false">IF($W34="","",SUM(Q$4:Q34)-SUM(R$4:R34)-SUM(S$4:S34))</f>
        <v/>
      </c>
      <c r="U34" s="56" t="str">
        <f aca="false">IF($W34="","",INDEX(发票统计!U$4:U$1003,$W34)&amp;"")</f>
        <v/>
      </c>
      <c r="W34" s="1" t="str">
        <f aca="false">IF($V$3="","",IFERROR(MATCH($V$3&amp;"#"&amp;ROWS(W$4:W34),发票统计!$W$4:$W$1003,0),""))</f>
        <v/>
      </c>
    </row>
    <row r="35" customFormat="false" ht="16.5" hidden="false" customHeight="false" outlineLevel="0" collapsed="false">
      <c r="A35" s="56" t="str">
        <f aca="false">IF($W35="","",INDEX(发票统计!A$4:A$1003,$W35)&amp;"")</f>
        <v/>
      </c>
      <c r="B35" s="56" t="str">
        <f aca="false">IF($W35="","",INDEX(发票统计!B$4:B$1003,$W35)&amp;"")</f>
        <v/>
      </c>
      <c r="C35" s="56" t="str">
        <f aca="false">IF($W35="","",INDEX(发票统计!C$4:C$1003,$W35)&amp;"")</f>
        <v/>
      </c>
      <c r="D35" s="56" t="str">
        <f aca="false">IF($W35="","",INDEX(发票统计!D$4:D$1003,$W35)&amp;"")</f>
        <v/>
      </c>
      <c r="E35" s="56" t="str">
        <f aca="false">IF($W35="","",INDEX(发票统计!E$4:E$1003,$W35)&amp;"")</f>
        <v/>
      </c>
      <c r="F35" s="73" t="str">
        <f aca="false">IF($W35="","",INDEX(发票统计!F$4:F$1003,$W35)&amp;"")</f>
        <v/>
      </c>
      <c r="G35" s="68" t="str">
        <f aca="false">IF($W35="","",IF(INDEX(发票统计!G$4:G$1003,$W35)="","",INDEX(发票统计!G$4:G$1003,$W35)))</f>
        <v/>
      </c>
      <c r="H35" s="56" t="str">
        <f aca="false">IF($W35="","",N(INDEX(发票统计!H$4:H$1003,$W35)))</f>
        <v/>
      </c>
      <c r="I35" s="56" t="str">
        <f aca="false">IF($W35="","",N(INDEX(发票统计!I$4:I$1003,$W35)))</f>
        <v/>
      </c>
      <c r="J35" s="56" t="str">
        <f aca="false">IF($W35="","",N(INDEX(发票统计!J$4:J$1003,$W35)))</f>
        <v/>
      </c>
      <c r="K35" s="56" t="str">
        <f aca="false">IF($W35="","",N(INDEX(发票统计!K$4:K$1003,$W35)))</f>
        <v/>
      </c>
      <c r="L35" s="56" t="str">
        <f aca="false">IF($W35="","",SUM(J$4:J35)-SUM(K$4:K35))</f>
        <v/>
      </c>
      <c r="M35" s="56" t="str">
        <f aca="false">IF($W35="","",N(INDEX(发票统计!M$4:M$1003,$W35)))</f>
        <v/>
      </c>
      <c r="N35" s="56" t="str">
        <f aca="false">IF($W35="","",N(INDEX(发票统计!N$4:N$1003,$W35)))</f>
        <v/>
      </c>
      <c r="O35" s="56" t="str">
        <f aca="false">IF($W35="","",N(INDEX(发票统计!O$4:O$1003,$W35)))</f>
        <v/>
      </c>
      <c r="P35" s="56" t="str">
        <f aca="false">IF($W35="","",SUM(M$4:M35)-SUM(N$4:N35)-SUM(O$4:O35))</f>
        <v/>
      </c>
      <c r="Q35" s="56" t="str">
        <f aca="false">IF($W35="","",N(INDEX(发票统计!Q$4:Q$1003,$W35)))</f>
        <v/>
      </c>
      <c r="R35" s="56" t="str">
        <f aca="false">IF($W35="","",N(INDEX(发票统计!R$4:R$1003,$W35)))</f>
        <v/>
      </c>
      <c r="S35" s="56" t="str">
        <f aca="false">IF($W35="","",N(INDEX(发票统计!S$4:S$1003,$W35)))</f>
        <v/>
      </c>
      <c r="T35" s="56" t="str">
        <f aca="false">IF($W35="","",SUM(Q$4:Q35)-SUM(R$4:R35)-SUM(S$4:S35))</f>
        <v/>
      </c>
      <c r="U35" s="56" t="str">
        <f aca="false">IF($W35="","",INDEX(发票统计!U$4:U$1003,$W35)&amp;"")</f>
        <v/>
      </c>
      <c r="W35" s="1" t="str">
        <f aca="false">IF($V$3="","",IFERROR(MATCH($V$3&amp;"#"&amp;ROWS(W$4:W35),发票统计!$W$4:$W$1003,0),""))</f>
        <v/>
      </c>
    </row>
    <row r="36" customFormat="false" ht="16.5" hidden="false" customHeight="false" outlineLevel="0" collapsed="false">
      <c r="A36" s="56" t="str">
        <f aca="false">IF($W36="","",INDEX(发票统计!A$4:A$1003,$W36)&amp;"")</f>
        <v/>
      </c>
      <c r="B36" s="56" t="str">
        <f aca="false">IF($W36="","",INDEX(发票统计!B$4:B$1003,$W36)&amp;"")</f>
        <v/>
      </c>
      <c r="C36" s="56" t="str">
        <f aca="false">IF($W36="","",INDEX(发票统计!C$4:C$1003,$W36)&amp;"")</f>
        <v/>
      </c>
      <c r="D36" s="56" t="str">
        <f aca="false">IF($W36="","",INDEX(发票统计!D$4:D$1003,$W36)&amp;"")</f>
        <v/>
      </c>
      <c r="E36" s="56" t="str">
        <f aca="false">IF($W36="","",INDEX(发票统计!E$4:E$1003,$W36)&amp;"")</f>
        <v/>
      </c>
      <c r="F36" s="73" t="str">
        <f aca="false">IF($W36="","",INDEX(发票统计!F$4:F$1003,$W36)&amp;"")</f>
        <v/>
      </c>
      <c r="G36" s="68" t="str">
        <f aca="false">IF($W36="","",IF(INDEX(发票统计!G$4:G$1003,$W36)="","",INDEX(发票统计!G$4:G$1003,$W36)))</f>
        <v/>
      </c>
      <c r="H36" s="56" t="str">
        <f aca="false">IF($W36="","",N(INDEX(发票统计!H$4:H$1003,$W36)))</f>
        <v/>
      </c>
      <c r="I36" s="56" t="str">
        <f aca="false">IF($W36="","",N(INDEX(发票统计!I$4:I$1003,$W36)))</f>
        <v/>
      </c>
      <c r="J36" s="56" t="str">
        <f aca="false">IF($W36="","",N(INDEX(发票统计!J$4:J$1003,$W36)))</f>
        <v/>
      </c>
      <c r="K36" s="56" t="str">
        <f aca="false">IF($W36="","",N(INDEX(发票统计!K$4:K$1003,$W36)))</f>
        <v/>
      </c>
      <c r="L36" s="56" t="str">
        <f aca="false">IF($W36="","",SUM(J$4:J36)-SUM(K$4:K36))</f>
        <v/>
      </c>
      <c r="M36" s="56" t="str">
        <f aca="false">IF($W36="","",N(INDEX(发票统计!M$4:M$1003,$W36)))</f>
        <v/>
      </c>
      <c r="N36" s="56" t="str">
        <f aca="false">IF($W36="","",N(INDEX(发票统计!N$4:N$1003,$W36)))</f>
        <v/>
      </c>
      <c r="O36" s="56" t="str">
        <f aca="false">IF($W36="","",N(INDEX(发票统计!O$4:O$1003,$W36)))</f>
        <v/>
      </c>
      <c r="P36" s="56" t="str">
        <f aca="false">IF($W36="","",SUM(M$4:M36)-SUM(N$4:N36)-SUM(O$4:O36))</f>
        <v/>
      </c>
      <c r="Q36" s="56" t="str">
        <f aca="false">IF($W36="","",N(INDEX(发票统计!Q$4:Q$1003,$W36)))</f>
        <v/>
      </c>
      <c r="R36" s="56" t="str">
        <f aca="false">IF($W36="","",N(INDEX(发票统计!R$4:R$1003,$W36)))</f>
        <v/>
      </c>
      <c r="S36" s="56" t="str">
        <f aca="false">IF($W36="","",N(INDEX(发票统计!S$4:S$1003,$W36)))</f>
        <v/>
      </c>
      <c r="T36" s="56" t="str">
        <f aca="false">IF($W36="","",SUM(Q$4:Q36)-SUM(R$4:R36)-SUM(S$4:S36))</f>
        <v/>
      </c>
      <c r="U36" s="56" t="str">
        <f aca="false">IF($W36="","",INDEX(发票统计!U$4:U$1003,$W36)&amp;"")</f>
        <v/>
      </c>
      <c r="W36" s="1" t="str">
        <f aca="false">IF($V$3="","",IFERROR(MATCH($V$3&amp;"#"&amp;ROWS(W$4:W36),发票统计!$W$4:$W$1003,0),""))</f>
        <v/>
      </c>
    </row>
    <row r="37" customFormat="false" ht="16.5" hidden="false" customHeight="false" outlineLevel="0" collapsed="false">
      <c r="A37" s="56" t="str">
        <f aca="false">IF($W37="","",INDEX(发票统计!A$4:A$1003,$W37)&amp;"")</f>
        <v/>
      </c>
      <c r="B37" s="56" t="str">
        <f aca="false">IF($W37="","",INDEX(发票统计!B$4:B$1003,$W37)&amp;"")</f>
        <v/>
      </c>
      <c r="C37" s="56" t="str">
        <f aca="false">IF($W37="","",INDEX(发票统计!C$4:C$1003,$W37)&amp;"")</f>
        <v/>
      </c>
      <c r="D37" s="56" t="str">
        <f aca="false">IF($W37="","",INDEX(发票统计!D$4:D$1003,$W37)&amp;"")</f>
        <v/>
      </c>
      <c r="E37" s="56" t="str">
        <f aca="false">IF($W37="","",INDEX(发票统计!E$4:E$1003,$W37)&amp;"")</f>
        <v/>
      </c>
      <c r="F37" s="73" t="str">
        <f aca="false">IF($W37="","",INDEX(发票统计!F$4:F$1003,$W37)&amp;"")</f>
        <v/>
      </c>
      <c r="G37" s="68" t="str">
        <f aca="false">IF($W37="","",IF(INDEX(发票统计!G$4:G$1003,$W37)="","",INDEX(发票统计!G$4:G$1003,$W37)))</f>
        <v/>
      </c>
      <c r="H37" s="56" t="str">
        <f aca="false">IF($W37="","",N(INDEX(发票统计!H$4:H$1003,$W37)))</f>
        <v/>
      </c>
      <c r="I37" s="56" t="str">
        <f aca="false">IF($W37="","",N(INDEX(发票统计!I$4:I$1003,$W37)))</f>
        <v/>
      </c>
      <c r="J37" s="56" t="str">
        <f aca="false">IF($W37="","",N(INDEX(发票统计!J$4:J$1003,$W37)))</f>
        <v/>
      </c>
      <c r="K37" s="56" t="str">
        <f aca="false">IF($W37="","",N(INDEX(发票统计!K$4:K$1003,$W37)))</f>
        <v/>
      </c>
      <c r="L37" s="56" t="str">
        <f aca="false">IF($W37="","",SUM(J$4:J37)-SUM(K$4:K37))</f>
        <v/>
      </c>
      <c r="M37" s="56" t="str">
        <f aca="false">IF($W37="","",N(INDEX(发票统计!M$4:M$1003,$W37)))</f>
        <v/>
      </c>
      <c r="N37" s="56" t="str">
        <f aca="false">IF($W37="","",N(INDEX(发票统计!N$4:N$1003,$W37)))</f>
        <v/>
      </c>
      <c r="O37" s="56" t="str">
        <f aca="false">IF($W37="","",N(INDEX(发票统计!O$4:O$1003,$W37)))</f>
        <v/>
      </c>
      <c r="P37" s="56" t="str">
        <f aca="false">IF($W37="","",SUM(M$4:M37)-SUM(N$4:N37)-SUM(O$4:O37))</f>
        <v/>
      </c>
      <c r="Q37" s="56" t="str">
        <f aca="false">IF($W37="","",N(INDEX(发票统计!Q$4:Q$1003,$W37)))</f>
        <v/>
      </c>
      <c r="R37" s="56" t="str">
        <f aca="false">IF($W37="","",N(INDEX(发票统计!R$4:R$1003,$W37)))</f>
        <v/>
      </c>
      <c r="S37" s="56" t="str">
        <f aca="false">IF($W37="","",N(INDEX(发票统计!S$4:S$1003,$W37)))</f>
        <v/>
      </c>
      <c r="T37" s="56" t="str">
        <f aca="false">IF($W37="","",SUM(Q$4:Q37)-SUM(R$4:R37)-SUM(S$4:S37))</f>
        <v/>
      </c>
      <c r="U37" s="56" t="str">
        <f aca="false">IF($W37="","",INDEX(发票统计!U$4:U$1003,$W37)&amp;"")</f>
        <v/>
      </c>
      <c r="W37" s="1" t="str">
        <f aca="false">IF($V$3="","",IFERROR(MATCH($V$3&amp;"#"&amp;ROWS(W$4:W37),发票统计!$W$4:$W$1003,0),""))</f>
        <v/>
      </c>
    </row>
    <row r="38" customFormat="false" ht="16.5" hidden="false" customHeight="false" outlineLevel="0" collapsed="false">
      <c r="A38" s="56" t="str">
        <f aca="false">IF($W38="","",INDEX(发票统计!A$4:A$1003,$W38)&amp;"")</f>
        <v/>
      </c>
      <c r="B38" s="56" t="str">
        <f aca="false">IF($W38="","",INDEX(发票统计!B$4:B$1003,$W38)&amp;"")</f>
        <v/>
      </c>
      <c r="C38" s="56" t="str">
        <f aca="false">IF($W38="","",INDEX(发票统计!C$4:C$1003,$W38)&amp;"")</f>
        <v/>
      </c>
      <c r="D38" s="56" t="str">
        <f aca="false">IF($W38="","",INDEX(发票统计!D$4:D$1003,$W38)&amp;"")</f>
        <v/>
      </c>
      <c r="E38" s="56" t="str">
        <f aca="false">IF($W38="","",INDEX(发票统计!E$4:E$1003,$W38)&amp;"")</f>
        <v/>
      </c>
      <c r="F38" s="73" t="str">
        <f aca="false">IF($W38="","",INDEX(发票统计!F$4:F$1003,$W38)&amp;"")</f>
        <v/>
      </c>
      <c r="G38" s="68" t="str">
        <f aca="false">IF($W38="","",IF(INDEX(发票统计!G$4:G$1003,$W38)="","",INDEX(发票统计!G$4:G$1003,$W38)))</f>
        <v/>
      </c>
      <c r="H38" s="56" t="str">
        <f aca="false">IF($W38="","",N(INDEX(发票统计!H$4:H$1003,$W38)))</f>
        <v/>
      </c>
      <c r="I38" s="56" t="str">
        <f aca="false">IF($W38="","",N(INDEX(发票统计!I$4:I$1003,$W38)))</f>
        <v/>
      </c>
      <c r="J38" s="56" t="str">
        <f aca="false">IF($W38="","",N(INDEX(发票统计!J$4:J$1003,$W38)))</f>
        <v/>
      </c>
      <c r="K38" s="56" t="str">
        <f aca="false">IF($W38="","",N(INDEX(发票统计!K$4:K$1003,$W38)))</f>
        <v/>
      </c>
      <c r="L38" s="56" t="str">
        <f aca="false">IF($W38="","",SUM(J$4:J38)-SUM(K$4:K38))</f>
        <v/>
      </c>
      <c r="M38" s="56" t="str">
        <f aca="false">IF($W38="","",N(INDEX(发票统计!M$4:M$1003,$W38)))</f>
        <v/>
      </c>
      <c r="N38" s="56" t="str">
        <f aca="false">IF($W38="","",N(INDEX(发票统计!N$4:N$1003,$W38)))</f>
        <v/>
      </c>
      <c r="O38" s="56" t="str">
        <f aca="false">IF($W38="","",N(INDEX(发票统计!O$4:O$1003,$W38)))</f>
        <v/>
      </c>
      <c r="P38" s="56" t="str">
        <f aca="false">IF($W38="","",SUM(M$4:M38)-SUM(N$4:N38)-SUM(O$4:O38))</f>
        <v/>
      </c>
      <c r="Q38" s="56" t="str">
        <f aca="false">IF($W38="","",N(INDEX(发票统计!Q$4:Q$1003,$W38)))</f>
        <v/>
      </c>
      <c r="R38" s="56" t="str">
        <f aca="false">IF($W38="","",N(INDEX(发票统计!R$4:R$1003,$W38)))</f>
        <v/>
      </c>
      <c r="S38" s="56" t="str">
        <f aca="false">IF($W38="","",N(INDEX(发票统计!S$4:S$1003,$W38)))</f>
        <v/>
      </c>
      <c r="T38" s="56" t="str">
        <f aca="false">IF($W38="","",SUM(Q$4:Q38)-SUM(R$4:R38)-SUM(S$4:S38))</f>
        <v/>
      </c>
      <c r="U38" s="56" t="str">
        <f aca="false">IF($W38="","",INDEX(发票统计!U$4:U$1003,$W38)&amp;"")</f>
        <v/>
      </c>
      <c r="W38" s="1" t="str">
        <f aca="false">IF($V$3="","",IFERROR(MATCH($V$3&amp;"#"&amp;ROWS(W$4:W38),发票统计!$W$4:$W$1003,0),""))</f>
        <v/>
      </c>
    </row>
    <row r="39" customFormat="false" ht="16.5" hidden="false" customHeight="false" outlineLevel="0" collapsed="false">
      <c r="A39" s="56" t="str">
        <f aca="false">IF($W39="","",INDEX(发票统计!A$4:A$1003,$W39)&amp;"")</f>
        <v/>
      </c>
      <c r="B39" s="56" t="str">
        <f aca="false">IF($W39="","",INDEX(发票统计!B$4:B$1003,$W39)&amp;"")</f>
        <v/>
      </c>
      <c r="C39" s="56" t="str">
        <f aca="false">IF($W39="","",INDEX(发票统计!C$4:C$1003,$W39)&amp;"")</f>
        <v/>
      </c>
      <c r="D39" s="56" t="str">
        <f aca="false">IF($W39="","",INDEX(发票统计!D$4:D$1003,$W39)&amp;"")</f>
        <v/>
      </c>
      <c r="E39" s="56" t="str">
        <f aca="false">IF($W39="","",INDEX(发票统计!E$4:E$1003,$W39)&amp;"")</f>
        <v/>
      </c>
      <c r="F39" s="73" t="str">
        <f aca="false">IF($W39="","",INDEX(发票统计!F$4:F$1003,$W39)&amp;"")</f>
        <v/>
      </c>
      <c r="G39" s="68" t="str">
        <f aca="false">IF($W39="","",IF(INDEX(发票统计!G$4:G$1003,$W39)="","",INDEX(发票统计!G$4:G$1003,$W39)))</f>
        <v/>
      </c>
      <c r="H39" s="56" t="str">
        <f aca="false">IF($W39="","",N(INDEX(发票统计!H$4:H$1003,$W39)))</f>
        <v/>
      </c>
      <c r="I39" s="56" t="str">
        <f aca="false">IF($W39="","",N(INDEX(发票统计!I$4:I$1003,$W39)))</f>
        <v/>
      </c>
      <c r="J39" s="56" t="str">
        <f aca="false">IF($W39="","",N(INDEX(发票统计!J$4:J$1003,$W39)))</f>
        <v/>
      </c>
      <c r="K39" s="56" t="str">
        <f aca="false">IF($W39="","",N(INDEX(发票统计!K$4:K$1003,$W39)))</f>
        <v/>
      </c>
      <c r="L39" s="56" t="str">
        <f aca="false">IF($W39="","",SUM(J$4:J39)-SUM(K$4:K39))</f>
        <v/>
      </c>
      <c r="M39" s="56" t="str">
        <f aca="false">IF($W39="","",N(INDEX(发票统计!M$4:M$1003,$W39)))</f>
        <v/>
      </c>
      <c r="N39" s="56" t="str">
        <f aca="false">IF($W39="","",N(INDEX(发票统计!N$4:N$1003,$W39)))</f>
        <v/>
      </c>
      <c r="O39" s="56" t="str">
        <f aca="false">IF($W39="","",N(INDEX(发票统计!O$4:O$1003,$W39)))</f>
        <v/>
      </c>
      <c r="P39" s="56" t="str">
        <f aca="false">IF($W39="","",SUM(M$4:M39)-SUM(N$4:N39)-SUM(O$4:O39))</f>
        <v/>
      </c>
      <c r="Q39" s="56" t="str">
        <f aca="false">IF($W39="","",N(INDEX(发票统计!Q$4:Q$1003,$W39)))</f>
        <v/>
      </c>
      <c r="R39" s="56" t="str">
        <f aca="false">IF($W39="","",N(INDEX(发票统计!R$4:R$1003,$W39)))</f>
        <v/>
      </c>
      <c r="S39" s="56" t="str">
        <f aca="false">IF($W39="","",N(INDEX(发票统计!S$4:S$1003,$W39)))</f>
        <v/>
      </c>
      <c r="T39" s="56" t="str">
        <f aca="false">IF($W39="","",SUM(Q$4:Q39)-SUM(R$4:R39)-SUM(S$4:S39))</f>
        <v/>
      </c>
      <c r="U39" s="56" t="str">
        <f aca="false">IF($W39="","",INDEX(发票统计!U$4:U$1003,$W39)&amp;"")</f>
        <v/>
      </c>
      <c r="W39" s="1" t="str">
        <f aca="false">IF($V$3="","",IFERROR(MATCH($V$3&amp;"#"&amp;ROWS(W$4:W39),发票统计!$W$4:$W$1003,0),""))</f>
        <v/>
      </c>
    </row>
    <row r="40" customFormat="false" ht="16.5" hidden="false" customHeight="false" outlineLevel="0" collapsed="false">
      <c r="A40" s="56" t="str">
        <f aca="false">IF($W40="","",INDEX(发票统计!A$4:A$1003,$W40)&amp;"")</f>
        <v/>
      </c>
      <c r="B40" s="56" t="str">
        <f aca="false">IF($W40="","",INDEX(发票统计!B$4:B$1003,$W40)&amp;"")</f>
        <v/>
      </c>
      <c r="C40" s="56" t="str">
        <f aca="false">IF($W40="","",INDEX(发票统计!C$4:C$1003,$W40)&amp;"")</f>
        <v/>
      </c>
      <c r="D40" s="56" t="str">
        <f aca="false">IF($W40="","",INDEX(发票统计!D$4:D$1003,$W40)&amp;"")</f>
        <v/>
      </c>
      <c r="E40" s="56" t="str">
        <f aca="false">IF($W40="","",INDEX(发票统计!E$4:E$1003,$W40)&amp;"")</f>
        <v/>
      </c>
      <c r="F40" s="73" t="str">
        <f aca="false">IF($W40="","",INDEX(发票统计!F$4:F$1003,$W40)&amp;"")</f>
        <v/>
      </c>
      <c r="G40" s="68" t="str">
        <f aca="false">IF($W40="","",IF(INDEX(发票统计!G$4:G$1003,$W40)="","",INDEX(发票统计!G$4:G$1003,$W40)))</f>
        <v/>
      </c>
      <c r="H40" s="56" t="str">
        <f aca="false">IF($W40="","",N(INDEX(发票统计!H$4:H$1003,$W40)))</f>
        <v/>
      </c>
      <c r="I40" s="56" t="str">
        <f aca="false">IF($W40="","",N(INDEX(发票统计!I$4:I$1003,$W40)))</f>
        <v/>
      </c>
      <c r="J40" s="56" t="str">
        <f aca="false">IF($W40="","",N(INDEX(发票统计!J$4:J$1003,$W40)))</f>
        <v/>
      </c>
      <c r="K40" s="56" t="str">
        <f aca="false">IF($W40="","",N(INDEX(发票统计!K$4:K$1003,$W40)))</f>
        <v/>
      </c>
      <c r="L40" s="56" t="str">
        <f aca="false">IF($W40="","",SUM(J$4:J40)-SUM(K$4:K40))</f>
        <v/>
      </c>
      <c r="M40" s="56" t="str">
        <f aca="false">IF($W40="","",N(INDEX(发票统计!M$4:M$1003,$W40)))</f>
        <v/>
      </c>
      <c r="N40" s="56" t="str">
        <f aca="false">IF($W40="","",N(INDEX(发票统计!N$4:N$1003,$W40)))</f>
        <v/>
      </c>
      <c r="O40" s="56" t="str">
        <f aca="false">IF($W40="","",N(INDEX(发票统计!O$4:O$1003,$W40)))</f>
        <v/>
      </c>
      <c r="P40" s="56" t="str">
        <f aca="false">IF($W40="","",SUM(M$4:M40)-SUM(N$4:N40)-SUM(O$4:O40))</f>
        <v/>
      </c>
      <c r="Q40" s="56" t="str">
        <f aca="false">IF($W40="","",N(INDEX(发票统计!Q$4:Q$1003,$W40)))</f>
        <v/>
      </c>
      <c r="R40" s="56" t="str">
        <f aca="false">IF($W40="","",N(INDEX(发票统计!R$4:R$1003,$W40)))</f>
        <v/>
      </c>
      <c r="S40" s="56" t="str">
        <f aca="false">IF($W40="","",N(INDEX(发票统计!S$4:S$1003,$W40)))</f>
        <v/>
      </c>
      <c r="T40" s="56" t="str">
        <f aca="false">IF($W40="","",SUM(Q$4:Q40)-SUM(R$4:R40)-SUM(S$4:S40))</f>
        <v/>
      </c>
      <c r="U40" s="56" t="str">
        <f aca="false">IF($W40="","",INDEX(发票统计!U$4:U$1003,$W40)&amp;"")</f>
        <v/>
      </c>
      <c r="W40" s="1" t="str">
        <f aca="false">IF($V$3="","",IFERROR(MATCH($V$3&amp;"#"&amp;ROWS(W$4:W40),发票统计!$W$4:$W$1003,0),""))</f>
        <v/>
      </c>
    </row>
    <row r="41" customFormat="false" ht="16.5" hidden="false" customHeight="false" outlineLevel="0" collapsed="false">
      <c r="A41" s="56" t="str">
        <f aca="false">IF($W41="","",INDEX(发票统计!A$4:A$1003,$W41)&amp;"")</f>
        <v/>
      </c>
      <c r="B41" s="56" t="str">
        <f aca="false">IF($W41="","",INDEX(发票统计!B$4:B$1003,$W41)&amp;"")</f>
        <v/>
      </c>
      <c r="C41" s="56" t="str">
        <f aca="false">IF($W41="","",INDEX(发票统计!C$4:C$1003,$W41)&amp;"")</f>
        <v/>
      </c>
      <c r="D41" s="56" t="str">
        <f aca="false">IF($W41="","",INDEX(发票统计!D$4:D$1003,$W41)&amp;"")</f>
        <v/>
      </c>
      <c r="E41" s="56" t="str">
        <f aca="false">IF($W41="","",INDEX(发票统计!E$4:E$1003,$W41)&amp;"")</f>
        <v/>
      </c>
      <c r="F41" s="73" t="str">
        <f aca="false">IF($W41="","",INDEX(发票统计!F$4:F$1003,$W41)&amp;"")</f>
        <v/>
      </c>
      <c r="G41" s="68" t="str">
        <f aca="false">IF($W41="","",IF(INDEX(发票统计!G$4:G$1003,$W41)="","",INDEX(发票统计!G$4:G$1003,$W41)))</f>
        <v/>
      </c>
      <c r="H41" s="56" t="str">
        <f aca="false">IF($W41="","",N(INDEX(发票统计!H$4:H$1003,$W41)))</f>
        <v/>
      </c>
      <c r="I41" s="56" t="str">
        <f aca="false">IF($W41="","",N(INDEX(发票统计!I$4:I$1003,$W41)))</f>
        <v/>
      </c>
      <c r="J41" s="56" t="str">
        <f aca="false">IF($W41="","",N(INDEX(发票统计!J$4:J$1003,$W41)))</f>
        <v/>
      </c>
      <c r="K41" s="56" t="str">
        <f aca="false">IF($W41="","",N(INDEX(发票统计!K$4:K$1003,$W41)))</f>
        <v/>
      </c>
      <c r="L41" s="56" t="str">
        <f aca="false">IF($W41="","",SUM(J$4:J41)-SUM(K$4:K41))</f>
        <v/>
      </c>
      <c r="M41" s="56" t="str">
        <f aca="false">IF($W41="","",N(INDEX(发票统计!M$4:M$1003,$W41)))</f>
        <v/>
      </c>
      <c r="N41" s="56" t="str">
        <f aca="false">IF($W41="","",N(INDEX(发票统计!N$4:N$1003,$W41)))</f>
        <v/>
      </c>
      <c r="O41" s="56" t="str">
        <f aca="false">IF($W41="","",N(INDEX(发票统计!O$4:O$1003,$W41)))</f>
        <v/>
      </c>
      <c r="P41" s="56" t="str">
        <f aca="false">IF($W41="","",SUM(M$4:M41)-SUM(N$4:N41)-SUM(O$4:O41))</f>
        <v/>
      </c>
      <c r="Q41" s="56" t="str">
        <f aca="false">IF($W41="","",N(INDEX(发票统计!Q$4:Q$1003,$W41)))</f>
        <v/>
      </c>
      <c r="R41" s="56" t="str">
        <f aca="false">IF($W41="","",N(INDEX(发票统计!R$4:R$1003,$W41)))</f>
        <v/>
      </c>
      <c r="S41" s="56" t="str">
        <f aca="false">IF($W41="","",N(INDEX(发票统计!S$4:S$1003,$W41)))</f>
        <v/>
      </c>
      <c r="T41" s="56" t="str">
        <f aca="false">IF($W41="","",SUM(Q$4:Q41)-SUM(R$4:R41)-SUM(S$4:S41))</f>
        <v/>
      </c>
      <c r="U41" s="56" t="str">
        <f aca="false">IF($W41="","",INDEX(发票统计!U$4:U$1003,$W41)&amp;"")</f>
        <v/>
      </c>
      <c r="W41" s="1" t="str">
        <f aca="false">IF($V$3="","",IFERROR(MATCH($V$3&amp;"#"&amp;ROWS(W$4:W41),发票统计!$W$4:$W$1003,0),""))</f>
        <v/>
      </c>
    </row>
    <row r="42" customFormat="false" ht="16.5" hidden="false" customHeight="false" outlineLevel="0" collapsed="false">
      <c r="A42" s="56" t="str">
        <f aca="false">IF($W42="","",INDEX(发票统计!A$4:A$1003,$W42)&amp;"")</f>
        <v/>
      </c>
      <c r="B42" s="56" t="str">
        <f aca="false">IF($W42="","",INDEX(发票统计!B$4:B$1003,$W42)&amp;"")</f>
        <v/>
      </c>
      <c r="C42" s="56" t="str">
        <f aca="false">IF($W42="","",INDEX(发票统计!C$4:C$1003,$W42)&amp;"")</f>
        <v/>
      </c>
      <c r="D42" s="56" t="str">
        <f aca="false">IF($W42="","",INDEX(发票统计!D$4:D$1003,$W42)&amp;"")</f>
        <v/>
      </c>
      <c r="E42" s="56" t="str">
        <f aca="false">IF($W42="","",INDEX(发票统计!E$4:E$1003,$W42)&amp;"")</f>
        <v/>
      </c>
      <c r="F42" s="73" t="str">
        <f aca="false">IF($W42="","",INDEX(发票统计!F$4:F$1003,$W42)&amp;"")</f>
        <v/>
      </c>
      <c r="G42" s="68" t="str">
        <f aca="false">IF($W42="","",IF(INDEX(发票统计!G$4:G$1003,$W42)="","",INDEX(发票统计!G$4:G$1003,$W42)))</f>
        <v/>
      </c>
      <c r="H42" s="56" t="str">
        <f aca="false">IF($W42="","",N(INDEX(发票统计!H$4:H$1003,$W42)))</f>
        <v/>
      </c>
      <c r="I42" s="56" t="str">
        <f aca="false">IF($W42="","",N(INDEX(发票统计!I$4:I$1003,$W42)))</f>
        <v/>
      </c>
      <c r="J42" s="56" t="str">
        <f aca="false">IF($W42="","",N(INDEX(发票统计!J$4:J$1003,$W42)))</f>
        <v/>
      </c>
      <c r="K42" s="56" t="str">
        <f aca="false">IF($W42="","",N(INDEX(发票统计!K$4:K$1003,$W42)))</f>
        <v/>
      </c>
      <c r="L42" s="56" t="str">
        <f aca="false">IF($W42="","",SUM(J$4:J42)-SUM(K$4:K42))</f>
        <v/>
      </c>
      <c r="M42" s="56" t="str">
        <f aca="false">IF($W42="","",N(INDEX(发票统计!M$4:M$1003,$W42)))</f>
        <v/>
      </c>
      <c r="N42" s="56" t="str">
        <f aca="false">IF($W42="","",N(INDEX(发票统计!N$4:N$1003,$W42)))</f>
        <v/>
      </c>
      <c r="O42" s="56" t="str">
        <f aca="false">IF($W42="","",N(INDEX(发票统计!O$4:O$1003,$W42)))</f>
        <v/>
      </c>
      <c r="P42" s="56" t="str">
        <f aca="false">IF($W42="","",SUM(M$4:M42)-SUM(N$4:N42)-SUM(O$4:O42))</f>
        <v/>
      </c>
      <c r="Q42" s="56" t="str">
        <f aca="false">IF($W42="","",N(INDEX(发票统计!Q$4:Q$1003,$W42)))</f>
        <v/>
      </c>
      <c r="R42" s="56" t="str">
        <f aca="false">IF($W42="","",N(INDEX(发票统计!R$4:R$1003,$W42)))</f>
        <v/>
      </c>
      <c r="S42" s="56" t="str">
        <f aca="false">IF($W42="","",N(INDEX(发票统计!S$4:S$1003,$W42)))</f>
        <v/>
      </c>
      <c r="T42" s="56" t="str">
        <f aca="false">IF($W42="","",SUM(Q$4:Q42)-SUM(R$4:R42)-SUM(S$4:S42))</f>
        <v/>
      </c>
      <c r="U42" s="56" t="str">
        <f aca="false">IF($W42="","",INDEX(发票统计!U$4:U$1003,$W42)&amp;"")</f>
        <v/>
      </c>
      <c r="W42" s="1" t="str">
        <f aca="false">IF($V$3="","",IFERROR(MATCH($V$3&amp;"#"&amp;ROWS(W$4:W42),发票统计!$W$4:$W$1003,0),""))</f>
        <v/>
      </c>
    </row>
    <row r="43" customFormat="false" ht="16.5" hidden="false" customHeight="false" outlineLevel="0" collapsed="false">
      <c r="A43" s="56" t="str">
        <f aca="false">IF($W43="","",INDEX(发票统计!A$4:A$1003,$W43)&amp;"")</f>
        <v/>
      </c>
      <c r="B43" s="56" t="str">
        <f aca="false">IF($W43="","",INDEX(发票统计!B$4:B$1003,$W43)&amp;"")</f>
        <v/>
      </c>
      <c r="C43" s="56" t="str">
        <f aca="false">IF($W43="","",INDEX(发票统计!C$4:C$1003,$W43)&amp;"")</f>
        <v/>
      </c>
      <c r="D43" s="56" t="str">
        <f aca="false">IF($W43="","",INDEX(发票统计!D$4:D$1003,$W43)&amp;"")</f>
        <v/>
      </c>
      <c r="E43" s="56" t="str">
        <f aca="false">IF($W43="","",INDEX(发票统计!E$4:E$1003,$W43)&amp;"")</f>
        <v/>
      </c>
      <c r="F43" s="73" t="str">
        <f aca="false">IF($W43="","",INDEX(发票统计!F$4:F$1003,$W43)&amp;"")</f>
        <v/>
      </c>
      <c r="G43" s="68" t="str">
        <f aca="false">IF($W43="","",IF(INDEX(发票统计!G$4:G$1003,$W43)="","",INDEX(发票统计!G$4:G$1003,$W43)))</f>
        <v/>
      </c>
      <c r="H43" s="56" t="str">
        <f aca="false">IF($W43="","",N(INDEX(发票统计!H$4:H$1003,$W43)))</f>
        <v/>
      </c>
      <c r="I43" s="56" t="str">
        <f aca="false">IF($W43="","",N(INDEX(发票统计!I$4:I$1003,$W43)))</f>
        <v/>
      </c>
      <c r="J43" s="56" t="str">
        <f aca="false">IF($W43="","",N(INDEX(发票统计!J$4:J$1003,$W43)))</f>
        <v/>
      </c>
      <c r="K43" s="56" t="str">
        <f aca="false">IF($W43="","",N(INDEX(发票统计!K$4:K$1003,$W43)))</f>
        <v/>
      </c>
      <c r="L43" s="56" t="str">
        <f aca="false">IF($W43="","",SUM(J$4:J43)-SUM(K$4:K43))</f>
        <v/>
      </c>
      <c r="M43" s="56" t="str">
        <f aca="false">IF($W43="","",N(INDEX(发票统计!M$4:M$1003,$W43)))</f>
        <v/>
      </c>
      <c r="N43" s="56" t="str">
        <f aca="false">IF($W43="","",N(INDEX(发票统计!N$4:N$1003,$W43)))</f>
        <v/>
      </c>
      <c r="O43" s="56" t="str">
        <f aca="false">IF($W43="","",N(INDEX(发票统计!O$4:O$1003,$W43)))</f>
        <v/>
      </c>
      <c r="P43" s="56" t="str">
        <f aca="false">IF($W43="","",SUM(M$4:M43)-SUM(N$4:N43)-SUM(O$4:O43))</f>
        <v/>
      </c>
      <c r="Q43" s="56" t="str">
        <f aca="false">IF($W43="","",N(INDEX(发票统计!Q$4:Q$1003,$W43)))</f>
        <v/>
      </c>
      <c r="R43" s="56" t="str">
        <f aca="false">IF($W43="","",N(INDEX(发票统计!R$4:R$1003,$W43)))</f>
        <v/>
      </c>
      <c r="S43" s="56" t="str">
        <f aca="false">IF($W43="","",N(INDEX(发票统计!S$4:S$1003,$W43)))</f>
        <v/>
      </c>
      <c r="T43" s="56" t="str">
        <f aca="false">IF($W43="","",SUM(Q$4:Q43)-SUM(R$4:R43)-SUM(S$4:S43))</f>
        <v/>
      </c>
      <c r="U43" s="56" t="str">
        <f aca="false">IF($W43="","",INDEX(发票统计!U$4:U$1003,$W43)&amp;"")</f>
        <v/>
      </c>
      <c r="W43" s="1" t="str">
        <f aca="false">IF($V$3="","",IFERROR(MATCH($V$3&amp;"#"&amp;ROWS(W$4:W43),发票统计!$W$4:$W$1003,0),""))</f>
        <v/>
      </c>
    </row>
    <row r="44" customFormat="false" ht="16.5" hidden="false" customHeight="false" outlineLevel="0" collapsed="false">
      <c r="A44" s="56" t="str">
        <f aca="false">IF($W44="","",INDEX(发票统计!A$4:A$1003,$W44)&amp;"")</f>
        <v/>
      </c>
      <c r="B44" s="56" t="str">
        <f aca="false">IF($W44="","",INDEX(发票统计!B$4:B$1003,$W44)&amp;"")</f>
        <v/>
      </c>
      <c r="C44" s="56" t="str">
        <f aca="false">IF($W44="","",INDEX(发票统计!C$4:C$1003,$W44)&amp;"")</f>
        <v/>
      </c>
      <c r="D44" s="56" t="str">
        <f aca="false">IF($W44="","",INDEX(发票统计!D$4:D$1003,$W44)&amp;"")</f>
        <v/>
      </c>
      <c r="E44" s="56" t="str">
        <f aca="false">IF($W44="","",INDEX(发票统计!E$4:E$1003,$W44)&amp;"")</f>
        <v/>
      </c>
      <c r="F44" s="73" t="str">
        <f aca="false">IF($W44="","",INDEX(发票统计!F$4:F$1003,$W44)&amp;"")</f>
        <v/>
      </c>
      <c r="G44" s="68" t="str">
        <f aca="false">IF($W44="","",IF(INDEX(发票统计!G$4:G$1003,$W44)="","",INDEX(发票统计!G$4:G$1003,$W44)))</f>
        <v/>
      </c>
      <c r="H44" s="56" t="str">
        <f aca="false">IF($W44="","",N(INDEX(发票统计!H$4:H$1003,$W44)))</f>
        <v/>
      </c>
      <c r="I44" s="56" t="str">
        <f aca="false">IF($W44="","",N(INDEX(发票统计!I$4:I$1003,$W44)))</f>
        <v/>
      </c>
      <c r="J44" s="56" t="str">
        <f aca="false">IF($W44="","",N(INDEX(发票统计!J$4:J$1003,$W44)))</f>
        <v/>
      </c>
      <c r="K44" s="56" t="str">
        <f aca="false">IF($W44="","",N(INDEX(发票统计!K$4:K$1003,$W44)))</f>
        <v/>
      </c>
      <c r="L44" s="56" t="str">
        <f aca="false">IF($W44="","",SUM(J$4:J44)-SUM(K$4:K44))</f>
        <v/>
      </c>
      <c r="M44" s="56" t="str">
        <f aca="false">IF($W44="","",N(INDEX(发票统计!M$4:M$1003,$W44)))</f>
        <v/>
      </c>
      <c r="N44" s="56" t="str">
        <f aca="false">IF($W44="","",N(INDEX(发票统计!N$4:N$1003,$W44)))</f>
        <v/>
      </c>
      <c r="O44" s="56" t="str">
        <f aca="false">IF($W44="","",N(INDEX(发票统计!O$4:O$1003,$W44)))</f>
        <v/>
      </c>
      <c r="P44" s="56" t="str">
        <f aca="false">IF($W44="","",SUM(M$4:M44)-SUM(N$4:N44)-SUM(O$4:O44))</f>
        <v/>
      </c>
      <c r="Q44" s="56" t="str">
        <f aca="false">IF($W44="","",N(INDEX(发票统计!Q$4:Q$1003,$W44)))</f>
        <v/>
      </c>
      <c r="R44" s="56" t="str">
        <f aca="false">IF($W44="","",N(INDEX(发票统计!R$4:R$1003,$W44)))</f>
        <v/>
      </c>
      <c r="S44" s="56" t="str">
        <f aca="false">IF($W44="","",N(INDEX(发票统计!S$4:S$1003,$W44)))</f>
        <v/>
      </c>
      <c r="T44" s="56" t="str">
        <f aca="false">IF($W44="","",SUM(Q$4:Q44)-SUM(R$4:R44)-SUM(S$4:S44))</f>
        <v/>
      </c>
      <c r="U44" s="56" t="str">
        <f aca="false">IF($W44="","",INDEX(发票统计!U$4:U$1003,$W44)&amp;"")</f>
        <v/>
      </c>
      <c r="W44" s="1" t="str">
        <f aca="false">IF($V$3="","",IFERROR(MATCH($V$3&amp;"#"&amp;ROWS(W$4:W44),发票统计!$W$4:$W$1003,0),""))</f>
        <v/>
      </c>
    </row>
    <row r="45" customFormat="false" ht="16.5" hidden="false" customHeight="false" outlineLevel="0" collapsed="false">
      <c r="A45" s="56" t="str">
        <f aca="false">IF($W45="","",INDEX(发票统计!A$4:A$1003,$W45)&amp;"")</f>
        <v/>
      </c>
      <c r="B45" s="56" t="str">
        <f aca="false">IF($W45="","",INDEX(发票统计!B$4:B$1003,$W45)&amp;"")</f>
        <v/>
      </c>
      <c r="C45" s="56" t="str">
        <f aca="false">IF($W45="","",INDEX(发票统计!C$4:C$1003,$W45)&amp;"")</f>
        <v/>
      </c>
      <c r="D45" s="56" t="str">
        <f aca="false">IF($W45="","",INDEX(发票统计!D$4:D$1003,$W45)&amp;"")</f>
        <v/>
      </c>
      <c r="E45" s="56" t="str">
        <f aca="false">IF($W45="","",INDEX(发票统计!E$4:E$1003,$W45)&amp;"")</f>
        <v/>
      </c>
      <c r="F45" s="73" t="str">
        <f aca="false">IF($W45="","",INDEX(发票统计!F$4:F$1003,$W45)&amp;"")</f>
        <v/>
      </c>
      <c r="G45" s="68" t="str">
        <f aca="false">IF($W45="","",IF(INDEX(发票统计!G$4:G$1003,$W45)="","",INDEX(发票统计!G$4:G$1003,$W45)))</f>
        <v/>
      </c>
      <c r="H45" s="56" t="str">
        <f aca="false">IF($W45="","",N(INDEX(发票统计!H$4:H$1003,$W45)))</f>
        <v/>
      </c>
      <c r="I45" s="56" t="str">
        <f aca="false">IF($W45="","",N(INDEX(发票统计!I$4:I$1003,$W45)))</f>
        <v/>
      </c>
      <c r="J45" s="56" t="str">
        <f aca="false">IF($W45="","",N(INDEX(发票统计!J$4:J$1003,$W45)))</f>
        <v/>
      </c>
      <c r="K45" s="56" t="str">
        <f aca="false">IF($W45="","",N(INDEX(发票统计!K$4:K$1003,$W45)))</f>
        <v/>
      </c>
      <c r="L45" s="56" t="str">
        <f aca="false">IF($W45="","",SUM(J$4:J45)-SUM(K$4:K45))</f>
        <v/>
      </c>
      <c r="M45" s="56" t="str">
        <f aca="false">IF($W45="","",N(INDEX(发票统计!M$4:M$1003,$W45)))</f>
        <v/>
      </c>
      <c r="N45" s="56" t="str">
        <f aca="false">IF($W45="","",N(INDEX(发票统计!N$4:N$1003,$W45)))</f>
        <v/>
      </c>
      <c r="O45" s="56" t="str">
        <f aca="false">IF($W45="","",N(INDEX(发票统计!O$4:O$1003,$W45)))</f>
        <v/>
      </c>
      <c r="P45" s="56" t="str">
        <f aca="false">IF($W45="","",SUM(M$4:M45)-SUM(N$4:N45)-SUM(O$4:O45))</f>
        <v/>
      </c>
      <c r="Q45" s="56" t="str">
        <f aca="false">IF($W45="","",N(INDEX(发票统计!Q$4:Q$1003,$W45)))</f>
        <v/>
      </c>
      <c r="R45" s="56" t="str">
        <f aca="false">IF($W45="","",N(INDEX(发票统计!R$4:R$1003,$W45)))</f>
        <v/>
      </c>
      <c r="S45" s="56" t="str">
        <f aca="false">IF($W45="","",N(INDEX(发票统计!S$4:S$1003,$W45)))</f>
        <v/>
      </c>
      <c r="T45" s="56" t="str">
        <f aca="false">IF($W45="","",SUM(Q$4:Q45)-SUM(R$4:R45)-SUM(S$4:S45))</f>
        <v/>
      </c>
      <c r="U45" s="56" t="str">
        <f aca="false">IF($W45="","",INDEX(发票统计!U$4:U$1003,$W45)&amp;"")</f>
        <v/>
      </c>
      <c r="W45" s="1" t="str">
        <f aca="false">IF($V$3="","",IFERROR(MATCH($V$3&amp;"#"&amp;ROWS(W$4:W45),发票统计!$W$4:$W$1003,0),""))</f>
        <v/>
      </c>
    </row>
    <row r="46" customFormat="false" ht="16.5" hidden="false" customHeight="false" outlineLevel="0" collapsed="false">
      <c r="A46" s="56" t="str">
        <f aca="false">IF($W46="","",INDEX(发票统计!A$4:A$1003,$W46)&amp;"")</f>
        <v/>
      </c>
      <c r="B46" s="56" t="str">
        <f aca="false">IF($W46="","",INDEX(发票统计!B$4:B$1003,$W46)&amp;"")</f>
        <v/>
      </c>
      <c r="C46" s="56" t="str">
        <f aca="false">IF($W46="","",INDEX(发票统计!C$4:C$1003,$W46)&amp;"")</f>
        <v/>
      </c>
      <c r="D46" s="56" t="str">
        <f aca="false">IF($W46="","",INDEX(发票统计!D$4:D$1003,$W46)&amp;"")</f>
        <v/>
      </c>
      <c r="E46" s="56" t="str">
        <f aca="false">IF($W46="","",INDEX(发票统计!E$4:E$1003,$W46)&amp;"")</f>
        <v/>
      </c>
      <c r="F46" s="73" t="str">
        <f aca="false">IF($W46="","",INDEX(发票统计!F$4:F$1003,$W46)&amp;"")</f>
        <v/>
      </c>
      <c r="G46" s="68" t="str">
        <f aca="false">IF($W46="","",IF(INDEX(发票统计!G$4:G$1003,$W46)="","",INDEX(发票统计!G$4:G$1003,$W46)))</f>
        <v/>
      </c>
      <c r="H46" s="56" t="str">
        <f aca="false">IF($W46="","",N(INDEX(发票统计!H$4:H$1003,$W46)))</f>
        <v/>
      </c>
      <c r="I46" s="56" t="str">
        <f aca="false">IF($W46="","",N(INDEX(发票统计!I$4:I$1003,$W46)))</f>
        <v/>
      </c>
      <c r="J46" s="56" t="str">
        <f aca="false">IF($W46="","",N(INDEX(发票统计!J$4:J$1003,$W46)))</f>
        <v/>
      </c>
      <c r="K46" s="56" t="str">
        <f aca="false">IF($W46="","",N(INDEX(发票统计!K$4:K$1003,$W46)))</f>
        <v/>
      </c>
      <c r="L46" s="56" t="str">
        <f aca="false">IF($W46="","",SUM(J$4:J46)-SUM(K$4:K46))</f>
        <v/>
      </c>
      <c r="M46" s="56" t="str">
        <f aca="false">IF($W46="","",N(INDEX(发票统计!M$4:M$1003,$W46)))</f>
        <v/>
      </c>
      <c r="N46" s="56" t="str">
        <f aca="false">IF($W46="","",N(INDEX(发票统计!N$4:N$1003,$W46)))</f>
        <v/>
      </c>
      <c r="O46" s="56" t="str">
        <f aca="false">IF($W46="","",N(INDEX(发票统计!O$4:O$1003,$W46)))</f>
        <v/>
      </c>
      <c r="P46" s="56" t="str">
        <f aca="false">IF($W46="","",SUM(M$4:M46)-SUM(N$4:N46)-SUM(O$4:O46))</f>
        <v/>
      </c>
      <c r="Q46" s="56" t="str">
        <f aca="false">IF($W46="","",N(INDEX(发票统计!Q$4:Q$1003,$W46)))</f>
        <v/>
      </c>
      <c r="R46" s="56" t="str">
        <f aca="false">IF($W46="","",N(INDEX(发票统计!R$4:R$1003,$W46)))</f>
        <v/>
      </c>
      <c r="S46" s="56" t="str">
        <f aca="false">IF($W46="","",N(INDEX(发票统计!S$4:S$1003,$W46)))</f>
        <v/>
      </c>
      <c r="T46" s="56" t="str">
        <f aca="false">IF($W46="","",SUM(Q$4:Q46)-SUM(R$4:R46)-SUM(S$4:S46))</f>
        <v/>
      </c>
      <c r="U46" s="56" t="str">
        <f aca="false">IF($W46="","",INDEX(发票统计!U$4:U$1003,$W46)&amp;"")</f>
        <v/>
      </c>
      <c r="W46" s="1" t="str">
        <f aca="false">IF($V$3="","",IFERROR(MATCH($V$3&amp;"#"&amp;ROWS(W$4:W46),发票统计!$W$4:$W$1003,0),""))</f>
        <v/>
      </c>
    </row>
    <row r="47" customFormat="false" ht="16.5" hidden="false" customHeight="false" outlineLevel="0" collapsed="false">
      <c r="A47" s="56" t="str">
        <f aca="false">IF($W47="","",INDEX(发票统计!A$4:A$1003,$W47)&amp;"")</f>
        <v/>
      </c>
      <c r="B47" s="56" t="str">
        <f aca="false">IF($W47="","",INDEX(发票统计!B$4:B$1003,$W47)&amp;"")</f>
        <v/>
      </c>
      <c r="C47" s="56" t="str">
        <f aca="false">IF($W47="","",INDEX(发票统计!C$4:C$1003,$W47)&amp;"")</f>
        <v/>
      </c>
      <c r="D47" s="56" t="str">
        <f aca="false">IF($W47="","",INDEX(发票统计!D$4:D$1003,$W47)&amp;"")</f>
        <v/>
      </c>
      <c r="E47" s="56" t="str">
        <f aca="false">IF($W47="","",INDEX(发票统计!E$4:E$1003,$W47)&amp;"")</f>
        <v/>
      </c>
      <c r="F47" s="73" t="str">
        <f aca="false">IF($W47="","",INDEX(发票统计!F$4:F$1003,$W47)&amp;"")</f>
        <v/>
      </c>
      <c r="G47" s="68" t="str">
        <f aca="false">IF($W47="","",IF(INDEX(发票统计!G$4:G$1003,$W47)="","",INDEX(发票统计!G$4:G$1003,$W47)))</f>
        <v/>
      </c>
      <c r="H47" s="56" t="str">
        <f aca="false">IF($W47="","",N(INDEX(发票统计!H$4:H$1003,$W47)))</f>
        <v/>
      </c>
      <c r="I47" s="56" t="str">
        <f aca="false">IF($W47="","",N(INDEX(发票统计!I$4:I$1003,$W47)))</f>
        <v/>
      </c>
      <c r="J47" s="56" t="str">
        <f aca="false">IF($W47="","",N(INDEX(发票统计!J$4:J$1003,$W47)))</f>
        <v/>
      </c>
      <c r="K47" s="56" t="str">
        <f aca="false">IF($W47="","",N(INDEX(发票统计!K$4:K$1003,$W47)))</f>
        <v/>
      </c>
      <c r="L47" s="56" t="str">
        <f aca="false">IF($W47="","",SUM(J$4:J47)-SUM(K$4:K47))</f>
        <v/>
      </c>
      <c r="M47" s="56" t="str">
        <f aca="false">IF($W47="","",N(INDEX(发票统计!M$4:M$1003,$W47)))</f>
        <v/>
      </c>
      <c r="N47" s="56" t="str">
        <f aca="false">IF($W47="","",N(INDEX(发票统计!N$4:N$1003,$W47)))</f>
        <v/>
      </c>
      <c r="O47" s="56" t="str">
        <f aca="false">IF($W47="","",N(INDEX(发票统计!O$4:O$1003,$W47)))</f>
        <v/>
      </c>
      <c r="P47" s="56" t="str">
        <f aca="false">IF($W47="","",SUM(M$4:M47)-SUM(N$4:N47)-SUM(O$4:O47))</f>
        <v/>
      </c>
      <c r="Q47" s="56" t="str">
        <f aca="false">IF($W47="","",N(INDEX(发票统计!Q$4:Q$1003,$W47)))</f>
        <v/>
      </c>
      <c r="R47" s="56" t="str">
        <f aca="false">IF($W47="","",N(INDEX(发票统计!R$4:R$1003,$W47)))</f>
        <v/>
      </c>
      <c r="S47" s="56" t="str">
        <f aca="false">IF($W47="","",N(INDEX(发票统计!S$4:S$1003,$W47)))</f>
        <v/>
      </c>
      <c r="T47" s="56" t="str">
        <f aca="false">IF($W47="","",SUM(Q$4:Q47)-SUM(R$4:R47)-SUM(S$4:S47))</f>
        <v/>
      </c>
      <c r="U47" s="56" t="str">
        <f aca="false">IF($W47="","",INDEX(发票统计!U$4:U$1003,$W47)&amp;"")</f>
        <v/>
      </c>
      <c r="W47" s="1" t="str">
        <f aca="false">IF($V$3="","",IFERROR(MATCH($V$3&amp;"#"&amp;ROWS(W$4:W47),发票统计!$W$4:$W$1003,0),""))</f>
        <v/>
      </c>
    </row>
    <row r="48" customFormat="false" ht="16.5" hidden="false" customHeight="false" outlineLevel="0" collapsed="false">
      <c r="A48" s="56" t="str">
        <f aca="false">IF($W48="","",INDEX(发票统计!A$4:A$1003,$W48)&amp;"")</f>
        <v/>
      </c>
      <c r="B48" s="56" t="str">
        <f aca="false">IF($W48="","",INDEX(发票统计!B$4:B$1003,$W48)&amp;"")</f>
        <v/>
      </c>
      <c r="C48" s="56" t="str">
        <f aca="false">IF($W48="","",INDEX(发票统计!C$4:C$1003,$W48)&amp;"")</f>
        <v/>
      </c>
      <c r="D48" s="56" t="str">
        <f aca="false">IF($W48="","",INDEX(发票统计!D$4:D$1003,$W48)&amp;"")</f>
        <v/>
      </c>
      <c r="E48" s="56" t="str">
        <f aca="false">IF($W48="","",INDEX(发票统计!E$4:E$1003,$W48)&amp;"")</f>
        <v/>
      </c>
      <c r="F48" s="73" t="str">
        <f aca="false">IF($W48="","",INDEX(发票统计!F$4:F$1003,$W48)&amp;"")</f>
        <v/>
      </c>
      <c r="G48" s="68" t="str">
        <f aca="false">IF($W48="","",IF(INDEX(发票统计!G$4:G$1003,$W48)="","",INDEX(发票统计!G$4:G$1003,$W48)))</f>
        <v/>
      </c>
      <c r="H48" s="56" t="str">
        <f aca="false">IF($W48="","",N(INDEX(发票统计!H$4:H$1003,$W48)))</f>
        <v/>
      </c>
      <c r="I48" s="56" t="str">
        <f aca="false">IF($W48="","",N(INDEX(发票统计!I$4:I$1003,$W48)))</f>
        <v/>
      </c>
      <c r="J48" s="56" t="str">
        <f aca="false">IF($W48="","",N(INDEX(发票统计!J$4:J$1003,$W48)))</f>
        <v/>
      </c>
      <c r="K48" s="56" t="str">
        <f aca="false">IF($W48="","",N(INDEX(发票统计!K$4:K$1003,$W48)))</f>
        <v/>
      </c>
      <c r="L48" s="56" t="str">
        <f aca="false">IF($W48="","",SUM(J$4:J48)-SUM(K$4:K48))</f>
        <v/>
      </c>
      <c r="M48" s="56" t="str">
        <f aca="false">IF($W48="","",N(INDEX(发票统计!M$4:M$1003,$W48)))</f>
        <v/>
      </c>
      <c r="N48" s="56" t="str">
        <f aca="false">IF($W48="","",N(INDEX(发票统计!N$4:N$1003,$W48)))</f>
        <v/>
      </c>
      <c r="O48" s="56" t="str">
        <f aca="false">IF($W48="","",N(INDEX(发票统计!O$4:O$1003,$W48)))</f>
        <v/>
      </c>
      <c r="P48" s="56" t="str">
        <f aca="false">IF($W48="","",SUM(M$4:M48)-SUM(N$4:N48)-SUM(O$4:O48))</f>
        <v/>
      </c>
      <c r="Q48" s="56" t="str">
        <f aca="false">IF($W48="","",N(INDEX(发票统计!Q$4:Q$1003,$W48)))</f>
        <v/>
      </c>
      <c r="R48" s="56" t="str">
        <f aca="false">IF($W48="","",N(INDEX(发票统计!R$4:R$1003,$W48)))</f>
        <v/>
      </c>
      <c r="S48" s="56" t="str">
        <f aca="false">IF($W48="","",N(INDEX(发票统计!S$4:S$1003,$W48)))</f>
        <v/>
      </c>
      <c r="T48" s="56" t="str">
        <f aca="false">IF($W48="","",SUM(Q$4:Q48)-SUM(R$4:R48)-SUM(S$4:S48))</f>
        <v/>
      </c>
      <c r="U48" s="56" t="str">
        <f aca="false">IF($W48="","",INDEX(发票统计!U$4:U$1003,$W48)&amp;"")</f>
        <v/>
      </c>
      <c r="W48" s="1" t="str">
        <f aca="false">IF($V$3="","",IFERROR(MATCH($V$3&amp;"#"&amp;ROWS(W$4:W48),发票统计!$W$4:$W$1003,0),""))</f>
        <v/>
      </c>
    </row>
    <row r="49" customFormat="false" ht="16.5" hidden="false" customHeight="false" outlineLevel="0" collapsed="false">
      <c r="A49" s="56" t="str">
        <f aca="false">IF($W49="","",INDEX(发票统计!A$4:A$1003,$W49)&amp;"")</f>
        <v/>
      </c>
      <c r="B49" s="56" t="str">
        <f aca="false">IF($W49="","",INDEX(发票统计!B$4:B$1003,$W49)&amp;"")</f>
        <v/>
      </c>
      <c r="C49" s="56" t="str">
        <f aca="false">IF($W49="","",INDEX(发票统计!C$4:C$1003,$W49)&amp;"")</f>
        <v/>
      </c>
      <c r="D49" s="56" t="str">
        <f aca="false">IF($W49="","",INDEX(发票统计!D$4:D$1003,$W49)&amp;"")</f>
        <v/>
      </c>
      <c r="E49" s="56" t="str">
        <f aca="false">IF($W49="","",INDEX(发票统计!E$4:E$1003,$W49)&amp;"")</f>
        <v/>
      </c>
      <c r="F49" s="73" t="str">
        <f aca="false">IF($W49="","",INDEX(发票统计!F$4:F$1003,$W49)&amp;"")</f>
        <v/>
      </c>
      <c r="G49" s="68" t="str">
        <f aca="false">IF($W49="","",IF(INDEX(发票统计!G$4:G$1003,$W49)="","",INDEX(发票统计!G$4:G$1003,$W49)))</f>
        <v/>
      </c>
      <c r="H49" s="56" t="str">
        <f aca="false">IF($W49="","",N(INDEX(发票统计!H$4:H$1003,$W49)))</f>
        <v/>
      </c>
      <c r="I49" s="56" t="str">
        <f aca="false">IF($W49="","",N(INDEX(发票统计!I$4:I$1003,$W49)))</f>
        <v/>
      </c>
      <c r="J49" s="56" t="str">
        <f aca="false">IF($W49="","",N(INDEX(发票统计!J$4:J$1003,$W49)))</f>
        <v/>
      </c>
      <c r="K49" s="56" t="str">
        <f aca="false">IF($W49="","",N(INDEX(发票统计!K$4:K$1003,$W49)))</f>
        <v/>
      </c>
      <c r="L49" s="56" t="str">
        <f aca="false">IF($W49="","",SUM(J$4:J49)-SUM(K$4:K49))</f>
        <v/>
      </c>
      <c r="M49" s="56" t="str">
        <f aca="false">IF($W49="","",N(INDEX(发票统计!M$4:M$1003,$W49)))</f>
        <v/>
      </c>
      <c r="N49" s="56" t="str">
        <f aca="false">IF($W49="","",N(INDEX(发票统计!N$4:N$1003,$W49)))</f>
        <v/>
      </c>
      <c r="O49" s="56" t="str">
        <f aca="false">IF($W49="","",N(INDEX(发票统计!O$4:O$1003,$W49)))</f>
        <v/>
      </c>
      <c r="P49" s="56" t="str">
        <f aca="false">IF($W49="","",SUM(M$4:M49)-SUM(N$4:N49)-SUM(O$4:O49))</f>
        <v/>
      </c>
      <c r="Q49" s="56" t="str">
        <f aca="false">IF($W49="","",N(INDEX(发票统计!Q$4:Q$1003,$W49)))</f>
        <v/>
      </c>
      <c r="R49" s="56" t="str">
        <f aca="false">IF($W49="","",N(INDEX(发票统计!R$4:R$1003,$W49)))</f>
        <v/>
      </c>
      <c r="S49" s="56" t="str">
        <f aca="false">IF($W49="","",N(INDEX(发票统计!S$4:S$1003,$W49)))</f>
        <v/>
      </c>
      <c r="T49" s="56" t="str">
        <f aca="false">IF($W49="","",SUM(Q$4:Q49)-SUM(R$4:R49)-SUM(S$4:S49))</f>
        <v/>
      </c>
      <c r="U49" s="56" t="str">
        <f aca="false">IF($W49="","",INDEX(发票统计!U$4:U$1003,$W49)&amp;"")</f>
        <v/>
      </c>
      <c r="W49" s="1" t="str">
        <f aca="false">IF($V$3="","",IFERROR(MATCH($V$3&amp;"#"&amp;ROWS(W$4:W49),发票统计!$W$4:$W$1003,0),""))</f>
        <v/>
      </c>
    </row>
    <row r="50" customFormat="false" ht="16.5" hidden="false" customHeight="false" outlineLevel="0" collapsed="false">
      <c r="A50" s="56" t="str">
        <f aca="false">IF($W50="","",INDEX(发票统计!A$4:A$1003,$W50)&amp;"")</f>
        <v/>
      </c>
      <c r="B50" s="56" t="str">
        <f aca="false">IF($W50="","",INDEX(发票统计!B$4:B$1003,$W50)&amp;"")</f>
        <v/>
      </c>
      <c r="C50" s="56" t="str">
        <f aca="false">IF($W50="","",INDEX(发票统计!C$4:C$1003,$W50)&amp;"")</f>
        <v/>
      </c>
      <c r="D50" s="56" t="str">
        <f aca="false">IF($W50="","",INDEX(发票统计!D$4:D$1003,$W50)&amp;"")</f>
        <v/>
      </c>
      <c r="E50" s="56" t="str">
        <f aca="false">IF($W50="","",INDEX(发票统计!E$4:E$1003,$W50)&amp;"")</f>
        <v/>
      </c>
      <c r="F50" s="73" t="str">
        <f aca="false">IF($W50="","",INDEX(发票统计!F$4:F$1003,$W50)&amp;"")</f>
        <v/>
      </c>
      <c r="G50" s="68" t="str">
        <f aca="false">IF($W50="","",IF(INDEX(发票统计!G$4:G$1003,$W50)="","",INDEX(发票统计!G$4:G$1003,$W50)))</f>
        <v/>
      </c>
      <c r="H50" s="56" t="str">
        <f aca="false">IF($W50="","",N(INDEX(发票统计!H$4:H$1003,$W50)))</f>
        <v/>
      </c>
      <c r="I50" s="56" t="str">
        <f aca="false">IF($W50="","",N(INDEX(发票统计!I$4:I$1003,$W50)))</f>
        <v/>
      </c>
      <c r="J50" s="56" t="str">
        <f aca="false">IF($W50="","",N(INDEX(发票统计!J$4:J$1003,$W50)))</f>
        <v/>
      </c>
      <c r="K50" s="56" t="str">
        <f aca="false">IF($W50="","",N(INDEX(发票统计!K$4:K$1003,$W50)))</f>
        <v/>
      </c>
      <c r="L50" s="56" t="str">
        <f aca="false">IF($W50="","",SUM(J$4:J50)-SUM(K$4:K50))</f>
        <v/>
      </c>
      <c r="M50" s="56" t="str">
        <f aca="false">IF($W50="","",N(INDEX(发票统计!M$4:M$1003,$W50)))</f>
        <v/>
      </c>
      <c r="N50" s="56" t="str">
        <f aca="false">IF($W50="","",N(INDEX(发票统计!N$4:N$1003,$W50)))</f>
        <v/>
      </c>
      <c r="O50" s="56" t="str">
        <f aca="false">IF($W50="","",N(INDEX(发票统计!O$4:O$1003,$W50)))</f>
        <v/>
      </c>
      <c r="P50" s="56" t="str">
        <f aca="false">IF($W50="","",SUM(M$4:M50)-SUM(N$4:N50)-SUM(O$4:O50))</f>
        <v/>
      </c>
      <c r="Q50" s="56" t="str">
        <f aca="false">IF($W50="","",N(INDEX(发票统计!Q$4:Q$1003,$W50)))</f>
        <v/>
      </c>
      <c r="R50" s="56" t="str">
        <f aca="false">IF($W50="","",N(INDEX(发票统计!R$4:R$1003,$W50)))</f>
        <v/>
      </c>
      <c r="S50" s="56" t="str">
        <f aca="false">IF($W50="","",N(INDEX(发票统计!S$4:S$1003,$W50)))</f>
        <v/>
      </c>
      <c r="T50" s="56" t="str">
        <f aca="false">IF($W50="","",SUM(Q$4:Q50)-SUM(R$4:R50)-SUM(S$4:S50))</f>
        <v/>
      </c>
      <c r="U50" s="56" t="str">
        <f aca="false">IF($W50="","",INDEX(发票统计!U$4:U$1003,$W50)&amp;"")</f>
        <v/>
      </c>
      <c r="W50" s="1" t="str">
        <f aca="false">IF($V$3="","",IFERROR(MATCH($V$3&amp;"#"&amp;ROWS(W$4:W50),发票统计!$W$4:$W$1003,0),""))</f>
        <v/>
      </c>
    </row>
    <row r="51" customFormat="false" ht="16.5" hidden="false" customHeight="false" outlineLevel="0" collapsed="false">
      <c r="A51" s="56" t="str">
        <f aca="false">IF($W51="","",INDEX(发票统计!A$4:A$1003,$W51)&amp;"")</f>
        <v/>
      </c>
      <c r="B51" s="56" t="str">
        <f aca="false">IF($W51="","",INDEX(发票统计!B$4:B$1003,$W51)&amp;"")</f>
        <v/>
      </c>
      <c r="C51" s="56" t="str">
        <f aca="false">IF($W51="","",INDEX(发票统计!C$4:C$1003,$W51)&amp;"")</f>
        <v/>
      </c>
      <c r="D51" s="56" t="str">
        <f aca="false">IF($W51="","",INDEX(发票统计!D$4:D$1003,$W51)&amp;"")</f>
        <v/>
      </c>
      <c r="E51" s="56" t="str">
        <f aca="false">IF($W51="","",INDEX(发票统计!E$4:E$1003,$W51)&amp;"")</f>
        <v/>
      </c>
      <c r="F51" s="73" t="str">
        <f aca="false">IF($W51="","",INDEX(发票统计!F$4:F$1003,$W51)&amp;"")</f>
        <v/>
      </c>
      <c r="G51" s="68" t="str">
        <f aca="false">IF($W51="","",IF(INDEX(发票统计!G$4:G$1003,$W51)="","",INDEX(发票统计!G$4:G$1003,$W51)))</f>
        <v/>
      </c>
      <c r="H51" s="56" t="str">
        <f aca="false">IF($W51="","",N(INDEX(发票统计!H$4:H$1003,$W51)))</f>
        <v/>
      </c>
      <c r="I51" s="56" t="str">
        <f aca="false">IF($W51="","",N(INDEX(发票统计!I$4:I$1003,$W51)))</f>
        <v/>
      </c>
      <c r="J51" s="56" t="str">
        <f aca="false">IF($W51="","",N(INDEX(发票统计!J$4:J$1003,$W51)))</f>
        <v/>
      </c>
      <c r="K51" s="56" t="str">
        <f aca="false">IF($W51="","",N(INDEX(发票统计!K$4:K$1003,$W51)))</f>
        <v/>
      </c>
      <c r="L51" s="56" t="str">
        <f aca="false">IF($W51="","",SUM(J$4:J51)-SUM(K$4:K51))</f>
        <v/>
      </c>
      <c r="M51" s="56" t="str">
        <f aca="false">IF($W51="","",N(INDEX(发票统计!M$4:M$1003,$W51)))</f>
        <v/>
      </c>
      <c r="N51" s="56" t="str">
        <f aca="false">IF($W51="","",N(INDEX(发票统计!N$4:N$1003,$W51)))</f>
        <v/>
      </c>
      <c r="O51" s="56" t="str">
        <f aca="false">IF($W51="","",N(INDEX(发票统计!O$4:O$1003,$W51)))</f>
        <v/>
      </c>
      <c r="P51" s="56" t="str">
        <f aca="false">IF($W51="","",SUM(M$4:M51)-SUM(N$4:N51)-SUM(O$4:O51))</f>
        <v/>
      </c>
      <c r="Q51" s="56" t="str">
        <f aca="false">IF($W51="","",N(INDEX(发票统计!Q$4:Q$1003,$W51)))</f>
        <v/>
      </c>
      <c r="R51" s="56" t="str">
        <f aca="false">IF($W51="","",N(INDEX(发票统计!R$4:R$1003,$W51)))</f>
        <v/>
      </c>
      <c r="S51" s="56" t="str">
        <f aca="false">IF($W51="","",N(INDEX(发票统计!S$4:S$1003,$W51)))</f>
        <v/>
      </c>
      <c r="T51" s="56" t="str">
        <f aca="false">IF($W51="","",SUM(Q$4:Q51)-SUM(R$4:R51)-SUM(S$4:S51))</f>
        <v/>
      </c>
      <c r="U51" s="56" t="str">
        <f aca="false">IF($W51="","",INDEX(发票统计!U$4:U$1003,$W51)&amp;"")</f>
        <v/>
      </c>
      <c r="W51" s="1" t="str">
        <f aca="false">IF($V$3="","",IFERROR(MATCH($V$3&amp;"#"&amp;ROWS(W$4:W51),发票统计!$W$4:$W$1003,0),""))</f>
        <v/>
      </c>
    </row>
    <row r="52" customFormat="false" ht="16.5" hidden="false" customHeight="false" outlineLevel="0" collapsed="false">
      <c r="A52" s="56" t="str">
        <f aca="false">IF($W52="","",INDEX(发票统计!A$4:A$1003,$W52)&amp;"")</f>
        <v/>
      </c>
      <c r="B52" s="56" t="str">
        <f aca="false">IF($W52="","",INDEX(发票统计!B$4:B$1003,$W52)&amp;"")</f>
        <v/>
      </c>
      <c r="C52" s="56" t="str">
        <f aca="false">IF($W52="","",INDEX(发票统计!C$4:C$1003,$W52)&amp;"")</f>
        <v/>
      </c>
      <c r="D52" s="56" t="str">
        <f aca="false">IF($W52="","",INDEX(发票统计!D$4:D$1003,$W52)&amp;"")</f>
        <v/>
      </c>
      <c r="E52" s="56" t="str">
        <f aca="false">IF($W52="","",INDEX(发票统计!E$4:E$1003,$W52)&amp;"")</f>
        <v/>
      </c>
      <c r="F52" s="73" t="str">
        <f aca="false">IF($W52="","",INDEX(发票统计!F$4:F$1003,$W52)&amp;"")</f>
        <v/>
      </c>
      <c r="G52" s="68" t="str">
        <f aca="false">IF($W52="","",IF(INDEX(发票统计!G$4:G$1003,$W52)="","",INDEX(发票统计!G$4:G$1003,$W52)))</f>
        <v/>
      </c>
      <c r="H52" s="56" t="str">
        <f aca="false">IF($W52="","",N(INDEX(发票统计!H$4:H$1003,$W52)))</f>
        <v/>
      </c>
      <c r="I52" s="56" t="str">
        <f aca="false">IF($W52="","",N(INDEX(发票统计!I$4:I$1003,$W52)))</f>
        <v/>
      </c>
      <c r="J52" s="56" t="str">
        <f aca="false">IF($W52="","",N(INDEX(发票统计!J$4:J$1003,$W52)))</f>
        <v/>
      </c>
      <c r="K52" s="56" t="str">
        <f aca="false">IF($W52="","",N(INDEX(发票统计!K$4:K$1003,$W52)))</f>
        <v/>
      </c>
      <c r="L52" s="56" t="str">
        <f aca="false">IF($W52="","",SUM(J$4:J52)-SUM(K$4:K52))</f>
        <v/>
      </c>
      <c r="M52" s="56" t="str">
        <f aca="false">IF($W52="","",N(INDEX(发票统计!M$4:M$1003,$W52)))</f>
        <v/>
      </c>
      <c r="N52" s="56" t="str">
        <f aca="false">IF($W52="","",N(INDEX(发票统计!N$4:N$1003,$W52)))</f>
        <v/>
      </c>
      <c r="O52" s="56" t="str">
        <f aca="false">IF($W52="","",N(INDEX(发票统计!O$4:O$1003,$W52)))</f>
        <v/>
      </c>
      <c r="P52" s="56" t="str">
        <f aca="false">IF($W52="","",SUM(M$4:M52)-SUM(N$4:N52)-SUM(O$4:O52))</f>
        <v/>
      </c>
      <c r="Q52" s="56" t="str">
        <f aca="false">IF($W52="","",N(INDEX(发票统计!Q$4:Q$1003,$W52)))</f>
        <v/>
      </c>
      <c r="R52" s="56" t="str">
        <f aca="false">IF($W52="","",N(INDEX(发票统计!R$4:R$1003,$W52)))</f>
        <v/>
      </c>
      <c r="S52" s="56" t="str">
        <f aca="false">IF($W52="","",N(INDEX(发票统计!S$4:S$1003,$W52)))</f>
        <v/>
      </c>
      <c r="T52" s="56" t="str">
        <f aca="false">IF($W52="","",SUM(Q$4:Q52)-SUM(R$4:R52)-SUM(S$4:S52))</f>
        <v/>
      </c>
      <c r="U52" s="56" t="str">
        <f aca="false">IF($W52="","",INDEX(发票统计!U$4:U$1003,$W52)&amp;"")</f>
        <v/>
      </c>
      <c r="W52" s="1" t="str">
        <f aca="false">IF($V$3="","",IFERROR(MATCH($V$3&amp;"#"&amp;ROWS(W$4:W52),发票统计!$W$4:$W$1003,0),""))</f>
        <v/>
      </c>
    </row>
    <row r="53" customFormat="false" ht="16.5" hidden="false" customHeight="false" outlineLevel="0" collapsed="false">
      <c r="A53" s="56" t="str">
        <f aca="false">IF($W53="","",INDEX(发票统计!A$4:A$1003,$W53)&amp;"")</f>
        <v/>
      </c>
      <c r="B53" s="56" t="str">
        <f aca="false">IF($W53="","",INDEX(发票统计!B$4:B$1003,$W53)&amp;"")</f>
        <v/>
      </c>
      <c r="C53" s="56" t="str">
        <f aca="false">IF($W53="","",INDEX(发票统计!C$4:C$1003,$W53)&amp;"")</f>
        <v/>
      </c>
      <c r="D53" s="56" t="str">
        <f aca="false">IF($W53="","",INDEX(发票统计!D$4:D$1003,$W53)&amp;"")</f>
        <v/>
      </c>
      <c r="E53" s="56" t="str">
        <f aca="false">IF($W53="","",INDEX(发票统计!E$4:E$1003,$W53)&amp;"")</f>
        <v/>
      </c>
      <c r="F53" s="73" t="str">
        <f aca="false">IF($W53="","",INDEX(发票统计!F$4:F$1003,$W53)&amp;"")</f>
        <v/>
      </c>
      <c r="G53" s="68" t="str">
        <f aca="false">IF($W53="","",IF(INDEX(发票统计!G$4:G$1003,$W53)="","",INDEX(发票统计!G$4:G$1003,$W53)))</f>
        <v/>
      </c>
      <c r="H53" s="56" t="str">
        <f aca="false">IF($W53="","",N(INDEX(发票统计!H$4:H$1003,$W53)))</f>
        <v/>
      </c>
      <c r="I53" s="56" t="str">
        <f aca="false">IF($W53="","",N(INDEX(发票统计!I$4:I$1003,$W53)))</f>
        <v/>
      </c>
      <c r="J53" s="56" t="str">
        <f aca="false">IF($W53="","",N(INDEX(发票统计!J$4:J$1003,$W53)))</f>
        <v/>
      </c>
      <c r="K53" s="56" t="str">
        <f aca="false">IF($W53="","",N(INDEX(发票统计!K$4:K$1003,$W53)))</f>
        <v/>
      </c>
      <c r="L53" s="56" t="str">
        <f aca="false">IF($W53="","",SUM(J$4:J53)-SUM(K$4:K53))</f>
        <v/>
      </c>
      <c r="M53" s="56" t="str">
        <f aca="false">IF($W53="","",N(INDEX(发票统计!M$4:M$1003,$W53)))</f>
        <v/>
      </c>
      <c r="N53" s="56" t="str">
        <f aca="false">IF($W53="","",N(INDEX(发票统计!N$4:N$1003,$W53)))</f>
        <v/>
      </c>
      <c r="O53" s="56" t="str">
        <f aca="false">IF($W53="","",N(INDEX(发票统计!O$4:O$1003,$W53)))</f>
        <v/>
      </c>
      <c r="P53" s="56" t="str">
        <f aca="false">IF($W53="","",SUM(M$4:M53)-SUM(N$4:N53)-SUM(O$4:O53))</f>
        <v/>
      </c>
      <c r="Q53" s="56" t="str">
        <f aca="false">IF($W53="","",N(INDEX(发票统计!Q$4:Q$1003,$W53)))</f>
        <v/>
      </c>
      <c r="R53" s="56" t="str">
        <f aca="false">IF($W53="","",N(INDEX(发票统计!R$4:R$1003,$W53)))</f>
        <v/>
      </c>
      <c r="S53" s="56" t="str">
        <f aca="false">IF($W53="","",N(INDEX(发票统计!S$4:S$1003,$W53)))</f>
        <v/>
      </c>
      <c r="T53" s="56" t="str">
        <f aca="false">IF($W53="","",SUM(Q$4:Q53)-SUM(R$4:R53)-SUM(S$4:S53))</f>
        <v/>
      </c>
      <c r="U53" s="56" t="str">
        <f aca="false">IF($W53="","",INDEX(发票统计!U$4:U$1003,$W53)&amp;"")</f>
        <v/>
      </c>
      <c r="W53" s="1" t="str">
        <f aca="false">IF($V$3="","",IFERROR(MATCH($V$3&amp;"#"&amp;ROWS(W$4:W53),发票统计!$W$4:$W$1003,0),""))</f>
        <v/>
      </c>
    </row>
    <row r="54" customFormat="false" ht="16.5" hidden="false" customHeight="false" outlineLevel="0" collapsed="false">
      <c r="A54" s="56" t="str">
        <f aca="false">IF($W54="","",INDEX(发票统计!A$4:A$1003,$W54)&amp;"")</f>
        <v/>
      </c>
      <c r="B54" s="56" t="str">
        <f aca="false">IF($W54="","",INDEX(发票统计!B$4:B$1003,$W54)&amp;"")</f>
        <v/>
      </c>
      <c r="C54" s="56" t="str">
        <f aca="false">IF($W54="","",INDEX(发票统计!C$4:C$1003,$W54)&amp;"")</f>
        <v/>
      </c>
      <c r="D54" s="56" t="str">
        <f aca="false">IF($W54="","",INDEX(发票统计!D$4:D$1003,$W54)&amp;"")</f>
        <v/>
      </c>
      <c r="E54" s="56" t="str">
        <f aca="false">IF($W54="","",INDEX(发票统计!E$4:E$1003,$W54)&amp;"")</f>
        <v/>
      </c>
      <c r="F54" s="73" t="str">
        <f aca="false">IF($W54="","",INDEX(发票统计!F$4:F$1003,$W54)&amp;"")</f>
        <v/>
      </c>
      <c r="G54" s="68" t="str">
        <f aca="false">IF($W54="","",IF(INDEX(发票统计!G$4:G$1003,$W54)="","",INDEX(发票统计!G$4:G$1003,$W54)))</f>
        <v/>
      </c>
      <c r="H54" s="56" t="str">
        <f aca="false">IF($W54="","",N(INDEX(发票统计!H$4:H$1003,$W54)))</f>
        <v/>
      </c>
      <c r="I54" s="56" t="str">
        <f aca="false">IF($W54="","",N(INDEX(发票统计!I$4:I$1003,$W54)))</f>
        <v/>
      </c>
      <c r="J54" s="56" t="str">
        <f aca="false">IF($W54="","",N(INDEX(发票统计!J$4:J$1003,$W54)))</f>
        <v/>
      </c>
      <c r="K54" s="56" t="str">
        <f aca="false">IF($W54="","",N(INDEX(发票统计!K$4:K$1003,$W54)))</f>
        <v/>
      </c>
      <c r="L54" s="56" t="str">
        <f aca="false">IF($W54="","",SUM(J$4:J54)-SUM(K$4:K54))</f>
        <v/>
      </c>
      <c r="M54" s="56" t="str">
        <f aca="false">IF($W54="","",N(INDEX(发票统计!M$4:M$1003,$W54)))</f>
        <v/>
      </c>
      <c r="N54" s="56" t="str">
        <f aca="false">IF($W54="","",N(INDEX(发票统计!N$4:N$1003,$W54)))</f>
        <v/>
      </c>
      <c r="O54" s="56" t="str">
        <f aca="false">IF($W54="","",N(INDEX(发票统计!O$4:O$1003,$W54)))</f>
        <v/>
      </c>
      <c r="P54" s="56" t="str">
        <f aca="false">IF($W54="","",SUM(M$4:M54)-SUM(N$4:N54)-SUM(O$4:O54))</f>
        <v/>
      </c>
      <c r="Q54" s="56" t="str">
        <f aca="false">IF($W54="","",N(INDEX(发票统计!Q$4:Q$1003,$W54)))</f>
        <v/>
      </c>
      <c r="R54" s="56" t="str">
        <f aca="false">IF($W54="","",N(INDEX(发票统计!R$4:R$1003,$W54)))</f>
        <v/>
      </c>
      <c r="S54" s="56" t="str">
        <f aca="false">IF($W54="","",N(INDEX(发票统计!S$4:S$1003,$W54)))</f>
        <v/>
      </c>
      <c r="T54" s="56" t="str">
        <f aca="false">IF($W54="","",SUM(Q$4:Q54)-SUM(R$4:R54)-SUM(S$4:S54))</f>
        <v/>
      </c>
      <c r="U54" s="56" t="str">
        <f aca="false">IF($W54="","",INDEX(发票统计!U$4:U$1003,$W54)&amp;"")</f>
        <v/>
      </c>
      <c r="W54" s="1" t="str">
        <f aca="false">IF($V$3="","",IFERROR(MATCH($V$3&amp;"#"&amp;ROWS(W$4:W54),发票统计!$W$4:$W$1003,0),""))</f>
        <v/>
      </c>
    </row>
    <row r="55" customFormat="false" ht="16.5" hidden="false" customHeight="false" outlineLevel="0" collapsed="false">
      <c r="A55" s="56" t="str">
        <f aca="false">IF($W55="","",INDEX(发票统计!A$4:A$1003,$W55)&amp;"")</f>
        <v/>
      </c>
      <c r="B55" s="56" t="str">
        <f aca="false">IF($W55="","",INDEX(发票统计!B$4:B$1003,$W55)&amp;"")</f>
        <v/>
      </c>
      <c r="C55" s="56" t="str">
        <f aca="false">IF($W55="","",INDEX(发票统计!C$4:C$1003,$W55)&amp;"")</f>
        <v/>
      </c>
      <c r="D55" s="56" t="str">
        <f aca="false">IF($W55="","",INDEX(发票统计!D$4:D$1003,$W55)&amp;"")</f>
        <v/>
      </c>
      <c r="E55" s="56" t="str">
        <f aca="false">IF($W55="","",INDEX(发票统计!E$4:E$1003,$W55)&amp;"")</f>
        <v/>
      </c>
      <c r="F55" s="73" t="str">
        <f aca="false">IF($W55="","",INDEX(发票统计!F$4:F$1003,$W55)&amp;"")</f>
        <v/>
      </c>
      <c r="G55" s="68" t="str">
        <f aca="false">IF($W55="","",IF(INDEX(发票统计!G$4:G$1003,$W55)="","",INDEX(发票统计!G$4:G$1003,$W55)))</f>
        <v/>
      </c>
      <c r="H55" s="56" t="str">
        <f aca="false">IF($W55="","",N(INDEX(发票统计!H$4:H$1003,$W55)))</f>
        <v/>
      </c>
      <c r="I55" s="56" t="str">
        <f aca="false">IF($W55="","",N(INDEX(发票统计!I$4:I$1003,$W55)))</f>
        <v/>
      </c>
      <c r="J55" s="56" t="str">
        <f aca="false">IF($W55="","",N(INDEX(发票统计!J$4:J$1003,$W55)))</f>
        <v/>
      </c>
      <c r="K55" s="56" t="str">
        <f aca="false">IF($W55="","",N(INDEX(发票统计!K$4:K$1003,$W55)))</f>
        <v/>
      </c>
      <c r="L55" s="56" t="str">
        <f aca="false">IF($W55="","",SUM(J$4:J55)-SUM(K$4:K55))</f>
        <v/>
      </c>
      <c r="M55" s="56" t="str">
        <f aca="false">IF($W55="","",N(INDEX(发票统计!M$4:M$1003,$W55)))</f>
        <v/>
      </c>
      <c r="N55" s="56" t="str">
        <f aca="false">IF($W55="","",N(INDEX(发票统计!N$4:N$1003,$W55)))</f>
        <v/>
      </c>
      <c r="O55" s="56" t="str">
        <f aca="false">IF($W55="","",N(INDEX(发票统计!O$4:O$1003,$W55)))</f>
        <v/>
      </c>
      <c r="P55" s="56" t="str">
        <f aca="false">IF($W55="","",SUM(M$4:M55)-SUM(N$4:N55)-SUM(O$4:O55))</f>
        <v/>
      </c>
      <c r="Q55" s="56" t="str">
        <f aca="false">IF($W55="","",N(INDEX(发票统计!Q$4:Q$1003,$W55)))</f>
        <v/>
      </c>
      <c r="R55" s="56" t="str">
        <f aca="false">IF($W55="","",N(INDEX(发票统计!R$4:R$1003,$W55)))</f>
        <v/>
      </c>
      <c r="S55" s="56" t="str">
        <f aca="false">IF($W55="","",N(INDEX(发票统计!S$4:S$1003,$W55)))</f>
        <v/>
      </c>
      <c r="T55" s="56" t="str">
        <f aca="false">IF($W55="","",SUM(Q$4:Q55)-SUM(R$4:R55)-SUM(S$4:S55))</f>
        <v/>
      </c>
      <c r="U55" s="56" t="str">
        <f aca="false">IF($W55="","",INDEX(发票统计!U$4:U$1003,$W55)&amp;"")</f>
        <v/>
      </c>
      <c r="W55" s="1" t="str">
        <f aca="false">IF($V$3="","",IFERROR(MATCH($V$3&amp;"#"&amp;ROWS(W$4:W55),发票统计!$W$4:$W$1003,0),""))</f>
        <v/>
      </c>
    </row>
    <row r="56" customFormat="false" ht="16.5" hidden="false" customHeight="false" outlineLevel="0" collapsed="false">
      <c r="A56" s="56" t="str">
        <f aca="false">IF($W56="","",INDEX(发票统计!A$4:A$1003,$W56)&amp;"")</f>
        <v/>
      </c>
      <c r="B56" s="56" t="str">
        <f aca="false">IF($W56="","",INDEX(发票统计!B$4:B$1003,$W56)&amp;"")</f>
        <v/>
      </c>
      <c r="C56" s="56" t="str">
        <f aca="false">IF($W56="","",INDEX(发票统计!C$4:C$1003,$W56)&amp;"")</f>
        <v/>
      </c>
      <c r="D56" s="56" t="str">
        <f aca="false">IF($W56="","",INDEX(发票统计!D$4:D$1003,$W56)&amp;"")</f>
        <v/>
      </c>
      <c r="E56" s="56" t="str">
        <f aca="false">IF($W56="","",INDEX(发票统计!E$4:E$1003,$W56)&amp;"")</f>
        <v/>
      </c>
      <c r="F56" s="73" t="str">
        <f aca="false">IF($W56="","",INDEX(发票统计!F$4:F$1003,$W56)&amp;"")</f>
        <v/>
      </c>
      <c r="G56" s="68" t="str">
        <f aca="false">IF($W56="","",IF(INDEX(发票统计!G$4:G$1003,$W56)="","",INDEX(发票统计!G$4:G$1003,$W56)))</f>
        <v/>
      </c>
      <c r="H56" s="56" t="str">
        <f aca="false">IF($W56="","",N(INDEX(发票统计!H$4:H$1003,$W56)))</f>
        <v/>
      </c>
      <c r="I56" s="56" t="str">
        <f aca="false">IF($W56="","",N(INDEX(发票统计!I$4:I$1003,$W56)))</f>
        <v/>
      </c>
      <c r="J56" s="56" t="str">
        <f aca="false">IF($W56="","",N(INDEX(发票统计!J$4:J$1003,$W56)))</f>
        <v/>
      </c>
      <c r="K56" s="56" t="str">
        <f aca="false">IF($W56="","",N(INDEX(发票统计!K$4:K$1003,$W56)))</f>
        <v/>
      </c>
      <c r="L56" s="56" t="str">
        <f aca="false">IF($W56="","",SUM(J$4:J56)-SUM(K$4:K56))</f>
        <v/>
      </c>
      <c r="M56" s="56" t="str">
        <f aca="false">IF($W56="","",N(INDEX(发票统计!M$4:M$1003,$W56)))</f>
        <v/>
      </c>
      <c r="N56" s="56" t="str">
        <f aca="false">IF($W56="","",N(INDEX(发票统计!N$4:N$1003,$W56)))</f>
        <v/>
      </c>
      <c r="O56" s="56" t="str">
        <f aca="false">IF($W56="","",N(INDEX(发票统计!O$4:O$1003,$W56)))</f>
        <v/>
      </c>
      <c r="P56" s="56" t="str">
        <f aca="false">IF($W56="","",SUM(M$4:M56)-SUM(N$4:N56)-SUM(O$4:O56))</f>
        <v/>
      </c>
      <c r="Q56" s="56" t="str">
        <f aca="false">IF($W56="","",N(INDEX(发票统计!Q$4:Q$1003,$W56)))</f>
        <v/>
      </c>
      <c r="R56" s="56" t="str">
        <f aca="false">IF($W56="","",N(INDEX(发票统计!R$4:R$1003,$W56)))</f>
        <v/>
      </c>
      <c r="S56" s="56" t="str">
        <f aca="false">IF($W56="","",N(INDEX(发票统计!S$4:S$1003,$W56)))</f>
        <v/>
      </c>
      <c r="T56" s="56" t="str">
        <f aca="false">IF($W56="","",SUM(Q$4:Q56)-SUM(R$4:R56)-SUM(S$4:S56))</f>
        <v/>
      </c>
      <c r="U56" s="56" t="str">
        <f aca="false">IF($W56="","",INDEX(发票统计!U$4:U$1003,$W56)&amp;"")</f>
        <v/>
      </c>
      <c r="W56" s="1" t="str">
        <f aca="false">IF($V$3="","",IFERROR(MATCH($V$3&amp;"#"&amp;ROWS(W$4:W56),发票统计!$W$4:$W$1003,0),""))</f>
        <v/>
      </c>
    </row>
    <row r="57" customFormat="false" ht="16.5" hidden="false" customHeight="false" outlineLevel="0" collapsed="false">
      <c r="A57" s="56" t="str">
        <f aca="false">IF($W57="","",INDEX(发票统计!A$4:A$1003,$W57)&amp;"")</f>
        <v/>
      </c>
      <c r="B57" s="56" t="str">
        <f aca="false">IF($W57="","",INDEX(发票统计!B$4:B$1003,$W57)&amp;"")</f>
        <v/>
      </c>
      <c r="C57" s="56" t="str">
        <f aca="false">IF($W57="","",INDEX(发票统计!C$4:C$1003,$W57)&amp;"")</f>
        <v/>
      </c>
      <c r="D57" s="56" t="str">
        <f aca="false">IF($W57="","",INDEX(发票统计!D$4:D$1003,$W57)&amp;"")</f>
        <v/>
      </c>
      <c r="E57" s="56" t="str">
        <f aca="false">IF($W57="","",INDEX(发票统计!E$4:E$1003,$W57)&amp;"")</f>
        <v/>
      </c>
      <c r="F57" s="73" t="str">
        <f aca="false">IF($W57="","",INDEX(发票统计!F$4:F$1003,$W57)&amp;"")</f>
        <v/>
      </c>
      <c r="G57" s="68" t="str">
        <f aca="false">IF($W57="","",IF(INDEX(发票统计!G$4:G$1003,$W57)="","",INDEX(发票统计!G$4:G$1003,$W57)))</f>
        <v/>
      </c>
      <c r="H57" s="56" t="str">
        <f aca="false">IF($W57="","",N(INDEX(发票统计!H$4:H$1003,$W57)))</f>
        <v/>
      </c>
      <c r="I57" s="56" t="str">
        <f aca="false">IF($W57="","",N(INDEX(发票统计!I$4:I$1003,$W57)))</f>
        <v/>
      </c>
      <c r="J57" s="56" t="str">
        <f aca="false">IF($W57="","",N(INDEX(发票统计!J$4:J$1003,$W57)))</f>
        <v/>
      </c>
      <c r="K57" s="56" t="str">
        <f aca="false">IF($W57="","",N(INDEX(发票统计!K$4:K$1003,$W57)))</f>
        <v/>
      </c>
      <c r="L57" s="56" t="str">
        <f aca="false">IF($W57="","",SUM(J$4:J57)-SUM(K$4:K57))</f>
        <v/>
      </c>
      <c r="M57" s="56" t="str">
        <f aca="false">IF($W57="","",N(INDEX(发票统计!M$4:M$1003,$W57)))</f>
        <v/>
      </c>
      <c r="N57" s="56" t="str">
        <f aca="false">IF($W57="","",N(INDEX(发票统计!N$4:N$1003,$W57)))</f>
        <v/>
      </c>
      <c r="O57" s="56" t="str">
        <f aca="false">IF($W57="","",N(INDEX(发票统计!O$4:O$1003,$W57)))</f>
        <v/>
      </c>
      <c r="P57" s="56" t="str">
        <f aca="false">IF($W57="","",SUM(M$4:M57)-SUM(N$4:N57)-SUM(O$4:O57))</f>
        <v/>
      </c>
      <c r="Q57" s="56" t="str">
        <f aca="false">IF($W57="","",N(INDEX(发票统计!Q$4:Q$1003,$W57)))</f>
        <v/>
      </c>
      <c r="R57" s="56" t="str">
        <f aca="false">IF($W57="","",N(INDEX(发票统计!R$4:R$1003,$W57)))</f>
        <v/>
      </c>
      <c r="S57" s="56" t="str">
        <f aca="false">IF($W57="","",N(INDEX(发票统计!S$4:S$1003,$W57)))</f>
        <v/>
      </c>
      <c r="T57" s="56" t="str">
        <f aca="false">IF($W57="","",SUM(Q$4:Q57)-SUM(R$4:R57)-SUM(S$4:S57))</f>
        <v/>
      </c>
      <c r="U57" s="56" t="str">
        <f aca="false">IF($W57="","",INDEX(发票统计!U$4:U$1003,$W57)&amp;"")</f>
        <v/>
      </c>
      <c r="W57" s="1" t="str">
        <f aca="false">IF($V$3="","",IFERROR(MATCH($V$3&amp;"#"&amp;ROWS(W$4:W57),发票统计!$W$4:$W$1003,0),""))</f>
        <v/>
      </c>
    </row>
    <row r="58" customFormat="false" ht="16.5" hidden="false" customHeight="false" outlineLevel="0" collapsed="false">
      <c r="A58" s="56" t="str">
        <f aca="false">IF($W58="","",INDEX(发票统计!A$4:A$1003,$W58)&amp;"")</f>
        <v/>
      </c>
      <c r="B58" s="56" t="str">
        <f aca="false">IF($W58="","",INDEX(发票统计!B$4:B$1003,$W58)&amp;"")</f>
        <v/>
      </c>
      <c r="C58" s="56" t="str">
        <f aca="false">IF($W58="","",INDEX(发票统计!C$4:C$1003,$W58)&amp;"")</f>
        <v/>
      </c>
      <c r="D58" s="56" t="str">
        <f aca="false">IF($W58="","",INDEX(发票统计!D$4:D$1003,$W58)&amp;"")</f>
        <v/>
      </c>
      <c r="E58" s="56" t="str">
        <f aca="false">IF($W58="","",INDEX(发票统计!E$4:E$1003,$W58)&amp;"")</f>
        <v/>
      </c>
      <c r="F58" s="73" t="str">
        <f aca="false">IF($W58="","",INDEX(发票统计!F$4:F$1003,$W58)&amp;"")</f>
        <v/>
      </c>
      <c r="G58" s="68" t="str">
        <f aca="false">IF($W58="","",IF(INDEX(发票统计!G$4:G$1003,$W58)="","",INDEX(发票统计!G$4:G$1003,$W58)))</f>
        <v/>
      </c>
      <c r="H58" s="56" t="str">
        <f aca="false">IF($W58="","",N(INDEX(发票统计!H$4:H$1003,$W58)))</f>
        <v/>
      </c>
      <c r="I58" s="56" t="str">
        <f aca="false">IF($W58="","",N(INDEX(发票统计!I$4:I$1003,$W58)))</f>
        <v/>
      </c>
      <c r="J58" s="56" t="str">
        <f aca="false">IF($W58="","",N(INDEX(发票统计!J$4:J$1003,$W58)))</f>
        <v/>
      </c>
      <c r="K58" s="56" t="str">
        <f aca="false">IF($W58="","",N(INDEX(发票统计!K$4:K$1003,$W58)))</f>
        <v/>
      </c>
      <c r="L58" s="56" t="str">
        <f aca="false">IF($W58="","",SUM(J$4:J58)-SUM(K$4:K58))</f>
        <v/>
      </c>
      <c r="M58" s="56" t="str">
        <f aca="false">IF($W58="","",N(INDEX(发票统计!M$4:M$1003,$W58)))</f>
        <v/>
      </c>
      <c r="N58" s="56" t="str">
        <f aca="false">IF($W58="","",N(INDEX(发票统计!N$4:N$1003,$W58)))</f>
        <v/>
      </c>
      <c r="O58" s="56" t="str">
        <f aca="false">IF($W58="","",N(INDEX(发票统计!O$4:O$1003,$W58)))</f>
        <v/>
      </c>
      <c r="P58" s="56" t="str">
        <f aca="false">IF($W58="","",SUM(M$4:M58)-SUM(N$4:N58)-SUM(O$4:O58))</f>
        <v/>
      </c>
      <c r="Q58" s="56" t="str">
        <f aca="false">IF($W58="","",N(INDEX(发票统计!Q$4:Q$1003,$W58)))</f>
        <v/>
      </c>
      <c r="R58" s="56" t="str">
        <f aca="false">IF($W58="","",N(INDEX(发票统计!R$4:R$1003,$W58)))</f>
        <v/>
      </c>
      <c r="S58" s="56" t="str">
        <f aca="false">IF($W58="","",N(INDEX(发票统计!S$4:S$1003,$W58)))</f>
        <v/>
      </c>
      <c r="T58" s="56" t="str">
        <f aca="false">IF($W58="","",SUM(Q$4:Q58)-SUM(R$4:R58)-SUM(S$4:S58))</f>
        <v/>
      </c>
      <c r="U58" s="56" t="str">
        <f aca="false">IF($W58="","",INDEX(发票统计!U$4:U$1003,$W58)&amp;"")</f>
        <v/>
      </c>
      <c r="W58" s="1" t="str">
        <f aca="false">IF($V$3="","",IFERROR(MATCH($V$3&amp;"#"&amp;ROWS(W$4:W58),发票统计!$W$4:$W$1003,0),""))</f>
        <v/>
      </c>
    </row>
    <row r="59" customFormat="false" ht="16.5" hidden="false" customHeight="false" outlineLevel="0" collapsed="false">
      <c r="A59" s="56" t="str">
        <f aca="false">IF($W59="","",INDEX(发票统计!A$4:A$1003,$W59)&amp;"")</f>
        <v/>
      </c>
      <c r="B59" s="56" t="str">
        <f aca="false">IF($W59="","",INDEX(发票统计!B$4:B$1003,$W59)&amp;"")</f>
        <v/>
      </c>
      <c r="C59" s="56" t="str">
        <f aca="false">IF($W59="","",INDEX(发票统计!C$4:C$1003,$W59)&amp;"")</f>
        <v/>
      </c>
      <c r="D59" s="56" t="str">
        <f aca="false">IF($W59="","",INDEX(发票统计!D$4:D$1003,$W59)&amp;"")</f>
        <v/>
      </c>
      <c r="E59" s="56" t="str">
        <f aca="false">IF($W59="","",INDEX(发票统计!E$4:E$1003,$W59)&amp;"")</f>
        <v/>
      </c>
      <c r="F59" s="73" t="str">
        <f aca="false">IF($W59="","",INDEX(发票统计!F$4:F$1003,$W59)&amp;"")</f>
        <v/>
      </c>
      <c r="G59" s="68" t="str">
        <f aca="false">IF($W59="","",IF(INDEX(发票统计!G$4:G$1003,$W59)="","",INDEX(发票统计!G$4:G$1003,$W59)))</f>
        <v/>
      </c>
      <c r="H59" s="56" t="str">
        <f aca="false">IF($W59="","",N(INDEX(发票统计!H$4:H$1003,$W59)))</f>
        <v/>
      </c>
      <c r="I59" s="56" t="str">
        <f aca="false">IF($W59="","",N(INDEX(发票统计!I$4:I$1003,$W59)))</f>
        <v/>
      </c>
      <c r="J59" s="56" t="str">
        <f aca="false">IF($W59="","",N(INDEX(发票统计!J$4:J$1003,$W59)))</f>
        <v/>
      </c>
      <c r="K59" s="56" t="str">
        <f aca="false">IF($W59="","",N(INDEX(发票统计!K$4:K$1003,$W59)))</f>
        <v/>
      </c>
      <c r="L59" s="56" t="str">
        <f aca="false">IF($W59="","",SUM(J$4:J59)-SUM(K$4:K59))</f>
        <v/>
      </c>
      <c r="M59" s="56" t="str">
        <f aca="false">IF($W59="","",N(INDEX(发票统计!M$4:M$1003,$W59)))</f>
        <v/>
      </c>
      <c r="N59" s="56" t="str">
        <f aca="false">IF($W59="","",N(INDEX(发票统计!N$4:N$1003,$W59)))</f>
        <v/>
      </c>
      <c r="O59" s="56" t="str">
        <f aca="false">IF($W59="","",N(INDEX(发票统计!O$4:O$1003,$W59)))</f>
        <v/>
      </c>
      <c r="P59" s="56" t="str">
        <f aca="false">IF($W59="","",SUM(M$4:M59)-SUM(N$4:N59)-SUM(O$4:O59))</f>
        <v/>
      </c>
      <c r="Q59" s="56" t="str">
        <f aca="false">IF($W59="","",N(INDEX(发票统计!Q$4:Q$1003,$W59)))</f>
        <v/>
      </c>
      <c r="R59" s="56" t="str">
        <f aca="false">IF($W59="","",N(INDEX(发票统计!R$4:R$1003,$W59)))</f>
        <v/>
      </c>
      <c r="S59" s="56" t="str">
        <f aca="false">IF($W59="","",N(INDEX(发票统计!S$4:S$1003,$W59)))</f>
        <v/>
      </c>
      <c r="T59" s="56" t="str">
        <f aca="false">IF($W59="","",SUM(Q$4:Q59)-SUM(R$4:R59)-SUM(S$4:S59))</f>
        <v/>
      </c>
      <c r="U59" s="56" t="str">
        <f aca="false">IF($W59="","",INDEX(发票统计!U$4:U$1003,$W59)&amp;"")</f>
        <v/>
      </c>
      <c r="W59" s="1" t="str">
        <f aca="false">IF($V$3="","",IFERROR(MATCH($V$3&amp;"#"&amp;ROWS(W$4:W59),发票统计!$W$4:$W$1003,0),""))</f>
        <v/>
      </c>
    </row>
    <row r="60" customFormat="false" ht="16.5" hidden="false" customHeight="false" outlineLevel="0" collapsed="false">
      <c r="A60" s="56" t="str">
        <f aca="false">IF($W60="","",INDEX(发票统计!A$4:A$1003,$W60)&amp;"")</f>
        <v/>
      </c>
      <c r="B60" s="56" t="str">
        <f aca="false">IF($W60="","",INDEX(发票统计!B$4:B$1003,$W60)&amp;"")</f>
        <v/>
      </c>
      <c r="C60" s="56" t="str">
        <f aca="false">IF($W60="","",INDEX(发票统计!C$4:C$1003,$W60)&amp;"")</f>
        <v/>
      </c>
      <c r="D60" s="56" t="str">
        <f aca="false">IF($W60="","",INDEX(发票统计!D$4:D$1003,$W60)&amp;"")</f>
        <v/>
      </c>
      <c r="E60" s="56" t="str">
        <f aca="false">IF($W60="","",INDEX(发票统计!E$4:E$1003,$W60)&amp;"")</f>
        <v/>
      </c>
      <c r="F60" s="73" t="str">
        <f aca="false">IF($W60="","",INDEX(发票统计!F$4:F$1003,$W60)&amp;"")</f>
        <v/>
      </c>
      <c r="G60" s="68" t="str">
        <f aca="false">IF($W60="","",IF(INDEX(发票统计!G$4:G$1003,$W60)="","",INDEX(发票统计!G$4:G$1003,$W60)))</f>
        <v/>
      </c>
      <c r="H60" s="56" t="str">
        <f aca="false">IF($W60="","",N(INDEX(发票统计!H$4:H$1003,$W60)))</f>
        <v/>
      </c>
      <c r="I60" s="56" t="str">
        <f aca="false">IF($W60="","",N(INDEX(发票统计!I$4:I$1003,$W60)))</f>
        <v/>
      </c>
      <c r="J60" s="56" t="str">
        <f aca="false">IF($W60="","",N(INDEX(发票统计!J$4:J$1003,$W60)))</f>
        <v/>
      </c>
      <c r="K60" s="56" t="str">
        <f aca="false">IF($W60="","",N(INDEX(发票统计!K$4:K$1003,$W60)))</f>
        <v/>
      </c>
      <c r="L60" s="56" t="str">
        <f aca="false">IF($W60="","",SUM(J$4:J60)-SUM(K$4:K60))</f>
        <v/>
      </c>
      <c r="M60" s="56" t="str">
        <f aca="false">IF($W60="","",N(INDEX(发票统计!M$4:M$1003,$W60)))</f>
        <v/>
      </c>
      <c r="N60" s="56" t="str">
        <f aca="false">IF($W60="","",N(INDEX(发票统计!N$4:N$1003,$W60)))</f>
        <v/>
      </c>
      <c r="O60" s="56" t="str">
        <f aca="false">IF($W60="","",N(INDEX(发票统计!O$4:O$1003,$W60)))</f>
        <v/>
      </c>
      <c r="P60" s="56" t="str">
        <f aca="false">IF($W60="","",SUM(M$4:M60)-SUM(N$4:N60)-SUM(O$4:O60))</f>
        <v/>
      </c>
      <c r="Q60" s="56" t="str">
        <f aca="false">IF($W60="","",N(INDEX(发票统计!Q$4:Q$1003,$W60)))</f>
        <v/>
      </c>
      <c r="R60" s="56" t="str">
        <f aca="false">IF($W60="","",N(INDEX(发票统计!R$4:R$1003,$W60)))</f>
        <v/>
      </c>
      <c r="S60" s="56" t="str">
        <f aca="false">IF($W60="","",N(INDEX(发票统计!S$4:S$1003,$W60)))</f>
        <v/>
      </c>
      <c r="T60" s="56" t="str">
        <f aca="false">IF($W60="","",SUM(Q$4:Q60)-SUM(R$4:R60)-SUM(S$4:S60))</f>
        <v/>
      </c>
      <c r="U60" s="56" t="str">
        <f aca="false">IF($W60="","",INDEX(发票统计!U$4:U$1003,$W60)&amp;"")</f>
        <v/>
      </c>
      <c r="W60" s="1" t="str">
        <f aca="false">IF($V$3="","",IFERROR(MATCH($V$3&amp;"#"&amp;ROWS(W$4:W60),发票统计!$W$4:$W$1003,0),""))</f>
        <v/>
      </c>
    </row>
    <row r="61" customFormat="false" ht="16.5" hidden="false" customHeight="false" outlineLevel="0" collapsed="false">
      <c r="A61" s="56" t="str">
        <f aca="false">IF($W61="","",INDEX(发票统计!A$4:A$1003,$W61)&amp;"")</f>
        <v/>
      </c>
      <c r="B61" s="56" t="str">
        <f aca="false">IF($W61="","",INDEX(发票统计!B$4:B$1003,$W61)&amp;"")</f>
        <v/>
      </c>
      <c r="C61" s="56" t="str">
        <f aca="false">IF($W61="","",INDEX(发票统计!C$4:C$1003,$W61)&amp;"")</f>
        <v/>
      </c>
      <c r="D61" s="56" t="str">
        <f aca="false">IF($W61="","",INDEX(发票统计!D$4:D$1003,$W61)&amp;"")</f>
        <v/>
      </c>
      <c r="E61" s="56" t="str">
        <f aca="false">IF($W61="","",INDEX(发票统计!E$4:E$1003,$W61)&amp;"")</f>
        <v/>
      </c>
      <c r="F61" s="73" t="str">
        <f aca="false">IF($W61="","",INDEX(发票统计!F$4:F$1003,$W61)&amp;"")</f>
        <v/>
      </c>
      <c r="G61" s="68" t="str">
        <f aca="false">IF($W61="","",IF(INDEX(发票统计!G$4:G$1003,$W61)="","",INDEX(发票统计!G$4:G$1003,$W61)))</f>
        <v/>
      </c>
      <c r="H61" s="56" t="str">
        <f aca="false">IF($W61="","",N(INDEX(发票统计!H$4:H$1003,$W61)))</f>
        <v/>
      </c>
      <c r="I61" s="56" t="str">
        <f aca="false">IF($W61="","",N(INDEX(发票统计!I$4:I$1003,$W61)))</f>
        <v/>
      </c>
      <c r="J61" s="56" t="str">
        <f aca="false">IF($W61="","",N(INDEX(发票统计!J$4:J$1003,$W61)))</f>
        <v/>
      </c>
      <c r="K61" s="56" t="str">
        <f aca="false">IF($W61="","",N(INDEX(发票统计!K$4:K$1003,$W61)))</f>
        <v/>
      </c>
      <c r="L61" s="56" t="str">
        <f aca="false">IF($W61="","",SUM(J$4:J61)-SUM(K$4:K61))</f>
        <v/>
      </c>
      <c r="M61" s="56" t="str">
        <f aca="false">IF($W61="","",N(INDEX(发票统计!M$4:M$1003,$W61)))</f>
        <v/>
      </c>
      <c r="N61" s="56" t="str">
        <f aca="false">IF($W61="","",N(INDEX(发票统计!N$4:N$1003,$W61)))</f>
        <v/>
      </c>
      <c r="O61" s="56" t="str">
        <f aca="false">IF($W61="","",N(INDEX(发票统计!O$4:O$1003,$W61)))</f>
        <v/>
      </c>
      <c r="P61" s="56" t="str">
        <f aca="false">IF($W61="","",SUM(M$4:M61)-SUM(N$4:N61)-SUM(O$4:O61))</f>
        <v/>
      </c>
      <c r="Q61" s="56" t="str">
        <f aca="false">IF($W61="","",N(INDEX(发票统计!Q$4:Q$1003,$W61)))</f>
        <v/>
      </c>
      <c r="R61" s="56" t="str">
        <f aca="false">IF($W61="","",N(INDEX(发票统计!R$4:R$1003,$W61)))</f>
        <v/>
      </c>
      <c r="S61" s="56" t="str">
        <f aca="false">IF($W61="","",N(INDEX(发票统计!S$4:S$1003,$W61)))</f>
        <v/>
      </c>
      <c r="T61" s="56" t="str">
        <f aca="false">IF($W61="","",SUM(Q$4:Q61)-SUM(R$4:R61)-SUM(S$4:S61))</f>
        <v/>
      </c>
      <c r="U61" s="56" t="str">
        <f aca="false">IF($W61="","",INDEX(发票统计!U$4:U$1003,$W61)&amp;"")</f>
        <v/>
      </c>
      <c r="W61" s="1" t="str">
        <f aca="false">IF($V$3="","",IFERROR(MATCH($V$3&amp;"#"&amp;ROWS(W$4:W61),发票统计!$W$4:$W$1003,0),""))</f>
        <v/>
      </c>
    </row>
    <row r="62" customFormat="false" ht="16.5" hidden="false" customHeight="false" outlineLevel="0" collapsed="false">
      <c r="A62" s="56" t="str">
        <f aca="false">IF($W62="","",INDEX(发票统计!A$4:A$1003,$W62)&amp;"")</f>
        <v/>
      </c>
      <c r="B62" s="56" t="str">
        <f aca="false">IF($W62="","",INDEX(发票统计!B$4:B$1003,$W62)&amp;"")</f>
        <v/>
      </c>
      <c r="C62" s="56" t="str">
        <f aca="false">IF($W62="","",INDEX(发票统计!C$4:C$1003,$W62)&amp;"")</f>
        <v/>
      </c>
      <c r="D62" s="56" t="str">
        <f aca="false">IF($W62="","",INDEX(发票统计!D$4:D$1003,$W62)&amp;"")</f>
        <v/>
      </c>
      <c r="E62" s="56" t="str">
        <f aca="false">IF($W62="","",INDEX(发票统计!E$4:E$1003,$W62)&amp;"")</f>
        <v/>
      </c>
      <c r="F62" s="73" t="str">
        <f aca="false">IF($W62="","",INDEX(发票统计!F$4:F$1003,$W62)&amp;"")</f>
        <v/>
      </c>
      <c r="G62" s="68" t="str">
        <f aca="false">IF($W62="","",IF(INDEX(发票统计!G$4:G$1003,$W62)="","",INDEX(发票统计!G$4:G$1003,$W62)))</f>
        <v/>
      </c>
      <c r="H62" s="56" t="str">
        <f aca="false">IF($W62="","",N(INDEX(发票统计!H$4:H$1003,$W62)))</f>
        <v/>
      </c>
      <c r="I62" s="56" t="str">
        <f aca="false">IF($W62="","",N(INDEX(发票统计!I$4:I$1003,$W62)))</f>
        <v/>
      </c>
      <c r="J62" s="56" t="str">
        <f aca="false">IF($W62="","",N(INDEX(发票统计!J$4:J$1003,$W62)))</f>
        <v/>
      </c>
      <c r="K62" s="56" t="str">
        <f aca="false">IF($W62="","",N(INDEX(发票统计!K$4:K$1003,$W62)))</f>
        <v/>
      </c>
      <c r="L62" s="56" t="str">
        <f aca="false">IF($W62="","",SUM(J$4:J62)-SUM(K$4:K62))</f>
        <v/>
      </c>
      <c r="M62" s="56" t="str">
        <f aca="false">IF($W62="","",N(INDEX(发票统计!M$4:M$1003,$W62)))</f>
        <v/>
      </c>
      <c r="N62" s="56" t="str">
        <f aca="false">IF($W62="","",N(INDEX(发票统计!N$4:N$1003,$W62)))</f>
        <v/>
      </c>
      <c r="O62" s="56" t="str">
        <f aca="false">IF($W62="","",N(INDEX(发票统计!O$4:O$1003,$W62)))</f>
        <v/>
      </c>
      <c r="P62" s="56" t="str">
        <f aca="false">IF($W62="","",SUM(M$4:M62)-SUM(N$4:N62)-SUM(O$4:O62))</f>
        <v/>
      </c>
      <c r="Q62" s="56" t="str">
        <f aca="false">IF($W62="","",N(INDEX(发票统计!Q$4:Q$1003,$W62)))</f>
        <v/>
      </c>
      <c r="R62" s="56" t="str">
        <f aca="false">IF($W62="","",N(INDEX(发票统计!R$4:R$1003,$W62)))</f>
        <v/>
      </c>
      <c r="S62" s="56" t="str">
        <f aca="false">IF($W62="","",N(INDEX(发票统计!S$4:S$1003,$W62)))</f>
        <v/>
      </c>
      <c r="T62" s="56" t="str">
        <f aca="false">IF($W62="","",SUM(Q$4:Q62)-SUM(R$4:R62)-SUM(S$4:S62))</f>
        <v/>
      </c>
      <c r="U62" s="56" t="str">
        <f aca="false">IF($W62="","",INDEX(发票统计!U$4:U$1003,$W62)&amp;"")</f>
        <v/>
      </c>
      <c r="W62" s="1" t="str">
        <f aca="false">IF($V$3="","",IFERROR(MATCH($V$3&amp;"#"&amp;ROWS(W$4:W62),发票统计!$W$4:$W$1003,0),""))</f>
        <v/>
      </c>
    </row>
    <row r="63" customFormat="false" ht="16.5" hidden="false" customHeight="false" outlineLevel="0" collapsed="false">
      <c r="A63" s="56" t="str">
        <f aca="false">IF($W63="","",INDEX(发票统计!A$4:A$1003,$W63)&amp;"")</f>
        <v/>
      </c>
      <c r="B63" s="56" t="str">
        <f aca="false">IF($W63="","",INDEX(发票统计!B$4:B$1003,$W63)&amp;"")</f>
        <v/>
      </c>
      <c r="C63" s="56" t="str">
        <f aca="false">IF($W63="","",INDEX(发票统计!C$4:C$1003,$W63)&amp;"")</f>
        <v/>
      </c>
      <c r="D63" s="56" t="str">
        <f aca="false">IF($W63="","",INDEX(发票统计!D$4:D$1003,$W63)&amp;"")</f>
        <v/>
      </c>
      <c r="E63" s="56" t="str">
        <f aca="false">IF($W63="","",INDEX(发票统计!E$4:E$1003,$W63)&amp;"")</f>
        <v/>
      </c>
      <c r="F63" s="73" t="str">
        <f aca="false">IF($W63="","",INDEX(发票统计!F$4:F$1003,$W63)&amp;"")</f>
        <v/>
      </c>
      <c r="G63" s="68" t="str">
        <f aca="false">IF($W63="","",IF(INDEX(发票统计!G$4:G$1003,$W63)="","",INDEX(发票统计!G$4:G$1003,$W63)))</f>
        <v/>
      </c>
      <c r="H63" s="56" t="str">
        <f aca="false">IF($W63="","",N(INDEX(发票统计!H$4:H$1003,$W63)))</f>
        <v/>
      </c>
      <c r="I63" s="56" t="str">
        <f aca="false">IF($W63="","",N(INDEX(发票统计!I$4:I$1003,$W63)))</f>
        <v/>
      </c>
      <c r="J63" s="56" t="str">
        <f aca="false">IF($W63="","",N(INDEX(发票统计!J$4:J$1003,$W63)))</f>
        <v/>
      </c>
      <c r="K63" s="56" t="str">
        <f aca="false">IF($W63="","",N(INDEX(发票统计!K$4:K$1003,$W63)))</f>
        <v/>
      </c>
      <c r="L63" s="56" t="str">
        <f aca="false">IF($W63="","",SUM(J$4:J63)-SUM(K$4:K63))</f>
        <v/>
      </c>
      <c r="M63" s="56" t="str">
        <f aca="false">IF($W63="","",N(INDEX(发票统计!M$4:M$1003,$W63)))</f>
        <v/>
      </c>
      <c r="N63" s="56" t="str">
        <f aca="false">IF($W63="","",N(INDEX(发票统计!N$4:N$1003,$W63)))</f>
        <v/>
      </c>
      <c r="O63" s="56" t="str">
        <f aca="false">IF($W63="","",N(INDEX(发票统计!O$4:O$1003,$W63)))</f>
        <v/>
      </c>
      <c r="P63" s="56" t="str">
        <f aca="false">IF($W63="","",SUM(M$4:M63)-SUM(N$4:N63)-SUM(O$4:O63))</f>
        <v/>
      </c>
      <c r="Q63" s="56" t="str">
        <f aca="false">IF($W63="","",N(INDEX(发票统计!Q$4:Q$1003,$W63)))</f>
        <v/>
      </c>
      <c r="R63" s="56" t="str">
        <f aca="false">IF($W63="","",N(INDEX(发票统计!R$4:R$1003,$W63)))</f>
        <v/>
      </c>
      <c r="S63" s="56" t="str">
        <f aca="false">IF($W63="","",N(INDEX(发票统计!S$4:S$1003,$W63)))</f>
        <v/>
      </c>
      <c r="T63" s="56" t="str">
        <f aca="false">IF($W63="","",SUM(Q$4:Q63)-SUM(R$4:R63)-SUM(S$4:S63))</f>
        <v/>
      </c>
      <c r="U63" s="56" t="str">
        <f aca="false">IF($W63="","",INDEX(发票统计!U$4:U$1003,$W63)&amp;"")</f>
        <v/>
      </c>
      <c r="W63" s="1" t="str">
        <f aca="false">IF($V$3="","",IFERROR(MATCH($V$3&amp;"#"&amp;ROWS(W$4:W63),发票统计!$W$4:$W$1003,0),""))</f>
        <v/>
      </c>
    </row>
    <row r="64" customFormat="false" ht="16.5" hidden="false" customHeight="false" outlineLevel="0" collapsed="false">
      <c r="A64" s="56" t="str">
        <f aca="false">IF($W64="","",INDEX(发票统计!A$4:A$1003,$W64)&amp;"")</f>
        <v/>
      </c>
      <c r="B64" s="56" t="str">
        <f aca="false">IF($W64="","",INDEX(发票统计!B$4:B$1003,$W64)&amp;"")</f>
        <v/>
      </c>
      <c r="C64" s="56" t="str">
        <f aca="false">IF($W64="","",INDEX(发票统计!C$4:C$1003,$W64)&amp;"")</f>
        <v/>
      </c>
      <c r="D64" s="56" t="str">
        <f aca="false">IF($W64="","",INDEX(发票统计!D$4:D$1003,$W64)&amp;"")</f>
        <v/>
      </c>
      <c r="E64" s="56" t="str">
        <f aca="false">IF($W64="","",INDEX(发票统计!E$4:E$1003,$W64)&amp;"")</f>
        <v/>
      </c>
      <c r="F64" s="73" t="str">
        <f aca="false">IF($W64="","",INDEX(发票统计!F$4:F$1003,$W64)&amp;"")</f>
        <v/>
      </c>
      <c r="G64" s="68" t="str">
        <f aca="false">IF($W64="","",IF(INDEX(发票统计!G$4:G$1003,$W64)="","",INDEX(发票统计!G$4:G$1003,$W64)))</f>
        <v/>
      </c>
      <c r="H64" s="56" t="str">
        <f aca="false">IF($W64="","",N(INDEX(发票统计!H$4:H$1003,$W64)))</f>
        <v/>
      </c>
      <c r="I64" s="56" t="str">
        <f aca="false">IF($W64="","",N(INDEX(发票统计!I$4:I$1003,$W64)))</f>
        <v/>
      </c>
      <c r="J64" s="56" t="str">
        <f aca="false">IF($W64="","",N(INDEX(发票统计!J$4:J$1003,$W64)))</f>
        <v/>
      </c>
      <c r="K64" s="56" t="str">
        <f aca="false">IF($W64="","",N(INDEX(发票统计!K$4:K$1003,$W64)))</f>
        <v/>
      </c>
      <c r="L64" s="56" t="str">
        <f aca="false">IF($W64="","",SUM(J$4:J64)-SUM(K$4:K64))</f>
        <v/>
      </c>
      <c r="M64" s="56" t="str">
        <f aca="false">IF($W64="","",N(INDEX(发票统计!M$4:M$1003,$W64)))</f>
        <v/>
      </c>
      <c r="N64" s="56" t="str">
        <f aca="false">IF($W64="","",N(INDEX(发票统计!N$4:N$1003,$W64)))</f>
        <v/>
      </c>
      <c r="O64" s="56" t="str">
        <f aca="false">IF($W64="","",N(INDEX(发票统计!O$4:O$1003,$W64)))</f>
        <v/>
      </c>
      <c r="P64" s="56" t="str">
        <f aca="false">IF($W64="","",SUM(M$4:M64)-SUM(N$4:N64)-SUM(O$4:O64))</f>
        <v/>
      </c>
      <c r="Q64" s="56" t="str">
        <f aca="false">IF($W64="","",N(INDEX(发票统计!Q$4:Q$1003,$W64)))</f>
        <v/>
      </c>
      <c r="R64" s="56" t="str">
        <f aca="false">IF($W64="","",N(INDEX(发票统计!R$4:R$1003,$W64)))</f>
        <v/>
      </c>
      <c r="S64" s="56" t="str">
        <f aca="false">IF($W64="","",N(INDEX(发票统计!S$4:S$1003,$W64)))</f>
        <v/>
      </c>
      <c r="T64" s="56" t="str">
        <f aca="false">IF($W64="","",SUM(Q$4:Q64)-SUM(R$4:R64)-SUM(S$4:S64))</f>
        <v/>
      </c>
      <c r="U64" s="56" t="str">
        <f aca="false">IF($W64="","",INDEX(发票统计!U$4:U$1003,$W64)&amp;"")</f>
        <v/>
      </c>
      <c r="W64" s="1" t="str">
        <f aca="false">IF($V$3="","",IFERROR(MATCH($V$3&amp;"#"&amp;ROWS(W$4:W64),发票统计!$W$4:$W$1003,0),""))</f>
        <v/>
      </c>
    </row>
    <row r="65" customFormat="false" ht="16.5" hidden="false" customHeight="false" outlineLevel="0" collapsed="false">
      <c r="A65" s="56" t="str">
        <f aca="false">IF($W65="","",INDEX(发票统计!A$4:A$1003,$W65)&amp;"")</f>
        <v/>
      </c>
      <c r="B65" s="56" t="str">
        <f aca="false">IF($W65="","",INDEX(发票统计!B$4:B$1003,$W65)&amp;"")</f>
        <v/>
      </c>
      <c r="C65" s="56" t="str">
        <f aca="false">IF($W65="","",INDEX(发票统计!C$4:C$1003,$W65)&amp;"")</f>
        <v/>
      </c>
      <c r="D65" s="56" t="str">
        <f aca="false">IF($W65="","",INDEX(发票统计!D$4:D$1003,$W65)&amp;"")</f>
        <v/>
      </c>
      <c r="E65" s="56" t="str">
        <f aca="false">IF($W65="","",INDEX(发票统计!E$4:E$1003,$W65)&amp;"")</f>
        <v/>
      </c>
      <c r="F65" s="73" t="str">
        <f aca="false">IF($W65="","",INDEX(发票统计!F$4:F$1003,$W65)&amp;"")</f>
        <v/>
      </c>
      <c r="G65" s="68" t="str">
        <f aca="false">IF($W65="","",IF(INDEX(发票统计!G$4:G$1003,$W65)="","",INDEX(发票统计!G$4:G$1003,$W65)))</f>
        <v/>
      </c>
      <c r="H65" s="56" t="str">
        <f aca="false">IF($W65="","",N(INDEX(发票统计!H$4:H$1003,$W65)))</f>
        <v/>
      </c>
      <c r="I65" s="56" t="str">
        <f aca="false">IF($W65="","",N(INDEX(发票统计!I$4:I$1003,$W65)))</f>
        <v/>
      </c>
      <c r="J65" s="56" t="str">
        <f aca="false">IF($W65="","",N(INDEX(发票统计!J$4:J$1003,$W65)))</f>
        <v/>
      </c>
      <c r="K65" s="56" t="str">
        <f aca="false">IF($W65="","",N(INDEX(发票统计!K$4:K$1003,$W65)))</f>
        <v/>
      </c>
      <c r="L65" s="56" t="str">
        <f aca="false">IF($W65="","",SUM(J$4:J65)-SUM(K$4:K65))</f>
        <v/>
      </c>
      <c r="M65" s="56" t="str">
        <f aca="false">IF($W65="","",N(INDEX(发票统计!M$4:M$1003,$W65)))</f>
        <v/>
      </c>
      <c r="N65" s="56" t="str">
        <f aca="false">IF($W65="","",N(INDEX(发票统计!N$4:N$1003,$W65)))</f>
        <v/>
      </c>
      <c r="O65" s="56" t="str">
        <f aca="false">IF($W65="","",N(INDEX(发票统计!O$4:O$1003,$W65)))</f>
        <v/>
      </c>
      <c r="P65" s="56" t="str">
        <f aca="false">IF($W65="","",SUM(M$4:M65)-SUM(N$4:N65)-SUM(O$4:O65))</f>
        <v/>
      </c>
      <c r="Q65" s="56" t="str">
        <f aca="false">IF($W65="","",N(INDEX(发票统计!Q$4:Q$1003,$W65)))</f>
        <v/>
      </c>
      <c r="R65" s="56" t="str">
        <f aca="false">IF($W65="","",N(INDEX(发票统计!R$4:R$1003,$W65)))</f>
        <v/>
      </c>
      <c r="S65" s="56" t="str">
        <f aca="false">IF($W65="","",N(INDEX(发票统计!S$4:S$1003,$W65)))</f>
        <v/>
      </c>
      <c r="T65" s="56" t="str">
        <f aca="false">IF($W65="","",SUM(Q$4:Q65)-SUM(R$4:R65)-SUM(S$4:S65))</f>
        <v/>
      </c>
      <c r="U65" s="56" t="str">
        <f aca="false">IF($W65="","",INDEX(发票统计!U$4:U$1003,$W65)&amp;"")</f>
        <v/>
      </c>
      <c r="W65" s="1" t="str">
        <f aca="false">IF($V$3="","",IFERROR(MATCH($V$3&amp;"#"&amp;ROWS(W$4:W65),发票统计!$W$4:$W$1003,0),""))</f>
        <v/>
      </c>
    </row>
    <row r="66" customFormat="false" ht="16.5" hidden="false" customHeight="false" outlineLevel="0" collapsed="false">
      <c r="A66" s="56" t="str">
        <f aca="false">IF($W66="","",INDEX(发票统计!A$4:A$1003,$W66)&amp;"")</f>
        <v/>
      </c>
      <c r="B66" s="56" t="str">
        <f aca="false">IF($W66="","",INDEX(发票统计!B$4:B$1003,$W66)&amp;"")</f>
        <v/>
      </c>
      <c r="C66" s="56" t="str">
        <f aca="false">IF($W66="","",INDEX(发票统计!C$4:C$1003,$W66)&amp;"")</f>
        <v/>
      </c>
      <c r="D66" s="56" t="str">
        <f aca="false">IF($W66="","",INDEX(发票统计!D$4:D$1003,$W66)&amp;"")</f>
        <v/>
      </c>
      <c r="E66" s="56" t="str">
        <f aca="false">IF($W66="","",INDEX(发票统计!E$4:E$1003,$W66)&amp;"")</f>
        <v/>
      </c>
      <c r="F66" s="73" t="str">
        <f aca="false">IF($W66="","",INDEX(发票统计!F$4:F$1003,$W66)&amp;"")</f>
        <v/>
      </c>
      <c r="G66" s="68" t="str">
        <f aca="false">IF($W66="","",IF(INDEX(发票统计!G$4:G$1003,$W66)="","",INDEX(发票统计!G$4:G$1003,$W66)))</f>
        <v/>
      </c>
      <c r="H66" s="56" t="str">
        <f aca="false">IF($W66="","",N(INDEX(发票统计!H$4:H$1003,$W66)))</f>
        <v/>
      </c>
      <c r="I66" s="56" t="str">
        <f aca="false">IF($W66="","",N(INDEX(发票统计!I$4:I$1003,$W66)))</f>
        <v/>
      </c>
      <c r="J66" s="56" t="str">
        <f aca="false">IF($W66="","",N(INDEX(发票统计!J$4:J$1003,$W66)))</f>
        <v/>
      </c>
      <c r="K66" s="56" t="str">
        <f aca="false">IF($W66="","",N(INDEX(发票统计!K$4:K$1003,$W66)))</f>
        <v/>
      </c>
      <c r="L66" s="56" t="str">
        <f aca="false">IF($W66="","",SUM(J$4:J66)-SUM(K$4:K66))</f>
        <v/>
      </c>
      <c r="M66" s="56" t="str">
        <f aca="false">IF($W66="","",N(INDEX(发票统计!M$4:M$1003,$W66)))</f>
        <v/>
      </c>
      <c r="N66" s="56" t="str">
        <f aca="false">IF($W66="","",N(INDEX(发票统计!N$4:N$1003,$W66)))</f>
        <v/>
      </c>
      <c r="O66" s="56" t="str">
        <f aca="false">IF($W66="","",N(INDEX(发票统计!O$4:O$1003,$W66)))</f>
        <v/>
      </c>
      <c r="P66" s="56" t="str">
        <f aca="false">IF($W66="","",SUM(M$4:M66)-SUM(N$4:N66)-SUM(O$4:O66))</f>
        <v/>
      </c>
      <c r="Q66" s="56" t="str">
        <f aca="false">IF($W66="","",N(INDEX(发票统计!Q$4:Q$1003,$W66)))</f>
        <v/>
      </c>
      <c r="R66" s="56" t="str">
        <f aca="false">IF($W66="","",N(INDEX(发票统计!R$4:R$1003,$W66)))</f>
        <v/>
      </c>
      <c r="S66" s="56" t="str">
        <f aca="false">IF($W66="","",N(INDEX(发票统计!S$4:S$1003,$W66)))</f>
        <v/>
      </c>
      <c r="T66" s="56" t="str">
        <f aca="false">IF($W66="","",SUM(Q$4:Q66)-SUM(R$4:R66)-SUM(S$4:S66))</f>
        <v/>
      </c>
      <c r="U66" s="56" t="str">
        <f aca="false">IF($W66="","",INDEX(发票统计!U$4:U$1003,$W66)&amp;"")</f>
        <v/>
      </c>
      <c r="W66" s="1" t="str">
        <f aca="false">IF($V$3="","",IFERROR(MATCH($V$3&amp;"#"&amp;ROWS(W$4:W66),发票统计!$W$4:$W$1003,0),""))</f>
        <v/>
      </c>
    </row>
    <row r="67" customFormat="false" ht="16.5" hidden="false" customHeight="false" outlineLevel="0" collapsed="false">
      <c r="A67" s="56" t="str">
        <f aca="false">IF($W67="","",INDEX(发票统计!A$4:A$1003,$W67)&amp;"")</f>
        <v/>
      </c>
      <c r="B67" s="56" t="str">
        <f aca="false">IF($W67="","",INDEX(发票统计!B$4:B$1003,$W67)&amp;"")</f>
        <v/>
      </c>
      <c r="C67" s="56" t="str">
        <f aca="false">IF($W67="","",INDEX(发票统计!C$4:C$1003,$W67)&amp;"")</f>
        <v/>
      </c>
      <c r="D67" s="56" t="str">
        <f aca="false">IF($W67="","",INDEX(发票统计!D$4:D$1003,$W67)&amp;"")</f>
        <v/>
      </c>
      <c r="E67" s="56" t="str">
        <f aca="false">IF($W67="","",INDEX(发票统计!E$4:E$1003,$W67)&amp;"")</f>
        <v/>
      </c>
      <c r="F67" s="73" t="str">
        <f aca="false">IF($W67="","",INDEX(发票统计!F$4:F$1003,$W67)&amp;"")</f>
        <v/>
      </c>
      <c r="G67" s="68" t="str">
        <f aca="false">IF($W67="","",IF(INDEX(发票统计!G$4:G$1003,$W67)="","",INDEX(发票统计!G$4:G$1003,$W67)))</f>
        <v/>
      </c>
      <c r="H67" s="56" t="str">
        <f aca="false">IF($W67="","",N(INDEX(发票统计!H$4:H$1003,$W67)))</f>
        <v/>
      </c>
      <c r="I67" s="56" t="str">
        <f aca="false">IF($W67="","",N(INDEX(发票统计!I$4:I$1003,$W67)))</f>
        <v/>
      </c>
      <c r="J67" s="56" t="str">
        <f aca="false">IF($W67="","",N(INDEX(发票统计!J$4:J$1003,$W67)))</f>
        <v/>
      </c>
      <c r="K67" s="56" t="str">
        <f aca="false">IF($W67="","",N(INDEX(发票统计!K$4:K$1003,$W67)))</f>
        <v/>
      </c>
      <c r="L67" s="56" t="str">
        <f aca="false">IF($W67="","",SUM(J$4:J67)-SUM(K$4:K67))</f>
        <v/>
      </c>
      <c r="M67" s="56" t="str">
        <f aca="false">IF($W67="","",N(INDEX(发票统计!M$4:M$1003,$W67)))</f>
        <v/>
      </c>
      <c r="N67" s="56" t="str">
        <f aca="false">IF($W67="","",N(INDEX(发票统计!N$4:N$1003,$W67)))</f>
        <v/>
      </c>
      <c r="O67" s="56" t="str">
        <f aca="false">IF($W67="","",N(INDEX(发票统计!O$4:O$1003,$W67)))</f>
        <v/>
      </c>
      <c r="P67" s="56" t="str">
        <f aca="false">IF($W67="","",SUM(M$4:M67)-SUM(N$4:N67)-SUM(O$4:O67))</f>
        <v/>
      </c>
      <c r="Q67" s="56" t="str">
        <f aca="false">IF($W67="","",N(INDEX(发票统计!Q$4:Q$1003,$W67)))</f>
        <v/>
      </c>
      <c r="R67" s="56" t="str">
        <f aca="false">IF($W67="","",N(INDEX(发票统计!R$4:R$1003,$W67)))</f>
        <v/>
      </c>
      <c r="S67" s="56" t="str">
        <f aca="false">IF($W67="","",N(INDEX(发票统计!S$4:S$1003,$W67)))</f>
        <v/>
      </c>
      <c r="T67" s="56" t="str">
        <f aca="false">IF($W67="","",SUM(Q$4:Q67)-SUM(R$4:R67)-SUM(S$4:S67))</f>
        <v/>
      </c>
      <c r="U67" s="56" t="str">
        <f aca="false">IF($W67="","",INDEX(发票统计!U$4:U$1003,$W67)&amp;"")</f>
        <v/>
      </c>
      <c r="W67" s="1" t="str">
        <f aca="false">IF($V$3="","",IFERROR(MATCH($V$3&amp;"#"&amp;ROWS(W$4:W67),发票统计!$W$4:$W$1003,0),""))</f>
        <v/>
      </c>
    </row>
    <row r="68" customFormat="false" ht="16.5" hidden="false" customHeight="false" outlineLevel="0" collapsed="false">
      <c r="A68" s="56" t="str">
        <f aca="false">IF($W68="","",INDEX(发票统计!A$4:A$1003,$W68)&amp;"")</f>
        <v/>
      </c>
      <c r="B68" s="56" t="str">
        <f aca="false">IF($W68="","",INDEX(发票统计!B$4:B$1003,$W68)&amp;"")</f>
        <v/>
      </c>
      <c r="C68" s="56" t="str">
        <f aca="false">IF($W68="","",INDEX(发票统计!C$4:C$1003,$W68)&amp;"")</f>
        <v/>
      </c>
      <c r="D68" s="56" t="str">
        <f aca="false">IF($W68="","",INDEX(发票统计!D$4:D$1003,$W68)&amp;"")</f>
        <v/>
      </c>
      <c r="E68" s="56" t="str">
        <f aca="false">IF($W68="","",INDEX(发票统计!E$4:E$1003,$W68)&amp;"")</f>
        <v/>
      </c>
      <c r="F68" s="73" t="str">
        <f aca="false">IF($W68="","",INDEX(发票统计!F$4:F$1003,$W68)&amp;"")</f>
        <v/>
      </c>
      <c r="G68" s="68" t="str">
        <f aca="false">IF($W68="","",IF(INDEX(发票统计!G$4:G$1003,$W68)="","",INDEX(发票统计!G$4:G$1003,$W68)))</f>
        <v/>
      </c>
      <c r="H68" s="56" t="str">
        <f aca="false">IF($W68="","",N(INDEX(发票统计!H$4:H$1003,$W68)))</f>
        <v/>
      </c>
      <c r="I68" s="56" t="str">
        <f aca="false">IF($W68="","",N(INDEX(发票统计!I$4:I$1003,$W68)))</f>
        <v/>
      </c>
      <c r="J68" s="56" t="str">
        <f aca="false">IF($W68="","",N(INDEX(发票统计!J$4:J$1003,$W68)))</f>
        <v/>
      </c>
      <c r="K68" s="56" t="str">
        <f aca="false">IF($W68="","",N(INDEX(发票统计!K$4:K$1003,$W68)))</f>
        <v/>
      </c>
      <c r="L68" s="56" t="str">
        <f aca="false">IF($W68="","",SUM(J$4:J68)-SUM(K$4:K68))</f>
        <v/>
      </c>
      <c r="M68" s="56" t="str">
        <f aca="false">IF($W68="","",N(INDEX(发票统计!M$4:M$1003,$W68)))</f>
        <v/>
      </c>
      <c r="N68" s="56" t="str">
        <f aca="false">IF($W68="","",N(INDEX(发票统计!N$4:N$1003,$W68)))</f>
        <v/>
      </c>
      <c r="O68" s="56" t="str">
        <f aca="false">IF($W68="","",N(INDEX(发票统计!O$4:O$1003,$W68)))</f>
        <v/>
      </c>
      <c r="P68" s="56" t="str">
        <f aca="false">IF($W68="","",SUM(M$4:M68)-SUM(N$4:N68)-SUM(O$4:O68))</f>
        <v/>
      </c>
      <c r="Q68" s="56" t="str">
        <f aca="false">IF($W68="","",N(INDEX(发票统计!Q$4:Q$1003,$W68)))</f>
        <v/>
      </c>
      <c r="R68" s="56" t="str">
        <f aca="false">IF($W68="","",N(INDEX(发票统计!R$4:R$1003,$W68)))</f>
        <v/>
      </c>
      <c r="S68" s="56" t="str">
        <f aca="false">IF($W68="","",N(INDEX(发票统计!S$4:S$1003,$W68)))</f>
        <v/>
      </c>
      <c r="T68" s="56" t="str">
        <f aca="false">IF($W68="","",SUM(Q$4:Q68)-SUM(R$4:R68)-SUM(S$4:S68))</f>
        <v/>
      </c>
      <c r="U68" s="56" t="str">
        <f aca="false">IF($W68="","",INDEX(发票统计!U$4:U$1003,$W68)&amp;"")</f>
        <v/>
      </c>
      <c r="W68" s="1" t="str">
        <f aca="false">IF($V$3="","",IFERROR(MATCH($V$3&amp;"#"&amp;ROWS(W$4:W68),发票统计!$W$4:$W$1003,0),""))</f>
        <v/>
      </c>
    </row>
    <row r="69" customFormat="false" ht="16.5" hidden="false" customHeight="false" outlineLevel="0" collapsed="false">
      <c r="A69" s="56" t="str">
        <f aca="false">IF($W69="","",INDEX(发票统计!A$4:A$1003,$W69)&amp;"")</f>
        <v/>
      </c>
      <c r="B69" s="56" t="str">
        <f aca="false">IF($W69="","",INDEX(发票统计!B$4:B$1003,$W69)&amp;"")</f>
        <v/>
      </c>
      <c r="C69" s="56" t="str">
        <f aca="false">IF($W69="","",INDEX(发票统计!C$4:C$1003,$W69)&amp;"")</f>
        <v/>
      </c>
      <c r="D69" s="56" t="str">
        <f aca="false">IF($W69="","",INDEX(发票统计!D$4:D$1003,$W69)&amp;"")</f>
        <v/>
      </c>
      <c r="E69" s="56" t="str">
        <f aca="false">IF($W69="","",INDEX(发票统计!E$4:E$1003,$W69)&amp;"")</f>
        <v/>
      </c>
      <c r="F69" s="73" t="str">
        <f aca="false">IF($W69="","",INDEX(发票统计!F$4:F$1003,$W69)&amp;"")</f>
        <v/>
      </c>
      <c r="G69" s="68" t="str">
        <f aca="false">IF($W69="","",IF(INDEX(发票统计!G$4:G$1003,$W69)="","",INDEX(发票统计!G$4:G$1003,$W69)))</f>
        <v/>
      </c>
      <c r="H69" s="56" t="str">
        <f aca="false">IF($W69="","",N(INDEX(发票统计!H$4:H$1003,$W69)))</f>
        <v/>
      </c>
      <c r="I69" s="56" t="str">
        <f aca="false">IF($W69="","",N(INDEX(发票统计!I$4:I$1003,$W69)))</f>
        <v/>
      </c>
      <c r="J69" s="56" t="str">
        <f aca="false">IF($W69="","",N(INDEX(发票统计!J$4:J$1003,$W69)))</f>
        <v/>
      </c>
      <c r="K69" s="56" t="str">
        <f aca="false">IF($W69="","",N(INDEX(发票统计!K$4:K$1003,$W69)))</f>
        <v/>
      </c>
      <c r="L69" s="56" t="str">
        <f aca="false">IF($W69="","",SUM(J$4:J69)-SUM(K$4:K69))</f>
        <v/>
      </c>
      <c r="M69" s="56" t="str">
        <f aca="false">IF($W69="","",N(INDEX(发票统计!M$4:M$1003,$W69)))</f>
        <v/>
      </c>
      <c r="N69" s="56" t="str">
        <f aca="false">IF($W69="","",N(INDEX(发票统计!N$4:N$1003,$W69)))</f>
        <v/>
      </c>
      <c r="O69" s="56" t="str">
        <f aca="false">IF($W69="","",N(INDEX(发票统计!O$4:O$1003,$W69)))</f>
        <v/>
      </c>
      <c r="P69" s="56" t="str">
        <f aca="false">IF($W69="","",SUM(M$4:M69)-SUM(N$4:N69)-SUM(O$4:O69))</f>
        <v/>
      </c>
      <c r="Q69" s="56" t="str">
        <f aca="false">IF($W69="","",N(INDEX(发票统计!Q$4:Q$1003,$W69)))</f>
        <v/>
      </c>
      <c r="R69" s="56" t="str">
        <f aca="false">IF($W69="","",N(INDEX(发票统计!R$4:R$1003,$W69)))</f>
        <v/>
      </c>
      <c r="S69" s="56" t="str">
        <f aca="false">IF($W69="","",N(INDEX(发票统计!S$4:S$1003,$W69)))</f>
        <v/>
      </c>
      <c r="T69" s="56" t="str">
        <f aca="false">IF($W69="","",SUM(Q$4:Q69)-SUM(R$4:R69)-SUM(S$4:S69))</f>
        <v/>
      </c>
      <c r="U69" s="56" t="str">
        <f aca="false">IF($W69="","",INDEX(发票统计!U$4:U$1003,$W69)&amp;"")</f>
        <v/>
      </c>
      <c r="W69" s="1" t="str">
        <f aca="false">IF($V$3="","",IFERROR(MATCH($V$3&amp;"#"&amp;ROWS(W$4:W69),发票统计!$W$4:$W$1003,0),""))</f>
        <v/>
      </c>
    </row>
    <row r="70" customFormat="false" ht="16.5" hidden="false" customHeight="false" outlineLevel="0" collapsed="false">
      <c r="A70" s="56" t="str">
        <f aca="false">IF($W70="","",INDEX(发票统计!A$4:A$1003,$W70)&amp;"")</f>
        <v/>
      </c>
      <c r="B70" s="56" t="str">
        <f aca="false">IF($W70="","",INDEX(发票统计!B$4:B$1003,$W70)&amp;"")</f>
        <v/>
      </c>
      <c r="C70" s="56" t="str">
        <f aca="false">IF($W70="","",INDEX(发票统计!C$4:C$1003,$W70)&amp;"")</f>
        <v/>
      </c>
      <c r="D70" s="56" t="str">
        <f aca="false">IF($W70="","",INDEX(发票统计!D$4:D$1003,$W70)&amp;"")</f>
        <v/>
      </c>
      <c r="E70" s="56" t="str">
        <f aca="false">IF($W70="","",INDEX(发票统计!E$4:E$1003,$W70)&amp;"")</f>
        <v/>
      </c>
      <c r="F70" s="73" t="str">
        <f aca="false">IF($W70="","",INDEX(发票统计!F$4:F$1003,$W70)&amp;"")</f>
        <v/>
      </c>
      <c r="G70" s="68" t="str">
        <f aca="false">IF($W70="","",IF(INDEX(发票统计!G$4:G$1003,$W70)="","",INDEX(发票统计!G$4:G$1003,$W70)))</f>
        <v/>
      </c>
      <c r="H70" s="56" t="str">
        <f aca="false">IF($W70="","",N(INDEX(发票统计!H$4:H$1003,$W70)))</f>
        <v/>
      </c>
      <c r="I70" s="56" t="str">
        <f aca="false">IF($W70="","",N(INDEX(发票统计!I$4:I$1003,$W70)))</f>
        <v/>
      </c>
      <c r="J70" s="56" t="str">
        <f aca="false">IF($W70="","",N(INDEX(发票统计!J$4:J$1003,$W70)))</f>
        <v/>
      </c>
      <c r="K70" s="56" t="str">
        <f aca="false">IF($W70="","",N(INDEX(发票统计!K$4:K$1003,$W70)))</f>
        <v/>
      </c>
      <c r="L70" s="56" t="str">
        <f aca="false">IF($W70="","",SUM(J$4:J70)-SUM(K$4:K70))</f>
        <v/>
      </c>
      <c r="M70" s="56" t="str">
        <f aca="false">IF($W70="","",N(INDEX(发票统计!M$4:M$1003,$W70)))</f>
        <v/>
      </c>
      <c r="N70" s="56" t="str">
        <f aca="false">IF($W70="","",N(INDEX(发票统计!N$4:N$1003,$W70)))</f>
        <v/>
      </c>
      <c r="O70" s="56" t="str">
        <f aca="false">IF($W70="","",N(INDEX(发票统计!O$4:O$1003,$W70)))</f>
        <v/>
      </c>
      <c r="P70" s="56" t="str">
        <f aca="false">IF($W70="","",SUM(M$4:M70)-SUM(N$4:N70)-SUM(O$4:O70))</f>
        <v/>
      </c>
      <c r="Q70" s="56" t="str">
        <f aca="false">IF($W70="","",N(INDEX(发票统计!Q$4:Q$1003,$W70)))</f>
        <v/>
      </c>
      <c r="R70" s="56" t="str">
        <f aca="false">IF($W70="","",N(INDEX(发票统计!R$4:R$1003,$W70)))</f>
        <v/>
      </c>
      <c r="S70" s="56" t="str">
        <f aca="false">IF($W70="","",N(INDEX(发票统计!S$4:S$1003,$W70)))</f>
        <v/>
      </c>
      <c r="T70" s="56" t="str">
        <f aca="false">IF($W70="","",SUM(Q$4:Q70)-SUM(R$4:R70)-SUM(S$4:S70))</f>
        <v/>
      </c>
      <c r="U70" s="56" t="str">
        <f aca="false">IF($W70="","",INDEX(发票统计!U$4:U$1003,$W70)&amp;"")</f>
        <v/>
      </c>
      <c r="W70" s="1" t="str">
        <f aca="false">IF($V$3="","",IFERROR(MATCH($V$3&amp;"#"&amp;ROWS(W$4:W70),发票统计!$W$4:$W$1003,0),""))</f>
        <v/>
      </c>
    </row>
    <row r="71" customFormat="false" ht="16.5" hidden="false" customHeight="false" outlineLevel="0" collapsed="false">
      <c r="A71" s="56" t="str">
        <f aca="false">IF($W71="","",INDEX(发票统计!A$4:A$1003,$W71)&amp;"")</f>
        <v/>
      </c>
      <c r="B71" s="56" t="str">
        <f aca="false">IF($W71="","",INDEX(发票统计!B$4:B$1003,$W71)&amp;"")</f>
        <v/>
      </c>
      <c r="C71" s="56" t="str">
        <f aca="false">IF($W71="","",INDEX(发票统计!C$4:C$1003,$W71)&amp;"")</f>
        <v/>
      </c>
      <c r="D71" s="56" t="str">
        <f aca="false">IF($W71="","",INDEX(发票统计!D$4:D$1003,$W71)&amp;"")</f>
        <v/>
      </c>
      <c r="E71" s="56" t="str">
        <f aca="false">IF($W71="","",INDEX(发票统计!E$4:E$1003,$W71)&amp;"")</f>
        <v/>
      </c>
      <c r="F71" s="73" t="str">
        <f aca="false">IF($W71="","",INDEX(发票统计!F$4:F$1003,$W71)&amp;"")</f>
        <v/>
      </c>
      <c r="G71" s="68" t="str">
        <f aca="false">IF($W71="","",IF(INDEX(发票统计!G$4:G$1003,$W71)="","",INDEX(发票统计!G$4:G$1003,$W71)))</f>
        <v/>
      </c>
      <c r="H71" s="56" t="str">
        <f aca="false">IF($W71="","",N(INDEX(发票统计!H$4:H$1003,$W71)))</f>
        <v/>
      </c>
      <c r="I71" s="56" t="str">
        <f aca="false">IF($W71="","",N(INDEX(发票统计!I$4:I$1003,$W71)))</f>
        <v/>
      </c>
      <c r="J71" s="56" t="str">
        <f aca="false">IF($W71="","",N(INDEX(发票统计!J$4:J$1003,$W71)))</f>
        <v/>
      </c>
      <c r="K71" s="56" t="str">
        <f aca="false">IF($W71="","",N(INDEX(发票统计!K$4:K$1003,$W71)))</f>
        <v/>
      </c>
      <c r="L71" s="56" t="str">
        <f aca="false">IF($W71="","",SUM(J$4:J71)-SUM(K$4:K71))</f>
        <v/>
      </c>
      <c r="M71" s="56" t="str">
        <f aca="false">IF($W71="","",N(INDEX(发票统计!M$4:M$1003,$W71)))</f>
        <v/>
      </c>
      <c r="N71" s="56" t="str">
        <f aca="false">IF($W71="","",N(INDEX(发票统计!N$4:N$1003,$W71)))</f>
        <v/>
      </c>
      <c r="O71" s="56" t="str">
        <f aca="false">IF($W71="","",N(INDEX(发票统计!O$4:O$1003,$W71)))</f>
        <v/>
      </c>
      <c r="P71" s="56" t="str">
        <f aca="false">IF($W71="","",SUM(M$4:M71)-SUM(N$4:N71)-SUM(O$4:O71))</f>
        <v/>
      </c>
      <c r="Q71" s="56" t="str">
        <f aca="false">IF($W71="","",N(INDEX(发票统计!Q$4:Q$1003,$W71)))</f>
        <v/>
      </c>
      <c r="R71" s="56" t="str">
        <f aca="false">IF($W71="","",N(INDEX(发票统计!R$4:R$1003,$W71)))</f>
        <v/>
      </c>
      <c r="S71" s="56" t="str">
        <f aca="false">IF($W71="","",N(INDEX(发票统计!S$4:S$1003,$W71)))</f>
        <v/>
      </c>
      <c r="T71" s="56" t="str">
        <f aca="false">IF($W71="","",SUM(Q$4:Q71)-SUM(R$4:R71)-SUM(S$4:S71))</f>
        <v/>
      </c>
      <c r="U71" s="56" t="str">
        <f aca="false">IF($W71="","",INDEX(发票统计!U$4:U$1003,$W71)&amp;"")</f>
        <v/>
      </c>
      <c r="W71" s="1" t="str">
        <f aca="false">IF($V$3="","",IFERROR(MATCH($V$3&amp;"#"&amp;ROWS(W$4:W71),发票统计!$W$4:$W$1003,0),""))</f>
        <v/>
      </c>
    </row>
    <row r="72" customFormat="false" ht="16.5" hidden="false" customHeight="false" outlineLevel="0" collapsed="false">
      <c r="A72" s="56" t="str">
        <f aca="false">IF($W72="","",INDEX(发票统计!A$4:A$1003,$W72)&amp;"")</f>
        <v/>
      </c>
      <c r="B72" s="56" t="str">
        <f aca="false">IF($W72="","",INDEX(发票统计!B$4:B$1003,$W72)&amp;"")</f>
        <v/>
      </c>
      <c r="C72" s="56" t="str">
        <f aca="false">IF($W72="","",INDEX(发票统计!C$4:C$1003,$W72)&amp;"")</f>
        <v/>
      </c>
      <c r="D72" s="56" t="str">
        <f aca="false">IF($W72="","",INDEX(发票统计!D$4:D$1003,$W72)&amp;"")</f>
        <v/>
      </c>
      <c r="E72" s="56" t="str">
        <f aca="false">IF($W72="","",INDEX(发票统计!E$4:E$1003,$W72)&amp;"")</f>
        <v/>
      </c>
      <c r="F72" s="73" t="str">
        <f aca="false">IF($W72="","",INDEX(发票统计!F$4:F$1003,$W72)&amp;"")</f>
        <v/>
      </c>
      <c r="G72" s="68" t="str">
        <f aca="false">IF($W72="","",IF(INDEX(发票统计!G$4:G$1003,$W72)="","",INDEX(发票统计!G$4:G$1003,$W72)))</f>
        <v/>
      </c>
      <c r="H72" s="56" t="str">
        <f aca="false">IF($W72="","",N(INDEX(发票统计!H$4:H$1003,$W72)))</f>
        <v/>
      </c>
      <c r="I72" s="56" t="str">
        <f aca="false">IF($W72="","",N(INDEX(发票统计!I$4:I$1003,$W72)))</f>
        <v/>
      </c>
      <c r="J72" s="56" t="str">
        <f aca="false">IF($W72="","",N(INDEX(发票统计!J$4:J$1003,$W72)))</f>
        <v/>
      </c>
      <c r="K72" s="56" t="str">
        <f aca="false">IF($W72="","",N(INDEX(发票统计!K$4:K$1003,$W72)))</f>
        <v/>
      </c>
      <c r="L72" s="56" t="str">
        <f aca="false">IF($W72="","",SUM(J$4:J72)-SUM(K$4:K72))</f>
        <v/>
      </c>
      <c r="M72" s="56" t="str">
        <f aca="false">IF($W72="","",N(INDEX(发票统计!M$4:M$1003,$W72)))</f>
        <v/>
      </c>
      <c r="N72" s="56" t="str">
        <f aca="false">IF($W72="","",N(INDEX(发票统计!N$4:N$1003,$W72)))</f>
        <v/>
      </c>
      <c r="O72" s="56" t="str">
        <f aca="false">IF($W72="","",N(INDEX(发票统计!O$4:O$1003,$W72)))</f>
        <v/>
      </c>
      <c r="P72" s="56" t="str">
        <f aca="false">IF($W72="","",SUM(M$4:M72)-SUM(N$4:N72)-SUM(O$4:O72))</f>
        <v/>
      </c>
      <c r="Q72" s="56" t="str">
        <f aca="false">IF($W72="","",N(INDEX(发票统计!Q$4:Q$1003,$W72)))</f>
        <v/>
      </c>
      <c r="R72" s="56" t="str">
        <f aca="false">IF($W72="","",N(INDEX(发票统计!R$4:R$1003,$W72)))</f>
        <v/>
      </c>
      <c r="S72" s="56" t="str">
        <f aca="false">IF($W72="","",N(INDEX(发票统计!S$4:S$1003,$W72)))</f>
        <v/>
      </c>
      <c r="T72" s="56" t="str">
        <f aca="false">IF($W72="","",SUM(Q$4:Q72)-SUM(R$4:R72)-SUM(S$4:S72))</f>
        <v/>
      </c>
      <c r="U72" s="56" t="str">
        <f aca="false">IF($W72="","",INDEX(发票统计!U$4:U$1003,$W72)&amp;"")</f>
        <v/>
      </c>
      <c r="W72" s="1" t="str">
        <f aca="false">IF($V$3="","",IFERROR(MATCH($V$3&amp;"#"&amp;ROWS(W$4:W72),发票统计!$W$4:$W$1003,0),""))</f>
        <v/>
      </c>
    </row>
    <row r="73" customFormat="false" ht="16.5" hidden="false" customHeight="false" outlineLevel="0" collapsed="false">
      <c r="A73" s="56" t="str">
        <f aca="false">IF($W73="","",INDEX(发票统计!A$4:A$1003,$W73)&amp;"")</f>
        <v/>
      </c>
      <c r="B73" s="56" t="str">
        <f aca="false">IF($W73="","",INDEX(发票统计!B$4:B$1003,$W73)&amp;"")</f>
        <v/>
      </c>
      <c r="C73" s="56" t="str">
        <f aca="false">IF($W73="","",INDEX(发票统计!C$4:C$1003,$W73)&amp;"")</f>
        <v/>
      </c>
      <c r="D73" s="56" t="str">
        <f aca="false">IF($W73="","",INDEX(发票统计!D$4:D$1003,$W73)&amp;"")</f>
        <v/>
      </c>
      <c r="E73" s="56" t="str">
        <f aca="false">IF($W73="","",INDEX(发票统计!E$4:E$1003,$W73)&amp;"")</f>
        <v/>
      </c>
      <c r="F73" s="73" t="str">
        <f aca="false">IF($W73="","",INDEX(发票统计!F$4:F$1003,$W73)&amp;"")</f>
        <v/>
      </c>
      <c r="G73" s="68" t="str">
        <f aca="false">IF($W73="","",IF(INDEX(发票统计!G$4:G$1003,$W73)="","",INDEX(发票统计!G$4:G$1003,$W73)))</f>
        <v/>
      </c>
      <c r="H73" s="56" t="str">
        <f aca="false">IF($W73="","",N(INDEX(发票统计!H$4:H$1003,$W73)))</f>
        <v/>
      </c>
      <c r="I73" s="56" t="str">
        <f aca="false">IF($W73="","",N(INDEX(发票统计!I$4:I$1003,$W73)))</f>
        <v/>
      </c>
      <c r="J73" s="56" t="str">
        <f aca="false">IF($W73="","",N(INDEX(发票统计!J$4:J$1003,$W73)))</f>
        <v/>
      </c>
      <c r="K73" s="56" t="str">
        <f aca="false">IF($W73="","",N(INDEX(发票统计!K$4:K$1003,$W73)))</f>
        <v/>
      </c>
      <c r="L73" s="56" t="str">
        <f aca="false">IF($W73="","",SUM(J$4:J73)-SUM(K$4:K73))</f>
        <v/>
      </c>
      <c r="M73" s="56" t="str">
        <f aca="false">IF($W73="","",N(INDEX(发票统计!M$4:M$1003,$W73)))</f>
        <v/>
      </c>
      <c r="N73" s="56" t="str">
        <f aca="false">IF($W73="","",N(INDEX(发票统计!N$4:N$1003,$W73)))</f>
        <v/>
      </c>
      <c r="O73" s="56" t="str">
        <f aca="false">IF($W73="","",N(INDEX(发票统计!O$4:O$1003,$W73)))</f>
        <v/>
      </c>
      <c r="P73" s="56" t="str">
        <f aca="false">IF($W73="","",SUM(M$4:M73)-SUM(N$4:N73)-SUM(O$4:O73))</f>
        <v/>
      </c>
      <c r="Q73" s="56" t="str">
        <f aca="false">IF($W73="","",N(INDEX(发票统计!Q$4:Q$1003,$W73)))</f>
        <v/>
      </c>
      <c r="R73" s="56" t="str">
        <f aca="false">IF($W73="","",N(INDEX(发票统计!R$4:R$1003,$W73)))</f>
        <v/>
      </c>
      <c r="S73" s="56" t="str">
        <f aca="false">IF($W73="","",N(INDEX(发票统计!S$4:S$1003,$W73)))</f>
        <v/>
      </c>
      <c r="T73" s="56" t="str">
        <f aca="false">IF($W73="","",SUM(Q$4:Q73)-SUM(R$4:R73)-SUM(S$4:S73))</f>
        <v/>
      </c>
      <c r="U73" s="56" t="str">
        <f aca="false">IF($W73="","",INDEX(发票统计!U$4:U$1003,$W73)&amp;"")</f>
        <v/>
      </c>
      <c r="W73" s="1" t="str">
        <f aca="false">IF($V$3="","",IFERROR(MATCH($V$3&amp;"#"&amp;ROWS(W$4:W73),发票统计!$W$4:$W$1003,0),""))</f>
        <v/>
      </c>
    </row>
    <row r="74" customFormat="false" ht="16.5" hidden="false" customHeight="false" outlineLevel="0" collapsed="false">
      <c r="A74" s="56" t="str">
        <f aca="false">IF($W74="","",INDEX(发票统计!A$4:A$1003,$W74)&amp;"")</f>
        <v/>
      </c>
      <c r="B74" s="56" t="str">
        <f aca="false">IF($W74="","",INDEX(发票统计!B$4:B$1003,$W74)&amp;"")</f>
        <v/>
      </c>
      <c r="C74" s="56" t="str">
        <f aca="false">IF($W74="","",INDEX(发票统计!C$4:C$1003,$W74)&amp;"")</f>
        <v/>
      </c>
      <c r="D74" s="56" t="str">
        <f aca="false">IF($W74="","",INDEX(发票统计!D$4:D$1003,$W74)&amp;"")</f>
        <v/>
      </c>
      <c r="E74" s="56" t="str">
        <f aca="false">IF($W74="","",INDEX(发票统计!E$4:E$1003,$W74)&amp;"")</f>
        <v/>
      </c>
      <c r="F74" s="73" t="str">
        <f aca="false">IF($W74="","",INDEX(发票统计!F$4:F$1003,$W74)&amp;"")</f>
        <v/>
      </c>
      <c r="G74" s="68" t="str">
        <f aca="false">IF($W74="","",IF(INDEX(发票统计!G$4:G$1003,$W74)="","",INDEX(发票统计!G$4:G$1003,$W74)))</f>
        <v/>
      </c>
      <c r="H74" s="56" t="str">
        <f aca="false">IF($W74="","",N(INDEX(发票统计!H$4:H$1003,$W74)))</f>
        <v/>
      </c>
      <c r="I74" s="56" t="str">
        <f aca="false">IF($W74="","",N(INDEX(发票统计!I$4:I$1003,$W74)))</f>
        <v/>
      </c>
      <c r="J74" s="56" t="str">
        <f aca="false">IF($W74="","",N(INDEX(发票统计!J$4:J$1003,$W74)))</f>
        <v/>
      </c>
      <c r="K74" s="56" t="str">
        <f aca="false">IF($W74="","",N(INDEX(发票统计!K$4:K$1003,$W74)))</f>
        <v/>
      </c>
      <c r="L74" s="56" t="str">
        <f aca="false">IF($W74="","",SUM(J$4:J74)-SUM(K$4:K74))</f>
        <v/>
      </c>
      <c r="M74" s="56" t="str">
        <f aca="false">IF($W74="","",N(INDEX(发票统计!M$4:M$1003,$W74)))</f>
        <v/>
      </c>
      <c r="N74" s="56" t="str">
        <f aca="false">IF($W74="","",N(INDEX(发票统计!N$4:N$1003,$W74)))</f>
        <v/>
      </c>
      <c r="O74" s="56" t="str">
        <f aca="false">IF($W74="","",N(INDEX(发票统计!O$4:O$1003,$W74)))</f>
        <v/>
      </c>
      <c r="P74" s="56" t="str">
        <f aca="false">IF($W74="","",SUM(M$4:M74)-SUM(N$4:N74)-SUM(O$4:O74))</f>
        <v/>
      </c>
      <c r="Q74" s="56" t="str">
        <f aca="false">IF($W74="","",N(INDEX(发票统计!Q$4:Q$1003,$W74)))</f>
        <v/>
      </c>
      <c r="R74" s="56" t="str">
        <f aca="false">IF($W74="","",N(INDEX(发票统计!R$4:R$1003,$W74)))</f>
        <v/>
      </c>
      <c r="S74" s="56" t="str">
        <f aca="false">IF($W74="","",N(INDEX(发票统计!S$4:S$1003,$W74)))</f>
        <v/>
      </c>
      <c r="T74" s="56" t="str">
        <f aca="false">IF($W74="","",SUM(Q$4:Q74)-SUM(R$4:R74)-SUM(S$4:S74))</f>
        <v/>
      </c>
      <c r="U74" s="56" t="str">
        <f aca="false">IF($W74="","",INDEX(发票统计!U$4:U$1003,$W74)&amp;"")</f>
        <v/>
      </c>
      <c r="W74" s="1" t="str">
        <f aca="false">IF($V$3="","",IFERROR(MATCH($V$3&amp;"#"&amp;ROWS(W$4:W74),发票统计!$W$4:$W$1003,0),""))</f>
        <v/>
      </c>
    </row>
    <row r="75" customFormat="false" ht="16.5" hidden="false" customHeight="false" outlineLevel="0" collapsed="false">
      <c r="A75" s="56" t="str">
        <f aca="false">IF($W75="","",INDEX(发票统计!A$4:A$1003,$W75)&amp;"")</f>
        <v/>
      </c>
      <c r="B75" s="56" t="str">
        <f aca="false">IF($W75="","",INDEX(发票统计!B$4:B$1003,$W75)&amp;"")</f>
        <v/>
      </c>
      <c r="C75" s="56" t="str">
        <f aca="false">IF($W75="","",INDEX(发票统计!C$4:C$1003,$W75)&amp;"")</f>
        <v/>
      </c>
      <c r="D75" s="56" t="str">
        <f aca="false">IF($W75="","",INDEX(发票统计!D$4:D$1003,$W75)&amp;"")</f>
        <v/>
      </c>
      <c r="E75" s="56" t="str">
        <f aca="false">IF($W75="","",INDEX(发票统计!E$4:E$1003,$W75)&amp;"")</f>
        <v/>
      </c>
      <c r="F75" s="73" t="str">
        <f aca="false">IF($W75="","",INDEX(发票统计!F$4:F$1003,$W75)&amp;"")</f>
        <v/>
      </c>
      <c r="G75" s="68" t="str">
        <f aca="false">IF($W75="","",IF(INDEX(发票统计!G$4:G$1003,$W75)="","",INDEX(发票统计!G$4:G$1003,$W75)))</f>
        <v/>
      </c>
      <c r="H75" s="56" t="str">
        <f aca="false">IF($W75="","",N(INDEX(发票统计!H$4:H$1003,$W75)))</f>
        <v/>
      </c>
      <c r="I75" s="56" t="str">
        <f aca="false">IF($W75="","",N(INDEX(发票统计!I$4:I$1003,$W75)))</f>
        <v/>
      </c>
      <c r="J75" s="56" t="str">
        <f aca="false">IF($W75="","",N(INDEX(发票统计!J$4:J$1003,$W75)))</f>
        <v/>
      </c>
      <c r="K75" s="56" t="str">
        <f aca="false">IF($W75="","",N(INDEX(发票统计!K$4:K$1003,$W75)))</f>
        <v/>
      </c>
      <c r="L75" s="56" t="str">
        <f aca="false">IF($W75="","",SUM(J$4:J75)-SUM(K$4:K75))</f>
        <v/>
      </c>
      <c r="M75" s="56" t="str">
        <f aca="false">IF($W75="","",N(INDEX(发票统计!M$4:M$1003,$W75)))</f>
        <v/>
      </c>
      <c r="N75" s="56" t="str">
        <f aca="false">IF($W75="","",N(INDEX(发票统计!N$4:N$1003,$W75)))</f>
        <v/>
      </c>
      <c r="O75" s="56" t="str">
        <f aca="false">IF($W75="","",N(INDEX(发票统计!O$4:O$1003,$W75)))</f>
        <v/>
      </c>
      <c r="P75" s="56" t="str">
        <f aca="false">IF($W75="","",SUM(M$4:M75)-SUM(N$4:N75)-SUM(O$4:O75))</f>
        <v/>
      </c>
      <c r="Q75" s="56" t="str">
        <f aca="false">IF($W75="","",N(INDEX(发票统计!Q$4:Q$1003,$W75)))</f>
        <v/>
      </c>
      <c r="R75" s="56" t="str">
        <f aca="false">IF($W75="","",N(INDEX(发票统计!R$4:R$1003,$W75)))</f>
        <v/>
      </c>
      <c r="S75" s="56" t="str">
        <f aca="false">IF($W75="","",N(INDEX(发票统计!S$4:S$1003,$W75)))</f>
        <v/>
      </c>
      <c r="T75" s="56" t="str">
        <f aca="false">IF($W75="","",SUM(Q$4:Q75)-SUM(R$4:R75)-SUM(S$4:S75))</f>
        <v/>
      </c>
      <c r="U75" s="56" t="str">
        <f aca="false">IF($W75="","",INDEX(发票统计!U$4:U$1003,$W75)&amp;"")</f>
        <v/>
      </c>
      <c r="W75" s="1" t="str">
        <f aca="false">IF($V$3="","",IFERROR(MATCH($V$3&amp;"#"&amp;ROWS(W$4:W75),发票统计!$W$4:$W$1003,0),""))</f>
        <v/>
      </c>
    </row>
    <row r="76" customFormat="false" ht="16.5" hidden="false" customHeight="false" outlineLevel="0" collapsed="false">
      <c r="A76" s="56" t="str">
        <f aca="false">IF($W76="","",INDEX(发票统计!A$4:A$1003,$W76)&amp;"")</f>
        <v/>
      </c>
      <c r="B76" s="56" t="str">
        <f aca="false">IF($W76="","",INDEX(发票统计!B$4:B$1003,$W76)&amp;"")</f>
        <v/>
      </c>
      <c r="C76" s="56" t="str">
        <f aca="false">IF($W76="","",INDEX(发票统计!C$4:C$1003,$W76)&amp;"")</f>
        <v/>
      </c>
      <c r="D76" s="56" t="str">
        <f aca="false">IF($W76="","",INDEX(发票统计!D$4:D$1003,$W76)&amp;"")</f>
        <v/>
      </c>
      <c r="E76" s="56" t="str">
        <f aca="false">IF($W76="","",INDEX(发票统计!E$4:E$1003,$W76)&amp;"")</f>
        <v/>
      </c>
      <c r="F76" s="73" t="str">
        <f aca="false">IF($W76="","",INDEX(发票统计!F$4:F$1003,$W76)&amp;"")</f>
        <v/>
      </c>
      <c r="G76" s="68" t="str">
        <f aca="false">IF($W76="","",IF(INDEX(发票统计!G$4:G$1003,$W76)="","",INDEX(发票统计!G$4:G$1003,$W76)))</f>
        <v/>
      </c>
      <c r="H76" s="56" t="str">
        <f aca="false">IF($W76="","",N(INDEX(发票统计!H$4:H$1003,$W76)))</f>
        <v/>
      </c>
      <c r="I76" s="56" t="str">
        <f aca="false">IF($W76="","",N(INDEX(发票统计!I$4:I$1003,$W76)))</f>
        <v/>
      </c>
      <c r="J76" s="56" t="str">
        <f aca="false">IF($W76="","",N(INDEX(发票统计!J$4:J$1003,$W76)))</f>
        <v/>
      </c>
      <c r="K76" s="56" t="str">
        <f aca="false">IF($W76="","",N(INDEX(发票统计!K$4:K$1003,$W76)))</f>
        <v/>
      </c>
      <c r="L76" s="56" t="str">
        <f aca="false">IF($W76="","",SUM(J$4:J76)-SUM(K$4:K76))</f>
        <v/>
      </c>
      <c r="M76" s="56" t="str">
        <f aca="false">IF($W76="","",N(INDEX(发票统计!M$4:M$1003,$W76)))</f>
        <v/>
      </c>
      <c r="N76" s="56" t="str">
        <f aca="false">IF($W76="","",N(INDEX(发票统计!N$4:N$1003,$W76)))</f>
        <v/>
      </c>
      <c r="O76" s="56" t="str">
        <f aca="false">IF($W76="","",N(INDEX(发票统计!O$4:O$1003,$W76)))</f>
        <v/>
      </c>
      <c r="P76" s="56" t="str">
        <f aca="false">IF($W76="","",SUM(M$4:M76)-SUM(N$4:N76)-SUM(O$4:O76))</f>
        <v/>
      </c>
      <c r="Q76" s="56" t="str">
        <f aca="false">IF($W76="","",N(INDEX(发票统计!Q$4:Q$1003,$W76)))</f>
        <v/>
      </c>
      <c r="R76" s="56" t="str">
        <f aca="false">IF($W76="","",N(INDEX(发票统计!R$4:R$1003,$W76)))</f>
        <v/>
      </c>
      <c r="S76" s="56" t="str">
        <f aca="false">IF($W76="","",N(INDEX(发票统计!S$4:S$1003,$W76)))</f>
        <v/>
      </c>
      <c r="T76" s="56" t="str">
        <f aca="false">IF($W76="","",SUM(Q$4:Q76)-SUM(R$4:R76)-SUM(S$4:S76))</f>
        <v/>
      </c>
      <c r="U76" s="56" t="str">
        <f aca="false">IF($W76="","",INDEX(发票统计!U$4:U$1003,$W76)&amp;"")</f>
        <v/>
      </c>
      <c r="W76" s="1" t="str">
        <f aca="false">IF($V$3="","",IFERROR(MATCH($V$3&amp;"#"&amp;ROWS(W$4:W76),发票统计!$W$4:$W$1003,0),""))</f>
        <v/>
      </c>
    </row>
    <row r="77" customFormat="false" ht="16.5" hidden="false" customHeight="false" outlineLevel="0" collapsed="false">
      <c r="A77" s="56" t="str">
        <f aca="false">IF($W77="","",INDEX(发票统计!A$4:A$1003,$W77)&amp;"")</f>
        <v/>
      </c>
      <c r="B77" s="56" t="str">
        <f aca="false">IF($W77="","",INDEX(发票统计!B$4:B$1003,$W77)&amp;"")</f>
        <v/>
      </c>
      <c r="C77" s="56" t="str">
        <f aca="false">IF($W77="","",INDEX(发票统计!C$4:C$1003,$W77)&amp;"")</f>
        <v/>
      </c>
      <c r="D77" s="56" t="str">
        <f aca="false">IF($W77="","",INDEX(发票统计!D$4:D$1003,$W77)&amp;"")</f>
        <v/>
      </c>
      <c r="E77" s="56" t="str">
        <f aca="false">IF($W77="","",INDEX(发票统计!E$4:E$1003,$W77)&amp;"")</f>
        <v/>
      </c>
      <c r="F77" s="73" t="str">
        <f aca="false">IF($W77="","",INDEX(发票统计!F$4:F$1003,$W77)&amp;"")</f>
        <v/>
      </c>
      <c r="G77" s="68" t="str">
        <f aca="false">IF($W77="","",IF(INDEX(发票统计!G$4:G$1003,$W77)="","",INDEX(发票统计!G$4:G$1003,$W77)))</f>
        <v/>
      </c>
      <c r="H77" s="56" t="str">
        <f aca="false">IF($W77="","",N(INDEX(发票统计!H$4:H$1003,$W77)))</f>
        <v/>
      </c>
      <c r="I77" s="56" t="str">
        <f aca="false">IF($W77="","",N(INDEX(发票统计!I$4:I$1003,$W77)))</f>
        <v/>
      </c>
      <c r="J77" s="56" t="str">
        <f aca="false">IF($W77="","",N(INDEX(发票统计!J$4:J$1003,$W77)))</f>
        <v/>
      </c>
      <c r="K77" s="56" t="str">
        <f aca="false">IF($W77="","",N(INDEX(发票统计!K$4:K$1003,$W77)))</f>
        <v/>
      </c>
      <c r="L77" s="56" t="str">
        <f aca="false">IF($W77="","",SUM(J$4:J77)-SUM(K$4:K77))</f>
        <v/>
      </c>
      <c r="M77" s="56" t="str">
        <f aca="false">IF($W77="","",N(INDEX(发票统计!M$4:M$1003,$W77)))</f>
        <v/>
      </c>
      <c r="N77" s="56" t="str">
        <f aca="false">IF($W77="","",N(INDEX(发票统计!N$4:N$1003,$W77)))</f>
        <v/>
      </c>
      <c r="O77" s="56" t="str">
        <f aca="false">IF($W77="","",N(INDEX(发票统计!O$4:O$1003,$W77)))</f>
        <v/>
      </c>
      <c r="P77" s="56" t="str">
        <f aca="false">IF($W77="","",SUM(M$4:M77)-SUM(N$4:N77)-SUM(O$4:O77))</f>
        <v/>
      </c>
      <c r="Q77" s="56" t="str">
        <f aca="false">IF($W77="","",N(INDEX(发票统计!Q$4:Q$1003,$W77)))</f>
        <v/>
      </c>
      <c r="R77" s="56" t="str">
        <f aca="false">IF($W77="","",N(INDEX(发票统计!R$4:R$1003,$W77)))</f>
        <v/>
      </c>
      <c r="S77" s="56" t="str">
        <f aca="false">IF($W77="","",N(INDEX(发票统计!S$4:S$1003,$W77)))</f>
        <v/>
      </c>
      <c r="T77" s="56" t="str">
        <f aca="false">IF($W77="","",SUM(Q$4:Q77)-SUM(R$4:R77)-SUM(S$4:S77))</f>
        <v/>
      </c>
      <c r="U77" s="56" t="str">
        <f aca="false">IF($W77="","",INDEX(发票统计!U$4:U$1003,$W77)&amp;"")</f>
        <v/>
      </c>
      <c r="W77" s="1" t="str">
        <f aca="false">IF($V$3="","",IFERROR(MATCH($V$3&amp;"#"&amp;ROWS(W$4:W77),发票统计!$W$4:$W$1003,0),""))</f>
        <v/>
      </c>
    </row>
    <row r="78" customFormat="false" ht="16.5" hidden="false" customHeight="false" outlineLevel="0" collapsed="false">
      <c r="A78" s="56" t="str">
        <f aca="false">IF($W78="","",INDEX(发票统计!A$4:A$1003,$W78)&amp;"")</f>
        <v/>
      </c>
      <c r="B78" s="56" t="str">
        <f aca="false">IF($W78="","",INDEX(发票统计!B$4:B$1003,$W78)&amp;"")</f>
        <v/>
      </c>
      <c r="C78" s="56" t="str">
        <f aca="false">IF($W78="","",INDEX(发票统计!C$4:C$1003,$W78)&amp;"")</f>
        <v/>
      </c>
      <c r="D78" s="56" t="str">
        <f aca="false">IF($W78="","",INDEX(发票统计!D$4:D$1003,$W78)&amp;"")</f>
        <v/>
      </c>
      <c r="E78" s="56" t="str">
        <f aca="false">IF($W78="","",INDEX(发票统计!E$4:E$1003,$W78)&amp;"")</f>
        <v/>
      </c>
      <c r="F78" s="73" t="str">
        <f aca="false">IF($W78="","",INDEX(发票统计!F$4:F$1003,$W78)&amp;"")</f>
        <v/>
      </c>
      <c r="G78" s="68" t="str">
        <f aca="false">IF($W78="","",IF(INDEX(发票统计!G$4:G$1003,$W78)="","",INDEX(发票统计!G$4:G$1003,$W78)))</f>
        <v/>
      </c>
      <c r="H78" s="56" t="str">
        <f aca="false">IF($W78="","",N(INDEX(发票统计!H$4:H$1003,$W78)))</f>
        <v/>
      </c>
      <c r="I78" s="56" t="str">
        <f aca="false">IF($W78="","",N(INDEX(发票统计!I$4:I$1003,$W78)))</f>
        <v/>
      </c>
      <c r="J78" s="56" t="str">
        <f aca="false">IF($W78="","",N(INDEX(发票统计!J$4:J$1003,$W78)))</f>
        <v/>
      </c>
      <c r="K78" s="56" t="str">
        <f aca="false">IF($W78="","",N(INDEX(发票统计!K$4:K$1003,$W78)))</f>
        <v/>
      </c>
      <c r="L78" s="56" t="str">
        <f aca="false">IF($W78="","",SUM(J$4:J78)-SUM(K$4:K78))</f>
        <v/>
      </c>
      <c r="M78" s="56" t="str">
        <f aca="false">IF($W78="","",N(INDEX(发票统计!M$4:M$1003,$W78)))</f>
        <v/>
      </c>
      <c r="N78" s="56" t="str">
        <f aca="false">IF($W78="","",N(INDEX(发票统计!N$4:N$1003,$W78)))</f>
        <v/>
      </c>
      <c r="O78" s="56" t="str">
        <f aca="false">IF($W78="","",N(INDEX(发票统计!O$4:O$1003,$W78)))</f>
        <v/>
      </c>
      <c r="P78" s="56" t="str">
        <f aca="false">IF($W78="","",SUM(M$4:M78)-SUM(N$4:N78)-SUM(O$4:O78))</f>
        <v/>
      </c>
      <c r="Q78" s="56" t="str">
        <f aca="false">IF($W78="","",N(INDEX(发票统计!Q$4:Q$1003,$W78)))</f>
        <v/>
      </c>
      <c r="R78" s="56" t="str">
        <f aca="false">IF($W78="","",N(INDEX(发票统计!R$4:R$1003,$W78)))</f>
        <v/>
      </c>
      <c r="S78" s="56" t="str">
        <f aca="false">IF($W78="","",N(INDEX(发票统计!S$4:S$1003,$W78)))</f>
        <v/>
      </c>
      <c r="T78" s="56" t="str">
        <f aca="false">IF($W78="","",SUM(Q$4:Q78)-SUM(R$4:R78)-SUM(S$4:S78))</f>
        <v/>
      </c>
      <c r="U78" s="56" t="str">
        <f aca="false">IF($W78="","",INDEX(发票统计!U$4:U$1003,$W78)&amp;"")</f>
        <v/>
      </c>
      <c r="W78" s="1" t="str">
        <f aca="false">IF($V$3="","",IFERROR(MATCH($V$3&amp;"#"&amp;ROWS(W$4:W78),发票统计!$W$4:$W$1003,0),""))</f>
        <v/>
      </c>
    </row>
    <row r="79" customFormat="false" ht="16.5" hidden="false" customHeight="false" outlineLevel="0" collapsed="false">
      <c r="A79" s="56" t="str">
        <f aca="false">IF($W79="","",INDEX(发票统计!A$4:A$1003,$W79)&amp;"")</f>
        <v/>
      </c>
      <c r="B79" s="56" t="str">
        <f aca="false">IF($W79="","",INDEX(发票统计!B$4:B$1003,$W79)&amp;"")</f>
        <v/>
      </c>
      <c r="C79" s="56" t="str">
        <f aca="false">IF($W79="","",INDEX(发票统计!C$4:C$1003,$W79)&amp;"")</f>
        <v/>
      </c>
      <c r="D79" s="56" t="str">
        <f aca="false">IF($W79="","",INDEX(发票统计!D$4:D$1003,$W79)&amp;"")</f>
        <v/>
      </c>
      <c r="E79" s="56" t="str">
        <f aca="false">IF($W79="","",INDEX(发票统计!E$4:E$1003,$W79)&amp;"")</f>
        <v/>
      </c>
      <c r="F79" s="73" t="str">
        <f aca="false">IF($W79="","",INDEX(发票统计!F$4:F$1003,$W79)&amp;"")</f>
        <v/>
      </c>
      <c r="G79" s="68" t="str">
        <f aca="false">IF($W79="","",IF(INDEX(发票统计!G$4:G$1003,$W79)="","",INDEX(发票统计!G$4:G$1003,$W79)))</f>
        <v/>
      </c>
      <c r="H79" s="56" t="str">
        <f aca="false">IF($W79="","",N(INDEX(发票统计!H$4:H$1003,$W79)))</f>
        <v/>
      </c>
      <c r="I79" s="56" t="str">
        <f aca="false">IF($W79="","",N(INDEX(发票统计!I$4:I$1003,$W79)))</f>
        <v/>
      </c>
      <c r="J79" s="56" t="str">
        <f aca="false">IF($W79="","",N(INDEX(发票统计!J$4:J$1003,$W79)))</f>
        <v/>
      </c>
      <c r="K79" s="56" t="str">
        <f aca="false">IF($W79="","",N(INDEX(发票统计!K$4:K$1003,$W79)))</f>
        <v/>
      </c>
      <c r="L79" s="56" t="str">
        <f aca="false">IF($W79="","",SUM(J$4:J79)-SUM(K$4:K79))</f>
        <v/>
      </c>
      <c r="M79" s="56" t="str">
        <f aca="false">IF($W79="","",N(INDEX(发票统计!M$4:M$1003,$W79)))</f>
        <v/>
      </c>
      <c r="N79" s="56" t="str">
        <f aca="false">IF($W79="","",N(INDEX(发票统计!N$4:N$1003,$W79)))</f>
        <v/>
      </c>
      <c r="O79" s="56" t="str">
        <f aca="false">IF($W79="","",N(INDEX(发票统计!O$4:O$1003,$W79)))</f>
        <v/>
      </c>
      <c r="P79" s="56" t="str">
        <f aca="false">IF($W79="","",SUM(M$4:M79)-SUM(N$4:N79)-SUM(O$4:O79))</f>
        <v/>
      </c>
      <c r="Q79" s="56" t="str">
        <f aca="false">IF($W79="","",N(INDEX(发票统计!Q$4:Q$1003,$W79)))</f>
        <v/>
      </c>
      <c r="R79" s="56" t="str">
        <f aca="false">IF($W79="","",N(INDEX(发票统计!R$4:R$1003,$W79)))</f>
        <v/>
      </c>
      <c r="S79" s="56" t="str">
        <f aca="false">IF($W79="","",N(INDEX(发票统计!S$4:S$1003,$W79)))</f>
        <v/>
      </c>
      <c r="T79" s="56" t="str">
        <f aca="false">IF($W79="","",SUM(Q$4:Q79)-SUM(R$4:R79)-SUM(S$4:S79))</f>
        <v/>
      </c>
      <c r="U79" s="56" t="str">
        <f aca="false">IF($W79="","",INDEX(发票统计!U$4:U$1003,$W79)&amp;"")</f>
        <v/>
      </c>
      <c r="W79" s="1" t="str">
        <f aca="false">IF($V$3="","",IFERROR(MATCH($V$3&amp;"#"&amp;ROWS(W$4:W79),发票统计!$W$4:$W$1003,0),""))</f>
        <v/>
      </c>
    </row>
    <row r="80" customFormat="false" ht="16.5" hidden="false" customHeight="false" outlineLevel="0" collapsed="false">
      <c r="A80" s="56" t="str">
        <f aca="false">IF($W80="","",INDEX(发票统计!A$4:A$1003,$W80)&amp;"")</f>
        <v/>
      </c>
      <c r="B80" s="56" t="str">
        <f aca="false">IF($W80="","",INDEX(发票统计!B$4:B$1003,$W80)&amp;"")</f>
        <v/>
      </c>
      <c r="C80" s="56" t="str">
        <f aca="false">IF($W80="","",INDEX(发票统计!C$4:C$1003,$W80)&amp;"")</f>
        <v/>
      </c>
      <c r="D80" s="56" t="str">
        <f aca="false">IF($W80="","",INDEX(发票统计!D$4:D$1003,$W80)&amp;"")</f>
        <v/>
      </c>
      <c r="E80" s="56" t="str">
        <f aca="false">IF($W80="","",INDEX(发票统计!E$4:E$1003,$W80)&amp;"")</f>
        <v/>
      </c>
      <c r="F80" s="73" t="str">
        <f aca="false">IF($W80="","",INDEX(发票统计!F$4:F$1003,$W80)&amp;"")</f>
        <v/>
      </c>
      <c r="G80" s="68" t="str">
        <f aca="false">IF($W80="","",IF(INDEX(发票统计!G$4:G$1003,$W80)="","",INDEX(发票统计!G$4:G$1003,$W80)))</f>
        <v/>
      </c>
      <c r="H80" s="56" t="str">
        <f aca="false">IF($W80="","",N(INDEX(发票统计!H$4:H$1003,$W80)))</f>
        <v/>
      </c>
      <c r="I80" s="56" t="str">
        <f aca="false">IF($W80="","",N(INDEX(发票统计!I$4:I$1003,$W80)))</f>
        <v/>
      </c>
      <c r="J80" s="56" t="str">
        <f aca="false">IF($W80="","",N(INDEX(发票统计!J$4:J$1003,$W80)))</f>
        <v/>
      </c>
      <c r="K80" s="56" t="str">
        <f aca="false">IF($W80="","",N(INDEX(发票统计!K$4:K$1003,$W80)))</f>
        <v/>
      </c>
      <c r="L80" s="56" t="str">
        <f aca="false">IF($W80="","",SUM(J$4:J80)-SUM(K$4:K80))</f>
        <v/>
      </c>
      <c r="M80" s="56" t="str">
        <f aca="false">IF($W80="","",N(INDEX(发票统计!M$4:M$1003,$W80)))</f>
        <v/>
      </c>
      <c r="N80" s="56" t="str">
        <f aca="false">IF($W80="","",N(INDEX(发票统计!N$4:N$1003,$W80)))</f>
        <v/>
      </c>
      <c r="O80" s="56" t="str">
        <f aca="false">IF($W80="","",N(INDEX(发票统计!O$4:O$1003,$W80)))</f>
        <v/>
      </c>
      <c r="P80" s="56" t="str">
        <f aca="false">IF($W80="","",SUM(M$4:M80)-SUM(N$4:N80)-SUM(O$4:O80))</f>
        <v/>
      </c>
      <c r="Q80" s="56" t="str">
        <f aca="false">IF($W80="","",N(INDEX(发票统计!Q$4:Q$1003,$W80)))</f>
        <v/>
      </c>
      <c r="R80" s="56" t="str">
        <f aca="false">IF($W80="","",N(INDEX(发票统计!R$4:R$1003,$W80)))</f>
        <v/>
      </c>
      <c r="S80" s="56" t="str">
        <f aca="false">IF($W80="","",N(INDEX(发票统计!S$4:S$1003,$W80)))</f>
        <v/>
      </c>
      <c r="T80" s="56" t="str">
        <f aca="false">IF($W80="","",SUM(Q$4:Q80)-SUM(R$4:R80)-SUM(S$4:S80))</f>
        <v/>
      </c>
      <c r="U80" s="56" t="str">
        <f aca="false">IF($W80="","",INDEX(发票统计!U$4:U$1003,$W80)&amp;"")</f>
        <v/>
      </c>
      <c r="W80" s="1" t="str">
        <f aca="false">IF($V$3="","",IFERROR(MATCH($V$3&amp;"#"&amp;ROWS(W$4:W80),发票统计!$W$4:$W$1003,0),""))</f>
        <v/>
      </c>
    </row>
    <row r="81" customFormat="false" ht="16.5" hidden="false" customHeight="false" outlineLevel="0" collapsed="false">
      <c r="A81" s="56" t="str">
        <f aca="false">IF($W81="","",INDEX(发票统计!A$4:A$1003,$W81)&amp;"")</f>
        <v/>
      </c>
      <c r="B81" s="56" t="str">
        <f aca="false">IF($W81="","",INDEX(发票统计!B$4:B$1003,$W81)&amp;"")</f>
        <v/>
      </c>
      <c r="C81" s="56" t="str">
        <f aca="false">IF($W81="","",INDEX(发票统计!C$4:C$1003,$W81)&amp;"")</f>
        <v/>
      </c>
      <c r="D81" s="56" t="str">
        <f aca="false">IF($W81="","",INDEX(发票统计!D$4:D$1003,$W81)&amp;"")</f>
        <v/>
      </c>
      <c r="E81" s="56" t="str">
        <f aca="false">IF($W81="","",INDEX(发票统计!E$4:E$1003,$W81)&amp;"")</f>
        <v/>
      </c>
      <c r="F81" s="73" t="str">
        <f aca="false">IF($W81="","",INDEX(发票统计!F$4:F$1003,$W81)&amp;"")</f>
        <v/>
      </c>
      <c r="G81" s="68" t="str">
        <f aca="false">IF($W81="","",IF(INDEX(发票统计!G$4:G$1003,$W81)="","",INDEX(发票统计!G$4:G$1003,$W81)))</f>
        <v/>
      </c>
      <c r="H81" s="56" t="str">
        <f aca="false">IF($W81="","",N(INDEX(发票统计!H$4:H$1003,$W81)))</f>
        <v/>
      </c>
      <c r="I81" s="56" t="str">
        <f aca="false">IF($W81="","",N(INDEX(发票统计!I$4:I$1003,$W81)))</f>
        <v/>
      </c>
      <c r="J81" s="56" t="str">
        <f aca="false">IF($W81="","",N(INDEX(发票统计!J$4:J$1003,$W81)))</f>
        <v/>
      </c>
      <c r="K81" s="56" t="str">
        <f aca="false">IF($W81="","",N(INDEX(发票统计!K$4:K$1003,$W81)))</f>
        <v/>
      </c>
      <c r="L81" s="56" t="str">
        <f aca="false">IF($W81="","",SUM(J$4:J81)-SUM(K$4:K81))</f>
        <v/>
      </c>
      <c r="M81" s="56" t="str">
        <f aca="false">IF($W81="","",N(INDEX(发票统计!M$4:M$1003,$W81)))</f>
        <v/>
      </c>
      <c r="N81" s="56" t="str">
        <f aca="false">IF($W81="","",N(INDEX(发票统计!N$4:N$1003,$W81)))</f>
        <v/>
      </c>
      <c r="O81" s="56" t="str">
        <f aca="false">IF($W81="","",N(INDEX(发票统计!O$4:O$1003,$W81)))</f>
        <v/>
      </c>
      <c r="P81" s="56" t="str">
        <f aca="false">IF($W81="","",SUM(M$4:M81)-SUM(N$4:N81)-SUM(O$4:O81))</f>
        <v/>
      </c>
      <c r="Q81" s="56" t="str">
        <f aca="false">IF($W81="","",N(INDEX(发票统计!Q$4:Q$1003,$W81)))</f>
        <v/>
      </c>
      <c r="R81" s="56" t="str">
        <f aca="false">IF($W81="","",N(INDEX(发票统计!R$4:R$1003,$W81)))</f>
        <v/>
      </c>
      <c r="S81" s="56" t="str">
        <f aca="false">IF($W81="","",N(INDEX(发票统计!S$4:S$1003,$W81)))</f>
        <v/>
      </c>
      <c r="T81" s="56" t="str">
        <f aca="false">IF($W81="","",SUM(Q$4:Q81)-SUM(R$4:R81)-SUM(S$4:S81))</f>
        <v/>
      </c>
      <c r="U81" s="56" t="str">
        <f aca="false">IF($W81="","",INDEX(发票统计!U$4:U$1003,$W81)&amp;"")</f>
        <v/>
      </c>
      <c r="W81" s="1" t="str">
        <f aca="false">IF($V$3="","",IFERROR(MATCH($V$3&amp;"#"&amp;ROWS(W$4:W81),发票统计!$W$4:$W$1003,0),""))</f>
        <v/>
      </c>
    </row>
    <row r="82" customFormat="false" ht="16.5" hidden="false" customHeight="false" outlineLevel="0" collapsed="false">
      <c r="A82" s="56" t="str">
        <f aca="false">IF($W82="","",INDEX(发票统计!A$4:A$1003,$W82)&amp;"")</f>
        <v/>
      </c>
      <c r="B82" s="56" t="str">
        <f aca="false">IF($W82="","",INDEX(发票统计!B$4:B$1003,$W82)&amp;"")</f>
        <v/>
      </c>
      <c r="C82" s="56" t="str">
        <f aca="false">IF($W82="","",INDEX(发票统计!C$4:C$1003,$W82)&amp;"")</f>
        <v/>
      </c>
      <c r="D82" s="56" t="str">
        <f aca="false">IF($W82="","",INDEX(发票统计!D$4:D$1003,$W82)&amp;"")</f>
        <v/>
      </c>
      <c r="E82" s="56" t="str">
        <f aca="false">IF($W82="","",INDEX(发票统计!E$4:E$1003,$W82)&amp;"")</f>
        <v/>
      </c>
      <c r="F82" s="73" t="str">
        <f aca="false">IF($W82="","",INDEX(发票统计!F$4:F$1003,$W82)&amp;"")</f>
        <v/>
      </c>
      <c r="G82" s="68" t="str">
        <f aca="false">IF($W82="","",IF(INDEX(发票统计!G$4:G$1003,$W82)="","",INDEX(发票统计!G$4:G$1003,$W82)))</f>
        <v/>
      </c>
      <c r="H82" s="56" t="str">
        <f aca="false">IF($W82="","",N(INDEX(发票统计!H$4:H$1003,$W82)))</f>
        <v/>
      </c>
      <c r="I82" s="56" t="str">
        <f aca="false">IF($W82="","",N(INDEX(发票统计!I$4:I$1003,$W82)))</f>
        <v/>
      </c>
      <c r="J82" s="56" t="str">
        <f aca="false">IF($W82="","",N(INDEX(发票统计!J$4:J$1003,$W82)))</f>
        <v/>
      </c>
      <c r="K82" s="56" t="str">
        <f aca="false">IF($W82="","",N(INDEX(发票统计!K$4:K$1003,$W82)))</f>
        <v/>
      </c>
      <c r="L82" s="56" t="str">
        <f aca="false">IF($W82="","",SUM(J$4:J82)-SUM(K$4:K82))</f>
        <v/>
      </c>
      <c r="M82" s="56" t="str">
        <f aca="false">IF($W82="","",N(INDEX(发票统计!M$4:M$1003,$W82)))</f>
        <v/>
      </c>
      <c r="N82" s="56" t="str">
        <f aca="false">IF($W82="","",N(INDEX(发票统计!N$4:N$1003,$W82)))</f>
        <v/>
      </c>
      <c r="O82" s="56" t="str">
        <f aca="false">IF($W82="","",N(INDEX(发票统计!O$4:O$1003,$W82)))</f>
        <v/>
      </c>
      <c r="P82" s="56" t="str">
        <f aca="false">IF($W82="","",SUM(M$4:M82)-SUM(N$4:N82)-SUM(O$4:O82))</f>
        <v/>
      </c>
      <c r="Q82" s="56" t="str">
        <f aca="false">IF($W82="","",N(INDEX(发票统计!Q$4:Q$1003,$W82)))</f>
        <v/>
      </c>
      <c r="R82" s="56" t="str">
        <f aca="false">IF($W82="","",N(INDEX(发票统计!R$4:R$1003,$W82)))</f>
        <v/>
      </c>
      <c r="S82" s="56" t="str">
        <f aca="false">IF($W82="","",N(INDEX(发票统计!S$4:S$1003,$W82)))</f>
        <v/>
      </c>
      <c r="T82" s="56" t="str">
        <f aca="false">IF($W82="","",SUM(Q$4:Q82)-SUM(R$4:R82)-SUM(S$4:S82))</f>
        <v/>
      </c>
      <c r="U82" s="56" t="str">
        <f aca="false">IF($W82="","",INDEX(发票统计!U$4:U$1003,$W82)&amp;"")</f>
        <v/>
      </c>
      <c r="W82" s="1" t="str">
        <f aca="false">IF($V$3="","",IFERROR(MATCH($V$3&amp;"#"&amp;ROWS(W$4:W82),发票统计!$W$4:$W$1003,0),""))</f>
        <v/>
      </c>
    </row>
    <row r="83" customFormat="false" ht="16.5" hidden="false" customHeight="false" outlineLevel="0" collapsed="false">
      <c r="A83" s="56" t="str">
        <f aca="false">IF($W83="","",INDEX(发票统计!A$4:A$1003,$W83)&amp;"")</f>
        <v/>
      </c>
      <c r="B83" s="56" t="str">
        <f aca="false">IF($W83="","",INDEX(发票统计!B$4:B$1003,$W83)&amp;"")</f>
        <v/>
      </c>
      <c r="C83" s="56" t="str">
        <f aca="false">IF($W83="","",INDEX(发票统计!C$4:C$1003,$W83)&amp;"")</f>
        <v/>
      </c>
      <c r="D83" s="56" t="str">
        <f aca="false">IF($W83="","",INDEX(发票统计!D$4:D$1003,$W83)&amp;"")</f>
        <v/>
      </c>
      <c r="E83" s="56" t="str">
        <f aca="false">IF($W83="","",INDEX(发票统计!E$4:E$1003,$W83)&amp;"")</f>
        <v/>
      </c>
      <c r="F83" s="73" t="str">
        <f aca="false">IF($W83="","",INDEX(发票统计!F$4:F$1003,$W83)&amp;"")</f>
        <v/>
      </c>
      <c r="G83" s="68" t="str">
        <f aca="false">IF($W83="","",IF(INDEX(发票统计!G$4:G$1003,$W83)="","",INDEX(发票统计!G$4:G$1003,$W83)))</f>
        <v/>
      </c>
      <c r="H83" s="56" t="str">
        <f aca="false">IF($W83="","",N(INDEX(发票统计!H$4:H$1003,$W83)))</f>
        <v/>
      </c>
      <c r="I83" s="56" t="str">
        <f aca="false">IF($W83="","",N(INDEX(发票统计!I$4:I$1003,$W83)))</f>
        <v/>
      </c>
      <c r="J83" s="56" t="str">
        <f aca="false">IF($W83="","",N(INDEX(发票统计!J$4:J$1003,$W83)))</f>
        <v/>
      </c>
      <c r="K83" s="56" t="str">
        <f aca="false">IF($W83="","",N(INDEX(发票统计!K$4:K$1003,$W83)))</f>
        <v/>
      </c>
      <c r="L83" s="56" t="str">
        <f aca="false">IF($W83="","",SUM(J$4:J83)-SUM(K$4:K83))</f>
        <v/>
      </c>
      <c r="M83" s="56" t="str">
        <f aca="false">IF($W83="","",N(INDEX(发票统计!M$4:M$1003,$W83)))</f>
        <v/>
      </c>
      <c r="N83" s="56" t="str">
        <f aca="false">IF($W83="","",N(INDEX(发票统计!N$4:N$1003,$W83)))</f>
        <v/>
      </c>
      <c r="O83" s="56" t="str">
        <f aca="false">IF($W83="","",N(INDEX(发票统计!O$4:O$1003,$W83)))</f>
        <v/>
      </c>
      <c r="P83" s="56" t="str">
        <f aca="false">IF($W83="","",SUM(M$4:M83)-SUM(N$4:N83)-SUM(O$4:O83))</f>
        <v/>
      </c>
      <c r="Q83" s="56" t="str">
        <f aca="false">IF($W83="","",N(INDEX(发票统计!Q$4:Q$1003,$W83)))</f>
        <v/>
      </c>
      <c r="R83" s="56" t="str">
        <f aca="false">IF($W83="","",N(INDEX(发票统计!R$4:R$1003,$W83)))</f>
        <v/>
      </c>
      <c r="S83" s="56" t="str">
        <f aca="false">IF($W83="","",N(INDEX(发票统计!S$4:S$1003,$W83)))</f>
        <v/>
      </c>
      <c r="T83" s="56" t="str">
        <f aca="false">IF($W83="","",SUM(Q$4:Q83)-SUM(R$4:R83)-SUM(S$4:S83))</f>
        <v/>
      </c>
      <c r="U83" s="56" t="str">
        <f aca="false">IF($W83="","",INDEX(发票统计!U$4:U$1003,$W83)&amp;"")</f>
        <v/>
      </c>
      <c r="W83" s="1" t="str">
        <f aca="false">IF($V$3="","",IFERROR(MATCH($V$3&amp;"#"&amp;ROWS(W$4:W83),发票统计!$W$4:$W$1003,0),""))</f>
        <v/>
      </c>
    </row>
    <row r="84" customFormat="false" ht="16.5" hidden="false" customHeight="false" outlineLevel="0" collapsed="false">
      <c r="A84" s="56" t="str">
        <f aca="false">IF($W84="","",INDEX(发票统计!A$4:A$1003,$W84)&amp;"")</f>
        <v/>
      </c>
      <c r="B84" s="56" t="str">
        <f aca="false">IF($W84="","",INDEX(发票统计!B$4:B$1003,$W84)&amp;"")</f>
        <v/>
      </c>
      <c r="C84" s="56" t="str">
        <f aca="false">IF($W84="","",INDEX(发票统计!C$4:C$1003,$W84)&amp;"")</f>
        <v/>
      </c>
      <c r="D84" s="56" t="str">
        <f aca="false">IF($W84="","",INDEX(发票统计!D$4:D$1003,$W84)&amp;"")</f>
        <v/>
      </c>
      <c r="E84" s="56" t="str">
        <f aca="false">IF($W84="","",INDEX(发票统计!E$4:E$1003,$W84)&amp;"")</f>
        <v/>
      </c>
      <c r="F84" s="73" t="str">
        <f aca="false">IF($W84="","",INDEX(发票统计!F$4:F$1003,$W84)&amp;"")</f>
        <v/>
      </c>
      <c r="G84" s="68" t="str">
        <f aca="false">IF($W84="","",IF(INDEX(发票统计!G$4:G$1003,$W84)="","",INDEX(发票统计!G$4:G$1003,$W84)))</f>
        <v/>
      </c>
      <c r="H84" s="56" t="str">
        <f aca="false">IF($W84="","",N(INDEX(发票统计!H$4:H$1003,$W84)))</f>
        <v/>
      </c>
      <c r="I84" s="56" t="str">
        <f aca="false">IF($W84="","",N(INDEX(发票统计!I$4:I$1003,$W84)))</f>
        <v/>
      </c>
      <c r="J84" s="56" t="str">
        <f aca="false">IF($W84="","",N(INDEX(发票统计!J$4:J$1003,$W84)))</f>
        <v/>
      </c>
      <c r="K84" s="56" t="str">
        <f aca="false">IF($W84="","",N(INDEX(发票统计!K$4:K$1003,$W84)))</f>
        <v/>
      </c>
      <c r="L84" s="56" t="str">
        <f aca="false">IF($W84="","",SUM(J$4:J84)-SUM(K$4:K84))</f>
        <v/>
      </c>
      <c r="M84" s="56" t="str">
        <f aca="false">IF($W84="","",N(INDEX(发票统计!M$4:M$1003,$W84)))</f>
        <v/>
      </c>
      <c r="N84" s="56" t="str">
        <f aca="false">IF($W84="","",N(INDEX(发票统计!N$4:N$1003,$W84)))</f>
        <v/>
      </c>
      <c r="O84" s="56" t="str">
        <f aca="false">IF($W84="","",N(INDEX(发票统计!O$4:O$1003,$W84)))</f>
        <v/>
      </c>
      <c r="P84" s="56" t="str">
        <f aca="false">IF($W84="","",SUM(M$4:M84)-SUM(N$4:N84)-SUM(O$4:O84))</f>
        <v/>
      </c>
      <c r="Q84" s="56" t="str">
        <f aca="false">IF($W84="","",N(INDEX(发票统计!Q$4:Q$1003,$W84)))</f>
        <v/>
      </c>
      <c r="R84" s="56" t="str">
        <f aca="false">IF($W84="","",N(INDEX(发票统计!R$4:R$1003,$W84)))</f>
        <v/>
      </c>
      <c r="S84" s="56" t="str">
        <f aca="false">IF($W84="","",N(INDEX(发票统计!S$4:S$1003,$W84)))</f>
        <v/>
      </c>
      <c r="T84" s="56" t="str">
        <f aca="false">IF($W84="","",SUM(Q$4:Q84)-SUM(R$4:R84)-SUM(S$4:S84))</f>
        <v/>
      </c>
      <c r="U84" s="56" t="str">
        <f aca="false">IF($W84="","",INDEX(发票统计!U$4:U$1003,$W84)&amp;"")</f>
        <v/>
      </c>
      <c r="W84" s="1" t="str">
        <f aca="false">IF($V$3="","",IFERROR(MATCH($V$3&amp;"#"&amp;ROWS(W$4:W84),发票统计!$W$4:$W$1003,0),""))</f>
        <v/>
      </c>
    </row>
    <row r="85" customFormat="false" ht="16.5" hidden="false" customHeight="false" outlineLevel="0" collapsed="false">
      <c r="A85" s="56" t="str">
        <f aca="false">IF($W85="","",INDEX(发票统计!A$4:A$1003,$W85)&amp;"")</f>
        <v/>
      </c>
      <c r="B85" s="56" t="str">
        <f aca="false">IF($W85="","",INDEX(发票统计!B$4:B$1003,$W85)&amp;"")</f>
        <v/>
      </c>
      <c r="C85" s="56" t="str">
        <f aca="false">IF($W85="","",INDEX(发票统计!C$4:C$1003,$W85)&amp;"")</f>
        <v/>
      </c>
      <c r="D85" s="56" t="str">
        <f aca="false">IF($W85="","",INDEX(发票统计!D$4:D$1003,$W85)&amp;"")</f>
        <v/>
      </c>
      <c r="E85" s="56" t="str">
        <f aca="false">IF($W85="","",INDEX(发票统计!E$4:E$1003,$W85)&amp;"")</f>
        <v/>
      </c>
      <c r="F85" s="73" t="str">
        <f aca="false">IF($W85="","",INDEX(发票统计!F$4:F$1003,$W85)&amp;"")</f>
        <v/>
      </c>
      <c r="G85" s="68" t="str">
        <f aca="false">IF($W85="","",IF(INDEX(发票统计!G$4:G$1003,$W85)="","",INDEX(发票统计!G$4:G$1003,$W85)))</f>
        <v/>
      </c>
      <c r="H85" s="56" t="str">
        <f aca="false">IF($W85="","",N(INDEX(发票统计!H$4:H$1003,$W85)))</f>
        <v/>
      </c>
      <c r="I85" s="56" t="str">
        <f aca="false">IF($W85="","",N(INDEX(发票统计!I$4:I$1003,$W85)))</f>
        <v/>
      </c>
      <c r="J85" s="56" t="str">
        <f aca="false">IF($W85="","",N(INDEX(发票统计!J$4:J$1003,$W85)))</f>
        <v/>
      </c>
      <c r="K85" s="56" t="str">
        <f aca="false">IF($W85="","",N(INDEX(发票统计!K$4:K$1003,$W85)))</f>
        <v/>
      </c>
      <c r="L85" s="56" t="str">
        <f aca="false">IF($W85="","",SUM(J$4:J85)-SUM(K$4:K85))</f>
        <v/>
      </c>
      <c r="M85" s="56" t="str">
        <f aca="false">IF($W85="","",N(INDEX(发票统计!M$4:M$1003,$W85)))</f>
        <v/>
      </c>
      <c r="N85" s="56" t="str">
        <f aca="false">IF($W85="","",N(INDEX(发票统计!N$4:N$1003,$W85)))</f>
        <v/>
      </c>
      <c r="O85" s="56" t="str">
        <f aca="false">IF($W85="","",N(INDEX(发票统计!O$4:O$1003,$W85)))</f>
        <v/>
      </c>
      <c r="P85" s="56" t="str">
        <f aca="false">IF($W85="","",SUM(M$4:M85)-SUM(N$4:N85)-SUM(O$4:O85))</f>
        <v/>
      </c>
      <c r="Q85" s="56" t="str">
        <f aca="false">IF($W85="","",N(INDEX(发票统计!Q$4:Q$1003,$W85)))</f>
        <v/>
      </c>
      <c r="R85" s="56" t="str">
        <f aca="false">IF($W85="","",N(INDEX(发票统计!R$4:R$1003,$W85)))</f>
        <v/>
      </c>
      <c r="S85" s="56" t="str">
        <f aca="false">IF($W85="","",N(INDEX(发票统计!S$4:S$1003,$W85)))</f>
        <v/>
      </c>
      <c r="T85" s="56" t="str">
        <f aca="false">IF($W85="","",SUM(Q$4:Q85)-SUM(R$4:R85)-SUM(S$4:S85))</f>
        <v/>
      </c>
      <c r="U85" s="56" t="str">
        <f aca="false">IF($W85="","",INDEX(发票统计!U$4:U$1003,$W85)&amp;"")</f>
        <v/>
      </c>
      <c r="W85" s="1" t="str">
        <f aca="false">IF($V$3="","",IFERROR(MATCH($V$3&amp;"#"&amp;ROWS(W$4:W85),发票统计!$W$4:$W$1003,0),""))</f>
        <v/>
      </c>
    </row>
    <row r="86" customFormat="false" ht="16.5" hidden="false" customHeight="false" outlineLevel="0" collapsed="false">
      <c r="A86" s="56" t="str">
        <f aca="false">IF($W86="","",INDEX(发票统计!A$4:A$1003,$W86)&amp;"")</f>
        <v/>
      </c>
      <c r="B86" s="56" t="str">
        <f aca="false">IF($W86="","",INDEX(发票统计!B$4:B$1003,$W86)&amp;"")</f>
        <v/>
      </c>
      <c r="C86" s="56" t="str">
        <f aca="false">IF($W86="","",INDEX(发票统计!C$4:C$1003,$W86)&amp;"")</f>
        <v/>
      </c>
      <c r="D86" s="56" t="str">
        <f aca="false">IF($W86="","",INDEX(发票统计!D$4:D$1003,$W86)&amp;"")</f>
        <v/>
      </c>
      <c r="E86" s="56" t="str">
        <f aca="false">IF($W86="","",INDEX(发票统计!E$4:E$1003,$W86)&amp;"")</f>
        <v/>
      </c>
      <c r="F86" s="73" t="str">
        <f aca="false">IF($W86="","",INDEX(发票统计!F$4:F$1003,$W86)&amp;"")</f>
        <v/>
      </c>
      <c r="G86" s="68" t="str">
        <f aca="false">IF($W86="","",IF(INDEX(发票统计!G$4:G$1003,$W86)="","",INDEX(发票统计!G$4:G$1003,$W86)))</f>
        <v/>
      </c>
      <c r="H86" s="56" t="str">
        <f aca="false">IF($W86="","",N(INDEX(发票统计!H$4:H$1003,$W86)))</f>
        <v/>
      </c>
      <c r="I86" s="56" t="str">
        <f aca="false">IF($W86="","",N(INDEX(发票统计!I$4:I$1003,$W86)))</f>
        <v/>
      </c>
      <c r="J86" s="56" t="str">
        <f aca="false">IF($W86="","",N(INDEX(发票统计!J$4:J$1003,$W86)))</f>
        <v/>
      </c>
      <c r="K86" s="56" t="str">
        <f aca="false">IF($W86="","",N(INDEX(发票统计!K$4:K$1003,$W86)))</f>
        <v/>
      </c>
      <c r="L86" s="56" t="str">
        <f aca="false">IF($W86="","",SUM(J$4:J86)-SUM(K$4:K86))</f>
        <v/>
      </c>
      <c r="M86" s="56" t="str">
        <f aca="false">IF($W86="","",N(INDEX(发票统计!M$4:M$1003,$W86)))</f>
        <v/>
      </c>
      <c r="N86" s="56" t="str">
        <f aca="false">IF($W86="","",N(INDEX(发票统计!N$4:N$1003,$W86)))</f>
        <v/>
      </c>
      <c r="O86" s="56" t="str">
        <f aca="false">IF($W86="","",N(INDEX(发票统计!O$4:O$1003,$W86)))</f>
        <v/>
      </c>
      <c r="P86" s="56" t="str">
        <f aca="false">IF($W86="","",SUM(M$4:M86)-SUM(N$4:N86)-SUM(O$4:O86))</f>
        <v/>
      </c>
      <c r="Q86" s="56" t="str">
        <f aca="false">IF($W86="","",N(INDEX(发票统计!Q$4:Q$1003,$W86)))</f>
        <v/>
      </c>
      <c r="R86" s="56" t="str">
        <f aca="false">IF($W86="","",N(INDEX(发票统计!R$4:R$1003,$W86)))</f>
        <v/>
      </c>
      <c r="S86" s="56" t="str">
        <f aca="false">IF($W86="","",N(INDEX(发票统计!S$4:S$1003,$W86)))</f>
        <v/>
      </c>
      <c r="T86" s="56" t="str">
        <f aca="false">IF($W86="","",SUM(Q$4:Q86)-SUM(R$4:R86)-SUM(S$4:S86))</f>
        <v/>
      </c>
      <c r="U86" s="56" t="str">
        <f aca="false">IF($W86="","",INDEX(发票统计!U$4:U$1003,$W86)&amp;"")</f>
        <v/>
      </c>
      <c r="W86" s="1" t="str">
        <f aca="false">IF($V$3="","",IFERROR(MATCH($V$3&amp;"#"&amp;ROWS(W$4:W86),发票统计!$W$4:$W$1003,0),""))</f>
        <v/>
      </c>
    </row>
    <row r="87" customFormat="false" ht="16.5" hidden="false" customHeight="false" outlineLevel="0" collapsed="false">
      <c r="A87" s="56" t="str">
        <f aca="false">IF($W87="","",INDEX(发票统计!A$4:A$1003,$W87)&amp;"")</f>
        <v/>
      </c>
      <c r="B87" s="56" t="str">
        <f aca="false">IF($W87="","",INDEX(发票统计!B$4:B$1003,$W87)&amp;"")</f>
        <v/>
      </c>
      <c r="C87" s="56" t="str">
        <f aca="false">IF($W87="","",INDEX(发票统计!C$4:C$1003,$W87)&amp;"")</f>
        <v/>
      </c>
      <c r="D87" s="56" t="str">
        <f aca="false">IF($W87="","",INDEX(发票统计!D$4:D$1003,$W87)&amp;"")</f>
        <v/>
      </c>
      <c r="E87" s="56" t="str">
        <f aca="false">IF($W87="","",INDEX(发票统计!E$4:E$1003,$W87)&amp;"")</f>
        <v/>
      </c>
      <c r="F87" s="73" t="str">
        <f aca="false">IF($W87="","",INDEX(发票统计!F$4:F$1003,$W87)&amp;"")</f>
        <v/>
      </c>
      <c r="G87" s="68" t="str">
        <f aca="false">IF($W87="","",IF(INDEX(发票统计!G$4:G$1003,$W87)="","",INDEX(发票统计!G$4:G$1003,$W87)))</f>
        <v/>
      </c>
      <c r="H87" s="56" t="str">
        <f aca="false">IF($W87="","",N(INDEX(发票统计!H$4:H$1003,$W87)))</f>
        <v/>
      </c>
      <c r="I87" s="56" t="str">
        <f aca="false">IF($W87="","",N(INDEX(发票统计!I$4:I$1003,$W87)))</f>
        <v/>
      </c>
      <c r="J87" s="56" t="str">
        <f aca="false">IF($W87="","",N(INDEX(发票统计!J$4:J$1003,$W87)))</f>
        <v/>
      </c>
      <c r="K87" s="56" t="str">
        <f aca="false">IF($W87="","",N(INDEX(发票统计!K$4:K$1003,$W87)))</f>
        <v/>
      </c>
      <c r="L87" s="56" t="str">
        <f aca="false">IF($W87="","",SUM(J$4:J87)-SUM(K$4:K87))</f>
        <v/>
      </c>
      <c r="M87" s="56" t="str">
        <f aca="false">IF($W87="","",N(INDEX(发票统计!M$4:M$1003,$W87)))</f>
        <v/>
      </c>
      <c r="N87" s="56" t="str">
        <f aca="false">IF($W87="","",N(INDEX(发票统计!N$4:N$1003,$W87)))</f>
        <v/>
      </c>
      <c r="O87" s="56" t="str">
        <f aca="false">IF($W87="","",N(INDEX(发票统计!O$4:O$1003,$W87)))</f>
        <v/>
      </c>
      <c r="P87" s="56" t="str">
        <f aca="false">IF($W87="","",SUM(M$4:M87)-SUM(N$4:N87)-SUM(O$4:O87))</f>
        <v/>
      </c>
      <c r="Q87" s="56" t="str">
        <f aca="false">IF($W87="","",N(INDEX(发票统计!Q$4:Q$1003,$W87)))</f>
        <v/>
      </c>
      <c r="R87" s="56" t="str">
        <f aca="false">IF($W87="","",N(INDEX(发票统计!R$4:R$1003,$W87)))</f>
        <v/>
      </c>
      <c r="S87" s="56" t="str">
        <f aca="false">IF($W87="","",N(INDEX(发票统计!S$4:S$1003,$W87)))</f>
        <v/>
      </c>
      <c r="T87" s="56" t="str">
        <f aca="false">IF($W87="","",SUM(Q$4:Q87)-SUM(R$4:R87)-SUM(S$4:S87))</f>
        <v/>
      </c>
      <c r="U87" s="56" t="str">
        <f aca="false">IF($W87="","",INDEX(发票统计!U$4:U$1003,$W87)&amp;"")</f>
        <v/>
      </c>
      <c r="W87" s="1" t="str">
        <f aca="false">IF($V$3="","",IFERROR(MATCH($V$3&amp;"#"&amp;ROWS(W$4:W87),发票统计!$W$4:$W$1003,0),""))</f>
        <v/>
      </c>
    </row>
    <row r="88" customFormat="false" ht="16.5" hidden="false" customHeight="false" outlineLevel="0" collapsed="false">
      <c r="A88" s="56" t="str">
        <f aca="false">IF($W88="","",INDEX(发票统计!A$4:A$1003,$W88)&amp;"")</f>
        <v/>
      </c>
      <c r="B88" s="56" t="str">
        <f aca="false">IF($W88="","",INDEX(发票统计!B$4:B$1003,$W88)&amp;"")</f>
        <v/>
      </c>
      <c r="C88" s="56" t="str">
        <f aca="false">IF($W88="","",INDEX(发票统计!C$4:C$1003,$W88)&amp;"")</f>
        <v/>
      </c>
      <c r="D88" s="56" t="str">
        <f aca="false">IF($W88="","",INDEX(发票统计!D$4:D$1003,$W88)&amp;"")</f>
        <v/>
      </c>
      <c r="E88" s="56" t="str">
        <f aca="false">IF($W88="","",INDEX(发票统计!E$4:E$1003,$W88)&amp;"")</f>
        <v/>
      </c>
      <c r="F88" s="73" t="str">
        <f aca="false">IF($W88="","",INDEX(发票统计!F$4:F$1003,$W88)&amp;"")</f>
        <v/>
      </c>
      <c r="G88" s="68" t="str">
        <f aca="false">IF($W88="","",IF(INDEX(发票统计!G$4:G$1003,$W88)="","",INDEX(发票统计!G$4:G$1003,$W88)))</f>
        <v/>
      </c>
      <c r="H88" s="56" t="str">
        <f aca="false">IF($W88="","",N(INDEX(发票统计!H$4:H$1003,$W88)))</f>
        <v/>
      </c>
      <c r="I88" s="56" t="str">
        <f aca="false">IF($W88="","",N(INDEX(发票统计!I$4:I$1003,$W88)))</f>
        <v/>
      </c>
      <c r="J88" s="56" t="str">
        <f aca="false">IF($W88="","",N(INDEX(发票统计!J$4:J$1003,$W88)))</f>
        <v/>
      </c>
      <c r="K88" s="56" t="str">
        <f aca="false">IF($W88="","",N(INDEX(发票统计!K$4:K$1003,$W88)))</f>
        <v/>
      </c>
      <c r="L88" s="56" t="str">
        <f aca="false">IF($W88="","",SUM(J$4:J88)-SUM(K$4:K88))</f>
        <v/>
      </c>
      <c r="M88" s="56" t="str">
        <f aca="false">IF($W88="","",N(INDEX(发票统计!M$4:M$1003,$W88)))</f>
        <v/>
      </c>
      <c r="N88" s="56" t="str">
        <f aca="false">IF($W88="","",N(INDEX(发票统计!N$4:N$1003,$W88)))</f>
        <v/>
      </c>
      <c r="O88" s="56" t="str">
        <f aca="false">IF($W88="","",N(INDEX(发票统计!O$4:O$1003,$W88)))</f>
        <v/>
      </c>
      <c r="P88" s="56" t="str">
        <f aca="false">IF($W88="","",SUM(M$4:M88)-SUM(N$4:N88)-SUM(O$4:O88))</f>
        <v/>
      </c>
      <c r="Q88" s="56" t="str">
        <f aca="false">IF($W88="","",N(INDEX(发票统计!Q$4:Q$1003,$W88)))</f>
        <v/>
      </c>
      <c r="R88" s="56" t="str">
        <f aca="false">IF($W88="","",N(INDEX(发票统计!R$4:R$1003,$W88)))</f>
        <v/>
      </c>
      <c r="S88" s="56" t="str">
        <f aca="false">IF($W88="","",N(INDEX(发票统计!S$4:S$1003,$W88)))</f>
        <v/>
      </c>
      <c r="T88" s="56" t="str">
        <f aca="false">IF($W88="","",SUM(Q$4:Q88)-SUM(R$4:R88)-SUM(S$4:S88))</f>
        <v/>
      </c>
      <c r="U88" s="56" t="str">
        <f aca="false">IF($W88="","",INDEX(发票统计!U$4:U$1003,$W88)&amp;"")</f>
        <v/>
      </c>
      <c r="W88" s="1" t="str">
        <f aca="false">IF($V$3="","",IFERROR(MATCH($V$3&amp;"#"&amp;ROWS(W$4:W88),发票统计!$W$4:$W$1003,0),""))</f>
        <v/>
      </c>
    </row>
    <row r="89" customFormat="false" ht="16.5" hidden="false" customHeight="false" outlineLevel="0" collapsed="false">
      <c r="A89" s="56" t="str">
        <f aca="false">IF($W89="","",INDEX(发票统计!A$4:A$1003,$W89)&amp;"")</f>
        <v/>
      </c>
      <c r="B89" s="56" t="str">
        <f aca="false">IF($W89="","",INDEX(发票统计!B$4:B$1003,$W89)&amp;"")</f>
        <v/>
      </c>
      <c r="C89" s="56" t="str">
        <f aca="false">IF($W89="","",INDEX(发票统计!C$4:C$1003,$W89)&amp;"")</f>
        <v/>
      </c>
      <c r="D89" s="56" t="str">
        <f aca="false">IF($W89="","",INDEX(发票统计!D$4:D$1003,$W89)&amp;"")</f>
        <v/>
      </c>
      <c r="E89" s="56" t="str">
        <f aca="false">IF($W89="","",INDEX(发票统计!E$4:E$1003,$W89)&amp;"")</f>
        <v/>
      </c>
      <c r="F89" s="73" t="str">
        <f aca="false">IF($W89="","",INDEX(发票统计!F$4:F$1003,$W89)&amp;"")</f>
        <v/>
      </c>
      <c r="G89" s="68" t="str">
        <f aca="false">IF($W89="","",IF(INDEX(发票统计!G$4:G$1003,$W89)="","",INDEX(发票统计!G$4:G$1003,$W89)))</f>
        <v/>
      </c>
      <c r="H89" s="56" t="str">
        <f aca="false">IF($W89="","",N(INDEX(发票统计!H$4:H$1003,$W89)))</f>
        <v/>
      </c>
      <c r="I89" s="56" t="str">
        <f aca="false">IF($W89="","",N(INDEX(发票统计!I$4:I$1003,$W89)))</f>
        <v/>
      </c>
      <c r="J89" s="56" t="str">
        <f aca="false">IF($W89="","",N(INDEX(发票统计!J$4:J$1003,$W89)))</f>
        <v/>
      </c>
      <c r="K89" s="56" t="str">
        <f aca="false">IF($W89="","",N(INDEX(发票统计!K$4:K$1003,$W89)))</f>
        <v/>
      </c>
      <c r="L89" s="56" t="str">
        <f aca="false">IF($W89="","",SUM(J$4:J89)-SUM(K$4:K89))</f>
        <v/>
      </c>
      <c r="M89" s="56" t="str">
        <f aca="false">IF($W89="","",N(INDEX(发票统计!M$4:M$1003,$W89)))</f>
        <v/>
      </c>
      <c r="N89" s="56" t="str">
        <f aca="false">IF($W89="","",N(INDEX(发票统计!N$4:N$1003,$W89)))</f>
        <v/>
      </c>
      <c r="O89" s="56" t="str">
        <f aca="false">IF($W89="","",N(INDEX(发票统计!O$4:O$1003,$W89)))</f>
        <v/>
      </c>
      <c r="P89" s="56" t="str">
        <f aca="false">IF($W89="","",SUM(M$4:M89)-SUM(N$4:N89)-SUM(O$4:O89))</f>
        <v/>
      </c>
      <c r="Q89" s="56" t="str">
        <f aca="false">IF($W89="","",N(INDEX(发票统计!Q$4:Q$1003,$W89)))</f>
        <v/>
      </c>
      <c r="R89" s="56" t="str">
        <f aca="false">IF($W89="","",N(INDEX(发票统计!R$4:R$1003,$W89)))</f>
        <v/>
      </c>
      <c r="S89" s="56" t="str">
        <f aca="false">IF($W89="","",N(INDEX(发票统计!S$4:S$1003,$W89)))</f>
        <v/>
      </c>
      <c r="T89" s="56" t="str">
        <f aca="false">IF($W89="","",SUM(Q$4:Q89)-SUM(R$4:R89)-SUM(S$4:S89))</f>
        <v/>
      </c>
      <c r="U89" s="56" t="str">
        <f aca="false">IF($W89="","",INDEX(发票统计!U$4:U$1003,$W89)&amp;"")</f>
        <v/>
      </c>
      <c r="W89" s="1" t="str">
        <f aca="false">IF($V$3="","",IFERROR(MATCH($V$3&amp;"#"&amp;ROWS(W$4:W89),发票统计!$W$4:$W$1003,0),""))</f>
        <v/>
      </c>
    </row>
    <row r="90" customFormat="false" ht="16.5" hidden="false" customHeight="false" outlineLevel="0" collapsed="false">
      <c r="A90" s="56" t="str">
        <f aca="false">IF($W90="","",INDEX(发票统计!A$4:A$1003,$W90)&amp;"")</f>
        <v/>
      </c>
      <c r="B90" s="56" t="str">
        <f aca="false">IF($W90="","",INDEX(发票统计!B$4:B$1003,$W90)&amp;"")</f>
        <v/>
      </c>
      <c r="C90" s="56" t="str">
        <f aca="false">IF($W90="","",INDEX(发票统计!C$4:C$1003,$W90)&amp;"")</f>
        <v/>
      </c>
      <c r="D90" s="56" t="str">
        <f aca="false">IF($W90="","",INDEX(发票统计!D$4:D$1003,$W90)&amp;"")</f>
        <v/>
      </c>
      <c r="E90" s="56" t="str">
        <f aca="false">IF($W90="","",INDEX(发票统计!E$4:E$1003,$W90)&amp;"")</f>
        <v/>
      </c>
      <c r="F90" s="73" t="str">
        <f aca="false">IF($W90="","",INDEX(发票统计!F$4:F$1003,$W90)&amp;"")</f>
        <v/>
      </c>
      <c r="G90" s="68" t="str">
        <f aca="false">IF($W90="","",IF(INDEX(发票统计!G$4:G$1003,$W90)="","",INDEX(发票统计!G$4:G$1003,$W90)))</f>
        <v/>
      </c>
      <c r="H90" s="56" t="str">
        <f aca="false">IF($W90="","",N(INDEX(发票统计!H$4:H$1003,$W90)))</f>
        <v/>
      </c>
      <c r="I90" s="56" t="str">
        <f aca="false">IF($W90="","",N(INDEX(发票统计!I$4:I$1003,$W90)))</f>
        <v/>
      </c>
      <c r="J90" s="56" t="str">
        <f aca="false">IF($W90="","",N(INDEX(发票统计!J$4:J$1003,$W90)))</f>
        <v/>
      </c>
      <c r="K90" s="56" t="str">
        <f aca="false">IF($W90="","",N(INDEX(发票统计!K$4:K$1003,$W90)))</f>
        <v/>
      </c>
      <c r="L90" s="56" t="str">
        <f aca="false">IF($W90="","",SUM(J$4:J90)-SUM(K$4:K90))</f>
        <v/>
      </c>
      <c r="M90" s="56" t="str">
        <f aca="false">IF($W90="","",N(INDEX(发票统计!M$4:M$1003,$W90)))</f>
        <v/>
      </c>
      <c r="N90" s="56" t="str">
        <f aca="false">IF($W90="","",N(INDEX(发票统计!N$4:N$1003,$W90)))</f>
        <v/>
      </c>
      <c r="O90" s="56" t="str">
        <f aca="false">IF($W90="","",N(INDEX(发票统计!O$4:O$1003,$W90)))</f>
        <v/>
      </c>
      <c r="P90" s="56" t="str">
        <f aca="false">IF($W90="","",SUM(M$4:M90)-SUM(N$4:N90)-SUM(O$4:O90))</f>
        <v/>
      </c>
      <c r="Q90" s="56" t="str">
        <f aca="false">IF($W90="","",N(INDEX(发票统计!Q$4:Q$1003,$W90)))</f>
        <v/>
      </c>
      <c r="R90" s="56" t="str">
        <f aca="false">IF($W90="","",N(INDEX(发票统计!R$4:R$1003,$W90)))</f>
        <v/>
      </c>
      <c r="S90" s="56" t="str">
        <f aca="false">IF($W90="","",N(INDEX(发票统计!S$4:S$1003,$W90)))</f>
        <v/>
      </c>
      <c r="T90" s="56" t="str">
        <f aca="false">IF($W90="","",SUM(Q$4:Q90)-SUM(R$4:R90)-SUM(S$4:S90))</f>
        <v/>
      </c>
      <c r="U90" s="56" t="str">
        <f aca="false">IF($W90="","",INDEX(发票统计!U$4:U$1003,$W90)&amp;"")</f>
        <v/>
      </c>
      <c r="W90" s="1" t="str">
        <f aca="false">IF($V$3="","",IFERROR(MATCH($V$3&amp;"#"&amp;ROWS(W$4:W90),发票统计!$W$4:$W$1003,0),""))</f>
        <v/>
      </c>
    </row>
    <row r="91" customFormat="false" ht="16.5" hidden="false" customHeight="false" outlineLevel="0" collapsed="false">
      <c r="A91" s="56" t="str">
        <f aca="false">IF($W91="","",INDEX(发票统计!A$4:A$1003,$W91)&amp;"")</f>
        <v/>
      </c>
      <c r="B91" s="56" t="str">
        <f aca="false">IF($W91="","",INDEX(发票统计!B$4:B$1003,$W91)&amp;"")</f>
        <v/>
      </c>
      <c r="C91" s="56" t="str">
        <f aca="false">IF($W91="","",INDEX(发票统计!C$4:C$1003,$W91)&amp;"")</f>
        <v/>
      </c>
      <c r="D91" s="56" t="str">
        <f aca="false">IF($W91="","",INDEX(发票统计!D$4:D$1003,$W91)&amp;"")</f>
        <v/>
      </c>
      <c r="E91" s="56" t="str">
        <f aca="false">IF($W91="","",INDEX(发票统计!E$4:E$1003,$W91)&amp;"")</f>
        <v/>
      </c>
      <c r="F91" s="73" t="str">
        <f aca="false">IF($W91="","",INDEX(发票统计!F$4:F$1003,$W91)&amp;"")</f>
        <v/>
      </c>
      <c r="G91" s="68" t="str">
        <f aca="false">IF($W91="","",IF(INDEX(发票统计!G$4:G$1003,$W91)="","",INDEX(发票统计!G$4:G$1003,$W91)))</f>
        <v/>
      </c>
      <c r="H91" s="56" t="str">
        <f aca="false">IF($W91="","",N(INDEX(发票统计!H$4:H$1003,$W91)))</f>
        <v/>
      </c>
      <c r="I91" s="56" t="str">
        <f aca="false">IF($W91="","",N(INDEX(发票统计!I$4:I$1003,$W91)))</f>
        <v/>
      </c>
      <c r="J91" s="56" t="str">
        <f aca="false">IF($W91="","",N(INDEX(发票统计!J$4:J$1003,$W91)))</f>
        <v/>
      </c>
      <c r="K91" s="56" t="str">
        <f aca="false">IF($W91="","",N(INDEX(发票统计!K$4:K$1003,$W91)))</f>
        <v/>
      </c>
      <c r="L91" s="56" t="str">
        <f aca="false">IF($W91="","",SUM(J$4:J91)-SUM(K$4:K91))</f>
        <v/>
      </c>
      <c r="M91" s="56" t="str">
        <f aca="false">IF($W91="","",N(INDEX(发票统计!M$4:M$1003,$W91)))</f>
        <v/>
      </c>
      <c r="N91" s="56" t="str">
        <f aca="false">IF($W91="","",N(INDEX(发票统计!N$4:N$1003,$W91)))</f>
        <v/>
      </c>
      <c r="O91" s="56" t="str">
        <f aca="false">IF($W91="","",N(INDEX(发票统计!O$4:O$1003,$W91)))</f>
        <v/>
      </c>
      <c r="P91" s="56" t="str">
        <f aca="false">IF($W91="","",SUM(M$4:M91)-SUM(N$4:N91)-SUM(O$4:O91))</f>
        <v/>
      </c>
      <c r="Q91" s="56" t="str">
        <f aca="false">IF($W91="","",N(INDEX(发票统计!Q$4:Q$1003,$W91)))</f>
        <v/>
      </c>
      <c r="R91" s="56" t="str">
        <f aca="false">IF($W91="","",N(INDEX(发票统计!R$4:R$1003,$W91)))</f>
        <v/>
      </c>
      <c r="S91" s="56" t="str">
        <f aca="false">IF($W91="","",N(INDEX(发票统计!S$4:S$1003,$W91)))</f>
        <v/>
      </c>
      <c r="T91" s="56" t="str">
        <f aca="false">IF($W91="","",SUM(Q$4:Q91)-SUM(R$4:R91)-SUM(S$4:S91))</f>
        <v/>
      </c>
      <c r="U91" s="56" t="str">
        <f aca="false">IF($W91="","",INDEX(发票统计!U$4:U$1003,$W91)&amp;"")</f>
        <v/>
      </c>
      <c r="W91" s="1" t="str">
        <f aca="false">IF($V$3="","",IFERROR(MATCH($V$3&amp;"#"&amp;ROWS(W$4:W91),发票统计!$W$4:$W$1003,0),""))</f>
        <v/>
      </c>
    </row>
    <row r="92" customFormat="false" ht="16.5" hidden="false" customHeight="false" outlineLevel="0" collapsed="false">
      <c r="A92" s="56" t="str">
        <f aca="false">IF($W92="","",INDEX(发票统计!A$4:A$1003,$W92)&amp;"")</f>
        <v/>
      </c>
      <c r="B92" s="56" t="str">
        <f aca="false">IF($W92="","",INDEX(发票统计!B$4:B$1003,$W92)&amp;"")</f>
        <v/>
      </c>
      <c r="C92" s="56" t="str">
        <f aca="false">IF($W92="","",INDEX(发票统计!C$4:C$1003,$W92)&amp;"")</f>
        <v/>
      </c>
      <c r="D92" s="56" t="str">
        <f aca="false">IF($W92="","",INDEX(发票统计!D$4:D$1003,$W92)&amp;"")</f>
        <v/>
      </c>
      <c r="E92" s="56" t="str">
        <f aca="false">IF($W92="","",INDEX(发票统计!E$4:E$1003,$W92)&amp;"")</f>
        <v/>
      </c>
      <c r="F92" s="73" t="str">
        <f aca="false">IF($W92="","",INDEX(发票统计!F$4:F$1003,$W92)&amp;"")</f>
        <v/>
      </c>
      <c r="G92" s="68" t="str">
        <f aca="false">IF($W92="","",IF(INDEX(发票统计!G$4:G$1003,$W92)="","",INDEX(发票统计!G$4:G$1003,$W92)))</f>
        <v/>
      </c>
      <c r="H92" s="56" t="str">
        <f aca="false">IF($W92="","",N(INDEX(发票统计!H$4:H$1003,$W92)))</f>
        <v/>
      </c>
      <c r="I92" s="56" t="str">
        <f aca="false">IF($W92="","",N(INDEX(发票统计!I$4:I$1003,$W92)))</f>
        <v/>
      </c>
      <c r="J92" s="56" t="str">
        <f aca="false">IF($W92="","",N(INDEX(发票统计!J$4:J$1003,$W92)))</f>
        <v/>
      </c>
      <c r="K92" s="56" t="str">
        <f aca="false">IF($W92="","",N(INDEX(发票统计!K$4:K$1003,$W92)))</f>
        <v/>
      </c>
      <c r="L92" s="56" t="str">
        <f aca="false">IF($W92="","",SUM(J$4:J92)-SUM(K$4:K92))</f>
        <v/>
      </c>
      <c r="M92" s="56" t="str">
        <f aca="false">IF($W92="","",N(INDEX(发票统计!M$4:M$1003,$W92)))</f>
        <v/>
      </c>
      <c r="N92" s="56" t="str">
        <f aca="false">IF($W92="","",N(INDEX(发票统计!N$4:N$1003,$W92)))</f>
        <v/>
      </c>
      <c r="O92" s="56" t="str">
        <f aca="false">IF($W92="","",N(INDEX(发票统计!O$4:O$1003,$W92)))</f>
        <v/>
      </c>
      <c r="P92" s="56" t="str">
        <f aca="false">IF($W92="","",SUM(M$4:M92)-SUM(N$4:N92)-SUM(O$4:O92))</f>
        <v/>
      </c>
      <c r="Q92" s="56" t="str">
        <f aca="false">IF($W92="","",N(INDEX(发票统计!Q$4:Q$1003,$W92)))</f>
        <v/>
      </c>
      <c r="R92" s="56" t="str">
        <f aca="false">IF($W92="","",N(INDEX(发票统计!R$4:R$1003,$W92)))</f>
        <v/>
      </c>
      <c r="S92" s="56" t="str">
        <f aca="false">IF($W92="","",N(INDEX(发票统计!S$4:S$1003,$W92)))</f>
        <v/>
      </c>
      <c r="T92" s="56" t="str">
        <f aca="false">IF($W92="","",SUM(Q$4:Q92)-SUM(R$4:R92)-SUM(S$4:S92))</f>
        <v/>
      </c>
      <c r="U92" s="56" t="str">
        <f aca="false">IF($W92="","",INDEX(发票统计!U$4:U$1003,$W92)&amp;"")</f>
        <v/>
      </c>
      <c r="W92" s="1" t="str">
        <f aca="false">IF($V$3="","",IFERROR(MATCH($V$3&amp;"#"&amp;ROWS(W$4:W92),发票统计!$W$4:$W$1003,0),""))</f>
        <v/>
      </c>
    </row>
    <row r="93" customFormat="false" ht="16.5" hidden="false" customHeight="false" outlineLevel="0" collapsed="false">
      <c r="A93" s="56" t="str">
        <f aca="false">IF($W93="","",INDEX(发票统计!A$4:A$1003,$W93)&amp;"")</f>
        <v/>
      </c>
      <c r="B93" s="56" t="str">
        <f aca="false">IF($W93="","",INDEX(发票统计!B$4:B$1003,$W93)&amp;"")</f>
        <v/>
      </c>
      <c r="C93" s="56" t="str">
        <f aca="false">IF($W93="","",INDEX(发票统计!C$4:C$1003,$W93)&amp;"")</f>
        <v/>
      </c>
      <c r="D93" s="56" t="str">
        <f aca="false">IF($W93="","",INDEX(发票统计!D$4:D$1003,$W93)&amp;"")</f>
        <v/>
      </c>
      <c r="E93" s="56" t="str">
        <f aca="false">IF($W93="","",INDEX(发票统计!E$4:E$1003,$W93)&amp;"")</f>
        <v/>
      </c>
      <c r="F93" s="73" t="str">
        <f aca="false">IF($W93="","",INDEX(发票统计!F$4:F$1003,$W93)&amp;"")</f>
        <v/>
      </c>
      <c r="G93" s="68" t="str">
        <f aca="false">IF($W93="","",IF(INDEX(发票统计!G$4:G$1003,$W93)="","",INDEX(发票统计!G$4:G$1003,$W93)))</f>
        <v/>
      </c>
      <c r="H93" s="56" t="str">
        <f aca="false">IF($W93="","",N(INDEX(发票统计!H$4:H$1003,$W93)))</f>
        <v/>
      </c>
      <c r="I93" s="56" t="str">
        <f aca="false">IF($W93="","",N(INDEX(发票统计!I$4:I$1003,$W93)))</f>
        <v/>
      </c>
      <c r="J93" s="56" t="str">
        <f aca="false">IF($W93="","",N(INDEX(发票统计!J$4:J$1003,$W93)))</f>
        <v/>
      </c>
      <c r="K93" s="56" t="str">
        <f aca="false">IF($W93="","",N(INDEX(发票统计!K$4:K$1003,$W93)))</f>
        <v/>
      </c>
      <c r="L93" s="56" t="str">
        <f aca="false">IF($W93="","",SUM(J$4:J93)-SUM(K$4:K93))</f>
        <v/>
      </c>
      <c r="M93" s="56" t="str">
        <f aca="false">IF($W93="","",N(INDEX(发票统计!M$4:M$1003,$W93)))</f>
        <v/>
      </c>
      <c r="N93" s="56" t="str">
        <f aca="false">IF($W93="","",N(INDEX(发票统计!N$4:N$1003,$W93)))</f>
        <v/>
      </c>
      <c r="O93" s="56" t="str">
        <f aca="false">IF($W93="","",N(INDEX(发票统计!O$4:O$1003,$W93)))</f>
        <v/>
      </c>
      <c r="P93" s="56" t="str">
        <f aca="false">IF($W93="","",SUM(M$4:M93)-SUM(N$4:N93)-SUM(O$4:O93))</f>
        <v/>
      </c>
      <c r="Q93" s="56" t="str">
        <f aca="false">IF($W93="","",N(INDEX(发票统计!Q$4:Q$1003,$W93)))</f>
        <v/>
      </c>
      <c r="R93" s="56" t="str">
        <f aca="false">IF($W93="","",N(INDEX(发票统计!R$4:R$1003,$W93)))</f>
        <v/>
      </c>
      <c r="S93" s="56" t="str">
        <f aca="false">IF($W93="","",N(INDEX(发票统计!S$4:S$1003,$W93)))</f>
        <v/>
      </c>
      <c r="T93" s="56" t="str">
        <f aca="false">IF($W93="","",SUM(Q$4:Q93)-SUM(R$4:R93)-SUM(S$4:S93))</f>
        <v/>
      </c>
      <c r="U93" s="56" t="str">
        <f aca="false">IF($W93="","",INDEX(发票统计!U$4:U$1003,$W93)&amp;"")</f>
        <v/>
      </c>
      <c r="W93" s="1" t="str">
        <f aca="false">IF($V$3="","",IFERROR(MATCH($V$3&amp;"#"&amp;ROWS(W$4:W93),发票统计!$W$4:$W$1003,0),""))</f>
        <v/>
      </c>
    </row>
    <row r="94" customFormat="false" ht="16.5" hidden="false" customHeight="false" outlineLevel="0" collapsed="false">
      <c r="A94" s="56" t="str">
        <f aca="false">IF($W94="","",INDEX(发票统计!A$4:A$1003,$W94)&amp;"")</f>
        <v/>
      </c>
      <c r="B94" s="56" t="str">
        <f aca="false">IF($W94="","",INDEX(发票统计!B$4:B$1003,$W94)&amp;"")</f>
        <v/>
      </c>
      <c r="C94" s="56" t="str">
        <f aca="false">IF($W94="","",INDEX(发票统计!C$4:C$1003,$W94)&amp;"")</f>
        <v/>
      </c>
      <c r="D94" s="56" t="str">
        <f aca="false">IF($W94="","",INDEX(发票统计!D$4:D$1003,$W94)&amp;"")</f>
        <v/>
      </c>
      <c r="E94" s="56" t="str">
        <f aca="false">IF($W94="","",INDEX(发票统计!E$4:E$1003,$W94)&amp;"")</f>
        <v/>
      </c>
      <c r="F94" s="73" t="str">
        <f aca="false">IF($W94="","",INDEX(发票统计!F$4:F$1003,$W94)&amp;"")</f>
        <v/>
      </c>
      <c r="G94" s="68" t="str">
        <f aca="false">IF($W94="","",IF(INDEX(发票统计!G$4:G$1003,$W94)="","",INDEX(发票统计!G$4:G$1003,$W94)))</f>
        <v/>
      </c>
      <c r="H94" s="56" t="str">
        <f aca="false">IF($W94="","",N(INDEX(发票统计!H$4:H$1003,$W94)))</f>
        <v/>
      </c>
      <c r="I94" s="56" t="str">
        <f aca="false">IF($W94="","",N(INDEX(发票统计!I$4:I$1003,$W94)))</f>
        <v/>
      </c>
      <c r="J94" s="56" t="str">
        <f aca="false">IF($W94="","",N(INDEX(发票统计!J$4:J$1003,$W94)))</f>
        <v/>
      </c>
      <c r="K94" s="56" t="str">
        <f aca="false">IF($W94="","",N(INDEX(发票统计!K$4:K$1003,$W94)))</f>
        <v/>
      </c>
      <c r="L94" s="56" t="str">
        <f aca="false">IF($W94="","",SUM(J$4:J94)-SUM(K$4:K94))</f>
        <v/>
      </c>
      <c r="M94" s="56" t="str">
        <f aca="false">IF($W94="","",N(INDEX(发票统计!M$4:M$1003,$W94)))</f>
        <v/>
      </c>
      <c r="N94" s="56" t="str">
        <f aca="false">IF($W94="","",N(INDEX(发票统计!N$4:N$1003,$W94)))</f>
        <v/>
      </c>
      <c r="O94" s="56" t="str">
        <f aca="false">IF($W94="","",N(INDEX(发票统计!O$4:O$1003,$W94)))</f>
        <v/>
      </c>
      <c r="P94" s="56" t="str">
        <f aca="false">IF($W94="","",SUM(M$4:M94)-SUM(N$4:N94)-SUM(O$4:O94))</f>
        <v/>
      </c>
      <c r="Q94" s="56" t="str">
        <f aca="false">IF($W94="","",N(INDEX(发票统计!Q$4:Q$1003,$W94)))</f>
        <v/>
      </c>
      <c r="R94" s="56" t="str">
        <f aca="false">IF($W94="","",N(INDEX(发票统计!R$4:R$1003,$W94)))</f>
        <v/>
      </c>
      <c r="S94" s="56" t="str">
        <f aca="false">IF($W94="","",N(INDEX(发票统计!S$4:S$1003,$W94)))</f>
        <v/>
      </c>
      <c r="T94" s="56" t="str">
        <f aca="false">IF($W94="","",SUM(Q$4:Q94)-SUM(R$4:R94)-SUM(S$4:S94))</f>
        <v/>
      </c>
      <c r="U94" s="56" t="str">
        <f aca="false">IF($W94="","",INDEX(发票统计!U$4:U$1003,$W94)&amp;"")</f>
        <v/>
      </c>
      <c r="W94" s="1" t="str">
        <f aca="false">IF($V$3="","",IFERROR(MATCH($V$3&amp;"#"&amp;ROWS(W$4:W94),发票统计!$W$4:$W$1003,0),""))</f>
        <v/>
      </c>
    </row>
    <row r="95" customFormat="false" ht="16.5" hidden="false" customHeight="false" outlineLevel="0" collapsed="false">
      <c r="A95" s="56" t="str">
        <f aca="false">IF($W95="","",INDEX(发票统计!A$4:A$1003,$W95)&amp;"")</f>
        <v/>
      </c>
      <c r="B95" s="56" t="str">
        <f aca="false">IF($W95="","",INDEX(发票统计!B$4:B$1003,$W95)&amp;"")</f>
        <v/>
      </c>
      <c r="C95" s="56" t="str">
        <f aca="false">IF($W95="","",INDEX(发票统计!C$4:C$1003,$W95)&amp;"")</f>
        <v/>
      </c>
      <c r="D95" s="56" t="str">
        <f aca="false">IF($W95="","",INDEX(发票统计!D$4:D$1003,$W95)&amp;"")</f>
        <v/>
      </c>
      <c r="E95" s="56" t="str">
        <f aca="false">IF($W95="","",INDEX(发票统计!E$4:E$1003,$W95)&amp;"")</f>
        <v/>
      </c>
      <c r="F95" s="73" t="str">
        <f aca="false">IF($W95="","",INDEX(发票统计!F$4:F$1003,$W95)&amp;"")</f>
        <v/>
      </c>
      <c r="G95" s="68" t="str">
        <f aca="false">IF($W95="","",IF(INDEX(发票统计!G$4:G$1003,$W95)="","",INDEX(发票统计!G$4:G$1003,$W95)))</f>
        <v/>
      </c>
      <c r="H95" s="56" t="str">
        <f aca="false">IF($W95="","",N(INDEX(发票统计!H$4:H$1003,$W95)))</f>
        <v/>
      </c>
      <c r="I95" s="56" t="str">
        <f aca="false">IF($W95="","",N(INDEX(发票统计!I$4:I$1003,$W95)))</f>
        <v/>
      </c>
      <c r="J95" s="56" t="str">
        <f aca="false">IF($W95="","",N(INDEX(发票统计!J$4:J$1003,$W95)))</f>
        <v/>
      </c>
      <c r="K95" s="56" t="str">
        <f aca="false">IF($W95="","",N(INDEX(发票统计!K$4:K$1003,$W95)))</f>
        <v/>
      </c>
      <c r="L95" s="56" t="str">
        <f aca="false">IF($W95="","",SUM(J$4:J95)-SUM(K$4:K95))</f>
        <v/>
      </c>
      <c r="M95" s="56" t="str">
        <f aca="false">IF($W95="","",N(INDEX(发票统计!M$4:M$1003,$W95)))</f>
        <v/>
      </c>
      <c r="N95" s="56" t="str">
        <f aca="false">IF($W95="","",N(INDEX(发票统计!N$4:N$1003,$W95)))</f>
        <v/>
      </c>
      <c r="O95" s="56" t="str">
        <f aca="false">IF($W95="","",N(INDEX(发票统计!O$4:O$1003,$W95)))</f>
        <v/>
      </c>
      <c r="P95" s="56" t="str">
        <f aca="false">IF($W95="","",SUM(M$4:M95)-SUM(N$4:N95)-SUM(O$4:O95))</f>
        <v/>
      </c>
      <c r="Q95" s="56" t="str">
        <f aca="false">IF($W95="","",N(INDEX(发票统计!Q$4:Q$1003,$W95)))</f>
        <v/>
      </c>
      <c r="R95" s="56" t="str">
        <f aca="false">IF($W95="","",N(INDEX(发票统计!R$4:R$1003,$W95)))</f>
        <v/>
      </c>
      <c r="S95" s="56" t="str">
        <f aca="false">IF($W95="","",N(INDEX(发票统计!S$4:S$1003,$W95)))</f>
        <v/>
      </c>
      <c r="T95" s="56" t="str">
        <f aca="false">IF($W95="","",SUM(Q$4:Q95)-SUM(R$4:R95)-SUM(S$4:S95))</f>
        <v/>
      </c>
      <c r="U95" s="56" t="str">
        <f aca="false">IF($W95="","",INDEX(发票统计!U$4:U$1003,$W95)&amp;"")</f>
        <v/>
      </c>
      <c r="W95" s="1" t="str">
        <f aca="false">IF($V$3="","",IFERROR(MATCH($V$3&amp;"#"&amp;ROWS(W$4:W95),发票统计!$W$4:$W$1003,0),""))</f>
        <v/>
      </c>
    </row>
    <row r="96" customFormat="false" ht="16.5" hidden="false" customHeight="false" outlineLevel="0" collapsed="false">
      <c r="A96" s="56" t="str">
        <f aca="false">IF($W96="","",INDEX(发票统计!A$4:A$1003,$W96)&amp;"")</f>
        <v/>
      </c>
      <c r="B96" s="56" t="str">
        <f aca="false">IF($W96="","",INDEX(发票统计!B$4:B$1003,$W96)&amp;"")</f>
        <v/>
      </c>
      <c r="C96" s="56" t="str">
        <f aca="false">IF($W96="","",INDEX(发票统计!C$4:C$1003,$W96)&amp;"")</f>
        <v/>
      </c>
      <c r="D96" s="56" t="str">
        <f aca="false">IF($W96="","",INDEX(发票统计!D$4:D$1003,$W96)&amp;"")</f>
        <v/>
      </c>
      <c r="E96" s="56" t="str">
        <f aca="false">IF($W96="","",INDEX(发票统计!E$4:E$1003,$W96)&amp;"")</f>
        <v/>
      </c>
      <c r="F96" s="73" t="str">
        <f aca="false">IF($W96="","",INDEX(发票统计!F$4:F$1003,$W96)&amp;"")</f>
        <v/>
      </c>
      <c r="G96" s="68" t="str">
        <f aca="false">IF($W96="","",IF(INDEX(发票统计!G$4:G$1003,$W96)="","",INDEX(发票统计!G$4:G$1003,$W96)))</f>
        <v/>
      </c>
      <c r="H96" s="56" t="str">
        <f aca="false">IF($W96="","",N(INDEX(发票统计!H$4:H$1003,$W96)))</f>
        <v/>
      </c>
      <c r="I96" s="56" t="str">
        <f aca="false">IF($W96="","",N(INDEX(发票统计!I$4:I$1003,$W96)))</f>
        <v/>
      </c>
      <c r="J96" s="56" t="str">
        <f aca="false">IF($W96="","",N(INDEX(发票统计!J$4:J$1003,$W96)))</f>
        <v/>
      </c>
      <c r="K96" s="56" t="str">
        <f aca="false">IF($W96="","",N(INDEX(发票统计!K$4:K$1003,$W96)))</f>
        <v/>
      </c>
      <c r="L96" s="56" t="str">
        <f aca="false">IF($W96="","",SUM(J$4:J96)-SUM(K$4:K96))</f>
        <v/>
      </c>
      <c r="M96" s="56" t="str">
        <f aca="false">IF($W96="","",N(INDEX(发票统计!M$4:M$1003,$W96)))</f>
        <v/>
      </c>
      <c r="N96" s="56" t="str">
        <f aca="false">IF($W96="","",N(INDEX(发票统计!N$4:N$1003,$W96)))</f>
        <v/>
      </c>
      <c r="O96" s="56" t="str">
        <f aca="false">IF($W96="","",N(INDEX(发票统计!O$4:O$1003,$W96)))</f>
        <v/>
      </c>
      <c r="P96" s="56" t="str">
        <f aca="false">IF($W96="","",SUM(M$4:M96)-SUM(N$4:N96)-SUM(O$4:O96))</f>
        <v/>
      </c>
      <c r="Q96" s="56" t="str">
        <f aca="false">IF($W96="","",N(INDEX(发票统计!Q$4:Q$1003,$W96)))</f>
        <v/>
      </c>
      <c r="R96" s="56" t="str">
        <f aca="false">IF($W96="","",N(INDEX(发票统计!R$4:R$1003,$W96)))</f>
        <v/>
      </c>
      <c r="S96" s="56" t="str">
        <f aca="false">IF($W96="","",N(INDEX(发票统计!S$4:S$1003,$W96)))</f>
        <v/>
      </c>
      <c r="T96" s="56" t="str">
        <f aca="false">IF($W96="","",SUM(Q$4:Q96)-SUM(R$4:R96)-SUM(S$4:S96))</f>
        <v/>
      </c>
      <c r="U96" s="56" t="str">
        <f aca="false">IF($W96="","",INDEX(发票统计!U$4:U$1003,$W96)&amp;"")</f>
        <v/>
      </c>
      <c r="W96" s="1" t="str">
        <f aca="false">IF($V$3="","",IFERROR(MATCH($V$3&amp;"#"&amp;ROWS(W$4:W96),发票统计!$W$4:$W$1003,0),""))</f>
        <v/>
      </c>
    </row>
    <row r="97" customFormat="false" ht="16.5" hidden="false" customHeight="false" outlineLevel="0" collapsed="false">
      <c r="A97" s="56" t="str">
        <f aca="false">IF($W97="","",INDEX(发票统计!A$4:A$1003,$W97)&amp;"")</f>
        <v/>
      </c>
      <c r="B97" s="56" t="str">
        <f aca="false">IF($W97="","",INDEX(发票统计!B$4:B$1003,$W97)&amp;"")</f>
        <v/>
      </c>
      <c r="C97" s="56" t="str">
        <f aca="false">IF($W97="","",INDEX(发票统计!C$4:C$1003,$W97)&amp;"")</f>
        <v/>
      </c>
      <c r="D97" s="56" t="str">
        <f aca="false">IF($W97="","",INDEX(发票统计!D$4:D$1003,$W97)&amp;"")</f>
        <v/>
      </c>
      <c r="E97" s="56" t="str">
        <f aca="false">IF($W97="","",INDEX(发票统计!E$4:E$1003,$W97)&amp;"")</f>
        <v/>
      </c>
      <c r="F97" s="73" t="str">
        <f aca="false">IF($W97="","",INDEX(发票统计!F$4:F$1003,$W97)&amp;"")</f>
        <v/>
      </c>
      <c r="G97" s="68" t="str">
        <f aca="false">IF($W97="","",IF(INDEX(发票统计!G$4:G$1003,$W97)="","",INDEX(发票统计!G$4:G$1003,$W97)))</f>
        <v/>
      </c>
      <c r="H97" s="56" t="str">
        <f aca="false">IF($W97="","",N(INDEX(发票统计!H$4:H$1003,$W97)))</f>
        <v/>
      </c>
      <c r="I97" s="56" t="str">
        <f aca="false">IF($W97="","",N(INDEX(发票统计!I$4:I$1003,$W97)))</f>
        <v/>
      </c>
      <c r="J97" s="56" t="str">
        <f aca="false">IF($W97="","",N(INDEX(发票统计!J$4:J$1003,$W97)))</f>
        <v/>
      </c>
      <c r="K97" s="56" t="str">
        <f aca="false">IF($W97="","",N(INDEX(发票统计!K$4:K$1003,$W97)))</f>
        <v/>
      </c>
      <c r="L97" s="56" t="str">
        <f aca="false">IF($W97="","",SUM(J$4:J97)-SUM(K$4:K97))</f>
        <v/>
      </c>
      <c r="M97" s="56" t="str">
        <f aca="false">IF($W97="","",N(INDEX(发票统计!M$4:M$1003,$W97)))</f>
        <v/>
      </c>
      <c r="N97" s="56" t="str">
        <f aca="false">IF($W97="","",N(INDEX(发票统计!N$4:N$1003,$W97)))</f>
        <v/>
      </c>
      <c r="O97" s="56" t="str">
        <f aca="false">IF($W97="","",N(INDEX(发票统计!O$4:O$1003,$W97)))</f>
        <v/>
      </c>
      <c r="P97" s="56" t="str">
        <f aca="false">IF($W97="","",SUM(M$4:M97)-SUM(N$4:N97)-SUM(O$4:O97))</f>
        <v/>
      </c>
      <c r="Q97" s="56" t="str">
        <f aca="false">IF($W97="","",N(INDEX(发票统计!Q$4:Q$1003,$W97)))</f>
        <v/>
      </c>
      <c r="R97" s="56" t="str">
        <f aca="false">IF($W97="","",N(INDEX(发票统计!R$4:R$1003,$W97)))</f>
        <v/>
      </c>
      <c r="S97" s="56" t="str">
        <f aca="false">IF($W97="","",N(INDEX(发票统计!S$4:S$1003,$W97)))</f>
        <v/>
      </c>
      <c r="T97" s="56" t="str">
        <f aca="false">IF($W97="","",SUM(Q$4:Q97)-SUM(R$4:R97)-SUM(S$4:S97))</f>
        <v/>
      </c>
      <c r="U97" s="56" t="str">
        <f aca="false">IF($W97="","",INDEX(发票统计!U$4:U$1003,$W97)&amp;"")</f>
        <v/>
      </c>
      <c r="W97" s="1" t="str">
        <f aca="false">IF($V$3="","",IFERROR(MATCH($V$3&amp;"#"&amp;ROWS(W$4:W97),发票统计!$W$4:$W$1003,0),""))</f>
        <v/>
      </c>
    </row>
    <row r="98" customFormat="false" ht="16.5" hidden="false" customHeight="false" outlineLevel="0" collapsed="false">
      <c r="A98" s="56" t="str">
        <f aca="false">IF($W98="","",INDEX(发票统计!A$4:A$1003,$W98)&amp;"")</f>
        <v/>
      </c>
      <c r="B98" s="56" t="str">
        <f aca="false">IF($W98="","",INDEX(发票统计!B$4:B$1003,$W98)&amp;"")</f>
        <v/>
      </c>
      <c r="C98" s="56" t="str">
        <f aca="false">IF($W98="","",INDEX(发票统计!C$4:C$1003,$W98)&amp;"")</f>
        <v/>
      </c>
      <c r="D98" s="56" t="str">
        <f aca="false">IF($W98="","",INDEX(发票统计!D$4:D$1003,$W98)&amp;"")</f>
        <v/>
      </c>
      <c r="E98" s="56" t="str">
        <f aca="false">IF($W98="","",INDEX(发票统计!E$4:E$1003,$W98)&amp;"")</f>
        <v/>
      </c>
      <c r="F98" s="73" t="str">
        <f aca="false">IF($W98="","",INDEX(发票统计!F$4:F$1003,$W98)&amp;"")</f>
        <v/>
      </c>
      <c r="G98" s="68" t="str">
        <f aca="false">IF($W98="","",IF(INDEX(发票统计!G$4:G$1003,$W98)="","",INDEX(发票统计!G$4:G$1003,$W98)))</f>
        <v/>
      </c>
      <c r="H98" s="56" t="str">
        <f aca="false">IF($W98="","",N(INDEX(发票统计!H$4:H$1003,$W98)))</f>
        <v/>
      </c>
      <c r="I98" s="56" t="str">
        <f aca="false">IF($W98="","",N(INDEX(发票统计!I$4:I$1003,$W98)))</f>
        <v/>
      </c>
      <c r="J98" s="56" t="str">
        <f aca="false">IF($W98="","",N(INDEX(发票统计!J$4:J$1003,$W98)))</f>
        <v/>
      </c>
      <c r="K98" s="56" t="str">
        <f aca="false">IF($W98="","",N(INDEX(发票统计!K$4:K$1003,$W98)))</f>
        <v/>
      </c>
      <c r="L98" s="56" t="str">
        <f aca="false">IF($W98="","",SUM(J$4:J98)-SUM(K$4:K98))</f>
        <v/>
      </c>
      <c r="M98" s="56" t="str">
        <f aca="false">IF($W98="","",N(INDEX(发票统计!M$4:M$1003,$W98)))</f>
        <v/>
      </c>
      <c r="N98" s="56" t="str">
        <f aca="false">IF($W98="","",N(INDEX(发票统计!N$4:N$1003,$W98)))</f>
        <v/>
      </c>
      <c r="O98" s="56" t="str">
        <f aca="false">IF($W98="","",N(INDEX(发票统计!O$4:O$1003,$W98)))</f>
        <v/>
      </c>
      <c r="P98" s="56" t="str">
        <f aca="false">IF($W98="","",SUM(M$4:M98)-SUM(N$4:N98)-SUM(O$4:O98))</f>
        <v/>
      </c>
      <c r="Q98" s="56" t="str">
        <f aca="false">IF($W98="","",N(INDEX(发票统计!Q$4:Q$1003,$W98)))</f>
        <v/>
      </c>
      <c r="R98" s="56" t="str">
        <f aca="false">IF($W98="","",N(INDEX(发票统计!R$4:R$1003,$W98)))</f>
        <v/>
      </c>
      <c r="S98" s="56" t="str">
        <f aca="false">IF($W98="","",N(INDEX(发票统计!S$4:S$1003,$W98)))</f>
        <v/>
      </c>
      <c r="T98" s="56" t="str">
        <f aca="false">IF($W98="","",SUM(Q$4:Q98)-SUM(R$4:R98)-SUM(S$4:S98))</f>
        <v/>
      </c>
      <c r="U98" s="56" t="str">
        <f aca="false">IF($W98="","",INDEX(发票统计!U$4:U$1003,$W98)&amp;"")</f>
        <v/>
      </c>
      <c r="W98" s="1" t="str">
        <f aca="false">IF($V$3="","",IFERROR(MATCH($V$3&amp;"#"&amp;ROWS(W$4:W98),发票统计!$W$4:$W$1003,0),""))</f>
        <v/>
      </c>
    </row>
    <row r="99" customFormat="false" ht="16.5" hidden="false" customHeight="false" outlineLevel="0" collapsed="false">
      <c r="A99" s="56" t="str">
        <f aca="false">IF($W99="","",INDEX(发票统计!A$4:A$1003,$W99)&amp;"")</f>
        <v/>
      </c>
      <c r="B99" s="56" t="str">
        <f aca="false">IF($W99="","",INDEX(发票统计!B$4:B$1003,$W99)&amp;"")</f>
        <v/>
      </c>
      <c r="C99" s="56" t="str">
        <f aca="false">IF($W99="","",INDEX(发票统计!C$4:C$1003,$W99)&amp;"")</f>
        <v/>
      </c>
      <c r="D99" s="56" t="str">
        <f aca="false">IF($W99="","",INDEX(发票统计!D$4:D$1003,$W99)&amp;"")</f>
        <v/>
      </c>
      <c r="E99" s="56" t="str">
        <f aca="false">IF($W99="","",INDEX(发票统计!E$4:E$1003,$W99)&amp;"")</f>
        <v/>
      </c>
      <c r="F99" s="73" t="str">
        <f aca="false">IF($W99="","",INDEX(发票统计!F$4:F$1003,$W99)&amp;"")</f>
        <v/>
      </c>
      <c r="G99" s="68" t="str">
        <f aca="false">IF($W99="","",IF(INDEX(发票统计!G$4:G$1003,$W99)="","",INDEX(发票统计!G$4:G$1003,$W99)))</f>
        <v/>
      </c>
      <c r="H99" s="56" t="str">
        <f aca="false">IF($W99="","",N(INDEX(发票统计!H$4:H$1003,$W99)))</f>
        <v/>
      </c>
      <c r="I99" s="56" t="str">
        <f aca="false">IF($W99="","",N(INDEX(发票统计!I$4:I$1003,$W99)))</f>
        <v/>
      </c>
      <c r="J99" s="56" t="str">
        <f aca="false">IF($W99="","",N(INDEX(发票统计!J$4:J$1003,$W99)))</f>
        <v/>
      </c>
      <c r="K99" s="56" t="str">
        <f aca="false">IF($W99="","",N(INDEX(发票统计!K$4:K$1003,$W99)))</f>
        <v/>
      </c>
      <c r="L99" s="56" t="str">
        <f aca="false">IF($W99="","",SUM(J$4:J99)-SUM(K$4:K99))</f>
        <v/>
      </c>
      <c r="M99" s="56" t="str">
        <f aca="false">IF($W99="","",N(INDEX(发票统计!M$4:M$1003,$W99)))</f>
        <v/>
      </c>
      <c r="N99" s="56" t="str">
        <f aca="false">IF($W99="","",N(INDEX(发票统计!N$4:N$1003,$W99)))</f>
        <v/>
      </c>
      <c r="O99" s="56" t="str">
        <f aca="false">IF($W99="","",N(INDEX(发票统计!O$4:O$1003,$W99)))</f>
        <v/>
      </c>
      <c r="P99" s="56" t="str">
        <f aca="false">IF($W99="","",SUM(M$4:M99)-SUM(N$4:N99)-SUM(O$4:O99))</f>
        <v/>
      </c>
      <c r="Q99" s="56" t="str">
        <f aca="false">IF($W99="","",N(INDEX(发票统计!Q$4:Q$1003,$W99)))</f>
        <v/>
      </c>
      <c r="R99" s="56" t="str">
        <f aca="false">IF($W99="","",N(INDEX(发票统计!R$4:R$1003,$W99)))</f>
        <v/>
      </c>
      <c r="S99" s="56" t="str">
        <f aca="false">IF($W99="","",N(INDEX(发票统计!S$4:S$1003,$W99)))</f>
        <v/>
      </c>
      <c r="T99" s="56" t="str">
        <f aca="false">IF($W99="","",SUM(Q$4:Q99)-SUM(R$4:R99)-SUM(S$4:S99))</f>
        <v/>
      </c>
      <c r="U99" s="56" t="str">
        <f aca="false">IF($W99="","",INDEX(发票统计!U$4:U$1003,$W99)&amp;"")</f>
        <v/>
      </c>
      <c r="W99" s="1" t="str">
        <f aca="false">IF($V$3="","",IFERROR(MATCH($V$3&amp;"#"&amp;ROWS(W$4:W99),发票统计!$W$4:$W$1003,0),""))</f>
        <v/>
      </c>
    </row>
    <row r="100" customFormat="false" ht="16.5" hidden="false" customHeight="false" outlineLevel="0" collapsed="false">
      <c r="A100" s="56" t="str">
        <f aca="false">IF($W100="","",INDEX(发票统计!A$4:A$1003,$W100)&amp;"")</f>
        <v/>
      </c>
      <c r="B100" s="56" t="str">
        <f aca="false">IF($W100="","",INDEX(发票统计!B$4:B$1003,$W100)&amp;"")</f>
        <v/>
      </c>
      <c r="C100" s="56" t="str">
        <f aca="false">IF($W100="","",INDEX(发票统计!C$4:C$1003,$W100)&amp;"")</f>
        <v/>
      </c>
      <c r="D100" s="56" t="str">
        <f aca="false">IF($W100="","",INDEX(发票统计!D$4:D$1003,$W100)&amp;"")</f>
        <v/>
      </c>
      <c r="E100" s="56" t="str">
        <f aca="false">IF($W100="","",INDEX(发票统计!E$4:E$1003,$W100)&amp;"")</f>
        <v/>
      </c>
      <c r="F100" s="73" t="str">
        <f aca="false">IF($W100="","",INDEX(发票统计!F$4:F$1003,$W100)&amp;"")</f>
        <v/>
      </c>
      <c r="G100" s="68" t="str">
        <f aca="false">IF($W100="","",IF(INDEX(发票统计!G$4:G$1003,$W100)="","",INDEX(发票统计!G$4:G$1003,$W100)))</f>
        <v/>
      </c>
      <c r="H100" s="56" t="str">
        <f aca="false">IF($W100="","",N(INDEX(发票统计!H$4:H$1003,$W100)))</f>
        <v/>
      </c>
      <c r="I100" s="56" t="str">
        <f aca="false">IF($W100="","",N(INDEX(发票统计!I$4:I$1003,$W100)))</f>
        <v/>
      </c>
      <c r="J100" s="56" t="str">
        <f aca="false">IF($W100="","",N(INDEX(发票统计!J$4:J$1003,$W100)))</f>
        <v/>
      </c>
      <c r="K100" s="56" t="str">
        <f aca="false">IF($W100="","",N(INDEX(发票统计!K$4:K$1003,$W100)))</f>
        <v/>
      </c>
      <c r="L100" s="56" t="str">
        <f aca="false">IF($W100="","",SUM(J$4:J100)-SUM(K$4:K100))</f>
        <v/>
      </c>
      <c r="M100" s="56" t="str">
        <f aca="false">IF($W100="","",N(INDEX(发票统计!M$4:M$1003,$W100)))</f>
        <v/>
      </c>
      <c r="N100" s="56" t="str">
        <f aca="false">IF($W100="","",N(INDEX(发票统计!N$4:N$1003,$W100)))</f>
        <v/>
      </c>
      <c r="O100" s="56" t="str">
        <f aca="false">IF($W100="","",N(INDEX(发票统计!O$4:O$1003,$W100)))</f>
        <v/>
      </c>
      <c r="P100" s="56" t="str">
        <f aca="false">IF($W100="","",SUM(M$4:M100)-SUM(N$4:N100)-SUM(O$4:O100))</f>
        <v/>
      </c>
      <c r="Q100" s="56" t="str">
        <f aca="false">IF($W100="","",N(INDEX(发票统计!Q$4:Q$1003,$W100)))</f>
        <v/>
      </c>
      <c r="R100" s="56" t="str">
        <f aca="false">IF($W100="","",N(INDEX(发票统计!R$4:R$1003,$W100)))</f>
        <v/>
      </c>
      <c r="S100" s="56" t="str">
        <f aca="false">IF($W100="","",N(INDEX(发票统计!S$4:S$1003,$W100)))</f>
        <v/>
      </c>
      <c r="T100" s="56" t="str">
        <f aca="false">IF($W100="","",SUM(Q$4:Q100)-SUM(R$4:R100)-SUM(S$4:S100))</f>
        <v/>
      </c>
      <c r="U100" s="56" t="str">
        <f aca="false">IF($W100="","",INDEX(发票统计!U$4:U$1003,$W100)&amp;"")</f>
        <v/>
      </c>
      <c r="W100" s="1" t="str">
        <f aca="false">IF($V$3="","",IFERROR(MATCH($V$3&amp;"#"&amp;ROWS(W$4:W100),发票统计!$W$4:$W$1003,0),""))</f>
        <v/>
      </c>
    </row>
    <row r="101" customFormat="false" ht="16.5" hidden="false" customHeight="false" outlineLevel="0" collapsed="false">
      <c r="A101" s="56" t="str">
        <f aca="false">IF($W101="","",INDEX(发票统计!A$4:A$1003,$W101)&amp;"")</f>
        <v/>
      </c>
      <c r="B101" s="56" t="str">
        <f aca="false">IF($W101="","",INDEX(发票统计!B$4:B$1003,$W101)&amp;"")</f>
        <v/>
      </c>
      <c r="C101" s="56" t="str">
        <f aca="false">IF($W101="","",INDEX(发票统计!C$4:C$1003,$W101)&amp;"")</f>
        <v/>
      </c>
      <c r="D101" s="56" t="str">
        <f aca="false">IF($W101="","",INDEX(发票统计!D$4:D$1003,$W101)&amp;"")</f>
        <v/>
      </c>
      <c r="E101" s="56" t="str">
        <f aca="false">IF($W101="","",INDEX(发票统计!E$4:E$1003,$W101)&amp;"")</f>
        <v/>
      </c>
      <c r="F101" s="73" t="str">
        <f aca="false">IF($W101="","",INDEX(发票统计!F$4:F$1003,$W101)&amp;"")</f>
        <v/>
      </c>
      <c r="G101" s="68" t="str">
        <f aca="false">IF($W101="","",IF(INDEX(发票统计!G$4:G$1003,$W101)="","",INDEX(发票统计!G$4:G$1003,$W101)))</f>
        <v/>
      </c>
      <c r="H101" s="56" t="str">
        <f aca="false">IF($W101="","",N(INDEX(发票统计!H$4:H$1003,$W101)))</f>
        <v/>
      </c>
      <c r="I101" s="56" t="str">
        <f aca="false">IF($W101="","",N(INDEX(发票统计!I$4:I$1003,$W101)))</f>
        <v/>
      </c>
      <c r="J101" s="56" t="str">
        <f aca="false">IF($W101="","",N(INDEX(发票统计!J$4:J$1003,$W101)))</f>
        <v/>
      </c>
      <c r="K101" s="56" t="str">
        <f aca="false">IF($W101="","",N(INDEX(发票统计!K$4:K$1003,$W101)))</f>
        <v/>
      </c>
      <c r="L101" s="56" t="str">
        <f aca="false">IF($W101="","",SUM(J$4:J101)-SUM(K$4:K101))</f>
        <v/>
      </c>
      <c r="M101" s="56" t="str">
        <f aca="false">IF($W101="","",N(INDEX(发票统计!M$4:M$1003,$W101)))</f>
        <v/>
      </c>
      <c r="N101" s="56" t="str">
        <f aca="false">IF($W101="","",N(INDEX(发票统计!N$4:N$1003,$W101)))</f>
        <v/>
      </c>
      <c r="O101" s="56" t="str">
        <f aca="false">IF($W101="","",N(INDEX(发票统计!O$4:O$1003,$W101)))</f>
        <v/>
      </c>
      <c r="P101" s="56" t="str">
        <f aca="false">IF($W101="","",SUM(M$4:M101)-SUM(N$4:N101)-SUM(O$4:O101))</f>
        <v/>
      </c>
      <c r="Q101" s="56" t="str">
        <f aca="false">IF($W101="","",N(INDEX(发票统计!Q$4:Q$1003,$W101)))</f>
        <v/>
      </c>
      <c r="R101" s="56" t="str">
        <f aca="false">IF($W101="","",N(INDEX(发票统计!R$4:R$1003,$W101)))</f>
        <v/>
      </c>
      <c r="S101" s="56" t="str">
        <f aca="false">IF($W101="","",N(INDEX(发票统计!S$4:S$1003,$W101)))</f>
        <v/>
      </c>
      <c r="T101" s="56" t="str">
        <f aca="false">IF($W101="","",SUM(Q$4:Q101)-SUM(R$4:R101)-SUM(S$4:S101))</f>
        <v/>
      </c>
      <c r="U101" s="56" t="str">
        <f aca="false">IF($W101="","",INDEX(发票统计!U$4:U$1003,$W101)&amp;"")</f>
        <v/>
      </c>
      <c r="W101" s="1" t="str">
        <f aca="false">IF($V$3="","",IFERROR(MATCH($V$3&amp;"#"&amp;ROWS(W$4:W101),发票统计!$W$4:$W$1003,0),""))</f>
        <v/>
      </c>
    </row>
    <row r="102" customFormat="false" ht="16.5" hidden="false" customHeight="false" outlineLevel="0" collapsed="false">
      <c r="A102" s="56" t="str">
        <f aca="false">IF($W102="","",INDEX(发票统计!A$4:A$1003,$W102)&amp;"")</f>
        <v/>
      </c>
      <c r="B102" s="56" t="str">
        <f aca="false">IF($W102="","",INDEX(发票统计!B$4:B$1003,$W102)&amp;"")</f>
        <v/>
      </c>
      <c r="C102" s="56" t="str">
        <f aca="false">IF($W102="","",INDEX(发票统计!C$4:C$1003,$W102)&amp;"")</f>
        <v/>
      </c>
      <c r="D102" s="56" t="str">
        <f aca="false">IF($W102="","",INDEX(发票统计!D$4:D$1003,$W102)&amp;"")</f>
        <v/>
      </c>
      <c r="E102" s="56" t="str">
        <f aca="false">IF($W102="","",INDEX(发票统计!E$4:E$1003,$W102)&amp;"")</f>
        <v/>
      </c>
      <c r="F102" s="73" t="str">
        <f aca="false">IF($W102="","",INDEX(发票统计!F$4:F$1003,$W102)&amp;"")</f>
        <v/>
      </c>
      <c r="G102" s="68" t="str">
        <f aca="false">IF($W102="","",IF(INDEX(发票统计!G$4:G$1003,$W102)="","",INDEX(发票统计!G$4:G$1003,$W102)))</f>
        <v/>
      </c>
      <c r="H102" s="56" t="str">
        <f aca="false">IF($W102="","",N(INDEX(发票统计!H$4:H$1003,$W102)))</f>
        <v/>
      </c>
      <c r="I102" s="56" t="str">
        <f aca="false">IF($W102="","",N(INDEX(发票统计!I$4:I$1003,$W102)))</f>
        <v/>
      </c>
      <c r="J102" s="56" t="str">
        <f aca="false">IF($W102="","",N(INDEX(发票统计!J$4:J$1003,$W102)))</f>
        <v/>
      </c>
      <c r="K102" s="56" t="str">
        <f aca="false">IF($W102="","",N(INDEX(发票统计!K$4:K$1003,$W102)))</f>
        <v/>
      </c>
      <c r="L102" s="56" t="str">
        <f aca="false">IF($W102="","",SUM(J$4:J102)-SUM(K$4:K102))</f>
        <v/>
      </c>
      <c r="M102" s="56" t="str">
        <f aca="false">IF($W102="","",N(INDEX(发票统计!M$4:M$1003,$W102)))</f>
        <v/>
      </c>
      <c r="N102" s="56" t="str">
        <f aca="false">IF($W102="","",N(INDEX(发票统计!N$4:N$1003,$W102)))</f>
        <v/>
      </c>
      <c r="O102" s="56" t="str">
        <f aca="false">IF($W102="","",N(INDEX(发票统计!O$4:O$1003,$W102)))</f>
        <v/>
      </c>
      <c r="P102" s="56" t="str">
        <f aca="false">IF($W102="","",SUM(M$4:M102)-SUM(N$4:N102)-SUM(O$4:O102))</f>
        <v/>
      </c>
      <c r="Q102" s="56" t="str">
        <f aca="false">IF($W102="","",N(INDEX(发票统计!Q$4:Q$1003,$W102)))</f>
        <v/>
      </c>
      <c r="R102" s="56" t="str">
        <f aca="false">IF($W102="","",N(INDEX(发票统计!R$4:R$1003,$W102)))</f>
        <v/>
      </c>
      <c r="S102" s="56" t="str">
        <f aca="false">IF($W102="","",N(INDEX(发票统计!S$4:S$1003,$W102)))</f>
        <v/>
      </c>
      <c r="T102" s="56" t="str">
        <f aca="false">IF($W102="","",SUM(Q$4:Q102)-SUM(R$4:R102)-SUM(S$4:S102))</f>
        <v/>
      </c>
      <c r="U102" s="56" t="str">
        <f aca="false">IF($W102="","",INDEX(发票统计!U$4:U$1003,$W102)&amp;"")</f>
        <v/>
      </c>
      <c r="W102" s="1" t="str">
        <f aca="false">IF($V$3="","",IFERROR(MATCH($V$3&amp;"#"&amp;ROWS(W$4:W102),发票统计!$W$4:$W$1003,0),""))</f>
        <v/>
      </c>
    </row>
    <row r="103" customFormat="false" ht="16.5" hidden="false" customHeight="false" outlineLevel="0" collapsed="false">
      <c r="A103" s="56" t="str">
        <f aca="false">IF($W103="","",INDEX(发票统计!A$4:A$1003,$W103)&amp;"")</f>
        <v/>
      </c>
      <c r="B103" s="56" t="str">
        <f aca="false">IF($W103="","",INDEX(发票统计!B$4:B$1003,$W103)&amp;"")</f>
        <v/>
      </c>
      <c r="C103" s="56" t="str">
        <f aca="false">IF($W103="","",INDEX(发票统计!C$4:C$1003,$W103)&amp;"")</f>
        <v/>
      </c>
      <c r="D103" s="56" t="str">
        <f aca="false">IF($W103="","",INDEX(发票统计!D$4:D$1003,$W103)&amp;"")</f>
        <v/>
      </c>
      <c r="E103" s="56" t="str">
        <f aca="false">IF($W103="","",INDEX(发票统计!E$4:E$1003,$W103)&amp;"")</f>
        <v/>
      </c>
      <c r="F103" s="73" t="str">
        <f aca="false">IF($W103="","",INDEX(发票统计!F$4:F$1003,$W103)&amp;"")</f>
        <v/>
      </c>
      <c r="G103" s="68" t="str">
        <f aca="false">IF($W103="","",IF(INDEX(发票统计!G$4:G$1003,$W103)="","",INDEX(发票统计!G$4:G$1003,$W103)))</f>
        <v/>
      </c>
      <c r="H103" s="56" t="str">
        <f aca="false">IF($W103="","",N(INDEX(发票统计!H$4:H$1003,$W103)))</f>
        <v/>
      </c>
      <c r="I103" s="56" t="str">
        <f aca="false">IF($W103="","",N(INDEX(发票统计!I$4:I$1003,$W103)))</f>
        <v/>
      </c>
      <c r="J103" s="56" t="str">
        <f aca="false">IF($W103="","",N(INDEX(发票统计!J$4:J$1003,$W103)))</f>
        <v/>
      </c>
      <c r="K103" s="56" t="str">
        <f aca="false">IF($W103="","",N(INDEX(发票统计!K$4:K$1003,$W103)))</f>
        <v/>
      </c>
      <c r="L103" s="56" t="str">
        <f aca="false">IF($W103="","",SUM(J$4:J103)-SUM(K$4:K103))</f>
        <v/>
      </c>
      <c r="M103" s="56" t="str">
        <f aca="false">IF($W103="","",N(INDEX(发票统计!M$4:M$1003,$W103)))</f>
        <v/>
      </c>
      <c r="N103" s="56" t="str">
        <f aca="false">IF($W103="","",N(INDEX(发票统计!N$4:N$1003,$W103)))</f>
        <v/>
      </c>
      <c r="O103" s="56" t="str">
        <f aca="false">IF($W103="","",N(INDEX(发票统计!O$4:O$1003,$W103)))</f>
        <v/>
      </c>
      <c r="P103" s="56" t="str">
        <f aca="false">IF($W103="","",SUM(M$4:M103)-SUM(N$4:N103)-SUM(O$4:O103))</f>
        <v/>
      </c>
      <c r="Q103" s="56" t="str">
        <f aca="false">IF($W103="","",N(INDEX(发票统计!Q$4:Q$1003,$W103)))</f>
        <v/>
      </c>
      <c r="R103" s="56" t="str">
        <f aca="false">IF($W103="","",N(INDEX(发票统计!R$4:R$1003,$W103)))</f>
        <v/>
      </c>
      <c r="S103" s="56" t="str">
        <f aca="false">IF($W103="","",N(INDEX(发票统计!S$4:S$1003,$W103)))</f>
        <v/>
      </c>
      <c r="T103" s="56" t="str">
        <f aca="false">IF($W103="","",SUM(Q$4:Q103)-SUM(R$4:R103)-SUM(S$4:S103))</f>
        <v/>
      </c>
      <c r="U103" s="56" t="str">
        <f aca="false">IF($W103="","",INDEX(发票统计!U$4:U$1003,$W103)&amp;"")</f>
        <v/>
      </c>
      <c r="W103" s="1" t="str">
        <f aca="false">IF($V$3="","",IFERROR(MATCH($V$3&amp;"#"&amp;ROWS(W$4:W103),发票统计!$W$4:$W$1003,0),""))</f>
        <v/>
      </c>
    </row>
    <row r="104" customFormat="false" ht="16.5" hidden="false" customHeight="false" outlineLevel="0" collapsed="false">
      <c r="A104" s="56" t="str">
        <f aca="false">IF($W104="","",INDEX(发票统计!A$4:A$1003,$W104)&amp;"")</f>
        <v/>
      </c>
      <c r="B104" s="56" t="str">
        <f aca="false">IF($W104="","",INDEX(发票统计!B$4:B$1003,$W104)&amp;"")</f>
        <v/>
      </c>
      <c r="C104" s="56" t="str">
        <f aca="false">IF($W104="","",INDEX(发票统计!C$4:C$1003,$W104)&amp;"")</f>
        <v/>
      </c>
      <c r="D104" s="56" t="str">
        <f aca="false">IF($W104="","",INDEX(发票统计!D$4:D$1003,$W104)&amp;"")</f>
        <v/>
      </c>
      <c r="E104" s="56" t="str">
        <f aca="false">IF($W104="","",INDEX(发票统计!E$4:E$1003,$W104)&amp;"")</f>
        <v/>
      </c>
      <c r="F104" s="73" t="str">
        <f aca="false">IF($W104="","",INDEX(发票统计!F$4:F$1003,$W104)&amp;"")</f>
        <v/>
      </c>
      <c r="G104" s="68" t="str">
        <f aca="false">IF($W104="","",IF(INDEX(发票统计!G$4:G$1003,$W104)="","",INDEX(发票统计!G$4:G$1003,$W104)))</f>
        <v/>
      </c>
      <c r="H104" s="56" t="str">
        <f aca="false">IF($W104="","",N(INDEX(发票统计!H$4:H$1003,$W104)))</f>
        <v/>
      </c>
      <c r="I104" s="56" t="str">
        <f aca="false">IF($W104="","",N(INDEX(发票统计!I$4:I$1003,$W104)))</f>
        <v/>
      </c>
      <c r="J104" s="56" t="str">
        <f aca="false">IF($W104="","",N(INDEX(发票统计!J$4:J$1003,$W104)))</f>
        <v/>
      </c>
      <c r="K104" s="56" t="str">
        <f aca="false">IF($W104="","",N(INDEX(发票统计!K$4:K$1003,$W104)))</f>
        <v/>
      </c>
      <c r="L104" s="56" t="str">
        <f aca="false">IF($W104="","",SUM(J$4:J104)-SUM(K$4:K104))</f>
        <v/>
      </c>
      <c r="M104" s="56" t="str">
        <f aca="false">IF($W104="","",N(INDEX(发票统计!M$4:M$1003,$W104)))</f>
        <v/>
      </c>
      <c r="N104" s="56" t="str">
        <f aca="false">IF($W104="","",N(INDEX(发票统计!N$4:N$1003,$W104)))</f>
        <v/>
      </c>
      <c r="O104" s="56" t="str">
        <f aca="false">IF($W104="","",N(INDEX(发票统计!O$4:O$1003,$W104)))</f>
        <v/>
      </c>
      <c r="P104" s="56" t="str">
        <f aca="false">IF($W104="","",SUM(M$4:M104)-SUM(N$4:N104)-SUM(O$4:O104))</f>
        <v/>
      </c>
      <c r="Q104" s="56" t="str">
        <f aca="false">IF($W104="","",N(INDEX(发票统计!Q$4:Q$1003,$W104)))</f>
        <v/>
      </c>
      <c r="R104" s="56" t="str">
        <f aca="false">IF($W104="","",N(INDEX(发票统计!R$4:R$1003,$W104)))</f>
        <v/>
      </c>
      <c r="S104" s="56" t="str">
        <f aca="false">IF($W104="","",N(INDEX(发票统计!S$4:S$1003,$W104)))</f>
        <v/>
      </c>
      <c r="T104" s="56" t="str">
        <f aca="false">IF($W104="","",SUM(Q$4:Q104)-SUM(R$4:R104)-SUM(S$4:S104))</f>
        <v/>
      </c>
      <c r="U104" s="56" t="str">
        <f aca="false">IF($W104="","",INDEX(发票统计!U$4:U$1003,$W104)&amp;"")</f>
        <v/>
      </c>
      <c r="W104" s="1" t="str">
        <f aca="false">IF($V$3="","",IFERROR(MATCH($V$3&amp;"#"&amp;ROWS(W$4:W104),发票统计!$W$4:$W$1003,0),""))</f>
        <v/>
      </c>
    </row>
    <row r="105" customFormat="false" ht="16.5" hidden="false" customHeight="false" outlineLevel="0" collapsed="false">
      <c r="A105" s="56" t="str">
        <f aca="false">IF($W105="","",INDEX(发票统计!A$4:A$1003,$W105)&amp;"")</f>
        <v/>
      </c>
      <c r="B105" s="56" t="str">
        <f aca="false">IF($W105="","",INDEX(发票统计!B$4:B$1003,$W105)&amp;"")</f>
        <v/>
      </c>
      <c r="C105" s="56" t="str">
        <f aca="false">IF($W105="","",INDEX(发票统计!C$4:C$1003,$W105)&amp;"")</f>
        <v/>
      </c>
      <c r="D105" s="56" t="str">
        <f aca="false">IF($W105="","",INDEX(发票统计!D$4:D$1003,$W105)&amp;"")</f>
        <v/>
      </c>
      <c r="E105" s="56" t="str">
        <f aca="false">IF($W105="","",INDEX(发票统计!E$4:E$1003,$W105)&amp;"")</f>
        <v/>
      </c>
      <c r="F105" s="73" t="str">
        <f aca="false">IF($W105="","",INDEX(发票统计!F$4:F$1003,$W105)&amp;"")</f>
        <v/>
      </c>
      <c r="G105" s="68" t="str">
        <f aca="false">IF($W105="","",IF(INDEX(发票统计!G$4:G$1003,$W105)="","",INDEX(发票统计!G$4:G$1003,$W105)))</f>
        <v/>
      </c>
      <c r="H105" s="56" t="str">
        <f aca="false">IF($W105="","",N(INDEX(发票统计!H$4:H$1003,$W105)))</f>
        <v/>
      </c>
      <c r="I105" s="56" t="str">
        <f aca="false">IF($W105="","",N(INDEX(发票统计!I$4:I$1003,$W105)))</f>
        <v/>
      </c>
      <c r="J105" s="56" t="str">
        <f aca="false">IF($W105="","",N(INDEX(发票统计!J$4:J$1003,$W105)))</f>
        <v/>
      </c>
      <c r="K105" s="56" t="str">
        <f aca="false">IF($W105="","",N(INDEX(发票统计!K$4:K$1003,$W105)))</f>
        <v/>
      </c>
      <c r="L105" s="56" t="str">
        <f aca="false">IF($W105="","",SUM(J$4:J105)-SUM(K$4:K105))</f>
        <v/>
      </c>
      <c r="M105" s="56" t="str">
        <f aca="false">IF($W105="","",N(INDEX(发票统计!M$4:M$1003,$W105)))</f>
        <v/>
      </c>
      <c r="N105" s="56" t="str">
        <f aca="false">IF($W105="","",N(INDEX(发票统计!N$4:N$1003,$W105)))</f>
        <v/>
      </c>
      <c r="O105" s="56" t="str">
        <f aca="false">IF($W105="","",N(INDEX(发票统计!O$4:O$1003,$W105)))</f>
        <v/>
      </c>
      <c r="P105" s="56" t="str">
        <f aca="false">IF($W105="","",SUM(M$4:M105)-SUM(N$4:N105)-SUM(O$4:O105))</f>
        <v/>
      </c>
      <c r="Q105" s="56" t="str">
        <f aca="false">IF($W105="","",N(INDEX(发票统计!Q$4:Q$1003,$W105)))</f>
        <v/>
      </c>
      <c r="R105" s="56" t="str">
        <f aca="false">IF($W105="","",N(INDEX(发票统计!R$4:R$1003,$W105)))</f>
        <v/>
      </c>
      <c r="S105" s="56" t="str">
        <f aca="false">IF($W105="","",N(INDEX(发票统计!S$4:S$1003,$W105)))</f>
        <v/>
      </c>
      <c r="T105" s="56" t="str">
        <f aca="false">IF($W105="","",SUM(Q$4:Q105)-SUM(R$4:R105)-SUM(S$4:S105))</f>
        <v/>
      </c>
      <c r="U105" s="56" t="str">
        <f aca="false">IF($W105="","",INDEX(发票统计!U$4:U$1003,$W105)&amp;"")</f>
        <v/>
      </c>
      <c r="W105" s="1" t="str">
        <f aca="false">IF($V$3="","",IFERROR(MATCH($V$3&amp;"#"&amp;ROWS(W$4:W105),发票统计!$W$4:$W$1003,0),""))</f>
        <v/>
      </c>
    </row>
    <row r="106" customFormat="false" ht="16.5" hidden="false" customHeight="false" outlineLevel="0" collapsed="false">
      <c r="A106" s="56" t="str">
        <f aca="false">IF($W106="","",INDEX(发票统计!A$4:A$1003,$W106)&amp;"")</f>
        <v/>
      </c>
      <c r="B106" s="56" t="str">
        <f aca="false">IF($W106="","",INDEX(发票统计!B$4:B$1003,$W106)&amp;"")</f>
        <v/>
      </c>
      <c r="C106" s="56" t="str">
        <f aca="false">IF($W106="","",INDEX(发票统计!C$4:C$1003,$W106)&amp;"")</f>
        <v/>
      </c>
      <c r="D106" s="56" t="str">
        <f aca="false">IF($W106="","",INDEX(发票统计!D$4:D$1003,$W106)&amp;"")</f>
        <v/>
      </c>
      <c r="E106" s="56" t="str">
        <f aca="false">IF($W106="","",INDEX(发票统计!E$4:E$1003,$W106)&amp;"")</f>
        <v/>
      </c>
      <c r="F106" s="73" t="str">
        <f aca="false">IF($W106="","",INDEX(发票统计!F$4:F$1003,$W106)&amp;"")</f>
        <v/>
      </c>
      <c r="G106" s="68" t="str">
        <f aca="false">IF($W106="","",IF(INDEX(发票统计!G$4:G$1003,$W106)="","",INDEX(发票统计!G$4:G$1003,$W106)))</f>
        <v/>
      </c>
      <c r="H106" s="56" t="str">
        <f aca="false">IF($W106="","",N(INDEX(发票统计!H$4:H$1003,$W106)))</f>
        <v/>
      </c>
      <c r="I106" s="56" t="str">
        <f aca="false">IF($W106="","",N(INDEX(发票统计!I$4:I$1003,$W106)))</f>
        <v/>
      </c>
      <c r="J106" s="56" t="str">
        <f aca="false">IF($W106="","",N(INDEX(发票统计!J$4:J$1003,$W106)))</f>
        <v/>
      </c>
      <c r="K106" s="56" t="str">
        <f aca="false">IF($W106="","",N(INDEX(发票统计!K$4:K$1003,$W106)))</f>
        <v/>
      </c>
      <c r="L106" s="56" t="str">
        <f aca="false">IF($W106="","",SUM(J$4:J106)-SUM(K$4:K106))</f>
        <v/>
      </c>
      <c r="M106" s="56" t="str">
        <f aca="false">IF($W106="","",N(INDEX(发票统计!M$4:M$1003,$W106)))</f>
        <v/>
      </c>
      <c r="N106" s="56" t="str">
        <f aca="false">IF($W106="","",N(INDEX(发票统计!N$4:N$1003,$W106)))</f>
        <v/>
      </c>
      <c r="O106" s="56" t="str">
        <f aca="false">IF($W106="","",N(INDEX(发票统计!O$4:O$1003,$W106)))</f>
        <v/>
      </c>
      <c r="P106" s="56" t="str">
        <f aca="false">IF($W106="","",SUM(M$4:M106)-SUM(N$4:N106)-SUM(O$4:O106))</f>
        <v/>
      </c>
      <c r="Q106" s="56" t="str">
        <f aca="false">IF($W106="","",N(INDEX(发票统计!Q$4:Q$1003,$W106)))</f>
        <v/>
      </c>
      <c r="R106" s="56" t="str">
        <f aca="false">IF($W106="","",N(INDEX(发票统计!R$4:R$1003,$W106)))</f>
        <v/>
      </c>
      <c r="S106" s="56" t="str">
        <f aca="false">IF($W106="","",N(INDEX(发票统计!S$4:S$1003,$W106)))</f>
        <v/>
      </c>
      <c r="T106" s="56" t="str">
        <f aca="false">IF($W106="","",SUM(Q$4:Q106)-SUM(R$4:R106)-SUM(S$4:S106))</f>
        <v/>
      </c>
      <c r="U106" s="56" t="str">
        <f aca="false">IF($W106="","",INDEX(发票统计!U$4:U$1003,$W106)&amp;"")</f>
        <v/>
      </c>
      <c r="W106" s="1" t="str">
        <f aca="false">IF($V$3="","",IFERROR(MATCH($V$3&amp;"#"&amp;ROWS(W$4:W106),发票统计!$W$4:$W$1003,0),""))</f>
        <v/>
      </c>
    </row>
    <row r="107" customFormat="false" ht="16.5" hidden="false" customHeight="false" outlineLevel="0" collapsed="false">
      <c r="A107" s="56" t="str">
        <f aca="false">IF($W107="","",INDEX(发票统计!A$4:A$1003,$W107)&amp;"")</f>
        <v/>
      </c>
      <c r="B107" s="56" t="str">
        <f aca="false">IF($W107="","",INDEX(发票统计!B$4:B$1003,$W107)&amp;"")</f>
        <v/>
      </c>
      <c r="C107" s="56" t="str">
        <f aca="false">IF($W107="","",INDEX(发票统计!C$4:C$1003,$W107)&amp;"")</f>
        <v/>
      </c>
      <c r="D107" s="56" t="str">
        <f aca="false">IF($W107="","",INDEX(发票统计!D$4:D$1003,$W107)&amp;"")</f>
        <v/>
      </c>
      <c r="E107" s="56" t="str">
        <f aca="false">IF($W107="","",INDEX(发票统计!E$4:E$1003,$W107)&amp;"")</f>
        <v/>
      </c>
      <c r="F107" s="73" t="str">
        <f aca="false">IF($W107="","",INDEX(发票统计!F$4:F$1003,$W107)&amp;"")</f>
        <v/>
      </c>
      <c r="G107" s="68" t="str">
        <f aca="false">IF($W107="","",IF(INDEX(发票统计!G$4:G$1003,$W107)="","",INDEX(发票统计!G$4:G$1003,$W107)))</f>
        <v/>
      </c>
      <c r="H107" s="56" t="str">
        <f aca="false">IF($W107="","",N(INDEX(发票统计!H$4:H$1003,$W107)))</f>
        <v/>
      </c>
      <c r="I107" s="56" t="str">
        <f aca="false">IF($W107="","",N(INDEX(发票统计!I$4:I$1003,$W107)))</f>
        <v/>
      </c>
      <c r="J107" s="56" t="str">
        <f aca="false">IF($W107="","",N(INDEX(发票统计!J$4:J$1003,$W107)))</f>
        <v/>
      </c>
      <c r="K107" s="56" t="str">
        <f aca="false">IF($W107="","",N(INDEX(发票统计!K$4:K$1003,$W107)))</f>
        <v/>
      </c>
      <c r="L107" s="56" t="str">
        <f aca="false">IF($W107="","",SUM(J$4:J107)-SUM(K$4:K107))</f>
        <v/>
      </c>
      <c r="M107" s="56" t="str">
        <f aca="false">IF($W107="","",N(INDEX(发票统计!M$4:M$1003,$W107)))</f>
        <v/>
      </c>
      <c r="N107" s="56" t="str">
        <f aca="false">IF($W107="","",N(INDEX(发票统计!N$4:N$1003,$W107)))</f>
        <v/>
      </c>
      <c r="O107" s="56" t="str">
        <f aca="false">IF($W107="","",N(INDEX(发票统计!O$4:O$1003,$W107)))</f>
        <v/>
      </c>
      <c r="P107" s="56" t="str">
        <f aca="false">IF($W107="","",SUM(M$4:M107)-SUM(N$4:N107)-SUM(O$4:O107))</f>
        <v/>
      </c>
      <c r="Q107" s="56" t="str">
        <f aca="false">IF($W107="","",N(INDEX(发票统计!Q$4:Q$1003,$W107)))</f>
        <v/>
      </c>
      <c r="R107" s="56" t="str">
        <f aca="false">IF($W107="","",N(INDEX(发票统计!R$4:R$1003,$W107)))</f>
        <v/>
      </c>
      <c r="S107" s="56" t="str">
        <f aca="false">IF($W107="","",N(INDEX(发票统计!S$4:S$1003,$W107)))</f>
        <v/>
      </c>
      <c r="T107" s="56" t="str">
        <f aca="false">IF($W107="","",SUM(Q$4:Q107)-SUM(R$4:R107)-SUM(S$4:S107))</f>
        <v/>
      </c>
      <c r="U107" s="56" t="str">
        <f aca="false">IF($W107="","",INDEX(发票统计!U$4:U$1003,$W107)&amp;"")</f>
        <v/>
      </c>
      <c r="W107" s="1" t="str">
        <f aca="false">IF($V$3="","",IFERROR(MATCH($V$3&amp;"#"&amp;ROWS(W$4:W107),发票统计!$W$4:$W$1003,0),""))</f>
        <v/>
      </c>
    </row>
    <row r="108" customFormat="false" ht="16.5" hidden="false" customHeight="false" outlineLevel="0" collapsed="false">
      <c r="A108" s="56" t="str">
        <f aca="false">IF($W108="","",INDEX(发票统计!A$4:A$1003,$W108)&amp;"")</f>
        <v/>
      </c>
      <c r="B108" s="56" t="str">
        <f aca="false">IF($W108="","",INDEX(发票统计!B$4:B$1003,$W108)&amp;"")</f>
        <v/>
      </c>
      <c r="C108" s="56" t="str">
        <f aca="false">IF($W108="","",INDEX(发票统计!C$4:C$1003,$W108)&amp;"")</f>
        <v/>
      </c>
      <c r="D108" s="56" t="str">
        <f aca="false">IF($W108="","",INDEX(发票统计!D$4:D$1003,$W108)&amp;"")</f>
        <v/>
      </c>
      <c r="E108" s="56" t="str">
        <f aca="false">IF($W108="","",INDEX(发票统计!E$4:E$1003,$W108)&amp;"")</f>
        <v/>
      </c>
      <c r="F108" s="73" t="str">
        <f aca="false">IF($W108="","",INDEX(发票统计!F$4:F$1003,$W108)&amp;"")</f>
        <v/>
      </c>
      <c r="G108" s="68" t="str">
        <f aca="false">IF($W108="","",IF(INDEX(发票统计!G$4:G$1003,$W108)="","",INDEX(发票统计!G$4:G$1003,$W108)))</f>
        <v/>
      </c>
      <c r="H108" s="56" t="str">
        <f aca="false">IF($W108="","",N(INDEX(发票统计!H$4:H$1003,$W108)))</f>
        <v/>
      </c>
      <c r="I108" s="56" t="str">
        <f aca="false">IF($W108="","",N(INDEX(发票统计!I$4:I$1003,$W108)))</f>
        <v/>
      </c>
      <c r="J108" s="56" t="str">
        <f aca="false">IF($W108="","",N(INDEX(发票统计!J$4:J$1003,$W108)))</f>
        <v/>
      </c>
      <c r="K108" s="56" t="str">
        <f aca="false">IF($W108="","",N(INDEX(发票统计!K$4:K$1003,$W108)))</f>
        <v/>
      </c>
      <c r="L108" s="56" t="str">
        <f aca="false">IF($W108="","",SUM(J$4:J108)-SUM(K$4:K108))</f>
        <v/>
      </c>
      <c r="M108" s="56" t="str">
        <f aca="false">IF($W108="","",N(INDEX(发票统计!M$4:M$1003,$W108)))</f>
        <v/>
      </c>
      <c r="N108" s="56" t="str">
        <f aca="false">IF($W108="","",N(INDEX(发票统计!N$4:N$1003,$W108)))</f>
        <v/>
      </c>
      <c r="O108" s="56" t="str">
        <f aca="false">IF($W108="","",N(INDEX(发票统计!O$4:O$1003,$W108)))</f>
        <v/>
      </c>
      <c r="P108" s="56" t="str">
        <f aca="false">IF($W108="","",SUM(M$4:M108)-SUM(N$4:N108)-SUM(O$4:O108))</f>
        <v/>
      </c>
      <c r="Q108" s="56" t="str">
        <f aca="false">IF($W108="","",N(INDEX(发票统计!Q$4:Q$1003,$W108)))</f>
        <v/>
      </c>
      <c r="R108" s="56" t="str">
        <f aca="false">IF($W108="","",N(INDEX(发票统计!R$4:R$1003,$W108)))</f>
        <v/>
      </c>
      <c r="S108" s="56" t="str">
        <f aca="false">IF($W108="","",N(INDEX(发票统计!S$4:S$1003,$W108)))</f>
        <v/>
      </c>
      <c r="T108" s="56" t="str">
        <f aca="false">IF($W108="","",SUM(Q$4:Q108)-SUM(R$4:R108)-SUM(S$4:S108))</f>
        <v/>
      </c>
      <c r="U108" s="56" t="str">
        <f aca="false">IF($W108="","",INDEX(发票统计!U$4:U$1003,$W108)&amp;"")</f>
        <v/>
      </c>
      <c r="W108" s="1" t="str">
        <f aca="false">IF($V$3="","",IFERROR(MATCH($V$3&amp;"#"&amp;ROWS(W$4:W108),发票统计!$W$4:$W$1003,0),""))</f>
        <v/>
      </c>
    </row>
    <row r="109" customFormat="false" ht="16.5" hidden="false" customHeight="false" outlineLevel="0" collapsed="false">
      <c r="A109" s="56" t="str">
        <f aca="false">IF($W109="","",INDEX(发票统计!A$4:A$1003,$W109)&amp;"")</f>
        <v/>
      </c>
      <c r="B109" s="56" t="str">
        <f aca="false">IF($W109="","",INDEX(发票统计!B$4:B$1003,$W109)&amp;"")</f>
        <v/>
      </c>
      <c r="C109" s="56" t="str">
        <f aca="false">IF($W109="","",INDEX(发票统计!C$4:C$1003,$W109)&amp;"")</f>
        <v/>
      </c>
      <c r="D109" s="56" t="str">
        <f aca="false">IF($W109="","",INDEX(发票统计!D$4:D$1003,$W109)&amp;"")</f>
        <v/>
      </c>
      <c r="E109" s="56" t="str">
        <f aca="false">IF($W109="","",INDEX(发票统计!E$4:E$1003,$W109)&amp;"")</f>
        <v/>
      </c>
      <c r="F109" s="73" t="str">
        <f aca="false">IF($W109="","",INDEX(发票统计!F$4:F$1003,$W109)&amp;"")</f>
        <v/>
      </c>
      <c r="G109" s="68" t="str">
        <f aca="false">IF($W109="","",IF(INDEX(发票统计!G$4:G$1003,$W109)="","",INDEX(发票统计!G$4:G$1003,$W109)))</f>
        <v/>
      </c>
      <c r="H109" s="56" t="str">
        <f aca="false">IF($W109="","",N(INDEX(发票统计!H$4:H$1003,$W109)))</f>
        <v/>
      </c>
      <c r="I109" s="56" t="str">
        <f aca="false">IF($W109="","",N(INDEX(发票统计!I$4:I$1003,$W109)))</f>
        <v/>
      </c>
      <c r="J109" s="56" t="str">
        <f aca="false">IF($W109="","",N(INDEX(发票统计!J$4:J$1003,$W109)))</f>
        <v/>
      </c>
      <c r="K109" s="56" t="str">
        <f aca="false">IF($W109="","",N(INDEX(发票统计!K$4:K$1003,$W109)))</f>
        <v/>
      </c>
      <c r="L109" s="56" t="str">
        <f aca="false">IF($W109="","",SUM(J$4:J109)-SUM(K$4:K109))</f>
        <v/>
      </c>
      <c r="M109" s="56" t="str">
        <f aca="false">IF($W109="","",N(INDEX(发票统计!M$4:M$1003,$W109)))</f>
        <v/>
      </c>
      <c r="N109" s="56" t="str">
        <f aca="false">IF($W109="","",N(INDEX(发票统计!N$4:N$1003,$W109)))</f>
        <v/>
      </c>
      <c r="O109" s="56" t="str">
        <f aca="false">IF($W109="","",N(INDEX(发票统计!O$4:O$1003,$W109)))</f>
        <v/>
      </c>
      <c r="P109" s="56" t="str">
        <f aca="false">IF($W109="","",SUM(M$4:M109)-SUM(N$4:N109)-SUM(O$4:O109))</f>
        <v/>
      </c>
      <c r="Q109" s="56" t="str">
        <f aca="false">IF($W109="","",N(INDEX(发票统计!Q$4:Q$1003,$W109)))</f>
        <v/>
      </c>
      <c r="R109" s="56" t="str">
        <f aca="false">IF($W109="","",N(INDEX(发票统计!R$4:R$1003,$W109)))</f>
        <v/>
      </c>
      <c r="S109" s="56" t="str">
        <f aca="false">IF($W109="","",N(INDEX(发票统计!S$4:S$1003,$W109)))</f>
        <v/>
      </c>
      <c r="T109" s="56" t="str">
        <f aca="false">IF($W109="","",SUM(Q$4:Q109)-SUM(R$4:R109)-SUM(S$4:S109))</f>
        <v/>
      </c>
      <c r="U109" s="56" t="str">
        <f aca="false">IF($W109="","",INDEX(发票统计!U$4:U$1003,$W109)&amp;"")</f>
        <v/>
      </c>
      <c r="W109" s="1" t="str">
        <f aca="false">IF($V$3="","",IFERROR(MATCH($V$3&amp;"#"&amp;ROWS(W$4:W109),发票统计!$W$4:$W$1003,0),""))</f>
        <v/>
      </c>
    </row>
    <row r="110" customFormat="false" ht="16.5" hidden="false" customHeight="false" outlineLevel="0" collapsed="false">
      <c r="A110" s="56" t="str">
        <f aca="false">IF($W110="","",INDEX(发票统计!A$4:A$1003,$W110)&amp;"")</f>
        <v/>
      </c>
      <c r="B110" s="56" t="str">
        <f aca="false">IF($W110="","",INDEX(发票统计!B$4:B$1003,$W110)&amp;"")</f>
        <v/>
      </c>
      <c r="C110" s="56" t="str">
        <f aca="false">IF($W110="","",INDEX(发票统计!C$4:C$1003,$W110)&amp;"")</f>
        <v/>
      </c>
      <c r="D110" s="56" t="str">
        <f aca="false">IF($W110="","",INDEX(发票统计!D$4:D$1003,$W110)&amp;"")</f>
        <v/>
      </c>
      <c r="E110" s="56" t="str">
        <f aca="false">IF($W110="","",INDEX(发票统计!E$4:E$1003,$W110)&amp;"")</f>
        <v/>
      </c>
      <c r="F110" s="73" t="str">
        <f aca="false">IF($W110="","",INDEX(发票统计!F$4:F$1003,$W110)&amp;"")</f>
        <v/>
      </c>
      <c r="G110" s="68" t="str">
        <f aca="false">IF($W110="","",IF(INDEX(发票统计!G$4:G$1003,$W110)="","",INDEX(发票统计!G$4:G$1003,$W110)))</f>
        <v/>
      </c>
      <c r="H110" s="56" t="str">
        <f aca="false">IF($W110="","",N(INDEX(发票统计!H$4:H$1003,$W110)))</f>
        <v/>
      </c>
      <c r="I110" s="56" t="str">
        <f aca="false">IF($W110="","",N(INDEX(发票统计!I$4:I$1003,$W110)))</f>
        <v/>
      </c>
      <c r="J110" s="56" t="str">
        <f aca="false">IF($W110="","",N(INDEX(发票统计!J$4:J$1003,$W110)))</f>
        <v/>
      </c>
      <c r="K110" s="56" t="str">
        <f aca="false">IF($W110="","",N(INDEX(发票统计!K$4:K$1003,$W110)))</f>
        <v/>
      </c>
      <c r="L110" s="56" t="str">
        <f aca="false">IF($W110="","",SUM(J$4:J110)-SUM(K$4:K110))</f>
        <v/>
      </c>
      <c r="M110" s="56" t="str">
        <f aca="false">IF($W110="","",N(INDEX(发票统计!M$4:M$1003,$W110)))</f>
        <v/>
      </c>
      <c r="N110" s="56" t="str">
        <f aca="false">IF($W110="","",N(INDEX(发票统计!N$4:N$1003,$W110)))</f>
        <v/>
      </c>
      <c r="O110" s="56" t="str">
        <f aca="false">IF($W110="","",N(INDEX(发票统计!O$4:O$1003,$W110)))</f>
        <v/>
      </c>
      <c r="P110" s="56" t="str">
        <f aca="false">IF($W110="","",SUM(M$4:M110)-SUM(N$4:N110)-SUM(O$4:O110))</f>
        <v/>
      </c>
      <c r="Q110" s="56" t="str">
        <f aca="false">IF($W110="","",N(INDEX(发票统计!Q$4:Q$1003,$W110)))</f>
        <v/>
      </c>
      <c r="R110" s="56" t="str">
        <f aca="false">IF($W110="","",N(INDEX(发票统计!R$4:R$1003,$W110)))</f>
        <v/>
      </c>
      <c r="S110" s="56" t="str">
        <f aca="false">IF($W110="","",N(INDEX(发票统计!S$4:S$1003,$W110)))</f>
        <v/>
      </c>
      <c r="T110" s="56" t="str">
        <f aca="false">IF($W110="","",SUM(Q$4:Q110)-SUM(R$4:R110)-SUM(S$4:S110))</f>
        <v/>
      </c>
      <c r="U110" s="56" t="str">
        <f aca="false">IF($W110="","",INDEX(发票统计!U$4:U$1003,$W110)&amp;"")</f>
        <v/>
      </c>
      <c r="W110" s="1" t="str">
        <f aca="false">IF($V$3="","",IFERROR(MATCH($V$3&amp;"#"&amp;ROWS(W$4:W110),发票统计!$W$4:$W$1003,0),""))</f>
        <v/>
      </c>
    </row>
    <row r="111" customFormat="false" ht="16.5" hidden="false" customHeight="false" outlineLevel="0" collapsed="false">
      <c r="A111" s="56" t="str">
        <f aca="false">IF($W111="","",INDEX(发票统计!A$4:A$1003,$W111)&amp;"")</f>
        <v/>
      </c>
      <c r="B111" s="56" t="str">
        <f aca="false">IF($W111="","",INDEX(发票统计!B$4:B$1003,$W111)&amp;"")</f>
        <v/>
      </c>
      <c r="C111" s="56" t="str">
        <f aca="false">IF($W111="","",INDEX(发票统计!C$4:C$1003,$W111)&amp;"")</f>
        <v/>
      </c>
      <c r="D111" s="56" t="str">
        <f aca="false">IF($W111="","",INDEX(发票统计!D$4:D$1003,$W111)&amp;"")</f>
        <v/>
      </c>
      <c r="E111" s="56" t="str">
        <f aca="false">IF($W111="","",INDEX(发票统计!E$4:E$1003,$W111)&amp;"")</f>
        <v/>
      </c>
      <c r="F111" s="73" t="str">
        <f aca="false">IF($W111="","",INDEX(发票统计!F$4:F$1003,$W111)&amp;"")</f>
        <v/>
      </c>
      <c r="G111" s="68" t="str">
        <f aca="false">IF($W111="","",IF(INDEX(发票统计!G$4:G$1003,$W111)="","",INDEX(发票统计!G$4:G$1003,$W111)))</f>
        <v/>
      </c>
      <c r="H111" s="56" t="str">
        <f aca="false">IF($W111="","",N(INDEX(发票统计!H$4:H$1003,$W111)))</f>
        <v/>
      </c>
      <c r="I111" s="56" t="str">
        <f aca="false">IF($W111="","",N(INDEX(发票统计!I$4:I$1003,$W111)))</f>
        <v/>
      </c>
      <c r="J111" s="56" t="str">
        <f aca="false">IF($W111="","",N(INDEX(发票统计!J$4:J$1003,$W111)))</f>
        <v/>
      </c>
      <c r="K111" s="56" t="str">
        <f aca="false">IF($W111="","",N(INDEX(发票统计!K$4:K$1003,$W111)))</f>
        <v/>
      </c>
      <c r="L111" s="56" t="str">
        <f aca="false">IF($W111="","",SUM(J$4:J111)-SUM(K$4:K111))</f>
        <v/>
      </c>
      <c r="M111" s="56" t="str">
        <f aca="false">IF($W111="","",N(INDEX(发票统计!M$4:M$1003,$W111)))</f>
        <v/>
      </c>
      <c r="N111" s="56" t="str">
        <f aca="false">IF($W111="","",N(INDEX(发票统计!N$4:N$1003,$W111)))</f>
        <v/>
      </c>
      <c r="O111" s="56" t="str">
        <f aca="false">IF($W111="","",N(INDEX(发票统计!O$4:O$1003,$W111)))</f>
        <v/>
      </c>
      <c r="P111" s="56" t="str">
        <f aca="false">IF($W111="","",SUM(M$4:M111)-SUM(N$4:N111)-SUM(O$4:O111))</f>
        <v/>
      </c>
      <c r="Q111" s="56" t="str">
        <f aca="false">IF($W111="","",N(INDEX(发票统计!Q$4:Q$1003,$W111)))</f>
        <v/>
      </c>
      <c r="R111" s="56" t="str">
        <f aca="false">IF($W111="","",N(INDEX(发票统计!R$4:R$1003,$W111)))</f>
        <v/>
      </c>
      <c r="S111" s="56" t="str">
        <f aca="false">IF($W111="","",N(INDEX(发票统计!S$4:S$1003,$W111)))</f>
        <v/>
      </c>
      <c r="T111" s="56" t="str">
        <f aca="false">IF($W111="","",SUM(Q$4:Q111)-SUM(R$4:R111)-SUM(S$4:S111))</f>
        <v/>
      </c>
      <c r="U111" s="56" t="str">
        <f aca="false">IF($W111="","",INDEX(发票统计!U$4:U$1003,$W111)&amp;"")</f>
        <v/>
      </c>
      <c r="W111" s="1" t="str">
        <f aca="false">IF($V$3="","",IFERROR(MATCH($V$3&amp;"#"&amp;ROWS(W$4:W111),发票统计!$W$4:$W$1003,0),""))</f>
        <v/>
      </c>
    </row>
    <row r="112" customFormat="false" ht="16.5" hidden="false" customHeight="false" outlineLevel="0" collapsed="false">
      <c r="A112" s="56" t="str">
        <f aca="false">IF($W112="","",INDEX(发票统计!A$4:A$1003,$W112)&amp;"")</f>
        <v/>
      </c>
      <c r="B112" s="56" t="str">
        <f aca="false">IF($W112="","",INDEX(发票统计!B$4:B$1003,$W112)&amp;"")</f>
        <v/>
      </c>
      <c r="C112" s="56" t="str">
        <f aca="false">IF($W112="","",INDEX(发票统计!C$4:C$1003,$W112)&amp;"")</f>
        <v/>
      </c>
      <c r="D112" s="56" t="str">
        <f aca="false">IF($W112="","",INDEX(发票统计!D$4:D$1003,$W112)&amp;"")</f>
        <v/>
      </c>
      <c r="E112" s="56" t="str">
        <f aca="false">IF($W112="","",INDEX(发票统计!E$4:E$1003,$W112)&amp;"")</f>
        <v/>
      </c>
      <c r="F112" s="73" t="str">
        <f aca="false">IF($W112="","",INDEX(发票统计!F$4:F$1003,$W112)&amp;"")</f>
        <v/>
      </c>
      <c r="G112" s="68" t="str">
        <f aca="false">IF($W112="","",IF(INDEX(发票统计!G$4:G$1003,$W112)="","",INDEX(发票统计!G$4:G$1003,$W112)))</f>
        <v/>
      </c>
      <c r="H112" s="56" t="str">
        <f aca="false">IF($W112="","",N(INDEX(发票统计!H$4:H$1003,$W112)))</f>
        <v/>
      </c>
      <c r="I112" s="56" t="str">
        <f aca="false">IF($W112="","",N(INDEX(发票统计!I$4:I$1003,$W112)))</f>
        <v/>
      </c>
      <c r="J112" s="56" t="str">
        <f aca="false">IF($W112="","",N(INDEX(发票统计!J$4:J$1003,$W112)))</f>
        <v/>
      </c>
      <c r="K112" s="56" t="str">
        <f aca="false">IF($W112="","",N(INDEX(发票统计!K$4:K$1003,$W112)))</f>
        <v/>
      </c>
      <c r="L112" s="56" t="str">
        <f aca="false">IF($W112="","",SUM(J$4:J112)-SUM(K$4:K112))</f>
        <v/>
      </c>
      <c r="M112" s="56" t="str">
        <f aca="false">IF($W112="","",N(INDEX(发票统计!M$4:M$1003,$W112)))</f>
        <v/>
      </c>
      <c r="N112" s="56" t="str">
        <f aca="false">IF($W112="","",N(INDEX(发票统计!N$4:N$1003,$W112)))</f>
        <v/>
      </c>
      <c r="O112" s="56" t="str">
        <f aca="false">IF($W112="","",N(INDEX(发票统计!O$4:O$1003,$W112)))</f>
        <v/>
      </c>
      <c r="P112" s="56" t="str">
        <f aca="false">IF($W112="","",SUM(M$4:M112)-SUM(N$4:N112)-SUM(O$4:O112))</f>
        <v/>
      </c>
      <c r="Q112" s="56" t="str">
        <f aca="false">IF($W112="","",N(INDEX(发票统计!Q$4:Q$1003,$W112)))</f>
        <v/>
      </c>
      <c r="R112" s="56" t="str">
        <f aca="false">IF($W112="","",N(INDEX(发票统计!R$4:R$1003,$W112)))</f>
        <v/>
      </c>
      <c r="S112" s="56" t="str">
        <f aca="false">IF($W112="","",N(INDEX(发票统计!S$4:S$1003,$W112)))</f>
        <v/>
      </c>
      <c r="T112" s="56" t="str">
        <f aca="false">IF($W112="","",SUM(Q$4:Q112)-SUM(R$4:R112)-SUM(S$4:S112))</f>
        <v/>
      </c>
      <c r="U112" s="56" t="str">
        <f aca="false">IF($W112="","",INDEX(发票统计!U$4:U$1003,$W112)&amp;"")</f>
        <v/>
      </c>
      <c r="W112" s="1" t="str">
        <f aca="false">IF($V$3="","",IFERROR(MATCH($V$3&amp;"#"&amp;ROWS(W$4:W112),发票统计!$W$4:$W$1003,0),""))</f>
        <v/>
      </c>
    </row>
    <row r="113" customFormat="false" ht="16.5" hidden="false" customHeight="false" outlineLevel="0" collapsed="false">
      <c r="A113" s="56" t="str">
        <f aca="false">IF($W113="","",INDEX(发票统计!A$4:A$1003,$W113)&amp;"")</f>
        <v/>
      </c>
      <c r="B113" s="56" t="str">
        <f aca="false">IF($W113="","",INDEX(发票统计!B$4:B$1003,$W113)&amp;"")</f>
        <v/>
      </c>
      <c r="C113" s="56" t="str">
        <f aca="false">IF($W113="","",INDEX(发票统计!C$4:C$1003,$W113)&amp;"")</f>
        <v/>
      </c>
      <c r="D113" s="56" t="str">
        <f aca="false">IF($W113="","",INDEX(发票统计!D$4:D$1003,$W113)&amp;"")</f>
        <v/>
      </c>
      <c r="E113" s="56" t="str">
        <f aca="false">IF($W113="","",INDEX(发票统计!E$4:E$1003,$W113)&amp;"")</f>
        <v/>
      </c>
      <c r="F113" s="73" t="str">
        <f aca="false">IF($W113="","",INDEX(发票统计!F$4:F$1003,$W113)&amp;"")</f>
        <v/>
      </c>
      <c r="G113" s="68" t="str">
        <f aca="false">IF($W113="","",IF(INDEX(发票统计!G$4:G$1003,$W113)="","",INDEX(发票统计!G$4:G$1003,$W113)))</f>
        <v/>
      </c>
      <c r="H113" s="56" t="str">
        <f aca="false">IF($W113="","",N(INDEX(发票统计!H$4:H$1003,$W113)))</f>
        <v/>
      </c>
      <c r="I113" s="56" t="str">
        <f aca="false">IF($W113="","",N(INDEX(发票统计!I$4:I$1003,$W113)))</f>
        <v/>
      </c>
      <c r="J113" s="56" t="str">
        <f aca="false">IF($W113="","",N(INDEX(发票统计!J$4:J$1003,$W113)))</f>
        <v/>
      </c>
      <c r="K113" s="56" t="str">
        <f aca="false">IF($W113="","",N(INDEX(发票统计!K$4:K$1003,$W113)))</f>
        <v/>
      </c>
      <c r="L113" s="56" t="str">
        <f aca="false">IF($W113="","",SUM(J$4:J113)-SUM(K$4:K113))</f>
        <v/>
      </c>
      <c r="M113" s="56" t="str">
        <f aca="false">IF($W113="","",N(INDEX(发票统计!M$4:M$1003,$W113)))</f>
        <v/>
      </c>
      <c r="N113" s="56" t="str">
        <f aca="false">IF($W113="","",N(INDEX(发票统计!N$4:N$1003,$W113)))</f>
        <v/>
      </c>
      <c r="O113" s="56" t="str">
        <f aca="false">IF($W113="","",N(INDEX(发票统计!O$4:O$1003,$W113)))</f>
        <v/>
      </c>
      <c r="P113" s="56" t="str">
        <f aca="false">IF($W113="","",SUM(M$4:M113)-SUM(N$4:N113)-SUM(O$4:O113))</f>
        <v/>
      </c>
      <c r="Q113" s="56" t="str">
        <f aca="false">IF($W113="","",N(INDEX(发票统计!Q$4:Q$1003,$W113)))</f>
        <v/>
      </c>
      <c r="R113" s="56" t="str">
        <f aca="false">IF($W113="","",N(INDEX(发票统计!R$4:R$1003,$W113)))</f>
        <v/>
      </c>
      <c r="S113" s="56" t="str">
        <f aca="false">IF($W113="","",N(INDEX(发票统计!S$4:S$1003,$W113)))</f>
        <v/>
      </c>
      <c r="T113" s="56" t="str">
        <f aca="false">IF($W113="","",SUM(Q$4:Q113)-SUM(R$4:R113)-SUM(S$4:S113))</f>
        <v/>
      </c>
      <c r="U113" s="56" t="str">
        <f aca="false">IF($W113="","",INDEX(发票统计!U$4:U$1003,$W113)&amp;"")</f>
        <v/>
      </c>
      <c r="W113" s="1" t="str">
        <f aca="false">IF($V$3="","",IFERROR(MATCH($V$3&amp;"#"&amp;ROWS(W$4:W113),发票统计!$W$4:$W$1003,0),""))</f>
        <v/>
      </c>
    </row>
    <row r="114" customFormat="false" ht="16.5" hidden="false" customHeight="false" outlineLevel="0" collapsed="false">
      <c r="A114" s="56" t="str">
        <f aca="false">IF($W114="","",INDEX(发票统计!A$4:A$1003,$W114)&amp;"")</f>
        <v/>
      </c>
      <c r="B114" s="56" t="str">
        <f aca="false">IF($W114="","",INDEX(发票统计!B$4:B$1003,$W114)&amp;"")</f>
        <v/>
      </c>
      <c r="C114" s="56" t="str">
        <f aca="false">IF($W114="","",INDEX(发票统计!C$4:C$1003,$W114)&amp;"")</f>
        <v/>
      </c>
      <c r="D114" s="56" t="str">
        <f aca="false">IF($W114="","",INDEX(发票统计!D$4:D$1003,$W114)&amp;"")</f>
        <v/>
      </c>
      <c r="E114" s="56" t="str">
        <f aca="false">IF($W114="","",INDEX(发票统计!E$4:E$1003,$W114)&amp;"")</f>
        <v/>
      </c>
      <c r="F114" s="73" t="str">
        <f aca="false">IF($W114="","",INDEX(发票统计!F$4:F$1003,$W114)&amp;"")</f>
        <v/>
      </c>
      <c r="G114" s="68" t="str">
        <f aca="false">IF($W114="","",IF(INDEX(发票统计!G$4:G$1003,$W114)="","",INDEX(发票统计!G$4:G$1003,$W114)))</f>
        <v/>
      </c>
      <c r="H114" s="56" t="str">
        <f aca="false">IF($W114="","",N(INDEX(发票统计!H$4:H$1003,$W114)))</f>
        <v/>
      </c>
      <c r="I114" s="56" t="str">
        <f aca="false">IF($W114="","",N(INDEX(发票统计!I$4:I$1003,$W114)))</f>
        <v/>
      </c>
      <c r="J114" s="56" t="str">
        <f aca="false">IF($W114="","",N(INDEX(发票统计!J$4:J$1003,$W114)))</f>
        <v/>
      </c>
      <c r="K114" s="56" t="str">
        <f aca="false">IF($W114="","",N(INDEX(发票统计!K$4:K$1003,$W114)))</f>
        <v/>
      </c>
      <c r="L114" s="56" t="str">
        <f aca="false">IF($W114="","",SUM(J$4:J114)-SUM(K$4:K114))</f>
        <v/>
      </c>
      <c r="M114" s="56" t="str">
        <f aca="false">IF($W114="","",N(INDEX(发票统计!M$4:M$1003,$W114)))</f>
        <v/>
      </c>
      <c r="N114" s="56" t="str">
        <f aca="false">IF($W114="","",N(INDEX(发票统计!N$4:N$1003,$W114)))</f>
        <v/>
      </c>
      <c r="O114" s="56" t="str">
        <f aca="false">IF($W114="","",N(INDEX(发票统计!O$4:O$1003,$W114)))</f>
        <v/>
      </c>
      <c r="P114" s="56" t="str">
        <f aca="false">IF($W114="","",SUM(M$4:M114)-SUM(N$4:N114)-SUM(O$4:O114))</f>
        <v/>
      </c>
      <c r="Q114" s="56" t="str">
        <f aca="false">IF($W114="","",N(INDEX(发票统计!Q$4:Q$1003,$W114)))</f>
        <v/>
      </c>
      <c r="R114" s="56" t="str">
        <f aca="false">IF($W114="","",N(INDEX(发票统计!R$4:R$1003,$W114)))</f>
        <v/>
      </c>
      <c r="S114" s="56" t="str">
        <f aca="false">IF($W114="","",N(INDEX(发票统计!S$4:S$1003,$W114)))</f>
        <v/>
      </c>
      <c r="T114" s="56" t="str">
        <f aca="false">IF($W114="","",SUM(Q$4:Q114)-SUM(R$4:R114)-SUM(S$4:S114))</f>
        <v/>
      </c>
      <c r="U114" s="56" t="str">
        <f aca="false">IF($W114="","",INDEX(发票统计!U$4:U$1003,$W114)&amp;"")</f>
        <v/>
      </c>
      <c r="W114" s="1" t="str">
        <f aca="false">IF($V$3="","",IFERROR(MATCH($V$3&amp;"#"&amp;ROWS(W$4:W114),发票统计!$W$4:$W$1003,0),""))</f>
        <v/>
      </c>
    </row>
    <row r="115" customFormat="false" ht="16.5" hidden="false" customHeight="false" outlineLevel="0" collapsed="false">
      <c r="A115" s="56" t="str">
        <f aca="false">IF($W115="","",INDEX(发票统计!A$4:A$1003,$W115)&amp;"")</f>
        <v/>
      </c>
      <c r="B115" s="56" t="str">
        <f aca="false">IF($W115="","",INDEX(发票统计!B$4:B$1003,$W115)&amp;"")</f>
        <v/>
      </c>
      <c r="C115" s="56" t="str">
        <f aca="false">IF($W115="","",INDEX(发票统计!C$4:C$1003,$W115)&amp;"")</f>
        <v/>
      </c>
      <c r="D115" s="56" t="str">
        <f aca="false">IF($W115="","",INDEX(发票统计!D$4:D$1003,$W115)&amp;"")</f>
        <v/>
      </c>
      <c r="E115" s="56" t="str">
        <f aca="false">IF($W115="","",INDEX(发票统计!E$4:E$1003,$W115)&amp;"")</f>
        <v/>
      </c>
      <c r="F115" s="73" t="str">
        <f aca="false">IF($W115="","",INDEX(发票统计!F$4:F$1003,$W115)&amp;"")</f>
        <v/>
      </c>
      <c r="G115" s="68" t="str">
        <f aca="false">IF($W115="","",IF(INDEX(发票统计!G$4:G$1003,$W115)="","",INDEX(发票统计!G$4:G$1003,$W115)))</f>
        <v/>
      </c>
      <c r="H115" s="56" t="str">
        <f aca="false">IF($W115="","",N(INDEX(发票统计!H$4:H$1003,$W115)))</f>
        <v/>
      </c>
      <c r="I115" s="56" t="str">
        <f aca="false">IF($W115="","",N(INDEX(发票统计!I$4:I$1003,$W115)))</f>
        <v/>
      </c>
      <c r="J115" s="56" t="str">
        <f aca="false">IF($W115="","",N(INDEX(发票统计!J$4:J$1003,$W115)))</f>
        <v/>
      </c>
      <c r="K115" s="56" t="str">
        <f aca="false">IF($W115="","",N(INDEX(发票统计!K$4:K$1003,$W115)))</f>
        <v/>
      </c>
      <c r="L115" s="56" t="str">
        <f aca="false">IF($W115="","",SUM(J$4:J115)-SUM(K$4:K115))</f>
        <v/>
      </c>
      <c r="M115" s="56" t="str">
        <f aca="false">IF($W115="","",N(INDEX(发票统计!M$4:M$1003,$W115)))</f>
        <v/>
      </c>
      <c r="N115" s="56" t="str">
        <f aca="false">IF($W115="","",N(INDEX(发票统计!N$4:N$1003,$W115)))</f>
        <v/>
      </c>
      <c r="O115" s="56" t="str">
        <f aca="false">IF($W115="","",N(INDEX(发票统计!O$4:O$1003,$W115)))</f>
        <v/>
      </c>
      <c r="P115" s="56" t="str">
        <f aca="false">IF($W115="","",SUM(M$4:M115)-SUM(N$4:N115)-SUM(O$4:O115))</f>
        <v/>
      </c>
      <c r="Q115" s="56" t="str">
        <f aca="false">IF($W115="","",N(INDEX(发票统计!Q$4:Q$1003,$W115)))</f>
        <v/>
      </c>
      <c r="R115" s="56" t="str">
        <f aca="false">IF($W115="","",N(INDEX(发票统计!R$4:R$1003,$W115)))</f>
        <v/>
      </c>
      <c r="S115" s="56" t="str">
        <f aca="false">IF($W115="","",N(INDEX(发票统计!S$4:S$1003,$W115)))</f>
        <v/>
      </c>
      <c r="T115" s="56" t="str">
        <f aca="false">IF($W115="","",SUM(Q$4:Q115)-SUM(R$4:R115)-SUM(S$4:S115))</f>
        <v/>
      </c>
      <c r="U115" s="56" t="str">
        <f aca="false">IF($W115="","",INDEX(发票统计!U$4:U$1003,$W115)&amp;"")</f>
        <v/>
      </c>
      <c r="W115" s="1" t="str">
        <f aca="false">IF($V$3="","",IFERROR(MATCH($V$3&amp;"#"&amp;ROWS(W$4:W115),发票统计!$W$4:$W$1003,0),""))</f>
        <v/>
      </c>
    </row>
    <row r="116" customFormat="false" ht="16.5" hidden="false" customHeight="false" outlineLevel="0" collapsed="false">
      <c r="A116" s="56" t="str">
        <f aca="false">IF($W116="","",INDEX(发票统计!A$4:A$1003,$W116)&amp;"")</f>
        <v/>
      </c>
      <c r="B116" s="56" t="str">
        <f aca="false">IF($W116="","",INDEX(发票统计!B$4:B$1003,$W116)&amp;"")</f>
        <v/>
      </c>
      <c r="C116" s="56" t="str">
        <f aca="false">IF($W116="","",INDEX(发票统计!C$4:C$1003,$W116)&amp;"")</f>
        <v/>
      </c>
      <c r="D116" s="56" t="str">
        <f aca="false">IF($W116="","",INDEX(发票统计!D$4:D$1003,$W116)&amp;"")</f>
        <v/>
      </c>
      <c r="E116" s="56" t="str">
        <f aca="false">IF($W116="","",INDEX(发票统计!E$4:E$1003,$W116)&amp;"")</f>
        <v/>
      </c>
      <c r="F116" s="73" t="str">
        <f aca="false">IF($W116="","",INDEX(发票统计!F$4:F$1003,$W116)&amp;"")</f>
        <v/>
      </c>
      <c r="G116" s="68" t="str">
        <f aca="false">IF($W116="","",IF(INDEX(发票统计!G$4:G$1003,$W116)="","",INDEX(发票统计!G$4:G$1003,$W116)))</f>
        <v/>
      </c>
      <c r="H116" s="56" t="str">
        <f aca="false">IF($W116="","",N(INDEX(发票统计!H$4:H$1003,$W116)))</f>
        <v/>
      </c>
      <c r="I116" s="56" t="str">
        <f aca="false">IF($W116="","",N(INDEX(发票统计!I$4:I$1003,$W116)))</f>
        <v/>
      </c>
      <c r="J116" s="56" t="str">
        <f aca="false">IF($W116="","",N(INDEX(发票统计!J$4:J$1003,$W116)))</f>
        <v/>
      </c>
      <c r="K116" s="56" t="str">
        <f aca="false">IF($W116="","",N(INDEX(发票统计!K$4:K$1003,$W116)))</f>
        <v/>
      </c>
      <c r="L116" s="56" t="str">
        <f aca="false">IF($W116="","",SUM(J$4:J116)-SUM(K$4:K116))</f>
        <v/>
      </c>
      <c r="M116" s="56" t="str">
        <f aca="false">IF($W116="","",N(INDEX(发票统计!M$4:M$1003,$W116)))</f>
        <v/>
      </c>
      <c r="N116" s="56" t="str">
        <f aca="false">IF($W116="","",N(INDEX(发票统计!N$4:N$1003,$W116)))</f>
        <v/>
      </c>
      <c r="O116" s="56" t="str">
        <f aca="false">IF($W116="","",N(INDEX(发票统计!O$4:O$1003,$W116)))</f>
        <v/>
      </c>
      <c r="P116" s="56" t="str">
        <f aca="false">IF($W116="","",SUM(M$4:M116)-SUM(N$4:N116)-SUM(O$4:O116))</f>
        <v/>
      </c>
      <c r="Q116" s="56" t="str">
        <f aca="false">IF($W116="","",N(INDEX(发票统计!Q$4:Q$1003,$W116)))</f>
        <v/>
      </c>
      <c r="R116" s="56" t="str">
        <f aca="false">IF($W116="","",N(INDEX(发票统计!R$4:R$1003,$W116)))</f>
        <v/>
      </c>
      <c r="S116" s="56" t="str">
        <f aca="false">IF($W116="","",N(INDEX(发票统计!S$4:S$1003,$W116)))</f>
        <v/>
      </c>
      <c r="T116" s="56" t="str">
        <f aca="false">IF($W116="","",SUM(Q$4:Q116)-SUM(R$4:R116)-SUM(S$4:S116))</f>
        <v/>
      </c>
      <c r="U116" s="56" t="str">
        <f aca="false">IF($W116="","",INDEX(发票统计!U$4:U$1003,$W116)&amp;"")</f>
        <v/>
      </c>
      <c r="W116" s="1" t="str">
        <f aca="false">IF($V$3="","",IFERROR(MATCH($V$3&amp;"#"&amp;ROWS(W$4:W116),发票统计!$W$4:$W$1003,0),""))</f>
        <v/>
      </c>
    </row>
    <row r="117" customFormat="false" ht="16.5" hidden="false" customHeight="false" outlineLevel="0" collapsed="false">
      <c r="A117" s="56" t="str">
        <f aca="false">IF($W117="","",INDEX(发票统计!A$4:A$1003,$W117)&amp;"")</f>
        <v/>
      </c>
      <c r="B117" s="56" t="str">
        <f aca="false">IF($W117="","",INDEX(发票统计!B$4:B$1003,$W117)&amp;"")</f>
        <v/>
      </c>
      <c r="C117" s="56" t="str">
        <f aca="false">IF($W117="","",INDEX(发票统计!C$4:C$1003,$W117)&amp;"")</f>
        <v/>
      </c>
      <c r="D117" s="56" t="str">
        <f aca="false">IF($W117="","",INDEX(发票统计!D$4:D$1003,$W117)&amp;"")</f>
        <v/>
      </c>
      <c r="E117" s="56" t="str">
        <f aca="false">IF($W117="","",INDEX(发票统计!E$4:E$1003,$W117)&amp;"")</f>
        <v/>
      </c>
      <c r="F117" s="73" t="str">
        <f aca="false">IF($W117="","",INDEX(发票统计!F$4:F$1003,$W117)&amp;"")</f>
        <v/>
      </c>
      <c r="G117" s="68" t="str">
        <f aca="false">IF($W117="","",IF(INDEX(发票统计!G$4:G$1003,$W117)="","",INDEX(发票统计!G$4:G$1003,$W117)))</f>
        <v/>
      </c>
      <c r="H117" s="56" t="str">
        <f aca="false">IF($W117="","",N(INDEX(发票统计!H$4:H$1003,$W117)))</f>
        <v/>
      </c>
      <c r="I117" s="56" t="str">
        <f aca="false">IF($W117="","",N(INDEX(发票统计!I$4:I$1003,$W117)))</f>
        <v/>
      </c>
      <c r="J117" s="56" t="str">
        <f aca="false">IF($W117="","",N(INDEX(发票统计!J$4:J$1003,$W117)))</f>
        <v/>
      </c>
      <c r="K117" s="56" t="str">
        <f aca="false">IF($W117="","",N(INDEX(发票统计!K$4:K$1003,$W117)))</f>
        <v/>
      </c>
      <c r="L117" s="56" t="str">
        <f aca="false">IF($W117="","",SUM(J$4:J117)-SUM(K$4:K117))</f>
        <v/>
      </c>
      <c r="M117" s="56" t="str">
        <f aca="false">IF($W117="","",N(INDEX(发票统计!M$4:M$1003,$W117)))</f>
        <v/>
      </c>
      <c r="N117" s="56" t="str">
        <f aca="false">IF($W117="","",N(INDEX(发票统计!N$4:N$1003,$W117)))</f>
        <v/>
      </c>
      <c r="O117" s="56" t="str">
        <f aca="false">IF($W117="","",N(INDEX(发票统计!O$4:O$1003,$W117)))</f>
        <v/>
      </c>
      <c r="P117" s="56" t="str">
        <f aca="false">IF($W117="","",SUM(M$4:M117)-SUM(N$4:N117)-SUM(O$4:O117))</f>
        <v/>
      </c>
      <c r="Q117" s="56" t="str">
        <f aca="false">IF($W117="","",N(INDEX(发票统计!Q$4:Q$1003,$W117)))</f>
        <v/>
      </c>
      <c r="R117" s="56" t="str">
        <f aca="false">IF($W117="","",N(INDEX(发票统计!R$4:R$1003,$W117)))</f>
        <v/>
      </c>
      <c r="S117" s="56" t="str">
        <f aca="false">IF($W117="","",N(INDEX(发票统计!S$4:S$1003,$W117)))</f>
        <v/>
      </c>
      <c r="T117" s="56" t="str">
        <f aca="false">IF($W117="","",SUM(Q$4:Q117)-SUM(R$4:R117)-SUM(S$4:S117))</f>
        <v/>
      </c>
      <c r="U117" s="56" t="str">
        <f aca="false">IF($W117="","",INDEX(发票统计!U$4:U$1003,$W117)&amp;"")</f>
        <v/>
      </c>
      <c r="W117" s="1" t="str">
        <f aca="false">IF($V$3="","",IFERROR(MATCH($V$3&amp;"#"&amp;ROWS(W$4:W117),发票统计!$W$4:$W$1003,0),""))</f>
        <v/>
      </c>
    </row>
    <row r="118" customFormat="false" ht="16.5" hidden="false" customHeight="false" outlineLevel="0" collapsed="false">
      <c r="A118" s="56" t="str">
        <f aca="false">IF($W118="","",INDEX(发票统计!A$4:A$1003,$W118)&amp;"")</f>
        <v/>
      </c>
      <c r="B118" s="56" t="str">
        <f aca="false">IF($W118="","",INDEX(发票统计!B$4:B$1003,$W118)&amp;"")</f>
        <v/>
      </c>
      <c r="C118" s="56" t="str">
        <f aca="false">IF($W118="","",INDEX(发票统计!C$4:C$1003,$W118)&amp;"")</f>
        <v/>
      </c>
      <c r="D118" s="56" t="str">
        <f aca="false">IF($W118="","",INDEX(发票统计!D$4:D$1003,$W118)&amp;"")</f>
        <v/>
      </c>
      <c r="E118" s="56" t="str">
        <f aca="false">IF($W118="","",INDEX(发票统计!E$4:E$1003,$W118)&amp;"")</f>
        <v/>
      </c>
      <c r="F118" s="73" t="str">
        <f aca="false">IF($W118="","",INDEX(发票统计!F$4:F$1003,$W118)&amp;"")</f>
        <v/>
      </c>
      <c r="G118" s="68" t="str">
        <f aca="false">IF($W118="","",IF(INDEX(发票统计!G$4:G$1003,$W118)="","",INDEX(发票统计!G$4:G$1003,$W118)))</f>
        <v/>
      </c>
      <c r="H118" s="56" t="str">
        <f aca="false">IF($W118="","",N(INDEX(发票统计!H$4:H$1003,$W118)))</f>
        <v/>
      </c>
      <c r="I118" s="56" t="str">
        <f aca="false">IF($W118="","",N(INDEX(发票统计!I$4:I$1003,$W118)))</f>
        <v/>
      </c>
      <c r="J118" s="56" t="str">
        <f aca="false">IF($W118="","",N(INDEX(发票统计!J$4:J$1003,$W118)))</f>
        <v/>
      </c>
      <c r="K118" s="56" t="str">
        <f aca="false">IF($W118="","",N(INDEX(发票统计!K$4:K$1003,$W118)))</f>
        <v/>
      </c>
      <c r="L118" s="56" t="str">
        <f aca="false">IF($W118="","",SUM(J$4:J118)-SUM(K$4:K118))</f>
        <v/>
      </c>
      <c r="M118" s="56" t="str">
        <f aca="false">IF($W118="","",N(INDEX(发票统计!M$4:M$1003,$W118)))</f>
        <v/>
      </c>
      <c r="N118" s="56" t="str">
        <f aca="false">IF($W118="","",N(INDEX(发票统计!N$4:N$1003,$W118)))</f>
        <v/>
      </c>
      <c r="O118" s="56" t="str">
        <f aca="false">IF($W118="","",N(INDEX(发票统计!O$4:O$1003,$W118)))</f>
        <v/>
      </c>
      <c r="P118" s="56" t="str">
        <f aca="false">IF($W118="","",SUM(M$4:M118)-SUM(N$4:N118)-SUM(O$4:O118))</f>
        <v/>
      </c>
      <c r="Q118" s="56" t="str">
        <f aca="false">IF($W118="","",N(INDEX(发票统计!Q$4:Q$1003,$W118)))</f>
        <v/>
      </c>
      <c r="R118" s="56" t="str">
        <f aca="false">IF($W118="","",N(INDEX(发票统计!R$4:R$1003,$W118)))</f>
        <v/>
      </c>
      <c r="S118" s="56" t="str">
        <f aca="false">IF($W118="","",N(INDEX(发票统计!S$4:S$1003,$W118)))</f>
        <v/>
      </c>
      <c r="T118" s="56" t="str">
        <f aca="false">IF($W118="","",SUM(Q$4:Q118)-SUM(R$4:R118)-SUM(S$4:S118))</f>
        <v/>
      </c>
      <c r="U118" s="56" t="str">
        <f aca="false">IF($W118="","",INDEX(发票统计!U$4:U$1003,$W118)&amp;"")</f>
        <v/>
      </c>
      <c r="W118" s="1" t="str">
        <f aca="false">IF($V$3="","",IFERROR(MATCH($V$3&amp;"#"&amp;ROWS(W$4:W118),发票统计!$W$4:$W$1003,0),""))</f>
        <v/>
      </c>
    </row>
    <row r="119" customFormat="false" ht="16.5" hidden="false" customHeight="false" outlineLevel="0" collapsed="false">
      <c r="A119" s="56" t="str">
        <f aca="false">IF($W119="","",INDEX(发票统计!A$4:A$1003,$W119)&amp;"")</f>
        <v/>
      </c>
      <c r="B119" s="56" t="str">
        <f aca="false">IF($W119="","",INDEX(发票统计!B$4:B$1003,$W119)&amp;"")</f>
        <v/>
      </c>
      <c r="C119" s="56" t="str">
        <f aca="false">IF($W119="","",INDEX(发票统计!C$4:C$1003,$W119)&amp;"")</f>
        <v/>
      </c>
      <c r="D119" s="56" t="str">
        <f aca="false">IF($W119="","",INDEX(发票统计!D$4:D$1003,$W119)&amp;"")</f>
        <v/>
      </c>
      <c r="E119" s="56" t="str">
        <f aca="false">IF($W119="","",INDEX(发票统计!E$4:E$1003,$W119)&amp;"")</f>
        <v/>
      </c>
      <c r="F119" s="73" t="str">
        <f aca="false">IF($W119="","",INDEX(发票统计!F$4:F$1003,$W119)&amp;"")</f>
        <v/>
      </c>
      <c r="G119" s="68" t="str">
        <f aca="false">IF($W119="","",IF(INDEX(发票统计!G$4:G$1003,$W119)="","",INDEX(发票统计!G$4:G$1003,$W119)))</f>
        <v/>
      </c>
      <c r="H119" s="56" t="str">
        <f aca="false">IF($W119="","",N(INDEX(发票统计!H$4:H$1003,$W119)))</f>
        <v/>
      </c>
      <c r="I119" s="56" t="str">
        <f aca="false">IF($W119="","",N(INDEX(发票统计!I$4:I$1003,$W119)))</f>
        <v/>
      </c>
      <c r="J119" s="56" t="str">
        <f aca="false">IF($W119="","",N(INDEX(发票统计!J$4:J$1003,$W119)))</f>
        <v/>
      </c>
      <c r="K119" s="56" t="str">
        <f aca="false">IF($W119="","",N(INDEX(发票统计!K$4:K$1003,$W119)))</f>
        <v/>
      </c>
      <c r="L119" s="56" t="str">
        <f aca="false">IF($W119="","",SUM(J$4:J119)-SUM(K$4:K119))</f>
        <v/>
      </c>
      <c r="M119" s="56" t="str">
        <f aca="false">IF($W119="","",N(INDEX(发票统计!M$4:M$1003,$W119)))</f>
        <v/>
      </c>
      <c r="N119" s="56" t="str">
        <f aca="false">IF($W119="","",N(INDEX(发票统计!N$4:N$1003,$W119)))</f>
        <v/>
      </c>
      <c r="O119" s="56" t="str">
        <f aca="false">IF($W119="","",N(INDEX(发票统计!O$4:O$1003,$W119)))</f>
        <v/>
      </c>
      <c r="P119" s="56" t="str">
        <f aca="false">IF($W119="","",SUM(M$4:M119)-SUM(N$4:N119)-SUM(O$4:O119))</f>
        <v/>
      </c>
      <c r="Q119" s="56" t="str">
        <f aca="false">IF($W119="","",N(INDEX(发票统计!Q$4:Q$1003,$W119)))</f>
        <v/>
      </c>
      <c r="R119" s="56" t="str">
        <f aca="false">IF($W119="","",N(INDEX(发票统计!R$4:R$1003,$W119)))</f>
        <v/>
      </c>
      <c r="S119" s="56" t="str">
        <f aca="false">IF($W119="","",N(INDEX(发票统计!S$4:S$1003,$W119)))</f>
        <v/>
      </c>
      <c r="T119" s="56" t="str">
        <f aca="false">IF($W119="","",SUM(Q$4:Q119)-SUM(R$4:R119)-SUM(S$4:S119))</f>
        <v/>
      </c>
      <c r="U119" s="56" t="str">
        <f aca="false">IF($W119="","",INDEX(发票统计!U$4:U$1003,$W119)&amp;"")</f>
        <v/>
      </c>
      <c r="W119" s="1" t="str">
        <f aca="false">IF($V$3="","",IFERROR(MATCH($V$3&amp;"#"&amp;ROWS(W$4:W119),发票统计!$W$4:$W$1003,0),""))</f>
        <v/>
      </c>
    </row>
    <row r="120" customFormat="false" ht="16.5" hidden="false" customHeight="false" outlineLevel="0" collapsed="false">
      <c r="A120" s="56" t="str">
        <f aca="false">IF($W120="","",INDEX(发票统计!A$4:A$1003,$W120)&amp;"")</f>
        <v/>
      </c>
      <c r="B120" s="56" t="str">
        <f aca="false">IF($W120="","",INDEX(发票统计!B$4:B$1003,$W120)&amp;"")</f>
        <v/>
      </c>
      <c r="C120" s="56" t="str">
        <f aca="false">IF($W120="","",INDEX(发票统计!C$4:C$1003,$W120)&amp;"")</f>
        <v/>
      </c>
      <c r="D120" s="56" t="str">
        <f aca="false">IF($W120="","",INDEX(发票统计!D$4:D$1003,$W120)&amp;"")</f>
        <v/>
      </c>
      <c r="E120" s="56" t="str">
        <f aca="false">IF($W120="","",INDEX(发票统计!E$4:E$1003,$W120)&amp;"")</f>
        <v/>
      </c>
      <c r="F120" s="73" t="str">
        <f aca="false">IF($W120="","",INDEX(发票统计!F$4:F$1003,$W120)&amp;"")</f>
        <v/>
      </c>
      <c r="G120" s="68" t="str">
        <f aca="false">IF($W120="","",IF(INDEX(发票统计!G$4:G$1003,$W120)="","",INDEX(发票统计!G$4:G$1003,$W120)))</f>
        <v/>
      </c>
      <c r="H120" s="56" t="str">
        <f aca="false">IF($W120="","",N(INDEX(发票统计!H$4:H$1003,$W120)))</f>
        <v/>
      </c>
      <c r="I120" s="56" t="str">
        <f aca="false">IF($W120="","",N(INDEX(发票统计!I$4:I$1003,$W120)))</f>
        <v/>
      </c>
      <c r="J120" s="56" t="str">
        <f aca="false">IF($W120="","",N(INDEX(发票统计!J$4:J$1003,$W120)))</f>
        <v/>
      </c>
      <c r="K120" s="56" t="str">
        <f aca="false">IF($W120="","",N(INDEX(发票统计!K$4:K$1003,$W120)))</f>
        <v/>
      </c>
      <c r="L120" s="56" t="str">
        <f aca="false">IF($W120="","",SUM(J$4:J120)-SUM(K$4:K120))</f>
        <v/>
      </c>
      <c r="M120" s="56" t="str">
        <f aca="false">IF($W120="","",N(INDEX(发票统计!M$4:M$1003,$W120)))</f>
        <v/>
      </c>
      <c r="N120" s="56" t="str">
        <f aca="false">IF($W120="","",N(INDEX(发票统计!N$4:N$1003,$W120)))</f>
        <v/>
      </c>
      <c r="O120" s="56" t="str">
        <f aca="false">IF($W120="","",N(INDEX(发票统计!O$4:O$1003,$W120)))</f>
        <v/>
      </c>
      <c r="P120" s="56" t="str">
        <f aca="false">IF($W120="","",SUM(M$4:M120)-SUM(N$4:N120)-SUM(O$4:O120))</f>
        <v/>
      </c>
      <c r="Q120" s="56" t="str">
        <f aca="false">IF($W120="","",N(INDEX(发票统计!Q$4:Q$1003,$W120)))</f>
        <v/>
      </c>
      <c r="R120" s="56" t="str">
        <f aca="false">IF($W120="","",N(INDEX(发票统计!R$4:R$1003,$W120)))</f>
        <v/>
      </c>
      <c r="S120" s="56" t="str">
        <f aca="false">IF($W120="","",N(INDEX(发票统计!S$4:S$1003,$W120)))</f>
        <v/>
      </c>
      <c r="T120" s="56" t="str">
        <f aca="false">IF($W120="","",SUM(Q$4:Q120)-SUM(R$4:R120)-SUM(S$4:S120))</f>
        <v/>
      </c>
      <c r="U120" s="56" t="str">
        <f aca="false">IF($W120="","",INDEX(发票统计!U$4:U$1003,$W120)&amp;"")</f>
        <v/>
      </c>
      <c r="W120" s="1" t="str">
        <f aca="false">IF($V$3="","",IFERROR(MATCH($V$3&amp;"#"&amp;ROWS(W$4:W120),发票统计!$W$4:$W$1003,0),""))</f>
        <v/>
      </c>
    </row>
    <row r="121" customFormat="false" ht="16.5" hidden="false" customHeight="false" outlineLevel="0" collapsed="false">
      <c r="A121" s="56" t="str">
        <f aca="false">IF($W121="","",INDEX(发票统计!A$4:A$1003,$W121)&amp;"")</f>
        <v/>
      </c>
      <c r="B121" s="56" t="str">
        <f aca="false">IF($W121="","",INDEX(发票统计!B$4:B$1003,$W121)&amp;"")</f>
        <v/>
      </c>
      <c r="C121" s="56" t="str">
        <f aca="false">IF($W121="","",INDEX(发票统计!C$4:C$1003,$W121)&amp;"")</f>
        <v/>
      </c>
      <c r="D121" s="56" t="str">
        <f aca="false">IF($W121="","",INDEX(发票统计!D$4:D$1003,$W121)&amp;"")</f>
        <v/>
      </c>
      <c r="E121" s="56" t="str">
        <f aca="false">IF($W121="","",INDEX(发票统计!E$4:E$1003,$W121)&amp;"")</f>
        <v/>
      </c>
      <c r="F121" s="73" t="str">
        <f aca="false">IF($W121="","",INDEX(发票统计!F$4:F$1003,$W121)&amp;"")</f>
        <v/>
      </c>
      <c r="G121" s="68" t="str">
        <f aca="false">IF($W121="","",IF(INDEX(发票统计!G$4:G$1003,$W121)="","",INDEX(发票统计!G$4:G$1003,$W121)))</f>
        <v/>
      </c>
      <c r="H121" s="56" t="str">
        <f aca="false">IF($W121="","",N(INDEX(发票统计!H$4:H$1003,$W121)))</f>
        <v/>
      </c>
      <c r="I121" s="56" t="str">
        <f aca="false">IF($W121="","",N(INDEX(发票统计!I$4:I$1003,$W121)))</f>
        <v/>
      </c>
      <c r="J121" s="56" t="str">
        <f aca="false">IF($W121="","",N(INDEX(发票统计!J$4:J$1003,$W121)))</f>
        <v/>
      </c>
      <c r="K121" s="56" t="str">
        <f aca="false">IF($W121="","",N(INDEX(发票统计!K$4:K$1003,$W121)))</f>
        <v/>
      </c>
      <c r="L121" s="56" t="str">
        <f aca="false">IF($W121="","",SUM(J$4:J121)-SUM(K$4:K121))</f>
        <v/>
      </c>
      <c r="M121" s="56" t="str">
        <f aca="false">IF($W121="","",N(INDEX(发票统计!M$4:M$1003,$W121)))</f>
        <v/>
      </c>
      <c r="N121" s="56" t="str">
        <f aca="false">IF($W121="","",N(INDEX(发票统计!N$4:N$1003,$W121)))</f>
        <v/>
      </c>
      <c r="O121" s="56" t="str">
        <f aca="false">IF($W121="","",N(INDEX(发票统计!O$4:O$1003,$W121)))</f>
        <v/>
      </c>
      <c r="P121" s="56" t="str">
        <f aca="false">IF($W121="","",SUM(M$4:M121)-SUM(N$4:N121)-SUM(O$4:O121))</f>
        <v/>
      </c>
      <c r="Q121" s="56" t="str">
        <f aca="false">IF($W121="","",N(INDEX(发票统计!Q$4:Q$1003,$W121)))</f>
        <v/>
      </c>
      <c r="R121" s="56" t="str">
        <f aca="false">IF($W121="","",N(INDEX(发票统计!R$4:R$1003,$W121)))</f>
        <v/>
      </c>
      <c r="S121" s="56" t="str">
        <f aca="false">IF($W121="","",N(INDEX(发票统计!S$4:S$1003,$W121)))</f>
        <v/>
      </c>
      <c r="T121" s="56" t="str">
        <f aca="false">IF($W121="","",SUM(Q$4:Q121)-SUM(R$4:R121)-SUM(S$4:S121))</f>
        <v/>
      </c>
      <c r="U121" s="56" t="str">
        <f aca="false">IF($W121="","",INDEX(发票统计!U$4:U$1003,$W121)&amp;"")</f>
        <v/>
      </c>
      <c r="W121" s="1" t="str">
        <f aca="false">IF($V$3="","",IFERROR(MATCH($V$3&amp;"#"&amp;ROWS(W$4:W121),发票统计!$W$4:$W$1003,0),""))</f>
        <v/>
      </c>
    </row>
    <row r="122" customFormat="false" ht="16.5" hidden="false" customHeight="false" outlineLevel="0" collapsed="false">
      <c r="A122" s="56" t="str">
        <f aca="false">IF($W122="","",INDEX(发票统计!A$4:A$1003,$W122)&amp;"")</f>
        <v/>
      </c>
      <c r="B122" s="56" t="str">
        <f aca="false">IF($W122="","",INDEX(发票统计!B$4:B$1003,$W122)&amp;"")</f>
        <v/>
      </c>
      <c r="C122" s="56" t="str">
        <f aca="false">IF($W122="","",INDEX(发票统计!C$4:C$1003,$W122)&amp;"")</f>
        <v/>
      </c>
      <c r="D122" s="56" t="str">
        <f aca="false">IF($W122="","",INDEX(发票统计!D$4:D$1003,$W122)&amp;"")</f>
        <v/>
      </c>
      <c r="E122" s="56" t="str">
        <f aca="false">IF($W122="","",INDEX(发票统计!E$4:E$1003,$W122)&amp;"")</f>
        <v/>
      </c>
      <c r="F122" s="73" t="str">
        <f aca="false">IF($W122="","",INDEX(发票统计!F$4:F$1003,$W122)&amp;"")</f>
        <v/>
      </c>
      <c r="G122" s="68" t="str">
        <f aca="false">IF($W122="","",IF(INDEX(发票统计!G$4:G$1003,$W122)="","",INDEX(发票统计!G$4:G$1003,$W122)))</f>
        <v/>
      </c>
      <c r="H122" s="56" t="str">
        <f aca="false">IF($W122="","",N(INDEX(发票统计!H$4:H$1003,$W122)))</f>
        <v/>
      </c>
      <c r="I122" s="56" t="str">
        <f aca="false">IF($W122="","",N(INDEX(发票统计!I$4:I$1003,$W122)))</f>
        <v/>
      </c>
      <c r="J122" s="56" t="str">
        <f aca="false">IF($W122="","",N(INDEX(发票统计!J$4:J$1003,$W122)))</f>
        <v/>
      </c>
      <c r="K122" s="56" t="str">
        <f aca="false">IF($W122="","",N(INDEX(发票统计!K$4:K$1003,$W122)))</f>
        <v/>
      </c>
      <c r="L122" s="56" t="str">
        <f aca="false">IF($W122="","",SUM(J$4:J122)-SUM(K$4:K122))</f>
        <v/>
      </c>
      <c r="M122" s="56" t="str">
        <f aca="false">IF($W122="","",N(INDEX(发票统计!M$4:M$1003,$W122)))</f>
        <v/>
      </c>
      <c r="N122" s="56" t="str">
        <f aca="false">IF($W122="","",N(INDEX(发票统计!N$4:N$1003,$W122)))</f>
        <v/>
      </c>
      <c r="O122" s="56" t="str">
        <f aca="false">IF($W122="","",N(INDEX(发票统计!O$4:O$1003,$W122)))</f>
        <v/>
      </c>
      <c r="P122" s="56" t="str">
        <f aca="false">IF($W122="","",SUM(M$4:M122)-SUM(N$4:N122)-SUM(O$4:O122))</f>
        <v/>
      </c>
      <c r="Q122" s="56" t="str">
        <f aca="false">IF($W122="","",N(INDEX(发票统计!Q$4:Q$1003,$W122)))</f>
        <v/>
      </c>
      <c r="R122" s="56" t="str">
        <f aca="false">IF($W122="","",N(INDEX(发票统计!R$4:R$1003,$W122)))</f>
        <v/>
      </c>
      <c r="S122" s="56" t="str">
        <f aca="false">IF($W122="","",N(INDEX(发票统计!S$4:S$1003,$W122)))</f>
        <v/>
      </c>
      <c r="T122" s="56" t="str">
        <f aca="false">IF($W122="","",SUM(Q$4:Q122)-SUM(R$4:R122)-SUM(S$4:S122))</f>
        <v/>
      </c>
      <c r="U122" s="56" t="str">
        <f aca="false">IF($W122="","",INDEX(发票统计!U$4:U$1003,$W122)&amp;"")</f>
        <v/>
      </c>
      <c r="W122" s="1" t="str">
        <f aca="false">IF($V$3="","",IFERROR(MATCH($V$3&amp;"#"&amp;ROWS(W$4:W122),发票统计!$W$4:$W$1003,0),""))</f>
        <v/>
      </c>
    </row>
    <row r="123" customFormat="false" ht="16.5" hidden="false" customHeight="false" outlineLevel="0" collapsed="false">
      <c r="A123" s="56" t="str">
        <f aca="false">IF($W123="","",INDEX(发票统计!A$4:A$1003,$W123)&amp;"")</f>
        <v/>
      </c>
      <c r="B123" s="56" t="str">
        <f aca="false">IF($W123="","",INDEX(发票统计!B$4:B$1003,$W123)&amp;"")</f>
        <v/>
      </c>
      <c r="C123" s="56" t="str">
        <f aca="false">IF($W123="","",INDEX(发票统计!C$4:C$1003,$W123)&amp;"")</f>
        <v/>
      </c>
      <c r="D123" s="56" t="str">
        <f aca="false">IF($W123="","",INDEX(发票统计!D$4:D$1003,$W123)&amp;"")</f>
        <v/>
      </c>
      <c r="E123" s="56" t="str">
        <f aca="false">IF($W123="","",INDEX(发票统计!E$4:E$1003,$W123)&amp;"")</f>
        <v/>
      </c>
      <c r="F123" s="73" t="str">
        <f aca="false">IF($W123="","",INDEX(发票统计!F$4:F$1003,$W123)&amp;"")</f>
        <v/>
      </c>
      <c r="G123" s="68" t="str">
        <f aca="false">IF($W123="","",IF(INDEX(发票统计!G$4:G$1003,$W123)="","",INDEX(发票统计!G$4:G$1003,$W123)))</f>
        <v/>
      </c>
      <c r="H123" s="56" t="str">
        <f aca="false">IF($W123="","",N(INDEX(发票统计!H$4:H$1003,$W123)))</f>
        <v/>
      </c>
      <c r="I123" s="56" t="str">
        <f aca="false">IF($W123="","",N(INDEX(发票统计!I$4:I$1003,$W123)))</f>
        <v/>
      </c>
      <c r="J123" s="56" t="str">
        <f aca="false">IF($W123="","",N(INDEX(发票统计!J$4:J$1003,$W123)))</f>
        <v/>
      </c>
      <c r="K123" s="56" t="str">
        <f aca="false">IF($W123="","",N(INDEX(发票统计!K$4:K$1003,$W123)))</f>
        <v/>
      </c>
      <c r="L123" s="56" t="str">
        <f aca="false">IF($W123="","",SUM(J$4:J123)-SUM(K$4:K123))</f>
        <v/>
      </c>
      <c r="M123" s="56" t="str">
        <f aca="false">IF($W123="","",N(INDEX(发票统计!M$4:M$1003,$W123)))</f>
        <v/>
      </c>
      <c r="N123" s="56" t="str">
        <f aca="false">IF($W123="","",N(INDEX(发票统计!N$4:N$1003,$W123)))</f>
        <v/>
      </c>
      <c r="O123" s="56" t="str">
        <f aca="false">IF($W123="","",N(INDEX(发票统计!O$4:O$1003,$W123)))</f>
        <v/>
      </c>
      <c r="P123" s="56" t="str">
        <f aca="false">IF($W123="","",SUM(M$4:M123)-SUM(N$4:N123)-SUM(O$4:O123))</f>
        <v/>
      </c>
      <c r="Q123" s="56" t="str">
        <f aca="false">IF($W123="","",N(INDEX(发票统计!Q$4:Q$1003,$W123)))</f>
        <v/>
      </c>
      <c r="R123" s="56" t="str">
        <f aca="false">IF($W123="","",N(INDEX(发票统计!R$4:R$1003,$W123)))</f>
        <v/>
      </c>
      <c r="S123" s="56" t="str">
        <f aca="false">IF($W123="","",N(INDEX(发票统计!S$4:S$1003,$W123)))</f>
        <v/>
      </c>
      <c r="T123" s="56" t="str">
        <f aca="false">IF($W123="","",SUM(Q$4:Q123)-SUM(R$4:R123)-SUM(S$4:S123))</f>
        <v/>
      </c>
      <c r="U123" s="56" t="str">
        <f aca="false">IF($W123="","",INDEX(发票统计!U$4:U$1003,$W123)&amp;"")</f>
        <v/>
      </c>
      <c r="W123" s="1" t="str">
        <f aca="false">IF($V$3="","",IFERROR(MATCH($V$3&amp;"#"&amp;ROWS(W$4:W123),发票统计!$W$4:$W$1003,0),""))</f>
        <v/>
      </c>
    </row>
    <row r="124" customFormat="false" ht="16.5" hidden="false" customHeight="false" outlineLevel="0" collapsed="false">
      <c r="A124" s="56" t="str">
        <f aca="false">IF($W124="","",INDEX(发票统计!A$4:A$1003,$W124)&amp;"")</f>
        <v/>
      </c>
      <c r="B124" s="56" t="str">
        <f aca="false">IF($W124="","",INDEX(发票统计!B$4:B$1003,$W124)&amp;"")</f>
        <v/>
      </c>
      <c r="C124" s="56" t="str">
        <f aca="false">IF($W124="","",INDEX(发票统计!C$4:C$1003,$W124)&amp;"")</f>
        <v/>
      </c>
      <c r="D124" s="56" t="str">
        <f aca="false">IF($W124="","",INDEX(发票统计!D$4:D$1003,$W124)&amp;"")</f>
        <v/>
      </c>
      <c r="E124" s="56" t="str">
        <f aca="false">IF($W124="","",INDEX(发票统计!E$4:E$1003,$W124)&amp;"")</f>
        <v/>
      </c>
      <c r="F124" s="73" t="str">
        <f aca="false">IF($W124="","",INDEX(发票统计!F$4:F$1003,$W124)&amp;"")</f>
        <v/>
      </c>
      <c r="G124" s="68" t="str">
        <f aca="false">IF($W124="","",IF(INDEX(发票统计!G$4:G$1003,$W124)="","",INDEX(发票统计!G$4:G$1003,$W124)))</f>
        <v/>
      </c>
      <c r="H124" s="56" t="str">
        <f aca="false">IF($W124="","",N(INDEX(发票统计!H$4:H$1003,$W124)))</f>
        <v/>
      </c>
      <c r="I124" s="56" t="str">
        <f aca="false">IF($W124="","",N(INDEX(发票统计!I$4:I$1003,$W124)))</f>
        <v/>
      </c>
      <c r="J124" s="56" t="str">
        <f aca="false">IF($W124="","",N(INDEX(发票统计!J$4:J$1003,$W124)))</f>
        <v/>
      </c>
      <c r="K124" s="56" t="str">
        <f aca="false">IF($W124="","",N(INDEX(发票统计!K$4:K$1003,$W124)))</f>
        <v/>
      </c>
      <c r="L124" s="56" t="str">
        <f aca="false">IF($W124="","",SUM(J$4:J124)-SUM(K$4:K124))</f>
        <v/>
      </c>
      <c r="M124" s="56" t="str">
        <f aca="false">IF($W124="","",N(INDEX(发票统计!M$4:M$1003,$W124)))</f>
        <v/>
      </c>
      <c r="N124" s="56" t="str">
        <f aca="false">IF($W124="","",N(INDEX(发票统计!N$4:N$1003,$W124)))</f>
        <v/>
      </c>
      <c r="O124" s="56" t="str">
        <f aca="false">IF($W124="","",N(INDEX(发票统计!O$4:O$1003,$W124)))</f>
        <v/>
      </c>
      <c r="P124" s="56" t="str">
        <f aca="false">IF($W124="","",SUM(M$4:M124)-SUM(N$4:N124)-SUM(O$4:O124))</f>
        <v/>
      </c>
      <c r="Q124" s="56" t="str">
        <f aca="false">IF($W124="","",N(INDEX(发票统计!Q$4:Q$1003,$W124)))</f>
        <v/>
      </c>
      <c r="R124" s="56" t="str">
        <f aca="false">IF($W124="","",N(INDEX(发票统计!R$4:R$1003,$W124)))</f>
        <v/>
      </c>
      <c r="S124" s="56" t="str">
        <f aca="false">IF($W124="","",N(INDEX(发票统计!S$4:S$1003,$W124)))</f>
        <v/>
      </c>
      <c r="T124" s="56" t="str">
        <f aca="false">IF($W124="","",SUM(Q$4:Q124)-SUM(R$4:R124)-SUM(S$4:S124))</f>
        <v/>
      </c>
      <c r="U124" s="56" t="str">
        <f aca="false">IF($W124="","",INDEX(发票统计!U$4:U$1003,$W124)&amp;"")</f>
        <v/>
      </c>
      <c r="W124" s="1" t="str">
        <f aca="false">IF($V$3="","",IFERROR(MATCH($V$3&amp;"#"&amp;ROWS(W$4:W124),发票统计!$W$4:$W$1003,0),""))</f>
        <v/>
      </c>
    </row>
    <row r="125" customFormat="false" ht="16.5" hidden="false" customHeight="false" outlineLevel="0" collapsed="false">
      <c r="A125" s="56" t="str">
        <f aca="false">IF($W125="","",INDEX(发票统计!A$4:A$1003,$W125)&amp;"")</f>
        <v/>
      </c>
      <c r="B125" s="56" t="str">
        <f aca="false">IF($W125="","",INDEX(发票统计!B$4:B$1003,$W125)&amp;"")</f>
        <v/>
      </c>
      <c r="C125" s="56" t="str">
        <f aca="false">IF($W125="","",INDEX(发票统计!C$4:C$1003,$W125)&amp;"")</f>
        <v/>
      </c>
      <c r="D125" s="56" t="str">
        <f aca="false">IF($W125="","",INDEX(发票统计!D$4:D$1003,$W125)&amp;"")</f>
        <v/>
      </c>
      <c r="E125" s="56" t="str">
        <f aca="false">IF($W125="","",INDEX(发票统计!E$4:E$1003,$W125)&amp;"")</f>
        <v/>
      </c>
      <c r="F125" s="73" t="str">
        <f aca="false">IF($W125="","",INDEX(发票统计!F$4:F$1003,$W125)&amp;"")</f>
        <v/>
      </c>
      <c r="G125" s="68" t="str">
        <f aca="false">IF($W125="","",IF(INDEX(发票统计!G$4:G$1003,$W125)="","",INDEX(发票统计!G$4:G$1003,$W125)))</f>
        <v/>
      </c>
      <c r="H125" s="56" t="str">
        <f aca="false">IF($W125="","",N(INDEX(发票统计!H$4:H$1003,$W125)))</f>
        <v/>
      </c>
      <c r="I125" s="56" t="str">
        <f aca="false">IF($W125="","",N(INDEX(发票统计!I$4:I$1003,$W125)))</f>
        <v/>
      </c>
      <c r="J125" s="56" t="str">
        <f aca="false">IF($W125="","",N(INDEX(发票统计!J$4:J$1003,$W125)))</f>
        <v/>
      </c>
      <c r="K125" s="56" t="str">
        <f aca="false">IF($W125="","",N(INDEX(发票统计!K$4:K$1003,$W125)))</f>
        <v/>
      </c>
      <c r="L125" s="56" t="str">
        <f aca="false">IF($W125="","",SUM(J$4:J125)-SUM(K$4:K125))</f>
        <v/>
      </c>
      <c r="M125" s="56" t="str">
        <f aca="false">IF($W125="","",N(INDEX(发票统计!M$4:M$1003,$W125)))</f>
        <v/>
      </c>
      <c r="N125" s="56" t="str">
        <f aca="false">IF($W125="","",N(INDEX(发票统计!N$4:N$1003,$W125)))</f>
        <v/>
      </c>
      <c r="O125" s="56" t="str">
        <f aca="false">IF($W125="","",N(INDEX(发票统计!O$4:O$1003,$W125)))</f>
        <v/>
      </c>
      <c r="P125" s="56" t="str">
        <f aca="false">IF($W125="","",SUM(M$4:M125)-SUM(N$4:N125)-SUM(O$4:O125))</f>
        <v/>
      </c>
      <c r="Q125" s="56" t="str">
        <f aca="false">IF($W125="","",N(INDEX(发票统计!Q$4:Q$1003,$W125)))</f>
        <v/>
      </c>
      <c r="R125" s="56" t="str">
        <f aca="false">IF($W125="","",N(INDEX(发票统计!R$4:R$1003,$W125)))</f>
        <v/>
      </c>
      <c r="S125" s="56" t="str">
        <f aca="false">IF($W125="","",N(INDEX(发票统计!S$4:S$1003,$W125)))</f>
        <v/>
      </c>
      <c r="T125" s="56" t="str">
        <f aca="false">IF($W125="","",SUM(Q$4:Q125)-SUM(R$4:R125)-SUM(S$4:S125))</f>
        <v/>
      </c>
      <c r="U125" s="56" t="str">
        <f aca="false">IF($W125="","",INDEX(发票统计!U$4:U$1003,$W125)&amp;"")</f>
        <v/>
      </c>
      <c r="W125" s="1" t="str">
        <f aca="false">IF($V$3="","",IFERROR(MATCH($V$3&amp;"#"&amp;ROWS(W$4:W125),发票统计!$W$4:$W$1003,0),""))</f>
        <v/>
      </c>
    </row>
    <row r="126" customFormat="false" ht="16.5" hidden="false" customHeight="false" outlineLevel="0" collapsed="false">
      <c r="A126" s="56" t="str">
        <f aca="false">IF($W126="","",INDEX(发票统计!A$4:A$1003,$W126)&amp;"")</f>
        <v/>
      </c>
      <c r="B126" s="56" t="str">
        <f aca="false">IF($W126="","",INDEX(发票统计!B$4:B$1003,$W126)&amp;"")</f>
        <v/>
      </c>
      <c r="C126" s="56" t="str">
        <f aca="false">IF($W126="","",INDEX(发票统计!C$4:C$1003,$W126)&amp;"")</f>
        <v/>
      </c>
      <c r="D126" s="56" t="str">
        <f aca="false">IF($W126="","",INDEX(发票统计!D$4:D$1003,$W126)&amp;"")</f>
        <v/>
      </c>
      <c r="E126" s="56" t="str">
        <f aca="false">IF($W126="","",INDEX(发票统计!E$4:E$1003,$W126)&amp;"")</f>
        <v/>
      </c>
      <c r="F126" s="73" t="str">
        <f aca="false">IF($W126="","",INDEX(发票统计!F$4:F$1003,$W126)&amp;"")</f>
        <v/>
      </c>
      <c r="G126" s="68" t="str">
        <f aca="false">IF($W126="","",IF(INDEX(发票统计!G$4:G$1003,$W126)="","",INDEX(发票统计!G$4:G$1003,$W126)))</f>
        <v/>
      </c>
      <c r="H126" s="56" t="str">
        <f aca="false">IF($W126="","",N(INDEX(发票统计!H$4:H$1003,$W126)))</f>
        <v/>
      </c>
      <c r="I126" s="56" t="str">
        <f aca="false">IF($W126="","",N(INDEX(发票统计!I$4:I$1003,$W126)))</f>
        <v/>
      </c>
      <c r="J126" s="56" t="str">
        <f aca="false">IF($W126="","",N(INDEX(发票统计!J$4:J$1003,$W126)))</f>
        <v/>
      </c>
      <c r="K126" s="56" t="str">
        <f aca="false">IF($W126="","",N(INDEX(发票统计!K$4:K$1003,$W126)))</f>
        <v/>
      </c>
      <c r="L126" s="56" t="str">
        <f aca="false">IF($W126="","",SUM(J$4:J126)-SUM(K$4:K126))</f>
        <v/>
      </c>
      <c r="M126" s="56" t="str">
        <f aca="false">IF($W126="","",N(INDEX(发票统计!M$4:M$1003,$W126)))</f>
        <v/>
      </c>
      <c r="N126" s="56" t="str">
        <f aca="false">IF($W126="","",N(INDEX(发票统计!N$4:N$1003,$W126)))</f>
        <v/>
      </c>
      <c r="O126" s="56" t="str">
        <f aca="false">IF($W126="","",N(INDEX(发票统计!O$4:O$1003,$W126)))</f>
        <v/>
      </c>
      <c r="P126" s="56" t="str">
        <f aca="false">IF($W126="","",SUM(M$4:M126)-SUM(N$4:N126)-SUM(O$4:O126))</f>
        <v/>
      </c>
      <c r="Q126" s="56" t="str">
        <f aca="false">IF($W126="","",N(INDEX(发票统计!Q$4:Q$1003,$W126)))</f>
        <v/>
      </c>
      <c r="R126" s="56" t="str">
        <f aca="false">IF($W126="","",N(INDEX(发票统计!R$4:R$1003,$W126)))</f>
        <v/>
      </c>
      <c r="S126" s="56" t="str">
        <f aca="false">IF($W126="","",N(INDEX(发票统计!S$4:S$1003,$W126)))</f>
        <v/>
      </c>
      <c r="T126" s="56" t="str">
        <f aca="false">IF($W126="","",SUM(Q$4:Q126)-SUM(R$4:R126)-SUM(S$4:S126))</f>
        <v/>
      </c>
      <c r="U126" s="56" t="str">
        <f aca="false">IF($W126="","",INDEX(发票统计!U$4:U$1003,$W126)&amp;"")</f>
        <v/>
      </c>
      <c r="W126" s="1" t="str">
        <f aca="false">IF($V$3="","",IFERROR(MATCH($V$3&amp;"#"&amp;ROWS(W$4:W126),发票统计!$W$4:$W$1003,0),""))</f>
        <v/>
      </c>
    </row>
    <row r="127" customFormat="false" ht="16.5" hidden="false" customHeight="false" outlineLevel="0" collapsed="false">
      <c r="A127" s="56" t="str">
        <f aca="false">IF($W127="","",INDEX(发票统计!A$4:A$1003,$W127)&amp;"")</f>
        <v/>
      </c>
      <c r="B127" s="56" t="str">
        <f aca="false">IF($W127="","",INDEX(发票统计!B$4:B$1003,$W127)&amp;"")</f>
        <v/>
      </c>
      <c r="C127" s="56" t="str">
        <f aca="false">IF($W127="","",INDEX(发票统计!C$4:C$1003,$W127)&amp;"")</f>
        <v/>
      </c>
      <c r="D127" s="56" t="str">
        <f aca="false">IF($W127="","",INDEX(发票统计!D$4:D$1003,$W127)&amp;"")</f>
        <v/>
      </c>
      <c r="E127" s="56" t="str">
        <f aca="false">IF($W127="","",INDEX(发票统计!E$4:E$1003,$W127)&amp;"")</f>
        <v/>
      </c>
      <c r="F127" s="73" t="str">
        <f aca="false">IF($W127="","",INDEX(发票统计!F$4:F$1003,$W127)&amp;"")</f>
        <v/>
      </c>
      <c r="G127" s="68" t="str">
        <f aca="false">IF($W127="","",IF(INDEX(发票统计!G$4:G$1003,$W127)="","",INDEX(发票统计!G$4:G$1003,$W127)))</f>
        <v/>
      </c>
      <c r="H127" s="56" t="str">
        <f aca="false">IF($W127="","",N(INDEX(发票统计!H$4:H$1003,$W127)))</f>
        <v/>
      </c>
      <c r="I127" s="56" t="str">
        <f aca="false">IF($W127="","",N(INDEX(发票统计!I$4:I$1003,$W127)))</f>
        <v/>
      </c>
      <c r="J127" s="56" t="str">
        <f aca="false">IF($W127="","",N(INDEX(发票统计!J$4:J$1003,$W127)))</f>
        <v/>
      </c>
      <c r="K127" s="56" t="str">
        <f aca="false">IF($W127="","",N(INDEX(发票统计!K$4:K$1003,$W127)))</f>
        <v/>
      </c>
      <c r="L127" s="56" t="str">
        <f aca="false">IF($W127="","",SUM(J$4:J127)-SUM(K$4:K127))</f>
        <v/>
      </c>
      <c r="M127" s="56" t="str">
        <f aca="false">IF($W127="","",N(INDEX(发票统计!M$4:M$1003,$W127)))</f>
        <v/>
      </c>
      <c r="N127" s="56" t="str">
        <f aca="false">IF($W127="","",N(INDEX(发票统计!N$4:N$1003,$W127)))</f>
        <v/>
      </c>
      <c r="O127" s="56" t="str">
        <f aca="false">IF($W127="","",N(INDEX(发票统计!O$4:O$1003,$W127)))</f>
        <v/>
      </c>
      <c r="P127" s="56" t="str">
        <f aca="false">IF($W127="","",SUM(M$4:M127)-SUM(N$4:N127)-SUM(O$4:O127))</f>
        <v/>
      </c>
      <c r="Q127" s="56" t="str">
        <f aca="false">IF($W127="","",N(INDEX(发票统计!Q$4:Q$1003,$W127)))</f>
        <v/>
      </c>
      <c r="R127" s="56" t="str">
        <f aca="false">IF($W127="","",N(INDEX(发票统计!R$4:R$1003,$W127)))</f>
        <v/>
      </c>
      <c r="S127" s="56" t="str">
        <f aca="false">IF($W127="","",N(INDEX(发票统计!S$4:S$1003,$W127)))</f>
        <v/>
      </c>
      <c r="T127" s="56" t="str">
        <f aca="false">IF($W127="","",SUM(Q$4:Q127)-SUM(R$4:R127)-SUM(S$4:S127))</f>
        <v/>
      </c>
      <c r="U127" s="56" t="str">
        <f aca="false">IF($W127="","",INDEX(发票统计!U$4:U$1003,$W127)&amp;"")</f>
        <v/>
      </c>
      <c r="W127" s="1" t="str">
        <f aca="false">IF($V$3="","",IFERROR(MATCH($V$3&amp;"#"&amp;ROWS(W$4:W127),发票统计!$W$4:$W$1003,0),""))</f>
        <v/>
      </c>
    </row>
    <row r="128" customFormat="false" ht="16.5" hidden="false" customHeight="false" outlineLevel="0" collapsed="false">
      <c r="A128" s="56" t="str">
        <f aca="false">IF($W128="","",INDEX(发票统计!A$4:A$1003,$W128)&amp;"")</f>
        <v/>
      </c>
      <c r="B128" s="56" t="str">
        <f aca="false">IF($W128="","",INDEX(发票统计!B$4:B$1003,$W128)&amp;"")</f>
        <v/>
      </c>
      <c r="C128" s="56" t="str">
        <f aca="false">IF($W128="","",INDEX(发票统计!C$4:C$1003,$W128)&amp;"")</f>
        <v/>
      </c>
      <c r="D128" s="56" t="str">
        <f aca="false">IF($W128="","",INDEX(发票统计!D$4:D$1003,$W128)&amp;"")</f>
        <v/>
      </c>
      <c r="E128" s="56" t="str">
        <f aca="false">IF($W128="","",INDEX(发票统计!E$4:E$1003,$W128)&amp;"")</f>
        <v/>
      </c>
      <c r="F128" s="73" t="str">
        <f aca="false">IF($W128="","",INDEX(发票统计!F$4:F$1003,$W128)&amp;"")</f>
        <v/>
      </c>
      <c r="G128" s="68" t="str">
        <f aca="false">IF($W128="","",IF(INDEX(发票统计!G$4:G$1003,$W128)="","",INDEX(发票统计!G$4:G$1003,$W128)))</f>
        <v/>
      </c>
      <c r="H128" s="56" t="str">
        <f aca="false">IF($W128="","",N(INDEX(发票统计!H$4:H$1003,$W128)))</f>
        <v/>
      </c>
      <c r="I128" s="56" t="str">
        <f aca="false">IF($W128="","",N(INDEX(发票统计!I$4:I$1003,$W128)))</f>
        <v/>
      </c>
      <c r="J128" s="56" t="str">
        <f aca="false">IF($W128="","",N(INDEX(发票统计!J$4:J$1003,$W128)))</f>
        <v/>
      </c>
      <c r="K128" s="56" t="str">
        <f aca="false">IF($W128="","",N(INDEX(发票统计!K$4:K$1003,$W128)))</f>
        <v/>
      </c>
      <c r="L128" s="56" t="str">
        <f aca="false">IF($W128="","",SUM(J$4:J128)-SUM(K$4:K128))</f>
        <v/>
      </c>
      <c r="M128" s="56" t="str">
        <f aca="false">IF($W128="","",N(INDEX(发票统计!M$4:M$1003,$W128)))</f>
        <v/>
      </c>
      <c r="N128" s="56" t="str">
        <f aca="false">IF($W128="","",N(INDEX(发票统计!N$4:N$1003,$W128)))</f>
        <v/>
      </c>
      <c r="O128" s="56" t="str">
        <f aca="false">IF($W128="","",N(INDEX(发票统计!O$4:O$1003,$W128)))</f>
        <v/>
      </c>
      <c r="P128" s="56" t="str">
        <f aca="false">IF($W128="","",SUM(M$4:M128)-SUM(N$4:N128)-SUM(O$4:O128))</f>
        <v/>
      </c>
      <c r="Q128" s="56" t="str">
        <f aca="false">IF($W128="","",N(INDEX(发票统计!Q$4:Q$1003,$W128)))</f>
        <v/>
      </c>
      <c r="R128" s="56" t="str">
        <f aca="false">IF($W128="","",N(INDEX(发票统计!R$4:R$1003,$W128)))</f>
        <v/>
      </c>
      <c r="S128" s="56" t="str">
        <f aca="false">IF($W128="","",N(INDEX(发票统计!S$4:S$1003,$W128)))</f>
        <v/>
      </c>
      <c r="T128" s="56" t="str">
        <f aca="false">IF($W128="","",SUM(Q$4:Q128)-SUM(R$4:R128)-SUM(S$4:S128))</f>
        <v/>
      </c>
      <c r="U128" s="56" t="str">
        <f aca="false">IF($W128="","",INDEX(发票统计!U$4:U$1003,$W128)&amp;"")</f>
        <v/>
      </c>
      <c r="W128" s="1" t="str">
        <f aca="false">IF($V$3="","",IFERROR(MATCH($V$3&amp;"#"&amp;ROWS(W$4:W128),发票统计!$W$4:$W$1003,0),""))</f>
        <v/>
      </c>
    </row>
    <row r="129" customFormat="false" ht="16.5" hidden="false" customHeight="false" outlineLevel="0" collapsed="false">
      <c r="A129" s="56" t="str">
        <f aca="false">IF($W129="","",INDEX(发票统计!A$4:A$1003,$W129)&amp;"")</f>
        <v/>
      </c>
      <c r="B129" s="56" t="str">
        <f aca="false">IF($W129="","",INDEX(发票统计!B$4:B$1003,$W129)&amp;"")</f>
        <v/>
      </c>
      <c r="C129" s="56" t="str">
        <f aca="false">IF($W129="","",INDEX(发票统计!C$4:C$1003,$W129)&amp;"")</f>
        <v/>
      </c>
      <c r="D129" s="56" t="str">
        <f aca="false">IF($W129="","",INDEX(发票统计!D$4:D$1003,$W129)&amp;"")</f>
        <v/>
      </c>
      <c r="E129" s="56" t="str">
        <f aca="false">IF($W129="","",INDEX(发票统计!E$4:E$1003,$W129)&amp;"")</f>
        <v/>
      </c>
      <c r="F129" s="73" t="str">
        <f aca="false">IF($W129="","",INDEX(发票统计!F$4:F$1003,$W129)&amp;"")</f>
        <v/>
      </c>
      <c r="G129" s="68" t="str">
        <f aca="false">IF($W129="","",IF(INDEX(发票统计!G$4:G$1003,$W129)="","",INDEX(发票统计!G$4:G$1003,$W129)))</f>
        <v/>
      </c>
      <c r="H129" s="56" t="str">
        <f aca="false">IF($W129="","",N(INDEX(发票统计!H$4:H$1003,$W129)))</f>
        <v/>
      </c>
      <c r="I129" s="56" t="str">
        <f aca="false">IF($W129="","",N(INDEX(发票统计!I$4:I$1003,$W129)))</f>
        <v/>
      </c>
      <c r="J129" s="56" t="str">
        <f aca="false">IF($W129="","",N(INDEX(发票统计!J$4:J$1003,$W129)))</f>
        <v/>
      </c>
      <c r="K129" s="56" t="str">
        <f aca="false">IF($W129="","",N(INDEX(发票统计!K$4:K$1003,$W129)))</f>
        <v/>
      </c>
      <c r="L129" s="56" t="str">
        <f aca="false">IF($W129="","",SUM(J$4:J129)-SUM(K$4:K129))</f>
        <v/>
      </c>
      <c r="M129" s="56" t="str">
        <f aca="false">IF($W129="","",N(INDEX(发票统计!M$4:M$1003,$W129)))</f>
        <v/>
      </c>
      <c r="N129" s="56" t="str">
        <f aca="false">IF($W129="","",N(INDEX(发票统计!N$4:N$1003,$W129)))</f>
        <v/>
      </c>
      <c r="O129" s="56" t="str">
        <f aca="false">IF($W129="","",N(INDEX(发票统计!O$4:O$1003,$W129)))</f>
        <v/>
      </c>
      <c r="P129" s="56" t="str">
        <f aca="false">IF($W129="","",SUM(M$4:M129)-SUM(N$4:N129)-SUM(O$4:O129))</f>
        <v/>
      </c>
      <c r="Q129" s="56" t="str">
        <f aca="false">IF($W129="","",N(INDEX(发票统计!Q$4:Q$1003,$W129)))</f>
        <v/>
      </c>
      <c r="R129" s="56" t="str">
        <f aca="false">IF($W129="","",N(INDEX(发票统计!R$4:R$1003,$W129)))</f>
        <v/>
      </c>
      <c r="S129" s="56" t="str">
        <f aca="false">IF($W129="","",N(INDEX(发票统计!S$4:S$1003,$W129)))</f>
        <v/>
      </c>
      <c r="T129" s="56" t="str">
        <f aca="false">IF($W129="","",SUM(Q$4:Q129)-SUM(R$4:R129)-SUM(S$4:S129))</f>
        <v/>
      </c>
      <c r="U129" s="56" t="str">
        <f aca="false">IF($W129="","",INDEX(发票统计!U$4:U$1003,$W129)&amp;"")</f>
        <v/>
      </c>
      <c r="W129" s="1" t="str">
        <f aca="false">IF($V$3="","",IFERROR(MATCH($V$3&amp;"#"&amp;ROWS(W$4:W129),发票统计!$W$4:$W$1003,0),""))</f>
        <v/>
      </c>
    </row>
    <row r="130" customFormat="false" ht="16.5" hidden="false" customHeight="false" outlineLevel="0" collapsed="false">
      <c r="A130" s="56" t="str">
        <f aca="false">IF($W130="","",INDEX(发票统计!A$4:A$1003,$W130)&amp;"")</f>
        <v/>
      </c>
      <c r="B130" s="56" t="str">
        <f aca="false">IF($W130="","",INDEX(发票统计!B$4:B$1003,$W130)&amp;"")</f>
        <v/>
      </c>
      <c r="C130" s="56" t="str">
        <f aca="false">IF($W130="","",INDEX(发票统计!C$4:C$1003,$W130)&amp;"")</f>
        <v/>
      </c>
      <c r="D130" s="56" t="str">
        <f aca="false">IF($W130="","",INDEX(发票统计!D$4:D$1003,$W130)&amp;"")</f>
        <v/>
      </c>
      <c r="E130" s="56" t="str">
        <f aca="false">IF($W130="","",INDEX(发票统计!E$4:E$1003,$W130)&amp;"")</f>
        <v/>
      </c>
      <c r="F130" s="73" t="str">
        <f aca="false">IF($W130="","",INDEX(发票统计!F$4:F$1003,$W130)&amp;"")</f>
        <v/>
      </c>
      <c r="G130" s="68" t="str">
        <f aca="false">IF($W130="","",IF(INDEX(发票统计!G$4:G$1003,$W130)="","",INDEX(发票统计!G$4:G$1003,$W130)))</f>
        <v/>
      </c>
      <c r="H130" s="56" t="str">
        <f aca="false">IF($W130="","",N(INDEX(发票统计!H$4:H$1003,$W130)))</f>
        <v/>
      </c>
      <c r="I130" s="56" t="str">
        <f aca="false">IF($W130="","",N(INDEX(发票统计!I$4:I$1003,$W130)))</f>
        <v/>
      </c>
      <c r="J130" s="56" t="str">
        <f aca="false">IF($W130="","",N(INDEX(发票统计!J$4:J$1003,$W130)))</f>
        <v/>
      </c>
      <c r="K130" s="56" t="str">
        <f aca="false">IF($W130="","",N(INDEX(发票统计!K$4:K$1003,$W130)))</f>
        <v/>
      </c>
      <c r="L130" s="56" t="str">
        <f aca="false">IF($W130="","",SUM(J$4:J130)-SUM(K$4:K130))</f>
        <v/>
      </c>
      <c r="M130" s="56" t="str">
        <f aca="false">IF($W130="","",N(INDEX(发票统计!M$4:M$1003,$W130)))</f>
        <v/>
      </c>
      <c r="N130" s="56" t="str">
        <f aca="false">IF($W130="","",N(INDEX(发票统计!N$4:N$1003,$W130)))</f>
        <v/>
      </c>
      <c r="O130" s="56" t="str">
        <f aca="false">IF($W130="","",N(INDEX(发票统计!O$4:O$1003,$W130)))</f>
        <v/>
      </c>
      <c r="P130" s="56" t="str">
        <f aca="false">IF($W130="","",SUM(M$4:M130)-SUM(N$4:N130)-SUM(O$4:O130))</f>
        <v/>
      </c>
      <c r="Q130" s="56" t="str">
        <f aca="false">IF($W130="","",N(INDEX(发票统计!Q$4:Q$1003,$W130)))</f>
        <v/>
      </c>
      <c r="R130" s="56" t="str">
        <f aca="false">IF($W130="","",N(INDEX(发票统计!R$4:R$1003,$W130)))</f>
        <v/>
      </c>
      <c r="S130" s="56" t="str">
        <f aca="false">IF($W130="","",N(INDEX(发票统计!S$4:S$1003,$W130)))</f>
        <v/>
      </c>
      <c r="T130" s="56" t="str">
        <f aca="false">IF($W130="","",SUM(Q$4:Q130)-SUM(R$4:R130)-SUM(S$4:S130))</f>
        <v/>
      </c>
      <c r="U130" s="56" t="str">
        <f aca="false">IF($W130="","",INDEX(发票统计!U$4:U$1003,$W130)&amp;"")</f>
        <v/>
      </c>
      <c r="W130" s="1" t="str">
        <f aca="false">IF($V$3="","",IFERROR(MATCH($V$3&amp;"#"&amp;ROWS(W$4:W130),发票统计!$W$4:$W$1003,0),""))</f>
        <v/>
      </c>
    </row>
    <row r="131" customFormat="false" ht="16.5" hidden="false" customHeight="false" outlineLevel="0" collapsed="false">
      <c r="A131" s="56" t="str">
        <f aca="false">IF($W131="","",INDEX(发票统计!A$4:A$1003,$W131)&amp;"")</f>
        <v/>
      </c>
      <c r="B131" s="56" t="str">
        <f aca="false">IF($W131="","",INDEX(发票统计!B$4:B$1003,$W131)&amp;"")</f>
        <v/>
      </c>
      <c r="C131" s="56" t="str">
        <f aca="false">IF($W131="","",INDEX(发票统计!C$4:C$1003,$W131)&amp;"")</f>
        <v/>
      </c>
      <c r="D131" s="56" t="str">
        <f aca="false">IF($W131="","",INDEX(发票统计!D$4:D$1003,$W131)&amp;"")</f>
        <v/>
      </c>
      <c r="E131" s="56" t="str">
        <f aca="false">IF($W131="","",INDEX(发票统计!E$4:E$1003,$W131)&amp;"")</f>
        <v/>
      </c>
      <c r="F131" s="73" t="str">
        <f aca="false">IF($W131="","",INDEX(发票统计!F$4:F$1003,$W131)&amp;"")</f>
        <v/>
      </c>
      <c r="G131" s="68" t="str">
        <f aca="false">IF($W131="","",IF(INDEX(发票统计!G$4:G$1003,$W131)="","",INDEX(发票统计!G$4:G$1003,$W131)))</f>
        <v/>
      </c>
      <c r="H131" s="56" t="str">
        <f aca="false">IF($W131="","",N(INDEX(发票统计!H$4:H$1003,$W131)))</f>
        <v/>
      </c>
      <c r="I131" s="56" t="str">
        <f aca="false">IF($W131="","",N(INDEX(发票统计!I$4:I$1003,$W131)))</f>
        <v/>
      </c>
      <c r="J131" s="56" t="str">
        <f aca="false">IF($W131="","",N(INDEX(发票统计!J$4:J$1003,$W131)))</f>
        <v/>
      </c>
      <c r="K131" s="56" t="str">
        <f aca="false">IF($W131="","",N(INDEX(发票统计!K$4:K$1003,$W131)))</f>
        <v/>
      </c>
      <c r="L131" s="56" t="str">
        <f aca="false">IF($W131="","",SUM(J$4:J131)-SUM(K$4:K131))</f>
        <v/>
      </c>
      <c r="M131" s="56" t="str">
        <f aca="false">IF($W131="","",N(INDEX(发票统计!M$4:M$1003,$W131)))</f>
        <v/>
      </c>
      <c r="N131" s="56" t="str">
        <f aca="false">IF($W131="","",N(INDEX(发票统计!N$4:N$1003,$W131)))</f>
        <v/>
      </c>
      <c r="O131" s="56" t="str">
        <f aca="false">IF($W131="","",N(INDEX(发票统计!O$4:O$1003,$W131)))</f>
        <v/>
      </c>
      <c r="P131" s="56" t="str">
        <f aca="false">IF($W131="","",SUM(M$4:M131)-SUM(N$4:N131)-SUM(O$4:O131))</f>
        <v/>
      </c>
      <c r="Q131" s="56" t="str">
        <f aca="false">IF($W131="","",N(INDEX(发票统计!Q$4:Q$1003,$W131)))</f>
        <v/>
      </c>
      <c r="R131" s="56" t="str">
        <f aca="false">IF($W131="","",N(INDEX(发票统计!R$4:R$1003,$W131)))</f>
        <v/>
      </c>
      <c r="S131" s="56" t="str">
        <f aca="false">IF($W131="","",N(INDEX(发票统计!S$4:S$1003,$W131)))</f>
        <v/>
      </c>
      <c r="T131" s="56" t="str">
        <f aca="false">IF($W131="","",SUM(Q$4:Q131)-SUM(R$4:R131)-SUM(S$4:S131))</f>
        <v/>
      </c>
      <c r="U131" s="56" t="str">
        <f aca="false">IF($W131="","",INDEX(发票统计!U$4:U$1003,$W131)&amp;"")</f>
        <v/>
      </c>
      <c r="W131" s="1" t="str">
        <f aca="false">IF($V$3="","",IFERROR(MATCH($V$3&amp;"#"&amp;ROWS(W$4:W131),发票统计!$W$4:$W$1003,0),""))</f>
        <v/>
      </c>
    </row>
    <row r="132" customFormat="false" ht="16.5" hidden="false" customHeight="false" outlineLevel="0" collapsed="false">
      <c r="A132" s="56" t="str">
        <f aca="false">IF($W132="","",INDEX(发票统计!A$4:A$1003,$W132)&amp;"")</f>
        <v/>
      </c>
      <c r="B132" s="56" t="str">
        <f aca="false">IF($W132="","",INDEX(发票统计!B$4:B$1003,$W132)&amp;"")</f>
        <v/>
      </c>
      <c r="C132" s="56" t="str">
        <f aca="false">IF($W132="","",INDEX(发票统计!C$4:C$1003,$W132)&amp;"")</f>
        <v/>
      </c>
      <c r="D132" s="56" t="str">
        <f aca="false">IF($W132="","",INDEX(发票统计!D$4:D$1003,$W132)&amp;"")</f>
        <v/>
      </c>
      <c r="E132" s="56" t="str">
        <f aca="false">IF($W132="","",INDEX(发票统计!E$4:E$1003,$W132)&amp;"")</f>
        <v/>
      </c>
      <c r="F132" s="73" t="str">
        <f aca="false">IF($W132="","",INDEX(发票统计!F$4:F$1003,$W132)&amp;"")</f>
        <v/>
      </c>
      <c r="G132" s="68" t="str">
        <f aca="false">IF($W132="","",IF(INDEX(发票统计!G$4:G$1003,$W132)="","",INDEX(发票统计!G$4:G$1003,$W132)))</f>
        <v/>
      </c>
      <c r="H132" s="56" t="str">
        <f aca="false">IF($W132="","",N(INDEX(发票统计!H$4:H$1003,$W132)))</f>
        <v/>
      </c>
      <c r="I132" s="56" t="str">
        <f aca="false">IF($W132="","",N(INDEX(发票统计!I$4:I$1003,$W132)))</f>
        <v/>
      </c>
      <c r="J132" s="56" t="str">
        <f aca="false">IF($W132="","",N(INDEX(发票统计!J$4:J$1003,$W132)))</f>
        <v/>
      </c>
      <c r="K132" s="56" t="str">
        <f aca="false">IF($W132="","",N(INDEX(发票统计!K$4:K$1003,$W132)))</f>
        <v/>
      </c>
      <c r="L132" s="56" t="str">
        <f aca="false">IF($W132="","",SUM(J$4:J132)-SUM(K$4:K132))</f>
        <v/>
      </c>
      <c r="M132" s="56" t="str">
        <f aca="false">IF($W132="","",N(INDEX(发票统计!M$4:M$1003,$W132)))</f>
        <v/>
      </c>
      <c r="N132" s="56" t="str">
        <f aca="false">IF($W132="","",N(INDEX(发票统计!N$4:N$1003,$W132)))</f>
        <v/>
      </c>
      <c r="O132" s="56" t="str">
        <f aca="false">IF($W132="","",N(INDEX(发票统计!O$4:O$1003,$W132)))</f>
        <v/>
      </c>
      <c r="P132" s="56" t="str">
        <f aca="false">IF($W132="","",SUM(M$4:M132)-SUM(N$4:N132)-SUM(O$4:O132))</f>
        <v/>
      </c>
      <c r="Q132" s="56" t="str">
        <f aca="false">IF($W132="","",N(INDEX(发票统计!Q$4:Q$1003,$W132)))</f>
        <v/>
      </c>
      <c r="R132" s="56" t="str">
        <f aca="false">IF($W132="","",N(INDEX(发票统计!R$4:R$1003,$W132)))</f>
        <v/>
      </c>
      <c r="S132" s="56" t="str">
        <f aca="false">IF($W132="","",N(INDEX(发票统计!S$4:S$1003,$W132)))</f>
        <v/>
      </c>
      <c r="T132" s="56" t="str">
        <f aca="false">IF($W132="","",SUM(Q$4:Q132)-SUM(R$4:R132)-SUM(S$4:S132))</f>
        <v/>
      </c>
      <c r="U132" s="56" t="str">
        <f aca="false">IF($W132="","",INDEX(发票统计!U$4:U$1003,$W132)&amp;"")</f>
        <v/>
      </c>
      <c r="W132" s="1" t="str">
        <f aca="false">IF($V$3="","",IFERROR(MATCH($V$3&amp;"#"&amp;ROWS(W$4:W132),发票统计!$W$4:$W$1003,0),""))</f>
        <v/>
      </c>
    </row>
    <row r="133" customFormat="false" ht="16.5" hidden="false" customHeight="false" outlineLevel="0" collapsed="false">
      <c r="A133" s="56" t="str">
        <f aca="false">IF($W133="","",INDEX(发票统计!A$4:A$1003,$W133)&amp;"")</f>
        <v/>
      </c>
      <c r="B133" s="56" t="str">
        <f aca="false">IF($W133="","",INDEX(发票统计!B$4:B$1003,$W133)&amp;"")</f>
        <v/>
      </c>
      <c r="C133" s="56" t="str">
        <f aca="false">IF($W133="","",INDEX(发票统计!C$4:C$1003,$W133)&amp;"")</f>
        <v/>
      </c>
      <c r="D133" s="56" t="str">
        <f aca="false">IF($W133="","",INDEX(发票统计!D$4:D$1003,$W133)&amp;"")</f>
        <v/>
      </c>
      <c r="E133" s="56" t="str">
        <f aca="false">IF($W133="","",INDEX(发票统计!E$4:E$1003,$W133)&amp;"")</f>
        <v/>
      </c>
      <c r="F133" s="73" t="str">
        <f aca="false">IF($W133="","",INDEX(发票统计!F$4:F$1003,$W133)&amp;"")</f>
        <v/>
      </c>
      <c r="G133" s="68" t="str">
        <f aca="false">IF($W133="","",IF(INDEX(发票统计!G$4:G$1003,$W133)="","",INDEX(发票统计!G$4:G$1003,$W133)))</f>
        <v/>
      </c>
      <c r="H133" s="56" t="str">
        <f aca="false">IF($W133="","",N(INDEX(发票统计!H$4:H$1003,$W133)))</f>
        <v/>
      </c>
      <c r="I133" s="56" t="str">
        <f aca="false">IF($W133="","",N(INDEX(发票统计!I$4:I$1003,$W133)))</f>
        <v/>
      </c>
      <c r="J133" s="56" t="str">
        <f aca="false">IF($W133="","",N(INDEX(发票统计!J$4:J$1003,$W133)))</f>
        <v/>
      </c>
      <c r="K133" s="56" t="str">
        <f aca="false">IF($W133="","",N(INDEX(发票统计!K$4:K$1003,$W133)))</f>
        <v/>
      </c>
      <c r="L133" s="56" t="str">
        <f aca="false">IF($W133="","",SUM(J$4:J133)-SUM(K$4:K133))</f>
        <v/>
      </c>
      <c r="M133" s="56" t="str">
        <f aca="false">IF($W133="","",N(INDEX(发票统计!M$4:M$1003,$W133)))</f>
        <v/>
      </c>
      <c r="N133" s="56" t="str">
        <f aca="false">IF($W133="","",N(INDEX(发票统计!N$4:N$1003,$W133)))</f>
        <v/>
      </c>
      <c r="O133" s="56" t="str">
        <f aca="false">IF($W133="","",N(INDEX(发票统计!O$4:O$1003,$W133)))</f>
        <v/>
      </c>
      <c r="P133" s="56" t="str">
        <f aca="false">IF($W133="","",SUM(M$4:M133)-SUM(N$4:N133)-SUM(O$4:O133))</f>
        <v/>
      </c>
      <c r="Q133" s="56" t="str">
        <f aca="false">IF($W133="","",N(INDEX(发票统计!Q$4:Q$1003,$W133)))</f>
        <v/>
      </c>
      <c r="R133" s="56" t="str">
        <f aca="false">IF($W133="","",N(INDEX(发票统计!R$4:R$1003,$W133)))</f>
        <v/>
      </c>
      <c r="S133" s="56" t="str">
        <f aca="false">IF($W133="","",N(INDEX(发票统计!S$4:S$1003,$W133)))</f>
        <v/>
      </c>
      <c r="T133" s="56" t="str">
        <f aca="false">IF($W133="","",SUM(Q$4:Q133)-SUM(R$4:R133)-SUM(S$4:S133))</f>
        <v/>
      </c>
      <c r="U133" s="56" t="str">
        <f aca="false">IF($W133="","",INDEX(发票统计!U$4:U$1003,$W133)&amp;"")</f>
        <v/>
      </c>
      <c r="W133" s="1" t="str">
        <f aca="false">IF($V$3="","",IFERROR(MATCH($V$3&amp;"#"&amp;ROWS(W$4:W133),发票统计!$W$4:$W$1003,0),""))</f>
        <v/>
      </c>
    </row>
    <row r="134" customFormat="false" ht="16.5" hidden="false" customHeight="false" outlineLevel="0" collapsed="false">
      <c r="A134" s="56" t="str">
        <f aca="false">IF($W134="","",INDEX(发票统计!A$4:A$1003,$W134)&amp;"")</f>
        <v/>
      </c>
      <c r="B134" s="56" t="str">
        <f aca="false">IF($W134="","",INDEX(发票统计!B$4:B$1003,$W134)&amp;"")</f>
        <v/>
      </c>
      <c r="C134" s="56" t="str">
        <f aca="false">IF($W134="","",INDEX(发票统计!C$4:C$1003,$W134)&amp;"")</f>
        <v/>
      </c>
      <c r="D134" s="56" t="str">
        <f aca="false">IF($W134="","",INDEX(发票统计!D$4:D$1003,$W134)&amp;"")</f>
        <v/>
      </c>
      <c r="E134" s="56" t="str">
        <f aca="false">IF($W134="","",INDEX(发票统计!E$4:E$1003,$W134)&amp;"")</f>
        <v/>
      </c>
      <c r="F134" s="73" t="str">
        <f aca="false">IF($W134="","",INDEX(发票统计!F$4:F$1003,$W134)&amp;"")</f>
        <v/>
      </c>
      <c r="G134" s="68" t="str">
        <f aca="false">IF($W134="","",IF(INDEX(发票统计!G$4:G$1003,$W134)="","",INDEX(发票统计!G$4:G$1003,$W134)))</f>
        <v/>
      </c>
      <c r="H134" s="56" t="str">
        <f aca="false">IF($W134="","",N(INDEX(发票统计!H$4:H$1003,$W134)))</f>
        <v/>
      </c>
      <c r="I134" s="56" t="str">
        <f aca="false">IF($W134="","",N(INDEX(发票统计!I$4:I$1003,$W134)))</f>
        <v/>
      </c>
      <c r="J134" s="56" t="str">
        <f aca="false">IF($W134="","",N(INDEX(发票统计!J$4:J$1003,$W134)))</f>
        <v/>
      </c>
      <c r="K134" s="56" t="str">
        <f aca="false">IF($W134="","",N(INDEX(发票统计!K$4:K$1003,$W134)))</f>
        <v/>
      </c>
      <c r="L134" s="56" t="str">
        <f aca="false">IF($W134="","",SUM(J$4:J134)-SUM(K$4:K134))</f>
        <v/>
      </c>
      <c r="M134" s="56" t="str">
        <f aca="false">IF($W134="","",N(INDEX(发票统计!M$4:M$1003,$W134)))</f>
        <v/>
      </c>
      <c r="N134" s="56" t="str">
        <f aca="false">IF($W134="","",N(INDEX(发票统计!N$4:N$1003,$W134)))</f>
        <v/>
      </c>
      <c r="O134" s="56" t="str">
        <f aca="false">IF($W134="","",N(INDEX(发票统计!O$4:O$1003,$W134)))</f>
        <v/>
      </c>
      <c r="P134" s="56" t="str">
        <f aca="false">IF($W134="","",SUM(M$4:M134)-SUM(N$4:N134)-SUM(O$4:O134))</f>
        <v/>
      </c>
      <c r="Q134" s="56" t="str">
        <f aca="false">IF($W134="","",N(INDEX(发票统计!Q$4:Q$1003,$W134)))</f>
        <v/>
      </c>
      <c r="R134" s="56" t="str">
        <f aca="false">IF($W134="","",N(INDEX(发票统计!R$4:R$1003,$W134)))</f>
        <v/>
      </c>
      <c r="S134" s="56" t="str">
        <f aca="false">IF($W134="","",N(INDEX(发票统计!S$4:S$1003,$W134)))</f>
        <v/>
      </c>
      <c r="T134" s="56" t="str">
        <f aca="false">IF($W134="","",SUM(Q$4:Q134)-SUM(R$4:R134)-SUM(S$4:S134))</f>
        <v/>
      </c>
      <c r="U134" s="56" t="str">
        <f aca="false">IF($W134="","",INDEX(发票统计!U$4:U$1003,$W134)&amp;"")</f>
        <v/>
      </c>
      <c r="W134" s="1" t="str">
        <f aca="false">IF($V$3="","",IFERROR(MATCH($V$3&amp;"#"&amp;ROWS(W$4:W134),发票统计!$W$4:$W$1003,0),""))</f>
        <v/>
      </c>
    </row>
    <row r="135" customFormat="false" ht="16.5" hidden="false" customHeight="false" outlineLevel="0" collapsed="false">
      <c r="A135" s="56" t="str">
        <f aca="false">IF($W135="","",INDEX(发票统计!A$4:A$1003,$W135)&amp;"")</f>
        <v/>
      </c>
      <c r="B135" s="56" t="str">
        <f aca="false">IF($W135="","",INDEX(发票统计!B$4:B$1003,$W135)&amp;"")</f>
        <v/>
      </c>
      <c r="C135" s="56" t="str">
        <f aca="false">IF($W135="","",INDEX(发票统计!C$4:C$1003,$W135)&amp;"")</f>
        <v/>
      </c>
      <c r="D135" s="56" t="str">
        <f aca="false">IF($W135="","",INDEX(发票统计!D$4:D$1003,$W135)&amp;"")</f>
        <v/>
      </c>
      <c r="E135" s="56" t="str">
        <f aca="false">IF($W135="","",INDEX(发票统计!E$4:E$1003,$W135)&amp;"")</f>
        <v/>
      </c>
      <c r="F135" s="73" t="str">
        <f aca="false">IF($W135="","",INDEX(发票统计!F$4:F$1003,$W135)&amp;"")</f>
        <v/>
      </c>
      <c r="G135" s="68" t="str">
        <f aca="false">IF($W135="","",IF(INDEX(发票统计!G$4:G$1003,$W135)="","",INDEX(发票统计!G$4:G$1003,$W135)))</f>
        <v/>
      </c>
      <c r="H135" s="56" t="str">
        <f aca="false">IF($W135="","",N(INDEX(发票统计!H$4:H$1003,$W135)))</f>
        <v/>
      </c>
      <c r="I135" s="56" t="str">
        <f aca="false">IF($W135="","",N(INDEX(发票统计!I$4:I$1003,$W135)))</f>
        <v/>
      </c>
      <c r="J135" s="56" t="str">
        <f aca="false">IF($W135="","",N(INDEX(发票统计!J$4:J$1003,$W135)))</f>
        <v/>
      </c>
      <c r="K135" s="56" t="str">
        <f aca="false">IF($W135="","",N(INDEX(发票统计!K$4:K$1003,$W135)))</f>
        <v/>
      </c>
      <c r="L135" s="56" t="str">
        <f aca="false">IF($W135="","",SUM(J$4:J135)-SUM(K$4:K135))</f>
        <v/>
      </c>
      <c r="M135" s="56" t="str">
        <f aca="false">IF($W135="","",N(INDEX(发票统计!M$4:M$1003,$W135)))</f>
        <v/>
      </c>
      <c r="N135" s="56" t="str">
        <f aca="false">IF($W135="","",N(INDEX(发票统计!N$4:N$1003,$W135)))</f>
        <v/>
      </c>
      <c r="O135" s="56" t="str">
        <f aca="false">IF($W135="","",N(INDEX(发票统计!O$4:O$1003,$W135)))</f>
        <v/>
      </c>
      <c r="P135" s="56" t="str">
        <f aca="false">IF($W135="","",SUM(M$4:M135)-SUM(N$4:N135)-SUM(O$4:O135))</f>
        <v/>
      </c>
      <c r="Q135" s="56" t="str">
        <f aca="false">IF($W135="","",N(INDEX(发票统计!Q$4:Q$1003,$W135)))</f>
        <v/>
      </c>
      <c r="R135" s="56" t="str">
        <f aca="false">IF($W135="","",N(INDEX(发票统计!R$4:R$1003,$W135)))</f>
        <v/>
      </c>
      <c r="S135" s="56" t="str">
        <f aca="false">IF($W135="","",N(INDEX(发票统计!S$4:S$1003,$W135)))</f>
        <v/>
      </c>
      <c r="T135" s="56" t="str">
        <f aca="false">IF($W135="","",SUM(Q$4:Q135)-SUM(R$4:R135)-SUM(S$4:S135))</f>
        <v/>
      </c>
      <c r="U135" s="56" t="str">
        <f aca="false">IF($W135="","",INDEX(发票统计!U$4:U$1003,$W135)&amp;"")</f>
        <v/>
      </c>
      <c r="W135" s="1" t="str">
        <f aca="false">IF($V$3="","",IFERROR(MATCH($V$3&amp;"#"&amp;ROWS(W$4:W135),发票统计!$W$4:$W$1003,0),""))</f>
        <v/>
      </c>
    </row>
    <row r="136" customFormat="false" ht="16.5" hidden="false" customHeight="false" outlineLevel="0" collapsed="false">
      <c r="A136" s="56" t="str">
        <f aca="false">IF($W136="","",INDEX(发票统计!A$4:A$1003,$W136)&amp;"")</f>
        <v/>
      </c>
      <c r="B136" s="56" t="str">
        <f aca="false">IF($W136="","",INDEX(发票统计!B$4:B$1003,$W136)&amp;"")</f>
        <v/>
      </c>
      <c r="C136" s="56" t="str">
        <f aca="false">IF($W136="","",INDEX(发票统计!C$4:C$1003,$W136)&amp;"")</f>
        <v/>
      </c>
      <c r="D136" s="56" t="str">
        <f aca="false">IF($W136="","",INDEX(发票统计!D$4:D$1003,$W136)&amp;"")</f>
        <v/>
      </c>
      <c r="E136" s="56" t="str">
        <f aca="false">IF($W136="","",INDEX(发票统计!E$4:E$1003,$W136)&amp;"")</f>
        <v/>
      </c>
      <c r="F136" s="73" t="str">
        <f aca="false">IF($W136="","",INDEX(发票统计!F$4:F$1003,$W136)&amp;"")</f>
        <v/>
      </c>
      <c r="G136" s="68" t="str">
        <f aca="false">IF($W136="","",IF(INDEX(发票统计!G$4:G$1003,$W136)="","",INDEX(发票统计!G$4:G$1003,$W136)))</f>
        <v/>
      </c>
      <c r="H136" s="56" t="str">
        <f aca="false">IF($W136="","",N(INDEX(发票统计!H$4:H$1003,$W136)))</f>
        <v/>
      </c>
      <c r="I136" s="56" t="str">
        <f aca="false">IF($W136="","",N(INDEX(发票统计!I$4:I$1003,$W136)))</f>
        <v/>
      </c>
      <c r="J136" s="56" t="str">
        <f aca="false">IF($W136="","",N(INDEX(发票统计!J$4:J$1003,$W136)))</f>
        <v/>
      </c>
      <c r="K136" s="56" t="str">
        <f aca="false">IF($W136="","",N(INDEX(发票统计!K$4:K$1003,$W136)))</f>
        <v/>
      </c>
      <c r="L136" s="56" t="str">
        <f aca="false">IF($W136="","",SUM(J$4:J136)-SUM(K$4:K136))</f>
        <v/>
      </c>
      <c r="M136" s="56" t="str">
        <f aca="false">IF($W136="","",N(INDEX(发票统计!M$4:M$1003,$W136)))</f>
        <v/>
      </c>
      <c r="N136" s="56" t="str">
        <f aca="false">IF($W136="","",N(INDEX(发票统计!N$4:N$1003,$W136)))</f>
        <v/>
      </c>
      <c r="O136" s="56" t="str">
        <f aca="false">IF($W136="","",N(INDEX(发票统计!O$4:O$1003,$W136)))</f>
        <v/>
      </c>
      <c r="P136" s="56" t="str">
        <f aca="false">IF($W136="","",SUM(M$4:M136)-SUM(N$4:N136)-SUM(O$4:O136))</f>
        <v/>
      </c>
      <c r="Q136" s="56" t="str">
        <f aca="false">IF($W136="","",N(INDEX(发票统计!Q$4:Q$1003,$W136)))</f>
        <v/>
      </c>
      <c r="R136" s="56" t="str">
        <f aca="false">IF($W136="","",N(INDEX(发票统计!R$4:R$1003,$W136)))</f>
        <v/>
      </c>
      <c r="S136" s="56" t="str">
        <f aca="false">IF($W136="","",N(INDEX(发票统计!S$4:S$1003,$W136)))</f>
        <v/>
      </c>
      <c r="T136" s="56" t="str">
        <f aca="false">IF($W136="","",SUM(Q$4:Q136)-SUM(R$4:R136)-SUM(S$4:S136))</f>
        <v/>
      </c>
      <c r="U136" s="56" t="str">
        <f aca="false">IF($W136="","",INDEX(发票统计!U$4:U$1003,$W136)&amp;"")</f>
        <v/>
      </c>
      <c r="W136" s="1" t="str">
        <f aca="false">IF($V$3="","",IFERROR(MATCH($V$3&amp;"#"&amp;ROWS(W$4:W136),发票统计!$W$4:$W$1003,0),""))</f>
        <v/>
      </c>
    </row>
    <row r="137" customFormat="false" ht="16.5" hidden="false" customHeight="false" outlineLevel="0" collapsed="false">
      <c r="A137" s="56" t="str">
        <f aca="false">IF($W137="","",INDEX(发票统计!A$4:A$1003,$W137)&amp;"")</f>
        <v/>
      </c>
      <c r="B137" s="56" t="str">
        <f aca="false">IF($W137="","",INDEX(发票统计!B$4:B$1003,$W137)&amp;"")</f>
        <v/>
      </c>
      <c r="C137" s="56" t="str">
        <f aca="false">IF($W137="","",INDEX(发票统计!C$4:C$1003,$W137)&amp;"")</f>
        <v/>
      </c>
      <c r="D137" s="56" t="str">
        <f aca="false">IF($W137="","",INDEX(发票统计!D$4:D$1003,$W137)&amp;"")</f>
        <v/>
      </c>
      <c r="E137" s="56" t="str">
        <f aca="false">IF($W137="","",INDEX(发票统计!E$4:E$1003,$W137)&amp;"")</f>
        <v/>
      </c>
      <c r="F137" s="73" t="str">
        <f aca="false">IF($W137="","",INDEX(发票统计!F$4:F$1003,$W137)&amp;"")</f>
        <v/>
      </c>
      <c r="G137" s="68" t="str">
        <f aca="false">IF($W137="","",IF(INDEX(发票统计!G$4:G$1003,$W137)="","",INDEX(发票统计!G$4:G$1003,$W137)))</f>
        <v/>
      </c>
      <c r="H137" s="56" t="str">
        <f aca="false">IF($W137="","",N(INDEX(发票统计!H$4:H$1003,$W137)))</f>
        <v/>
      </c>
      <c r="I137" s="56" t="str">
        <f aca="false">IF($W137="","",N(INDEX(发票统计!I$4:I$1003,$W137)))</f>
        <v/>
      </c>
      <c r="J137" s="56" t="str">
        <f aca="false">IF($W137="","",N(INDEX(发票统计!J$4:J$1003,$W137)))</f>
        <v/>
      </c>
      <c r="K137" s="56" t="str">
        <f aca="false">IF($W137="","",N(INDEX(发票统计!K$4:K$1003,$W137)))</f>
        <v/>
      </c>
      <c r="L137" s="56" t="str">
        <f aca="false">IF($W137="","",SUM(J$4:J137)-SUM(K$4:K137))</f>
        <v/>
      </c>
      <c r="M137" s="56" t="str">
        <f aca="false">IF($W137="","",N(INDEX(发票统计!M$4:M$1003,$W137)))</f>
        <v/>
      </c>
      <c r="N137" s="56" t="str">
        <f aca="false">IF($W137="","",N(INDEX(发票统计!N$4:N$1003,$W137)))</f>
        <v/>
      </c>
      <c r="O137" s="56" t="str">
        <f aca="false">IF($W137="","",N(INDEX(发票统计!O$4:O$1003,$W137)))</f>
        <v/>
      </c>
      <c r="P137" s="56" t="str">
        <f aca="false">IF($W137="","",SUM(M$4:M137)-SUM(N$4:N137)-SUM(O$4:O137))</f>
        <v/>
      </c>
      <c r="Q137" s="56" t="str">
        <f aca="false">IF($W137="","",N(INDEX(发票统计!Q$4:Q$1003,$W137)))</f>
        <v/>
      </c>
      <c r="R137" s="56" t="str">
        <f aca="false">IF($W137="","",N(INDEX(发票统计!R$4:R$1003,$W137)))</f>
        <v/>
      </c>
      <c r="S137" s="56" t="str">
        <f aca="false">IF($W137="","",N(INDEX(发票统计!S$4:S$1003,$W137)))</f>
        <v/>
      </c>
      <c r="T137" s="56" t="str">
        <f aca="false">IF($W137="","",SUM(Q$4:Q137)-SUM(R$4:R137)-SUM(S$4:S137))</f>
        <v/>
      </c>
      <c r="U137" s="56" t="str">
        <f aca="false">IF($W137="","",INDEX(发票统计!U$4:U$1003,$W137)&amp;"")</f>
        <v/>
      </c>
      <c r="W137" s="1" t="str">
        <f aca="false">IF($V$3="","",IFERROR(MATCH($V$3&amp;"#"&amp;ROWS(W$4:W137),发票统计!$W$4:$W$1003,0),""))</f>
        <v/>
      </c>
    </row>
    <row r="138" customFormat="false" ht="16.5" hidden="false" customHeight="false" outlineLevel="0" collapsed="false">
      <c r="A138" s="56" t="str">
        <f aca="false">IF($W138="","",INDEX(发票统计!A$4:A$1003,$W138)&amp;"")</f>
        <v/>
      </c>
      <c r="B138" s="56" t="str">
        <f aca="false">IF($W138="","",INDEX(发票统计!B$4:B$1003,$W138)&amp;"")</f>
        <v/>
      </c>
      <c r="C138" s="56" t="str">
        <f aca="false">IF($W138="","",INDEX(发票统计!C$4:C$1003,$W138)&amp;"")</f>
        <v/>
      </c>
      <c r="D138" s="56" t="str">
        <f aca="false">IF($W138="","",INDEX(发票统计!D$4:D$1003,$W138)&amp;"")</f>
        <v/>
      </c>
      <c r="E138" s="56" t="str">
        <f aca="false">IF($W138="","",INDEX(发票统计!E$4:E$1003,$W138)&amp;"")</f>
        <v/>
      </c>
      <c r="F138" s="73" t="str">
        <f aca="false">IF($W138="","",INDEX(发票统计!F$4:F$1003,$W138)&amp;"")</f>
        <v/>
      </c>
      <c r="G138" s="68" t="str">
        <f aca="false">IF($W138="","",IF(INDEX(发票统计!G$4:G$1003,$W138)="","",INDEX(发票统计!G$4:G$1003,$W138)))</f>
        <v/>
      </c>
      <c r="H138" s="56" t="str">
        <f aca="false">IF($W138="","",N(INDEX(发票统计!H$4:H$1003,$W138)))</f>
        <v/>
      </c>
      <c r="I138" s="56" t="str">
        <f aca="false">IF($W138="","",N(INDEX(发票统计!I$4:I$1003,$W138)))</f>
        <v/>
      </c>
      <c r="J138" s="56" t="str">
        <f aca="false">IF($W138="","",N(INDEX(发票统计!J$4:J$1003,$W138)))</f>
        <v/>
      </c>
      <c r="K138" s="56" t="str">
        <f aca="false">IF($W138="","",N(INDEX(发票统计!K$4:K$1003,$W138)))</f>
        <v/>
      </c>
      <c r="L138" s="56" t="str">
        <f aca="false">IF($W138="","",SUM(J$4:J138)-SUM(K$4:K138))</f>
        <v/>
      </c>
      <c r="M138" s="56" t="str">
        <f aca="false">IF($W138="","",N(INDEX(发票统计!M$4:M$1003,$W138)))</f>
        <v/>
      </c>
      <c r="N138" s="56" t="str">
        <f aca="false">IF($W138="","",N(INDEX(发票统计!N$4:N$1003,$W138)))</f>
        <v/>
      </c>
      <c r="O138" s="56" t="str">
        <f aca="false">IF($W138="","",N(INDEX(发票统计!O$4:O$1003,$W138)))</f>
        <v/>
      </c>
      <c r="P138" s="56" t="str">
        <f aca="false">IF($W138="","",SUM(M$4:M138)-SUM(N$4:N138)-SUM(O$4:O138))</f>
        <v/>
      </c>
      <c r="Q138" s="56" t="str">
        <f aca="false">IF($W138="","",N(INDEX(发票统计!Q$4:Q$1003,$W138)))</f>
        <v/>
      </c>
      <c r="R138" s="56" t="str">
        <f aca="false">IF($W138="","",N(INDEX(发票统计!R$4:R$1003,$W138)))</f>
        <v/>
      </c>
      <c r="S138" s="56" t="str">
        <f aca="false">IF($W138="","",N(INDEX(发票统计!S$4:S$1003,$W138)))</f>
        <v/>
      </c>
      <c r="T138" s="56" t="str">
        <f aca="false">IF($W138="","",SUM(Q$4:Q138)-SUM(R$4:R138)-SUM(S$4:S138))</f>
        <v/>
      </c>
      <c r="U138" s="56" t="str">
        <f aca="false">IF($W138="","",INDEX(发票统计!U$4:U$1003,$W138)&amp;"")</f>
        <v/>
      </c>
      <c r="W138" s="1" t="str">
        <f aca="false">IF($V$3="","",IFERROR(MATCH($V$3&amp;"#"&amp;ROWS(W$4:W138),发票统计!$W$4:$W$1003,0),""))</f>
        <v/>
      </c>
    </row>
    <row r="139" customFormat="false" ht="16.5" hidden="false" customHeight="false" outlineLevel="0" collapsed="false">
      <c r="A139" s="56" t="str">
        <f aca="false">IF($W139="","",INDEX(发票统计!A$4:A$1003,$W139)&amp;"")</f>
        <v/>
      </c>
      <c r="B139" s="56" t="str">
        <f aca="false">IF($W139="","",INDEX(发票统计!B$4:B$1003,$W139)&amp;"")</f>
        <v/>
      </c>
      <c r="C139" s="56" t="str">
        <f aca="false">IF($W139="","",INDEX(发票统计!C$4:C$1003,$W139)&amp;"")</f>
        <v/>
      </c>
      <c r="D139" s="56" t="str">
        <f aca="false">IF($W139="","",INDEX(发票统计!D$4:D$1003,$W139)&amp;"")</f>
        <v/>
      </c>
      <c r="E139" s="56" t="str">
        <f aca="false">IF($W139="","",INDEX(发票统计!E$4:E$1003,$W139)&amp;"")</f>
        <v/>
      </c>
      <c r="F139" s="73" t="str">
        <f aca="false">IF($W139="","",INDEX(发票统计!F$4:F$1003,$W139)&amp;"")</f>
        <v/>
      </c>
      <c r="G139" s="68" t="str">
        <f aca="false">IF($W139="","",IF(INDEX(发票统计!G$4:G$1003,$W139)="","",INDEX(发票统计!G$4:G$1003,$W139)))</f>
        <v/>
      </c>
      <c r="H139" s="56" t="str">
        <f aca="false">IF($W139="","",N(INDEX(发票统计!H$4:H$1003,$W139)))</f>
        <v/>
      </c>
      <c r="I139" s="56" t="str">
        <f aca="false">IF($W139="","",N(INDEX(发票统计!I$4:I$1003,$W139)))</f>
        <v/>
      </c>
      <c r="J139" s="56" t="str">
        <f aca="false">IF($W139="","",N(INDEX(发票统计!J$4:J$1003,$W139)))</f>
        <v/>
      </c>
      <c r="K139" s="56" t="str">
        <f aca="false">IF($W139="","",N(INDEX(发票统计!K$4:K$1003,$W139)))</f>
        <v/>
      </c>
      <c r="L139" s="56" t="str">
        <f aca="false">IF($W139="","",SUM(J$4:J139)-SUM(K$4:K139))</f>
        <v/>
      </c>
      <c r="M139" s="56" t="str">
        <f aca="false">IF($W139="","",N(INDEX(发票统计!M$4:M$1003,$W139)))</f>
        <v/>
      </c>
      <c r="N139" s="56" t="str">
        <f aca="false">IF($W139="","",N(INDEX(发票统计!N$4:N$1003,$W139)))</f>
        <v/>
      </c>
      <c r="O139" s="56" t="str">
        <f aca="false">IF($W139="","",N(INDEX(发票统计!O$4:O$1003,$W139)))</f>
        <v/>
      </c>
      <c r="P139" s="56" t="str">
        <f aca="false">IF($W139="","",SUM(M$4:M139)-SUM(N$4:N139)-SUM(O$4:O139))</f>
        <v/>
      </c>
      <c r="Q139" s="56" t="str">
        <f aca="false">IF($W139="","",N(INDEX(发票统计!Q$4:Q$1003,$W139)))</f>
        <v/>
      </c>
      <c r="R139" s="56" t="str">
        <f aca="false">IF($W139="","",N(INDEX(发票统计!R$4:R$1003,$W139)))</f>
        <v/>
      </c>
      <c r="S139" s="56" t="str">
        <f aca="false">IF($W139="","",N(INDEX(发票统计!S$4:S$1003,$W139)))</f>
        <v/>
      </c>
      <c r="T139" s="56" t="str">
        <f aca="false">IF($W139="","",SUM(Q$4:Q139)-SUM(R$4:R139)-SUM(S$4:S139))</f>
        <v/>
      </c>
      <c r="U139" s="56" t="str">
        <f aca="false">IF($W139="","",INDEX(发票统计!U$4:U$1003,$W139)&amp;"")</f>
        <v/>
      </c>
      <c r="W139" s="1" t="str">
        <f aca="false">IF($V$3="","",IFERROR(MATCH($V$3&amp;"#"&amp;ROWS(W$4:W139),发票统计!$W$4:$W$1003,0),""))</f>
        <v/>
      </c>
    </row>
    <row r="140" customFormat="false" ht="16.5" hidden="false" customHeight="false" outlineLevel="0" collapsed="false">
      <c r="A140" s="56" t="str">
        <f aca="false">IF($W140="","",INDEX(发票统计!A$4:A$1003,$W140)&amp;"")</f>
        <v/>
      </c>
      <c r="B140" s="56" t="str">
        <f aca="false">IF($W140="","",INDEX(发票统计!B$4:B$1003,$W140)&amp;"")</f>
        <v/>
      </c>
      <c r="C140" s="56" t="str">
        <f aca="false">IF($W140="","",INDEX(发票统计!C$4:C$1003,$W140)&amp;"")</f>
        <v/>
      </c>
      <c r="D140" s="56" t="str">
        <f aca="false">IF($W140="","",INDEX(发票统计!D$4:D$1003,$W140)&amp;"")</f>
        <v/>
      </c>
      <c r="E140" s="56" t="str">
        <f aca="false">IF($W140="","",INDEX(发票统计!E$4:E$1003,$W140)&amp;"")</f>
        <v/>
      </c>
      <c r="F140" s="73" t="str">
        <f aca="false">IF($W140="","",INDEX(发票统计!F$4:F$1003,$W140)&amp;"")</f>
        <v/>
      </c>
      <c r="G140" s="68" t="str">
        <f aca="false">IF($W140="","",IF(INDEX(发票统计!G$4:G$1003,$W140)="","",INDEX(发票统计!G$4:G$1003,$W140)))</f>
        <v/>
      </c>
      <c r="H140" s="56" t="str">
        <f aca="false">IF($W140="","",N(INDEX(发票统计!H$4:H$1003,$W140)))</f>
        <v/>
      </c>
      <c r="I140" s="56" t="str">
        <f aca="false">IF($W140="","",N(INDEX(发票统计!I$4:I$1003,$W140)))</f>
        <v/>
      </c>
      <c r="J140" s="56" t="str">
        <f aca="false">IF($W140="","",N(INDEX(发票统计!J$4:J$1003,$W140)))</f>
        <v/>
      </c>
      <c r="K140" s="56" t="str">
        <f aca="false">IF($W140="","",N(INDEX(发票统计!K$4:K$1003,$W140)))</f>
        <v/>
      </c>
      <c r="L140" s="56" t="str">
        <f aca="false">IF($W140="","",SUM(J$4:J140)-SUM(K$4:K140))</f>
        <v/>
      </c>
      <c r="M140" s="56" t="str">
        <f aca="false">IF($W140="","",N(INDEX(发票统计!M$4:M$1003,$W140)))</f>
        <v/>
      </c>
      <c r="N140" s="56" t="str">
        <f aca="false">IF($W140="","",N(INDEX(发票统计!N$4:N$1003,$W140)))</f>
        <v/>
      </c>
      <c r="O140" s="56" t="str">
        <f aca="false">IF($W140="","",N(INDEX(发票统计!O$4:O$1003,$W140)))</f>
        <v/>
      </c>
      <c r="P140" s="56" t="str">
        <f aca="false">IF($W140="","",SUM(M$4:M140)-SUM(N$4:N140)-SUM(O$4:O140))</f>
        <v/>
      </c>
      <c r="Q140" s="56" t="str">
        <f aca="false">IF($W140="","",N(INDEX(发票统计!Q$4:Q$1003,$W140)))</f>
        <v/>
      </c>
      <c r="R140" s="56" t="str">
        <f aca="false">IF($W140="","",N(INDEX(发票统计!R$4:R$1003,$W140)))</f>
        <v/>
      </c>
      <c r="S140" s="56" t="str">
        <f aca="false">IF($W140="","",N(INDEX(发票统计!S$4:S$1003,$W140)))</f>
        <v/>
      </c>
      <c r="T140" s="56" t="str">
        <f aca="false">IF($W140="","",SUM(Q$4:Q140)-SUM(R$4:R140)-SUM(S$4:S140))</f>
        <v/>
      </c>
      <c r="U140" s="56" t="str">
        <f aca="false">IF($W140="","",INDEX(发票统计!U$4:U$1003,$W140)&amp;"")</f>
        <v/>
      </c>
      <c r="W140" s="1" t="str">
        <f aca="false">IF($V$3="","",IFERROR(MATCH($V$3&amp;"#"&amp;ROWS(W$4:W140),发票统计!$W$4:$W$1003,0),""))</f>
        <v/>
      </c>
    </row>
    <row r="141" customFormat="false" ht="16.5" hidden="false" customHeight="false" outlineLevel="0" collapsed="false">
      <c r="A141" s="56" t="str">
        <f aca="false">IF($W141="","",INDEX(发票统计!A$4:A$1003,$W141)&amp;"")</f>
        <v/>
      </c>
      <c r="B141" s="56" t="str">
        <f aca="false">IF($W141="","",INDEX(发票统计!B$4:B$1003,$W141)&amp;"")</f>
        <v/>
      </c>
      <c r="C141" s="56" t="str">
        <f aca="false">IF($W141="","",INDEX(发票统计!C$4:C$1003,$W141)&amp;"")</f>
        <v/>
      </c>
      <c r="D141" s="56" t="str">
        <f aca="false">IF($W141="","",INDEX(发票统计!D$4:D$1003,$W141)&amp;"")</f>
        <v/>
      </c>
      <c r="E141" s="56" t="str">
        <f aca="false">IF($W141="","",INDEX(发票统计!E$4:E$1003,$W141)&amp;"")</f>
        <v/>
      </c>
      <c r="F141" s="73" t="str">
        <f aca="false">IF($W141="","",INDEX(发票统计!F$4:F$1003,$W141)&amp;"")</f>
        <v/>
      </c>
      <c r="G141" s="68" t="str">
        <f aca="false">IF($W141="","",IF(INDEX(发票统计!G$4:G$1003,$W141)="","",INDEX(发票统计!G$4:G$1003,$W141)))</f>
        <v/>
      </c>
      <c r="H141" s="56" t="str">
        <f aca="false">IF($W141="","",N(INDEX(发票统计!H$4:H$1003,$W141)))</f>
        <v/>
      </c>
      <c r="I141" s="56" t="str">
        <f aca="false">IF($W141="","",N(INDEX(发票统计!I$4:I$1003,$W141)))</f>
        <v/>
      </c>
      <c r="J141" s="56" t="str">
        <f aca="false">IF($W141="","",N(INDEX(发票统计!J$4:J$1003,$W141)))</f>
        <v/>
      </c>
      <c r="K141" s="56" t="str">
        <f aca="false">IF($W141="","",N(INDEX(发票统计!K$4:K$1003,$W141)))</f>
        <v/>
      </c>
      <c r="L141" s="56" t="str">
        <f aca="false">IF($W141="","",SUM(J$4:J141)-SUM(K$4:K141))</f>
        <v/>
      </c>
      <c r="M141" s="56" t="str">
        <f aca="false">IF($W141="","",N(INDEX(发票统计!M$4:M$1003,$W141)))</f>
        <v/>
      </c>
      <c r="N141" s="56" t="str">
        <f aca="false">IF($W141="","",N(INDEX(发票统计!N$4:N$1003,$W141)))</f>
        <v/>
      </c>
      <c r="O141" s="56" t="str">
        <f aca="false">IF($W141="","",N(INDEX(发票统计!O$4:O$1003,$W141)))</f>
        <v/>
      </c>
      <c r="P141" s="56" t="str">
        <f aca="false">IF($W141="","",SUM(M$4:M141)-SUM(N$4:N141)-SUM(O$4:O141))</f>
        <v/>
      </c>
      <c r="Q141" s="56" t="str">
        <f aca="false">IF($W141="","",N(INDEX(发票统计!Q$4:Q$1003,$W141)))</f>
        <v/>
      </c>
      <c r="R141" s="56" t="str">
        <f aca="false">IF($W141="","",N(INDEX(发票统计!R$4:R$1003,$W141)))</f>
        <v/>
      </c>
      <c r="S141" s="56" t="str">
        <f aca="false">IF($W141="","",N(INDEX(发票统计!S$4:S$1003,$W141)))</f>
        <v/>
      </c>
      <c r="T141" s="56" t="str">
        <f aca="false">IF($W141="","",SUM(Q$4:Q141)-SUM(R$4:R141)-SUM(S$4:S141))</f>
        <v/>
      </c>
      <c r="U141" s="56" t="str">
        <f aca="false">IF($W141="","",INDEX(发票统计!U$4:U$1003,$W141)&amp;"")</f>
        <v/>
      </c>
      <c r="W141" s="1" t="str">
        <f aca="false">IF($V$3="","",IFERROR(MATCH($V$3&amp;"#"&amp;ROWS(W$4:W141),发票统计!$W$4:$W$1003,0),""))</f>
        <v/>
      </c>
    </row>
    <row r="142" customFormat="false" ht="16.5" hidden="false" customHeight="false" outlineLevel="0" collapsed="false">
      <c r="A142" s="56" t="str">
        <f aca="false">IF($W142="","",INDEX(发票统计!A$4:A$1003,$W142)&amp;"")</f>
        <v/>
      </c>
      <c r="B142" s="56" t="str">
        <f aca="false">IF($W142="","",INDEX(发票统计!B$4:B$1003,$W142)&amp;"")</f>
        <v/>
      </c>
      <c r="C142" s="56" t="str">
        <f aca="false">IF($W142="","",INDEX(发票统计!C$4:C$1003,$W142)&amp;"")</f>
        <v/>
      </c>
      <c r="D142" s="56" t="str">
        <f aca="false">IF($W142="","",INDEX(发票统计!D$4:D$1003,$W142)&amp;"")</f>
        <v/>
      </c>
      <c r="E142" s="56" t="str">
        <f aca="false">IF($W142="","",INDEX(发票统计!E$4:E$1003,$W142)&amp;"")</f>
        <v/>
      </c>
      <c r="F142" s="73" t="str">
        <f aca="false">IF($W142="","",INDEX(发票统计!F$4:F$1003,$W142)&amp;"")</f>
        <v/>
      </c>
      <c r="G142" s="68" t="str">
        <f aca="false">IF($W142="","",IF(INDEX(发票统计!G$4:G$1003,$W142)="","",INDEX(发票统计!G$4:G$1003,$W142)))</f>
        <v/>
      </c>
      <c r="H142" s="56" t="str">
        <f aca="false">IF($W142="","",N(INDEX(发票统计!H$4:H$1003,$W142)))</f>
        <v/>
      </c>
      <c r="I142" s="56" t="str">
        <f aca="false">IF($W142="","",N(INDEX(发票统计!I$4:I$1003,$W142)))</f>
        <v/>
      </c>
      <c r="J142" s="56" t="str">
        <f aca="false">IF($W142="","",N(INDEX(发票统计!J$4:J$1003,$W142)))</f>
        <v/>
      </c>
      <c r="K142" s="56" t="str">
        <f aca="false">IF($W142="","",N(INDEX(发票统计!K$4:K$1003,$W142)))</f>
        <v/>
      </c>
      <c r="L142" s="56" t="str">
        <f aca="false">IF($W142="","",SUM(J$4:J142)-SUM(K$4:K142))</f>
        <v/>
      </c>
      <c r="M142" s="56" t="str">
        <f aca="false">IF($W142="","",N(INDEX(发票统计!M$4:M$1003,$W142)))</f>
        <v/>
      </c>
      <c r="N142" s="56" t="str">
        <f aca="false">IF($W142="","",N(INDEX(发票统计!N$4:N$1003,$W142)))</f>
        <v/>
      </c>
      <c r="O142" s="56" t="str">
        <f aca="false">IF($W142="","",N(INDEX(发票统计!O$4:O$1003,$W142)))</f>
        <v/>
      </c>
      <c r="P142" s="56" t="str">
        <f aca="false">IF($W142="","",SUM(M$4:M142)-SUM(N$4:N142)-SUM(O$4:O142))</f>
        <v/>
      </c>
      <c r="Q142" s="56" t="str">
        <f aca="false">IF($W142="","",N(INDEX(发票统计!Q$4:Q$1003,$W142)))</f>
        <v/>
      </c>
      <c r="R142" s="56" t="str">
        <f aca="false">IF($W142="","",N(INDEX(发票统计!R$4:R$1003,$W142)))</f>
        <v/>
      </c>
      <c r="S142" s="56" t="str">
        <f aca="false">IF($W142="","",N(INDEX(发票统计!S$4:S$1003,$W142)))</f>
        <v/>
      </c>
      <c r="T142" s="56" t="str">
        <f aca="false">IF($W142="","",SUM(Q$4:Q142)-SUM(R$4:R142)-SUM(S$4:S142))</f>
        <v/>
      </c>
      <c r="U142" s="56" t="str">
        <f aca="false">IF($W142="","",INDEX(发票统计!U$4:U$1003,$W142)&amp;"")</f>
        <v/>
      </c>
      <c r="W142" s="1" t="str">
        <f aca="false">IF($V$3="","",IFERROR(MATCH($V$3&amp;"#"&amp;ROWS(W$4:W142),发票统计!$W$4:$W$1003,0),""))</f>
        <v/>
      </c>
    </row>
    <row r="143" customFormat="false" ht="16.5" hidden="false" customHeight="false" outlineLevel="0" collapsed="false">
      <c r="A143" s="56" t="str">
        <f aca="false">IF($W143="","",INDEX(发票统计!A$4:A$1003,$W143)&amp;"")</f>
        <v/>
      </c>
      <c r="B143" s="56" t="str">
        <f aca="false">IF($W143="","",INDEX(发票统计!B$4:B$1003,$W143)&amp;"")</f>
        <v/>
      </c>
      <c r="C143" s="56" t="str">
        <f aca="false">IF($W143="","",INDEX(发票统计!C$4:C$1003,$W143)&amp;"")</f>
        <v/>
      </c>
      <c r="D143" s="56" t="str">
        <f aca="false">IF($W143="","",INDEX(发票统计!D$4:D$1003,$W143)&amp;"")</f>
        <v/>
      </c>
      <c r="E143" s="56" t="str">
        <f aca="false">IF($W143="","",INDEX(发票统计!E$4:E$1003,$W143)&amp;"")</f>
        <v/>
      </c>
      <c r="F143" s="73" t="str">
        <f aca="false">IF($W143="","",INDEX(发票统计!F$4:F$1003,$W143)&amp;"")</f>
        <v/>
      </c>
      <c r="G143" s="68" t="str">
        <f aca="false">IF($W143="","",IF(INDEX(发票统计!G$4:G$1003,$W143)="","",INDEX(发票统计!G$4:G$1003,$W143)))</f>
        <v/>
      </c>
      <c r="H143" s="56" t="str">
        <f aca="false">IF($W143="","",N(INDEX(发票统计!H$4:H$1003,$W143)))</f>
        <v/>
      </c>
      <c r="I143" s="56" t="str">
        <f aca="false">IF($W143="","",N(INDEX(发票统计!I$4:I$1003,$W143)))</f>
        <v/>
      </c>
      <c r="J143" s="56" t="str">
        <f aca="false">IF($W143="","",N(INDEX(发票统计!J$4:J$1003,$W143)))</f>
        <v/>
      </c>
      <c r="K143" s="56" t="str">
        <f aca="false">IF($W143="","",N(INDEX(发票统计!K$4:K$1003,$W143)))</f>
        <v/>
      </c>
      <c r="L143" s="56" t="str">
        <f aca="false">IF($W143="","",SUM(J$4:J143)-SUM(K$4:K143))</f>
        <v/>
      </c>
      <c r="M143" s="56" t="str">
        <f aca="false">IF($W143="","",N(INDEX(发票统计!M$4:M$1003,$W143)))</f>
        <v/>
      </c>
      <c r="N143" s="56" t="str">
        <f aca="false">IF($W143="","",N(INDEX(发票统计!N$4:N$1003,$W143)))</f>
        <v/>
      </c>
      <c r="O143" s="56" t="str">
        <f aca="false">IF($W143="","",N(INDEX(发票统计!O$4:O$1003,$W143)))</f>
        <v/>
      </c>
      <c r="P143" s="56" t="str">
        <f aca="false">IF($W143="","",SUM(M$4:M143)-SUM(N$4:N143)-SUM(O$4:O143))</f>
        <v/>
      </c>
      <c r="Q143" s="56" t="str">
        <f aca="false">IF($W143="","",N(INDEX(发票统计!Q$4:Q$1003,$W143)))</f>
        <v/>
      </c>
      <c r="R143" s="56" t="str">
        <f aca="false">IF($W143="","",N(INDEX(发票统计!R$4:R$1003,$W143)))</f>
        <v/>
      </c>
      <c r="S143" s="56" t="str">
        <f aca="false">IF($W143="","",N(INDEX(发票统计!S$4:S$1003,$W143)))</f>
        <v/>
      </c>
      <c r="T143" s="56" t="str">
        <f aca="false">IF($W143="","",SUM(Q$4:Q143)-SUM(R$4:R143)-SUM(S$4:S143))</f>
        <v/>
      </c>
      <c r="U143" s="56" t="str">
        <f aca="false">IF($W143="","",INDEX(发票统计!U$4:U$1003,$W143)&amp;"")</f>
        <v/>
      </c>
      <c r="W143" s="1" t="str">
        <f aca="false">IF($V$3="","",IFERROR(MATCH($V$3&amp;"#"&amp;ROWS(W$4:W143),发票统计!$W$4:$W$1003,0),""))</f>
        <v/>
      </c>
    </row>
    <row r="144" customFormat="false" ht="16.5" hidden="false" customHeight="false" outlineLevel="0" collapsed="false">
      <c r="A144" s="56" t="str">
        <f aca="false">IF($W144="","",INDEX(发票统计!A$4:A$1003,$W144)&amp;"")</f>
        <v/>
      </c>
      <c r="B144" s="56" t="str">
        <f aca="false">IF($W144="","",INDEX(发票统计!B$4:B$1003,$W144)&amp;"")</f>
        <v/>
      </c>
      <c r="C144" s="56" t="str">
        <f aca="false">IF($W144="","",INDEX(发票统计!C$4:C$1003,$W144)&amp;"")</f>
        <v/>
      </c>
      <c r="D144" s="56" t="str">
        <f aca="false">IF($W144="","",INDEX(发票统计!D$4:D$1003,$W144)&amp;"")</f>
        <v/>
      </c>
      <c r="E144" s="56" t="str">
        <f aca="false">IF($W144="","",INDEX(发票统计!E$4:E$1003,$W144)&amp;"")</f>
        <v/>
      </c>
      <c r="F144" s="73" t="str">
        <f aca="false">IF($W144="","",INDEX(发票统计!F$4:F$1003,$W144)&amp;"")</f>
        <v/>
      </c>
      <c r="G144" s="68" t="str">
        <f aca="false">IF($W144="","",IF(INDEX(发票统计!G$4:G$1003,$W144)="","",INDEX(发票统计!G$4:G$1003,$W144)))</f>
        <v/>
      </c>
      <c r="H144" s="56" t="str">
        <f aca="false">IF($W144="","",N(INDEX(发票统计!H$4:H$1003,$W144)))</f>
        <v/>
      </c>
      <c r="I144" s="56" t="str">
        <f aca="false">IF($W144="","",N(INDEX(发票统计!I$4:I$1003,$W144)))</f>
        <v/>
      </c>
      <c r="J144" s="56" t="str">
        <f aca="false">IF($W144="","",N(INDEX(发票统计!J$4:J$1003,$W144)))</f>
        <v/>
      </c>
      <c r="K144" s="56" t="str">
        <f aca="false">IF($W144="","",N(INDEX(发票统计!K$4:K$1003,$W144)))</f>
        <v/>
      </c>
      <c r="L144" s="56" t="str">
        <f aca="false">IF($W144="","",SUM(J$4:J144)-SUM(K$4:K144))</f>
        <v/>
      </c>
      <c r="M144" s="56" t="str">
        <f aca="false">IF($W144="","",N(INDEX(发票统计!M$4:M$1003,$W144)))</f>
        <v/>
      </c>
      <c r="N144" s="56" t="str">
        <f aca="false">IF($W144="","",N(INDEX(发票统计!N$4:N$1003,$W144)))</f>
        <v/>
      </c>
      <c r="O144" s="56" t="str">
        <f aca="false">IF($W144="","",N(INDEX(发票统计!O$4:O$1003,$W144)))</f>
        <v/>
      </c>
      <c r="P144" s="56" t="str">
        <f aca="false">IF($W144="","",SUM(M$4:M144)-SUM(N$4:N144)-SUM(O$4:O144))</f>
        <v/>
      </c>
      <c r="Q144" s="56" t="str">
        <f aca="false">IF($W144="","",N(INDEX(发票统计!Q$4:Q$1003,$W144)))</f>
        <v/>
      </c>
      <c r="R144" s="56" t="str">
        <f aca="false">IF($W144="","",N(INDEX(发票统计!R$4:R$1003,$W144)))</f>
        <v/>
      </c>
      <c r="S144" s="56" t="str">
        <f aca="false">IF($W144="","",N(INDEX(发票统计!S$4:S$1003,$W144)))</f>
        <v/>
      </c>
      <c r="T144" s="56" t="str">
        <f aca="false">IF($W144="","",SUM(Q$4:Q144)-SUM(R$4:R144)-SUM(S$4:S144))</f>
        <v/>
      </c>
      <c r="U144" s="56" t="str">
        <f aca="false">IF($W144="","",INDEX(发票统计!U$4:U$1003,$W144)&amp;"")</f>
        <v/>
      </c>
      <c r="W144" s="1" t="str">
        <f aca="false">IF($V$3="","",IFERROR(MATCH($V$3&amp;"#"&amp;ROWS(W$4:W144),发票统计!$W$4:$W$1003,0),""))</f>
        <v/>
      </c>
    </row>
    <row r="145" customFormat="false" ht="16.5" hidden="false" customHeight="false" outlineLevel="0" collapsed="false">
      <c r="A145" s="56" t="str">
        <f aca="false">IF($W145="","",INDEX(发票统计!A$4:A$1003,$W145)&amp;"")</f>
        <v/>
      </c>
      <c r="B145" s="56" t="str">
        <f aca="false">IF($W145="","",INDEX(发票统计!B$4:B$1003,$W145)&amp;"")</f>
        <v/>
      </c>
      <c r="C145" s="56" t="str">
        <f aca="false">IF($W145="","",INDEX(发票统计!C$4:C$1003,$W145)&amp;"")</f>
        <v/>
      </c>
      <c r="D145" s="56" t="str">
        <f aca="false">IF($W145="","",INDEX(发票统计!D$4:D$1003,$W145)&amp;"")</f>
        <v/>
      </c>
      <c r="E145" s="56" t="str">
        <f aca="false">IF($W145="","",INDEX(发票统计!E$4:E$1003,$W145)&amp;"")</f>
        <v/>
      </c>
      <c r="F145" s="73" t="str">
        <f aca="false">IF($W145="","",INDEX(发票统计!F$4:F$1003,$W145)&amp;"")</f>
        <v/>
      </c>
      <c r="G145" s="68" t="str">
        <f aca="false">IF($W145="","",IF(INDEX(发票统计!G$4:G$1003,$W145)="","",INDEX(发票统计!G$4:G$1003,$W145)))</f>
        <v/>
      </c>
      <c r="H145" s="56" t="str">
        <f aca="false">IF($W145="","",N(INDEX(发票统计!H$4:H$1003,$W145)))</f>
        <v/>
      </c>
      <c r="I145" s="56" t="str">
        <f aca="false">IF($W145="","",N(INDEX(发票统计!I$4:I$1003,$W145)))</f>
        <v/>
      </c>
      <c r="J145" s="56" t="str">
        <f aca="false">IF($W145="","",N(INDEX(发票统计!J$4:J$1003,$W145)))</f>
        <v/>
      </c>
      <c r="K145" s="56" t="str">
        <f aca="false">IF($W145="","",N(INDEX(发票统计!K$4:K$1003,$W145)))</f>
        <v/>
      </c>
      <c r="L145" s="56" t="str">
        <f aca="false">IF($W145="","",SUM(J$4:J145)-SUM(K$4:K145))</f>
        <v/>
      </c>
      <c r="M145" s="56" t="str">
        <f aca="false">IF($W145="","",N(INDEX(发票统计!M$4:M$1003,$W145)))</f>
        <v/>
      </c>
      <c r="N145" s="56" t="str">
        <f aca="false">IF($W145="","",N(INDEX(发票统计!N$4:N$1003,$W145)))</f>
        <v/>
      </c>
      <c r="O145" s="56" t="str">
        <f aca="false">IF($W145="","",N(INDEX(发票统计!O$4:O$1003,$W145)))</f>
        <v/>
      </c>
      <c r="P145" s="56" t="str">
        <f aca="false">IF($W145="","",SUM(M$4:M145)-SUM(N$4:N145)-SUM(O$4:O145))</f>
        <v/>
      </c>
      <c r="Q145" s="56" t="str">
        <f aca="false">IF($W145="","",N(INDEX(发票统计!Q$4:Q$1003,$W145)))</f>
        <v/>
      </c>
      <c r="R145" s="56" t="str">
        <f aca="false">IF($W145="","",N(INDEX(发票统计!R$4:R$1003,$W145)))</f>
        <v/>
      </c>
      <c r="S145" s="56" t="str">
        <f aca="false">IF($W145="","",N(INDEX(发票统计!S$4:S$1003,$W145)))</f>
        <v/>
      </c>
      <c r="T145" s="56" t="str">
        <f aca="false">IF($W145="","",SUM(Q$4:Q145)-SUM(R$4:R145)-SUM(S$4:S145))</f>
        <v/>
      </c>
      <c r="U145" s="56" t="str">
        <f aca="false">IF($W145="","",INDEX(发票统计!U$4:U$1003,$W145)&amp;"")</f>
        <v/>
      </c>
      <c r="W145" s="1" t="str">
        <f aca="false">IF($V$3="","",IFERROR(MATCH($V$3&amp;"#"&amp;ROWS(W$4:W145),发票统计!$W$4:$W$1003,0),""))</f>
        <v/>
      </c>
    </row>
    <row r="146" customFormat="false" ht="16.5" hidden="false" customHeight="false" outlineLevel="0" collapsed="false">
      <c r="A146" s="56" t="str">
        <f aca="false">IF($W146="","",INDEX(发票统计!A$4:A$1003,$W146)&amp;"")</f>
        <v/>
      </c>
      <c r="B146" s="56" t="str">
        <f aca="false">IF($W146="","",INDEX(发票统计!B$4:B$1003,$W146)&amp;"")</f>
        <v/>
      </c>
      <c r="C146" s="56" t="str">
        <f aca="false">IF($W146="","",INDEX(发票统计!C$4:C$1003,$W146)&amp;"")</f>
        <v/>
      </c>
      <c r="D146" s="56" t="str">
        <f aca="false">IF($W146="","",INDEX(发票统计!D$4:D$1003,$W146)&amp;"")</f>
        <v/>
      </c>
      <c r="E146" s="56" t="str">
        <f aca="false">IF($W146="","",INDEX(发票统计!E$4:E$1003,$W146)&amp;"")</f>
        <v/>
      </c>
      <c r="F146" s="73" t="str">
        <f aca="false">IF($W146="","",INDEX(发票统计!F$4:F$1003,$W146)&amp;"")</f>
        <v/>
      </c>
      <c r="G146" s="68" t="str">
        <f aca="false">IF($W146="","",IF(INDEX(发票统计!G$4:G$1003,$W146)="","",INDEX(发票统计!G$4:G$1003,$W146)))</f>
        <v/>
      </c>
      <c r="H146" s="56" t="str">
        <f aca="false">IF($W146="","",N(INDEX(发票统计!H$4:H$1003,$W146)))</f>
        <v/>
      </c>
      <c r="I146" s="56" t="str">
        <f aca="false">IF($W146="","",N(INDEX(发票统计!I$4:I$1003,$W146)))</f>
        <v/>
      </c>
      <c r="J146" s="56" t="str">
        <f aca="false">IF($W146="","",N(INDEX(发票统计!J$4:J$1003,$W146)))</f>
        <v/>
      </c>
      <c r="K146" s="56" t="str">
        <f aca="false">IF($W146="","",N(INDEX(发票统计!K$4:K$1003,$W146)))</f>
        <v/>
      </c>
      <c r="L146" s="56" t="str">
        <f aca="false">IF($W146="","",SUM(J$4:J146)-SUM(K$4:K146))</f>
        <v/>
      </c>
      <c r="M146" s="56" t="str">
        <f aca="false">IF($W146="","",N(INDEX(发票统计!M$4:M$1003,$W146)))</f>
        <v/>
      </c>
      <c r="N146" s="56" t="str">
        <f aca="false">IF($W146="","",N(INDEX(发票统计!N$4:N$1003,$W146)))</f>
        <v/>
      </c>
      <c r="O146" s="56" t="str">
        <f aca="false">IF($W146="","",N(INDEX(发票统计!O$4:O$1003,$W146)))</f>
        <v/>
      </c>
      <c r="P146" s="56" t="str">
        <f aca="false">IF($W146="","",SUM(M$4:M146)-SUM(N$4:N146)-SUM(O$4:O146))</f>
        <v/>
      </c>
      <c r="Q146" s="56" t="str">
        <f aca="false">IF($W146="","",N(INDEX(发票统计!Q$4:Q$1003,$W146)))</f>
        <v/>
      </c>
      <c r="R146" s="56" t="str">
        <f aca="false">IF($W146="","",N(INDEX(发票统计!R$4:R$1003,$W146)))</f>
        <v/>
      </c>
      <c r="S146" s="56" t="str">
        <f aca="false">IF($W146="","",N(INDEX(发票统计!S$4:S$1003,$W146)))</f>
        <v/>
      </c>
      <c r="T146" s="56" t="str">
        <f aca="false">IF($W146="","",SUM(Q$4:Q146)-SUM(R$4:R146)-SUM(S$4:S146))</f>
        <v/>
      </c>
      <c r="U146" s="56" t="str">
        <f aca="false">IF($W146="","",INDEX(发票统计!U$4:U$1003,$W146)&amp;"")</f>
        <v/>
      </c>
      <c r="W146" s="1" t="str">
        <f aca="false">IF($V$3="","",IFERROR(MATCH($V$3&amp;"#"&amp;ROWS(W$4:W146),发票统计!$W$4:$W$1003,0),""))</f>
        <v/>
      </c>
    </row>
    <row r="147" customFormat="false" ht="16.5" hidden="false" customHeight="false" outlineLevel="0" collapsed="false">
      <c r="A147" s="56" t="str">
        <f aca="false">IF($W147="","",INDEX(发票统计!A$4:A$1003,$W147)&amp;"")</f>
        <v/>
      </c>
      <c r="B147" s="56" t="str">
        <f aca="false">IF($W147="","",INDEX(发票统计!B$4:B$1003,$W147)&amp;"")</f>
        <v/>
      </c>
      <c r="C147" s="56" t="str">
        <f aca="false">IF($W147="","",INDEX(发票统计!C$4:C$1003,$W147)&amp;"")</f>
        <v/>
      </c>
      <c r="D147" s="56" t="str">
        <f aca="false">IF($W147="","",INDEX(发票统计!D$4:D$1003,$W147)&amp;"")</f>
        <v/>
      </c>
      <c r="E147" s="56" t="str">
        <f aca="false">IF($W147="","",INDEX(发票统计!E$4:E$1003,$W147)&amp;"")</f>
        <v/>
      </c>
      <c r="F147" s="73" t="str">
        <f aca="false">IF($W147="","",INDEX(发票统计!F$4:F$1003,$W147)&amp;"")</f>
        <v/>
      </c>
      <c r="G147" s="68" t="str">
        <f aca="false">IF($W147="","",IF(INDEX(发票统计!G$4:G$1003,$W147)="","",INDEX(发票统计!G$4:G$1003,$W147)))</f>
        <v/>
      </c>
      <c r="H147" s="56" t="str">
        <f aca="false">IF($W147="","",N(INDEX(发票统计!H$4:H$1003,$W147)))</f>
        <v/>
      </c>
      <c r="I147" s="56" t="str">
        <f aca="false">IF($W147="","",N(INDEX(发票统计!I$4:I$1003,$W147)))</f>
        <v/>
      </c>
      <c r="J147" s="56" t="str">
        <f aca="false">IF($W147="","",N(INDEX(发票统计!J$4:J$1003,$W147)))</f>
        <v/>
      </c>
      <c r="K147" s="56" t="str">
        <f aca="false">IF($W147="","",N(INDEX(发票统计!K$4:K$1003,$W147)))</f>
        <v/>
      </c>
      <c r="L147" s="56" t="str">
        <f aca="false">IF($W147="","",SUM(J$4:J147)-SUM(K$4:K147))</f>
        <v/>
      </c>
      <c r="M147" s="56" t="str">
        <f aca="false">IF($W147="","",N(INDEX(发票统计!M$4:M$1003,$W147)))</f>
        <v/>
      </c>
      <c r="N147" s="56" t="str">
        <f aca="false">IF($W147="","",N(INDEX(发票统计!N$4:N$1003,$W147)))</f>
        <v/>
      </c>
      <c r="O147" s="56" t="str">
        <f aca="false">IF($W147="","",N(INDEX(发票统计!O$4:O$1003,$W147)))</f>
        <v/>
      </c>
      <c r="P147" s="56" t="str">
        <f aca="false">IF($W147="","",SUM(M$4:M147)-SUM(N$4:N147)-SUM(O$4:O147))</f>
        <v/>
      </c>
      <c r="Q147" s="56" t="str">
        <f aca="false">IF($W147="","",N(INDEX(发票统计!Q$4:Q$1003,$W147)))</f>
        <v/>
      </c>
      <c r="R147" s="56" t="str">
        <f aca="false">IF($W147="","",N(INDEX(发票统计!R$4:R$1003,$W147)))</f>
        <v/>
      </c>
      <c r="S147" s="56" t="str">
        <f aca="false">IF($W147="","",N(INDEX(发票统计!S$4:S$1003,$W147)))</f>
        <v/>
      </c>
      <c r="T147" s="56" t="str">
        <f aca="false">IF($W147="","",SUM(Q$4:Q147)-SUM(R$4:R147)-SUM(S$4:S147))</f>
        <v/>
      </c>
      <c r="U147" s="56" t="str">
        <f aca="false">IF($W147="","",INDEX(发票统计!U$4:U$1003,$W147)&amp;"")</f>
        <v/>
      </c>
      <c r="W147" s="1" t="str">
        <f aca="false">IF($V$3="","",IFERROR(MATCH($V$3&amp;"#"&amp;ROWS(W$4:W147),发票统计!$W$4:$W$1003,0),""))</f>
        <v/>
      </c>
    </row>
    <row r="148" customFormat="false" ht="16.5" hidden="false" customHeight="false" outlineLevel="0" collapsed="false">
      <c r="A148" s="56" t="str">
        <f aca="false">IF($W148="","",INDEX(发票统计!A$4:A$1003,$W148)&amp;"")</f>
        <v/>
      </c>
      <c r="B148" s="56" t="str">
        <f aca="false">IF($W148="","",INDEX(发票统计!B$4:B$1003,$W148)&amp;"")</f>
        <v/>
      </c>
      <c r="C148" s="56" t="str">
        <f aca="false">IF($W148="","",INDEX(发票统计!C$4:C$1003,$W148)&amp;"")</f>
        <v/>
      </c>
      <c r="D148" s="56" t="str">
        <f aca="false">IF($W148="","",INDEX(发票统计!D$4:D$1003,$W148)&amp;"")</f>
        <v/>
      </c>
      <c r="E148" s="56" t="str">
        <f aca="false">IF($W148="","",INDEX(发票统计!E$4:E$1003,$W148)&amp;"")</f>
        <v/>
      </c>
      <c r="F148" s="73" t="str">
        <f aca="false">IF($W148="","",INDEX(发票统计!F$4:F$1003,$W148)&amp;"")</f>
        <v/>
      </c>
      <c r="G148" s="68" t="str">
        <f aca="false">IF($W148="","",IF(INDEX(发票统计!G$4:G$1003,$W148)="","",INDEX(发票统计!G$4:G$1003,$W148)))</f>
        <v/>
      </c>
      <c r="H148" s="56" t="str">
        <f aca="false">IF($W148="","",N(INDEX(发票统计!H$4:H$1003,$W148)))</f>
        <v/>
      </c>
      <c r="I148" s="56" t="str">
        <f aca="false">IF($W148="","",N(INDEX(发票统计!I$4:I$1003,$W148)))</f>
        <v/>
      </c>
      <c r="J148" s="56" t="str">
        <f aca="false">IF($W148="","",N(INDEX(发票统计!J$4:J$1003,$W148)))</f>
        <v/>
      </c>
      <c r="K148" s="56" t="str">
        <f aca="false">IF($W148="","",N(INDEX(发票统计!K$4:K$1003,$W148)))</f>
        <v/>
      </c>
      <c r="L148" s="56" t="str">
        <f aca="false">IF($W148="","",SUM(J$4:J148)-SUM(K$4:K148))</f>
        <v/>
      </c>
      <c r="M148" s="56" t="str">
        <f aca="false">IF($W148="","",N(INDEX(发票统计!M$4:M$1003,$W148)))</f>
        <v/>
      </c>
      <c r="N148" s="56" t="str">
        <f aca="false">IF($W148="","",N(INDEX(发票统计!N$4:N$1003,$W148)))</f>
        <v/>
      </c>
      <c r="O148" s="56" t="str">
        <f aca="false">IF($W148="","",N(INDEX(发票统计!O$4:O$1003,$W148)))</f>
        <v/>
      </c>
      <c r="P148" s="56" t="str">
        <f aca="false">IF($W148="","",SUM(M$4:M148)-SUM(N$4:N148)-SUM(O$4:O148))</f>
        <v/>
      </c>
      <c r="Q148" s="56" t="str">
        <f aca="false">IF($W148="","",N(INDEX(发票统计!Q$4:Q$1003,$W148)))</f>
        <v/>
      </c>
      <c r="R148" s="56" t="str">
        <f aca="false">IF($W148="","",N(INDEX(发票统计!R$4:R$1003,$W148)))</f>
        <v/>
      </c>
      <c r="S148" s="56" t="str">
        <f aca="false">IF($W148="","",N(INDEX(发票统计!S$4:S$1003,$W148)))</f>
        <v/>
      </c>
      <c r="T148" s="56" t="str">
        <f aca="false">IF($W148="","",SUM(Q$4:Q148)-SUM(R$4:R148)-SUM(S$4:S148))</f>
        <v/>
      </c>
      <c r="U148" s="56" t="str">
        <f aca="false">IF($W148="","",INDEX(发票统计!U$4:U$1003,$W148)&amp;"")</f>
        <v/>
      </c>
      <c r="W148" s="1" t="str">
        <f aca="false">IF($V$3="","",IFERROR(MATCH($V$3&amp;"#"&amp;ROWS(W$4:W148),发票统计!$W$4:$W$1003,0),""))</f>
        <v/>
      </c>
    </row>
    <row r="149" customFormat="false" ht="16.5" hidden="false" customHeight="false" outlineLevel="0" collapsed="false">
      <c r="A149" s="56" t="str">
        <f aca="false">IF($W149="","",INDEX(发票统计!A$4:A$1003,$W149)&amp;"")</f>
        <v/>
      </c>
      <c r="B149" s="56" t="str">
        <f aca="false">IF($W149="","",INDEX(发票统计!B$4:B$1003,$W149)&amp;"")</f>
        <v/>
      </c>
      <c r="C149" s="56" t="str">
        <f aca="false">IF($W149="","",INDEX(发票统计!C$4:C$1003,$W149)&amp;"")</f>
        <v/>
      </c>
      <c r="D149" s="56" t="str">
        <f aca="false">IF($W149="","",INDEX(发票统计!D$4:D$1003,$W149)&amp;"")</f>
        <v/>
      </c>
      <c r="E149" s="56" t="str">
        <f aca="false">IF($W149="","",INDEX(发票统计!E$4:E$1003,$W149)&amp;"")</f>
        <v/>
      </c>
      <c r="F149" s="73" t="str">
        <f aca="false">IF($W149="","",INDEX(发票统计!F$4:F$1003,$W149)&amp;"")</f>
        <v/>
      </c>
      <c r="G149" s="68" t="str">
        <f aca="false">IF($W149="","",IF(INDEX(发票统计!G$4:G$1003,$W149)="","",INDEX(发票统计!G$4:G$1003,$W149)))</f>
        <v/>
      </c>
      <c r="H149" s="56" t="str">
        <f aca="false">IF($W149="","",N(INDEX(发票统计!H$4:H$1003,$W149)))</f>
        <v/>
      </c>
      <c r="I149" s="56" t="str">
        <f aca="false">IF($W149="","",N(INDEX(发票统计!I$4:I$1003,$W149)))</f>
        <v/>
      </c>
      <c r="J149" s="56" t="str">
        <f aca="false">IF($W149="","",N(INDEX(发票统计!J$4:J$1003,$W149)))</f>
        <v/>
      </c>
      <c r="K149" s="56" t="str">
        <f aca="false">IF($W149="","",N(INDEX(发票统计!K$4:K$1003,$W149)))</f>
        <v/>
      </c>
      <c r="L149" s="56" t="str">
        <f aca="false">IF($W149="","",SUM(J$4:J149)-SUM(K$4:K149))</f>
        <v/>
      </c>
      <c r="M149" s="56" t="str">
        <f aca="false">IF($W149="","",N(INDEX(发票统计!M$4:M$1003,$W149)))</f>
        <v/>
      </c>
      <c r="N149" s="56" t="str">
        <f aca="false">IF($W149="","",N(INDEX(发票统计!N$4:N$1003,$W149)))</f>
        <v/>
      </c>
      <c r="O149" s="56" t="str">
        <f aca="false">IF($W149="","",N(INDEX(发票统计!O$4:O$1003,$W149)))</f>
        <v/>
      </c>
      <c r="P149" s="56" t="str">
        <f aca="false">IF($W149="","",SUM(M$4:M149)-SUM(N$4:N149)-SUM(O$4:O149))</f>
        <v/>
      </c>
      <c r="Q149" s="56" t="str">
        <f aca="false">IF($W149="","",N(INDEX(发票统计!Q$4:Q$1003,$W149)))</f>
        <v/>
      </c>
      <c r="R149" s="56" t="str">
        <f aca="false">IF($W149="","",N(INDEX(发票统计!R$4:R$1003,$W149)))</f>
        <v/>
      </c>
      <c r="S149" s="56" t="str">
        <f aca="false">IF($W149="","",N(INDEX(发票统计!S$4:S$1003,$W149)))</f>
        <v/>
      </c>
      <c r="T149" s="56" t="str">
        <f aca="false">IF($W149="","",SUM(Q$4:Q149)-SUM(R$4:R149)-SUM(S$4:S149))</f>
        <v/>
      </c>
      <c r="U149" s="56" t="str">
        <f aca="false">IF($W149="","",INDEX(发票统计!U$4:U$1003,$W149)&amp;"")</f>
        <v/>
      </c>
      <c r="W149" s="1" t="str">
        <f aca="false">IF($V$3="","",IFERROR(MATCH($V$3&amp;"#"&amp;ROWS(W$4:W149),发票统计!$W$4:$W$1003,0),""))</f>
        <v/>
      </c>
    </row>
    <row r="150" customFormat="false" ht="16.5" hidden="false" customHeight="false" outlineLevel="0" collapsed="false">
      <c r="A150" s="56" t="str">
        <f aca="false">IF($W150="","",INDEX(发票统计!A$4:A$1003,$W150)&amp;"")</f>
        <v/>
      </c>
      <c r="B150" s="56" t="str">
        <f aca="false">IF($W150="","",INDEX(发票统计!B$4:B$1003,$W150)&amp;"")</f>
        <v/>
      </c>
      <c r="C150" s="56" t="str">
        <f aca="false">IF($W150="","",INDEX(发票统计!C$4:C$1003,$W150)&amp;"")</f>
        <v/>
      </c>
      <c r="D150" s="56" t="str">
        <f aca="false">IF($W150="","",INDEX(发票统计!D$4:D$1003,$W150)&amp;"")</f>
        <v/>
      </c>
      <c r="E150" s="56" t="str">
        <f aca="false">IF($W150="","",INDEX(发票统计!E$4:E$1003,$W150)&amp;"")</f>
        <v/>
      </c>
      <c r="F150" s="73" t="str">
        <f aca="false">IF($W150="","",INDEX(发票统计!F$4:F$1003,$W150)&amp;"")</f>
        <v/>
      </c>
      <c r="G150" s="68" t="str">
        <f aca="false">IF($W150="","",IF(INDEX(发票统计!G$4:G$1003,$W150)="","",INDEX(发票统计!G$4:G$1003,$W150)))</f>
        <v/>
      </c>
      <c r="H150" s="56" t="str">
        <f aca="false">IF($W150="","",N(INDEX(发票统计!H$4:H$1003,$W150)))</f>
        <v/>
      </c>
      <c r="I150" s="56" t="str">
        <f aca="false">IF($W150="","",N(INDEX(发票统计!I$4:I$1003,$W150)))</f>
        <v/>
      </c>
      <c r="J150" s="56" t="str">
        <f aca="false">IF($W150="","",N(INDEX(发票统计!J$4:J$1003,$W150)))</f>
        <v/>
      </c>
      <c r="K150" s="56" t="str">
        <f aca="false">IF($W150="","",N(INDEX(发票统计!K$4:K$1003,$W150)))</f>
        <v/>
      </c>
      <c r="L150" s="56" t="str">
        <f aca="false">IF($W150="","",SUM(J$4:J150)-SUM(K$4:K150))</f>
        <v/>
      </c>
      <c r="M150" s="56" t="str">
        <f aca="false">IF($W150="","",N(INDEX(发票统计!M$4:M$1003,$W150)))</f>
        <v/>
      </c>
      <c r="N150" s="56" t="str">
        <f aca="false">IF($W150="","",N(INDEX(发票统计!N$4:N$1003,$W150)))</f>
        <v/>
      </c>
      <c r="O150" s="56" t="str">
        <f aca="false">IF($W150="","",N(INDEX(发票统计!O$4:O$1003,$W150)))</f>
        <v/>
      </c>
      <c r="P150" s="56" t="str">
        <f aca="false">IF($W150="","",SUM(M$4:M150)-SUM(N$4:N150)-SUM(O$4:O150))</f>
        <v/>
      </c>
      <c r="Q150" s="56" t="str">
        <f aca="false">IF($W150="","",N(INDEX(发票统计!Q$4:Q$1003,$W150)))</f>
        <v/>
      </c>
      <c r="R150" s="56" t="str">
        <f aca="false">IF($W150="","",N(INDEX(发票统计!R$4:R$1003,$W150)))</f>
        <v/>
      </c>
      <c r="S150" s="56" t="str">
        <f aca="false">IF($W150="","",N(INDEX(发票统计!S$4:S$1003,$W150)))</f>
        <v/>
      </c>
      <c r="T150" s="56" t="str">
        <f aca="false">IF($W150="","",SUM(Q$4:Q150)-SUM(R$4:R150)-SUM(S$4:S150))</f>
        <v/>
      </c>
      <c r="U150" s="56" t="str">
        <f aca="false">IF($W150="","",INDEX(发票统计!U$4:U$1003,$W150)&amp;"")</f>
        <v/>
      </c>
      <c r="W150" s="1" t="str">
        <f aca="false">IF($V$3="","",IFERROR(MATCH($V$3&amp;"#"&amp;ROWS(W$4:W150),发票统计!$W$4:$W$1003,0),""))</f>
        <v/>
      </c>
    </row>
    <row r="151" customFormat="false" ht="16.5" hidden="false" customHeight="false" outlineLevel="0" collapsed="false">
      <c r="A151" s="56" t="str">
        <f aca="false">IF($W151="","",INDEX(发票统计!A$4:A$1003,$W151)&amp;"")</f>
        <v/>
      </c>
      <c r="B151" s="56" t="str">
        <f aca="false">IF($W151="","",INDEX(发票统计!B$4:B$1003,$W151)&amp;"")</f>
        <v/>
      </c>
      <c r="C151" s="56" t="str">
        <f aca="false">IF($W151="","",INDEX(发票统计!C$4:C$1003,$W151)&amp;"")</f>
        <v/>
      </c>
      <c r="D151" s="56" t="str">
        <f aca="false">IF($W151="","",INDEX(发票统计!D$4:D$1003,$W151)&amp;"")</f>
        <v/>
      </c>
      <c r="E151" s="56" t="str">
        <f aca="false">IF($W151="","",INDEX(发票统计!E$4:E$1003,$W151)&amp;"")</f>
        <v/>
      </c>
      <c r="F151" s="73" t="str">
        <f aca="false">IF($W151="","",INDEX(发票统计!F$4:F$1003,$W151)&amp;"")</f>
        <v/>
      </c>
      <c r="G151" s="68" t="str">
        <f aca="false">IF($W151="","",IF(INDEX(发票统计!G$4:G$1003,$W151)="","",INDEX(发票统计!G$4:G$1003,$W151)))</f>
        <v/>
      </c>
      <c r="H151" s="56" t="str">
        <f aca="false">IF($W151="","",N(INDEX(发票统计!H$4:H$1003,$W151)))</f>
        <v/>
      </c>
      <c r="I151" s="56" t="str">
        <f aca="false">IF($W151="","",N(INDEX(发票统计!I$4:I$1003,$W151)))</f>
        <v/>
      </c>
      <c r="J151" s="56" t="str">
        <f aca="false">IF($W151="","",N(INDEX(发票统计!J$4:J$1003,$W151)))</f>
        <v/>
      </c>
      <c r="K151" s="56" t="str">
        <f aca="false">IF($W151="","",N(INDEX(发票统计!K$4:K$1003,$W151)))</f>
        <v/>
      </c>
      <c r="L151" s="56" t="str">
        <f aca="false">IF($W151="","",SUM(J$4:J151)-SUM(K$4:K151))</f>
        <v/>
      </c>
      <c r="M151" s="56" t="str">
        <f aca="false">IF($W151="","",N(INDEX(发票统计!M$4:M$1003,$W151)))</f>
        <v/>
      </c>
      <c r="N151" s="56" t="str">
        <f aca="false">IF($W151="","",N(INDEX(发票统计!N$4:N$1003,$W151)))</f>
        <v/>
      </c>
      <c r="O151" s="56" t="str">
        <f aca="false">IF($W151="","",N(INDEX(发票统计!O$4:O$1003,$W151)))</f>
        <v/>
      </c>
      <c r="P151" s="56" t="str">
        <f aca="false">IF($W151="","",SUM(M$4:M151)-SUM(N$4:N151)-SUM(O$4:O151))</f>
        <v/>
      </c>
      <c r="Q151" s="56" t="str">
        <f aca="false">IF($W151="","",N(INDEX(发票统计!Q$4:Q$1003,$W151)))</f>
        <v/>
      </c>
      <c r="R151" s="56" t="str">
        <f aca="false">IF($W151="","",N(INDEX(发票统计!R$4:R$1003,$W151)))</f>
        <v/>
      </c>
      <c r="S151" s="56" t="str">
        <f aca="false">IF($W151="","",N(INDEX(发票统计!S$4:S$1003,$W151)))</f>
        <v/>
      </c>
      <c r="T151" s="56" t="str">
        <f aca="false">IF($W151="","",SUM(Q$4:Q151)-SUM(R$4:R151)-SUM(S$4:S151))</f>
        <v/>
      </c>
      <c r="U151" s="56" t="str">
        <f aca="false">IF($W151="","",INDEX(发票统计!U$4:U$1003,$W151)&amp;"")</f>
        <v/>
      </c>
      <c r="W151" s="1" t="str">
        <f aca="false">IF($V$3="","",IFERROR(MATCH($V$3&amp;"#"&amp;ROWS(W$4:W151),发票统计!$W$4:$W$1003,0),""))</f>
        <v/>
      </c>
    </row>
    <row r="152" customFormat="false" ht="16.5" hidden="false" customHeight="false" outlineLevel="0" collapsed="false">
      <c r="A152" s="56" t="str">
        <f aca="false">IF($W152="","",INDEX(发票统计!A$4:A$1003,$W152)&amp;"")</f>
        <v/>
      </c>
      <c r="B152" s="56" t="str">
        <f aca="false">IF($W152="","",INDEX(发票统计!B$4:B$1003,$W152)&amp;"")</f>
        <v/>
      </c>
      <c r="C152" s="56" t="str">
        <f aca="false">IF($W152="","",INDEX(发票统计!C$4:C$1003,$W152)&amp;"")</f>
        <v/>
      </c>
      <c r="D152" s="56" t="str">
        <f aca="false">IF($W152="","",INDEX(发票统计!D$4:D$1003,$W152)&amp;"")</f>
        <v/>
      </c>
      <c r="E152" s="56" t="str">
        <f aca="false">IF($W152="","",INDEX(发票统计!E$4:E$1003,$W152)&amp;"")</f>
        <v/>
      </c>
      <c r="F152" s="73" t="str">
        <f aca="false">IF($W152="","",INDEX(发票统计!F$4:F$1003,$W152)&amp;"")</f>
        <v/>
      </c>
      <c r="G152" s="68" t="str">
        <f aca="false">IF($W152="","",IF(INDEX(发票统计!G$4:G$1003,$W152)="","",INDEX(发票统计!G$4:G$1003,$W152)))</f>
        <v/>
      </c>
      <c r="H152" s="56" t="str">
        <f aca="false">IF($W152="","",N(INDEX(发票统计!H$4:H$1003,$W152)))</f>
        <v/>
      </c>
      <c r="I152" s="56" t="str">
        <f aca="false">IF($W152="","",N(INDEX(发票统计!I$4:I$1003,$W152)))</f>
        <v/>
      </c>
      <c r="J152" s="56" t="str">
        <f aca="false">IF($W152="","",N(INDEX(发票统计!J$4:J$1003,$W152)))</f>
        <v/>
      </c>
      <c r="K152" s="56" t="str">
        <f aca="false">IF($W152="","",N(INDEX(发票统计!K$4:K$1003,$W152)))</f>
        <v/>
      </c>
      <c r="L152" s="56" t="str">
        <f aca="false">IF($W152="","",SUM(J$4:J152)-SUM(K$4:K152))</f>
        <v/>
      </c>
      <c r="M152" s="56" t="str">
        <f aca="false">IF($W152="","",N(INDEX(发票统计!M$4:M$1003,$W152)))</f>
        <v/>
      </c>
      <c r="N152" s="56" t="str">
        <f aca="false">IF($W152="","",N(INDEX(发票统计!N$4:N$1003,$W152)))</f>
        <v/>
      </c>
      <c r="O152" s="56" t="str">
        <f aca="false">IF($W152="","",N(INDEX(发票统计!O$4:O$1003,$W152)))</f>
        <v/>
      </c>
      <c r="P152" s="56" t="str">
        <f aca="false">IF($W152="","",SUM(M$4:M152)-SUM(N$4:N152)-SUM(O$4:O152))</f>
        <v/>
      </c>
      <c r="Q152" s="56" t="str">
        <f aca="false">IF($W152="","",N(INDEX(发票统计!Q$4:Q$1003,$W152)))</f>
        <v/>
      </c>
      <c r="R152" s="56" t="str">
        <f aca="false">IF($W152="","",N(INDEX(发票统计!R$4:R$1003,$W152)))</f>
        <v/>
      </c>
      <c r="S152" s="56" t="str">
        <f aca="false">IF($W152="","",N(INDEX(发票统计!S$4:S$1003,$W152)))</f>
        <v/>
      </c>
      <c r="T152" s="56" t="str">
        <f aca="false">IF($W152="","",SUM(Q$4:Q152)-SUM(R$4:R152)-SUM(S$4:S152))</f>
        <v/>
      </c>
      <c r="U152" s="56" t="str">
        <f aca="false">IF($W152="","",INDEX(发票统计!U$4:U$1003,$W152)&amp;"")</f>
        <v/>
      </c>
      <c r="W152" s="1" t="str">
        <f aca="false">IF($V$3="","",IFERROR(MATCH($V$3&amp;"#"&amp;ROWS(W$4:W152),发票统计!$W$4:$W$1003,0),""))</f>
        <v/>
      </c>
    </row>
    <row r="153" customFormat="false" ht="16.5" hidden="false" customHeight="false" outlineLevel="0" collapsed="false">
      <c r="A153" s="56" t="str">
        <f aca="false">IF($W153="","",INDEX(发票统计!A$4:A$1003,$W153)&amp;"")</f>
        <v/>
      </c>
      <c r="B153" s="56" t="str">
        <f aca="false">IF($W153="","",INDEX(发票统计!B$4:B$1003,$W153)&amp;"")</f>
        <v/>
      </c>
      <c r="C153" s="56" t="str">
        <f aca="false">IF($W153="","",INDEX(发票统计!C$4:C$1003,$W153)&amp;"")</f>
        <v/>
      </c>
      <c r="D153" s="56" t="str">
        <f aca="false">IF($W153="","",INDEX(发票统计!D$4:D$1003,$W153)&amp;"")</f>
        <v/>
      </c>
      <c r="E153" s="56" t="str">
        <f aca="false">IF($W153="","",INDEX(发票统计!E$4:E$1003,$W153)&amp;"")</f>
        <v/>
      </c>
      <c r="F153" s="73" t="str">
        <f aca="false">IF($W153="","",INDEX(发票统计!F$4:F$1003,$W153)&amp;"")</f>
        <v/>
      </c>
      <c r="G153" s="68" t="str">
        <f aca="false">IF($W153="","",IF(INDEX(发票统计!G$4:G$1003,$W153)="","",INDEX(发票统计!G$4:G$1003,$W153)))</f>
        <v/>
      </c>
      <c r="H153" s="56" t="str">
        <f aca="false">IF($W153="","",N(INDEX(发票统计!H$4:H$1003,$W153)))</f>
        <v/>
      </c>
      <c r="I153" s="56" t="str">
        <f aca="false">IF($W153="","",N(INDEX(发票统计!I$4:I$1003,$W153)))</f>
        <v/>
      </c>
      <c r="J153" s="56" t="str">
        <f aca="false">IF($W153="","",N(INDEX(发票统计!J$4:J$1003,$W153)))</f>
        <v/>
      </c>
      <c r="K153" s="56" t="str">
        <f aca="false">IF($W153="","",N(INDEX(发票统计!K$4:K$1003,$W153)))</f>
        <v/>
      </c>
      <c r="L153" s="56" t="str">
        <f aca="false">IF($W153="","",SUM(J$4:J153)-SUM(K$4:K153))</f>
        <v/>
      </c>
      <c r="M153" s="56" t="str">
        <f aca="false">IF($W153="","",N(INDEX(发票统计!M$4:M$1003,$W153)))</f>
        <v/>
      </c>
      <c r="N153" s="56" t="str">
        <f aca="false">IF($W153="","",N(INDEX(发票统计!N$4:N$1003,$W153)))</f>
        <v/>
      </c>
      <c r="O153" s="56" t="str">
        <f aca="false">IF($W153="","",N(INDEX(发票统计!O$4:O$1003,$W153)))</f>
        <v/>
      </c>
      <c r="P153" s="56" t="str">
        <f aca="false">IF($W153="","",SUM(M$4:M153)-SUM(N$4:N153)-SUM(O$4:O153))</f>
        <v/>
      </c>
      <c r="Q153" s="56" t="str">
        <f aca="false">IF($W153="","",N(INDEX(发票统计!Q$4:Q$1003,$W153)))</f>
        <v/>
      </c>
      <c r="R153" s="56" t="str">
        <f aca="false">IF($W153="","",N(INDEX(发票统计!R$4:R$1003,$W153)))</f>
        <v/>
      </c>
      <c r="S153" s="56" t="str">
        <f aca="false">IF($W153="","",N(INDEX(发票统计!S$4:S$1003,$W153)))</f>
        <v/>
      </c>
      <c r="T153" s="56" t="str">
        <f aca="false">IF($W153="","",SUM(Q$4:Q153)-SUM(R$4:R153)-SUM(S$4:S153))</f>
        <v/>
      </c>
      <c r="U153" s="56" t="str">
        <f aca="false">IF($W153="","",INDEX(发票统计!U$4:U$1003,$W153)&amp;"")</f>
        <v/>
      </c>
      <c r="W153" s="1" t="str">
        <f aca="false">IF($V$3="","",IFERROR(MATCH($V$3&amp;"#"&amp;ROWS(W$4:W153),发票统计!$W$4:$W$1003,0),""))</f>
        <v/>
      </c>
    </row>
    <row r="154" customFormat="false" ht="16.5" hidden="false" customHeight="false" outlineLevel="0" collapsed="false">
      <c r="A154" s="56" t="str">
        <f aca="false">IF($W154="","",INDEX(发票统计!A$4:A$1003,$W154)&amp;"")</f>
        <v/>
      </c>
      <c r="B154" s="56" t="str">
        <f aca="false">IF($W154="","",INDEX(发票统计!B$4:B$1003,$W154)&amp;"")</f>
        <v/>
      </c>
      <c r="C154" s="56" t="str">
        <f aca="false">IF($W154="","",INDEX(发票统计!C$4:C$1003,$W154)&amp;"")</f>
        <v/>
      </c>
      <c r="D154" s="56" t="str">
        <f aca="false">IF($W154="","",INDEX(发票统计!D$4:D$1003,$W154)&amp;"")</f>
        <v/>
      </c>
      <c r="E154" s="56" t="str">
        <f aca="false">IF($W154="","",INDEX(发票统计!E$4:E$1003,$W154)&amp;"")</f>
        <v/>
      </c>
      <c r="F154" s="73" t="str">
        <f aca="false">IF($W154="","",INDEX(发票统计!F$4:F$1003,$W154)&amp;"")</f>
        <v/>
      </c>
      <c r="G154" s="68" t="str">
        <f aca="false">IF($W154="","",IF(INDEX(发票统计!G$4:G$1003,$W154)="","",INDEX(发票统计!G$4:G$1003,$W154)))</f>
        <v/>
      </c>
      <c r="H154" s="56" t="str">
        <f aca="false">IF($W154="","",N(INDEX(发票统计!H$4:H$1003,$W154)))</f>
        <v/>
      </c>
      <c r="I154" s="56" t="str">
        <f aca="false">IF($W154="","",N(INDEX(发票统计!I$4:I$1003,$W154)))</f>
        <v/>
      </c>
      <c r="J154" s="56" t="str">
        <f aca="false">IF($W154="","",N(INDEX(发票统计!J$4:J$1003,$W154)))</f>
        <v/>
      </c>
      <c r="K154" s="56" t="str">
        <f aca="false">IF($W154="","",N(INDEX(发票统计!K$4:K$1003,$W154)))</f>
        <v/>
      </c>
      <c r="L154" s="56" t="str">
        <f aca="false">IF($W154="","",SUM(J$4:J154)-SUM(K$4:K154))</f>
        <v/>
      </c>
      <c r="M154" s="56" t="str">
        <f aca="false">IF($W154="","",N(INDEX(发票统计!M$4:M$1003,$W154)))</f>
        <v/>
      </c>
      <c r="N154" s="56" t="str">
        <f aca="false">IF($W154="","",N(INDEX(发票统计!N$4:N$1003,$W154)))</f>
        <v/>
      </c>
      <c r="O154" s="56" t="str">
        <f aca="false">IF($W154="","",N(INDEX(发票统计!O$4:O$1003,$W154)))</f>
        <v/>
      </c>
      <c r="P154" s="56" t="str">
        <f aca="false">IF($W154="","",SUM(M$4:M154)-SUM(N$4:N154)-SUM(O$4:O154))</f>
        <v/>
      </c>
      <c r="Q154" s="56" t="str">
        <f aca="false">IF($W154="","",N(INDEX(发票统计!Q$4:Q$1003,$W154)))</f>
        <v/>
      </c>
      <c r="R154" s="56" t="str">
        <f aca="false">IF($W154="","",N(INDEX(发票统计!R$4:R$1003,$W154)))</f>
        <v/>
      </c>
      <c r="S154" s="56" t="str">
        <f aca="false">IF($W154="","",N(INDEX(发票统计!S$4:S$1003,$W154)))</f>
        <v/>
      </c>
      <c r="T154" s="56" t="str">
        <f aca="false">IF($W154="","",SUM(Q$4:Q154)-SUM(R$4:R154)-SUM(S$4:S154))</f>
        <v/>
      </c>
      <c r="U154" s="56" t="str">
        <f aca="false">IF($W154="","",INDEX(发票统计!U$4:U$1003,$W154)&amp;"")</f>
        <v/>
      </c>
      <c r="W154" s="1" t="str">
        <f aca="false">IF($V$3="","",IFERROR(MATCH($V$3&amp;"#"&amp;ROWS(W$4:W154),发票统计!$W$4:$W$1003,0),""))</f>
        <v/>
      </c>
    </row>
    <row r="155" customFormat="false" ht="16.5" hidden="false" customHeight="false" outlineLevel="0" collapsed="false">
      <c r="A155" s="56" t="str">
        <f aca="false">IF($W155="","",INDEX(发票统计!A$4:A$1003,$W155)&amp;"")</f>
        <v/>
      </c>
      <c r="B155" s="56" t="str">
        <f aca="false">IF($W155="","",INDEX(发票统计!B$4:B$1003,$W155)&amp;"")</f>
        <v/>
      </c>
      <c r="C155" s="56" t="str">
        <f aca="false">IF($W155="","",INDEX(发票统计!C$4:C$1003,$W155)&amp;"")</f>
        <v/>
      </c>
      <c r="D155" s="56" t="str">
        <f aca="false">IF($W155="","",INDEX(发票统计!D$4:D$1003,$W155)&amp;"")</f>
        <v/>
      </c>
      <c r="E155" s="56" t="str">
        <f aca="false">IF($W155="","",INDEX(发票统计!E$4:E$1003,$W155)&amp;"")</f>
        <v/>
      </c>
      <c r="F155" s="73" t="str">
        <f aca="false">IF($W155="","",INDEX(发票统计!F$4:F$1003,$W155)&amp;"")</f>
        <v/>
      </c>
      <c r="G155" s="68" t="str">
        <f aca="false">IF($W155="","",IF(INDEX(发票统计!G$4:G$1003,$W155)="","",INDEX(发票统计!G$4:G$1003,$W155)))</f>
        <v/>
      </c>
      <c r="H155" s="56" t="str">
        <f aca="false">IF($W155="","",N(INDEX(发票统计!H$4:H$1003,$W155)))</f>
        <v/>
      </c>
      <c r="I155" s="56" t="str">
        <f aca="false">IF($W155="","",N(INDEX(发票统计!I$4:I$1003,$W155)))</f>
        <v/>
      </c>
      <c r="J155" s="56" t="str">
        <f aca="false">IF($W155="","",N(INDEX(发票统计!J$4:J$1003,$W155)))</f>
        <v/>
      </c>
      <c r="K155" s="56" t="str">
        <f aca="false">IF($W155="","",N(INDEX(发票统计!K$4:K$1003,$W155)))</f>
        <v/>
      </c>
      <c r="L155" s="56" t="str">
        <f aca="false">IF($W155="","",SUM(J$4:J155)-SUM(K$4:K155))</f>
        <v/>
      </c>
      <c r="M155" s="56" t="str">
        <f aca="false">IF($W155="","",N(INDEX(发票统计!M$4:M$1003,$W155)))</f>
        <v/>
      </c>
      <c r="N155" s="56" t="str">
        <f aca="false">IF($W155="","",N(INDEX(发票统计!N$4:N$1003,$W155)))</f>
        <v/>
      </c>
      <c r="O155" s="56" t="str">
        <f aca="false">IF($W155="","",N(INDEX(发票统计!O$4:O$1003,$W155)))</f>
        <v/>
      </c>
      <c r="P155" s="56" t="str">
        <f aca="false">IF($W155="","",SUM(M$4:M155)-SUM(N$4:N155)-SUM(O$4:O155))</f>
        <v/>
      </c>
      <c r="Q155" s="56" t="str">
        <f aca="false">IF($W155="","",N(INDEX(发票统计!Q$4:Q$1003,$W155)))</f>
        <v/>
      </c>
      <c r="R155" s="56" t="str">
        <f aca="false">IF($W155="","",N(INDEX(发票统计!R$4:R$1003,$W155)))</f>
        <v/>
      </c>
      <c r="S155" s="56" t="str">
        <f aca="false">IF($W155="","",N(INDEX(发票统计!S$4:S$1003,$W155)))</f>
        <v/>
      </c>
      <c r="T155" s="56" t="str">
        <f aca="false">IF($W155="","",SUM(Q$4:Q155)-SUM(R$4:R155)-SUM(S$4:S155))</f>
        <v/>
      </c>
      <c r="U155" s="56" t="str">
        <f aca="false">IF($W155="","",INDEX(发票统计!U$4:U$1003,$W155)&amp;"")</f>
        <v/>
      </c>
      <c r="W155" s="1" t="str">
        <f aca="false">IF($V$3="","",IFERROR(MATCH($V$3&amp;"#"&amp;ROWS(W$4:W155),发票统计!$W$4:$W$1003,0),""))</f>
        <v/>
      </c>
    </row>
    <row r="156" customFormat="false" ht="16.5" hidden="false" customHeight="false" outlineLevel="0" collapsed="false">
      <c r="A156" s="56" t="str">
        <f aca="false">IF($W156="","",INDEX(发票统计!A$4:A$1003,$W156)&amp;"")</f>
        <v/>
      </c>
      <c r="B156" s="56" t="str">
        <f aca="false">IF($W156="","",INDEX(发票统计!B$4:B$1003,$W156)&amp;"")</f>
        <v/>
      </c>
      <c r="C156" s="56" t="str">
        <f aca="false">IF($W156="","",INDEX(发票统计!C$4:C$1003,$W156)&amp;"")</f>
        <v/>
      </c>
      <c r="D156" s="56" t="str">
        <f aca="false">IF($W156="","",INDEX(发票统计!D$4:D$1003,$W156)&amp;"")</f>
        <v/>
      </c>
      <c r="E156" s="56" t="str">
        <f aca="false">IF($W156="","",INDEX(发票统计!E$4:E$1003,$W156)&amp;"")</f>
        <v/>
      </c>
      <c r="F156" s="73" t="str">
        <f aca="false">IF($W156="","",INDEX(发票统计!F$4:F$1003,$W156)&amp;"")</f>
        <v/>
      </c>
      <c r="G156" s="68" t="str">
        <f aca="false">IF($W156="","",IF(INDEX(发票统计!G$4:G$1003,$W156)="","",INDEX(发票统计!G$4:G$1003,$W156)))</f>
        <v/>
      </c>
      <c r="H156" s="56" t="str">
        <f aca="false">IF($W156="","",N(INDEX(发票统计!H$4:H$1003,$W156)))</f>
        <v/>
      </c>
      <c r="I156" s="56" t="str">
        <f aca="false">IF($W156="","",N(INDEX(发票统计!I$4:I$1003,$W156)))</f>
        <v/>
      </c>
      <c r="J156" s="56" t="str">
        <f aca="false">IF($W156="","",N(INDEX(发票统计!J$4:J$1003,$W156)))</f>
        <v/>
      </c>
      <c r="K156" s="56" t="str">
        <f aca="false">IF($W156="","",N(INDEX(发票统计!K$4:K$1003,$W156)))</f>
        <v/>
      </c>
      <c r="L156" s="56" t="str">
        <f aca="false">IF($W156="","",SUM(J$4:J156)-SUM(K$4:K156))</f>
        <v/>
      </c>
      <c r="M156" s="56" t="str">
        <f aca="false">IF($W156="","",N(INDEX(发票统计!M$4:M$1003,$W156)))</f>
        <v/>
      </c>
      <c r="N156" s="56" t="str">
        <f aca="false">IF($W156="","",N(INDEX(发票统计!N$4:N$1003,$W156)))</f>
        <v/>
      </c>
      <c r="O156" s="56" t="str">
        <f aca="false">IF($W156="","",N(INDEX(发票统计!O$4:O$1003,$W156)))</f>
        <v/>
      </c>
      <c r="P156" s="56" t="str">
        <f aca="false">IF($W156="","",SUM(M$4:M156)-SUM(N$4:N156)-SUM(O$4:O156))</f>
        <v/>
      </c>
      <c r="Q156" s="56" t="str">
        <f aca="false">IF($W156="","",N(INDEX(发票统计!Q$4:Q$1003,$W156)))</f>
        <v/>
      </c>
      <c r="R156" s="56" t="str">
        <f aca="false">IF($W156="","",N(INDEX(发票统计!R$4:R$1003,$W156)))</f>
        <v/>
      </c>
      <c r="S156" s="56" t="str">
        <f aca="false">IF($W156="","",N(INDEX(发票统计!S$4:S$1003,$W156)))</f>
        <v/>
      </c>
      <c r="T156" s="56" t="str">
        <f aca="false">IF($W156="","",SUM(Q$4:Q156)-SUM(R$4:R156)-SUM(S$4:S156))</f>
        <v/>
      </c>
      <c r="U156" s="56" t="str">
        <f aca="false">IF($W156="","",INDEX(发票统计!U$4:U$1003,$W156)&amp;"")</f>
        <v/>
      </c>
      <c r="W156" s="1" t="str">
        <f aca="false">IF($V$3="","",IFERROR(MATCH($V$3&amp;"#"&amp;ROWS(W$4:W156),发票统计!$W$4:$W$1003,0),""))</f>
        <v/>
      </c>
    </row>
    <row r="157" customFormat="false" ht="16.5" hidden="false" customHeight="false" outlineLevel="0" collapsed="false">
      <c r="A157" s="56" t="str">
        <f aca="false">IF($W157="","",INDEX(发票统计!A$4:A$1003,$W157)&amp;"")</f>
        <v/>
      </c>
      <c r="B157" s="56" t="str">
        <f aca="false">IF($W157="","",INDEX(发票统计!B$4:B$1003,$W157)&amp;"")</f>
        <v/>
      </c>
      <c r="C157" s="56" t="str">
        <f aca="false">IF($W157="","",INDEX(发票统计!C$4:C$1003,$W157)&amp;"")</f>
        <v/>
      </c>
      <c r="D157" s="56" t="str">
        <f aca="false">IF($W157="","",INDEX(发票统计!D$4:D$1003,$W157)&amp;"")</f>
        <v/>
      </c>
      <c r="E157" s="56" t="str">
        <f aca="false">IF($W157="","",INDEX(发票统计!E$4:E$1003,$W157)&amp;"")</f>
        <v/>
      </c>
      <c r="F157" s="73" t="str">
        <f aca="false">IF($W157="","",INDEX(发票统计!F$4:F$1003,$W157)&amp;"")</f>
        <v/>
      </c>
      <c r="G157" s="68" t="str">
        <f aca="false">IF($W157="","",IF(INDEX(发票统计!G$4:G$1003,$W157)="","",INDEX(发票统计!G$4:G$1003,$W157)))</f>
        <v/>
      </c>
      <c r="H157" s="56" t="str">
        <f aca="false">IF($W157="","",N(INDEX(发票统计!H$4:H$1003,$W157)))</f>
        <v/>
      </c>
      <c r="I157" s="56" t="str">
        <f aca="false">IF($W157="","",N(INDEX(发票统计!I$4:I$1003,$W157)))</f>
        <v/>
      </c>
      <c r="J157" s="56" t="str">
        <f aca="false">IF($W157="","",N(INDEX(发票统计!J$4:J$1003,$W157)))</f>
        <v/>
      </c>
      <c r="K157" s="56" t="str">
        <f aca="false">IF($W157="","",N(INDEX(发票统计!K$4:K$1003,$W157)))</f>
        <v/>
      </c>
      <c r="L157" s="56" t="str">
        <f aca="false">IF($W157="","",SUM(J$4:J157)-SUM(K$4:K157))</f>
        <v/>
      </c>
      <c r="M157" s="56" t="str">
        <f aca="false">IF($W157="","",N(INDEX(发票统计!M$4:M$1003,$W157)))</f>
        <v/>
      </c>
      <c r="N157" s="56" t="str">
        <f aca="false">IF($W157="","",N(INDEX(发票统计!N$4:N$1003,$W157)))</f>
        <v/>
      </c>
      <c r="O157" s="56" t="str">
        <f aca="false">IF($W157="","",N(INDEX(发票统计!O$4:O$1003,$W157)))</f>
        <v/>
      </c>
      <c r="P157" s="56" t="str">
        <f aca="false">IF($W157="","",SUM(M$4:M157)-SUM(N$4:N157)-SUM(O$4:O157))</f>
        <v/>
      </c>
      <c r="Q157" s="56" t="str">
        <f aca="false">IF($W157="","",N(INDEX(发票统计!Q$4:Q$1003,$W157)))</f>
        <v/>
      </c>
      <c r="R157" s="56" t="str">
        <f aca="false">IF($W157="","",N(INDEX(发票统计!R$4:R$1003,$W157)))</f>
        <v/>
      </c>
      <c r="S157" s="56" t="str">
        <f aca="false">IF($W157="","",N(INDEX(发票统计!S$4:S$1003,$W157)))</f>
        <v/>
      </c>
      <c r="T157" s="56" t="str">
        <f aca="false">IF($W157="","",SUM(Q$4:Q157)-SUM(R$4:R157)-SUM(S$4:S157))</f>
        <v/>
      </c>
      <c r="U157" s="56" t="str">
        <f aca="false">IF($W157="","",INDEX(发票统计!U$4:U$1003,$W157)&amp;"")</f>
        <v/>
      </c>
      <c r="W157" s="1" t="str">
        <f aca="false">IF($V$3="","",IFERROR(MATCH($V$3&amp;"#"&amp;ROWS(W$4:W157),发票统计!$W$4:$W$1003,0),""))</f>
        <v/>
      </c>
    </row>
    <row r="158" customFormat="false" ht="16.5" hidden="false" customHeight="false" outlineLevel="0" collapsed="false">
      <c r="A158" s="56" t="str">
        <f aca="false">IF($W158="","",INDEX(发票统计!A$4:A$1003,$W158)&amp;"")</f>
        <v/>
      </c>
      <c r="B158" s="56" t="str">
        <f aca="false">IF($W158="","",INDEX(发票统计!B$4:B$1003,$W158)&amp;"")</f>
        <v/>
      </c>
      <c r="C158" s="56" t="str">
        <f aca="false">IF($W158="","",INDEX(发票统计!C$4:C$1003,$W158)&amp;"")</f>
        <v/>
      </c>
      <c r="D158" s="56" t="str">
        <f aca="false">IF($W158="","",INDEX(发票统计!D$4:D$1003,$W158)&amp;"")</f>
        <v/>
      </c>
      <c r="E158" s="56" t="str">
        <f aca="false">IF($W158="","",INDEX(发票统计!E$4:E$1003,$W158)&amp;"")</f>
        <v/>
      </c>
      <c r="F158" s="73" t="str">
        <f aca="false">IF($W158="","",INDEX(发票统计!F$4:F$1003,$W158)&amp;"")</f>
        <v/>
      </c>
      <c r="G158" s="68" t="str">
        <f aca="false">IF($W158="","",IF(INDEX(发票统计!G$4:G$1003,$W158)="","",INDEX(发票统计!G$4:G$1003,$W158)))</f>
        <v/>
      </c>
      <c r="H158" s="56" t="str">
        <f aca="false">IF($W158="","",N(INDEX(发票统计!H$4:H$1003,$W158)))</f>
        <v/>
      </c>
      <c r="I158" s="56" t="str">
        <f aca="false">IF($W158="","",N(INDEX(发票统计!I$4:I$1003,$W158)))</f>
        <v/>
      </c>
      <c r="J158" s="56" t="str">
        <f aca="false">IF($W158="","",N(INDEX(发票统计!J$4:J$1003,$W158)))</f>
        <v/>
      </c>
      <c r="K158" s="56" t="str">
        <f aca="false">IF($W158="","",N(INDEX(发票统计!K$4:K$1003,$W158)))</f>
        <v/>
      </c>
      <c r="L158" s="56" t="str">
        <f aca="false">IF($W158="","",SUM(J$4:J158)-SUM(K$4:K158))</f>
        <v/>
      </c>
      <c r="M158" s="56" t="str">
        <f aca="false">IF($W158="","",N(INDEX(发票统计!M$4:M$1003,$W158)))</f>
        <v/>
      </c>
      <c r="N158" s="56" t="str">
        <f aca="false">IF($W158="","",N(INDEX(发票统计!N$4:N$1003,$W158)))</f>
        <v/>
      </c>
      <c r="O158" s="56" t="str">
        <f aca="false">IF($W158="","",N(INDEX(发票统计!O$4:O$1003,$W158)))</f>
        <v/>
      </c>
      <c r="P158" s="56" t="str">
        <f aca="false">IF($W158="","",SUM(M$4:M158)-SUM(N$4:N158)-SUM(O$4:O158))</f>
        <v/>
      </c>
      <c r="Q158" s="56" t="str">
        <f aca="false">IF($W158="","",N(INDEX(发票统计!Q$4:Q$1003,$W158)))</f>
        <v/>
      </c>
      <c r="R158" s="56" t="str">
        <f aca="false">IF($W158="","",N(INDEX(发票统计!R$4:R$1003,$W158)))</f>
        <v/>
      </c>
      <c r="S158" s="56" t="str">
        <f aca="false">IF($W158="","",N(INDEX(发票统计!S$4:S$1003,$W158)))</f>
        <v/>
      </c>
      <c r="T158" s="56" t="str">
        <f aca="false">IF($W158="","",SUM(Q$4:Q158)-SUM(R$4:R158)-SUM(S$4:S158))</f>
        <v/>
      </c>
      <c r="U158" s="56" t="str">
        <f aca="false">IF($W158="","",INDEX(发票统计!U$4:U$1003,$W158)&amp;"")</f>
        <v/>
      </c>
      <c r="W158" s="1" t="str">
        <f aca="false">IF($V$3="","",IFERROR(MATCH($V$3&amp;"#"&amp;ROWS(W$4:W158),发票统计!$W$4:$W$1003,0),""))</f>
        <v/>
      </c>
    </row>
    <row r="159" customFormat="false" ht="16.5" hidden="false" customHeight="false" outlineLevel="0" collapsed="false">
      <c r="A159" s="56" t="str">
        <f aca="false">IF($W159="","",INDEX(发票统计!A$4:A$1003,$W159)&amp;"")</f>
        <v/>
      </c>
      <c r="B159" s="56" t="str">
        <f aca="false">IF($W159="","",INDEX(发票统计!B$4:B$1003,$W159)&amp;"")</f>
        <v/>
      </c>
      <c r="C159" s="56" t="str">
        <f aca="false">IF($W159="","",INDEX(发票统计!C$4:C$1003,$W159)&amp;"")</f>
        <v/>
      </c>
      <c r="D159" s="56" t="str">
        <f aca="false">IF($W159="","",INDEX(发票统计!D$4:D$1003,$W159)&amp;"")</f>
        <v/>
      </c>
      <c r="E159" s="56" t="str">
        <f aca="false">IF($W159="","",INDEX(发票统计!E$4:E$1003,$W159)&amp;"")</f>
        <v/>
      </c>
      <c r="F159" s="73" t="str">
        <f aca="false">IF($W159="","",INDEX(发票统计!F$4:F$1003,$W159)&amp;"")</f>
        <v/>
      </c>
      <c r="G159" s="68" t="str">
        <f aca="false">IF($W159="","",IF(INDEX(发票统计!G$4:G$1003,$W159)="","",INDEX(发票统计!G$4:G$1003,$W159)))</f>
        <v/>
      </c>
      <c r="H159" s="56" t="str">
        <f aca="false">IF($W159="","",N(INDEX(发票统计!H$4:H$1003,$W159)))</f>
        <v/>
      </c>
      <c r="I159" s="56" t="str">
        <f aca="false">IF($W159="","",N(INDEX(发票统计!I$4:I$1003,$W159)))</f>
        <v/>
      </c>
      <c r="J159" s="56" t="str">
        <f aca="false">IF($W159="","",N(INDEX(发票统计!J$4:J$1003,$W159)))</f>
        <v/>
      </c>
      <c r="K159" s="56" t="str">
        <f aca="false">IF($W159="","",N(INDEX(发票统计!K$4:K$1003,$W159)))</f>
        <v/>
      </c>
      <c r="L159" s="56" t="str">
        <f aca="false">IF($W159="","",SUM(J$4:J159)-SUM(K$4:K159))</f>
        <v/>
      </c>
      <c r="M159" s="56" t="str">
        <f aca="false">IF($W159="","",N(INDEX(发票统计!M$4:M$1003,$W159)))</f>
        <v/>
      </c>
      <c r="N159" s="56" t="str">
        <f aca="false">IF($W159="","",N(INDEX(发票统计!N$4:N$1003,$W159)))</f>
        <v/>
      </c>
      <c r="O159" s="56" t="str">
        <f aca="false">IF($W159="","",N(INDEX(发票统计!O$4:O$1003,$W159)))</f>
        <v/>
      </c>
      <c r="P159" s="56" t="str">
        <f aca="false">IF($W159="","",SUM(M$4:M159)-SUM(N$4:N159)-SUM(O$4:O159))</f>
        <v/>
      </c>
      <c r="Q159" s="56" t="str">
        <f aca="false">IF($W159="","",N(INDEX(发票统计!Q$4:Q$1003,$W159)))</f>
        <v/>
      </c>
      <c r="R159" s="56" t="str">
        <f aca="false">IF($W159="","",N(INDEX(发票统计!R$4:R$1003,$W159)))</f>
        <v/>
      </c>
      <c r="S159" s="56" t="str">
        <f aca="false">IF($W159="","",N(INDEX(发票统计!S$4:S$1003,$W159)))</f>
        <v/>
      </c>
      <c r="T159" s="56" t="str">
        <f aca="false">IF($W159="","",SUM(Q$4:Q159)-SUM(R$4:R159)-SUM(S$4:S159))</f>
        <v/>
      </c>
      <c r="U159" s="56" t="str">
        <f aca="false">IF($W159="","",INDEX(发票统计!U$4:U$1003,$W159)&amp;"")</f>
        <v/>
      </c>
      <c r="W159" s="1" t="str">
        <f aca="false">IF($V$3="","",IFERROR(MATCH($V$3&amp;"#"&amp;ROWS(W$4:W159),发票统计!$W$4:$W$1003,0),""))</f>
        <v/>
      </c>
    </row>
    <row r="160" customFormat="false" ht="16.5" hidden="false" customHeight="false" outlineLevel="0" collapsed="false">
      <c r="A160" s="56" t="str">
        <f aca="false">IF($W160="","",INDEX(发票统计!A$4:A$1003,$W160)&amp;"")</f>
        <v/>
      </c>
      <c r="B160" s="56" t="str">
        <f aca="false">IF($W160="","",INDEX(发票统计!B$4:B$1003,$W160)&amp;"")</f>
        <v/>
      </c>
      <c r="C160" s="56" t="str">
        <f aca="false">IF($W160="","",INDEX(发票统计!C$4:C$1003,$W160)&amp;"")</f>
        <v/>
      </c>
      <c r="D160" s="56" t="str">
        <f aca="false">IF($W160="","",INDEX(发票统计!D$4:D$1003,$W160)&amp;"")</f>
        <v/>
      </c>
      <c r="E160" s="56" t="str">
        <f aca="false">IF($W160="","",INDEX(发票统计!E$4:E$1003,$W160)&amp;"")</f>
        <v/>
      </c>
      <c r="F160" s="73" t="str">
        <f aca="false">IF($W160="","",INDEX(发票统计!F$4:F$1003,$W160)&amp;"")</f>
        <v/>
      </c>
      <c r="G160" s="68" t="str">
        <f aca="false">IF($W160="","",IF(INDEX(发票统计!G$4:G$1003,$W160)="","",INDEX(发票统计!G$4:G$1003,$W160)))</f>
        <v/>
      </c>
      <c r="H160" s="56" t="str">
        <f aca="false">IF($W160="","",N(INDEX(发票统计!H$4:H$1003,$W160)))</f>
        <v/>
      </c>
      <c r="I160" s="56" t="str">
        <f aca="false">IF($W160="","",N(INDEX(发票统计!I$4:I$1003,$W160)))</f>
        <v/>
      </c>
      <c r="J160" s="56" t="str">
        <f aca="false">IF($W160="","",N(INDEX(发票统计!J$4:J$1003,$W160)))</f>
        <v/>
      </c>
      <c r="K160" s="56" t="str">
        <f aca="false">IF($W160="","",N(INDEX(发票统计!K$4:K$1003,$W160)))</f>
        <v/>
      </c>
      <c r="L160" s="56" t="str">
        <f aca="false">IF($W160="","",SUM(J$4:J160)-SUM(K$4:K160))</f>
        <v/>
      </c>
      <c r="M160" s="56" t="str">
        <f aca="false">IF($W160="","",N(INDEX(发票统计!M$4:M$1003,$W160)))</f>
        <v/>
      </c>
      <c r="N160" s="56" t="str">
        <f aca="false">IF($W160="","",N(INDEX(发票统计!N$4:N$1003,$W160)))</f>
        <v/>
      </c>
      <c r="O160" s="56" t="str">
        <f aca="false">IF($W160="","",N(INDEX(发票统计!O$4:O$1003,$W160)))</f>
        <v/>
      </c>
      <c r="P160" s="56" t="str">
        <f aca="false">IF($W160="","",SUM(M$4:M160)-SUM(N$4:N160)-SUM(O$4:O160))</f>
        <v/>
      </c>
      <c r="Q160" s="56" t="str">
        <f aca="false">IF($W160="","",N(INDEX(发票统计!Q$4:Q$1003,$W160)))</f>
        <v/>
      </c>
      <c r="R160" s="56" t="str">
        <f aca="false">IF($W160="","",N(INDEX(发票统计!R$4:R$1003,$W160)))</f>
        <v/>
      </c>
      <c r="S160" s="56" t="str">
        <f aca="false">IF($W160="","",N(INDEX(发票统计!S$4:S$1003,$W160)))</f>
        <v/>
      </c>
      <c r="T160" s="56" t="str">
        <f aca="false">IF($W160="","",SUM(Q$4:Q160)-SUM(R$4:R160)-SUM(S$4:S160))</f>
        <v/>
      </c>
      <c r="U160" s="56" t="str">
        <f aca="false">IF($W160="","",INDEX(发票统计!U$4:U$1003,$W160)&amp;"")</f>
        <v/>
      </c>
      <c r="W160" s="1" t="str">
        <f aca="false">IF($V$3="","",IFERROR(MATCH($V$3&amp;"#"&amp;ROWS(W$4:W160),发票统计!$W$4:$W$1003,0),""))</f>
        <v/>
      </c>
    </row>
    <row r="161" customFormat="false" ht="16.5" hidden="false" customHeight="false" outlineLevel="0" collapsed="false">
      <c r="A161" s="56" t="str">
        <f aca="false">IF($W161="","",INDEX(发票统计!A$4:A$1003,$W161)&amp;"")</f>
        <v/>
      </c>
      <c r="B161" s="56" t="str">
        <f aca="false">IF($W161="","",INDEX(发票统计!B$4:B$1003,$W161)&amp;"")</f>
        <v/>
      </c>
      <c r="C161" s="56" t="str">
        <f aca="false">IF($W161="","",INDEX(发票统计!C$4:C$1003,$W161)&amp;"")</f>
        <v/>
      </c>
      <c r="D161" s="56" t="str">
        <f aca="false">IF($W161="","",INDEX(发票统计!D$4:D$1003,$W161)&amp;"")</f>
        <v/>
      </c>
      <c r="E161" s="56" t="str">
        <f aca="false">IF($W161="","",INDEX(发票统计!E$4:E$1003,$W161)&amp;"")</f>
        <v/>
      </c>
      <c r="F161" s="73" t="str">
        <f aca="false">IF($W161="","",INDEX(发票统计!F$4:F$1003,$W161)&amp;"")</f>
        <v/>
      </c>
      <c r="G161" s="68" t="str">
        <f aca="false">IF($W161="","",IF(INDEX(发票统计!G$4:G$1003,$W161)="","",INDEX(发票统计!G$4:G$1003,$W161)))</f>
        <v/>
      </c>
      <c r="H161" s="56" t="str">
        <f aca="false">IF($W161="","",N(INDEX(发票统计!H$4:H$1003,$W161)))</f>
        <v/>
      </c>
      <c r="I161" s="56" t="str">
        <f aca="false">IF($W161="","",N(INDEX(发票统计!I$4:I$1003,$W161)))</f>
        <v/>
      </c>
      <c r="J161" s="56" t="str">
        <f aca="false">IF($W161="","",N(INDEX(发票统计!J$4:J$1003,$W161)))</f>
        <v/>
      </c>
      <c r="K161" s="56" t="str">
        <f aca="false">IF($W161="","",N(INDEX(发票统计!K$4:K$1003,$W161)))</f>
        <v/>
      </c>
      <c r="L161" s="56" t="str">
        <f aca="false">IF($W161="","",SUM(J$4:J161)-SUM(K$4:K161))</f>
        <v/>
      </c>
      <c r="M161" s="56" t="str">
        <f aca="false">IF($W161="","",N(INDEX(发票统计!M$4:M$1003,$W161)))</f>
        <v/>
      </c>
      <c r="N161" s="56" t="str">
        <f aca="false">IF($W161="","",N(INDEX(发票统计!N$4:N$1003,$W161)))</f>
        <v/>
      </c>
      <c r="O161" s="56" t="str">
        <f aca="false">IF($W161="","",N(INDEX(发票统计!O$4:O$1003,$W161)))</f>
        <v/>
      </c>
      <c r="P161" s="56" t="str">
        <f aca="false">IF($W161="","",SUM(M$4:M161)-SUM(N$4:N161)-SUM(O$4:O161))</f>
        <v/>
      </c>
      <c r="Q161" s="56" t="str">
        <f aca="false">IF($W161="","",N(INDEX(发票统计!Q$4:Q$1003,$W161)))</f>
        <v/>
      </c>
      <c r="R161" s="56" t="str">
        <f aca="false">IF($W161="","",N(INDEX(发票统计!R$4:R$1003,$W161)))</f>
        <v/>
      </c>
      <c r="S161" s="56" t="str">
        <f aca="false">IF($W161="","",N(INDEX(发票统计!S$4:S$1003,$W161)))</f>
        <v/>
      </c>
      <c r="T161" s="56" t="str">
        <f aca="false">IF($W161="","",SUM(Q$4:Q161)-SUM(R$4:R161)-SUM(S$4:S161))</f>
        <v/>
      </c>
      <c r="U161" s="56" t="str">
        <f aca="false">IF($W161="","",INDEX(发票统计!U$4:U$1003,$W161)&amp;"")</f>
        <v/>
      </c>
      <c r="W161" s="1" t="str">
        <f aca="false">IF($V$3="","",IFERROR(MATCH($V$3&amp;"#"&amp;ROWS(W$4:W161),发票统计!$W$4:$W$1003,0),""))</f>
        <v/>
      </c>
    </row>
    <row r="162" customFormat="false" ht="16.5" hidden="false" customHeight="false" outlineLevel="0" collapsed="false">
      <c r="A162" s="56" t="str">
        <f aca="false">IF($W162="","",INDEX(发票统计!A$4:A$1003,$W162)&amp;"")</f>
        <v/>
      </c>
      <c r="B162" s="56" t="str">
        <f aca="false">IF($W162="","",INDEX(发票统计!B$4:B$1003,$W162)&amp;"")</f>
        <v/>
      </c>
      <c r="C162" s="56" t="str">
        <f aca="false">IF($W162="","",INDEX(发票统计!C$4:C$1003,$W162)&amp;"")</f>
        <v/>
      </c>
      <c r="D162" s="56" t="str">
        <f aca="false">IF($W162="","",INDEX(发票统计!D$4:D$1003,$W162)&amp;"")</f>
        <v/>
      </c>
      <c r="E162" s="56" t="str">
        <f aca="false">IF($W162="","",INDEX(发票统计!E$4:E$1003,$W162)&amp;"")</f>
        <v/>
      </c>
      <c r="F162" s="73" t="str">
        <f aca="false">IF($W162="","",INDEX(发票统计!F$4:F$1003,$W162)&amp;"")</f>
        <v/>
      </c>
      <c r="G162" s="68" t="str">
        <f aca="false">IF($W162="","",IF(INDEX(发票统计!G$4:G$1003,$W162)="","",INDEX(发票统计!G$4:G$1003,$W162)))</f>
        <v/>
      </c>
      <c r="H162" s="56" t="str">
        <f aca="false">IF($W162="","",N(INDEX(发票统计!H$4:H$1003,$W162)))</f>
        <v/>
      </c>
      <c r="I162" s="56" t="str">
        <f aca="false">IF($W162="","",N(INDEX(发票统计!I$4:I$1003,$W162)))</f>
        <v/>
      </c>
      <c r="J162" s="56" t="str">
        <f aca="false">IF($W162="","",N(INDEX(发票统计!J$4:J$1003,$W162)))</f>
        <v/>
      </c>
      <c r="K162" s="56" t="str">
        <f aca="false">IF($W162="","",N(INDEX(发票统计!K$4:K$1003,$W162)))</f>
        <v/>
      </c>
      <c r="L162" s="56" t="str">
        <f aca="false">IF($W162="","",SUM(J$4:J162)-SUM(K$4:K162))</f>
        <v/>
      </c>
      <c r="M162" s="56" t="str">
        <f aca="false">IF($W162="","",N(INDEX(发票统计!M$4:M$1003,$W162)))</f>
        <v/>
      </c>
      <c r="N162" s="56" t="str">
        <f aca="false">IF($W162="","",N(INDEX(发票统计!N$4:N$1003,$W162)))</f>
        <v/>
      </c>
      <c r="O162" s="56" t="str">
        <f aca="false">IF($W162="","",N(INDEX(发票统计!O$4:O$1003,$W162)))</f>
        <v/>
      </c>
      <c r="P162" s="56" t="str">
        <f aca="false">IF($W162="","",SUM(M$4:M162)-SUM(N$4:N162)-SUM(O$4:O162))</f>
        <v/>
      </c>
      <c r="Q162" s="56" t="str">
        <f aca="false">IF($W162="","",N(INDEX(发票统计!Q$4:Q$1003,$W162)))</f>
        <v/>
      </c>
      <c r="R162" s="56" t="str">
        <f aca="false">IF($W162="","",N(INDEX(发票统计!R$4:R$1003,$W162)))</f>
        <v/>
      </c>
      <c r="S162" s="56" t="str">
        <f aca="false">IF($W162="","",N(INDEX(发票统计!S$4:S$1003,$W162)))</f>
        <v/>
      </c>
      <c r="T162" s="56" t="str">
        <f aca="false">IF($W162="","",SUM(Q$4:Q162)-SUM(R$4:R162)-SUM(S$4:S162))</f>
        <v/>
      </c>
      <c r="U162" s="56" t="str">
        <f aca="false">IF($W162="","",INDEX(发票统计!U$4:U$1003,$W162)&amp;"")</f>
        <v/>
      </c>
      <c r="W162" s="1" t="str">
        <f aca="false">IF($V$3="","",IFERROR(MATCH($V$3&amp;"#"&amp;ROWS(W$4:W162),发票统计!$W$4:$W$1003,0),""))</f>
        <v/>
      </c>
    </row>
    <row r="163" customFormat="false" ht="16.5" hidden="false" customHeight="false" outlineLevel="0" collapsed="false">
      <c r="A163" s="56" t="str">
        <f aca="false">IF($W163="","",INDEX(发票统计!A$4:A$1003,$W163)&amp;"")</f>
        <v/>
      </c>
      <c r="B163" s="56" t="str">
        <f aca="false">IF($W163="","",INDEX(发票统计!B$4:B$1003,$W163)&amp;"")</f>
        <v/>
      </c>
      <c r="C163" s="56" t="str">
        <f aca="false">IF($W163="","",INDEX(发票统计!C$4:C$1003,$W163)&amp;"")</f>
        <v/>
      </c>
      <c r="D163" s="56" t="str">
        <f aca="false">IF($W163="","",INDEX(发票统计!D$4:D$1003,$W163)&amp;"")</f>
        <v/>
      </c>
      <c r="E163" s="56" t="str">
        <f aca="false">IF($W163="","",INDEX(发票统计!E$4:E$1003,$W163)&amp;"")</f>
        <v/>
      </c>
      <c r="F163" s="73" t="str">
        <f aca="false">IF($W163="","",INDEX(发票统计!F$4:F$1003,$W163)&amp;"")</f>
        <v/>
      </c>
      <c r="G163" s="68" t="str">
        <f aca="false">IF($W163="","",IF(INDEX(发票统计!G$4:G$1003,$W163)="","",INDEX(发票统计!G$4:G$1003,$W163)))</f>
        <v/>
      </c>
      <c r="H163" s="56" t="str">
        <f aca="false">IF($W163="","",N(INDEX(发票统计!H$4:H$1003,$W163)))</f>
        <v/>
      </c>
      <c r="I163" s="56" t="str">
        <f aca="false">IF($W163="","",N(INDEX(发票统计!I$4:I$1003,$W163)))</f>
        <v/>
      </c>
      <c r="J163" s="56" t="str">
        <f aca="false">IF($W163="","",N(INDEX(发票统计!J$4:J$1003,$W163)))</f>
        <v/>
      </c>
      <c r="K163" s="56" t="str">
        <f aca="false">IF($W163="","",N(INDEX(发票统计!K$4:K$1003,$W163)))</f>
        <v/>
      </c>
      <c r="L163" s="56" t="str">
        <f aca="false">IF($W163="","",SUM(J$4:J163)-SUM(K$4:K163))</f>
        <v/>
      </c>
      <c r="M163" s="56" t="str">
        <f aca="false">IF($W163="","",N(INDEX(发票统计!M$4:M$1003,$W163)))</f>
        <v/>
      </c>
      <c r="N163" s="56" t="str">
        <f aca="false">IF($W163="","",N(INDEX(发票统计!N$4:N$1003,$W163)))</f>
        <v/>
      </c>
      <c r="O163" s="56" t="str">
        <f aca="false">IF($W163="","",N(INDEX(发票统计!O$4:O$1003,$W163)))</f>
        <v/>
      </c>
      <c r="P163" s="56" t="str">
        <f aca="false">IF($W163="","",SUM(M$4:M163)-SUM(N$4:N163)-SUM(O$4:O163))</f>
        <v/>
      </c>
      <c r="Q163" s="56" t="str">
        <f aca="false">IF($W163="","",N(INDEX(发票统计!Q$4:Q$1003,$W163)))</f>
        <v/>
      </c>
      <c r="R163" s="56" t="str">
        <f aca="false">IF($W163="","",N(INDEX(发票统计!R$4:R$1003,$W163)))</f>
        <v/>
      </c>
      <c r="S163" s="56" t="str">
        <f aca="false">IF($W163="","",N(INDEX(发票统计!S$4:S$1003,$W163)))</f>
        <v/>
      </c>
      <c r="T163" s="56" t="str">
        <f aca="false">IF($W163="","",SUM(Q$4:Q163)-SUM(R$4:R163)-SUM(S$4:S163))</f>
        <v/>
      </c>
      <c r="U163" s="56" t="str">
        <f aca="false">IF($W163="","",INDEX(发票统计!U$4:U$1003,$W163)&amp;"")</f>
        <v/>
      </c>
      <c r="W163" s="1" t="str">
        <f aca="false">IF($V$3="","",IFERROR(MATCH($V$3&amp;"#"&amp;ROWS(W$4:W163),发票统计!$W$4:$W$1003,0),""))</f>
        <v/>
      </c>
    </row>
    <row r="164" customFormat="false" ht="16.5" hidden="false" customHeight="false" outlineLevel="0" collapsed="false">
      <c r="A164" s="56" t="str">
        <f aca="false">IF($W164="","",INDEX(发票统计!A$4:A$1003,$W164)&amp;"")</f>
        <v/>
      </c>
      <c r="B164" s="56" t="str">
        <f aca="false">IF($W164="","",INDEX(发票统计!B$4:B$1003,$W164)&amp;"")</f>
        <v/>
      </c>
      <c r="C164" s="56" t="str">
        <f aca="false">IF($W164="","",INDEX(发票统计!C$4:C$1003,$W164)&amp;"")</f>
        <v/>
      </c>
      <c r="D164" s="56" t="str">
        <f aca="false">IF($W164="","",INDEX(发票统计!D$4:D$1003,$W164)&amp;"")</f>
        <v/>
      </c>
      <c r="E164" s="56" t="str">
        <f aca="false">IF($W164="","",INDEX(发票统计!E$4:E$1003,$W164)&amp;"")</f>
        <v/>
      </c>
      <c r="F164" s="73" t="str">
        <f aca="false">IF($W164="","",INDEX(发票统计!F$4:F$1003,$W164)&amp;"")</f>
        <v/>
      </c>
      <c r="G164" s="68" t="str">
        <f aca="false">IF($W164="","",IF(INDEX(发票统计!G$4:G$1003,$W164)="","",INDEX(发票统计!G$4:G$1003,$W164)))</f>
        <v/>
      </c>
      <c r="H164" s="56" t="str">
        <f aca="false">IF($W164="","",N(INDEX(发票统计!H$4:H$1003,$W164)))</f>
        <v/>
      </c>
      <c r="I164" s="56" t="str">
        <f aca="false">IF($W164="","",N(INDEX(发票统计!I$4:I$1003,$W164)))</f>
        <v/>
      </c>
      <c r="J164" s="56" t="str">
        <f aca="false">IF($W164="","",N(INDEX(发票统计!J$4:J$1003,$W164)))</f>
        <v/>
      </c>
      <c r="K164" s="56" t="str">
        <f aca="false">IF($W164="","",N(INDEX(发票统计!K$4:K$1003,$W164)))</f>
        <v/>
      </c>
      <c r="L164" s="56" t="str">
        <f aca="false">IF($W164="","",SUM(J$4:J164)-SUM(K$4:K164))</f>
        <v/>
      </c>
      <c r="M164" s="56" t="str">
        <f aca="false">IF($W164="","",N(INDEX(发票统计!M$4:M$1003,$W164)))</f>
        <v/>
      </c>
      <c r="N164" s="56" t="str">
        <f aca="false">IF($W164="","",N(INDEX(发票统计!N$4:N$1003,$W164)))</f>
        <v/>
      </c>
      <c r="O164" s="56" t="str">
        <f aca="false">IF($W164="","",N(INDEX(发票统计!O$4:O$1003,$W164)))</f>
        <v/>
      </c>
      <c r="P164" s="56" t="str">
        <f aca="false">IF($W164="","",SUM(M$4:M164)-SUM(N$4:N164)-SUM(O$4:O164))</f>
        <v/>
      </c>
      <c r="Q164" s="56" t="str">
        <f aca="false">IF($W164="","",N(INDEX(发票统计!Q$4:Q$1003,$W164)))</f>
        <v/>
      </c>
      <c r="R164" s="56" t="str">
        <f aca="false">IF($W164="","",N(INDEX(发票统计!R$4:R$1003,$W164)))</f>
        <v/>
      </c>
      <c r="S164" s="56" t="str">
        <f aca="false">IF($W164="","",N(INDEX(发票统计!S$4:S$1003,$W164)))</f>
        <v/>
      </c>
      <c r="T164" s="56" t="str">
        <f aca="false">IF($W164="","",SUM(Q$4:Q164)-SUM(R$4:R164)-SUM(S$4:S164))</f>
        <v/>
      </c>
      <c r="U164" s="56" t="str">
        <f aca="false">IF($W164="","",INDEX(发票统计!U$4:U$1003,$W164)&amp;"")</f>
        <v/>
      </c>
      <c r="W164" s="1" t="str">
        <f aca="false">IF($V$3="","",IFERROR(MATCH($V$3&amp;"#"&amp;ROWS(W$4:W164),发票统计!$W$4:$W$1003,0),""))</f>
        <v/>
      </c>
    </row>
    <row r="165" customFormat="false" ht="16.5" hidden="false" customHeight="false" outlineLevel="0" collapsed="false">
      <c r="A165" s="56" t="str">
        <f aca="false">IF($W165="","",INDEX(发票统计!A$4:A$1003,$W165)&amp;"")</f>
        <v/>
      </c>
      <c r="B165" s="56" t="str">
        <f aca="false">IF($W165="","",INDEX(发票统计!B$4:B$1003,$W165)&amp;"")</f>
        <v/>
      </c>
      <c r="C165" s="56" t="str">
        <f aca="false">IF($W165="","",INDEX(发票统计!C$4:C$1003,$W165)&amp;"")</f>
        <v/>
      </c>
      <c r="D165" s="56" t="str">
        <f aca="false">IF($W165="","",INDEX(发票统计!D$4:D$1003,$W165)&amp;"")</f>
        <v/>
      </c>
      <c r="E165" s="56" t="str">
        <f aca="false">IF($W165="","",INDEX(发票统计!E$4:E$1003,$W165)&amp;"")</f>
        <v/>
      </c>
      <c r="F165" s="73" t="str">
        <f aca="false">IF($W165="","",INDEX(发票统计!F$4:F$1003,$W165)&amp;"")</f>
        <v/>
      </c>
      <c r="G165" s="68" t="str">
        <f aca="false">IF($W165="","",IF(INDEX(发票统计!G$4:G$1003,$W165)="","",INDEX(发票统计!G$4:G$1003,$W165)))</f>
        <v/>
      </c>
      <c r="H165" s="56" t="str">
        <f aca="false">IF($W165="","",N(INDEX(发票统计!H$4:H$1003,$W165)))</f>
        <v/>
      </c>
      <c r="I165" s="56" t="str">
        <f aca="false">IF($W165="","",N(INDEX(发票统计!I$4:I$1003,$W165)))</f>
        <v/>
      </c>
      <c r="J165" s="56" t="str">
        <f aca="false">IF($W165="","",N(INDEX(发票统计!J$4:J$1003,$W165)))</f>
        <v/>
      </c>
      <c r="K165" s="56" t="str">
        <f aca="false">IF($W165="","",N(INDEX(发票统计!K$4:K$1003,$W165)))</f>
        <v/>
      </c>
      <c r="L165" s="56" t="str">
        <f aca="false">IF($W165="","",SUM(J$4:J165)-SUM(K$4:K165))</f>
        <v/>
      </c>
      <c r="M165" s="56" t="str">
        <f aca="false">IF($W165="","",N(INDEX(发票统计!M$4:M$1003,$W165)))</f>
        <v/>
      </c>
      <c r="N165" s="56" t="str">
        <f aca="false">IF($W165="","",N(INDEX(发票统计!N$4:N$1003,$W165)))</f>
        <v/>
      </c>
      <c r="O165" s="56" t="str">
        <f aca="false">IF($W165="","",N(INDEX(发票统计!O$4:O$1003,$W165)))</f>
        <v/>
      </c>
      <c r="P165" s="56" t="str">
        <f aca="false">IF($W165="","",SUM(M$4:M165)-SUM(N$4:N165)-SUM(O$4:O165))</f>
        <v/>
      </c>
      <c r="Q165" s="56" t="str">
        <f aca="false">IF($W165="","",N(INDEX(发票统计!Q$4:Q$1003,$W165)))</f>
        <v/>
      </c>
      <c r="R165" s="56" t="str">
        <f aca="false">IF($W165="","",N(INDEX(发票统计!R$4:R$1003,$W165)))</f>
        <v/>
      </c>
      <c r="S165" s="56" t="str">
        <f aca="false">IF($W165="","",N(INDEX(发票统计!S$4:S$1003,$W165)))</f>
        <v/>
      </c>
      <c r="T165" s="56" t="str">
        <f aca="false">IF($W165="","",SUM(Q$4:Q165)-SUM(R$4:R165)-SUM(S$4:S165))</f>
        <v/>
      </c>
      <c r="U165" s="56" t="str">
        <f aca="false">IF($W165="","",INDEX(发票统计!U$4:U$1003,$W165)&amp;"")</f>
        <v/>
      </c>
      <c r="W165" s="1" t="str">
        <f aca="false">IF($V$3="","",IFERROR(MATCH($V$3&amp;"#"&amp;ROWS(W$4:W165),发票统计!$W$4:$W$1003,0),""))</f>
        <v/>
      </c>
    </row>
    <row r="166" customFormat="false" ht="16.5" hidden="false" customHeight="false" outlineLevel="0" collapsed="false">
      <c r="A166" s="56" t="str">
        <f aca="false">IF($W166="","",INDEX(发票统计!A$4:A$1003,$W166)&amp;"")</f>
        <v/>
      </c>
      <c r="B166" s="56" t="str">
        <f aca="false">IF($W166="","",INDEX(发票统计!B$4:B$1003,$W166)&amp;"")</f>
        <v/>
      </c>
      <c r="C166" s="56" t="str">
        <f aca="false">IF($W166="","",INDEX(发票统计!C$4:C$1003,$W166)&amp;"")</f>
        <v/>
      </c>
      <c r="D166" s="56" t="str">
        <f aca="false">IF($W166="","",INDEX(发票统计!D$4:D$1003,$W166)&amp;"")</f>
        <v/>
      </c>
      <c r="E166" s="56" t="str">
        <f aca="false">IF($W166="","",INDEX(发票统计!E$4:E$1003,$W166)&amp;"")</f>
        <v/>
      </c>
      <c r="F166" s="73" t="str">
        <f aca="false">IF($W166="","",INDEX(发票统计!F$4:F$1003,$W166)&amp;"")</f>
        <v/>
      </c>
      <c r="G166" s="68" t="str">
        <f aca="false">IF($W166="","",IF(INDEX(发票统计!G$4:G$1003,$W166)="","",INDEX(发票统计!G$4:G$1003,$W166)))</f>
        <v/>
      </c>
      <c r="H166" s="56" t="str">
        <f aca="false">IF($W166="","",N(INDEX(发票统计!H$4:H$1003,$W166)))</f>
        <v/>
      </c>
      <c r="I166" s="56" t="str">
        <f aca="false">IF($W166="","",N(INDEX(发票统计!I$4:I$1003,$W166)))</f>
        <v/>
      </c>
      <c r="J166" s="56" t="str">
        <f aca="false">IF($W166="","",N(INDEX(发票统计!J$4:J$1003,$W166)))</f>
        <v/>
      </c>
      <c r="K166" s="56" t="str">
        <f aca="false">IF($W166="","",N(INDEX(发票统计!K$4:K$1003,$W166)))</f>
        <v/>
      </c>
      <c r="L166" s="56" t="str">
        <f aca="false">IF($W166="","",SUM(J$4:J166)-SUM(K$4:K166))</f>
        <v/>
      </c>
      <c r="M166" s="56" t="str">
        <f aca="false">IF($W166="","",N(INDEX(发票统计!M$4:M$1003,$W166)))</f>
        <v/>
      </c>
      <c r="N166" s="56" t="str">
        <f aca="false">IF($W166="","",N(INDEX(发票统计!N$4:N$1003,$W166)))</f>
        <v/>
      </c>
      <c r="O166" s="56" t="str">
        <f aca="false">IF($W166="","",N(INDEX(发票统计!O$4:O$1003,$W166)))</f>
        <v/>
      </c>
      <c r="P166" s="56" t="str">
        <f aca="false">IF($W166="","",SUM(M$4:M166)-SUM(N$4:N166)-SUM(O$4:O166))</f>
        <v/>
      </c>
      <c r="Q166" s="56" t="str">
        <f aca="false">IF($W166="","",N(INDEX(发票统计!Q$4:Q$1003,$W166)))</f>
        <v/>
      </c>
      <c r="R166" s="56" t="str">
        <f aca="false">IF($W166="","",N(INDEX(发票统计!R$4:R$1003,$W166)))</f>
        <v/>
      </c>
      <c r="S166" s="56" t="str">
        <f aca="false">IF($W166="","",N(INDEX(发票统计!S$4:S$1003,$W166)))</f>
        <v/>
      </c>
      <c r="T166" s="56" t="str">
        <f aca="false">IF($W166="","",SUM(Q$4:Q166)-SUM(R$4:R166)-SUM(S$4:S166))</f>
        <v/>
      </c>
      <c r="U166" s="56" t="str">
        <f aca="false">IF($W166="","",INDEX(发票统计!U$4:U$1003,$W166)&amp;"")</f>
        <v/>
      </c>
      <c r="W166" s="1" t="str">
        <f aca="false">IF($V$3="","",IFERROR(MATCH($V$3&amp;"#"&amp;ROWS(W$4:W166),发票统计!$W$4:$W$1003,0),""))</f>
        <v/>
      </c>
    </row>
    <row r="167" customFormat="false" ht="16.5" hidden="false" customHeight="false" outlineLevel="0" collapsed="false">
      <c r="A167" s="56" t="str">
        <f aca="false">IF($W167="","",INDEX(发票统计!A$4:A$1003,$W167)&amp;"")</f>
        <v/>
      </c>
      <c r="B167" s="56" t="str">
        <f aca="false">IF($W167="","",INDEX(发票统计!B$4:B$1003,$W167)&amp;"")</f>
        <v/>
      </c>
      <c r="C167" s="56" t="str">
        <f aca="false">IF($W167="","",INDEX(发票统计!C$4:C$1003,$W167)&amp;"")</f>
        <v/>
      </c>
      <c r="D167" s="56" t="str">
        <f aca="false">IF($W167="","",INDEX(发票统计!D$4:D$1003,$W167)&amp;"")</f>
        <v/>
      </c>
      <c r="E167" s="56" t="str">
        <f aca="false">IF($W167="","",INDEX(发票统计!E$4:E$1003,$W167)&amp;"")</f>
        <v/>
      </c>
      <c r="F167" s="73" t="str">
        <f aca="false">IF($W167="","",INDEX(发票统计!F$4:F$1003,$W167)&amp;"")</f>
        <v/>
      </c>
      <c r="G167" s="68" t="str">
        <f aca="false">IF($W167="","",IF(INDEX(发票统计!G$4:G$1003,$W167)="","",INDEX(发票统计!G$4:G$1003,$W167)))</f>
        <v/>
      </c>
      <c r="H167" s="56" t="str">
        <f aca="false">IF($W167="","",N(INDEX(发票统计!H$4:H$1003,$W167)))</f>
        <v/>
      </c>
      <c r="I167" s="56" t="str">
        <f aca="false">IF($W167="","",N(INDEX(发票统计!I$4:I$1003,$W167)))</f>
        <v/>
      </c>
      <c r="J167" s="56" t="str">
        <f aca="false">IF($W167="","",N(INDEX(发票统计!J$4:J$1003,$W167)))</f>
        <v/>
      </c>
      <c r="K167" s="56" t="str">
        <f aca="false">IF($W167="","",N(INDEX(发票统计!K$4:K$1003,$W167)))</f>
        <v/>
      </c>
      <c r="L167" s="56" t="str">
        <f aca="false">IF($W167="","",SUM(J$4:J167)-SUM(K$4:K167))</f>
        <v/>
      </c>
      <c r="M167" s="56" t="str">
        <f aca="false">IF($W167="","",N(INDEX(发票统计!M$4:M$1003,$W167)))</f>
        <v/>
      </c>
      <c r="N167" s="56" t="str">
        <f aca="false">IF($W167="","",N(INDEX(发票统计!N$4:N$1003,$W167)))</f>
        <v/>
      </c>
      <c r="O167" s="56" t="str">
        <f aca="false">IF($W167="","",N(INDEX(发票统计!O$4:O$1003,$W167)))</f>
        <v/>
      </c>
      <c r="P167" s="56" t="str">
        <f aca="false">IF($W167="","",SUM(M$4:M167)-SUM(N$4:N167)-SUM(O$4:O167))</f>
        <v/>
      </c>
      <c r="Q167" s="56" t="str">
        <f aca="false">IF($W167="","",N(INDEX(发票统计!Q$4:Q$1003,$W167)))</f>
        <v/>
      </c>
      <c r="R167" s="56" t="str">
        <f aca="false">IF($W167="","",N(INDEX(发票统计!R$4:R$1003,$W167)))</f>
        <v/>
      </c>
      <c r="S167" s="56" t="str">
        <f aca="false">IF($W167="","",N(INDEX(发票统计!S$4:S$1003,$W167)))</f>
        <v/>
      </c>
      <c r="T167" s="56" t="str">
        <f aca="false">IF($W167="","",SUM(Q$4:Q167)-SUM(R$4:R167)-SUM(S$4:S167))</f>
        <v/>
      </c>
      <c r="U167" s="56" t="str">
        <f aca="false">IF($W167="","",INDEX(发票统计!U$4:U$1003,$W167)&amp;"")</f>
        <v/>
      </c>
      <c r="W167" s="1" t="str">
        <f aca="false">IF($V$3="","",IFERROR(MATCH($V$3&amp;"#"&amp;ROWS(W$4:W167),发票统计!$W$4:$W$1003,0),""))</f>
        <v/>
      </c>
    </row>
    <row r="168" customFormat="false" ht="16.5" hidden="false" customHeight="false" outlineLevel="0" collapsed="false">
      <c r="A168" s="56" t="str">
        <f aca="false">IF($W168="","",INDEX(发票统计!A$4:A$1003,$W168)&amp;"")</f>
        <v/>
      </c>
      <c r="B168" s="56" t="str">
        <f aca="false">IF($W168="","",INDEX(发票统计!B$4:B$1003,$W168)&amp;"")</f>
        <v/>
      </c>
      <c r="C168" s="56" t="str">
        <f aca="false">IF($W168="","",INDEX(发票统计!C$4:C$1003,$W168)&amp;"")</f>
        <v/>
      </c>
      <c r="D168" s="56" t="str">
        <f aca="false">IF($W168="","",INDEX(发票统计!D$4:D$1003,$W168)&amp;"")</f>
        <v/>
      </c>
      <c r="E168" s="56" t="str">
        <f aca="false">IF($W168="","",INDEX(发票统计!E$4:E$1003,$W168)&amp;"")</f>
        <v/>
      </c>
      <c r="F168" s="73" t="str">
        <f aca="false">IF($W168="","",INDEX(发票统计!F$4:F$1003,$W168)&amp;"")</f>
        <v/>
      </c>
      <c r="G168" s="68" t="str">
        <f aca="false">IF($W168="","",IF(INDEX(发票统计!G$4:G$1003,$W168)="","",INDEX(发票统计!G$4:G$1003,$W168)))</f>
        <v/>
      </c>
      <c r="H168" s="56" t="str">
        <f aca="false">IF($W168="","",N(INDEX(发票统计!H$4:H$1003,$W168)))</f>
        <v/>
      </c>
      <c r="I168" s="56" t="str">
        <f aca="false">IF($W168="","",N(INDEX(发票统计!I$4:I$1003,$W168)))</f>
        <v/>
      </c>
      <c r="J168" s="56" t="str">
        <f aca="false">IF($W168="","",N(INDEX(发票统计!J$4:J$1003,$W168)))</f>
        <v/>
      </c>
      <c r="K168" s="56" t="str">
        <f aca="false">IF($W168="","",N(INDEX(发票统计!K$4:K$1003,$W168)))</f>
        <v/>
      </c>
      <c r="L168" s="56" t="str">
        <f aca="false">IF($W168="","",SUM(J$4:J168)-SUM(K$4:K168))</f>
        <v/>
      </c>
      <c r="M168" s="56" t="str">
        <f aca="false">IF($W168="","",N(INDEX(发票统计!M$4:M$1003,$W168)))</f>
        <v/>
      </c>
      <c r="N168" s="56" t="str">
        <f aca="false">IF($W168="","",N(INDEX(发票统计!N$4:N$1003,$W168)))</f>
        <v/>
      </c>
      <c r="O168" s="56" t="str">
        <f aca="false">IF($W168="","",N(INDEX(发票统计!O$4:O$1003,$W168)))</f>
        <v/>
      </c>
      <c r="P168" s="56" t="str">
        <f aca="false">IF($W168="","",SUM(M$4:M168)-SUM(N$4:N168)-SUM(O$4:O168))</f>
        <v/>
      </c>
      <c r="Q168" s="56" t="str">
        <f aca="false">IF($W168="","",N(INDEX(发票统计!Q$4:Q$1003,$W168)))</f>
        <v/>
      </c>
      <c r="R168" s="56" t="str">
        <f aca="false">IF($W168="","",N(INDEX(发票统计!R$4:R$1003,$W168)))</f>
        <v/>
      </c>
      <c r="S168" s="56" t="str">
        <f aca="false">IF($W168="","",N(INDEX(发票统计!S$4:S$1003,$W168)))</f>
        <v/>
      </c>
      <c r="T168" s="56" t="str">
        <f aca="false">IF($W168="","",SUM(Q$4:Q168)-SUM(R$4:R168)-SUM(S$4:S168))</f>
        <v/>
      </c>
      <c r="U168" s="56" t="str">
        <f aca="false">IF($W168="","",INDEX(发票统计!U$4:U$1003,$W168)&amp;"")</f>
        <v/>
      </c>
      <c r="W168" s="1" t="str">
        <f aca="false">IF($V$3="","",IFERROR(MATCH($V$3&amp;"#"&amp;ROWS(W$4:W168),发票统计!$W$4:$W$1003,0),""))</f>
        <v/>
      </c>
    </row>
    <row r="169" customFormat="false" ht="16.5" hidden="false" customHeight="false" outlineLevel="0" collapsed="false">
      <c r="A169" s="56" t="str">
        <f aca="false">IF($W169="","",INDEX(发票统计!A$4:A$1003,$W169)&amp;"")</f>
        <v/>
      </c>
      <c r="B169" s="56" t="str">
        <f aca="false">IF($W169="","",INDEX(发票统计!B$4:B$1003,$W169)&amp;"")</f>
        <v/>
      </c>
      <c r="C169" s="56" t="str">
        <f aca="false">IF($W169="","",INDEX(发票统计!C$4:C$1003,$W169)&amp;"")</f>
        <v/>
      </c>
      <c r="D169" s="56" t="str">
        <f aca="false">IF($W169="","",INDEX(发票统计!D$4:D$1003,$W169)&amp;"")</f>
        <v/>
      </c>
      <c r="E169" s="56" t="str">
        <f aca="false">IF($W169="","",INDEX(发票统计!E$4:E$1003,$W169)&amp;"")</f>
        <v/>
      </c>
      <c r="F169" s="73" t="str">
        <f aca="false">IF($W169="","",INDEX(发票统计!F$4:F$1003,$W169)&amp;"")</f>
        <v/>
      </c>
      <c r="G169" s="68" t="str">
        <f aca="false">IF($W169="","",IF(INDEX(发票统计!G$4:G$1003,$W169)="","",INDEX(发票统计!G$4:G$1003,$W169)))</f>
        <v/>
      </c>
      <c r="H169" s="56" t="str">
        <f aca="false">IF($W169="","",N(INDEX(发票统计!H$4:H$1003,$W169)))</f>
        <v/>
      </c>
      <c r="I169" s="56" t="str">
        <f aca="false">IF($W169="","",N(INDEX(发票统计!I$4:I$1003,$W169)))</f>
        <v/>
      </c>
      <c r="J169" s="56" t="str">
        <f aca="false">IF($W169="","",N(INDEX(发票统计!J$4:J$1003,$W169)))</f>
        <v/>
      </c>
      <c r="K169" s="56" t="str">
        <f aca="false">IF($W169="","",N(INDEX(发票统计!K$4:K$1003,$W169)))</f>
        <v/>
      </c>
      <c r="L169" s="56" t="str">
        <f aca="false">IF($W169="","",SUM(J$4:J169)-SUM(K$4:K169))</f>
        <v/>
      </c>
      <c r="M169" s="56" t="str">
        <f aca="false">IF($W169="","",N(INDEX(发票统计!M$4:M$1003,$W169)))</f>
        <v/>
      </c>
      <c r="N169" s="56" t="str">
        <f aca="false">IF($W169="","",N(INDEX(发票统计!N$4:N$1003,$W169)))</f>
        <v/>
      </c>
      <c r="O169" s="56" t="str">
        <f aca="false">IF($W169="","",N(INDEX(发票统计!O$4:O$1003,$W169)))</f>
        <v/>
      </c>
      <c r="P169" s="56" t="str">
        <f aca="false">IF($W169="","",SUM(M$4:M169)-SUM(N$4:N169)-SUM(O$4:O169))</f>
        <v/>
      </c>
      <c r="Q169" s="56" t="str">
        <f aca="false">IF($W169="","",N(INDEX(发票统计!Q$4:Q$1003,$W169)))</f>
        <v/>
      </c>
      <c r="R169" s="56" t="str">
        <f aca="false">IF($W169="","",N(INDEX(发票统计!R$4:R$1003,$W169)))</f>
        <v/>
      </c>
      <c r="S169" s="56" t="str">
        <f aca="false">IF($W169="","",N(INDEX(发票统计!S$4:S$1003,$W169)))</f>
        <v/>
      </c>
      <c r="T169" s="56" t="str">
        <f aca="false">IF($W169="","",SUM(Q$4:Q169)-SUM(R$4:R169)-SUM(S$4:S169))</f>
        <v/>
      </c>
      <c r="U169" s="56" t="str">
        <f aca="false">IF($W169="","",INDEX(发票统计!U$4:U$1003,$W169)&amp;"")</f>
        <v/>
      </c>
      <c r="W169" s="1" t="str">
        <f aca="false">IF($V$3="","",IFERROR(MATCH($V$3&amp;"#"&amp;ROWS(W$4:W169),发票统计!$W$4:$W$1003,0),""))</f>
        <v/>
      </c>
    </row>
    <row r="170" customFormat="false" ht="16.5" hidden="false" customHeight="false" outlineLevel="0" collapsed="false">
      <c r="A170" s="56" t="str">
        <f aca="false">IF($W170="","",INDEX(发票统计!A$4:A$1003,$W170)&amp;"")</f>
        <v/>
      </c>
      <c r="B170" s="56" t="str">
        <f aca="false">IF($W170="","",INDEX(发票统计!B$4:B$1003,$W170)&amp;"")</f>
        <v/>
      </c>
      <c r="C170" s="56" t="str">
        <f aca="false">IF($W170="","",INDEX(发票统计!C$4:C$1003,$W170)&amp;"")</f>
        <v/>
      </c>
      <c r="D170" s="56" t="str">
        <f aca="false">IF($W170="","",INDEX(发票统计!D$4:D$1003,$W170)&amp;"")</f>
        <v/>
      </c>
      <c r="E170" s="56" t="str">
        <f aca="false">IF($W170="","",INDEX(发票统计!E$4:E$1003,$W170)&amp;"")</f>
        <v/>
      </c>
      <c r="F170" s="73" t="str">
        <f aca="false">IF($W170="","",INDEX(发票统计!F$4:F$1003,$W170)&amp;"")</f>
        <v/>
      </c>
      <c r="G170" s="68" t="str">
        <f aca="false">IF($W170="","",IF(INDEX(发票统计!G$4:G$1003,$W170)="","",INDEX(发票统计!G$4:G$1003,$W170)))</f>
        <v/>
      </c>
      <c r="H170" s="56" t="str">
        <f aca="false">IF($W170="","",N(INDEX(发票统计!H$4:H$1003,$W170)))</f>
        <v/>
      </c>
      <c r="I170" s="56" t="str">
        <f aca="false">IF($W170="","",N(INDEX(发票统计!I$4:I$1003,$W170)))</f>
        <v/>
      </c>
      <c r="J170" s="56" t="str">
        <f aca="false">IF($W170="","",N(INDEX(发票统计!J$4:J$1003,$W170)))</f>
        <v/>
      </c>
      <c r="K170" s="56" t="str">
        <f aca="false">IF($W170="","",N(INDEX(发票统计!K$4:K$1003,$W170)))</f>
        <v/>
      </c>
      <c r="L170" s="56" t="str">
        <f aca="false">IF($W170="","",SUM(J$4:J170)-SUM(K$4:K170))</f>
        <v/>
      </c>
      <c r="M170" s="56" t="str">
        <f aca="false">IF($W170="","",N(INDEX(发票统计!M$4:M$1003,$W170)))</f>
        <v/>
      </c>
      <c r="N170" s="56" t="str">
        <f aca="false">IF($W170="","",N(INDEX(发票统计!N$4:N$1003,$W170)))</f>
        <v/>
      </c>
      <c r="O170" s="56" t="str">
        <f aca="false">IF($W170="","",N(INDEX(发票统计!O$4:O$1003,$W170)))</f>
        <v/>
      </c>
      <c r="P170" s="56" t="str">
        <f aca="false">IF($W170="","",SUM(M$4:M170)-SUM(N$4:N170)-SUM(O$4:O170))</f>
        <v/>
      </c>
      <c r="Q170" s="56" t="str">
        <f aca="false">IF($W170="","",N(INDEX(发票统计!Q$4:Q$1003,$W170)))</f>
        <v/>
      </c>
      <c r="R170" s="56" t="str">
        <f aca="false">IF($W170="","",N(INDEX(发票统计!R$4:R$1003,$W170)))</f>
        <v/>
      </c>
      <c r="S170" s="56" t="str">
        <f aca="false">IF($W170="","",N(INDEX(发票统计!S$4:S$1003,$W170)))</f>
        <v/>
      </c>
      <c r="T170" s="56" t="str">
        <f aca="false">IF($W170="","",SUM(Q$4:Q170)-SUM(R$4:R170)-SUM(S$4:S170))</f>
        <v/>
      </c>
      <c r="U170" s="56" t="str">
        <f aca="false">IF($W170="","",INDEX(发票统计!U$4:U$1003,$W170)&amp;"")</f>
        <v/>
      </c>
      <c r="W170" s="1" t="str">
        <f aca="false">IF($V$3="","",IFERROR(MATCH($V$3&amp;"#"&amp;ROWS(W$4:W170),发票统计!$W$4:$W$1003,0),""))</f>
        <v/>
      </c>
    </row>
    <row r="171" customFormat="false" ht="16.5" hidden="false" customHeight="false" outlineLevel="0" collapsed="false">
      <c r="A171" s="56" t="str">
        <f aca="false">IF($W171="","",INDEX(发票统计!A$4:A$1003,$W171)&amp;"")</f>
        <v/>
      </c>
      <c r="B171" s="56" t="str">
        <f aca="false">IF($W171="","",INDEX(发票统计!B$4:B$1003,$W171)&amp;"")</f>
        <v/>
      </c>
      <c r="C171" s="56" t="str">
        <f aca="false">IF($W171="","",INDEX(发票统计!C$4:C$1003,$W171)&amp;"")</f>
        <v/>
      </c>
      <c r="D171" s="56" t="str">
        <f aca="false">IF($W171="","",INDEX(发票统计!D$4:D$1003,$W171)&amp;"")</f>
        <v/>
      </c>
      <c r="E171" s="56" t="str">
        <f aca="false">IF($W171="","",INDEX(发票统计!E$4:E$1003,$W171)&amp;"")</f>
        <v/>
      </c>
      <c r="F171" s="73" t="str">
        <f aca="false">IF($W171="","",INDEX(发票统计!F$4:F$1003,$W171)&amp;"")</f>
        <v/>
      </c>
      <c r="G171" s="68" t="str">
        <f aca="false">IF($W171="","",IF(INDEX(发票统计!G$4:G$1003,$W171)="","",INDEX(发票统计!G$4:G$1003,$W171)))</f>
        <v/>
      </c>
      <c r="H171" s="56" t="str">
        <f aca="false">IF($W171="","",N(INDEX(发票统计!H$4:H$1003,$W171)))</f>
        <v/>
      </c>
      <c r="I171" s="56" t="str">
        <f aca="false">IF($W171="","",N(INDEX(发票统计!I$4:I$1003,$W171)))</f>
        <v/>
      </c>
      <c r="J171" s="56" t="str">
        <f aca="false">IF($W171="","",N(INDEX(发票统计!J$4:J$1003,$W171)))</f>
        <v/>
      </c>
      <c r="K171" s="56" t="str">
        <f aca="false">IF($W171="","",N(INDEX(发票统计!K$4:K$1003,$W171)))</f>
        <v/>
      </c>
      <c r="L171" s="56" t="str">
        <f aca="false">IF($W171="","",SUM(J$4:J171)-SUM(K$4:K171))</f>
        <v/>
      </c>
      <c r="M171" s="56" t="str">
        <f aca="false">IF($W171="","",N(INDEX(发票统计!M$4:M$1003,$W171)))</f>
        <v/>
      </c>
      <c r="N171" s="56" t="str">
        <f aca="false">IF($W171="","",N(INDEX(发票统计!N$4:N$1003,$W171)))</f>
        <v/>
      </c>
      <c r="O171" s="56" t="str">
        <f aca="false">IF($W171="","",N(INDEX(发票统计!O$4:O$1003,$W171)))</f>
        <v/>
      </c>
      <c r="P171" s="56" t="str">
        <f aca="false">IF($W171="","",SUM(M$4:M171)-SUM(N$4:N171)-SUM(O$4:O171))</f>
        <v/>
      </c>
      <c r="Q171" s="56" t="str">
        <f aca="false">IF($W171="","",N(INDEX(发票统计!Q$4:Q$1003,$W171)))</f>
        <v/>
      </c>
      <c r="R171" s="56" t="str">
        <f aca="false">IF($W171="","",N(INDEX(发票统计!R$4:R$1003,$W171)))</f>
        <v/>
      </c>
      <c r="S171" s="56" t="str">
        <f aca="false">IF($W171="","",N(INDEX(发票统计!S$4:S$1003,$W171)))</f>
        <v/>
      </c>
      <c r="T171" s="56" t="str">
        <f aca="false">IF($W171="","",SUM(Q$4:Q171)-SUM(R$4:R171)-SUM(S$4:S171))</f>
        <v/>
      </c>
      <c r="U171" s="56" t="str">
        <f aca="false">IF($W171="","",INDEX(发票统计!U$4:U$1003,$W171)&amp;"")</f>
        <v/>
      </c>
      <c r="W171" s="1" t="str">
        <f aca="false">IF($V$3="","",IFERROR(MATCH($V$3&amp;"#"&amp;ROWS(W$4:W171),发票统计!$W$4:$W$1003,0),""))</f>
        <v/>
      </c>
    </row>
    <row r="172" customFormat="false" ht="16.5" hidden="false" customHeight="false" outlineLevel="0" collapsed="false">
      <c r="A172" s="56" t="str">
        <f aca="false">IF($W172="","",INDEX(发票统计!A$4:A$1003,$W172)&amp;"")</f>
        <v/>
      </c>
      <c r="B172" s="56" t="str">
        <f aca="false">IF($W172="","",INDEX(发票统计!B$4:B$1003,$W172)&amp;"")</f>
        <v/>
      </c>
      <c r="C172" s="56" t="str">
        <f aca="false">IF($W172="","",INDEX(发票统计!C$4:C$1003,$W172)&amp;"")</f>
        <v/>
      </c>
      <c r="D172" s="56" t="str">
        <f aca="false">IF($W172="","",INDEX(发票统计!D$4:D$1003,$W172)&amp;"")</f>
        <v/>
      </c>
      <c r="E172" s="56" t="str">
        <f aca="false">IF($W172="","",INDEX(发票统计!E$4:E$1003,$W172)&amp;"")</f>
        <v/>
      </c>
      <c r="F172" s="73" t="str">
        <f aca="false">IF($W172="","",INDEX(发票统计!F$4:F$1003,$W172)&amp;"")</f>
        <v/>
      </c>
      <c r="G172" s="68" t="str">
        <f aca="false">IF($W172="","",IF(INDEX(发票统计!G$4:G$1003,$W172)="","",INDEX(发票统计!G$4:G$1003,$W172)))</f>
        <v/>
      </c>
      <c r="H172" s="56" t="str">
        <f aca="false">IF($W172="","",N(INDEX(发票统计!H$4:H$1003,$W172)))</f>
        <v/>
      </c>
      <c r="I172" s="56" t="str">
        <f aca="false">IF($W172="","",N(INDEX(发票统计!I$4:I$1003,$W172)))</f>
        <v/>
      </c>
      <c r="J172" s="56" t="str">
        <f aca="false">IF($W172="","",N(INDEX(发票统计!J$4:J$1003,$W172)))</f>
        <v/>
      </c>
      <c r="K172" s="56" t="str">
        <f aca="false">IF($W172="","",N(INDEX(发票统计!K$4:K$1003,$W172)))</f>
        <v/>
      </c>
      <c r="L172" s="56" t="str">
        <f aca="false">IF($W172="","",SUM(J$4:J172)-SUM(K$4:K172))</f>
        <v/>
      </c>
      <c r="M172" s="56" t="str">
        <f aca="false">IF($W172="","",N(INDEX(发票统计!M$4:M$1003,$W172)))</f>
        <v/>
      </c>
      <c r="N172" s="56" t="str">
        <f aca="false">IF($W172="","",N(INDEX(发票统计!N$4:N$1003,$W172)))</f>
        <v/>
      </c>
      <c r="O172" s="56" t="str">
        <f aca="false">IF($W172="","",N(INDEX(发票统计!O$4:O$1003,$W172)))</f>
        <v/>
      </c>
      <c r="P172" s="56" t="str">
        <f aca="false">IF($W172="","",SUM(M$4:M172)-SUM(N$4:N172)-SUM(O$4:O172))</f>
        <v/>
      </c>
      <c r="Q172" s="56" t="str">
        <f aca="false">IF($W172="","",N(INDEX(发票统计!Q$4:Q$1003,$W172)))</f>
        <v/>
      </c>
      <c r="R172" s="56" t="str">
        <f aca="false">IF($W172="","",N(INDEX(发票统计!R$4:R$1003,$W172)))</f>
        <v/>
      </c>
      <c r="S172" s="56" t="str">
        <f aca="false">IF($W172="","",N(INDEX(发票统计!S$4:S$1003,$W172)))</f>
        <v/>
      </c>
      <c r="T172" s="56" t="str">
        <f aca="false">IF($W172="","",SUM(Q$4:Q172)-SUM(R$4:R172)-SUM(S$4:S172))</f>
        <v/>
      </c>
      <c r="U172" s="56" t="str">
        <f aca="false">IF($W172="","",INDEX(发票统计!U$4:U$1003,$W172)&amp;"")</f>
        <v/>
      </c>
      <c r="W172" s="1" t="str">
        <f aca="false">IF($V$3="","",IFERROR(MATCH($V$3&amp;"#"&amp;ROWS(W$4:W172),发票统计!$W$4:$W$1003,0),""))</f>
        <v/>
      </c>
    </row>
    <row r="173" customFormat="false" ht="16.5" hidden="false" customHeight="false" outlineLevel="0" collapsed="false">
      <c r="A173" s="56" t="str">
        <f aca="false">IF($W173="","",INDEX(发票统计!A$4:A$1003,$W173)&amp;"")</f>
        <v/>
      </c>
      <c r="B173" s="56" t="str">
        <f aca="false">IF($W173="","",INDEX(发票统计!B$4:B$1003,$W173)&amp;"")</f>
        <v/>
      </c>
      <c r="C173" s="56" t="str">
        <f aca="false">IF($W173="","",INDEX(发票统计!C$4:C$1003,$W173)&amp;"")</f>
        <v/>
      </c>
      <c r="D173" s="56" t="str">
        <f aca="false">IF($W173="","",INDEX(发票统计!D$4:D$1003,$W173)&amp;"")</f>
        <v/>
      </c>
      <c r="E173" s="56" t="str">
        <f aca="false">IF($W173="","",INDEX(发票统计!E$4:E$1003,$W173)&amp;"")</f>
        <v/>
      </c>
      <c r="F173" s="73" t="str">
        <f aca="false">IF($W173="","",INDEX(发票统计!F$4:F$1003,$W173)&amp;"")</f>
        <v/>
      </c>
      <c r="G173" s="68" t="str">
        <f aca="false">IF($W173="","",IF(INDEX(发票统计!G$4:G$1003,$W173)="","",INDEX(发票统计!G$4:G$1003,$W173)))</f>
        <v/>
      </c>
      <c r="H173" s="56" t="str">
        <f aca="false">IF($W173="","",N(INDEX(发票统计!H$4:H$1003,$W173)))</f>
        <v/>
      </c>
      <c r="I173" s="56" t="str">
        <f aca="false">IF($W173="","",N(INDEX(发票统计!I$4:I$1003,$W173)))</f>
        <v/>
      </c>
      <c r="J173" s="56" t="str">
        <f aca="false">IF($W173="","",N(INDEX(发票统计!J$4:J$1003,$W173)))</f>
        <v/>
      </c>
      <c r="K173" s="56" t="str">
        <f aca="false">IF($W173="","",N(INDEX(发票统计!K$4:K$1003,$W173)))</f>
        <v/>
      </c>
      <c r="L173" s="56" t="str">
        <f aca="false">IF($W173="","",SUM(J$4:J173)-SUM(K$4:K173))</f>
        <v/>
      </c>
      <c r="M173" s="56" t="str">
        <f aca="false">IF($W173="","",N(INDEX(发票统计!M$4:M$1003,$W173)))</f>
        <v/>
      </c>
      <c r="N173" s="56" t="str">
        <f aca="false">IF($W173="","",N(INDEX(发票统计!N$4:N$1003,$W173)))</f>
        <v/>
      </c>
      <c r="O173" s="56" t="str">
        <f aca="false">IF($W173="","",N(INDEX(发票统计!O$4:O$1003,$W173)))</f>
        <v/>
      </c>
      <c r="P173" s="56" t="str">
        <f aca="false">IF($W173="","",SUM(M$4:M173)-SUM(N$4:N173)-SUM(O$4:O173))</f>
        <v/>
      </c>
      <c r="Q173" s="56" t="str">
        <f aca="false">IF($W173="","",N(INDEX(发票统计!Q$4:Q$1003,$W173)))</f>
        <v/>
      </c>
      <c r="R173" s="56" t="str">
        <f aca="false">IF($W173="","",N(INDEX(发票统计!R$4:R$1003,$W173)))</f>
        <v/>
      </c>
      <c r="S173" s="56" t="str">
        <f aca="false">IF($W173="","",N(INDEX(发票统计!S$4:S$1003,$W173)))</f>
        <v/>
      </c>
      <c r="T173" s="56" t="str">
        <f aca="false">IF($W173="","",SUM(Q$4:Q173)-SUM(R$4:R173)-SUM(S$4:S173))</f>
        <v/>
      </c>
      <c r="U173" s="56" t="str">
        <f aca="false">IF($W173="","",INDEX(发票统计!U$4:U$1003,$W173)&amp;"")</f>
        <v/>
      </c>
      <c r="W173" s="1" t="str">
        <f aca="false">IF($V$3="","",IFERROR(MATCH($V$3&amp;"#"&amp;ROWS(W$4:W173),发票统计!$W$4:$W$1003,0),""))</f>
        <v/>
      </c>
    </row>
    <row r="174" customFormat="false" ht="16.5" hidden="false" customHeight="false" outlineLevel="0" collapsed="false">
      <c r="A174" s="56" t="str">
        <f aca="false">IF($W174="","",INDEX(发票统计!A$4:A$1003,$W174)&amp;"")</f>
        <v/>
      </c>
      <c r="B174" s="56" t="str">
        <f aca="false">IF($W174="","",INDEX(发票统计!B$4:B$1003,$W174)&amp;"")</f>
        <v/>
      </c>
      <c r="C174" s="56" t="str">
        <f aca="false">IF($W174="","",INDEX(发票统计!C$4:C$1003,$W174)&amp;"")</f>
        <v/>
      </c>
      <c r="D174" s="56" t="str">
        <f aca="false">IF($W174="","",INDEX(发票统计!D$4:D$1003,$W174)&amp;"")</f>
        <v/>
      </c>
      <c r="E174" s="56" t="str">
        <f aca="false">IF($W174="","",INDEX(发票统计!E$4:E$1003,$W174)&amp;"")</f>
        <v/>
      </c>
      <c r="F174" s="73" t="str">
        <f aca="false">IF($W174="","",INDEX(发票统计!F$4:F$1003,$W174)&amp;"")</f>
        <v/>
      </c>
      <c r="G174" s="68" t="str">
        <f aca="false">IF($W174="","",IF(INDEX(发票统计!G$4:G$1003,$W174)="","",INDEX(发票统计!G$4:G$1003,$W174)))</f>
        <v/>
      </c>
      <c r="H174" s="56" t="str">
        <f aca="false">IF($W174="","",N(INDEX(发票统计!H$4:H$1003,$W174)))</f>
        <v/>
      </c>
      <c r="I174" s="56" t="str">
        <f aca="false">IF($W174="","",N(INDEX(发票统计!I$4:I$1003,$W174)))</f>
        <v/>
      </c>
      <c r="J174" s="56" t="str">
        <f aca="false">IF($W174="","",N(INDEX(发票统计!J$4:J$1003,$W174)))</f>
        <v/>
      </c>
      <c r="K174" s="56" t="str">
        <f aca="false">IF($W174="","",N(INDEX(发票统计!K$4:K$1003,$W174)))</f>
        <v/>
      </c>
      <c r="L174" s="56" t="str">
        <f aca="false">IF($W174="","",SUM(J$4:J174)-SUM(K$4:K174))</f>
        <v/>
      </c>
      <c r="M174" s="56" t="str">
        <f aca="false">IF($W174="","",N(INDEX(发票统计!M$4:M$1003,$W174)))</f>
        <v/>
      </c>
      <c r="N174" s="56" t="str">
        <f aca="false">IF($W174="","",N(INDEX(发票统计!N$4:N$1003,$W174)))</f>
        <v/>
      </c>
      <c r="O174" s="56" t="str">
        <f aca="false">IF($W174="","",N(INDEX(发票统计!O$4:O$1003,$W174)))</f>
        <v/>
      </c>
      <c r="P174" s="56" t="str">
        <f aca="false">IF($W174="","",SUM(M$4:M174)-SUM(N$4:N174)-SUM(O$4:O174))</f>
        <v/>
      </c>
      <c r="Q174" s="56" t="str">
        <f aca="false">IF($W174="","",N(INDEX(发票统计!Q$4:Q$1003,$W174)))</f>
        <v/>
      </c>
      <c r="R174" s="56" t="str">
        <f aca="false">IF($W174="","",N(INDEX(发票统计!R$4:R$1003,$W174)))</f>
        <v/>
      </c>
      <c r="S174" s="56" t="str">
        <f aca="false">IF($W174="","",N(INDEX(发票统计!S$4:S$1003,$W174)))</f>
        <v/>
      </c>
      <c r="T174" s="56" t="str">
        <f aca="false">IF($W174="","",SUM(Q$4:Q174)-SUM(R$4:R174)-SUM(S$4:S174))</f>
        <v/>
      </c>
      <c r="U174" s="56" t="str">
        <f aca="false">IF($W174="","",INDEX(发票统计!U$4:U$1003,$W174)&amp;"")</f>
        <v/>
      </c>
      <c r="W174" s="1" t="str">
        <f aca="false">IF($V$3="","",IFERROR(MATCH($V$3&amp;"#"&amp;ROWS(W$4:W174),发票统计!$W$4:$W$1003,0),""))</f>
        <v/>
      </c>
    </row>
    <row r="175" customFormat="false" ht="16.5" hidden="false" customHeight="false" outlineLevel="0" collapsed="false">
      <c r="A175" s="56" t="str">
        <f aca="false">IF($W175="","",INDEX(发票统计!A$4:A$1003,$W175)&amp;"")</f>
        <v/>
      </c>
      <c r="B175" s="56" t="str">
        <f aca="false">IF($W175="","",INDEX(发票统计!B$4:B$1003,$W175)&amp;"")</f>
        <v/>
      </c>
      <c r="C175" s="56" t="str">
        <f aca="false">IF($W175="","",INDEX(发票统计!C$4:C$1003,$W175)&amp;"")</f>
        <v/>
      </c>
      <c r="D175" s="56" t="str">
        <f aca="false">IF($W175="","",INDEX(发票统计!D$4:D$1003,$W175)&amp;"")</f>
        <v/>
      </c>
      <c r="E175" s="56" t="str">
        <f aca="false">IF($W175="","",INDEX(发票统计!E$4:E$1003,$W175)&amp;"")</f>
        <v/>
      </c>
      <c r="F175" s="73" t="str">
        <f aca="false">IF($W175="","",INDEX(发票统计!F$4:F$1003,$W175)&amp;"")</f>
        <v/>
      </c>
      <c r="G175" s="68" t="str">
        <f aca="false">IF($W175="","",IF(INDEX(发票统计!G$4:G$1003,$W175)="","",INDEX(发票统计!G$4:G$1003,$W175)))</f>
        <v/>
      </c>
      <c r="H175" s="56" t="str">
        <f aca="false">IF($W175="","",N(INDEX(发票统计!H$4:H$1003,$W175)))</f>
        <v/>
      </c>
      <c r="I175" s="56" t="str">
        <f aca="false">IF($W175="","",N(INDEX(发票统计!I$4:I$1003,$W175)))</f>
        <v/>
      </c>
      <c r="J175" s="56" t="str">
        <f aca="false">IF($W175="","",N(INDEX(发票统计!J$4:J$1003,$W175)))</f>
        <v/>
      </c>
      <c r="K175" s="56" t="str">
        <f aca="false">IF($W175="","",N(INDEX(发票统计!K$4:K$1003,$W175)))</f>
        <v/>
      </c>
      <c r="L175" s="56" t="str">
        <f aca="false">IF($W175="","",SUM(J$4:J175)-SUM(K$4:K175))</f>
        <v/>
      </c>
      <c r="M175" s="56" t="str">
        <f aca="false">IF($W175="","",N(INDEX(发票统计!M$4:M$1003,$W175)))</f>
        <v/>
      </c>
      <c r="N175" s="56" t="str">
        <f aca="false">IF($W175="","",N(INDEX(发票统计!N$4:N$1003,$W175)))</f>
        <v/>
      </c>
      <c r="O175" s="56" t="str">
        <f aca="false">IF($W175="","",N(INDEX(发票统计!O$4:O$1003,$W175)))</f>
        <v/>
      </c>
      <c r="P175" s="56" t="str">
        <f aca="false">IF($W175="","",SUM(M$4:M175)-SUM(N$4:N175)-SUM(O$4:O175))</f>
        <v/>
      </c>
      <c r="Q175" s="56" t="str">
        <f aca="false">IF($W175="","",N(INDEX(发票统计!Q$4:Q$1003,$W175)))</f>
        <v/>
      </c>
      <c r="R175" s="56" t="str">
        <f aca="false">IF($W175="","",N(INDEX(发票统计!R$4:R$1003,$W175)))</f>
        <v/>
      </c>
      <c r="S175" s="56" t="str">
        <f aca="false">IF($W175="","",N(INDEX(发票统计!S$4:S$1003,$W175)))</f>
        <v/>
      </c>
      <c r="T175" s="56" t="str">
        <f aca="false">IF($W175="","",SUM(Q$4:Q175)-SUM(R$4:R175)-SUM(S$4:S175))</f>
        <v/>
      </c>
      <c r="U175" s="56" t="str">
        <f aca="false">IF($W175="","",INDEX(发票统计!U$4:U$1003,$W175)&amp;"")</f>
        <v/>
      </c>
      <c r="W175" s="1" t="str">
        <f aca="false">IF($V$3="","",IFERROR(MATCH($V$3&amp;"#"&amp;ROWS(W$4:W175),发票统计!$W$4:$W$1003,0),""))</f>
        <v/>
      </c>
    </row>
    <row r="176" customFormat="false" ht="16.5" hidden="false" customHeight="false" outlineLevel="0" collapsed="false">
      <c r="A176" s="56" t="str">
        <f aca="false">IF($W176="","",INDEX(发票统计!A$4:A$1003,$W176)&amp;"")</f>
        <v/>
      </c>
      <c r="B176" s="56" t="str">
        <f aca="false">IF($W176="","",INDEX(发票统计!B$4:B$1003,$W176)&amp;"")</f>
        <v/>
      </c>
      <c r="C176" s="56" t="str">
        <f aca="false">IF($W176="","",INDEX(发票统计!C$4:C$1003,$W176)&amp;"")</f>
        <v/>
      </c>
      <c r="D176" s="56" t="str">
        <f aca="false">IF($W176="","",INDEX(发票统计!D$4:D$1003,$W176)&amp;"")</f>
        <v/>
      </c>
      <c r="E176" s="56" t="str">
        <f aca="false">IF($W176="","",INDEX(发票统计!E$4:E$1003,$W176)&amp;"")</f>
        <v/>
      </c>
      <c r="F176" s="73" t="str">
        <f aca="false">IF($W176="","",INDEX(发票统计!F$4:F$1003,$W176)&amp;"")</f>
        <v/>
      </c>
      <c r="G176" s="68" t="str">
        <f aca="false">IF($W176="","",IF(INDEX(发票统计!G$4:G$1003,$W176)="","",INDEX(发票统计!G$4:G$1003,$W176)))</f>
        <v/>
      </c>
      <c r="H176" s="56" t="str">
        <f aca="false">IF($W176="","",N(INDEX(发票统计!H$4:H$1003,$W176)))</f>
        <v/>
      </c>
      <c r="I176" s="56" t="str">
        <f aca="false">IF($W176="","",N(INDEX(发票统计!I$4:I$1003,$W176)))</f>
        <v/>
      </c>
      <c r="J176" s="56" t="str">
        <f aca="false">IF($W176="","",N(INDEX(发票统计!J$4:J$1003,$W176)))</f>
        <v/>
      </c>
      <c r="K176" s="56" t="str">
        <f aca="false">IF($W176="","",N(INDEX(发票统计!K$4:K$1003,$W176)))</f>
        <v/>
      </c>
      <c r="L176" s="56" t="str">
        <f aca="false">IF($W176="","",SUM(J$4:J176)-SUM(K$4:K176))</f>
        <v/>
      </c>
      <c r="M176" s="56" t="str">
        <f aca="false">IF($W176="","",N(INDEX(发票统计!M$4:M$1003,$W176)))</f>
        <v/>
      </c>
      <c r="N176" s="56" t="str">
        <f aca="false">IF($W176="","",N(INDEX(发票统计!N$4:N$1003,$W176)))</f>
        <v/>
      </c>
      <c r="O176" s="56" t="str">
        <f aca="false">IF($W176="","",N(INDEX(发票统计!O$4:O$1003,$W176)))</f>
        <v/>
      </c>
      <c r="P176" s="56" t="str">
        <f aca="false">IF($W176="","",SUM(M$4:M176)-SUM(N$4:N176)-SUM(O$4:O176))</f>
        <v/>
      </c>
      <c r="Q176" s="56" t="str">
        <f aca="false">IF($W176="","",N(INDEX(发票统计!Q$4:Q$1003,$W176)))</f>
        <v/>
      </c>
      <c r="R176" s="56" t="str">
        <f aca="false">IF($W176="","",N(INDEX(发票统计!R$4:R$1003,$W176)))</f>
        <v/>
      </c>
      <c r="S176" s="56" t="str">
        <f aca="false">IF($W176="","",N(INDEX(发票统计!S$4:S$1003,$W176)))</f>
        <v/>
      </c>
      <c r="T176" s="56" t="str">
        <f aca="false">IF($W176="","",SUM(Q$4:Q176)-SUM(R$4:R176)-SUM(S$4:S176))</f>
        <v/>
      </c>
      <c r="U176" s="56" t="str">
        <f aca="false">IF($W176="","",INDEX(发票统计!U$4:U$1003,$W176)&amp;"")</f>
        <v/>
      </c>
      <c r="W176" s="1" t="str">
        <f aca="false">IF($V$3="","",IFERROR(MATCH($V$3&amp;"#"&amp;ROWS(W$4:W176),发票统计!$W$4:$W$1003,0),""))</f>
        <v/>
      </c>
    </row>
    <row r="177" customFormat="false" ht="16.5" hidden="false" customHeight="false" outlineLevel="0" collapsed="false">
      <c r="A177" s="56" t="str">
        <f aca="false">IF($W177="","",INDEX(发票统计!A$4:A$1003,$W177)&amp;"")</f>
        <v/>
      </c>
      <c r="B177" s="56" t="str">
        <f aca="false">IF($W177="","",INDEX(发票统计!B$4:B$1003,$W177)&amp;"")</f>
        <v/>
      </c>
      <c r="C177" s="56" t="str">
        <f aca="false">IF($W177="","",INDEX(发票统计!C$4:C$1003,$W177)&amp;"")</f>
        <v/>
      </c>
      <c r="D177" s="56" t="str">
        <f aca="false">IF($W177="","",INDEX(发票统计!D$4:D$1003,$W177)&amp;"")</f>
        <v/>
      </c>
      <c r="E177" s="56" t="str">
        <f aca="false">IF($W177="","",INDEX(发票统计!E$4:E$1003,$W177)&amp;"")</f>
        <v/>
      </c>
      <c r="F177" s="73" t="str">
        <f aca="false">IF($W177="","",INDEX(发票统计!F$4:F$1003,$W177)&amp;"")</f>
        <v/>
      </c>
      <c r="G177" s="68" t="str">
        <f aca="false">IF($W177="","",IF(INDEX(发票统计!G$4:G$1003,$W177)="","",INDEX(发票统计!G$4:G$1003,$W177)))</f>
        <v/>
      </c>
      <c r="H177" s="56" t="str">
        <f aca="false">IF($W177="","",N(INDEX(发票统计!H$4:H$1003,$W177)))</f>
        <v/>
      </c>
      <c r="I177" s="56" t="str">
        <f aca="false">IF($W177="","",N(INDEX(发票统计!I$4:I$1003,$W177)))</f>
        <v/>
      </c>
      <c r="J177" s="56" t="str">
        <f aca="false">IF($W177="","",N(INDEX(发票统计!J$4:J$1003,$W177)))</f>
        <v/>
      </c>
      <c r="K177" s="56" t="str">
        <f aca="false">IF($W177="","",N(INDEX(发票统计!K$4:K$1003,$W177)))</f>
        <v/>
      </c>
      <c r="L177" s="56" t="str">
        <f aca="false">IF($W177="","",SUM(J$4:J177)-SUM(K$4:K177))</f>
        <v/>
      </c>
      <c r="M177" s="56" t="str">
        <f aca="false">IF($W177="","",N(INDEX(发票统计!M$4:M$1003,$W177)))</f>
        <v/>
      </c>
      <c r="N177" s="56" t="str">
        <f aca="false">IF($W177="","",N(INDEX(发票统计!N$4:N$1003,$W177)))</f>
        <v/>
      </c>
      <c r="O177" s="56" t="str">
        <f aca="false">IF($W177="","",N(INDEX(发票统计!O$4:O$1003,$W177)))</f>
        <v/>
      </c>
      <c r="P177" s="56" t="str">
        <f aca="false">IF($W177="","",SUM(M$4:M177)-SUM(N$4:N177)-SUM(O$4:O177))</f>
        <v/>
      </c>
      <c r="Q177" s="56" t="str">
        <f aca="false">IF($W177="","",N(INDEX(发票统计!Q$4:Q$1003,$W177)))</f>
        <v/>
      </c>
      <c r="R177" s="56" t="str">
        <f aca="false">IF($W177="","",N(INDEX(发票统计!R$4:R$1003,$W177)))</f>
        <v/>
      </c>
      <c r="S177" s="56" t="str">
        <f aca="false">IF($W177="","",N(INDEX(发票统计!S$4:S$1003,$W177)))</f>
        <v/>
      </c>
      <c r="T177" s="56" t="str">
        <f aca="false">IF($W177="","",SUM(Q$4:Q177)-SUM(R$4:R177)-SUM(S$4:S177))</f>
        <v/>
      </c>
      <c r="U177" s="56" t="str">
        <f aca="false">IF($W177="","",INDEX(发票统计!U$4:U$1003,$W177)&amp;"")</f>
        <v/>
      </c>
      <c r="W177" s="1" t="str">
        <f aca="false">IF($V$3="","",IFERROR(MATCH($V$3&amp;"#"&amp;ROWS(W$4:W177),发票统计!$W$4:$W$1003,0),""))</f>
        <v/>
      </c>
    </row>
    <row r="178" customFormat="false" ht="16.5" hidden="false" customHeight="false" outlineLevel="0" collapsed="false">
      <c r="A178" s="56" t="str">
        <f aca="false">IF($W178="","",INDEX(发票统计!A$4:A$1003,$W178)&amp;"")</f>
        <v/>
      </c>
      <c r="B178" s="56" t="str">
        <f aca="false">IF($W178="","",INDEX(发票统计!B$4:B$1003,$W178)&amp;"")</f>
        <v/>
      </c>
      <c r="C178" s="56" t="str">
        <f aca="false">IF($W178="","",INDEX(发票统计!C$4:C$1003,$W178)&amp;"")</f>
        <v/>
      </c>
      <c r="D178" s="56" t="str">
        <f aca="false">IF($W178="","",INDEX(发票统计!D$4:D$1003,$W178)&amp;"")</f>
        <v/>
      </c>
      <c r="E178" s="56" t="str">
        <f aca="false">IF($W178="","",INDEX(发票统计!E$4:E$1003,$W178)&amp;"")</f>
        <v/>
      </c>
      <c r="F178" s="73" t="str">
        <f aca="false">IF($W178="","",INDEX(发票统计!F$4:F$1003,$W178)&amp;"")</f>
        <v/>
      </c>
      <c r="G178" s="68" t="str">
        <f aca="false">IF($W178="","",IF(INDEX(发票统计!G$4:G$1003,$W178)="","",INDEX(发票统计!G$4:G$1003,$W178)))</f>
        <v/>
      </c>
      <c r="H178" s="56" t="str">
        <f aca="false">IF($W178="","",N(INDEX(发票统计!H$4:H$1003,$W178)))</f>
        <v/>
      </c>
      <c r="I178" s="56" t="str">
        <f aca="false">IF($W178="","",N(INDEX(发票统计!I$4:I$1003,$W178)))</f>
        <v/>
      </c>
      <c r="J178" s="56" t="str">
        <f aca="false">IF($W178="","",N(INDEX(发票统计!J$4:J$1003,$W178)))</f>
        <v/>
      </c>
      <c r="K178" s="56" t="str">
        <f aca="false">IF($W178="","",N(INDEX(发票统计!K$4:K$1003,$W178)))</f>
        <v/>
      </c>
      <c r="L178" s="56" t="str">
        <f aca="false">IF($W178="","",SUM(J$4:J178)-SUM(K$4:K178))</f>
        <v/>
      </c>
      <c r="M178" s="56" t="str">
        <f aca="false">IF($W178="","",N(INDEX(发票统计!M$4:M$1003,$W178)))</f>
        <v/>
      </c>
      <c r="N178" s="56" t="str">
        <f aca="false">IF($W178="","",N(INDEX(发票统计!N$4:N$1003,$W178)))</f>
        <v/>
      </c>
      <c r="O178" s="56" t="str">
        <f aca="false">IF($W178="","",N(INDEX(发票统计!O$4:O$1003,$W178)))</f>
        <v/>
      </c>
      <c r="P178" s="56" t="str">
        <f aca="false">IF($W178="","",SUM(M$4:M178)-SUM(N$4:N178)-SUM(O$4:O178))</f>
        <v/>
      </c>
      <c r="Q178" s="56" t="str">
        <f aca="false">IF($W178="","",N(INDEX(发票统计!Q$4:Q$1003,$W178)))</f>
        <v/>
      </c>
      <c r="R178" s="56" t="str">
        <f aca="false">IF($W178="","",N(INDEX(发票统计!R$4:R$1003,$W178)))</f>
        <v/>
      </c>
      <c r="S178" s="56" t="str">
        <f aca="false">IF($W178="","",N(INDEX(发票统计!S$4:S$1003,$W178)))</f>
        <v/>
      </c>
      <c r="T178" s="56" t="str">
        <f aca="false">IF($W178="","",SUM(Q$4:Q178)-SUM(R$4:R178)-SUM(S$4:S178))</f>
        <v/>
      </c>
      <c r="U178" s="56" t="str">
        <f aca="false">IF($W178="","",INDEX(发票统计!U$4:U$1003,$W178)&amp;"")</f>
        <v/>
      </c>
      <c r="W178" s="1" t="str">
        <f aca="false">IF($V$3="","",IFERROR(MATCH($V$3&amp;"#"&amp;ROWS(W$4:W178),发票统计!$W$4:$W$1003,0),""))</f>
        <v/>
      </c>
    </row>
    <row r="179" customFormat="false" ht="16.5" hidden="false" customHeight="false" outlineLevel="0" collapsed="false">
      <c r="A179" s="56" t="str">
        <f aca="false">IF($W179="","",INDEX(发票统计!A$4:A$1003,$W179)&amp;"")</f>
        <v/>
      </c>
      <c r="B179" s="56" t="str">
        <f aca="false">IF($W179="","",INDEX(发票统计!B$4:B$1003,$W179)&amp;"")</f>
        <v/>
      </c>
      <c r="C179" s="56" t="str">
        <f aca="false">IF($W179="","",INDEX(发票统计!C$4:C$1003,$W179)&amp;"")</f>
        <v/>
      </c>
      <c r="D179" s="56" t="str">
        <f aca="false">IF($W179="","",INDEX(发票统计!D$4:D$1003,$W179)&amp;"")</f>
        <v/>
      </c>
      <c r="E179" s="56" t="str">
        <f aca="false">IF($W179="","",INDEX(发票统计!E$4:E$1003,$W179)&amp;"")</f>
        <v/>
      </c>
      <c r="F179" s="73" t="str">
        <f aca="false">IF($W179="","",INDEX(发票统计!F$4:F$1003,$W179)&amp;"")</f>
        <v/>
      </c>
      <c r="G179" s="68" t="str">
        <f aca="false">IF($W179="","",IF(INDEX(发票统计!G$4:G$1003,$W179)="","",INDEX(发票统计!G$4:G$1003,$W179)))</f>
        <v/>
      </c>
      <c r="H179" s="56" t="str">
        <f aca="false">IF($W179="","",N(INDEX(发票统计!H$4:H$1003,$W179)))</f>
        <v/>
      </c>
      <c r="I179" s="56" t="str">
        <f aca="false">IF($W179="","",N(INDEX(发票统计!I$4:I$1003,$W179)))</f>
        <v/>
      </c>
      <c r="J179" s="56" t="str">
        <f aca="false">IF($W179="","",N(INDEX(发票统计!J$4:J$1003,$W179)))</f>
        <v/>
      </c>
      <c r="K179" s="56" t="str">
        <f aca="false">IF($W179="","",N(INDEX(发票统计!K$4:K$1003,$W179)))</f>
        <v/>
      </c>
      <c r="L179" s="56" t="str">
        <f aca="false">IF($W179="","",SUM(J$4:J179)-SUM(K$4:K179))</f>
        <v/>
      </c>
      <c r="M179" s="56" t="str">
        <f aca="false">IF($W179="","",N(INDEX(发票统计!M$4:M$1003,$W179)))</f>
        <v/>
      </c>
      <c r="N179" s="56" t="str">
        <f aca="false">IF($W179="","",N(INDEX(发票统计!N$4:N$1003,$W179)))</f>
        <v/>
      </c>
      <c r="O179" s="56" t="str">
        <f aca="false">IF($W179="","",N(INDEX(发票统计!O$4:O$1003,$W179)))</f>
        <v/>
      </c>
      <c r="P179" s="56" t="str">
        <f aca="false">IF($W179="","",SUM(M$4:M179)-SUM(N$4:N179)-SUM(O$4:O179))</f>
        <v/>
      </c>
      <c r="Q179" s="56" t="str">
        <f aca="false">IF($W179="","",N(INDEX(发票统计!Q$4:Q$1003,$W179)))</f>
        <v/>
      </c>
      <c r="R179" s="56" t="str">
        <f aca="false">IF($W179="","",N(INDEX(发票统计!R$4:R$1003,$W179)))</f>
        <v/>
      </c>
      <c r="S179" s="56" t="str">
        <f aca="false">IF($W179="","",N(INDEX(发票统计!S$4:S$1003,$W179)))</f>
        <v/>
      </c>
      <c r="T179" s="56" t="str">
        <f aca="false">IF($W179="","",SUM(Q$4:Q179)-SUM(R$4:R179)-SUM(S$4:S179))</f>
        <v/>
      </c>
      <c r="U179" s="56" t="str">
        <f aca="false">IF($W179="","",INDEX(发票统计!U$4:U$1003,$W179)&amp;"")</f>
        <v/>
      </c>
      <c r="W179" s="1" t="str">
        <f aca="false">IF($V$3="","",IFERROR(MATCH($V$3&amp;"#"&amp;ROWS(W$4:W179),发票统计!$W$4:$W$1003,0),""))</f>
        <v/>
      </c>
    </row>
    <row r="180" customFormat="false" ht="16.5" hidden="false" customHeight="false" outlineLevel="0" collapsed="false">
      <c r="A180" s="56" t="str">
        <f aca="false">IF($W180="","",INDEX(发票统计!A$4:A$1003,$W180)&amp;"")</f>
        <v/>
      </c>
      <c r="B180" s="56" t="str">
        <f aca="false">IF($W180="","",INDEX(发票统计!B$4:B$1003,$W180)&amp;"")</f>
        <v/>
      </c>
      <c r="C180" s="56" t="str">
        <f aca="false">IF($W180="","",INDEX(发票统计!C$4:C$1003,$W180)&amp;"")</f>
        <v/>
      </c>
      <c r="D180" s="56" t="str">
        <f aca="false">IF($W180="","",INDEX(发票统计!D$4:D$1003,$W180)&amp;"")</f>
        <v/>
      </c>
      <c r="E180" s="56" t="str">
        <f aca="false">IF($W180="","",INDEX(发票统计!E$4:E$1003,$W180)&amp;"")</f>
        <v/>
      </c>
      <c r="F180" s="73" t="str">
        <f aca="false">IF($W180="","",INDEX(发票统计!F$4:F$1003,$W180)&amp;"")</f>
        <v/>
      </c>
      <c r="G180" s="68" t="str">
        <f aca="false">IF($W180="","",IF(INDEX(发票统计!G$4:G$1003,$W180)="","",INDEX(发票统计!G$4:G$1003,$W180)))</f>
        <v/>
      </c>
      <c r="H180" s="56" t="str">
        <f aca="false">IF($W180="","",N(INDEX(发票统计!H$4:H$1003,$W180)))</f>
        <v/>
      </c>
      <c r="I180" s="56" t="str">
        <f aca="false">IF($W180="","",N(INDEX(发票统计!I$4:I$1003,$W180)))</f>
        <v/>
      </c>
      <c r="J180" s="56" t="str">
        <f aca="false">IF($W180="","",N(INDEX(发票统计!J$4:J$1003,$W180)))</f>
        <v/>
      </c>
      <c r="K180" s="56" t="str">
        <f aca="false">IF($W180="","",N(INDEX(发票统计!K$4:K$1003,$W180)))</f>
        <v/>
      </c>
      <c r="L180" s="56" t="str">
        <f aca="false">IF($W180="","",SUM(J$4:J180)-SUM(K$4:K180))</f>
        <v/>
      </c>
      <c r="M180" s="56" t="str">
        <f aca="false">IF($W180="","",N(INDEX(发票统计!M$4:M$1003,$W180)))</f>
        <v/>
      </c>
      <c r="N180" s="56" t="str">
        <f aca="false">IF($W180="","",N(INDEX(发票统计!N$4:N$1003,$W180)))</f>
        <v/>
      </c>
      <c r="O180" s="56" t="str">
        <f aca="false">IF($W180="","",N(INDEX(发票统计!O$4:O$1003,$W180)))</f>
        <v/>
      </c>
      <c r="P180" s="56" t="str">
        <f aca="false">IF($W180="","",SUM(M$4:M180)-SUM(N$4:N180)-SUM(O$4:O180))</f>
        <v/>
      </c>
      <c r="Q180" s="56" t="str">
        <f aca="false">IF($W180="","",N(INDEX(发票统计!Q$4:Q$1003,$W180)))</f>
        <v/>
      </c>
      <c r="R180" s="56" t="str">
        <f aca="false">IF($W180="","",N(INDEX(发票统计!R$4:R$1003,$W180)))</f>
        <v/>
      </c>
      <c r="S180" s="56" t="str">
        <f aca="false">IF($W180="","",N(INDEX(发票统计!S$4:S$1003,$W180)))</f>
        <v/>
      </c>
      <c r="T180" s="56" t="str">
        <f aca="false">IF($W180="","",SUM(Q$4:Q180)-SUM(R$4:R180)-SUM(S$4:S180))</f>
        <v/>
      </c>
      <c r="U180" s="56" t="str">
        <f aca="false">IF($W180="","",INDEX(发票统计!U$4:U$1003,$W180)&amp;"")</f>
        <v/>
      </c>
      <c r="W180" s="1" t="str">
        <f aca="false">IF($V$3="","",IFERROR(MATCH($V$3&amp;"#"&amp;ROWS(W$4:W180),发票统计!$W$4:$W$1003,0),""))</f>
        <v/>
      </c>
    </row>
    <row r="181" customFormat="false" ht="16.5" hidden="false" customHeight="false" outlineLevel="0" collapsed="false">
      <c r="A181" s="56" t="str">
        <f aca="false">IF($W181="","",INDEX(发票统计!A$4:A$1003,$W181)&amp;"")</f>
        <v/>
      </c>
      <c r="B181" s="56" t="str">
        <f aca="false">IF($W181="","",INDEX(发票统计!B$4:B$1003,$W181)&amp;"")</f>
        <v/>
      </c>
      <c r="C181" s="56" t="str">
        <f aca="false">IF($W181="","",INDEX(发票统计!C$4:C$1003,$W181)&amp;"")</f>
        <v/>
      </c>
      <c r="D181" s="56" t="str">
        <f aca="false">IF($W181="","",INDEX(发票统计!D$4:D$1003,$W181)&amp;"")</f>
        <v/>
      </c>
      <c r="E181" s="56" t="str">
        <f aca="false">IF($W181="","",INDEX(发票统计!E$4:E$1003,$W181)&amp;"")</f>
        <v/>
      </c>
      <c r="F181" s="73" t="str">
        <f aca="false">IF($W181="","",INDEX(发票统计!F$4:F$1003,$W181)&amp;"")</f>
        <v/>
      </c>
      <c r="G181" s="68" t="str">
        <f aca="false">IF($W181="","",IF(INDEX(发票统计!G$4:G$1003,$W181)="","",INDEX(发票统计!G$4:G$1003,$W181)))</f>
        <v/>
      </c>
      <c r="H181" s="56" t="str">
        <f aca="false">IF($W181="","",N(INDEX(发票统计!H$4:H$1003,$W181)))</f>
        <v/>
      </c>
      <c r="I181" s="56" t="str">
        <f aca="false">IF($W181="","",N(INDEX(发票统计!I$4:I$1003,$W181)))</f>
        <v/>
      </c>
      <c r="J181" s="56" t="str">
        <f aca="false">IF($W181="","",N(INDEX(发票统计!J$4:J$1003,$W181)))</f>
        <v/>
      </c>
      <c r="K181" s="56" t="str">
        <f aca="false">IF($W181="","",N(INDEX(发票统计!K$4:K$1003,$W181)))</f>
        <v/>
      </c>
      <c r="L181" s="56" t="str">
        <f aca="false">IF($W181="","",SUM(J$4:J181)-SUM(K$4:K181))</f>
        <v/>
      </c>
      <c r="M181" s="56" t="str">
        <f aca="false">IF($W181="","",N(INDEX(发票统计!M$4:M$1003,$W181)))</f>
        <v/>
      </c>
      <c r="N181" s="56" t="str">
        <f aca="false">IF($W181="","",N(INDEX(发票统计!N$4:N$1003,$W181)))</f>
        <v/>
      </c>
      <c r="O181" s="56" t="str">
        <f aca="false">IF($W181="","",N(INDEX(发票统计!O$4:O$1003,$W181)))</f>
        <v/>
      </c>
      <c r="P181" s="56" t="str">
        <f aca="false">IF($W181="","",SUM(M$4:M181)-SUM(N$4:N181)-SUM(O$4:O181))</f>
        <v/>
      </c>
      <c r="Q181" s="56" t="str">
        <f aca="false">IF($W181="","",N(INDEX(发票统计!Q$4:Q$1003,$W181)))</f>
        <v/>
      </c>
      <c r="R181" s="56" t="str">
        <f aca="false">IF($W181="","",N(INDEX(发票统计!R$4:R$1003,$W181)))</f>
        <v/>
      </c>
      <c r="S181" s="56" t="str">
        <f aca="false">IF($W181="","",N(INDEX(发票统计!S$4:S$1003,$W181)))</f>
        <v/>
      </c>
      <c r="T181" s="56" t="str">
        <f aca="false">IF($W181="","",SUM(Q$4:Q181)-SUM(R$4:R181)-SUM(S$4:S181))</f>
        <v/>
      </c>
      <c r="U181" s="56" t="str">
        <f aca="false">IF($W181="","",INDEX(发票统计!U$4:U$1003,$W181)&amp;"")</f>
        <v/>
      </c>
      <c r="W181" s="1" t="str">
        <f aca="false">IF($V$3="","",IFERROR(MATCH($V$3&amp;"#"&amp;ROWS(W$4:W181),发票统计!$W$4:$W$1003,0),""))</f>
        <v/>
      </c>
    </row>
    <row r="182" customFormat="false" ht="16.5" hidden="false" customHeight="false" outlineLevel="0" collapsed="false">
      <c r="A182" s="56" t="str">
        <f aca="false">IF($W182="","",INDEX(发票统计!A$4:A$1003,$W182)&amp;"")</f>
        <v/>
      </c>
      <c r="B182" s="56" t="str">
        <f aca="false">IF($W182="","",INDEX(发票统计!B$4:B$1003,$W182)&amp;"")</f>
        <v/>
      </c>
      <c r="C182" s="56" t="str">
        <f aca="false">IF($W182="","",INDEX(发票统计!C$4:C$1003,$W182)&amp;"")</f>
        <v/>
      </c>
      <c r="D182" s="56" t="str">
        <f aca="false">IF($W182="","",INDEX(发票统计!D$4:D$1003,$W182)&amp;"")</f>
        <v/>
      </c>
      <c r="E182" s="56" t="str">
        <f aca="false">IF($W182="","",INDEX(发票统计!E$4:E$1003,$W182)&amp;"")</f>
        <v/>
      </c>
      <c r="F182" s="73" t="str">
        <f aca="false">IF($W182="","",INDEX(发票统计!F$4:F$1003,$W182)&amp;"")</f>
        <v/>
      </c>
      <c r="G182" s="68" t="str">
        <f aca="false">IF($W182="","",IF(INDEX(发票统计!G$4:G$1003,$W182)="","",INDEX(发票统计!G$4:G$1003,$W182)))</f>
        <v/>
      </c>
      <c r="H182" s="56" t="str">
        <f aca="false">IF($W182="","",N(INDEX(发票统计!H$4:H$1003,$W182)))</f>
        <v/>
      </c>
      <c r="I182" s="56" t="str">
        <f aca="false">IF($W182="","",N(INDEX(发票统计!I$4:I$1003,$W182)))</f>
        <v/>
      </c>
      <c r="J182" s="56" t="str">
        <f aca="false">IF($W182="","",N(INDEX(发票统计!J$4:J$1003,$W182)))</f>
        <v/>
      </c>
      <c r="K182" s="56" t="str">
        <f aca="false">IF($W182="","",N(INDEX(发票统计!K$4:K$1003,$W182)))</f>
        <v/>
      </c>
      <c r="L182" s="56" t="str">
        <f aca="false">IF($W182="","",SUM(J$4:J182)-SUM(K$4:K182))</f>
        <v/>
      </c>
      <c r="M182" s="56" t="str">
        <f aca="false">IF($W182="","",N(INDEX(发票统计!M$4:M$1003,$W182)))</f>
        <v/>
      </c>
      <c r="N182" s="56" t="str">
        <f aca="false">IF($W182="","",N(INDEX(发票统计!N$4:N$1003,$W182)))</f>
        <v/>
      </c>
      <c r="O182" s="56" t="str">
        <f aca="false">IF($W182="","",N(INDEX(发票统计!O$4:O$1003,$W182)))</f>
        <v/>
      </c>
      <c r="P182" s="56" t="str">
        <f aca="false">IF($W182="","",SUM(M$4:M182)-SUM(N$4:N182)-SUM(O$4:O182))</f>
        <v/>
      </c>
      <c r="Q182" s="56" t="str">
        <f aca="false">IF($W182="","",N(INDEX(发票统计!Q$4:Q$1003,$W182)))</f>
        <v/>
      </c>
      <c r="R182" s="56" t="str">
        <f aca="false">IF($W182="","",N(INDEX(发票统计!R$4:R$1003,$W182)))</f>
        <v/>
      </c>
      <c r="S182" s="56" t="str">
        <f aca="false">IF($W182="","",N(INDEX(发票统计!S$4:S$1003,$W182)))</f>
        <v/>
      </c>
      <c r="T182" s="56" t="str">
        <f aca="false">IF($W182="","",SUM(Q$4:Q182)-SUM(R$4:R182)-SUM(S$4:S182))</f>
        <v/>
      </c>
      <c r="U182" s="56" t="str">
        <f aca="false">IF($W182="","",INDEX(发票统计!U$4:U$1003,$W182)&amp;"")</f>
        <v/>
      </c>
      <c r="W182" s="1" t="str">
        <f aca="false">IF($V$3="","",IFERROR(MATCH($V$3&amp;"#"&amp;ROWS(W$4:W182),发票统计!$W$4:$W$1003,0),""))</f>
        <v/>
      </c>
    </row>
    <row r="183" customFormat="false" ht="16.5" hidden="false" customHeight="false" outlineLevel="0" collapsed="false">
      <c r="A183" s="56" t="str">
        <f aca="false">IF($W183="","",INDEX(发票统计!A$4:A$1003,$W183)&amp;"")</f>
        <v/>
      </c>
      <c r="B183" s="56" t="str">
        <f aca="false">IF($W183="","",INDEX(发票统计!B$4:B$1003,$W183)&amp;"")</f>
        <v/>
      </c>
      <c r="C183" s="56" t="str">
        <f aca="false">IF($W183="","",INDEX(发票统计!C$4:C$1003,$W183)&amp;"")</f>
        <v/>
      </c>
      <c r="D183" s="56" t="str">
        <f aca="false">IF($W183="","",INDEX(发票统计!D$4:D$1003,$W183)&amp;"")</f>
        <v/>
      </c>
      <c r="E183" s="56" t="str">
        <f aca="false">IF($W183="","",INDEX(发票统计!E$4:E$1003,$W183)&amp;"")</f>
        <v/>
      </c>
      <c r="F183" s="73" t="str">
        <f aca="false">IF($W183="","",INDEX(发票统计!F$4:F$1003,$W183)&amp;"")</f>
        <v/>
      </c>
      <c r="G183" s="68" t="str">
        <f aca="false">IF($W183="","",IF(INDEX(发票统计!G$4:G$1003,$W183)="","",INDEX(发票统计!G$4:G$1003,$W183)))</f>
        <v/>
      </c>
      <c r="H183" s="56" t="str">
        <f aca="false">IF($W183="","",N(INDEX(发票统计!H$4:H$1003,$W183)))</f>
        <v/>
      </c>
      <c r="I183" s="56" t="str">
        <f aca="false">IF($W183="","",N(INDEX(发票统计!I$4:I$1003,$W183)))</f>
        <v/>
      </c>
      <c r="J183" s="56" t="str">
        <f aca="false">IF($W183="","",N(INDEX(发票统计!J$4:J$1003,$W183)))</f>
        <v/>
      </c>
      <c r="K183" s="56" t="str">
        <f aca="false">IF($W183="","",N(INDEX(发票统计!K$4:K$1003,$W183)))</f>
        <v/>
      </c>
      <c r="L183" s="56" t="str">
        <f aca="false">IF($W183="","",SUM(J$4:J183)-SUM(K$4:K183))</f>
        <v/>
      </c>
      <c r="M183" s="56" t="str">
        <f aca="false">IF($W183="","",N(INDEX(发票统计!M$4:M$1003,$W183)))</f>
        <v/>
      </c>
      <c r="N183" s="56" t="str">
        <f aca="false">IF($W183="","",N(INDEX(发票统计!N$4:N$1003,$W183)))</f>
        <v/>
      </c>
      <c r="O183" s="56" t="str">
        <f aca="false">IF($W183="","",N(INDEX(发票统计!O$4:O$1003,$W183)))</f>
        <v/>
      </c>
      <c r="P183" s="56" t="str">
        <f aca="false">IF($W183="","",SUM(M$4:M183)-SUM(N$4:N183)-SUM(O$4:O183))</f>
        <v/>
      </c>
      <c r="Q183" s="56" t="str">
        <f aca="false">IF($W183="","",N(INDEX(发票统计!Q$4:Q$1003,$W183)))</f>
        <v/>
      </c>
      <c r="R183" s="56" t="str">
        <f aca="false">IF($W183="","",N(INDEX(发票统计!R$4:R$1003,$W183)))</f>
        <v/>
      </c>
      <c r="S183" s="56" t="str">
        <f aca="false">IF($W183="","",N(INDEX(发票统计!S$4:S$1003,$W183)))</f>
        <v/>
      </c>
      <c r="T183" s="56" t="str">
        <f aca="false">IF($W183="","",SUM(Q$4:Q183)-SUM(R$4:R183)-SUM(S$4:S183))</f>
        <v/>
      </c>
      <c r="U183" s="56" t="str">
        <f aca="false">IF($W183="","",INDEX(发票统计!U$4:U$1003,$W183)&amp;"")</f>
        <v/>
      </c>
      <c r="W183" s="1" t="str">
        <f aca="false">IF($V$3="","",IFERROR(MATCH($V$3&amp;"#"&amp;ROWS(W$4:W183),发票统计!$W$4:$W$1003,0),""))</f>
        <v/>
      </c>
    </row>
    <row r="184" customFormat="false" ht="16.5" hidden="false" customHeight="false" outlineLevel="0" collapsed="false">
      <c r="A184" s="56" t="str">
        <f aca="false">IF($W184="","",INDEX(发票统计!A$4:A$1003,$W184)&amp;"")</f>
        <v/>
      </c>
      <c r="B184" s="56" t="str">
        <f aca="false">IF($W184="","",INDEX(发票统计!B$4:B$1003,$W184)&amp;"")</f>
        <v/>
      </c>
      <c r="C184" s="56" t="str">
        <f aca="false">IF($W184="","",INDEX(发票统计!C$4:C$1003,$W184)&amp;"")</f>
        <v/>
      </c>
      <c r="D184" s="56" t="str">
        <f aca="false">IF($W184="","",INDEX(发票统计!D$4:D$1003,$W184)&amp;"")</f>
        <v/>
      </c>
      <c r="E184" s="56" t="str">
        <f aca="false">IF($W184="","",INDEX(发票统计!E$4:E$1003,$W184)&amp;"")</f>
        <v/>
      </c>
      <c r="F184" s="73" t="str">
        <f aca="false">IF($W184="","",INDEX(发票统计!F$4:F$1003,$W184)&amp;"")</f>
        <v/>
      </c>
      <c r="G184" s="68" t="str">
        <f aca="false">IF($W184="","",IF(INDEX(发票统计!G$4:G$1003,$W184)="","",INDEX(发票统计!G$4:G$1003,$W184)))</f>
        <v/>
      </c>
      <c r="H184" s="56" t="str">
        <f aca="false">IF($W184="","",N(INDEX(发票统计!H$4:H$1003,$W184)))</f>
        <v/>
      </c>
      <c r="I184" s="56" t="str">
        <f aca="false">IF($W184="","",N(INDEX(发票统计!I$4:I$1003,$W184)))</f>
        <v/>
      </c>
      <c r="J184" s="56" t="str">
        <f aca="false">IF($W184="","",N(INDEX(发票统计!J$4:J$1003,$W184)))</f>
        <v/>
      </c>
      <c r="K184" s="56" t="str">
        <f aca="false">IF($W184="","",N(INDEX(发票统计!K$4:K$1003,$W184)))</f>
        <v/>
      </c>
      <c r="L184" s="56" t="str">
        <f aca="false">IF($W184="","",SUM(J$4:J184)-SUM(K$4:K184))</f>
        <v/>
      </c>
      <c r="M184" s="56" t="str">
        <f aca="false">IF($W184="","",N(INDEX(发票统计!M$4:M$1003,$W184)))</f>
        <v/>
      </c>
      <c r="N184" s="56" t="str">
        <f aca="false">IF($W184="","",N(INDEX(发票统计!N$4:N$1003,$W184)))</f>
        <v/>
      </c>
      <c r="O184" s="56" t="str">
        <f aca="false">IF($W184="","",N(INDEX(发票统计!O$4:O$1003,$W184)))</f>
        <v/>
      </c>
      <c r="P184" s="56" t="str">
        <f aca="false">IF($W184="","",SUM(M$4:M184)-SUM(N$4:N184)-SUM(O$4:O184))</f>
        <v/>
      </c>
      <c r="Q184" s="56" t="str">
        <f aca="false">IF($W184="","",N(INDEX(发票统计!Q$4:Q$1003,$W184)))</f>
        <v/>
      </c>
      <c r="R184" s="56" t="str">
        <f aca="false">IF($W184="","",N(INDEX(发票统计!R$4:R$1003,$W184)))</f>
        <v/>
      </c>
      <c r="S184" s="56" t="str">
        <f aca="false">IF($W184="","",N(INDEX(发票统计!S$4:S$1003,$W184)))</f>
        <v/>
      </c>
      <c r="T184" s="56" t="str">
        <f aca="false">IF($W184="","",SUM(Q$4:Q184)-SUM(R$4:R184)-SUM(S$4:S184))</f>
        <v/>
      </c>
      <c r="U184" s="56" t="str">
        <f aca="false">IF($W184="","",INDEX(发票统计!U$4:U$1003,$W184)&amp;"")</f>
        <v/>
      </c>
      <c r="W184" s="1" t="str">
        <f aca="false">IF($V$3="","",IFERROR(MATCH($V$3&amp;"#"&amp;ROWS(W$4:W184),发票统计!$W$4:$W$1003,0),""))</f>
        <v/>
      </c>
    </row>
    <row r="185" customFormat="false" ht="16.5" hidden="false" customHeight="false" outlineLevel="0" collapsed="false">
      <c r="A185" s="56" t="str">
        <f aca="false">IF($W185="","",INDEX(发票统计!A$4:A$1003,$W185)&amp;"")</f>
        <v/>
      </c>
      <c r="B185" s="56" t="str">
        <f aca="false">IF($W185="","",INDEX(发票统计!B$4:B$1003,$W185)&amp;"")</f>
        <v/>
      </c>
      <c r="C185" s="56" t="str">
        <f aca="false">IF($W185="","",INDEX(发票统计!C$4:C$1003,$W185)&amp;"")</f>
        <v/>
      </c>
      <c r="D185" s="56" t="str">
        <f aca="false">IF($W185="","",INDEX(发票统计!D$4:D$1003,$W185)&amp;"")</f>
        <v/>
      </c>
      <c r="E185" s="56" t="str">
        <f aca="false">IF($W185="","",INDEX(发票统计!E$4:E$1003,$W185)&amp;"")</f>
        <v/>
      </c>
      <c r="F185" s="73" t="str">
        <f aca="false">IF($W185="","",INDEX(发票统计!F$4:F$1003,$W185)&amp;"")</f>
        <v/>
      </c>
      <c r="G185" s="68" t="str">
        <f aca="false">IF($W185="","",IF(INDEX(发票统计!G$4:G$1003,$W185)="","",INDEX(发票统计!G$4:G$1003,$W185)))</f>
        <v/>
      </c>
      <c r="H185" s="56" t="str">
        <f aca="false">IF($W185="","",N(INDEX(发票统计!H$4:H$1003,$W185)))</f>
        <v/>
      </c>
      <c r="I185" s="56" t="str">
        <f aca="false">IF($W185="","",N(INDEX(发票统计!I$4:I$1003,$W185)))</f>
        <v/>
      </c>
      <c r="J185" s="56" t="str">
        <f aca="false">IF($W185="","",N(INDEX(发票统计!J$4:J$1003,$W185)))</f>
        <v/>
      </c>
      <c r="K185" s="56" t="str">
        <f aca="false">IF($W185="","",N(INDEX(发票统计!K$4:K$1003,$W185)))</f>
        <v/>
      </c>
      <c r="L185" s="56" t="str">
        <f aca="false">IF($W185="","",SUM(J$4:J185)-SUM(K$4:K185))</f>
        <v/>
      </c>
      <c r="M185" s="56" t="str">
        <f aca="false">IF($W185="","",N(INDEX(发票统计!M$4:M$1003,$W185)))</f>
        <v/>
      </c>
      <c r="N185" s="56" t="str">
        <f aca="false">IF($W185="","",N(INDEX(发票统计!N$4:N$1003,$W185)))</f>
        <v/>
      </c>
      <c r="O185" s="56" t="str">
        <f aca="false">IF($W185="","",N(INDEX(发票统计!O$4:O$1003,$W185)))</f>
        <v/>
      </c>
      <c r="P185" s="56" t="str">
        <f aca="false">IF($W185="","",SUM(M$4:M185)-SUM(N$4:N185)-SUM(O$4:O185))</f>
        <v/>
      </c>
      <c r="Q185" s="56" t="str">
        <f aca="false">IF($W185="","",N(INDEX(发票统计!Q$4:Q$1003,$W185)))</f>
        <v/>
      </c>
      <c r="R185" s="56" t="str">
        <f aca="false">IF($W185="","",N(INDEX(发票统计!R$4:R$1003,$W185)))</f>
        <v/>
      </c>
      <c r="S185" s="56" t="str">
        <f aca="false">IF($W185="","",N(INDEX(发票统计!S$4:S$1003,$W185)))</f>
        <v/>
      </c>
      <c r="T185" s="56" t="str">
        <f aca="false">IF($W185="","",SUM(Q$4:Q185)-SUM(R$4:R185)-SUM(S$4:S185))</f>
        <v/>
      </c>
      <c r="U185" s="56" t="str">
        <f aca="false">IF($W185="","",INDEX(发票统计!U$4:U$1003,$W185)&amp;"")</f>
        <v/>
      </c>
      <c r="W185" s="1" t="str">
        <f aca="false">IF($V$3="","",IFERROR(MATCH($V$3&amp;"#"&amp;ROWS(W$4:W185),发票统计!$W$4:$W$1003,0),""))</f>
        <v/>
      </c>
    </row>
    <row r="186" customFormat="false" ht="16.5" hidden="false" customHeight="false" outlineLevel="0" collapsed="false">
      <c r="A186" s="56" t="str">
        <f aca="false">IF($W186="","",INDEX(发票统计!A$4:A$1003,$W186)&amp;"")</f>
        <v/>
      </c>
      <c r="B186" s="56" t="str">
        <f aca="false">IF($W186="","",INDEX(发票统计!B$4:B$1003,$W186)&amp;"")</f>
        <v/>
      </c>
      <c r="C186" s="56" t="str">
        <f aca="false">IF($W186="","",INDEX(发票统计!C$4:C$1003,$W186)&amp;"")</f>
        <v/>
      </c>
      <c r="D186" s="56" t="str">
        <f aca="false">IF($W186="","",INDEX(发票统计!D$4:D$1003,$W186)&amp;"")</f>
        <v/>
      </c>
      <c r="E186" s="56" t="str">
        <f aca="false">IF($W186="","",INDEX(发票统计!E$4:E$1003,$W186)&amp;"")</f>
        <v/>
      </c>
      <c r="F186" s="73" t="str">
        <f aca="false">IF($W186="","",INDEX(发票统计!F$4:F$1003,$W186)&amp;"")</f>
        <v/>
      </c>
      <c r="G186" s="68" t="str">
        <f aca="false">IF($W186="","",IF(INDEX(发票统计!G$4:G$1003,$W186)="","",INDEX(发票统计!G$4:G$1003,$W186)))</f>
        <v/>
      </c>
      <c r="H186" s="56" t="str">
        <f aca="false">IF($W186="","",N(INDEX(发票统计!H$4:H$1003,$W186)))</f>
        <v/>
      </c>
      <c r="I186" s="56" t="str">
        <f aca="false">IF($W186="","",N(INDEX(发票统计!I$4:I$1003,$W186)))</f>
        <v/>
      </c>
      <c r="J186" s="56" t="str">
        <f aca="false">IF($W186="","",N(INDEX(发票统计!J$4:J$1003,$W186)))</f>
        <v/>
      </c>
      <c r="K186" s="56" t="str">
        <f aca="false">IF($W186="","",N(INDEX(发票统计!K$4:K$1003,$W186)))</f>
        <v/>
      </c>
      <c r="L186" s="56" t="str">
        <f aca="false">IF($W186="","",SUM(J$4:J186)-SUM(K$4:K186))</f>
        <v/>
      </c>
      <c r="M186" s="56" t="str">
        <f aca="false">IF($W186="","",N(INDEX(发票统计!M$4:M$1003,$W186)))</f>
        <v/>
      </c>
      <c r="N186" s="56" t="str">
        <f aca="false">IF($W186="","",N(INDEX(发票统计!N$4:N$1003,$W186)))</f>
        <v/>
      </c>
      <c r="O186" s="56" t="str">
        <f aca="false">IF($W186="","",N(INDEX(发票统计!O$4:O$1003,$W186)))</f>
        <v/>
      </c>
      <c r="P186" s="56" t="str">
        <f aca="false">IF($W186="","",SUM(M$4:M186)-SUM(N$4:N186)-SUM(O$4:O186))</f>
        <v/>
      </c>
      <c r="Q186" s="56" t="str">
        <f aca="false">IF($W186="","",N(INDEX(发票统计!Q$4:Q$1003,$W186)))</f>
        <v/>
      </c>
      <c r="R186" s="56" t="str">
        <f aca="false">IF($W186="","",N(INDEX(发票统计!R$4:R$1003,$W186)))</f>
        <v/>
      </c>
      <c r="S186" s="56" t="str">
        <f aca="false">IF($W186="","",N(INDEX(发票统计!S$4:S$1003,$W186)))</f>
        <v/>
      </c>
      <c r="T186" s="56" t="str">
        <f aca="false">IF($W186="","",SUM(Q$4:Q186)-SUM(R$4:R186)-SUM(S$4:S186))</f>
        <v/>
      </c>
      <c r="U186" s="56" t="str">
        <f aca="false">IF($W186="","",INDEX(发票统计!U$4:U$1003,$W186)&amp;"")</f>
        <v/>
      </c>
      <c r="W186" s="1" t="str">
        <f aca="false">IF($V$3="","",IFERROR(MATCH($V$3&amp;"#"&amp;ROWS(W$4:W186),发票统计!$W$4:$W$1003,0),""))</f>
        <v/>
      </c>
    </row>
    <row r="187" customFormat="false" ht="16.5" hidden="false" customHeight="false" outlineLevel="0" collapsed="false">
      <c r="A187" s="56" t="str">
        <f aca="false">IF($W187="","",INDEX(发票统计!A$4:A$1003,$W187)&amp;"")</f>
        <v/>
      </c>
      <c r="B187" s="56" t="str">
        <f aca="false">IF($W187="","",INDEX(发票统计!B$4:B$1003,$W187)&amp;"")</f>
        <v/>
      </c>
      <c r="C187" s="56" t="str">
        <f aca="false">IF($W187="","",INDEX(发票统计!C$4:C$1003,$W187)&amp;"")</f>
        <v/>
      </c>
      <c r="D187" s="56" t="str">
        <f aca="false">IF($W187="","",INDEX(发票统计!D$4:D$1003,$W187)&amp;"")</f>
        <v/>
      </c>
      <c r="E187" s="56" t="str">
        <f aca="false">IF($W187="","",INDEX(发票统计!E$4:E$1003,$W187)&amp;"")</f>
        <v/>
      </c>
      <c r="F187" s="73" t="str">
        <f aca="false">IF($W187="","",INDEX(发票统计!F$4:F$1003,$W187)&amp;"")</f>
        <v/>
      </c>
      <c r="G187" s="68" t="str">
        <f aca="false">IF($W187="","",IF(INDEX(发票统计!G$4:G$1003,$W187)="","",INDEX(发票统计!G$4:G$1003,$W187)))</f>
        <v/>
      </c>
      <c r="H187" s="56" t="str">
        <f aca="false">IF($W187="","",N(INDEX(发票统计!H$4:H$1003,$W187)))</f>
        <v/>
      </c>
      <c r="I187" s="56" t="str">
        <f aca="false">IF($W187="","",N(INDEX(发票统计!I$4:I$1003,$W187)))</f>
        <v/>
      </c>
      <c r="J187" s="56" t="str">
        <f aca="false">IF($W187="","",N(INDEX(发票统计!J$4:J$1003,$W187)))</f>
        <v/>
      </c>
      <c r="K187" s="56" t="str">
        <f aca="false">IF($W187="","",N(INDEX(发票统计!K$4:K$1003,$W187)))</f>
        <v/>
      </c>
      <c r="L187" s="56" t="str">
        <f aca="false">IF($W187="","",SUM(J$4:J187)-SUM(K$4:K187))</f>
        <v/>
      </c>
      <c r="M187" s="56" t="str">
        <f aca="false">IF($W187="","",N(INDEX(发票统计!M$4:M$1003,$W187)))</f>
        <v/>
      </c>
      <c r="N187" s="56" t="str">
        <f aca="false">IF($W187="","",N(INDEX(发票统计!N$4:N$1003,$W187)))</f>
        <v/>
      </c>
      <c r="O187" s="56" t="str">
        <f aca="false">IF($W187="","",N(INDEX(发票统计!O$4:O$1003,$W187)))</f>
        <v/>
      </c>
      <c r="P187" s="56" t="str">
        <f aca="false">IF($W187="","",SUM(M$4:M187)-SUM(N$4:N187)-SUM(O$4:O187))</f>
        <v/>
      </c>
      <c r="Q187" s="56" t="str">
        <f aca="false">IF($W187="","",N(INDEX(发票统计!Q$4:Q$1003,$W187)))</f>
        <v/>
      </c>
      <c r="R187" s="56" t="str">
        <f aca="false">IF($W187="","",N(INDEX(发票统计!R$4:R$1003,$W187)))</f>
        <v/>
      </c>
      <c r="S187" s="56" t="str">
        <f aca="false">IF($W187="","",N(INDEX(发票统计!S$4:S$1003,$W187)))</f>
        <v/>
      </c>
      <c r="T187" s="56" t="str">
        <f aca="false">IF($W187="","",SUM(Q$4:Q187)-SUM(R$4:R187)-SUM(S$4:S187))</f>
        <v/>
      </c>
      <c r="U187" s="56" t="str">
        <f aca="false">IF($W187="","",INDEX(发票统计!U$4:U$1003,$W187)&amp;"")</f>
        <v/>
      </c>
      <c r="W187" s="1" t="str">
        <f aca="false">IF($V$3="","",IFERROR(MATCH($V$3&amp;"#"&amp;ROWS(W$4:W187),发票统计!$W$4:$W$1003,0),""))</f>
        <v/>
      </c>
    </row>
    <row r="188" customFormat="false" ht="16.5" hidden="false" customHeight="false" outlineLevel="0" collapsed="false">
      <c r="A188" s="56" t="str">
        <f aca="false">IF($W188="","",INDEX(发票统计!A$4:A$1003,$W188)&amp;"")</f>
        <v/>
      </c>
      <c r="B188" s="56" t="str">
        <f aca="false">IF($W188="","",INDEX(发票统计!B$4:B$1003,$W188)&amp;"")</f>
        <v/>
      </c>
      <c r="C188" s="56" t="str">
        <f aca="false">IF($W188="","",INDEX(发票统计!C$4:C$1003,$W188)&amp;"")</f>
        <v/>
      </c>
      <c r="D188" s="56" t="str">
        <f aca="false">IF($W188="","",INDEX(发票统计!D$4:D$1003,$W188)&amp;"")</f>
        <v/>
      </c>
      <c r="E188" s="56" t="str">
        <f aca="false">IF($W188="","",INDEX(发票统计!E$4:E$1003,$W188)&amp;"")</f>
        <v/>
      </c>
      <c r="F188" s="73" t="str">
        <f aca="false">IF($W188="","",INDEX(发票统计!F$4:F$1003,$W188)&amp;"")</f>
        <v/>
      </c>
      <c r="G188" s="68" t="str">
        <f aca="false">IF($W188="","",IF(INDEX(发票统计!G$4:G$1003,$W188)="","",INDEX(发票统计!G$4:G$1003,$W188)))</f>
        <v/>
      </c>
      <c r="H188" s="56" t="str">
        <f aca="false">IF($W188="","",N(INDEX(发票统计!H$4:H$1003,$W188)))</f>
        <v/>
      </c>
      <c r="I188" s="56" t="str">
        <f aca="false">IF($W188="","",N(INDEX(发票统计!I$4:I$1003,$W188)))</f>
        <v/>
      </c>
      <c r="J188" s="56" t="str">
        <f aca="false">IF($W188="","",N(INDEX(发票统计!J$4:J$1003,$W188)))</f>
        <v/>
      </c>
      <c r="K188" s="56" t="str">
        <f aca="false">IF($W188="","",N(INDEX(发票统计!K$4:K$1003,$W188)))</f>
        <v/>
      </c>
      <c r="L188" s="56" t="str">
        <f aca="false">IF($W188="","",SUM(J$4:J188)-SUM(K$4:K188))</f>
        <v/>
      </c>
      <c r="M188" s="56" t="str">
        <f aca="false">IF($W188="","",N(INDEX(发票统计!M$4:M$1003,$W188)))</f>
        <v/>
      </c>
      <c r="N188" s="56" t="str">
        <f aca="false">IF($W188="","",N(INDEX(发票统计!N$4:N$1003,$W188)))</f>
        <v/>
      </c>
      <c r="O188" s="56" t="str">
        <f aca="false">IF($W188="","",N(INDEX(发票统计!O$4:O$1003,$W188)))</f>
        <v/>
      </c>
      <c r="P188" s="56" t="str">
        <f aca="false">IF($W188="","",SUM(M$4:M188)-SUM(N$4:N188)-SUM(O$4:O188))</f>
        <v/>
      </c>
      <c r="Q188" s="56" t="str">
        <f aca="false">IF($W188="","",N(INDEX(发票统计!Q$4:Q$1003,$W188)))</f>
        <v/>
      </c>
      <c r="R188" s="56" t="str">
        <f aca="false">IF($W188="","",N(INDEX(发票统计!R$4:R$1003,$W188)))</f>
        <v/>
      </c>
      <c r="S188" s="56" t="str">
        <f aca="false">IF($W188="","",N(INDEX(发票统计!S$4:S$1003,$W188)))</f>
        <v/>
      </c>
      <c r="T188" s="56" t="str">
        <f aca="false">IF($W188="","",SUM(Q$4:Q188)-SUM(R$4:R188)-SUM(S$4:S188))</f>
        <v/>
      </c>
      <c r="U188" s="56" t="str">
        <f aca="false">IF($W188="","",INDEX(发票统计!U$4:U$1003,$W188)&amp;"")</f>
        <v/>
      </c>
      <c r="W188" s="1" t="str">
        <f aca="false">IF($V$3="","",IFERROR(MATCH($V$3&amp;"#"&amp;ROWS(W$4:W188),发票统计!$W$4:$W$1003,0),""))</f>
        <v/>
      </c>
    </row>
    <row r="189" customFormat="false" ht="16.5" hidden="false" customHeight="false" outlineLevel="0" collapsed="false">
      <c r="A189" s="56" t="str">
        <f aca="false">IF($W189="","",INDEX(发票统计!A$4:A$1003,$W189)&amp;"")</f>
        <v/>
      </c>
      <c r="B189" s="56" t="str">
        <f aca="false">IF($W189="","",INDEX(发票统计!B$4:B$1003,$W189)&amp;"")</f>
        <v/>
      </c>
      <c r="C189" s="56" t="str">
        <f aca="false">IF($W189="","",INDEX(发票统计!C$4:C$1003,$W189)&amp;"")</f>
        <v/>
      </c>
      <c r="D189" s="56" t="str">
        <f aca="false">IF($W189="","",INDEX(发票统计!D$4:D$1003,$W189)&amp;"")</f>
        <v/>
      </c>
      <c r="E189" s="56" t="str">
        <f aca="false">IF($W189="","",INDEX(发票统计!E$4:E$1003,$W189)&amp;"")</f>
        <v/>
      </c>
      <c r="F189" s="73" t="str">
        <f aca="false">IF($W189="","",INDEX(发票统计!F$4:F$1003,$W189)&amp;"")</f>
        <v/>
      </c>
      <c r="G189" s="68" t="str">
        <f aca="false">IF($W189="","",IF(INDEX(发票统计!G$4:G$1003,$W189)="","",INDEX(发票统计!G$4:G$1003,$W189)))</f>
        <v/>
      </c>
      <c r="H189" s="56" t="str">
        <f aca="false">IF($W189="","",N(INDEX(发票统计!H$4:H$1003,$W189)))</f>
        <v/>
      </c>
      <c r="I189" s="56" t="str">
        <f aca="false">IF($W189="","",N(INDEX(发票统计!I$4:I$1003,$W189)))</f>
        <v/>
      </c>
      <c r="J189" s="56" t="str">
        <f aca="false">IF($W189="","",N(INDEX(发票统计!J$4:J$1003,$W189)))</f>
        <v/>
      </c>
      <c r="K189" s="56" t="str">
        <f aca="false">IF($W189="","",N(INDEX(发票统计!K$4:K$1003,$W189)))</f>
        <v/>
      </c>
      <c r="L189" s="56" t="str">
        <f aca="false">IF($W189="","",SUM(J$4:J189)-SUM(K$4:K189))</f>
        <v/>
      </c>
      <c r="M189" s="56" t="str">
        <f aca="false">IF($W189="","",N(INDEX(发票统计!M$4:M$1003,$W189)))</f>
        <v/>
      </c>
      <c r="N189" s="56" t="str">
        <f aca="false">IF($W189="","",N(INDEX(发票统计!N$4:N$1003,$W189)))</f>
        <v/>
      </c>
      <c r="O189" s="56" t="str">
        <f aca="false">IF($W189="","",N(INDEX(发票统计!O$4:O$1003,$W189)))</f>
        <v/>
      </c>
      <c r="P189" s="56" t="str">
        <f aca="false">IF($W189="","",SUM(M$4:M189)-SUM(N$4:N189)-SUM(O$4:O189))</f>
        <v/>
      </c>
      <c r="Q189" s="56" t="str">
        <f aca="false">IF($W189="","",N(INDEX(发票统计!Q$4:Q$1003,$W189)))</f>
        <v/>
      </c>
      <c r="R189" s="56" t="str">
        <f aca="false">IF($W189="","",N(INDEX(发票统计!R$4:R$1003,$W189)))</f>
        <v/>
      </c>
      <c r="S189" s="56" t="str">
        <f aca="false">IF($W189="","",N(INDEX(发票统计!S$4:S$1003,$W189)))</f>
        <v/>
      </c>
      <c r="T189" s="56" t="str">
        <f aca="false">IF($W189="","",SUM(Q$4:Q189)-SUM(R$4:R189)-SUM(S$4:S189))</f>
        <v/>
      </c>
      <c r="U189" s="56" t="str">
        <f aca="false">IF($W189="","",INDEX(发票统计!U$4:U$1003,$W189)&amp;"")</f>
        <v/>
      </c>
      <c r="W189" s="1" t="str">
        <f aca="false">IF($V$3="","",IFERROR(MATCH($V$3&amp;"#"&amp;ROWS(W$4:W189),发票统计!$W$4:$W$1003,0),""))</f>
        <v/>
      </c>
    </row>
    <row r="190" customFormat="false" ht="16.5" hidden="false" customHeight="false" outlineLevel="0" collapsed="false">
      <c r="A190" s="56" t="str">
        <f aca="false">IF($W190="","",INDEX(发票统计!A$4:A$1003,$W190)&amp;"")</f>
        <v/>
      </c>
      <c r="B190" s="56" t="str">
        <f aca="false">IF($W190="","",INDEX(发票统计!B$4:B$1003,$W190)&amp;"")</f>
        <v/>
      </c>
      <c r="C190" s="56" t="str">
        <f aca="false">IF($W190="","",INDEX(发票统计!C$4:C$1003,$W190)&amp;"")</f>
        <v/>
      </c>
      <c r="D190" s="56" t="str">
        <f aca="false">IF($W190="","",INDEX(发票统计!D$4:D$1003,$W190)&amp;"")</f>
        <v/>
      </c>
      <c r="E190" s="56" t="str">
        <f aca="false">IF($W190="","",INDEX(发票统计!E$4:E$1003,$W190)&amp;"")</f>
        <v/>
      </c>
      <c r="F190" s="73" t="str">
        <f aca="false">IF($W190="","",INDEX(发票统计!F$4:F$1003,$W190)&amp;"")</f>
        <v/>
      </c>
      <c r="G190" s="68" t="str">
        <f aca="false">IF($W190="","",IF(INDEX(发票统计!G$4:G$1003,$W190)="","",INDEX(发票统计!G$4:G$1003,$W190)))</f>
        <v/>
      </c>
      <c r="H190" s="56" t="str">
        <f aca="false">IF($W190="","",N(INDEX(发票统计!H$4:H$1003,$W190)))</f>
        <v/>
      </c>
      <c r="I190" s="56" t="str">
        <f aca="false">IF($W190="","",N(INDEX(发票统计!I$4:I$1003,$W190)))</f>
        <v/>
      </c>
      <c r="J190" s="56" t="str">
        <f aca="false">IF($W190="","",N(INDEX(发票统计!J$4:J$1003,$W190)))</f>
        <v/>
      </c>
      <c r="K190" s="56" t="str">
        <f aca="false">IF($W190="","",N(INDEX(发票统计!K$4:K$1003,$W190)))</f>
        <v/>
      </c>
      <c r="L190" s="56" t="str">
        <f aca="false">IF($W190="","",SUM(J$4:J190)-SUM(K$4:K190))</f>
        <v/>
      </c>
      <c r="M190" s="56" t="str">
        <f aca="false">IF($W190="","",N(INDEX(发票统计!M$4:M$1003,$W190)))</f>
        <v/>
      </c>
      <c r="N190" s="56" t="str">
        <f aca="false">IF($W190="","",N(INDEX(发票统计!N$4:N$1003,$W190)))</f>
        <v/>
      </c>
      <c r="O190" s="56" t="str">
        <f aca="false">IF($W190="","",N(INDEX(发票统计!O$4:O$1003,$W190)))</f>
        <v/>
      </c>
      <c r="P190" s="56" t="str">
        <f aca="false">IF($W190="","",SUM(M$4:M190)-SUM(N$4:N190)-SUM(O$4:O190))</f>
        <v/>
      </c>
      <c r="Q190" s="56" t="str">
        <f aca="false">IF($W190="","",N(INDEX(发票统计!Q$4:Q$1003,$W190)))</f>
        <v/>
      </c>
      <c r="R190" s="56" t="str">
        <f aca="false">IF($W190="","",N(INDEX(发票统计!R$4:R$1003,$W190)))</f>
        <v/>
      </c>
      <c r="S190" s="56" t="str">
        <f aca="false">IF($W190="","",N(INDEX(发票统计!S$4:S$1003,$W190)))</f>
        <v/>
      </c>
      <c r="T190" s="56" t="str">
        <f aca="false">IF($W190="","",SUM(Q$4:Q190)-SUM(R$4:R190)-SUM(S$4:S190))</f>
        <v/>
      </c>
      <c r="U190" s="56" t="str">
        <f aca="false">IF($W190="","",INDEX(发票统计!U$4:U$1003,$W190)&amp;"")</f>
        <v/>
      </c>
      <c r="W190" s="1" t="str">
        <f aca="false">IF($V$3="","",IFERROR(MATCH($V$3&amp;"#"&amp;ROWS(W$4:W190),发票统计!$W$4:$W$1003,0),""))</f>
        <v/>
      </c>
    </row>
    <row r="191" customFormat="false" ht="16.5" hidden="false" customHeight="false" outlineLevel="0" collapsed="false">
      <c r="A191" s="56" t="str">
        <f aca="false">IF($W191="","",INDEX(发票统计!A$4:A$1003,$W191)&amp;"")</f>
        <v/>
      </c>
      <c r="B191" s="56" t="str">
        <f aca="false">IF($W191="","",INDEX(发票统计!B$4:B$1003,$W191)&amp;"")</f>
        <v/>
      </c>
      <c r="C191" s="56" t="str">
        <f aca="false">IF($W191="","",INDEX(发票统计!C$4:C$1003,$W191)&amp;"")</f>
        <v/>
      </c>
      <c r="D191" s="56" t="str">
        <f aca="false">IF($W191="","",INDEX(发票统计!D$4:D$1003,$W191)&amp;"")</f>
        <v/>
      </c>
      <c r="E191" s="56" t="str">
        <f aca="false">IF($W191="","",INDEX(发票统计!E$4:E$1003,$W191)&amp;"")</f>
        <v/>
      </c>
      <c r="F191" s="73" t="str">
        <f aca="false">IF($W191="","",INDEX(发票统计!F$4:F$1003,$W191)&amp;"")</f>
        <v/>
      </c>
      <c r="G191" s="68" t="str">
        <f aca="false">IF($W191="","",IF(INDEX(发票统计!G$4:G$1003,$W191)="","",INDEX(发票统计!G$4:G$1003,$W191)))</f>
        <v/>
      </c>
      <c r="H191" s="56" t="str">
        <f aca="false">IF($W191="","",N(INDEX(发票统计!H$4:H$1003,$W191)))</f>
        <v/>
      </c>
      <c r="I191" s="56" t="str">
        <f aca="false">IF($W191="","",N(INDEX(发票统计!I$4:I$1003,$W191)))</f>
        <v/>
      </c>
      <c r="J191" s="56" t="str">
        <f aca="false">IF($W191="","",N(INDEX(发票统计!J$4:J$1003,$W191)))</f>
        <v/>
      </c>
      <c r="K191" s="56" t="str">
        <f aca="false">IF($W191="","",N(INDEX(发票统计!K$4:K$1003,$W191)))</f>
        <v/>
      </c>
      <c r="L191" s="56" t="str">
        <f aca="false">IF($W191="","",SUM(J$4:J191)-SUM(K$4:K191))</f>
        <v/>
      </c>
      <c r="M191" s="56" t="str">
        <f aca="false">IF($W191="","",N(INDEX(发票统计!M$4:M$1003,$W191)))</f>
        <v/>
      </c>
      <c r="N191" s="56" t="str">
        <f aca="false">IF($W191="","",N(INDEX(发票统计!N$4:N$1003,$W191)))</f>
        <v/>
      </c>
      <c r="O191" s="56" t="str">
        <f aca="false">IF($W191="","",N(INDEX(发票统计!O$4:O$1003,$W191)))</f>
        <v/>
      </c>
      <c r="P191" s="56" t="str">
        <f aca="false">IF($W191="","",SUM(M$4:M191)-SUM(N$4:N191)-SUM(O$4:O191))</f>
        <v/>
      </c>
      <c r="Q191" s="56" t="str">
        <f aca="false">IF($W191="","",N(INDEX(发票统计!Q$4:Q$1003,$W191)))</f>
        <v/>
      </c>
      <c r="R191" s="56" t="str">
        <f aca="false">IF($W191="","",N(INDEX(发票统计!R$4:R$1003,$W191)))</f>
        <v/>
      </c>
      <c r="S191" s="56" t="str">
        <f aca="false">IF($W191="","",N(INDEX(发票统计!S$4:S$1003,$W191)))</f>
        <v/>
      </c>
      <c r="T191" s="56" t="str">
        <f aca="false">IF($W191="","",SUM(Q$4:Q191)-SUM(R$4:R191)-SUM(S$4:S191))</f>
        <v/>
      </c>
      <c r="U191" s="56" t="str">
        <f aca="false">IF($W191="","",INDEX(发票统计!U$4:U$1003,$W191)&amp;"")</f>
        <v/>
      </c>
      <c r="W191" s="1" t="str">
        <f aca="false">IF($V$3="","",IFERROR(MATCH($V$3&amp;"#"&amp;ROWS(W$4:W191),发票统计!$W$4:$W$1003,0),""))</f>
        <v/>
      </c>
    </row>
    <row r="192" customFormat="false" ht="16.5" hidden="false" customHeight="false" outlineLevel="0" collapsed="false">
      <c r="A192" s="56" t="str">
        <f aca="false">IF($W192="","",INDEX(发票统计!A$4:A$1003,$W192)&amp;"")</f>
        <v/>
      </c>
      <c r="B192" s="56" t="str">
        <f aca="false">IF($W192="","",INDEX(发票统计!B$4:B$1003,$W192)&amp;"")</f>
        <v/>
      </c>
      <c r="C192" s="56" t="str">
        <f aca="false">IF($W192="","",INDEX(发票统计!C$4:C$1003,$W192)&amp;"")</f>
        <v/>
      </c>
      <c r="D192" s="56" t="str">
        <f aca="false">IF($W192="","",INDEX(发票统计!D$4:D$1003,$W192)&amp;"")</f>
        <v/>
      </c>
      <c r="E192" s="56" t="str">
        <f aca="false">IF($W192="","",INDEX(发票统计!E$4:E$1003,$W192)&amp;"")</f>
        <v/>
      </c>
      <c r="F192" s="73" t="str">
        <f aca="false">IF($W192="","",INDEX(发票统计!F$4:F$1003,$W192)&amp;"")</f>
        <v/>
      </c>
      <c r="G192" s="68" t="str">
        <f aca="false">IF($W192="","",IF(INDEX(发票统计!G$4:G$1003,$W192)="","",INDEX(发票统计!G$4:G$1003,$W192)))</f>
        <v/>
      </c>
      <c r="H192" s="56" t="str">
        <f aca="false">IF($W192="","",N(INDEX(发票统计!H$4:H$1003,$W192)))</f>
        <v/>
      </c>
      <c r="I192" s="56" t="str">
        <f aca="false">IF($W192="","",N(INDEX(发票统计!I$4:I$1003,$W192)))</f>
        <v/>
      </c>
      <c r="J192" s="56" t="str">
        <f aca="false">IF($W192="","",N(INDEX(发票统计!J$4:J$1003,$W192)))</f>
        <v/>
      </c>
      <c r="K192" s="56" t="str">
        <f aca="false">IF($W192="","",N(INDEX(发票统计!K$4:K$1003,$W192)))</f>
        <v/>
      </c>
      <c r="L192" s="56" t="str">
        <f aca="false">IF($W192="","",SUM(J$4:J192)-SUM(K$4:K192))</f>
        <v/>
      </c>
      <c r="M192" s="56" t="str">
        <f aca="false">IF($W192="","",N(INDEX(发票统计!M$4:M$1003,$W192)))</f>
        <v/>
      </c>
      <c r="N192" s="56" t="str">
        <f aca="false">IF($W192="","",N(INDEX(发票统计!N$4:N$1003,$W192)))</f>
        <v/>
      </c>
      <c r="O192" s="56" t="str">
        <f aca="false">IF($W192="","",N(INDEX(发票统计!O$4:O$1003,$W192)))</f>
        <v/>
      </c>
      <c r="P192" s="56" t="str">
        <f aca="false">IF($W192="","",SUM(M$4:M192)-SUM(N$4:N192)-SUM(O$4:O192))</f>
        <v/>
      </c>
      <c r="Q192" s="56" t="str">
        <f aca="false">IF($W192="","",N(INDEX(发票统计!Q$4:Q$1003,$W192)))</f>
        <v/>
      </c>
      <c r="R192" s="56" t="str">
        <f aca="false">IF($W192="","",N(INDEX(发票统计!R$4:R$1003,$W192)))</f>
        <v/>
      </c>
      <c r="S192" s="56" t="str">
        <f aca="false">IF($W192="","",N(INDEX(发票统计!S$4:S$1003,$W192)))</f>
        <v/>
      </c>
      <c r="T192" s="56" t="str">
        <f aca="false">IF($W192="","",SUM(Q$4:Q192)-SUM(R$4:R192)-SUM(S$4:S192))</f>
        <v/>
      </c>
      <c r="U192" s="56" t="str">
        <f aca="false">IF($W192="","",INDEX(发票统计!U$4:U$1003,$W192)&amp;"")</f>
        <v/>
      </c>
      <c r="W192" s="1" t="str">
        <f aca="false">IF($V$3="","",IFERROR(MATCH($V$3&amp;"#"&amp;ROWS(W$4:W192),发票统计!$W$4:$W$1003,0),""))</f>
        <v/>
      </c>
    </row>
    <row r="193" customFormat="false" ht="16.5" hidden="false" customHeight="false" outlineLevel="0" collapsed="false">
      <c r="A193" s="56" t="str">
        <f aca="false">IF($W193="","",INDEX(发票统计!A$4:A$1003,$W193)&amp;"")</f>
        <v/>
      </c>
      <c r="B193" s="56" t="str">
        <f aca="false">IF($W193="","",INDEX(发票统计!B$4:B$1003,$W193)&amp;"")</f>
        <v/>
      </c>
      <c r="C193" s="56" t="str">
        <f aca="false">IF($W193="","",INDEX(发票统计!C$4:C$1003,$W193)&amp;"")</f>
        <v/>
      </c>
      <c r="D193" s="56" t="str">
        <f aca="false">IF($W193="","",INDEX(发票统计!D$4:D$1003,$W193)&amp;"")</f>
        <v/>
      </c>
      <c r="E193" s="56" t="str">
        <f aca="false">IF($W193="","",INDEX(发票统计!E$4:E$1003,$W193)&amp;"")</f>
        <v/>
      </c>
      <c r="F193" s="73" t="str">
        <f aca="false">IF($W193="","",INDEX(发票统计!F$4:F$1003,$W193)&amp;"")</f>
        <v/>
      </c>
      <c r="G193" s="68" t="str">
        <f aca="false">IF($W193="","",IF(INDEX(发票统计!G$4:G$1003,$W193)="","",INDEX(发票统计!G$4:G$1003,$W193)))</f>
        <v/>
      </c>
      <c r="H193" s="56" t="str">
        <f aca="false">IF($W193="","",N(INDEX(发票统计!H$4:H$1003,$W193)))</f>
        <v/>
      </c>
      <c r="I193" s="56" t="str">
        <f aca="false">IF($W193="","",N(INDEX(发票统计!I$4:I$1003,$W193)))</f>
        <v/>
      </c>
      <c r="J193" s="56" t="str">
        <f aca="false">IF($W193="","",N(INDEX(发票统计!J$4:J$1003,$W193)))</f>
        <v/>
      </c>
      <c r="K193" s="56" t="str">
        <f aca="false">IF($W193="","",N(INDEX(发票统计!K$4:K$1003,$W193)))</f>
        <v/>
      </c>
      <c r="L193" s="56" t="str">
        <f aca="false">IF($W193="","",SUM(J$4:J193)-SUM(K$4:K193))</f>
        <v/>
      </c>
      <c r="M193" s="56" t="str">
        <f aca="false">IF($W193="","",N(INDEX(发票统计!M$4:M$1003,$W193)))</f>
        <v/>
      </c>
      <c r="N193" s="56" t="str">
        <f aca="false">IF($W193="","",N(INDEX(发票统计!N$4:N$1003,$W193)))</f>
        <v/>
      </c>
      <c r="O193" s="56" t="str">
        <f aca="false">IF($W193="","",N(INDEX(发票统计!O$4:O$1003,$W193)))</f>
        <v/>
      </c>
      <c r="P193" s="56" t="str">
        <f aca="false">IF($W193="","",SUM(M$4:M193)-SUM(N$4:N193)-SUM(O$4:O193))</f>
        <v/>
      </c>
      <c r="Q193" s="56" t="str">
        <f aca="false">IF($W193="","",N(INDEX(发票统计!Q$4:Q$1003,$W193)))</f>
        <v/>
      </c>
      <c r="R193" s="56" t="str">
        <f aca="false">IF($W193="","",N(INDEX(发票统计!R$4:R$1003,$W193)))</f>
        <v/>
      </c>
      <c r="S193" s="56" t="str">
        <f aca="false">IF($W193="","",N(INDEX(发票统计!S$4:S$1003,$W193)))</f>
        <v/>
      </c>
      <c r="T193" s="56" t="str">
        <f aca="false">IF($W193="","",SUM(Q$4:Q193)-SUM(R$4:R193)-SUM(S$4:S193))</f>
        <v/>
      </c>
      <c r="U193" s="56" t="str">
        <f aca="false">IF($W193="","",INDEX(发票统计!U$4:U$1003,$W193)&amp;"")</f>
        <v/>
      </c>
      <c r="W193" s="1" t="str">
        <f aca="false">IF($V$3="","",IFERROR(MATCH($V$3&amp;"#"&amp;ROWS(W$4:W193),发票统计!$W$4:$W$1003,0),""))</f>
        <v/>
      </c>
    </row>
    <row r="194" customFormat="false" ht="16.5" hidden="false" customHeight="false" outlineLevel="0" collapsed="false">
      <c r="A194" s="56" t="str">
        <f aca="false">IF($W194="","",INDEX(发票统计!A$4:A$1003,$W194)&amp;"")</f>
        <v/>
      </c>
      <c r="B194" s="56" t="str">
        <f aca="false">IF($W194="","",INDEX(发票统计!B$4:B$1003,$W194)&amp;"")</f>
        <v/>
      </c>
      <c r="C194" s="56" t="str">
        <f aca="false">IF($W194="","",INDEX(发票统计!C$4:C$1003,$W194)&amp;"")</f>
        <v/>
      </c>
      <c r="D194" s="56" t="str">
        <f aca="false">IF($W194="","",INDEX(发票统计!D$4:D$1003,$W194)&amp;"")</f>
        <v/>
      </c>
      <c r="E194" s="56" t="str">
        <f aca="false">IF($W194="","",INDEX(发票统计!E$4:E$1003,$W194)&amp;"")</f>
        <v/>
      </c>
      <c r="F194" s="73" t="str">
        <f aca="false">IF($W194="","",INDEX(发票统计!F$4:F$1003,$W194)&amp;"")</f>
        <v/>
      </c>
      <c r="G194" s="68" t="str">
        <f aca="false">IF($W194="","",IF(INDEX(发票统计!G$4:G$1003,$W194)="","",INDEX(发票统计!G$4:G$1003,$W194)))</f>
        <v/>
      </c>
      <c r="H194" s="56" t="str">
        <f aca="false">IF($W194="","",N(INDEX(发票统计!H$4:H$1003,$W194)))</f>
        <v/>
      </c>
      <c r="I194" s="56" t="str">
        <f aca="false">IF($W194="","",N(INDEX(发票统计!I$4:I$1003,$W194)))</f>
        <v/>
      </c>
      <c r="J194" s="56" t="str">
        <f aca="false">IF($W194="","",N(INDEX(发票统计!J$4:J$1003,$W194)))</f>
        <v/>
      </c>
      <c r="K194" s="56" t="str">
        <f aca="false">IF($W194="","",N(INDEX(发票统计!K$4:K$1003,$W194)))</f>
        <v/>
      </c>
      <c r="L194" s="56" t="str">
        <f aca="false">IF($W194="","",SUM(J$4:J194)-SUM(K$4:K194))</f>
        <v/>
      </c>
      <c r="M194" s="56" t="str">
        <f aca="false">IF($W194="","",N(INDEX(发票统计!M$4:M$1003,$W194)))</f>
        <v/>
      </c>
      <c r="N194" s="56" t="str">
        <f aca="false">IF($W194="","",N(INDEX(发票统计!N$4:N$1003,$W194)))</f>
        <v/>
      </c>
      <c r="O194" s="56" t="str">
        <f aca="false">IF($W194="","",N(INDEX(发票统计!O$4:O$1003,$W194)))</f>
        <v/>
      </c>
      <c r="P194" s="56" t="str">
        <f aca="false">IF($W194="","",SUM(M$4:M194)-SUM(N$4:N194)-SUM(O$4:O194))</f>
        <v/>
      </c>
      <c r="Q194" s="56" t="str">
        <f aca="false">IF($W194="","",N(INDEX(发票统计!Q$4:Q$1003,$W194)))</f>
        <v/>
      </c>
      <c r="R194" s="56" t="str">
        <f aca="false">IF($W194="","",N(INDEX(发票统计!R$4:R$1003,$W194)))</f>
        <v/>
      </c>
      <c r="S194" s="56" t="str">
        <f aca="false">IF($W194="","",N(INDEX(发票统计!S$4:S$1003,$W194)))</f>
        <v/>
      </c>
      <c r="T194" s="56" t="str">
        <f aca="false">IF($W194="","",SUM(Q$4:Q194)-SUM(R$4:R194)-SUM(S$4:S194))</f>
        <v/>
      </c>
      <c r="U194" s="56" t="str">
        <f aca="false">IF($W194="","",INDEX(发票统计!U$4:U$1003,$W194)&amp;"")</f>
        <v/>
      </c>
      <c r="W194" s="1" t="str">
        <f aca="false">IF($V$3="","",IFERROR(MATCH($V$3&amp;"#"&amp;ROWS(W$4:W194),发票统计!$W$4:$W$1003,0),""))</f>
        <v/>
      </c>
    </row>
    <row r="195" customFormat="false" ht="16.5" hidden="false" customHeight="false" outlineLevel="0" collapsed="false">
      <c r="A195" s="56" t="str">
        <f aca="false">IF($W195="","",INDEX(发票统计!A$4:A$1003,$W195)&amp;"")</f>
        <v/>
      </c>
      <c r="B195" s="56" t="str">
        <f aca="false">IF($W195="","",INDEX(发票统计!B$4:B$1003,$W195)&amp;"")</f>
        <v/>
      </c>
      <c r="C195" s="56" t="str">
        <f aca="false">IF($W195="","",INDEX(发票统计!C$4:C$1003,$W195)&amp;"")</f>
        <v/>
      </c>
      <c r="D195" s="56" t="str">
        <f aca="false">IF($W195="","",INDEX(发票统计!D$4:D$1003,$W195)&amp;"")</f>
        <v/>
      </c>
      <c r="E195" s="56" t="str">
        <f aca="false">IF($W195="","",INDEX(发票统计!E$4:E$1003,$W195)&amp;"")</f>
        <v/>
      </c>
      <c r="F195" s="73" t="str">
        <f aca="false">IF($W195="","",INDEX(发票统计!F$4:F$1003,$W195)&amp;"")</f>
        <v/>
      </c>
      <c r="G195" s="68" t="str">
        <f aca="false">IF($W195="","",IF(INDEX(发票统计!G$4:G$1003,$W195)="","",INDEX(发票统计!G$4:G$1003,$W195)))</f>
        <v/>
      </c>
      <c r="H195" s="56" t="str">
        <f aca="false">IF($W195="","",N(INDEX(发票统计!H$4:H$1003,$W195)))</f>
        <v/>
      </c>
      <c r="I195" s="56" t="str">
        <f aca="false">IF($W195="","",N(INDEX(发票统计!I$4:I$1003,$W195)))</f>
        <v/>
      </c>
      <c r="J195" s="56" t="str">
        <f aca="false">IF($W195="","",N(INDEX(发票统计!J$4:J$1003,$W195)))</f>
        <v/>
      </c>
      <c r="K195" s="56" t="str">
        <f aca="false">IF($W195="","",N(INDEX(发票统计!K$4:K$1003,$W195)))</f>
        <v/>
      </c>
      <c r="L195" s="56" t="str">
        <f aca="false">IF($W195="","",SUM(J$4:J195)-SUM(K$4:K195))</f>
        <v/>
      </c>
      <c r="M195" s="56" t="str">
        <f aca="false">IF($W195="","",N(INDEX(发票统计!M$4:M$1003,$W195)))</f>
        <v/>
      </c>
      <c r="N195" s="56" t="str">
        <f aca="false">IF($W195="","",N(INDEX(发票统计!N$4:N$1003,$W195)))</f>
        <v/>
      </c>
      <c r="O195" s="56" t="str">
        <f aca="false">IF($W195="","",N(INDEX(发票统计!O$4:O$1003,$W195)))</f>
        <v/>
      </c>
      <c r="P195" s="56" t="str">
        <f aca="false">IF($W195="","",SUM(M$4:M195)-SUM(N$4:N195)-SUM(O$4:O195))</f>
        <v/>
      </c>
      <c r="Q195" s="56" t="str">
        <f aca="false">IF($W195="","",N(INDEX(发票统计!Q$4:Q$1003,$W195)))</f>
        <v/>
      </c>
      <c r="R195" s="56" t="str">
        <f aca="false">IF($W195="","",N(INDEX(发票统计!R$4:R$1003,$W195)))</f>
        <v/>
      </c>
      <c r="S195" s="56" t="str">
        <f aca="false">IF($W195="","",N(INDEX(发票统计!S$4:S$1003,$W195)))</f>
        <v/>
      </c>
      <c r="T195" s="56" t="str">
        <f aca="false">IF($W195="","",SUM(Q$4:Q195)-SUM(R$4:R195)-SUM(S$4:S195))</f>
        <v/>
      </c>
      <c r="U195" s="56" t="str">
        <f aca="false">IF($W195="","",INDEX(发票统计!U$4:U$1003,$W195)&amp;"")</f>
        <v/>
      </c>
      <c r="W195" s="1" t="str">
        <f aca="false">IF($V$3="","",IFERROR(MATCH($V$3&amp;"#"&amp;ROWS(W$4:W195),发票统计!$W$4:$W$1003,0),""))</f>
        <v/>
      </c>
    </row>
    <row r="196" customFormat="false" ht="16.5" hidden="false" customHeight="false" outlineLevel="0" collapsed="false">
      <c r="A196" s="56" t="str">
        <f aca="false">IF($W196="","",INDEX(发票统计!A$4:A$1003,$W196)&amp;"")</f>
        <v/>
      </c>
      <c r="B196" s="56" t="str">
        <f aca="false">IF($W196="","",INDEX(发票统计!B$4:B$1003,$W196)&amp;"")</f>
        <v/>
      </c>
      <c r="C196" s="56" t="str">
        <f aca="false">IF($W196="","",INDEX(发票统计!C$4:C$1003,$W196)&amp;"")</f>
        <v/>
      </c>
      <c r="D196" s="56" t="str">
        <f aca="false">IF($W196="","",INDEX(发票统计!D$4:D$1003,$W196)&amp;"")</f>
        <v/>
      </c>
      <c r="E196" s="56" t="str">
        <f aca="false">IF($W196="","",INDEX(发票统计!E$4:E$1003,$W196)&amp;"")</f>
        <v/>
      </c>
      <c r="F196" s="73" t="str">
        <f aca="false">IF($W196="","",INDEX(发票统计!F$4:F$1003,$W196)&amp;"")</f>
        <v/>
      </c>
      <c r="G196" s="68" t="str">
        <f aca="false">IF($W196="","",IF(INDEX(发票统计!G$4:G$1003,$W196)="","",INDEX(发票统计!G$4:G$1003,$W196)))</f>
        <v/>
      </c>
      <c r="H196" s="56" t="str">
        <f aca="false">IF($W196="","",N(INDEX(发票统计!H$4:H$1003,$W196)))</f>
        <v/>
      </c>
      <c r="I196" s="56" t="str">
        <f aca="false">IF($W196="","",N(INDEX(发票统计!I$4:I$1003,$W196)))</f>
        <v/>
      </c>
      <c r="J196" s="56" t="str">
        <f aca="false">IF($W196="","",N(INDEX(发票统计!J$4:J$1003,$W196)))</f>
        <v/>
      </c>
      <c r="K196" s="56" t="str">
        <f aca="false">IF($W196="","",N(INDEX(发票统计!K$4:K$1003,$W196)))</f>
        <v/>
      </c>
      <c r="L196" s="56" t="str">
        <f aca="false">IF($W196="","",SUM(J$4:J196)-SUM(K$4:K196))</f>
        <v/>
      </c>
      <c r="M196" s="56" t="str">
        <f aca="false">IF($W196="","",N(INDEX(发票统计!M$4:M$1003,$W196)))</f>
        <v/>
      </c>
      <c r="N196" s="56" t="str">
        <f aca="false">IF($W196="","",N(INDEX(发票统计!N$4:N$1003,$W196)))</f>
        <v/>
      </c>
      <c r="O196" s="56" t="str">
        <f aca="false">IF($W196="","",N(INDEX(发票统计!O$4:O$1003,$W196)))</f>
        <v/>
      </c>
      <c r="P196" s="56" t="str">
        <f aca="false">IF($W196="","",SUM(M$4:M196)-SUM(N$4:N196)-SUM(O$4:O196))</f>
        <v/>
      </c>
      <c r="Q196" s="56" t="str">
        <f aca="false">IF($W196="","",N(INDEX(发票统计!Q$4:Q$1003,$W196)))</f>
        <v/>
      </c>
      <c r="R196" s="56" t="str">
        <f aca="false">IF($W196="","",N(INDEX(发票统计!R$4:R$1003,$W196)))</f>
        <v/>
      </c>
      <c r="S196" s="56" t="str">
        <f aca="false">IF($W196="","",N(INDEX(发票统计!S$4:S$1003,$W196)))</f>
        <v/>
      </c>
      <c r="T196" s="56" t="str">
        <f aca="false">IF($W196="","",SUM(Q$4:Q196)-SUM(R$4:R196)-SUM(S$4:S196))</f>
        <v/>
      </c>
      <c r="U196" s="56" t="str">
        <f aca="false">IF($W196="","",INDEX(发票统计!U$4:U$1003,$W196)&amp;"")</f>
        <v/>
      </c>
      <c r="W196" s="1" t="str">
        <f aca="false">IF($V$3="","",IFERROR(MATCH($V$3&amp;"#"&amp;ROWS(W$4:W196),发票统计!$W$4:$W$1003,0),""))</f>
        <v/>
      </c>
    </row>
    <row r="197" customFormat="false" ht="16.5" hidden="false" customHeight="false" outlineLevel="0" collapsed="false">
      <c r="A197" s="56" t="str">
        <f aca="false">IF($W197="","",INDEX(发票统计!A$4:A$1003,$W197)&amp;"")</f>
        <v/>
      </c>
      <c r="B197" s="56" t="str">
        <f aca="false">IF($W197="","",INDEX(发票统计!B$4:B$1003,$W197)&amp;"")</f>
        <v/>
      </c>
      <c r="C197" s="56" t="str">
        <f aca="false">IF($W197="","",INDEX(发票统计!C$4:C$1003,$W197)&amp;"")</f>
        <v/>
      </c>
      <c r="D197" s="56" t="str">
        <f aca="false">IF($W197="","",INDEX(发票统计!D$4:D$1003,$W197)&amp;"")</f>
        <v/>
      </c>
      <c r="E197" s="56" t="str">
        <f aca="false">IF($W197="","",INDEX(发票统计!E$4:E$1003,$W197)&amp;"")</f>
        <v/>
      </c>
      <c r="F197" s="73" t="str">
        <f aca="false">IF($W197="","",INDEX(发票统计!F$4:F$1003,$W197)&amp;"")</f>
        <v/>
      </c>
      <c r="G197" s="68" t="str">
        <f aca="false">IF($W197="","",IF(INDEX(发票统计!G$4:G$1003,$W197)="","",INDEX(发票统计!G$4:G$1003,$W197)))</f>
        <v/>
      </c>
      <c r="H197" s="56" t="str">
        <f aca="false">IF($W197="","",N(INDEX(发票统计!H$4:H$1003,$W197)))</f>
        <v/>
      </c>
      <c r="I197" s="56" t="str">
        <f aca="false">IF($W197="","",N(INDEX(发票统计!I$4:I$1003,$W197)))</f>
        <v/>
      </c>
      <c r="J197" s="56" t="str">
        <f aca="false">IF($W197="","",N(INDEX(发票统计!J$4:J$1003,$W197)))</f>
        <v/>
      </c>
      <c r="K197" s="56" t="str">
        <f aca="false">IF($W197="","",N(INDEX(发票统计!K$4:K$1003,$W197)))</f>
        <v/>
      </c>
      <c r="L197" s="56" t="str">
        <f aca="false">IF($W197="","",SUM(J$4:J197)-SUM(K$4:K197))</f>
        <v/>
      </c>
      <c r="M197" s="56" t="str">
        <f aca="false">IF($W197="","",N(INDEX(发票统计!M$4:M$1003,$W197)))</f>
        <v/>
      </c>
      <c r="N197" s="56" t="str">
        <f aca="false">IF($W197="","",N(INDEX(发票统计!N$4:N$1003,$W197)))</f>
        <v/>
      </c>
      <c r="O197" s="56" t="str">
        <f aca="false">IF($W197="","",N(INDEX(发票统计!O$4:O$1003,$W197)))</f>
        <v/>
      </c>
      <c r="P197" s="56" t="str">
        <f aca="false">IF($W197="","",SUM(M$4:M197)-SUM(N$4:N197)-SUM(O$4:O197))</f>
        <v/>
      </c>
      <c r="Q197" s="56" t="str">
        <f aca="false">IF($W197="","",N(INDEX(发票统计!Q$4:Q$1003,$W197)))</f>
        <v/>
      </c>
      <c r="R197" s="56" t="str">
        <f aca="false">IF($W197="","",N(INDEX(发票统计!R$4:R$1003,$W197)))</f>
        <v/>
      </c>
      <c r="S197" s="56" t="str">
        <f aca="false">IF($W197="","",N(INDEX(发票统计!S$4:S$1003,$W197)))</f>
        <v/>
      </c>
      <c r="T197" s="56" t="str">
        <f aca="false">IF($W197="","",SUM(Q$4:Q197)-SUM(R$4:R197)-SUM(S$4:S197))</f>
        <v/>
      </c>
      <c r="U197" s="56" t="str">
        <f aca="false">IF($W197="","",INDEX(发票统计!U$4:U$1003,$W197)&amp;"")</f>
        <v/>
      </c>
      <c r="W197" s="1" t="str">
        <f aca="false">IF($V$3="","",IFERROR(MATCH($V$3&amp;"#"&amp;ROWS(W$4:W197),发票统计!$W$4:$W$1003,0),""))</f>
        <v/>
      </c>
    </row>
    <row r="198" customFormat="false" ht="16.5" hidden="false" customHeight="false" outlineLevel="0" collapsed="false">
      <c r="A198" s="56" t="str">
        <f aca="false">IF($W198="","",INDEX(发票统计!A$4:A$1003,$W198)&amp;"")</f>
        <v/>
      </c>
      <c r="B198" s="56" t="str">
        <f aca="false">IF($W198="","",INDEX(发票统计!B$4:B$1003,$W198)&amp;"")</f>
        <v/>
      </c>
      <c r="C198" s="56" t="str">
        <f aca="false">IF($W198="","",INDEX(发票统计!C$4:C$1003,$W198)&amp;"")</f>
        <v/>
      </c>
      <c r="D198" s="56" t="str">
        <f aca="false">IF($W198="","",INDEX(发票统计!D$4:D$1003,$W198)&amp;"")</f>
        <v/>
      </c>
      <c r="E198" s="56" t="str">
        <f aca="false">IF($W198="","",INDEX(发票统计!E$4:E$1003,$W198)&amp;"")</f>
        <v/>
      </c>
      <c r="F198" s="73" t="str">
        <f aca="false">IF($W198="","",INDEX(发票统计!F$4:F$1003,$W198)&amp;"")</f>
        <v/>
      </c>
      <c r="G198" s="68" t="str">
        <f aca="false">IF($W198="","",IF(INDEX(发票统计!G$4:G$1003,$W198)="","",INDEX(发票统计!G$4:G$1003,$W198)))</f>
        <v/>
      </c>
      <c r="H198" s="56" t="str">
        <f aca="false">IF($W198="","",N(INDEX(发票统计!H$4:H$1003,$W198)))</f>
        <v/>
      </c>
      <c r="I198" s="56" t="str">
        <f aca="false">IF($W198="","",N(INDEX(发票统计!I$4:I$1003,$W198)))</f>
        <v/>
      </c>
      <c r="J198" s="56" t="str">
        <f aca="false">IF($W198="","",N(INDEX(发票统计!J$4:J$1003,$W198)))</f>
        <v/>
      </c>
      <c r="K198" s="56" t="str">
        <f aca="false">IF($W198="","",N(INDEX(发票统计!K$4:K$1003,$W198)))</f>
        <v/>
      </c>
      <c r="L198" s="56" t="str">
        <f aca="false">IF($W198="","",SUM(J$4:J198)-SUM(K$4:K198))</f>
        <v/>
      </c>
      <c r="M198" s="56" t="str">
        <f aca="false">IF($W198="","",N(INDEX(发票统计!M$4:M$1003,$W198)))</f>
        <v/>
      </c>
      <c r="N198" s="56" t="str">
        <f aca="false">IF($W198="","",N(INDEX(发票统计!N$4:N$1003,$W198)))</f>
        <v/>
      </c>
      <c r="O198" s="56" t="str">
        <f aca="false">IF($W198="","",N(INDEX(发票统计!O$4:O$1003,$W198)))</f>
        <v/>
      </c>
      <c r="P198" s="56" t="str">
        <f aca="false">IF($W198="","",SUM(M$4:M198)-SUM(N$4:N198)-SUM(O$4:O198))</f>
        <v/>
      </c>
      <c r="Q198" s="56" t="str">
        <f aca="false">IF($W198="","",N(INDEX(发票统计!Q$4:Q$1003,$W198)))</f>
        <v/>
      </c>
      <c r="R198" s="56" t="str">
        <f aca="false">IF($W198="","",N(INDEX(发票统计!R$4:R$1003,$W198)))</f>
        <v/>
      </c>
      <c r="S198" s="56" t="str">
        <f aca="false">IF($W198="","",N(INDEX(发票统计!S$4:S$1003,$W198)))</f>
        <v/>
      </c>
      <c r="T198" s="56" t="str">
        <f aca="false">IF($W198="","",SUM(Q$4:Q198)-SUM(R$4:R198)-SUM(S$4:S198))</f>
        <v/>
      </c>
      <c r="U198" s="56" t="str">
        <f aca="false">IF($W198="","",INDEX(发票统计!U$4:U$1003,$W198)&amp;"")</f>
        <v/>
      </c>
      <c r="W198" s="1" t="str">
        <f aca="false">IF($V$3="","",IFERROR(MATCH($V$3&amp;"#"&amp;ROWS(W$4:W198),发票统计!$W$4:$W$1003,0),""))</f>
        <v/>
      </c>
    </row>
    <row r="199" customFormat="false" ht="16.5" hidden="false" customHeight="false" outlineLevel="0" collapsed="false">
      <c r="A199" s="56" t="str">
        <f aca="false">IF($W199="","",INDEX(发票统计!A$4:A$1003,$W199)&amp;"")</f>
        <v/>
      </c>
      <c r="B199" s="56" t="str">
        <f aca="false">IF($W199="","",INDEX(发票统计!B$4:B$1003,$W199)&amp;"")</f>
        <v/>
      </c>
      <c r="C199" s="56" t="str">
        <f aca="false">IF($W199="","",INDEX(发票统计!C$4:C$1003,$W199)&amp;"")</f>
        <v/>
      </c>
      <c r="D199" s="56" t="str">
        <f aca="false">IF($W199="","",INDEX(发票统计!D$4:D$1003,$W199)&amp;"")</f>
        <v/>
      </c>
      <c r="E199" s="56" t="str">
        <f aca="false">IF($W199="","",INDEX(发票统计!E$4:E$1003,$W199)&amp;"")</f>
        <v/>
      </c>
      <c r="F199" s="73" t="str">
        <f aca="false">IF($W199="","",INDEX(发票统计!F$4:F$1003,$W199)&amp;"")</f>
        <v/>
      </c>
      <c r="G199" s="68" t="str">
        <f aca="false">IF($W199="","",IF(INDEX(发票统计!G$4:G$1003,$W199)="","",INDEX(发票统计!G$4:G$1003,$W199)))</f>
        <v/>
      </c>
      <c r="H199" s="56" t="str">
        <f aca="false">IF($W199="","",N(INDEX(发票统计!H$4:H$1003,$W199)))</f>
        <v/>
      </c>
      <c r="I199" s="56" t="str">
        <f aca="false">IF($W199="","",N(INDEX(发票统计!I$4:I$1003,$W199)))</f>
        <v/>
      </c>
      <c r="J199" s="56" t="str">
        <f aca="false">IF($W199="","",N(INDEX(发票统计!J$4:J$1003,$W199)))</f>
        <v/>
      </c>
      <c r="K199" s="56" t="str">
        <f aca="false">IF($W199="","",N(INDEX(发票统计!K$4:K$1003,$W199)))</f>
        <v/>
      </c>
      <c r="L199" s="56" t="str">
        <f aca="false">IF($W199="","",SUM(J$4:J199)-SUM(K$4:K199))</f>
        <v/>
      </c>
      <c r="M199" s="56" t="str">
        <f aca="false">IF($W199="","",N(INDEX(发票统计!M$4:M$1003,$W199)))</f>
        <v/>
      </c>
      <c r="N199" s="56" t="str">
        <f aca="false">IF($W199="","",N(INDEX(发票统计!N$4:N$1003,$W199)))</f>
        <v/>
      </c>
      <c r="O199" s="56" t="str">
        <f aca="false">IF($W199="","",N(INDEX(发票统计!O$4:O$1003,$W199)))</f>
        <v/>
      </c>
      <c r="P199" s="56" t="str">
        <f aca="false">IF($W199="","",SUM(M$4:M199)-SUM(N$4:N199)-SUM(O$4:O199))</f>
        <v/>
      </c>
      <c r="Q199" s="56" t="str">
        <f aca="false">IF($W199="","",N(INDEX(发票统计!Q$4:Q$1003,$W199)))</f>
        <v/>
      </c>
      <c r="R199" s="56" t="str">
        <f aca="false">IF($W199="","",N(INDEX(发票统计!R$4:R$1003,$W199)))</f>
        <v/>
      </c>
      <c r="S199" s="56" t="str">
        <f aca="false">IF($W199="","",N(INDEX(发票统计!S$4:S$1003,$W199)))</f>
        <v/>
      </c>
      <c r="T199" s="56" t="str">
        <f aca="false">IF($W199="","",SUM(Q$4:Q199)-SUM(R$4:R199)-SUM(S$4:S199))</f>
        <v/>
      </c>
      <c r="U199" s="56" t="str">
        <f aca="false">IF($W199="","",INDEX(发票统计!U$4:U$1003,$W199)&amp;"")</f>
        <v/>
      </c>
      <c r="W199" s="1" t="str">
        <f aca="false">IF($V$3="","",IFERROR(MATCH($V$3&amp;"#"&amp;ROWS(W$4:W199),发票统计!$W$4:$W$1003,0),""))</f>
        <v/>
      </c>
    </row>
    <row r="200" customFormat="false" ht="16.5" hidden="false" customHeight="false" outlineLevel="0" collapsed="false">
      <c r="A200" s="56" t="str">
        <f aca="false">IF($W200="","",INDEX(发票统计!A$4:A$1003,$W200)&amp;"")</f>
        <v/>
      </c>
      <c r="B200" s="56" t="str">
        <f aca="false">IF($W200="","",INDEX(发票统计!B$4:B$1003,$W200)&amp;"")</f>
        <v/>
      </c>
      <c r="C200" s="56" t="str">
        <f aca="false">IF($W200="","",INDEX(发票统计!C$4:C$1003,$W200)&amp;"")</f>
        <v/>
      </c>
      <c r="D200" s="56" t="str">
        <f aca="false">IF($W200="","",INDEX(发票统计!D$4:D$1003,$W200)&amp;"")</f>
        <v/>
      </c>
      <c r="E200" s="56" t="str">
        <f aca="false">IF($W200="","",INDEX(发票统计!E$4:E$1003,$W200)&amp;"")</f>
        <v/>
      </c>
      <c r="F200" s="73" t="str">
        <f aca="false">IF($W200="","",INDEX(发票统计!F$4:F$1003,$W200)&amp;"")</f>
        <v/>
      </c>
      <c r="G200" s="68" t="str">
        <f aca="false">IF($W200="","",IF(INDEX(发票统计!G$4:G$1003,$W200)="","",INDEX(发票统计!G$4:G$1003,$W200)))</f>
        <v/>
      </c>
      <c r="H200" s="56" t="str">
        <f aca="false">IF($W200="","",N(INDEX(发票统计!H$4:H$1003,$W200)))</f>
        <v/>
      </c>
      <c r="I200" s="56" t="str">
        <f aca="false">IF($W200="","",N(INDEX(发票统计!I$4:I$1003,$W200)))</f>
        <v/>
      </c>
      <c r="J200" s="56" t="str">
        <f aca="false">IF($W200="","",N(INDEX(发票统计!J$4:J$1003,$W200)))</f>
        <v/>
      </c>
      <c r="K200" s="56" t="str">
        <f aca="false">IF($W200="","",N(INDEX(发票统计!K$4:K$1003,$W200)))</f>
        <v/>
      </c>
      <c r="L200" s="56" t="str">
        <f aca="false">IF($W200="","",SUM(J$4:J200)-SUM(K$4:K200))</f>
        <v/>
      </c>
      <c r="M200" s="56" t="str">
        <f aca="false">IF($W200="","",N(INDEX(发票统计!M$4:M$1003,$W200)))</f>
        <v/>
      </c>
      <c r="N200" s="56" t="str">
        <f aca="false">IF($W200="","",N(INDEX(发票统计!N$4:N$1003,$W200)))</f>
        <v/>
      </c>
      <c r="O200" s="56" t="str">
        <f aca="false">IF($W200="","",N(INDEX(发票统计!O$4:O$1003,$W200)))</f>
        <v/>
      </c>
      <c r="P200" s="56" t="str">
        <f aca="false">IF($W200="","",SUM(M$4:M200)-SUM(N$4:N200)-SUM(O$4:O200))</f>
        <v/>
      </c>
      <c r="Q200" s="56" t="str">
        <f aca="false">IF($W200="","",N(INDEX(发票统计!Q$4:Q$1003,$W200)))</f>
        <v/>
      </c>
      <c r="R200" s="56" t="str">
        <f aca="false">IF($W200="","",N(INDEX(发票统计!R$4:R$1003,$W200)))</f>
        <v/>
      </c>
      <c r="S200" s="56" t="str">
        <f aca="false">IF($W200="","",N(INDEX(发票统计!S$4:S$1003,$W200)))</f>
        <v/>
      </c>
      <c r="T200" s="56" t="str">
        <f aca="false">IF($W200="","",SUM(Q$4:Q200)-SUM(R$4:R200)-SUM(S$4:S200))</f>
        <v/>
      </c>
      <c r="U200" s="56" t="str">
        <f aca="false">IF($W200="","",INDEX(发票统计!U$4:U$1003,$W200)&amp;"")</f>
        <v/>
      </c>
      <c r="W200" s="1" t="str">
        <f aca="false">IF($V$3="","",IFERROR(MATCH($V$3&amp;"#"&amp;ROWS(W$4:W200),发票统计!$W$4:$W$1003,0),""))</f>
        <v/>
      </c>
    </row>
    <row r="201" customFormat="false" ht="16.5" hidden="false" customHeight="false" outlineLevel="0" collapsed="false">
      <c r="A201" s="56" t="str">
        <f aca="false">IF($W201="","",INDEX(发票统计!A$4:A$1003,$W201)&amp;"")</f>
        <v/>
      </c>
      <c r="B201" s="56" t="str">
        <f aca="false">IF($W201="","",INDEX(发票统计!B$4:B$1003,$W201)&amp;"")</f>
        <v/>
      </c>
      <c r="C201" s="56" t="str">
        <f aca="false">IF($W201="","",INDEX(发票统计!C$4:C$1003,$W201)&amp;"")</f>
        <v/>
      </c>
      <c r="D201" s="56" t="str">
        <f aca="false">IF($W201="","",INDEX(发票统计!D$4:D$1003,$W201)&amp;"")</f>
        <v/>
      </c>
      <c r="E201" s="56" t="str">
        <f aca="false">IF($W201="","",INDEX(发票统计!E$4:E$1003,$W201)&amp;"")</f>
        <v/>
      </c>
      <c r="F201" s="73" t="str">
        <f aca="false">IF($W201="","",INDEX(发票统计!F$4:F$1003,$W201)&amp;"")</f>
        <v/>
      </c>
      <c r="G201" s="68" t="str">
        <f aca="false">IF($W201="","",IF(INDEX(发票统计!G$4:G$1003,$W201)="","",INDEX(发票统计!G$4:G$1003,$W201)))</f>
        <v/>
      </c>
      <c r="H201" s="56" t="str">
        <f aca="false">IF($W201="","",N(INDEX(发票统计!H$4:H$1003,$W201)))</f>
        <v/>
      </c>
      <c r="I201" s="56" t="str">
        <f aca="false">IF($W201="","",N(INDEX(发票统计!I$4:I$1003,$W201)))</f>
        <v/>
      </c>
      <c r="J201" s="56" t="str">
        <f aca="false">IF($W201="","",N(INDEX(发票统计!J$4:J$1003,$W201)))</f>
        <v/>
      </c>
      <c r="K201" s="56" t="str">
        <f aca="false">IF($W201="","",N(INDEX(发票统计!K$4:K$1003,$W201)))</f>
        <v/>
      </c>
      <c r="L201" s="56" t="str">
        <f aca="false">IF($W201="","",SUM(J$4:J201)-SUM(K$4:K201))</f>
        <v/>
      </c>
      <c r="M201" s="56" t="str">
        <f aca="false">IF($W201="","",N(INDEX(发票统计!M$4:M$1003,$W201)))</f>
        <v/>
      </c>
      <c r="N201" s="56" t="str">
        <f aca="false">IF($W201="","",N(INDEX(发票统计!N$4:N$1003,$W201)))</f>
        <v/>
      </c>
      <c r="O201" s="56" t="str">
        <f aca="false">IF($W201="","",N(INDEX(发票统计!O$4:O$1003,$W201)))</f>
        <v/>
      </c>
      <c r="P201" s="56" t="str">
        <f aca="false">IF($W201="","",SUM(M$4:M201)-SUM(N$4:N201)-SUM(O$4:O201))</f>
        <v/>
      </c>
      <c r="Q201" s="56" t="str">
        <f aca="false">IF($W201="","",N(INDEX(发票统计!Q$4:Q$1003,$W201)))</f>
        <v/>
      </c>
      <c r="R201" s="56" t="str">
        <f aca="false">IF($W201="","",N(INDEX(发票统计!R$4:R$1003,$W201)))</f>
        <v/>
      </c>
      <c r="S201" s="56" t="str">
        <f aca="false">IF($W201="","",N(INDEX(发票统计!S$4:S$1003,$W201)))</f>
        <v/>
      </c>
      <c r="T201" s="56" t="str">
        <f aca="false">IF($W201="","",SUM(Q$4:Q201)-SUM(R$4:R201)-SUM(S$4:S201))</f>
        <v/>
      </c>
      <c r="U201" s="56" t="str">
        <f aca="false">IF($W201="","",INDEX(发票统计!U$4:U$1003,$W201)&amp;"")</f>
        <v/>
      </c>
      <c r="W201" s="1" t="str">
        <f aca="false">IF($V$3="","",IFERROR(MATCH($V$3&amp;"#"&amp;ROWS(W$4:W201),发票统计!$W$4:$W$1003,0),""))</f>
        <v/>
      </c>
    </row>
    <row r="202" customFormat="false" ht="16.5" hidden="false" customHeight="false" outlineLevel="0" collapsed="false">
      <c r="A202" s="56" t="str">
        <f aca="false">IF($W202="","",INDEX(发票统计!A$4:A$1003,$W202)&amp;"")</f>
        <v/>
      </c>
      <c r="B202" s="56" t="str">
        <f aca="false">IF($W202="","",INDEX(发票统计!B$4:B$1003,$W202)&amp;"")</f>
        <v/>
      </c>
      <c r="C202" s="56" t="str">
        <f aca="false">IF($W202="","",INDEX(发票统计!C$4:C$1003,$W202)&amp;"")</f>
        <v/>
      </c>
      <c r="D202" s="56" t="str">
        <f aca="false">IF($W202="","",INDEX(发票统计!D$4:D$1003,$W202)&amp;"")</f>
        <v/>
      </c>
      <c r="E202" s="56" t="str">
        <f aca="false">IF($W202="","",INDEX(发票统计!E$4:E$1003,$W202)&amp;"")</f>
        <v/>
      </c>
      <c r="F202" s="73" t="str">
        <f aca="false">IF($W202="","",INDEX(发票统计!F$4:F$1003,$W202)&amp;"")</f>
        <v/>
      </c>
      <c r="G202" s="68" t="str">
        <f aca="false">IF($W202="","",IF(INDEX(发票统计!G$4:G$1003,$W202)="","",INDEX(发票统计!G$4:G$1003,$W202)))</f>
        <v/>
      </c>
      <c r="H202" s="56" t="str">
        <f aca="false">IF($W202="","",N(INDEX(发票统计!H$4:H$1003,$W202)))</f>
        <v/>
      </c>
      <c r="I202" s="56" t="str">
        <f aca="false">IF($W202="","",N(INDEX(发票统计!I$4:I$1003,$W202)))</f>
        <v/>
      </c>
      <c r="J202" s="56" t="str">
        <f aca="false">IF($W202="","",N(INDEX(发票统计!J$4:J$1003,$W202)))</f>
        <v/>
      </c>
      <c r="K202" s="56" t="str">
        <f aca="false">IF($W202="","",N(INDEX(发票统计!K$4:K$1003,$W202)))</f>
        <v/>
      </c>
      <c r="L202" s="56" t="str">
        <f aca="false">IF($W202="","",SUM(J$4:J202)-SUM(K$4:K202))</f>
        <v/>
      </c>
      <c r="M202" s="56" t="str">
        <f aca="false">IF($W202="","",N(INDEX(发票统计!M$4:M$1003,$W202)))</f>
        <v/>
      </c>
      <c r="N202" s="56" t="str">
        <f aca="false">IF($W202="","",N(INDEX(发票统计!N$4:N$1003,$W202)))</f>
        <v/>
      </c>
      <c r="O202" s="56" t="str">
        <f aca="false">IF($W202="","",N(INDEX(发票统计!O$4:O$1003,$W202)))</f>
        <v/>
      </c>
      <c r="P202" s="56" t="str">
        <f aca="false">IF($W202="","",SUM(M$4:M202)-SUM(N$4:N202)-SUM(O$4:O202))</f>
        <v/>
      </c>
      <c r="Q202" s="56" t="str">
        <f aca="false">IF($W202="","",N(INDEX(发票统计!Q$4:Q$1003,$W202)))</f>
        <v/>
      </c>
      <c r="R202" s="56" t="str">
        <f aca="false">IF($W202="","",N(INDEX(发票统计!R$4:R$1003,$W202)))</f>
        <v/>
      </c>
      <c r="S202" s="56" t="str">
        <f aca="false">IF($W202="","",N(INDEX(发票统计!S$4:S$1003,$W202)))</f>
        <v/>
      </c>
      <c r="T202" s="56" t="str">
        <f aca="false">IF($W202="","",SUM(Q$4:Q202)-SUM(R$4:R202)-SUM(S$4:S202))</f>
        <v/>
      </c>
      <c r="U202" s="56" t="str">
        <f aca="false">IF($W202="","",INDEX(发票统计!U$4:U$1003,$W202)&amp;"")</f>
        <v/>
      </c>
      <c r="W202" s="1" t="str">
        <f aca="false">IF($V$3="","",IFERROR(MATCH($V$3&amp;"#"&amp;ROWS(W$4:W202),发票统计!$W$4:$W$1003,0),""))</f>
        <v/>
      </c>
    </row>
    <row r="203" customFormat="false" ht="16.5" hidden="false" customHeight="false" outlineLevel="0" collapsed="false">
      <c r="A203" s="56" t="str">
        <f aca="false">IF($W203="","",INDEX(发票统计!A$4:A$1003,$W203)&amp;"")</f>
        <v/>
      </c>
      <c r="B203" s="56" t="str">
        <f aca="false">IF($W203="","",INDEX(发票统计!B$4:B$1003,$W203)&amp;"")</f>
        <v/>
      </c>
      <c r="C203" s="56" t="str">
        <f aca="false">IF($W203="","",INDEX(发票统计!C$4:C$1003,$W203)&amp;"")</f>
        <v/>
      </c>
      <c r="D203" s="56" t="str">
        <f aca="false">IF($W203="","",INDEX(发票统计!D$4:D$1003,$W203)&amp;"")</f>
        <v/>
      </c>
      <c r="E203" s="56" t="str">
        <f aca="false">IF($W203="","",INDEX(发票统计!E$4:E$1003,$W203)&amp;"")</f>
        <v/>
      </c>
      <c r="F203" s="73" t="str">
        <f aca="false">IF($W203="","",INDEX(发票统计!F$4:F$1003,$W203)&amp;"")</f>
        <v/>
      </c>
      <c r="G203" s="68" t="str">
        <f aca="false">IF($W203="","",IF(INDEX(发票统计!G$4:G$1003,$W203)="","",INDEX(发票统计!G$4:G$1003,$W203)))</f>
        <v/>
      </c>
      <c r="H203" s="56" t="str">
        <f aca="false">IF($W203="","",N(INDEX(发票统计!H$4:H$1003,$W203)))</f>
        <v/>
      </c>
      <c r="I203" s="56" t="str">
        <f aca="false">IF($W203="","",N(INDEX(发票统计!I$4:I$1003,$W203)))</f>
        <v/>
      </c>
      <c r="J203" s="56" t="str">
        <f aca="false">IF($W203="","",N(INDEX(发票统计!J$4:J$1003,$W203)))</f>
        <v/>
      </c>
      <c r="K203" s="56" t="str">
        <f aca="false">IF($W203="","",N(INDEX(发票统计!K$4:K$1003,$W203)))</f>
        <v/>
      </c>
      <c r="L203" s="56" t="str">
        <f aca="false">IF($W203="","",SUM(J$4:J203)-SUM(K$4:K203))</f>
        <v/>
      </c>
      <c r="M203" s="56" t="str">
        <f aca="false">IF($W203="","",N(INDEX(发票统计!M$4:M$1003,$W203)))</f>
        <v/>
      </c>
      <c r="N203" s="56" t="str">
        <f aca="false">IF($W203="","",N(INDEX(发票统计!N$4:N$1003,$W203)))</f>
        <v/>
      </c>
      <c r="O203" s="56" t="str">
        <f aca="false">IF($W203="","",N(INDEX(发票统计!O$4:O$1003,$W203)))</f>
        <v/>
      </c>
      <c r="P203" s="56" t="str">
        <f aca="false">IF($W203="","",SUM(M$4:M203)-SUM(N$4:N203)-SUM(O$4:O203))</f>
        <v/>
      </c>
      <c r="Q203" s="56" t="str">
        <f aca="false">IF($W203="","",N(INDEX(发票统计!Q$4:Q$1003,$W203)))</f>
        <v/>
      </c>
      <c r="R203" s="56" t="str">
        <f aca="false">IF($W203="","",N(INDEX(发票统计!R$4:R$1003,$W203)))</f>
        <v/>
      </c>
      <c r="S203" s="56" t="str">
        <f aca="false">IF($W203="","",N(INDEX(发票统计!S$4:S$1003,$W203)))</f>
        <v/>
      </c>
      <c r="T203" s="56" t="str">
        <f aca="false">IF($W203="","",SUM(Q$4:Q203)-SUM(R$4:R203)-SUM(S$4:S203))</f>
        <v/>
      </c>
      <c r="U203" s="56" t="str">
        <f aca="false">IF($W203="","",INDEX(发票统计!U$4:U$1003,$W203)&amp;"")</f>
        <v/>
      </c>
      <c r="W203" s="1" t="str">
        <f aca="false">IF($V$3="","",IFERROR(MATCH($V$3&amp;"#"&amp;ROWS(W$4:W203),发票统计!$W$4:$W$1003,0),""))</f>
        <v/>
      </c>
    </row>
    <row r="204" customFormat="false" ht="16.5" hidden="false" customHeight="false" outlineLevel="0" collapsed="false">
      <c r="A204" s="56" t="str">
        <f aca="false">IF($W204="","",INDEX(发票统计!A$4:A$1003,$W204)&amp;"")</f>
        <v/>
      </c>
      <c r="B204" s="56" t="str">
        <f aca="false">IF($W204="","",INDEX(发票统计!B$4:B$1003,$W204)&amp;"")</f>
        <v/>
      </c>
      <c r="C204" s="56" t="str">
        <f aca="false">IF($W204="","",INDEX(发票统计!C$4:C$1003,$W204)&amp;"")</f>
        <v/>
      </c>
      <c r="D204" s="56" t="str">
        <f aca="false">IF($W204="","",INDEX(发票统计!D$4:D$1003,$W204)&amp;"")</f>
        <v/>
      </c>
      <c r="E204" s="56" t="str">
        <f aca="false">IF($W204="","",INDEX(发票统计!E$4:E$1003,$W204)&amp;"")</f>
        <v/>
      </c>
      <c r="F204" s="73" t="str">
        <f aca="false">IF($W204="","",INDEX(发票统计!F$4:F$1003,$W204)&amp;"")</f>
        <v/>
      </c>
      <c r="G204" s="68" t="str">
        <f aca="false">IF($W204="","",IF(INDEX(发票统计!G$4:G$1003,$W204)="","",INDEX(发票统计!G$4:G$1003,$W204)))</f>
        <v/>
      </c>
      <c r="H204" s="56" t="str">
        <f aca="false">IF($W204="","",N(INDEX(发票统计!H$4:H$1003,$W204)))</f>
        <v/>
      </c>
      <c r="I204" s="56" t="str">
        <f aca="false">IF($W204="","",N(INDEX(发票统计!I$4:I$1003,$W204)))</f>
        <v/>
      </c>
      <c r="J204" s="56" t="str">
        <f aca="false">IF($W204="","",N(INDEX(发票统计!J$4:J$1003,$W204)))</f>
        <v/>
      </c>
      <c r="K204" s="56" t="str">
        <f aca="false">IF($W204="","",N(INDEX(发票统计!K$4:K$1003,$W204)))</f>
        <v/>
      </c>
      <c r="L204" s="56" t="str">
        <f aca="false">IF($W204="","",SUM(J$4:J204)-SUM(K$4:K204))</f>
        <v/>
      </c>
      <c r="M204" s="56" t="str">
        <f aca="false">IF($W204="","",N(INDEX(发票统计!M$4:M$1003,$W204)))</f>
        <v/>
      </c>
      <c r="N204" s="56" t="str">
        <f aca="false">IF($W204="","",N(INDEX(发票统计!N$4:N$1003,$W204)))</f>
        <v/>
      </c>
      <c r="O204" s="56" t="str">
        <f aca="false">IF($W204="","",N(INDEX(发票统计!O$4:O$1003,$W204)))</f>
        <v/>
      </c>
      <c r="P204" s="56" t="str">
        <f aca="false">IF($W204="","",SUM(M$4:M204)-SUM(N$4:N204)-SUM(O$4:O204))</f>
        <v/>
      </c>
      <c r="Q204" s="56" t="str">
        <f aca="false">IF($W204="","",N(INDEX(发票统计!Q$4:Q$1003,$W204)))</f>
        <v/>
      </c>
      <c r="R204" s="56" t="str">
        <f aca="false">IF($W204="","",N(INDEX(发票统计!R$4:R$1003,$W204)))</f>
        <v/>
      </c>
      <c r="S204" s="56" t="str">
        <f aca="false">IF($W204="","",N(INDEX(发票统计!S$4:S$1003,$W204)))</f>
        <v/>
      </c>
      <c r="T204" s="56" t="str">
        <f aca="false">IF($W204="","",SUM(Q$4:Q204)-SUM(R$4:R204)-SUM(S$4:S204))</f>
        <v/>
      </c>
      <c r="U204" s="56" t="str">
        <f aca="false">IF($W204="","",INDEX(发票统计!U$4:U$1003,$W204)&amp;"")</f>
        <v/>
      </c>
      <c r="W204" s="1" t="str">
        <f aca="false">IF($V$3="","",IFERROR(MATCH($V$3&amp;"#"&amp;ROWS(W$4:W204),发票统计!$W$4:$W$1003,0),""))</f>
        <v/>
      </c>
    </row>
    <row r="205" customFormat="false" ht="16.5" hidden="false" customHeight="false" outlineLevel="0" collapsed="false">
      <c r="A205" s="56" t="str">
        <f aca="false">IF($W205="","",INDEX(发票统计!A$4:A$1003,$W205)&amp;"")</f>
        <v/>
      </c>
      <c r="B205" s="56" t="str">
        <f aca="false">IF($W205="","",INDEX(发票统计!B$4:B$1003,$W205)&amp;"")</f>
        <v/>
      </c>
      <c r="C205" s="56" t="str">
        <f aca="false">IF($W205="","",INDEX(发票统计!C$4:C$1003,$W205)&amp;"")</f>
        <v/>
      </c>
      <c r="D205" s="56" t="str">
        <f aca="false">IF($W205="","",INDEX(发票统计!D$4:D$1003,$W205)&amp;"")</f>
        <v/>
      </c>
      <c r="E205" s="56" t="str">
        <f aca="false">IF($W205="","",INDEX(发票统计!E$4:E$1003,$W205)&amp;"")</f>
        <v/>
      </c>
      <c r="F205" s="73" t="str">
        <f aca="false">IF($W205="","",INDEX(发票统计!F$4:F$1003,$W205)&amp;"")</f>
        <v/>
      </c>
      <c r="G205" s="68" t="str">
        <f aca="false">IF($W205="","",IF(INDEX(发票统计!G$4:G$1003,$W205)="","",INDEX(发票统计!G$4:G$1003,$W205)))</f>
        <v/>
      </c>
      <c r="H205" s="56" t="str">
        <f aca="false">IF($W205="","",N(INDEX(发票统计!H$4:H$1003,$W205)))</f>
        <v/>
      </c>
      <c r="I205" s="56" t="str">
        <f aca="false">IF($W205="","",N(INDEX(发票统计!I$4:I$1003,$W205)))</f>
        <v/>
      </c>
      <c r="J205" s="56" t="str">
        <f aca="false">IF($W205="","",N(INDEX(发票统计!J$4:J$1003,$W205)))</f>
        <v/>
      </c>
      <c r="K205" s="56" t="str">
        <f aca="false">IF($W205="","",N(INDEX(发票统计!K$4:K$1003,$W205)))</f>
        <v/>
      </c>
      <c r="L205" s="56" t="str">
        <f aca="false">IF($W205="","",SUM(J$4:J205)-SUM(K$4:K205))</f>
        <v/>
      </c>
      <c r="M205" s="56" t="str">
        <f aca="false">IF($W205="","",N(INDEX(发票统计!M$4:M$1003,$W205)))</f>
        <v/>
      </c>
      <c r="N205" s="56" t="str">
        <f aca="false">IF($W205="","",N(INDEX(发票统计!N$4:N$1003,$W205)))</f>
        <v/>
      </c>
      <c r="O205" s="56" t="str">
        <f aca="false">IF($W205="","",N(INDEX(发票统计!O$4:O$1003,$W205)))</f>
        <v/>
      </c>
      <c r="P205" s="56" t="str">
        <f aca="false">IF($W205="","",SUM(M$4:M205)-SUM(N$4:N205)-SUM(O$4:O205))</f>
        <v/>
      </c>
      <c r="Q205" s="56" t="str">
        <f aca="false">IF($W205="","",N(INDEX(发票统计!Q$4:Q$1003,$W205)))</f>
        <v/>
      </c>
      <c r="R205" s="56" t="str">
        <f aca="false">IF($W205="","",N(INDEX(发票统计!R$4:R$1003,$W205)))</f>
        <v/>
      </c>
      <c r="S205" s="56" t="str">
        <f aca="false">IF($W205="","",N(INDEX(发票统计!S$4:S$1003,$W205)))</f>
        <v/>
      </c>
      <c r="T205" s="56" t="str">
        <f aca="false">IF($W205="","",SUM(Q$4:Q205)-SUM(R$4:R205)-SUM(S$4:S205))</f>
        <v/>
      </c>
      <c r="U205" s="56" t="str">
        <f aca="false">IF($W205="","",INDEX(发票统计!U$4:U$1003,$W205)&amp;"")</f>
        <v/>
      </c>
      <c r="W205" s="1" t="str">
        <f aca="false">IF($V$3="","",IFERROR(MATCH($V$3&amp;"#"&amp;ROWS(W$4:W205),发票统计!$W$4:$W$1003,0),""))</f>
        <v/>
      </c>
    </row>
    <row r="206" customFormat="false" ht="16.5" hidden="false" customHeight="false" outlineLevel="0" collapsed="false">
      <c r="A206" s="56" t="str">
        <f aca="false">IF($W206="","",INDEX(发票统计!A$4:A$1003,$W206)&amp;"")</f>
        <v/>
      </c>
      <c r="B206" s="56" t="str">
        <f aca="false">IF($W206="","",INDEX(发票统计!B$4:B$1003,$W206)&amp;"")</f>
        <v/>
      </c>
      <c r="C206" s="56" t="str">
        <f aca="false">IF($W206="","",INDEX(发票统计!C$4:C$1003,$W206)&amp;"")</f>
        <v/>
      </c>
      <c r="D206" s="56" t="str">
        <f aca="false">IF($W206="","",INDEX(发票统计!D$4:D$1003,$W206)&amp;"")</f>
        <v/>
      </c>
      <c r="E206" s="56" t="str">
        <f aca="false">IF($W206="","",INDEX(发票统计!E$4:E$1003,$W206)&amp;"")</f>
        <v/>
      </c>
      <c r="F206" s="73" t="str">
        <f aca="false">IF($W206="","",INDEX(发票统计!F$4:F$1003,$W206)&amp;"")</f>
        <v/>
      </c>
      <c r="G206" s="68" t="str">
        <f aca="false">IF($W206="","",IF(INDEX(发票统计!G$4:G$1003,$W206)="","",INDEX(发票统计!G$4:G$1003,$W206)))</f>
        <v/>
      </c>
      <c r="H206" s="56" t="str">
        <f aca="false">IF($W206="","",N(INDEX(发票统计!H$4:H$1003,$W206)))</f>
        <v/>
      </c>
      <c r="I206" s="56" t="str">
        <f aca="false">IF($W206="","",N(INDEX(发票统计!I$4:I$1003,$W206)))</f>
        <v/>
      </c>
      <c r="J206" s="56" t="str">
        <f aca="false">IF($W206="","",N(INDEX(发票统计!J$4:J$1003,$W206)))</f>
        <v/>
      </c>
      <c r="K206" s="56" t="str">
        <f aca="false">IF($W206="","",N(INDEX(发票统计!K$4:K$1003,$W206)))</f>
        <v/>
      </c>
      <c r="L206" s="56" t="str">
        <f aca="false">IF($W206="","",SUM(J$4:J206)-SUM(K$4:K206))</f>
        <v/>
      </c>
      <c r="M206" s="56" t="str">
        <f aca="false">IF($W206="","",N(INDEX(发票统计!M$4:M$1003,$W206)))</f>
        <v/>
      </c>
      <c r="N206" s="56" t="str">
        <f aca="false">IF($W206="","",N(INDEX(发票统计!N$4:N$1003,$W206)))</f>
        <v/>
      </c>
      <c r="O206" s="56" t="str">
        <f aca="false">IF($W206="","",N(INDEX(发票统计!O$4:O$1003,$W206)))</f>
        <v/>
      </c>
      <c r="P206" s="56" t="str">
        <f aca="false">IF($W206="","",SUM(M$4:M206)-SUM(N$4:N206)-SUM(O$4:O206))</f>
        <v/>
      </c>
      <c r="Q206" s="56" t="str">
        <f aca="false">IF($W206="","",N(INDEX(发票统计!Q$4:Q$1003,$W206)))</f>
        <v/>
      </c>
      <c r="R206" s="56" t="str">
        <f aca="false">IF($W206="","",N(INDEX(发票统计!R$4:R$1003,$W206)))</f>
        <v/>
      </c>
      <c r="S206" s="56" t="str">
        <f aca="false">IF($W206="","",N(INDEX(发票统计!S$4:S$1003,$W206)))</f>
        <v/>
      </c>
      <c r="T206" s="56" t="str">
        <f aca="false">IF($W206="","",SUM(Q$4:Q206)-SUM(R$4:R206)-SUM(S$4:S206))</f>
        <v/>
      </c>
      <c r="U206" s="56" t="str">
        <f aca="false">IF($W206="","",INDEX(发票统计!U$4:U$1003,$W206)&amp;"")</f>
        <v/>
      </c>
      <c r="W206" s="1" t="str">
        <f aca="false">IF($V$3="","",IFERROR(MATCH($V$3&amp;"#"&amp;ROWS(W$4:W206),发票统计!$W$4:$W$1003,0),""))</f>
        <v/>
      </c>
    </row>
    <row r="207" customFormat="false" ht="16.5" hidden="false" customHeight="false" outlineLevel="0" collapsed="false">
      <c r="A207" s="56" t="str">
        <f aca="false">IF($W207="","",INDEX(发票统计!A$4:A$1003,$W207)&amp;"")</f>
        <v/>
      </c>
      <c r="B207" s="56" t="str">
        <f aca="false">IF($W207="","",INDEX(发票统计!B$4:B$1003,$W207)&amp;"")</f>
        <v/>
      </c>
      <c r="C207" s="56" t="str">
        <f aca="false">IF($W207="","",INDEX(发票统计!C$4:C$1003,$W207)&amp;"")</f>
        <v/>
      </c>
      <c r="D207" s="56" t="str">
        <f aca="false">IF($W207="","",INDEX(发票统计!D$4:D$1003,$W207)&amp;"")</f>
        <v/>
      </c>
      <c r="E207" s="56" t="str">
        <f aca="false">IF($W207="","",INDEX(发票统计!E$4:E$1003,$W207)&amp;"")</f>
        <v/>
      </c>
      <c r="F207" s="73" t="str">
        <f aca="false">IF($W207="","",INDEX(发票统计!F$4:F$1003,$W207)&amp;"")</f>
        <v/>
      </c>
      <c r="G207" s="68" t="str">
        <f aca="false">IF($W207="","",IF(INDEX(发票统计!G$4:G$1003,$W207)="","",INDEX(发票统计!G$4:G$1003,$W207)))</f>
        <v/>
      </c>
      <c r="H207" s="56" t="str">
        <f aca="false">IF($W207="","",N(INDEX(发票统计!H$4:H$1003,$W207)))</f>
        <v/>
      </c>
      <c r="I207" s="56" t="str">
        <f aca="false">IF($W207="","",N(INDEX(发票统计!I$4:I$1003,$W207)))</f>
        <v/>
      </c>
      <c r="J207" s="56" t="str">
        <f aca="false">IF($W207="","",N(INDEX(发票统计!J$4:J$1003,$W207)))</f>
        <v/>
      </c>
      <c r="K207" s="56" t="str">
        <f aca="false">IF($W207="","",N(INDEX(发票统计!K$4:K$1003,$W207)))</f>
        <v/>
      </c>
      <c r="L207" s="56" t="str">
        <f aca="false">IF($W207="","",SUM(J$4:J207)-SUM(K$4:K207))</f>
        <v/>
      </c>
      <c r="M207" s="56" t="str">
        <f aca="false">IF($W207="","",N(INDEX(发票统计!M$4:M$1003,$W207)))</f>
        <v/>
      </c>
      <c r="N207" s="56" t="str">
        <f aca="false">IF($W207="","",N(INDEX(发票统计!N$4:N$1003,$W207)))</f>
        <v/>
      </c>
      <c r="O207" s="56" t="str">
        <f aca="false">IF($W207="","",N(INDEX(发票统计!O$4:O$1003,$W207)))</f>
        <v/>
      </c>
      <c r="P207" s="56" t="str">
        <f aca="false">IF($W207="","",SUM(M$4:M207)-SUM(N$4:N207)-SUM(O$4:O207))</f>
        <v/>
      </c>
      <c r="Q207" s="56" t="str">
        <f aca="false">IF($W207="","",N(INDEX(发票统计!Q$4:Q$1003,$W207)))</f>
        <v/>
      </c>
      <c r="R207" s="56" t="str">
        <f aca="false">IF($W207="","",N(INDEX(发票统计!R$4:R$1003,$W207)))</f>
        <v/>
      </c>
      <c r="S207" s="56" t="str">
        <f aca="false">IF($W207="","",N(INDEX(发票统计!S$4:S$1003,$W207)))</f>
        <v/>
      </c>
      <c r="T207" s="56" t="str">
        <f aca="false">IF($W207="","",SUM(Q$4:Q207)-SUM(R$4:R207)-SUM(S$4:S207))</f>
        <v/>
      </c>
      <c r="U207" s="56" t="str">
        <f aca="false">IF($W207="","",INDEX(发票统计!U$4:U$1003,$W207)&amp;"")</f>
        <v/>
      </c>
      <c r="W207" s="1" t="str">
        <f aca="false">IF($V$3="","",IFERROR(MATCH($V$3&amp;"#"&amp;ROWS(W$4:W207),发票统计!$W$4:$W$1003,0),""))</f>
        <v/>
      </c>
    </row>
    <row r="208" customFormat="false" ht="16.5" hidden="false" customHeight="false" outlineLevel="0" collapsed="false">
      <c r="A208" s="56" t="str">
        <f aca="false">IF($W208="","",INDEX(发票统计!A$4:A$1003,$W208)&amp;"")</f>
        <v/>
      </c>
      <c r="B208" s="56" t="str">
        <f aca="false">IF($W208="","",INDEX(发票统计!B$4:B$1003,$W208)&amp;"")</f>
        <v/>
      </c>
      <c r="C208" s="56" t="str">
        <f aca="false">IF($W208="","",INDEX(发票统计!C$4:C$1003,$W208)&amp;"")</f>
        <v/>
      </c>
      <c r="D208" s="56" t="str">
        <f aca="false">IF($W208="","",INDEX(发票统计!D$4:D$1003,$W208)&amp;"")</f>
        <v/>
      </c>
      <c r="E208" s="56" t="str">
        <f aca="false">IF($W208="","",INDEX(发票统计!E$4:E$1003,$W208)&amp;"")</f>
        <v/>
      </c>
      <c r="F208" s="73" t="str">
        <f aca="false">IF($W208="","",INDEX(发票统计!F$4:F$1003,$W208)&amp;"")</f>
        <v/>
      </c>
      <c r="G208" s="68" t="str">
        <f aca="false">IF($W208="","",IF(INDEX(发票统计!G$4:G$1003,$W208)="","",INDEX(发票统计!G$4:G$1003,$W208)))</f>
        <v/>
      </c>
      <c r="H208" s="56" t="str">
        <f aca="false">IF($W208="","",N(INDEX(发票统计!H$4:H$1003,$W208)))</f>
        <v/>
      </c>
      <c r="I208" s="56" t="str">
        <f aca="false">IF($W208="","",N(INDEX(发票统计!I$4:I$1003,$W208)))</f>
        <v/>
      </c>
      <c r="J208" s="56" t="str">
        <f aca="false">IF($W208="","",N(INDEX(发票统计!J$4:J$1003,$W208)))</f>
        <v/>
      </c>
      <c r="K208" s="56" t="str">
        <f aca="false">IF($W208="","",N(INDEX(发票统计!K$4:K$1003,$W208)))</f>
        <v/>
      </c>
      <c r="L208" s="56" t="str">
        <f aca="false">IF($W208="","",SUM(J$4:J208)-SUM(K$4:K208))</f>
        <v/>
      </c>
      <c r="M208" s="56" t="str">
        <f aca="false">IF($W208="","",N(INDEX(发票统计!M$4:M$1003,$W208)))</f>
        <v/>
      </c>
      <c r="N208" s="56" t="str">
        <f aca="false">IF($W208="","",N(INDEX(发票统计!N$4:N$1003,$W208)))</f>
        <v/>
      </c>
      <c r="O208" s="56" t="str">
        <f aca="false">IF($W208="","",N(INDEX(发票统计!O$4:O$1003,$W208)))</f>
        <v/>
      </c>
      <c r="P208" s="56" t="str">
        <f aca="false">IF($W208="","",SUM(M$4:M208)-SUM(N$4:N208)-SUM(O$4:O208))</f>
        <v/>
      </c>
      <c r="Q208" s="56" t="str">
        <f aca="false">IF($W208="","",N(INDEX(发票统计!Q$4:Q$1003,$W208)))</f>
        <v/>
      </c>
      <c r="R208" s="56" t="str">
        <f aca="false">IF($W208="","",N(INDEX(发票统计!R$4:R$1003,$W208)))</f>
        <v/>
      </c>
      <c r="S208" s="56" t="str">
        <f aca="false">IF($W208="","",N(INDEX(发票统计!S$4:S$1003,$W208)))</f>
        <v/>
      </c>
      <c r="T208" s="56" t="str">
        <f aca="false">IF($W208="","",SUM(Q$4:Q208)-SUM(R$4:R208)-SUM(S$4:S208))</f>
        <v/>
      </c>
      <c r="U208" s="56" t="str">
        <f aca="false">IF($W208="","",INDEX(发票统计!U$4:U$1003,$W208)&amp;"")</f>
        <v/>
      </c>
      <c r="W208" s="1" t="str">
        <f aca="false">IF($V$3="","",IFERROR(MATCH($V$3&amp;"#"&amp;ROWS(W$4:W208),发票统计!$W$4:$W$1003,0),""))</f>
        <v/>
      </c>
    </row>
    <row r="209" customFormat="false" ht="16.5" hidden="false" customHeight="false" outlineLevel="0" collapsed="false">
      <c r="A209" s="56" t="str">
        <f aca="false">IF($W209="","",INDEX(发票统计!A$4:A$1003,$W209)&amp;"")</f>
        <v/>
      </c>
      <c r="B209" s="56" t="str">
        <f aca="false">IF($W209="","",INDEX(发票统计!B$4:B$1003,$W209)&amp;"")</f>
        <v/>
      </c>
      <c r="C209" s="56" t="str">
        <f aca="false">IF($W209="","",INDEX(发票统计!C$4:C$1003,$W209)&amp;"")</f>
        <v/>
      </c>
      <c r="D209" s="56" t="str">
        <f aca="false">IF($W209="","",INDEX(发票统计!D$4:D$1003,$W209)&amp;"")</f>
        <v/>
      </c>
      <c r="E209" s="56" t="str">
        <f aca="false">IF($W209="","",INDEX(发票统计!E$4:E$1003,$W209)&amp;"")</f>
        <v/>
      </c>
      <c r="F209" s="73" t="str">
        <f aca="false">IF($W209="","",INDEX(发票统计!F$4:F$1003,$W209)&amp;"")</f>
        <v/>
      </c>
      <c r="G209" s="68" t="str">
        <f aca="false">IF($W209="","",IF(INDEX(发票统计!G$4:G$1003,$W209)="","",INDEX(发票统计!G$4:G$1003,$W209)))</f>
        <v/>
      </c>
      <c r="H209" s="56" t="str">
        <f aca="false">IF($W209="","",N(INDEX(发票统计!H$4:H$1003,$W209)))</f>
        <v/>
      </c>
      <c r="I209" s="56" t="str">
        <f aca="false">IF($W209="","",N(INDEX(发票统计!I$4:I$1003,$W209)))</f>
        <v/>
      </c>
      <c r="J209" s="56" t="str">
        <f aca="false">IF($W209="","",N(INDEX(发票统计!J$4:J$1003,$W209)))</f>
        <v/>
      </c>
      <c r="K209" s="56" t="str">
        <f aca="false">IF($W209="","",N(INDEX(发票统计!K$4:K$1003,$W209)))</f>
        <v/>
      </c>
      <c r="L209" s="56" t="str">
        <f aca="false">IF($W209="","",SUM(J$4:J209)-SUM(K$4:K209))</f>
        <v/>
      </c>
      <c r="M209" s="56" t="str">
        <f aca="false">IF($W209="","",N(INDEX(发票统计!M$4:M$1003,$W209)))</f>
        <v/>
      </c>
      <c r="N209" s="56" t="str">
        <f aca="false">IF($W209="","",N(INDEX(发票统计!N$4:N$1003,$W209)))</f>
        <v/>
      </c>
      <c r="O209" s="56" t="str">
        <f aca="false">IF($W209="","",N(INDEX(发票统计!O$4:O$1003,$W209)))</f>
        <v/>
      </c>
      <c r="P209" s="56" t="str">
        <f aca="false">IF($W209="","",SUM(M$4:M209)-SUM(N$4:N209)-SUM(O$4:O209))</f>
        <v/>
      </c>
      <c r="Q209" s="56" t="str">
        <f aca="false">IF($W209="","",N(INDEX(发票统计!Q$4:Q$1003,$W209)))</f>
        <v/>
      </c>
      <c r="R209" s="56" t="str">
        <f aca="false">IF($W209="","",N(INDEX(发票统计!R$4:R$1003,$W209)))</f>
        <v/>
      </c>
      <c r="S209" s="56" t="str">
        <f aca="false">IF($W209="","",N(INDEX(发票统计!S$4:S$1003,$W209)))</f>
        <v/>
      </c>
      <c r="T209" s="56" t="str">
        <f aca="false">IF($W209="","",SUM(Q$4:Q209)-SUM(R$4:R209)-SUM(S$4:S209))</f>
        <v/>
      </c>
      <c r="U209" s="56" t="str">
        <f aca="false">IF($W209="","",INDEX(发票统计!U$4:U$1003,$W209)&amp;"")</f>
        <v/>
      </c>
      <c r="W209" s="1" t="str">
        <f aca="false">IF($V$3="","",IFERROR(MATCH($V$3&amp;"#"&amp;ROWS(W$4:W209),发票统计!$W$4:$W$1003,0),""))</f>
        <v/>
      </c>
    </row>
    <row r="210" customFormat="false" ht="16.5" hidden="false" customHeight="false" outlineLevel="0" collapsed="false">
      <c r="A210" s="56" t="str">
        <f aca="false">IF($W210="","",INDEX(发票统计!A$4:A$1003,$W210)&amp;"")</f>
        <v/>
      </c>
      <c r="B210" s="56" t="str">
        <f aca="false">IF($W210="","",INDEX(发票统计!B$4:B$1003,$W210)&amp;"")</f>
        <v/>
      </c>
      <c r="C210" s="56" t="str">
        <f aca="false">IF($W210="","",INDEX(发票统计!C$4:C$1003,$W210)&amp;"")</f>
        <v/>
      </c>
      <c r="D210" s="56" t="str">
        <f aca="false">IF($W210="","",INDEX(发票统计!D$4:D$1003,$W210)&amp;"")</f>
        <v/>
      </c>
      <c r="E210" s="56" t="str">
        <f aca="false">IF($W210="","",INDEX(发票统计!E$4:E$1003,$W210)&amp;"")</f>
        <v/>
      </c>
      <c r="F210" s="73" t="str">
        <f aca="false">IF($W210="","",INDEX(发票统计!F$4:F$1003,$W210)&amp;"")</f>
        <v/>
      </c>
      <c r="G210" s="68" t="str">
        <f aca="false">IF($W210="","",IF(INDEX(发票统计!G$4:G$1003,$W210)="","",INDEX(发票统计!G$4:G$1003,$W210)))</f>
        <v/>
      </c>
      <c r="H210" s="56" t="str">
        <f aca="false">IF($W210="","",N(INDEX(发票统计!H$4:H$1003,$W210)))</f>
        <v/>
      </c>
      <c r="I210" s="56" t="str">
        <f aca="false">IF($W210="","",N(INDEX(发票统计!I$4:I$1003,$W210)))</f>
        <v/>
      </c>
      <c r="J210" s="56" t="str">
        <f aca="false">IF($W210="","",N(INDEX(发票统计!J$4:J$1003,$W210)))</f>
        <v/>
      </c>
      <c r="K210" s="56" t="str">
        <f aca="false">IF($W210="","",N(INDEX(发票统计!K$4:K$1003,$W210)))</f>
        <v/>
      </c>
      <c r="L210" s="56" t="str">
        <f aca="false">IF($W210="","",SUM(J$4:J210)-SUM(K$4:K210))</f>
        <v/>
      </c>
      <c r="M210" s="56" t="str">
        <f aca="false">IF($W210="","",N(INDEX(发票统计!M$4:M$1003,$W210)))</f>
        <v/>
      </c>
      <c r="N210" s="56" t="str">
        <f aca="false">IF($W210="","",N(INDEX(发票统计!N$4:N$1003,$W210)))</f>
        <v/>
      </c>
      <c r="O210" s="56" t="str">
        <f aca="false">IF($W210="","",N(INDEX(发票统计!O$4:O$1003,$W210)))</f>
        <v/>
      </c>
      <c r="P210" s="56" t="str">
        <f aca="false">IF($W210="","",SUM(M$4:M210)-SUM(N$4:N210)-SUM(O$4:O210))</f>
        <v/>
      </c>
      <c r="Q210" s="56" t="str">
        <f aca="false">IF($W210="","",N(INDEX(发票统计!Q$4:Q$1003,$W210)))</f>
        <v/>
      </c>
      <c r="R210" s="56" t="str">
        <f aca="false">IF($W210="","",N(INDEX(发票统计!R$4:R$1003,$W210)))</f>
        <v/>
      </c>
      <c r="S210" s="56" t="str">
        <f aca="false">IF($W210="","",N(INDEX(发票统计!S$4:S$1003,$W210)))</f>
        <v/>
      </c>
      <c r="T210" s="56" t="str">
        <f aca="false">IF($W210="","",SUM(Q$4:Q210)-SUM(R$4:R210)-SUM(S$4:S210))</f>
        <v/>
      </c>
      <c r="U210" s="56" t="str">
        <f aca="false">IF($W210="","",INDEX(发票统计!U$4:U$1003,$W210)&amp;"")</f>
        <v/>
      </c>
      <c r="W210" s="1" t="str">
        <f aca="false">IF($V$3="","",IFERROR(MATCH($V$3&amp;"#"&amp;ROWS(W$4:W210),发票统计!$W$4:$W$1003,0),""))</f>
        <v/>
      </c>
    </row>
    <row r="211" customFormat="false" ht="16.5" hidden="false" customHeight="false" outlineLevel="0" collapsed="false">
      <c r="A211" s="56" t="str">
        <f aca="false">IF($W211="","",INDEX(发票统计!A$4:A$1003,$W211)&amp;"")</f>
        <v/>
      </c>
      <c r="B211" s="56" t="str">
        <f aca="false">IF($W211="","",INDEX(发票统计!B$4:B$1003,$W211)&amp;"")</f>
        <v/>
      </c>
      <c r="C211" s="56" t="str">
        <f aca="false">IF($W211="","",INDEX(发票统计!C$4:C$1003,$W211)&amp;"")</f>
        <v/>
      </c>
      <c r="D211" s="56" t="str">
        <f aca="false">IF($W211="","",INDEX(发票统计!D$4:D$1003,$W211)&amp;"")</f>
        <v/>
      </c>
      <c r="E211" s="56" t="str">
        <f aca="false">IF($W211="","",INDEX(发票统计!E$4:E$1003,$W211)&amp;"")</f>
        <v/>
      </c>
      <c r="F211" s="73" t="str">
        <f aca="false">IF($W211="","",INDEX(发票统计!F$4:F$1003,$W211)&amp;"")</f>
        <v/>
      </c>
      <c r="G211" s="68" t="str">
        <f aca="false">IF($W211="","",IF(INDEX(发票统计!G$4:G$1003,$W211)="","",INDEX(发票统计!G$4:G$1003,$W211)))</f>
        <v/>
      </c>
      <c r="H211" s="56" t="str">
        <f aca="false">IF($W211="","",N(INDEX(发票统计!H$4:H$1003,$W211)))</f>
        <v/>
      </c>
      <c r="I211" s="56" t="str">
        <f aca="false">IF($W211="","",N(INDEX(发票统计!I$4:I$1003,$W211)))</f>
        <v/>
      </c>
      <c r="J211" s="56" t="str">
        <f aca="false">IF($W211="","",N(INDEX(发票统计!J$4:J$1003,$W211)))</f>
        <v/>
      </c>
      <c r="K211" s="56" t="str">
        <f aca="false">IF($W211="","",N(INDEX(发票统计!K$4:K$1003,$W211)))</f>
        <v/>
      </c>
      <c r="L211" s="56" t="str">
        <f aca="false">IF($W211="","",SUM(J$4:J211)-SUM(K$4:K211))</f>
        <v/>
      </c>
      <c r="M211" s="56" t="str">
        <f aca="false">IF($W211="","",N(INDEX(发票统计!M$4:M$1003,$W211)))</f>
        <v/>
      </c>
      <c r="N211" s="56" t="str">
        <f aca="false">IF($W211="","",N(INDEX(发票统计!N$4:N$1003,$W211)))</f>
        <v/>
      </c>
      <c r="O211" s="56" t="str">
        <f aca="false">IF($W211="","",N(INDEX(发票统计!O$4:O$1003,$W211)))</f>
        <v/>
      </c>
      <c r="P211" s="56" t="str">
        <f aca="false">IF($W211="","",SUM(M$4:M211)-SUM(N$4:N211)-SUM(O$4:O211))</f>
        <v/>
      </c>
      <c r="Q211" s="56" t="str">
        <f aca="false">IF($W211="","",N(INDEX(发票统计!Q$4:Q$1003,$W211)))</f>
        <v/>
      </c>
      <c r="R211" s="56" t="str">
        <f aca="false">IF($W211="","",N(INDEX(发票统计!R$4:R$1003,$W211)))</f>
        <v/>
      </c>
      <c r="S211" s="56" t="str">
        <f aca="false">IF($W211="","",N(INDEX(发票统计!S$4:S$1003,$W211)))</f>
        <v/>
      </c>
      <c r="T211" s="56" t="str">
        <f aca="false">IF($W211="","",SUM(Q$4:Q211)-SUM(R$4:R211)-SUM(S$4:S211))</f>
        <v/>
      </c>
      <c r="U211" s="56" t="str">
        <f aca="false">IF($W211="","",INDEX(发票统计!U$4:U$1003,$W211)&amp;"")</f>
        <v/>
      </c>
      <c r="W211" s="1" t="str">
        <f aca="false">IF($V$3="","",IFERROR(MATCH($V$3&amp;"#"&amp;ROWS(W$4:W211),发票统计!$W$4:$W$1003,0),""))</f>
        <v/>
      </c>
    </row>
    <row r="212" customFormat="false" ht="16.5" hidden="false" customHeight="false" outlineLevel="0" collapsed="false">
      <c r="A212" s="56" t="str">
        <f aca="false">IF($W212="","",INDEX(发票统计!A$4:A$1003,$W212)&amp;"")</f>
        <v/>
      </c>
      <c r="B212" s="56" t="str">
        <f aca="false">IF($W212="","",INDEX(发票统计!B$4:B$1003,$W212)&amp;"")</f>
        <v/>
      </c>
      <c r="C212" s="56" t="str">
        <f aca="false">IF($W212="","",INDEX(发票统计!C$4:C$1003,$W212)&amp;"")</f>
        <v/>
      </c>
      <c r="D212" s="56" t="str">
        <f aca="false">IF($W212="","",INDEX(发票统计!D$4:D$1003,$W212)&amp;"")</f>
        <v/>
      </c>
      <c r="E212" s="56" t="str">
        <f aca="false">IF($W212="","",INDEX(发票统计!E$4:E$1003,$W212)&amp;"")</f>
        <v/>
      </c>
      <c r="F212" s="73" t="str">
        <f aca="false">IF($W212="","",INDEX(发票统计!F$4:F$1003,$W212)&amp;"")</f>
        <v/>
      </c>
      <c r="G212" s="68" t="str">
        <f aca="false">IF($W212="","",IF(INDEX(发票统计!G$4:G$1003,$W212)="","",INDEX(发票统计!G$4:G$1003,$W212)))</f>
        <v/>
      </c>
      <c r="H212" s="56" t="str">
        <f aca="false">IF($W212="","",N(INDEX(发票统计!H$4:H$1003,$W212)))</f>
        <v/>
      </c>
      <c r="I212" s="56" t="str">
        <f aca="false">IF($W212="","",N(INDEX(发票统计!I$4:I$1003,$W212)))</f>
        <v/>
      </c>
      <c r="J212" s="56" t="str">
        <f aca="false">IF($W212="","",N(INDEX(发票统计!J$4:J$1003,$W212)))</f>
        <v/>
      </c>
      <c r="K212" s="56" t="str">
        <f aca="false">IF($W212="","",N(INDEX(发票统计!K$4:K$1003,$W212)))</f>
        <v/>
      </c>
      <c r="L212" s="56" t="str">
        <f aca="false">IF($W212="","",SUM(J$4:J212)-SUM(K$4:K212))</f>
        <v/>
      </c>
      <c r="M212" s="56" t="str">
        <f aca="false">IF($W212="","",N(INDEX(发票统计!M$4:M$1003,$W212)))</f>
        <v/>
      </c>
      <c r="N212" s="56" t="str">
        <f aca="false">IF($W212="","",N(INDEX(发票统计!N$4:N$1003,$W212)))</f>
        <v/>
      </c>
      <c r="O212" s="56" t="str">
        <f aca="false">IF($W212="","",N(INDEX(发票统计!O$4:O$1003,$W212)))</f>
        <v/>
      </c>
      <c r="P212" s="56" t="str">
        <f aca="false">IF($W212="","",SUM(M$4:M212)-SUM(N$4:N212)-SUM(O$4:O212))</f>
        <v/>
      </c>
      <c r="Q212" s="56" t="str">
        <f aca="false">IF($W212="","",N(INDEX(发票统计!Q$4:Q$1003,$W212)))</f>
        <v/>
      </c>
      <c r="R212" s="56" t="str">
        <f aca="false">IF($W212="","",N(INDEX(发票统计!R$4:R$1003,$W212)))</f>
        <v/>
      </c>
      <c r="S212" s="56" t="str">
        <f aca="false">IF($W212="","",N(INDEX(发票统计!S$4:S$1003,$W212)))</f>
        <v/>
      </c>
      <c r="T212" s="56" t="str">
        <f aca="false">IF($W212="","",SUM(Q$4:Q212)-SUM(R$4:R212)-SUM(S$4:S212))</f>
        <v/>
      </c>
      <c r="U212" s="56" t="str">
        <f aca="false">IF($W212="","",INDEX(发票统计!U$4:U$1003,$W212)&amp;"")</f>
        <v/>
      </c>
      <c r="W212" s="1" t="str">
        <f aca="false">IF($V$3="","",IFERROR(MATCH($V$3&amp;"#"&amp;ROWS(W$4:W212),发票统计!$W$4:$W$1003,0),""))</f>
        <v/>
      </c>
    </row>
    <row r="213" customFormat="false" ht="16.5" hidden="false" customHeight="false" outlineLevel="0" collapsed="false">
      <c r="A213" s="56" t="str">
        <f aca="false">IF($W213="","",INDEX(发票统计!A$4:A$1003,$W213)&amp;"")</f>
        <v/>
      </c>
      <c r="B213" s="56" t="str">
        <f aca="false">IF($W213="","",INDEX(发票统计!B$4:B$1003,$W213)&amp;"")</f>
        <v/>
      </c>
      <c r="C213" s="56" t="str">
        <f aca="false">IF($W213="","",INDEX(发票统计!C$4:C$1003,$W213)&amp;"")</f>
        <v/>
      </c>
      <c r="D213" s="56" t="str">
        <f aca="false">IF($W213="","",INDEX(发票统计!D$4:D$1003,$W213)&amp;"")</f>
        <v/>
      </c>
      <c r="E213" s="56" t="str">
        <f aca="false">IF($W213="","",INDEX(发票统计!E$4:E$1003,$W213)&amp;"")</f>
        <v/>
      </c>
      <c r="F213" s="73" t="str">
        <f aca="false">IF($W213="","",INDEX(发票统计!F$4:F$1003,$W213)&amp;"")</f>
        <v/>
      </c>
      <c r="G213" s="68" t="str">
        <f aca="false">IF($W213="","",IF(INDEX(发票统计!G$4:G$1003,$W213)="","",INDEX(发票统计!G$4:G$1003,$W213)))</f>
        <v/>
      </c>
      <c r="H213" s="56" t="str">
        <f aca="false">IF($W213="","",N(INDEX(发票统计!H$4:H$1003,$W213)))</f>
        <v/>
      </c>
      <c r="I213" s="56" t="str">
        <f aca="false">IF($W213="","",N(INDEX(发票统计!I$4:I$1003,$W213)))</f>
        <v/>
      </c>
      <c r="J213" s="56" t="str">
        <f aca="false">IF($W213="","",N(INDEX(发票统计!J$4:J$1003,$W213)))</f>
        <v/>
      </c>
      <c r="K213" s="56" t="str">
        <f aca="false">IF($W213="","",N(INDEX(发票统计!K$4:K$1003,$W213)))</f>
        <v/>
      </c>
      <c r="L213" s="56" t="str">
        <f aca="false">IF($W213="","",SUM(J$4:J213)-SUM(K$4:K213))</f>
        <v/>
      </c>
      <c r="M213" s="56" t="str">
        <f aca="false">IF($W213="","",N(INDEX(发票统计!M$4:M$1003,$W213)))</f>
        <v/>
      </c>
      <c r="N213" s="56" t="str">
        <f aca="false">IF($W213="","",N(INDEX(发票统计!N$4:N$1003,$W213)))</f>
        <v/>
      </c>
      <c r="O213" s="56" t="str">
        <f aca="false">IF($W213="","",N(INDEX(发票统计!O$4:O$1003,$W213)))</f>
        <v/>
      </c>
      <c r="P213" s="56" t="str">
        <f aca="false">IF($W213="","",SUM(M$4:M213)-SUM(N$4:N213)-SUM(O$4:O213))</f>
        <v/>
      </c>
      <c r="Q213" s="56" t="str">
        <f aca="false">IF($W213="","",N(INDEX(发票统计!Q$4:Q$1003,$W213)))</f>
        <v/>
      </c>
      <c r="R213" s="56" t="str">
        <f aca="false">IF($W213="","",N(INDEX(发票统计!R$4:R$1003,$W213)))</f>
        <v/>
      </c>
      <c r="S213" s="56" t="str">
        <f aca="false">IF($W213="","",N(INDEX(发票统计!S$4:S$1003,$W213)))</f>
        <v/>
      </c>
      <c r="T213" s="56" t="str">
        <f aca="false">IF($W213="","",SUM(Q$4:Q213)-SUM(R$4:R213)-SUM(S$4:S213))</f>
        <v/>
      </c>
      <c r="U213" s="56" t="str">
        <f aca="false">IF($W213="","",INDEX(发票统计!U$4:U$1003,$W213)&amp;"")</f>
        <v/>
      </c>
      <c r="W213" s="1" t="str">
        <f aca="false">IF($V$3="","",IFERROR(MATCH($V$3&amp;"#"&amp;ROWS(W$4:W213),发票统计!$W$4:$W$1003,0),""))</f>
        <v/>
      </c>
    </row>
    <row r="214" customFormat="false" ht="16.5" hidden="false" customHeight="false" outlineLevel="0" collapsed="false">
      <c r="A214" s="56" t="str">
        <f aca="false">IF($W214="","",INDEX(发票统计!A$4:A$1003,$W214)&amp;"")</f>
        <v/>
      </c>
      <c r="B214" s="56" t="str">
        <f aca="false">IF($W214="","",INDEX(发票统计!B$4:B$1003,$W214)&amp;"")</f>
        <v/>
      </c>
      <c r="C214" s="56" t="str">
        <f aca="false">IF($W214="","",INDEX(发票统计!C$4:C$1003,$W214)&amp;"")</f>
        <v/>
      </c>
      <c r="D214" s="56" t="str">
        <f aca="false">IF($W214="","",INDEX(发票统计!D$4:D$1003,$W214)&amp;"")</f>
        <v/>
      </c>
      <c r="E214" s="56" t="str">
        <f aca="false">IF($W214="","",INDEX(发票统计!E$4:E$1003,$W214)&amp;"")</f>
        <v/>
      </c>
      <c r="F214" s="73" t="str">
        <f aca="false">IF($W214="","",INDEX(发票统计!F$4:F$1003,$W214)&amp;"")</f>
        <v/>
      </c>
      <c r="G214" s="68" t="str">
        <f aca="false">IF($W214="","",IF(INDEX(发票统计!G$4:G$1003,$W214)="","",INDEX(发票统计!G$4:G$1003,$W214)))</f>
        <v/>
      </c>
      <c r="H214" s="56" t="str">
        <f aca="false">IF($W214="","",N(INDEX(发票统计!H$4:H$1003,$W214)))</f>
        <v/>
      </c>
      <c r="I214" s="56" t="str">
        <f aca="false">IF($W214="","",N(INDEX(发票统计!I$4:I$1003,$W214)))</f>
        <v/>
      </c>
      <c r="J214" s="56" t="str">
        <f aca="false">IF($W214="","",N(INDEX(发票统计!J$4:J$1003,$W214)))</f>
        <v/>
      </c>
      <c r="K214" s="56" t="str">
        <f aca="false">IF($W214="","",N(INDEX(发票统计!K$4:K$1003,$W214)))</f>
        <v/>
      </c>
      <c r="L214" s="56" t="str">
        <f aca="false">IF($W214="","",SUM(J$4:J214)-SUM(K$4:K214))</f>
        <v/>
      </c>
      <c r="M214" s="56" t="str">
        <f aca="false">IF($W214="","",N(INDEX(发票统计!M$4:M$1003,$W214)))</f>
        <v/>
      </c>
      <c r="N214" s="56" t="str">
        <f aca="false">IF($W214="","",N(INDEX(发票统计!N$4:N$1003,$W214)))</f>
        <v/>
      </c>
      <c r="O214" s="56" t="str">
        <f aca="false">IF($W214="","",N(INDEX(发票统计!O$4:O$1003,$W214)))</f>
        <v/>
      </c>
      <c r="P214" s="56" t="str">
        <f aca="false">IF($W214="","",SUM(M$4:M214)-SUM(N$4:N214)-SUM(O$4:O214))</f>
        <v/>
      </c>
      <c r="Q214" s="56" t="str">
        <f aca="false">IF($W214="","",N(INDEX(发票统计!Q$4:Q$1003,$W214)))</f>
        <v/>
      </c>
      <c r="R214" s="56" t="str">
        <f aca="false">IF($W214="","",N(INDEX(发票统计!R$4:R$1003,$W214)))</f>
        <v/>
      </c>
      <c r="S214" s="56" t="str">
        <f aca="false">IF($W214="","",N(INDEX(发票统计!S$4:S$1003,$W214)))</f>
        <v/>
      </c>
      <c r="T214" s="56" t="str">
        <f aca="false">IF($W214="","",SUM(Q$4:Q214)-SUM(R$4:R214)-SUM(S$4:S214))</f>
        <v/>
      </c>
      <c r="U214" s="56" t="str">
        <f aca="false">IF($W214="","",INDEX(发票统计!U$4:U$1003,$W214)&amp;"")</f>
        <v/>
      </c>
      <c r="W214" s="1" t="str">
        <f aca="false">IF($V$3="","",IFERROR(MATCH($V$3&amp;"#"&amp;ROWS(W$4:W214),发票统计!$W$4:$W$1003,0),""))</f>
        <v/>
      </c>
    </row>
    <row r="215" customFormat="false" ht="16.5" hidden="false" customHeight="false" outlineLevel="0" collapsed="false">
      <c r="A215" s="56" t="str">
        <f aca="false">IF($W215="","",INDEX(发票统计!A$4:A$1003,$W215)&amp;"")</f>
        <v/>
      </c>
      <c r="B215" s="56" t="str">
        <f aca="false">IF($W215="","",INDEX(发票统计!B$4:B$1003,$W215)&amp;"")</f>
        <v/>
      </c>
      <c r="C215" s="56" t="str">
        <f aca="false">IF($W215="","",INDEX(发票统计!C$4:C$1003,$W215)&amp;"")</f>
        <v/>
      </c>
      <c r="D215" s="56" t="str">
        <f aca="false">IF($W215="","",INDEX(发票统计!D$4:D$1003,$W215)&amp;"")</f>
        <v/>
      </c>
      <c r="E215" s="56" t="str">
        <f aca="false">IF($W215="","",INDEX(发票统计!E$4:E$1003,$W215)&amp;"")</f>
        <v/>
      </c>
      <c r="F215" s="73" t="str">
        <f aca="false">IF($W215="","",INDEX(发票统计!F$4:F$1003,$W215)&amp;"")</f>
        <v/>
      </c>
      <c r="G215" s="68" t="str">
        <f aca="false">IF($W215="","",IF(INDEX(发票统计!G$4:G$1003,$W215)="","",INDEX(发票统计!G$4:G$1003,$W215)))</f>
        <v/>
      </c>
      <c r="H215" s="56" t="str">
        <f aca="false">IF($W215="","",N(INDEX(发票统计!H$4:H$1003,$W215)))</f>
        <v/>
      </c>
      <c r="I215" s="56" t="str">
        <f aca="false">IF($W215="","",N(INDEX(发票统计!I$4:I$1003,$W215)))</f>
        <v/>
      </c>
      <c r="J215" s="56" t="str">
        <f aca="false">IF($W215="","",N(INDEX(发票统计!J$4:J$1003,$W215)))</f>
        <v/>
      </c>
      <c r="K215" s="56" t="str">
        <f aca="false">IF($W215="","",N(INDEX(发票统计!K$4:K$1003,$W215)))</f>
        <v/>
      </c>
      <c r="L215" s="56" t="str">
        <f aca="false">IF($W215="","",SUM(J$4:J215)-SUM(K$4:K215))</f>
        <v/>
      </c>
      <c r="M215" s="56" t="str">
        <f aca="false">IF($W215="","",N(INDEX(发票统计!M$4:M$1003,$W215)))</f>
        <v/>
      </c>
      <c r="N215" s="56" t="str">
        <f aca="false">IF($W215="","",N(INDEX(发票统计!N$4:N$1003,$W215)))</f>
        <v/>
      </c>
      <c r="O215" s="56" t="str">
        <f aca="false">IF($W215="","",N(INDEX(发票统计!O$4:O$1003,$W215)))</f>
        <v/>
      </c>
      <c r="P215" s="56" t="str">
        <f aca="false">IF($W215="","",SUM(M$4:M215)-SUM(N$4:N215)-SUM(O$4:O215))</f>
        <v/>
      </c>
      <c r="Q215" s="56" t="str">
        <f aca="false">IF($W215="","",N(INDEX(发票统计!Q$4:Q$1003,$W215)))</f>
        <v/>
      </c>
      <c r="R215" s="56" t="str">
        <f aca="false">IF($W215="","",N(INDEX(发票统计!R$4:R$1003,$W215)))</f>
        <v/>
      </c>
      <c r="S215" s="56" t="str">
        <f aca="false">IF($W215="","",N(INDEX(发票统计!S$4:S$1003,$W215)))</f>
        <v/>
      </c>
      <c r="T215" s="56" t="str">
        <f aca="false">IF($W215="","",SUM(Q$4:Q215)-SUM(R$4:R215)-SUM(S$4:S215))</f>
        <v/>
      </c>
      <c r="U215" s="56" t="str">
        <f aca="false">IF($W215="","",INDEX(发票统计!U$4:U$1003,$W215)&amp;"")</f>
        <v/>
      </c>
      <c r="W215" s="1" t="str">
        <f aca="false">IF($V$3="","",IFERROR(MATCH($V$3&amp;"#"&amp;ROWS(W$4:W215),发票统计!$W$4:$W$1003,0),""))</f>
        <v/>
      </c>
    </row>
    <row r="216" customFormat="false" ht="16.5" hidden="false" customHeight="false" outlineLevel="0" collapsed="false">
      <c r="A216" s="56" t="str">
        <f aca="false">IF($W216="","",INDEX(发票统计!A$4:A$1003,$W216)&amp;"")</f>
        <v/>
      </c>
      <c r="B216" s="56" t="str">
        <f aca="false">IF($W216="","",INDEX(发票统计!B$4:B$1003,$W216)&amp;"")</f>
        <v/>
      </c>
      <c r="C216" s="56" t="str">
        <f aca="false">IF($W216="","",INDEX(发票统计!C$4:C$1003,$W216)&amp;"")</f>
        <v/>
      </c>
      <c r="D216" s="56" t="str">
        <f aca="false">IF($W216="","",INDEX(发票统计!D$4:D$1003,$W216)&amp;"")</f>
        <v/>
      </c>
      <c r="E216" s="56" t="str">
        <f aca="false">IF($W216="","",INDEX(发票统计!E$4:E$1003,$W216)&amp;"")</f>
        <v/>
      </c>
      <c r="F216" s="73" t="str">
        <f aca="false">IF($W216="","",INDEX(发票统计!F$4:F$1003,$W216)&amp;"")</f>
        <v/>
      </c>
      <c r="G216" s="68" t="str">
        <f aca="false">IF($W216="","",IF(INDEX(发票统计!G$4:G$1003,$W216)="","",INDEX(发票统计!G$4:G$1003,$W216)))</f>
        <v/>
      </c>
      <c r="H216" s="56" t="str">
        <f aca="false">IF($W216="","",N(INDEX(发票统计!H$4:H$1003,$W216)))</f>
        <v/>
      </c>
      <c r="I216" s="56" t="str">
        <f aca="false">IF($W216="","",N(INDEX(发票统计!I$4:I$1003,$W216)))</f>
        <v/>
      </c>
      <c r="J216" s="56" t="str">
        <f aca="false">IF($W216="","",N(INDEX(发票统计!J$4:J$1003,$W216)))</f>
        <v/>
      </c>
      <c r="K216" s="56" t="str">
        <f aca="false">IF($W216="","",N(INDEX(发票统计!K$4:K$1003,$W216)))</f>
        <v/>
      </c>
      <c r="L216" s="56" t="str">
        <f aca="false">IF($W216="","",SUM(J$4:J216)-SUM(K$4:K216))</f>
        <v/>
      </c>
      <c r="M216" s="56" t="str">
        <f aca="false">IF($W216="","",N(INDEX(发票统计!M$4:M$1003,$W216)))</f>
        <v/>
      </c>
      <c r="N216" s="56" t="str">
        <f aca="false">IF($W216="","",N(INDEX(发票统计!N$4:N$1003,$W216)))</f>
        <v/>
      </c>
      <c r="O216" s="56" t="str">
        <f aca="false">IF($W216="","",N(INDEX(发票统计!O$4:O$1003,$W216)))</f>
        <v/>
      </c>
      <c r="P216" s="56" t="str">
        <f aca="false">IF($W216="","",SUM(M$4:M216)-SUM(N$4:N216)-SUM(O$4:O216))</f>
        <v/>
      </c>
      <c r="Q216" s="56" t="str">
        <f aca="false">IF($W216="","",N(INDEX(发票统计!Q$4:Q$1003,$W216)))</f>
        <v/>
      </c>
      <c r="R216" s="56" t="str">
        <f aca="false">IF($W216="","",N(INDEX(发票统计!R$4:R$1003,$W216)))</f>
        <v/>
      </c>
      <c r="S216" s="56" t="str">
        <f aca="false">IF($W216="","",N(INDEX(发票统计!S$4:S$1003,$W216)))</f>
        <v/>
      </c>
      <c r="T216" s="56" t="str">
        <f aca="false">IF($W216="","",SUM(Q$4:Q216)-SUM(R$4:R216)-SUM(S$4:S216))</f>
        <v/>
      </c>
      <c r="U216" s="56" t="str">
        <f aca="false">IF($W216="","",INDEX(发票统计!U$4:U$1003,$W216)&amp;"")</f>
        <v/>
      </c>
      <c r="W216" s="1" t="str">
        <f aca="false">IF($V$3="","",IFERROR(MATCH($V$3&amp;"#"&amp;ROWS(W$4:W216),发票统计!$W$4:$W$1003,0),""))</f>
        <v/>
      </c>
    </row>
    <row r="217" customFormat="false" ht="16.5" hidden="false" customHeight="false" outlineLevel="0" collapsed="false">
      <c r="A217" s="56" t="str">
        <f aca="false">IF($W217="","",INDEX(发票统计!A$4:A$1003,$W217)&amp;"")</f>
        <v/>
      </c>
      <c r="B217" s="56" t="str">
        <f aca="false">IF($W217="","",INDEX(发票统计!B$4:B$1003,$W217)&amp;"")</f>
        <v/>
      </c>
      <c r="C217" s="56" t="str">
        <f aca="false">IF($W217="","",INDEX(发票统计!C$4:C$1003,$W217)&amp;"")</f>
        <v/>
      </c>
      <c r="D217" s="56" t="str">
        <f aca="false">IF($W217="","",INDEX(发票统计!D$4:D$1003,$W217)&amp;"")</f>
        <v/>
      </c>
      <c r="E217" s="56" t="str">
        <f aca="false">IF($W217="","",INDEX(发票统计!E$4:E$1003,$W217)&amp;"")</f>
        <v/>
      </c>
      <c r="F217" s="73" t="str">
        <f aca="false">IF($W217="","",INDEX(发票统计!F$4:F$1003,$W217)&amp;"")</f>
        <v/>
      </c>
      <c r="G217" s="68" t="str">
        <f aca="false">IF($W217="","",IF(INDEX(发票统计!G$4:G$1003,$W217)="","",INDEX(发票统计!G$4:G$1003,$W217)))</f>
        <v/>
      </c>
      <c r="H217" s="56" t="str">
        <f aca="false">IF($W217="","",N(INDEX(发票统计!H$4:H$1003,$W217)))</f>
        <v/>
      </c>
      <c r="I217" s="56" t="str">
        <f aca="false">IF($W217="","",N(INDEX(发票统计!I$4:I$1003,$W217)))</f>
        <v/>
      </c>
      <c r="J217" s="56" t="str">
        <f aca="false">IF($W217="","",N(INDEX(发票统计!J$4:J$1003,$W217)))</f>
        <v/>
      </c>
      <c r="K217" s="56" t="str">
        <f aca="false">IF($W217="","",N(INDEX(发票统计!K$4:K$1003,$W217)))</f>
        <v/>
      </c>
      <c r="L217" s="56" t="str">
        <f aca="false">IF($W217="","",SUM(J$4:J217)-SUM(K$4:K217))</f>
        <v/>
      </c>
      <c r="M217" s="56" t="str">
        <f aca="false">IF($W217="","",N(INDEX(发票统计!M$4:M$1003,$W217)))</f>
        <v/>
      </c>
      <c r="N217" s="56" t="str">
        <f aca="false">IF($W217="","",N(INDEX(发票统计!N$4:N$1003,$W217)))</f>
        <v/>
      </c>
      <c r="O217" s="56" t="str">
        <f aca="false">IF($W217="","",N(INDEX(发票统计!O$4:O$1003,$W217)))</f>
        <v/>
      </c>
      <c r="P217" s="56" t="str">
        <f aca="false">IF($W217="","",SUM(M$4:M217)-SUM(N$4:N217)-SUM(O$4:O217))</f>
        <v/>
      </c>
      <c r="Q217" s="56" t="str">
        <f aca="false">IF($W217="","",N(INDEX(发票统计!Q$4:Q$1003,$W217)))</f>
        <v/>
      </c>
      <c r="R217" s="56" t="str">
        <f aca="false">IF($W217="","",N(INDEX(发票统计!R$4:R$1003,$W217)))</f>
        <v/>
      </c>
      <c r="S217" s="56" t="str">
        <f aca="false">IF($W217="","",N(INDEX(发票统计!S$4:S$1003,$W217)))</f>
        <v/>
      </c>
      <c r="T217" s="56" t="str">
        <f aca="false">IF($W217="","",SUM(Q$4:Q217)-SUM(R$4:R217)-SUM(S$4:S217))</f>
        <v/>
      </c>
      <c r="U217" s="56" t="str">
        <f aca="false">IF($W217="","",INDEX(发票统计!U$4:U$1003,$W217)&amp;"")</f>
        <v/>
      </c>
      <c r="W217" s="1" t="str">
        <f aca="false">IF($V$3="","",IFERROR(MATCH($V$3&amp;"#"&amp;ROWS(W$4:W217),发票统计!$W$4:$W$1003,0),""))</f>
        <v/>
      </c>
    </row>
    <row r="218" customFormat="false" ht="16.5" hidden="false" customHeight="false" outlineLevel="0" collapsed="false">
      <c r="A218" s="56" t="str">
        <f aca="false">IF($W218="","",INDEX(发票统计!A$4:A$1003,$W218)&amp;"")</f>
        <v/>
      </c>
      <c r="B218" s="56" t="str">
        <f aca="false">IF($W218="","",INDEX(发票统计!B$4:B$1003,$W218)&amp;"")</f>
        <v/>
      </c>
      <c r="C218" s="56" t="str">
        <f aca="false">IF($W218="","",INDEX(发票统计!C$4:C$1003,$W218)&amp;"")</f>
        <v/>
      </c>
      <c r="D218" s="56" t="str">
        <f aca="false">IF($W218="","",INDEX(发票统计!D$4:D$1003,$W218)&amp;"")</f>
        <v/>
      </c>
      <c r="E218" s="56" t="str">
        <f aca="false">IF($W218="","",INDEX(发票统计!E$4:E$1003,$W218)&amp;"")</f>
        <v/>
      </c>
      <c r="F218" s="73" t="str">
        <f aca="false">IF($W218="","",INDEX(发票统计!F$4:F$1003,$W218)&amp;"")</f>
        <v/>
      </c>
      <c r="G218" s="68" t="str">
        <f aca="false">IF($W218="","",IF(INDEX(发票统计!G$4:G$1003,$W218)="","",INDEX(发票统计!G$4:G$1003,$W218)))</f>
        <v/>
      </c>
      <c r="H218" s="56" t="str">
        <f aca="false">IF($W218="","",N(INDEX(发票统计!H$4:H$1003,$W218)))</f>
        <v/>
      </c>
      <c r="I218" s="56" t="str">
        <f aca="false">IF($W218="","",N(INDEX(发票统计!I$4:I$1003,$W218)))</f>
        <v/>
      </c>
      <c r="J218" s="56" t="str">
        <f aca="false">IF($W218="","",N(INDEX(发票统计!J$4:J$1003,$W218)))</f>
        <v/>
      </c>
      <c r="K218" s="56" t="str">
        <f aca="false">IF($W218="","",N(INDEX(发票统计!K$4:K$1003,$W218)))</f>
        <v/>
      </c>
      <c r="L218" s="56" t="str">
        <f aca="false">IF($W218="","",SUM(J$4:J218)-SUM(K$4:K218))</f>
        <v/>
      </c>
      <c r="M218" s="56" t="str">
        <f aca="false">IF($W218="","",N(INDEX(发票统计!M$4:M$1003,$W218)))</f>
        <v/>
      </c>
      <c r="N218" s="56" t="str">
        <f aca="false">IF($W218="","",N(INDEX(发票统计!N$4:N$1003,$W218)))</f>
        <v/>
      </c>
      <c r="O218" s="56" t="str">
        <f aca="false">IF($W218="","",N(INDEX(发票统计!O$4:O$1003,$W218)))</f>
        <v/>
      </c>
      <c r="P218" s="56" t="str">
        <f aca="false">IF($W218="","",SUM(M$4:M218)-SUM(N$4:N218)-SUM(O$4:O218))</f>
        <v/>
      </c>
      <c r="Q218" s="56" t="str">
        <f aca="false">IF($W218="","",N(INDEX(发票统计!Q$4:Q$1003,$W218)))</f>
        <v/>
      </c>
      <c r="R218" s="56" t="str">
        <f aca="false">IF($W218="","",N(INDEX(发票统计!R$4:R$1003,$W218)))</f>
        <v/>
      </c>
      <c r="S218" s="56" t="str">
        <f aca="false">IF($W218="","",N(INDEX(发票统计!S$4:S$1003,$W218)))</f>
        <v/>
      </c>
      <c r="T218" s="56" t="str">
        <f aca="false">IF($W218="","",SUM(Q$4:Q218)-SUM(R$4:R218)-SUM(S$4:S218))</f>
        <v/>
      </c>
      <c r="U218" s="56" t="str">
        <f aca="false">IF($W218="","",INDEX(发票统计!U$4:U$1003,$W218)&amp;"")</f>
        <v/>
      </c>
      <c r="W218" s="1" t="str">
        <f aca="false">IF($V$3="","",IFERROR(MATCH($V$3&amp;"#"&amp;ROWS(W$4:W218),发票统计!$W$4:$W$1003,0),""))</f>
        <v/>
      </c>
    </row>
    <row r="219" customFormat="false" ht="16.5" hidden="false" customHeight="false" outlineLevel="0" collapsed="false">
      <c r="A219" s="56" t="str">
        <f aca="false">IF($W219="","",INDEX(发票统计!A$4:A$1003,$W219)&amp;"")</f>
        <v/>
      </c>
      <c r="B219" s="56" t="str">
        <f aca="false">IF($W219="","",INDEX(发票统计!B$4:B$1003,$W219)&amp;"")</f>
        <v/>
      </c>
      <c r="C219" s="56" t="str">
        <f aca="false">IF($W219="","",INDEX(发票统计!C$4:C$1003,$W219)&amp;"")</f>
        <v/>
      </c>
      <c r="D219" s="56" t="str">
        <f aca="false">IF($W219="","",INDEX(发票统计!D$4:D$1003,$W219)&amp;"")</f>
        <v/>
      </c>
      <c r="E219" s="56" t="str">
        <f aca="false">IF($W219="","",INDEX(发票统计!E$4:E$1003,$W219)&amp;"")</f>
        <v/>
      </c>
      <c r="F219" s="73" t="str">
        <f aca="false">IF($W219="","",INDEX(发票统计!F$4:F$1003,$W219)&amp;"")</f>
        <v/>
      </c>
      <c r="G219" s="68" t="str">
        <f aca="false">IF($W219="","",IF(INDEX(发票统计!G$4:G$1003,$W219)="","",INDEX(发票统计!G$4:G$1003,$W219)))</f>
        <v/>
      </c>
      <c r="H219" s="56" t="str">
        <f aca="false">IF($W219="","",N(INDEX(发票统计!H$4:H$1003,$W219)))</f>
        <v/>
      </c>
      <c r="I219" s="56" t="str">
        <f aca="false">IF($W219="","",N(INDEX(发票统计!I$4:I$1003,$W219)))</f>
        <v/>
      </c>
      <c r="J219" s="56" t="str">
        <f aca="false">IF($W219="","",N(INDEX(发票统计!J$4:J$1003,$W219)))</f>
        <v/>
      </c>
      <c r="K219" s="56" t="str">
        <f aca="false">IF($W219="","",N(INDEX(发票统计!K$4:K$1003,$W219)))</f>
        <v/>
      </c>
      <c r="L219" s="56" t="str">
        <f aca="false">IF($W219="","",SUM(J$4:J219)-SUM(K$4:K219))</f>
        <v/>
      </c>
      <c r="M219" s="56" t="str">
        <f aca="false">IF($W219="","",N(INDEX(发票统计!M$4:M$1003,$W219)))</f>
        <v/>
      </c>
      <c r="N219" s="56" t="str">
        <f aca="false">IF($W219="","",N(INDEX(发票统计!N$4:N$1003,$W219)))</f>
        <v/>
      </c>
      <c r="O219" s="56" t="str">
        <f aca="false">IF($W219="","",N(INDEX(发票统计!O$4:O$1003,$W219)))</f>
        <v/>
      </c>
      <c r="P219" s="56" t="str">
        <f aca="false">IF($W219="","",SUM(M$4:M219)-SUM(N$4:N219)-SUM(O$4:O219))</f>
        <v/>
      </c>
      <c r="Q219" s="56" t="str">
        <f aca="false">IF($W219="","",N(INDEX(发票统计!Q$4:Q$1003,$W219)))</f>
        <v/>
      </c>
      <c r="R219" s="56" t="str">
        <f aca="false">IF($W219="","",N(INDEX(发票统计!R$4:R$1003,$W219)))</f>
        <v/>
      </c>
      <c r="S219" s="56" t="str">
        <f aca="false">IF($W219="","",N(INDEX(发票统计!S$4:S$1003,$W219)))</f>
        <v/>
      </c>
      <c r="T219" s="56" t="str">
        <f aca="false">IF($W219="","",SUM(Q$4:Q219)-SUM(R$4:R219)-SUM(S$4:S219))</f>
        <v/>
      </c>
      <c r="U219" s="56" t="str">
        <f aca="false">IF($W219="","",INDEX(发票统计!U$4:U$1003,$W219)&amp;"")</f>
        <v/>
      </c>
      <c r="W219" s="1" t="str">
        <f aca="false">IF($V$3="","",IFERROR(MATCH($V$3&amp;"#"&amp;ROWS(W$4:W219),发票统计!$W$4:$W$1003,0),""))</f>
        <v/>
      </c>
    </row>
    <row r="220" customFormat="false" ht="16.5" hidden="false" customHeight="false" outlineLevel="0" collapsed="false">
      <c r="A220" s="56" t="str">
        <f aca="false">IF($W220="","",INDEX(发票统计!A$4:A$1003,$W220)&amp;"")</f>
        <v/>
      </c>
      <c r="B220" s="56" t="str">
        <f aca="false">IF($W220="","",INDEX(发票统计!B$4:B$1003,$W220)&amp;"")</f>
        <v/>
      </c>
      <c r="C220" s="56" t="str">
        <f aca="false">IF($W220="","",INDEX(发票统计!C$4:C$1003,$W220)&amp;"")</f>
        <v/>
      </c>
      <c r="D220" s="56" t="str">
        <f aca="false">IF($W220="","",INDEX(发票统计!D$4:D$1003,$W220)&amp;"")</f>
        <v/>
      </c>
      <c r="E220" s="56" t="str">
        <f aca="false">IF($W220="","",INDEX(发票统计!E$4:E$1003,$W220)&amp;"")</f>
        <v/>
      </c>
      <c r="F220" s="73" t="str">
        <f aca="false">IF($W220="","",INDEX(发票统计!F$4:F$1003,$W220)&amp;"")</f>
        <v/>
      </c>
      <c r="G220" s="68" t="str">
        <f aca="false">IF($W220="","",IF(INDEX(发票统计!G$4:G$1003,$W220)="","",INDEX(发票统计!G$4:G$1003,$W220)))</f>
        <v/>
      </c>
      <c r="H220" s="56" t="str">
        <f aca="false">IF($W220="","",N(INDEX(发票统计!H$4:H$1003,$W220)))</f>
        <v/>
      </c>
      <c r="I220" s="56" t="str">
        <f aca="false">IF($W220="","",N(INDEX(发票统计!I$4:I$1003,$W220)))</f>
        <v/>
      </c>
      <c r="J220" s="56" t="str">
        <f aca="false">IF($W220="","",N(INDEX(发票统计!J$4:J$1003,$W220)))</f>
        <v/>
      </c>
      <c r="K220" s="56" t="str">
        <f aca="false">IF($W220="","",N(INDEX(发票统计!K$4:K$1003,$W220)))</f>
        <v/>
      </c>
      <c r="L220" s="56" t="str">
        <f aca="false">IF($W220="","",SUM(J$4:J220)-SUM(K$4:K220))</f>
        <v/>
      </c>
      <c r="M220" s="56" t="str">
        <f aca="false">IF($W220="","",N(INDEX(发票统计!M$4:M$1003,$W220)))</f>
        <v/>
      </c>
      <c r="N220" s="56" t="str">
        <f aca="false">IF($W220="","",N(INDEX(发票统计!N$4:N$1003,$W220)))</f>
        <v/>
      </c>
      <c r="O220" s="56" t="str">
        <f aca="false">IF($W220="","",N(INDEX(发票统计!O$4:O$1003,$W220)))</f>
        <v/>
      </c>
      <c r="P220" s="56" t="str">
        <f aca="false">IF($W220="","",SUM(M$4:M220)-SUM(N$4:N220)-SUM(O$4:O220))</f>
        <v/>
      </c>
      <c r="Q220" s="56" t="str">
        <f aca="false">IF($W220="","",N(INDEX(发票统计!Q$4:Q$1003,$W220)))</f>
        <v/>
      </c>
      <c r="R220" s="56" t="str">
        <f aca="false">IF($W220="","",N(INDEX(发票统计!R$4:R$1003,$W220)))</f>
        <v/>
      </c>
      <c r="S220" s="56" t="str">
        <f aca="false">IF($W220="","",N(INDEX(发票统计!S$4:S$1003,$W220)))</f>
        <v/>
      </c>
      <c r="T220" s="56" t="str">
        <f aca="false">IF($W220="","",SUM(Q$4:Q220)-SUM(R$4:R220)-SUM(S$4:S220))</f>
        <v/>
      </c>
      <c r="U220" s="56" t="str">
        <f aca="false">IF($W220="","",INDEX(发票统计!U$4:U$1003,$W220)&amp;"")</f>
        <v/>
      </c>
      <c r="W220" s="1" t="str">
        <f aca="false">IF($V$3="","",IFERROR(MATCH($V$3&amp;"#"&amp;ROWS(W$4:W220),发票统计!$W$4:$W$1003,0),""))</f>
        <v/>
      </c>
    </row>
    <row r="221" customFormat="false" ht="16.5" hidden="false" customHeight="false" outlineLevel="0" collapsed="false">
      <c r="A221" s="56" t="str">
        <f aca="false">IF($W221="","",INDEX(发票统计!A$4:A$1003,$W221)&amp;"")</f>
        <v/>
      </c>
      <c r="B221" s="56" t="str">
        <f aca="false">IF($W221="","",INDEX(发票统计!B$4:B$1003,$W221)&amp;"")</f>
        <v/>
      </c>
      <c r="C221" s="56" t="str">
        <f aca="false">IF($W221="","",INDEX(发票统计!C$4:C$1003,$W221)&amp;"")</f>
        <v/>
      </c>
      <c r="D221" s="56" t="str">
        <f aca="false">IF($W221="","",INDEX(发票统计!D$4:D$1003,$W221)&amp;"")</f>
        <v/>
      </c>
      <c r="E221" s="56" t="str">
        <f aca="false">IF($W221="","",INDEX(发票统计!E$4:E$1003,$W221)&amp;"")</f>
        <v/>
      </c>
      <c r="F221" s="73" t="str">
        <f aca="false">IF($W221="","",INDEX(发票统计!F$4:F$1003,$W221)&amp;"")</f>
        <v/>
      </c>
      <c r="G221" s="68" t="str">
        <f aca="false">IF($W221="","",IF(INDEX(发票统计!G$4:G$1003,$W221)="","",INDEX(发票统计!G$4:G$1003,$W221)))</f>
        <v/>
      </c>
      <c r="H221" s="56" t="str">
        <f aca="false">IF($W221="","",N(INDEX(发票统计!H$4:H$1003,$W221)))</f>
        <v/>
      </c>
      <c r="I221" s="56" t="str">
        <f aca="false">IF($W221="","",N(INDEX(发票统计!I$4:I$1003,$W221)))</f>
        <v/>
      </c>
      <c r="J221" s="56" t="str">
        <f aca="false">IF($W221="","",N(INDEX(发票统计!J$4:J$1003,$W221)))</f>
        <v/>
      </c>
      <c r="K221" s="56" t="str">
        <f aca="false">IF($W221="","",N(INDEX(发票统计!K$4:K$1003,$W221)))</f>
        <v/>
      </c>
      <c r="L221" s="56" t="str">
        <f aca="false">IF($W221="","",SUM(J$4:J221)-SUM(K$4:K221))</f>
        <v/>
      </c>
      <c r="M221" s="56" t="str">
        <f aca="false">IF($W221="","",N(INDEX(发票统计!M$4:M$1003,$W221)))</f>
        <v/>
      </c>
      <c r="N221" s="56" t="str">
        <f aca="false">IF($W221="","",N(INDEX(发票统计!N$4:N$1003,$W221)))</f>
        <v/>
      </c>
      <c r="O221" s="56" t="str">
        <f aca="false">IF($W221="","",N(INDEX(发票统计!O$4:O$1003,$W221)))</f>
        <v/>
      </c>
      <c r="P221" s="56" t="str">
        <f aca="false">IF($W221="","",SUM(M$4:M221)-SUM(N$4:N221)-SUM(O$4:O221))</f>
        <v/>
      </c>
      <c r="Q221" s="56" t="str">
        <f aca="false">IF($W221="","",N(INDEX(发票统计!Q$4:Q$1003,$W221)))</f>
        <v/>
      </c>
      <c r="R221" s="56" t="str">
        <f aca="false">IF($W221="","",N(INDEX(发票统计!R$4:R$1003,$W221)))</f>
        <v/>
      </c>
      <c r="S221" s="56" t="str">
        <f aca="false">IF($W221="","",N(INDEX(发票统计!S$4:S$1003,$W221)))</f>
        <v/>
      </c>
      <c r="T221" s="56" t="str">
        <f aca="false">IF($W221="","",SUM(Q$4:Q221)-SUM(R$4:R221)-SUM(S$4:S221))</f>
        <v/>
      </c>
      <c r="U221" s="56" t="str">
        <f aca="false">IF($W221="","",INDEX(发票统计!U$4:U$1003,$W221)&amp;"")</f>
        <v/>
      </c>
      <c r="W221" s="1" t="str">
        <f aca="false">IF($V$3="","",IFERROR(MATCH($V$3&amp;"#"&amp;ROWS(W$4:W221),发票统计!$W$4:$W$1003,0),""))</f>
        <v/>
      </c>
    </row>
    <row r="222" customFormat="false" ht="16.5" hidden="false" customHeight="false" outlineLevel="0" collapsed="false">
      <c r="A222" s="56" t="str">
        <f aca="false">IF($W222="","",INDEX(发票统计!A$4:A$1003,$W222)&amp;"")</f>
        <v/>
      </c>
      <c r="B222" s="56" t="str">
        <f aca="false">IF($W222="","",INDEX(发票统计!B$4:B$1003,$W222)&amp;"")</f>
        <v/>
      </c>
      <c r="C222" s="56" t="str">
        <f aca="false">IF($W222="","",INDEX(发票统计!C$4:C$1003,$W222)&amp;"")</f>
        <v/>
      </c>
      <c r="D222" s="56" t="str">
        <f aca="false">IF($W222="","",INDEX(发票统计!D$4:D$1003,$W222)&amp;"")</f>
        <v/>
      </c>
      <c r="E222" s="56" t="str">
        <f aca="false">IF($W222="","",INDEX(发票统计!E$4:E$1003,$W222)&amp;"")</f>
        <v/>
      </c>
      <c r="F222" s="73" t="str">
        <f aca="false">IF($W222="","",INDEX(发票统计!F$4:F$1003,$W222)&amp;"")</f>
        <v/>
      </c>
      <c r="G222" s="68" t="str">
        <f aca="false">IF($W222="","",IF(INDEX(发票统计!G$4:G$1003,$W222)="","",INDEX(发票统计!G$4:G$1003,$W222)))</f>
        <v/>
      </c>
      <c r="H222" s="56" t="str">
        <f aca="false">IF($W222="","",N(INDEX(发票统计!H$4:H$1003,$W222)))</f>
        <v/>
      </c>
      <c r="I222" s="56" t="str">
        <f aca="false">IF($W222="","",N(INDEX(发票统计!I$4:I$1003,$W222)))</f>
        <v/>
      </c>
      <c r="J222" s="56" t="str">
        <f aca="false">IF($W222="","",N(INDEX(发票统计!J$4:J$1003,$W222)))</f>
        <v/>
      </c>
      <c r="K222" s="56" t="str">
        <f aca="false">IF($W222="","",N(INDEX(发票统计!K$4:K$1003,$W222)))</f>
        <v/>
      </c>
      <c r="L222" s="56" t="str">
        <f aca="false">IF($W222="","",SUM(J$4:J222)-SUM(K$4:K222))</f>
        <v/>
      </c>
      <c r="M222" s="56" t="str">
        <f aca="false">IF($W222="","",N(INDEX(发票统计!M$4:M$1003,$W222)))</f>
        <v/>
      </c>
      <c r="N222" s="56" t="str">
        <f aca="false">IF($W222="","",N(INDEX(发票统计!N$4:N$1003,$W222)))</f>
        <v/>
      </c>
      <c r="O222" s="56" t="str">
        <f aca="false">IF($W222="","",N(INDEX(发票统计!O$4:O$1003,$W222)))</f>
        <v/>
      </c>
      <c r="P222" s="56" t="str">
        <f aca="false">IF($W222="","",SUM(M$4:M222)-SUM(N$4:N222)-SUM(O$4:O222))</f>
        <v/>
      </c>
      <c r="Q222" s="56" t="str">
        <f aca="false">IF($W222="","",N(INDEX(发票统计!Q$4:Q$1003,$W222)))</f>
        <v/>
      </c>
      <c r="R222" s="56" t="str">
        <f aca="false">IF($W222="","",N(INDEX(发票统计!R$4:R$1003,$W222)))</f>
        <v/>
      </c>
      <c r="S222" s="56" t="str">
        <f aca="false">IF($W222="","",N(INDEX(发票统计!S$4:S$1003,$W222)))</f>
        <v/>
      </c>
      <c r="T222" s="56" t="str">
        <f aca="false">IF($W222="","",SUM(Q$4:Q222)-SUM(R$4:R222)-SUM(S$4:S222))</f>
        <v/>
      </c>
      <c r="U222" s="56" t="str">
        <f aca="false">IF($W222="","",INDEX(发票统计!U$4:U$1003,$W222)&amp;"")</f>
        <v/>
      </c>
      <c r="W222" s="1" t="str">
        <f aca="false">IF($V$3="","",IFERROR(MATCH($V$3&amp;"#"&amp;ROWS(W$4:W222),发票统计!$W$4:$W$1003,0),""))</f>
        <v/>
      </c>
    </row>
    <row r="223" customFormat="false" ht="16.5" hidden="false" customHeight="false" outlineLevel="0" collapsed="false">
      <c r="A223" s="56" t="str">
        <f aca="false">IF($W223="","",INDEX(发票统计!A$4:A$1003,$W223)&amp;"")</f>
        <v/>
      </c>
      <c r="B223" s="56" t="str">
        <f aca="false">IF($W223="","",INDEX(发票统计!B$4:B$1003,$W223)&amp;"")</f>
        <v/>
      </c>
      <c r="C223" s="56" t="str">
        <f aca="false">IF($W223="","",INDEX(发票统计!C$4:C$1003,$W223)&amp;"")</f>
        <v/>
      </c>
      <c r="D223" s="56" t="str">
        <f aca="false">IF($W223="","",INDEX(发票统计!D$4:D$1003,$W223)&amp;"")</f>
        <v/>
      </c>
      <c r="E223" s="56" t="str">
        <f aca="false">IF($W223="","",INDEX(发票统计!E$4:E$1003,$W223)&amp;"")</f>
        <v/>
      </c>
      <c r="F223" s="73" t="str">
        <f aca="false">IF($W223="","",INDEX(发票统计!F$4:F$1003,$W223)&amp;"")</f>
        <v/>
      </c>
      <c r="G223" s="68" t="str">
        <f aca="false">IF($W223="","",IF(INDEX(发票统计!G$4:G$1003,$W223)="","",INDEX(发票统计!G$4:G$1003,$W223)))</f>
        <v/>
      </c>
      <c r="H223" s="56" t="str">
        <f aca="false">IF($W223="","",N(INDEX(发票统计!H$4:H$1003,$W223)))</f>
        <v/>
      </c>
      <c r="I223" s="56" t="str">
        <f aca="false">IF($W223="","",N(INDEX(发票统计!I$4:I$1003,$W223)))</f>
        <v/>
      </c>
      <c r="J223" s="56" t="str">
        <f aca="false">IF($W223="","",N(INDEX(发票统计!J$4:J$1003,$W223)))</f>
        <v/>
      </c>
      <c r="K223" s="56" t="str">
        <f aca="false">IF($W223="","",N(INDEX(发票统计!K$4:K$1003,$W223)))</f>
        <v/>
      </c>
      <c r="L223" s="56" t="str">
        <f aca="false">IF($W223="","",SUM(J$4:J223)-SUM(K$4:K223))</f>
        <v/>
      </c>
      <c r="M223" s="56" t="str">
        <f aca="false">IF($W223="","",N(INDEX(发票统计!M$4:M$1003,$W223)))</f>
        <v/>
      </c>
      <c r="N223" s="56" t="str">
        <f aca="false">IF($W223="","",N(INDEX(发票统计!N$4:N$1003,$W223)))</f>
        <v/>
      </c>
      <c r="O223" s="56" t="str">
        <f aca="false">IF($W223="","",N(INDEX(发票统计!O$4:O$1003,$W223)))</f>
        <v/>
      </c>
      <c r="P223" s="56" t="str">
        <f aca="false">IF($W223="","",SUM(M$4:M223)-SUM(N$4:N223)-SUM(O$4:O223))</f>
        <v/>
      </c>
      <c r="Q223" s="56" t="str">
        <f aca="false">IF($W223="","",N(INDEX(发票统计!Q$4:Q$1003,$W223)))</f>
        <v/>
      </c>
      <c r="R223" s="56" t="str">
        <f aca="false">IF($W223="","",N(INDEX(发票统计!R$4:R$1003,$W223)))</f>
        <v/>
      </c>
      <c r="S223" s="56" t="str">
        <f aca="false">IF($W223="","",N(INDEX(发票统计!S$4:S$1003,$W223)))</f>
        <v/>
      </c>
      <c r="T223" s="56" t="str">
        <f aca="false">IF($W223="","",SUM(Q$4:Q223)-SUM(R$4:R223)-SUM(S$4:S223))</f>
        <v/>
      </c>
      <c r="U223" s="56" t="str">
        <f aca="false">IF($W223="","",INDEX(发票统计!U$4:U$1003,$W223)&amp;"")</f>
        <v/>
      </c>
      <c r="W223" s="1" t="str">
        <f aca="false">IF($V$3="","",IFERROR(MATCH($V$3&amp;"#"&amp;ROWS(W$4:W223),发票统计!$W$4:$W$1003,0),""))</f>
        <v/>
      </c>
    </row>
    <row r="224" customFormat="false" ht="16.5" hidden="false" customHeight="false" outlineLevel="0" collapsed="false">
      <c r="A224" s="56" t="str">
        <f aca="false">IF($W224="","",INDEX(发票统计!A$4:A$1003,$W224)&amp;"")</f>
        <v/>
      </c>
      <c r="B224" s="56" t="str">
        <f aca="false">IF($W224="","",INDEX(发票统计!B$4:B$1003,$W224)&amp;"")</f>
        <v/>
      </c>
      <c r="C224" s="56" t="str">
        <f aca="false">IF($W224="","",INDEX(发票统计!C$4:C$1003,$W224)&amp;"")</f>
        <v/>
      </c>
      <c r="D224" s="56" t="str">
        <f aca="false">IF($W224="","",INDEX(发票统计!D$4:D$1003,$W224)&amp;"")</f>
        <v/>
      </c>
      <c r="E224" s="56" t="str">
        <f aca="false">IF($W224="","",INDEX(发票统计!E$4:E$1003,$W224)&amp;"")</f>
        <v/>
      </c>
      <c r="F224" s="73" t="str">
        <f aca="false">IF($W224="","",INDEX(发票统计!F$4:F$1003,$W224)&amp;"")</f>
        <v/>
      </c>
      <c r="G224" s="68" t="str">
        <f aca="false">IF($W224="","",IF(INDEX(发票统计!G$4:G$1003,$W224)="","",INDEX(发票统计!G$4:G$1003,$W224)))</f>
        <v/>
      </c>
      <c r="H224" s="56" t="str">
        <f aca="false">IF($W224="","",N(INDEX(发票统计!H$4:H$1003,$W224)))</f>
        <v/>
      </c>
      <c r="I224" s="56" t="str">
        <f aca="false">IF($W224="","",N(INDEX(发票统计!I$4:I$1003,$W224)))</f>
        <v/>
      </c>
      <c r="J224" s="56" t="str">
        <f aca="false">IF($W224="","",N(INDEX(发票统计!J$4:J$1003,$W224)))</f>
        <v/>
      </c>
      <c r="K224" s="56" t="str">
        <f aca="false">IF($W224="","",N(INDEX(发票统计!K$4:K$1003,$W224)))</f>
        <v/>
      </c>
      <c r="L224" s="56" t="str">
        <f aca="false">IF($W224="","",SUM(J$4:J224)-SUM(K$4:K224))</f>
        <v/>
      </c>
      <c r="M224" s="56" t="str">
        <f aca="false">IF($W224="","",N(INDEX(发票统计!M$4:M$1003,$W224)))</f>
        <v/>
      </c>
      <c r="N224" s="56" t="str">
        <f aca="false">IF($W224="","",N(INDEX(发票统计!N$4:N$1003,$W224)))</f>
        <v/>
      </c>
      <c r="O224" s="56" t="str">
        <f aca="false">IF($W224="","",N(INDEX(发票统计!O$4:O$1003,$W224)))</f>
        <v/>
      </c>
      <c r="P224" s="56" t="str">
        <f aca="false">IF($W224="","",SUM(M$4:M224)-SUM(N$4:N224)-SUM(O$4:O224))</f>
        <v/>
      </c>
      <c r="Q224" s="56" t="str">
        <f aca="false">IF($W224="","",N(INDEX(发票统计!Q$4:Q$1003,$W224)))</f>
        <v/>
      </c>
      <c r="R224" s="56" t="str">
        <f aca="false">IF($W224="","",N(INDEX(发票统计!R$4:R$1003,$W224)))</f>
        <v/>
      </c>
      <c r="S224" s="56" t="str">
        <f aca="false">IF($W224="","",N(INDEX(发票统计!S$4:S$1003,$W224)))</f>
        <v/>
      </c>
      <c r="T224" s="56" t="str">
        <f aca="false">IF($W224="","",SUM(Q$4:Q224)-SUM(R$4:R224)-SUM(S$4:S224))</f>
        <v/>
      </c>
      <c r="U224" s="56" t="str">
        <f aca="false">IF($W224="","",INDEX(发票统计!U$4:U$1003,$W224)&amp;"")</f>
        <v/>
      </c>
      <c r="W224" s="1" t="str">
        <f aca="false">IF($V$3="","",IFERROR(MATCH($V$3&amp;"#"&amp;ROWS(W$4:W224),发票统计!$W$4:$W$1003,0),""))</f>
        <v/>
      </c>
    </row>
    <row r="225" customFormat="false" ht="16.5" hidden="false" customHeight="false" outlineLevel="0" collapsed="false">
      <c r="A225" s="56" t="str">
        <f aca="false">IF($W225="","",INDEX(发票统计!A$4:A$1003,$W225)&amp;"")</f>
        <v/>
      </c>
      <c r="B225" s="56" t="str">
        <f aca="false">IF($W225="","",INDEX(发票统计!B$4:B$1003,$W225)&amp;"")</f>
        <v/>
      </c>
      <c r="C225" s="56" t="str">
        <f aca="false">IF($W225="","",INDEX(发票统计!C$4:C$1003,$W225)&amp;"")</f>
        <v/>
      </c>
      <c r="D225" s="56" t="str">
        <f aca="false">IF($W225="","",INDEX(发票统计!D$4:D$1003,$W225)&amp;"")</f>
        <v/>
      </c>
      <c r="E225" s="56" t="str">
        <f aca="false">IF($W225="","",INDEX(发票统计!E$4:E$1003,$W225)&amp;"")</f>
        <v/>
      </c>
      <c r="F225" s="73" t="str">
        <f aca="false">IF($W225="","",INDEX(发票统计!F$4:F$1003,$W225)&amp;"")</f>
        <v/>
      </c>
      <c r="G225" s="68" t="str">
        <f aca="false">IF($W225="","",IF(INDEX(发票统计!G$4:G$1003,$W225)="","",INDEX(发票统计!G$4:G$1003,$W225)))</f>
        <v/>
      </c>
      <c r="H225" s="56" t="str">
        <f aca="false">IF($W225="","",N(INDEX(发票统计!H$4:H$1003,$W225)))</f>
        <v/>
      </c>
      <c r="I225" s="56" t="str">
        <f aca="false">IF($W225="","",N(INDEX(发票统计!I$4:I$1003,$W225)))</f>
        <v/>
      </c>
      <c r="J225" s="56" t="str">
        <f aca="false">IF($W225="","",N(INDEX(发票统计!J$4:J$1003,$W225)))</f>
        <v/>
      </c>
      <c r="K225" s="56" t="str">
        <f aca="false">IF($W225="","",N(INDEX(发票统计!K$4:K$1003,$W225)))</f>
        <v/>
      </c>
      <c r="L225" s="56" t="str">
        <f aca="false">IF($W225="","",SUM(J$4:J225)-SUM(K$4:K225))</f>
        <v/>
      </c>
      <c r="M225" s="56" t="str">
        <f aca="false">IF($W225="","",N(INDEX(发票统计!M$4:M$1003,$W225)))</f>
        <v/>
      </c>
      <c r="N225" s="56" t="str">
        <f aca="false">IF($W225="","",N(INDEX(发票统计!N$4:N$1003,$W225)))</f>
        <v/>
      </c>
      <c r="O225" s="56" t="str">
        <f aca="false">IF($W225="","",N(INDEX(发票统计!O$4:O$1003,$W225)))</f>
        <v/>
      </c>
      <c r="P225" s="56" t="str">
        <f aca="false">IF($W225="","",SUM(M$4:M225)-SUM(N$4:N225)-SUM(O$4:O225))</f>
        <v/>
      </c>
      <c r="Q225" s="56" t="str">
        <f aca="false">IF($W225="","",N(INDEX(发票统计!Q$4:Q$1003,$W225)))</f>
        <v/>
      </c>
      <c r="R225" s="56" t="str">
        <f aca="false">IF($W225="","",N(INDEX(发票统计!R$4:R$1003,$W225)))</f>
        <v/>
      </c>
      <c r="S225" s="56" t="str">
        <f aca="false">IF($W225="","",N(INDEX(发票统计!S$4:S$1003,$W225)))</f>
        <v/>
      </c>
      <c r="T225" s="56" t="str">
        <f aca="false">IF($W225="","",SUM(Q$4:Q225)-SUM(R$4:R225)-SUM(S$4:S225))</f>
        <v/>
      </c>
      <c r="U225" s="56" t="str">
        <f aca="false">IF($W225="","",INDEX(发票统计!U$4:U$1003,$W225)&amp;"")</f>
        <v/>
      </c>
      <c r="W225" s="1" t="str">
        <f aca="false">IF($V$3="","",IFERROR(MATCH($V$3&amp;"#"&amp;ROWS(W$4:W225),发票统计!$W$4:$W$1003,0),""))</f>
        <v/>
      </c>
    </row>
    <row r="226" customFormat="false" ht="16.5" hidden="false" customHeight="false" outlineLevel="0" collapsed="false">
      <c r="A226" s="56" t="str">
        <f aca="false">IF($W226="","",INDEX(发票统计!A$4:A$1003,$W226)&amp;"")</f>
        <v/>
      </c>
      <c r="B226" s="56" t="str">
        <f aca="false">IF($W226="","",INDEX(发票统计!B$4:B$1003,$W226)&amp;"")</f>
        <v/>
      </c>
      <c r="C226" s="56" t="str">
        <f aca="false">IF($W226="","",INDEX(发票统计!C$4:C$1003,$W226)&amp;"")</f>
        <v/>
      </c>
      <c r="D226" s="56" t="str">
        <f aca="false">IF($W226="","",INDEX(发票统计!D$4:D$1003,$W226)&amp;"")</f>
        <v/>
      </c>
      <c r="E226" s="56" t="str">
        <f aca="false">IF($W226="","",INDEX(发票统计!E$4:E$1003,$W226)&amp;"")</f>
        <v/>
      </c>
      <c r="F226" s="73" t="str">
        <f aca="false">IF($W226="","",INDEX(发票统计!F$4:F$1003,$W226)&amp;"")</f>
        <v/>
      </c>
      <c r="G226" s="68" t="str">
        <f aca="false">IF($W226="","",IF(INDEX(发票统计!G$4:G$1003,$W226)="","",INDEX(发票统计!G$4:G$1003,$W226)))</f>
        <v/>
      </c>
      <c r="H226" s="56" t="str">
        <f aca="false">IF($W226="","",N(INDEX(发票统计!H$4:H$1003,$W226)))</f>
        <v/>
      </c>
      <c r="I226" s="56" t="str">
        <f aca="false">IF($W226="","",N(INDEX(发票统计!I$4:I$1003,$W226)))</f>
        <v/>
      </c>
      <c r="J226" s="56" t="str">
        <f aca="false">IF($W226="","",N(INDEX(发票统计!J$4:J$1003,$W226)))</f>
        <v/>
      </c>
      <c r="K226" s="56" t="str">
        <f aca="false">IF($W226="","",N(INDEX(发票统计!K$4:K$1003,$W226)))</f>
        <v/>
      </c>
      <c r="L226" s="56" t="str">
        <f aca="false">IF($W226="","",SUM(J$4:J226)-SUM(K$4:K226))</f>
        <v/>
      </c>
      <c r="M226" s="56" t="str">
        <f aca="false">IF($W226="","",N(INDEX(发票统计!M$4:M$1003,$W226)))</f>
        <v/>
      </c>
      <c r="N226" s="56" t="str">
        <f aca="false">IF($W226="","",N(INDEX(发票统计!N$4:N$1003,$W226)))</f>
        <v/>
      </c>
      <c r="O226" s="56" t="str">
        <f aca="false">IF($W226="","",N(INDEX(发票统计!O$4:O$1003,$W226)))</f>
        <v/>
      </c>
      <c r="P226" s="56" t="str">
        <f aca="false">IF($W226="","",SUM(M$4:M226)-SUM(N$4:N226)-SUM(O$4:O226))</f>
        <v/>
      </c>
      <c r="Q226" s="56" t="str">
        <f aca="false">IF($W226="","",N(INDEX(发票统计!Q$4:Q$1003,$W226)))</f>
        <v/>
      </c>
      <c r="R226" s="56" t="str">
        <f aca="false">IF($W226="","",N(INDEX(发票统计!R$4:R$1003,$W226)))</f>
        <v/>
      </c>
      <c r="S226" s="56" t="str">
        <f aca="false">IF($W226="","",N(INDEX(发票统计!S$4:S$1003,$W226)))</f>
        <v/>
      </c>
      <c r="T226" s="56" t="str">
        <f aca="false">IF($W226="","",SUM(Q$4:Q226)-SUM(R$4:R226)-SUM(S$4:S226))</f>
        <v/>
      </c>
      <c r="U226" s="56" t="str">
        <f aca="false">IF($W226="","",INDEX(发票统计!U$4:U$1003,$W226)&amp;"")</f>
        <v/>
      </c>
      <c r="W226" s="1" t="str">
        <f aca="false">IF($V$3="","",IFERROR(MATCH($V$3&amp;"#"&amp;ROWS(W$4:W226),发票统计!$W$4:$W$1003,0),""))</f>
        <v/>
      </c>
    </row>
    <row r="227" customFormat="false" ht="16.5" hidden="false" customHeight="false" outlineLevel="0" collapsed="false">
      <c r="A227" s="56" t="str">
        <f aca="false">IF($W227="","",INDEX(发票统计!A$4:A$1003,$W227)&amp;"")</f>
        <v/>
      </c>
      <c r="B227" s="56" t="str">
        <f aca="false">IF($W227="","",INDEX(发票统计!B$4:B$1003,$W227)&amp;"")</f>
        <v/>
      </c>
      <c r="C227" s="56" t="str">
        <f aca="false">IF($W227="","",INDEX(发票统计!C$4:C$1003,$W227)&amp;"")</f>
        <v/>
      </c>
      <c r="D227" s="56" t="str">
        <f aca="false">IF($W227="","",INDEX(发票统计!D$4:D$1003,$W227)&amp;"")</f>
        <v/>
      </c>
      <c r="E227" s="56" t="str">
        <f aca="false">IF($W227="","",INDEX(发票统计!E$4:E$1003,$W227)&amp;"")</f>
        <v/>
      </c>
      <c r="F227" s="73" t="str">
        <f aca="false">IF($W227="","",INDEX(发票统计!F$4:F$1003,$W227)&amp;"")</f>
        <v/>
      </c>
      <c r="G227" s="68" t="str">
        <f aca="false">IF($W227="","",IF(INDEX(发票统计!G$4:G$1003,$W227)="","",INDEX(发票统计!G$4:G$1003,$W227)))</f>
        <v/>
      </c>
      <c r="H227" s="56" t="str">
        <f aca="false">IF($W227="","",N(INDEX(发票统计!H$4:H$1003,$W227)))</f>
        <v/>
      </c>
      <c r="I227" s="56" t="str">
        <f aca="false">IF($W227="","",N(INDEX(发票统计!I$4:I$1003,$W227)))</f>
        <v/>
      </c>
      <c r="J227" s="56" t="str">
        <f aca="false">IF($W227="","",N(INDEX(发票统计!J$4:J$1003,$W227)))</f>
        <v/>
      </c>
      <c r="K227" s="56" t="str">
        <f aca="false">IF($W227="","",N(INDEX(发票统计!K$4:K$1003,$W227)))</f>
        <v/>
      </c>
      <c r="L227" s="56" t="str">
        <f aca="false">IF($W227="","",SUM(J$4:J227)-SUM(K$4:K227))</f>
        <v/>
      </c>
      <c r="M227" s="56" t="str">
        <f aca="false">IF($W227="","",N(INDEX(发票统计!M$4:M$1003,$W227)))</f>
        <v/>
      </c>
      <c r="N227" s="56" t="str">
        <f aca="false">IF($W227="","",N(INDEX(发票统计!N$4:N$1003,$W227)))</f>
        <v/>
      </c>
      <c r="O227" s="56" t="str">
        <f aca="false">IF($W227="","",N(INDEX(发票统计!O$4:O$1003,$W227)))</f>
        <v/>
      </c>
      <c r="P227" s="56" t="str">
        <f aca="false">IF($W227="","",SUM(M$4:M227)-SUM(N$4:N227)-SUM(O$4:O227))</f>
        <v/>
      </c>
      <c r="Q227" s="56" t="str">
        <f aca="false">IF($W227="","",N(INDEX(发票统计!Q$4:Q$1003,$W227)))</f>
        <v/>
      </c>
      <c r="R227" s="56" t="str">
        <f aca="false">IF($W227="","",N(INDEX(发票统计!R$4:R$1003,$W227)))</f>
        <v/>
      </c>
      <c r="S227" s="56" t="str">
        <f aca="false">IF($W227="","",N(INDEX(发票统计!S$4:S$1003,$W227)))</f>
        <v/>
      </c>
      <c r="T227" s="56" t="str">
        <f aca="false">IF($W227="","",SUM(Q$4:Q227)-SUM(R$4:R227)-SUM(S$4:S227))</f>
        <v/>
      </c>
      <c r="U227" s="56" t="str">
        <f aca="false">IF($W227="","",INDEX(发票统计!U$4:U$1003,$W227)&amp;"")</f>
        <v/>
      </c>
      <c r="W227" s="1" t="str">
        <f aca="false">IF($V$3="","",IFERROR(MATCH($V$3&amp;"#"&amp;ROWS(W$4:W227),发票统计!$W$4:$W$1003,0),""))</f>
        <v/>
      </c>
    </row>
    <row r="228" customFormat="false" ht="16.5" hidden="false" customHeight="false" outlineLevel="0" collapsed="false">
      <c r="A228" s="56" t="str">
        <f aca="false">IF($W228="","",INDEX(发票统计!A$4:A$1003,$W228)&amp;"")</f>
        <v/>
      </c>
      <c r="B228" s="56" t="str">
        <f aca="false">IF($W228="","",INDEX(发票统计!B$4:B$1003,$W228)&amp;"")</f>
        <v/>
      </c>
      <c r="C228" s="56" t="str">
        <f aca="false">IF($W228="","",INDEX(发票统计!C$4:C$1003,$W228)&amp;"")</f>
        <v/>
      </c>
      <c r="D228" s="56" t="str">
        <f aca="false">IF($W228="","",INDEX(发票统计!D$4:D$1003,$W228)&amp;"")</f>
        <v/>
      </c>
      <c r="E228" s="56" t="str">
        <f aca="false">IF($W228="","",INDEX(发票统计!E$4:E$1003,$W228)&amp;"")</f>
        <v/>
      </c>
      <c r="F228" s="73" t="str">
        <f aca="false">IF($W228="","",INDEX(发票统计!F$4:F$1003,$W228)&amp;"")</f>
        <v/>
      </c>
      <c r="G228" s="68" t="str">
        <f aca="false">IF($W228="","",IF(INDEX(发票统计!G$4:G$1003,$W228)="","",INDEX(发票统计!G$4:G$1003,$W228)))</f>
        <v/>
      </c>
      <c r="H228" s="56" t="str">
        <f aca="false">IF($W228="","",N(INDEX(发票统计!H$4:H$1003,$W228)))</f>
        <v/>
      </c>
      <c r="I228" s="56" t="str">
        <f aca="false">IF($W228="","",N(INDEX(发票统计!I$4:I$1003,$W228)))</f>
        <v/>
      </c>
      <c r="J228" s="56" t="str">
        <f aca="false">IF($W228="","",N(INDEX(发票统计!J$4:J$1003,$W228)))</f>
        <v/>
      </c>
      <c r="K228" s="56" t="str">
        <f aca="false">IF($W228="","",N(INDEX(发票统计!K$4:K$1003,$W228)))</f>
        <v/>
      </c>
      <c r="L228" s="56" t="str">
        <f aca="false">IF($W228="","",SUM(J$4:J228)-SUM(K$4:K228))</f>
        <v/>
      </c>
      <c r="M228" s="56" t="str">
        <f aca="false">IF($W228="","",N(INDEX(发票统计!M$4:M$1003,$W228)))</f>
        <v/>
      </c>
      <c r="N228" s="56" t="str">
        <f aca="false">IF($W228="","",N(INDEX(发票统计!N$4:N$1003,$W228)))</f>
        <v/>
      </c>
      <c r="O228" s="56" t="str">
        <f aca="false">IF($W228="","",N(INDEX(发票统计!O$4:O$1003,$W228)))</f>
        <v/>
      </c>
      <c r="P228" s="56" t="str">
        <f aca="false">IF($W228="","",SUM(M$4:M228)-SUM(N$4:N228)-SUM(O$4:O228))</f>
        <v/>
      </c>
      <c r="Q228" s="56" t="str">
        <f aca="false">IF($W228="","",N(INDEX(发票统计!Q$4:Q$1003,$W228)))</f>
        <v/>
      </c>
      <c r="R228" s="56" t="str">
        <f aca="false">IF($W228="","",N(INDEX(发票统计!R$4:R$1003,$W228)))</f>
        <v/>
      </c>
      <c r="S228" s="56" t="str">
        <f aca="false">IF($W228="","",N(INDEX(发票统计!S$4:S$1003,$W228)))</f>
        <v/>
      </c>
      <c r="T228" s="56" t="str">
        <f aca="false">IF($W228="","",SUM(Q$4:Q228)-SUM(R$4:R228)-SUM(S$4:S228))</f>
        <v/>
      </c>
      <c r="U228" s="56" t="str">
        <f aca="false">IF($W228="","",INDEX(发票统计!U$4:U$1003,$W228)&amp;"")</f>
        <v/>
      </c>
      <c r="W228" s="1" t="str">
        <f aca="false">IF($V$3="","",IFERROR(MATCH($V$3&amp;"#"&amp;ROWS(W$4:W228),发票统计!$W$4:$W$1003,0),""))</f>
        <v/>
      </c>
    </row>
    <row r="229" customFormat="false" ht="16.5" hidden="false" customHeight="false" outlineLevel="0" collapsed="false">
      <c r="A229" s="56" t="str">
        <f aca="false">IF($W229="","",INDEX(发票统计!A$4:A$1003,$W229)&amp;"")</f>
        <v/>
      </c>
      <c r="B229" s="56" t="str">
        <f aca="false">IF($W229="","",INDEX(发票统计!B$4:B$1003,$W229)&amp;"")</f>
        <v/>
      </c>
      <c r="C229" s="56" t="str">
        <f aca="false">IF($W229="","",INDEX(发票统计!C$4:C$1003,$W229)&amp;"")</f>
        <v/>
      </c>
      <c r="D229" s="56" t="str">
        <f aca="false">IF($W229="","",INDEX(发票统计!D$4:D$1003,$W229)&amp;"")</f>
        <v/>
      </c>
      <c r="E229" s="56" t="str">
        <f aca="false">IF($W229="","",INDEX(发票统计!E$4:E$1003,$W229)&amp;"")</f>
        <v/>
      </c>
      <c r="F229" s="73" t="str">
        <f aca="false">IF($W229="","",INDEX(发票统计!F$4:F$1003,$W229)&amp;"")</f>
        <v/>
      </c>
      <c r="G229" s="68" t="str">
        <f aca="false">IF($W229="","",IF(INDEX(发票统计!G$4:G$1003,$W229)="","",INDEX(发票统计!G$4:G$1003,$W229)))</f>
        <v/>
      </c>
      <c r="H229" s="56" t="str">
        <f aca="false">IF($W229="","",N(INDEX(发票统计!H$4:H$1003,$W229)))</f>
        <v/>
      </c>
      <c r="I229" s="56" t="str">
        <f aca="false">IF($W229="","",N(INDEX(发票统计!I$4:I$1003,$W229)))</f>
        <v/>
      </c>
      <c r="J229" s="56" t="str">
        <f aca="false">IF($W229="","",N(INDEX(发票统计!J$4:J$1003,$W229)))</f>
        <v/>
      </c>
      <c r="K229" s="56" t="str">
        <f aca="false">IF($W229="","",N(INDEX(发票统计!K$4:K$1003,$W229)))</f>
        <v/>
      </c>
      <c r="L229" s="56" t="str">
        <f aca="false">IF($W229="","",SUM(J$4:J229)-SUM(K$4:K229))</f>
        <v/>
      </c>
      <c r="M229" s="56" t="str">
        <f aca="false">IF($W229="","",N(INDEX(发票统计!M$4:M$1003,$W229)))</f>
        <v/>
      </c>
      <c r="N229" s="56" t="str">
        <f aca="false">IF($W229="","",N(INDEX(发票统计!N$4:N$1003,$W229)))</f>
        <v/>
      </c>
      <c r="O229" s="56" t="str">
        <f aca="false">IF($W229="","",N(INDEX(发票统计!O$4:O$1003,$W229)))</f>
        <v/>
      </c>
      <c r="P229" s="56" t="str">
        <f aca="false">IF($W229="","",SUM(M$4:M229)-SUM(N$4:N229)-SUM(O$4:O229))</f>
        <v/>
      </c>
      <c r="Q229" s="56" t="str">
        <f aca="false">IF($W229="","",N(INDEX(发票统计!Q$4:Q$1003,$W229)))</f>
        <v/>
      </c>
      <c r="R229" s="56" t="str">
        <f aca="false">IF($W229="","",N(INDEX(发票统计!R$4:R$1003,$W229)))</f>
        <v/>
      </c>
      <c r="S229" s="56" t="str">
        <f aca="false">IF($W229="","",N(INDEX(发票统计!S$4:S$1003,$W229)))</f>
        <v/>
      </c>
      <c r="T229" s="56" t="str">
        <f aca="false">IF($W229="","",SUM(Q$4:Q229)-SUM(R$4:R229)-SUM(S$4:S229))</f>
        <v/>
      </c>
      <c r="U229" s="56" t="str">
        <f aca="false">IF($W229="","",INDEX(发票统计!U$4:U$1003,$W229)&amp;"")</f>
        <v/>
      </c>
      <c r="W229" s="1" t="str">
        <f aca="false">IF($V$3="","",IFERROR(MATCH($V$3&amp;"#"&amp;ROWS(W$4:W229),发票统计!$W$4:$W$1003,0),""))</f>
        <v/>
      </c>
    </row>
    <row r="230" customFormat="false" ht="16.5" hidden="false" customHeight="false" outlineLevel="0" collapsed="false">
      <c r="A230" s="56" t="str">
        <f aca="false">IF($W230="","",INDEX(发票统计!A$4:A$1003,$W230)&amp;"")</f>
        <v/>
      </c>
      <c r="B230" s="56" t="str">
        <f aca="false">IF($W230="","",INDEX(发票统计!B$4:B$1003,$W230)&amp;"")</f>
        <v/>
      </c>
      <c r="C230" s="56" t="str">
        <f aca="false">IF($W230="","",INDEX(发票统计!C$4:C$1003,$W230)&amp;"")</f>
        <v/>
      </c>
      <c r="D230" s="56" t="str">
        <f aca="false">IF($W230="","",INDEX(发票统计!D$4:D$1003,$W230)&amp;"")</f>
        <v/>
      </c>
      <c r="E230" s="56" t="str">
        <f aca="false">IF($W230="","",INDEX(发票统计!E$4:E$1003,$W230)&amp;"")</f>
        <v/>
      </c>
      <c r="F230" s="73" t="str">
        <f aca="false">IF($W230="","",INDEX(发票统计!F$4:F$1003,$W230)&amp;"")</f>
        <v/>
      </c>
      <c r="G230" s="68" t="str">
        <f aca="false">IF($W230="","",IF(INDEX(发票统计!G$4:G$1003,$W230)="","",INDEX(发票统计!G$4:G$1003,$W230)))</f>
        <v/>
      </c>
      <c r="H230" s="56" t="str">
        <f aca="false">IF($W230="","",N(INDEX(发票统计!H$4:H$1003,$W230)))</f>
        <v/>
      </c>
      <c r="I230" s="56" t="str">
        <f aca="false">IF($W230="","",N(INDEX(发票统计!I$4:I$1003,$W230)))</f>
        <v/>
      </c>
      <c r="J230" s="56" t="str">
        <f aca="false">IF($W230="","",N(INDEX(发票统计!J$4:J$1003,$W230)))</f>
        <v/>
      </c>
      <c r="K230" s="56" t="str">
        <f aca="false">IF($W230="","",N(INDEX(发票统计!K$4:K$1003,$W230)))</f>
        <v/>
      </c>
      <c r="L230" s="56" t="str">
        <f aca="false">IF($W230="","",SUM(J$4:J230)-SUM(K$4:K230))</f>
        <v/>
      </c>
      <c r="M230" s="56" t="str">
        <f aca="false">IF($W230="","",N(INDEX(发票统计!M$4:M$1003,$W230)))</f>
        <v/>
      </c>
      <c r="N230" s="56" t="str">
        <f aca="false">IF($W230="","",N(INDEX(发票统计!N$4:N$1003,$W230)))</f>
        <v/>
      </c>
      <c r="O230" s="56" t="str">
        <f aca="false">IF($W230="","",N(INDEX(发票统计!O$4:O$1003,$W230)))</f>
        <v/>
      </c>
      <c r="P230" s="56" t="str">
        <f aca="false">IF($W230="","",SUM(M$4:M230)-SUM(N$4:N230)-SUM(O$4:O230))</f>
        <v/>
      </c>
      <c r="Q230" s="56" t="str">
        <f aca="false">IF($W230="","",N(INDEX(发票统计!Q$4:Q$1003,$W230)))</f>
        <v/>
      </c>
      <c r="R230" s="56" t="str">
        <f aca="false">IF($W230="","",N(INDEX(发票统计!R$4:R$1003,$W230)))</f>
        <v/>
      </c>
      <c r="S230" s="56" t="str">
        <f aca="false">IF($W230="","",N(INDEX(发票统计!S$4:S$1003,$W230)))</f>
        <v/>
      </c>
      <c r="T230" s="56" t="str">
        <f aca="false">IF($W230="","",SUM(Q$4:Q230)-SUM(R$4:R230)-SUM(S$4:S230))</f>
        <v/>
      </c>
      <c r="U230" s="56" t="str">
        <f aca="false">IF($W230="","",INDEX(发票统计!U$4:U$1003,$W230)&amp;"")</f>
        <v/>
      </c>
      <c r="W230" s="1" t="str">
        <f aca="false">IF($V$3="","",IFERROR(MATCH($V$3&amp;"#"&amp;ROWS(W$4:W230),发票统计!$W$4:$W$1003,0),""))</f>
        <v/>
      </c>
    </row>
    <row r="231" customFormat="false" ht="16.5" hidden="false" customHeight="false" outlineLevel="0" collapsed="false">
      <c r="A231" s="56" t="str">
        <f aca="false">IF($W231="","",INDEX(发票统计!A$4:A$1003,$W231)&amp;"")</f>
        <v/>
      </c>
      <c r="B231" s="56" t="str">
        <f aca="false">IF($W231="","",INDEX(发票统计!B$4:B$1003,$W231)&amp;"")</f>
        <v/>
      </c>
      <c r="C231" s="56" t="str">
        <f aca="false">IF($W231="","",INDEX(发票统计!C$4:C$1003,$W231)&amp;"")</f>
        <v/>
      </c>
      <c r="D231" s="56" t="str">
        <f aca="false">IF($W231="","",INDEX(发票统计!D$4:D$1003,$W231)&amp;"")</f>
        <v/>
      </c>
      <c r="E231" s="56" t="str">
        <f aca="false">IF($W231="","",INDEX(发票统计!E$4:E$1003,$W231)&amp;"")</f>
        <v/>
      </c>
      <c r="F231" s="73" t="str">
        <f aca="false">IF($W231="","",INDEX(发票统计!F$4:F$1003,$W231)&amp;"")</f>
        <v/>
      </c>
      <c r="G231" s="68" t="str">
        <f aca="false">IF($W231="","",IF(INDEX(发票统计!G$4:G$1003,$W231)="","",INDEX(发票统计!G$4:G$1003,$W231)))</f>
        <v/>
      </c>
      <c r="H231" s="56" t="str">
        <f aca="false">IF($W231="","",N(INDEX(发票统计!H$4:H$1003,$W231)))</f>
        <v/>
      </c>
      <c r="I231" s="56" t="str">
        <f aca="false">IF($W231="","",N(INDEX(发票统计!I$4:I$1003,$W231)))</f>
        <v/>
      </c>
      <c r="J231" s="56" t="str">
        <f aca="false">IF($W231="","",N(INDEX(发票统计!J$4:J$1003,$W231)))</f>
        <v/>
      </c>
      <c r="K231" s="56" t="str">
        <f aca="false">IF($W231="","",N(INDEX(发票统计!K$4:K$1003,$W231)))</f>
        <v/>
      </c>
      <c r="L231" s="56" t="str">
        <f aca="false">IF($W231="","",SUM(J$4:J231)-SUM(K$4:K231))</f>
        <v/>
      </c>
      <c r="M231" s="56" t="str">
        <f aca="false">IF($W231="","",N(INDEX(发票统计!M$4:M$1003,$W231)))</f>
        <v/>
      </c>
      <c r="N231" s="56" t="str">
        <f aca="false">IF($W231="","",N(INDEX(发票统计!N$4:N$1003,$W231)))</f>
        <v/>
      </c>
      <c r="O231" s="56" t="str">
        <f aca="false">IF($W231="","",N(INDEX(发票统计!O$4:O$1003,$W231)))</f>
        <v/>
      </c>
      <c r="P231" s="56" t="str">
        <f aca="false">IF($W231="","",SUM(M$4:M231)-SUM(N$4:N231)-SUM(O$4:O231))</f>
        <v/>
      </c>
      <c r="Q231" s="56" t="str">
        <f aca="false">IF($W231="","",N(INDEX(发票统计!Q$4:Q$1003,$W231)))</f>
        <v/>
      </c>
      <c r="R231" s="56" t="str">
        <f aca="false">IF($W231="","",N(INDEX(发票统计!R$4:R$1003,$W231)))</f>
        <v/>
      </c>
      <c r="S231" s="56" t="str">
        <f aca="false">IF($W231="","",N(INDEX(发票统计!S$4:S$1003,$W231)))</f>
        <v/>
      </c>
      <c r="T231" s="56" t="str">
        <f aca="false">IF($W231="","",SUM(Q$4:Q231)-SUM(R$4:R231)-SUM(S$4:S231))</f>
        <v/>
      </c>
      <c r="U231" s="56" t="str">
        <f aca="false">IF($W231="","",INDEX(发票统计!U$4:U$1003,$W231)&amp;"")</f>
        <v/>
      </c>
      <c r="W231" s="1" t="str">
        <f aca="false">IF($V$3="","",IFERROR(MATCH($V$3&amp;"#"&amp;ROWS(W$4:W231),发票统计!$W$4:$W$1003,0),""))</f>
        <v/>
      </c>
    </row>
    <row r="232" customFormat="false" ht="16.5" hidden="false" customHeight="false" outlineLevel="0" collapsed="false">
      <c r="A232" s="56" t="str">
        <f aca="false">IF($W232="","",INDEX(发票统计!A$4:A$1003,$W232)&amp;"")</f>
        <v/>
      </c>
      <c r="B232" s="56" t="str">
        <f aca="false">IF($W232="","",INDEX(发票统计!B$4:B$1003,$W232)&amp;"")</f>
        <v/>
      </c>
      <c r="C232" s="56" t="str">
        <f aca="false">IF($W232="","",INDEX(发票统计!C$4:C$1003,$W232)&amp;"")</f>
        <v/>
      </c>
      <c r="D232" s="56" t="str">
        <f aca="false">IF($W232="","",INDEX(发票统计!D$4:D$1003,$W232)&amp;"")</f>
        <v/>
      </c>
      <c r="E232" s="56" t="str">
        <f aca="false">IF($W232="","",INDEX(发票统计!E$4:E$1003,$W232)&amp;"")</f>
        <v/>
      </c>
      <c r="F232" s="73" t="str">
        <f aca="false">IF($W232="","",INDEX(发票统计!F$4:F$1003,$W232)&amp;"")</f>
        <v/>
      </c>
      <c r="G232" s="68" t="str">
        <f aca="false">IF($W232="","",IF(INDEX(发票统计!G$4:G$1003,$W232)="","",INDEX(发票统计!G$4:G$1003,$W232)))</f>
        <v/>
      </c>
      <c r="H232" s="56" t="str">
        <f aca="false">IF($W232="","",N(INDEX(发票统计!H$4:H$1003,$W232)))</f>
        <v/>
      </c>
      <c r="I232" s="56" t="str">
        <f aca="false">IF($W232="","",N(INDEX(发票统计!I$4:I$1003,$W232)))</f>
        <v/>
      </c>
      <c r="J232" s="56" t="str">
        <f aca="false">IF($W232="","",N(INDEX(发票统计!J$4:J$1003,$W232)))</f>
        <v/>
      </c>
      <c r="K232" s="56" t="str">
        <f aca="false">IF($W232="","",N(INDEX(发票统计!K$4:K$1003,$W232)))</f>
        <v/>
      </c>
      <c r="L232" s="56" t="str">
        <f aca="false">IF($W232="","",SUM(J$4:J232)-SUM(K$4:K232))</f>
        <v/>
      </c>
      <c r="M232" s="56" t="str">
        <f aca="false">IF($W232="","",N(INDEX(发票统计!M$4:M$1003,$W232)))</f>
        <v/>
      </c>
      <c r="N232" s="56" t="str">
        <f aca="false">IF($W232="","",N(INDEX(发票统计!N$4:N$1003,$W232)))</f>
        <v/>
      </c>
      <c r="O232" s="56" t="str">
        <f aca="false">IF($W232="","",N(INDEX(发票统计!O$4:O$1003,$W232)))</f>
        <v/>
      </c>
      <c r="P232" s="56" t="str">
        <f aca="false">IF($W232="","",SUM(M$4:M232)-SUM(N$4:N232)-SUM(O$4:O232))</f>
        <v/>
      </c>
      <c r="Q232" s="56" t="str">
        <f aca="false">IF($W232="","",N(INDEX(发票统计!Q$4:Q$1003,$W232)))</f>
        <v/>
      </c>
      <c r="R232" s="56" t="str">
        <f aca="false">IF($W232="","",N(INDEX(发票统计!R$4:R$1003,$W232)))</f>
        <v/>
      </c>
      <c r="S232" s="56" t="str">
        <f aca="false">IF($W232="","",N(INDEX(发票统计!S$4:S$1003,$W232)))</f>
        <v/>
      </c>
      <c r="T232" s="56" t="str">
        <f aca="false">IF($W232="","",SUM(Q$4:Q232)-SUM(R$4:R232)-SUM(S$4:S232))</f>
        <v/>
      </c>
      <c r="U232" s="56" t="str">
        <f aca="false">IF($W232="","",INDEX(发票统计!U$4:U$1003,$W232)&amp;"")</f>
        <v/>
      </c>
      <c r="W232" s="1" t="str">
        <f aca="false">IF($V$3="","",IFERROR(MATCH($V$3&amp;"#"&amp;ROWS(W$4:W232),发票统计!$W$4:$W$1003,0),""))</f>
        <v/>
      </c>
    </row>
    <row r="233" customFormat="false" ht="16.5" hidden="false" customHeight="false" outlineLevel="0" collapsed="false">
      <c r="A233" s="56" t="str">
        <f aca="false">IF($W233="","",INDEX(发票统计!A$4:A$1003,$W233)&amp;"")</f>
        <v/>
      </c>
      <c r="B233" s="56" t="str">
        <f aca="false">IF($W233="","",INDEX(发票统计!B$4:B$1003,$W233)&amp;"")</f>
        <v/>
      </c>
      <c r="C233" s="56" t="str">
        <f aca="false">IF($W233="","",INDEX(发票统计!C$4:C$1003,$W233)&amp;"")</f>
        <v/>
      </c>
      <c r="D233" s="56" t="str">
        <f aca="false">IF($W233="","",INDEX(发票统计!D$4:D$1003,$W233)&amp;"")</f>
        <v/>
      </c>
      <c r="E233" s="56" t="str">
        <f aca="false">IF($W233="","",INDEX(发票统计!E$4:E$1003,$W233)&amp;"")</f>
        <v/>
      </c>
      <c r="F233" s="73" t="str">
        <f aca="false">IF($W233="","",INDEX(发票统计!F$4:F$1003,$W233)&amp;"")</f>
        <v/>
      </c>
      <c r="G233" s="68" t="str">
        <f aca="false">IF($W233="","",IF(INDEX(发票统计!G$4:G$1003,$W233)="","",INDEX(发票统计!G$4:G$1003,$W233)))</f>
        <v/>
      </c>
      <c r="H233" s="56" t="str">
        <f aca="false">IF($W233="","",N(INDEX(发票统计!H$4:H$1003,$W233)))</f>
        <v/>
      </c>
      <c r="I233" s="56" t="str">
        <f aca="false">IF($W233="","",N(INDEX(发票统计!I$4:I$1003,$W233)))</f>
        <v/>
      </c>
      <c r="J233" s="56" t="str">
        <f aca="false">IF($W233="","",N(INDEX(发票统计!J$4:J$1003,$W233)))</f>
        <v/>
      </c>
      <c r="K233" s="56" t="str">
        <f aca="false">IF($W233="","",N(INDEX(发票统计!K$4:K$1003,$W233)))</f>
        <v/>
      </c>
      <c r="L233" s="56" t="str">
        <f aca="false">IF($W233="","",SUM(J$4:J233)-SUM(K$4:K233))</f>
        <v/>
      </c>
      <c r="M233" s="56" t="str">
        <f aca="false">IF($W233="","",N(INDEX(发票统计!M$4:M$1003,$W233)))</f>
        <v/>
      </c>
      <c r="N233" s="56" t="str">
        <f aca="false">IF($W233="","",N(INDEX(发票统计!N$4:N$1003,$W233)))</f>
        <v/>
      </c>
      <c r="O233" s="56" t="str">
        <f aca="false">IF($W233="","",N(INDEX(发票统计!O$4:O$1003,$W233)))</f>
        <v/>
      </c>
      <c r="P233" s="56" t="str">
        <f aca="false">IF($W233="","",SUM(M$4:M233)-SUM(N$4:N233)-SUM(O$4:O233))</f>
        <v/>
      </c>
      <c r="Q233" s="56" t="str">
        <f aca="false">IF($W233="","",N(INDEX(发票统计!Q$4:Q$1003,$W233)))</f>
        <v/>
      </c>
      <c r="R233" s="56" t="str">
        <f aca="false">IF($W233="","",N(INDEX(发票统计!R$4:R$1003,$W233)))</f>
        <v/>
      </c>
      <c r="S233" s="56" t="str">
        <f aca="false">IF($W233="","",N(INDEX(发票统计!S$4:S$1003,$W233)))</f>
        <v/>
      </c>
      <c r="T233" s="56" t="str">
        <f aca="false">IF($W233="","",SUM(Q$4:Q233)-SUM(R$4:R233)-SUM(S$4:S233))</f>
        <v/>
      </c>
      <c r="U233" s="56" t="str">
        <f aca="false">IF($W233="","",INDEX(发票统计!U$4:U$1003,$W233)&amp;"")</f>
        <v/>
      </c>
      <c r="W233" s="1" t="str">
        <f aca="false">IF($V$3="","",IFERROR(MATCH($V$3&amp;"#"&amp;ROWS(W$4:W233),发票统计!$W$4:$W$1003,0),""))</f>
        <v/>
      </c>
    </row>
    <row r="234" customFormat="false" ht="16.5" hidden="false" customHeight="false" outlineLevel="0" collapsed="false">
      <c r="A234" s="56" t="str">
        <f aca="false">IF($W234="","",INDEX(发票统计!A$4:A$1003,$W234)&amp;"")</f>
        <v/>
      </c>
      <c r="B234" s="56" t="str">
        <f aca="false">IF($W234="","",INDEX(发票统计!B$4:B$1003,$W234)&amp;"")</f>
        <v/>
      </c>
      <c r="C234" s="56" t="str">
        <f aca="false">IF($W234="","",INDEX(发票统计!C$4:C$1003,$W234)&amp;"")</f>
        <v/>
      </c>
      <c r="D234" s="56" t="str">
        <f aca="false">IF($W234="","",INDEX(发票统计!D$4:D$1003,$W234)&amp;"")</f>
        <v/>
      </c>
      <c r="E234" s="56" t="str">
        <f aca="false">IF($W234="","",INDEX(发票统计!E$4:E$1003,$W234)&amp;"")</f>
        <v/>
      </c>
      <c r="F234" s="73" t="str">
        <f aca="false">IF($W234="","",INDEX(发票统计!F$4:F$1003,$W234)&amp;"")</f>
        <v/>
      </c>
      <c r="G234" s="68" t="str">
        <f aca="false">IF($W234="","",IF(INDEX(发票统计!G$4:G$1003,$W234)="","",INDEX(发票统计!G$4:G$1003,$W234)))</f>
        <v/>
      </c>
      <c r="H234" s="56" t="str">
        <f aca="false">IF($W234="","",N(INDEX(发票统计!H$4:H$1003,$W234)))</f>
        <v/>
      </c>
      <c r="I234" s="56" t="str">
        <f aca="false">IF($W234="","",N(INDEX(发票统计!I$4:I$1003,$W234)))</f>
        <v/>
      </c>
      <c r="J234" s="56" t="str">
        <f aca="false">IF($W234="","",N(INDEX(发票统计!J$4:J$1003,$W234)))</f>
        <v/>
      </c>
      <c r="K234" s="56" t="str">
        <f aca="false">IF($W234="","",N(INDEX(发票统计!K$4:K$1003,$W234)))</f>
        <v/>
      </c>
      <c r="L234" s="56" t="str">
        <f aca="false">IF($W234="","",SUM(J$4:J234)-SUM(K$4:K234))</f>
        <v/>
      </c>
      <c r="M234" s="56" t="str">
        <f aca="false">IF($W234="","",N(INDEX(发票统计!M$4:M$1003,$W234)))</f>
        <v/>
      </c>
      <c r="N234" s="56" t="str">
        <f aca="false">IF($W234="","",N(INDEX(发票统计!N$4:N$1003,$W234)))</f>
        <v/>
      </c>
      <c r="O234" s="56" t="str">
        <f aca="false">IF($W234="","",N(INDEX(发票统计!O$4:O$1003,$W234)))</f>
        <v/>
      </c>
      <c r="P234" s="56" t="str">
        <f aca="false">IF($W234="","",SUM(M$4:M234)-SUM(N$4:N234)-SUM(O$4:O234))</f>
        <v/>
      </c>
      <c r="Q234" s="56" t="str">
        <f aca="false">IF($W234="","",N(INDEX(发票统计!Q$4:Q$1003,$W234)))</f>
        <v/>
      </c>
      <c r="R234" s="56" t="str">
        <f aca="false">IF($W234="","",N(INDEX(发票统计!R$4:R$1003,$W234)))</f>
        <v/>
      </c>
      <c r="S234" s="56" t="str">
        <f aca="false">IF($W234="","",N(INDEX(发票统计!S$4:S$1003,$W234)))</f>
        <v/>
      </c>
      <c r="T234" s="56" t="str">
        <f aca="false">IF($W234="","",SUM(Q$4:Q234)-SUM(R$4:R234)-SUM(S$4:S234))</f>
        <v/>
      </c>
      <c r="U234" s="56" t="str">
        <f aca="false">IF($W234="","",INDEX(发票统计!U$4:U$1003,$W234)&amp;"")</f>
        <v/>
      </c>
      <c r="W234" s="1" t="str">
        <f aca="false">IF($V$3="","",IFERROR(MATCH($V$3&amp;"#"&amp;ROWS(W$4:W234),发票统计!$W$4:$W$1003,0),""))</f>
        <v/>
      </c>
    </row>
    <row r="235" customFormat="false" ht="16.5" hidden="false" customHeight="false" outlineLevel="0" collapsed="false">
      <c r="A235" s="56" t="str">
        <f aca="false">IF($W235="","",INDEX(发票统计!A$4:A$1003,$W235)&amp;"")</f>
        <v/>
      </c>
      <c r="B235" s="56" t="str">
        <f aca="false">IF($W235="","",INDEX(发票统计!B$4:B$1003,$W235)&amp;"")</f>
        <v/>
      </c>
      <c r="C235" s="56" t="str">
        <f aca="false">IF($W235="","",INDEX(发票统计!C$4:C$1003,$W235)&amp;"")</f>
        <v/>
      </c>
      <c r="D235" s="56" t="str">
        <f aca="false">IF($W235="","",INDEX(发票统计!D$4:D$1003,$W235)&amp;"")</f>
        <v/>
      </c>
      <c r="E235" s="56" t="str">
        <f aca="false">IF($W235="","",INDEX(发票统计!E$4:E$1003,$W235)&amp;"")</f>
        <v/>
      </c>
      <c r="F235" s="73" t="str">
        <f aca="false">IF($W235="","",INDEX(发票统计!F$4:F$1003,$W235)&amp;"")</f>
        <v/>
      </c>
      <c r="G235" s="68" t="str">
        <f aca="false">IF($W235="","",IF(INDEX(发票统计!G$4:G$1003,$W235)="","",INDEX(发票统计!G$4:G$1003,$W235)))</f>
        <v/>
      </c>
      <c r="H235" s="56" t="str">
        <f aca="false">IF($W235="","",N(INDEX(发票统计!H$4:H$1003,$W235)))</f>
        <v/>
      </c>
      <c r="I235" s="56" t="str">
        <f aca="false">IF($W235="","",N(INDEX(发票统计!I$4:I$1003,$W235)))</f>
        <v/>
      </c>
      <c r="J235" s="56" t="str">
        <f aca="false">IF($W235="","",N(INDEX(发票统计!J$4:J$1003,$W235)))</f>
        <v/>
      </c>
      <c r="K235" s="56" t="str">
        <f aca="false">IF($W235="","",N(INDEX(发票统计!K$4:K$1003,$W235)))</f>
        <v/>
      </c>
      <c r="L235" s="56" t="str">
        <f aca="false">IF($W235="","",SUM(J$4:J235)-SUM(K$4:K235))</f>
        <v/>
      </c>
      <c r="M235" s="56" t="str">
        <f aca="false">IF($W235="","",N(INDEX(发票统计!M$4:M$1003,$W235)))</f>
        <v/>
      </c>
      <c r="N235" s="56" t="str">
        <f aca="false">IF($W235="","",N(INDEX(发票统计!N$4:N$1003,$W235)))</f>
        <v/>
      </c>
      <c r="O235" s="56" t="str">
        <f aca="false">IF($W235="","",N(INDEX(发票统计!O$4:O$1003,$W235)))</f>
        <v/>
      </c>
      <c r="P235" s="56" t="str">
        <f aca="false">IF($W235="","",SUM(M$4:M235)-SUM(N$4:N235)-SUM(O$4:O235))</f>
        <v/>
      </c>
      <c r="Q235" s="56" t="str">
        <f aca="false">IF($W235="","",N(INDEX(发票统计!Q$4:Q$1003,$W235)))</f>
        <v/>
      </c>
      <c r="R235" s="56" t="str">
        <f aca="false">IF($W235="","",N(INDEX(发票统计!R$4:R$1003,$W235)))</f>
        <v/>
      </c>
      <c r="S235" s="56" t="str">
        <f aca="false">IF($W235="","",N(INDEX(发票统计!S$4:S$1003,$W235)))</f>
        <v/>
      </c>
      <c r="T235" s="56" t="str">
        <f aca="false">IF($W235="","",SUM(Q$4:Q235)-SUM(R$4:R235)-SUM(S$4:S235))</f>
        <v/>
      </c>
      <c r="U235" s="56" t="str">
        <f aca="false">IF($W235="","",INDEX(发票统计!U$4:U$1003,$W235)&amp;"")</f>
        <v/>
      </c>
      <c r="W235" s="1" t="str">
        <f aca="false">IF($V$3="","",IFERROR(MATCH($V$3&amp;"#"&amp;ROWS(W$4:W235),发票统计!$W$4:$W$1003,0),""))</f>
        <v/>
      </c>
    </row>
    <row r="236" customFormat="false" ht="16.5" hidden="false" customHeight="false" outlineLevel="0" collapsed="false">
      <c r="A236" s="56" t="str">
        <f aca="false">IF($W236="","",INDEX(发票统计!A$4:A$1003,$W236)&amp;"")</f>
        <v/>
      </c>
      <c r="B236" s="56" t="str">
        <f aca="false">IF($W236="","",INDEX(发票统计!B$4:B$1003,$W236)&amp;"")</f>
        <v/>
      </c>
      <c r="C236" s="56" t="str">
        <f aca="false">IF($W236="","",INDEX(发票统计!C$4:C$1003,$W236)&amp;"")</f>
        <v/>
      </c>
      <c r="D236" s="56" t="str">
        <f aca="false">IF($W236="","",INDEX(发票统计!D$4:D$1003,$W236)&amp;"")</f>
        <v/>
      </c>
      <c r="E236" s="56" t="str">
        <f aca="false">IF($W236="","",INDEX(发票统计!E$4:E$1003,$W236)&amp;"")</f>
        <v/>
      </c>
      <c r="F236" s="73" t="str">
        <f aca="false">IF($W236="","",INDEX(发票统计!F$4:F$1003,$W236)&amp;"")</f>
        <v/>
      </c>
      <c r="G236" s="68" t="str">
        <f aca="false">IF($W236="","",IF(INDEX(发票统计!G$4:G$1003,$W236)="","",INDEX(发票统计!G$4:G$1003,$W236)))</f>
        <v/>
      </c>
      <c r="H236" s="56" t="str">
        <f aca="false">IF($W236="","",N(INDEX(发票统计!H$4:H$1003,$W236)))</f>
        <v/>
      </c>
      <c r="I236" s="56" t="str">
        <f aca="false">IF($W236="","",N(INDEX(发票统计!I$4:I$1003,$W236)))</f>
        <v/>
      </c>
      <c r="J236" s="56" t="str">
        <f aca="false">IF($W236="","",N(INDEX(发票统计!J$4:J$1003,$W236)))</f>
        <v/>
      </c>
      <c r="K236" s="56" t="str">
        <f aca="false">IF($W236="","",N(INDEX(发票统计!K$4:K$1003,$W236)))</f>
        <v/>
      </c>
      <c r="L236" s="56" t="str">
        <f aca="false">IF($W236="","",SUM(J$4:J236)-SUM(K$4:K236))</f>
        <v/>
      </c>
      <c r="M236" s="56" t="str">
        <f aca="false">IF($W236="","",N(INDEX(发票统计!M$4:M$1003,$W236)))</f>
        <v/>
      </c>
      <c r="N236" s="56" t="str">
        <f aca="false">IF($W236="","",N(INDEX(发票统计!N$4:N$1003,$W236)))</f>
        <v/>
      </c>
      <c r="O236" s="56" t="str">
        <f aca="false">IF($W236="","",N(INDEX(发票统计!O$4:O$1003,$W236)))</f>
        <v/>
      </c>
      <c r="P236" s="56" t="str">
        <f aca="false">IF($W236="","",SUM(M$4:M236)-SUM(N$4:N236)-SUM(O$4:O236))</f>
        <v/>
      </c>
      <c r="Q236" s="56" t="str">
        <f aca="false">IF($W236="","",N(INDEX(发票统计!Q$4:Q$1003,$W236)))</f>
        <v/>
      </c>
      <c r="R236" s="56" t="str">
        <f aca="false">IF($W236="","",N(INDEX(发票统计!R$4:R$1003,$W236)))</f>
        <v/>
      </c>
      <c r="S236" s="56" t="str">
        <f aca="false">IF($W236="","",N(INDEX(发票统计!S$4:S$1003,$W236)))</f>
        <v/>
      </c>
      <c r="T236" s="56" t="str">
        <f aca="false">IF($W236="","",SUM(Q$4:Q236)-SUM(R$4:R236)-SUM(S$4:S236))</f>
        <v/>
      </c>
      <c r="U236" s="56" t="str">
        <f aca="false">IF($W236="","",INDEX(发票统计!U$4:U$1003,$W236)&amp;"")</f>
        <v/>
      </c>
      <c r="W236" s="1" t="str">
        <f aca="false">IF($V$3="","",IFERROR(MATCH($V$3&amp;"#"&amp;ROWS(W$4:W236),发票统计!$W$4:$W$1003,0),""))</f>
        <v/>
      </c>
    </row>
    <row r="237" customFormat="false" ht="16.5" hidden="false" customHeight="false" outlineLevel="0" collapsed="false">
      <c r="A237" s="56" t="str">
        <f aca="false">IF($W237="","",INDEX(发票统计!A$4:A$1003,$W237)&amp;"")</f>
        <v/>
      </c>
      <c r="B237" s="56" t="str">
        <f aca="false">IF($W237="","",INDEX(发票统计!B$4:B$1003,$W237)&amp;"")</f>
        <v/>
      </c>
      <c r="C237" s="56" t="str">
        <f aca="false">IF($W237="","",INDEX(发票统计!C$4:C$1003,$W237)&amp;"")</f>
        <v/>
      </c>
      <c r="D237" s="56" t="str">
        <f aca="false">IF($W237="","",INDEX(发票统计!D$4:D$1003,$W237)&amp;"")</f>
        <v/>
      </c>
      <c r="E237" s="56" t="str">
        <f aca="false">IF($W237="","",INDEX(发票统计!E$4:E$1003,$W237)&amp;"")</f>
        <v/>
      </c>
      <c r="F237" s="73" t="str">
        <f aca="false">IF($W237="","",INDEX(发票统计!F$4:F$1003,$W237)&amp;"")</f>
        <v/>
      </c>
      <c r="G237" s="68" t="str">
        <f aca="false">IF($W237="","",IF(INDEX(发票统计!G$4:G$1003,$W237)="","",INDEX(发票统计!G$4:G$1003,$W237)))</f>
        <v/>
      </c>
      <c r="H237" s="56" t="str">
        <f aca="false">IF($W237="","",N(INDEX(发票统计!H$4:H$1003,$W237)))</f>
        <v/>
      </c>
      <c r="I237" s="56" t="str">
        <f aca="false">IF($W237="","",N(INDEX(发票统计!I$4:I$1003,$W237)))</f>
        <v/>
      </c>
      <c r="J237" s="56" t="str">
        <f aca="false">IF($W237="","",N(INDEX(发票统计!J$4:J$1003,$W237)))</f>
        <v/>
      </c>
      <c r="K237" s="56" t="str">
        <f aca="false">IF($W237="","",N(INDEX(发票统计!K$4:K$1003,$W237)))</f>
        <v/>
      </c>
      <c r="L237" s="56" t="str">
        <f aca="false">IF($W237="","",SUM(J$4:J237)-SUM(K$4:K237))</f>
        <v/>
      </c>
      <c r="M237" s="56" t="str">
        <f aca="false">IF($W237="","",N(INDEX(发票统计!M$4:M$1003,$W237)))</f>
        <v/>
      </c>
      <c r="N237" s="56" t="str">
        <f aca="false">IF($W237="","",N(INDEX(发票统计!N$4:N$1003,$W237)))</f>
        <v/>
      </c>
      <c r="O237" s="56" t="str">
        <f aca="false">IF($W237="","",N(INDEX(发票统计!O$4:O$1003,$W237)))</f>
        <v/>
      </c>
      <c r="P237" s="56" t="str">
        <f aca="false">IF($W237="","",SUM(M$4:M237)-SUM(N$4:N237)-SUM(O$4:O237))</f>
        <v/>
      </c>
      <c r="Q237" s="56" t="str">
        <f aca="false">IF($W237="","",N(INDEX(发票统计!Q$4:Q$1003,$W237)))</f>
        <v/>
      </c>
      <c r="R237" s="56" t="str">
        <f aca="false">IF($W237="","",N(INDEX(发票统计!R$4:R$1003,$W237)))</f>
        <v/>
      </c>
      <c r="S237" s="56" t="str">
        <f aca="false">IF($W237="","",N(INDEX(发票统计!S$4:S$1003,$W237)))</f>
        <v/>
      </c>
      <c r="T237" s="56" t="str">
        <f aca="false">IF($W237="","",SUM(Q$4:Q237)-SUM(R$4:R237)-SUM(S$4:S237))</f>
        <v/>
      </c>
      <c r="U237" s="56" t="str">
        <f aca="false">IF($W237="","",INDEX(发票统计!U$4:U$1003,$W237)&amp;"")</f>
        <v/>
      </c>
      <c r="W237" s="1" t="str">
        <f aca="false">IF($V$3="","",IFERROR(MATCH($V$3&amp;"#"&amp;ROWS(W$4:W237),发票统计!$W$4:$W$1003,0),""))</f>
        <v/>
      </c>
    </row>
    <row r="238" customFormat="false" ht="16.5" hidden="false" customHeight="false" outlineLevel="0" collapsed="false">
      <c r="A238" s="56" t="str">
        <f aca="false">IF($W238="","",INDEX(发票统计!A$4:A$1003,$W238)&amp;"")</f>
        <v/>
      </c>
      <c r="B238" s="56" t="str">
        <f aca="false">IF($W238="","",INDEX(发票统计!B$4:B$1003,$W238)&amp;"")</f>
        <v/>
      </c>
      <c r="C238" s="56" t="str">
        <f aca="false">IF($W238="","",INDEX(发票统计!C$4:C$1003,$W238)&amp;"")</f>
        <v/>
      </c>
      <c r="D238" s="56" t="str">
        <f aca="false">IF($W238="","",INDEX(发票统计!D$4:D$1003,$W238)&amp;"")</f>
        <v/>
      </c>
      <c r="E238" s="56" t="str">
        <f aca="false">IF($W238="","",INDEX(发票统计!E$4:E$1003,$W238)&amp;"")</f>
        <v/>
      </c>
      <c r="F238" s="73" t="str">
        <f aca="false">IF($W238="","",INDEX(发票统计!F$4:F$1003,$W238)&amp;"")</f>
        <v/>
      </c>
      <c r="G238" s="68" t="str">
        <f aca="false">IF($W238="","",IF(INDEX(发票统计!G$4:G$1003,$W238)="","",INDEX(发票统计!G$4:G$1003,$W238)))</f>
        <v/>
      </c>
      <c r="H238" s="56" t="str">
        <f aca="false">IF($W238="","",N(INDEX(发票统计!H$4:H$1003,$W238)))</f>
        <v/>
      </c>
      <c r="I238" s="56" t="str">
        <f aca="false">IF($W238="","",N(INDEX(发票统计!I$4:I$1003,$W238)))</f>
        <v/>
      </c>
      <c r="J238" s="56" t="str">
        <f aca="false">IF($W238="","",N(INDEX(发票统计!J$4:J$1003,$W238)))</f>
        <v/>
      </c>
      <c r="K238" s="56" t="str">
        <f aca="false">IF($W238="","",N(INDEX(发票统计!K$4:K$1003,$W238)))</f>
        <v/>
      </c>
      <c r="L238" s="56" t="str">
        <f aca="false">IF($W238="","",SUM(J$4:J238)-SUM(K$4:K238))</f>
        <v/>
      </c>
      <c r="M238" s="56" t="str">
        <f aca="false">IF($W238="","",N(INDEX(发票统计!M$4:M$1003,$W238)))</f>
        <v/>
      </c>
      <c r="N238" s="56" t="str">
        <f aca="false">IF($W238="","",N(INDEX(发票统计!N$4:N$1003,$W238)))</f>
        <v/>
      </c>
      <c r="O238" s="56" t="str">
        <f aca="false">IF($W238="","",N(INDEX(发票统计!O$4:O$1003,$W238)))</f>
        <v/>
      </c>
      <c r="P238" s="56" t="str">
        <f aca="false">IF($W238="","",SUM(M$4:M238)-SUM(N$4:N238)-SUM(O$4:O238))</f>
        <v/>
      </c>
      <c r="Q238" s="56" t="str">
        <f aca="false">IF($W238="","",N(INDEX(发票统计!Q$4:Q$1003,$W238)))</f>
        <v/>
      </c>
      <c r="R238" s="56" t="str">
        <f aca="false">IF($W238="","",N(INDEX(发票统计!R$4:R$1003,$W238)))</f>
        <v/>
      </c>
      <c r="S238" s="56" t="str">
        <f aca="false">IF($W238="","",N(INDEX(发票统计!S$4:S$1003,$W238)))</f>
        <v/>
      </c>
      <c r="T238" s="56" t="str">
        <f aca="false">IF($W238="","",SUM(Q$4:Q238)-SUM(R$4:R238)-SUM(S$4:S238))</f>
        <v/>
      </c>
      <c r="U238" s="56" t="str">
        <f aca="false">IF($W238="","",INDEX(发票统计!U$4:U$1003,$W238)&amp;"")</f>
        <v/>
      </c>
      <c r="W238" s="1" t="str">
        <f aca="false">IF($V$3="","",IFERROR(MATCH($V$3&amp;"#"&amp;ROWS(W$4:W238),发票统计!$W$4:$W$1003,0),""))</f>
        <v/>
      </c>
    </row>
    <row r="239" customFormat="false" ht="16.5" hidden="false" customHeight="false" outlineLevel="0" collapsed="false">
      <c r="A239" s="56" t="str">
        <f aca="false">IF($W239="","",INDEX(发票统计!A$4:A$1003,$W239)&amp;"")</f>
        <v/>
      </c>
      <c r="B239" s="56" t="str">
        <f aca="false">IF($W239="","",INDEX(发票统计!B$4:B$1003,$W239)&amp;"")</f>
        <v/>
      </c>
      <c r="C239" s="56" t="str">
        <f aca="false">IF($W239="","",INDEX(发票统计!C$4:C$1003,$W239)&amp;"")</f>
        <v/>
      </c>
      <c r="D239" s="56" t="str">
        <f aca="false">IF($W239="","",INDEX(发票统计!D$4:D$1003,$W239)&amp;"")</f>
        <v/>
      </c>
      <c r="E239" s="56" t="str">
        <f aca="false">IF($W239="","",INDEX(发票统计!E$4:E$1003,$W239)&amp;"")</f>
        <v/>
      </c>
      <c r="F239" s="73" t="str">
        <f aca="false">IF($W239="","",INDEX(发票统计!F$4:F$1003,$W239)&amp;"")</f>
        <v/>
      </c>
      <c r="G239" s="68" t="str">
        <f aca="false">IF($W239="","",IF(INDEX(发票统计!G$4:G$1003,$W239)="","",INDEX(发票统计!G$4:G$1003,$W239)))</f>
        <v/>
      </c>
      <c r="H239" s="56" t="str">
        <f aca="false">IF($W239="","",N(INDEX(发票统计!H$4:H$1003,$W239)))</f>
        <v/>
      </c>
      <c r="I239" s="56" t="str">
        <f aca="false">IF($W239="","",N(INDEX(发票统计!I$4:I$1003,$W239)))</f>
        <v/>
      </c>
      <c r="J239" s="56" t="str">
        <f aca="false">IF($W239="","",N(INDEX(发票统计!J$4:J$1003,$W239)))</f>
        <v/>
      </c>
      <c r="K239" s="56" t="str">
        <f aca="false">IF($W239="","",N(INDEX(发票统计!K$4:K$1003,$W239)))</f>
        <v/>
      </c>
      <c r="L239" s="56" t="str">
        <f aca="false">IF($W239="","",SUM(J$4:J239)-SUM(K$4:K239))</f>
        <v/>
      </c>
      <c r="M239" s="56" t="str">
        <f aca="false">IF($W239="","",N(INDEX(发票统计!M$4:M$1003,$W239)))</f>
        <v/>
      </c>
      <c r="N239" s="56" t="str">
        <f aca="false">IF($W239="","",N(INDEX(发票统计!N$4:N$1003,$W239)))</f>
        <v/>
      </c>
      <c r="O239" s="56" t="str">
        <f aca="false">IF($W239="","",N(INDEX(发票统计!O$4:O$1003,$W239)))</f>
        <v/>
      </c>
      <c r="P239" s="56" t="str">
        <f aca="false">IF($W239="","",SUM(M$4:M239)-SUM(N$4:N239)-SUM(O$4:O239))</f>
        <v/>
      </c>
      <c r="Q239" s="56" t="str">
        <f aca="false">IF($W239="","",N(INDEX(发票统计!Q$4:Q$1003,$W239)))</f>
        <v/>
      </c>
      <c r="R239" s="56" t="str">
        <f aca="false">IF($W239="","",N(INDEX(发票统计!R$4:R$1003,$W239)))</f>
        <v/>
      </c>
      <c r="S239" s="56" t="str">
        <f aca="false">IF($W239="","",N(INDEX(发票统计!S$4:S$1003,$W239)))</f>
        <v/>
      </c>
      <c r="T239" s="56" t="str">
        <f aca="false">IF($W239="","",SUM(Q$4:Q239)-SUM(R$4:R239)-SUM(S$4:S239))</f>
        <v/>
      </c>
      <c r="U239" s="56" t="str">
        <f aca="false">IF($W239="","",INDEX(发票统计!U$4:U$1003,$W239)&amp;"")</f>
        <v/>
      </c>
      <c r="W239" s="1" t="str">
        <f aca="false">IF($V$3="","",IFERROR(MATCH($V$3&amp;"#"&amp;ROWS(W$4:W239),发票统计!$W$4:$W$1003,0),""))</f>
        <v/>
      </c>
    </row>
    <row r="240" customFormat="false" ht="16.5" hidden="false" customHeight="false" outlineLevel="0" collapsed="false">
      <c r="A240" s="56" t="str">
        <f aca="false">IF($W240="","",INDEX(发票统计!A$4:A$1003,$W240)&amp;"")</f>
        <v/>
      </c>
      <c r="B240" s="56" t="str">
        <f aca="false">IF($W240="","",INDEX(发票统计!B$4:B$1003,$W240)&amp;"")</f>
        <v/>
      </c>
      <c r="C240" s="56" t="str">
        <f aca="false">IF($W240="","",INDEX(发票统计!C$4:C$1003,$W240)&amp;"")</f>
        <v/>
      </c>
      <c r="D240" s="56" t="str">
        <f aca="false">IF($W240="","",INDEX(发票统计!D$4:D$1003,$W240)&amp;"")</f>
        <v/>
      </c>
      <c r="E240" s="56" t="str">
        <f aca="false">IF($W240="","",INDEX(发票统计!E$4:E$1003,$W240)&amp;"")</f>
        <v/>
      </c>
      <c r="F240" s="73" t="str">
        <f aca="false">IF($W240="","",INDEX(发票统计!F$4:F$1003,$W240)&amp;"")</f>
        <v/>
      </c>
      <c r="G240" s="68" t="str">
        <f aca="false">IF($W240="","",IF(INDEX(发票统计!G$4:G$1003,$W240)="","",INDEX(发票统计!G$4:G$1003,$W240)))</f>
        <v/>
      </c>
      <c r="H240" s="56" t="str">
        <f aca="false">IF($W240="","",N(INDEX(发票统计!H$4:H$1003,$W240)))</f>
        <v/>
      </c>
      <c r="I240" s="56" t="str">
        <f aca="false">IF($W240="","",N(INDEX(发票统计!I$4:I$1003,$W240)))</f>
        <v/>
      </c>
      <c r="J240" s="56" t="str">
        <f aca="false">IF($W240="","",N(INDEX(发票统计!J$4:J$1003,$W240)))</f>
        <v/>
      </c>
      <c r="K240" s="56" t="str">
        <f aca="false">IF($W240="","",N(INDEX(发票统计!K$4:K$1003,$W240)))</f>
        <v/>
      </c>
      <c r="L240" s="56" t="str">
        <f aca="false">IF($W240="","",SUM(J$4:J240)-SUM(K$4:K240))</f>
        <v/>
      </c>
      <c r="M240" s="56" t="str">
        <f aca="false">IF($W240="","",N(INDEX(发票统计!M$4:M$1003,$W240)))</f>
        <v/>
      </c>
      <c r="N240" s="56" t="str">
        <f aca="false">IF($W240="","",N(INDEX(发票统计!N$4:N$1003,$W240)))</f>
        <v/>
      </c>
      <c r="O240" s="56" t="str">
        <f aca="false">IF($W240="","",N(INDEX(发票统计!O$4:O$1003,$W240)))</f>
        <v/>
      </c>
      <c r="P240" s="56" t="str">
        <f aca="false">IF($W240="","",SUM(M$4:M240)-SUM(N$4:N240)-SUM(O$4:O240))</f>
        <v/>
      </c>
      <c r="Q240" s="56" t="str">
        <f aca="false">IF($W240="","",N(INDEX(发票统计!Q$4:Q$1003,$W240)))</f>
        <v/>
      </c>
      <c r="R240" s="56" t="str">
        <f aca="false">IF($W240="","",N(INDEX(发票统计!R$4:R$1003,$W240)))</f>
        <v/>
      </c>
      <c r="S240" s="56" t="str">
        <f aca="false">IF($W240="","",N(INDEX(发票统计!S$4:S$1003,$W240)))</f>
        <v/>
      </c>
      <c r="T240" s="56" t="str">
        <f aca="false">IF($W240="","",SUM(Q$4:Q240)-SUM(R$4:R240)-SUM(S$4:S240))</f>
        <v/>
      </c>
      <c r="U240" s="56" t="str">
        <f aca="false">IF($W240="","",INDEX(发票统计!U$4:U$1003,$W240)&amp;"")</f>
        <v/>
      </c>
      <c r="W240" s="1" t="str">
        <f aca="false">IF($V$3="","",IFERROR(MATCH($V$3&amp;"#"&amp;ROWS(W$4:W240),发票统计!$W$4:$W$1003,0),""))</f>
        <v/>
      </c>
    </row>
    <row r="241" customFormat="false" ht="16.5" hidden="false" customHeight="false" outlineLevel="0" collapsed="false">
      <c r="A241" s="56" t="str">
        <f aca="false">IF($W241="","",INDEX(发票统计!A$4:A$1003,$W241)&amp;"")</f>
        <v/>
      </c>
      <c r="B241" s="56" t="str">
        <f aca="false">IF($W241="","",INDEX(发票统计!B$4:B$1003,$W241)&amp;"")</f>
        <v/>
      </c>
      <c r="C241" s="56" t="str">
        <f aca="false">IF($W241="","",INDEX(发票统计!C$4:C$1003,$W241)&amp;"")</f>
        <v/>
      </c>
      <c r="D241" s="56" t="str">
        <f aca="false">IF($W241="","",INDEX(发票统计!D$4:D$1003,$W241)&amp;"")</f>
        <v/>
      </c>
      <c r="E241" s="56" t="str">
        <f aca="false">IF($W241="","",INDEX(发票统计!E$4:E$1003,$W241)&amp;"")</f>
        <v/>
      </c>
      <c r="F241" s="73" t="str">
        <f aca="false">IF($W241="","",INDEX(发票统计!F$4:F$1003,$W241)&amp;"")</f>
        <v/>
      </c>
      <c r="G241" s="68" t="str">
        <f aca="false">IF($W241="","",IF(INDEX(发票统计!G$4:G$1003,$W241)="","",INDEX(发票统计!G$4:G$1003,$W241)))</f>
        <v/>
      </c>
      <c r="H241" s="56" t="str">
        <f aca="false">IF($W241="","",N(INDEX(发票统计!H$4:H$1003,$W241)))</f>
        <v/>
      </c>
      <c r="I241" s="56" t="str">
        <f aca="false">IF($W241="","",N(INDEX(发票统计!I$4:I$1003,$W241)))</f>
        <v/>
      </c>
      <c r="J241" s="56" t="str">
        <f aca="false">IF($W241="","",N(INDEX(发票统计!J$4:J$1003,$W241)))</f>
        <v/>
      </c>
      <c r="K241" s="56" t="str">
        <f aca="false">IF($W241="","",N(INDEX(发票统计!K$4:K$1003,$W241)))</f>
        <v/>
      </c>
      <c r="L241" s="56" t="str">
        <f aca="false">IF($W241="","",SUM(J$4:J241)-SUM(K$4:K241))</f>
        <v/>
      </c>
      <c r="M241" s="56" t="str">
        <f aca="false">IF($W241="","",N(INDEX(发票统计!M$4:M$1003,$W241)))</f>
        <v/>
      </c>
      <c r="N241" s="56" t="str">
        <f aca="false">IF($W241="","",N(INDEX(发票统计!N$4:N$1003,$W241)))</f>
        <v/>
      </c>
      <c r="O241" s="56" t="str">
        <f aca="false">IF($W241="","",N(INDEX(发票统计!O$4:O$1003,$W241)))</f>
        <v/>
      </c>
      <c r="P241" s="56" t="str">
        <f aca="false">IF($W241="","",SUM(M$4:M241)-SUM(N$4:N241)-SUM(O$4:O241))</f>
        <v/>
      </c>
      <c r="Q241" s="56" t="str">
        <f aca="false">IF($W241="","",N(INDEX(发票统计!Q$4:Q$1003,$W241)))</f>
        <v/>
      </c>
      <c r="R241" s="56" t="str">
        <f aca="false">IF($W241="","",N(INDEX(发票统计!R$4:R$1003,$W241)))</f>
        <v/>
      </c>
      <c r="S241" s="56" t="str">
        <f aca="false">IF($W241="","",N(INDEX(发票统计!S$4:S$1003,$W241)))</f>
        <v/>
      </c>
      <c r="T241" s="56" t="str">
        <f aca="false">IF($W241="","",SUM(Q$4:Q241)-SUM(R$4:R241)-SUM(S$4:S241))</f>
        <v/>
      </c>
      <c r="U241" s="56" t="str">
        <f aca="false">IF($W241="","",INDEX(发票统计!U$4:U$1003,$W241)&amp;"")</f>
        <v/>
      </c>
      <c r="W241" s="1" t="str">
        <f aca="false">IF($V$3="","",IFERROR(MATCH($V$3&amp;"#"&amp;ROWS(W$4:W241),发票统计!$W$4:$W$1003,0),""))</f>
        <v/>
      </c>
    </row>
    <row r="242" customFormat="false" ht="16.5" hidden="false" customHeight="false" outlineLevel="0" collapsed="false">
      <c r="A242" s="56" t="str">
        <f aca="false">IF($W242="","",INDEX(发票统计!A$4:A$1003,$W242)&amp;"")</f>
        <v/>
      </c>
      <c r="B242" s="56" t="str">
        <f aca="false">IF($W242="","",INDEX(发票统计!B$4:B$1003,$W242)&amp;"")</f>
        <v/>
      </c>
      <c r="C242" s="56" t="str">
        <f aca="false">IF($W242="","",INDEX(发票统计!C$4:C$1003,$W242)&amp;"")</f>
        <v/>
      </c>
      <c r="D242" s="56" t="str">
        <f aca="false">IF($W242="","",INDEX(发票统计!D$4:D$1003,$W242)&amp;"")</f>
        <v/>
      </c>
      <c r="E242" s="56" t="str">
        <f aca="false">IF($W242="","",INDEX(发票统计!E$4:E$1003,$W242)&amp;"")</f>
        <v/>
      </c>
      <c r="F242" s="73" t="str">
        <f aca="false">IF($W242="","",INDEX(发票统计!F$4:F$1003,$W242)&amp;"")</f>
        <v/>
      </c>
      <c r="G242" s="68" t="str">
        <f aca="false">IF($W242="","",IF(INDEX(发票统计!G$4:G$1003,$W242)="","",INDEX(发票统计!G$4:G$1003,$W242)))</f>
        <v/>
      </c>
      <c r="H242" s="56" t="str">
        <f aca="false">IF($W242="","",N(INDEX(发票统计!H$4:H$1003,$W242)))</f>
        <v/>
      </c>
      <c r="I242" s="56" t="str">
        <f aca="false">IF($W242="","",N(INDEX(发票统计!I$4:I$1003,$W242)))</f>
        <v/>
      </c>
      <c r="J242" s="56" t="str">
        <f aca="false">IF($W242="","",N(INDEX(发票统计!J$4:J$1003,$W242)))</f>
        <v/>
      </c>
      <c r="K242" s="56" t="str">
        <f aca="false">IF($W242="","",N(INDEX(发票统计!K$4:K$1003,$W242)))</f>
        <v/>
      </c>
      <c r="L242" s="56" t="str">
        <f aca="false">IF($W242="","",SUM(J$4:J242)-SUM(K$4:K242))</f>
        <v/>
      </c>
      <c r="M242" s="56" t="str">
        <f aca="false">IF($W242="","",N(INDEX(发票统计!M$4:M$1003,$W242)))</f>
        <v/>
      </c>
      <c r="N242" s="56" t="str">
        <f aca="false">IF($W242="","",N(INDEX(发票统计!N$4:N$1003,$W242)))</f>
        <v/>
      </c>
      <c r="O242" s="56" t="str">
        <f aca="false">IF($W242="","",N(INDEX(发票统计!O$4:O$1003,$W242)))</f>
        <v/>
      </c>
      <c r="P242" s="56" t="str">
        <f aca="false">IF($W242="","",SUM(M$4:M242)-SUM(N$4:N242)-SUM(O$4:O242))</f>
        <v/>
      </c>
      <c r="Q242" s="56" t="str">
        <f aca="false">IF($W242="","",N(INDEX(发票统计!Q$4:Q$1003,$W242)))</f>
        <v/>
      </c>
      <c r="R242" s="56" t="str">
        <f aca="false">IF($W242="","",N(INDEX(发票统计!R$4:R$1003,$W242)))</f>
        <v/>
      </c>
      <c r="S242" s="56" t="str">
        <f aca="false">IF($W242="","",N(INDEX(发票统计!S$4:S$1003,$W242)))</f>
        <v/>
      </c>
      <c r="T242" s="56" t="str">
        <f aca="false">IF($W242="","",SUM(Q$4:Q242)-SUM(R$4:R242)-SUM(S$4:S242))</f>
        <v/>
      </c>
      <c r="U242" s="56" t="str">
        <f aca="false">IF($W242="","",INDEX(发票统计!U$4:U$1003,$W242)&amp;"")</f>
        <v/>
      </c>
      <c r="W242" s="1" t="str">
        <f aca="false">IF($V$3="","",IFERROR(MATCH($V$3&amp;"#"&amp;ROWS(W$4:W242),发票统计!$W$4:$W$1003,0),""))</f>
        <v/>
      </c>
    </row>
    <row r="243" customFormat="false" ht="16.5" hidden="false" customHeight="false" outlineLevel="0" collapsed="false">
      <c r="A243" s="56" t="str">
        <f aca="false">IF($W243="","",INDEX(发票统计!A$4:A$1003,$W243)&amp;"")</f>
        <v/>
      </c>
      <c r="B243" s="56" t="str">
        <f aca="false">IF($W243="","",INDEX(发票统计!B$4:B$1003,$W243)&amp;"")</f>
        <v/>
      </c>
      <c r="C243" s="56" t="str">
        <f aca="false">IF($W243="","",INDEX(发票统计!C$4:C$1003,$W243)&amp;"")</f>
        <v/>
      </c>
      <c r="D243" s="56" t="str">
        <f aca="false">IF($W243="","",INDEX(发票统计!D$4:D$1003,$W243)&amp;"")</f>
        <v/>
      </c>
      <c r="E243" s="56" t="str">
        <f aca="false">IF($W243="","",INDEX(发票统计!E$4:E$1003,$W243)&amp;"")</f>
        <v/>
      </c>
      <c r="F243" s="73" t="str">
        <f aca="false">IF($W243="","",INDEX(发票统计!F$4:F$1003,$W243)&amp;"")</f>
        <v/>
      </c>
      <c r="G243" s="68" t="str">
        <f aca="false">IF($W243="","",IF(INDEX(发票统计!G$4:G$1003,$W243)="","",INDEX(发票统计!G$4:G$1003,$W243)))</f>
        <v/>
      </c>
      <c r="H243" s="56" t="str">
        <f aca="false">IF($W243="","",N(INDEX(发票统计!H$4:H$1003,$W243)))</f>
        <v/>
      </c>
      <c r="I243" s="56" t="str">
        <f aca="false">IF($W243="","",N(INDEX(发票统计!I$4:I$1003,$W243)))</f>
        <v/>
      </c>
      <c r="J243" s="56" t="str">
        <f aca="false">IF($W243="","",N(INDEX(发票统计!J$4:J$1003,$W243)))</f>
        <v/>
      </c>
      <c r="K243" s="56" t="str">
        <f aca="false">IF($W243="","",N(INDEX(发票统计!K$4:K$1003,$W243)))</f>
        <v/>
      </c>
      <c r="L243" s="56" t="str">
        <f aca="false">IF($W243="","",SUM(J$4:J243)-SUM(K$4:K243))</f>
        <v/>
      </c>
      <c r="M243" s="56" t="str">
        <f aca="false">IF($W243="","",N(INDEX(发票统计!M$4:M$1003,$W243)))</f>
        <v/>
      </c>
      <c r="N243" s="56" t="str">
        <f aca="false">IF($W243="","",N(INDEX(发票统计!N$4:N$1003,$W243)))</f>
        <v/>
      </c>
      <c r="O243" s="56" t="str">
        <f aca="false">IF($W243="","",N(INDEX(发票统计!O$4:O$1003,$W243)))</f>
        <v/>
      </c>
      <c r="P243" s="56" t="str">
        <f aca="false">IF($W243="","",SUM(M$4:M243)-SUM(N$4:N243)-SUM(O$4:O243))</f>
        <v/>
      </c>
      <c r="Q243" s="56" t="str">
        <f aca="false">IF($W243="","",N(INDEX(发票统计!Q$4:Q$1003,$W243)))</f>
        <v/>
      </c>
      <c r="R243" s="56" t="str">
        <f aca="false">IF($W243="","",N(INDEX(发票统计!R$4:R$1003,$W243)))</f>
        <v/>
      </c>
      <c r="S243" s="56" t="str">
        <f aca="false">IF($W243="","",N(INDEX(发票统计!S$4:S$1003,$W243)))</f>
        <v/>
      </c>
      <c r="T243" s="56" t="str">
        <f aca="false">IF($W243="","",SUM(Q$4:Q243)-SUM(R$4:R243)-SUM(S$4:S243))</f>
        <v/>
      </c>
      <c r="U243" s="56" t="str">
        <f aca="false">IF($W243="","",INDEX(发票统计!U$4:U$1003,$W243)&amp;"")</f>
        <v/>
      </c>
      <c r="W243" s="1" t="str">
        <f aca="false">IF($V$3="","",IFERROR(MATCH($V$3&amp;"#"&amp;ROWS(W$4:W243),发票统计!$W$4:$W$1003,0),""))</f>
        <v/>
      </c>
    </row>
    <row r="244" customFormat="false" ht="16.5" hidden="false" customHeight="false" outlineLevel="0" collapsed="false">
      <c r="A244" s="56" t="str">
        <f aca="false">IF($W244="","",INDEX(发票统计!A$4:A$1003,$W244)&amp;"")</f>
        <v/>
      </c>
      <c r="B244" s="56" t="str">
        <f aca="false">IF($W244="","",INDEX(发票统计!B$4:B$1003,$W244)&amp;"")</f>
        <v/>
      </c>
      <c r="C244" s="56" t="str">
        <f aca="false">IF($W244="","",INDEX(发票统计!C$4:C$1003,$W244)&amp;"")</f>
        <v/>
      </c>
      <c r="D244" s="56" t="str">
        <f aca="false">IF($W244="","",INDEX(发票统计!D$4:D$1003,$W244)&amp;"")</f>
        <v/>
      </c>
      <c r="E244" s="56" t="str">
        <f aca="false">IF($W244="","",INDEX(发票统计!E$4:E$1003,$W244)&amp;"")</f>
        <v/>
      </c>
      <c r="F244" s="73" t="str">
        <f aca="false">IF($W244="","",INDEX(发票统计!F$4:F$1003,$W244)&amp;"")</f>
        <v/>
      </c>
      <c r="G244" s="68" t="str">
        <f aca="false">IF($W244="","",IF(INDEX(发票统计!G$4:G$1003,$W244)="","",INDEX(发票统计!G$4:G$1003,$W244)))</f>
        <v/>
      </c>
      <c r="H244" s="56" t="str">
        <f aca="false">IF($W244="","",N(INDEX(发票统计!H$4:H$1003,$W244)))</f>
        <v/>
      </c>
      <c r="I244" s="56" t="str">
        <f aca="false">IF($W244="","",N(INDEX(发票统计!I$4:I$1003,$W244)))</f>
        <v/>
      </c>
      <c r="J244" s="56" t="str">
        <f aca="false">IF($W244="","",N(INDEX(发票统计!J$4:J$1003,$W244)))</f>
        <v/>
      </c>
      <c r="K244" s="56" t="str">
        <f aca="false">IF($W244="","",N(INDEX(发票统计!K$4:K$1003,$W244)))</f>
        <v/>
      </c>
      <c r="L244" s="56" t="str">
        <f aca="false">IF($W244="","",SUM(J$4:J244)-SUM(K$4:K244))</f>
        <v/>
      </c>
      <c r="M244" s="56" t="str">
        <f aca="false">IF($W244="","",N(INDEX(发票统计!M$4:M$1003,$W244)))</f>
        <v/>
      </c>
      <c r="N244" s="56" t="str">
        <f aca="false">IF($W244="","",N(INDEX(发票统计!N$4:N$1003,$W244)))</f>
        <v/>
      </c>
      <c r="O244" s="56" t="str">
        <f aca="false">IF($W244="","",N(INDEX(发票统计!O$4:O$1003,$W244)))</f>
        <v/>
      </c>
      <c r="P244" s="56" t="str">
        <f aca="false">IF($W244="","",SUM(M$4:M244)-SUM(N$4:N244)-SUM(O$4:O244))</f>
        <v/>
      </c>
      <c r="Q244" s="56" t="str">
        <f aca="false">IF($W244="","",N(INDEX(发票统计!Q$4:Q$1003,$W244)))</f>
        <v/>
      </c>
      <c r="R244" s="56" t="str">
        <f aca="false">IF($W244="","",N(INDEX(发票统计!R$4:R$1003,$W244)))</f>
        <v/>
      </c>
      <c r="S244" s="56" t="str">
        <f aca="false">IF($W244="","",N(INDEX(发票统计!S$4:S$1003,$W244)))</f>
        <v/>
      </c>
      <c r="T244" s="56" t="str">
        <f aca="false">IF($W244="","",SUM(Q$4:Q244)-SUM(R$4:R244)-SUM(S$4:S244))</f>
        <v/>
      </c>
      <c r="U244" s="56" t="str">
        <f aca="false">IF($W244="","",INDEX(发票统计!U$4:U$1003,$W244)&amp;"")</f>
        <v/>
      </c>
      <c r="W244" s="1" t="str">
        <f aca="false">IF($V$3="","",IFERROR(MATCH($V$3&amp;"#"&amp;ROWS(W$4:W244),发票统计!$W$4:$W$1003,0),""))</f>
        <v/>
      </c>
    </row>
    <row r="245" customFormat="false" ht="16.5" hidden="false" customHeight="false" outlineLevel="0" collapsed="false">
      <c r="A245" s="56" t="str">
        <f aca="false">IF($W245="","",INDEX(发票统计!A$4:A$1003,$W245)&amp;"")</f>
        <v/>
      </c>
      <c r="B245" s="56" t="str">
        <f aca="false">IF($W245="","",INDEX(发票统计!B$4:B$1003,$W245)&amp;"")</f>
        <v/>
      </c>
      <c r="C245" s="56" t="str">
        <f aca="false">IF($W245="","",INDEX(发票统计!C$4:C$1003,$W245)&amp;"")</f>
        <v/>
      </c>
      <c r="D245" s="56" t="str">
        <f aca="false">IF($W245="","",INDEX(发票统计!D$4:D$1003,$W245)&amp;"")</f>
        <v/>
      </c>
      <c r="E245" s="56" t="str">
        <f aca="false">IF($W245="","",INDEX(发票统计!E$4:E$1003,$W245)&amp;"")</f>
        <v/>
      </c>
      <c r="F245" s="73" t="str">
        <f aca="false">IF($W245="","",INDEX(发票统计!F$4:F$1003,$W245)&amp;"")</f>
        <v/>
      </c>
      <c r="G245" s="68" t="str">
        <f aca="false">IF($W245="","",IF(INDEX(发票统计!G$4:G$1003,$W245)="","",INDEX(发票统计!G$4:G$1003,$W245)))</f>
        <v/>
      </c>
      <c r="H245" s="56" t="str">
        <f aca="false">IF($W245="","",N(INDEX(发票统计!H$4:H$1003,$W245)))</f>
        <v/>
      </c>
      <c r="I245" s="56" t="str">
        <f aca="false">IF($W245="","",N(INDEX(发票统计!I$4:I$1003,$W245)))</f>
        <v/>
      </c>
      <c r="J245" s="56" t="str">
        <f aca="false">IF($W245="","",N(INDEX(发票统计!J$4:J$1003,$W245)))</f>
        <v/>
      </c>
      <c r="K245" s="56" t="str">
        <f aca="false">IF($W245="","",N(INDEX(发票统计!K$4:K$1003,$W245)))</f>
        <v/>
      </c>
      <c r="L245" s="56" t="str">
        <f aca="false">IF($W245="","",SUM(J$4:J245)-SUM(K$4:K245))</f>
        <v/>
      </c>
      <c r="M245" s="56" t="str">
        <f aca="false">IF($W245="","",N(INDEX(发票统计!M$4:M$1003,$W245)))</f>
        <v/>
      </c>
      <c r="N245" s="56" t="str">
        <f aca="false">IF($W245="","",N(INDEX(发票统计!N$4:N$1003,$W245)))</f>
        <v/>
      </c>
      <c r="O245" s="56" t="str">
        <f aca="false">IF($W245="","",N(INDEX(发票统计!O$4:O$1003,$W245)))</f>
        <v/>
      </c>
      <c r="P245" s="56" t="str">
        <f aca="false">IF($W245="","",SUM(M$4:M245)-SUM(N$4:N245)-SUM(O$4:O245))</f>
        <v/>
      </c>
      <c r="Q245" s="56" t="str">
        <f aca="false">IF($W245="","",N(INDEX(发票统计!Q$4:Q$1003,$W245)))</f>
        <v/>
      </c>
      <c r="R245" s="56" t="str">
        <f aca="false">IF($W245="","",N(INDEX(发票统计!R$4:R$1003,$W245)))</f>
        <v/>
      </c>
      <c r="S245" s="56" t="str">
        <f aca="false">IF($W245="","",N(INDEX(发票统计!S$4:S$1003,$W245)))</f>
        <v/>
      </c>
      <c r="T245" s="56" t="str">
        <f aca="false">IF($W245="","",SUM(Q$4:Q245)-SUM(R$4:R245)-SUM(S$4:S245))</f>
        <v/>
      </c>
      <c r="U245" s="56" t="str">
        <f aca="false">IF($W245="","",INDEX(发票统计!U$4:U$1003,$W245)&amp;"")</f>
        <v/>
      </c>
      <c r="W245" s="1" t="str">
        <f aca="false">IF($V$3="","",IFERROR(MATCH($V$3&amp;"#"&amp;ROWS(W$4:W245),发票统计!$W$4:$W$1003,0),""))</f>
        <v/>
      </c>
    </row>
    <row r="246" customFormat="false" ht="16.5" hidden="false" customHeight="false" outlineLevel="0" collapsed="false">
      <c r="A246" s="56" t="str">
        <f aca="false">IF($W246="","",INDEX(发票统计!A$4:A$1003,$W246)&amp;"")</f>
        <v/>
      </c>
      <c r="B246" s="56" t="str">
        <f aca="false">IF($W246="","",INDEX(发票统计!B$4:B$1003,$W246)&amp;"")</f>
        <v/>
      </c>
      <c r="C246" s="56" t="str">
        <f aca="false">IF($W246="","",INDEX(发票统计!C$4:C$1003,$W246)&amp;"")</f>
        <v/>
      </c>
      <c r="D246" s="56" t="str">
        <f aca="false">IF($W246="","",INDEX(发票统计!D$4:D$1003,$W246)&amp;"")</f>
        <v/>
      </c>
      <c r="E246" s="56" t="str">
        <f aca="false">IF($W246="","",INDEX(发票统计!E$4:E$1003,$W246)&amp;"")</f>
        <v/>
      </c>
      <c r="F246" s="73" t="str">
        <f aca="false">IF($W246="","",INDEX(发票统计!F$4:F$1003,$W246)&amp;"")</f>
        <v/>
      </c>
      <c r="G246" s="68" t="str">
        <f aca="false">IF($W246="","",IF(INDEX(发票统计!G$4:G$1003,$W246)="","",INDEX(发票统计!G$4:G$1003,$W246)))</f>
        <v/>
      </c>
      <c r="H246" s="56" t="str">
        <f aca="false">IF($W246="","",N(INDEX(发票统计!H$4:H$1003,$W246)))</f>
        <v/>
      </c>
      <c r="I246" s="56" t="str">
        <f aca="false">IF($W246="","",N(INDEX(发票统计!I$4:I$1003,$W246)))</f>
        <v/>
      </c>
      <c r="J246" s="56" t="str">
        <f aca="false">IF($W246="","",N(INDEX(发票统计!J$4:J$1003,$W246)))</f>
        <v/>
      </c>
      <c r="K246" s="56" t="str">
        <f aca="false">IF($W246="","",N(INDEX(发票统计!K$4:K$1003,$W246)))</f>
        <v/>
      </c>
      <c r="L246" s="56" t="str">
        <f aca="false">IF($W246="","",SUM(J$4:J246)-SUM(K$4:K246))</f>
        <v/>
      </c>
      <c r="M246" s="56" t="str">
        <f aca="false">IF($W246="","",N(INDEX(发票统计!M$4:M$1003,$W246)))</f>
        <v/>
      </c>
      <c r="N246" s="56" t="str">
        <f aca="false">IF($W246="","",N(INDEX(发票统计!N$4:N$1003,$W246)))</f>
        <v/>
      </c>
      <c r="O246" s="56" t="str">
        <f aca="false">IF($W246="","",N(INDEX(发票统计!O$4:O$1003,$W246)))</f>
        <v/>
      </c>
      <c r="P246" s="56" t="str">
        <f aca="false">IF($W246="","",SUM(M$4:M246)-SUM(N$4:N246)-SUM(O$4:O246))</f>
        <v/>
      </c>
      <c r="Q246" s="56" t="str">
        <f aca="false">IF($W246="","",N(INDEX(发票统计!Q$4:Q$1003,$W246)))</f>
        <v/>
      </c>
      <c r="R246" s="56" t="str">
        <f aca="false">IF($W246="","",N(INDEX(发票统计!R$4:R$1003,$W246)))</f>
        <v/>
      </c>
      <c r="S246" s="56" t="str">
        <f aca="false">IF($W246="","",N(INDEX(发票统计!S$4:S$1003,$W246)))</f>
        <v/>
      </c>
      <c r="T246" s="56" t="str">
        <f aca="false">IF($W246="","",SUM(Q$4:Q246)-SUM(R$4:R246)-SUM(S$4:S246))</f>
        <v/>
      </c>
      <c r="U246" s="56" t="str">
        <f aca="false">IF($W246="","",INDEX(发票统计!U$4:U$1003,$W246)&amp;"")</f>
        <v/>
      </c>
      <c r="W246" s="1" t="str">
        <f aca="false">IF($V$3="","",IFERROR(MATCH($V$3&amp;"#"&amp;ROWS(W$4:W246),发票统计!$W$4:$W$1003,0),""))</f>
        <v/>
      </c>
    </row>
    <row r="247" customFormat="false" ht="16.5" hidden="false" customHeight="false" outlineLevel="0" collapsed="false">
      <c r="A247" s="56" t="str">
        <f aca="false">IF($W247="","",INDEX(发票统计!A$4:A$1003,$W247)&amp;"")</f>
        <v/>
      </c>
      <c r="B247" s="56" t="str">
        <f aca="false">IF($W247="","",INDEX(发票统计!B$4:B$1003,$W247)&amp;"")</f>
        <v/>
      </c>
      <c r="C247" s="56" t="str">
        <f aca="false">IF($W247="","",INDEX(发票统计!C$4:C$1003,$W247)&amp;"")</f>
        <v/>
      </c>
      <c r="D247" s="56" t="str">
        <f aca="false">IF($W247="","",INDEX(发票统计!D$4:D$1003,$W247)&amp;"")</f>
        <v/>
      </c>
      <c r="E247" s="56" t="str">
        <f aca="false">IF($W247="","",INDEX(发票统计!E$4:E$1003,$W247)&amp;"")</f>
        <v/>
      </c>
      <c r="F247" s="73" t="str">
        <f aca="false">IF($W247="","",INDEX(发票统计!F$4:F$1003,$W247)&amp;"")</f>
        <v/>
      </c>
      <c r="G247" s="68" t="str">
        <f aca="false">IF($W247="","",IF(INDEX(发票统计!G$4:G$1003,$W247)="","",INDEX(发票统计!G$4:G$1003,$W247)))</f>
        <v/>
      </c>
      <c r="H247" s="56" t="str">
        <f aca="false">IF($W247="","",N(INDEX(发票统计!H$4:H$1003,$W247)))</f>
        <v/>
      </c>
      <c r="I247" s="56" t="str">
        <f aca="false">IF($W247="","",N(INDEX(发票统计!I$4:I$1003,$W247)))</f>
        <v/>
      </c>
      <c r="J247" s="56" t="str">
        <f aca="false">IF($W247="","",N(INDEX(发票统计!J$4:J$1003,$W247)))</f>
        <v/>
      </c>
      <c r="K247" s="56" t="str">
        <f aca="false">IF($W247="","",N(INDEX(发票统计!K$4:K$1003,$W247)))</f>
        <v/>
      </c>
      <c r="L247" s="56" t="str">
        <f aca="false">IF($W247="","",SUM(J$4:J247)-SUM(K$4:K247))</f>
        <v/>
      </c>
      <c r="M247" s="56" t="str">
        <f aca="false">IF($W247="","",N(INDEX(发票统计!M$4:M$1003,$W247)))</f>
        <v/>
      </c>
      <c r="N247" s="56" t="str">
        <f aca="false">IF($W247="","",N(INDEX(发票统计!N$4:N$1003,$W247)))</f>
        <v/>
      </c>
      <c r="O247" s="56" t="str">
        <f aca="false">IF($W247="","",N(INDEX(发票统计!O$4:O$1003,$W247)))</f>
        <v/>
      </c>
      <c r="P247" s="56" t="str">
        <f aca="false">IF($W247="","",SUM(M$4:M247)-SUM(N$4:N247)-SUM(O$4:O247))</f>
        <v/>
      </c>
      <c r="Q247" s="56" t="str">
        <f aca="false">IF($W247="","",N(INDEX(发票统计!Q$4:Q$1003,$W247)))</f>
        <v/>
      </c>
      <c r="R247" s="56" t="str">
        <f aca="false">IF($W247="","",N(INDEX(发票统计!R$4:R$1003,$W247)))</f>
        <v/>
      </c>
      <c r="S247" s="56" t="str">
        <f aca="false">IF($W247="","",N(INDEX(发票统计!S$4:S$1003,$W247)))</f>
        <v/>
      </c>
      <c r="T247" s="56" t="str">
        <f aca="false">IF($W247="","",SUM(Q$4:Q247)-SUM(R$4:R247)-SUM(S$4:S247))</f>
        <v/>
      </c>
      <c r="U247" s="56" t="str">
        <f aca="false">IF($W247="","",INDEX(发票统计!U$4:U$1003,$W247)&amp;"")</f>
        <v/>
      </c>
      <c r="W247" s="1" t="str">
        <f aca="false">IF($V$3="","",IFERROR(MATCH($V$3&amp;"#"&amp;ROWS(W$4:W247),发票统计!$W$4:$W$1003,0),""))</f>
        <v/>
      </c>
    </row>
    <row r="248" customFormat="false" ht="16.5" hidden="false" customHeight="false" outlineLevel="0" collapsed="false">
      <c r="A248" s="56" t="str">
        <f aca="false">IF($W248="","",INDEX(发票统计!A$4:A$1003,$W248)&amp;"")</f>
        <v/>
      </c>
      <c r="B248" s="56" t="str">
        <f aca="false">IF($W248="","",INDEX(发票统计!B$4:B$1003,$W248)&amp;"")</f>
        <v/>
      </c>
      <c r="C248" s="56" t="str">
        <f aca="false">IF($W248="","",INDEX(发票统计!C$4:C$1003,$W248)&amp;"")</f>
        <v/>
      </c>
      <c r="D248" s="56" t="str">
        <f aca="false">IF($W248="","",INDEX(发票统计!D$4:D$1003,$W248)&amp;"")</f>
        <v/>
      </c>
      <c r="E248" s="56" t="str">
        <f aca="false">IF($W248="","",INDEX(发票统计!E$4:E$1003,$W248)&amp;"")</f>
        <v/>
      </c>
      <c r="F248" s="73" t="str">
        <f aca="false">IF($W248="","",INDEX(发票统计!F$4:F$1003,$W248)&amp;"")</f>
        <v/>
      </c>
      <c r="G248" s="68" t="str">
        <f aca="false">IF($W248="","",IF(INDEX(发票统计!G$4:G$1003,$W248)="","",INDEX(发票统计!G$4:G$1003,$W248)))</f>
        <v/>
      </c>
      <c r="H248" s="56" t="str">
        <f aca="false">IF($W248="","",N(INDEX(发票统计!H$4:H$1003,$W248)))</f>
        <v/>
      </c>
      <c r="I248" s="56" t="str">
        <f aca="false">IF($W248="","",N(INDEX(发票统计!I$4:I$1003,$W248)))</f>
        <v/>
      </c>
      <c r="J248" s="56" t="str">
        <f aca="false">IF($W248="","",N(INDEX(发票统计!J$4:J$1003,$W248)))</f>
        <v/>
      </c>
      <c r="K248" s="56" t="str">
        <f aca="false">IF($W248="","",N(INDEX(发票统计!K$4:K$1003,$W248)))</f>
        <v/>
      </c>
      <c r="L248" s="56" t="str">
        <f aca="false">IF($W248="","",SUM(J$4:J248)-SUM(K$4:K248))</f>
        <v/>
      </c>
      <c r="M248" s="56" t="str">
        <f aca="false">IF($W248="","",N(INDEX(发票统计!M$4:M$1003,$W248)))</f>
        <v/>
      </c>
      <c r="N248" s="56" t="str">
        <f aca="false">IF($W248="","",N(INDEX(发票统计!N$4:N$1003,$W248)))</f>
        <v/>
      </c>
      <c r="O248" s="56" t="str">
        <f aca="false">IF($W248="","",N(INDEX(发票统计!O$4:O$1003,$W248)))</f>
        <v/>
      </c>
      <c r="P248" s="56" t="str">
        <f aca="false">IF($W248="","",SUM(M$4:M248)-SUM(N$4:N248)-SUM(O$4:O248))</f>
        <v/>
      </c>
      <c r="Q248" s="56" t="str">
        <f aca="false">IF($W248="","",N(INDEX(发票统计!Q$4:Q$1003,$W248)))</f>
        <v/>
      </c>
      <c r="R248" s="56" t="str">
        <f aca="false">IF($W248="","",N(INDEX(发票统计!R$4:R$1003,$W248)))</f>
        <v/>
      </c>
      <c r="S248" s="56" t="str">
        <f aca="false">IF($W248="","",N(INDEX(发票统计!S$4:S$1003,$W248)))</f>
        <v/>
      </c>
      <c r="T248" s="56" t="str">
        <f aca="false">IF($W248="","",SUM(Q$4:Q248)-SUM(R$4:R248)-SUM(S$4:S248))</f>
        <v/>
      </c>
      <c r="U248" s="56" t="str">
        <f aca="false">IF($W248="","",INDEX(发票统计!U$4:U$1003,$W248)&amp;"")</f>
        <v/>
      </c>
      <c r="W248" s="1" t="str">
        <f aca="false">IF($V$3="","",IFERROR(MATCH($V$3&amp;"#"&amp;ROWS(W$4:W248),发票统计!$W$4:$W$1003,0),""))</f>
        <v/>
      </c>
    </row>
    <row r="249" customFormat="false" ht="16.5" hidden="false" customHeight="false" outlineLevel="0" collapsed="false">
      <c r="A249" s="56" t="str">
        <f aca="false">IF($W249="","",INDEX(发票统计!A$4:A$1003,$W249)&amp;"")</f>
        <v/>
      </c>
      <c r="B249" s="56" t="str">
        <f aca="false">IF($W249="","",INDEX(发票统计!B$4:B$1003,$W249)&amp;"")</f>
        <v/>
      </c>
      <c r="C249" s="56" t="str">
        <f aca="false">IF($W249="","",INDEX(发票统计!C$4:C$1003,$W249)&amp;"")</f>
        <v/>
      </c>
      <c r="D249" s="56" t="str">
        <f aca="false">IF($W249="","",INDEX(发票统计!D$4:D$1003,$W249)&amp;"")</f>
        <v/>
      </c>
      <c r="E249" s="56" t="str">
        <f aca="false">IF($W249="","",INDEX(发票统计!E$4:E$1003,$W249)&amp;"")</f>
        <v/>
      </c>
      <c r="F249" s="73" t="str">
        <f aca="false">IF($W249="","",INDEX(发票统计!F$4:F$1003,$W249)&amp;"")</f>
        <v/>
      </c>
      <c r="G249" s="68" t="str">
        <f aca="false">IF($W249="","",IF(INDEX(发票统计!G$4:G$1003,$W249)="","",INDEX(发票统计!G$4:G$1003,$W249)))</f>
        <v/>
      </c>
      <c r="H249" s="56" t="str">
        <f aca="false">IF($W249="","",N(INDEX(发票统计!H$4:H$1003,$W249)))</f>
        <v/>
      </c>
      <c r="I249" s="56" t="str">
        <f aca="false">IF($W249="","",N(INDEX(发票统计!I$4:I$1003,$W249)))</f>
        <v/>
      </c>
      <c r="J249" s="56" t="str">
        <f aca="false">IF($W249="","",N(INDEX(发票统计!J$4:J$1003,$W249)))</f>
        <v/>
      </c>
      <c r="K249" s="56" t="str">
        <f aca="false">IF($W249="","",N(INDEX(发票统计!K$4:K$1003,$W249)))</f>
        <v/>
      </c>
      <c r="L249" s="56" t="str">
        <f aca="false">IF($W249="","",SUM(J$4:J249)-SUM(K$4:K249))</f>
        <v/>
      </c>
      <c r="M249" s="56" t="str">
        <f aca="false">IF($W249="","",N(INDEX(发票统计!M$4:M$1003,$W249)))</f>
        <v/>
      </c>
      <c r="N249" s="56" t="str">
        <f aca="false">IF($W249="","",N(INDEX(发票统计!N$4:N$1003,$W249)))</f>
        <v/>
      </c>
      <c r="O249" s="56" t="str">
        <f aca="false">IF($W249="","",N(INDEX(发票统计!O$4:O$1003,$W249)))</f>
        <v/>
      </c>
      <c r="P249" s="56" t="str">
        <f aca="false">IF($W249="","",SUM(M$4:M249)-SUM(N$4:N249)-SUM(O$4:O249))</f>
        <v/>
      </c>
      <c r="Q249" s="56" t="str">
        <f aca="false">IF($W249="","",N(INDEX(发票统计!Q$4:Q$1003,$W249)))</f>
        <v/>
      </c>
      <c r="R249" s="56" t="str">
        <f aca="false">IF($W249="","",N(INDEX(发票统计!R$4:R$1003,$W249)))</f>
        <v/>
      </c>
      <c r="S249" s="56" t="str">
        <f aca="false">IF($W249="","",N(INDEX(发票统计!S$4:S$1003,$W249)))</f>
        <v/>
      </c>
      <c r="T249" s="56" t="str">
        <f aca="false">IF($W249="","",SUM(Q$4:Q249)-SUM(R$4:R249)-SUM(S$4:S249))</f>
        <v/>
      </c>
      <c r="U249" s="56" t="str">
        <f aca="false">IF($W249="","",INDEX(发票统计!U$4:U$1003,$W249)&amp;"")</f>
        <v/>
      </c>
      <c r="W249" s="1" t="str">
        <f aca="false">IF($V$3="","",IFERROR(MATCH($V$3&amp;"#"&amp;ROWS(W$4:W249),发票统计!$W$4:$W$1003,0),""))</f>
        <v/>
      </c>
    </row>
    <row r="250" customFormat="false" ht="16.5" hidden="false" customHeight="false" outlineLevel="0" collapsed="false">
      <c r="A250" s="56" t="str">
        <f aca="false">IF($W250="","",INDEX(发票统计!A$4:A$1003,$W250)&amp;"")</f>
        <v/>
      </c>
      <c r="B250" s="56" t="str">
        <f aca="false">IF($W250="","",INDEX(发票统计!B$4:B$1003,$W250)&amp;"")</f>
        <v/>
      </c>
      <c r="C250" s="56" t="str">
        <f aca="false">IF($W250="","",INDEX(发票统计!C$4:C$1003,$W250)&amp;"")</f>
        <v/>
      </c>
      <c r="D250" s="56" t="str">
        <f aca="false">IF($W250="","",INDEX(发票统计!D$4:D$1003,$W250)&amp;"")</f>
        <v/>
      </c>
      <c r="E250" s="56" t="str">
        <f aca="false">IF($W250="","",INDEX(发票统计!E$4:E$1003,$W250)&amp;"")</f>
        <v/>
      </c>
      <c r="F250" s="73" t="str">
        <f aca="false">IF($W250="","",INDEX(发票统计!F$4:F$1003,$W250)&amp;"")</f>
        <v/>
      </c>
      <c r="G250" s="68" t="str">
        <f aca="false">IF($W250="","",IF(INDEX(发票统计!G$4:G$1003,$W250)="","",INDEX(发票统计!G$4:G$1003,$W250)))</f>
        <v/>
      </c>
      <c r="H250" s="56" t="str">
        <f aca="false">IF($W250="","",N(INDEX(发票统计!H$4:H$1003,$W250)))</f>
        <v/>
      </c>
      <c r="I250" s="56" t="str">
        <f aca="false">IF($W250="","",N(INDEX(发票统计!I$4:I$1003,$W250)))</f>
        <v/>
      </c>
      <c r="J250" s="56" t="str">
        <f aca="false">IF($W250="","",N(INDEX(发票统计!J$4:J$1003,$W250)))</f>
        <v/>
      </c>
      <c r="K250" s="56" t="str">
        <f aca="false">IF($W250="","",N(INDEX(发票统计!K$4:K$1003,$W250)))</f>
        <v/>
      </c>
      <c r="L250" s="56" t="str">
        <f aca="false">IF($W250="","",SUM(J$4:J250)-SUM(K$4:K250))</f>
        <v/>
      </c>
      <c r="M250" s="56" t="str">
        <f aca="false">IF($W250="","",N(INDEX(发票统计!M$4:M$1003,$W250)))</f>
        <v/>
      </c>
      <c r="N250" s="56" t="str">
        <f aca="false">IF($W250="","",N(INDEX(发票统计!N$4:N$1003,$W250)))</f>
        <v/>
      </c>
      <c r="O250" s="56" t="str">
        <f aca="false">IF($W250="","",N(INDEX(发票统计!O$4:O$1003,$W250)))</f>
        <v/>
      </c>
      <c r="P250" s="56" t="str">
        <f aca="false">IF($W250="","",SUM(M$4:M250)-SUM(N$4:N250)-SUM(O$4:O250))</f>
        <v/>
      </c>
      <c r="Q250" s="56" t="str">
        <f aca="false">IF($W250="","",N(INDEX(发票统计!Q$4:Q$1003,$W250)))</f>
        <v/>
      </c>
      <c r="R250" s="56" t="str">
        <f aca="false">IF($W250="","",N(INDEX(发票统计!R$4:R$1003,$W250)))</f>
        <v/>
      </c>
      <c r="S250" s="56" t="str">
        <f aca="false">IF($W250="","",N(INDEX(发票统计!S$4:S$1003,$W250)))</f>
        <v/>
      </c>
      <c r="T250" s="56" t="str">
        <f aca="false">IF($W250="","",SUM(Q$4:Q250)-SUM(R$4:R250)-SUM(S$4:S250))</f>
        <v/>
      </c>
      <c r="U250" s="56" t="str">
        <f aca="false">IF($W250="","",INDEX(发票统计!U$4:U$1003,$W250)&amp;"")</f>
        <v/>
      </c>
      <c r="W250" s="1" t="str">
        <f aca="false">IF($V$3="","",IFERROR(MATCH($V$3&amp;"#"&amp;ROWS(W$4:W250),发票统计!$W$4:$W$1003,0),""))</f>
        <v/>
      </c>
    </row>
    <row r="251" customFormat="false" ht="16.5" hidden="false" customHeight="false" outlineLevel="0" collapsed="false">
      <c r="A251" s="56" t="str">
        <f aca="false">IF($W251="","",INDEX(发票统计!A$4:A$1003,$W251)&amp;"")</f>
        <v/>
      </c>
      <c r="B251" s="56" t="str">
        <f aca="false">IF($W251="","",INDEX(发票统计!B$4:B$1003,$W251)&amp;"")</f>
        <v/>
      </c>
      <c r="C251" s="56" t="str">
        <f aca="false">IF($W251="","",INDEX(发票统计!C$4:C$1003,$W251)&amp;"")</f>
        <v/>
      </c>
      <c r="D251" s="56" t="str">
        <f aca="false">IF($W251="","",INDEX(发票统计!D$4:D$1003,$W251)&amp;"")</f>
        <v/>
      </c>
      <c r="E251" s="56" t="str">
        <f aca="false">IF($W251="","",INDEX(发票统计!E$4:E$1003,$W251)&amp;"")</f>
        <v/>
      </c>
      <c r="F251" s="73" t="str">
        <f aca="false">IF($W251="","",INDEX(发票统计!F$4:F$1003,$W251)&amp;"")</f>
        <v/>
      </c>
      <c r="G251" s="68" t="str">
        <f aca="false">IF($W251="","",IF(INDEX(发票统计!G$4:G$1003,$W251)="","",INDEX(发票统计!G$4:G$1003,$W251)))</f>
        <v/>
      </c>
      <c r="H251" s="56" t="str">
        <f aca="false">IF($W251="","",N(INDEX(发票统计!H$4:H$1003,$W251)))</f>
        <v/>
      </c>
      <c r="I251" s="56" t="str">
        <f aca="false">IF($W251="","",N(INDEX(发票统计!I$4:I$1003,$W251)))</f>
        <v/>
      </c>
      <c r="J251" s="56" t="str">
        <f aca="false">IF($W251="","",N(INDEX(发票统计!J$4:J$1003,$W251)))</f>
        <v/>
      </c>
      <c r="K251" s="56" t="str">
        <f aca="false">IF($W251="","",N(INDEX(发票统计!K$4:K$1003,$W251)))</f>
        <v/>
      </c>
      <c r="L251" s="56" t="str">
        <f aca="false">IF($W251="","",SUM(J$4:J251)-SUM(K$4:K251))</f>
        <v/>
      </c>
      <c r="M251" s="56" t="str">
        <f aca="false">IF($W251="","",N(INDEX(发票统计!M$4:M$1003,$W251)))</f>
        <v/>
      </c>
      <c r="N251" s="56" t="str">
        <f aca="false">IF($W251="","",N(INDEX(发票统计!N$4:N$1003,$W251)))</f>
        <v/>
      </c>
      <c r="O251" s="56" t="str">
        <f aca="false">IF($W251="","",N(INDEX(发票统计!O$4:O$1003,$W251)))</f>
        <v/>
      </c>
      <c r="P251" s="56" t="str">
        <f aca="false">IF($W251="","",SUM(M$4:M251)-SUM(N$4:N251)-SUM(O$4:O251))</f>
        <v/>
      </c>
      <c r="Q251" s="56" t="str">
        <f aca="false">IF($W251="","",N(INDEX(发票统计!Q$4:Q$1003,$W251)))</f>
        <v/>
      </c>
      <c r="R251" s="56" t="str">
        <f aca="false">IF($W251="","",N(INDEX(发票统计!R$4:R$1003,$W251)))</f>
        <v/>
      </c>
      <c r="S251" s="56" t="str">
        <f aca="false">IF($W251="","",N(INDEX(发票统计!S$4:S$1003,$W251)))</f>
        <v/>
      </c>
      <c r="T251" s="56" t="str">
        <f aca="false">IF($W251="","",SUM(Q$4:Q251)-SUM(R$4:R251)-SUM(S$4:S251))</f>
        <v/>
      </c>
      <c r="U251" s="56" t="str">
        <f aca="false">IF($W251="","",INDEX(发票统计!U$4:U$1003,$W251)&amp;"")</f>
        <v/>
      </c>
      <c r="W251" s="1" t="str">
        <f aca="false">IF($V$3="","",IFERROR(MATCH($V$3&amp;"#"&amp;ROWS(W$4:W251),发票统计!$W$4:$W$1003,0),""))</f>
        <v/>
      </c>
    </row>
    <row r="252" customFormat="false" ht="16.5" hidden="false" customHeight="false" outlineLevel="0" collapsed="false">
      <c r="A252" s="56" t="str">
        <f aca="false">IF($W252="","",INDEX(发票统计!A$4:A$1003,$W252)&amp;"")</f>
        <v/>
      </c>
      <c r="B252" s="56" t="str">
        <f aca="false">IF($W252="","",INDEX(发票统计!B$4:B$1003,$W252)&amp;"")</f>
        <v/>
      </c>
      <c r="C252" s="56" t="str">
        <f aca="false">IF($W252="","",INDEX(发票统计!C$4:C$1003,$W252)&amp;"")</f>
        <v/>
      </c>
      <c r="D252" s="56" t="str">
        <f aca="false">IF($W252="","",INDEX(发票统计!D$4:D$1003,$W252)&amp;"")</f>
        <v/>
      </c>
      <c r="E252" s="56" t="str">
        <f aca="false">IF($W252="","",INDEX(发票统计!E$4:E$1003,$W252)&amp;"")</f>
        <v/>
      </c>
      <c r="F252" s="73" t="str">
        <f aca="false">IF($W252="","",INDEX(发票统计!F$4:F$1003,$W252)&amp;"")</f>
        <v/>
      </c>
      <c r="G252" s="68" t="str">
        <f aca="false">IF($W252="","",IF(INDEX(发票统计!G$4:G$1003,$W252)="","",INDEX(发票统计!G$4:G$1003,$W252)))</f>
        <v/>
      </c>
      <c r="H252" s="56" t="str">
        <f aca="false">IF($W252="","",N(INDEX(发票统计!H$4:H$1003,$W252)))</f>
        <v/>
      </c>
      <c r="I252" s="56" t="str">
        <f aca="false">IF($W252="","",N(INDEX(发票统计!I$4:I$1003,$W252)))</f>
        <v/>
      </c>
      <c r="J252" s="56" t="str">
        <f aca="false">IF($W252="","",N(INDEX(发票统计!J$4:J$1003,$W252)))</f>
        <v/>
      </c>
      <c r="K252" s="56" t="str">
        <f aca="false">IF($W252="","",N(INDEX(发票统计!K$4:K$1003,$W252)))</f>
        <v/>
      </c>
      <c r="L252" s="56" t="str">
        <f aca="false">IF($W252="","",SUM(J$4:J252)-SUM(K$4:K252))</f>
        <v/>
      </c>
      <c r="M252" s="56" t="str">
        <f aca="false">IF($W252="","",N(INDEX(发票统计!M$4:M$1003,$W252)))</f>
        <v/>
      </c>
      <c r="N252" s="56" t="str">
        <f aca="false">IF($W252="","",N(INDEX(发票统计!N$4:N$1003,$W252)))</f>
        <v/>
      </c>
      <c r="O252" s="56" t="str">
        <f aca="false">IF($W252="","",N(INDEX(发票统计!O$4:O$1003,$W252)))</f>
        <v/>
      </c>
      <c r="P252" s="56" t="str">
        <f aca="false">IF($W252="","",SUM(M$4:M252)-SUM(N$4:N252)-SUM(O$4:O252))</f>
        <v/>
      </c>
      <c r="Q252" s="56" t="str">
        <f aca="false">IF($W252="","",N(INDEX(发票统计!Q$4:Q$1003,$W252)))</f>
        <v/>
      </c>
      <c r="R252" s="56" t="str">
        <f aca="false">IF($W252="","",N(INDEX(发票统计!R$4:R$1003,$W252)))</f>
        <v/>
      </c>
      <c r="S252" s="56" t="str">
        <f aca="false">IF($W252="","",N(INDEX(发票统计!S$4:S$1003,$W252)))</f>
        <v/>
      </c>
      <c r="T252" s="56" t="str">
        <f aca="false">IF($W252="","",SUM(Q$4:Q252)-SUM(R$4:R252)-SUM(S$4:S252))</f>
        <v/>
      </c>
      <c r="U252" s="56" t="str">
        <f aca="false">IF($W252="","",INDEX(发票统计!U$4:U$1003,$W252)&amp;"")</f>
        <v/>
      </c>
      <c r="W252" s="1" t="str">
        <f aca="false">IF($V$3="","",IFERROR(MATCH($V$3&amp;"#"&amp;ROWS(W$4:W252),发票统计!$W$4:$W$1003,0),""))</f>
        <v/>
      </c>
    </row>
    <row r="253" customFormat="false" ht="16.5" hidden="false" customHeight="false" outlineLevel="0" collapsed="false">
      <c r="A253" s="56" t="str">
        <f aca="false">IF($W253="","",INDEX(发票统计!A$4:A$1003,$W253)&amp;"")</f>
        <v/>
      </c>
      <c r="B253" s="56" t="str">
        <f aca="false">IF($W253="","",INDEX(发票统计!B$4:B$1003,$W253)&amp;"")</f>
        <v/>
      </c>
      <c r="C253" s="56" t="str">
        <f aca="false">IF($W253="","",INDEX(发票统计!C$4:C$1003,$W253)&amp;"")</f>
        <v/>
      </c>
      <c r="D253" s="56" t="str">
        <f aca="false">IF($W253="","",INDEX(发票统计!D$4:D$1003,$W253)&amp;"")</f>
        <v/>
      </c>
      <c r="E253" s="56" t="str">
        <f aca="false">IF($W253="","",INDEX(发票统计!E$4:E$1003,$W253)&amp;"")</f>
        <v/>
      </c>
      <c r="F253" s="73" t="str">
        <f aca="false">IF($W253="","",INDEX(发票统计!F$4:F$1003,$W253)&amp;"")</f>
        <v/>
      </c>
      <c r="G253" s="68" t="str">
        <f aca="false">IF($W253="","",IF(INDEX(发票统计!G$4:G$1003,$W253)="","",INDEX(发票统计!G$4:G$1003,$W253)))</f>
        <v/>
      </c>
      <c r="H253" s="56" t="str">
        <f aca="false">IF($W253="","",N(INDEX(发票统计!H$4:H$1003,$W253)))</f>
        <v/>
      </c>
      <c r="I253" s="56" t="str">
        <f aca="false">IF($W253="","",N(INDEX(发票统计!I$4:I$1003,$W253)))</f>
        <v/>
      </c>
      <c r="J253" s="56" t="str">
        <f aca="false">IF($W253="","",N(INDEX(发票统计!J$4:J$1003,$W253)))</f>
        <v/>
      </c>
      <c r="K253" s="56" t="str">
        <f aca="false">IF($W253="","",N(INDEX(发票统计!K$4:K$1003,$W253)))</f>
        <v/>
      </c>
      <c r="L253" s="56" t="str">
        <f aca="false">IF($W253="","",SUM(J$4:J253)-SUM(K$4:K253))</f>
        <v/>
      </c>
      <c r="M253" s="56" t="str">
        <f aca="false">IF($W253="","",N(INDEX(发票统计!M$4:M$1003,$W253)))</f>
        <v/>
      </c>
      <c r="N253" s="56" t="str">
        <f aca="false">IF($W253="","",N(INDEX(发票统计!N$4:N$1003,$W253)))</f>
        <v/>
      </c>
      <c r="O253" s="56" t="str">
        <f aca="false">IF($W253="","",N(INDEX(发票统计!O$4:O$1003,$W253)))</f>
        <v/>
      </c>
      <c r="P253" s="56" t="str">
        <f aca="false">IF($W253="","",SUM(M$4:M253)-SUM(N$4:N253)-SUM(O$4:O253))</f>
        <v/>
      </c>
      <c r="Q253" s="56" t="str">
        <f aca="false">IF($W253="","",N(INDEX(发票统计!Q$4:Q$1003,$W253)))</f>
        <v/>
      </c>
      <c r="R253" s="56" t="str">
        <f aca="false">IF($W253="","",N(INDEX(发票统计!R$4:R$1003,$W253)))</f>
        <v/>
      </c>
      <c r="S253" s="56" t="str">
        <f aca="false">IF($W253="","",N(INDEX(发票统计!S$4:S$1003,$W253)))</f>
        <v/>
      </c>
      <c r="T253" s="56" t="str">
        <f aca="false">IF($W253="","",SUM(Q$4:Q253)-SUM(R$4:R253)-SUM(S$4:S253))</f>
        <v/>
      </c>
      <c r="U253" s="56" t="str">
        <f aca="false">IF($W253="","",INDEX(发票统计!U$4:U$1003,$W253)&amp;"")</f>
        <v/>
      </c>
      <c r="W253" s="1" t="str">
        <f aca="false">IF($V$3="","",IFERROR(MATCH($V$3&amp;"#"&amp;ROWS(W$4:W253),发票统计!$W$4:$W$1003,0),""))</f>
        <v/>
      </c>
    </row>
    <row r="254" customFormat="false" ht="16.5" hidden="false" customHeight="false" outlineLevel="0" collapsed="false">
      <c r="A254" s="56" t="str">
        <f aca="false">IF($W254="","",INDEX(发票统计!A$4:A$1003,$W254)&amp;"")</f>
        <v/>
      </c>
      <c r="B254" s="56" t="str">
        <f aca="false">IF($W254="","",INDEX(发票统计!B$4:B$1003,$W254)&amp;"")</f>
        <v/>
      </c>
      <c r="C254" s="56" t="str">
        <f aca="false">IF($W254="","",INDEX(发票统计!C$4:C$1003,$W254)&amp;"")</f>
        <v/>
      </c>
      <c r="D254" s="56" t="str">
        <f aca="false">IF($W254="","",INDEX(发票统计!D$4:D$1003,$W254)&amp;"")</f>
        <v/>
      </c>
      <c r="E254" s="56" t="str">
        <f aca="false">IF($W254="","",INDEX(发票统计!E$4:E$1003,$W254)&amp;"")</f>
        <v/>
      </c>
      <c r="F254" s="73" t="str">
        <f aca="false">IF($W254="","",INDEX(发票统计!F$4:F$1003,$W254)&amp;"")</f>
        <v/>
      </c>
      <c r="G254" s="68" t="str">
        <f aca="false">IF($W254="","",IF(INDEX(发票统计!G$4:G$1003,$W254)="","",INDEX(发票统计!G$4:G$1003,$W254)))</f>
        <v/>
      </c>
      <c r="H254" s="56" t="str">
        <f aca="false">IF($W254="","",N(INDEX(发票统计!H$4:H$1003,$W254)))</f>
        <v/>
      </c>
      <c r="I254" s="56" t="str">
        <f aca="false">IF($W254="","",N(INDEX(发票统计!I$4:I$1003,$W254)))</f>
        <v/>
      </c>
      <c r="J254" s="56" t="str">
        <f aca="false">IF($W254="","",N(INDEX(发票统计!J$4:J$1003,$W254)))</f>
        <v/>
      </c>
      <c r="K254" s="56" t="str">
        <f aca="false">IF($W254="","",N(INDEX(发票统计!K$4:K$1003,$W254)))</f>
        <v/>
      </c>
      <c r="L254" s="56" t="str">
        <f aca="false">IF($W254="","",SUM(J$4:J254)-SUM(K$4:K254))</f>
        <v/>
      </c>
      <c r="M254" s="56" t="str">
        <f aca="false">IF($W254="","",N(INDEX(发票统计!M$4:M$1003,$W254)))</f>
        <v/>
      </c>
      <c r="N254" s="56" t="str">
        <f aca="false">IF($W254="","",N(INDEX(发票统计!N$4:N$1003,$W254)))</f>
        <v/>
      </c>
      <c r="O254" s="56" t="str">
        <f aca="false">IF($W254="","",N(INDEX(发票统计!O$4:O$1003,$W254)))</f>
        <v/>
      </c>
      <c r="P254" s="56" t="str">
        <f aca="false">IF($W254="","",SUM(M$4:M254)-SUM(N$4:N254)-SUM(O$4:O254))</f>
        <v/>
      </c>
      <c r="Q254" s="56" t="str">
        <f aca="false">IF($W254="","",N(INDEX(发票统计!Q$4:Q$1003,$W254)))</f>
        <v/>
      </c>
      <c r="R254" s="56" t="str">
        <f aca="false">IF($W254="","",N(INDEX(发票统计!R$4:R$1003,$W254)))</f>
        <v/>
      </c>
      <c r="S254" s="56" t="str">
        <f aca="false">IF($W254="","",N(INDEX(发票统计!S$4:S$1003,$W254)))</f>
        <v/>
      </c>
      <c r="T254" s="56" t="str">
        <f aca="false">IF($W254="","",SUM(Q$4:Q254)-SUM(R$4:R254)-SUM(S$4:S254))</f>
        <v/>
      </c>
      <c r="U254" s="56" t="str">
        <f aca="false">IF($W254="","",INDEX(发票统计!U$4:U$1003,$W254)&amp;"")</f>
        <v/>
      </c>
      <c r="W254" s="1" t="str">
        <f aca="false">IF($V$3="","",IFERROR(MATCH($V$3&amp;"#"&amp;ROWS(W$4:W254),发票统计!$W$4:$W$1003,0),""))</f>
        <v/>
      </c>
    </row>
    <row r="255" customFormat="false" ht="16.5" hidden="false" customHeight="false" outlineLevel="0" collapsed="false">
      <c r="A255" s="56" t="str">
        <f aca="false">IF($W255="","",INDEX(发票统计!A$4:A$1003,$W255)&amp;"")</f>
        <v/>
      </c>
      <c r="B255" s="56" t="str">
        <f aca="false">IF($W255="","",INDEX(发票统计!B$4:B$1003,$W255)&amp;"")</f>
        <v/>
      </c>
      <c r="C255" s="56" t="str">
        <f aca="false">IF($W255="","",INDEX(发票统计!C$4:C$1003,$W255)&amp;"")</f>
        <v/>
      </c>
      <c r="D255" s="56" t="str">
        <f aca="false">IF($W255="","",INDEX(发票统计!D$4:D$1003,$W255)&amp;"")</f>
        <v/>
      </c>
      <c r="E255" s="56" t="str">
        <f aca="false">IF($W255="","",INDEX(发票统计!E$4:E$1003,$W255)&amp;"")</f>
        <v/>
      </c>
      <c r="F255" s="73" t="str">
        <f aca="false">IF($W255="","",INDEX(发票统计!F$4:F$1003,$W255)&amp;"")</f>
        <v/>
      </c>
      <c r="G255" s="68" t="str">
        <f aca="false">IF($W255="","",IF(INDEX(发票统计!G$4:G$1003,$W255)="","",INDEX(发票统计!G$4:G$1003,$W255)))</f>
        <v/>
      </c>
      <c r="H255" s="56" t="str">
        <f aca="false">IF($W255="","",N(INDEX(发票统计!H$4:H$1003,$W255)))</f>
        <v/>
      </c>
      <c r="I255" s="56" t="str">
        <f aca="false">IF($W255="","",N(INDEX(发票统计!I$4:I$1003,$W255)))</f>
        <v/>
      </c>
      <c r="J255" s="56" t="str">
        <f aca="false">IF($W255="","",N(INDEX(发票统计!J$4:J$1003,$W255)))</f>
        <v/>
      </c>
      <c r="K255" s="56" t="str">
        <f aca="false">IF($W255="","",N(INDEX(发票统计!K$4:K$1003,$W255)))</f>
        <v/>
      </c>
      <c r="L255" s="56" t="str">
        <f aca="false">IF($W255="","",SUM(J$4:J255)-SUM(K$4:K255))</f>
        <v/>
      </c>
      <c r="M255" s="56" t="str">
        <f aca="false">IF($W255="","",N(INDEX(发票统计!M$4:M$1003,$W255)))</f>
        <v/>
      </c>
      <c r="N255" s="56" t="str">
        <f aca="false">IF($W255="","",N(INDEX(发票统计!N$4:N$1003,$W255)))</f>
        <v/>
      </c>
      <c r="O255" s="56" t="str">
        <f aca="false">IF($W255="","",N(INDEX(发票统计!O$4:O$1003,$W255)))</f>
        <v/>
      </c>
      <c r="P255" s="56" t="str">
        <f aca="false">IF($W255="","",SUM(M$4:M255)-SUM(N$4:N255)-SUM(O$4:O255))</f>
        <v/>
      </c>
      <c r="Q255" s="56" t="str">
        <f aca="false">IF($W255="","",N(INDEX(发票统计!Q$4:Q$1003,$W255)))</f>
        <v/>
      </c>
      <c r="R255" s="56" t="str">
        <f aca="false">IF($W255="","",N(INDEX(发票统计!R$4:R$1003,$W255)))</f>
        <v/>
      </c>
      <c r="S255" s="56" t="str">
        <f aca="false">IF($W255="","",N(INDEX(发票统计!S$4:S$1003,$W255)))</f>
        <v/>
      </c>
      <c r="T255" s="56" t="str">
        <f aca="false">IF($W255="","",SUM(Q$4:Q255)-SUM(R$4:R255)-SUM(S$4:S255))</f>
        <v/>
      </c>
      <c r="U255" s="56" t="str">
        <f aca="false">IF($W255="","",INDEX(发票统计!U$4:U$1003,$W255)&amp;"")</f>
        <v/>
      </c>
      <c r="W255" s="1" t="str">
        <f aca="false">IF($V$3="","",IFERROR(MATCH($V$3&amp;"#"&amp;ROWS(W$4:W255),发票统计!$W$4:$W$1003,0),""))</f>
        <v/>
      </c>
    </row>
    <row r="256" customFormat="false" ht="16.5" hidden="false" customHeight="false" outlineLevel="0" collapsed="false">
      <c r="A256" s="56" t="str">
        <f aca="false">IF($W256="","",INDEX(发票统计!A$4:A$1003,$W256)&amp;"")</f>
        <v/>
      </c>
      <c r="B256" s="56" t="str">
        <f aca="false">IF($W256="","",INDEX(发票统计!B$4:B$1003,$W256)&amp;"")</f>
        <v/>
      </c>
      <c r="C256" s="56" t="str">
        <f aca="false">IF($W256="","",INDEX(发票统计!C$4:C$1003,$W256)&amp;"")</f>
        <v/>
      </c>
      <c r="D256" s="56" t="str">
        <f aca="false">IF($W256="","",INDEX(发票统计!D$4:D$1003,$W256)&amp;"")</f>
        <v/>
      </c>
      <c r="E256" s="56" t="str">
        <f aca="false">IF($W256="","",INDEX(发票统计!E$4:E$1003,$W256)&amp;"")</f>
        <v/>
      </c>
      <c r="F256" s="73" t="str">
        <f aca="false">IF($W256="","",INDEX(发票统计!F$4:F$1003,$W256)&amp;"")</f>
        <v/>
      </c>
      <c r="G256" s="68" t="str">
        <f aca="false">IF($W256="","",IF(INDEX(发票统计!G$4:G$1003,$W256)="","",INDEX(发票统计!G$4:G$1003,$W256)))</f>
        <v/>
      </c>
      <c r="H256" s="56" t="str">
        <f aca="false">IF($W256="","",N(INDEX(发票统计!H$4:H$1003,$W256)))</f>
        <v/>
      </c>
      <c r="I256" s="56" t="str">
        <f aca="false">IF($W256="","",N(INDEX(发票统计!I$4:I$1003,$W256)))</f>
        <v/>
      </c>
      <c r="J256" s="56" t="str">
        <f aca="false">IF($W256="","",N(INDEX(发票统计!J$4:J$1003,$W256)))</f>
        <v/>
      </c>
      <c r="K256" s="56" t="str">
        <f aca="false">IF($W256="","",N(INDEX(发票统计!K$4:K$1003,$W256)))</f>
        <v/>
      </c>
      <c r="L256" s="56" t="str">
        <f aca="false">IF($W256="","",SUM(J$4:J256)-SUM(K$4:K256))</f>
        <v/>
      </c>
      <c r="M256" s="56" t="str">
        <f aca="false">IF($W256="","",N(INDEX(发票统计!M$4:M$1003,$W256)))</f>
        <v/>
      </c>
      <c r="N256" s="56" t="str">
        <f aca="false">IF($W256="","",N(INDEX(发票统计!N$4:N$1003,$W256)))</f>
        <v/>
      </c>
      <c r="O256" s="56" t="str">
        <f aca="false">IF($W256="","",N(INDEX(发票统计!O$4:O$1003,$W256)))</f>
        <v/>
      </c>
      <c r="P256" s="56" t="str">
        <f aca="false">IF($W256="","",SUM(M$4:M256)-SUM(N$4:N256)-SUM(O$4:O256))</f>
        <v/>
      </c>
      <c r="Q256" s="56" t="str">
        <f aca="false">IF($W256="","",N(INDEX(发票统计!Q$4:Q$1003,$W256)))</f>
        <v/>
      </c>
      <c r="R256" s="56" t="str">
        <f aca="false">IF($W256="","",N(INDEX(发票统计!R$4:R$1003,$W256)))</f>
        <v/>
      </c>
      <c r="S256" s="56" t="str">
        <f aca="false">IF($W256="","",N(INDEX(发票统计!S$4:S$1003,$W256)))</f>
        <v/>
      </c>
      <c r="T256" s="56" t="str">
        <f aca="false">IF($W256="","",SUM(Q$4:Q256)-SUM(R$4:R256)-SUM(S$4:S256))</f>
        <v/>
      </c>
      <c r="U256" s="56" t="str">
        <f aca="false">IF($W256="","",INDEX(发票统计!U$4:U$1003,$W256)&amp;"")</f>
        <v/>
      </c>
      <c r="W256" s="1" t="str">
        <f aca="false">IF($V$3="","",IFERROR(MATCH($V$3&amp;"#"&amp;ROWS(W$4:W256),发票统计!$W$4:$W$1003,0),""))</f>
        <v/>
      </c>
    </row>
    <row r="257" customFormat="false" ht="16.5" hidden="false" customHeight="false" outlineLevel="0" collapsed="false">
      <c r="A257" s="56" t="str">
        <f aca="false">IF($W257="","",INDEX(发票统计!A$4:A$1003,$W257)&amp;"")</f>
        <v/>
      </c>
      <c r="B257" s="56" t="str">
        <f aca="false">IF($W257="","",INDEX(发票统计!B$4:B$1003,$W257)&amp;"")</f>
        <v/>
      </c>
      <c r="C257" s="56" t="str">
        <f aca="false">IF($W257="","",INDEX(发票统计!C$4:C$1003,$W257)&amp;"")</f>
        <v/>
      </c>
      <c r="D257" s="56" t="str">
        <f aca="false">IF($W257="","",INDEX(发票统计!D$4:D$1003,$W257)&amp;"")</f>
        <v/>
      </c>
      <c r="E257" s="56" t="str">
        <f aca="false">IF($W257="","",INDEX(发票统计!E$4:E$1003,$W257)&amp;"")</f>
        <v/>
      </c>
      <c r="F257" s="73" t="str">
        <f aca="false">IF($W257="","",INDEX(发票统计!F$4:F$1003,$W257)&amp;"")</f>
        <v/>
      </c>
      <c r="G257" s="68" t="str">
        <f aca="false">IF($W257="","",IF(INDEX(发票统计!G$4:G$1003,$W257)="","",INDEX(发票统计!G$4:G$1003,$W257)))</f>
        <v/>
      </c>
      <c r="H257" s="56" t="str">
        <f aca="false">IF($W257="","",N(INDEX(发票统计!H$4:H$1003,$W257)))</f>
        <v/>
      </c>
      <c r="I257" s="56" t="str">
        <f aca="false">IF($W257="","",N(INDEX(发票统计!I$4:I$1003,$W257)))</f>
        <v/>
      </c>
      <c r="J257" s="56" t="str">
        <f aca="false">IF($W257="","",N(INDEX(发票统计!J$4:J$1003,$W257)))</f>
        <v/>
      </c>
      <c r="K257" s="56" t="str">
        <f aca="false">IF($W257="","",N(INDEX(发票统计!K$4:K$1003,$W257)))</f>
        <v/>
      </c>
      <c r="L257" s="56" t="str">
        <f aca="false">IF($W257="","",SUM(J$4:J257)-SUM(K$4:K257))</f>
        <v/>
      </c>
      <c r="M257" s="56" t="str">
        <f aca="false">IF($W257="","",N(INDEX(发票统计!M$4:M$1003,$W257)))</f>
        <v/>
      </c>
      <c r="N257" s="56" t="str">
        <f aca="false">IF($W257="","",N(INDEX(发票统计!N$4:N$1003,$W257)))</f>
        <v/>
      </c>
      <c r="O257" s="56" t="str">
        <f aca="false">IF($W257="","",N(INDEX(发票统计!O$4:O$1003,$W257)))</f>
        <v/>
      </c>
      <c r="P257" s="56" t="str">
        <f aca="false">IF($W257="","",SUM(M$4:M257)-SUM(N$4:N257)-SUM(O$4:O257))</f>
        <v/>
      </c>
      <c r="Q257" s="56" t="str">
        <f aca="false">IF($W257="","",N(INDEX(发票统计!Q$4:Q$1003,$W257)))</f>
        <v/>
      </c>
      <c r="R257" s="56" t="str">
        <f aca="false">IF($W257="","",N(INDEX(发票统计!R$4:R$1003,$W257)))</f>
        <v/>
      </c>
      <c r="S257" s="56" t="str">
        <f aca="false">IF($W257="","",N(INDEX(发票统计!S$4:S$1003,$W257)))</f>
        <v/>
      </c>
      <c r="T257" s="56" t="str">
        <f aca="false">IF($W257="","",SUM(Q$4:Q257)-SUM(R$4:R257)-SUM(S$4:S257))</f>
        <v/>
      </c>
      <c r="U257" s="56" t="str">
        <f aca="false">IF($W257="","",INDEX(发票统计!U$4:U$1003,$W257)&amp;"")</f>
        <v/>
      </c>
      <c r="W257" s="1" t="str">
        <f aca="false">IF($V$3="","",IFERROR(MATCH($V$3&amp;"#"&amp;ROWS(W$4:W257),发票统计!$W$4:$W$1003,0),""))</f>
        <v/>
      </c>
    </row>
    <row r="258" customFormat="false" ht="16.5" hidden="false" customHeight="false" outlineLevel="0" collapsed="false">
      <c r="A258" s="56" t="str">
        <f aca="false">IF($W258="","",INDEX(发票统计!A$4:A$1003,$W258)&amp;"")</f>
        <v/>
      </c>
      <c r="B258" s="56" t="str">
        <f aca="false">IF($W258="","",INDEX(发票统计!B$4:B$1003,$W258)&amp;"")</f>
        <v/>
      </c>
      <c r="C258" s="56" t="str">
        <f aca="false">IF($W258="","",INDEX(发票统计!C$4:C$1003,$W258)&amp;"")</f>
        <v/>
      </c>
      <c r="D258" s="56" t="str">
        <f aca="false">IF($W258="","",INDEX(发票统计!D$4:D$1003,$W258)&amp;"")</f>
        <v/>
      </c>
      <c r="E258" s="56" t="str">
        <f aca="false">IF($W258="","",INDEX(发票统计!E$4:E$1003,$W258)&amp;"")</f>
        <v/>
      </c>
      <c r="F258" s="73" t="str">
        <f aca="false">IF($W258="","",INDEX(发票统计!F$4:F$1003,$W258)&amp;"")</f>
        <v/>
      </c>
      <c r="G258" s="68" t="str">
        <f aca="false">IF($W258="","",IF(INDEX(发票统计!G$4:G$1003,$W258)="","",INDEX(发票统计!G$4:G$1003,$W258)))</f>
        <v/>
      </c>
      <c r="H258" s="56" t="str">
        <f aca="false">IF($W258="","",N(INDEX(发票统计!H$4:H$1003,$W258)))</f>
        <v/>
      </c>
      <c r="I258" s="56" t="str">
        <f aca="false">IF($W258="","",N(INDEX(发票统计!I$4:I$1003,$W258)))</f>
        <v/>
      </c>
      <c r="J258" s="56" t="str">
        <f aca="false">IF($W258="","",N(INDEX(发票统计!J$4:J$1003,$W258)))</f>
        <v/>
      </c>
      <c r="K258" s="56" t="str">
        <f aca="false">IF($W258="","",N(INDEX(发票统计!K$4:K$1003,$W258)))</f>
        <v/>
      </c>
      <c r="L258" s="56" t="str">
        <f aca="false">IF($W258="","",SUM(J$4:J258)-SUM(K$4:K258))</f>
        <v/>
      </c>
      <c r="M258" s="56" t="str">
        <f aca="false">IF($W258="","",N(INDEX(发票统计!M$4:M$1003,$W258)))</f>
        <v/>
      </c>
      <c r="N258" s="56" t="str">
        <f aca="false">IF($W258="","",N(INDEX(发票统计!N$4:N$1003,$W258)))</f>
        <v/>
      </c>
      <c r="O258" s="56" t="str">
        <f aca="false">IF($W258="","",N(INDEX(发票统计!O$4:O$1003,$W258)))</f>
        <v/>
      </c>
      <c r="P258" s="56" t="str">
        <f aca="false">IF($W258="","",SUM(M$4:M258)-SUM(N$4:N258)-SUM(O$4:O258))</f>
        <v/>
      </c>
      <c r="Q258" s="56" t="str">
        <f aca="false">IF($W258="","",N(INDEX(发票统计!Q$4:Q$1003,$W258)))</f>
        <v/>
      </c>
      <c r="R258" s="56" t="str">
        <f aca="false">IF($W258="","",N(INDEX(发票统计!R$4:R$1003,$W258)))</f>
        <v/>
      </c>
      <c r="S258" s="56" t="str">
        <f aca="false">IF($W258="","",N(INDEX(发票统计!S$4:S$1003,$W258)))</f>
        <v/>
      </c>
      <c r="T258" s="56" t="str">
        <f aca="false">IF($W258="","",SUM(Q$4:Q258)-SUM(R$4:R258)-SUM(S$4:S258))</f>
        <v/>
      </c>
      <c r="U258" s="56" t="str">
        <f aca="false">IF($W258="","",INDEX(发票统计!U$4:U$1003,$W258)&amp;"")</f>
        <v/>
      </c>
      <c r="W258" s="1" t="str">
        <f aca="false">IF($V$3="","",IFERROR(MATCH($V$3&amp;"#"&amp;ROWS(W$4:W258),发票统计!$W$4:$W$1003,0),""))</f>
        <v/>
      </c>
    </row>
    <row r="259" customFormat="false" ht="16.5" hidden="false" customHeight="false" outlineLevel="0" collapsed="false">
      <c r="A259" s="56" t="str">
        <f aca="false">IF($W259="","",INDEX(发票统计!A$4:A$1003,$W259)&amp;"")</f>
        <v/>
      </c>
      <c r="B259" s="56" t="str">
        <f aca="false">IF($W259="","",INDEX(发票统计!B$4:B$1003,$W259)&amp;"")</f>
        <v/>
      </c>
      <c r="C259" s="56" t="str">
        <f aca="false">IF($W259="","",INDEX(发票统计!C$4:C$1003,$W259)&amp;"")</f>
        <v/>
      </c>
      <c r="D259" s="56" t="str">
        <f aca="false">IF($W259="","",INDEX(发票统计!D$4:D$1003,$W259)&amp;"")</f>
        <v/>
      </c>
      <c r="E259" s="56" t="str">
        <f aca="false">IF($W259="","",INDEX(发票统计!E$4:E$1003,$W259)&amp;"")</f>
        <v/>
      </c>
      <c r="F259" s="73" t="str">
        <f aca="false">IF($W259="","",INDEX(发票统计!F$4:F$1003,$W259)&amp;"")</f>
        <v/>
      </c>
      <c r="G259" s="68" t="str">
        <f aca="false">IF($W259="","",IF(INDEX(发票统计!G$4:G$1003,$W259)="","",INDEX(发票统计!G$4:G$1003,$W259)))</f>
        <v/>
      </c>
      <c r="H259" s="56" t="str">
        <f aca="false">IF($W259="","",N(INDEX(发票统计!H$4:H$1003,$W259)))</f>
        <v/>
      </c>
      <c r="I259" s="56" t="str">
        <f aca="false">IF($W259="","",N(INDEX(发票统计!I$4:I$1003,$W259)))</f>
        <v/>
      </c>
      <c r="J259" s="56" t="str">
        <f aca="false">IF($W259="","",N(INDEX(发票统计!J$4:J$1003,$W259)))</f>
        <v/>
      </c>
      <c r="K259" s="56" t="str">
        <f aca="false">IF($W259="","",N(INDEX(发票统计!K$4:K$1003,$W259)))</f>
        <v/>
      </c>
      <c r="L259" s="56" t="str">
        <f aca="false">IF($W259="","",SUM(J$4:J259)-SUM(K$4:K259))</f>
        <v/>
      </c>
      <c r="M259" s="56" t="str">
        <f aca="false">IF($W259="","",N(INDEX(发票统计!M$4:M$1003,$W259)))</f>
        <v/>
      </c>
      <c r="N259" s="56" t="str">
        <f aca="false">IF($W259="","",N(INDEX(发票统计!N$4:N$1003,$W259)))</f>
        <v/>
      </c>
      <c r="O259" s="56" t="str">
        <f aca="false">IF($W259="","",N(INDEX(发票统计!O$4:O$1003,$W259)))</f>
        <v/>
      </c>
      <c r="P259" s="56" t="str">
        <f aca="false">IF($W259="","",SUM(M$4:M259)-SUM(N$4:N259)-SUM(O$4:O259))</f>
        <v/>
      </c>
      <c r="Q259" s="56" t="str">
        <f aca="false">IF($W259="","",N(INDEX(发票统计!Q$4:Q$1003,$W259)))</f>
        <v/>
      </c>
      <c r="R259" s="56" t="str">
        <f aca="false">IF($W259="","",N(INDEX(发票统计!R$4:R$1003,$W259)))</f>
        <v/>
      </c>
      <c r="S259" s="56" t="str">
        <f aca="false">IF($W259="","",N(INDEX(发票统计!S$4:S$1003,$W259)))</f>
        <v/>
      </c>
      <c r="T259" s="56" t="str">
        <f aca="false">IF($W259="","",SUM(Q$4:Q259)-SUM(R$4:R259)-SUM(S$4:S259))</f>
        <v/>
      </c>
      <c r="U259" s="56" t="str">
        <f aca="false">IF($W259="","",INDEX(发票统计!U$4:U$1003,$W259)&amp;"")</f>
        <v/>
      </c>
      <c r="W259" s="1" t="str">
        <f aca="false">IF($V$3="","",IFERROR(MATCH($V$3&amp;"#"&amp;ROWS(W$4:W259),发票统计!$W$4:$W$1003,0),""))</f>
        <v/>
      </c>
    </row>
    <row r="260" customFormat="false" ht="16.5" hidden="false" customHeight="false" outlineLevel="0" collapsed="false">
      <c r="A260" s="56" t="str">
        <f aca="false">IF($W260="","",INDEX(发票统计!A$4:A$1003,$W260)&amp;"")</f>
        <v/>
      </c>
      <c r="B260" s="56" t="str">
        <f aca="false">IF($W260="","",INDEX(发票统计!B$4:B$1003,$W260)&amp;"")</f>
        <v/>
      </c>
      <c r="C260" s="56" t="str">
        <f aca="false">IF($W260="","",INDEX(发票统计!C$4:C$1003,$W260)&amp;"")</f>
        <v/>
      </c>
      <c r="D260" s="56" t="str">
        <f aca="false">IF($W260="","",INDEX(发票统计!D$4:D$1003,$W260)&amp;"")</f>
        <v/>
      </c>
      <c r="E260" s="56" t="str">
        <f aca="false">IF($W260="","",INDEX(发票统计!E$4:E$1003,$W260)&amp;"")</f>
        <v/>
      </c>
      <c r="F260" s="73" t="str">
        <f aca="false">IF($W260="","",INDEX(发票统计!F$4:F$1003,$W260)&amp;"")</f>
        <v/>
      </c>
      <c r="G260" s="68" t="str">
        <f aca="false">IF($W260="","",IF(INDEX(发票统计!G$4:G$1003,$W260)="","",INDEX(发票统计!G$4:G$1003,$W260)))</f>
        <v/>
      </c>
      <c r="H260" s="56" t="str">
        <f aca="false">IF($W260="","",N(INDEX(发票统计!H$4:H$1003,$W260)))</f>
        <v/>
      </c>
      <c r="I260" s="56" t="str">
        <f aca="false">IF($W260="","",N(INDEX(发票统计!I$4:I$1003,$W260)))</f>
        <v/>
      </c>
      <c r="J260" s="56" t="str">
        <f aca="false">IF($W260="","",N(INDEX(发票统计!J$4:J$1003,$W260)))</f>
        <v/>
      </c>
      <c r="K260" s="56" t="str">
        <f aca="false">IF($W260="","",N(INDEX(发票统计!K$4:K$1003,$W260)))</f>
        <v/>
      </c>
      <c r="L260" s="56" t="str">
        <f aca="false">IF($W260="","",SUM(J$4:J260)-SUM(K$4:K260))</f>
        <v/>
      </c>
      <c r="M260" s="56" t="str">
        <f aca="false">IF($W260="","",N(INDEX(发票统计!M$4:M$1003,$W260)))</f>
        <v/>
      </c>
      <c r="N260" s="56" t="str">
        <f aca="false">IF($W260="","",N(INDEX(发票统计!N$4:N$1003,$W260)))</f>
        <v/>
      </c>
      <c r="O260" s="56" t="str">
        <f aca="false">IF($W260="","",N(INDEX(发票统计!O$4:O$1003,$W260)))</f>
        <v/>
      </c>
      <c r="P260" s="56" t="str">
        <f aca="false">IF($W260="","",SUM(M$4:M260)-SUM(N$4:N260)-SUM(O$4:O260))</f>
        <v/>
      </c>
      <c r="Q260" s="56" t="str">
        <f aca="false">IF($W260="","",N(INDEX(发票统计!Q$4:Q$1003,$W260)))</f>
        <v/>
      </c>
      <c r="R260" s="56" t="str">
        <f aca="false">IF($W260="","",N(INDEX(发票统计!R$4:R$1003,$W260)))</f>
        <v/>
      </c>
      <c r="S260" s="56" t="str">
        <f aca="false">IF($W260="","",N(INDEX(发票统计!S$4:S$1003,$W260)))</f>
        <v/>
      </c>
      <c r="T260" s="56" t="str">
        <f aca="false">IF($W260="","",SUM(Q$4:Q260)-SUM(R$4:R260)-SUM(S$4:S260))</f>
        <v/>
      </c>
      <c r="U260" s="56" t="str">
        <f aca="false">IF($W260="","",INDEX(发票统计!U$4:U$1003,$W260)&amp;"")</f>
        <v/>
      </c>
      <c r="W260" s="1" t="str">
        <f aca="false">IF($V$3="","",IFERROR(MATCH($V$3&amp;"#"&amp;ROWS(W$4:W260),发票统计!$W$4:$W$1003,0),""))</f>
        <v/>
      </c>
    </row>
    <row r="261" customFormat="false" ht="16.5" hidden="false" customHeight="false" outlineLevel="0" collapsed="false">
      <c r="A261" s="56" t="str">
        <f aca="false">IF($W261="","",INDEX(发票统计!A$4:A$1003,$W261)&amp;"")</f>
        <v/>
      </c>
      <c r="B261" s="56" t="str">
        <f aca="false">IF($W261="","",INDEX(发票统计!B$4:B$1003,$W261)&amp;"")</f>
        <v/>
      </c>
      <c r="C261" s="56" t="str">
        <f aca="false">IF($W261="","",INDEX(发票统计!C$4:C$1003,$W261)&amp;"")</f>
        <v/>
      </c>
      <c r="D261" s="56" t="str">
        <f aca="false">IF($W261="","",INDEX(发票统计!D$4:D$1003,$W261)&amp;"")</f>
        <v/>
      </c>
      <c r="E261" s="56" t="str">
        <f aca="false">IF($W261="","",INDEX(发票统计!E$4:E$1003,$W261)&amp;"")</f>
        <v/>
      </c>
      <c r="F261" s="73" t="str">
        <f aca="false">IF($W261="","",INDEX(发票统计!F$4:F$1003,$W261)&amp;"")</f>
        <v/>
      </c>
      <c r="G261" s="68" t="str">
        <f aca="false">IF($W261="","",IF(INDEX(发票统计!G$4:G$1003,$W261)="","",INDEX(发票统计!G$4:G$1003,$W261)))</f>
        <v/>
      </c>
      <c r="H261" s="56" t="str">
        <f aca="false">IF($W261="","",N(INDEX(发票统计!H$4:H$1003,$W261)))</f>
        <v/>
      </c>
      <c r="I261" s="56" t="str">
        <f aca="false">IF($W261="","",N(INDEX(发票统计!I$4:I$1003,$W261)))</f>
        <v/>
      </c>
      <c r="J261" s="56" t="str">
        <f aca="false">IF($W261="","",N(INDEX(发票统计!J$4:J$1003,$W261)))</f>
        <v/>
      </c>
      <c r="K261" s="56" t="str">
        <f aca="false">IF($W261="","",N(INDEX(发票统计!K$4:K$1003,$W261)))</f>
        <v/>
      </c>
      <c r="L261" s="56" t="str">
        <f aca="false">IF($W261="","",SUM(J$4:J261)-SUM(K$4:K261))</f>
        <v/>
      </c>
      <c r="M261" s="56" t="str">
        <f aca="false">IF($W261="","",N(INDEX(发票统计!M$4:M$1003,$W261)))</f>
        <v/>
      </c>
      <c r="N261" s="56" t="str">
        <f aca="false">IF($W261="","",N(INDEX(发票统计!N$4:N$1003,$W261)))</f>
        <v/>
      </c>
      <c r="O261" s="56" t="str">
        <f aca="false">IF($W261="","",N(INDEX(发票统计!O$4:O$1003,$W261)))</f>
        <v/>
      </c>
      <c r="P261" s="56" t="str">
        <f aca="false">IF($W261="","",SUM(M$4:M261)-SUM(N$4:N261)-SUM(O$4:O261))</f>
        <v/>
      </c>
      <c r="Q261" s="56" t="str">
        <f aca="false">IF($W261="","",N(INDEX(发票统计!Q$4:Q$1003,$W261)))</f>
        <v/>
      </c>
      <c r="R261" s="56" t="str">
        <f aca="false">IF($W261="","",N(INDEX(发票统计!R$4:R$1003,$W261)))</f>
        <v/>
      </c>
      <c r="S261" s="56" t="str">
        <f aca="false">IF($W261="","",N(INDEX(发票统计!S$4:S$1003,$W261)))</f>
        <v/>
      </c>
      <c r="T261" s="56" t="str">
        <f aca="false">IF($W261="","",SUM(Q$4:Q261)-SUM(R$4:R261)-SUM(S$4:S261))</f>
        <v/>
      </c>
      <c r="U261" s="56" t="str">
        <f aca="false">IF($W261="","",INDEX(发票统计!U$4:U$1003,$W261)&amp;"")</f>
        <v/>
      </c>
      <c r="W261" s="1" t="str">
        <f aca="false">IF($V$3="","",IFERROR(MATCH($V$3&amp;"#"&amp;ROWS(W$4:W261),发票统计!$W$4:$W$1003,0),""))</f>
        <v/>
      </c>
    </row>
    <row r="262" customFormat="false" ht="16.5" hidden="false" customHeight="false" outlineLevel="0" collapsed="false">
      <c r="A262" s="56" t="str">
        <f aca="false">IF($W262="","",INDEX(发票统计!A$4:A$1003,$W262)&amp;"")</f>
        <v/>
      </c>
      <c r="B262" s="56" t="str">
        <f aca="false">IF($W262="","",INDEX(发票统计!B$4:B$1003,$W262)&amp;"")</f>
        <v/>
      </c>
      <c r="C262" s="56" t="str">
        <f aca="false">IF($W262="","",INDEX(发票统计!C$4:C$1003,$W262)&amp;"")</f>
        <v/>
      </c>
      <c r="D262" s="56" t="str">
        <f aca="false">IF($W262="","",INDEX(发票统计!D$4:D$1003,$W262)&amp;"")</f>
        <v/>
      </c>
      <c r="E262" s="56" t="str">
        <f aca="false">IF($W262="","",INDEX(发票统计!E$4:E$1003,$W262)&amp;"")</f>
        <v/>
      </c>
      <c r="F262" s="73" t="str">
        <f aca="false">IF($W262="","",INDEX(发票统计!F$4:F$1003,$W262)&amp;"")</f>
        <v/>
      </c>
      <c r="G262" s="68" t="str">
        <f aca="false">IF($W262="","",IF(INDEX(发票统计!G$4:G$1003,$W262)="","",INDEX(发票统计!G$4:G$1003,$W262)))</f>
        <v/>
      </c>
      <c r="H262" s="56" t="str">
        <f aca="false">IF($W262="","",N(INDEX(发票统计!H$4:H$1003,$W262)))</f>
        <v/>
      </c>
      <c r="I262" s="56" t="str">
        <f aca="false">IF($W262="","",N(INDEX(发票统计!I$4:I$1003,$W262)))</f>
        <v/>
      </c>
      <c r="J262" s="56" t="str">
        <f aca="false">IF($W262="","",N(INDEX(发票统计!J$4:J$1003,$W262)))</f>
        <v/>
      </c>
      <c r="K262" s="56" t="str">
        <f aca="false">IF($W262="","",N(INDEX(发票统计!K$4:K$1003,$W262)))</f>
        <v/>
      </c>
      <c r="L262" s="56" t="str">
        <f aca="false">IF($W262="","",SUM(J$4:J262)-SUM(K$4:K262))</f>
        <v/>
      </c>
      <c r="M262" s="56" t="str">
        <f aca="false">IF($W262="","",N(INDEX(发票统计!M$4:M$1003,$W262)))</f>
        <v/>
      </c>
      <c r="N262" s="56" t="str">
        <f aca="false">IF($W262="","",N(INDEX(发票统计!N$4:N$1003,$W262)))</f>
        <v/>
      </c>
      <c r="O262" s="56" t="str">
        <f aca="false">IF($W262="","",N(INDEX(发票统计!O$4:O$1003,$W262)))</f>
        <v/>
      </c>
      <c r="P262" s="56" t="str">
        <f aca="false">IF($W262="","",SUM(M$4:M262)-SUM(N$4:N262)-SUM(O$4:O262))</f>
        <v/>
      </c>
      <c r="Q262" s="56" t="str">
        <f aca="false">IF($W262="","",N(INDEX(发票统计!Q$4:Q$1003,$W262)))</f>
        <v/>
      </c>
      <c r="R262" s="56" t="str">
        <f aca="false">IF($W262="","",N(INDEX(发票统计!R$4:R$1003,$W262)))</f>
        <v/>
      </c>
      <c r="S262" s="56" t="str">
        <f aca="false">IF($W262="","",N(INDEX(发票统计!S$4:S$1003,$W262)))</f>
        <v/>
      </c>
      <c r="T262" s="56" t="str">
        <f aca="false">IF($W262="","",SUM(Q$4:Q262)-SUM(R$4:R262)-SUM(S$4:S262))</f>
        <v/>
      </c>
      <c r="U262" s="56" t="str">
        <f aca="false">IF($W262="","",INDEX(发票统计!U$4:U$1003,$W262)&amp;"")</f>
        <v/>
      </c>
      <c r="W262" s="1" t="str">
        <f aca="false">IF($V$3="","",IFERROR(MATCH($V$3&amp;"#"&amp;ROWS(W$4:W262),发票统计!$W$4:$W$1003,0),""))</f>
        <v/>
      </c>
    </row>
    <row r="263" customFormat="false" ht="16.5" hidden="false" customHeight="false" outlineLevel="0" collapsed="false">
      <c r="A263" s="56" t="str">
        <f aca="false">IF($W263="","",INDEX(发票统计!A$4:A$1003,$W263)&amp;"")</f>
        <v/>
      </c>
      <c r="B263" s="56" t="str">
        <f aca="false">IF($W263="","",INDEX(发票统计!B$4:B$1003,$W263)&amp;"")</f>
        <v/>
      </c>
      <c r="C263" s="56" t="str">
        <f aca="false">IF($W263="","",INDEX(发票统计!C$4:C$1003,$W263)&amp;"")</f>
        <v/>
      </c>
      <c r="D263" s="56" t="str">
        <f aca="false">IF($W263="","",INDEX(发票统计!D$4:D$1003,$W263)&amp;"")</f>
        <v/>
      </c>
      <c r="E263" s="56" t="str">
        <f aca="false">IF($W263="","",INDEX(发票统计!E$4:E$1003,$W263)&amp;"")</f>
        <v/>
      </c>
      <c r="F263" s="73" t="str">
        <f aca="false">IF($W263="","",INDEX(发票统计!F$4:F$1003,$W263)&amp;"")</f>
        <v/>
      </c>
      <c r="G263" s="68" t="str">
        <f aca="false">IF($W263="","",IF(INDEX(发票统计!G$4:G$1003,$W263)="","",INDEX(发票统计!G$4:G$1003,$W263)))</f>
        <v/>
      </c>
      <c r="H263" s="56" t="str">
        <f aca="false">IF($W263="","",N(INDEX(发票统计!H$4:H$1003,$W263)))</f>
        <v/>
      </c>
      <c r="I263" s="56" t="str">
        <f aca="false">IF($W263="","",N(INDEX(发票统计!I$4:I$1003,$W263)))</f>
        <v/>
      </c>
      <c r="J263" s="56" t="str">
        <f aca="false">IF($W263="","",N(INDEX(发票统计!J$4:J$1003,$W263)))</f>
        <v/>
      </c>
      <c r="K263" s="56" t="str">
        <f aca="false">IF($W263="","",N(INDEX(发票统计!K$4:K$1003,$W263)))</f>
        <v/>
      </c>
      <c r="L263" s="56" t="str">
        <f aca="false">IF($W263="","",SUM(J$4:J263)-SUM(K$4:K263))</f>
        <v/>
      </c>
      <c r="M263" s="56" t="str">
        <f aca="false">IF($W263="","",N(INDEX(发票统计!M$4:M$1003,$W263)))</f>
        <v/>
      </c>
      <c r="N263" s="56" t="str">
        <f aca="false">IF($W263="","",N(INDEX(发票统计!N$4:N$1003,$W263)))</f>
        <v/>
      </c>
      <c r="O263" s="56" t="str">
        <f aca="false">IF($W263="","",N(INDEX(发票统计!O$4:O$1003,$W263)))</f>
        <v/>
      </c>
      <c r="P263" s="56" t="str">
        <f aca="false">IF($W263="","",SUM(M$4:M263)-SUM(N$4:N263)-SUM(O$4:O263))</f>
        <v/>
      </c>
      <c r="Q263" s="56" t="str">
        <f aca="false">IF($W263="","",N(INDEX(发票统计!Q$4:Q$1003,$W263)))</f>
        <v/>
      </c>
      <c r="R263" s="56" t="str">
        <f aca="false">IF($W263="","",N(INDEX(发票统计!R$4:R$1003,$W263)))</f>
        <v/>
      </c>
      <c r="S263" s="56" t="str">
        <f aca="false">IF($W263="","",N(INDEX(发票统计!S$4:S$1003,$W263)))</f>
        <v/>
      </c>
      <c r="T263" s="56" t="str">
        <f aca="false">IF($W263="","",SUM(Q$4:Q263)-SUM(R$4:R263)-SUM(S$4:S263))</f>
        <v/>
      </c>
      <c r="U263" s="56" t="str">
        <f aca="false">IF($W263="","",INDEX(发票统计!U$4:U$1003,$W263)&amp;"")</f>
        <v/>
      </c>
      <c r="W263" s="1" t="str">
        <f aca="false">IF($V$3="","",IFERROR(MATCH($V$3&amp;"#"&amp;ROWS(W$4:W263),发票统计!$W$4:$W$1003,0),""))</f>
        <v/>
      </c>
    </row>
    <row r="264" customFormat="false" ht="16.5" hidden="false" customHeight="false" outlineLevel="0" collapsed="false">
      <c r="A264" s="56" t="str">
        <f aca="false">IF($W264="","",INDEX(发票统计!A$4:A$1003,$W264)&amp;"")</f>
        <v/>
      </c>
      <c r="B264" s="56" t="str">
        <f aca="false">IF($W264="","",INDEX(发票统计!B$4:B$1003,$W264)&amp;"")</f>
        <v/>
      </c>
      <c r="C264" s="56" t="str">
        <f aca="false">IF($W264="","",INDEX(发票统计!C$4:C$1003,$W264)&amp;"")</f>
        <v/>
      </c>
      <c r="D264" s="56" t="str">
        <f aca="false">IF($W264="","",INDEX(发票统计!D$4:D$1003,$W264)&amp;"")</f>
        <v/>
      </c>
      <c r="E264" s="56" t="str">
        <f aca="false">IF($W264="","",INDEX(发票统计!E$4:E$1003,$W264)&amp;"")</f>
        <v/>
      </c>
      <c r="F264" s="73" t="str">
        <f aca="false">IF($W264="","",INDEX(发票统计!F$4:F$1003,$W264)&amp;"")</f>
        <v/>
      </c>
      <c r="G264" s="68" t="str">
        <f aca="false">IF($W264="","",IF(INDEX(发票统计!G$4:G$1003,$W264)="","",INDEX(发票统计!G$4:G$1003,$W264)))</f>
        <v/>
      </c>
      <c r="H264" s="56" t="str">
        <f aca="false">IF($W264="","",N(INDEX(发票统计!H$4:H$1003,$W264)))</f>
        <v/>
      </c>
      <c r="I264" s="56" t="str">
        <f aca="false">IF($W264="","",N(INDEX(发票统计!I$4:I$1003,$W264)))</f>
        <v/>
      </c>
      <c r="J264" s="56" t="str">
        <f aca="false">IF($W264="","",N(INDEX(发票统计!J$4:J$1003,$W264)))</f>
        <v/>
      </c>
      <c r="K264" s="56" t="str">
        <f aca="false">IF($W264="","",N(INDEX(发票统计!K$4:K$1003,$W264)))</f>
        <v/>
      </c>
      <c r="L264" s="56" t="str">
        <f aca="false">IF($W264="","",SUM(J$4:J264)-SUM(K$4:K264))</f>
        <v/>
      </c>
      <c r="M264" s="56" t="str">
        <f aca="false">IF($W264="","",N(INDEX(发票统计!M$4:M$1003,$W264)))</f>
        <v/>
      </c>
      <c r="N264" s="56" t="str">
        <f aca="false">IF($W264="","",N(INDEX(发票统计!N$4:N$1003,$W264)))</f>
        <v/>
      </c>
      <c r="O264" s="56" t="str">
        <f aca="false">IF($W264="","",N(INDEX(发票统计!O$4:O$1003,$W264)))</f>
        <v/>
      </c>
      <c r="P264" s="56" t="str">
        <f aca="false">IF($W264="","",SUM(M$4:M264)-SUM(N$4:N264)-SUM(O$4:O264))</f>
        <v/>
      </c>
      <c r="Q264" s="56" t="str">
        <f aca="false">IF($W264="","",N(INDEX(发票统计!Q$4:Q$1003,$W264)))</f>
        <v/>
      </c>
      <c r="R264" s="56" t="str">
        <f aca="false">IF($W264="","",N(INDEX(发票统计!R$4:R$1003,$W264)))</f>
        <v/>
      </c>
      <c r="S264" s="56" t="str">
        <f aca="false">IF($W264="","",N(INDEX(发票统计!S$4:S$1003,$W264)))</f>
        <v/>
      </c>
      <c r="T264" s="56" t="str">
        <f aca="false">IF($W264="","",SUM(Q$4:Q264)-SUM(R$4:R264)-SUM(S$4:S264))</f>
        <v/>
      </c>
      <c r="U264" s="56" t="str">
        <f aca="false">IF($W264="","",INDEX(发票统计!U$4:U$1003,$W264)&amp;"")</f>
        <v/>
      </c>
      <c r="W264" s="1" t="str">
        <f aca="false">IF($V$3="","",IFERROR(MATCH($V$3&amp;"#"&amp;ROWS(W$4:W264),发票统计!$W$4:$W$1003,0),""))</f>
        <v/>
      </c>
    </row>
    <row r="265" customFormat="false" ht="16.5" hidden="false" customHeight="false" outlineLevel="0" collapsed="false">
      <c r="A265" s="56" t="str">
        <f aca="false">IF($W265="","",INDEX(发票统计!A$4:A$1003,$W265)&amp;"")</f>
        <v/>
      </c>
      <c r="B265" s="56" t="str">
        <f aca="false">IF($W265="","",INDEX(发票统计!B$4:B$1003,$W265)&amp;"")</f>
        <v/>
      </c>
      <c r="C265" s="56" t="str">
        <f aca="false">IF($W265="","",INDEX(发票统计!C$4:C$1003,$W265)&amp;"")</f>
        <v/>
      </c>
      <c r="D265" s="56" t="str">
        <f aca="false">IF($W265="","",INDEX(发票统计!D$4:D$1003,$W265)&amp;"")</f>
        <v/>
      </c>
      <c r="E265" s="56" t="str">
        <f aca="false">IF($W265="","",INDEX(发票统计!E$4:E$1003,$W265)&amp;"")</f>
        <v/>
      </c>
      <c r="F265" s="73" t="str">
        <f aca="false">IF($W265="","",INDEX(发票统计!F$4:F$1003,$W265)&amp;"")</f>
        <v/>
      </c>
      <c r="G265" s="68" t="str">
        <f aca="false">IF($W265="","",IF(INDEX(发票统计!G$4:G$1003,$W265)="","",INDEX(发票统计!G$4:G$1003,$W265)))</f>
        <v/>
      </c>
      <c r="H265" s="56" t="str">
        <f aca="false">IF($W265="","",N(INDEX(发票统计!H$4:H$1003,$W265)))</f>
        <v/>
      </c>
      <c r="I265" s="56" t="str">
        <f aca="false">IF($W265="","",N(INDEX(发票统计!I$4:I$1003,$W265)))</f>
        <v/>
      </c>
      <c r="J265" s="56" t="str">
        <f aca="false">IF($W265="","",N(INDEX(发票统计!J$4:J$1003,$W265)))</f>
        <v/>
      </c>
      <c r="K265" s="56" t="str">
        <f aca="false">IF($W265="","",N(INDEX(发票统计!K$4:K$1003,$W265)))</f>
        <v/>
      </c>
      <c r="L265" s="56" t="str">
        <f aca="false">IF($W265="","",SUM(J$4:J265)-SUM(K$4:K265))</f>
        <v/>
      </c>
      <c r="M265" s="56" t="str">
        <f aca="false">IF($W265="","",N(INDEX(发票统计!M$4:M$1003,$W265)))</f>
        <v/>
      </c>
      <c r="N265" s="56" t="str">
        <f aca="false">IF($W265="","",N(INDEX(发票统计!N$4:N$1003,$W265)))</f>
        <v/>
      </c>
      <c r="O265" s="56" t="str">
        <f aca="false">IF($W265="","",N(INDEX(发票统计!O$4:O$1003,$W265)))</f>
        <v/>
      </c>
      <c r="P265" s="56" t="str">
        <f aca="false">IF($W265="","",SUM(M$4:M265)-SUM(N$4:N265)-SUM(O$4:O265))</f>
        <v/>
      </c>
      <c r="Q265" s="56" t="str">
        <f aca="false">IF($W265="","",N(INDEX(发票统计!Q$4:Q$1003,$W265)))</f>
        <v/>
      </c>
      <c r="R265" s="56" t="str">
        <f aca="false">IF($W265="","",N(INDEX(发票统计!R$4:R$1003,$W265)))</f>
        <v/>
      </c>
      <c r="S265" s="56" t="str">
        <f aca="false">IF($W265="","",N(INDEX(发票统计!S$4:S$1003,$W265)))</f>
        <v/>
      </c>
      <c r="T265" s="56" t="str">
        <f aca="false">IF($W265="","",SUM(Q$4:Q265)-SUM(R$4:R265)-SUM(S$4:S265))</f>
        <v/>
      </c>
      <c r="U265" s="56" t="str">
        <f aca="false">IF($W265="","",INDEX(发票统计!U$4:U$1003,$W265)&amp;"")</f>
        <v/>
      </c>
      <c r="W265" s="1" t="str">
        <f aca="false">IF($V$3="","",IFERROR(MATCH($V$3&amp;"#"&amp;ROWS(W$4:W265),发票统计!$W$4:$W$1003,0),""))</f>
        <v/>
      </c>
    </row>
    <row r="266" customFormat="false" ht="16.5" hidden="false" customHeight="false" outlineLevel="0" collapsed="false">
      <c r="A266" s="56" t="str">
        <f aca="false">IF($W266="","",INDEX(发票统计!A$4:A$1003,$W266)&amp;"")</f>
        <v/>
      </c>
      <c r="B266" s="56" t="str">
        <f aca="false">IF($W266="","",INDEX(发票统计!B$4:B$1003,$W266)&amp;"")</f>
        <v/>
      </c>
      <c r="C266" s="56" t="str">
        <f aca="false">IF($W266="","",INDEX(发票统计!C$4:C$1003,$W266)&amp;"")</f>
        <v/>
      </c>
      <c r="D266" s="56" t="str">
        <f aca="false">IF($W266="","",INDEX(发票统计!D$4:D$1003,$W266)&amp;"")</f>
        <v/>
      </c>
      <c r="E266" s="56" t="str">
        <f aca="false">IF($W266="","",INDEX(发票统计!E$4:E$1003,$W266)&amp;"")</f>
        <v/>
      </c>
      <c r="F266" s="73" t="str">
        <f aca="false">IF($W266="","",INDEX(发票统计!F$4:F$1003,$W266)&amp;"")</f>
        <v/>
      </c>
      <c r="G266" s="68" t="str">
        <f aca="false">IF($W266="","",IF(INDEX(发票统计!G$4:G$1003,$W266)="","",INDEX(发票统计!G$4:G$1003,$W266)))</f>
        <v/>
      </c>
      <c r="H266" s="56" t="str">
        <f aca="false">IF($W266="","",N(INDEX(发票统计!H$4:H$1003,$W266)))</f>
        <v/>
      </c>
      <c r="I266" s="56" t="str">
        <f aca="false">IF($W266="","",N(INDEX(发票统计!I$4:I$1003,$W266)))</f>
        <v/>
      </c>
      <c r="J266" s="56" t="str">
        <f aca="false">IF($W266="","",N(INDEX(发票统计!J$4:J$1003,$W266)))</f>
        <v/>
      </c>
      <c r="K266" s="56" t="str">
        <f aca="false">IF($W266="","",N(INDEX(发票统计!K$4:K$1003,$W266)))</f>
        <v/>
      </c>
      <c r="L266" s="56" t="str">
        <f aca="false">IF($W266="","",SUM(J$4:J266)-SUM(K$4:K266))</f>
        <v/>
      </c>
      <c r="M266" s="56" t="str">
        <f aca="false">IF($W266="","",N(INDEX(发票统计!M$4:M$1003,$W266)))</f>
        <v/>
      </c>
      <c r="N266" s="56" t="str">
        <f aca="false">IF($W266="","",N(INDEX(发票统计!N$4:N$1003,$W266)))</f>
        <v/>
      </c>
      <c r="O266" s="56" t="str">
        <f aca="false">IF($W266="","",N(INDEX(发票统计!O$4:O$1003,$W266)))</f>
        <v/>
      </c>
      <c r="P266" s="56" t="str">
        <f aca="false">IF($W266="","",SUM(M$4:M266)-SUM(N$4:N266)-SUM(O$4:O266))</f>
        <v/>
      </c>
      <c r="Q266" s="56" t="str">
        <f aca="false">IF($W266="","",N(INDEX(发票统计!Q$4:Q$1003,$W266)))</f>
        <v/>
      </c>
      <c r="R266" s="56" t="str">
        <f aca="false">IF($W266="","",N(INDEX(发票统计!R$4:R$1003,$W266)))</f>
        <v/>
      </c>
      <c r="S266" s="56" t="str">
        <f aca="false">IF($W266="","",N(INDEX(发票统计!S$4:S$1003,$W266)))</f>
        <v/>
      </c>
      <c r="T266" s="56" t="str">
        <f aca="false">IF($W266="","",SUM(Q$4:Q266)-SUM(R$4:R266)-SUM(S$4:S266))</f>
        <v/>
      </c>
      <c r="U266" s="56" t="str">
        <f aca="false">IF($W266="","",INDEX(发票统计!U$4:U$1003,$W266)&amp;"")</f>
        <v/>
      </c>
      <c r="W266" s="1" t="str">
        <f aca="false">IF($V$3="","",IFERROR(MATCH($V$3&amp;"#"&amp;ROWS(W$4:W266),发票统计!$W$4:$W$1003,0),""))</f>
        <v/>
      </c>
    </row>
    <row r="267" customFormat="false" ht="16.5" hidden="false" customHeight="false" outlineLevel="0" collapsed="false">
      <c r="A267" s="56" t="str">
        <f aca="false">IF($W267="","",INDEX(发票统计!A$4:A$1003,$W267)&amp;"")</f>
        <v/>
      </c>
      <c r="B267" s="56" t="str">
        <f aca="false">IF($W267="","",INDEX(发票统计!B$4:B$1003,$W267)&amp;"")</f>
        <v/>
      </c>
      <c r="C267" s="56" t="str">
        <f aca="false">IF($W267="","",INDEX(发票统计!C$4:C$1003,$W267)&amp;"")</f>
        <v/>
      </c>
      <c r="D267" s="56" t="str">
        <f aca="false">IF($W267="","",INDEX(发票统计!D$4:D$1003,$W267)&amp;"")</f>
        <v/>
      </c>
      <c r="E267" s="56" t="str">
        <f aca="false">IF($W267="","",INDEX(发票统计!E$4:E$1003,$W267)&amp;"")</f>
        <v/>
      </c>
      <c r="F267" s="73" t="str">
        <f aca="false">IF($W267="","",INDEX(发票统计!F$4:F$1003,$W267)&amp;"")</f>
        <v/>
      </c>
      <c r="G267" s="68" t="str">
        <f aca="false">IF($W267="","",IF(INDEX(发票统计!G$4:G$1003,$W267)="","",INDEX(发票统计!G$4:G$1003,$W267)))</f>
        <v/>
      </c>
      <c r="H267" s="56" t="str">
        <f aca="false">IF($W267="","",N(INDEX(发票统计!H$4:H$1003,$W267)))</f>
        <v/>
      </c>
      <c r="I267" s="56" t="str">
        <f aca="false">IF($W267="","",N(INDEX(发票统计!I$4:I$1003,$W267)))</f>
        <v/>
      </c>
      <c r="J267" s="56" t="str">
        <f aca="false">IF($W267="","",N(INDEX(发票统计!J$4:J$1003,$W267)))</f>
        <v/>
      </c>
      <c r="K267" s="56" t="str">
        <f aca="false">IF($W267="","",N(INDEX(发票统计!K$4:K$1003,$W267)))</f>
        <v/>
      </c>
      <c r="L267" s="56" t="str">
        <f aca="false">IF($W267="","",SUM(J$4:J267)-SUM(K$4:K267))</f>
        <v/>
      </c>
      <c r="M267" s="56" t="str">
        <f aca="false">IF($W267="","",N(INDEX(发票统计!M$4:M$1003,$W267)))</f>
        <v/>
      </c>
      <c r="N267" s="56" t="str">
        <f aca="false">IF($W267="","",N(INDEX(发票统计!N$4:N$1003,$W267)))</f>
        <v/>
      </c>
      <c r="O267" s="56" t="str">
        <f aca="false">IF($W267="","",N(INDEX(发票统计!O$4:O$1003,$W267)))</f>
        <v/>
      </c>
      <c r="P267" s="56" t="str">
        <f aca="false">IF($W267="","",SUM(M$4:M267)-SUM(N$4:N267)-SUM(O$4:O267))</f>
        <v/>
      </c>
      <c r="Q267" s="56" t="str">
        <f aca="false">IF($W267="","",N(INDEX(发票统计!Q$4:Q$1003,$W267)))</f>
        <v/>
      </c>
      <c r="R267" s="56" t="str">
        <f aca="false">IF($W267="","",N(INDEX(发票统计!R$4:R$1003,$W267)))</f>
        <v/>
      </c>
      <c r="S267" s="56" t="str">
        <f aca="false">IF($W267="","",N(INDEX(发票统计!S$4:S$1003,$W267)))</f>
        <v/>
      </c>
      <c r="T267" s="56" t="str">
        <f aca="false">IF($W267="","",SUM(Q$4:Q267)-SUM(R$4:R267)-SUM(S$4:S267))</f>
        <v/>
      </c>
      <c r="U267" s="56" t="str">
        <f aca="false">IF($W267="","",INDEX(发票统计!U$4:U$1003,$W267)&amp;"")</f>
        <v/>
      </c>
      <c r="W267" s="1" t="str">
        <f aca="false">IF($V$3="","",IFERROR(MATCH($V$3&amp;"#"&amp;ROWS(W$4:W267),发票统计!$W$4:$W$1003,0),""))</f>
        <v/>
      </c>
    </row>
    <row r="268" customFormat="false" ht="16.5" hidden="false" customHeight="false" outlineLevel="0" collapsed="false">
      <c r="A268" s="56" t="str">
        <f aca="false">IF($W268="","",INDEX(发票统计!A$4:A$1003,$W268)&amp;"")</f>
        <v/>
      </c>
      <c r="B268" s="56" t="str">
        <f aca="false">IF($W268="","",INDEX(发票统计!B$4:B$1003,$W268)&amp;"")</f>
        <v/>
      </c>
      <c r="C268" s="56" t="str">
        <f aca="false">IF($W268="","",INDEX(发票统计!C$4:C$1003,$W268)&amp;"")</f>
        <v/>
      </c>
      <c r="D268" s="56" t="str">
        <f aca="false">IF($W268="","",INDEX(发票统计!D$4:D$1003,$W268)&amp;"")</f>
        <v/>
      </c>
      <c r="E268" s="56" t="str">
        <f aca="false">IF($W268="","",INDEX(发票统计!E$4:E$1003,$W268)&amp;"")</f>
        <v/>
      </c>
      <c r="F268" s="73" t="str">
        <f aca="false">IF($W268="","",INDEX(发票统计!F$4:F$1003,$W268)&amp;"")</f>
        <v/>
      </c>
      <c r="G268" s="68" t="str">
        <f aca="false">IF($W268="","",IF(INDEX(发票统计!G$4:G$1003,$W268)="","",INDEX(发票统计!G$4:G$1003,$W268)))</f>
        <v/>
      </c>
      <c r="H268" s="56" t="str">
        <f aca="false">IF($W268="","",N(INDEX(发票统计!H$4:H$1003,$W268)))</f>
        <v/>
      </c>
      <c r="I268" s="56" t="str">
        <f aca="false">IF($W268="","",N(INDEX(发票统计!I$4:I$1003,$W268)))</f>
        <v/>
      </c>
      <c r="J268" s="56" t="str">
        <f aca="false">IF($W268="","",N(INDEX(发票统计!J$4:J$1003,$W268)))</f>
        <v/>
      </c>
      <c r="K268" s="56" t="str">
        <f aca="false">IF($W268="","",N(INDEX(发票统计!K$4:K$1003,$W268)))</f>
        <v/>
      </c>
      <c r="L268" s="56" t="str">
        <f aca="false">IF($W268="","",SUM(J$4:J268)-SUM(K$4:K268))</f>
        <v/>
      </c>
      <c r="M268" s="56" t="str">
        <f aca="false">IF($W268="","",N(INDEX(发票统计!M$4:M$1003,$W268)))</f>
        <v/>
      </c>
      <c r="N268" s="56" t="str">
        <f aca="false">IF($W268="","",N(INDEX(发票统计!N$4:N$1003,$W268)))</f>
        <v/>
      </c>
      <c r="O268" s="56" t="str">
        <f aca="false">IF($W268="","",N(INDEX(发票统计!O$4:O$1003,$W268)))</f>
        <v/>
      </c>
      <c r="P268" s="56" t="str">
        <f aca="false">IF($W268="","",SUM(M$4:M268)-SUM(N$4:N268)-SUM(O$4:O268))</f>
        <v/>
      </c>
      <c r="Q268" s="56" t="str">
        <f aca="false">IF($W268="","",N(INDEX(发票统计!Q$4:Q$1003,$W268)))</f>
        <v/>
      </c>
      <c r="R268" s="56" t="str">
        <f aca="false">IF($W268="","",N(INDEX(发票统计!R$4:R$1003,$W268)))</f>
        <v/>
      </c>
      <c r="S268" s="56" t="str">
        <f aca="false">IF($W268="","",N(INDEX(发票统计!S$4:S$1003,$W268)))</f>
        <v/>
      </c>
      <c r="T268" s="56" t="str">
        <f aca="false">IF($W268="","",SUM(Q$4:Q268)-SUM(R$4:R268)-SUM(S$4:S268))</f>
        <v/>
      </c>
      <c r="U268" s="56" t="str">
        <f aca="false">IF($W268="","",INDEX(发票统计!U$4:U$1003,$W268)&amp;"")</f>
        <v/>
      </c>
      <c r="W268" s="1" t="str">
        <f aca="false">IF($V$3="","",IFERROR(MATCH($V$3&amp;"#"&amp;ROWS(W$4:W268),发票统计!$W$4:$W$1003,0),""))</f>
        <v/>
      </c>
    </row>
    <row r="269" customFormat="false" ht="16.5" hidden="false" customHeight="false" outlineLevel="0" collapsed="false">
      <c r="A269" s="56" t="str">
        <f aca="false">IF($W269="","",INDEX(发票统计!A$4:A$1003,$W269)&amp;"")</f>
        <v/>
      </c>
      <c r="B269" s="56" t="str">
        <f aca="false">IF($W269="","",INDEX(发票统计!B$4:B$1003,$W269)&amp;"")</f>
        <v/>
      </c>
      <c r="C269" s="56" t="str">
        <f aca="false">IF($W269="","",INDEX(发票统计!C$4:C$1003,$W269)&amp;"")</f>
        <v/>
      </c>
      <c r="D269" s="56" t="str">
        <f aca="false">IF($W269="","",INDEX(发票统计!D$4:D$1003,$W269)&amp;"")</f>
        <v/>
      </c>
      <c r="E269" s="56" t="str">
        <f aca="false">IF($W269="","",INDEX(发票统计!E$4:E$1003,$W269)&amp;"")</f>
        <v/>
      </c>
      <c r="F269" s="73" t="str">
        <f aca="false">IF($W269="","",INDEX(发票统计!F$4:F$1003,$W269)&amp;"")</f>
        <v/>
      </c>
      <c r="G269" s="68" t="str">
        <f aca="false">IF($W269="","",IF(INDEX(发票统计!G$4:G$1003,$W269)="","",INDEX(发票统计!G$4:G$1003,$W269)))</f>
        <v/>
      </c>
      <c r="H269" s="56" t="str">
        <f aca="false">IF($W269="","",N(INDEX(发票统计!H$4:H$1003,$W269)))</f>
        <v/>
      </c>
      <c r="I269" s="56" t="str">
        <f aca="false">IF($W269="","",N(INDEX(发票统计!I$4:I$1003,$W269)))</f>
        <v/>
      </c>
      <c r="J269" s="56" t="str">
        <f aca="false">IF($W269="","",N(INDEX(发票统计!J$4:J$1003,$W269)))</f>
        <v/>
      </c>
      <c r="K269" s="56" t="str">
        <f aca="false">IF($W269="","",N(INDEX(发票统计!K$4:K$1003,$W269)))</f>
        <v/>
      </c>
      <c r="L269" s="56" t="str">
        <f aca="false">IF($W269="","",SUM(J$4:J269)-SUM(K$4:K269))</f>
        <v/>
      </c>
      <c r="M269" s="56" t="str">
        <f aca="false">IF($W269="","",N(INDEX(发票统计!M$4:M$1003,$W269)))</f>
        <v/>
      </c>
      <c r="N269" s="56" t="str">
        <f aca="false">IF($W269="","",N(INDEX(发票统计!N$4:N$1003,$W269)))</f>
        <v/>
      </c>
      <c r="O269" s="56" t="str">
        <f aca="false">IF($W269="","",N(INDEX(发票统计!O$4:O$1003,$W269)))</f>
        <v/>
      </c>
      <c r="P269" s="56" t="str">
        <f aca="false">IF($W269="","",SUM(M$4:M269)-SUM(N$4:N269)-SUM(O$4:O269))</f>
        <v/>
      </c>
      <c r="Q269" s="56" t="str">
        <f aca="false">IF($W269="","",N(INDEX(发票统计!Q$4:Q$1003,$W269)))</f>
        <v/>
      </c>
      <c r="R269" s="56" t="str">
        <f aca="false">IF($W269="","",N(INDEX(发票统计!R$4:R$1003,$W269)))</f>
        <v/>
      </c>
      <c r="S269" s="56" t="str">
        <f aca="false">IF($W269="","",N(INDEX(发票统计!S$4:S$1003,$W269)))</f>
        <v/>
      </c>
      <c r="T269" s="56" t="str">
        <f aca="false">IF($W269="","",SUM(Q$4:Q269)-SUM(R$4:R269)-SUM(S$4:S269))</f>
        <v/>
      </c>
      <c r="U269" s="56" t="str">
        <f aca="false">IF($W269="","",INDEX(发票统计!U$4:U$1003,$W269)&amp;"")</f>
        <v/>
      </c>
      <c r="W269" s="1" t="str">
        <f aca="false">IF($V$3="","",IFERROR(MATCH($V$3&amp;"#"&amp;ROWS(W$4:W269),发票统计!$W$4:$W$1003,0),""))</f>
        <v/>
      </c>
    </row>
    <row r="270" customFormat="false" ht="16.5" hidden="false" customHeight="false" outlineLevel="0" collapsed="false">
      <c r="A270" s="56" t="str">
        <f aca="false">IF($W270="","",INDEX(发票统计!A$4:A$1003,$W270)&amp;"")</f>
        <v/>
      </c>
      <c r="B270" s="56" t="str">
        <f aca="false">IF($W270="","",INDEX(发票统计!B$4:B$1003,$W270)&amp;"")</f>
        <v/>
      </c>
      <c r="C270" s="56" t="str">
        <f aca="false">IF($W270="","",INDEX(发票统计!C$4:C$1003,$W270)&amp;"")</f>
        <v/>
      </c>
      <c r="D270" s="56" t="str">
        <f aca="false">IF($W270="","",INDEX(发票统计!D$4:D$1003,$W270)&amp;"")</f>
        <v/>
      </c>
      <c r="E270" s="56" t="str">
        <f aca="false">IF($W270="","",INDEX(发票统计!E$4:E$1003,$W270)&amp;"")</f>
        <v/>
      </c>
      <c r="F270" s="73" t="str">
        <f aca="false">IF($W270="","",INDEX(发票统计!F$4:F$1003,$W270)&amp;"")</f>
        <v/>
      </c>
      <c r="G270" s="68" t="str">
        <f aca="false">IF($W270="","",IF(INDEX(发票统计!G$4:G$1003,$W270)="","",INDEX(发票统计!G$4:G$1003,$W270)))</f>
        <v/>
      </c>
      <c r="H270" s="56" t="str">
        <f aca="false">IF($W270="","",N(INDEX(发票统计!H$4:H$1003,$W270)))</f>
        <v/>
      </c>
      <c r="I270" s="56" t="str">
        <f aca="false">IF($W270="","",N(INDEX(发票统计!I$4:I$1003,$W270)))</f>
        <v/>
      </c>
      <c r="J270" s="56" t="str">
        <f aca="false">IF($W270="","",N(INDEX(发票统计!J$4:J$1003,$W270)))</f>
        <v/>
      </c>
      <c r="K270" s="56" t="str">
        <f aca="false">IF($W270="","",N(INDEX(发票统计!K$4:K$1003,$W270)))</f>
        <v/>
      </c>
      <c r="L270" s="56" t="str">
        <f aca="false">IF($W270="","",SUM(J$4:J270)-SUM(K$4:K270))</f>
        <v/>
      </c>
      <c r="M270" s="56" t="str">
        <f aca="false">IF($W270="","",N(INDEX(发票统计!M$4:M$1003,$W270)))</f>
        <v/>
      </c>
      <c r="N270" s="56" t="str">
        <f aca="false">IF($W270="","",N(INDEX(发票统计!N$4:N$1003,$W270)))</f>
        <v/>
      </c>
      <c r="O270" s="56" t="str">
        <f aca="false">IF($W270="","",N(INDEX(发票统计!O$4:O$1003,$W270)))</f>
        <v/>
      </c>
      <c r="P270" s="56" t="str">
        <f aca="false">IF($W270="","",SUM(M$4:M270)-SUM(N$4:N270)-SUM(O$4:O270))</f>
        <v/>
      </c>
      <c r="Q270" s="56" t="str">
        <f aca="false">IF($W270="","",N(INDEX(发票统计!Q$4:Q$1003,$W270)))</f>
        <v/>
      </c>
      <c r="R270" s="56" t="str">
        <f aca="false">IF($W270="","",N(INDEX(发票统计!R$4:R$1003,$W270)))</f>
        <v/>
      </c>
      <c r="S270" s="56" t="str">
        <f aca="false">IF($W270="","",N(INDEX(发票统计!S$4:S$1003,$W270)))</f>
        <v/>
      </c>
      <c r="T270" s="56" t="str">
        <f aca="false">IF($W270="","",SUM(Q$4:Q270)-SUM(R$4:R270)-SUM(S$4:S270))</f>
        <v/>
      </c>
      <c r="U270" s="56" t="str">
        <f aca="false">IF($W270="","",INDEX(发票统计!U$4:U$1003,$W270)&amp;"")</f>
        <v/>
      </c>
      <c r="W270" s="1" t="str">
        <f aca="false">IF($V$3="","",IFERROR(MATCH($V$3&amp;"#"&amp;ROWS(W$4:W270),发票统计!$W$4:$W$1003,0),""))</f>
        <v/>
      </c>
    </row>
    <row r="271" customFormat="false" ht="16.5" hidden="false" customHeight="false" outlineLevel="0" collapsed="false">
      <c r="A271" s="56" t="str">
        <f aca="false">IF($W271="","",INDEX(发票统计!A$4:A$1003,$W271)&amp;"")</f>
        <v/>
      </c>
      <c r="B271" s="56" t="str">
        <f aca="false">IF($W271="","",INDEX(发票统计!B$4:B$1003,$W271)&amp;"")</f>
        <v/>
      </c>
      <c r="C271" s="56" t="str">
        <f aca="false">IF($W271="","",INDEX(发票统计!C$4:C$1003,$W271)&amp;"")</f>
        <v/>
      </c>
      <c r="D271" s="56" t="str">
        <f aca="false">IF($W271="","",INDEX(发票统计!D$4:D$1003,$W271)&amp;"")</f>
        <v/>
      </c>
      <c r="E271" s="56" t="str">
        <f aca="false">IF($W271="","",INDEX(发票统计!E$4:E$1003,$W271)&amp;"")</f>
        <v/>
      </c>
      <c r="F271" s="73" t="str">
        <f aca="false">IF($W271="","",INDEX(发票统计!F$4:F$1003,$W271)&amp;"")</f>
        <v/>
      </c>
      <c r="G271" s="68" t="str">
        <f aca="false">IF($W271="","",IF(INDEX(发票统计!G$4:G$1003,$W271)="","",INDEX(发票统计!G$4:G$1003,$W271)))</f>
        <v/>
      </c>
      <c r="H271" s="56" t="str">
        <f aca="false">IF($W271="","",N(INDEX(发票统计!H$4:H$1003,$W271)))</f>
        <v/>
      </c>
      <c r="I271" s="56" t="str">
        <f aca="false">IF($W271="","",N(INDEX(发票统计!I$4:I$1003,$W271)))</f>
        <v/>
      </c>
      <c r="J271" s="56" t="str">
        <f aca="false">IF($W271="","",N(INDEX(发票统计!J$4:J$1003,$W271)))</f>
        <v/>
      </c>
      <c r="K271" s="56" t="str">
        <f aca="false">IF($W271="","",N(INDEX(发票统计!K$4:K$1003,$W271)))</f>
        <v/>
      </c>
      <c r="L271" s="56" t="str">
        <f aca="false">IF($W271="","",SUM(J$4:J271)-SUM(K$4:K271))</f>
        <v/>
      </c>
      <c r="M271" s="56" t="str">
        <f aca="false">IF($W271="","",N(INDEX(发票统计!M$4:M$1003,$W271)))</f>
        <v/>
      </c>
      <c r="N271" s="56" t="str">
        <f aca="false">IF($W271="","",N(INDEX(发票统计!N$4:N$1003,$W271)))</f>
        <v/>
      </c>
      <c r="O271" s="56" t="str">
        <f aca="false">IF($W271="","",N(INDEX(发票统计!O$4:O$1003,$W271)))</f>
        <v/>
      </c>
      <c r="P271" s="56" t="str">
        <f aca="false">IF($W271="","",SUM(M$4:M271)-SUM(N$4:N271)-SUM(O$4:O271))</f>
        <v/>
      </c>
      <c r="Q271" s="56" t="str">
        <f aca="false">IF($W271="","",N(INDEX(发票统计!Q$4:Q$1003,$W271)))</f>
        <v/>
      </c>
      <c r="R271" s="56" t="str">
        <f aca="false">IF($W271="","",N(INDEX(发票统计!R$4:R$1003,$W271)))</f>
        <v/>
      </c>
      <c r="S271" s="56" t="str">
        <f aca="false">IF($W271="","",N(INDEX(发票统计!S$4:S$1003,$W271)))</f>
        <v/>
      </c>
      <c r="T271" s="56" t="str">
        <f aca="false">IF($W271="","",SUM(Q$4:Q271)-SUM(R$4:R271)-SUM(S$4:S271))</f>
        <v/>
      </c>
      <c r="U271" s="56" t="str">
        <f aca="false">IF($W271="","",INDEX(发票统计!U$4:U$1003,$W271)&amp;"")</f>
        <v/>
      </c>
      <c r="W271" s="1" t="str">
        <f aca="false">IF($V$3="","",IFERROR(MATCH($V$3&amp;"#"&amp;ROWS(W$4:W271),发票统计!$W$4:$W$1003,0),""))</f>
        <v/>
      </c>
    </row>
    <row r="272" customFormat="false" ht="16.5" hidden="false" customHeight="false" outlineLevel="0" collapsed="false">
      <c r="A272" s="56" t="str">
        <f aca="false">IF($W272="","",INDEX(发票统计!A$4:A$1003,$W272)&amp;"")</f>
        <v/>
      </c>
      <c r="B272" s="56" t="str">
        <f aca="false">IF($W272="","",INDEX(发票统计!B$4:B$1003,$W272)&amp;"")</f>
        <v/>
      </c>
      <c r="C272" s="56" t="str">
        <f aca="false">IF($W272="","",INDEX(发票统计!C$4:C$1003,$W272)&amp;"")</f>
        <v/>
      </c>
      <c r="D272" s="56" t="str">
        <f aca="false">IF($W272="","",INDEX(发票统计!D$4:D$1003,$W272)&amp;"")</f>
        <v/>
      </c>
      <c r="E272" s="56" t="str">
        <f aca="false">IF($W272="","",INDEX(发票统计!E$4:E$1003,$W272)&amp;"")</f>
        <v/>
      </c>
      <c r="F272" s="73" t="str">
        <f aca="false">IF($W272="","",INDEX(发票统计!F$4:F$1003,$W272)&amp;"")</f>
        <v/>
      </c>
      <c r="G272" s="68" t="str">
        <f aca="false">IF($W272="","",IF(INDEX(发票统计!G$4:G$1003,$W272)="","",INDEX(发票统计!G$4:G$1003,$W272)))</f>
        <v/>
      </c>
      <c r="H272" s="56" t="str">
        <f aca="false">IF($W272="","",N(INDEX(发票统计!H$4:H$1003,$W272)))</f>
        <v/>
      </c>
      <c r="I272" s="56" t="str">
        <f aca="false">IF($W272="","",N(INDEX(发票统计!I$4:I$1003,$W272)))</f>
        <v/>
      </c>
      <c r="J272" s="56" t="str">
        <f aca="false">IF($W272="","",N(INDEX(发票统计!J$4:J$1003,$W272)))</f>
        <v/>
      </c>
      <c r="K272" s="56" t="str">
        <f aca="false">IF($W272="","",N(INDEX(发票统计!K$4:K$1003,$W272)))</f>
        <v/>
      </c>
      <c r="L272" s="56" t="str">
        <f aca="false">IF($W272="","",SUM(J$4:J272)-SUM(K$4:K272))</f>
        <v/>
      </c>
      <c r="M272" s="56" t="str">
        <f aca="false">IF($W272="","",N(INDEX(发票统计!M$4:M$1003,$W272)))</f>
        <v/>
      </c>
      <c r="N272" s="56" t="str">
        <f aca="false">IF($W272="","",N(INDEX(发票统计!N$4:N$1003,$W272)))</f>
        <v/>
      </c>
      <c r="O272" s="56" t="str">
        <f aca="false">IF($W272="","",N(INDEX(发票统计!O$4:O$1003,$W272)))</f>
        <v/>
      </c>
      <c r="P272" s="56" t="str">
        <f aca="false">IF($W272="","",SUM(M$4:M272)-SUM(N$4:N272)-SUM(O$4:O272))</f>
        <v/>
      </c>
      <c r="Q272" s="56" t="str">
        <f aca="false">IF($W272="","",N(INDEX(发票统计!Q$4:Q$1003,$W272)))</f>
        <v/>
      </c>
      <c r="R272" s="56" t="str">
        <f aca="false">IF($W272="","",N(INDEX(发票统计!R$4:R$1003,$W272)))</f>
        <v/>
      </c>
      <c r="S272" s="56" t="str">
        <f aca="false">IF($W272="","",N(INDEX(发票统计!S$4:S$1003,$W272)))</f>
        <v/>
      </c>
      <c r="T272" s="56" t="str">
        <f aca="false">IF($W272="","",SUM(Q$4:Q272)-SUM(R$4:R272)-SUM(S$4:S272))</f>
        <v/>
      </c>
      <c r="U272" s="56" t="str">
        <f aca="false">IF($W272="","",INDEX(发票统计!U$4:U$1003,$W272)&amp;"")</f>
        <v/>
      </c>
      <c r="W272" s="1" t="str">
        <f aca="false">IF($V$3="","",IFERROR(MATCH($V$3&amp;"#"&amp;ROWS(W$4:W272),发票统计!$W$4:$W$1003,0),""))</f>
        <v/>
      </c>
    </row>
    <row r="273" customFormat="false" ht="16.5" hidden="false" customHeight="false" outlineLevel="0" collapsed="false">
      <c r="A273" s="56" t="str">
        <f aca="false">IF($W273="","",INDEX(发票统计!A$4:A$1003,$W273)&amp;"")</f>
        <v/>
      </c>
      <c r="B273" s="56" t="str">
        <f aca="false">IF($W273="","",INDEX(发票统计!B$4:B$1003,$W273)&amp;"")</f>
        <v/>
      </c>
      <c r="C273" s="56" t="str">
        <f aca="false">IF($W273="","",INDEX(发票统计!C$4:C$1003,$W273)&amp;"")</f>
        <v/>
      </c>
      <c r="D273" s="56" t="str">
        <f aca="false">IF($W273="","",INDEX(发票统计!D$4:D$1003,$W273)&amp;"")</f>
        <v/>
      </c>
      <c r="E273" s="56" t="str">
        <f aca="false">IF($W273="","",INDEX(发票统计!E$4:E$1003,$W273)&amp;"")</f>
        <v/>
      </c>
      <c r="F273" s="73" t="str">
        <f aca="false">IF($W273="","",INDEX(发票统计!F$4:F$1003,$W273)&amp;"")</f>
        <v/>
      </c>
      <c r="G273" s="68" t="str">
        <f aca="false">IF($W273="","",IF(INDEX(发票统计!G$4:G$1003,$W273)="","",INDEX(发票统计!G$4:G$1003,$W273)))</f>
        <v/>
      </c>
      <c r="H273" s="56" t="str">
        <f aca="false">IF($W273="","",N(INDEX(发票统计!H$4:H$1003,$W273)))</f>
        <v/>
      </c>
      <c r="I273" s="56" t="str">
        <f aca="false">IF($W273="","",N(INDEX(发票统计!I$4:I$1003,$W273)))</f>
        <v/>
      </c>
      <c r="J273" s="56" t="str">
        <f aca="false">IF($W273="","",N(INDEX(发票统计!J$4:J$1003,$W273)))</f>
        <v/>
      </c>
      <c r="K273" s="56" t="str">
        <f aca="false">IF($W273="","",N(INDEX(发票统计!K$4:K$1003,$W273)))</f>
        <v/>
      </c>
      <c r="L273" s="56" t="str">
        <f aca="false">IF($W273="","",SUM(J$4:J273)-SUM(K$4:K273))</f>
        <v/>
      </c>
      <c r="M273" s="56" t="str">
        <f aca="false">IF($W273="","",N(INDEX(发票统计!M$4:M$1003,$W273)))</f>
        <v/>
      </c>
      <c r="N273" s="56" t="str">
        <f aca="false">IF($W273="","",N(INDEX(发票统计!N$4:N$1003,$W273)))</f>
        <v/>
      </c>
      <c r="O273" s="56" t="str">
        <f aca="false">IF($W273="","",N(INDEX(发票统计!O$4:O$1003,$W273)))</f>
        <v/>
      </c>
      <c r="P273" s="56" t="str">
        <f aca="false">IF($W273="","",SUM(M$4:M273)-SUM(N$4:N273)-SUM(O$4:O273))</f>
        <v/>
      </c>
      <c r="Q273" s="56" t="str">
        <f aca="false">IF($W273="","",N(INDEX(发票统计!Q$4:Q$1003,$W273)))</f>
        <v/>
      </c>
      <c r="R273" s="56" t="str">
        <f aca="false">IF($W273="","",N(INDEX(发票统计!R$4:R$1003,$W273)))</f>
        <v/>
      </c>
      <c r="S273" s="56" t="str">
        <f aca="false">IF($W273="","",N(INDEX(发票统计!S$4:S$1003,$W273)))</f>
        <v/>
      </c>
      <c r="T273" s="56" t="str">
        <f aca="false">IF($W273="","",SUM(Q$4:Q273)-SUM(R$4:R273)-SUM(S$4:S273))</f>
        <v/>
      </c>
      <c r="U273" s="56" t="str">
        <f aca="false">IF($W273="","",INDEX(发票统计!U$4:U$1003,$W273)&amp;"")</f>
        <v/>
      </c>
      <c r="W273" s="1" t="str">
        <f aca="false">IF($V$3="","",IFERROR(MATCH($V$3&amp;"#"&amp;ROWS(W$4:W273),发票统计!$W$4:$W$1003,0),""))</f>
        <v/>
      </c>
    </row>
    <row r="274" customFormat="false" ht="16.5" hidden="false" customHeight="false" outlineLevel="0" collapsed="false">
      <c r="A274" s="56" t="str">
        <f aca="false">IF($W274="","",INDEX(发票统计!A$4:A$1003,$W274)&amp;"")</f>
        <v/>
      </c>
      <c r="B274" s="56" t="str">
        <f aca="false">IF($W274="","",INDEX(发票统计!B$4:B$1003,$W274)&amp;"")</f>
        <v/>
      </c>
      <c r="C274" s="56" t="str">
        <f aca="false">IF($W274="","",INDEX(发票统计!C$4:C$1003,$W274)&amp;"")</f>
        <v/>
      </c>
      <c r="D274" s="56" t="str">
        <f aca="false">IF($W274="","",INDEX(发票统计!D$4:D$1003,$W274)&amp;"")</f>
        <v/>
      </c>
      <c r="E274" s="56" t="str">
        <f aca="false">IF($W274="","",INDEX(发票统计!E$4:E$1003,$W274)&amp;"")</f>
        <v/>
      </c>
      <c r="F274" s="73" t="str">
        <f aca="false">IF($W274="","",INDEX(发票统计!F$4:F$1003,$W274)&amp;"")</f>
        <v/>
      </c>
      <c r="G274" s="68" t="str">
        <f aca="false">IF($W274="","",IF(INDEX(发票统计!G$4:G$1003,$W274)="","",INDEX(发票统计!G$4:G$1003,$W274)))</f>
        <v/>
      </c>
      <c r="H274" s="56" t="str">
        <f aca="false">IF($W274="","",N(INDEX(发票统计!H$4:H$1003,$W274)))</f>
        <v/>
      </c>
      <c r="I274" s="56" t="str">
        <f aca="false">IF($W274="","",N(INDEX(发票统计!I$4:I$1003,$W274)))</f>
        <v/>
      </c>
      <c r="J274" s="56" t="str">
        <f aca="false">IF($W274="","",N(INDEX(发票统计!J$4:J$1003,$W274)))</f>
        <v/>
      </c>
      <c r="K274" s="56" t="str">
        <f aca="false">IF($W274="","",N(INDEX(发票统计!K$4:K$1003,$W274)))</f>
        <v/>
      </c>
      <c r="L274" s="56" t="str">
        <f aca="false">IF($W274="","",SUM(J$4:J274)-SUM(K$4:K274))</f>
        <v/>
      </c>
      <c r="M274" s="56" t="str">
        <f aca="false">IF($W274="","",N(INDEX(发票统计!M$4:M$1003,$W274)))</f>
        <v/>
      </c>
      <c r="N274" s="56" t="str">
        <f aca="false">IF($W274="","",N(INDEX(发票统计!N$4:N$1003,$W274)))</f>
        <v/>
      </c>
      <c r="O274" s="56" t="str">
        <f aca="false">IF($W274="","",N(INDEX(发票统计!O$4:O$1003,$W274)))</f>
        <v/>
      </c>
      <c r="P274" s="56" t="str">
        <f aca="false">IF($W274="","",SUM(M$4:M274)-SUM(N$4:N274)-SUM(O$4:O274))</f>
        <v/>
      </c>
      <c r="Q274" s="56" t="str">
        <f aca="false">IF($W274="","",N(INDEX(发票统计!Q$4:Q$1003,$W274)))</f>
        <v/>
      </c>
      <c r="R274" s="56" t="str">
        <f aca="false">IF($W274="","",N(INDEX(发票统计!R$4:R$1003,$W274)))</f>
        <v/>
      </c>
      <c r="S274" s="56" t="str">
        <f aca="false">IF($W274="","",N(INDEX(发票统计!S$4:S$1003,$W274)))</f>
        <v/>
      </c>
      <c r="T274" s="56" t="str">
        <f aca="false">IF($W274="","",SUM(Q$4:Q274)-SUM(R$4:R274)-SUM(S$4:S274))</f>
        <v/>
      </c>
      <c r="U274" s="56" t="str">
        <f aca="false">IF($W274="","",INDEX(发票统计!U$4:U$1003,$W274)&amp;"")</f>
        <v/>
      </c>
      <c r="W274" s="1" t="str">
        <f aca="false">IF($V$3="","",IFERROR(MATCH($V$3&amp;"#"&amp;ROWS(W$4:W274),发票统计!$W$4:$W$1003,0),""))</f>
        <v/>
      </c>
    </row>
    <row r="275" customFormat="false" ht="16.5" hidden="false" customHeight="false" outlineLevel="0" collapsed="false">
      <c r="A275" s="56" t="str">
        <f aca="false">IF($W275="","",INDEX(发票统计!A$4:A$1003,$W275)&amp;"")</f>
        <v/>
      </c>
      <c r="B275" s="56" t="str">
        <f aca="false">IF($W275="","",INDEX(发票统计!B$4:B$1003,$W275)&amp;"")</f>
        <v/>
      </c>
      <c r="C275" s="56" t="str">
        <f aca="false">IF($W275="","",INDEX(发票统计!C$4:C$1003,$W275)&amp;"")</f>
        <v/>
      </c>
      <c r="D275" s="56" t="str">
        <f aca="false">IF($W275="","",INDEX(发票统计!D$4:D$1003,$W275)&amp;"")</f>
        <v/>
      </c>
      <c r="E275" s="56" t="str">
        <f aca="false">IF($W275="","",INDEX(发票统计!E$4:E$1003,$W275)&amp;"")</f>
        <v/>
      </c>
      <c r="F275" s="73" t="str">
        <f aca="false">IF($W275="","",INDEX(发票统计!F$4:F$1003,$W275)&amp;"")</f>
        <v/>
      </c>
      <c r="G275" s="68" t="str">
        <f aca="false">IF($W275="","",IF(INDEX(发票统计!G$4:G$1003,$W275)="","",INDEX(发票统计!G$4:G$1003,$W275)))</f>
        <v/>
      </c>
      <c r="H275" s="56" t="str">
        <f aca="false">IF($W275="","",N(INDEX(发票统计!H$4:H$1003,$W275)))</f>
        <v/>
      </c>
      <c r="I275" s="56" t="str">
        <f aca="false">IF($W275="","",N(INDEX(发票统计!I$4:I$1003,$W275)))</f>
        <v/>
      </c>
      <c r="J275" s="56" t="str">
        <f aca="false">IF($W275="","",N(INDEX(发票统计!J$4:J$1003,$W275)))</f>
        <v/>
      </c>
      <c r="K275" s="56" t="str">
        <f aca="false">IF($W275="","",N(INDEX(发票统计!K$4:K$1003,$W275)))</f>
        <v/>
      </c>
      <c r="L275" s="56" t="str">
        <f aca="false">IF($W275="","",SUM(J$4:J275)-SUM(K$4:K275))</f>
        <v/>
      </c>
      <c r="M275" s="56" t="str">
        <f aca="false">IF($W275="","",N(INDEX(发票统计!M$4:M$1003,$W275)))</f>
        <v/>
      </c>
      <c r="N275" s="56" t="str">
        <f aca="false">IF($W275="","",N(INDEX(发票统计!N$4:N$1003,$W275)))</f>
        <v/>
      </c>
      <c r="O275" s="56" t="str">
        <f aca="false">IF($W275="","",N(INDEX(发票统计!O$4:O$1003,$W275)))</f>
        <v/>
      </c>
      <c r="P275" s="56" t="str">
        <f aca="false">IF($W275="","",SUM(M$4:M275)-SUM(N$4:N275)-SUM(O$4:O275))</f>
        <v/>
      </c>
      <c r="Q275" s="56" t="str">
        <f aca="false">IF($W275="","",N(INDEX(发票统计!Q$4:Q$1003,$W275)))</f>
        <v/>
      </c>
      <c r="R275" s="56" t="str">
        <f aca="false">IF($W275="","",N(INDEX(发票统计!R$4:R$1003,$W275)))</f>
        <v/>
      </c>
      <c r="S275" s="56" t="str">
        <f aca="false">IF($W275="","",N(INDEX(发票统计!S$4:S$1003,$W275)))</f>
        <v/>
      </c>
      <c r="T275" s="56" t="str">
        <f aca="false">IF($W275="","",SUM(Q$4:Q275)-SUM(R$4:R275)-SUM(S$4:S275))</f>
        <v/>
      </c>
      <c r="U275" s="56" t="str">
        <f aca="false">IF($W275="","",INDEX(发票统计!U$4:U$1003,$W275)&amp;"")</f>
        <v/>
      </c>
      <c r="W275" s="1" t="str">
        <f aca="false">IF($V$3="","",IFERROR(MATCH($V$3&amp;"#"&amp;ROWS(W$4:W275),发票统计!$W$4:$W$1003,0),""))</f>
        <v/>
      </c>
    </row>
    <row r="276" customFormat="false" ht="16.5" hidden="false" customHeight="false" outlineLevel="0" collapsed="false">
      <c r="A276" s="56" t="str">
        <f aca="false">IF($W276="","",INDEX(发票统计!A$4:A$1003,$W276)&amp;"")</f>
        <v/>
      </c>
      <c r="B276" s="56" t="str">
        <f aca="false">IF($W276="","",INDEX(发票统计!B$4:B$1003,$W276)&amp;"")</f>
        <v/>
      </c>
      <c r="C276" s="56" t="str">
        <f aca="false">IF($W276="","",INDEX(发票统计!C$4:C$1003,$W276)&amp;"")</f>
        <v/>
      </c>
      <c r="D276" s="56" t="str">
        <f aca="false">IF($W276="","",INDEX(发票统计!D$4:D$1003,$W276)&amp;"")</f>
        <v/>
      </c>
      <c r="E276" s="56" t="str">
        <f aca="false">IF($W276="","",INDEX(发票统计!E$4:E$1003,$W276)&amp;"")</f>
        <v/>
      </c>
      <c r="F276" s="73" t="str">
        <f aca="false">IF($W276="","",INDEX(发票统计!F$4:F$1003,$W276)&amp;"")</f>
        <v/>
      </c>
      <c r="G276" s="68" t="str">
        <f aca="false">IF($W276="","",IF(INDEX(发票统计!G$4:G$1003,$W276)="","",INDEX(发票统计!G$4:G$1003,$W276)))</f>
        <v/>
      </c>
      <c r="H276" s="56" t="str">
        <f aca="false">IF($W276="","",N(INDEX(发票统计!H$4:H$1003,$W276)))</f>
        <v/>
      </c>
      <c r="I276" s="56" t="str">
        <f aca="false">IF($W276="","",N(INDEX(发票统计!I$4:I$1003,$W276)))</f>
        <v/>
      </c>
      <c r="J276" s="56" t="str">
        <f aca="false">IF($W276="","",N(INDEX(发票统计!J$4:J$1003,$W276)))</f>
        <v/>
      </c>
      <c r="K276" s="56" t="str">
        <f aca="false">IF($W276="","",N(INDEX(发票统计!K$4:K$1003,$W276)))</f>
        <v/>
      </c>
      <c r="L276" s="56" t="str">
        <f aca="false">IF($W276="","",SUM(J$4:J276)-SUM(K$4:K276))</f>
        <v/>
      </c>
      <c r="M276" s="56" t="str">
        <f aca="false">IF($W276="","",N(INDEX(发票统计!M$4:M$1003,$W276)))</f>
        <v/>
      </c>
      <c r="N276" s="56" t="str">
        <f aca="false">IF($W276="","",N(INDEX(发票统计!N$4:N$1003,$W276)))</f>
        <v/>
      </c>
      <c r="O276" s="56" t="str">
        <f aca="false">IF($W276="","",N(INDEX(发票统计!O$4:O$1003,$W276)))</f>
        <v/>
      </c>
      <c r="P276" s="56" t="str">
        <f aca="false">IF($W276="","",SUM(M$4:M276)-SUM(N$4:N276)-SUM(O$4:O276))</f>
        <v/>
      </c>
      <c r="Q276" s="56" t="str">
        <f aca="false">IF($W276="","",N(INDEX(发票统计!Q$4:Q$1003,$W276)))</f>
        <v/>
      </c>
      <c r="R276" s="56" t="str">
        <f aca="false">IF($W276="","",N(INDEX(发票统计!R$4:R$1003,$W276)))</f>
        <v/>
      </c>
      <c r="S276" s="56" t="str">
        <f aca="false">IF($W276="","",N(INDEX(发票统计!S$4:S$1003,$W276)))</f>
        <v/>
      </c>
      <c r="T276" s="56" t="str">
        <f aca="false">IF($W276="","",SUM(Q$4:Q276)-SUM(R$4:R276)-SUM(S$4:S276))</f>
        <v/>
      </c>
      <c r="U276" s="56" t="str">
        <f aca="false">IF($W276="","",INDEX(发票统计!U$4:U$1003,$W276)&amp;"")</f>
        <v/>
      </c>
      <c r="W276" s="1" t="str">
        <f aca="false">IF($V$3="","",IFERROR(MATCH($V$3&amp;"#"&amp;ROWS(W$4:W276),发票统计!$W$4:$W$1003,0),""))</f>
        <v/>
      </c>
    </row>
    <row r="277" customFormat="false" ht="16.5" hidden="false" customHeight="false" outlineLevel="0" collapsed="false">
      <c r="A277" s="56" t="str">
        <f aca="false">IF($W277="","",INDEX(发票统计!A$4:A$1003,$W277)&amp;"")</f>
        <v/>
      </c>
      <c r="B277" s="56" t="str">
        <f aca="false">IF($W277="","",INDEX(发票统计!B$4:B$1003,$W277)&amp;"")</f>
        <v/>
      </c>
      <c r="C277" s="56" t="str">
        <f aca="false">IF($W277="","",INDEX(发票统计!C$4:C$1003,$W277)&amp;"")</f>
        <v/>
      </c>
      <c r="D277" s="56" t="str">
        <f aca="false">IF($W277="","",INDEX(发票统计!D$4:D$1003,$W277)&amp;"")</f>
        <v/>
      </c>
      <c r="E277" s="56" t="str">
        <f aca="false">IF($W277="","",INDEX(发票统计!E$4:E$1003,$W277)&amp;"")</f>
        <v/>
      </c>
      <c r="F277" s="73" t="str">
        <f aca="false">IF($W277="","",INDEX(发票统计!F$4:F$1003,$W277)&amp;"")</f>
        <v/>
      </c>
      <c r="G277" s="68" t="str">
        <f aca="false">IF($W277="","",IF(INDEX(发票统计!G$4:G$1003,$W277)="","",INDEX(发票统计!G$4:G$1003,$W277)))</f>
        <v/>
      </c>
      <c r="H277" s="56" t="str">
        <f aca="false">IF($W277="","",N(INDEX(发票统计!H$4:H$1003,$W277)))</f>
        <v/>
      </c>
      <c r="I277" s="56" t="str">
        <f aca="false">IF($W277="","",N(INDEX(发票统计!I$4:I$1003,$W277)))</f>
        <v/>
      </c>
      <c r="J277" s="56" t="str">
        <f aca="false">IF($W277="","",N(INDEX(发票统计!J$4:J$1003,$W277)))</f>
        <v/>
      </c>
      <c r="K277" s="56" t="str">
        <f aca="false">IF($W277="","",N(INDEX(发票统计!K$4:K$1003,$W277)))</f>
        <v/>
      </c>
      <c r="L277" s="56" t="str">
        <f aca="false">IF($W277="","",SUM(J$4:J277)-SUM(K$4:K277))</f>
        <v/>
      </c>
      <c r="M277" s="56" t="str">
        <f aca="false">IF($W277="","",N(INDEX(发票统计!M$4:M$1003,$W277)))</f>
        <v/>
      </c>
      <c r="N277" s="56" t="str">
        <f aca="false">IF($W277="","",N(INDEX(发票统计!N$4:N$1003,$W277)))</f>
        <v/>
      </c>
      <c r="O277" s="56" t="str">
        <f aca="false">IF($W277="","",N(INDEX(发票统计!O$4:O$1003,$W277)))</f>
        <v/>
      </c>
      <c r="P277" s="56" t="str">
        <f aca="false">IF($W277="","",SUM(M$4:M277)-SUM(N$4:N277)-SUM(O$4:O277))</f>
        <v/>
      </c>
      <c r="Q277" s="56" t="str">
        <f aca="false">IF($W277="","",N(INDEX(发票统计!Q$4:Q$1003,$W277)))</f>
        <v/>
      </c>
      <c r="R277" s="56" t="str">
        <f aca="false">IF($W277="","",N(INDEX(发票统计!R$4:R$1003,$W277)))</f>
        <v/>
      </c>
      <c r="S277" s="56" t="str">
        <f aca="false">IF($W277="","",N(INDEX(发票统计!S$4:S$1003,$W277)))</f>
        <v/>
      </c>
      <c r="T277" s="56" t="str">
        <f aca="false">IF($W277="","",SUM(Q$4:Q277)-SUM(R$4:R277)-SUM(S$4:S277))</f>
        <v/>
      </c>
      <c r="U277" s="56" t="str">
        <f aca="false">IF($W277="","",INDEX(发票统计!U$4:U$1003,$W277)&amp;"")</f>
        <v/>
      </c>
      <c r="W277" s="1" t="str">
        <f aca="false">IF($V$3="","",IFERROR(MATCH($V$3&amp;"#"&amp;ROWS(W$4:W277),发票统计!$W$4:$W$1003,0),""))</f>
        <v/>
      </c>
    </row>
    <row r="278" customFormat="false" ht="16.5" hidden="false" customHeight="false" outlineLevel="0" collapsed="false">
      <c r="A278" s="56" t="str">
        <f aca="false">IF($W278="","",INDEX(发票统计!A$4:A$1003,$W278)&amp;"")</f>
        <v/>
      </c>
      <c r="B278" s="56" t="str">
        <f aca="false">IF($W278="","",INDEX(发票统计!B$4:B$1003,$W278)&amp;"")</f>
        <v/>
      </c>
      <c r="C278" s="56" t="str">
        <f aca="false">IF($W278="","",INDEX(发票统计!C$4:C$1003,$W278)&amp;"")</f>
        <v/>
      </c>
      <c r="D278" s="56" t="str">
        <f aca="false">IF($W278="","",INDEX(发票统计!D$4:D$1003,$W278)&amp;"")</f>
        <v/>
      </c>
      <c r="E278" s="56" t="str">
        <f aca="false">IF($W278="","",INDEX(发票统计!E$4:E$1003,$W278)&amp;"")</f>
        <v/>
      </c>
      <c r="F278" s="73" t="str">
        <f aca="false">IF($W278="","",INDEX(发票统计!F$4:F$1003,$W278)&amp;"")</f>
        <v/>
      </c>
      <c r="G278" s="68" t="str">
        <f aca="false">IF($W278="","",IF(INDEX(发票统计!G$4:G$1003,$W278)="","",INDEX(发票统计!G$4:G$1003,$W278)))</f>
        <v/>
      </c>
      <c r="H278" s="56" t="str">
        <f aca="false">IF($W278="","",N(INDEX(发票统计!H$4:H$1003,$W278)))</f>
        <v/>
      </c>
      <c r="I278" s="56" t="str">
        <f aca="false">IF($W278="","",N(INDEX(发票统计!I$4:I$1003,$W278)))</f>
        <v/>
      </c>
      <c r="J278" s="56" t="str">
        <f aca="false">IF($W278="","",N(INDEX(发票统计!J$4:J$1003,$W278)))</f>
        <v/>
      </c>
      <c r="K278" s="56" t="str">
        <f aca="false">IF($W278="","",N(INDEX(发票统计!K$4:K$1003,$W278)))</f>
        <v/>
      </c>
      <c r="L278" s="56" t="str">
        <f aca="false">IF($W278="","",SUM(J$4:J278)-SUM(K$4:K278))</f>
        <v/>
      </c>
      <c r="M278" s="56" t="str">
        <f aca="false">IF($W278="","",N(INDEX(发票统计!M$4:M$1003,$W278)))</f>
        <v/>
      </c>
      <c r="N278" s="56" t="str">
        <f aca="false">IF($W278="","",N(INDEX(发票统计!N$4:N$1003,$W278)))</f>
        <v/>
      </c>
      <c r="O278" s="56" t="str">
        <f aca="false">IF($W278="","",N(INDEX(发票统计!O$4:O$1003,$W278)))</f>
        <v/>
      </c>
      <c r="P278" s="56" t="str">
        <f aca="false">IF($W278="","",SUM(M$4:M278)-SUM(N$4:N278)-SUM(O$4:O278))</f>
        <v/>
      </c>
      <c r="Q278" s="56" t="str">
        <f aca="false">IF($W278="","",N(INDEX(发票统计!Q$4:Q$1003,$W278)))</f>
        <v/>
      </c>
      <c r="R278" s="56" t="str">
        <f aca="false">IF($W278="","",N(INDEX(发票统计!R$4:R$1003,$W278)))</f>
        <v/>
      </c>
      <c r="S278" s="56" t="str">
        <f aca="false">IF($W278="","",N(INDEX(发票统计!S$4:S$1003,$W278)))</f>
        <v/>
      </c>
      <c r="T278" s="56" t="str">
        <f aca="false">IF($W278="","",SUM(Q$4:Q278)-SUM(R$4:R278)-SUM(S$4:S278))</f>
        <v/>
      </c>
      <c r="U278" s="56" t="str">
        <f aca="false">IF($W278="","",INDEX(发票统计!U$4:U$1003,$W278)&amp;"")</f>
        <v/>
      </c>
      <c r="W278" s="1" t="str">
        <f aca="false">IF($V$3="","",IFERROR(MATCH($V$3&amp;"#"&amp;ROWS(W$4:W278),发票统计!$W$4:$W$1003,0),""))</f>
        <v/>
      </c>
    </row>
    <row r="279" customFormat="false" ht="16.5" hidden="false" customHeight="false" outlineLevel="0" collapsed="false">
      <c r="A279" s="56" t="str">
        <f aca="false">IF($W279="","",INDEX(发票统计!A$4:A$1003,$W279)&amp;"")</f>
        <v/>
      </c>
      <c r="B279" s="56" t="str">
        <f aca="false">IF($W279="","",INDEX(发票统计!B$4:B$1003,$W279)&amp;"")</f>
        <v/>
      </c>
      <c r="C279" s="56" t="str">
        <f aca="false">IF($W279="","",INDEX(发票统计!C$4:C$1003,$W279)&amp;"")</f>
        <v/>
      </c>
      <c r="D279" s="56" t="str">
        <f aca="false">IF($W279="","",INDEX(发票统计!D$4:D$1003,$W279)&amp;"")</f>
        <v/>
      </c>
      <c r="E279" s="56" t="str">
        <f aca="false">IF($W279="","",INDEX(发票统计!E$4:E$1003,$W279)&amp;"")</f>
        <v/>
      </c>
      <c r="F279" s="73" t="str">
        <f aca="false">IF($W279="","",INDEX(发票统计!F$4:F$1003,$W279)&amp;"")</f>
        <v/>
      </c>
      <c r="G279" s="68" t="str">
        <f aca="false">IF($W279="","",IF(INDEX(发票统计!G$4:G$1003,$W279)="","",INDEX(发票统计!G$4:G$1003,$W279)))</f>
        <v/>
      </c>
      <c r="H279" s="56" t="str">
        <f aca="false">IF($W279="","",N(INDEX(发票统计!H$4:H$1003,$W279)))</f>
        <v/>
      </c>
      <c r="I279" s="56" t="str">
        <f aca="false">IF($W279="","",N(INDEX(发票统计!I$4:I$1003,$W279)))</f>
        <v/>
      </c>
      <c r="J279" s="56" t="str">
        <f aca="false">IF($W279="","",N(INDEX(发票统计!J$4:J$1003,$W279)))</f>
        <v/>
      </c>
      <c r="K279" s="56" t="str">
        <f aca="false">IF($W279="","",N(INDEX(发票统计!K$4:K$1003,$W279)))</f>
        <v/>
      </c>
      <c r="L279" s="56" t="str">
        <f aca="false">IF($W279="","",SUM(J$4:J279)-SUM(K$4:K279))</f>
        <v/>
      </c>
      <c r="M279" s="56" t="str">
        <f aca="false">IF($W279="","",N(INDEX(发票统计!M$4:M$1003,$W279)))</f>
        <v/>
      </c>
      <c r="N279" s="56" t="str">
        <f aca="false">IF($W279="","",N(INDEX(发票统计!N$4:N$1003,$W279)))</f>
        <v/>
      </c>
      <c r="O279" s="56" t="str">
        <f aca="false">IF($W279="","",N(INDEX(发票统计!O$4:O$1003,$W279)))</f>
        <v/>
      </c>
      <c r="P279" s="56" t="str">
        <f aca="false">IF($W279="","",SUM(M$4:M279)-SUM(N$4:N279)-SUM(O$4:O279))</f>
        <v/>
      </c>
      <c r="Q279" s="56" t="str">
        <f aca="false">IF($W279="","",N(INDEX(发票统计!Q$4:Q$1003,$W279)))</f>
        <v/>
      </c>
      <c r="R279" s="56" t="str">
        <f aca="false">IF($W279="","",N(INDEX(发票统计!R$4:R$1003,$W279)))</f>
        <v/>
      </c>
      <c r="S279" s="56" t="str">
        <f aca="false">IF($W279="","",N(INDEX(发票统计!S$4:S$1003,$W279)))</f>
        <v/>
      </c>
      <c r="T279" s="56" t="str">
        <f aca="false">IF($W279="","",SUM(Q$4:Q279)-SUM(R$4:R279)-SUM(S$4:S279))</f>
        <v/>
      </c>
      <c r="U279" s="56" t="str">
        <f aca="false">IF($W279="","",INDEX(发票统计!U$4:U$1003,$W279)&amp;"")</f>
        <v/>
      </c>
      <c r="W279" s="1" t="str">
        <f aca="false">IF($V$3="","",IFERROR(MATCH($V$3&amp;"#"&amp;ROWS(W$4:W279),发票统计!$W$4:$W$1003,0),""))</f>
        <v/>
      </c>
    </row>
    <row r="280" customFormat="false" ht="16.5" hidden="false" customHeight="false" outlineLevel="0" collapsed="false">
      <c r="A280" s="56" t="str">
        <f aca="false">IF($W280="","",INDEX(发票统计!A$4:A$1003,$W280)&amp;"")</f>
        <v/>
      </c>
      <c r="B280" s="56" t="str">
        <f aca="false">IF($W280="","",INDEX(发票统计!B$4:B$1003,$W280)&amp;"")</f>
        <v/>
      </c>
      <c r="C280" s="56" t="str">
        <f aca="false">IF($W280="","",INDEX(发票统计!C$4:C$1003,$W280)&amp;"")</f>
        <v/>
      </c>
      <c r="D280" s="56" t="str">
        <f aca="false">IF($W280="","",INDEX(发票统计!D$4:D$1003,$W280)&amp;"")</f>
        <v/>
      </c>
      <c r="E280" s="56" t="str">
        <f aca="false">IF($W280="","",INDEX(发票统计!E$4:E$1003,$W280)&amp;"")</f>
        <v/>
      </c>
      <c r="F280" s="73" t="str">
        <f aca="false">IF($W280="","",INDEX(发票统计!F$4:F$1003,$W280)&amp;"")</f>
        <v/>
      </c>
      <c r="G280" s="68" t="str">
        <f aca="false">IF($W280="","",IF(INDEX(发票统计!G$4:G$1003,$W280)="","",INDEX(发票统计!G$4:G$1003,$W280)))</f>
        <v/>
      </c>
      <c r="H280" s="56" t="str">
        <f aca="false">IF($W280="","",N(INDEX(发票统计!H$4:H$1003,$W280)))</f>
        <v/>
      </c>
      <c r="I280" s="56" t="str">
        <f aca="false">IF($W280="","",N(INDEX(发票统计!I$4:I$1003,$W280)))</f>
        <v/>
      </c>
      <c r="J280" s="56" t="str">
        <f aca="false">IF($W280="","",N(INDEX(发票统计!J$4:J$1003,$W280)))</f>
        <v/>
      </c>
      <c r="K280" s="56" t="str">
        <f aca="false">IF($W280="","",N(INDEX(发票统计!K$4:K$1003,$W280)))</f>
        <v/>
      </c>
      <c r="L280" s="56" t="str">
        <f aca="false">IF($W280="","",SUM(J$4:J280)-SUM(K$4:K280))</f>
        <v/>
      </c>
      <c r="M280" s="56" t="str">
        <f aca="false">IF($W280="","",N(INDEX(发票统计!M$4:M$1003,$W280)))</f>
        <v/>
      </c>
      <c r="N280" s="56" t="str">
        <f aca="false">IF($W280="","",N(INDEX(发票统计!N$4:N$1003,$W280)))</f>
        <v/>
      </c>
      <c r="O280" s="56" t="str">
        <f aca="false">IF($W280="","",N(INDEX(发票统计!O$4:O$1003,$W280)))</f>
        <v/>
      </c>
      <c r="P280" s="56" t="str">
        <f aca="false">IF($W280="","",SUM(M$4:M280)-SUM(N$4:N280)-SUM(O$4:O280))</f>
        <v/>
      </c>
      <c r="Q280" s="56" t="str">
        <f aca="false">IF($W280="","",N(INDEX(发票统计!Q$4:Q$1003,$W280)))</f>
        <v/>
      </c>
      <c r="R280" s="56" t="str">
        <f aca="false">IF($W280="","",N(INDEX(发票统计!R$4:R$1003,$W280)))</f>
        <v/>
      </c>
      <c r="S280" s="56" t="str">
        <f aca="false">IF($W280="","",N(INDEX(发票统计!S$4:S$1003,$W280)))</f>
        <v/>
      </c>
      <c r="T280" s="56" t="str">
        <f aca="false">IF($W280="","",SUM(Q$4:Q280)-SUM(R$4:R280)-SUM(S$4:S280))</f>
        <v/>
      </c>
      <c r="U280" s="56" t="str">
        <f aca="false">IF($W280="","",INDEX(发票统计!U$4:U$1003,$W280)&amp;"")</f>
        <v/>
      </c>
      <c r="W280" s="1" t="str">
        <f aca="false">IF($V$3="","",IFERROR(MATCH($V$3&amp;"#"&amp;ROWS(W$4:W280),发票统计!$W$4:$W$1003,0),""))</f>
        <v/>
      </c>
    </row>
    <row r="281" customFormat="false" ht="16.5" hidden="false" customHeight="false" outlineLevel="0" collapsed="false">
      <c r="A281" s="56" t="str">
        <f aca="false">IF($W281="","",INDEX(发票统计!A$4:A$1003,$W281)&amp;"")</f>
        <v/>
      </c>
      <c r="B281" s="56" t="str">
        <f aca="false">IF($W281="","",INDEX(发票统计!B$4:B$1003,$W281)&amp;"")</f>
        <v/>
      </c>
      <c r="C281" s="56" t="str">
        <f aca="false">IF($W281="","",INDEX(发票统计!C$4:C$1003,$W281)&amp;"")</f>
        <v/>
      </c>
      <c r="D281" s="56" t="str">
        <f aca="false">IF($W281="","",INDEX(发票统计!D$4:D$1003,$W281)&amp;"")</f>
        <v/>
      </c>
      <c r="E281" s="56" t="str">
        <f aca="false">IF($W281="","",INDEX(发票统计!E$4:E$1003,$W281)&amp;"")</f>
        <v/>
      </c>
      <c r="F281" s="73" t="str">
        <f aca="false">IF($W281="","",INDEX(发票统计!F$4:F$1003,$W281)&amp;"")</f>
        <v/>
      </c>
      <c r="G281" s="68" t="str">
        <f aca="false">IF($W281="","",IF(INDEX(发票统计!G$4:G$1003,$W281)="","",INDEX(发票统计!G$4:G$1003,$W281)))</f>
        <v/>
      </c>
      <c r="H281" s="56" t="str">
        <f aca="false">IF($W281="","",N(INDEX(发票统计!H$4:H$1003,$W281)))</f>
        <v/>
      </c>
      <c r="I281" s="56" t="str">
        <f aca="false">IF($W281="","",N(INDEX(发票统计!I$4:I$1003,$W281)))</f>
        <v/>
      </c>
      <c r="J281" s="56" t="str">
        <f aca="false">IF($W281="","",N(INDEX(发票统计!J$4:J$1003,$W281)))</f>
        <v/>
      </c>
      <c r="K281" s="56" t="str">
        <f aca="false">IF($W281="","",N(INDEX(发票统计!K$4:K$1003,$W281)))</f>
        <v/>
      </c>
      <c r="L281" s="56" t="str">
        <f aca="false">IF($W281="","",SUM(J$4:J281)-SUM(K$4:K281))</f>
        <v/>
      </c>
      <c r="M281" s="56" t="str">
        <f aca="false">IF($W281="","",N(INDEX(发票统计!M$4:M$1003,$W281)))</f>
        <v/>
      </c>
      <c r="N281" s="56" t="str">
        <f aca="false">IF($W281="","",N(INDEX(发票统计!N$4:N$1003,$W281)))</f>
        <v/>
      </c>
      <c r="O281" s="56" t="str">
        <f aca="false">IF($W281="","",N(INDEX(发票统计!O$4:O$1003,$W281)))</f>
        <v/>
      </c>
      <c r="P281" s="56" t="str">
        <f aca="false">IF($W281="","",SUM(M$4:M281)-SUM(N$4:N281)-SUM(O$4:O281))</f>
        <v/>
      </c>
      <c r="Q281" s="56" t="str">
        <f aca="false">IF($W281="","",N(INDEX(发票统计!Q$4:Q$1003,$W281)))</f>
        <v/>
      </c>
      <c r="R281" s="56" t="str">
        <f aca="false">IF($W281="","",N(INDEX(发票统计!R$4:R$1003,$W281)))</f>
        <v/>
      </c>
      <c r="S281" s="56" t="str">
        <f aca="false">IF($W281="","",N(INDEX(发票统计!S$4:S$1003,$W281)))</f>
        <v/>
      </c>
      <c r="T281" s="56" t="str">
        <f aca="false">IF($W281="","",SUM(Q$4:Q281)-SUM(R$4:R281)-SUM(S$4:S281))</f>
        <v/>
      </c>
      <c r="U281" s="56" t="str">
        <f aca="false">IF($W281="","",INDEX(发票统计!U$4:U$1003,$W281)&amp;"")</f>
        <v/>
      </c>
      <c r="W281" s="1" t="str">
        <f aca="false">IF($V$3="","",IFERROR(MATCH($V$3&amp;"#"&amp;ROWS(W$4:W281),发票统计!$W$4:$W$1003,0),""))</f>
        <v/>
      </c>
    </row>
    <row r="282" customFormat="false" ht="16.5" hidden="false" customHeight="false" outlineLevel="0" collapsed="false">
      <c r="A282" s="56" t="str">
        <f aca="false">IF($W282="","",INDEX(发票统计!A$4:A$1003,$W282)&amp;"")</f>
        <v/>
      </c>
      <c r="B282" s="56" t="str">
        <f aca="false">IF($W282="","",INDEX(发票统计!B$4:B$1003,$W282)&amp;"")</f>
        <v/>
      </c>
      <c r="C282" s="56" t="str">
        <f aca="false">IF($W282="","",INDEX(发票统计!C$4:C$1003,$W282)&amp;"")</f>
        <v/>
      </c>
      <c r="D282" s="56" t="str">
        <f aca="false">IF($W282="","",INDEX(发票统计!D$4:D$1003,$W282)&amp;"")</f>
        <v/>
      </c>
      <c r="E282" s="56" t="str">
        <f aca="false">IF($W282="","",INDEX(发票统计!E$4:E$1003,$W282)&amp;"")</f>
        <v/>
      </c>
      <c r="F282" s="73" t="str">
        <f aca="false">IF($W282="","",INDEX(发票统计!F$4:F$1003,$W282)&amp;"")</f>
        <v/>
      </c>
      <c r="G282" s="68" t="str">
        <f aca="false">IF($W282="","",IF(INDEX(发票统计!G$4:G$1003,$W282)="","",INDEX(发票统计!G$4:G$1003,$W282)))</f>
        <v/>
      </c>
      <c r="H282" s="56" t="str">
        <f aca="false">IF($W282="","",N(INDEX(发票统计!H$4:H$1003,$W282)))</f>
        <v/>
      </c>
      <c r="I282" s="56" t="str">
        <f aca="false">IF($W282="","",N(INDEX(发票统计!I$4:I$1003,$W282)))</f>
        <v/>
      </c>
      <c r="J282" s="56" t="str">
        <f aca="false">IF($W282="","",N(INDEX(发票统计!J$4:J$1003,$W282)))</f>
        <v/>
      </c>
      <c r="K282" s="56" t="str">
        <f aca="false">IF($W282="","",N(INDEX(发票统计!K$4:K$1003,$W282)))</f>
        <v/>
      </c>
      <c r="L282" s="56" t="str">
        <f aca="false">IF($W282="","",SUM(J$4:J282)-SUM(K$4:K282))</f>
        <v/>
      </c>
      <c r="M282" s="56" t="str">
        <f aca="false">IF($W282="","",N(INDEX(发票统计!M$4:M$1003,$W282)))</f>
        <v/>
      </c>
      <c r="N282" s="56" t="str">
        <f aca="false">IF($W282="","",N(INDEX(发票统计!N$4:N$1003,$W282)))</f>
        <v/>
      </c>
      <c r="O282" s="56" t="str">
        <f aca="false">IF($W282="","",N(INDEX(发票统计!O$4:O$1003,$W282)))</f>
        <v/>
      </c>
      <c r="P282" s="56" t="str">
        <f aca="false">IF($W282="","",SUM(M$4:M282)-SUM(N$4:N282)-SUM(O$4:O282))</f>
        <v/>
      </c>
      <c r="Q282" s="56" t="str">
        <f aca="false">IF($W282="","",N(INDEX(发票统计!Q$4:Q$1003,$W282)))</f>
        <v/>
      </c>
      <c r="R282" s="56" t="str">
        <f aca="false">IF($W282="","",N(INDEX(发票统计!R$4:R$1003,$W282)))</f>
        <v/>
      </c>
      <c r="S282" s="56" t="str">
        <f aca="false">IF($W282="","",N(INDEX(发票统计!S$4:S$1003,$W282)))</f>
        <v/>
      </c>
      <c r="T282" s="56" t="str">
        <f aca="false">IF($W282="","",SUM(Q$4:Q282)-SUM(R$4:R282)-SUM(S$4:S282))</f>
        <v/>
      </c>
      <c r="U282" s="56" t="str">
        <f aca="false">IF($W282="","",INDEX(发票统计!U$4:U$1003,$W282)&amp;"")</f>
        <v/>
      </c>
      <c r="W282" s="1" t="str">
        <f aca="false">IF($V$3="","",IFERROR(MATCH($V$3&amp;"#"&amp;ROWS(W$4:W282),发票统计!$W$4:$W$1003,0),""))</f>
        <v/>
      </c>
    </row>
    <row r="283" customFormat="false" ht="16.5" hidden="false" customHeight="false" outlineLevel="0" collapsed="false">
      <c r="A283" s="56" t="str">
        <f aca="false">IF($W283="","",INDEX(发票统计!A$4:A$1003,$W283)&amp;"")</f>
        <v/>
      </c>
      <c r="B283" s="56" t="str">
        <f aca="false">IF($W283="","",INDEX(发票统计!B$4:B$1003,$W283)&amp;"")</f>
        <v/>
      </c>
      <c r="C283" s="56" t="str">
        <f aca="false">IF($W283="","",INDEX(发票统计!C$4:C$1003,$W283)&amp;"")</f>
        <v/>
      </c>
      <c r="D283" s="56" t="str">
        <f aca="false">IF($W283="","",INDEX(发票统计!D$4:D$1003,$W283)&amp;"")</f>
        <v/>
      </c>
      <c r="E283" s="56" t="str">
        <f aca="false">IF($W283="","",INDEX(发票统计!E$4:E$1003,$W283)&amp;"")</f>
        <v/>
      </c>
      <c r="F283" s="73" t="str">
        <f aca="false">IF($W283="","",INDEX(发票统计!F$4:F$1003,$W283)&amp;"")</f>
        <v/>
      </c>
      <c r="G283" s="68" t="str">
        <f aca="false">IF($W283="","",IF(INDEX(发票统计!G$4:G$1003,$W283)="","",INDEX(发票统计!G$4:G$1003,$W283)))</f>
        <v/>
      </c>
      <c r="H283" s="56" t="str">
        <f aca="false">IF($W283="","",N(INDEX(发票统计!H$4:H$1003,$W283)))</f>
        <v/>
      </c>
      <c r="I283" s="56" t="str">
        <f aca="false">IF($W283="","",N(INDEX(发票统计!I$4:I$1003,$W283)))</f>
        <v/>
      </c>
      <c r="J283" s="56" t="str">
        <f aca="false">IF($W283="","",N(INDEX(发票统计!J$4:J$1003,$W283)))</f>
        <v/>
      </c>
      <c r="K283" s="56" t="str">
        <f aca="false">IF($W283="","",N(INDEX(发票统计!K$4:K$1003,$W283)))</f>
        <v/>
      </c>
      <c r="L283" s="56" t="str">
        <f aca="false">IF($W283="","",SUM(J$4:J283)-SUM(K$4:K283))</f>
        <v/>
      </c>
      <c r="M283" s="56" t="str">
        <f aca="false">IF($W283="","",N(INDEX(发票统计!M$4:M$1003,$W283)))</f>
        <v/>
      </c>
      <c r="N283" s="56" t="str">
        <f aca="false">IF($W283="","",N(INDEX(发票统计!N$4:N$1003,$W283)))</f>
        <v/>
      </c>
      <c r="O283" s="56" t="str">
        <f aca="false">IF($W283="","",N(INDEX(发票统计!O$4:O$1003,$W283)))</f>
        <v/>
      </c>
      <c r="P283" s="56" t="str">
        <f aca="false">IF($W283="","",SUM(M$4:M283)-SUM(N$4:N283)-SUM(O$4:O283))</f>
        <v/>
      </c>
      <c r="Q283" s="56" t="str">
        <f aca="false">IF($W283="","",N(INDEX(发票统计!Q$4:Q$1003,$W283)))</f>
        <v/>
      </c>
      <c r="R283" s="56" t="str">
        <f aca="false">IF($W283="","",N(INDEX(发票统计!R$4:R$1003,$W283)))</f>
        <v/>
      </c>
      <c r="S283" s="56" t="str">
        <f aca="false">IF($W283="","",N(INDEX(发票统计!S$4:S$1003,$W283)))</f>
        <v/>
      </c>
      <c r="T283" s="56" t="str">
        <f aca="false">IF($W283="","",SUM(Q$4:Q283)-SUM(R$4:R283)-SUM(S$4:S283))</f>
        <v/>
      </c>
      <c r="U283" s="56" t="str">
        <f aca="false">IF($W283="","",INDEX(发票统计!U$4:U$1003,$W283)&amp;"")</f>
        <v/>
      </c>
      <c r="W283" s="1" t="str">
        <f aca="false">IF($V$3="","",IFERROR(MATCH($V$3&amp;"#"&amp;ROWS(W$4:W283),发票统计!$W$4:$W$1003,0),""))</f>
        <v/>
      </c>
    </row>
    <row r="284" customFormat="false" ht="16.5" hidden="false" customHeight="false" outlineLevel="0" collapsed="false">
      <c r="A284" s="56" t="str">
        <f aca="false">IF($W284="","",INDEX(发票统计!A$4:A$1003,$W284)&amp;"")</f>
        <v/>
      </c>
      <c r="B284" s="56" t="str">
        <f aca="false">IF($W284="","",INDEX(发票统计!B$4:B$1003,$W284)&amp;"")</f>
        <v/>
      </c>
      <c r="C284" s="56" t="str">
        <f aca="false">IF($W284="","",INDEX(发票统计!C$4:C$1003,$W284)&amp;"")</f>
        <v/>
      </c>
      <c r="D284" s="56" t="str">
        <f aca="false">IF($W284="","",INDEX(发票统计!D$4:D$1003,$W284)&amp;"")</f>
        <v/>
      </c>
      <c r="E284" s="56" t="str">
        <f aca="false">IF($W284="","",INDEX(发票统计!E$4:E$1003,$W284)&amp;"")</f>
        <v/>
      </c>
      <c r="F284" s="73" t="str">
        <f aca="false">IF($W284="","",INDEX(发票统计!F$4:F$1003,$W284)&amp;"")</f>
        <v/>
      </c>
      <c r="G284" s="68" t="str">
        <f aca="false">IF($W284="","",IF(INDEX(发票统计!G$4:G$1003,$W284)="","",INDEX(发票统计!G$4:G$1003,$W284)))</f>
        <v/>
      </c>
      <c r="H284" s="56" t="str">
        <f aca="false">IF($W284="","",N(INDEX(发票统计!H$4:H$1003,$W284)))</f>
        <v/>
      </c>
      <c r="I284" s="56" t="str">
        <f aca="false">IF($W284="","",N(INDEX(发票统计!I$4:I$1003,$W284)))</f>
        <v/>
      </c>
      <c r="J284" s="56" t="str">
        <f aca="false">IF($W284="","",N(INDEX(发票统计!J$4:J$1003,$W284)))</f>
        <v/>
      </c>
      <c r="K284" s="56" t="str">
        <f aca="false">IF($W284="","",N(INDEX(发票统计!K$4:K$1003,$W284)))</f>
        <v/>
      </c>
      <c r="L284" s="56" t="str">
        <f aca="false">IF($W284="","",SUM(J$4:J284)-SUM(K$4:K284))</f>
        <v/>
      </c>
      <c r="M284" s="56" t="str">
        <f aca="false">IF($W284="","",N(INDEX(发票统计!M$4:M$1003,$W284)))</f>
        <v/>
      </c>
      <c r="N284" s="56" t="str">
        <f aca="false">IF($W284="","",N(INDEX(发票统计!N$4:N$1003,$W284)))</f>
        <v/>
      </c>
      <c r="O284" s="56" t="str">
        <f aca="false">IF($W284="","",N(INDEX(发票统计!O$4:O$1003,$W284)))</f>
        <v/>
      </c>
      <c r="P284" s="56" t="str">
        <f aca="false">IF($W284="","",SUM(M$4:M284)-SUM(N$4:N284)-SUM(O$4:O284))</f>
        <v/>
      </c>
      <c r="Q284" s="56" t="str">
        <f aca="false">IF($W284="","",N(INDEX(发票统计!Q$4:Q$1003,$W284)))</f>
        <v/>
      </c>
      <c r="R284" s="56" t="str">
        <f aca="false">IF($W284="","",N(INDEX(发票统计!R$4:R$1003,$W284)))</f>
        <v/>
      </c>
      <c r="S284" s="56" t="str">
        <f aca="false">IF($W284="","",N(INDEX(发票统计!S$4:S$1003,$W284)))</f>
        <v/>
      </c>
      <c r="T284" s="56" t="str">
        <f aca="false">IF($W284="","",SUM(Q$4:Q284)-SUM(R$4:R284)-SUM(S$4:S284))</f>
        <v/>
      </c>
      <c r="U284" s="56" t="str">
        <f aca="false">IF($W284="","",INDEX(发票统计!U$4:U$1003,$W284)&amp;"")</f>
        <v/>
      </c>
      <c r="W284" s="1" t="str">
        <f aca="false">IF($V$3="","",IFERROR(MATCH($V$3&amp;"#"&amp;ROWS(W$4:W284),发票统计!$W$4:$W$1003,0),""))</f>
        <v/>
      </c>
    </row>
    <row r="285" customFormat="false" ht="16.5" hidden="false" customHeight="false" outlineLevel="0" collapsed="false">
      <c r="A285" s="56" t="str">
        <f aca="false">IF($W285="","",INDEX(发票统计!A$4:A$1003,$W285)&amp;"")</f>
        <v/>
      </c>
      <c r="B285" s="56" t="str">
        <f aca="false">IF($W285="","",INDEX(发票统计!B$4:B$1003,$W285)&amp;"")</f>
        <v/>
      </c>
      <c r="C285" s="56" t="str">
        <f aca="false">IF($W285="","",INDEX(发票统计!C$4:C$1003,$W285)&amp;"")</f>
        <v/>
      </c>
      <c r="D285" s="56" t="str">
        <f aca="false">IF($W285="","",INDEX(发票统计!D$4:D$1003,$W285)&amp;"")</f>
        <v/>
      </c>
      <c r="E285" s="56" t="str">
        <f aca="false">IF($W285="","",INDEX(发票统计!E$4:E$1003,$W285)&amp;"")</f>
        <v/>
      </c>
      <c r="F285" s="73" t="str">
        <f aca="false">IF($W285="","",INDEX(发票统计!F$4:F$1003,$W285)&amp;"")</f>
        <v/>
      </c>
      <c r="G285" s="68" t="str">
        <f aca="false">IF($W285="","",IF(INDEX(发票统计!G$4:G$1003,$W285)="","",INDEX(发票统计!G$4:G$1003,$W285)))</f>
        <v/>
      </c>
      <c r="H285" s="56" t="str">
        <f aca="false">IF($W285="","",N(INDEX(发票统计!H$4:H$1003,$W285)))</f>
        <v/>
      </c>
      <c r="I285" s="56" t="str">
        <f aca="false">IF($W285="","",N(INDEX(发票统计!I$4:I$1003,$W285)))</f>
        <v/>
      </c>
      <c r="J285" s="56" t="str">
        <f aca="false">IF($W285="","",N(INDEX(发票统计!J$4:J$1003,$W285)))</f>
        <v/>
      </c>
      <c r="K285" s="56" t="str">
        <f aca="false">IF($W285="","",N(INDEX(发票统计!K$4:K$1003,$W285)))</f>
        <v/>
      </c>
      <c r="L285" s="56" t="str">
        <f aca="false">IF($W285="","",SUM(J$4:J285)-SUM(K$4:K285))</f>
        <v/>
      </c>
      <c r="M285" s="56" t="str">
        <f aca="false">IF($W285="","",N(INDEX(发票统计!M$4:M$1003,$W285)))</f>
        <v/>
      </c>
      <c r="N285" s="56" t="str">
        <f aca="false">IF($W285="","",N(INDEX(发票统计!N$4:N$1003,$W285)))</f>
        <v/>
      </c>
      <c r="O285" s="56" t="str">
        <f aca="false">IF($W285="","",N(INDEX(发票统计!O$4:O$1003,$W285)))</f>
        <v/>
      </c>
      <c r="P285" s="56" t="str">
        <f aca="false">IF($W285="","",SUM(M$4:M285)-SUM(N$4:N285)-SUM(O$4:O285))</f>
        <v/>
      </c>
      <c r="Q285" s="56" t="str">
        <f aca="false">IF($W285="","",N(INDEX(发票统计!Q$4:Q$1003,$W285)))</f>
        <v/>
      </c>
      <c r="R285" s="56" t="str">
        <f aca="false">IF($W285="","",N(INDEX(发票统计!R$4:R$1003,$W285)))</f>
        <v/>
      </c>
      <c r="S285" s="56" t="str">
        <f aca="false">IF($W285="","",N(INDEX(发票统计!S$4:S$1003,$W285)))</f>
        <v/>
      </c>
      <c r="T285" s="56" t="str">
        <f aca="false">IF($W285="","",SUM(Q$4:Q285)-SUM(R$4:R285)-SUM(S$4:S285))</f>
        <v/>
      </c>
      <c r="U285" s="56" t="str">
        <f aca="false">IF($W285="","",INDEX(发票统计!U$4:U$1003,$W285)&amp;"")</f>
        <v/>
      </c>
      <c r="W285" s="1" t="str">
        <f aca="false">IF($V$3="","",IFERROR(MATCH($V$3&amp;"#"&amp;ROWS(W$4:W285),发票统计!$W$4:$W$1003,0),""))</f>
        <v/>
      </c>
    </row>
    <row r="286" customFormat="false" ht="16.5" hidden="false" customHeight="false" outlineLevel="0" collapsed="false">
      <c r="A286" s="56" t="str">
        <f aca="false">IF($W286="","",INDEX(发票统计!A$4:A$1003,$W286)&amp;"")</f>
        <v/>
      </c>
      <c r="B286" s="56" t="str">
        <f aca="false">IF($W286="","",INDEX(发票统计!B$4:B$1003,$W286)&amp;"")</f>
        <v/>
      </c>
      <c r="C286" s="56" t="str">
        <f aca="false">IF($W286="","",INDEX(发票统计!C$4:C$1003,$W286)&amp;"")</f>
        <v/>
      </c>
      <c r="D286" s="56" t="str">
        <f aca="false">IF($W286="","",INDEX(发票统计!D$4:D$1003,$W286)&amp;"")</f>
        <v/>
      </c>
      <c r="E286" s="56" t="str">
        <f aca="false">IF($W286="","",INDEX(发票统计!E$4:E$1003,$W286)&amp;"")</f>
        <v/>
      </c>
      <c r="F286" s="73" t="str">
        <f aca="false">IF($W286="","",INDEX(发票统计!F$4:F$1003,$W286)&amp;"")</f>
        <v/>
      </c>
      <c r="G286" s="68" t="str">
        <f aca="false">IF($W286="","",IF(INDEX(发票统计!G$4:G$1003,$W286)="","",INDEX(发票统计!G$4:G$1003,$W286)))</f>
        <v/>
      </c>
      <c r="H286" s="56" t="str">
        <f aca="false">IF($W286="","",N(INDEX(发票统计!H$4:H$1003,$W286)))</f>
        <v/>
      </c>
      <c r="I286" s="56" t="str">
        <f aca="false">IF($W286="","",N(INDEX(发票统计!I$4:I$1003,$W286)))</f>
        <v/>
      </c>
      <c r="J286" s="56" t="str">
        <f aca="false">IF($W286="","",N(INDEX(发票统计!J$4:J$1003,$W286)))</f>
        <v/>
      </c>
      <c r="K286" s="56" t="str">
        <f aca="false">IF($W286="","",N(INDEX(发票统计!K$4:K$1003,$W286)))</f>
        <v/>
      </c>
      <c r="L286" s="56" t="str">
        <f aca="false">IF($W286="","",SUM(J$4:J286)-SUM(K$4:K286))</f>
        <v/>
      </c>
      <c r="M286" s="56" t="str">
        <f aca="false">IF($W286="","",N(INDEX(发票统计!M$4:M$1003,$W286)))</f>
        <v/>
      </c>
      <c r="N286" s="56" t="str">
        <f aca="false">IF($W286="","",N(INDEX(发票统计!N$4:N$1003,$W286)))</f>
        <v/>
      </c>
      <c r="O286" s="56" t="str">
        <f aca="false">IF($W286="","",N(INDEX(发票统计!O$4:O$1003,$W286)))</f>
        <v/>
      </c>
      <c r="P286" s="56" t="str">
        <f aca="false">IF($W286="","",SUM(M$4:M286)-SUM(N$4:N286)-SUM(O$4:O286))</f>
        <v/>
      </c>
      <c r="Q286" s="56" t="str">
        <f aca="false">IF($W286="","",N(INDEX(发票统计!Q$4:Q$1003,$W286)))</f>
        <v/>
      </c>
      <c r="R286" s="56" t="str">
        <f aca="false">IF($W286="","",N(INDEX(发票统计!R$4:R$1003,$W286)))</f>
        <v/>
      </c>
      <c r="S286" s="56" t="str">
        <f aca="false">IF($W286="","",N(INDEX(发票统计!S$4:S$1003,$W286)))</f>
        <v/>
      </c>
      <c r="T286" s="56" t="str">
        <f aca="false">IF($W286="","",SUM(Q$4:Q286)-SUM(R$4:R286)-SUM(S$4:S286))</f>
        <v/>
      </c>
      <c r="U286" s="56" t="str">
        <f aca="false">IF($W286="","",INDEX(发票统计!U$4:U$1003,$W286)&amp;"")</f>
        <v/>
      </c>
      <c r="W286" s="1" t="str">
        <f aca="false">IF($V$3="","",IFERROR(MATCH($V$3&amp;"#"&amp;ROWS(W$4:W286),发票统计!$W$4:$W$1003,0),""))</f>
        <v/>
      </c>
    </row>
    <row r="287" customFormat="false" ht="16.5" hidden="false" customHeight="false" outlineLevel="0" collapsed="false">
      <c r="A287" s="56" t="str">
        <f aca="false">IF($W287="","",INDEX(发票统计!A$4:A$1003,$W287)&amp;"")</f>
        <v/>
      </c>
      <c r="B287" s="56" t="str">
        <f aca="false">IF($W287="","",INDEX(发票统计!B$4:B$1003,$W287)&amp;"")</f>
        <v/>
      </c>
      <c r="C287" s="56" t="str">
        <f aca="false">IF($W287="","",INDEX(发票统计!C$4:C$1003,$W287)&amp;"")</f>
        <v/>
      </c>
      <c r="D287" s="56" t="str">
        <f aca="false">IF($W287="","",INDEX(发票统计!D$4:D$1003,$W287)&amp;"")</f>
        <v/>
      </c>
      <c r="E287" s="56" t="str">
        <f aca="false">IF($W287="","",INDEX(发票统计!E$4:E$1003,$W287)&amp;"")</f>
        <v/>
      </c>
      <c r="F287" s="73" t="str">
        <f aca="false">IF($W287="","",INDEX(发票统计!F$4:F$1003,$W287)&amp;"")</f>
        <v/>
      </c>
      <c r="G287" s="68" t="str">
        <f aca="false">IF($W287="","",IF(INDEX(发票统计!G$4:G$1003,$W287)="","",INDEX(发票统计!G$4:G$1003,$W287)))</f>
        <v/>
      </c>
      <c r="H287" s="56" t="str">
        <f aca="false">IF($W287="","",N(INDEX(发票统计!H$4:H$1003,$W287)))</f>
        <v/>
      </c>
      <c r="I287" s="56" t="str">
        <f aca="false">IF($W287="","",N(INDEX(发票统计!I$4:I$1003,$W287)))</f>
        <v/>
      </c>
      <c r="J287" s="56" t="str">
        <f aca="false">IF($W287="","",N(INDEX(发票统计!J$4:J$1003,$W287)))</f>
        <v/>
      </c>
      <c r="K287" s="56" t="str">
        <f aca="false">IF($W287="","",N(INDEX(发票统计!K$4:K$1003,$W287)))</f>
        <v/>
      </c>
      <c r="L287" s="56" t="str">
        <f aca="false">IF($W287="","",SUM(J$4:J287)-SUM(K$4:K287))</f>
        <v/>
      </c>
      <c r="M287" s="56" t="str">
        <f aca="false">IF($W287="","",N(INDEX(发票统计!M$4:M$1003,$W287)))</f>
        <v/>
      </c>
      <c r="N287" s="56" t="str">
        <f aca="false">IF($W287="","",N(INDEX(发票统计!N$4:N$1003,$W287)))</f>
        <v/>
      </c>
      <c r="O287" s="56" t="str">
        <f aca="false">IF($W287="","",N(INDEX(发票统计!O$4:O$1003,$W287)))</f>
        <v/>
      </c>
      <c r="P287" s="56" t="str">
        <f aca="false">IF($W287="","",SUM(M$4:M287)-SUM(N$4:N287)-SUM(O$4:O287))</f>
        <v/>
      </c>
      <c r="Q287" s="56" t="str">
        <f aca="false">IF($W287="","",N(INDEX(发票统计!Q$4:Q$1003,$W287)))</f>
        <v/>
      </c>
      <c r="R287" s="56" t="str">
        <f aca="false">IF($W287="","",N(INDEX(发票统计!R$4:R$1003,$W287)))</f>
        <v/>
      </c>
      <c r="S287" s="56" t="str">
        <f aca="false">IF($W287="","",N(INDEX(发票统计!S$4:S$1003,$W287)))</f>
        <v/>
      </c>
      <c r="T287" s="56" t="str">
        <f aca="false">IF($W287="","",SUM(Q$4:Q287)-SUM(R$4:R287)-SUM(S$4:S287))</f>
        <v/>
      </c>
      <c r="U287" s="56" t="str">
        <f aca="false">IF($W287="","",INDEX(发票统计!U$4:U$1003,$W287)&amp;"")</f>
        <v/>
      </c>
      <c r="W287" s="1" t="str">
        <f aca="false">IF($V$3="","",IFERROR(MATCH($V$3&amp;"#"&amp;ROWS(W$4:W287),发票统计!$W$4:$W$1003,0),""))</f>
        <v/>
      </c>
    </row>
    <row r="288" customFormat="false" ht="16.5" hidden="false" customHeight="false" outlineLevel="0" collapsed="false">
      <c r="A288" s="56" t="str">
        <f aca="false">IF($W288="","",INDEX(发票统计!A$4:A$1003,$W288)&amp;"")</f>
        <v/>
      </c>
      <c r="B288" s="56" t="str">
        <f aca="false">IF($W288="","",INDEX(发票统计!B$4:B$1003,$W288)&amp;"")</f>
        <v/>
      </c>
      <c r="C288" s="56" t="str">
        <f aca="false">IF($W288="","",INDEX(发票统计!C$4:C$1003,$W288)&amp;"")</f>
        <v/>
      </c>
      <c r="D288" s="56" t="str">
        <f aca="false">IF($W288="","",INDEX(发票统计!D$4:D$1003,$W288)&amp;"")</f>
        <v/>
      </c>
      <c r="E288" s="56" t="str">
        <f aca="false">IF($W288="","",INDEX(发票统计!E$4:E$1003,$W288)&amp;"")</f>
        <v/>
      </c>
      <c r="F288" s="73" t="str">
        <f aca="false">IF($W288="","",INDEX(发票统计!F$4:F$1003,$W288)&amp;"")</f>
        <v/>
      </c>
      <c r="G288" s="68" t="str">
        <f aca="false">IF($W288="","",IF(INDEX(发票统计!G$4:G$1003,$W288)="","",INDEX(发票统计!G$4:G$1003,$W288)))</f>
        <v/>
      </c>
      <c r="H288" s="56" t="str">
        <f aca="false">IF($W288="","",N(INDEX(发票统计!H$4:H$1003,$W288)))</f>
        <v/>
      </c>
      <c r="I288" s="56" t="str">
        <f aca="false">IF($W288="","",N(INDEX(发票统计!I$4:I$1003,$W288)))</f>
        <v/>
      </c>
      <c r="J288" s="56" t="str">
        <f aca="false">IF($W288="","",N(INDEX(发票统计!J$4:J$1003,$W288)))</f>
        <v/>
      </c>
      <c r="K288" s="56" t="str">
        <f aca="false">IF($W288="","",N(INDEX(发票统计!K$4:K$1003,$W288)))</f>
        <v/>
      </c>
      <c r="L288" s="56" t="str">
        <f aca="false">IF($W288="","",SUM(J$4:J288)-SUM(K$4:K288))</f>
        <v/>
      </c>
      <c r="M288" s="56" t="str">
        <f aca="false">IF($W288="","",N(INDEX(发票统计!M$4:M$1003,$W288)))</f>
        <v/>
      </c>
      <c r="N288" s="56" t="str">
        <f aca="false">IF($W288="","",N(INDEX(发票统计!N$4:N$1003,$W288)))</f>
        <v/>
      </c>
      <c r="O288" s="56" t="str">
        <f aca="false">IF($W288="","",N(INDEX(发票统计!O$4:O$1003,$W288)))</f>
        <v/>
      </c>
      <c r="P288" s="56" t="str">
        <f aca="false">IF($W288="","",SUM(M$4:M288)-SUM(N$4:N288)-SUM(O$4:O288))</f>
        <v/>
      </c>
      <c r="Q288" s="56" t="str">
        <f aca="false">IF($W288="","",N(INDEX(发票统计!Q$4:Q$1003,$W288)))</f>
        <v/>
      </c>
      <c r="R288" s="56" t="str">
        <f aca="false">IF($W288="","",N(INDEX(发票统计!R$4:R$1003,$W288)))</f>
        <v/>
      </c>
      <c r="S288" s="56" t="str">
        <f aca="false">IF($W288="","",N(INDEX(发票统计!S$4:S$1003,$W288)))</f>
        <v/>
      </c>
      <c r="T288" s="56" t="str">
        <f aca="false">IF($W288="","",SUM(Q$4:Q288)-SUM(R$4:R288)-SUM(S$4:S288))</f>
        <v/>
      </c>
      <c r="U288" s="56" t="str">
        <f aca="false">IF($W288="","",INDEX(发票统计!U$4:U$1003,$W288)&amp;"")</f>
        <v/>
      </c>
      <c r="W288" s="1" t="str">
        <f aca="false">IF($V$3="","",IFERROR(MATCH($V$3&amp;"#"&amp;ROWS(W$4:W288),发票统计!$W$4:$W$1003,0),""))</f>
        <v/>
      </c>
    </row>
    <row r="289" customFormat="false" ht="16.5" hidden="false" customHeight="false" outlineLevel="0" collapsed="false">
      <c r="A289" s="56" t="str">
        <f aca="false">IF($W289="","",INDEX(发票统计!A$4:A$1003,$W289)&amp;"")</f>
        <v/>
      </c>
      <c r="B289" s="56" t="str">
        <f aca="false">IF($W289="","",INDEX(发票统计!B$4:B$1003,$W289)&amp;"")</f>
        <v/>
      </c>
      <c r="C289" s="56" t="str">
        <f aca="false">IF($W289="","",INDEX(发票统计!C$4:C$1003,$W289)&amp;"")</f>
        <v/>
      </c>
      <c r="D289" s="56" t="str">
        <f aca="false">IF($W289="","",INDEX(发票统计!D$4:D$1003,$W289)&amp;"")</f>
        <v/>
      </c>
      <c r="E289" s="56" t="str">
        <f aca="false">IF($W289="","",INDEX(发票统计!E$4:E$1003,$W289)&amp;"")</f>
        <v/>
      </c>
      <c r="F289" s="73" t="str">
        <f aca="false">IF($W289="","",INDEX(发票统计!F$4:F$1003,$W289)&amp;"")</f>
        <v/>
      </c>
      <c r="G289" s="68" t="str">
        <f aca="false">IF($W289="","",IF(INDEX(发票统计!G$4:G$1003,$W289)="","",INDEX(发票统计!G$4:G$1003,$W289)))</f>
        <v/>
      </c>
      <c r="H289" s="56" t="str">
        <f aca="false">IF($W289="","",N(INDEX(发票统计!H$4:H$1003,$W289)))</f>
        <v/>
      </c>
      <c r="I289" s="56" t="str">
        <f aca="false">IF($W289="","",N(INDEX(发票统计!I$4:I$1003,$W289)))</f>
        <v/>
      </c>
      <c r="J289" s="56" t="str">
        <f aca="false">IF($W289="","",N(INDEX(发票统计!J$4:J$1003,$W289)))</f>
        <v/>
      </c>
      <c r="K289" s="56" t="str">
        <f aca="false">IF($W289="","",N(INDEX(发票统计!K$4:K$1003,$W289)))</f>
        <v/>
      </c>
      <c r="L289" s="56" t="str">
        <f aca="false">IF($W289="","",SUM(J$4:J289)-SUM(K$4:K289))</f>
        <v/>
      </c>
      <c r="M289" s="56" t="str">
        <f aca="false">IF($W289="","",N(INDEX(发票统计!M$4:M$1003,$W289)))</f>
        <v/>
      </c>
      <c r="N289" s="56" t="str">
        <f aca="false">IF($W289="","",N(INDEX(发票统计!N$4:N$1003,$W289)))</f>
        <v/>
      </c>
      <c r="O289" s="56" t="str">
        <f aca="false">IF($W289="","",N(INDEX(发票统计!O$4:O$1003,$W289)))</f>
        <v/>
      </c>
      <c r="P289" s="56" t="str">
        <f aca="false">IF($W289="","",SUM(M$4:M289)-SUM(N$4:N289)-SUM(O$4:O289))</f>
        <v/>
      </c>
      <c r="Q289" s="56" t="str">
        <f aca="false">IF($W289="","",N(INDEX(发票统计!Q$4:Q$1003,$W289)))</f>
        <v/>
      </c>
      <c r="R289" s="56" t="str">
        <f aca="false">IF($W289="","",N(INDEX(发票统计!R$4:R$1003,$W289)))</f>
        <v/>
      </c>
      <c r="S289" s="56" t="str">
        <f aca="false">IF($W289="","",N(INDEX(发票统计!S$4:S$1003,$W289)))</f>
        <v/>
      </c>
      <c r="T289" s="56" t="str">
        <f aca="false">IF($W289="","",SUM(Q$4:Q289)-SUM(R$4:R289)-SUM(S$4:S289))</f>
        <v/>
      </c>
      <c r="U289" s="56" t="str">
        <f aca="false">IF($W289="","",INDEX(发票统计!U$4:U$1003,$W289)&amp;"")</f>
        <v/>
      </c>
      <c r="W289" s="1" t="str">
        <f aca="false">IF($V$3="","",IFERROR(MATCH($V$3&amp;"#"&amp;ROWS(W$4:W289),发票统计!$W$4:$W$1003,0),""))</f>
        <v/>
      </c>
    </row>
    <row r="290" customFormat="false" ht="16.5" hidden="false" customHeight="false" outlineLevel="0" collapsed="false">
      <c r="A290" s="56" t="str">
        <f aca="false">IF($W290="","",INDEX(发票统计!A$4:A$1003,$W290)&amp;"")</f>
        <v/>
      </c>
      <c r="B290" s="56" t="str">
        <f aca="false">IF($W290="","",INDEX(发票统计!B$4:B$1003,$W290)&amp;"")</f>
        <v/>
      </c>
      <c r="C290" s="56" t="str">
        <f aca="false">IF($W290="","",INDEX(发票统计!C$4:C$1003,$W290)&amp;"")</f>
        <v/>
      </c>
      <c r="D290" s="56" t="str">
        <f aca="false">IF($W290="","",INDEX(发票统计!D$4:D$1003,$W290)&amp;"")</f>
        <v/>
      </c>
      <c r="E290" s="56" t="str">
        <f aca="false">IF($W290="","",INDEX(发票统计!E$4:E$1003,$W290)&amp;"")</f>
        <v/>
      </c>
      <c r="F290" s="73" t="str">
        <f aca="false">IF($W290="","",INDEX(发票统计!F$4:F$1003,$W290)&amp;"")</f>
        <v/>
      </c>
      <c r="G290" s="68" t="str">
        <f aca="false">IF($W290="","",IF(INDEX(发票统计!G$4:G$1003,$W290)="","",INDEX(发票统计!G$4:G$1003,$W290)))</f>
        <v/>
      </c>
      <c r="H290" s="56" t="str">
        <f aca="false">IF($W290="","",N(INDEX(发票统计!H$4:H$1003,$W290)))</f>
        <v/>
      </c>
      <c r="I290" s="56" t="str">
        <f aca="false">IF($W290="","",N(INDEX(发票统计!I$4:I$1003,$W290)))</f>
        <v/>
      </c>
      <c r="J290" s="56" t="str">
        <f aca="false">IF($W290="","",N(INDEX(发票统计!J$4:J$1003,$W290)))</f>
        <v/>
      </c>
      <c r="K290" s="56" t="str">
        <f aca="false">IF($W290="","",N(INDEX(发票统计!K$4:K$1003,$W290)))</f>
        <v/>
      </c>
      <c r="L290" s="56" t="str">
        <f aca="false">IF($W290="","",SUM(J$4:J290)-SUM(K$4:K290))</f>
        <v/>
      </c>
      <c r="M290" s="56" t="str">
        <f aca="false">IF($W290="","",N(INDEX(发票统计!M$4:M$1003,$W290)))</f>
        <v/>
      </c>
      <c r="N290" s="56" t="str">
        <f aca="false">IF($W290="","",N(INDEX(发票统计!N$4:N$1003,$W290)))</f>
        <v/>
      </c>
      <c r="O290" s="56" t="str">
        <f aca="false">IF($W290="","",N(INDEX(发票统计!O$4:O$1003,$W290)))</f>
        <v/>
      </c>
      <c r="P290" s="56" t="str">
        <f aca="false">IF($W290="","",SUM(M$4:M290)-SUM(N$4:N290)-SUM(O$4:O290))</f>
        <v/>
      </c>
      <c r="Q290" s="56" t="str">
        <f aca="false">IF($W290="","",N(INDEX(发票统计!Q$4:Q$1003,$W290)))</f>
        <v/>
      </c>
      <c r="R290" s="56" t="str">
        <f aca="false">IF($W290="","",N(INDEX(发票统计!R$4:R$1003,$W290)))</f>
        <v/>
      </c>
      <c r="S290" s="56" t="str">
        <f aca="false">IF($W290="","",N(INDEX(发票统计!S$4:S$1003,$W290)))</f>
        <v/>
      </c>
      <c r="T290" s="56" t="str">
        <f aca="false">IF($W290="","",SUM(Q$4:Q290)-SUM(R$4:R290)-SUM(S$4:S290))</f>
        <v/>
      </c>
      <c r="U290" s="56" t="str">
        <f aca="false">IF($W290="","",INDEX(发票统计!U$4:U$1003,$W290)&amp;"")</f>
        <v/>
      </c>
      <c r="W290" s="1" t="str">
        <f aca="false">IF($V$3="","",IFERROR(MATCH($V$3&amp;"#"&amp;ROWS(W$4:W290),发票统计!$W$4:$W$1003,0),""))</f>
        <v/>
      </c>
    </row>
    <row r="291" customFormat="false" ht="16.5" hidden="false" customHeight="false" outlineLevel="0" collapsed="false">
      <c r="A291" s="56" t="str">
        <f aca="false">IF($W291="","",INDEX(发票统计!A$4:A$1003,$W291)&amp;"")</f>
        <v/>
      </c>
      <c r="B291" s="56" t="str">
        <f aca="false">IF($W291="","",INDEX(发票统计!B$4:B$1003,$W291)&amp;"")</f>
        <v/>
      </c>
      <c r="C291" s="56" t="str">
        <f aca="false">IF($W291="","",INDEX(发票统计!C$4:C$1003,$W291)&amp;"")</f>
        <v/>
      </c>
      <c r="D291" s="56" t="str">
        <f aca="false">IF($W291="","",INDEX(发票统计!D$4:D$1003,$W291)&amp;"")</f>
        <v/>
      </c>
      <c r="E291" s="56" t="str">
        <f aca="false">IF($W291="","",INDEX(发票统计!E$4:E$1003,$W291)&amp;"")</f>
        <v/>
      </c>
      <c r="F291" s="73" t="str">
        <f aca="false">IF($W291="","",INDEX(发票统计!F$4:F$1003,$W291)&amp;"")</f>
        <v/>
      </c>
      <c r="G291" s="68" t="str">
        <f aca="false">IF($W291="","",IF(INDEX(发票统计!G$4:G$1003,$W291)="","",INDEX(发票统计!G$4:G$1003,$W291)))</f>
        <v/>
      </c>
      <c r="H291" s="56" t="str">
        <f aca="false">IF($W291="","",N(INDEX(发票统计!H$4:H$1003,$W291)))</f>
        <v/>
      </c>
      <c r="I291" s="56" t="str">
        <f aca="false">IF($W291="","",N(INDEX(发票统计!I$4:I$1003,$W291)))</f>
        <v/>
      </c>
      <c r="J291" s="56" t="str">
        <f aca="false">IF($W291="","",N(INDEX(发票统计!J$4:J$1003,$W291)))</f>
        <v/>
      </c>
      <c r="K291" s="56" t="str">
        <f aca="false">IF($W291="","",N(INDEX(发票统计!K$4:K$1003,$W291)))</f>
        <v/>
      </c>
      <c r="L291" s="56" t="str">
        <f aca="false">IF($W291="","",SUM(J$4:J291)-SUM(K$4:K291))</f>
        <v/>
      </c>
      <c r="M291" s="56" t="str">
        <f aca="false">IF($W291="","",N(INDEX(发票统计!M$4:M$1003,$W291)))</f>
        <v/>
      </c>
      <c r="N291" s="56" t="str">
        <f aca="false">IF($W291="","",N(INDEX(发票统计!N$4:N$1003,$W291)))</f>
        <v/>
      </c>
      <c r="O291" s="56" t="str">
        <f aca="false">IF($W291="","",N(INDEX(发票统计!O$4:O$1003,$W291)))</f>
        <v/>
      </c>
      <c r="P291" s="56" t="str">
        <f aca="false">IF($W291="","",SUM(M$4:M291)-SUM(N$4:N291)-SUM(O$4:O291))</f>
        <v/>
      </c>
      <c r="Q291" s="56" t="str">
        <f aca="false">IF($W291="","",N(INDEX(发票统计!Q$4:Q$1003,$W291)))</f>
        <v/>
      </c>
      <c r="R291" s="56" t="str">
        <f aca="false">IF($W291="","",N(INDEX(发票统计!R$4:R$1003,$W291)))</f>
        <v/>
      </c>
      <c r="S291" s="56" t="str">
        <f aca="false">IF($W291="","",N(INDEX(发票统计!S$4:S$1003,$W291)))</f>
        <v/>
      </c>
      <c r="T291" s="56" t="str">
        <f aca="false">IF($W291="","",SUM(Q$4:Q291)-SUM(R$4:R291)-SUM(S$4:S291))</f>
        <v/>
      </c>
      <c r="U291" s="56" t="str">
        <f aca="false">IF($W291="","",INDEX(发票统计!U$4:U$1003,$W291)&amp;"")</f>
        <v/>
      </c>
      <c r="W291" s="1" t="str">
        <f aca="false">IF($V$3="","",IFERROR(MATCH($V$3&amp;"#"&amp;ROWS(W$4:W291),发票统计!$W$4:$W$1003,0),""))</f>
        <v/>
      </c>
    </row>
    <row r="292" customFormat="false" ht="16.5" hidden="false" customHeight="false" outlineLevel="0" collapsed="false">
      <c r="A292" s="56" t="str">
        <f aca="false">IF($W292="","",INDEX(发票统计!A$4:A$1003,$W292)&amp;"")</f>
        <v/>
      </c>
      <c r="B292" s="56" t="str">
        <f aca="false">IF($W292="","",INDEX(发票统计!B$4:B$1003,$W292)&amp;"")</f>
        <v/>
      </c>
      <c r="C292" s="56" t="str">
        <f aca="false">IF($W292="","",INDEX(发票统计!C$4:C$1003,$W292)&amp;"")</f>
        <v/>
      </c>
      <c r="D292" s="56" t="str">
        <f aca="false">IF($W292="","",INDEX(发票统计!D$4:D$1003,$W292)&amp;"")</f>
        <v/>
      </c>
      <c r="E292" s="56" t="str">
        <f aca="false">IF($W292="","",INDEX(发票统计!E$4:E$1003,$W292)&amp;"")</f>
        <v/>
      </c>
      <c r="F292" s="73" t="str">
        <f aca="false">IF($W292="","",INDEX(发票统计!F$4:F$1003,$W292)&amp;"")</f>
        <v/>
      </c>
      <c r="G292" s="68" t="str">
        <f aca="false">IF($W292="","",IF(INDEX(发票统计!G$4:G$1003,$W292)="","",INDEX(发票统计!G$4:G$1003,$W292)))</f>
        <v/>
      </c>
      <c r="H292" s="56" t="str">
        <f aca="false">IF($W292="","",N(INDEX(发票统计!H$4:H$1003,$W292)))</f>
        <v/>
      </c>
      <c r="I292" s="56" t="str">
        <f aca="false">IF($W292="","",N(INDEX(发票统计!I$4:I$1003,$W292)))</f>
        <v/>
      </c>
      <c r="J292" s="56" t="str">
        <f aca="false">IF($W292="","",N(INDEX(发票统计!J$4:J$1003,$W292)))</f>
        <v/>
      </c>
      <c r="K292" s="56" t="str">
        <f aca="false">IF($W292="","",N(INDEX(发票统计!K$4:K$1003,$W292)))</f>
        <v/>
      </c>
      <c r="L292" s="56" t="str">
        <f aca="false">IF($W292="","",SUM(J$4:J292)-SUM(K$4:K292))</f>
        <v/>
      </c>
      <c r="M292" s="56" t="str">
        <f aca="false">IF($W292="","",N(INDEX(发票统计!M$4:M$1003,$W292)))</f>
        <v/>
      </c>
      <c r="N292" s="56" t="str">
        <f aca="false">IF($W292="","",N(INDEX(发票统计!N$4:N$1003,$W292)))</f>
        <v/>
      </c>
      <c r="O292" s="56" t="str">
        <f aca="false">IF($W292="","",N(INDEX(发票统计!O$4:O$1003,$W292)))</f>
        <v/>
      </c>
      <c r="P292" s="56" t="str">
        <f aca="false">IF($W292="","",SUM(M$4:M292)-SUM(N$4:N292)-SUM(O$4:O292))</f>
        <v/>
      </c>
      <c r="Q292" s="56" t="str">
        <f aca="false">IF($W292="","",N(INDEX(发票统计!Q$4:Q$1003,$W292)))</f>
        <v/>
      </c>
      <c r="R292" s="56" t="str">
        <f aca="false">IF($W292="","",N(INDEX(发票统计!R$4:R$1003,$W292)))</f>
        <v/>
      </c>
      <c r="S292" s="56" t="str">
        <f aca="false">IF($W292="","",N(INDEX(发票统计!S$4:S$1003,$W292)))</f>
        <v/>
      </c>
      <c r="T292" s="56" t="str">
        <f aca="false">IF($W292="","",SUM(Q$4:Q292)-SUM(R$4:R292)-SUM(S$4:S292))</f>
        <v/>
      </c>
      <c r="U292" s="56" t="str">
        <f aca="false">IF($W292="","",INDEX(发票统计!U$4:U$1003,$W292)&amp;"")</f>
        <v/>
      </c>
      <c r="W292" s="1" t="str">
        <f aca="false">IF($V$3="","",IFERROR(MATCH($V$3&amp;"#"&amp;ROWS(W$4:W292),发票统计!$W$4:$W$1003,0),""))</f>
        <v/>
      </c>
    </row>
    <row r="293" customFormat="false" ht="16.5" hidden="false" customHeight="false" outlineLevel="0" collapsed="false">
      <c r="A293" s="56" t="str">
        <f aca="false">IF($W293="","",INDEX(发票统计!A$4:A$1003,$W293)&amp;"")</f>
        <v/>
      </c>
      <c r="B293" s="56" t="str">
        <f aca="false">IF($W293="","",INDEX(发票统计!B$4:B$1003,$W293)&amp;"")</f>
        <v/>
      </c>
      <c r="C293" s="56" t="str">
        <f aca="false">IF($W293="","",INDEX(发票统计!C$4:C$1003,$W293)&amp;"")</f>
        <v/>
      </c>
      <c r="D293" s="56" t="str">
        <f aca="false">IF($W293="","",INDEX(发票统计!D$4:D$1003,$W293)&amp;"")</f>
        <v/>
      </c>
      <c r="E293" s="56" t="str">
        <f aca="false">IF($W293="","",INDEX(发票统计!E$4:E$1003,$W293)&amp;"")</f>
        <v/>
      </c>
      <c r="F293" s="73" t="str">
        <f aca="false">IF($W293="","",INDEX(发票统计!F$4:F$1003,$W293)&amp;"")</f>
        <v/>
      </c>
      <c r="G293" s="68" t="str">
        <f aca="false">IF($W293="","",IF(INDEX(发票统计!G$4:G$1003,$W293)="","",INDEX(发票统计!G$4:G$1003,$W293)))</f>
        <v/>
      </c>
      <c r="H293" s="56" t="str">
        <f aca="false">IF($W293="","",N(INDEX(发票统计!H$4:H$1003,$W293)))</f>
        <v/>
      </c>
      <c r="I293" s="56" t="str">
        <f aca="false">IF($W293="","",N(INDEX(发票统计!I$4:I$1003,$W293)))</f>
        <v/>
      </c>
      <c r="J293" s="56" t="str">
        <f aca="false">IF($W293="","",N(INDEX(发票统计!J$4:J$1003,$W293)))</f>
        <v/>
      </c>
      <c r="K293" s="56" t="str">
        <f aca="false">IF($W293="","",N(INDEX(发票统计!K$4:K$1003,$W293)))</f>
        <v/>
      </c>
      <c r="L293" s="56" t="str">
        <f aca="false">IF($W293="","",SUM(J$4:J293)-SUM(K$4:K293))</f>
        <v/>
      </c>
      <c r="M293" s="56" t="str">
        <f aca="false">IF($W293="","",N(INDEX(发票统计!M$4:M$1003,$W293)))</f>
        <v/>
      </c>
      <c r="N293" s="56" t="str">
        <f aca="false">IF($W293="","",N(INDEX(发票统计!N$4:N$1003,$W293)))</f>
        <v/>
      </c>
      <c r="O293" s="56" t="str">
        <f aca="false">IF($W293="","",N(INDEX(发票统计!O$4:O$1003,$W293)))</f>
        <v/>
      </c>
      <c r="P293" s="56" t="str">
        <f aca="false">IF($W293="","",SUM(M$4:M293)-SUM(N$4:N293)-SUM(O$4:O293))</f>
        <v/>
      </c>
      <c r="Q293" s="56" t="str">
        <f aca="false">IF($W293="","",N(INDEX(发票统计!Q$4:Q$1003,$W293)))</f>
        <v/>
      </c>
      <c r="R293" s="56" t="str">
        <f aca="false">IF($W293="","",N(INDEX(发票统计!R$4:R$1003,$W293)))</f>
        <v/>
      </c>
      <c r="S293" s="56" t="str">
        <f aca="false">IF($W293="","",N(INDEX(发票统计!S$4:S$1003,$W293)))</f>
        <v/>
      </c>
      <c r="T293" s="56" t="str">
        <f aca="false">IF($W293="","",SUM(Q$4:Q293)-SUM(R$4:R293)-SUM(S$4:S293))</f>
        <v/>
      </c>
      <c r="U293" s="56" t="str">
        <f aca="false">IF($W293="","",INDEX(发票统计!U$4:U$1003,$W293)&amp;"")</f>
        <v/>
      </c>
      <c r="W293" s="1" t="str">
        <f aca="false">IF($V$3="","",IFERROR(MATCH($V$3&amp;"#"&amp;ROWS(W$4:W293),发票统计!$W$4:$W$1003,0),""))</f>
        <v/>
      </c>
    </row>
    <row r="294" customFormat="false" ht="16.5" hidden="false" customHeight="false" outlineLevel="0" collapsed="false">
      <c r="A294" s="56" t="str">
        <f aca="false">IF($W294="","",INDEX(发票统计!A$4:A$1003,$W294)&amp;"")</f>
        <v/>
      </c>
      <c r="B294" s="56" t="str">
        <f aca="false">IF($W294="","",INDEX(发票统计!B$4:B$1003,$W294)&amp;"")</f>
        <v/>
      </c>
      <c r="C294" s="56" t="str">
        <f aca="false">IF($W294="","",INDEX(发票统计!C$4:C$1003,$W294)&amp;"")</f>
        <v/>
      </c>
      <c r="D294" s="56" t="str">
        <f aca="false">IF($W294="","",INDEX(发票统计!D$4:D$1003,$W294)&amp;"")</f>
        <v/>
      </c>
      <c r="E294" s="56" t="str">
        <f aca="false">IF($W294="","",INDEX(发票统计!E$4:E$1003,$W294)&amp;"")</f>
        <v/>
      </c>
      <c r="F294" s="73" t="str">
        <f aca="false">IF($W294="","",INDEX(发票统计!F$4:F$1003,$W294)&amp;"")</f>
        <v/>
      </c>
      <c r="G294" s="68" t="str">
        <f aca="false">IF($W294="","",IF(INDEX(发票统计!G$4:G$1003,$W294)="","",INDEX(发票统计!G$4:G$1003,$W294)))</f>
        <v/>
      </c>
      <c r="H294" s="56" t="str">
        <f aca="false">IF($W294="","",N(INDEX(发票统计!H$4:H$1003,$W294)))</f>
        <v/>
      </c>
      <c r="I294" s="56" t="str">
        <f aca="false">IF($W294="","",N(INDEX(发票统计!I$4:I$1003,$W294)))</f>
        <v/>
      </c>
      <c r="J294" s="56" t="str">
        <f aca="false">IF($W294="","",N(INDEX(发票统计!J$4:J$1003,$W294)))</f>
        <v/>
      </c>
      <c r="K294" s="56" t="str">
        <f aca="false">IF($W294="","",N(INDEX(发票统计!K$4:K$1003,$W294)))</f>
        <v/>
      </c>
      <c r="L294" s="56" t="str">
        <f aca="false">IF($W294="","",SUM(J$4:J294)-SUM(K$4:K294))</f>
        <v/>
      </c>
      <c r="M294" s="56" t="str">
        <f aca="false">IF($W294="","",N(INDEX(发票统计!M$4:M$1003,$W294)))</f>
        <v/>
      </c>
      <c r="N294" s="56" t="str">
        <f aca="false">IF($W294="","",N(INDEX(发票统计!N$4:N$1003,$W294)))</f>
        <v/>
      </c>
      <c r="O294" s="56" t="str">
        <f aca="false">IF($W294="","",N(INDEX(发票统计!O$4:O$1003,$W294)))</f>
        <v/>
      </c>
      <c r="P294" s="56" t="str">
        <f aca="false">IF($W294="","",SUM(M$4:M294)-SUM(N$4:N294)-SUM(O$4:O294))</f>
        <v/>
      </c>
      <c r="Q294" s="56" t="str">
        <f aca="false">IF($W294="","",N(INDEX(发票统计!Q$4:Q$1003,$W294)))</f>
        <v/>
      </c>
      <c r="R294" s="56" t="str">
        <f aca="false">IF($W294="","",N(INDEX(发票统计!R$4:R$1003,$W294)))</f>
        <v/>
      </c>
      <c r="S294" s="56" t="str">
        <f aca="false">IF($W294="","",N(INDEX(发票统计!S$4:S$1003,$W294)))</f>
        <v/>
      </c>
      <c r="T294" s="56" t="str">
        <f aca="false">IF($W294="","",SUM(Q$4:Q294)-SUM(R$4:R294)-SUM(S$4:S294))</f>
        <v/>
      </c>
      <c r="U294" s="56" t="str">
        <f aca="false">IF($W294="","",INDEX(发票统计!U$4:U$1003,$W294)&amp;"")</f>
        <v/>
      </c>
      <c r="W294" s="1" t="str">
        <f aca="false">IF($V$3="","",IFERROR(MATCH($V$3&amp;"#"&amp;ROWS(W$4:W294),发票统计!$W$4:$W$1003,0),""))</f>
        <v/>
      </c>
    </row>
    <row r="295" customFormat="false" ht="16.5" hidden="false" customHeight="false" outlineLevel="0" collapsed="false">
      <c r="A295" s="56" t="str">
        <f aca="false">IF($W295="","",INDEX(发票统计!A$4:A$1003,$W295)&amp;"")</f>
        <v/>
      </c>
      <c r="B295" s="56" t="str">
        <f aca="false">IF($W295="","",INDEX(发票统计!B$4:B$1003,$W295)&amp;"")</f>
        <v/>
      </c>
      <c r="C295" s="56" t="str">
        <f aca="false">IF($W295="","",INDEX(发票统计!C$4:C$1003,$W295)&amp;"")</f>
        <v/>
      </c>
      <c r="D295" s="56" t="str">
        <f aca="false">IF($W295="","",INDEX(发票统计!D$4:D$1003,$W295)&amp;"")</f>
        <v/>
      </c>
      <c r="E295" s="56" t="str">
        <f aca="false">IF($W295="","",INDEX(发票统计!E$4:E$1003,$W295)&amp;"")</f>
        <v/>
      </c>
      <c r="F295" s="73" t="str">
        <f aca="false">IF($W295="","",INDEX(发票统计!F$4:F$1003,$W295)&amp;"")</f>
        <v/>
      </c>
      <c r="G295" s="68" t="str">
        <f aca="false">IF($W295="","",IF(INDEX(发票统计!G$4:G$1003,$W295)="","",INDEX(发票统计!G$4:G$1003,$W295)))</f>
        <v/>
      </c>
      <c r="H295" s="56" t="str">
        <f aca="false">IF($W295="","",N(INDEX(发票统计!H$4:H$1003,$W295)))</f>
        <v/>
      </c>
      <c r="I295" s="56" t="str">
        <f aca="false">IF($W295="","",N(INDEX(发票统计!I$4:I$1003,$W295)))</f>
        <v/>
      </c>
      <c r="J295" s="56" t="str">
        <f aca="false">IF($W295="","",N(INDEX(发票统计!J$4:J$1003,$W295)))</f>
        <v/>
      </c>
      <c r="K295" s="56" t="str">
        <f aca="false">IF($W295="","",N(INDEX(发票统计!K$4:K$1003,$W295)))</f>
        <v/>
      </c>
      <c r="L295" s="56" t="str">
        <f aca="false">IF($W295="","",SUM(J$4:J295)-SUM(K$4:K295))</f>
        <v/>
      </c>
      <c r="M295" s="56" t="str">
        <f aca="false">IF($W295="","",N(INDEX(发票统计!M$4:M$1003,$W295)))</f>
        <v/>
      </c>
      <c r="N295" s="56" t="str">
        <f aca="false">IF($W295="","",N(INDEX(发票统计!N$4:N$1003,$W295)))</f>
        <v/>
      </c>
      <c r="O295" s="56" t="str">
        <f aca="false">IF($W295="","",N(INDEX(发票统计!O$4:O$1003,$W295)))</f>
        <v/>
      </c>
      <c r="P295" s="56" t="str">
        <f aca="false">IF($W295="","",SUM(M$4:M295)-SUM(N$4:N295)-SUM(O$4:O295))</f>
        <v/>
      </c>
      <c r="Q295" s="56" t="str">
        <f aca="false">IF($W295="","",N(INDEX(发票统计!Q$4:Q$1003,$W295)))</f>
        <v/>
      </c>
      <c r="R295" s="56" t="str">
        <f aca="false">IF($W295="","",N(INDEX(发票统计!R$4:R$1003,$W295)))</f>
        <v/>
      </c>
      <c r="S295" s="56" t="str">
        <f aca="false">IF($W295="","",N(INDEX(发票统计!S$4:S$1003,$W295)))</f>
        <v/>
      </c>
      <c r="T295" s="56" t="str">
        <f aca="false">IF($W295="","",SUM(Q$4:Q295)-SUM(R$4:R295)-SUM(S$4:S295))</f>
        <v/>
      </c>
      <c r="U295" s="56" t="str">
        <f aca="false">IF($W295="","",INDEX(发票统计!U$4:U$1003,$W295)&amp;"")</f>
        <v/>
      </c>
      <c r="W295" s="1" t="str">
        <f aca="false">IF($V$3="","",IFERROR(MATCH($V$3&amp;"#"&amp;ROWS(W$4:W295),发票统计!$W$4:$W$1003,0),""))</f>
        <v/>
      </c>
    </row>
    <row r="296" customFormat="false" ht="16.5" hidden="false" customHeight="false" outlineLevel="0" collapsed="false">
      <c r="A296" s="56" t="str">
        <f aca="false">IF($W296="","",INDEX(发票统计!A$4:A$1003,$W296)&amp;"")</f>
        <v/>
      </c>
      <c r="B296" s="56" t="str">
        <f aca="false">IF($W296="","",INDEX(发票统计!B$4:B$1003,$W296)&amp;"")</f>
        <v/>
      </c>
      <c r="C296" s="56" t="str">
        <f aca="false">IF($W296="","",INDEX(发票统计!C$4:C$1003,$W296)&amp;"")</f>
        <v/>
      </c>
      <c r="D296" s="56" t="str">
        <f aca="false">IF($W296="","",INDEX(发票统计!D$4:D$1003,$W296)&amp;"")</f>
        <v/>
      </c>
      <c r="E296" s="56" t="str">
        <f aca="false">IF($W296="","",INDEX(发票统计!E$4:E$1003,$W296)&amp;"")</f>
        <v/>
      </c>
      <c r="F296" s="73" t="str">
        <f aca="false">IF($W296="","",INDEX(发票统计!F$4:F$1003,$W296)&amp;"")</f>
        <v/>
      </c>
      <c r="G296" s="68" t="str">
        <f aca="false">IF($W296="","",IF(INDEX(发票统计!G$4:G$1003,$W296)="","",INDEX(发票统计!G$4:G$1003,$W296)))</f>
        <v/>
      </c>
      <c r="H296" s="56" t="str">
        <f aca="false">IF($W296="","",N(INDEX(发票统计!H$4:H$1003,$W296)))</f>
        <v/>
      </c>
      <c r="I296" s="56" t="str">
        <f aca="false">IF($W296="","",N(INDEX(发票统计!I$4:I$1003,$W296)))</f>
        <v/>
      </c>
      <c r="J296" s="56" t="str">
        <f aca="false">IF($W296="","",N(INDEX(发票统计!J$4:J$1003,$W296)))</f>
        <v/>
      </c>
      <c r="K296" s="56" t="str">
        <f aca="false">IF($W296="","",N(INDEX(发票统计!K$4:K$1003,$W296)))</f>
        <v/>
      </c>
      <c r="L296" s="56" t="str">
        <f aca="false">IF($W296="","",SUM(J$4:J296)-SUM(K$4:K296))</f>
        <v/>
      </c>
      <c r="M296" s="56" t="str">
        <f aca="false">IF($W296="","",N(INDEX(发票统计!M$4:M$1003,$W296)))</f>
        <v/>
      </c>
      <c r="N296" s="56" t="str">
        <f aca="false">IF($W296="","",N(INDEX(发票统计!N$4:N$1003,$W296)))</f>
        <v/>
      </c>
      <c r="O296" s="56" t="str">
        <f aca="false">IF($W296="","",N(INDEX(发票统计!O$4:O$1003,$W296)))</f>
        <v/>
      </c>
      <c r="P296" s="56" t="str">
        <f aca="false">IF($W296="","",SUM(M$4:M296)-SUM(N$4:N296)-SUM(O$4:O296))</f>
        <v/>
      </c>
      <c r="Q296" s="56" t="str">
        <f aca="false">IF($W296="","",N(INDEX(发票统计!Q$4:Q$1003,$W296)))</f>
        <v/>
      </c>
      <c r="R296" s="56" t="str">
        <f aca="false">IF($W296="","",N(INDEX(发票统计!R$4:R$1003,$W296)))</f>
        <v/>
      </c>
      <c r="S296" s="56" t="str">
        <f aca="false">IF($W296="","",N(INDEX(发票统计!S$4:S$1003,$W296)))</f>
        <v/>
      </c>
      <c r="T296" s="56" t="str">
        <f aca="false">IF($W296="","",SUM(Q$4:Q296)-SUM(R$4:R296)-SUM(S$4:S296))</f>
        <v/>
      </c>
      <c r="U296" s="56" t="str">
        <f aca="false">IF($W296="","",INDEX(发票统计!U$4:U$1003,$W296)&amp;"")</f>
        <v/>
      </c>
      <c r="W296" s="1" t="str">
        <f aca="false">IF($V$3="","",IFERROR(MATCH($V$3&amp;"#"&amp;ROWS(W$4:W296),发票统计!$W$4:$W$1003,0),""))</f>
        <v/>
      </c>
    </row>
    <row r="297" customFormat="false" ht="16.5" hidden="false" customHeight="false" outlineLevel="0" collapsed="false">
      <c r="A297" s="56" t="str">
        <f aca="false">IF($W297="","",INDEX(发票统计!A$4:A$1003,$W297)&amp;"")</f>
        <v/>
      </c>
      <c r="B297" s="56" t="str">
        <f aca="false">IF($W297="","",INDEX(发票统计!B$4:B$1003,$W297)&amp;"")</f>
        <v/>
      </c>
      <c r="C297" s="56" t="str">
        <f aca="false">IF($W297="","",INDEX(发票统计!C$4:C$1003,$W297)&amp;"")</f>
        <v/>
      </c>
      <c r="D297" s="56" t="str">
        <f aca="false">IF($W297="","",INDEX(发票统计!D$4:D$1003,$W297)&amp;"")</f>
        <v/>
      </c>
      <c r="E297" s="56" t="str">
        <f aca="false">IF($W297="","",INDEX(发票统计!E$4:E$1003,$W297)&amp;"")</f>
        <v/>
      </c>
      <c r="F297" s="73" t="str">
        <f aca="false">IF($W297="","",INDEX(发票统计!F$4:F$1003,$W297)&amp;"")</f>
        <v/>
      </c>
      <c r="G297" s="68" t="str">
        <f aca="false">IF($W297="","",IF(INDEX(发票统计!G$4:G$1003,$W297)="","",INDEX(发票统计!G$4:G$1003,$W297)))</f>
        <v/>
      </c>
      <c r="H297" s="56" t="str">
        <f aca="false">IF($W297="","",N(INDEX(发票统计!H$4:H$1003,$W297)))</f>
        <v/>
      </c>
      <c r="I297" s="56" t="str">
        <f aca="false">IF($W297="","",N(INDEX(发票统计!I$4:I$1003,$W297)))</f>
        <v/>
      </c>
      <c r="J297" s="56" t="str">
        <f aca="false">IF($W297="","",N(INDEX(发票统计!J$4:J$1003,$W297)))</f>
        <v/>
      </c>
      <c r="K297" s="56" t="str">
        <f aca="false">IF($W297="","",N(INDEX(发票统计!K$4:K$1003,$W297)))</f>
        <v/>
      </c>
      <c r="L297" s="56" t="str">
        <f aca="false">IF($W297="","",SUM(J$4:J297)-SUM(K$4:K297))</f>
        <v/>
      </c>
      <c r="M297" s="56" t="str">
        <f aca="false">IF($W297="","",N(INDEX(发票统计!M$4:M$1003,$W297)))</f>
        <v/>
      </c>
      <c r="N297" s="56" t="str">
        <f aca="false">IF($W297="","",N(INDEX(发票统计!N$4:N$1003,$W297)))</f>
        <v/>
      </c>
      <c r="O297" s="56" t="str">
        <f aca="false">IF($W297="","",N(INDEX(发票统计!O$4:O$1003,$W297)))</f>
        <v/>
      </c>
      <c r="P297" s="56" t="str">
        <f aca="false">IF($W297="","",SUM(M$4:M297)-SUM(N$4:N297)-SUM(O$4:O297))</f>
        <v/>
      </c>
      <c r="Q297" s="56" t="str">
        <f aca="false">IF($W297="","",N(INDEX(发票统计!Q$4:Q$1003,$W297)))</f>
        <v/>
      </c>
      <c r="R297" s="56" t="str">
        <f aca="false">IF($W297="","",N(INDEX(发票统计!R$4:R$1003,$W297)))</f>
        <v/>
      </c>
      <c r="S297" s="56" t="str">
        <f aca="false">IF($W297="","",N(INDEX(发票统计!S$4:S$1003,$W297)))</f>
        <v/>
      </c>
      <c r="T297" s="56" t="str">
        <f aca="false">IF($W297="","",SUM(Q$4:Q297)-SUM(R$4:R297)-SUM(S$4:S297))</f>
        <v/>
      </c>
      <c r="U297" s="56" t="str">
        <f aca="false">IF($W297="","",INDEX(发票统计!U$4:U$1003,$W297)&amp;"")</f>
        <v/>
      </c>
      <c r="W297" s="1" t="str">
        <f aca="false">IF($V$3="","",IFERROR(MATCH($V$3&amp;"#"&amp;ROWS(W$4:W297),发票统计!$W$4:$W$1003,0),""))</f>
        <v/>
      </c>
    </row>
    <row r="298" customFormat="false" ht="16.5" hidden="false" customHeight="false" outlineLevel="0" collapsed="false">
      <c r="A298" s="56" t="str">
        <f aca="false">IF($W298="","",INDEX(发票统计!A$4:A$1003,$W298)&amp;"")</f>
        <v/>
      </c>
      <c r="B298" s="56" t="str">
        <f aca="false">IF($W298="","",INDEX(发票统计!B$4:B$1003,$W298)&amp;"")</f>
        <v/>
      </c>
      <c r="C298" s="56" t="str">
        <f aca="false">IF($W298="","",INDEX(发票统计!C$4:C$1003,$W298)&amp;"")</f>
        <v/>
      </c>
      <c r="D298" s="56" t="str">
        <f aca="false">IF($W298="","",INDEX(发票统计!D$4:D$1003,$W298)&amp;"")</f>
        <v/>
      </c>
      <c r="E298" s="56" t="str">
        <f aca="false">IF($W298="","",INDEX(发票统计!E$4:E$1003,$W298)&amp;"")</f>
        <v/>
      </c>
      <c r="F298" s="73" t="str">
        <f aca="false">IF($W298="","",INDEX(发票统计!F$4:F$1003,$W298)&amp;"")</f>
        <v/>
      </c>
      <c r="G298" s="68" t="str">
        <f aca="false">IF($W298="","",IF(INDEX(发票统计!G$4:G$1003,$W298)="","",INDEX(发票统计!G$4:G$1003,$W298)))</f>
        <v/>
      </c>
      <c r="H298" s="56" t="str">
        <f aca="false">IF($W298="","",N(INDEX(发票统计!H$4:H$1003,$W298)))</f>
        <v/>
      </c>
      <c r="I298" s="56" t="str">
        <f aca="false">IF($W298="","",N(INDEX(发票统计!I$4:I$1003,$W298)))</f>
        <v/>
      </c>
      <c r="J298" s="56" t="str">
        <f aca="false">IF($W298="","",N(INDEX(发票统计!J$4:J$1003,$W298)))</f>
        <v/>
      </c>
      <c r="K298" s="56" t="str">
        <f aca="false">IF($W298="","",N(INDEX(发票统计!K$4:K$1003,$W298)))</f>
        <v/>
      </c>
      <c r="L298" s="56" t="str">
        <f aca="false">IF($W298="","",SUM(J$4:J298)-SUM(K$4:K298))</f>
        <v/>
      </c>
      <c r="M298" s="56" t="str">
        <f aca="false">IF($W298="","",N(INDEX(发票统计!M$4:M$1003,$W298)))</f>
        <v/>
      </c>
      <c r="N298" s="56" t="str">
        <f aca="false">IF($W298="","",N(INDEX(发票统计!N$4:N$1003,$W298)))</f>
        <v/>
      </c>
      <c r="O298" s="56" t="str">
        <f aca="false">IF($W298="","",N(INDEX(发票统计!O$4:O$1003,$W298)))</f>
        <v/>
      </c>
      <c r="P298" s="56" t="str">
        <f aca="false">IF($W298="","",SUM(M$4:M298)-SUM(N$4:N298)-SUM(O$4:O298))</f>
        <v/>
      </c>
      <c r="Q298" s="56" t="str">
        <f aca="false">IF($W298="","",N(INDEX(发票统计!Q$4:Q$1003,$W298)))</f>
        <v/>
      </c>
      <c r="R298" s="56" t="str">
        <f aca="false">IF($W298="","",N(INDEX(发票统计!R$4:R$1003,$W298)))</f>
        <v/>
      </c>
      <c r="S298" s="56" t="str">
        <f aca="false">IF($W298="","",N(INDEX(发票统计!S$4:S$1003,$W298)))</f>
        <v/>
      </c>
      <c r="T298" s="56" t="str">
        <f aca="false">IF($W298="","",SUM(Q$4:Q298)-SUM(R$4:R298)-SUM(S$4:S298))</f>
        <v/>
      </c>
      <c r="U298" s="56" t="str">
        <f aca="false">IF($W298="","",INDEX(发票统计!U$4:U$1003,$W298)&amp;"")</f>
        <v/>
      </c>
      <c r="W298" s="1" t="str">
        <f aca="false">IF($V$3="","",IFERROR(MATCH($V$3&amp;"#"&amp;ROWS(W$4:W298),发票统计!$W$4:$W$1003,0),""))</f>
        <v/>
      </c>
    </row>
    <row r="299" customFormat="false" ht="16.5" hidden="false" customHeight="false" outlineLevel="0" collapsed="false">
      <c r="A299" s="56" t="str">
        <f aca="false">IF($W299="","",INDEX(发票统计!A$4:A$1003,$W299)&amp;"")</f>
        <v/>
      </c>
      <c r="B299" s="56" t="str">
        <f aca="false">IF($W299="","",INDEX(发票统计!B$4:B$1003,$W299)&amp;"")</f>
        <v/>
      </c>
      <c r="C299" s="56" t="str">
        <f aca="false">IF($W299="","",INDEX(发票统计!C$4:C$1003,$W299)&amp;"")</f>
        <v/>
      </c>
      <c r="D299" s="56" t="str">
        <f aca="false">IF($W299="","",INDEX(发票统计!D$4:D$1003,$W299)&amp;"")</f>
        <v/>
      </c>
      <c r="E299" s="56" t="str">
        <f aca="false">IF($W299="","",INDEX(发票统计!E$4:E$1003,$W299)&amp;"")</f>
        <v/>
      </c>
      <c r="F299" s="73" t="str">
        <f aca="false">IF($W299="","",INDEX(发票统计!F$4:F$1003,$W299)&amp;"")</f>
        <v/>
      </c>
      <c r="G299" s="68" t="str">
        <f aca="false">IF($W299="","",IF(INDEX(发票统计!G$4:G$1003,$W299)="","",INDEX(发票统计!G$4:G$1003,$W299)))</f>
        <v/>
      </c>
      <c r="H299" s="56" t="str">
        <f aca="false">IF($W299="","",N(INDEX(发票统计!H$4:H$1003,$W299)))</f>
        <v/>
      </c>
      <c r="I299" s="56" t="str">
        <f aca="false">IF($W299="","",N(INDEX(发票统计!I$4:I$1003,$W299)))</f>
        <v/>
      </c>
      <c r="J299" s="56" t="str">
        <f aca="false">IF($W299="","",N(INDEX(发票统计!J$4:J$1003,$W299)))</f>
        <v/>
      </c>
      <c r="K299" s="56" t="str">
        <f aca="false">IF($W299="","",N(INDEX(发票统计!K$4:K$1003,$W299)))</f>
        <v/>
      </c>
      <c r="L299" s="56" t="str">
        <f aca="false">IF($W299="","",SUM(J$4:J299)-SUM(K$4:K299))</f>
        <v/>
      </c>
      <c r="M299" s="56" t="str">
        <f aca="false">IF($W299="","",N(INDEX(发票统计!M$4:M$1003,$W299)))</f>
        <v/>
      </c>
      <c r="N299" s="56" t="str">
        <f aca="false">IF($W299="","",N(INDEX(发票统计!N$4:N$1003,$W299)))</f>
        <v/>
      </c>
      <c r="O299" s="56" t="str">
        <f aca="false">IF($W299="","",N(INDEX(发票统计!O$4:O$1003,$W299)))</f>
        <v/>
      </c>
      <c r="P299" s="56" t="str">
        <f aca="false">IF($W299="","",SUM(M$4:M299)-SUM(N$4:N299)-SUM(O$4:O299))</f>
        <v/>
      </c>
      <c r="Q299" s="56" t="str">
        <f aca="false">IF($W299="","",N(INDEX(发票统计!Q$4:Q$1003,$W299)))</f>
        <v/>
      </c>
      <c r="R299" s="56" t="str">
        <f aca="false">IF($W299="","",N(INDEX(发票统计!R$4:R$1003,$W299)))</f>
        <v/>
      </c>
      <c r="S299" s="56" t="str">
        <f aca="false">IF($W299="","",N(INDEX(发票统计!S$4:S$1003,$W299)))</f>
        <v/>
      </c>
      <c r="T299" s="56" t="str">
        <f aca="false">IF($W299="","",SUM(Q$4:Q299)-SUM(R$4:R299)-SUM(S$4:S299))</f>
        <v/>
      </c>
      <c r="U299" s="56" t="str">
        <f aca="false">IF($W299="","",INDEX(发票统计!U$4:U$1003,$W299)&amp;"")</f>
        <v/>
      </c>
      <c r="W299" s="1" t="str">
        <f aca="false">IF($V$3="","",IFERROR(MATCH($V$3&amp;"#"&amp;ROWS(W$4:W299),发票统计!$W$4:$W$1003,0),""))</f>
        <v/>
      </c>
    </row>
    <row r="300" customFormat="false" ht="16.5" hidden="false" customHeight="false" outlineLevel="0" collapsed="false">
      <c r="A300" s="56" t="str">
        <f aca="false">IF($W300="","",INDEX(发票统计!A$4:A$1003,$W300)&amp;"")</f>
        <v/>
      </c>
      <c r="B300" s="56" t="str">
        <f aca="false">IF($W300="","",INDEX(发票统计!B$4:B$1003,$W300)&amp;"")</f>
        <v/>
      </c>
      <c r="C300" s="56" t="str">
        <f aca="false">IF($W300="","",INDEX(发票统计!C$4:C$1003,$W300)&amp;"")</f>
        <v/>
      </c>
      <c r="D300" s="56" t="str">
        <f aca="false">IF($W300="","",INDEX(发票统计!D$4:D$1003,$W300)&amp;"")</f>
        <v/>
      </c>
      <c r="E300" s="56" t="str">
        <f aca="false">IF($W300="","",INDEX(发票统计!E$4:E$1003,$W300)&amp;"")</f>
        <v/>
      </c>
      <c r="F300" s="73" t="str">
        <f aca="false">IF($W300="","",INDEX(发票统计!F$4:F$1003,$W300)&amp;"")</f>
        <v/>
      </c>
      <c r="G300" s="68" t="str">
        <f aca="false">IF($W300="","",IF(INDEX(发票统计!G$4:G$1003,$W300)="","",INDEX(发票统计!G$4:G$1003,$W300)))</f>
        <v/>
      </c>
      <c r="H300" s="56" t="str">
        <f aca="false">IF($W300="","",N(INDEX(发票统计!H$4:H$1003,$W300)))</f>
        <v/>
      </c>
      <c r="I300" s="56" t="str">
        <f aca="false">IF($W300="","",N(INDEX(发票统计!I$4:I$1003,$W300)))</f>
        <v/>
      </c>
      <c r="J300" s="56" t="str">
        <f aca="false">IF($W300="","",N(INDEX(发票统计!J$4:J$1003,$W300)))</f>
        <v/>
      </c>
      <c r="K300" s="56" t="str">
        <f aca="false">IF($W300="","",N(INDEX(发票统计!K$4:K$1003,$W300)))</f>
        <v/>
      </c>
      <c r="L300" s="56" t="str">
        <f aca="false">IF($W300="","",SUM(J$4:J300)-SUM(K$4:K300))</f>
        <v/>
      </c>
      <c r="M300" s="56" t="str">
        <f aca="false">IF($W300="","",N(INDEX(发票统计!M$4:M$1003,$W300)))</f>
        <v/>
      </c>
      <c r="N300" s="56" t="str">
        <f aca="false">IF($W300="","",N(INDEX(发票统计!N$4:N$1003,$W300)))</f>
        <v/>
      </c>
      <c r="O300" s="56" t="str">
        <f aca="false">IF($W300="","",N(INDEX(发票统计!O$4:O$1003,$W300)))</f>
        <v/>
      </c>
      <c r="P300" s="56" t="str">
        <f aca="false">IF($W300="","",SUM(M$4:M300)-SUM(N$4:N300)-SUM(O$4:O300))</f>
        <v/>
      </c>
      <c r="Q300" s="56" t="str">
        <f aca="false">IF($W300="","",N(INDEX(发票统计!Q$4:Q$1003,$W300)))</f>
        <v/>
      </c>
      <c r="R300" s="56" t="str">
        <f aca="false">IF($W300="","",N(INDEX(发票统计!R$4:R$1003,$W300)))</f>
        <v/>
      </c>
      <c r="S300" s="56" t="str">
        <f aca="false">IF($W300="","",N(INDEX(发票统计!S$4:S$1003,$W300)))</f>
        <v/>
      </c>
      <c r="T300" s="56" t="str">
        <f aca="false">IF($W300="","",SUM(Q$4:Q300)-SUM(R$4:R300)-SUM(S$4:S300))</f>
        <v/>
      </c>
      <c r="U300" s="56" t="str">
        <f aca="false">IF($W300="","",INDEX(发票统计!U$4:U$1003,$W300)&amp;"")</f>
        <v/>
      </c>
      <c r="W300" s="1" t="str">
        <f aca="false">IF($V$3="","",IFERROR(MATCH($V$3&amp;"#"&amp;ROWS(W$4:W300),发票统计!$W$4:$W$1003,0),""))</f>
        <v/>
      </c>
    </row>
    <row r="301" customFormat="false" ht="16.5" hidden="false" customHeight="false" outlineLevel="0" collapsed="false">
      <c r="A301" s="56" t="str">
        <f aca="false">IF($W301="","",INDEX(发票统计!A$4:A$1003,$W301)&amp;"")</f>
        <v/>
      </c>
      <c r="B301" s="56" t="str">
        <f aca="false">IF($W301="","",INDEX(发票统计!B$4:B$1003,$W301)&amp;"")</f>
        <v/>
      </c>
      <c r="C301" s="56" t="str">
        <f aca="false">IF($W301="","",INDEX(发票统计!C$4:C$1003,$W301)&amp;"")</f>
        <v/>
      </c>
      <c r="D301" s="56" t="str">
        <f aca="false">IF($W301="","",INDEX(发票统计!D$4:D$1003,$W301)&amp;"")</f>
        <v/>
      </c>
      <c r="E301" s="56" t="str">
        <f aca="false">IF($W301="","",INDEX(发票统计!E$4:E$1003,$W301)&amp;"")</f>
        <v/>
      </c>
      <c r="F301" s="73" t="str">
        <f aca="false">IF($W301="","",INDEX(发票统计!F$4:F$1003,$W301)&amp;"")</f>
        <v/>
      </c>
      <c r="G301" s="68" t="str">
        <f aca="false">IF($W301="","",IF(INDEX(发票统计!G$4:G$1003,$W301)="","",INDEX(发票统计!G$4:G$1003,$W301)))</f>
        <v/>
      </c>
      <c r="H301" s="56" t="str">
        <f aca="false">IF($W301="","",N(INDEX(发票统计!H$4:H$1003,$W301)))</f>
        <v/>
      </c>
      <c r="I301" s="56" t="str">
        <f aca="false">IF($W301="","",N(INDEX(发票统计!I$4:I$1003,$W301)))</f>
        <v/>
      </c>
      <c r="J301" s="56" t="str">
        <f aca="false">IF($W301="","",N(INDEX(发票统计!J$4:J$1003,$W301)))</f>
        <v/>
      </c>
      <c r="K301" s="56" t="str">
        <f aca="false">IF($W301="","",N(INDEX(发票统计!K$4:K$1003,$W301)))</f>
        <v/>
      </c>
      <c r="L301" s="56" t="str">
        <f aca="false">IF($W301="","",SUM(J$4:J301)-SUM(K$4:K301))</f>
        <v/>
      </c>
      <c r="M301" s="56" t="str">
        <f aca="false">IF($W301="","",N(INDEX(发票统计!M$4:M$1003,$W301)))</f>
        <v/>
      </c>
      <c r="N301" s="56" t="str">
        <f aca="false">IF($W301="","",N(INDEX(发票统计!N$4:N$1003,$W301)))</f>
        <v/>
      </c>
      <c r="O301" s="56" t="str">
        <f aca="false">IF($W301="","",N(INDEX(发票统计!O$4:O$1003,$W301)))</f>
        <v/>
      </c>
      <c r="P301" s="56" t="str">
        <f aca="false">IF($W301="","",SUM(M$4:M301)-SUM(N$4:N301)-SUM(O$4:O301))</f>
        <v/>
      </c>
      <c r="Q301" s="56" t="str">
        <f aca="false">IF($W301="","",N(INDEX(发票统计!Q$4:Q$1003,$W301)))</f>
        <v/>
      </c>
      <c r="R301" s="56" t="str">
        <f aca="false">IF($W301="","",N(INDEX(发票统计!R$4:R$1003,$W301)))</f>
        <v/>
      </c>
      <c r="S301" s="56" t="str">
        <f aca="false">IF($W301="","",N(INDEX(发票统计!S$4:S$1003,$W301)))</f>
        <v/>
      </c>
      <c r="T301" s="56" t="str">
        <f aca="false">IF($W301="","",SUM(Q$4:Q301)-SUM(R$4:R301)-SUM(S$4:S301))</f>
        <v/>
      </c>
      <c r="U301" s="56" t="str">
        <f aca="false">IF($W301="","",INDEX(发票统计!U$4:U$1003,$W301)&amp;"")</f>
        <v/>
      </c>
      <c r="W301" s="1" t="str">
        <f aca="false">IF($V$3="","",IFERROR(MATCH($V$3&amp;"#"&amp;ROWS(W$4:W301),发票统计!$W$4:$W$1003,0),""))</f>
        <v/>
      </c>
    </row>
    <row r="302" customFormat="false" ht="16.5" hidden="false" customHeight="false" outlineLevel="0" collapsed="false">
      <c r="A302" s="56" t="str">
        <f aca="false">IF($W302="","",INDEX(发票统计!A$4:A$1003,$W302)&amp;"")</f>
        <v/>
      </c>
      <c r="B302" s="56" t="str">
        <f aca="false">IF($W302="","",INDEX(发票统计!B$4:B$1003,$W302)&amp;"")</f>
        <v/>
      </c>
      <c r="C302" s="56" t="str">
        <f aca="false">IF($W302="","",INDEX(发票统计!C$4:C$1003,$W302)&amp;"")</f>
        <v/>
      </c>
      <c r="D302" s="56" t="str">
        <f aca="false">IF($W302="","",INDEX(发票统计!D$4:D$1003,$W302)&amp;"")</f>
        <v/>
      </c>
      <c r="E302" s="56" t="str">
        <f aca="false">IF($W302="","",INDEX(发票统计!E$4:E$1003,$W302)&amp;"")</f>
        <v/>
      </c>
      <c r="F302" s="73" t="str">
        <f aca="false">IF($W302="","",INDEX(发票统计!F$4:F$1003,$W302)&amp;"")</f>
        <v/>
      </c>
      <c r="G302" s="68" t="str">
        <f aca="false">IF($W302="","",IF(INDEX(发票统计!G$4:G$1003,$W302)="","",INDEX(发票统计!G$4:G$1003,$W302)))</f>
        <v/>
      </c>
      <c r="H302" s="56" t="str">
        <f aca="false">IF($W302="","",N(INDEX(发票统计!H$4:H$1003,$W302)))</f>
        <v/>
      </c>
      <c r="I302" s="56" t="str">
        <f aca="false">IF($W302="","",N(INDEX(发票统计!I$4:I$1003,$W302)))</f>
        <v/>
      </c>
      <c r="J302" s="56" t="str">
        <f aca="false">IF($W302="","",N(INDEX(发票统计!J$4:J$1003,$W302)))</f>
        <v/>
      </c>
      <c r="K302" s="56" t="str">
        <f aca="false">IF($W302="","",N(INDEX(发票统计!K$4:K$1003,$W302)))</f>
        <v/>
      </c>
      <c r="L302" s="56" t="str">
        <f aca="false">IF($W302="","",SUM(J$4:J302)-SUM(K$4:K302))</f>
        <v/>
      </c>
      <c r="M302" s="56" t="str">
        <f aca="false">IF($W302="","",N(INDEX(发票统计!M$4:M$1003,$W302)))</f>
        <v/>
      </c>
      <c r="N302" s="56" t="str">
        <f aca="false">IF($W302="","",N(INDEX(发票统计!N$4:N$1003,$W302)))</f>
        <v/>
      </c>
      <c r="O302" s="56" t="str">
        <f aca="false">IF($W302="","",N(INDEX(发票统计!O$4:O$1003,$W302)))</f>
        <v/>
      </c>
      <c r="P302" s="56" t="str">
        <f aca="false">IF($W302="","",SUM(M$4:M302)-SUM(N$4:N302)-SUM(O$4:O302))</f>
        <v/>
      </c>
      <c r="Q302" s="56" t="str">
        <f aca="false">IF($W302="","",N(INDEX(发票统计!Q$4:Q$1003,$W302)))</f>
        <v/>
      </c>
      <c r="R302" s="56" t="str">
        <f aca="false">IF($W302="","",N(INDEX(发票统计!R$4:R$1003,$W302)))</f>
        <v/>
      </c>
      <c r="S302" s="56" t="str">
        <f aca="false">IF($W302="","",N(INDEX(发票统计!S$4:S$1003,$W302)))</f>
        <v/>
      </c>
      <c r="T302" s="56" t="str">
        <f aca="false">IF($W302="","",SUM(Q$4:Q302)-SUM(R$4:R302)-SUM(S$4:S302))</f>
        <v/>
      </c>
      <c r="U302" s="56" t="str">
        <f aca="false">IF($W302="","",INDEX(发票统计!U$4:U$1003,$W302)&amp;"")</f>
        <v/>
      </c>
      <c r="W302" s="1" t="str">
        <f aca="false">IF($V$3="","",IFERROR(MATCH($V$3&amp;"#"&amp;ROWS(W$4:W302),发票统计!$W$4:$W$1003,0),""))</f>
        <v/>
      </c>
    </row>
    <row r="303" customFormat="false" ht="16.5" hidden="false" customHeight="false" outlineLevel="0" collapsed="false">
      <c r="A303" s="56" t="str">
        <f aca="false">IF($W303="","",INDEX(发票统计!A$4:A$1003,$W303)&amp;"")</f>
        <v/>
      </c>
      <c r="B303" s="56" t="str">
        <f aca="false">IF($W303="","",INDEX(发票统计!B$4:B$1003,$W303)&amp;"")</f>
        <v/>
      </c>
      <c r="C303" s="56" t="str">
        <f aca="false">IF($W303="","",INDEX(发票统计!C$4:C$1003,$W303)&amp;"")</f>
        <v/>
      </c>
      <c r="D303" s="56" t="str">
        <f aca="false">IF($W303="","",INDEX(发票统计!D$4:D$1003,$W303)&amp;"")</f>
        <v/>
      </c>
      <c r="E303" s="56" t="str">
        <f aca="false">IF($W303="","",INDEX(发票统计!E$4:E$1003,$W303)&amp;"")</f>
        <v/>
      </c>
      <c r="F303" s="73" t="str">
        <f aca="false">IF($W303="","",INDEX(发票统计!F$4:F$1003,$W303)&amp;"")</f>
        <v/>
      </c>
      <c r="G303" s="68" t="str">
        <f aca="false">IF($W303="","",IF(INDEX(发票统计!G$4:G$1003,$W303)="","",INDEX(发票统计!G$4:G$1003,$W303)))</f>
        <v/>
      </c>
      <c r="H303" s="56" t="str">
        <f aca="false">IF($W303="","",N(INDEX(发票统计!H$4:H$1003,$W303)))</f>
        <v/>
      </c>
      <c r="I303" s="56" t="str">
        <f aca="false">IF($W303="","",N(INDEX(发票统计!I$4:I$1003,$W303)))</f>
        <v/>
      </c>
      <c r="J303" s="56" t="str">
        <f aca="false">IF($W303="","",N(INDEX(发票统计!J$4:J$1003,$W303)))</f>
        <v/>
      </c>
      <c r="K303" s="56" t="str">
        <f aca="false">IF($W303="","",N(INDEX(发票统计!K$4:K$1003,$W303)))</f>
        <v/>
      </c>
      <c r="L303" s="56" t="str">
        <f aca="false">IF($W303="","",SUM(J$4:J303)-SUM(K$4:K303))</f>
        <v/>
      </c>
      <c r="M303" s="56" t="str">
        <f aca="false">IF($W303="","",N(INDEX(发票统计!M$4:M$1003,$W303)))</f>
        <v/>
      </c>
      <c r="N303" s="56" t="str">
        <f aca="false">IF($W303="","",N(INDEX(发票统计!N$4:N$1003,$W303)))</f>
        <v/>
      </c>
      <c r="O303" s="56" t="str">
        <f aca="false">IF($W303="","",N(INDEX(发票统计!O$4:O$1003,$W303)))</f>
        <v/>
      </c>
      <c r="P303" s="56" t="str">
        <f aca="false">IF($W303="","",SUM(M$4:M303)-SUM(N$4:N303)-SUM(O$4:O303))</f>
        <v/>
      </c>
      <c r="Q303" s="56" t="str">
        <f aca="false">IF($W303="","",N(INDEX(发票统计!Q$4:Q$1003,$W303)))</f>
        <v/>
      </c>
      <c r="R303" s="56" t="str">
        <f aca="false">IF($W303="","",N(INDEX(发票统计!R$4:R$1003,$W303)))</f>
        <v/>
      </c>
      <c r="S303" s="56" t="str">
        <f aca="false">IF($W303="","",N(INDEX(发票统计!S$4:S$1003,$W303)))</f>
        <v/>
      </c>
      <c r="T303" s="56" t="str">
        <f aca="false">IF($W303="","",SUM(Q$4:Q303)-SUM(R$4:R303)-SUM(S$4:S303))</f>
        <v/>
      </c>
      <c r="U303" s="56" t="str">
        <f aca="false">IF($W303="","",INDEX(发票统计!U$4:U$1003,$W303)&amp;"")</f>
        <v/>
      </c>
      <c r="W303" s="1" t="str">
        <f aca="false">IF($V$3="","",IFERROR(MATCH($V$3&amp;"#"&amp;ROWS(W$4:W303),发票统计!$W$4:$W$1003,0),""))</f>
        <v/>
      </c>
    </row>
  </sheetData>
  <autoFilter ref="A2:U83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3"/>
  <sheetViews>
    <sheetView showFormulas="false" showGridLines="true" showRowColHeaders="true" showZeros="true" rightToLeft="false" showOutlineSymbols="true" defaultGridColor="true" view="normal" topLeftCell="I21" colorId="64" zoomScale="85" zoomScaleNormal="85" zoomScalePageLayoutView="100" workbookViewId="0">
      <pane xSplit="0" ySplit="3" topLeftCell="A4" activePane="bottomLeft" state="frozen"/>
      <selection pane="topLeft" activeCell="I21" activeCellId="0" sqref="I21"/>
      <selection pane="bottomLeft" activeCell="T12" activeCellId="0" sqref="T12"/>
    </sheetView>
  </sheetViews>
  <sheetFormatPr defaultColWidth="9" defaultRowHeight="16.5" zeroHeight="false" outlineLevelRow="0" outlineLevelCol="0"/>
  <cols>
    <col collapsed="false" customWidth="true" hidden="false" outlineLevel="0" max="1" min="1" style="1" width="7.73"/>
    <col collapsed="false" customWidth="true" hidden="false" outlineLevel="0" max="2" min="2" style="1" width="5.73"/>
    <col collapsed="false" customWidth="true" hidden="true" outlineLevel="0" max="3" min="3" style="1" width="57.46"/>
    <col collapsed="false" customWidth="true" hidden="false" outlineLevel="0" max="4" min="4" style="1" width="47"/>
    <col collapsed="false" customWidth="true" hidden="false" outlineLevel="0" max="6" min="5" style="63" width="8.64"/>
    <col collapsed="false" customWidth="true" hidden="false" outlineLevel="0" max="7" min="7" style="64" width="7"/>
    <col collapsed="false" customWidth="true" hidden="false" outlineLevel="0" max="8" min="8" style="63" width="12.63"/>
    <col collapsed="false" customWidth="true" hidden="false" outlineLevel="0" max="9" min="9" style="63" width="11.27"/>
    <col collapsed="false" customWidth="true" hidden="false" outlineLevel="0" max="11" min="10" style="63" width="12.63"/>
    <col collapsed="false" customWidth="true" hidden="false" outlineLevel="0" max="12" min="12" style="63" width="13.91"/>
    <col collapsed="false" customWidth="true" hidden="false" outlineLevel="0" max="14" min="13" style="1" width="13.91"/>
    <col collapsed="false" customWidth="true" hidden="false" outlineLevel="0" max="15" min="15" style="1" width="12.54"/>
    <col collapsed="false" customWidth="true" hidden="false" outlineLevel="0" max="17" min="16" style="1" width="14.82"/>
    <col collapsed="false" customWidth="true" hidden="false" outlineLevel="0" max="20" min="18" style="1" width="12.54"/>
    <col collapsed="false" customWidth="true" hidden="false" outlineLevel="0" max="21" min="21" style="1" width="26.73"/>
    <col collapsed="false" customWidth="true" hidden="false" outlineLevel="0" max="22" min="22" style="1" width="24"/>
    <col collapsed="false" customWidth="false" hidden="true" outlineLevel="0" max="23" min="23" style="1" width="9"/>
    <col collapsed="false" customWidth="false" hidden="false" outlineLevel="0" max="16379" min="24" style="1" width="9"/>
  </cols>
  <sheetData>
    <row r="1" customFormat="false" ht="37.5" hidden="false" customHeight="true" outlineLevel="0" collapsed="false">
      <c r="A1" s="65" t="s">
        <v>154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="8" customFormat="true" ht="33" hidden="false" customHeight="true" outlineLevel="0" collapsed="false">
      <c r="A2" s="10" t="s">
        <v>148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1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</v>
      </c>
      <c r="V2" s="66" t="s">
        <v>149</v>
      </c>
    </row>
    <row r="3" s="8" customFormat="true" ht="16.5" hidden="false" customHeight="false" outlineLevel="0" collapsed="false">
      <c r="A3" s="10"/>
      <c r="B3" s="10"/>
      <c r="C3" s="14"/>
      <c r="D3" s="10"/>
      <c r="E3" s="10"/>
      <c r="F3" s="10"/>
      <c r="G3" s="10"/>
      <c r="H3" s="15" t="n">
        <f aca="false">SUM(H4:H303)</f>
        <v>500000</v>
      </c>
      <c r="I3" s="15" t="n">
        <f aca="false">SUM(I4:I303)</f>
        <v>0</v>
      </c>
      <c r="J3" s="15" t="n">
        <f aca="false">SUM(J4:J303)</f>
        <v>500000</v>
      </c>
      <c r="K3" s="15" t="n">
        <f aca="false">SUM(K4:K303)</f>
        <v>500000</v>
      </c>
      <c r="L3" s="15" t="n">
        <f aca="false">J3-K3</f>
        <v>0</v>
      </c>
      <c r="M3" s="15" t="n">
        <f aca="false">SUM(M4:M303)</f>
        <v>500000</v>
      </c>
      <c r="N3" s="15" t="n">
        <f aca="false">SUM(N4:N303)</f>
        <v>0</v>
      </c>
      <c r="O3" s="15" t="n">
        <f aca="false">SUM(O4:O303)</f>
        <v>503326.17</v>
      </c>
      <c r="P3" s="15" t="n">
        <f aca="false">M3-N3-O3</f>
        <v>-3326.16999999998</v>
      </c>
      <c r="Q3" s="15" t="n">
        <f aca="false">SUM(Q4:Q303)</f>
        <v>0</v>
      </c>
      <c r="R3" s="15" t="n">
        <f aca="false">SUM(R4:R303)</f>
        <v>0</v>
      </c>
      <c r="S3" s="15" t="n">
        <f aca="false">SUM(S4:S303)</f>
        <v>0</v>
      </c>
      <c r="T3" s="15" t="n">
        <f aca="false">Q3-R3-S3</f>
        <v>0</v>
      </c>
      <c r="U3" s="15"/>
      <c r="V3" s="16" t="str">
        <f aca="true">IFERROR(MID(CELL("filename",$A$1),FIND("]",CELL("filename",$A$1))+1,99),IFERROR(SUBSTITUTE(MID(CELL("filename",$A$1),FIND("#$",CELL("filename",$A$1))+2,99),"'",""),""))</f>
        <v>合川瑞翔</v>
      </c>
    </row>
    <row r="4" customFormat="false" ht="16.5" hidden="false" customHeight="false" outlineLevel="0" collapsed="false">
      <c r="A4" s="3" t="str">
        <f aca="false">IF($W4="","",INDEX(发票统计!A$4:A$1003,$W4)&amp;"")</f>
        <v>合川瑞翔</v>
      </c>
      <c r="B4" s="3" t="str">
        <f aca="false">IF($W4="","",INDEX(发票统计!B$4:B$1003,$W4)&amp;"")</f>
        <v>6月</v>
      </c>
      <c r="C4" s="3" t="str">
        <f aca="false">IF($W4="","",INDEX(发票统计!C$4:C$1003,$W4)&amp;"")</f>
        <v>高新区厂房及配套设施提质改造项目开票到瑞翔厂区电力土建(管廊)建设工程</v>
      </c>
      <c r="D4" s="3" t="str">
        <f aca="false">IF($W4="","",INDEX(发票统计!D$4:D$1003,$W4)&amp;"")</f>
        <v>2026.6.17庆文开票给新德润：瑞翔厂区电力土建</v>
      </c>
      <c r="E4" s="67" t="str">
        <f aca="false">IF($W4="","",INDEX(发票统计!E$4:E$1003,$W4)&amp;"")</f>
        <v>新德润</v>
      </c>
      <c r="F4" s="68" t="str">
        <f aca="false">IF($W4="","",INDEX(发票统计!F$4:F$1003,$W4)&amp;"")</f>
        <v>1%专票</v>
      </c>
      <c r="G4" s="68" t="str">
        <f aca="false">IF($W4="","",IF(INDEX(发票统计!G$4:G$1003,$W4)="","",INDEX(发票统计!G$4:G$1003,$W4)))</f>
        <v/>
      </c>
      <c r="H4" s="56" t="n">
        <f aca="false">IF($W4="","",N(INDEX(发票统计!H$4:H$1003,$W4)))</f>
        <v>100000</v>
      </c>
      <c r="I4" s="56" t="n">
        <f aca="false">IF($W4="","",N(INDEX(发票统计!I$4:I$1003,$W4)))</f>
        <v>0</v>
      </c>
      <c r="J4" s="56" t="n">
        <f aca="false">IF($W4="","",N(INDEX(发票统计!J$4:J$1003,$W4)))</f>
        <v>100000</v>
      </c>
      <c r="K4" s="56" t="n">
        <f aca="false">IF($W4="","",N(INDEX(发票统计!K$4:K$1003,$W4)))</f>
        <v>100000</v>
      </c>
      <c r="L4" s="56" t="n">
        <f aca="false">IF($W4="","",SUM(J$4:J4)-SUM(K$4:K4))</f>
        <v>0</v>
      </c>
      <c r="M4" s="56" t="n">
        <f aca="false">IF($W4="","",N(INDEX(发票统计!M$4:M$1003,$W4)))</f>
        <v>100000</v>
      </c>
      <c r="N4" s="56" t="n">
        <f aca="false">IF($W4="","",N(INDEX(发票统计!N$4:N$1003,$W4)))</f>
        <v>0</v>
      </c>
      <c r="O4" s="56" t="n">
        <f aca="false">IF($W4="","",N(INDEX(发票统计!O$4:O$1003,$W4)))</f>
        <v>0</v>
      </c>
      <c r="P4" s="56" t="n">
        <f aca="false">IF($W4="","",SUM(M$4:M4)-SUM(N$4:N4)-SUM(O$4:O4))</f>
        <v>100000</v>
      </c>
      <c r="Q4" s="56" t="n">
        <f aca="false">IF($W4="","",N(INDEX(发票统计!Q$4:Q$1003,$W4)))</f>
        <v>0</v>
      </c>
      <c r="R4" s="56" t="n">
        <f aca="false">IF($W4="","",N(INDEX(发票统计!R$4:R$1003,$W4)))</f>
        <v>0</v>
      </c>
      <c r="S4" s="56" t="n">
        <f aca="false">IF($W4="","",N(INDEX(发票统计!S$4:S$1003,$W4)))</f>
        <v>0</v>
      </c>
      <c r="T4" s="56" t="n">
        <f aca="false">IF($W4="","",SUM(Q$4:Q4)-SUM(R$4:R4)-SUM(S$4:S4))</f>
        <v>0</v>
      </c>
      <c r="U4" s="56" t="str">
        <f aca="false">IF($W4="","",INDEX(发票统计!U$4:U$1003,$W4)&amp;"")</f>
        <v/>
      </c>
      <c r="V4" s="69" t="str">
        <f aca="false">IF($V$3="","⚠ 取不到表名，请在 V3 手填项目简称",IF(COUNTIF(发票统计!$A$4:$A$1003,$V$3)=0,"⚠ 发票统计里没有「"&amp;$V$3&amp;"」的行，表名要和目录里的简称一样",IF(COUNTIF(发票统计!$A$4:$A$1003,$V$3)&gt;300,"⚠ 本项目超过 300 行，后面的没显示","共 "&amp;COUNTIF(发票统计!$A$4:$A$1003,$V$3)&amp;" 笔")))</f>
        <v>共 15 笔</v>
      </c>
      <c r="W4" s="1" t="n">
        <f aca="false">IF($V$3="","",IFERROR(MATCH($V$3&amp;"#"&amp;ROWS(W$4:W4),发票统计!$W$4:$W$1003,0),""))</f>
        <v>7</v>
      </c>
    </row>
    <row r="5" customFormat="false" ht="16.5" hidden="false" customHeight="false" outlineLevel="0" collapsed="false">
      <c r="A5" s="3" t="str">
        <f aca="false">IF($W5="","",INDEX(发票统计!A$4:A$1003,$W5)&amp;"")</f>
        <v>合川瑞翔</v>
      </c>
      <c r="B5" s="3" t="str">
        <f aca="false">IF($W5="","",INDEX(发票统计!B$4:B$1003,$W5)&amp;"")</f>
        <v>6月</v>
      </c>
      <c r="C5" s="3" t="str">
        <f aca="false">IF($W5="","",INDEX(发票统计!C$4:C$1003,$W5)&amp;"")</f>
        <v>高新区厂房及配套设施提质改造项目开票到瑞翔厂区电力土建(管廊)建设工程</v>
      </c>
      <c r="D5" s="3" t="str">
        <f aca="false">IF($W5="","",INDEX(发票统计!D$4:D$1003,$W5)&amp;"")</f>
        <v>2026.6.18庆文收到新德润打款：瑞翔厂区电力</v>
      </c>
      <c r="E5" s="67" t="str">
        <f aca="false">IF($W5="","",INDEX(发票统计!E$4:E$1003,$W5)&amp;"")</f>
        <v>新德润</v>
      </c>
      <c r="F5" s="68" t="str">
        <f aca="false">IF($W5="","",INDEX(发票统计!F$4:F$1003,$W5)&amp;"")</f>
        <v/>
      </c>
      <c r="G5" s="68" t="str">
        <f aca="false">IF($W5="","",IF(INDEX(发票统计!G$4:G$1003,$W5)="","",INDEX(发票统计!G$4:G$1003,$W5)))</f>
        <v/>
      </c>
      <c r="H5" s="56" t="n">
        <f aca="false">IF($W5="","",N(INDEX(发票统计!H$4:H$1003,$W5)))</f>
        <v>0</v>
      </c>
      <c r="I5" s="56" t="n">
        <f aca="false">IF($W5="","",N(INDEX(发票统计!I$4:I$1003,$W5)))</f>
        <v>0</v>
      </c>
      <c r="J5" s="56" t="n">
        <f aca="false">IF($W5="","",N(INDEX(发票统计!J$4:J$1003,$W5)))</f>
        <v>0</v>
      </c>
      <c r="K5" s="56" t="n">
        <f aca="false">IF($W5="","",N(INDEX(发票统计!K$4:K$1003,$W5)))</f>
        <v>0</v>
      </c>
      <c r="L5" s="56" t="n">
        <f aca="false">IF($W5="","",SUM(J$4:J5)-SUM(K$4:K5))</f>
        <v>0</v>
      </c>
      <c r="M5" s="56" t="n">
        <f aca="false">IF($W5="","",N(INDEX(发票统计!M$4:M$1003,$W5)))</f>
        <v>0</v>
      </c>
      <c r="N5" s="56" t="n">
        <f aca="false">IF($W5="","",N(INDEX(发票统计!N$4:N$1003,$W5)))</f>
        <v>0</v>
      </c>
      <c r="O5" s="56" t="n">
        <f aca="false">IF($W5="","",N(INDEX(发票统计!O$4:O$1003,$W5)))</f>
        <v>100000</v>
      </c>
      <c r="P5" s="56" t="n">
        <f aca="false">IF($W5="","",SUM(M$4:M5)-SUM(N$4:N5)-SUM(O$4:O5))</f>
        <v>0</v>
      </c>
      <c r="Q5" s="56" t="n">
        <f aca="false">IF($W5="","",N(INDEX(发票统计!Q$4:Q$1003,$W5)))</f>
        <v>0</v>
      </c>
      <c r="R5" s="56" t="n">
        <f aca="false">IF($W5="","",N(INDEX(发票统计!R$4:R$1003,$W5)))</f>
        <v>0</v>
      </c>
      <c r="S5" s="56" t="n">
        <f aca="false">IF($W5="","",N(INDEX(发票统计!S$4:S$1003,$W5)))</f>
        <v>0</v>
      </c>
      <c r="T5" s="56" t="n">
        <f aca="false">IF($W5="","",SUM(Q$4:Q5)-SUM(R$4:R5)-SUM(S$4:S5))</f>
        <v>0</v>
      </c>
      <c r="U5" s="56" t="str">
        <f aca="false">IF($W5="","",INDEX(发票统计!U$4:U$1003,$W5)&amp;"")</f>
        <v/>
      </c>
      <c r="W5" s="1" t="n">
        <f aca="false">IF($V$3="","",IFERROR(MATCH($V$3&amp;"#"&amp;ROWS(W$4:W5),发票统计!$W$4:$W$1003,0),""))</f>
        <v>8</v>
      </c>
    </row>
    <row r="6" customFormat="false" ht="16.5" hidden="false" customHeight="false" outlineLevel="0" collapsed="false">
      <c r="A6" s="3" t="str">
        <f aca="false">IF($W6="","",INDEX(发票统计!A$4:A$1003,$W6)&amp;"")</f>
        <v>合川瑞翔</v>
      </c>
      <c r="B6" s="3" t="str">
        <f aca="false">IF($W6="","",INDEX(发票统计!B$4:B$1003,$W6)&amp;"")</f>
        <v>7月</v>
      </c>
      <c r="C6" s="3" t="str">
        <f aca="false">IF($W6="","",INDEX(发票统计!C$4:C$1003,$W6)&amp;"")</f>
        <v>高新区厂房及配套设施提质改造项目开票到瑞翔厂区电力土建(管廊)建设工程</v>
      </c>
      <c r="D6" s="3" t="str">
        <f aca="false">IF($W6="","",INDEX(发票统计!D$4:D$1003,$W6)&amp;"")</f>
        <v>2026.7.2朱氏水泥管件开票到新德润：瑞翔厂区电力土建</v>
      </c>
      <c r="E6" s="67" t="str">
        <f aca="false">IF($W6="","",INDEX(发票统计!E$4:E$1003,$W6)&amp;"")</f>
        <v>新德润</v>
      </c>
      <c r="F6" s="68" t="str">
        <f aca="false">IF($W6="","",INDEX(发票统计!F$4:F$1003,$W6)&amp;"")</f>
        <v>1%普票</v>
      </c>
      <c r="G6" s="68" t="str">
        <f aca="false">IF($W6="","",IF(INDEX(发票统计!G$4:G$1003,$W6)="","",INDEX(发票统计!G$4:G$1003,$W6)))</f>
        <v/>
      </c>
      <c r="H6" s="56" t="n">
        <f aca="false">IF($W6="","",N(INDEX(发票统计!H$4:H$1003,$W6)))</f>
        <v>50200</v>
      </c>
      <c r="I6" s="56" t="n">
        <f aca="false">IF($W6="","",N(INDEX(发票统计!I$4:I$1003,$W6)))</f>
        <v>0</v>
      </c>
      <c r="J6" s="56" t="n">
        <f aca="false">IF($W6="","",N(INDEX(发票统计!J$4:J$1003,$W6)))</f>
        <v>50200</v>
      </c>
      <c r="K6" s="56" t="n">
        <f aca="false">IF($W6="","",N(INDEX(发票统计!K$4:K$1003,$W6)))</f>
        <v>50200</v>
      </c>
      <c r="L6" s="56" t="n">
        <f aca="false">IF($W6="","",SUM(J$4:J6)-SUM(K$4:K6))</f>
        <v>0</v>
      </c>
      <c r="M6" s="56" t="n">
        <f aca="false">IF($W6="","",N(INDEX(发票统计!M$4:M$1003,$W6)))</f>
        <v>50200</v>
      </c>
      <c r="N6" s="56" t="n">
        <f aca="false">IF($W6="","",N(INDEX(发票统计!N$4:N$1003,$W6)))</f>
        <v>0</v>
      </c>
      <c r="O6" s="56" t="n">
        <f aca="false">IF($W6="","",N(INDEX(发票统计!O$4:O$1003,$W6)))</f>
        <v>0</v>
      </c>
      <c r="P6" s="56" t="n">
        <f aca="false">IF($W6="","",SUM(M$4:M6)-SUM(N$4:N6)-SUM(O$4:O6))</f>
        <v>50200</v>
      </c>
      <c r="Q6" s="56" t="n">
        <f aca="false">IF($W6="","",N(INDEX(发票统计!Q$4:Q$1003,$W6)))</f>
        <v>0</v>
      </c>
      <c r="R6" s="56" t="n">
        <f aca="false">IF($W6="","",N(INDEX(发票统计!R$4:R$1003,$W6)))</f>
        <v>0</v>
      </c>
      <c r="S6" s="56" t="n">
        <f aca="false">IF($W6="","",N(INDEX(发票统计!S$4:S$1003,$W6)))</f>
        <v>0</v>
      </c>
      <c r="T6" s="56" t="n">
        <f aca="false">IF($W6="","",SUM(Q$4:Q6)-SUM(R$4:R6)-SUM(S$4:S6))</f>
        <v>0</v>
      </c>
      <c r="U6" s="56" t="str">
        <f aca="false">IF($W6="","",INDEX(发票统计!U$4:U$1003,$W6)&amp;"")</f>
        <v/>
      </c>
      <c r="W6" s="1" t="n">
        <f aca="false">IF($V$3="","",IFERROR(MATCH($V$3&amp;"#"&amp;ROWS(W$4:W6),发票统计!$W$4:$W$1003,0),""))</f>
        <v>9</v>
      </c>
    </row>
    <row r="7" customFormat="false" ht="16.5" hidden="false" customHeight="false" outlineLevel="0" collapsed="false">
      <c r="A7" s="3" t="str">
        <f aca="false">IF($W7="","",INDEX(发票统计!A$4:A$1003,$W7)&amp;"")</f>
        <v>合川瑞翔</v>
      </c>
      <c r="B7" s="3" t="str">
        <f aca="false">IF($W7="","",INDEX(发票统计!B$4:B$1003,$W7)&amp;"")</f>
        <v>7月</v>
      </c>
      <c r="C7" s="3" t="str">
        <f aca="false">IF($W7="","",INDEX(发票统计!C$4:C$1003,$W7)&amp;"")</f>
        <v>高新区厂房及配套设施提质改造项目开票到瑞翔厂区电力土建(管廊)建设工程</v>
      </c>
      <c r="D7" s="3" t="str">
        <f aca="false">IF($W7="","",INDEX(发票统计!D$4:D$1003,$W7)&amp;"")</f>
        <v>2026.7.6朱氏水泥管收到新德润：瑞翔厂区电力</v>
      </c>
      <c r="E7" s="67" t="str">
        <f aca="false">IF($W7="","",INDEX(发票统计!E$4:E$1003,$W7)&amp;"")</f>
        <v>新德润</v>
      </c>
      <c r="F7" s="68" t="str">
        <f aca="false">IF($W7="","",INDEX(发票统计!F$4:F$1003,$W7)&amp;"")</f>
        <v/>
      </c>
      <c r="G7" s="68" t="str">
        <f aca="false">IF($W7="","",IF(INDEX(发票统计!G$4:G$1003,$W7)="","",INDEX(发票统计!G$4:G$1003,$W7)))</f>
        <v/>
      </c>
      <c r="H7" s="56" t="n">
        <f aca="false">IF($W7="","",N(INDEX(发票统计!H$4:H$1003,$W7)))</f>
        <v>0</v>
      </c>
      <c r="I7" s="56" t="n">
        <f aca="false">IF($W7="","",N(INDEX(发票统计!I$4:I$1003,$W7)))</f>
        <v>0</v>
      </c>
      <c r="J7" s="56" t="n">
        <f aca="false">IF($W7="","",N(INDEX(发票统计!J$4:J$1003,$W7)))</f>
        <v>0</v>
      </c>
      <c r="K7" s="56" t="n">
        <f aca="false">IF($W7="","",N(INDEX(发票统计!K$4:K$1003,$W7)))</f>
        <v>0</v>
      </c>
      <c r="L7" s="56" t="n">
        <f aca="false">IF($W7="","",SUM(J$4:J7)-SUM(K$4:K7))</f>
        <v>0</v>
      </c>
      <c r="M7" s="56" t="n">
        <f aca="false">IF($W7="","",N(INDEX(发票统计!M$4:M$1003,$W7)))</f>
        <v>0</v>
      </c>
      <c r="N7" s="56" t="n">
        <f aca="false">IF($W7="","",N(INDEX(发票统计!N$4:N$1003,$W7)))</f>
        <v>0</v>
      </c>
      <c r="O7" s="56" t="n">
        <f aca="false">IF($W7="","",N(INDEX(发票统计!O$4:O$1003,$W7)))</f>
        <v>50200</v>
      </c>
      <c r="P7" s="56" t="n">
        <f aca="false">IF($W7="","",SUM(M$4:M7)-SUM(N$4:N7)-SUM(O$4:O7))</f>
        <v>0</v>
      </c>
      <c r="Q7" s="56" t="n">
        <f aca="false">IF($W7="","",N(INDEX(发票统计!Q$4:Q$1003,$W7)))</f>
        <v>0</v>
      </c>
      <c r="R7" s="56" t="n">
        <f aca="false">IF($W7="","",N(INDEX(发票统计!R$4:R$1003,$W7)))</f>
        <v>0</v>
      </c>
      <c r="S7" s="56" t="n">
        <f aca="false">IF($W7="","",N(INDEX(发票统计!S$4:S$1003,$W7)))</f>
        <v>0</v>
      </c>
      <c r="T7" s="56" t="n">
        <f aca="false">IF($W7="","",SUM(Q$4:Q7)-SUM(R$4:R7)-SUM(S$4:S7))</f>
        <v>0</v>
      </c>
      <c r="U7" s="56" t="str">
        <f aca="false">IF($W7="","",INDEX(发票统计!U$4:U$1003,$W7)&amp;"")</f>
        <v/>
      </c>
      <c r="W7" s="1" t="n">
        <f aca="false">IF($V$3="","",IFERROR(MATCH($V$3&amp;"#"&amp;ROWS(W$4:W7),发票统计!$W$4:$W$1003,0),""))</f>
        <v>10</v>
      </c>
    </row>
    <row r="8" customFormat="false" ht="16.5" hidden="false" customHeight="false" outlineLevel="0" collapsed="false">
      <c r="A8" s="3" t="str">
        <f aca="false">IF($W8="","",INDEX(发票统计!A$4:A$1003,$W8)&amp;"")</f>
        <v>合川瑞翔</v>
      </c>
      <c r="B8" s="3" t="str">
        <f aca="false">IF($W8="","",INDEX(发票统计!B$4:B$1003,$W8)&amp;"")</f>
        <v>7月</v>
      </c>
      <c r="C8" s="3" t="str">
        <f aca="false">IF($W8="","",INDEX(发票统计!C$4:C$1003,$W8)&amp;"")</f>
        <v>高新区厂房及配套设施提质改造项目开票到瑞翔厂区电力土建(管廊)建设工程</v>
      </c>
      <c r="D8" s="3" t="str">
        <f aca="false">IF($W8="","",INDEX(发票统计!D$4:D$1003,$W8)&amp;"")</f>
        <v>2026.7.8庆文开票给新德润：瑞翔厂区电力土建</v>
      </c>
      <c r="E8" s="67" t="str">
        <f aca="false">IF($W8="","",INDEX(发票统计!E$4:E$1003,$W8)&amp;"")</f>
        <v>新德润</v>
      </c>
      <c r="F8" s="68" t="str">
        <f aca="false">IF($W8="","",INDEX(发票统计!F$4:F$1003,$W8)&amp;"")</f>
        <v>1%专票</v>
      </c>
      <c r="G8" s="68" t="str">
        <f aca="false">IF($W8="","",IF(INDEX(发票统计!G$4:G$1003,$W8)="","",INDEX(发票统计!G$4:G$1003,$W8)))</f>
        <v/>
      </c>
      <c r="H8" s="56" t="n">
        <f aca="false">IF($W8="","",N(INDEX(发票统计!H$4:H$1003,$W8)))</f>
        <v>100000</v>
      </c>
      <c r="I8" s="56" t="n">
        <f aca="false">IF($W8="","",N(INDEX(发票统计!I$4:I$1003,$W8)))</f>
        <v>0</v>
      </c>
      <c r="J8" s="56" t="n">
        <f aca="false">IF($W8="","",N(INDEX(发票统计!J$4:J$1003,$W8)))</f>
        <v>100000</v>
      </c>
      <c r="K8" s="56" t="n">
        <f aca="false">IF($W8="","",N(INDEX(发票统计!K$4:K$1003,$W8)))</f>
        <v>100000</v>
      </c>
      <c r="L8" s="56" t="n">
        <f aca="false">IF($W8="","",SUM(J$4:J8)-SUM(K$4:K8))</f>
        <v>0</v>
      </c>
      <c r="M8" s="56" t="n">
        <f aca="false">IF($W8="","",N(INDEX(发票统计!M$4:M$1003,$W8)))</f>
        <v>100000</v>
      </c>
      <c r="N8" s="56" t="n">
        <f aca="false">IF($W8="","",N(INDEX(发票统计!N$4:N$1003,$W8)))</f>
        <v>0</v>
      </c>
      <c r="O8" s="56" t="n">
        <f aca="false">IF($W8="","",N(INDEX(发票统计!O$4:O$1003,$W8)))</f>
        <v>0</v>
      </c>
      <c r="P8" s="56" t="n">
        <f aca="false">IF($W8="","",SUM(M$4:M8)-SUM(N$4:N8)-SUM(O$4:O8))</f>
        <v>100000</v>
      </c>
      <c r="Q8" s="56" t="n">
        <f aca="false">IF($W8="","",N(INDEX(发票统计!Q$4:Q$1003,$W8)))</f>
        <v>0</v>
      </c>
      <c r="R8" s="56" t="n">
        <f aca="false">IF($W8="","",N(INDEX(发票统计!R$4:R$1003,$W8)))</f>
        <v>0</v>
      </c>
      <c r="S8" s="56" t="n">
        <f aca="false">IF($W8="","",N(INDEX(发票统计!S$4:S$1003,$W8)))</f>
        <v>0</v>
      </c>
      <c r="T8" s="56" t="n">
        <f aca="false">IF($W8="","",SUM(Q$4:Q8)-SUM(R$4:R8)-SUM(S$4:S8))</f>
        <v>0</v>
      </c>
      <c r="U8" s="56" t="str">
        <f aca="false">IF($W8="","",INDEX(发票统计!U$4:U$1003,$W8)&amp;"")</f>
        <v/>
      </c>
      <c r="W8" s="1" t="n">
        <f aca="false">IF($V$3="","",IFERROR(MATCH($V$3&amp;"#"&amp;ROWS(W$4:W8),发票统计!$W$4:$W$1003,0),""))</f>
        <v>11</v>
      </c>
    </row>
    <row r="9" customFormat="false" ht="16.5" hidden="false" customHeight="false" outlineLevel="0" collapsed="false">
      <c r="A9" s="3" t="str">
        <f aca="false">IF($W9="","",INDEX(发票统计!A$4:A$1003,$W9)&amp;"")</f>
        <v>合川瑞翔</v>
      </c>
      <c r="B9" s="3" t="str">
        <f aca="false">IF($W9="","",INDEX(发票统计!B$4:B$1003,$W9)&amp;"")</f>
        <v>7月</v>
      </c>
      <c r="C9" s="3" t="str">
        <f aca="false">IF($W9="","",INDEX(发票统计!C$4:C$1003,$W9)&amp;"")</f>
        <v>高新区厂房及配套设施提质改造项目开票到瑞翔厂区电力土建(管廊)建设工程</v>
      </c>
      <c r="D9" s="3" t="str">
        <f aca="false">IF($W9="","",INDEX(发票统计!D$4:D$1003,$W9)&amp;"")</f>
        <v>2026.7.9庆文收到新德润打款：瑞翔厂区电力</v>
      </c>
      <c r="E9" s="67" t="str">
        <f aca="false">IF($W9="","",INDEX(发票统计!E$4:E$1003,$W9)&amp;"")</f>
        <v>新德润</v>
      </c>
      <c r="F9" s="68" t="str">
        <f aca="false">IF($W9="","",INDEX(发票统计!F$4:F$1003,$W9)&amp;"")</f>
        <v/>
      </c>
      <c r="G9" s="68" t="str">
        <f aca="false">IF($W9="","",IF(INDEX(发票统计!G$4:G$1003,$W9)="","",INDEX(发票统计!G$4:G$1003,$W9)))</f>
        <v/>
      </c>
      <c r="H9" s="56" t="n">
        <f aca="false">IF($W9="","",N(INDEX(发票统计!H$4:H$1003,$W9)))</f>
        <v>0</v>
      </c>
      <c r="I9" s="56" t="n">
        <f aca="false">IF($W9="","",N(INDEX(发票统计!I$4:I$1003,$W9)))</f>
        <v>0</v>
      </c>
      <c r="J9" s="56" t="n">
        <f aca="false">IF($W9="","",N(INDEX(发票统计!J$4:J$1003,$W9)))</f>
        <v>0</v>
      </c>
      <c r="K9" s="56" t="n">
        <f aca="false">IF($W9="","",N(INDEX(发票统计!K$4:K$1003,$W9)))</f>
        <v>0</v>
      </c>
      <c r="L9" s="56" t="n">
        <f aca="false">IF($W9="","",SUM(J$4:J9)-SUM(K$4:K9))</f>
        <v>0</v>
      </c>
      <c r="M9" s="56" t="n">
        <f aca="false">IF($W9="","",N(INDEX(发票统计!M$4:M$1003,$W9)))</f>
        <v>0</v>
      </c>
      <c r="N9" s="56" t="n">
        <f aca="false">IF($W9="","",N(INDEX(发票统计!N$4:N$1003,$W9)))</f>
        <v>0</v>
      </c>
      <c r="O9" s="56" t="n">
        <f aca="false">IF($W9="","",N(INDEX(发票统计!O$4:O$1003,$W9)))</f>
        <v>100000</v>
      </c>
      <c r="P9" s="56" t="n">
        <f aca="false">IF($W9="","",SUM(M$4:M9)-SUM(N$4:N9)-SUM(O$4:O9))</f>
        <v>0</v>
      </c>
      <c r="Q9" s="56" t="n">
        <f aca="false">IF($W9="","",N(INDEX(发票统计!Q$4:Q$1003,$W9)))</f>
        <v>0</v>
      </c>
      <c r="R9" s="56" t="n">
        <f aca="false">IF($W9="","",N(INDEX(发票统计!R$4:R$1003,$W9)))</f>
        <v>0</v>
      </c>
      <c r="S9" s="56" t="n">
        <f aca="false">IF($W9="","",N(INDEX(发票统计!S$4:S$1003,$W9)))</f>
        <v>0</v>
      </c>
      <c r="T9" s="56" t="n">
        <f aca="false">IF($W9="","",SUM(Q$4:Q9)-SUM(R$4:R9)-SUM(S$4:S9))</f>
        <v>0</v>
      </c>
      <c r="U9" s="56" t="str">
        <f aca="false">IF($W9="","",INDEX(发票统计!U$4:U$1003,$W9)&amp;"")</f>
        <v/>
      </c>
      <c r="W9" s="1" t="n">
        <f aca="false">IF($V$3="","",IFERROR(MATCH($V$3&amp;"#"&amp;ROWS(W$4:W9),发票统计!$W$4:$W$1003,0),""))</f>
        <v>12</v>
      </c>
    </row>
    <row r="10" customFormat="false" ht="16.5" hidden="false" customHeight="false" outlineLevel="0" collapsed="false">
      <c r="A10" s="3" t="str">
        <f aca="false">IF($W10="","",INDEX(发票统计!A$4:A$1003,$W10)&amp;"")</f>
        <v>合川瑞翔</v>
      </c>
      <c r="B10" s="3" t="str">
        <f aca="false">IF($W10="","",INDEX(发票统计!B$4:B$1003,$W10)&amp;"")</f>
        <v>7月</v>
      </c>
      <c r="C10" s="3" t="str">
        <f aca="false">IF($W10="","",INDEX(发票统计!C$4:C$1003,$W10)&amp;"")</f>
        <v>高新区厂房及配套设施提质改造项目开票到瑞翔厂区电力土建(管廊)建设工程</v>
      </c>
      <c r="D10" s="3" t="str">
        <f aca="false">IF($W10="","",INDEX(发票统计!D$4:D$1003,$W10)&amp;"")</f>
        <v>2026.7.8铜桐桐建材开票到新德润：瑞翔厂区电力土建</v>
      </c>
      <c r="E10" s="67" t="str">
        <f aca="false">IF($W10="","",INDEX(发票统计!E$4:E$1003,$W10)&amp;"")</f>
        <v>新德润</v>
      </c>
      <c r="F10" s="68" t="str">
        <f aca="false">IF($W10="","",INDEX(发票统计!F$4:F$1003,$W10)&amp;"")</f>
        <v>1%普票</v>
      </c>
      <c r="G10" s="68" t="str">
        <f aca="false">IF($W10="","",IF(INDEX(发票统计!G$4:G$1003,$W10)="","",INDEX(发票统计!G$4:G$1003,$W10)))</f>
        <v/>
      </c>
      <c r="H10" s="56" t="n">
        <f aca="false">IF($W10="","",N(INDEX(发票统计!H$4:H$1003,$W10)))</f>
        <v>49800</v>
      </c>
      <c r="I10" s="56" t="n">
        <f aca="false">IF($W10="","",N(INDEX(发票统计!I$4:I$1003,$W10)))</f>
        <v>0</v>
      </c>
      <c r="J10" s="56" t="n">
        <f aca="false">IF($W10="","",N(INDEX(发票统计!J$4:J$1003,$W10)))</f>
        <v>49800</v>
      </c>
      <c r="K10" s="56" t="n">
        <f aca="false">IF($W10="","",N(INDEX(发票统计!K$4:K$1003,$W10)))</f>
        <v>49800</v>
      </c>
      <c r="L10" s="56" t="n">
        <f aca="false">IF($W10="","",SUM(J$4:J10)-SUM(K$4:K10))</f>
        <v>0</v>
      </c>
      <c r="M10" s="56" t="n">
        <f aca="false">IF($W10="","",N(INDEX(发票统计!M$4:M$1003,$W10)))</f>
        <v>49800</v>
      </c>
      <c r="N10" s="56" t="n">
        <f aca="false">IF($W10="","",N(INDEX(发票统计!N$4:N$1003,$W10)))</f>
        <v>0</v>
      </c>
      <c r="O10" s="56" t="n">
        <f aca="false">IF($W10="","",N(INDEX(发票统计!O$4:O$1003,$W10)))</f>
        <v>0</v>
      </c>
      <c r="P10" s="56" t="n">
        <f aca="false">IF($W10="","",SUM(M$4:M10)-SUM(N$4:N10)-SUM(O$4:O10))</f>
        <v>49800</v>
      </c>
      <c r="Q10" s="56" t="n">
        <f aca="false">IF($W10="","",N(INDEX(发票统计!Q$4:Q$1003,$W10)))</f>
        <v>0</v>
      </c>
      <c r="R10" s="56" t="n">
        <f aca="false">IF($W10="","",N(INDEX(发票统计!R$4:R$1003,$W10)))</f>
        <v>0</v>
      </c>
      <c r="S10" s="56" t="n">
        <f aca="false">IF($W10="","",N(INDEX(发票统计!S$4:S$1003,$W10)))</f>
        <v>0</v>
      </c>
      <c r="T10" s="56" t="n">
        <f aca="false">IF($W10="","",SUM(Q$4:Q10)-SUM(R$4:R10)-SUM(S$4:S10))</f>
        <v>0</v>
      </c>
      <c r="U10" s="56" t="str">
        <f aca="false">IF($W10="","",INDEX(发票统计!U$4:U$1003,$W10)&amp;"")</f>
        <v/>
      </c>
      <c r="W10" s="1" t="n">
        <f aca="false">IF($V$3="","",IFERROR(MATCH($V$3&amp;"#"&amp;ROWS(W$4:W10),发票统计!$W$4:$W$1003,0),""))</f>
        <v>13</v>
      </c>
    </row>
    <row r="11" customFormat="false" ht="16.5" hidden="false" customHeight="false" outlineLevel="0" collapsed="false">
      <c r="A11" s="3" t="str">
        <f aca="false">IF($W11="","",INDEX(发票统计!A$4:A$1003,$W11)&amp;"")</f>
        <v>合川瑞翔</v>
      </c>
      <c r="B11" s="3" t="str">
        <f aca="false">IF($W11="","",INDEX(发票统计!B$4:B$1003,$W11)&amp;"")</f>
        <v>7月</v>
      </c>
      <c r="C11" s="3" t="str">
        <f aca="false">IF($W11="","",INDEX(发票统计!C$4:C$1003,$W11)&amp;"")</f>
        <v>高新区厂房及配套设施提质改造项目开票到瑞翔厂区电力土建(管廊)建设工程</v>
      </c>
      <c r="D11" s="3" t="str">
        <f aca="false">IF($W11="","",INDEX(发票统计!D$4:D$1003,$W11)&amp;"")</f>
        <v>2026.7.7号收到新德润打款给胡崇文：瑞翔厂区电力</v>
      </c>
      <c r="E11" s="67" t="str">
        <f aca="false">IF($W11="","",INDEX(发票统计!E$4:E$1003,$W11)&amp;"")</f>
        <v>新德润</v>
      </c>
      <c r="F11" s="68" t="str">
        <f aca="false">IF($W11="","",INDEX(发票统计!F$4:F$1003,$W11)&amp;"")</f>
        <v/>
      </c>
      <c r="G11" s="68" t="str">
        <f aca="false">IF($W11="","",IF(INDEX(发票统计!G$4:G$1003,$W11)="","",INDEX(发票统计!G$4:G$1003,$W11)))</f>
        <v/>
      </c>
      <c r="H11" s="56" t="n">
        <f aca="false">IF($W11="","",N(INDEX(发票统计!H$4:H$1003,$W11)))</f>
        <v>0</v>
      </c>
      <c r="I11" s="56" t="n">
        <f aca="false">IF($W11="","",N(INDEX(发票统计!I$4:I$1003,$W11)))</f>
        <v>0</v>
      </c>
      <c r="J11" s="56" t="n">
        <f aca="false">IF($W11="","",N(INDEX(发票统计!J$4:J$1003,$W11)))</f>
        <v>0</v>
      </c>
      <c r="K11" s="56" t="n">
        <f aca="false">IF($W11="","",N(INDEX(发票统计!K$4:K$1003,$W11)))</f>
        <v>0</v>
      </c>
      <c r="L11" s="56" t="n">
        <f aca="false">IF($W11="","",SUM(J$4:J11)-SUM(K$4:K11))</f>
        <v>0</v>
      </c>
      <c r="M11" s="56" t="n">
        <f aca="false">IF($W11="","",N(INDEX(发票统计!M$4:M$1003,$W11)))</f>
        <v>0</v>
      </c>
      <c r="N11" s="56" t="n">
        <f aca="false">IF($W11="","",N(INDEX(发票统计!N$4:N$1003,$W11)))</f>
        <v>0</v>
      </c>
      <c r="O11" s="56" t="n">
        <f aca="false">IF($W11="","",N(INDEX(发票统计!O$4:O$1003,$W11)))</f>
        <v>49800</v>
      </c>
      <c r="P11" s="56" t="n">
        <f aca="false">IF($W11="","",SUM(M$4:M11)-SUM(N$4:N11)-SUM(O$4:O11))</f>
        <v>0</v>
      </c>
      <c r="Q11" s="56" t="n">
        <f aca="false">IF($W11="","",N(INDEX(发票统计!Q$4:Q$1003,$W11)))</f>
        <v>0</v>
      </c>
      <c r="R11" s="56" t="n">
        <f aca="false">IF($W11="","",N(INDEX(发票统计!R$4:R$1003,$W11)))</f>
        <v>0</v>
      </c>
      <c r="S11" s="56" t="n">
        <f aca="false">IF($W11="","",N(INDEX(发票统计!S$4:S$1003,$W11)))</f>
        <v>0</v>
      </c>
      <c r="T11" s="56" t="n">
        <f aca="false">IF($W11="","",SUM(Q$4:Q11)-SUM(R$4:R11)-SUM(S$4:S11))</f>
        <v>0</v>
      </c>
      <c r="U11" s="56" t="str">
        <f aca="false">IF($W11="","",INDEX(发票统计!U$4:U$1003,$W11)&amp;"")</f>
        <v/>
      </c>
      <c r="W11" s="1" t="n">
        <f aca="false">IF($V$3="","",IFERROR(MATCH($V$3&amp;"#"&amp;ROWS(W$4:W11),发票统计!$W$4:$W$1003,0),""))</f>
        <v>14</v>
      </c>
    </row>
    <row r="12" customFormat="false" ht="16.5" hidden="false" customHeight="false" outlineLevel="0" collapsed="false">
      <c r="A12" s="3" t="str">
        <f aca="false">IF($W12="","",INDEX(发票统计!A$4:A$1003,$W12)&amp;"")</f>
        <v>合川瑞翔</v>
      </c>
      <c r="B12" s="3" t="str">
        <f aca="false">IF($W12="","",INDEX(发票统计!B$4:B$1003,$W12)&amp;"")</f>
        <v>7月</v>
      </c>
      <c r="C12" s="3" t="str">
        <f aca="false">IF($W12="","",INDEX(发票统计!C$4:C$1003,$W12)&amp;"")</f>
        <v>高新区厂房及配套设施提质改造项目开票到瑞翔厂区电力土建(管廊)建设工程</v>
      </c>
      <c r="D12" s="3" t="str">
        <f aca="false">IF($W12="","",INDEX(发票统计!D$4:D$1003,$W12)&amp;"")</f>
        <v>2026.7.13小溪建材开票到新德润：瑞翔厂区电力土建</v>
      </c>
      <c r="E12" s="67" t="str">
        <f aca="false">IF($W12="","",INDEX(发票统计!E$4:E$1003,$W12)&amp;"")</f>
        <v>新德润</v>
      </c>
      <c r="F12" s="68" t="str">
        <f aca="false">IF($W12="","",INDEX(发票统计!F$4:F$1003,$W12)&amp;"")</f>
        <v>13%专票</v>
      </c>
      <c r="G12" s="68" t="str">
        <f aca="false">IF($W12="","",IF(INDEX(发票统计!G$4:G$1003,$W12)="","",INDEX(发票统计!G$4:G$1003,$W12)))</f>
        <v/>
      </c>
      <c r="H12" s="56" t="n">
        <f aca="false">IF($W12="","",N(INDEX(发票统计!H$4:H$1003,$W12)))</f>
        <v>50220</v>
      </c>
      <c r="I12" s="56" t="n">
        <f aca="false">IF($W12="","",N(INDEX(发票统计!I$4:I$1003,$W12)))</f>
        <v>0</v>
      </c>
      <c r="J12" s="56" t="n">
        <f aca="false">IF($W12="","",N(INDEX(发票统计!J$4:J$1003,$W12)))</f>
        <v>50220</v>
      </c>
      <c r="K12" s="56" t="n">
        <f aca="false">IF($W12="","",N(INDEX(发票统计!K$4:K$1003,$W12)))</f>
        <v>50220</v>
      </c>
      <c r="L12" s="56" t="n">
        <f aca="false">IF($W12="","",SUM(J$4:J12)-SUM(K$4:K12))</f>
        <v>0</v>
      </c>
      <c r="M12" s="56" t="n">
        <f aca="false">IF($W12="","",N(INDEX(发票统计!M$4:M$1003,$W12)))</f>
        <v>50220</v>
      </c>
      <c r="N12" s="56" t="n">
        <f aca="false">IF($W12="","",N(INDEX(发票统计!N$4:N$1003,$W12)))</f>
        <v>0</v>
      </c>
      <c r="O12" s="56" t="n">
        <f aca="false">IF($W12="","",N(INDEX(发票统计!O$4:O$1003,$W12)))</f>
        <v>0</v>
      </c>
      <c r="P12" s="56" t="n">
        <f aca="false">IF($W12="","",SUM(M$4:M12)-SUM(N$4:N12)-SUM(O$4:O12))</f>
        <v>50220</v>
      </c>
      <c r="Q12" s="56" t="n">
        <f aca="false">IF($W12="","",N(INDEX(发票统计!Q$4:Q$1003,$W12)))</f>
        <v>0</v>
      </c>
      <c r="R12" s="56" t="n">
        <f aca="false">IF($W12="","",N(INDEX(发票统计!R$4:R$1003,$W12)))</f>
        <v>0</v>
      </c>
      <c r="S12" s="56" t="n">
        <f aca="false">IF($W12="","",N(INDEX(发票统计!S$4:S$1003,$W12)))</f>
        <v>0</v>
      </c>
      <c r="T12" s="56" t="n">
        <f aca="false">IF($W12="","",SUM(Q$4:Q12)-SUM(R$4:R12)-SUM(S$4:S12))</f>
        <v>0</v>
      </c>
      <c r="U12" s="56" t="str">
        <f aca="false">IF($W12="","",INDEX(发票统计!U$4:U$1003,$W12)&amp;"")</f>
        <v/>
      </c>
      <c r="W12" s="1" t="n">
        <f aca="false">IF($V$3="","",IFERROR(MATCH($V$3&amp;"#"&amp;ROWS(W$4:W12),发票统计!$W$4:$W$1003,0),""))</f>
        <v>15</v>
      </c>
    </row>
    <row r="13" customFormat="false" ht="16.5" hidden="false" customHeight="false" outlineLevel="0" collapsed="false">
      <c r="A13" s="3" t="str">
        <f aca="false">IF($W13="","",INDEX(发票统计!A$4:A$1003,$W13)&amp;"")</f>
        <v>合川瑞翔</v>
      </c>
      <c r="B13" s="3" t="str">
        <f aca="false">IF($W13="","",INDEX(发票统计!B$4:B$1003,$W13)&amp;"")</f>
        <v>7月</v>
      </c>
      <c r="C13" s="3" t="str">
        <f aca="false">IF($W13="","",INDEX(发票统计!C$4:C$1003,$W13)&amp;"")</f>
        <v>高新区厂房及配套设施提质改造项目开票到瑞翔厂区电力土建(管廊)建设工程</v>
      </c>
      <c r="D13" s="3" t="str">
        <f aca="false">IF($W13="","",INDEX(发票统计!D$4:D$1003,$W13)&amp;"")</f>
        <v>2026.7.15小溪建材收到新德润打款：瑞翔厂区电力</v>
      </c>
      <c r="E13" s="67" t="str">
        <f aca="false">IF($W13="","",INDEX(发票统计!E$4:E$1003,$W13)&amp;"")</f>
        <v>新德润</v>
      </c>
      <c r="F13" s="68" t="str">
        <f aca="false">IF($W13="","",INDEX(发票统计!F$4:F$1003,$W13)&amp;"")</f>
        <v/>
      </c>
      <c r="G13" s="68" t="str">
        <f aca="false">IF($W13="","",IF(INDEX(发票统计!G$4:G$1003,$W13)="","",INDEX(发票统计!G$4:G$1003,$W13)))</f>
        <v/>
      </c>
      <c r="H13" s="56" t="n">
        <f aca="false">IF($W13="","",N(INDEX(发票统计!H$4:H$1003,$W13)))</f>
        <v>0</v>
      </c>
      <c r="I13" s="56" t="n">
        <f aca="false">IF($W13="","",N(INDEX(发票统计!I$4:I$1003,$W13)))</f>
        <v>0</v>
      </c>
      <c r="J13" s="56" t="n">
        <f aca="false">IF($W13="","",N(INDEX(发票统计!J$4:J$1003,$W13)))</f>
        <v>0</v>
      </c>
      <c r="K13" s="56" t="n">
        <f aca="false">IF($W13="","",N(INDEX(发票统计!K$4:K$1003,$W13)))</f>
        <v>0</v>
      </c>
      <c r="L13" s="56" t="n">
        <f aca="false">IF($W13="","",SUM(J$4:J13)-SUM(K$4:K13))</f>
        <v>0</v>
      </c>
      <c r="M13" s="56" t="n">
        <f aca="false">IF($W13="","",N(INDEX(发票统计!M$4:M$1003,$W13)))</f>
        <v>0</v>
      </c>
      <c r="N13" s="56" t="n">
        <f aca="false">IF($W13="","",N(INDEX(发票统计!N$4:N$1003,$W13)))</f>
        <v>0</v>
      </c>
      <c r="O13" s="56" t="n">
        <f aca="false">IF($W13="","",N(INDEX(发票统计!O$4:O$1003,$W13)))</f>
        <v>50220</v>
      </c>
      <c r="P13" s="56" t="n">
        <f aca="false">IF($W13="","",SUM(M$4:M13)-SUM(N$4:N13)-SUM(O$4:O13))</f>
        <v>0</v>
      </c>
      <c r="Q13" s="56" t="n">
        <f aca="false">IF($W13="","",N(INDEX(发票统计!Q$4:Q$1003,$W13)))</f>
        <v>0</v>
      </c>
      <c r="R13" s="56" t="n">
        <f aca="false">IF($W13="","",N(INDEX(发票统计!R$4:R$1003,$W13)))</f>
        <v>0</v>
      </c>
      <c r="S13" s="56" t="n">
        <f aca="false">IF($W13="","",N(INDEX(发票统计!S$4:S$1003,$W13)))</f>
        <v>0</v>
      </c>
      <c r="T13" s="56" t="n">
        <f aca="false">IF($W13="","",SUM(Q$4:Q13)-SUM(R$4:R13)-SUM(S$4:S13))</f>
        <v>0</v>
      </c>
      <c r="U13" s="56" t="str">
        <f aca="false">IF($W13="","",INDEX(发票统计!U$4:U$1003,$W13)&amp;"")</f>
        <v/>
      </c>
      <c r="W13" s="1" t="n">
        <f aca="false">IF($V$3="","",IFERROR(MATCH($V$3&amp;"#"&amp;ROWS(W$4:W13),发票统计!$W$4:$W$1003,0),""))</f>
        <v>16</v>
      </c>
    </row>
    <row r="14" customFormat="false" ht="16.5" hidden="false" customHeight="false" outlineLevel="0" collapsed="false">
      <c r="A14" s="3" t="str">
        <f aca="false">IF($W14="","",INDEX(发票统计!A$4:A$1003,$W14)&amp;"")</f>
        <v>合川瑞翔</v>
      </c>
      <c r="B14" s="3" t="str">
        <f aca="false">IF($W14="","",INDEX(发票统计!B$4:B$1003,$W14)&amp;"")</f>
        <v>7月</v>
      </c>
      <c r="C14" s="3" t="str">
        <f aca="false">IF($W14="","",INDEX(发票统计!C$4:C$1003,$W14)&amp;"")</f>
        <v>高新区厂房及配套设施提质改造项目开票到瑞翔厂区电力土建(管廊)建设工程</v>
      </c>
      <c r="D14" s="3" t="str">
        <f aca="false">IF($W14="","",INDEX(发票统计!D$4:D$1003,$W14)&amp;"")</f>
        <v>2026.7.13旭承机械开票到新德润：瑞翔厂区电力土建</v>
      </c>
      <c r="E14" s="67" t="str">
        <f aca="false">IF($W14="","",INDEX(发票统计!E$4:E$1003,$W14)&amp;"")</f>
        <v>新德润</v>
      </c>
      <c r="F14" s="68" t="str">
        <f aca="false">IF($W14="","",INDEX(发票统计!F$4:F$1003,$W14)&amp;"")</f>
        <v>1%普票</v>
      </c>
      <c r="G14" s="68" t="str">
        <f aca="false">IF($W14="","",IF(INDEX(发票统计!G$4:G$1003,$W14)="","",INDEX(发票统计!G$4:G$1003,$W14)))</f>
        <v/>
      </c>
      <c r="H14" s="56" t="n">
        <f aca="false">IF($W14="","",N(INDEX(发票统计!H$4:H$1003,$W14)))</f>
        <v>100000</v>
      </c>
      <c r="I14" s="56" t="n">
        <f aca="false">IF($W14="","",N(INDEX(发票统计!I$4:I$1003,$W14)))</f>
        <v>0</v>
      </c>
      <c r="J14" s="56" t="n">
        <f aca="false">IF($W14="","",N(INDEX(发票统计!J$4:J$1003,$W14)))</f>
        <v>100000</v>
      </c>
      <c r="K14" s="56" t="n">
        <f aca="false">IF($W14="","",N(INDEX(发票统计!K$4:K$1003,$W14)))</f>
        <v>100000</v>
      </c>
      <c r="L14" s="56" t="n">
        <f aca="false">IF($W14="","",SUM(J$4:J14)-SUM(K$4:K14))</f>
        <v>0</v>
      </c>
      <c r="M14" s="56" t="n">
        <f aca="false">IF($W14="","",N(INDEX(发票统计!M$4:M$1003,$W14)))</f>
        <v>100000</v>
      </c>
      <c r="N14" s="56" t="n">
        <f aca="false">IF($W14="","",N(INDEX(发票统计!N$4:N$1003,$W14)))</f>
        <v>0</v>
      </c>
      <c r="O14" s="56" t="n">
        <f aca="false">IF($W14="","",N(INDEX(发票统计!O$4:O$1003,$W14)))</f>
        <v>0</v>
      </c>
      <c r="P14" s="56" t="n">
        <f aca="false">IF($W14="","",SUM(M$4:M14)-SUM(N$4:N14)-SUM(O$4:O14))</f>
        <v>100000</v>
      </c>
      <c r="Q14" s="56" t="n">
        <f aca="false">IF($W14="","",N(INDEX(发票统计!Q$4:Q$1003,$W14)))</f>
        <v>0</v>
      </c>
      <c r="R14" s="56" t="n">
        <f aca="false">IF($W14="","",N(INDEX(发票统计!R$4:R$1003,$W14)))</f>
        <v>0</v>
      </c>
      <c r="S14" s="56" t="n">
        <f aca="false">IF($W14="","",N(INDEX(发票统计!S$4:S$1003,$W14)))</f>
        <v>0</v>
      </c>
      <c r="T14" s="56" t="n">
        <f aca="false">IF($W14="","",SUM(Q$4:Q14)-SUM(R$4:R14)-SUM(S$4:S14))</f>
        <v>0</v>
      </c>
      <c r="U14" s="56" t="str">
        <f aca="false">IF($W14="","",INDEX(发票统计!U$4:U$1003,$W14)&amp;"")</f>
        <v/>
      </c>
      <c r="W14" s="1" t="n">
        <f aca="false">IF($V$3="","",IFERROR(MATCH($V$3&amp;"#"&amp;ROWS(W$4:W14),发票统计!$W$4:$W$1003,0),""))</f>
        <v>17</v>
      </c>
    </row>
    <row r="15" customFormat="false" ht="16.5" hidden="false" customHeight="false" outlineLevel="0" collapsed="false">
      <c r="A15" s="3" t="str">
        <f aca="false">IF($W15="","",INDEX(发票统计!A$4:A$1003,$W15)&amp;"")</f>
        <v>合川瑞翔</v>
      </c>
      <c r="B15" s="3" t="str">
        <f aca="false">IF($W15="","",INDEX(发票统计!B$4:B$1003,$W15)&amp;"")</f>
        <v>7月</v>
      </c>
      <c r="C15" s="3" t="str">
        <f aca="false">IF($W15="","",INDEX(发票统计!C$4:C$1003,$W15)&amp;"")</f>
        <v>高新区厂房及配套设施提质改造项目开票到瑞翔厂区电力土建(管廊)建设工程</v>
      </c>
      <c r="D15" s="3" t="str">
        <f aca="false">IF($W15="","",INDEX(发票统计!D$4:D$1003,$W15)&amp;"")</f>
        <v>2026.7.15旭承机械收到新德润打款：瑞翔厂区电力土建</v>
      </c>
      <c r="E15" s="67" t="str">
        <f aca="false">IF($W15="","",INDEX(发票统计!E$4:E$1003,$W15)&amp;"")</f>
        <v>新德润</v>
      </c>
      <c r="F15" s="68" t="str">
        <f aca="false">IF($W15="","",INDEX(发票统计!F$4:F$1003,$W15)&amp;"")</f>
        <v/>
      </c>
      <c r="G15" s="68" t="str">
        <f aca="false">IF($W15="","",IF(INDEX(发票统计!G$4:G$1003,$W15)="","",INDEX(发票统计!G$4:G$1003,$W15)))</f>
        <v/>
      </c>
      <c r="H15" s="56" t="n">
        <f aca="false">IF($W15="","",N(INDEX(发票统计!H$4:H$1003,$W15)))</f>
        <v>0</v>
      </c>
      <c r="I15" s="56" t="n">
        <f aca="false">IF($W15="","",N(INDEX(发票统计!I$4:I$1003,$W15)))</f>
        <v>0</v>
      </c>
      <c r="J15" s="56" t="n">
        <f aca="false">IF($W15="","",N(INDEX(发票统计!J$4:J$1003,$W15)))</f>
        <v>0</v>
      </c>
      <c r="K15" s="56" t="n">
        <f aca="false">IF($W15="","",N(INDEX(发票统计!K$4:K$1003,$W15)))</f>
        <v>0</v>
      </c>
      <c r="L15" s="56" t="n">
        <f aca="false">IF($W15="","",SUM(J$4:J15)-SUM(K$4:K15))</f>
        <v>0</v>
      </c>
      <c r="M15" s="56" t="n">
        <f aca="false">IF($W15="","",N(INDEX(发票统计!M$4:M$1003,$W15)))</f>
        <v>0</v>
      </c>
      <c r="N15" s="56" t="n">
        <f aca="false">IF($W15="","",N(INDEX(发票统计!N$4:N$1003,$W15)))</f>
        <v>0</v>
      </c>
      <c r="O15" s="56" t="n">
        <f aca="false">IF($W15="","",N(INDEX(发票统计!O$4:O$1003,$W15)))</f>
        <v>100000</v>
      </c>
      <c r="P15" s="56" t="n">
        <f aca="false">IF($W15="","",SUM(M$4:M15)-SUM(N$4:N15)-SUM(O$4:O15))</f>
        <v>0</v>
      </c>
      <c r="Q15" s="56" t="n">
        <f aca="false">IF($W15="","",N(INDEX(发票统计!Q$4:Q$1003,$W15)))</f>
        <v>0</v>
      </c>
      <c r="R15" s="56" t="n">
        <f aca="false">IF($W15="","",N(INDEX(发票统计!R$4:R$1003,$W15)))</f>
        <v>0</v>
      </c>
      <c r="S15" s="56" t="n">
        <f aca="false">IF($W15="","",N(INDEX(发票统计!S$4:S$1003,$W15)))</f>
        <v>0</v>
      </c>
      <c r="T15" s="56" t="n">
        <f aca="false">IF($W15="","",SUM(Q$4:Q15)-SUM(R$4:R15)-SUM(S$4:S15))</f>
        <v>0</v>
      </c>
      <c r="U15" s="56" t="str">
        <f aca="false">IF($W15="","",INDEX(发票统计!U$4:U$1003,$W15)&amp;"")</f>
        <v/>
      </c>
      <c r="W15" s="1" t="n">
        <f aca="false">IF($V$3="","",IFERROR(MATCH($V$3&amp;"#"&amp;ROWS(W$4:W15),发票统计!$W$4:$W$1003,0),""))</f>
        <v>18</v>
      </c>
    </row>
    <row r="16" customFormat="false" ht="16.5" hidden="false" customHeight="false" outlineLevel="0" collapsed="false">
      <c r="A16" s="3" t="str">
        <f aca="false">IF($W16="","",INDEX(发票统计!A$4:A$1003,$W16)&amp;"")</f>
        <v>合川瑞翔</v>
      </c>
      <c r="B16" s="3" t="str">
        <f aca="false">IF($W16="","",INDEX(发票统计!B$4:B$1003,$W16)&amp;"")</f>
        <v>7月</v>
      </c>
      <c r="C16" s="3" t="str">
        <f aca="false">IF($W16="","",INDEX(发票统计!C$4:C$1003,$W16)&amp;"")</f>
        <v>高新区厂房及配套设施提质改造项目开票到瑞翔厂区电力土建(管廊)建设工程</v>
      </c>
      <c r="D16" s="3" t="str">
        <f aca="false">IF($W16="","",INDEX(发票统计!D$4:D$1003,$W16)&amp;"")</f>
        <v>2026.7.14凯樽物资开票到新德润：瑞翔厂区电力土建</v>
      </c>
      <c r="E16" s="67" t="str">
        <f aca="false">IF($W16="","",INDEX(发票统计!E$4:E$1003,$W16)&amp;"")</f>
        <v>新德润</v>
      </c>
      <c r="F16" s="67" t="str">
        <f aca="false">IF($W16="","",INDEX(发票统计!F$4:F$1003,$W16)&amp;"")</f>
        <v>13%专票</v>
      </c>
      <c r="G16" s="68" t="str">
        <f aca="false">IF($W16="","",IF(INDEX(发票统计!G$4:G$1003,$W16)="","",INDEX(发票统计!G$4:G$1003,$W16)))</f>
        <v/>
      </c>
      <c r="H16" s="56" t="n">
        <f aca="false">IF($W16="","",N(INDEX(发票统计!H$4:H$1003,$W16)))</f>
        <v>49780</v>
      </c>
      <c r="I16" s="56" t="n">
        <f aca="false">IF($W16="","",N(INDEX(发票统计!I$4:I$1003,$W16)))</f>
        <v>0</v>
      </c>
      <c r="J16" s="56" t="n">
        <f aca="false">IF($W16="","",N(INDEX(发票统计!J$4:J$1003,$W16)))</f>
        <v>49780</v>
      </c>
      <c r="K16" s="56" t="n">
        <f aca="false">IF($W16="","",N(INDEX(发票统计!K$4:K$1003,$W16)))</f>
        <v>49780</v>
      </c>
      <c r="L16" s="56" t="n">
        <f aca="false">IF($W16="","",SUM(J$4:J16)-SUM(K$4:K16))</f>
        <v>0</v>
      </c>
      <c r="M16" s="56" t="n">
        <f aca="false">IF($W16="","",N(INDEX(发票统计!M$4:M$1003,$W16)))</f>
        <v>49780</v>
      </c>
      <c r="N16" s="56" t="n">
        <f aca="false">IF($W16="","",N(INDEX(发票统计!N$4:N$1003,$W16)))</f>
        <v>0</v>
      </c>
      <c r="O16" s="56" t="n">
        <f aca="false">IF($W16="","",N(INDEX(发票统计!O$4:O$1003,$W16)))</f>
        <v>0</v>
      </c>
      <c r="P16" s="56" t="n">
        <f aca="false">IF($W16="","",SUM(M$4:M16)-SUM(N$4:N16)-SUM(O$4:O16))</f>
        <v>49780</v>
      </c>
      <c r="Q16" s="56" t="n">
        <f aca="false">IF($W16="","",N(INDEX(发票统计!Q$4:Q$1003,$W16)))</f>
        <v>0</v>
      </c>
      <c r="R16" s="56" t="n">
        <f aca="false">IF($W16="","",N(INDEX(发票统计!R$4:R$1003,$W16)))</f>
        <v>0</v>
      </c>
      <c r="S16" s="56" t="n">
        <f aca="false">IF($W16="","",N(INDEX(发票统计!S$4:S$1003,$W16)))</f>
        <v>0</v>
      </c>
      <c r="T16" s="56" t="n">
        <f aca="false">IF($W16="","",SUM(Q$4:Q16)-SUM(R$4:R16)-SUM(S$4:S16))</f>
        <v>0</v>
      </c>
      <c r="U16" s="56" t="str">
        <f aca="false">IF($W16="","",INDEX(发票统计!U$4:U$1003,$W16)&amp;"")</f>
        <v/>
      </c>
      <c r="W16" s="1" t="n">
        <f aca="false">IF($V$3="","",IFERROR(MATCH($V$3&amp;"#"&amp;ROWS(W$4:W16),发票统计!$W$4:$W$1003,0),""))</f>
        <v>19</v>
      </c>
    </row>
    <row r="17" customFormat="false" ht="16.5" hidden="false" customHeight="false" outlineLevel="0" collapsed="false">
      <c r="A17" s="3" t="str">
        <f aca="false">IF($W17="","",INDEX(发票统计!A$4:A$1003,$W17)&amp;"")</f>
        <v>合川瑞翔</v>
      </c>
      <c r="B17" s="3" t="str">
        <f aca="false">IF($W17="","",INDEX(发票统计!B$4:B$1003,$W17)&amp;"")</f>
        <v>7月</v>
      </c>
      <c r="C17" s="3" t="str">
        <f aca="false">IF($W17="","",INDEX(发票统计!C$4:C$1003,$W17)&amp;"")</f>
        <v>高新区厂房及配套设施提质改造项目开票到瑞翔厂区电力土建(管廊)建设工程</v>
      </c>
      <c r="D17" s="3" t="str">
        <f aca="false">IF($W17="","",INDEX(发票统计!D$4:D$1003,$W17)&amp;"")</f>
        <v>2026.7.15凯樽物资收到新德润打款：瑞翔厂区电力土建</v>
      </c>
      <c r="E17" s="67" t="str">
        <f aca="false">IF($W17="","",INDEX(发票统计!E$4:E$1003,$W17)&amp;"")</f>
        <v>新德润</v>
      </c>
      <c r="F17" s="67" t="str">
        <f aca="false">IF($W17="","",INDEX(发票统计!F$4:F$1003,$W17)&amp;"")</f>
        <v/>
      </c>
      <c r="G17" s="68" t="str">
        <f aca="false">IF($W17="","",IF(INDEX(发票统计!G$4:G$1003,$W17)="","",INDEX(发票统计!G$4:G$1003,$W17)))</f>
        <v/>
      </c>
      <c r="H17" s="56" t="n">
        <f aca="false">IF($W17="","",N(INDEX(发票统计!H$4:H$1003,$W17)))</f>
        <v>0</v>
      </c>
      <c r="I17" s="56" t="n">
        <f aca="false">IF($W17="","",N(INDEX(发票统计!I$4:I$1003,$W17)))</f>
        <v>0</v>
      </c>
      <c r="J17" s="56" t="n">
        <f aca="false">IF($W17="","",N(INDEX(发票统计!J$4:J$1003,$W17)))</f>
        <v>0</v>
      </c>
      <c r="K17" s="56" t="n">
        <f aca="false">IF($W17="","",N(INDEX(发票统计!K$4:K$1003,$W17)))</f>
        <v>0</v>
      </c>
      <c r="L17" s="56" t="n">
        <f aca="false">IF($W17="","",SUM(J$4:J17)-SUM(K$4:K17))</f>
        <v>0</v>
      </c>
      <c r="M17" s="56" t="n">
        <f aca="false">IF($W17="","",N(INDEX(发票统计!M$4:M$1003,$W17)))</f>
        <v>0</v>
      </c>
      <c r="N17" s="56" t="n">
        <f aca="false">IF($W17="","",N(INDEX(发票统计!N$4:N$1003,$W17)))</f>
        <v>0</v>
      </c>
      <c r="O17" s="56" t="n">
        <f aca="false">IF($W17="","",N(INDEX(发票统计!O$4:O$1003,$W17)))</f>
        <v>49780</v>
      </c>
      <c r="P17" s="56" t="n">
        <f aca="false">IF($W17="","",SUM(M$4:M17)-SUM(N$4:N17)-SUM(O$4:O17))</f>
        <v>0</v>
      </c>
      <c r="Q17" s="56" t="n">
        <f aca="false">IF($W17="","",N(INDEX(发票统计!Q$4:Q$1003,$W17)))</f>
        <v>0</v>
      </c>
      <c r="R17" s="56" t="n">
        <f aca="false">IF($W17="","",N(INDEX(发票统计!R$4:R$1003,$W17)))</f>
        <v>0</v>
      </c>
      <c r="S17" s="56" t="n">
        <f aca="false">IF($W17="","",N(INDEX(发票统计!S$4:S$1003,$W17)))</f>
        <v>0</v>
      </c>
      <c r="T17" s="56" t="n">
        <f aca="false">IF($W17="","",SUM(Q$4:Q17)-SUM(R$4:R17)-SUM(S$4:S17))</f>
        <v>0</v>
      </c>
      <c r="U17" s="56" t="str">
        <f aca="false">IF($W17="","",INDEX(发票统计!U$4:U$1003,$W17)&amp;"")</f>
        <v/>
      </c>
      <c r="W17" s="1" t="n">
        <f aca="false">IF($V$3="","",IFERROR(MATCH($V$3&amp;"#"&amp;ROWS(W$4:W17),发票统计!$W$4:$W$1003,0),""))</f>
        <v>20</v>
      </c>
    </row>
    <row r="18" customFormat="false" ht="16.5" hidden="false" customHeight="false" outlineLevel="0" collapsed="false">
      <c r="A18" s="3" t="str">
        <f aca="false">IF($W18="","",INDEX(发票统计!A$4:A$1003,$W18)&amp;"")</f>
        <v>合川瑞翔</v>
      </c>
      <c r="B18" s="3" t="str">
        <f aca="false">IF($W18="","",INDEX(发票统计!B$4:B$1003,$W18)&amp;"")</f>
        <v>9月</v>
      </c>
      <c r="C18" s="3" t="str">
        <f aca="false">IF($W18="","",INDEX(发票统计!C$4:C$1003,$W18)&amp;"")</f>
        <v>高新区厂房及配套设施提质改造项目开票到瑞翔厂区电力土建(管廊)建设工程</v>
      </c>
      <c r="D18" s="3" t="str">
        <f aca="false">IF($W18="","",INDEX(发票统计!D$4:D$1003,$W18)&amp;"")</f>
        <v>2026.9.14新德润代胡崇文支付宜宾翠屏货款：42800-39473.83=3326.17</v>
      </c>
      <c r="E18" s="67" t="str">
        <f aca="false">IF($W18="","",INDEX(发票统计!E$4:E$1003,$W18)&amp;"")</f>
        <v>新德润</v>
      </c>
      <c r="F18" s="67" t="str">
        <f aca="false">IF($W18="","",INDEX(发票统计!F$4:F$1003,$W18)&amp;"")</f>
        <v/>
      </c>
      <c r="G18" s="68" t="str">
        <f aca="false">IF($W18="","",IF(INDEX(发票统计!G$4:G$1003,$W18)="","",INDEX(发票统计!G$4:G$1003,$W18)))</f>
        <v/>
      </c>
      <c r="H18" s="56" t="n">
        <f aca="false">IF($W18="","",N(INDEX(发票统计!H$4:H$1003,$W18)))</f>
        <v>0</v>
      </c>
      <c r="I18" s="56" t="n">
        <f aca="false">IF($W18="","",N(INDEX(发票统计!I$4:I$1003,$W18)))</f>
        <v>0</v>
      </c>
      <c r="J18" s="56" t="n">
        <f aca="false">IF($W18="","",N(INDEX(发票统计!J$4:J$1003,$W18)))</f>
        <v>0</v>
      </c>
      <c r="K18" s="56" t="n">
        <f aca="false">IF($W18="","",N(INDEX(发票统计!K$4:K$1003,$W18)))</f>
        <v>0</v>
      </c>
      <c r="L18" s="56" t="n">
        <f aca="false">IF($W18="","",SUM(J$4:J18)-SUM(K$4:K18))</f>
        <v>0</v>
      </c>
      <c r="M18" s="56" t="n">
        <f aca="false">IF($W18="","",N(INDEX(发票统计!M$4:M$1003,$W18)))</f>
        <v>0</v>
      </c>
      <c r="N18" s="56" t="n">
        <f aca="false">IF($W18="","",N(INDEX(发票统计!N$4:N$1003,$W18)))</f>
        <v>0</v>
      </c>
      <c r="O18" s="56" t="n">
        <f aca="false">IF($W18="","",N(INDEX(发票统计!O$4:O$1003,$W18)))</f>
        <v>3326.17</v>
      </c>
      <c r="P18" s="56" t="n">
        <f aca="false">IF($W18="","",SUM(M$4:M18)-SUM(N$4:N18)-SUM(O$4:O18))</f>
        <v>-3326.16999999998</v>
      </c>
      <c r="Q18" s="56" t="n">
        <f aca="false">IF($W18="","",N(INDEX(发票统计!Q$4:Q$1003,$W18)))</f>
        <v>0</v>
      </c>
      <c r="R18" s="56" t="n">
        <f aca="false">IF($W18="","",N(INDEX(发票统计!R$4:R$1003,$W18)))</f>
        <v>0</v>
      </c>
      <c r="S18" s="56" t="n">
        <f aca="false">IF($W18="","",N(INDEX(发票统计!S$4:S$1003,$W18)))</f>
        <v>0</v>
      </c>
      <c r="T18" s="56" t="n">
        <f aca="false">IF($W18="","",SUM(Q$4:Q18)-SUM(R$4:R18)-SUM(S$4:S18))</f>
        <v>0</v>
      </c>
      <c r="U18" s="56" t="str">
        <f aca="false">IF($W18="","",INDEX(发票统计!U$4:U$1003,$W18)&amp;"")</f>
        <v/>
      </c>
      <c r="W18" s="1" t="n">
        <f aca="false">IF($V$3="","",IFERROR(MATCH($V$3&amp;"#"&amp;ROWS(W$4:W18),发票统计!$W$4:$W$1003,0),""))</f>
        <v>21</v>
      </c>
    </row>
    <row r="19" customFormat="false" ht="16.5" hidden="false" customHeight="false" outlineLevel="0" collapsed="false">
      <c r="A19" s="3" t="str">
        <f aca="false">IF($W19="","",INDEX(发票统计!A$4:A$1003,$W19)&amp;"")</f>
        <v/>
      </c>
      <c r="B19" s="3" t="str">
        <f aca="false">IF($W19="","",INDEX(发票统计!B$4:B$1003,$W19)&amp;"")</f>
        <v/>
      </c>
      <c r="C19" s="3" t="str">
        <f aca="false">IF($W19="","",INDEX(发票统计!C$4:C$1003,$W19)&amp;"")</f>
        <v/>
      </c>
      <c r="D19" s="3" t="str">
        <f aca="false">IF($W19="","",INDEX(发票统计!D$4:D$1003,$W19)&amp;"")</f>
        <v/>
      </c>
      <c r="E19" s="67" t="str">
        <f aca="false">IF($W19="","",INDEX(发票统计!E$4:E$1003,$W19)&amp;"")</f>
        <v/>
      </c>
      <c r="F19" s="67" t="str">
        <f aca="false">IF($W19="","",INDEX(发票统计!F$4:F$1003,$W19)&amp;"")</f>
        <v/>
      </c>
      <c r="G19" s="68" t="str">
        <f aca="false">IF($W19="","",IF(INDEX(发票统计!G$4:G$1003,$W19)="","",INDEX(发票统计!G$4:G$1003,$W19)))</f>
        <v/>
      </c>
      <c r="H19" s="56" t="str">
        <f aca="false">IF($W19="","",N(INDEX(发票统计!H$4:H$1003,$W19)))</f>
        <v/>
      </c>
      <c r="I19" s="56" t="str">
        <f aca="false">IF($W19="","",N(INDEX(发票统计!I$4:I$1003,$W19)))</f>
        <v/>
      </c>
      <c r="J19" s="56" t="str">
        <f aca="false">IF($W19="","",N(INDEX(发票统计!J$4:J$1003,$W19)))</f>
        <v/>
      </c>
      <c r="K19" s="56" t="str">
        <f aca="false">IF($W19="","",N(INDEX(发票统计!K$4:K$1003,$W19)))</f>
        <v/>
      </c>
      <c r="L19" s="56" t="str">
        <f aca="false">IF($W19="","",SUM(J$4:J19)-SUM(K$4:K19))</f>
        <v/>
      </c>
      <c r="M19" s="56" t="str">
        <f aca="false">IF($W19="","",N(INDEX(发票统计!M$4:M$1003,$W19)))</f>
        <v/>
      </c>
      <c r="N19" s="56" t="str">
        <f aca="false">IF($W19="","",N(INDEX(发票统计!N$4:N$1003,$W19)))</f>
        <v/>
      </c>
      <c r="O19" s="56" t="str">
        <f aca="false">IF($W19="","",N(INDEX(发票统计!O$4:O$1003,$W19)))</f>
        <v/>
      </c>
      <c r="P19" s="56" t="str">
        <f aca="false">IF($W19="","",SUM(M$4:M19)-SUM(N$4:N19)-SUM(O$4:O19))</f>
        <v/>
      </c>
      <c r="Q19" s="56" t="str">
        <f aca="false">IF($W19="","",N(INDEX(发票统计!Q$4:Q$1003,$W19)))</f>
        <v/>
      </c>
      <c r="R19" s="56" t="str">
        <f aca="false">IF($W19="","",N(INDEX(发票统计!R$4:R$1003,$W19)))</f>
        <v/>
      </c>
      <c r="S19" s="56" t="str">
        <f aca="false">IF($W19="","",N(INDEX(发票统计!S$4:S$1003,$W19)))</f>
        <v/>
      </c>
      <c r="T19" s="56" t="str">
        <f aca="false">IF($W19="","",SUM(Q$4:Q19)-SUM(R$4:R19)-SUM(S$4:S19))</f>
        <v/>
      </c>
      <c r="U19" s="56" t="str">
        <f aca="false">IF($W19="","",INDEX(发票统计!U$4:U$1003,$W19)&amp;"")</f>
        <v/>
      </c>
      <c r="W19" s="1" t="str">
        <f aca="false">IF($V$3="","",IFERROR(MATCH($V$3&amp;"#"&amp;ROWS(W$4:W19),发票统计!$W$4:$W$1003,0),""))</f>
        <v/>
      </c>
    </row>
    <row r="20" customFormat="false" ht="16.5" hidden="false" customHeight="false" outlineLevel="0" collapsed="false">
      <c r="A20" s="3" t="str">
        <f aca="false">IF($W20="","",INDEX(发票统计!A$4:A$1003,$W20)&amp;"")</f>
        <v/>
      </c>
      <c r="B20" s="3" t="str">
        <f aca="false">IF($W20="","",INDEX(发票统计!B$4:B$1003,$W20)&amp;"")</f>
        <v/>
      </c>
      <c r="C20" s="3" t="str">
        <f aca="false">IF($W20="","",INDEX(发票统计!C$4:C$1003,$W20)&amp;"")</f>
        <v/>
      </c>
      <c r="D20" s="3" t="str">
        <f aca="false">IF($W20="","",INDEX(发票统计!D$4:D$1003,$W20)&amp;"")</f>
        <v/>
      </c>
      <c r="E20" s="67" t="str">
        <f aca="false">IF($W20="","",INDEX(发票统计!E$4:E$1003,$W20)&amp;"")</f>
        <v/>
      </c>
      <c r="F20" s="67" t="str">
        <f aca="false">IF($W20="","",INDEX(发票统计!F$4:F$1003,$W20)&amp;"")</f>
        <v/>
      </c>
      <c r="G20" s="68" t="str">
        <f aca="false">IF($W20="","",IF(INDEX(发票统计!G$4:G$1003,$W20)="","",INDEX(发票统计!G$4:G$1003,$W20)))</f>
        <v/>
      </c>
      <c r="H20" s="56" t="str">
        <f aca="false">IF($W20="","",N(INDEX(发票统计!H$4:H$1003,$W20)))</f>
        <v/>
      </c>
      <c r="I20" s="56" t="str">
        <f aca="false">IF($W20="","",N(INDEX(发票统计!I$4:I$1003,$W20)))</f>
        <v/>
      </c>
      <c r="J20" s="56" t="str">
        <f aca="false">IF($W20="","",N(INDEX(发票统计!J$4:J$1003,$W20)))</f>
        <v/>
      </c>
      <c r="K20" s="56" t="str">
        <f aca="false">IF($W20="","",N(INDEX(发票统计!K$4:K$1003,$W20)))</f>
        <v/>
      </c>
      <c r="L20" s="56" t="str">
        <f aca="false">IF($W20="","",SUM(J$4:J20)-SUM(K$4:K20))</f>
        <v/>
      </c>
      <c r="M20" s="56" t="str">
        <f aca="false">IF($W20="","",N(INDEX(发票统计!M$4:M$1003,$W20)))</f>
        <v/>
      </c>
      <c r="N20" s="56" t="str">
        <f aca="false">IF($W20="","",N(INDEX(发票统计!N$4:N$1003,$W20)))</f>
        <v/>
      </c>
      <c r="O20" s="56" t="str">
        <f aca="false">IF($W20="","",N(INDEX(发票统计!O$4:O$1003,$W20)))</f>
        <v/>
      </c>
      <c r="P20" s="56" t="str">
        <f aca="false">IF($W20="","",SUM(M$4:M20)-SUM(N$4:N20)-SUM(O$4:O20))</f>
        <v/>
      </c>
      <c r="Q20" s="56" t="str">
        <f aca="false">IF($W20="","",N(INDEX(发票统计!Q$4:Q$1003,$W20)))</f>
        <v/>
      </c>
      <c r="R20" s="56" t="str">
        <f aca="false">IF($W20="","",N(INDEX(发票统计!R$4:R$1003,$W20)))</f>
        <v/>
      </c>
      <c r="S20" s="56" t="str">
        <f aca="false">IF($W20="","",N(INDEX(发票统计!S$4:S$1003,$W20)))</f>
        <v/>
      </c>
      <c r="T20" s="56" t="str">
        <f aca="false">IF($W20="","",SUM(Q$4:Q20)-SUM(R$4:R20)-SUM(S$4:S20))</f>
        <v/>
      </c>
      <c r="U20" s="56" t="str">
        <f aca="false">IF($W20="","",INDEX(发票统计!U$4:U$1003,$W20)&amp;"")</f>
        <v/>
      </c>
      <c r="W20" s="1" t="str">
        <f aca="false">IF($V$3="","",IFERROR(MATCH($V$3&amp;"#"&amp;ROWS(W$4:W20),发票统计!$W$4:$W$1003,0),""))</f>
        <v/>
      </c>
    </row>
    <row r="21" customFormat="false" ht="16.5" hidden="false" customHeight="false" outlineLevel="0" collapsed="false">
      <c r="A21" s="3" t="str">
        <f aca="false">IF($W21="","",INDEX(发票统计!A$4:A$1003,$W21)&amp;"")</f>
        <v/>
      </c>
      <c r="B21" s="3" t="str">
        <f aca="false">IF($W21="","",INDEX(发票统计!B$4:B$1003,$W21)&amp;"")</f>
        <v/>
      </c>
      <c r="C21" s="3" t="str">
        <f aca="false">IF($W21="","",INDEX(发票统计!C$4:C$1003,$W21)&amp;"")</f>
        <v/>
      </c>
      <c r="D21" s="3" t="str">
        <f aca="false">IF($W21="","",INDEX(发票统计!D$4:D$1003,$W21)&amp;"")</f>
        <v/>
      </c>
      <c r="E21" s="67" t="str">
        <f aca="false">IF($W21="","",INDEX(发票统计!E$4:E$1003,$W21)&amp;"")</f>
        <v/>
      </c>
      <c r="F21" s="67" t="str">
        <f aca="false">IF($W21="","",INDEX(发票统计!F$4:F$1003,$W21)&amp;"")</f>
        <v/>
      </c>
      <c r="G21" s="68" t="str">
        <f aca="false">IF($W21="","",IF(INDEX(发票统计!G$4:G$1003,$W21)="","",INDEX(发票统计!G$4:G$1003,$W21)))</f>
        <v/>
      </c>
      <c r="H21" s="56" t="str">
        <f aca="false">IF($W21="","",N(INDEX(发票统计!H$4:H$1003,$W21)))</f>
        <v/>
      </c>
      <c r="I21" s="56" t="str">
        <f aca="false">IF($W21="","",N(INDEX(发票统计!I$4:I$1003,$W21)))</f>
        <v/>
      </c>
      <c r="J21" s="56" t="str">
        <f aca="false">IF($W21="","",N(INDEX(发票统计!J$4:J$1003,$W21)))</f>
        <v/>
      </c>
      <c r="K21" s="56" t="str">
        <f aca="false">IF($W21="","",N(INDEX(发票统计!K$4:K$1003,$W21)))</f>
        <v/>
      </c>
      <c r="L21" s="56" t="str">
        <f aca="false">IF($W21="","",SUM(J$4:J21)-SUM(K$4:K21))</f>
        <v/>
      </c>
      <c r="M21" s="56" t="str">
        <f aca="false">IF($W21="","",N(INDEX(发票统计!M$4:M$1003,$W21)))</f>
        <v/>
      </c>
      <c r="N21" s="56" t="str">
        <f aca="false">IF($W21="","",N(INDEX(发票统计!N$4:N$1003,$W21)))</f>
        <v/>
      </c>
      <c r="O21" s="56" t="str">
        <f aca="false">IF($W21="","",N(INDEX(发票统计!O$4:O$1003,$W21)))</f>
        <v/>
      </c>
      <c r="P21" s="56" t="str">
        <f aca="false">IF($W21="","",SUM(M$4:M21)-SUM(N$4:N21)-SUM(O$4:O21))</f>
        <v/>
      </c>
      <c r="Q21" s="56" t="str">
        <f aca="false">IF($W21="","",N(INDEX(发票统计!Q$4:Q$1003,$W21)))</f>
        <v/>
      </c>
      <c r="R21" s="56" t="str">
        <f aca="false">IF($W21="","",N(INDEX(发票统计!R$4:R$1003,$W21)))</f>
        <v/>
      </c>
      <c r="S21" s="56" t="str">
        <f aca="false">IF($W21="","",N(INDEX(发票统计!S$4:S$1003,$W21)))</f>
        <v/>
      </c>
      <c r="T21" s="56" t="str">
        <f aca="false">IF($W21="","",SUM(Q$4:Q21)-SUM(R$4:R21)-SUM(S$4:S21))</f>
        <v/>
      </c>
      <c r="U21" s="56" t="str">
        <f aca="false">IF($W21="","",INDEX(发票统计!U$4:U$1003,$W21)&amp;"")</f>
        <v/>
      </c>
      <c r="W21" s="1" t="str">
        <f aca="false">IF($V$3="","",IFERROR(MATCH($V$3&amp;"#"&amp;ROWS(W$4:W21),发票统计!$W$4:$W$1003,0),""))</f>
        <v/>
      </c>
    </row>
    <row r="22" customFormat="false" ht="16.5" hidden="false" customHeight="false" outlineLevel="0" collapsed="false">
      <c r="A22" s="3" t="str">
        <f aca="false">IF($W22="","",INDEX(发票统计!A$4:A$1003,$W22)&amp;"")</f>
        <v/>
      </c>
      <c r="B22" s="3" t="str">
        <f aca="false">IF($W22="","",INDEX(发票统计!B$4:B$1003,$W22)&amp;"")</f>
        <v/>
      </c>
      <c r="C22" s="3" t="str">
        <f aca="false">IF($W22="","",INDEX(发票统计!C$4:C$1003,$W22)&amp;"")</f>
        <v/>
      </c>
      <c r="D22" s="3" t="str">
        <f aca="false">IF($W22="","",INDEX(发票统计!D$4:D$1003,$W22)&amp;"")</f>
        <v/>
      </c>
      <c r="E22" s="67" t="str">
        <f aca="false">IF($W22="","",INDEX(发票统计!E$4:E$1003,$W22)&amp;"")</f>
        <v/>
      </c>
      <c r="F22" s="67" t="str">
        <f aca="false">IF($W22="","",INDEX(发票统计!F$4:F$1003,$W22)&amp;"")</f>
        <v/>
      </c>
      <c r="G22" s="68" t="str">
        <f aca="false">IF($W22="","",IF(INDEX(发票统计!G$4:G$1003,$W22)="","",INDEX(发票统计!G$4:G$1003,$W22)))</f>
        <v/>
      </c>
      <c r="H22" s="56" t="str">
        <f aca="false">IF($W22="","",N(INDEX(发票统计!H$4:H$1003,$W22)))</f>
        <v/>
      </c>
      <c r="I22" s="56" t="str">
        <f aca="false">IF($W22="","",N(INDEX(发票统计!I$4:I$1003,$W22)))</f>
        <v/>
      </c>
      <c r="J22" s="56" t="str">
        <f aca="false">IF($W22="","",N(INDEX(发票统计!J$4:J$1003,$W22)))</f>
        <v/>
      </c>
      <c r="K22" s="56" t="str">
        <f aca="false">IF($W22="","",N(INDEX(发票统计!K$4:K$1003,$W22)))</f>
        <v/>
      </c>
      <c r="L22" s="56" t="str">
        <f aca="false">IF($W22="","",SUM(J$4:J22)-SUM(K$4:K22))</f>
        <v/>
      </c>
      <c r="M22" s="56" t="str">
        <f aca="false">IF($W22="","",N(INDEX(发票统计!M$4:M$1003,$W22)))</f>
        <v/>
      </c>
      <c r="N22" s="56" t="str">
        <f aca="false">IF($W22="","",N(INDEX(发票统计!N$4:N$1003,$W22)))</f>
        <v/>
      </c>
      <c r="O22" s="56" t="str">
        <f aca="false">IF($W22="","",N(INDEX(发票统计!O$4:O$1003,$W22)))</f>
        <v/>
      </c>
      <c r="P22" s="56" t="str">
        <f aca="false">IF($W22="","",SUM(M$4:M22)-SUM(N$4:N22)-SUM(O$4:O22))</f>
        <v/>
      </c>
      <c r="Q22" s="56" t="str">
        <f aca="false">IF($W22="","",N(INDEX(发票统计!Q$4:Q$1003,$W22)))</f>
        <v/>
      </c>
      <c r="R22" s="56" t="str">
        <f aca="false">IF($W22="","",N(INDEX(发票统计!R$4:R$1003,$W22)))</f>
        <v/>
      </c>
      <c r="S22" s="56" t="str">
        <f aca="false">IF($W22="","",N(INDEX(发票统计!S$4:S$1003,$W22)))</f>
        <v/>
      </c>
      <c r="T22" s="56" t="str">
        <f aca="false">IF($W22="","",SUM(Q$4:Q22)-SUM(R$4:R22)-SUM(S$4:S22))</f>
        <v/>
      </c>
      <c r="U22" s="56" t="str">
        <f aca="false">IF($W22="","",INDEX(发票统计!U$4:U$1003,$W22)&amp;"")</f>
        <v/>
      </c>
      <c r="W22" s="1" t="str">
        <f aca="false">IF($V$3="","",IFERROR(MATCH($V$3&amp;"#"&amp;ROWS(W$4:W22),发票统计!$W$4:$W$1003,0),""))</f>
        <v/>
      </c>
    </row>
    <row r="23" customFormat="false" ht="16.5" hidden="false" customHeight="false" outlineLevel="0" collapsed="false">
      <c r="A23" s="3" t="str">
        <f aca="false">IF($W23="","",INDEX(发票统计!A$4:A$1003,$W23)&amp;"")</f>
        <v/>
      </c>
      <c r="B23" s="3" t="str">
        <f aca="false">IF($W23="","",INDEX(发票统计!B$4:B$1003,$W23)&amp;"")</f>
        <v/>
      </c>
      <c r="C23" s="3" t="str">
        <f aca="false">IF($W23="","",INDEX(发票统计!C$4:C$1003,$W23)&amp;"")</f>
        <v/>
      </c>
      <c r="D23" s="3" t="str">
        <f aca="false">IF($W23="","",INDEX(发票统计!D$4:D$1003,$W23)&amp;"")</f>
        <v/>
      </c>
      <c r="E23" s="67" t="str">
        <f aca="false">IF($W23="","",INDEX(发票统计!E$4:E$1003,$W23)&amp;"")</f>
        <v/>
      </c>
      <c r="F23" s="67" t="str">
        <f aca="false">IF($W23="","",INDEX(发票统计!F$4:F$1003,$W23)&amp;"")</f>
        <v/>
      </c>
      <c r="G23" s="68" t="str">
        <f aca="false">IF($W23="","",IF(INDEX(发票统计!G$4:G$1003,$W23)="","",INDEX(发票统计!G$4:G$1003,$W23)))</f>
        <v/>
      </c>
      <c r="H23" s="56" t="str">
        <f aca="false">IF($W23="","",N(INDEX(发票统计!H$4:H$1003,$W23)))</f>
        <v/>
      </c>
      <c r="I23" s="56" t="str">
        <f aca="false">IF($W23="","",N(INDEX(发票统计!I$4:I$1003,$W23)))</f>
        <v/>
      </c>
      <c r="J23" s="56" t="str">
        <f aca="false">IF($W23="","",N(INDEX(发票统计!J$4:J$1003,$W23)))</f>
        <v/>
      </c>
      <c r="K23" s="56" t="str">
        <f aca="false">IF($W23="","",N(INDEX(发票统计!K$4:K$1003,$W23)))</f>
        <v/>
      </c>
      <c r="L23" s="56" t="str">
        <f aca="false">IF($W23="","",SUM(J$4:J23)-SUM(K$4:K23))</f>
        <v/>
      </c>
      <c r="M23" s="56" t="str">
        <f aca="false">IF($W23="","",N(INDEX(发票统计!M$4:M$1003,$W23)))</f>
        <v/>
      </c>
      <c r="N23" s="56" t="str">
        <f aca="false">IF($W23="","",N(INDEX(发票统计!N$4:N$1003,$W23)))</f>
        <v/>
      </c>
      <c r="O23" s="56" t="str">
        <f aca="false">IF($W23="","",N(INDEX(发票统计!O$4:O$1003,$W23)))</f>
        <v/>
      </c>
      <c r="P23" s="56" t="str">
        <f aca="false">IF($W23="","",SUM(M$4:M23)-SUM(N$4:N23)-SUM(O$4:O23))</f>
        <v/>
      </c>
      <c r="Q23" s="56" t="str">
        <f aca="false">IF($W23="","",N(INDEX(发票统计!Q$4:Q$1003,$W23)))</f>
        <v/>
      </c>
      <c r="R23" s="56" t="str">
        <f aca="false">IF($W23="","",N(INDEX(发票统计!R$4:R$1003,$W23)))</f>
        <v/>
      </c>
      <c r="S23" s="56" t="str">
        <f aca="false">IF($W23="","",N(INDEX(发票统计!S$4:S$1003,$W23)))</f>
        <v/>
      </c>
      <c r="T23" s="56" t="str">
        <f aca="false">IF($W23="","",SUM(Q$4:Q23)-SUM(R$4:R23)-SUM(S$4:S23))</f>
        <v/>
      </c>
      <c r="U23" s="56" t="str">
        <f aca="false">IF($W23="","",INDEX(发票统计!U$4:U$1003,$W23)&amp;"")</f>
        <v/>
      </c>
      <c r="W23" s="1" t="str">
        <f aca="false">IF($V$3="","",IFERROR(MATCH($V$3&amp;"#"&amp;ROWS(W$4:W23),发票统计!$W$4:$W$1003,0),""))</f>
        <v/>
      </c>
    </row>
    <row r="24" customFormat="false" ht="16.5" hidden="false" customHeight="false" outlineLevel="0" collapsed="false">
      <c r="A24" s="3" t="str">
        <f aca="false">IF($W24="","",INDEX(发票统计!A$4:A$1003,$W24)&amp;"")</f>
        <v/>
      </c>
      <c r="B24" s="3" t="str">
        <f aca="false">IF($W24="","",INDEX(发票统计!B$4:B$1003,$W24)&amp;"")</f>
        <v/>
      </c>
      <c r="C24" s="3" t="str">
        <f aca="false">IF($W24="","",INDEX(发票统计!C$4:C$1003,$W24)&amp;"")</f>
        <v/>
      </c>
      <c r="D24" s="3" t="str">
        <f aca="false">IF($W24="","",INDEX(发票统计!D$4:D$1003,$W24)&amp;"")</f>
        <v/>
      </c>
      <c r="E24" s="67" t="str">
        <f aca="false">IF($W24="","",INDEX(发票统计!E$4:E$1003,$W24)&amp;"")</f>
        <v/>
      </c>
      <c r="F24" s="67" t="str">
        <f aca="false">IF($W24="","",INDEX(发票统计!F$4:F$1003,$W24)&amp;"")</f>
        <v/>
      </c>
      <c r="G24" s="68" t="str">
        <f aca="false">IF($W24="","",IF(INDEX(发票统计!G$4:G$1003,$W24)="","",INDEX(发票统计!G$4:G$1003,$W24)))</f>
        <v/>
      </c>
      <c r="H24" s="56" t="str">
        <f aca="false">IF($W24="","",N(INDEX(发票统计!H$4:H$1003,$W24)))</f>
        <v/>
      </c>
      <c r="I24" s="56" t="str">
        <f aca="false">IF($W24="","",N(INDEX(发票统计!I$4:I$1003,$W24)))</f>
        <v/>
      </c>
      <c r="J24" s="56" t="str">
        <f aca="false">IF($W24="","",N(INDEX(发票统计!J$4:J$1003,$W24)))</f>
        <v/>
      </c>
      <c r="K24" s="56" t="str">
        <f aca="false">IF($W24="","",N(INDEX(发票统计!K$4:K$1003,$W24)))</f>
        <v/>
      </c>
      <c r="L24" s="56" t="str">
        <f aca="false">IF($W24="","",SUM(J$4:J24)-SUM(K$4:K24))</f>
        <v/>
      </c>
      <c r="M24" s="56" t="str">
        <f aca="false">IF($W24="","",N(INDEX(发票统计!M$4:M$1003,$W24)))</f>
        <v/>
      </c>
      <c r="N24" s="56" t="str">
        <f aca="false">IF($W24="","",N(INDEX(发票统计!N$4:N$1003,$W24)))</f>
        <v/>
      </c>
      <c r="O24" s="56" t="str">
        <f aca="false">IF($W24="","",N(INDEX(发票统计!O$4:O$1003,$W24)))</f>
        <v/>
      </c>
      <c r="P24" s="56" t="str">
        <f aca="false">IF($W24="","",SUM(M$4:M24)-SUM(N$4:N24)-SUM(O$4:O24))</f>
        <v/>
      </c>
      <c r="Q24" s="56" t="str">
        <f aca="false">IF($W24="","",N(INDEX(发票统计!Q$4:Q$1003,$W24)))</f>
        <v/>
      </c>
      <c r="R24" s="56" t="str">
        <f aca="false">IF($W24="","",N(INDEX(发票统计!R$4:R$1003,$W24)))</f>
        <v/>
      </c>
      <c r="S24" s="56" t="str">
        <f aca="false">IF($W24="","",N(INDEX(发票统计!S$4:S$1003,$W24)))</f>
        <v/>
      </c>
      <c r="T24" s="56" t="str">
        <f aca="false">IF($W24="","",SUM(Q$4:Q24)-SUM(R$4:R24)-SUM(S$4:S24))</f>
        <v/>
      </c>
      <c r="U24" s="56" t="str">
        <f aca="false">IF($W24="","",INDEX(发票统计!U$4:U$1003,$W24)&amp;"")</f>
        <v/>
      </c>
      <c r="W24" s="1" t="str">
        <f aca="false">IF($V$3="","",IFERROR(MATCH($V$3&amp;"#"&amp;ROWS(W$4:W24),发票统计!$W$4:$W$1003,0),""))</f>
        <v/>
      </c>
    </row>
    <row r="25" customFormat="false" ht="16.5" hidden="false" customHeight="false" outlineLevel="0" collapsed="false">
      <c r="A25" s="3" t="str">
        <f aca="false">IF($W25="","",INDEX(发票统计!A$4:A$1003,$W25)&amp;"")</f>
        <v/>
      </c>
      <c r="B25" s="3" t="str">
        <f aca="false">IF($W25="","",INDEX(发票统计!B$4:B$1003,$W25)&amp;"")</f>
        <v/>
      </c>
      <c r="C25" s="3" t="str">
        <f aca="false">IF($W25="","",INDEX(发票统计!C$4:C$1003,$W25)&amp;"")</f>
        <v/>
      </c>
      <c r="D25" s="3" t="str">
        <f aca="false">IF($W25="","",INDEX(发票统计!D$4:D$1003,$W25)&amp;"")</f>
        <v/>
      </c>
      <c r="E25" s="67" t="str">
        <f aca="false">IF($W25="","",INDEX(发票统计!E$4:E$1003,$W25)&amp;"")</f>
        <v/>
      </c>
      <c r="F25" s="67" t="str">
        <f aca="false">IF($W25="","",INDEX(发票统计!F$4:F$1003,$W25)&amp;"")</f>
        <v/>
      </c>
      <c r="G25" s="68" t="str">
        <f aca="false">IF($W25="","",IF(INDEX(发票统计!G$4:G$1003,$W25)="","",INDEX(发票统计!G$4:G$1003,$W25)))</f>
        <v/>
      </c>
      <c r="H25" s="56" t="str">
        <f aca="false">IF($W25="","",N(INDEX(发票统计!H$4:H$1003,$W25)))</f>
        <v/>
      </c>
      <c r="I25" s="56" t="str">
        <f aca="false">IF($W25="","",N(INDEX(发票统计!I$4:I$1003,$W25)))</f>
        <v/>
      </c>
      <c r="J25" s="56" t="str">
        <f aca="false">IF($W25="","",N(INDEX(发票统计!J$4:J$1003,$W25)))</f>
        <v/>
      </c>
      <c r="K25" s="56" t="str">
        <f aca="false">IF($W25="","",N(INDEX(发票统计!K$4:K$1003,$W25)))</f>
        <v/>
      </c>
      <c r="L25" s="56" t="str">
        <f aca="false">IF($W25="","",SUM(J$4:J25)-SUM(K$4:K25))</f>
        <v/>
      </c>
      <c r="M25" s="56" t="str">
        <f aca="false">IF($W25="","",N(INDEX(发票统计!M$4:M$1003,$W25)))</f>
        <v/>
      </c>
      <c r="N25" s="56" t="str">
        <f aca="false">IF($W25="","",N(INDEX(发票统计!N$4:N$1003,$W25)))</f>
        <v/>
      </c>
      <c r="O25" s="56" t="str">
        <f aca="false">IF($W25="","",N(INDEX(发票统计!O$4:O$1003,$W25)))</f>
        <v/>
      </c>
      <c r="P25" s="56" t="str">
        <f aca="false">IF($W25="","",SUM(M$4:M25)-SUM(N$4:N25)-SUM(O$4:O25))</f>
        <v/>
      </c>
      <c r="Q25" s="56" t="str">
        <f aca="false">IF($W25="","",N(INDEX(发票统计!Q$4:Q$1003,$W25)))</f>
        <v/>
      </c>
      <c r="R25" s="56" t="str">
        <f aca="false">IF($W25="","",N(INDEX(发票统计!R$4:R$1003,$W25)))</f>
        <v/>
      </c>
      <c r="S25" s="56" t="str">
        <f aca="false">IF($W25="","",N(INDEX(发票统计!S$4:S$1003,$W25)))</f>
        <v/>
      </c>
      <c r="T25" s="56" t="str">
        <f aca="false">IF($W25="","",SUM(Q$4:Q25)-SUM(R$4:R25)-SUM(S$4:S25))</f>
        <v/>
      </c>
      <c r="U25" s="56" t="str">
        <f aca="false">IF($W25="","",INDEX(发票统计!U$4:U$1003,$W25)&amp;"")</f>
        <v/>
      </c>
      <c r="W25" s="1" t="str">
        <f aca="false">IF($V$3="","",IFERROR(MATCH($V$3&amp;"#"&amp;ROWS(W$4:W25),发票统计!$W$4:$W$1003,0),""))</f>
        <v/>
      </c>
    </row>
    <row r="26" customFormat="false" ht="16.5" hidden="false" customHeight="false" outlineLevel="0" collapsed="false">
      <c r="A26" s="3" t="str">
        <f aca="false">IF($W26="","",INDEX(发票统计!A$4:A$1003,$W26)&amp;"")</f>
        <v/>
      </c>
      <c r="B26" s="3" t="str">
        <f aca="false">IF($W26="","",INDEX(发票统计!B$4:B$1003,$W26)&amp;"")</f>
        <v/>
      </c>
      <c r="C26" s="3" t="str">
        <f aca="false">IF($W26="","",INDEX(发票统计!C$4:C$1003,$W26)&amp;"")</f>
        <v/>
      </c>
      <c r="D26" s="3" t="str">
        <f aca="false">IF($W26="","",INDEX(发票统计!D$4:D$1003,$W26)&amp;"")</f>
        <v/>
      </c>
      <c r="E26" s="67" t="str">
        <f aca="false">IF($W26="","",INDEX(发票统计!E$4:E$1003,$W26)&amp;"")</f>
        <v/>
      </c>
      <c r="F26" s="67" t="str">
        <f aca="false">IF($W26="","",INDEX(发票统计!F$4:F$1003,$W26)&amp;"")</f>
        <v/>
      </c>
      <c r="G26" s="68" t="str">
        <f aca="false">IF($W26="","",IF(INDEX(发票统计!G$4:G$1003,$W26)="","",INDEX(发票统计!G$4:G$1003,$W26)))</f>
        <v/>
      </c>
      <c r="H26" s="56" t="str">
        <f aca="false">IF($W26="","",N(INDEX(发票统计!H$4:H$1003,$W26)))</f>
        <v/>
      </c>
      <c r="I26" s="56" t="str">
        <f aca="false">IF($W26="","",N(INDEX(发票统计!I$4:I$1003,$W26)))</f>
        <v/>
      </c>
      <c r="J26" s="56" t="str">
        <f aca="false">IF($W26="","",N(INDEX(发票统计!J$4:J$1003,$W26)))</f>
        <v/>
      </c>
      <c r="K26" s="56" t="str">
        <f aca="false">IF($W26="","",N(INDEX(发票统计!K$4:K$1003,$W26)))</f>
        <v/>
      </c>
      <c r="L26" s="56" t="str">
        <f aca="false">IF($W26="","",SUM(J$4:J26)-SUM(K$4:K26))</f>
        <v/>
      </c>
      <c r="M26" s="56" t="str">
        <f aca="false">IF($W26="","",N(INDEX(发票统计!M$4:M$1003,$W26)))</f>
        <v/>
      </c>
      <c r="N26" s="56" t="str">
        <f aca="false">IF($W26="","",N(INDEX(发票统计!N$4:N$1003,$W26)))</f>
        <v/>
      </c>
      <c r="O26" s="56" t="str">
        <f aca="false">IF($W26="","",N(INDEX(发票统计!O$4:O$1003,$W26)))</f>
        <v/>
      </c>
      <c r="P26" s="56" t="str">
        <f aca="false">IF($W26="","",SUM(M$4:M26)-SUM(N$4:N26)-SUM(O$4:O26))</f>
        <v/>
      </c>
      <c r="Q26" s="56" t="str">
        <f aca="false">IF($W26="","",N(INDEX(发票统计!Q$4:Q$1003,$W26)))</f>
        <v/>
      </c>
      <c r="R26" s="56" t="str">
        <f aca="false">IF($W26="","",N(INDEX(发票统计!R$4:R$1003,$W26)))</f>
        <v/>
      </c>
      <c r="S26" s="56" t="str">
        <f aca="false">IF($W26="","",N(INDEX(发票统计!S$4:S$1003,$W26)))</f>
        <v/>
      </c>
      <c r="T26" s="56" t="str">
        <f aca="false">IF($W26="","",SUM(Q$4:Q26)-SUM(R$4:R26)-SUM(S$4:S26))</f>
        <v/>
      </c>
      <c r="U26" s="56" t="str">
        <f aca="false">IF($W26="","",INDEX(发票统计!U$4:U$1003,$W26)&amp;"")</f>
        <v/>
      </c>
      <c r="W26" s="1" t="str">
        <f aca="false">IF($V$3="","",IFERROR(MATCH($V$3&amp;"#"&amp;ROWS(W$4:W26),发票统计!$W$4:$W$1003,0),""))</f>
        <v/>
      </c>
    </row>
    <row r="27" customFormat="false" ht="16.5" hidden="false" customHeight="false" outlineLevel="0" collapsed="false">
      <c r="A27" s="3" t="str">
        <f aca="false">IF($W27="","",INDEX(发票统计!A$4:A$1003,$W27)&amp;"")</f>
        <v/>
      </c>
      <c r="B27" s="3" t="str">
        <f aca="false">IF($W27="","",INDEX(发票统计!B$4:B$1003,$W27)&amp;"")</f>
        <v/>
      </c>
      <c r="C27" s="3" t="str">
        <f aca="false">IF($W27="","",INDEX(发票统计!C$4:C$1003,$W27)&amp;"")</f>
        <v/>
      </c>
      <c r="D27" s="3" t="str">
        <f aca="false">IF($W27="","",INDEX(发票统计!D$4:D$1003,$W27)&amp;"")</f>
        <v/>
      </c>
      <c r="E27" s="67" t="str">
        <f aca="false">IF($W27="","",INDEX(发票统计!E$4:E$1003,$W27)&amp;"")</f>
        <v/>
      </c>
      <c r="F27" s="67" t="str">
        <f aca="false">IF($W27="","",INDEX(发票统计!F$4:F$1003,$W27)&amp;"")</f>
        <v/>
      </c>
      <c r="G27" s="68" t="str">
        <f aca="false">IF($W27="","",IF(INDEX(发票统计!G$4:G$1003,$W27)="","",INDEX(发票统计!G$4:G$1003,$W27)))</f>
        <v/>
      </c>
      <c r="H27" s="56" t="str">
        <f aca="false">IF($W27="","",N(INDEX(发票统计!H$4:H$1003,$W27)))</f>
        <v/>
      </c>
      <c r="I27" s="56" t="str">
        <f aca="false">IF($W27="","",N(INDEX(发票统计!I$4:I$1003,$W27)))</f>
        <v/>
      </c>
      <c r="J27" s="56" t="str">
        <f aca="false">IF($W27="","",N(INDEX(发票统计!J$4:J$1003,$W27)))</f>
        <v/>
      </c>
      <c r="K27" s="56" t="str">
        <f aca="false">IF($W27="","",N(INDEX(发票统计!K$4:K$1003,$W27)))</f>
        <v/>
      </c>
      <c r="L27" s="56" t="str">
        <f aca="false">IF($W27="","",SUM(J$4:J27)-SUM(K$4:K27))</f>
        <v/>
      </c>
      <c r="M27" s="56" t="str">
        <f aca="false">IF($W27="","",N(INDEX(发票统计!M$4:M$1003,$W27)))</f>
        <v/>
      </c>
      <c r="N27" s="56" t="str">
        <f aca="false">IF($W27="","",N(INDEX(发票统计!N$4:N$1003,$W27)))</f>
        <v/>
      </c>
      <c r="O27" s="56" t="str">
        <f aca="false">IF($W27="","",N(INDEX(发票统计!O$4:O$1003,$W27)))</f>
        <v/>
      </c>
      <c r="P27" s="56" t="str">
        <f aca="false">IF($W27="","",SUM(M$4:M27)-SUM(N$4:N27)-SUM(O$4:O27))</f>
        <v/>
      </c>
      <c r="Q27" s="56" t="str">
        <f aca="false">IF($W27="","",N(INDEX(发票统计!Q$4:Q$1003,$W27)))</f>
        <v/>
      </c>
      <c r="R27" s="56" t="str">
        <f aca="false">IF($W27="","",N(INDEX(发票统计!R$4:R$1003,$W27)))</f>
        <v/>
      </c>
      <c r="S27" s="56" t="str">
        <f aca="false">IF($W27="","",N(INDEX(发票统计!S$4:S$1003,$W27)))</f>
        <v/>
      </c>
      <c r="T27" s="56" t="str">
        <f aca="false">IF($W27="","",SUM(Q$4:Q27)-SUM(R$4:R27)-SUM(S$4:S27))</f>
        <v/>
      </c>
      <c r="U27" s="56" t="str">
        <f aca="false">IF($W27="","",INDEX(发票统计!U$4:U$1003,$W27)&amp;"")</f>
        <v/>
      </c>
      <c r="W27" s="1" t="str">
        <f aca="false">IF($V$3="","",IFERROR(MATCH($V$3&amp;"#"&amp;ROWS(W$4:W27),发票统计!$W$4:$W$1003,0),""))</f>
        <v/>
      </c>
    </row>
    <row r="28" customFormat="false" ht="16.5" hidden="false" customHeight="false" outlineLevel="0" collapsed="false">
      <c r="A28" s="3" t="str">
        <f aca="false">IF($W28="","",INDEX(发票统计!A$4:A$1003,$W28)&amp;"")</f>
        <v/>
      </c>
      <c r="B28" s="3" t="str">
        <f aca="false">IF($W28="","",INDEX(发票统计!B$4:B$1003,$W28)&amp;"")</f>
        <v/>
      </c>
      <c r="C28" s="3" t="str">
        <f aca="false">IF($W28="","",INDEX(发票统计!C$4:C$1003,$W28)&amp;"")</f>
        <v/>
      </c>
      <c r="D28" s="3" t="str">
        <f aca="false">IF($W28="","",INDEX(发票统计!D$4:D$1003,$W28)&amp;"")</f>
        <v/>
      </c>
      <c r="E28" s="67" t="str">
        <f aca="false">IF($W28="","",INDEX(发票统计!E$4:E$1003,$W28)&amp;"")</f>
        <v/>
      </c>
      <c r="F28" s="67" t="str">
        <f aca="false">IF($W28="","",INDEX(发票统计!F$4:F$1003,$W28)&amp;"")</f>
        <v/>
      </c>
      <c r="G28" s="68" t="str">
        <f aca="false">IF($W28="","",IF(INDEX(发票统计!G$4:G$1003,$W28)="","",INDEX(发票统计!G$4:G$1003,$W28)))</f>
        <v/>
      </c>
      <c r="H28" s="56" t="str">
        <f aca="false">IF($W28="","",N(INDEX(发票统计!H$4:H$1003,$W28)))</f>
        <v/>
      </c>
      <c r="I28" s="56" t="str">
        <f aca="false">IF($W28="","",N(INDEX(发票统计!I$4:I$1003,$W28)))</f>
        <v/>
      </c>
      <c r="J28" s="56" t="str">
        <f aca="false">IF($W28="","",N(INDEX(发票统计!J$4:J$1003,$W28)))</f>
        <v/>
      </c>
      <c r="K28" s="56" t="str">
        <f aca="false">IF($W28="","",N(INDEX(发票统计!K$4:K$1003,$W28)))</f>
        <v/>
      </c>
      <c r="L28" s="56" t="str">
        <f aca="false">IF($W28="","",SUM(J$4:J28)-SUM(K$4:K28))</f>
        <v/>
      </c>
      <c r="M28" s="56" t="str">
        <f aca="false">IF($W28="","",N(INDEX(发票统计!M$4:M$1003,$W28)))</f>
        <v/>
      </c>
      <c r="N28" s="56" t="str">
        <f aca="false">IF($W28="","",N(INDEX(发票统计!N$4:N$1003,$W28)))</f>
        <v/>
      </c>
      <c r="O28" s="56" t="str">
        <f aca="false">IF($W28="","",N(INDEX(发票统计!O$4:O$1003,$W28)))</f>
        <v/>
      </c>
      <c r="P28" s="56" t="str">
        <f aca="false">IF($W28="","",SUM(M$4:M28)-SUM(N$4:N28)-SUM(O$4:O28))</f>
        <v/>
      </c>
      <c r="Q28" s="56" t="str">
        <f aca="false">IF($W28="","",N(INDEX(发票统计!Q$4:Q$1003,$W28)))</f>
        <v/>
      </c>
      <c r="R28" s="56" t="str">
        <f aca="false">IF($W28="","",N(INDEX(发票统计!R$4:R$1003,$W28)))</f>
        <v/>
      </c>
      <c r="S28" s="56" t="str">
        <f aca="false">IF($W28="","",N(INDEX(发票统计!S$4:S$1003,$W28)))</f>
        <v/>
      </c>
      <c r="T28" s="56" t="str">
        <f aca="false">IF($W28="","",SUM(Q$4:Q28)-SUM(R$4:R28)-SUM(S$4:S28))</f>
        <v/>
      </c>
      <c r="U28" s="56" t="str">
        <f aca="false">IF($W28="","",INDEX(发票统计!U$4:U$1003,$W28)&amp;"")</f>
        <v/>
      </c>
      <c r="W28" s="1" t="str">
        <f aca="false">IF($V$3="","",IFERROR(MATCH($V$3&amp;"#"&amp;ROWS(W$4:W28),发票统计!$W$4:$W$1003,0),""))</f>
        <v/>
      </c>
    </row>
    <row r="29" customFormat="false" ht="16.5" hidden="false" customHeight="false" outlineLevel="0" collapsed="false">
      <c r="A29" s="3" t="str">
        <f aca="false">IF($W29="","",INDEX(发票统计!A$4:A$1003,$W29)&amp;"")</f>
        <v/>
      </c>
      <c r="B29" s="3" t="str">
        <f aca="false">IF($W29="","",INDEX(发票统计!B$4:B$1003,$W29)&amp;"")</f>
        <v/>
      </c>
      <c r="C29" s="3" t="str">
        <f aca="false">IF($W29="","",INDEX(发票统计!C$4:C$1003,$W29)&amp;"")</f>
        <v/>
      </c>
      <c r="D29" s="3" t="str">
        <f aca="false">IF($W29="","",INDEX(发票统计!D$4:D$1003,$W29)&amp;"")</f>
        <v/>
      </c>
      <c r="E29" s="67" t="str">
        <f aca="false">IF($W29="","",INDEX(发票统计!E$4:E$1003,$W29)&amp;"")</f>
        <v/>
      </c>
      <c r="F29" s="67" t="str">
        <f aca="false">IF($W29="","",INDEX(发票统计!F$4:F$1003,$W29)&amp;"")</f>
        <v/>
      </c>
      <c r="G29" s="68" t="str">
        <f aca="false">IF($W29="","",IF(INDEX(发票统计!G$4:G$1003,$W29)="","",INDEX(发票统计!G$4:G$1003,$W29)))</f>
        <v/>
      </c>
      <c r="H29" s="56" t="str">
        <f aca="false">IF($W29="","",N(INDEX(发票统计!H$4:H$1003,$W29)))</f>
        <v/>
      </c>
      <c r="I29" s="56" t="str">
        <f aca="false">IF($W29="","",N(INDEX(发票统计!I$4:I$1003,$W29)))</f>
        <v/>
      </c>
      <c r="J29" s="56" t="str">
        <f aca="false">IF($W29="","",N(INDEX(发票统计!J$4:J$1003,$W29)))</f>
        <v/>
      </c>
      <c r="K29" s="56" t="str">
        <f aca="false">IF($W29="","",N(INDEX(发票统计!K$4:K$1003,$W29)))</f>
        <v/>
      </c>
      <c r="L29" s="56" t="str">
        <f aca="false">IF($W29="","",SUM(J$4:J29)-SUM(K$4:K29))</f>
        <v/>
      </c>
      <c r="M29" s="56" t="str">
        <f aca="false">IF($W29="","",N(INDEX(发票统计!M$4:M$1003,$W29)))</f>
        <v/>
      </c>
      <c r="N29" s="56" t="str">
        <f aca="false">IF($W29="","",N(INDEX(发票统计!N$4:N$1003,$W29)))</f>
        <v/>
      </c>
      <c r="O29" s="56" t="str">
        <f aca="false">IF($W29="","",N(INDEX(发票统计!O$4:O$1003,$W29)))</f>
        <v/>
      </c>
      <c r="P29" s="56" t="str">
        <f aca="false">IF($W29="","",SUM(M$4:M29)-SUM(N$4:N29)-SUM(O$4:O29))</f>
        <v/>
      </c>
      <c r="Q29" s="56" t="str">
        <f aca="false">IF($W29="","",N(INDEX(发票统计!Q$4:Q$1003,$W29)))</f>
        <v/>
      </c>
      <c r="R29" s="56" t="str">
        <f aca="false">IF($W29="","",N(INDEX(发票统计!R$4:R$1003,$W29)))</f>
        <v/>
      </c>
      <c r="S29" s="56" t="str">
        <f aca="false">IF($W29="","",N(INDEX(发票统计!S$4:S$1003,$W29)))</f>
        <v/>
      </c>
      <c r="T29" s="56" t="str">
        <f aca="false">IF($W29="","",SUM(Q$4:Q29)-SUM(R$4:R29)-SUM(S$4:S29))</f>
        <v/>
      </c>
      <c r="U29" s="56" t="str">
        <f aca="false">IF($W29="","",INDEX(发票统计!U$4:U$1003,$W29)&amp;"")</f>
        <v/>
      </c>
      <c r="W29" s="1" t="str">
        <f aca="false">IF($V$3="","",IFERROR(MATCH($V$3&amp;"#"&amp;ROWS(W$4:W29),发票统计!$W$4:$W$1003,0),""))</f>
        <v/>
      </c>
    </row>
    <row r="30" customFormat="false" ht="16.5" hidden="false" customHeight="false" outlineLevel="0" collapsed="false">
      <c r="A30" s="3" t="str">
        <f aca="false">IF($W30="","",INDEX(发票统计!A$4:A$1003,$W30)&amp;"")</f>
        <v/>
      </c>
      <c r="B30" s="3" t="str">
        <f aca="false">IF($W30="","",INDEX(发票统计!B$4:B$1003,$W30)&amp;"")</f>
        <v/>
      </c>
      <c r="C30" s="3" t="str">
        <f aca="false">IF($W30="","",INDEX(发票统计!C$4:C$1003,$W30)&amp;"")</f>
        <v/>
      </c>
      <c r="D30" s="3" t="str">
        <f aca="false">IF($W30="","",INDEX(发票统计!D$4:D$1003,$W30)&amp;"")</f>
        <v/>
      </c>
      <c r="E30" s="67" t="str">
        <f aca="false">IF($W30="","",INDEX(发票统计!E$4:E$1003,$W30)&amp;"")</f>
        <v/>
      </c>
      <c r="F30" s="67" t="str">
        <f aca="false">IF($W30="","",INDEX(发票统计!F$4:F$1003,$W30)&amp;"")</f>
        <v/>
      </c>
      <c r="G30" s="68" t="str">
        <f aca="false">IF($W30="","",IF(INDEX(发票统计!G$4:G$1003,$W30)="","",INDEX(发票统计!G$4:G$1003,$W30)))</f>
        <v/>
      </c>
      <c r="H30" s="56" t="str">
        <f aca="false">IF($W30="","",N(INDEX(发票统计!H$4:H$1003,$W30)))</f>
        <v/>
      </c>
      <c r="I30" s="56" t="str">
        <f aca="false">IF($W30="","",N(INDEX(发票统计!I$4:I$1003,$W30)))</f>
        <v/>
      </c>
      <c r="J30" s="56" t="str">
        <f aca="false">IF($W30="","",N(INDEX(发票统计!J$4:J$1003,$W30)))</f>
        <v/>
      </c>
      <c r="K30" s="56" t="str">
        <f aca="false">IF($W30="","",N(INDEX(发票统计!K$4:K$1003,$W30)))</f>
        <v/>
      </c>
      <c r="L30" s="56" t="str">
        <f aca="false">IF($W30="","",SUM(J$4:J30)-SUM(K$4:K30))</f>
        <v/>
      </c>
      <c r="M30" s="56" t="str">
        <f aca="false">IF($W30="","",N(INDEX(发票统计!M$4:M$1003,$W30)))</f>
        <v/>
      </c>
      <c r="N30" s="56" t="str">
        <f aca="false">IF($W30="","",N(INDEX(发票统计!N$4:N$1003,$W30)))</f>
        <v/>
      </c>
      <c r="O30" s="56" t="str">
        <f aca="false">IF($W30="","",N(INDEX(发票统计!O$4:O$1003,$W30)))</f>
        <v/>
      </c>
      <c r="P30" s="56" t="str">
        <f aca="false">IF($W30="","",SUM(M$4:M30)-SUM(N$4:N30)-SUM(O$4:O30))</f>
        <v/>
      </c>
      <c r="Q30" s="56" t="str">
        <f aca="false">IF($W30="","",N(INDEX(发票统计!Q$4:Q$1003,$W30)))</f>
        <v/>
      </c>
      <c r="R30" s="56" t="str">
        <f aca="false">IF($W30="","",N(INDEX(发票统计!R$4:R$1003,$W30)))</f>
        <v/>
      </c>
      <c r="S30" s="56" t="str">
        <f aca="false">IF($W30="","",N(INDEX(发票统计!S$4:S$1003,$W30)))</f>
        <v/>
      </c>
      <c r="T30" s="56" t="str">
        <f aca="false">IF($W30="","",SUM(Q$4:Q30)-SUM(R$4:R30)-SUM(S$4:S30))</f>
        <v/>
      </c>
      <c r="U30" s="56" t="str">
        <f aca="false">IF($W30="","",INDEX(发票统计!U$4:U$1003,$W30)&amp;"")</f>
        <v/>
      </c>
      <c r="W30" s="1" t="str">
        <f aca="false">IF($V$3="","",IFERROR(MATCH($V$3&amp;"#"&amp;ROWS(W$4:W30),发票统计!$W$4:$W$1003,0),""))</f>
        <v/>
      </c>
    </row>
    <row r="31" customFormat="false" ht="16.5" hidden="false" customHeight="false" outlineLevel="0" collapsed="false">
      <c r="A31" s="3" t="str">
        <f aca="false">IF($W31="","",INDEX(发票统计!A$4:A$1003,$W31)&amp;"")</f>
        <v/>
      </c>
      <c r="B31" s="3" t="str">
        <f aca="false">IF($W31="","",INDEX(发票统计!B$4:B$1003,$W31)&amp;"")</f>
        <v/>
      </c>
      <c r="C31" s="3" t="str">
        <f aca="false">IF($W31="","",INDEX(发票统计!C$4:C$1003,$W31)&amp;"")</f>
        <v/>
      </c>
      <c r="D31" s="3" t="str">
        <f aca="false">IF($W31="","",INDEX(发票统计!D$4:D$1003,$W31)&amp;"")</f>
        <v/>
      </c>
      <c r="E31" s="67" t="str">
        <f aca="false">IF($W31="","",INDEX(发票统计!E$4:E$1003,$W31)&amp;"")</f>
        <v/>
      </c>
      <c r="F31" s="67" t="str">
        <f aca="false">IF($W31="","",INDEX(发票统计!F$4:F$1003,$W31)&amp;"")</f>
        <v/>
      </c>
      <c r="G31" s="68" t="str">
        <f aca="false">IF($W31="","",IF(INDEX(发票统计!G$4:G$1003,$W31)="","",INDEX(发票统计!G$4:G$1003,$W31)))</f>
        <v/>
      </c>
      <c r="H31" s="56" t="str">
        <f aca="false">IF($W31="","",N(INDEX(发票统计!H$4:H$1003,$W31)))</f>
        <v/>
      </c>
      <c r="I31" s="56" t="str">
        <f aca="false">IF($W31="","",N(INDEX(发票统计!I$4:I$1003,$W31)))</f>
        <v/>
      </c>
      <c r="J31" s="56" t="str">
        <f aca="false">IF($W31="","",N(INDEX(发票统计!J$4:J$1003,$W31)))</f>
        <v/>
      </c>
      <c r="K31" s="56" t="str">
        <f aca="false">IF($W31="","",N(INDEX(发票统计!K$4:K$1003,$W31)))</f>
        <v/>
      </c>
      <c r="L31" s="56" t="str">
        <f aca="false">IF($W31="","",SUM(J$4:J31)-SUM(K$4:K31))</f>
        <v/>
      </c>
      <c r="M31" s="56" t="str">
        <f aca="false">IF($W31="","",N(INDEX(发票统计!M$4:M$1003,$W31)))</f>
        <v/>
      </c>
      <c r="N31" s="56" t="str">
        <f aca="false">IF($W31="","",N(INDEX(发票统计!N$4:N$1003,$W31)))</f>
        <v/>
      </c>
      <c r="O31" s="56" t="str">
        <f aca="false">IF($W31="","",N(INDEX(发票统计!O$4:O$1003,$W31)))</f>
        <v/>
      </c>
      <c r="P31" s="56" t="str">
        <f aca="false">IF($W31="","",SUM(M$4:M31)-SUM(N$4:N31)-SUM(O$4:O31))</f>
        <v/>
      </c>
      <c r="Q31" s="56" t="str">
        <f aca="false">IF($W31="","",N(INDEX(发票统计!Q$4:Q$1003,$W31)))</f>
        <v/>
      </c>
      <c r="R31" s="56" t="str">
        <f aca="false">IF($W31="","",N(INDEX(发票统计!R$4:R$1003,$W31)))</f>
        <v/>
      </c>
      <c r="S31" s="56" t="str">
        <f aca="false">IF($W31="","",N(INDEX(发票统计!S$4:S$1003,$W31)))</f>
        <v/>
      </c>
      <c r="T31" s="56" t="str">
        <f aca="false">IF($W31="","",SUM(Q$4:Q31)-SUM(R$4:R31)-SUM(S$4:S31))</f>
        <v/>
      </c>
      <c r="U31" s="56" t="str">
        <f aca="false">IF($W31="","",INDEX(发票统计!U$4:U$1003,$W31)&amp;"")</f>
        <v/>
      </c>
      <c r="W31" s="1" t="str">
        <f aca="false">IF($V$3="","",IFERROR(MATCH($V$3&amp;"#"&amp;ROWS(W$4:W31),发票统计!$W$4:$W$1003,0),""))</f>
        <v/>
      </c>
    </row>
    <row r="32" customFormat="false" ht="16.5" hidden="false" customHeight="false" outlineLevel="0" collapsed="false">
      <c r="A32" s="3" t="str">
        <f aca="false">IF($W32="","",INDEX(发票统计!A$4:A$1003,$W32)&amp;"")</f>
        <v/>
      </c>
      <c r="B32" s="3" t="str">
        <f aca="false">IF($W32="","",INDEX(发票统计!B$4:B$1003,$W32)&amp;"")</f>
        <v/>
      </c>
      <c r="C32" s="3" t="str">
        <f aca="false">IF($W32="","",INDEX(发票统计!C$4:C$1003,$W32)&amp;"")</f>
        <v/>
      </c>
      <c r="D32" s="3" t="str">
        <f aca="false">IF($W32="","",INDEX(发票统计!D$4:D$1003,$W32)&amp;"")</f>
        <v/>
      </c>
      <c r="E32" s="67" t="str">
        <f aca="false">IF($W32="","",INDEX(发票统计!E$4:E$1003,$W32)&amp;"")</f>
        <v/>
      </c>
      <c r="F32" s="67" t="str">
        <f aca="false">IF($W32="","",INDEX(发票统计!F$4:F$1003,$W32)&amp;"")</f>
        <v/>
      </c>
      <c r="G32" s="68" t="str">
        <f aca="false">IF($W32="","",IF(INDEX(发票统计!G$4:G$1003,$W32)="","",INDEX(发票统计!G$4:G$1003,$W32)))</f>
        <v/>
      </c>
      <c r="H32" s="56" t="str">
        <f aca="false">IF($W32="","",N(INDEX(发票统计!H$4:H$1003,$W32)))</f>
        <v/>
      </c>
      <c r="I32" s="56" t="str">
        <f aca="false">IF($W32="","",N(INDEX(发票统计!I$4:I$1003,$W32)))</f>
        <v/>
      </c>
      <c r="J32" s="56" t="str">
        <f aca="false">IF($W32="","",N(INDEX(发票统计!J$4:J$1003,$W32)))</f>
        <v/>
      </c>
      <c r="K32" s="56" t="str">
        <f aca="false">IF($W32="","",N(INDEX(发票统计!K$4:K$1003,$W32)))</f>
        <v/>
      </c>
      <c r="L32" s="56" t="str">
        <f aca="false">IF($W32="","",SUM(J$4:J32)-SUM(K$4:K32))</f>
        <v/>
      </c>
      <c r="M32" s="56" t="str">
        <f aca="false">IF($W32="","",N(INDEX(发票统计!M$4:M$1003,$W32)))</f>
        <v/>
      </c>
      <c r="N32" s="56" t="str">
        <f aca="false">IF($W32="","",N(INDEX(发票统计!N$4:N$1003,$W32)))</f>
        <v/>
      </c>
      <c r="O32" s="56" t="str">
        <f aca="false">IF($W32="","",N(INDEX(发票统计!O$4:O$1003,$W32)))</f>
        <v/>
      </c>
      <c r="P32" s="56" t="str">
        <f aca="false">IF($W32="","",SUM(M$4:M32)-SUM(N$4:N32)-SUM(O$4:O32))</f>
        <v/>
      </c>
      <c r="Q32" s="56" t="str">
        <f aca="false">IF($W32="","",N(INDEX(发票统计!Q$4:Q$1003,$W32)))</f>
        <v/>
      </c>
      <c r="R32" s="56" t="str">
        <f aca="false">IF($W32="","",N(INDEX(发票统计!R$4:R$1003,$W32)))</f>
        <v/>
      </c>
      <c r="S32" s="56" t="str">
        <f aca="false">IF($W32="","",N(INDEX(发票统计!S$4:S$1003,$W32)))</f>
        <v/>
      </c>
      <c r="T32" s="56" t="str">
        <f aca="false">IF($W32="","",SUM(Q$4:Q32)-SUM(R$4:R32)-SUM(S$4:S32))</f>
        <v/>
      </c>
      <c r="U32" s="56" t="str">
        <f aca="false">IF($W32="","",INDEX(发票统计!U$4:U$1003,$W32)&amp;"")</f>
        <v/>
      </c>
      <c r="W32" s="1" t="str">
        <f aca="false">IF($V$3="","",IFERROR(MATCH($V$3&amp;"#"&amp;ROWS(W$4:W32),发票统计!$W$4:$W$1003,0),""))</f>
        <v/>
      </c>
    </row>
    <row r="33" customFormat="false" ht="16.5" hidden="false" customHeight="false" outlineLevel="0" collapsed="false">
      <c r="A33" s="3" t="str">
        <f aca="false">IF($W33="","",INDEX(发票统计!A$4:A$1003,$W33)&amp;"")</f>
        <v/>
      </c>
      <c r="B33" s="3" t="str">
        <f aca="false">IF($W33="","",INDEX(发票统计!B$4:B$1003,$W33)&amp;"")</f>
        <v/>
      </c>
      <c r="C33" s="3" t="str">
        <f aca="false">IF($W33="","",INDEX(发票统计!C$4:C$1003,$W33)&amp;"")</f>
        <v/>
      </c>
      <c r="D33" s="3" t="str">
        <f aca="false">IF($W33="","",INDEX(发票统计!D$4:D$1003,$W33)&amp;"")</f>
        <v/>
      </c>
      <c r="E33" s="56" t="str">
        <f aca="false">IF($W33="","",INDEX(发票统计!E$4:E$1003,$W33)&amp;"")</f>
        <v/>
      </c>
      <c r="F33" s="56" t="str">
        <f aca="false">IF($W33="","",INDEX(发票统计!F$4:F$1003,$W33)&amp;"")</f>
        <v/>
      </c>
      <c r="G33" s="68" t="str">
        <f aca="false">IF($W33="","",IF(INDEX(发票统计!G$4:G$1003,$W33)="","",INDEX(发票统计!G$4:G$1003,$W33)))</f>
        <v/>
      </c>
      <c r="H33" s="56" t="str">
        <f aca="false">IF($W33="","",N(INDEX(发票统计!H$4:H$1003,$W33)))</f>
        <v/>
      </c>
      <c r="I33" s="56" t="str">
        <f aca="false">IF($W33="","",N(INDEX(发票统计!I$4:I$1003,$W33)))</f>
        <v/>
      </c>
      <c r="J33" s="56" t="str">
        <f aca="false">IF($W33="","",N(INDEX(发票统计!J$4:J$1003,$W33)))</f>
        <v/>
      </c>
      <c r="K33" s="56" t="str">
        <f aca="false">IF($W33="","",N(INDEX(发票统计!K$4:K$1003,$W33)))</f>
        <v/>
      </c>
      <c r="L33" s="56" t="str">
        <f aca="false">IF($W33="","",SUM(J$4:J33)-SUM(K$4:K33))</f>
        <v/>
      </c>
      <c r="M33" s="56" t="str">
        <f aca="false">IF($W33="","",N(INDEX(发票统计!M$4:M$1003,$W33)))</f>
        <v/>
      </c>
      <c r="N33" s="56" t="str">
        <f aca="false">IF($W33="","",N(INDEX(发票统计!N$4:N$1003,$W33)))</f>
        <v/>
      </c>
      <c r="O33" s="56" t="str">
        <f aca="false">IF($W33="","",N(INDEX(发票统计!O$4:O$1003,$W33)))</f>
        <v/>
      </c>
      <c r="P33" s="56" t="str">
        <f aca="false">IF($W33="","",SUM(M$4:M33)-SUM(N$4:N33)-SUM(O$4:O33))</f>
        <v/>
      </c>
      <c r="Q33" s="56" t="str">
        <f aca="false">IF($W33="","",N(INDEX(发票统计!Q$4:Q$1003,$W33)))</f>
        <v/>
      </c>
      <c r="R33" s="56" t="str">
        <f aca="false">IF($W33="","",N(INDEX(发票统计!R$4:R$1003,$W33)))</f>
        <v/>
      </c>
      <c r="S33" s="56" t="str">
        <f aca="false">IF($W33="","",N(INDEX(发票统计!S$4:S$1003,$W33)))</f>
        <v/>
      </c>
      <c r="T33" s="56" t="str">
        <f aca="false">IF($W33="","",SUM(Q$4:Q33)-SUM(R$4:R33)-SUM(S$4:S33))</f>
        <v/>
      </c>
      <c r="U33" s="56" t="str">
        <f aca="false">IF($W33="","",INDEX(发票统计!U$4:U$1003,$W33)&amp;"")</f>
        <v/>
      </c>
      <c r="W33" s="1" t="str">
        <f aca="false">IF($V$3="","",IFERROR(MATCH($V$3&amp;"#"&amp;ROWS(W$4:W33),发票统计!$W$4:$W$1003,0),""))</f>
        <v/>
      </c>
    </row>
    <row r="34" customFormat="false" ht="16.5" hidden="false" customHeight="false" outlineLevel="0" collapsed="false">
      <c r="A34" s="3" t="str">
        <f aca="false">IF($W34="","",INDEX(发票统计!A$4:A$1003,$W34)&amp;"")</f>
        <v/>
      </c>
      <c r="B34" s="3" t="str">
        <f aca="false">IF($W34="","",INDEX(发票统计!B$4:B$1003,$W34)&amp;"")</f>
        <v/>
      </c>
      <c r="C34" s="3" t="str">
        <f aca="false">IF($W34="","",INDEX(发票统计!C$4:C$1003,$W34)&amp;"")</f>
        <v/>
      </c>
      <c r="D34" s="3" t="str">
        <f aca="false">IF($W34="","",INDEX(发票统计!D$4:D$1003,$W34)&amp;"")</f>
        <v/>
      </c>
      <c r="E34" s="56" t="str">
        <f aca="false">IF($W34="","",INDEX(发票统计!E$4:E$1003,$W34)&amp;"")</f>
        <v/>
      </c>
      <c r="F34" s="56" t="str">
        <f aca="false">IF($W34="","",INDEX(发票统计!F$4:F$1003,$W34)&amp;"")</f>
        <v/>
      </c>
      <c r="G34" s="68" t="str">
        <f aca="false">IF($W34="","",IF(INDEX(发票统计!G$4:G$1003,$W34)="","",INDEX(发票统计!G$4:G$1003,$W34)))</f>
        <v/>
      </c>
      <c r="H34" s="56" t="str">
        <f aca="false">IF($W34="","",N(INDEX(发票统计!H$4:H$1003,$W34)))</f>
        <v/>
      </c>
      <c r="I34" s="56" t="str">
        <f aca="false">IF($W34="","",N(INDEX(发票统计!I$4:I$1003,$W34)))</f>
        <v/>
      </c>
      <c r="J34" s="56" t="str">
        <f aca="false">IF($W34="","",N(INDEX(发票统计!J$4:J$1003,$W34)))</f>
        <v/>
      </c>
      <c r="K34" s="56" t="str">
        <f aca="false">IF($W34="","",N(INDEX(发票统计!K$4:K$1003,$W34)))</f>
        <v/>
      </c>
      <c r="L34" s="56" t="str">
        <f aca="false">IF($W34="","",SUM(J$4:J34)-SUM(K$4:K34))</f>
        <v/>
      </c>
      <c r="M34" s="56" t="str">
        <f aca="false">IF($W34="","",N(INDEX(发票统计!M$4:M$1003,$W34)))</f>
        <v/>
      </c>
      <c r="N34" s="56" t="str">
        <f aca="false">IF($W34="","",N(INDEX(发票统计!N$4:N$1003,$W34)))</f>
        <v/>
      </c>
      <c r="O34" s="56" t="str">
        <f aca="false">IF($W34="","",N(INDEX(发票统计!O$4:O$1003,$W34)))</f>
        <v/>
      </c>
      <c r="P34" s="56" t="str">
        <f aca="false">IF($W34="","",SUM(M$4:M34)-SUM(N$4:N34)-SUM(O$4:O34))</f>
        <v/>
      </c>
      <c r="Q34" s="56" t="str">
        <f aca="false">IF($W34="","",N(INDEX(发票统计!Q$4:Q$1003,$W34)))</f>
        <v/>
      </c>
      <c r="R34" s="56" t="str">
        <f aca="false">IF($W34="","",N(INDEX(发票统计!R$4:R$1003,$W34)))</f>
        <v/>
      </c>
      <c r="S34" s="56" t="str">
        <f aca="false">IF($W34="","",N(INDEX(发票统计!S$4:S$1003,$W34)))</f>
        <v/>
      </c>
      <c r="T34" s="56" t="str">
        <f aca="false">IF($W34="","",SUM(Q$4:Q34)-SUM(R$4:R34)-SUM(S$4:S34))</f>
        <v/>
      </c>
      <c r="U34" s="56" t="str">
        <f aca="false">IF($W34="","",INDEX(发票统计!U$4:U$1003,$W34)&amp;"")</f>
        <v/>
      </c>
      <c r="W34" s="1" t="str">
        <f aca="false">IF($V$3="","",IFERROR(MATCH($V$3&amp;"#"&amp;ROWS(W$4:W34),发票统计!$W$4:$W$1003,0),""))</f>
        <v/>
      </c>
    </row>
    <row r="35" customFormat="false" ht="16.5" hidden="false" customHeight="false" outlineLevel="0" collapsed="false">
      <c r="A35" s="3" t="str">
        <f aca="false">IF($W35="","",INDEX(发票统计!A$4:A$1003,$W35)&amp;"")</f>
        <v/>
      </c>
      <c r="B35" s="3" t="str">
        <f aca="false">IF($W35="","",INDEX(发票统计!B$4:B$1003,$W35)&amp;"")</f>
        <v/>
      </c>
      <c r="C35" s="3" t="str">
        <f aca="false">IF($W35="","",INDEX(发票统计!C$4:C$1003,$W35)&amp;"")</f>
        <v/>
      </c>
      <c r="D35" s="3" t="str">
        <f aca="false">IF($W35="","",INDEX(发票统计!D$4:D$1003,$W35)&amp;"")</f>
        <v/>
      </c>
      <c r="E35" s="56" t="str">
        <f aca="false">IF($W35="","",INDEX(发票统计!E$4:E$1003,$W35)&amp;"")</f>
        <v/>
      </c>
      <c r="F35" s="56" t="str">
        <f aca="false">IF($W35="","",INDEX(发票统计!F$4:F$1003,$W35)&amp;"")</f>
        <v/>
      </c>
      <c r="G35" s="68" t="str">
        <f aca="false">IF($W35="","",IF(INDEX(发票统计!G$4:G$1003,$W35)="","",INDEX(发票统计!G$4:G$1003,$W35)))</f>
        <v/>
      </c>
      <c r="H35" s="56" t="str">
        <f aca="false">IF($W35="","",N(INDEX(发票统计!H$4:H$1003,$W35)))</f>
        <v/>
      </c>
      <c r="I35" s="56" t="str">
        <f aca="false">IF($W35="","",N(INDEX(发票统计!I$4:I$1003,$W35)))</f>
        <v/>
      </c>
      <c r="J35" s="56" t="str">
        <f aca="false">IF($W35="","",N(INDEX(发票统计!J$4:J$1003,$W35)))</f>
        <v/>
      </c>
      <c r="K35" s="56" t="str">
        <f aca="false">IF($W35="","",N(INDEX(发票统计!K$4:K$1003,$W35)))</f>
        <v/>
      </c>
      <c r="L35" s="56" t="str">
        <f aca="false">IF($W35="","",SUM(J$4:J35)-SUM(K$4:K35))</f>
        <v/>
      </c>
      <c r="M35" s="56" t="str">
        <f aca="false">IF($W35="","",N(INDEX(发票统计!M$4:M$1003,$W35)))</f>
        <v/>
      </c>
      <c r="N35" s="56" t="str">
        <f aca="false">IF($W35="","",N(INDEX(发票统计!N$4:N$1003,$W35)))</f>
        <v/>
      </c>
      <c r="O35" s="56" t="str">
        <f aca="false">IF($W35="","",N(INDEX(发票统计!O$4:O$1003,$W35)))</f>
        <v/>
      </c>
      <c r="P35" s="56" t="str">
        <f aca="false">IF($W35="","",SUM(M$4:M35)-SUM(N$4:N35)-SUM(O$4:O35))</f>
        <v/>
      </c>
      <c r="Q35" s="56" t="str">
        <f aca="false">IF($W35="","",N(INDEX(发票统计!Q$4:Q$1003,$W35)))</f>
        <v/>
      </c>
      <c r="R35" s="56" t="str">
        <f aca="false">IF($W35="","",N(INDEX(发票统计!R$4:R$1003,$W35)))</f>
        <v/>
      </c>
      <c r="S35" s="56" t="str">
        <f aca="false">IF($W35="","",N(INDEX(发票统计!S$4:S$1003,$W35)))</f>
        <v/>
      </c>
      <c r="T35" s="56" t="str">
        <f aca="false">IF($W35="","",SUM(Q$4:Q35)-SUM(R$4:R35)-SUM(S$4:S35))</f>
        <v/>
      </c>
      <c r="U35" s="56" t="str">
        <f aca="false">IF($W35="","",INDEX(发票统计!U$4:U$1003,$W35)&amp;"")</f>
        <v/>
      </c>
      <c r="W35" s="1" t="str">
        <f aca="false">IF($V$3="","",IFERROR(MATCH($V$3&amp;"#"&amp;ROWS(W$4:W35),发票统计!$W$4:$W$1003,0),""))</f>
        <v/>
      </c>
    </row>
    <row r="36" customFormat="false" ht="16.5" hidden="false" customHeight="false" outlineLevel="0" collapsed="false">
      <c r="A36" s="3" t="str">
        <f aca="false">IF($W36="","",INDEX(发票统计!A$4:A$1003,$W36)&amp;"")</f>
        <v/>
      </c>
      <c r="B36" s="3" t="str">
        <f aca="false">IF($W36="","",INDEX(发票统计!B$4:B$1003,$W36)&amp;"")</f>
        <v/>
      </c>
      <c r="C36" s="3" t="str">
        <f aca="false">IF($W36="","",INDEX(发票统计!C$4:C$1003,$W36)&amp;"")</f>
        <v/>
      </c>
      <c r="D36" s="3" t="str">
        <f aca="false">IF($W36="","",INDEX(发票统计!D$4:D$1003,$W36)&amp;"")</f>
        <v/>
      </c>
      <c r="E36" s="67" t="str">
        <f aca="false">IF($W36="","",INDEX(发票统计!E$4:E$1003,$W36)&amp;"")</f>
        <v/>
      </c>
      <c r="F36" s="67" t="str">
        <f aca="false">IF($W36="","",INDEX(发票统计!F$4:F$1003,$W36)&amp;"")</f>
        <v/>
      </c>
      <c r="G36" s="68" t="str">
        <f aca="false">IF($W36="","",IF(INDEX(发票统计!G$4:G$1003,$W36)="","",INDEX(发票统计!G$4:G$1003,$W36)))</f>
        <v/>
      </c>
      <c r="H36" s="56" t="str">
        <f aca="false">IF($W36="","",N(INDEX(发票统计!H$4:H$1003,$W36)))</f>
        <v/>
      </c>
      <c r="I36" s="56" t="str">
        <f aca="false">IF($W36="","",N(INDEX(发票统计!I$4:I$1003,$W36)))</f>
        <v/>
      </c>
      <c r="J36" s="56" t="str">
        <f aca="false">IF($W36="","",N(INDEX(发票统计!J$4:J$1003,$W36)))</f>
        <v/>
      </c>
      <c r="K36" s="56" t="str">
        <f aca="false">IF($W36="","",N(INDEX(发票统计!K$4:K$1003,$W36)))</f>
        <v/>
      </c>
      <c r="L36" s="56" t="str">
        <f aca="false">IF($W36="","",SUM(J$4:J36)-SUM(K$4:K36))</f>
        <v/>
      </c>
      <c r="M36" s="56" t="str">
        <f aca="false">IF($W36="","",N(INDEX(发票统计!M$4:M$1003,$W36)))</f>
        <v/>
      </c>
      <c r="N36" s="56" t="str">
        <f aca="false">IF($W36="","",N(INDEX(发票统计!N$4:N$1003,$W36)))</f>
        <v/>
      </c>
      <c r="O36" s="56" t="str">
        <f aca="false">IF($W36="","",N(INDEX(发票统计!O$4:O$1003,$W36)))</f>
        <v/>
      </c>
      <c r="P36" s="56" t="str">
        <f aca="false">IF($W36="","",SUM(M$4:M36)-SUM(N$4:N36)-SUM(O$4:O36))</f>
        <v/>
      </c>
      <c r="Q36" s="56" t="str">
        <f aca="false">IF($W36="","",N(INDEX(发票统计!Q$4:Q$1003,$W36)))</f>
        <v/>
      </c>
      <c r="R36" s="56" t="str">
        <f aca="false">IF($W36="","",N(INDEX(发票统计!R$4:R$1003,$W36)))</f>
        <v/>
      </c>
      <c r="S36" s="56" t="str">
        <f aca="false">IF($W36="","",N(INDEX(发票统计!S$4:S$1003,$W36)))</f>
        <v/>
      </c>
      <c r="T36" s="56" t="str">
        <f aca="false">IF($W36="","",SUM(Q$4:Q36)-SUM(R$4:R36)-SUM(S$4:S36))</f>
        <v/>
      </c>
      <c r="U36" s="56" t="str">
        <f aca="false">IF($W36="","",INDEX(发票统计!U$4:U$1003,$W36)&amp;"")</f>
        <v/>
      </c>
      <c r="W36" s="1" t="str">
        <f aca="false">IF($V$3="","",IFERROR(MATCH($V$3&amp;"#"&amp;ROWS(W$4:W36),发票统计!$W$4:$W$1003,0),""))</f>
        <v/>
      </c>
    </row>
    <row r="37" customFormat="false" ht="16.5" hidden="false" customHeight="false" outlineLevel="0" collapsed="false">
      <c r="A37" s="3" t="str">
        <f aca="false">IF($W37="","",INDEX(发票统计!A$4:A$1003,$W37)&amp;"")</f>
        <v/>
      </c>
      <c r="B37" s="3" t="str">
        <f aca="false">IF($W37="","",INDEX(发票统计!B$4:B$1003,$W37)&amp;"")</f>
        <v/>
      </c>
      <c r="C37" s="3" t="str">
        <f aca="false">IF($W37="","",INDEX(发票统计!C$4:C$1003,$W37)&amp;"")</f>
        <v/>
      </c>
      <c r="D37" s="3" t="str">
        <f aca="false">IF($W37="","",INDEX(发票统计!D$4:D$1003,$W37)&amp;"")</f>
        <v/>
      </c>
      <c r="E37" s="67" t="str">
        <f aca="false">IF($W37="","",INDEX(发票统计!E$4:E$1003,$W37)&amp;"")</f>
        <v/>
      </c>
      <c r="F37" s="67" t="str">
        <f aca="false">IF($W37="","",INDEX(发票统计!F$4:F$1003,$W37)&amp;"")</f>
        <v/>
      </c>
      <c r="G37" s="68" t="str">
        <f aca="false">IF($W37="","",IF(INDEX(发票统计!G$4:G$1003,$W37)="","",INDEX(发票统计!G$4:G$1003,$W37)))</f>
        <v/>
      </c>
      <c r="H37" s="56" t="str">
        <f aca="false">IF($W37="","",N(INDEX(发票统计!H$4:H$1003,$W37)))</f>
        <v/>
      </c>
      <c r="I37" s="56" t="str">
        <f aca="false">IF($W37="","",N(INDEX(发票统计!I$4:I$1003,$W37)))</f>
        <v/>
      </c>
      <c r="J37" s="56" t="str">
        <f aca="false">IF($W37="","",N(INDEX(发票统计!J$4:J$1003,$W37)))</f>
        <v/>
      </c>
      <c r="K37" s="56" t="str">
        <f aca="false">IF($W37="","",N(INDEX(发票统计!K$4:K$1003,$W37)))</f>
        <v/>
      </c>
      <c r="L37" s="56" t="str">
        <f aca="false">IF($W37="","",SUM(J$4:J37)-SUM(K$4:K37))</f>
        <v/>
      </c>
      <c r="M37" s="56" t="str">
        <f aca="false">IF($W37="","",N(INDEX(发票统计!M$4:M$1003,$W37)))</f>
        <v/>
      </c>
      <c r="N37" s="56" t="str">
        <f aca="false">IF($W37="","",N(INDEX(发票统计!N$4:N$1003,$W37)))</f>
        <v/>
      </c>
      <c r="O37" s="56" t="str">
        <f aca="false">IF($W37="","",N(INDEX(发票统计!O$4:O$1003,$W37)))</f>
        <v/>
      </c>
      <c r="P37" s="56" t="str">
        <f aca="false">IF($W37="","",SUM(M$4:M37)-SUM(N$4:N37)-SUM(O$4:O37))</f>
        <v/>
      </c>
      <c r="Q37" s="56" t="str">
        <f aca="false">IF($W37="","",N(INDEX(发票统计!Q$4:Q$1003,$W37)))</f>
        <v/>
      </c>
      <c r="R37" s="56" t="str">
        <f aca="false">IF($W37="","",N(INDEX(发票统计!R$4:R$1003,$W37)))</f>
        <v/>
      </c>
      <c r="S37" s="56" t="str">
        <f aca="false">IF($W37="","",N(INDEX(发票统计!S$4:S$1003,$W37)))</f>
        <v/>
      </c>
      <c r="T37" s="56" t="str">
        <f aca="false">IF($W37="","",SUM(Q$4:Q37)-SUM(R$4:R37)-SUM(S$4:S37))</f>
        <v/>
      </c>
      <c r="U37" s="56" t="str">
        <f aca="false">IF($W37="","",INDEX(发票统计!U$4:U$1003,$W37)&amp;"")</f>
        <v/>
      </c>
      <c r="W37" s="1" t="str">
        <f aca="false">IF($V$3="","",IFERROR(MATCH($V$3&amp;"#"&amp;ROWS(W$4:W37),发票统计!$W$4:$W$1003,0),""))</f>
        <v/>
      </c>
    </row>
    <row r="38" customFormat="false" ht="16.5" hidden="false" customHeight="false" outlineLevel="0" collapsed="false">
      <c r="A38" s="3" t="str">
        <f aca="false">IF($W38="","",INDEX(发票统计!A$4:A$1003,$W38)&amp;"")</f>
        <v/>
      </c>
      <c r="B38" s="3" t="str">
        <f aca="false">IF($W38="","",INDEX(发票统计!B$4:B$1003,$W38)&amp;"")</f>
        <v/>
      </c>
      <c r="C38" s="3" t="str">
        <f aca="false">IF($W38="","",INDEX(发票统计!C$4:C$1003,$W38)&amp;"")</f>
        <v/>
      </c>
      <c r="D38" s="3" t="str">
        <f aca="false">IF($W38="","",INDEX(发票统计!D$4:D$1003,$W38)&amp;"")</f>
        <v/>
      </c>
      <c r="E38" s="67" t="str">
        <f aca="false">IF($W38="","",INDEX(发票统计!E$4:E$1003,$W38)&amp;"")</f>
        <v/>
      </c>
      <c r="F38" s="67" t="str">
        <f aca="false">IF($W38="","",INDEX(发票统计!F$4:F$1003,$W38)&amp;"")</f>
        <v/>
      </c>
      <c r="G38" s="68" t="str">
        <f aca="false">IF($W38="","",IF(INDEX(发票统计!G$4:G$1003,$W38)="","",INDEX(发票统计!G$4:G$1003,$W38)))</f>
        <v/>
      </c>
      <c r="H38" s="56" t="str">
        <f aca="false">IF($W38="","",N(INDEX(发票统计!H$4:H$1003,$W38)))</f>
        <v/>
      </c>
      <c r="I38" s="56" t="str">
        <f aca="false">IF($W38="","",N(INDEX(发票统计!I$4:I$1003,$W38)))</f>
        <v/>
      </c>
      <c r="J38" s="56" t="str">
        <f aca="false">IF($W38="","",N(INDEX(发票统计!J$4:J$1003,$W38)))</f>
        <v/>
      </c>
      <c r="K38" s="56" t="str">
        <f aca="false">IF($W38="","",N(INDEX(发票统计!K$4:K$1003,$W38)))</f>
        <v/>
      </c>
      <c r="L38" s="56" t="str">
        <f aca="false">IF($W38="","",SUM(J$4:J38)-SUM(K$4:K38))</f>
        <v/>
      </c>
      <c r="M38" s="56" t="str">
        <f aca="false">IF($W38="","",N(INDEX(发票统计!M$4:M$1003,$W38)))</f>
        <v/>
      </c>
      <c r="N38" s="56" t="str">
        <f aca="false">IF($W38="","",N(INDEX(发票统计!N$4:N$1003,$W38)))</f>
        <v/>
      </c>
      <c r="O38" s="56" t="str">
        <f aca="false">IF($W38="","",N(INDEX(发票统计!O$4:O$1003,$W38)))</f>
        <v/>
      </c>
      <c r="P38" s="56" t="str">
        <f aca="false">IF($W38="","",SUM(M$4:M38)-SUM(N$4:N38)-SUM(O$4:O38))</f>
        <v/>
      </c>
      <c r="Q38" s="56" t="str">
        <f aca="false">IF($W38="","",N(INDEX(发票统计!Q$4:Q$1003,$W38)))</f>
        <v/>
      </c>
      <c r="R38" s="56" t="str">
        <f aca="false">IF($W38="","",N(INDEX(发票统计!R$4:R$1003,$W38)))</f>
        <v/>
      </c>
      <c r="S38" s="56" t="str">
        <f aca="false">IF($W38="","",N(INDEX(发票统计!S$4:S$1003,$W38)))</f>
        <v/>
      </c>
      <c r="T38" s="56" t="str">
        <f aca="false">IF($W38="","",SUM(Q$4:Q38)-SUM(R$4:R38)-SUM(S$4:S38))</f>
        <v/>
      </c>
      <c r="U38" s="56" t="str">
        <f aca="false">IF($W38="","",INDEX(发票统计!U$4:U$1003,$W38)&amp;"")</f>
        <v/>
      </c>
      <c r="W38" s="1" t="str">
        <f aca="false">IF($V$3="","",IFERROR(MATCH($V$3&amp;"#"&amp;ROWS(W$4:W38),发票统计!$W$4:$W$1003,0),""))</f>
        <v/>
      </c>
    </row>
    <row r="39" customFormat="false" ht="16.5" hidden="false" customHeight="false" outlineLevel="0" collapsed="false">
      <c r="A39" s="3" t="str">
        <f aca="false">IF($W39="","",INDEX(发票统计!A$4:A$1003,$W39)&amp;"")</f>
        <v/>
      </c>
      <c r="B39" s="3" t="str">
        <f aca="false">IF($W39="","",INDEX(发票统计!B$4:B$1003,$W39)&amp;"")</f>
        <v/>
      </c>
      <c r="C39" s="3" t="str">
        <f aca="false">IF($W39="","",INDEX(发票统计!C$4:C$1003,$W39)&amp;"")</f>
        <v/>
      </c>
      <c r="D39" s="3" t="str">
        <f aca="false">IF($W39="","",INDEX(发票统计!D$4:D$1003,$W39)&amp;"")</f>
        <v/>
      </c>
      <c r="E39" s="67" t="str">
        <f aca="false">IF($W39="","",INDEX(发票统计!E$4:E$1003,$W39)&amp;"")</f>
        <v/>
      </c>
      <c r="F39" s="67" t="str">
        <f aca="false">IF($W39="","",INDEX(发票统计!F$4:F$1003,$W39)&amp;"")</f>
        <v/>
      </c>
      <c r="G39" s="68" t="str">
        <f aca="false">IF($W39="","",IF(INDEX(发票统计!G$4:G$1003,$W39)="","",INDEX(发票统计!G$4:G$1003,$W39)))</f>
        <v/>
      </c>
      <c r="H39" s="56" t="str">
        <f aca="false">IF($W39="","",N(INDEX(发票统计!H$4:H$1003,$W39)))</f>
        <v/>
      </c>
      <c r="I39" s="56" t="str">
        <f aca="false">IF($W39="","",N(INDEX(发票统计!I$4:I$1003,$W39)))</f>
        <v/>
      </c>
      <c r="J39" s="56" t="str">
        <f aca="false">IF($W39="","",N(INDEX(发票统计!J$4:J$1003,$W39)))</f>
        <v/>
      </c>
      <c r="K39" s="56" t="str">
        <f aca="false">IF($W39="","",N(INDEX(发票统计!K$4:K$1003,$W39)))</f>
        <v/>
      </c>
      <c r="L39" s="56" t="str">
        <f aca="false">IF($W39="","",SUM(J$4:J39)-SUM(K$4:K39))</f>
        <v/>
      </c>
      <c r="M39" s="56" t="str">
        <f aca="false">IF($W39="","",N(INDEX(发票统计!M$4:M$1003,$W39)))</f>
        <v/>
      </c>
      <c r="N39" s="56" t="str">
        <f aca="false">IF($W39="","",N(INDEX(发票统计!N$4:N$1003,$W39)))</f>
        <v/>
      </c>
      <c r="O39" s="56" t="str">
        <f aca="false">IF($W39="","",N(INDEX(发票统计!O$4:O$1003,$W39)))</f>
        <v/>
      </c>
      <c r="P39" s="56" t="str">
        <f aca="false">IF($W39="","",SUM(M$4:M39)-SUM(N$4:N39)-SUM(O$4:O39))</f>
        <v/>
      </c>
      <c r="Q39" s="56" t="str">
        <f aca="false">IF($W39="","",N(INDEX(发票统计!Q$4:Q$1003,$W39)))</f>
        <v/>
      </c>
      <c r="R39" s="56" t="str">
        <f aca="false">IF($W39="","",N(INDEX(发票统计!R$4:R$1003,$W39)))</f>
        <v/>
      </c>
      <c r="S39" s="56" t="str">
        <f aca="false">IF($W39="","",N(INDEX(发票统计!S$4:S$1003,$W39)))</f>
        <v/>
      </c>
      <c r="T39" s="56" t="str">
        <f aca="false">IF($W39="","",SUM(Q$4:Q39)-SUM(R$4:R39)-SUM(S$4:S39))</f>
        <v/>
      </c>
      <c r="U39" s="56" t="str">
        <f aca="false">IF($W39="","",INDEX(发票统计!U$4:U$1003,$W39)&amp;"")</f>
        <v/>
      </c>
      <c r="W39" s="1" t="str">
        <f aca="false">IF($V$3="","",IFERROR(MATCH($V$3&amp;"#"&amp;ROWS(W$4:W39),发票统计!$W$4:$W$1003,0),""))</f>
        <v/>
      </c>
    </row>
    <row r="40" customFormat="false" ht="16.5" hidden="false" customHeight="false" outlineLevel="0" collapsed="false">
      <c r="A40" s="3" t="str">
        <f aca="false">IF($W40="","",INDEX(发票统计!A$4:A$1003,$W40)&amp;"")</f>
        <v/>
      </c>
      <c r="B40" s="3" t="str">
        <f aca="false">IF($W40="","",INDEX(发票统计!B$4:B$1003,$W40)&amp;"")</f>
        <v/>
      </c>
      <c r="C40" s="3" t="str">
        <f aca="false">IF($W40="","",INDEX(发票统计!C$4:C$1003,$W40)&amp;"")</f>
        <v/>
      </c>
      <c r="D40" s="3" t="str">
        <f aca="false">IF($W40="","",INDEX(发票统计!D$4:D$1003,$W40)&amp;"")</f>
        <v/>
      </c>
      <c r="E40" s="67" t="str">
        <f aca="false">IF($W40="","",INDEX(发票统计!E$4:E$1003,$W40)&amp;"")</f>
        <v/>
      </c>
      <c r="F40" s="67" t="str">
        <f aca="false">IF($W40="","",INDEX(发票统计!F$4:F$1003,$W40)&amp;"")</f>
        <v/>
      </c>
      <c r="G40" s="68" t="str">
        <f aca="false">IF($W40="","",IF(INDEX(发票统计!G$4:G$1003,$W40)="","",INDEX(发票统计!G$4:G$1003,$W40)))</f>
        <v/>
      </c>
      <c r="H40" s="56" t="str">
        <f aca="false">IF($W40="","",N(INDEX(发票统计!H$4:H$1003,$W40)))</f>
        <v/>
      </c>
      <c r="I40" s="56" t="str">
        <f aca="false">IF($W40="","",N(INDEX(发票统计!I$4:I$1003,$W40)))</f>
        <v/>
      </c>
      <c r="J40" s="56" t="str">
        <f aca="false">IF($W40="","",N(INDEX(发票统计!J$4:J$1003,$W40)))</f>
        <v/>
      </c>
      <c r="K40" s="56" t="str">
        <f aca="false">IF($W40="","",N(INDEX(发票统计!K$4:K$1003,$W40)))</f>
        <v/>
      </c>
      <c r="L40" s="56" t="str">
        <f aca="false">IF($W40="","",SUM(J$4:J40)-SUM(K$4:K40))</f>
        <v/>
      </c>
      <c r="M40" s="56" t="str">
        <f aca="false">IF($W40="","",N(INDEX(发票统计!M$4:M$1003,$W40)))</f>
        <v/>
      </c>
      <c r="N40" s="56" t="str">
        <f aca="false">IF($W40="","",N(INDEX(发票统计!N$4:N$1003,$W40)))</f>
        <v/>
      </c>
      <c r="O40" s="56" t="str">
        <f aca="false">IF($W40="","",N(INDEX(发票统计!O$4:O$1003,$W40)))</f>
        <v/>
      </c>
      <c r="P40" s="56" t="str">
        <f aca="false">IF($W40="","",SUM(M$4:M40)-SUM(N$4:N40)-SUM(O$4:O40))</f>
        <v/>
      </c>
      <c r="Q40" s="56" t="str">
        <f aca="false">IF($W40="","",N(INDEX(发票统计!Q$4:Q$1003,$W40)))</f>
        <v/>
      </c>
      <c r="R40" s="56" t="str">
        <f aca="false">IF($W40="","",N(INDEX(发票统计!R$4:R$1003,$W40)))</f>
        <v/>
      </c>
      <c r="S40" s="56" t="str">
        <f aca="false">IF($W40="","",N(INDEX(发票统计!S$4:S$1003,$W40)))</f>
        <v/>
      </c>
      <c r="T40" s="56" t="str">
        <f aca="false">IF($W40="","",SUM(Q$4:Q40)-SUM(R$4:R40)-SUM(S$4:S40))</f>
        <v/>
      </c>
      <c r="U40" s="56" t="str">
        <f aca="false">IF($W40="","",INDEX(发票统计!U$4:U$1003,$W40)&amp;"")</f>
        <v/>
      </c>
      <c r="W40" s="1" t="str">
        <f aca="false">IF($V$3="","",IFERROR(MATCH($V$3&amp;"#"&amp;ROWS(W$4:W40),发票统计!$W$4:$W$1003,0),""))</f>
        <v/>
      </c>
    </row>
    <row r="41" customFormat="false" ht="16.5" hidden="false" customHeight="false" outlineLevel="0" collapsed="false">
      <c r="A41" s="3" t="str">
        <f aca="false">IF($W41="","",INDEX(发票统计!A$4:A$1003,$W41)&amp;"")</f>
        <v/>
      </c>
      <c r="B41" s="3" t="str">
        <f aca="false">IF($W41="","",INDEX(发票统计!B$4:B$1003,$W41)&amp;"")</f>
        <v/>
      </c>
      <c r="C41" s="3" t="str">
        <f aca="false">IF($W41="","",INDEX(发票统计!C$4:C$1003,$W41)&amp;"")</f>
        <v/>
      </c>
      <c r="D41" s="3" t="str">
        <f aca="false">IF($W41="","",INDEX(发票统计!D$4:D$1003,$W41)&amp;"")</f>
        <v/>
      </c>
      <c r="E41" s="67" t="str">
        <f aca="false">IF($W41="","",INDEX(发票统计!E$4:E$1003,$W41)&amp;"")</f>
        <v/>
      </c>
      <c r="F41" s="67" t="str">
        <f aca="false">IF($W41="","",INDEX(发票统计!F$4:F$1003,$W41)&amp;"")</f>
        <v/>
      </c>
      <c r="G41" s="68" t="str">
        <f aca="false">IF($W41="","",IF(INDEX(发票统计!G$4:G$1003,$W41)="","",INDEX(发票统计!G$4:G$1003,$W41)))</f>
        <v/>
      </c>
      <c r="H41" s="56" t="str">
        <f aca="false">IF($W41="","",N(INDEX(发票统计!H$4:H$1003,$W41)))</f>
        <v/>
      </c>
      <c r="I41" s="56" t="str">
        <f aca="false">IF($W41="","",N(INDEX(发票统计!I$4:I$1003,$W41)))</f>
        <v/>
      </c>
      <c r="J41" s="56" t="str">
        <f aca="false">IF($W41="","",N(INDEX(发票统计!J$4:J$1003,$W41)))</f>
        <v/>
      </c>
      <c r="K41" s="56" t="str">
        <f aca="false">IF($W41="","",N(INDEX(发票统计!K$4:K$1003,$W41)))</f>
        <v/>
      </c>
      <c r="L41" s="56" t="str">
        <f aca="false">IF($W41="","",SUM(J$4:J41)-SUM(K$4:K41))</f>
        <v/>
      </c>
      <c r="M41" s="56" t="str">
        <f aca="false">IF($W41="","",N(INDEX(发票统计!M$4:M$1003,$W41)))</f>
        <v/>
      </c>
      <c r="N41" s="56" t="str">
        <f aca="false">IF($W41="","",N(INDEX(发票统计!N$4:N$1003,$W41)))</f>
        <v/>
      </c>
      <c r="O41" s="56" t="str">
        <f aca="false">IF($W41="","",N(INDEX(发票统计!O$4:O$1003,$W41)))</f>
        <v/>
      </c>
      <c r="P41" s="56" t="str">
        <f aca="false">IF($W41="","",SUM(M$4:M41)-SUM(N$4:N41)-SUM(O$4:O41))</f>
        <v/>
      </c>
      <c r="Q41" s="56" t="str">
        <f aca="false">IF($W41="","",N(INDEX(发票统计!Q$4:Q$1003,$W41)))</f>
        <v/>
      </c>
      <c r="R41" s="56" t="str">
        <f aca="false">IF($W41="","",N(INDEX(发票统计!R$4:R$1003,$W41)))</f>
        <v/>
      </c>
      <c r="S41" s="56" t="str">
        <f aca="false">IF($W41="","",N(INDEX(发票统计!S$4:S$1003,$W41)))</f>
        <v/>
      </c>
      <c r="T41" s="56" t="str">
        <f aca="false">IF($W41="","",SUM(Q$4:Q41)-SUM(R$4:R41)-SUM(S$4:S41))</f>
        <v/>
      </c>
      <c r="U41" s="56" t="str">
        <f aca="false">IF($W41="","",INDEX(发票统计!U$4:U$1003,$W41)&amp;"")</f>
        <v/>
      </c>
      <c r="W41" s="1" t="str">
        <f aca="false">IF($V$3="","",IFERROR(MATCH($V$3&amp;"#"&amp;ROWS(W$4:W41),发票统计!$W$4:$W$1003,0),""))</f>
        <v/>
      </c>
    </row>
    <row r="42" customFormat="false" ht="16.5" hidden="false" customHeight="false" outlineLevel="0" collapsed="false">
      <c r="A42" s="3" t="str">
        <f aca="false">IF($W42="","",INDEX(发票统计!A$4:A$1003,$W42)&amp;"")</f>
        <v/>
      </c>
      <c r="B42" s="3" t="str">
        <f aca="false">IF($W42="","",INDEX(发票统计!B$4:B$1003,$W42)&amp;"")</f>
        <v/>
      </c>
      <c r="C42" s="3" t="str">
        <f aca="false">IF($W42="","",INDEX(发票统计!C$4:C$1003,$W42)&amp;"")</f>
        <v/>
      </c>
      <c r="D42" s="3" t="str">
        <f aca="false">IF($W42="","",INDEX(发票统计!D$4:D$1003,$W42)&amp;"")</f>
        <v/>
      </c>
      <c r="E42" s="67" t="str">
        <f aca="false">IF($W42="","",INDEX(发票统计!E$4:E$1003,$W42)&amp;"")</f>
        <v/>
      </c>
      <c r="F42" s="67" t="str">
        <f aca="false">IF($W42="","",INDEX(发票统计!F$4:F$1003,$W42)&amp;"")</f>
        <v/>
      </c>
      <c r="G42" s="68" t="str">
        <f aca="false">IF($W42="","",IF(INDEX(发票统计!G$4:G$1003,$W42)="","",INDEX(发票统计!G$4:G$1003,$W42)))</f>
        <v/>
      </c>
      <c r="H42" s="56" t="str">
        <f aca="false">IF($W42="","",N(INDEX(发票统计!H$4:H$1003,$W42)))</f>
        <v/>
      </c>
      <c r="I42" s="56" t="str">
        <f aca="false">IF($W42="","",N(INDEX(发票统计!I$4:I$1003,$W42)))</f>
        <v/>
      </c>
      <c r="J42" s="56" t="str">
        <f aca="false">IF($W42="","",N(INDEX(发票统计!J$4:J$1003,$W42)))</f>
        <v/>
      </c>
      <c r="K42" s="56" t="str">
        <f aca="false">IF($W42="","",N(INDEX(发票统计!K$4:K$1003,$W42)))</f>
        <v/>
      </c>
      <c r="L42" s="56" t="str">
        <f aca="false">IF($W42="","",SUM(J$4:J42)-SUM(K$4:K42))</f>
        <v/>
      </c>
      <c r="M42" s="56" t="str">
        <f aca="false">IF($W42="","",N(INDEX(发票统计!M$4:M$1003,$W42)))</f>
        <v/>
      </c>
      <c r="N42" s="56" t="str">
        <f aca="false">IF($W42="","",N(INDEX(发票统计!N$4:N$1003,$W42)))</f>
        <v/>
      </c>
      <c r="O42" s="56" t="str">
        <f aca="false">IF($W42="","",N(INDEX(发票统计!O$4:O$1003,$W42)))</f>
        <v/>
      </c>
      <c r="P42" s="56" t="str">
        <f aca="false">IF($W42="","",SUM(M$4:M42)-SUM(N$4:N42)-SUM(O$4:O42))</f>
        <v/>
      </c>
      <c r="Q42" s="56" t="str">
        <f aca="false">IF($W42="","",N(INDEX(发票统计!Q$4:Q$1003,$W42)))</f>
        <v/>
      </c>
      <c r="R42" s="56" t="str">
        <f aca="false">IF($W42="","",N(INDEX(发票统计!R$4:R$1003,$W42)))</f>
        <v/>
      </c>
      <c r="S42" s="56" t="str">
        <f aca="false">IF($W42="","",N(INDEX(发票统计!S$4:S$1003,$W42)))</f>
        <v/>
      </c>
      <c r="T42" s="56" t="str">
        <f aca="false">IF($W42="","",SUM(Q$4:Q42)-SUM(R$4:R42)-SUM(S$4:S42))</f>
        <v/>
      </c>
      <c r="U42" s="56" t="str">
        <f aca="false">IF($W42="","",INDEX(发票统计!U$4:U$1003,$W42)&amp;"")</f>
        <v/>
      </c>
      <c r="W42" s="1" t="str">
        <f aca="false">IF($V$3="","",IFERROR(MATCH($V$3&amp;"#"&amp;ROWS(W$4:W42),发票统计!$W$4:$W$1003,0),""))</f>
        <v/>
      </c>
    </row>
    <row r="43" customFormat="false" ht="16.5" hidden="false" customHeight="false" outlineLevel="0" collapsed="false">
      <c r="A43" s="3" t="str">
        <f aca="false">IF($W43="","",INDEX(发票统计!A$4:A$1003,$W43)&amp;"")</f>
        <v/>
      </c>
      <c r="B43" s="3" t="str">
        <f aca="false">IF($W43="","",INDEX(发票统计!B$4:B$1003,$W43)&amp;"")</f>
        <v/>
      </c>
      <c r="C43" s="3" t="str">
        <f aca="false">IF($W43="","",INDEX(发票统计!C$4:C$1003,$W43)&amp;"")</f>
        <v/>
      </c>
      <c r="D43" s="3" t="str">
        <f aca="false">IF($W43="","",INDEX(发票统计!D$4:D$1003,$W43)&amp;"")</f>
        <v/>
      </c>
      <c r="E43" s="67" t="str">
        <f aca="false">IF($W43="","",INDEX(发票统计!E$4:E$1003,$W43)&amp;"")</f>
        <v/>
      </c>
      <c r="F43" s="67" t="str">
        <f aca="false">IF($W43="","",INDEX(发票统计!F$4:F$1003,$W43)&amp;"")</f>
        <v/>
      </c>
      <c r="G43" s="68" t="str">
        <f aca="false">IF($W43="","",IF(INDEX(发票统计!G$4:G$1003,$W43)="","",INDEX(发票统计!G$4:G$1003,$W43)))</f>
        <v/>
      </c>
      <c r="H43" s="56" t="str">
        <f aca="false">IF($W43="","",N(INDEX(发票统计!H$4:H$1003,$W43)))</f>
        <v/>
      </c>
      <c r="I43" s="56" t="str">
        <f aca="false">IF($W43="","",N(INDEX(发票统计!I$4:I$1003,$W43)))</f>
        <v/>
      </c>
      <c r="J43" s="56" t="str">
        <f aca="false">IF($W43="","",N(INDEX(发票统计!J$4:J$1003,$W43)))</f>
        <v/>
      </c>
      <c r="K43" s="56" t="str">
        <f aca="false">IF($W43="","",N(INDEX(发票统计!K$4:K$1003,$W43)))</f>
        <v/>
      </c>
      <c r="L43" s="56" t="str">
        <f aca="false">IF($W43="","",SUM(J$4:J43)-SUM(K$4:K43))</f>
        <v/>
      </c>
      <c r="M43" s="56" t="str">
        <f aca="false">IF($W43="","",N(INDEX(发票统计!M$4:M$1003,$W43)))</f>
        <v/>
      </c>
      <c r="N43" s="56" t="str">
        <f aca="false">IF($W43="","",N(INDEX(发票统计!N$4:N$1003,$W43)))</f>
        <v/>
      </c>
      <c r="O43" s="56" t="str">
        <f aca="false">IF($W43="","",N(INDEX(发票统计!O$4:O$1003,$W43)))</f>
        <v/>
      </c>
      <c r="P43" s="56" t="str">
        <f aca="false">IF($W43="","",SUM(M$4:M43)-SUM(N$4:N43)-SUM(O$4:O43))</f>
        <v/>
      </c>
      <c r="Q43" s="56" t="str">
        <f aca="false">IF($W43="","",N(INDEX(发票统计!Q$4:Q$1003,$W43)))</f>
        <v/>
      </c>
      <c r="R43" s="56" t="str">
        <f aca="false">IF($W43="","",N(INDEX(发票统计!R$4:R$1003,$W43)))</f>
        <v/>
      </c>
      <c r="S43" s="56" t="str">
        <f aca="false">IF($W43="","",N(INDEX(发票统计!S$4:S$1003,$W43)))</f>
        <v/>
      </c>
      <c r="T43" s="56" t="str">
        <f aca="false">IF($W43="","",SUM(Q$4:Q43)-SUM(R$4:R43)-SUM(S$4:S43))</f>
        <v/>
      </c>
      <c r="U43" s="56" t="str">
        <f aca="false">IF($W43="","",INDEX(发票统计!U$4:U$1003,$W43)&amp;"")</f>
        <v/>
      </c>
      <c r="W43" s="1" t="str">
        <f aca="false">IF($V$3="","",IFERROR(MATCH($V$3&amp;"#"&amp;ROWS(W$4:W43),发票统计!$W$4:$W$1003,0),""))</f>
        <v/>
      </c>
    </row>
    <row r="44" customFormat="false" ht="16.5" hidden="false" customHeight="false" outlineLevel="0" collapsed="false">
      <c r="A44" s="3" t="str">
        <f aca="false">IF($W44="","",INDEX(发票统计!A$4:A$1003,$W44)&amp;"")</f>
        <v/>
      </c>
      <c r="B44" s="3" t="str">
        <f aca="false">IF($W44="","",INDEX(发票统计!B$4:B$1003,$W44)&amp;"")</f>
        <v/>
      </c>
      <c r="C44" s="3" t="str">
        <f aca="false">IF($W44="","",INDEX(发票统计!C$4:C$1003,$W44)&amp;"")</f>
        <v/>
      </c>
      <c r="D44" s="3" t="str">
        <f aca="false">IF($W44="","",INDEX(发票统计!D$4:D$1003,$W44)&amp;"")</f>
        <v/>
      </c>
      <c r="E44" s="67" t="str">
        <f aca="false">IF($W44="","",INDEX(发票统计!E$4:E$1003,$W44)&amp;"")</f>
        <v/>
      </c>
      <c r="F44" s="67" t="str">
        <f aca="false">IF($W44="","",INDEX(发票统计!F$4:F$1003,$W44)&amp;"")</f>
        <v/>
      </c>
      <c r="G44" s="68" t="str">
        <f aca="false">IF($W44="","",IF(INDEX(发票统计!G$4:G$1003,$W44)="","",INDEX(发票统计!G$4:G$1003,$W44)))</f>
        <v/>
      </c>
      <c r="H44" s="56" t="str">
        <f aca="false">IF($W44="","",N(INDEX(发票统计!H$4:H$1003,$W44)))</f>
        <v/>
      </c>
      <c r="I44" s="56" t="str">
        <f aca="false">IF($W44="","",N(INDEX(发票统计!I$4:I$1003,$W44)))</f>
        <v/>
      </c>
      <c r="J44" s="56" t="str">
        <f aca="false">IF($W44="","",N(INDEX(发票统计!J$4:J$1003,$W44)))</f>
        <v/>
      </c>
      <c r="K44" s="56" t="str">
        <f aca="false">IF($W44="","",N(INDEX(发票统计!K$4:K$1003,$W44)))</f>
        <v/>
      </c>
      <c r="L44" s="56" t="str">
        <f aca="false">IF($W44="","",SUM(J$4:J44)-SUM(K$4:K44))</f>
        <v/>
      </c>
      <c r="M44" s="56" t="str">
        <f aca="false">IF($W44="","",N(INDEX(发票统计!M$4:M$1003,$W44)))</f>
        <v/>
      </c>
      <c r="N44" s="56" t="str">
        <f aca="false">IF($W44="","",N(INDEX(发票统计!N$4:N$1003,$W44)))</f>
        <v/>
      </c>
      <c r="O44" s="56" t="str">
        <f aca="false">IF($W44="","",N(INDEX(发票统计!O$4:O$1003,$W44)))</f>
        <v/>
      </c>
      <c r="P44" s="56" t="str">
        <f aca="false">IF($W44="","",SUM(M$4:M44)-SUM(N$4:N44)-SUM(O$4:O44))</f>
        <v/>
      </c>
      <c r="Q44" s="56" t="str">
        <f aca="false">IF($W44="","",N(INDEX(发票统计!Q$4:Q$1003,$W44)))</f>
        <v/>
      </c>
      <c r="R44" s="56" t="str">
        <f aca="false">IF($W44="","",N(INDEX(发票统计!R$4:R$1003,$W44)))</f>
        <v/>
      </c>
      <c r="S44" s="56" t="str">
        <f aca="false">IF($W44="","",N(INDEX(发票统计!S$4:S$1003,$W44)))</f>
        <v/>
      </c>
      <c r="T44" s="56" t="str">
        <f aca="false">IF($W44="","",SUM(Q$4:Q44)-SUM(R$4:R44)-SUM(S$4:S44))</f>
        <v/>
      </c>
      <c r="U44" s="56" t="str">
        <f aca="false">IF($W44="","",INDEX(发票统计!U$4:U$1003,$W44)&amp;"")</f>
        <v/>
      </c>
      <c r="W44" s="1" t="str">
        <f aca="false">IF($V$3="","",IFERROR(MATCH($V$3&amp;"#"&amp;ROWS(W$4:W44),发票统计!$W$4:$W$1003,0),""))</f>
        <v/>
      </c>
    </row>
    <row r="45" customFormat="false" ht="16.5" hidden="false" customHeight="false" outlineLevel="0" collapsed="false">
      <c r="A45" s="3" t="str">
        <f aca="false">IF($W45="","",INDEX(发票统计!A$4:A$1003,$W45)&amp;"")</f>
        <v/>
      </c>
      <c r="B45" s="3" t="str">
        <f aca="false">IF($W45="","",INDEX(发票统计!B$4:B$1003,$W45)&amp;"")</f>
        <v/>
      </c>
      <c r="C45" s="3" t="str">
        <f aca="false">IF($W45="","",INDEX(发票统计!C$4:C$1003,$W45)&amp;"")</f>
        <v/>
      </c>
      <c r="D45" s="3" t="str">
        <f aca="false">IF($W45="","",INDEX(发票统计!D$4:D$1003,$W45)&amp;"")</f>
        <v/>
      </c>
      <c r="E45" s="67" t="str">
        <f aca="false">IF($W45="","",INDEX(发票统计!E$4:E$1003,$W45)&amp;"")</f>
        <v/>
      </c>
      <c r="F45" s="67" t="str">
        <f aca="false">IF($W45="","",INDEX(发票统计!F$4:F$1003,$W45)&amp;"")</f>
        <v/>
      </c>
      <c r="G45" s="68" t="str">
        <f aca="false">IF($W45="","",IF(INDEX(发票统计!G$4:G$1003,$W45)="","",INDEX(发票统计!G$4:G$1003,$W45)))</f>
        <v/>
      </c>
      <c r="H45" s="56" t="str">
        <f aca="false">IF($W45="","",N(INDEX(发票统计!H$4:H$1003,$W45)))</f>
        <v/>
      </c>
      <c r="I45" s="56" t="str">
        <f aca="false">IF($W45="","",N(INDEX(发票统计!I$4:I$1003,$W45)))</f>
        <v/>
      </c>
      <c r="J45" s="56" t="str">
        <f aca="false">IF($W45="","",N(INDEX(发票统计!J$4:J$1003,$W45)))</f>
        <v/>
      </c>
      <c r="K45" s="56" t="str">
        <f aca="false">IF($W45="","",N(INDEX(发票统计!K$4:K$1003,$W45)))</f>
        <v/>
      </c>
      <c r="L45" s="56" t="str">
        <f aca="false">IF($W45="","",SUM(J$4:J45)-SUM(K$4:K45))</f>
        <v/>
      </c>
      <c r="M45" s="56" t="str">
        <f aca="false">IF($W45="","",N(INDEX(发票统计!M$4:M$1003,$W45)))</f>
        <v/>
      </c>
      <c r="N45" s="56" t="str">
        <f aca="false">IF($W45="","",N(INDEX(发票统计!N$4:N$1003,$W45)))</f>
        <v/>
      </c>
      <c r="O45" s="56" t="str">
        <f aca="false">IF($W45="","",N(INDEX(发票统计!O$4:O$1003,$W45)))</f>
        <v/>
      </c>
      <c r="P45" s="56" t="str">
        <f aca="false">IF($W45="","",SUM(M$4:M45)-SUM(N$4:N45)-SUM(O$4:O45))</f>
        <v/>
      </c>
      <c r="Q45" s="56" t="str">
        <f aca="false">IF($W45="","",N(INDEX(发票统计!Q$4:Q$1003,$W45)))</f>
        <v/>
      </c>
      <c r="R45" s="56" t="str">
        <f aca="false">IF($W45="","",N(INDEX(发票统计!R$4:R$1003,$W45)))</f>
        <v/>
      </c>
      <c r="S45" s="56" t="str">
        <f aca="false">IF($W45="","",N(INDEX(发票统计!S$4:S$1003,$W45)))</f>
        <v/>
      </c>
      <c r="T45" s="56" t="str">
        <f aca="false">IF($W45="","",SUM(Q$4:Q45)-SUM(R$4:R45)-SUM(S$4:S45))</f>
        <v/>
      </c>
      <c r="U45" s="56" t="str">
        <f aca="false">IF($W45="","",INDEX(发票统计!U$4:U$1003,$W45)&amp;"")</f>
        <v/>
      </c>
      <c r="W45" s="1" t="str">
        <f aca="false">IF($V$3="","",IFERROR(MATCH($V$3&amp;"#"&amp;ROWS(W$4:W45),发票统计!$W$4:$W$1003,0),""))</f>
        <v/>
      </c>
    </row>
    <row r="46" customFormat="false" ht="16.5" hidden="false" customHeight="false" outlineLevel="0" collapsed="false">
      <c r="A46" s="3" t="str">
        <f aca="false">IF($W46="","",INDEX(发票统计!A$4:A$1003,$W46)&amp;"")</f>
        <v/>
      </c>
      <c r="B46" s="3" t="str">
        <f aca="false">IF($W46="","",INDEX(发票统计!B$4:B$1003,$W46)&amp;"")</f>
        <v/>
      </c>
      <c r="C46" s="3" t="str">
        <f aca="false">IF($W46="","",INDEX(发票统计!C$4:C$1003,$W46)&amp;"")</f>
        <v/>
      </c>
      <c r="D46" s="3" t="str">
        <f aca="false">IF($W46="","",INDEX(发票统计!D$4:D$1003,$W46)&amp;"")</f>
        <v/>
      </c>
      <c r="E46" s="67" t="str">
        <f aca="false">IF($W46="","",INDEX(发票统计!E$4:E$1003,$W46)&amp;"")</f>
        <v/>
      </c>
      <c r="F46" s="67" t="str">
        <f aca="false">IF($W46="","",INDEX(发票统计!F$4:F$1003,$W46)&amp;"")</f>
        <v/>
      </c>
      <c r="G46" s="68" t="str">
        <f aca="false">IF($W46="","",IF(INDEX(发票统计!G$4:G$1003,$W46)="","",INDEX(发票统计!G$4:G$1003,$W46)))</f>
        <v/>
      </c>
      <c r="H46" s="56" t="str">
        <f aca="false">IF($W46="","",N(INDEX(发票统计!H$4:H$1003,$W46)))</f>
        <v/>
      </c>
      <c r="I46" s="56" t="str">
        <f aca="false">IF($W46="","",N(INDEX(发票统计!I$4:I$1003,$W46)))</f>
        <v/>
      </c>
      <c r="J46" s="56" t="str">
        <f aca="false">IF($W46="","",N(INDEX(发票统计!J$4:J$1003,$W46)))</f>
        <v/>
      </c>
      <c r="K46" s="56" t="str">
        <f aca="false">IF($W46="","",N(INDEX(发票统计!K$4:K$1003,$W46)))</f>
        <v/>
      </c>
      <c r="L46" s="56" t="str">
        <f aca="false">IF($W46="","",SUM(J$4:J46)-SUM(K$4:K46))</f>
        <v/>
      </c>
      <c r="M46" s="56" t="str">
        <f aca="false">IF($W46="","",N(INDEX(发票统计!M$4:M$1003,$W46)))</f>
        <v/>
      </c>
      <c r="N46" s="56" t="str">
        <f aca="false">IF($W46="","",N(INDEX(发票统计!N$4:N$1003,$W46)))</f>
        <v/>
      </c>
      <c r="O46" s="56" t="str">
        <f aca="false">IF($W46="","",N(INDEX(发票统计!O$4:O$1003,$W46)))</f>
        <v/>
      </c>
      <c r="P46" s="56" t="str">
        <f aca="false">IF($W46="","",SUM(M$4:M46)-SUM(N$4:N46)-SUM(O$4:O46))</f>
        <v/>
      </c>
      <c r="Q46" s="56" t="str">
        <f aca="false">IF($W46="","",N(INDEX(发票统计!Q$4:Q$1003,$W46)))</f>
        <v/>
      </c>
      <c r="R46" s="56" t="str">
        <f aca="false">IF($W46="","",N(INDEX(发票统计!R$4:R$1003,$W46)))</f>
        <v/>
      </c>
      <c r="S46" s="56" t="str">
        <f aca="false">IF($W46="","",N(INDEX(发票统计!S$4:S$1003,$W46)))</f>
        <v/>
      </c>
      <c r="T46" s="56" t="str">
        <f aca="false">IF($W46="","",SUM(Q$4:Q46)-SUM(R$4:R46)-SUM(S$4:S46))</f>
        <v/>
      </c>
      <c r="U46" s="56" t="str">
        <f aca="false">IF($W46="","",INDEX(发票统计!U$4:U$1003,$W46)&amp;"")</f>
        <v/>
      </c>
      <c r="W46" s="1" t="str">
        <f aca="false">IF($V$3="","",IFERROR(MATCH($V$3&amp;"#"&amp;ROWS(W$4:W46),发票统计!$W$4:$W$1003,0),""))</f>
        <v/>
      </c>
    </row>
    <row r="47" customFormat="false" ht="16.5" hidden="false" customHeight="false" outlineLevel="0" collapsed="false">
      <c r="A47" s="3" t="str">
        <f aca="false">IF($W47="","",INDEX(发票统计!A$4:A$1003,$W47)&amp;"")</f>
        <v/>
      </c>
      <c r="B47" s="3" t="str">
        <f aca="false">IF($W47="","",INDEX(发票统计!B$4:B$1003,$W47)&amp;"")</f>
        <v/>
      </c>
      <c r="C47" s="3" t="str">
        <f aca="false">IF($W47="","",INDEX(发票统计!C$4:C$1003,$W47)&amp;"")</f>
        <v/>
      </c>
      <c r="D47" s="3" t="str">
        <f aca="false">IF($W47="","",INDEX(发票统计!D$4:D$1003,$W47)&amp;"")</f>
        <v/>
      </c>
      <c r="E47" s="67" t="str">
        <f aca="false">IF($W47="","",INDEX(发票统计!E$4:E$1003,$W47)&amp;"")</f>
        <v/>
      </c>
      <c r="F47" s="67" t="str">
        <f aca="false">IF($W47="","",INDEX(发票统计!F$4:F$1003,$W47)&amp;"")</f>
        <v/>
      </c>
      <c r="G47" s="68" t="str">
        <f aca="false">IF($W47="","",IF(INDEX(发票统计!G$4:G$1003,$W47)="","",INDEX(发票统计!G$4:G$1003,$W47)))</f>
        <v/>
      </c>
      <c r="H47" s="56" t="str">
        <f aca="false">IF($W47="","",N(INDEX(发票统计!H$4:H$1003,$W47)))</f>
        <v/>
      </c>
      <c r="I47" s="56" t="str">
        <f aca="false">IF($W47="","",N(INDEX(发票统计!I$4:I$1003,$W47)))</f>
        <v/>
      </c>
      <c r="J47" s="56" t="str">
        <f aca="false">IF($W47="","",N(INDEX(发票统计!J$4:J$1003,$W47)))</f>
        <v/>
      </c>
      <c r="K47" s="56" t="str">
        <f aca="false">IF($W47="","",N(INDEX(发票统计!K$4:K$1003,$W47)))</f>
        <v/>
      </c>
      <c r="L47" s="56" t="str">
        <f aca="false">IF($W47="","",SUM(J$4:J47)-SUM(K$4:K47))</f>
        <v/>
      </c>
      <c r="M47" s="56" t="str">
        <f aca="false">IF($W47="","",N(INDEX(发票统计!M$4:M$1003,$W47)))</f>
        <v/>
      </c>
      <c r="N47" s="56" t="str">
        <f aca="false">IF($W47="","",N(INDEX(发票统计!N$4:N$1003,$W47)))</f>
        <v/>
      </c>
      <c r="O47" s="56" t="str">
        <f aca="false">IF($W47="","",N(INDEX(发票统计!O$4:O$1003,$W47)))</f>
        <v/>
      </c>
      <c r="P47" s="56" t="str">
        <f aca="false">IF($W47="","",SUM(M$4:M47)-SUM(N$4:N47)-SUM(O$4:O47))</f>
        <v/>
      </c>
      <c r="Q47" s="56" t="str">
        <f aca="false">IF($W47="","",N(INDEX(发票统计!Q$4:Q$1003,$W47)))</f>
        <v/>
      </c>
      <c r="R47" s="56" t="str">
        <f aca="false">IF($W47="","",N(INDEX(发票统计!R$4:R$1003,$W47)))</f>
        <v/>
      </c>
      <c r="S47" s="56" t="str">
        <f aca="false">IF($W47="","",N(INDEX(发票统计!S$4:S$1003,$W47)))</f>
        <v/>
      </c>
      <c r="T47" s="56" t="str">
        <f aca="false">IF($W47="","",SUM(Q$4:Q47)-SUM(R$4:R47)-SUM(S$4:S47))</f>
        <v/>
      </c>
      <c r="U47" s="56" t="str">
        <f aca="false">IF($W47="","",INDEX(发票统计!U$4:U$1003,$W47)&amp;"")</f>
        <v/>
      </c>
      <c r="W47" s="1" t="str">
        <f aca="false">IF($V$3="","",IFERROR(MATCH($V$3&amp;"#"&amp;ROWS(W$4:W47),发票统计!$W$4:$W$1003,0),""))</f>
        <v/>
      </c>
    </row>
    <row r="48" customFormat="false" ht="16.5" hidden="false" customHeight="false" outlineLevel="0" collapsed="false">
      <c r="A48" s="3" t="str">
        <f aca="false">IF($W48="","",INDEX(发票统计!A$4:A$1003,$W48)&amp;"")</f>
        <v/>
      </c>
      <c r="B48" s="3" t="str">
        <f aca="false">IF($W48="","",INDEX(发票统计!B$4:B$1003,$W48)&amp;"")</f>
        <v/>
      </c>
      <c r="C48" s="3" t="str">
        <f aca="false">IF($W48="","",INDEX(发票统计!C$4:C$1003,$W48)&amp;"")</f>
        <v/>
      </c>
      <c r="D48" s="3" t="str">
        <f aca="false">IF($W48="","",INDEX(发票统计!D$4:D$1003,$W48)&amp;"")</f>
        <v/>
      </c>
      <c r="E48" s="67" t="str">
        <f aca="false">IF($W48="","",INDEX(发票统计!E$4:E$1003,$W48)&amp;"")</f>
        <v/>
      </c>
      <c r="F48" s="67" t="str">
        <f aca="false">IF($W48="","",INDEX(发票统计!F$4:F$1003,$W48)&amp;"")</f>
        <v/>
      </c>
      <c r="G48" s="68" t="str">
        <f aca="false">IF($W48="","",IF(INDEX(发票统计!G$4:G$1003,$W48)="","",INDEX(发票统计!G$4:G$1003,$W48)))</f>
        <v/>
      </c>
      <c r="H48" s="56" t="str">
        <f aca="false">IF($W48="","",N(INDEX(发票统计!H$4:H$1003,$W48)))</f>
        <v/>
      </c>
      <c r="I48" s="56" t="str">
        <f aca="false">IF($W48="","",N(INDEX(发票统计!I$4:I$1003,$W48)))</f>
        <v/>
      </c>
      <c r="J48" s="56" t="str">
        <f aca="false">IF($W48="","",N(INDEX(发票统计!J$4:J$1003,$W48)))</f>
        <v/>
      </c>
      <c r="K48" s="56" t="str">
        <f aca="false">IF($W48="","",N(INDEX(发票统计!K$4:K$1003,$W48)))</f>
        <v/>
      </c>
      <c r="L48" s="56" t="str">
        <f aca="false">IF($W48="","",SUM(J$4:J48)-SUM(K$4:K48))</f>
        <v/>
      </c>
      <c r="M48" s="56" t="str">
        <f aca="false">IF($W48="","",N(INDEX(发票统计!M$4:M$1003,$W48)))</f>
        <v/>
      </c>
      <c r="N48" s="56" t="str">
        <f aca="false">IF($W48="","",N(INDEX(发票统计!N$4:N$1003,$W48)))</f>
        <v/>
      </c>
      <c r="O48" s="56" t="str">
        <f aca="false">IF($W48="","",N(INDEX(发票统计!O$4:O$1003,$W48)))</f>
        <v/>
      </c>
      <c r="P48" s="56" t="str">
        <f aca="false">IF($W48="","",SUM(M$4:M48)-SUM(N$4:N48)-SUM(O$4:O48))</f>
        <v/>
      </c>
      <c r="Q48" s="56" t="str">
        <f aca="false">IF($W48="","",N(INDEX(发票统计!Q$4:Q$1003,$W48)))</f>
        <v/>
      </c>
      <c r="R48" s="56" t="str">
        <f aca="false">IF($W48="","",N(INDEX(发票统计!R$4:R$1003,$W48)))</f>
        <v/>
      </c>
      <c r="S48" s="56" t="str">
        <f aca="false">IF($W48="","",N(INDEX(发票统计!S$4:S$1003,$W48)))</f>
        <v/>
      </c>
      <c r="T48" s="56" t="str">
        <f aca="false">IF($W48="","",SUM(Q$4:Q48)-SUM(R$4:R48)-SUM(S$4:S48))</f>
        <v/>
      </c>
      <c r="U48" s="56" t="str">
        <f aca="false">IF($W48="","",INDEX(发票统计!U$4:U$1003,$W48)&amp;"")</f>
        <v/>
      </c>
      <c r="W48" s="1" t="str">
        <f aca="false">IF($V$3="","",IFERROR(MATCH($V$3&amp;"#"&amp;ROWS(W$4:W48),发票统计!$W$4:$W$1003,0),""))</f>
        <v/>
      </c>
    </row>
    <row r="49" customFormat="false" ht="16.5" hidden="false" customHeight="false" outlineLevel="0" collapsed="false">
      <c r="A49" s="3" t="str">
        <f aca="false">IF($W49="","",INDEX(发票统计!A$4:A$1003,$W49)&amp;"")</f>
        <v/>
      </c>
      <c r="B49" s="3" t="str">
        <f aca="false">IF($W49="","",INDEX(发票统计!B$4:B$1003,$W49)&amp;"")</f>
        <v/>
      </c>
      <c r="C49" s="3" t="str">
        <f aca="false">IF($W49="","",INDEX(发票统计!C$4:C$1003,$W49)&amp;"")</f>
        <v/>
      </c>
      <c r="D49" s="3" t="str">
        <f aca="false">IF($W49="","",INDEX(发票统计!D$4:D$1003,$W49)&amp;"")</f>
        <v/>
      </c>
      <c r="E49" s="67" t="str">
        <f aca="false">IF($W49="","",INDEX(发票统计!E$4:E$1003,$W49)&amp;"")</f>
        <v/>
      </c>
      <c r="F49" s="68" t="str">
        <f aca="false">IF($W49="","",INDEX(发票统计!F$4:F$1003,$W49)&amp;"")</f>
        <v/>
      </c>
      <c r="G49" s="68" t="str">
        <f aca="false">IF($W49="","",IF(INDEX(发票统计!G$4:G$1003,$W49)="","",INDEX(发票统计!G$4:G$1003,$W49)))</f>
        <v/>
      </c>
      <c r="H49" s="56" t="str">
        <f aca="false">IF($W49="","",N(INDEX(发票统计!H$4:H$1003,$W49)))</f>
        <v/>
      </c>
      <c r="I49" s="56" t="str">
        <f aca="false">IF($W49="","",N(INDEX(发票统计!I$4:I$1003,$W49)))</f>
        <v/>
      </c>
      <c r="J49" s="56" t="str">
        <f aca="false">IF($W49="","",N(INDEX(发票统计!J$4:J$1003,$W49)))</f>
        <v/>
      </c>
      <c r="K49" s="56" t="str">
        <f aca="false">IF($W49="","",N(INDEX(发票统计!K$4:K$1003,$W49)))</f>
        <v/>
      </c>
      <c r="L49" s="56" t="str">
        <f aca="false">IF($W49="","",SUM(J$4:J49)-SUM(K$4:K49))</f>
        <v/>
      </c>
      <c r="M49" s="56" t="str">
        <f aca="false">IF($W49="","",N(INDEX(发票统计!M$4:M$1003,$W49)))</f>
        <v/>
      </c>
      <c r="N49" s="56" t="str">
        <f aca="false">IF($W49="","",N(INDEX(发票统计!N$4:N$1003,$W49)))</f>
        <v/>
      </c>
      <c r="O49" s="56" t="str">
        <f aca="false">IF($W49="","",N(INDEX(发票统计!O$4:O$1003,$W49)))</f>
        <v/>
      </c>
      <c r="P49" s="56" t="str">
        <f aca="false">IF($W49="","",SUM(M$4:M49)-SUM(N$4:N49)-SUM(O$4:O49))</f>
        <v/>
      </c>
      <c r="Q49" s="56" t="str">
        <f aca="false">IF($W49="","",N(INDEX(发票统计!Q$4:Q$1003,$W49)))</f>
        <v/>
      </c>
      <c r="R49" s="56" t="str">
        <f aca="false">IF($W49="","",N(INDEX(发票统计!R$4:R$1003,$W49)))</f>
        <v/>
      </c>
      <c r="S49" s="56" t="str">
        <f aca="false">IF($W49="","",N(INDEX(发票统计!S$4:S$1003,$W49)))</f>
        <v/>
      </c>
      <c r="T49" s="56" t="str">
        <f aca="false">IF($W49="","",SUM(Q$4:Q49)-SUM(R$4:R49)-SUM(S$4:S49))</f>
        <v/>
      </c>
      <c r="U49" s="56" t="str">
        <f aca="false">IF($W49="","",INDEX(发票统计!U$4:U$1003,$W49)&amp;"")</f>
        <v/>
      </c>
      <c r="W49" s="1" t="str">
        <f aca="false">IF($V$3="","",IFERROR(MATCH($V$3&amp;"#"&amp;ROWS(W$4:W49),发票统计!$W$4:$W$1003,0),""))</f>
        <v/>
      </c>
    </row>
    <row r="50" customFormat="false" ht="16.5" hidden="false" customHeight="false" outlineLevel="0" collapsed="false">
      <c r="A50" s="3" t="str">
        <f aca="false">IF($W50="","",INDEX(发票统计!A$4:A$1003,$W50)&amp;"")</f>
        <v/>
      </c>
      <c r="B50" s="3" t="str">
        <f aca="false">IF($W50="","",INDEX(发票统计!B$4:B$1003,$W50)&amp;"")</f>
        <v/>
      </c>
      <c r="C50" s="3" t="str">
        <f aca="false">IF($W50="","",INDEX(发票统计!C$4:C$1003,$W50)&amp;"")</f>
        <v/>
      </c>
      <c r="D50" s="3" t="str">
        <f aca="false">IF($W50="","",INDEX(发票统计!D$4:D$1003,$W50)&amp;"")</f>
        <v/>
      </c>
      <c r="E50" s="67" t="str">
        <f aca="false">IF($W50="","",INDEX(发票统计!E$4:E$1003,$W50)&amp;"")</f>
        <v/>
      </c>
      <c r="F50" s="68" t="str">
        <f aca="false">IF($W50="","",INDEX(发票统计!F$4:F$1003,$W50)&amp;"")</f>
        <v/>
      </c>
      <c r="G50" s="68" t="str">
        <f aca="false">IF($W50="","",IF(INDEX(发票统计!G$4:G$1003,$W50)="","",INDEX(发票统计!G$4:G$1003,$W50)))</f>
        <v/>
      </c>
      <c r="H50" s="56" t="str">
        <f aca="false">IF($W50="","",N(INDEX(发票统计!H$4:H$1003,$W50)))</f>
        <v/>
      </c>
      <c r="I50" s="56" t="str">
        <f aca="false">IF($W50="","",N(INDEX(发票统计!I$4:I$1003,$W50)))</f>
        <v/>
      </c>
      <c r="J50" s="56" t="str">
        <f aca="false">IF($W50="","",N(INDEX(发票统计!J$4:J$1003,$W50)))</f>
        <v/>
      </c>
      <c r="K50" s="56" t="str">
        <f aca="false">IF($W50="","",N(INDEX(发票统计!K$4:K$1003,$W50)))</f>
        <v/>
      </c>
      <c r="L50" s="56" t="str">
        <f aca="false">IF($W50="","",SUM(J$4:J50)-SUM(K$4:K50))</f>
        <v/>
      </c>
      <c r="M50" s="56" t="str">
        <f aca="false">IF($W50="","",N(INDEX(发票统计!M$4:M$1003,$W50)))</f>
        <v/>
      </c>
      <c r="N50" s="56" t="str">
        <f aca="false">IF($W50="","",N(INDEX(发票统计!N$4:N$1003,$W50)))</f>
        <v/>
      </c>
      <c r="O50" s="56" t="str">
        <f aca="false">IF($W50="","",N(INDEX(发票统计!O$4:O$1003,$W50)))</f>
        <v/>
      </c>
      <c r="P50" s="56" t="str">
        <f aca="false">IF($W50="","",SUM(M$4:M50)-SUM(N$4:N50)-SUM(O$4:O50))</f>
        <v/>
      </c>
      <c r="Q50" s="56" t="str">
        <f aca="false">IF($W50="","",N(INDEX(发票统计!Q$4:Q$1003,$W50)))</f>
        <v/>
      </c>
      <c r="R50" s="56" t="str">
        <f aca="false">IF($W50="","",N(INDEX(发票统计!R$4:R$1003,$W50)))</f>
        <v/>
      </c>
      <c r="S50" s="56" t="str">
        <f aca="false">IF($W50="","",N(INDEX(发票统计!S$4:S$1003,$W50)))</f>
        <v/>
      </c>
      <c r="T50" s="56" t="str">
        <f aca="false">IF($W50="","",SUM(Q$4:Q50)-SUM(R$4:R50)-SUM(S$4:S50))</f>
        <v/>
      </c>
      <c r="U50" s="56" t="str">
        <f aca="false">IF($W50="","",INDEX(发票统计!U$4:U$1003,$W50)&amp;"")</f>
        <v/>
      </c>
      <c r="W50" s="1" t="str">
        <f aca="false">IF($V$3="","",IFERROR(MATCH($V$3&amp;"#"&amp;ROWS(W$4:W50),发票统计!$W$4:$W$1003,0),""))</f>
        <v/>
      </c>
    </row>
    <row r="51" customFormat="false" ht="16.5" hidden="false" customHeight="false" outlineLevel="0" collapsed="false">
      <c r="A51" s="3" t="str">
        <f aca="false">IF($W51="","",INDEX(发票统计!A$4:A$1003,$W51)&amp;"")</f>
        <v/>
      </c>
      <c r="B51" s="3" t="str">
        <f aca="false">IF($W51="","",INDEX(发票统计!B$4:B$1003,$W51)&amp;"")</f>
        <v/>
      </c>
      <c r="C51" s="3" t="str">
        <f aca="false">IF($W51="","",INDEX(发票统计!C$4:C$1003,$W51)&amp;"")</f>
        <v/>
      </c>
      <c r="D51" s="3" t="str">
        <f aca="false">IF($W51="","",INDEX(发票统计!D$4:D$1003,$W51)&amp;"")</f>
        <v/>
      </c>
      <c r="E51" s="67" t="str">
        <f aca="false">IF($W51="","",INDEX(发票统计!E$4:E$1003,$W51)&amp;"")</f>
        <v/>
      </c>
      <c r="F51" s="68" t="str">
        <f aca="false">IF($W51="","",INDEX(发票统计!F$4:F$1003,$W51)&amp;"")</f>
        <v/>
      </c>
      <c r="G51" s="68" t="str">
        <f aca="false">IF($W51="","",IF(INDEX(发票统计!G$4:G$1003,$W51)="","",INDEX(发票统计!G$4:G$1003,$W51)))</f>
        <v/>
      </c>
      <c r="H51" s="56" t="str">
        <f aca="false">IF($W51="","",N(INDEX(发票统计!H$4:H$1003,$W51)))</f>
        <v/>
      </c>
      <c r="I51" s="56" t="str">
        <f aca="false">IF($W51="","",N(INDEX(发票统计!I$4:I$1003,$W51)))</f>
        <v/>
      </c>
      <c r="J51" s="56" t="str">
        <f aca="false">IF($W51="","",N(INDEX(发票统计!J$4:J$1003,$W51)))</f>
        <v/>
      </c>
      <c r="K51" s="56" t="str">
        <f aca="false">IF($W51="","",N(INDEX(发票统计!K$4:K$1003,$W51)))</f>
        <v/>
      </c>
      <c r="L51" s="56" t="str">
        <f aca="false">IF($W51="","",SUM(J$4:J51)-SUM(K$4:K51))</f>
        <v/>
      </c>
      <c r="M51" s="56" t="str">
        <f aca="false">IF($W51="","",N(INDEX(发票统计!M$4:M$1003,$W51)))</f>
        <v/>
      </c>
      <c r="N51" s="56" t="str">
        <f aca="false">IF($W51="","",N(INDEX(发票统计!N$4:N$1003,$W51)))</f>
        <v/>
      </c>
      <c r="O51" s="56" t="str">
        <f aca="false">IF($W51="","",N(INDEX(发票统计!O$4:O$1003,$W51)))</f>
        <v/>
      </c>
      <c r="P51" s="56" t="str">
        <f aca="false">IF($W51="","",SUM(M$4:M51)-SUM(N$4:N51)-SUM(O$4:O51))</f>
        <v/>
      </c>
      <c r="Q51" s="56" t="str">
        <f aca="false">IF($W51="","",N(INDEX(发票统计!Q$4:Q$1003,$W51)))</f>
        <v/>
      </c>
      <c r="R51" s="56" t="str">
        <f aca="false">IF($W51="","",N(INDEX(发票统计!R$4:R$1003,$W51)))</f>
        <v/>
      </c>
      <c r="S51" s="56" t="str">
        <f aca="false">IF($W51="","",N(INDEX(发票统计!S$4:S$1003,$W51)))</f>
        <v/>
      </c>
      <c r="T51" s="56" t="str">
        <f aca="false">IF($W51="","",SUM(Q$4:Q51)-SUM(R$4:R51)-SUM(S$4:S51))</f>
        <v/>
      </c>
      <c r="U51" s="56" t="str">
        <f aca="false">IF($W51="","",INDEX(发票统计!U$4:U$1003,$W51)&amp;"")</f>
        <v/>
      </c>
      <c r="W51" s="1" t="str">
        <f aca="false">IF($V$3="","",IFERROR(MATCH($V$3&amp;"#"&amp;ROWS(W$4:W51),发票统计!$W$4:$W$1003,0),""))</f>
        <v/>
      </c>
    </row>
    <row r="52" customFormat="false" ht="16.5" hidden="false" customHeight="false" outlineLevel="0" collapsed="false">
      <c r="A52" s="3" t="str">
        <f aca="false">IF($W52="","",INDEX(发票统计!A$4:A$1003,$W52)&amp;"")</f>
        <v/>
      </c>
      <c r="B52" s="3" t="str">
        <f aca="false">IF($W52="","",INDEX(发票统计!B$4:B$1003,$W52)&amp;"")</f>
        <v/>
      </c>
      <c r="C52" s="3" t="str">
        <f aca="false">IF($W52="","",INDEX(发票统计!C$4:C$1003,$W52)&amp;"")</f>
        <v/>
      </c>
      <c r="D52" s="3" t="str">
        <f aca="false">IF($W52="","",INDEX(发票统计!D$4:D$1003,$W52)&amp;"")</f>
        <v/>
      </c>
      <c r="E52" s="67" t="str">
        <f aca="false">IF($W52="","",INDEX(发票统计!E$4:E$1003,$W52)&amp;"")</f>
        <v/>
      </c>
      <c r="F52" s="68" t="str">
        <f aca="false">IF($W52="","",INDEX(发票统计!F$4:F$1003,$W52)&amp;"")</f>
        <v/>
      </c>
      <c r="G52" s="68" t="str">
        <f aca="false">IF($W52="","",IF(INDEX(发票统计!G$4:G$1003,$W52)="","",INDEX(发票统计!G$4:G$1003,$W52)))</f>
        <v/>
      </c>
      <c r="H52" s="56" t="str">
        <f aca="false">IF($W52="","",N(INDEX(发票统计!H$4:H$1003,$W52)))</f>
        <v/>
      </c>
      <c r="I52" s="56" t="str">
        <f aca="false">IF($W52="","",N(INDEX(发票统计!I$4:I$1003,$W52)))</f>
        <v/>
      </c>
      <c r="J52" s="56" t="str">
        <f aca="false">IF($W52="","",N(INDEX(发票统计!J$4:J$1003,$W52)))</f>
        <v/>
      </c>
      <c r="K52" s="56" t="str">
        <f aca="false">IF($W52="","",N(INDEX(发票统计!K$4:K$1003,$W52)))</f>
        <v/>
      </c>
      <c r="L52" s="56" t="str">
        <f aca="false">IF($W52="","",SUM(J$4:J52)-SUM(K$4:K52))</f>
        <v/>
      </c>
      <c r="M52" s="56" t="str">
        <f aca="false">IF($W52="","",N(INDEX(发票统计!M$4:M$1003,$W52)))</f>
        <v/>
      </c>
      <c r="N52" s="56" t="str">
        <f aca="false">IF($W52="","",N(INDEX(发票统计!N$4:N$1003,$W52)))</f>
        <v/>
      </c>
      <c r="O52" s="56" t="str">
        <f aca="false">IF($W52="","",N(INDEX(发票统计!O$4:O$1003,$W52)))</f>
        <v/>
      </c>
      <c r="P52" s="56" t="str">
        <f aca="false">IF($W52="","",SUM(M$4:M52)-SUM(N$4:N52)-SUM(O$4:O52))</f>
        <v/>
      </c>
      <c r="Q52" s="56" t="str">
        <f aca="false">IF($W52="","",N(INDEX(发票统计!Q$4:Q$1003,$W52)))</f>
        <v/>
      </c>
      <c r="R52" s="56" t="str">
        <f aca="false">IF($W52="","",N(INDEX(发票统计!R$4:R$1003,$W52)))</f>
        <v/>
      </c>
      <c r="S52" s="56" t="str">
        <f aca="false">IF($W52="","",N(INDEX(发票统计!S$4:S$1003,$W52)))</f>
        <v/>
      </c>
      <c r="T52" s="56" t="str">
        <f aca="false">IF($W52="","",SUM(Q$4:Q52)-SUM(R$4:R52)-SUM(S$4:S52))</f>
        <v/>
      </c>
      <c r="U52" s="56" t="str">
        <f aca="false">IF($W52="","",INDEX(发票统计!U$4:U$1003,$W52)&amp;"")</f>
        <v/>
      </c>
      <c r="W52" s="1" t="str">
        <f aca="false">IF($V$3="","",IFERROR(MATCH($V$3&amp;"#"&amp;ROWS(W$4:W52),发票统计!$W$4:$W$1003,0),""))</f>
        <v/>
      </c>
    </row>
    <row r="53" customFormat="false" ht="16.5" hidden="false" customHeight="false" outlineLevel="0" collapsed="false">
      <c r="A53" s="3" t="str">
        <f aca="false">IF($W53="","",INDEX(发票统计!A$4:A$1003,$W53)&amp;"")</f>
        <v/>
      </c>
      <c r="B53" s="3" t="str">
        <f aca="false">IF($W53="","",INDEX(发票统计!B$4:B$1003,$W53)&amp;"")</f>
        <v/>
      </c>
      <c r="C53" s="3" t="str">
        <f aca="false">IF($W53="","",INDEX(发票统计!C$4:C$1003,$W53)&amp;"")</f>
        <v/>
      </c>
      <c r="D53" s="3" t="str">
        <f aca="false">IF($W53="","",INDEX(发票统计!D$4:D$1003,$W53)&amp;"")</f>
        <v/>
      </c>
      <c r="E53" s="67" t="str">
        <f aca="false">IF($W53="","",INDEX(发票统计!E$4:E$1003,$W53)&amp;"")</f>
        <v/>
      </c>
      <c r="F53" s="68" t="str">
        <f aca="false">IF($W53="","",INDEX(发票统计!F$4:F$1003,$W53)&amp;"")</f>
        <v/>
      </c>
      <c r="G53" s="68" t="str">
        <f aca="false">IF($W53="","",IF(INDEX(发票统计!G$4:G$1003,$W53)="","",INDEX(发票统计!G$4:G$1003,$W53)))</f>
        <v/>
      </c>
      <c r="H53" s="56" t="str">
        <f aca="false">IF($W53="","",N(INDEX(发票统计!H$4:H$1003,$W53)))</f>
        <v/>
      </c>
      <c r="I53" s="56" t="str">
        <f aca="false">IF($W53="","",N(INDEX(发票统计!I$4:I$1003,$W53)))</f>
        <v/>
      </c>
      <c r="J53" s="56" t="str">
        <f aca="false">IF($W53="","",N(INDEX(发票统计!J$4:J$1003,$W53)))</f>
        <v/>
      </c>
      <c r="K53" s="56" t="str">
        <f aca="false">IF($W53="","",N(INDEX(发票统计!K$4:K$1003,$W53)))</f>
        <v/>
      </c>
      <c r="L53" s="56" t="str">
        <f aca="false">IF($W53="","",SUM(J$4:J53)-SUM(K$4:K53))</f>
        <v/>
      </c>
      <c r="M53" s="56" t="str">
        <f aca="false">IF($W53="","",N(INDEX(发票统计!M$4:M$1003,$W53)))</f>
        <v/>
      </c>
      <c r="N53" s="56" t="str">
        <f aca="false">IF($W53="","",N(INDEX(发票统计!N$4:N$1003,$W53)))</f>
        <v/>
      </c>
      <c r="O53" s="56" t="str">
        <f aca="false">IF($W53="","",N(INDEX(发票统计!O$4:O$1003,$W53)))</f>
        <v/>
      </c>
      <c r="P53" s="56" t="str">
        <f aca="false">IF($W53="","",SUM(M$4:M53)-SUM(N$4:N53)-SUM(O$4:O53))</f>
        <v/>
      </c>
      <c r="Q53" s="56" t="str">
        <f aca="false">IF($W53="","",N(INDEX(发票统计!Q$4:Q$1003,$W53)))</f>
        <v/>
      </c>
      <c r="R53" s="56" t="str">
        <f aca="false">IF($W53="","",N(INDEX(发票统计!R$4:R$1003,$W53)))</f>
        <v/>
      </c>
      <c r="S53" s="56" t="str">
        <f aca="false">IF($W53="","",N(INDEX(发票统计!S$4:S$1003,$W53)))</f>
        <v/>
      </c>
      <c r="T53" s="56" t="str">
        <f aca="false">IF($W53="","",SUM(Q$4:Q53)-SUM(R$4:R53)-SUM(S$4:S53))</f>
        <v/>
      </c>
      <c r="U53" s="56" t="str">
        <f aca="false">IF($W53="","",INDEX(发票统计!U$4:U$1003,$W53)&amp;"")</f>
        <v/>
      </c>
      <c r="W53" s="1" t="str">
        <f aca="false">IF($V$3="","",IFERROR(MATCH($V$3&amp;"#"&amp;ROWS(W$4:W53),发票统计!$W$4:$W$1003,0),""))</f>
        <v/>
      </c>
    </row>
    <row r="54" customFormat="false" ht="16.5" hidden="false" customHeight="false" outlineLevel="0" collapsed="false">
      <c r="A54" s="3" t="str">
        <f aca="false">IF($W54="","",INDEX(发票统计!A$4:A$1003,$W54)&amp;"")</f>
        <v/>
      </c>
      <c r="B54" s="3" t="str">
        <f aca="false">IF($W54="","",INDEX(发票统计!B$4:B$1003,$W54)&amp;"")</f>
        <v/>
      </c>
      <c r="C54" s="3" t="str">
        <f aca="false">IF($W54="","",INDEX(发票统计!C$4:C$1003,$W54)&amp;"")</f>
        <v/>
      </c>
      <c r="D54" s="3" t="str">
        <f aca="false">IF($W54="","",INDEX(发票统计!D$4:D$1003,$W54)&amp;"")</f>
        <v/>
      </c>
      <c r="E54" s="67" t="str">
        <f aca="false">IF($W54="","",INDEX(发票统计!E$4:E$1003,$W54)&amp;"")</f>
        <v/>
      </c>
      <c r="F54" s="68" t="str">
        <f aca="false">IF($W54="","",INDEX(发票统计!F$4:F$1003,$W54)&amp;"")</f>
        <v/>
      </c>
      <c r="G54" s="68" t="str">
        <f aca="false">IF($W54="","",IF(INDEX(发票统计!G$4:G$1003,$W54)="","",INDEX(发票统计!G$4:G$1003,$W54)))</f>
        <v/>
      </c>
      <c r="H54" s="56" t="str">
        <f aca="false">IF($W54="","",N(INDEX(发票统计!H$4:H$1003,$W54)))</f>
        <v/>
      </c>
      <c r="I54" s="56" t="str">
        <f aca="false">IF($W54="","",N(INDEX(发票统计!I$4:I$1003,$W54)))</f>
        <v/>
      </c>
      <c r="J54" s="56" t="str">
        <f aca="false">IF($W54="","",N(INDEX(发票统计!J$4:J$1003,$W54)))</f>
        <v/>
      </c>
      <c r="K54" s="56" t="str">
        <f aca="false">IF($W54="","",N(INDEX(发票统计!K$4:K$1003,$W54)))</f>
        <v/>
      </c>
      <c r="L54" s="56" t="str">
        <f aca="false">IF($W54="","",SUM(J$4:J54)-SUM(K$4:K54))</f>
        <v/>
      </c>
      <c r="M54" s="56" t="str">
        <f aca="false">IF($W54="","",N(INDEX(发票统计!M$4:M$1003,$W54)))</f>
        <v/>
      </c>
      <c r="N54" s="56" t="str">
        <f aca="false">IF($W54="","",N(INDEX(发票统计!N$4:N$1003,$W54)))</f>
        <v/>
      </c>
      <c r="O54" s="56" t="str">
        <f aca="false">IF($W54="","",N(INDEX(发票统计!O$4:O$1003,$W54)))</f>
        <v/>
      </c>
      <c r="P54" s="56" t="str">
        <f aca="false">IF($W54="","",SUM(M$4:M54)-SUM(N$4:N54)-SUM(O$4:O54))</f>
        <v/>
      </c>
      <c r="Q54" s="56" t="str">
        <f aca="false">IF($W54="","",N(INDEX(发票统计!Q$4:Q$1003,$W54)))</f>
        <v/>
      </c>
      <c r="R54" s="56" t="str">
        <f aca="false">IF($W54="","",N(INDEX(发票统计!R$4:R$1003,$W54)))</f>
        <v/>
      </c>
      <c r="S54" s="56" t="str">
        <f aca="false">IF($W54="","",N(INDEX(发票统计!S$4:S$1003,$W54)))</f>
        <v/>
      </c>
      <c r="T54" s="56" t="str">
        <f aca="false">IF($W54="","",SUM(Q$4:Q54)-SUM(R$4:R54)-SUM(S$4:S54))</f>
        <v/>
      </c>
      <c r="U54" s="56" t="str">
        <f aca="false">IF($W54="","",INDEX(发票统计!U$4:U$1003,$W54)&amp;"")</f>
        <v/>
      </c>
      <c r="W54" s="1" t="str">
        <f aca="false">IF($V$3="","",IFERROR(MATCH($V$3&amp;"#"&amp;ROWS(W$4:W54),发票统计!$W$4:$W$1003,0),""))</f>
        <v/>
      </c>
    </row>
    <row r="55" customFormat="false" ht="16.5" hidden="false" customHeight="false" outlineLevel="0" collapsed="false">
      <c r="A55" s="3" t="str">
        <f aca="false">IF($W55="","",INDEX(发票统计!A$4:A$1003,$W55)&amp;"")</f>
        <v/>
      </c>
      <c r="B55" s="3" t="str">
        <f aca="false">IF($W55="","",INDEX(发票统计!B$4:B$1003,$W55)&amp;"")</f>
        <v/>
      </c>
      <c r="C55" s="3" t="str">
        <f aca="false">IF($W55="","",INDEX(发票统计!C$4:C$1003,$W55)&amp;"")</f>
        <v/>
      </c>
      <c r="D55" s="3" t="str">
        <f aca="false">IF($W55="","",INDEX(发票统计!D$4:D$1003,$W55)&amp;"")</f>
        <v/>
      </c>
      <c r="E55" s="67" t="str">
        <f aca="false">IF($W55="","",INDEX(发票统计!E$4:E$1003,$W55)&amp;"")</f>
        <v/>
      </c>
      <c r="F55" s="68" t="str">
        <f aca="false">IF($W55="","",INDEX(发票统计!F$4:F$1003,$W55)&amp;"")</f>
        <v/>
      </c>
      <c r="G55" s="68" t="str">
        <f aca="false">IF($W55="","",IF(INDEX(发票统计!G$4:G$1003,$W55)="","",INDEX(发票统计!G$4:G$1003,$W55)))</f>
        <v/>
      </c>
      <c r="H55" s="56" t="str">
        <f aca="false">IF($W55="","",N(INDEX(发票统计!H$4:H$1003,$W55)))</f>
        <v/>
      </c>
      <c r="I55" s="56" t="str">
        <f aca="false">IF($W55="","",N(INDEX(发票统计!I$4:I$1003,$W55)))</f>
        <v/>
      </c>
      <c r="J55" s="56" t="str">
        <f aca="false">IF($W55="","",N(INDEX(发票统计!J$4:J$1003,$W55)))</f>
        <v/>
      </c>
      <c r="K55" s="56" t="str">
        <f aca="false">IF($W55="","",N(INDEX(发票统计!K$4:K$1003,$W55)))</f>
        <v/>
      </c>
      <c r="L55" s="56" t="str">
        <f aca="false">IF($W55="","",SUM(J$4:J55)-SUM(K$4:K55))</f>
        <v/>
      </c>
      <c r="M55" s="56" t="str">
        <f aca="false">IF($W55="","",N(INDEX(发票统计!M$4:M$1003,$W55)))</f>
        <v/>
      </c>
      <c r="N55" s="56" t="str">
        <f aca="false">IF($W55="","",N(INDEX(发票统计!N$4:N$1003,$W55)))</f>
        <v/>
      </c>
      <c r="O55" s="56" t="str">
        <f aca="false">IF($W55="","",N(INDEX(发票统计!O$4:O$1003,$W55)))</f>
        <v/>
      </c>
      <c r="P55" s="56" t="str">
        <f aca="false">IF($W55="","",SUM(M$4:M55)-SUM(N$4:N55)-SUM(O$4:O55))</f>
        <v/>
      </c>
      <c r="Q55" s="56" t="str">
        <f aca="false">IF($W55="","",N(INDEX(发票统计!Q$4:Q$1003,$W55)))</f>
        <v/>
      </c>
      <c r="R55" s="56" t="str">
        <f aca="false">IF($W55="","",N(INDEX(发票统计!R$4:R$1003,$W55)))</f>
        <v/>
      </c>
      <c r="S55" s="56" t="str">
        <f aca="false">IF($W55="","",N(INDEX(发票统计!S$4:S$1003,$W55)))</f>
        <v/>
      </c>
      <c r="T55" s="56" t="str">
        <f aca="false">IF($W55="","",SUM(Q$4:Q55)-SUM(R$4:R55)-SUM(S$4:S55))</f>
        <v/>
      </c>
      <c r="U55" s="56" t="str">
        <f aca="false">IF($W55="","",INDEX(发票统计!U$4:U$1003,$W55)&amp;"")</f>
        <v/>
      </c>
      <c r="W55" s="1" t="str">
        <f aca="false">IF($V$3="","",IFERROR(MATCH($V$3&amp;"#"&amp;ROWS(W$4:W55),发票统计!$W$4:$W$1003,0),""))</f>
        <v/>
      </c>
    </row>
    <row r="56" customFormat="false" ht="16.5" hidden="false" customHeight="false" outlineLevel="0" collapsed="false">
      <c r="A56" s="3" t="str">
        <f aca="false">IF($W56="","",INDEX(发票统计!A$4:A$1003,$W56)&amp;"")</f>
        <v/>
      </c>
      <c r="B56" s="3" t="str">
        <f aca="false">IF($W56="","",INDEX(发票统计!B$4:B$1003,$W56)&amp;"")</f>
        <v/>
      </c>
      <c r="C56" s="3" t="str">
        <f aca="false">IF($W56="","",INDEX(发票统计!C$4:C$1003,$W56)&amp;"")</f>
        <v/>
      </c>
      <c r="D56" s="3" t="str">
        <f aca="false">IF($W56="","",INDEX(发票统计!D$4:D$1003,$W56)&amp;"")</f>
        <v/>
      </c>
      <c r="E56" s="67" t="str">
        <f aca="false">IF($W56="","",INDEX(发票统计!E$4:E$1003,$W56)&amp;"")</f>
        <v/>
      </c>
      <c r="F56" s="68" t="str">
        <f aca="false">IF($W56="","",INDEX(发票统计!F$4:F$1003,$W56)&amp;"")</f>
        <v/>
      </c>
      <c r="G56" s="68" t="str">
        <f aca="false">IF($W56="","",IF(INDEX(发票统计!G$4:G$1003,$W56)="","",INDEX(发票统计!G$4:G$1003,$W56)))</f>
        <v/>
      </c>
      <c r="H56" s="56" t="str">
        <f aca="false">IF($W56="","",N(INDEX(发票统计!H$4:H$1003,$W56)))</f>
        <v/>
      </c>
      <c r="I56" s="56" t="str">
        <f aca="false">IF($W56="","",N(INDEX(发票统计!I$4:I$1003,$W56)))</f>
        <v/>
      </c>
      <c r="J56" s="56" t="str">
        <f aca="false">IF($W56="","",N(INDEX(发票统计!J$4:J$1003,$W56)))</f>
        <v/>
      </c>
      <c r="K56" s="56" t="str">
        <f aca="false">IF($W56="","",N(INDEX(发票统计!K$4:K$1003,$W56)))</f>
        <v/>
      </c>
      <c r="L56" s="56" t="str">
        <f aca="false">IF($W56="","",SUM(J$4:J56)-SUM(K$4:K56))</f>
        <v/>
      </c>
      <c r="M56" s="56" t="str">
        <f aca="false">IF($W56="","",N(INDEX(发票统计!M$4:M$1003,$W56)))</f>
        <v/>
      </c>
      <c r="N56" s="56" t="str">
        <f aca="false">IF($W56="","",N(INDEX(发票统计!N$4:N$1003,$W56)))</f>
        <v/>
      </c>
      <c r="O56" s="56" t="str">
        <f aca="false">IF($W56="","",N(INDEX(发票统计!O$4:O$1003,$W56)))</f>
        <v/>
      </c>
      <c r="P56" s="56" t="str">
        <f aca="false">IF($W56="","",SUM(M$4:M56)-SUM(N$4:N56)-SUM(O$4:O56))</f>
        <v/>
      </c>
      <c r="Q56" s="56" t="str">
        <f aca="false">IF($W56="","",N(INDEX(发票统计!Q$4:Q$1003,$W56)))</f>
        <v/>
      </c>
      <c r="R56" s="56" t="str">
        <f aca="false">IF($W56="","",N(INDEX(发票统计!R$4:R$1003,$W56)))</f>
        <v/>
      </c>
      <c r="S56" s="56" t="str">
        <f aca="false">IF($W56="","",N(INDEX(发票统计!S$4:S$1003,$W56)))</f>
        <v/>
      </c>
      <c r="T56" s="56" t="str">
        <f aca="false">IF($W56="","",SUM(Q$4:Q56)-SUM(R$4:R56)-SUM(S$4:S56))</f>
        <v/>
      </c>
      <c r="U56" s="56" t="str">
        <f aca="false">IF($W56="","",INDEX(发票统计!U$4:U$1003,$W56)&amp;"")</f>
        <v/>
      </c>
      <c r="W56" s="1" t="str">
        <f aca="false">IF($V$3="","",IFERROR(MATCH($V$3&amp;"#"&amp;ROWS(W$4:W56),发票统计!$W$4:$W$1003,0),""))</f>
        <v/>
      </c>
    </row>
    <row r="57" customFormat="false" ht="16.5" hidden="false" customHeight="false" outlineLevel="0" collapsed="false">
      <c r="A57" s="3" t="str">
        <f aca="false">IF($W57="","",INDEX(发票统计!A$4:A$1003,$W57)&amp;"")</f>
        <v/>
      </c>
      <c r="B57" s="3" t="str">
        <f aca="false">IF($W57="","",INDEX(发票统计!B$4:B$1003,$W57)&amp;"")</f>
        <v/>
      </c>
      <c r="C57" s="3" t="str">
        <f aca="false">IF($W57="","",INDEX(发票统计!C$4:C$1003,$W57)&amp;"")</f>
        <v/>
      </c>
      <c r="D57" s="3" t="str">
        <f aca="false">IF($W57="","",INDEX(发票统计!D$4:D$1003,$W57)&amp;"")</f>
        <v/>
      </c>
      <c r="E57" s="67" t="str">
        <f aca="false">IF($W57="","",INDEX(发票统计!E$4:E$1003,$W57)&amp;"")</f>
        <v/>
      </c>
      <c r="F57" s="68" t="str">
        <f aca="false">IF($W57="","",INDEX(发票统计!F$4:F$1003,$W57)&amp;"")</f>
        <v/>
      </c>
      <c r="G57" s="68" t="str">
        <f aca="false">IF($W57="","",IF(INDEX(发票统计!G$4:G$1003,$W57)="","",INDEX(发票统计!G$4:G$1003,$W57)))</f>
        <v/>
      </c>
      <c r="H57" s="56" t="str">
        <f aca="false">IF($W57="","",N(INDEX(发票统计!H$4:H$1003,$W57)))</f>
        <v/>
      </c>
      <c r="I57" s="56" t="str">
        <f aca="false">IF($W57="","",N(INDEX(发票统计!I$4:I$1003,$W57)))</f>
        <v/>
      </c>
      <c r="J57" s="56" t="str">
        <f aca="false">IF($W57="","",N(INDEX(发票统计!J$4:J$1003,$W57)))</f>
        <v/>
      </c>
      <c r="K57" s="56" t="str">
        <f aca="false">IF($W57="","",N(INDEX(发票统计!K$4:K$1003,$W57)))</f>
        <v/>
      </c>
      <c r="L57" s="56" t="str">
        <f aca="false">IF($W57="","",SUM(J$4:J57)-SUM(K$4:K57))</f>
        <v/>
      </c>
      <c r="M57" s="56" t="str">
        <f aca="false">IF($W57="","",N(INDEX(发票统计!M$4:M$1003,$W57)))</f>
        <v/>
      </c>
      <c r="N57" s="56" t="str">
        <f aca="false">IF($W57="","",N(INDEX(发票统计!N$4:N$1003,$W57)))</f>
        <v/>
      </c>
      <c r="O57" s="56" t="str">
        <f aca="false">IF($W57="","",N(INDEX(发票统计!O$4:O$1003,$W57)))</f>
        <v/>
      </c>
      <c r="P57" s="56" t="str">
        <f aca="false">IF($W57="","",SUM(M$4:M57)-SUM(N$4:N57)-SUM(O$4:O57))</f>
        <v/>
      </c>
      <c r="Q57" s="56" t="str">
        <f aca="false">IF($W57="","",N(INDEX(发票统计!Q$4:Q$1003,$W57)))</f>
        <v/>
      </c>
      <c r="R57" s="56" t="str">
        <f aca="false">IF($W57="","",N(INDEX(发票统计!R$4:R$1003,$W57)))</f>
        <v/>
      </c>
      <c r="S57" s="56" t="str">
        <f aca="false">IF($W57="","",N(INDEX(发票统计!S$4:S$1003,$W57)))</f>
        <v/>
      </c>
      <c r="T57" s="56" t="str">
        <f aca="false">IF($W57="","",SUM(Q$4:Q57)-SUM(R$4:R57)-SUM(S$4:S57))</f>
        <v/>
      </c>
      <c r="U57" s="56" t="str">
        <f aca="false">IF($W57="","",INDEX(发票统计!U$4:U$1003,$W57)&amp;"")</f>
        <v/>
      </c>
      <c r="W57" s="1" t="str">
        <f aca="false">IF($V$3="","",IFERROR(MATCH($V$3&amp;"#"&amp;ROWS(W$4:W57),发票统计!$W$4:$W$1003,0),""))</f>
        <v/>
      </c>
    </row>
    <row r="58" customFormat="false" ht="16.5" hidden="false" customHeight="false" outlineLevel="0" collapsed="false">
      <c r="A58" s="3" t="str">
        <f aca="false">IF($W58="","",INDEX(发票统计!A$4:A$1003,$W58)&amp;"")</f>
        <v/>
      </c>
      <c r="B58" s="3" t="str">
        <f aca="false">IF($W58="","",INDEX(发票统计!B$4:B$1003,$W58)&amp;"")</f>
        <v/>
      </c>
      <c r="C58" s="3" t="str">
        <f aca="false">IF($W58="","",INDEX(发票统计!C$4:C$1003,$W58)&amp;"")</f>
        <v/>
      </c>
      <c r="D58" s="3" t="str">
        <f aca="false">IF($W58="","",INDEX(发票统计!D$4:D$1003,$W58)&amp;"")</f>
        <v/>
      </c>
      <c r="E58" s="67" t="str">
        <f aca="false">IF($W58="","",INDEX(发票统计!E$4:E$1003,$W58)&amp;"")</f>
        <v/>
      </c>
      <c r="F58" s="68" t="str">
        <f aca="false">IF($W58="","",INDEX(发票统计!F$4:F$1003,$W58)&amp;"")</f>
        <v/>
      </c>
      <c r="G58" s="68" t="str">
        <f aca="false">IF($W58="","",IF(INDEX(发票统计!G$4:G$1003,$W58)="","",INDEX(发票统计!G$4:G$1003,$W58)))</f>
        <v/>
      </c>
      <c r="H58" s="56" t="str">
        <f aca="false">IF($W58="","",N(INDEX(发票统计!H$4:H$1003,$W58)))</f>
        <v/>
      </c>
      <c r="I58" s="56" t="str">
        <f aca="false">IF($W58="","",N(INDEX(发票统计!I$4:I$1003,$W58)))</f>
        <v/>
      </c>
      <c r="J58" s="56" t="str">
        <f aca="false">IF($W58="","",N(INDEX(发票统计!J$4:J$1003,$W58)))</f>
        <v/>
      </c>
      <c r="K58" s="56" t="str">
        <f aca="false">IF($W58="","",N(INDEX(发票统计!K$4:K$1003,$W58)))</f>
        <v/>
      </c>
      <c r="L58" s="56" t="str">
        <f aca="false">IF($W58="","",SUM(J$4:J58)-SUM(K$4:K58))</f>
        <v/>
      </c>
      <c r="M58" s="56" t="str">
        <f aca="false">IF($W58="","",N(INDEX(发票统计!M$4:M$1003,$W58)))</f>
        <v/>
      </c>
      <c r="N58" s="56" t="str">
        <f aca="false">IF($W58="","",N(INDEX(发票统计!N$4:N$1003,$W58)))</f>
        <v/>
      </c>
      <c r="O58" s="56" t="str">
        <f aca="false">IF($W58="","",N(INDEX(发票统计!O$4:O$1003,$W58)))</f>
        <v/>
      </c>
      <c r="P58" s="56" t="str">
        <f aca="false">IF($W58="","",SUM(M$4:M58)-SUM(N$4:N58)-SUM(O$4:O58))</f>
        <v/>
      </c>
      <c r="Q58" s="56" t="str">
        <f aca="false">IF($W58="","",N(INDEX(发票统计!Q$4:Q$1003,$W58)))</f>
        <v/>
      </c>
      <c r="R58" s="56" t="str">
        <f aca="false">IF($W58="","",N(INDEX(发票统计!R$4:R$1003,$W58)))</f>
        <v/>
      </c>
      <c r="S58" s="56" t="str">
        <f aca="false">IF($W58="","",N(INDEX(发票统计!S$4:S$1003,$W58)))</f>
        <v/>
      </c>
      <c r="T58" s="56" t="str">
        <f aca="false">IF($W58="","",SUM(Q$4:Q58)-SUM(R$4:R58)-SUM(S$4:S58))</f>
        <v/>
      </c>
      <c r="U58" s="56" t="str">
        <f aca="false">IF($W58="","",INDEX(发票统计!U$4:U$1003,$W58)&amp;"")</f>
        <v/>
      </c>
      <c r="W58" s="1" t="str">
        <f aca="false">IF($V$3="","",IFERROR(MATCH($V$3&amp;"#"&amp;ROWS(W$4:W58),发票统计!$W$4:$W$1003,0),""))</f>
        <v/>
      </c>
    </row>
    <row r="59" customFormat="false" ht="16.5" hidden="false" customHeight="false" outlineLevel="0" collapsed="false">
      <c r="A59" s="3" t="str">
        <f aca="false">IF($W59="","",INDEX(发票统计!A$4:A$1003,$W59)&amp;"")</f>
        <v/>
      </c>
      <c r="B59" s="3" t="str">
        <f aca="false">IF($W59="","",INDEX(发票统计!B$4:B$1003,$W59)&amp;"")</f>
        <v/>
      </c>
      <c r="C59" s="3" t="str">
        <f aca="false">IF($W59="","",INDEX(发票统计!C$4:C$1003,$W59)&amp;"")</f>
        <v/>
      </c>
      <c r="D59" s="3" t="str">
        <f aca="false">IF($W59="","",INDEX(发票统计!D$4:D$1003,$W59)&amp;"")</f>
        <v/>
      </c>
      <c r="E59" s="67" t="str">
        <f aca="false">IF($W59="","",INDEX(发票统计!E$4:E$1003,$W59)&amp;"")</f>
        <v/>
      </c>
      <c r="F59" s="68" t="str">
        <f aca="false">IF($W59="","",INDEX(发票统计!F$4:F$1003,$W59)&amp;"")</f>
        <v/>
      </c>
      <c r="G59" s="68" t="str">
        <f aca="false">IF($W59="","",IF(INDEX(发票统计!G$4:G$1003,$W59)="","",INDEX(发票统计!G$4:G$1003,$W59)))</f>
        <v/>
      </c>
      <c r="H59" s="56" t="str">
        <f aca="false">IF($W59="","",N(INDEX(发票统计!H$4:H$1003,$W59)))</f>
        <v/>
      </c>
      <c r="I59" s="56" t="str">
        <f aca="false">IF($W59="","",N(INDEX(发票统计!I$4:I$1003,$W59)))</f>
        <v/>
      </c>
      <c r="J59" s="56" t="str">
        <f aca="false">IF($W59="","",N(INDEX(发票统计!J$4:J$1003,$W59)))</f>
        <v/>
      </c>
      <c r="K59" s="56" t="str">
        <f aca="false">IF($W59="","",N(INDEX(发票统计!K$4:K$1003,$W59)))</f>
        <v/>
      </c>
      <c r="L59" s="56" t="str">
        <f aca="false">IF($W59="","",SUM(J$4:J59)-SUM(K$4:K59))</f>
        <v/>
      </c>
      <c r="M59" s="56" t="str">
        <f aca="false">IF($W59="","",N(INDEX(发票统计!M$4:M$1003,$W59)))</f>
        <v/>
      </c>
      <c r="N59" s="56" t="str">
        <f aca="false">IF($W59="","",N(INDEX(发票统计!N$4:N$1003,$W59)))</f>
        <v/>
      </c>
      <c r="O59" s="56" t="str">
        <f aca="false">IF($W59="","",N(INDEX(发票统计!O$4:O$1003,$W59)))</f>
        <v/>
      </c>
      <c r="P59" s="56" t="str">
        <f aca="false">IF($W59="","",SUM(M$4:M59)-SUM(N$4:N59)-SUM(O$4:O59))</f>
        <v/>
      </c>
      <c r="Q59" s="56" t="str">
        <f aca="false">IF($W59="","",N(INDEX(发票统计!Q$4:Q$1003,$W59)))</f>
        <v/>
      </c>
      <c r="R59" s="56" t="str">
        <f aca="false">IF($W59="","",N(INDEX(发票统计!R$4:R$1003,$W59)))</f>
        <v/>
      </c>
      <c r="S59" s="56" t="str">
        <f aca="false">IF($W59="","",N(INDEX(发票统计!S$4:S$1003,$W59)))</f>
        <v/>
      </c>
      <c r="T59" s="56" t="str">
        <f aca="false">IF($W59="","",SUM(Q$4:Q59)-SUM(R$4:R59)-SUM(S$4:S59))</f>
        <v/>
      </c>
      <c r="U59" s="56" t="str">
        <f aca="false">IF($W59="","",INDEX(发票统计!U$4:U$1003,$W59)&amp;"")</f>
        <v/>
      </c>
      <c r="W59" s="1" t="str">
        <f aca="false">IF($V$3="","",IFERROR(MATCH($V$3&amp;"#"&amp;ROWS(W$4:W59),发票统计!$W$4:$W$1003,0),""))</f>
        <v/>
      </c>
    </row>
    <row r="60" customFormat="false" ht="16.5" hidden="false" customHeight="false" outlineLevel="0" collapsed="false">
      <c r="A60" s="3" t="str">
        <f aca="false">IF($W60="","",INDEX(发票统计!A$4:A$1003,$W60)&amp;"")</f>
        <v/>
      </c>
      <c r="B60" s="3" t="str">
        <f aca="false">IF($W60="","",INDEX(发票统计!B$4:B$1003,$W60)&amp;"")</f>
        <v/>
      </c>
      <c r="C60" s="3" t="str">
        <f aca="false">IF($W60="","",INDEX(发票统计!C$4:C$1003,$W60)&amp;"")</f>
        <v/>
      </c>
      <c r="D60" s="3" t="str">
        <f aca="false">IF($W60="","",INDEX(发票统计!D$4:D$1003,$W60)&amp;"")</f>
        <v/>
      </c>
      <c r="E60" s="67" t="str">
        <f aca="false">IF($W60="","",INDEX(发票统计!E$4:E$1003,$W60)&amp;"")</f>
        <v/>
      </c>
      <c r="F60" s="68" t="str">
        <f aca="false">IF($W60="","",INDEX(发票统计!F$4:F$1003,$W60)&amp;"")</f>
        <v/>
      </c>
      <c r="G60" s="68" t="str">
        <f aca="false">IF($W60="","",IF(INDEX(发票统计!G$4:G$1003,$W60)="","",INDEX(发票统计!G$4:G$1003,$W60)))</f>
        <v/>
      </c>
      <c r="H60" s="56" t="str">
        <f aca="false">IF($W60="","",N(INDEX(发票统计!H$4:H$1003,$W60)))</f>
        <v/>
      </c>
      <c r="I60" s="56" t="str">
        <f aca="false">IF($W60="","",N(INDEX(发票统计!I$4:I$1003,$W60)))</f>
        <v/>
      </c>
      <c r="J60" s="56" t="str">
        <f aca="false">IF($W60="","",N(INDEX(发票统计!J$4:J$1003,$W60)))</f>
        <v/>
      </c>
      <c r="K60" s="56" t="str">
        <f aca="false">IF($W60="","",N(INDEX(发票统计!K$4:K$1003,$W60)))</f>
        <v/>
      </c>
      <c r="L60" s="56" t="str">
        <f aca="false">IF($W60="","",SUM(J$4:J60)-SUM(K$4:K60))</f>
        <v/>
      </c>
      <c r="M60" s="56" t="str">
        <f aca="false">IF($W60="","",N(INDEX(发票统计!M$4:M$1003,$W60)))</f>
        <v/>
      </c>
      <c r="N60" s="56" t="str">
        <f aca="false">IF($W60="","",N(INDEX(发票统计!N$4:N$1003,$W60)))</f>
        <v/>
      </c>
      <c r="O60" s="56" t="str">
        <f aca="false">IF($W60="","",N(INDEX(发票统计!O$4:O$1003,$W60)))</f>
        <v/>
      </c>
      <c r="P60" s="56" t="str">
        <f aca="false">IF($W60="","",SUM(M$4:M60)-SUM(N$4:N60)-SUM(O$4:O60))</f>
        <v/>
      </c>
      <c r="Q60" s="56" t="str">
        <f aca="false">IF($W60="","",N(INDEX(发票统计!Q$4:Q$1003,$W60)))</f>
        <v/>
      </c>
      <c r="R60" s="56" t="str">
        <f aca="false">IF($W60="","",N(INDEX(发票统计!R$4:R$1003,$W60)))</f>
        <v/>
      </c>
      <c r="S60" s="56" t="str">
        <f aca="false">IF($W60="","",N(INDEX(发票统计!S$4:S$1003,$W60)))</f>
        <v/>
      </c>
      <c r="T60" s="56" t="str">
        <f aca="false">IF($W60="","",SUM(Q$4:Q60)-SUM(R$4:R60)-SUM(S$4:S60))</f>
        <v/>
      </c>
      <c r="U60" s="56" t="str">
        <f aca="false">IF($W60="","",INDEX(发票统计!U$4:U$1003,$W60)&amp;"")</f>
        <v/>
      </c>
      <c r="W60" s="1" t="str">
        <f aca="false">IF($V$3="","",IFERROR(MATCH($V$3&amp;"#"&amp;ROWS(W$4:W60),发票统计!$W$4:$W$1003,0),""))</f>
        <v/>
      </c>
    </row>
    <row r="61" customFormat="false" ht="16.5" hidden="false" customHeight="false" outlineLevel="0" collapsed="false">
      <c r="A61" s="3" t="str">
        <f aca="false">IF($W61="","",INDEX(发票统计!A$4:A$1003,$W61)&amp;"")</f>
        <v/>
      </c>
      <c r="B61" s="3" t="str">
        <f aca="false">IF($W61="","",INDEX(发票统计!B$4:B$1003,$W61)&amp;"")</f>
        <v/>
      </c>
      <c r="C61" s="3" t="str">
        <f aca="false">IF($W61="","",INDEX(发票统计!C$4:C$1003,$W61)&amp;"")</f>
        <v/>
      </c>
      <c r="D61" s="3" t="str">
        <f aca="false">IF($W61="","",INDEX(发票统计!D$4:D$1003,$W61)&amp;"")</f>
        <v/>
      </c>
      <c r="E61" s="67" t="str">
        <f aca="false">IF($W61="","",INDEX(发票统计!E$4:E$1003,$W61)&amp;"")</f>
        <v/>
      </c>
      <c r="F61" s="68" t="str">
        <f aca="false">IF($W61="","",INDEX(发票统计!F$4:F$1003,$W61)&amp;"")</f>
        <v/>
      </c>
      <c r="G61" s="68" t="str">
        <f aca="false">IF($W61="","",IF(INDEX(发票统计!G$4:G$1003,$W61)="","",INDEX(发票统计!G$4:G$1003,$W61)))</f>
        <v/>
      </c>
      <c r="H61" s="56" t="str">
        <f aca="false">IF($W61="","",N(INDEX(发票统计!H$4:H$1003,$W61)))</f>
        <v/>
      </c>
      <c r="I61" s="56" t="str">
        <f aca="false">IF($W61="","",N(INDEX(发票统计!I$4:I$1003,$W61)))</f>
        <v/>
      </c>
      <c r="J61" s="56" t="str">
        <f aca="false">IF($W61="","",N(INDEX(发票统计!J$4:J$1003,$W61)))</f>
        <v/>
      </c>
      <c r="K61" s="56" t="str">
        <f aca="false">IF($W61="","",N(INDEX(发票统计!K$4:K$1003,$W61)))</f>
        <v/>
      </c>
      <c r="L61" s="56" t="str">
        <f aca="false">IF($W61="","",SUM(J$4:J61)-SUM(K$4:K61))</f>
        <v/>
      </c>
      <c r="M61" s="56" t="str">
        <f aca="false">IF($W61="","",N(INDEX(发票统计!M$4:M$1003,$W61)))</f>
        <v/>
      </c>
      <c r="N61" s="56" t="str">
        <f aca="false">IF($W61="","",N(INDEX(发票统计!N$4:N$1003,$W61)))</f>
        <v/>
      </c>
      <c r="O61" s="56" t="str">
        <f aca="false">IF($W61="","",N(INDEX(发票统计!O$4:O$1003,$W61)))</f>
        <v/>
      </c>
      <c r="P61" s="56" t="str">
        <f aca="false">IF($W61="","",SUM(M$4:M61)-SUM(N$4:N61)-SUM(O$4:O61))</f>
        <v/>
      </c>
      <c r="Q61" s="56" t="str">
        <f aca="false">IF($W61="","",N(INDEX(发票统计!Q$4:Q$1003,$W61)))</f>
        <v/>
      </c>
      <c r="R61" s="56" t="str">
        <f aca="false">IF($W61="","",N(INDEX(发票统计!R$4:R$1003,$W61)))</f>
        <v/>
      </c>
      <c r="S61" s="56" t="str">
        <f aca="false">IF($W61="","",N(INDEX(发票统计!S$4:S$1003,$W61)))</f>
        <v/>
      </c>
      <c r="T61" s="56" t="str">
        <f aca="false">IF($W61="","",SUM(Q$4:Q61)-SUM(R$4:R61)-SUM(S$4:S61))</f>
        <v/>
      </c>
      <c r="U61" s="56" t="str">
        <f aca="false">IF($W61="","",INDEX(发票统计!U$4:U$1003,$W61)&amp;"")</f>
        <v/>
      </c>
      <c r="W61" s="1" t="str">
        <f aca="false">IF($V$3="","",IFERROR(MATCH($V$3&amp;"#"&amp;ROWS(W$4:W61),发票统计!$W$4:$W$1003,0),""))</f>
        <v/>
      </c>
    </row>
    <row r="62" customFormat="false" ht="16.5" hidden="false" customHeight="false" outlineLevel="0" collapsed="false">
      <c r="A62" s="3" t="str">
        <f aca="false">IF($W62="","",INDEX(发票统计!A$4:A$1003,$W62)&amp;"")</f>
        <v/>
      </c>
      <c r="B62" s="3" t="str">
        <f aca="false">IF($W62="","",INDEX(发票统计!B$4:B$1003,$W62)&amp;"")</f>
        <v/>
      </c>
      <c r="C62" s="3" t="str">
        <f aca="false">IF($W62="","",INDEX(发票统计!C$4:C$1003,$W62)&amp;"")</f>
        <v/>
      </c>
      <c r="D62" s="3" t="str">
        <f aca="false">IF($W62="","",INDEX(发票统计!D$4:D$1003,$W62)&amp;"")</f>
        <v/>
      </c>
      <c r="E62" s="67" t="str">
        <f aca="false">IF($W62="","",INDEX(发票统计!E$4:E$1003,$W62)&amp;"")</f>
        <v/>
      </c>
      <c r="F62" s="68" t="str">
        <f aca="false">IF($W62="","",INDEX(发票统计!F$4:F$1003,$W62)&amp;"")</f>
        <v/>
      </c>
      <c r="G62" s="68" t="str">
        <f aca="false">IF($W62="","",IF(INDEX(发票统计!G$4:G$1003,$W62)="","",INDEX(发票统计!G$4:G$1003,$W62)))</f>
        <v/>
      </c>
      <c r="H62" s="56" t="str">
        <f aca="false">IF($W62="","",N(INDEX(发票统计!H$4:H$1003,$W62)))</f>
        <v/>
      </c>
      <c r="I62" s="56" t="str">
        <f aca="false">IF($W62="","",N(INDEX(发票统计!I$4:I$1003,$W62)))</f>
        <v/>
      </c>
      <c r="J62" s="56" t="str">
        <f aca="false">IF($W62="","",N(INDEX(发票统计!J$4:J$1003,$W62)))</f>
        <v/>
      </c>
      <c r="K62" s="56" t="str">
        <f aca="false">IF($W62="","",N(INDEX(发票统计!K$4:K$1003,$W62)))</f>
        <v/>
      </c>
      <c r="L62" s="56" t="str">
        <f aca="false">IF($W62="","",SUM(J$4:J62)-SUM(K$4:K62))</f>
        <v/>
      </c>
      <c r="M62" s="56" t="str">
        <f aca="false">IF($W62="","",N(INDEX(发票统计!M$4:M$1003,$W62)))</f>
        <v/>
      </c>
      <c r="N62" s="56" t="str">
        <f aca="false">IF($W62="","",N(INDEX(发票统计!N$4:N$1003,$W62)))</f>
        <v/>
      </c>
      <c r="O62" s="56" t="str">
        <f aca="false">IF($W62="","",N(INDEX(发票统计!O$4:O$1003,$W62)))</f>
        <v/>
      </c>
      <c r="P62" s="56" t="str">
        <f aca="false">IF($W62="","",SUM(M$4:M62)-SUM(N$4:N62)-SUM(O$4:O62))</f>
        <v/>
      </c>
      <c r="Q62" s="56" t="str">
        <f aca="false">IF($W62="","",N(INDEX(发票统计!Q$4:Q$1003,$W62)))</f>
        <v/>
      </c>
      <c r="R62" s="56" t="str">
        <f aca="false">IF($W62="","",N(INDEX(发票统计!R$4:R$1003,$W62)))</f>
        <v/>
      </c>
      <c r="S62" s="56" t="str">
        <f aca="false">IF($W62="","",N(INDEX(发票统计!S$4:S$1003,$W62)))</f>
        <v/>
      </c>
      <c r="T62" s="56" t="str">
        <f aca="false">IF($W62="","",SUM(Q$4:Q62)-SUM(R$4:R62)-SUM(S$4:S62))</f>
        <v/>
      </c>
      <c r="U62" s="56" t="str">
        <f aca="false">IF($W62="","",INDEX(发票统计!U$4:U$1003,$W62)&amp;"")</f>
        <v/>
      </c>
      <c r="W62" s="1" t="str">
        <f aca="false">IF($V$3="","",IFERROR(MATCH($V$3&amp;"#"&amp;ROWS(W$4:W62),发票统计!$W$4:$W$1003,0),""))</f>
        <v/>
      </c>
    </row>
    <row r="63" customFormat="false" ht="16.5" hidden="false" customHeight="false" outlineLevel="0" collapsed="false">
      <c r="A63" s="3" t="str">
        <f aca="false">IF($W63="","",INDEX(发票统计!A$4:A$1003,$W63)&amp;"")</f>
        <v/>
      </c>
      <c r="B63" s="3" t="str">
        <f aca="false">IF($W63="","",INDEX(发票统计!B$4:B$1003,$W63)&amp;"")</f>
        <v/>
      </c>
      <c r="C63" s="3" t="str">
        <f aca="false">IF($W63="","",INDEX(发票统计!C$4:C$1003,$W63)&amp;"")</f>
        <v/>
      </c>
      <c r="D63" s="3" t="str">
        <f aca="false">IF($W63="","",INDEX(发票统计!D$4:D$1003,$W63)&amp;"")</f>
        <v/>
      </c>
      <c r="E63" s="67" t="str">
        <f aca="false">IF($W63="","",INDEX(发票统计!E$4:E$1003,$W63)&amp;"")</f>
        <v/>
      </c>
      <c r="F63" s="68" t="str">
        <f aca="false">IF($W63="","",INDEX(发票统计!F$4:F$1003,$W63)&amp;"")</f>
        <v/>
      </c>
      <c r="G63" s="68" t="str">
        <f aca="false">IF($W63="","",IF(INDEX(发票统计!G$4:G$1003,$W63)="","",INDEX(发票统计!G$4:G$1003,$W63)))</f>
        <v/>
      </c>
      <c r="H63" s="56" t="str">
        <f aca="false">IF($W63="","",N(INDEX(发票统计!H$4:H$1003,$W63)))</f>
        <v/>
      </c>
      <c r="I63" s="56" t="str">
        <f aca="false">IF($W63="","",N(INDEX(发票统计!I$4:I$1003,$W63)))</f>
        <v/>
      </c>
      <c r="J63" s="56" t="str">
        <f aca="false">IF($W63="","",N(INDEX(发票统计!J$4:J$1003,$W63)))</f>
        <v/>
      </c>
      <c r="K63" s="56" t="str">
        <f aca="false">IF($W63="","",N(INDEX(发票统计!K$4:K$1003,$W63)))</f>
        <v/>
      </c>
      <c r="L63" s="56" t="str">
        <f aca="false">IF($W63="","",SUM(J$4:J63)-SUM(K$4:K63))</f>
        <v/>
      </c>
      <c r="M63" s="56" t="str">
        <f aca="false">IF($W63="","",N(INDEX(发票统计!M$4:M$1003,$W63)))</f>
        <v/>
      </c>
      <c r="N63" s="56" t="str">
        <f aca="false">IF($W63="","",N(INDEX(发票统计!N$4:N$1003,$W63)))</f>
        <v/>
      </c>
      <c r="O63" s="56" t="str">
        <f aca="false">IF($W63="","",N(INDEX(发票统计!O$4:O$1003,$W63)))</f>
        <v/>
      </c>
      <c r="P63" s="56" t="str">
        <f aca="false">IF($W63="","",SUM(M$4:M63)-SUM(N$4:N63)-SUM(O$4:O63))</f>
        <v/>
      </c>
      <c r="Q63" s="56" t="str">
        <f aca="false">IF($W63="","",N(INDEX(发票统计!Q$4:Q$1003,$W63)))</f>
        <v/>
      </c>
      <c r="R63" s="56" t="str">
        <f aca="false">IF($W63="","",N(INDEX(发票统计!R$4:R$1003,$W63)))</f>
        <v/>
      </c>
      <c r="S63" s="56" t="str">
        <f aca="false">IF($W63="","",N(INDEX(发票统计!S$4:S$1003,$W63)))</f>
        <v/>
      </c>
      <c r="T63" s="56" t="str">
        <f aca="false">IF($W63="","",SUM(Q$4:Q63)-SUM(R$4:R63)-SUM(S$4:S63))</f>
        <v/>
      </c>
      <c r="U63" s="56" t="str">
        <f aca="false">IF($W63="","",INDEX(发票统计!U$4:U$1003,$W63)&amp;"")</f>
        <v/>
      </c>
      <c r="W63" s="1" t="str">
        <f aca="false">IF($V$3="","",IFERROR(MATCH($V$3&amp;"#"&amp;ROWS(W$4:W63),发票统计!$W$4:$W$1003,0),""))</f>
        <v/>
      </c>
    </row>
    <row r="64" customFormat="false" ht="16.5" hidden="false" customHeight="false" outlineLevel="0" collapsed="false">
      <c r="A64" s="3" t="str">
        <f aca="false">IF($W64="","",INDEX(发票统计!A$4:A$1003,$W64)&amp;"")</f>
        <v/>
      </c>
      <c r="B64" s="3" t="str">
        <f aca="false">IF($W64="","",INDEX(发票统计!B$4:B$1003,$W64)&amp;"")</f>
        <v/>
      </c>
      <c r="C64" s="3" t="str">
        <f aca="false">IF($W64="","",INDEX(发票统计!C$4:C$1003,$W64)&amp;"")</f>
        <v/>
      </c>
      <c r="D64" s="3" t="str">
        <f aca="false">IF($W64="","",INDEX(发票统计!D$4:D$1003,$W64)&amp;"")</f>
        <v/>
      </c>
      <c r="E64" s="67" t="str">
        <f aca="false">IF($W64="","",INDEX(发票统计!E$4:E$1003,$W64)&amp;"")</f>
        <v/>
      </c>
      <c r="F64" s="68" t="str">
        <f aca="false">IF($W64="","",INDEX(发票统计!F$4:F$1003,$W64)&amp;"")</f>
        <v/>
      </c>
      <c r="G64" s="68" t="str">
        <f aca="false">IF($W64="","",IF(INDEX(发票统计!G$4:G$1003,$W64)="","",INDEX(发票统计!G$4:G$1003,$W64)))</f>
        <v/>
      </c>
      <c r="H64" s="56" t="str">
        <f aca="false">IF($W64="","",N(INDEX(发票统计!H$4:H$1003,$W64)))</f>
        <v/>
      </c>
      <c r="I64" s="56" t="str">
        <f aca="false">IF($W64="","",N(INDEX(发票统计!I$4:I$1003,$W64)))</f>
        <v/>
      </c>
      <c r="J64" s="56" t="str">
        <f aca="false">IF($W64="","",N(INDEX(发票统计!J$4:J$1003,$W64)))</f>
        <v/>
      </c>
      <c r="K64" s="56" t="str">
        <f aca="false">IF($W64="","",N(INDEX(发票统计!K$4:K$1003,$W64)))</f>
        <v/>
      </c>
      <c r="L64" s="56" t="str">
        <f aca="false">IF($W64="","",SUM(J$4:J64)-SUM(K$4:K64))</f>
        <v/>
      </c>
      <c r="M64" s="56" t="str">
        <f aca="false">IF($W64="","",N(INDEX(发票统计!M$4:M$1003,$W64)))</f>
        <v/>
      </c>
      <c r="N64" s="56" t="str">
        <f aca="false">IF($W64="","",N(INDEX(发票统计!N$4:N$1003,$W64)))</f>
        <v/>
      </c>
      <c r="O64" s="56" t="str">
        <f aca="false">IF($W64="","",N(INDEX(发票统计!O$4:O$1003,$W64)))</f>
        <v/>
      </c>
      <c r="P64" s="56" t="str">
        <f aca="false">IF($W64="","",SUM(M$4:M64)-SUM(N$4:N64)-SUM(O$4:O64))</f>
        <v/>
      </c>
      <c r="Q64" s="56" t="str">
        <f aca="false">IF($W64="","",N(INDEX(发票统计!Q$4:Q$1003,$W64)))</f>
        <v/>
      </c>
      <c r="R64" s="56" t="str">
        <f aca="false">IF($W64="","",N(INDEX(发票统计!R$4:R$1003,$W64)))</f>
        <v/>
      </c>
      <c r="S64" s="56" t="str">
        <f aca="false">IF($W64="","",N(INDEX(发票统计!S$4:S$1003,$W64)))</f>
        <v/>
      </c>
      <c r="T64" s="56" t="str">
        <f aca="false">IF($W64="","",SUM(Q$4:Q64)-SUM(R$4:R64)-SUM(S$4:S64))</f>
        <v/>
      </c>
      <c r="U64" s="56" t="str">
        <f aca="false">IF($W64="","",INDEX(发票统计!U$4:U$1003,$W64)&amp;"")</f>
        <v/>
      </c>
      <c r="W64" s="1" t="str">
        <f aca="false">IF($V$3="","",IFERROR(MATCH($V$3&amp;"#"&amp;ROWS(W$4:W64),发票统计!$W$4:$W$1003,0),""))</f>
        <v/>
      </c>
    </row>
    <row r="65" customFormat="false" ht="16.5" hidden="false" customHeight="false" outlineLevel="0" collapsed="false">
      <c r="A65" s="3" t="str">
        <f aca="false">IF($W65="","",INDEX(发票统计!A$4:A$1003,$W65)&amp;"")</f>
        <v/>
      </c>
      <c r="B65" s="3" t="str">
        <f aca="false">IF($W65="","",INDEX(发票统计!B$4:B$1003,$W65)&amp;"")</f>
        <v/>
      </c>
      <c r="C65" s="3" t="str">
        <f aca="false">IF($W65="","",INDEX(发票统计!C$4:C$1003,$W65)&amp;"")</f>
        <v/>
      </c>
      <c r="D65" s="3" t="str">
        <f aca="false">IF($W65="","",INDEX(发票统计!D$4:D$1003,$W65)&amp;"")</f>
        <v/>
      </c>
      <c r="E65" s="67" t="str">
        <f aca="false">IF($W65="","",INDEX(发票统计!E$4:E$1003,$W65)&amp;"")</f>
        <v/>
      </c>
      <c r="F65" s="68" t="str">
        <f aca="false">IF($W65="","",INDEX(发票统计!F$4:F$1003,$W65)&amp;"")</f>
        <v/>
      </c>
      <c r="G65" s="68" t="str">
        <f aca="false">IF($W65="","",IF(INDEX(发票统计!G$4:G$1003,$W65)="","",INDEX(发票统计!G$4:G$1003,$W65)))</f>
        <v/>
      </c>
      <c r="H65" s="56" t="str">
        <f aca="false">IF($W65="","",N(INDEX(发票统计!H$4:H$1003,$W65)))</f>
        <v/>
      </c>
      <c r="I65" s="56" t="str">
        <f aca="false">IF($W65="","",N(INDEX(发票统计!I$4:I$1003,$W65)))</f>
        <v/>
      </c>
      <c r="J65" s="56" t="str">
        <f aca="false">IF($W65="","",N(INDEX(发票统计!J$4:J$1003,$W65)))</f>
        <v/>
      </c>
      <c r="K65" s="56" t="str">
        <f aca="false">IF($W65="","",N(INDEX(发票统计!K$4:K$1003,$W65)))</f>
        <v/>
      </c>
      <c r="L65" s="56" t="str">
        <f aca="false">IF($W65="","",SUM(J$4:J65)-SUM(K$4:K65))</f>
        <v/>
      </c>
      <c r="M65" s="56" t="str">
        <f aca="false">IF($W65="","",N(INDEX(发票统计!M$4:M$1003,$W65)))</f>
        <v/>
      </c>
      <c r="N65" s="56" t="str">
        <f aca="false">IF($W65="","",N(INDEX(发票统计!N$4:N$1003,$W65)))</f>
        <v/>
      </c>
      <c r="O65" s="56" t="str">
        <f aca="false">IF($W65="","",N(INDEX(发票统计!O$4:O$1003,$W65)))</f>
        <v/>
      </c>
      <c r="P65" s="56" t="str">
        <f aca="false">IF($W65="","",SUM(M$4:M65)-SUM(N$4:N65)-SUM(O$4:O65))</f>
        <v/>
      </c>
      <c r="Q65" s="56" t="str">
        <f aca="false">IF($W65="","",N(INDEX(发票统计!Q$4:Q$1003,$W65)))</f>
        <v/>
      </c>
      <c r="R65" s="56" t="str">
        <f aca="false">IF($W65="","",N(INDEX(发票统计!R$4:R$1003,$W65)))</f>
        <v/>
      </c>
      <c r="S65" s="56" t="str">
        <f aca="false">IF($W65="","",N(INDEX(发票统计!S$4:S$1003,$W65)))</f>
        <v/>
      </c>
      <c r="T65" s="56" t="str">
        <f aca="false">IF($W65="","",SUM(Q$4:Q65)-SUM(R$4:R65)-SUM(S$4:S65))</f>
        <v/>
      </c>
      <c r="U65" s="56" t="str">
        <f aca="false">IF($W65="","",INDEX(发票统计!U$4:U$1003,$W65)&amp;"")</f>
        <v/>
      </c>
      <c r="W65" s="1" t="str">
        <f aca="false">IF($V$3="","",IFERROR(MATCH($V$3&amp;"#"&amp;ROWS(W$4:W65),发票统计!$W$4:$W$1003,0),""))</f>
        <v/>
      </c>
    </row>
    <row r="66" customFormat="false" ht="16.5" hidden="false" customHeight="false" outlineLevel="0" collapsed="false">
      <c r="A66" s="3" t="str">
        <f aca="false">IF($W66="","",INDEX(发票统计!A$4:A$1003,$W66)&amp;"")</f>
        <v/>
      </c>
      <c r="B66" s="3" t="str">
        <f aca="false">IF($W66="","",INDEX(发票统计!B$4:B$1003,$W66)&amp;"")</f>
        <v/>
      </c>
      <c r="C66" s="3" t="str">
        <f aca="false">IF($W66="","",INDEX(发票统计!C$4:C$1003,$W66)&amp;"")</f>
        <v/>
      </c>
      <c r="D66" s="3" t="str">
        <f aca="false">IF($W66="","",INDEX(发票统计!D$4:D$1003,$W66)&amp;"")</f>
        <v/>
      </c>
      <c r="E66" s="67" t="str">
        <f aca="false">IF($W66="","",INDEX(发票统计!E$4:E$1003,$W66)&amp;"")</f>
        <v/>
      </c>
      <c r="F66" s="68" t="str">
        <f aca="false">IF($W66="","",INDEX(发票统计!F$4:F$1003,$W66)&amp;"")</f>
        <v/>
      </c>
      <c r="G66" s="68" t="str">
        <f aca="false">IF($W66="","",IF(INDEX(发票统计!G$4:G$1003,$W66)="","",INDEX(发票统计!G$4:G$1003,$W66)))</f>
        <v/>
      </c>
      <c r="H66" s="56" t="str">
        <f aca="false">IF($W66="","",N(INDEX(发票统计!H$4:H$1003,$W66)))</f>
        <v/>
      </c>
      <c r="I66" s="56" t="str">
        <f aca="false">IF($W66="","",N(INDEX(发票统计!I$4:I$1003,$W66)))</f>
        <v/>
      </c>
      <c r="J66" s="56" t="str">
        <f aca="false">IF($W66="","",N(INDEX(发票统计!J$4:J$1003,$W66)))</f>
        <v/>
      </c>
      <c r="K66" s="56" t="str">
        <f aca="false">IF($W66="","",N(INDEX(发票统计!K$4:K$1003,$W66)))</f>
        <v/>
      </c>
      <c r="L66" s="56" t="str">
        <f aca="false">IF($W66="","",SUM(J$4:J66)-SUM(K$4:K66))</f>
        <v/>
      </c>
      <c r="M66" s="56" t="str">
        <f aca="false">IF($W66="","",N(INDEX(发票统计!M$4:M$1003,$W66)))</f>
        <v/>
      </c>
      <c r="N66" s="56" t="str">
        <f aca="false">IF($W66="","",N(INDEX(发票统计!N$4:N$1003,$W66)))</f>
        <v/>
      </c>
      <c r="O66" s="56" t="str">
        <f aca="false">IF($W66="","",N(INDEX(发票统计!O$4:O$1003,$W66)))</f>
        <v/>
      </c>
      <c r="P66" s="56" t="str">
        <f aca="false">IF($W66="","",SUM(M$4:M66)-SUM(N$4:N66)-SUM(O$4:O66))</f>
        <v/>
      </c>
      <c r="Q66" s="56" t="str">
        <f aca="false">IF($W66="","",N(INDEX(发票统计!Q$4:Q$1003,$W66)))</f>
        <v/>
      </c>
      <c r="R66" s="56" t="str">
        <f aca="false">IF($W66="","",N(INDEX(发票统计!R$4:R$1003,$W66)))</f>
        <v/>
      </c>
      <c r="S66" s="56" t="str">
        <f aca="false">IF($W66="","",N(INDEX(发票统计!S$4:S$1003,$W66)))</f>
        <v/>
      </c>
      <c r="T66" s="56" t="str">
        <f aca="false">IF($W66="","",SUM(Q$4:Q66)-SUM(R$4:R66)-SUM(S$4:S66))</f>
        <v/>
      </c>
      <c r="U66" s="56" t="str">
        <f aca="false">IF($W66="","",INDEX(发票统计!U$4:U$1003,$W66)&amp;"")</f>
        <v/>
      </c>
      <c r="W66" s="1" t="str">
        <f aca="false">IF($V$3="","",IFERROR(MATCH($V$3&amp;"#"&amp;ROWS(W$4:W66),发票统计!$W$4:$W$1003,0),""))</f>
        <v/>
      </c>
    </row>
    <row r="67" customFormat="false" ht="16.5" hidden="false" customHeight="false" outlineLevel="0" collapsed="false">
      <c r="A67" s="3" t="str">
        <f aca="false">IF($W67="","",INDEX(发票统计!A$4:A$1003,$W67)&amp;"")</f>
        <v/>
      </c>
      <c r="B67" s="3" t="str">
        <f aca="false">IF($W67="","",INDEX(发票统计!B$4:B$1003,$W67)&amp;"")</f>
        <v/>
      </c>
      <c r="C67" s="3" t="str">
        <f aca="false">IF($W67="","",INDEX(发票统计!C$4:C$1003,$W67)&amp;"")</f>
        <v/>
      </c>
      <c r="D67" s="3" t="str">
        <f aca="false">IF($W67="","",INDEX(发票统计!D$4:D$1003,$W67)&amp;"")</f>
        <v/>
      </c>
      <c r="E67" s="67" t="str">
        <f aca="false">IF($W67="","",INDEX(发票统计!E$4:E$1003,$W67)&amp;"")</f>
        <v/>
      </c>
      <c r="F67" s="68" t="str">
        <f aca="false">IF($W67="","",INDEX(发票统计!F$4:F$1003,$W67)&amp;"")</f>
        <v/>
      </c>
      <c r="G67" s="68" t="str">
        <f aca="false">IF($W67="","",IF(INDEX(发票统计!G$4:G$1003,$W67)="","",INDEX(发票统计!G$4:G$1003,$W67)))</f>
        <v/>
      </c>
      <c r="H67" s="56" t="str">
        <f aca="false">IF($W67="","",N(INDEX(发票统计!H$4:H$1003,$W67)))</f>
        <v/>
      </c>
      <c r="I67" s="56" t="str">
        <f aca="false">IF($W67="","",N(INDEX(发票统计!I$4:I$1003,$W67)))</f>
        <v/>
      </c>
      <c r="J67" s="56" t="str">
        <f aca="false">IF($W67="","",N(INDEX(发票统计!J$4:J$1003,$W67)))</f>
        <v/>
      </c>
      <c r="K67" s="56" t="str">
        <f aca="false">IF($W67="","",N(INDEX(发票统计!K$4:K$1003,$W67)))</f>
        <v/>
      </c>
      <c r="L67" s="56" t="str">
        <f aca="false">IF($W67="","",SUM(J$4:J67)-SUM(K$4:K67))</f>
        <v/>
      </c>
      <c r="M67" s="56" t="str">
        <f aca="false">IF($W67="","",N(INDEX(发票统计!M$4:M$1003,$W67)))</f>
        <v/>
      </c>
      <c r="N67" s="56" t="str">
        <f aca="false">IF($W67="","",N(INDEX(发票统计!N$4:N$1003,$W67)))</f>
        <v/>
      </c>
      <c r="O67" s="56" t="str">
        <f aca="false">IF($W67="","",N(INDEX(发票统计!O$4:O$1003,$W67)))</f>
        <v/>
      </c>
      <c r="P67" s="56" t="str">
        <f aca="false">IF($W67="","",SUM(M$4:M67)-SUM(N$4:N67)-SUM(O$4:O67))</f>
        <v/>
      </c>
      <c r="Q67" s="56" t="str">
        <f aca="false">IF($W67="","",N(INDEX(发票统计!Q$4:Q$1003,$W67)))</f>
        <v/>
      </c>
      <c r="R67" s="56" t="str">
        <f aca="false">IF($W67="","",N(INDEX(发票统计!R$4:R$1003,$W67)))</f>
        <v/>
      </c>
      <c r="S67" s="56" t="str">
        <f aca="false">IF($W67="","",N(INDEX(发票统计!S$4:S$1003,$W67)))</f>
        <v/>
      </c>
      <c r="T67" s="56" t="str">
        <f aca="false">IF($W67="","",SUM(Q$4:Q67)-SUM(R$4:R67)-SUM(S$4:S67))</f>
        <v/>
      </c>
      <c r="U67" s="56" t="str">
        <f aca="false">IF($W67="","",INDEX(发票统计!U$4:U$1003,$W67)&amp;"")</f>
        <v/>
      </c>
      <c r="W67" s="1" t="str">
        <f aca="false">IF($V$3="","",IFERROR(MATCH($V$3&amp;"#"&amp;ROWS(W$4:W67),发票统计!$W$4:$W$1003,0),""))</f>
        <v/>
      </c>
    </row>
    <row r="68" customFormat="false" ht="16.5" hidden="false" customHeight="false" outlineLevel="0" collapsed="false">
      <c r="A68" s="3" t="str">
        <f aca="false">IF($W68="","",INDEX(发票统计!A$4:A$1003,$W68)&amp;"")</f>
        <v/>
      </c>
      <c r="B68" s="3" t="str">
        <f aca="false">IF($W68="","",INDEX(发票统计!B$4:B$1003,$W68)&amp;"")</f>
        <v/>
      </c>
      <c r="C68" s="3" t="str">
        <f aca="false">IF($W68="","",INDEX(发票统计!C$4:C$1003,$W68)&amp;"")</f>
        <v/>
      </c>
      <c r="D68" s="3" t="str">
        <f aca="false">IF($W68="","",INDEX(发票统计!D$4:D$1003,$W68)&amp;"")</f>
        <v/>
      </c>
      <c r="E68" s="67" t="str">
        <f aca="false">IF($W68="","",INDEX(发票统计!E$4:E$1003,$W68)&amp;"")</f>
        <v/>
      </c>
      <c r="F68" s="68" t="str">
        <f aca="false">IF($W68="","",INDEX(发票统计!F$4:F$1003,$W68)&amp;"")</f>
        <v/>
      </c>
      <c r="G68" s="68" t="str">
        <f aca="false">IF($W68="","",IF(INDEX(发票统计!G$4:G$1003,$W68)="","",INDEX(发票统计!G$4:G$1003,$W68)))</f>
        <v/>
      </c>
      <c r="H68" s="56" t="str">
        <f aca="false">IF($W68="","",N(INDEX(发票统计!H$4:H$1003,$W68)))</f>
        <v/>
      </c>
      <c r="I68" s="56" t="str">
        <f aca="false">IF($W68="","",N(INDEX(发票统计!I$4:I$1003,$W68)))</f>
        <v/>
      </c>
      <c r="J68" s="56" t="str">
        <f aca="false">IF($W68="","",N(INDEX(发票统计!J$4:J$1003,$W68)))</f>
        <v/>
      </c>
      <c r="K68" s="56" t="str">
        <f aca="false">IF($W68="","",N(INDEX(发票统计!K$4:K$1003,$W68)))</f>
        <v/>
      </c>
      <c r="L68" s="56" t="str">
        <f aca="false">IF($W68="","",SUM(J$4:J68)-SUM(K$4:K68))</f>
        <v/>
      </c>
      <c r="M68" s="56" t="str">
        <f aca="false">IF($W68="","",N(INDEX(发票统计!M$4:M$1003,$W68)))</f>
        <v/>
      </c>
      <c r="N68" s="56" t="str">
        <f aca="false">IF($W68="","",N(INDEX(发票统计!N$4:N$1003,$W68)))</f>
        <v/>
      </c>
      <c r="O68" s="56" t="str">
        <f aca="false">IF($W68="","",N(INDEX(发票统计!O$4:O$1003,$W68)))</f>
        <v/>
      </c>
      <c r="P68" s="56" t="str">
        <f aca="false">IF($W68="","",SUM(M$4:M68)-SUM(N$4:N68)-SUM(O$4:O68))</f>
        <v/>
      </c>
      <c r="Q68" s="56" t="str">
        <f aca="false">IF($W68="","",N(INDEX(发票统计!Q$4:Q$1003,$W68)))</f>
        <v/>
      </c>
      <c r="R68" s="56" t="str">
        <f aca="false">IF($W68="","",N(INDEX(发票统计!R$4:R$1003,$W68)))</f>
        <v/>
      </c>
      <c r="S68" s="56" t="str">
        <f aca="false">IF($W68="","",N(INDEX(发票统计!S$4:S$1003,$W68)))</f>
        <v/>
      </c>
      <c r="T68" s="56" t="str">
        <f aca="false">IF($W68="","",SUM(Q$4:Q68)-SUM(R$4:R68)-SUM(S$4:S68))</f>
        <v/>
      </c>
      <c r="U68" s="56" t="str">
        <f aca="false">IF($W68="","",INDEX(发票统计!U$4:U$1003,$W68)&amp;"")</f>
        <v/>
      </c>
      <c r="W68" s="1" t="str">
        <f aca="false">IF($V$3="","",IFERROR(MATCH($V$3&amp;"#"&amp;ROWS(W$4:W68),发票统计!$W$4:$W$1003,0),""))</f>
        <v/>
      </c>
    </row>
    <row r="69" customFormat="false" ht="16.5" hidden="false" customHeight="false" outlineLevel="0" collapsed="false">
      <c r="A69" s="3" t="str">
        <f aca="false">IF($W69="","",INDEX(发票统计!A$4:A$1003,$W69)&amp;"")</f>
        <v/>
      </c>
      <c r="B69" s="3" t="str">
        <f aca="false">IF($W69="","",INDEX(发票统计!B$4:B$1003,$W69)&amp;"")</f>
        <v/>
      </c>
      <c r="C69" s="3" t="str">
        <f aca="false">IF($W69="","",INDEX(发票统计!C$4:C$1003,$W69)&amp;"")</f>
        <v/>
      </c>
      <c r="D69" s="3" t="str">
        <f aca="false">IF($W69="","",INDEX(发票统计!D$4:D$1003,$W69)&amp;"")</f>
        <v/>
      </c>
      <c r="E69" s="67" t="str">
        <f aca="false">IF($W69="","",INDEX(发票统计!E$4:E$1003,$W69)&amp;"")</f>
        <v/>
      </c>
      <c r="F69" s="68" t="str">
        <f aca="false">IF($W69="","",INDEX(发票统计!F$4:F$1003,$W69)&amp;"")</f>
        <v/>
      </c>
      <c r="G69" s="68" t="str">
        <f aca="false">IF($W69="","",IF(INDEX(发票统计!G$4:G$1003,$W69)="","",INDEX(发票统计!G$4:G$1003,$W69)))</f>
        <v/>
      </c>
      <c r="H69" s="56" t="str">
        <f aca="false">IF($W69="","",N(INDEX(发票统计!H$4:H$1003,$W69)))</f>
        <v/>
      </c>
      <c r="I69" s="56" t="str">
        <f aca="false">IF($W69="","",N(INDEX(发票统计!I$4:I$1003,$W69)))</f>
        <v/>
      </c>
      <c r="J69" s="56" t="str">
        <f aca="false">IF($W69="","",N(INDEX(发票统计!J$4:J$1003,$W69)))</f>
        <v/>
      </c>
      <c r="K69" s="56" t="str">
        <f aca="false">IF($W69="","",N(INDEX(发票统计!K$4:K$1003,$W69)))</f>
        <v/>
      </c>
      <c r="L69" s="56" t="str">
        <f aca="false">IF($W69="","",SUM(J$4:J69)-SUM(K$4:K69))</f>
        <v/>
      </c>
      <c r="M69" s="56" t="str">
        <f aca="false">IF($W69="","",N(INDEX(发票统计!M$4:M$1003,$W69)))</f>
        <v/>
      </c>
      <c r="N69" s="56" t="str">
        <f aca="false">IF($W69="","",N(INDEX(发票统计!N$4:N$1003,$W69)))</f>
        <v/>
      </c>
      <c r="O69" s="56" t="str">
        <f aca="false">IF($W69="","",N(INDEX(发票统计!O$4:O$1003,$W69)))</f>
        <v/>
      </c>
      <c r="P69" s="56" t="str">
        <f aca="false">IF($W69="","",SUM(M$4:M69)-SUM(N$4:N69)-SUM(O$4:O69))</f>
        <v/>
      </c>
      <c r="Q69" s="56" t="str">
        <f aca="false">IF($W69="","",N(INDEX(发票统计!Q$4:Q$1003,$W69)))</f>
        <v/>
      </c>
      <c r="R69" s="56" t="str">
        <f aca="false">IF($W69="","",N(INDEX(发票统计!R$4:R$1003,$W69)))</f>
        <v/>
      </c>
      <c r="S69" s="56" t="str">
        <f aca="false">IF($W69="","",N(INDEX(发票统计!S$4:S$1003,$W69)))</f>
        <v/>
      </c>
      <c r="T69" s="56" t="str">
        <f aca="false">IF($W69="","",SUM(Q$4:Q69)-SUM(R$4:R69)-SUM(S$4:S69))</f>
        <v/>
      </c>
      <c r="U69" s="56" t="str">
        <f aca="false">IF($W69="","",INDEX(发票统计!U$4:U$1003,$W69)&amp;"")</f>
        <v/>
      </c>
      <c r="W69" s="1" t="str">
        <f aca="false">IF($V$3="","",IFERROR(MATCH($V$3&amp;"#"&amp;ROWS(W$4:W69),发票统计!$W$4:$W$1003,0),""))</f>
        <v/>
      </c>
    </row>
    <row r="70" customFormat="false" ht="16.5" hidden="false" customHeight="false" outlineLevel="0" collapsed="false">
      <c r="A70" s="3" t="str">
        <f aca="false">IF($W70="","",INDEX(发票统计!A$4:A$1003,$W70)&amp;"")</f>
        <v/>
      </c>
      <c r="B70" s="3" t="str">
        <f aca="false">IF($W70="","",INDEX(发票统计!B$4:B$1003,$W70)&amp;"")</f>
        <v/>
      </c>
      <c r="C70" s="3" t="str">
        <f aca="false">IF($W70="","",INDEX(发票统计!C$4:C$1003,$W70)&amp;"")</f>
        <v/>
      </c>
      <c r="D70" s="3" t="str">
        <f aca="false">IF($W70="","",INDEX(发票统计!D$4:D$1003,$W70)&amp;"")</f>
        <v/>
      </c>
      <c r="E70" s="67" t="str">
        <f aca="false">IF($W70="","",INDEX(发票统计!E$4:E$1003,$W70)&amp;"")</f>
        <v/>
      </c>
      <c r="F70" s="68" t="str">
        <f aca="false">IF($W70="","",INDEX(发票统计!F$4:F$1003,$W70)&amp;"")</f>
        <v/>
      </c>
      <c r="G70" s="68" t="str">
        <f aca="false">IF($W70="","",IF(INDEX(发票统计!G$4:G$1003,$W70)="","",INDEX(发票统计!G$4:G$1003,$W70)))</f>
        <v/>
      </c>
      <c r="H70" s="56" t="str">
        <f aca="false">IF($W70="","",N(INDEX(发票统计!H$4:H$1003,$W70)))</f>
        <v/>
      </c>
      <c r="I70" s="56" t="str">
        <f aca="false">IF($W70="","",N(INDEX(发票统计!I$4:I$1003,$W70)))</f>
        <v/>
      </c>
      <c r="J70" s="56" t="str">
        <f aca="false">IF($W70="","",N(INDEX(发票统计!J$4:J$1003,$W70)))</f>
        <v/>
      </c>
      <c r="K70" s="56" t="str">
        <f aca="false">IF($W70="","",N(INDEX(发票统计!K$4:K$1003,$W70)))</f>
        <v/>
      </c>
      <c r="L70" s="56" t="str">
        <f aca="false">IF($W70="","",SUM(J$4:J70)-SUM(K$4:K70))</f>
        <v/>
      </c>
      <c r="M70" s="56" t="str">
        <f aca="false">IF($W70="","",N(INDEX(发票统计!M$4:M$1003,$W70)))</f>
        <v/>
      </c>
      <c r="N70" s="56" t="str">
        <f aca="false">IF($W70="","",N(INDEX(发票统计!N$4:N$1003,$W70)))</f>
        <v/>
      </c>
      <c r="O70" s="56" t="str">
        <f aca="false">IF($W70="","",N(INDEX(发票统计!O$4:O$1003,$W70)))</f>
        <v/>
      </c>
      <c r="P70" s="56" t="str">
        <f aca="false">IF($W70="","",SUM(M$4:M70)-SUM(N$4:N70)-SUM(O$4:O70))</f>
        <v/>
      </c>
      <c r="Q70" s="56" t="str">
        <f aca="false">IF($W70="","",N(INDEX(发票统计!Q$4:Q$1003,$W70)))</f>
        <v/>
      </c>
      <c r="R70" s="56" t="str">
        <f aca="false">IF($W70="","",N(INDEX(发票统计!R$4:R$1003,$W70)))</f>
        <v/>
      </c>
      <c r="S70" s="56" t="str">
        <f aca="false">IF($W70="","",N(INDEX(发票统计!S$4:S$1003,$W70)))</f>
        <v/>
      </c>
      <c r="T70" s="56" t="str">
        <f aca="false">IF($W70="","",SUM(Q$4:Q70)-SUM(R$4:R70)-SUM(S$4:S70))</f>
        <v/>
      </c>
      <c r="U70" s="56" t="str">
        <f aca="false">IF($W70="","",INDEX(发票统计!U$4:U$1003,$W70)&amp;"")</f>
        <v/>
      </c>
      <c r="W70" s="1" t="str">
        <f aca="false">IF($V$3="","",IFERROR(MATCH($V$3&amp;"#"&amp;ROWS(W$4:W70),发票统计!$W$4:$W$1003,0),""))</f>
        <v/>
      </c>
    </row>
    <row r="71" customFormat="false" ht="16.5" hidden="false" customHeight="false" outlineLevel="0" collapsed="false">
      <c r="A71" s="3" t="str">
        <f aca="false">IF($W71="","",INDEX(发票统计!A$4:A$1003,$W71)&amp;"")</f>
        <v/>
      </c>
      <c r="B71" s="3" t="str">
        <f aca="false">IF($W71="","",INDEX(发票统计!B$4:B$1003,$W71)&amp;"")</f>
        <v/>
      </c>
      <c r="C71" s="3" t="str">
        <f aca="false">IF($W71="","",INDEX(发票统计!C$4:C$1003,$W71)&amp;"")</f>
        <v/>
      </c>
      <c r="D71" s="3" t="str">
        <f aca="false">IF($W71="","",INDEX(发票统计!D$4:D$1003,$W71)&amp;"")</f>
        <v/>
      </c>
      <c r="E71" s="67" t="str">
        <f aca="false">IF($W71="","",INDEX(发票统计!E$4:E$1003,$W71)&amp;"")</f>
        <v/>
      </c>
      <c r="F71" s="68" t="str">
        <f aca="false">IF($W71="","",INDEX(发票统计!F$4:F$1003,$W71)&amp;"")</f>
        <v/>
      </c>
      <c r="G71" s="68" t="str">
        <f aca="false">IF($W71="","",IF(INDEX(发票统计!G$4:G$1003,$W71)="","",INDEX(发票统计!G$4:G$1003,$W71)))</f>
        <v/>
      </c>
      <c r="H71" s="56" t="str">
        <f aca="false">IF($W71="","",N(INDEX(发票统计!H$4:H$1003,$W71)))</f>
        <v/>
      </c>
      <c r="I71" s="56" t="str">
        <f aca="false">IF($W71="","",N(INDEX(发票统计!I$4:I$1003,$W71)))</f>
        <v/>
      </c>
      <c r="J71" s="56" t="str">
        <f aca="false">IF($W71="","",N(INDEX(发票统计!J$4:J$1003,$W71)))</f>
        <v/>
      </c>
      <c r="K71" s="56" t="str">
        <f aca="false">IF($W71="","",N(INDEX(发票统计!K$4:K$1003,$W71)))</f>
        <v/>
      </c>
      <c r="L71" s="56" t="str">
        <f aca="false">IF($W71="","",SUM(J$4:J71)-SUM(K$4:K71))</f>
        <v/>
      </c>
      <c r="M71" s="56" t="str">
        <f aca="false">IF($W71="","",N(INDEX(发票统计!M$4:M$1003,$W71)))</f>
        <v/>
      </c>
      <c r="N71" s="56" t="str">
        <f aca="false">IF($W71="","",N(INDEX(发票统计!N$4:N$1003,$W71)))</f>
        <v/>
      </c>
      <c r="O71" s="56" t="str">
        <f aca="false">IF($W71="","",N(INDEX(发票统计!O$4:O$1003,$W71)))</f>
        <v/>
      </c>
      <c r="P71" s="56" t="str">
        <f aca="false">IF($W71="","",SUM(M$4:M71)-SUM(N$4:N71)-SUM(O$4:O71))</f>
        <v/>
      </c>
      <c r="Q71" s="56" t="str">
        <f aca="false">IF($W71="","",N(INDEX(发票统计!Q$4:Q$1003,$W71)))</f>
        <v/>
      </c>
      <c r="R71" s="56" t="str">
        <f aca="false">IF($W71="","",N(INDEX(发票统计!R$4:R$1003,$W71)))</f>
        <v/>
      </c>
      <c r="S71" s="56" t="str">
        <f aca="false">IF($W71="","",N(INDEX(发票统计!S$4:S$1003,$W71)))</f>
        <v/>
      </c>
      <c r="T71" s="56" t="str">
        <f aca="false">IF($W71="","",SUM(Q$4:Q71)-SUM(R$4:R71)-SUM(S$4:S71))</f>
        <v/>
      </c>
      <c r="U71" s="56" t="str">
        <f aca="false">IF($W71="","",INDEX(发票统计!U$4:U$1003,$W71)&amp;"")</f>
        <v/>
      </c>
      <c r="W71" s="1" t="str">
        <f aca="false">IF($V$3="","",IFERROR(MATCH($V$3&amp;"#"&amp;ROWS(W$4:W71),发票统计!$W$4:$W$1003,0),""))</f>
        <v/>
      </c>
    </row>
    <row r="72" customFormat="false" ht="16.5" hidden="false" customHeight="false" outlineLevel="0" collapsed="false">
      <c r="A72" s="3" t="str">
        <f aca="false">IF($W72="","",INDEX(发票统计!A$4:A$1003,$W72)&amp;"")</f>
        <v/>
      </c>
      <c r="B72" s="3" t="str">
        <f aca="false">IF($W72="","",INDEX(发票统计!B$4:B$1003,$W72)&amp;"")</f>
        <v/>
      </c>
      <c r="C72" s="3" t="str">
        <f aca="false">IF($W72="","",INDEX(发票统计!C$4:C$1003,$W72)&amp;"")</f>
        <v/>
      </c>
      <c r="D72" s="3" t="str">
        <f aca="false">IF($W72="","",INDEX(发票统计!D$4:D$1003,$W72)&amp;"")</f>
        <v/>
      </c>
      <c r="E72" s="67" t="str">
        <f aca="false">IF($W72="","",INDEX(发票统计!E$4:E$1003,$W72)&amp;"")</f>
        <v/>
      </c>
      <c r="F72" s="68" t="str">
        <f aca="false">IF($W72="","",INDEX(发票统计!F$4:F$1003,$W72)&amp;"")</f>
        <v/>
      </c>
      <c r="G72" s="68" t="str">
        <f aca="false">IF($W72="","",IF(INDEX(发票统计!G$4:G$1003,$W72)="","",INDEX(发票统计!G$4:G$1003,$W72)))</f>
        <v/>
      </c>
      <c r="H72" s="56" t="str">
        <f aca="false">IF($W72="","",N(INDEX(发票统计!H$4:H$1003,$W72)))</f>
        <v/>
      </c>
      <c r="I72" s="56" t="str">
        <f aca="false">IF($W72="","",N(INDEX(发票统计!I$4:I$1003,$W72)))</f>
        <v/>
      </c>
      <c r="J72" s="56" t="str">
        <f aca="false">IF($W72="","",N(INDEX(发票统计!J$4:J$1003,$W72)))</f>
        <v/>
      </c>
      <c r="K72" s="56" t="str">
        <f aca="false">IF($W72="","",N(INDEX(发票统计!K$4:K$1003,$W72)))</f>
        <v/>
      </c>
      <c r="L72" s="56" t="str">
        <f aca="false">IF($W72="","",SUM(J$4:J72)-SUM(K$4:K72))</f>
        <v/>
      </c>
      <c r="M72" s="56" t="str">
        <f aca="false">IF($W72="","",N(INDEX(发票统计!M$4:M$1003,$W72)))</f>
        <v/>
      </c>
      <c r="N72" s="56" t="str">
        <f aca="false">IF($W72="","",N(INDEX(发票统计!N$4:N$1003,$W72)))</f>
        <v/>
      </c>
      <c r="O72" s="56" t="str">
        <f aca="false">IF($W72="","",N(INDEX(发票统计!O$4:O$1003,$W72)))</f>
        <v/>
      </c>
      <c r="P72" s="56" t="str">
        <f aca="false">IF($W72="","",SUM(M$4:M72)-SUM(N$4:N72)-SUM(O$4:O72))</f>
        <v/>
      </c>
      <c r="Q72" s="56" t="str">
        <f aca="false">IF($W72="","",N(INDEX(发票统计!Q$4:Q$1003,$W72)))</f>
        <v/>
      </c>
      <c r="R72" s="56" t="str">
        <f aca="false">IF($W72="","",N(INDEX(发票统计!R$4:R$1003,$W72)))</f>
        <v/>
      </c>
      <c r="S72" s="56" t="str">
        <f aca="false">IF($W72="","",N(INDEX(发票统计!S$4:S$1003,$W72)))</f>
        <v/>
      </c>
      <c r="T72" s="56" t="str">
        <f aca="false">IF($W72="","",SUM(Q$4:Q72)-SUM(R$4:R72)-SUM(S$4:S72))</f>
        <v/>
      </c>
      <c r="U72" s="56" t="str">
        <f aca="false">IF($W72="","",INDEX(发票统计!U$4:U$1003,$W72)&amp;"")</f>
        <v/>
      </c>
      <c r="W72" s="1" t="str">
        <f aca="false">IF($V$3="","",IFERROR(MATCH($V$3&amp;"#"&amp;ROWS(W$4:W72),发票统计!$W$4:$W$1003,0),""))</f>
        <v/>
      </c>
    </row>
    <row r="73" customFormat="false" ht="16.5" hidden="false" customHeight="false" outlineLevel="0" collapsed="false">
      <c r="A73" s="3" t="str">
        <f aca="false">IF($W73="","",INDEX(发票统计!A$4:A$1003,$W73)&amp;"")</f>
        <v/>
      </c>
      <c r="B73" s="3" t="str">
        <f aca="false">IF($W73="","",INDEX(发票统计!B$4:B$1003,$W73)&amp;"")</f>
        <v/>
      </c>
      <c r="C73" s="3" t="str">
        <f aca="false">IF($W73="","",INDEX(发票统计!C$4:C$1003,$W73)&amp;"")</f>
        <v/>
      </c>
      <c r="D73" s="3" t="str">
        <f aca="false">IF($W73="","",INDEX(发票统计!D$4:D$1003,$W73)&amp;"")</f>
        <v/>
      </c>
      <c r="E73" s="67" t="str">
        <f aca="false">IF($W73="","",INDEX(发票统计!E$4:E$1003,$W73)&amp;"")</f>
        <v/>
      </c>
      <c r="F73" s="68" t="str">
        <f aca="false">IF($W73="","",INDEX(发票统计!F$4:F$1003,$W73)&amp;"")</f>
        <v/>
      </c>
      <c r="G73" s="68" t="str">
        <f aca="false">IF($W73="","",IF(INDEX(发票统计!G$4:G$1003,$W73)="","",INDEX(发票统计!G$4:G$1003,$W73)))</f>
        <v/>
      </c>
      <c r="H73" s="56" t="str">
        <f aca="false">IF($W73="","",N(INDEX(发票统计!H$4:H$1003,$W73)))</f>
        <v/>
      </c>
      <c r="I73" s="56" t="str">
        <f aca="false">IF($W73="","",N(INDEX(发票统计!I$4:I$1003,$W73)))</f>
        <v/>
      </c>
      <c r="J73" s="56" t="str">
        <f aca="false">IF($W73="","",N(INDEX(发票统计!J$4:J$1003,$W73)))</f>
        <v/>
      </c>
      <c r="K73" s="56" t="str">
        <f aca="false">IF($W73="","",N(INDEX(发票统计!K$4:K$1003,$W73)))</f>
        <v/>
      </c>
      <c r="L73" s="56" t="str">
        <f aca="false">IF($W73="","",SUM(J$4:J73)-SUM(K$4:K73))</f>
        <v/>
      </c>
      <c r="M73" s="56" t="str">
        <f aca="false">IF($W73="","",N(INDEX(发票统计!M$4:M$1003,$W73)))</f>
        <v/>
      </c>
      <c r="N73" s="56" t="str">
        <f aca="false">IF($W73="","",N(INDEX(发票统计!N$4:N$1003,$W73)))</f>
        <v/>
      </c>
      <c r="O73" s="56" t="str">
        <f aca="false">IF($W73="","",N(INDEX(发票统计!O$4:O$1003,$W73)))</f>
        <v/>
      </c>
      <c r="P73" s="56" t="str">
        <f aca="false">IF($W73="","",SUM(M$4:M73)-SUM(N$4:N73)-SUM(O$4:O73))</f>
        <v/>
      </c>
      <c r="Q73" s="56" t="str">
        <f aca="false">IF($W73="","",N(INDEX(发票统计!Q$4:Q$1003,$W73)))</f>
        <v/>
      </c>
      <c r="R73" s="56" t="str">
        <f aca="false">IF($W73="","",N(INDEX(发票统计!R$4:R$1003,$W73)))</f>
        <v/>
      </c>
      <c r="S73" s="56" t="str">
        <f aca="false">IF($W73="","",N(INDEX(发票统计!S$4:S$1003,$W73)))</f>
        <v/>
      </c>
      <c r="T73" s="56" t="str">
        <f aca="false">IF($W73="","",SUM(Q$4:Q73)-SUM(R$4:R73)-SUM(S$4:S73))</f>
        <v/>
      </c>
      <c r="U73" s="56" t="str">
        <f aca="false">IF($W73="","",INDEX(发票统计!U$4:U$1003,$W73)&amp;"")</f>
        <v/>
      </c>
      <c r="W73" s="1" t="str">
        <f aca="false">IF($V$3="","",IFERROR(MATCH($V$3&amp;"#"&amp;ROWS(W$4:W73),发票统计!$W$4:$W$1003,0),""))</f>
        <v/>
      </c>
    </row>
    <row r="74" customFormat="false" ht="16.5" hidden="false" customHeight="false" outlineLevel="0" collapsed="false">
      <c r="A74" s="3" t="str">
        <f aca="false">IF($W74="","",INDEX(发票统计!A$4:A$1003,$W74)&amp;"")</f>
        <v/>
      </c>
      <c r="B74" s="3" t="str">
        <f aca="false">IF($W74="","",INDEX(发票统计!B$4:B$1003,$W74)&amp;"")</f>
        <v/>
      </c>
      <c r="C74" s="3" t="str">
        <f aca="false">IF($W74="","",INDEX(发票统计!C$4:C$1003,$W74)&amp;"")</f>
        <v/>
      </c>
      <c r="D74" s="3" t="str">
        <f aca="false">IF($W74="","",INDEX(发票统计!D$4:D$1003,$W74)&amp;"")</f>
        <v/>
      </c>
      <c r="E74" s="67" t="str">
        <f aca="false">IF($W74="","",INDEX(发票统计!E$4:E$1003,$W74)&amp;"")</f>
        <v/>
      </c>
      <c r="F74" s="68" t="str">
        <f aca="false">IF($W74="","",INDEX(发票统计!F$4:F$1003,$W74)&amp;"")</f>
        <v/>
      </c>
      <c r="G74" s="68" t="str">
        <f aca="false">IF($W74="","",IF(INDEX(发票统计!G$4:G$1003,$W74)="","",INDEX(发票统计!G$4:G$1003,$W74)))</f>
        <v/>
      </c>
      <c r="H74" s="56" t="str">
        <f aca="false">IF($W74="","",N(INDEX(发票统计!H$4:H$1003,$W74)))</f>
        <v/>
      </c>
      <c r="I74" s="56" t="str">
        <f aca="false">IF($W74="","",N(INDEX(发票统计!I$4:I$1003,$W74)))</f>
        <v/>
      </c>
      <c r="J74" s="56" t="str">
        <f aca="false">IF($W74="","",N(INDEX(发票统计!J$4:J$1003,$W74)))</f>
        <v/>
      </c>
      <c r="K74" s="56" t="str">
        <f aca="false">IF($W74="","",N(INDEX(发票统计!K$4:K$1003,$W74)))</f>
        <v/>
      </c>
      <c r="L74" s="56" t="str">
        <f aca="false">IF($W74="","",SUM(J$4:J74)-SUM(K$4:K74))</f>
        <v/>
      </c>
      <c r="M74" s="56" t="str">
        <f aca="false">IF($W74="","",N(INDEX(发票统计!M$4:M$1003,$W74)))</f>
        <v/>
      </c>
      <c r="N74" s="56" t="str">
        <f aca="false">IF($W74="","",N(INDEX(发票统计!N$4:N$1003,$W74)))</f>
        <v/>
      </c>
      <c r="O74" s="56" t="str">
        <f aca="false">IF($W74="","",N(INDEX(发票统计!O$4:O$1003,$W74)))</f>
        <v/>
      </c>
      <c r="P74" s="56" t="str">
        <f aca="false">IF($W74="","",SUM(M$4:M74)-SUM(N$4:N74)-SUM(O$4:O74))</f>
        <v/>
      </c>
      <c r="Q74" s="56" t="str">
        <f aca="false">IF($W74="","",N(INDEX(发票统计!Q$4:Q$1003,$W74)))</f>
        <v/>
      </c>
      <c r="R74" s="56" t="str">
        <f aca="false">IF($W74="","",N(INDEX(发票统计!R$4:R$1003,$W74)))</f>
        <v/>
      </c>
      <c r="S74" s="56" t="str">
        <f aca="false">IF($W74="","",N(INDEX(发票统计!S$4:S$1003,$W74)))</f>
        <v/>
      </c>
      <c r="T74" s="56" t="str">
        <f aca="false">IF($W74="","",SUM(Q$4:Q74)-SUM(R$4:R74)-SUM(S$4:S74))</f>
        <v/>
      </c>
      <c r="U74" s="56" t="str">
        <f aca="false">IF($W74="","",INDEX(发票统计!U$4:U$1003,$W74)&amp;"")</f>
        <v/>
      </c>
      <c r="W74" s="1" t="str">
        <f aca="false">IF($V$3="","",IFERROR(MATCH($V$3&amp;"#"&amp;ROWS(W$4:W74),发票统计!$W$4:$W$1003,0),""))</f>
        <v/>
      </c>
    </row>
    <row r="75" customFormat="false" ht="16.5" hidden="false" customHeight="false" outlineLevel="0" collapsed="false">
      <c r="A75" s="3" t="str">
        <f aca="false">IF($W75="","",INDEX(发票统计!A$4:A$1003,$W75)&amp;"")</f>
        <v/>
      </c>
      <c r="B75" s="3" t="str">
        <f aca="false">IF($W75="","",INDEX(发票统计!B$4:B$1003,$W75)&amp;"")</f>
        <v/>
      </c>
      <c r="C75" s="3" t="str">
        <f aca="false">IF($W75="","",INDEX(发票统计!C$4:C$1003,$W75)&amp;"")</f>
        <v/>
      </c>
      <c r="D75" s="3" t="str">
        <f aca="false">IF($W75="","",INDEX(发票统计!D$4:D$1003,$W75)&amp;"")</f>
        <v/>
      </c>
      <c r="E75" s="67" t="str">
        <f aca="false">IF($W75="","",INDEX(发票统计!E$4:E$1003,$W75)&amp;"")</f>
        <v/>
      </c>
      <c r="F75" s="68" t="str">
        <f aca="false">IF($W75="","",INDEX(发票统计!F$4:F$1003,$W75)&amp;"")</f>
        <v/>
      </c>
      <c r="G75" s="68" t="str">
        <f aca="false">IF($W75="","",IF(INDEX(发票统计!G$4:G$1003,$W75)="","",INDEX(发票统计!G$4:G$1003,$W75)))</f>
        <v/>
      </c>
      <c r="H75" s="56" t="str">
        <f aca="false">IF($W75="","",N(INDEX(发票统计!H$4:H$1003,$W75)))</f>
        <v/>
      </c>
      <c r="I75" s="56" t="str">
        <f aca="false">IF($W75="","",N(INDEX(发票统计!I$4:I$1003,$W75)))</f>
        <v/>
      </c>
      <c r="J75" s="56" t="str">
        <f aca="false">IF($W75="","",N(INDEX(发票统计!J$4:J$1003,$W75)))</f>
        <v/>
      </c>
      <c r="K75" s="56" t="str">
        <f aca="false">IF($W75="","",N(INDEX(发票统计!K$4:K$1003,$W75)))</f>
        <v/>
      </c>
      <c r="L75" s="56" t="str">
        <f aca="false">IF($W75="","",SUM(J$4:J75)-SUM(K$4:K75))</f>
        <v/>
      </c>
      <c r="M75" s="56" t="str">
        <f aca="false">IF($W75="","",N(INDEX(发票统计!M$4:M$1003,$W75)))</f>
        <v/>
      </c>
      <c r="N75" s="56" t="str">
        <f aca="false">IF($W75="","",N(INDEX(发票统计!N$4:N$1003,$W75)))</f>
        <v/>
      </c>
      <c r="O75" s="56" t="str">
        <f aca="false">IF($W75="","",N(INDEX(发票统计!O$4:O$1003,$W75)))</f>
        <v/>
      </c>
      <c r="P75" s="56" t="str">
        <f aca="false">IF($W75="","",SUM(M$4:M75)-SUM(N$4:N75)-SUM(O$4:O75))</f>
        <v/>
      </c>
      <c r="Q75" s="56" t="str">
        <f aca="false">IF($W75="","",N(INDEX(发票统计!Q$4:Q$1003,$W75)))</f>
        <v/>
      </c>
      <c r="R75" s="56" t="str">
        <f aca="false">IF($W75="","",N(INDEX(发票统计!R$4:R$1003,$W75)))</f>
        <v/>
      </c>
      <c r="S75" s="56" t="str">
        <f aca="false">IF($W75="","",N(INDEX(发票统计!S$4:S$1003,$W75)))</f>
        <v/>
      </c>
      <c r="T75" s="56" t="str">
        <f aca="false">IF($W75="","",SUM(Q$4:Q75)-SUM(R$4:R75)-SUM(S$4:S75))</f>
        <v/>
      </c>
      <c r="U75" s="56" t="str">
        <f aca="false">IF($W75="","",INDEX(发票统计!U$4:U$1003,$W75)&amp;"")</f>
        <v/>
      </c>
      <c r="W75" s="1" t="str">
        <f aca="false">IF($V$3="","",IFERROR(MATCH($V$3&amp;"#"&amp;ROWS(W$4:W75),发票统计!$W$4:$W$1003,0),""))</f>
        <v/>
      </c>
    </row>
    <row r="76" customFormat="false" ht="16.5" hidden="false" customHeight="false" outlineLevel="0" collapsed="false">
      <c r="A76" s="3" t="str">
        <f aca="false">IF($W76="","",INDEX(发票统计!A$4:A$1003,$W76)&amp;"")</f>
        <v/>
      </c>
      <c r="B76" s="3" t="str">
        <f aca="false">IF($W76="","",INDEX(发票统计!B$4:B$1003,$W76)&amp;"")</f>
        <v/>
      </c>
      <c r="C76" s="3" t="str">
        <f aca="false">IF($W76="","",INDEX(发票统计!C$4:C$1003,$W76)&amp;"")</f>
        <v/>
      </c>
      <c r="D76" s="3" t="str">
        <f aca="false">IF($W76="","",INDEX(发票统计!D$4:D$1003,$W76)&amp;"")</f>
        <v/>
      </c>
      <c r="E76" s="67" t="str">
        <f aca="false">IF($W76="","",INDEX(发票统计!E$4:E$1003,$W76)&amp;"")</f>
        <v/>
      </c>
      <c r="F76" s="68" t="str">
        <f aca="false">IF($W76="","",INDEX(发票统计!F$4:F$1003,$W76)&amp;"")</f>
        <v/>
      </c>
      <c r="G76" s="68" t="str">
        <f aca="false">IF($W76="","",IF(INDEX(发票统计!G$4:G$1003,$W76)="","",INDEX(发票统计!G$4:G$1003,$W76)))</f>
        <v/>
      </c>
      <c r="H76" s="56" t="str">
        <f aca="false">IF($W76="","",N(INDEX(发票统计!H$4:H$1003,$W76)))</f>
        <v/>
      </c>
      <c r="I76" s="56" t="str">
        <f aca="false">IF($W76="","",N(INDEX(发票统计!I$4:I$1003,$W76)))</f>
        <v/>
      </c>
      <c r="J76" s="56" t="str">
        <f aca="false">IF($W76="","",N(INDEX(发票统计!J$4:J$1003,$W76)))</f>
        <v/>
      </c>
      <c r="K76" s="56" t="str">
        <f aca="false">IF($W76="","",N(INDEX(发票统计!K$4:K$1003,$W76)))</f>
        <v/>
      </c>
      <c r="L76" s="56" t="str">
        <f aca="false">IF($W76="","",SUM(J$4:J76)-SUM(K$4:K76))</f>
        <v/>
      </c>
      <c r="M76" s="56" t="str">
        <f aca="false">IF($W76="","",N(INDEX(发票统计!M$4:M$1003,$W76)))</f>
        <v/>
      </c>
      <c r="N76" s="56" t="str">
        <f aca="false">IF($W76="","",N(INDEX(发票统计!N$4:N$1003,$W76)))</f>
        <v/>
      </c>
      <c r="O76" s="56" t="str">
        <f aca="false">IF($W76="","",N(INDEX(发票统计!O$4:O$1003,$W76)))</f>
        <v/>
      </c>
      <c r="P76" s="56" t="str">
        <f aca="false">IF($W76="","",SUM(M$4:M76)-SUM(N$4:N76)-SUM(O$4:O76))</f>
        <v/>
      </c>
      <c r="Q76" s="56" t="str">
        <f aca="false">IF($W76="","",N(INDEX(发票统计!Q$4:Q$1003,$W76)))</f>
        <v/>
      </c>
      <c r="R76" s="56" t="str">
        <f aca="false">IF($W76="","",N(INDEX(发票统计!R$4:R$1003,$W76)))</f>
        <v/>
      </c>
      <c r="S76" s="56" t="str">
        <f aca="false">IF($W76="","",N(INDEX(发票统计!S$4:S$1003,$W76)))</f>
        <v/>
      </c>
      <c r="T76" s="56" t="str">
        <f aca="false">IF($W76="","",SUM(Q$4:Q76)-SUM(R$4:R76)-SUM(S$4:S76))</f>
        <v/>
      </c>
      <c r="U76" s="56" t="str">
        <f aca="false">IF($W76="","",INDEX(发票统计!U$4:U$1003,$W76)&amp;"")</f>
        <v/>
      </c>
      <c r="W76" s="1" t="str">
        <f aca="false">IF($V$3="","",IFERROR(MATCH($V$3&amp;"#"&amp;ROWS(W$4:W76),发票统计!$W$4:$W$1003,0),""))</f>
        <v/>
      </c>
    </row>
    <row r="77" customFormat="false" ht="16.5" hidden="false" customHeight="false" outlineLevel="0" collapsed="false">
      <c r="A77" s="3" t="str">
        <f aca="false">IF($W77="","",INDEX(发票统计!A$4:A$1003,$W77)&amp;"")</f>
        <v/>
      </c>
      <c r="B77" s="3" t="str">
        <f aca="false">IF($W77="","",INDEX(发票统计!B$4:B$1003,$W77)&amp;"")</f>
        <v/>
      </c>
      <c r="C77" s="3" t="str">
        <f aca="false">IF($W77="","",INDEX(发票统计!C$4:C$1003,$W77)&amp;"")</f>
        <v/>
      </c>
      <c r="D77" s="3" t="str">
        <f aca="false">IF($W77="","",INDEX(发票统计!D$4:D$1003,$W77)&amp;"")</f>
        <v/>
      </c>
      <c r="E77" s="67" t="str">
        <f aca="false">IF($W77="","",INDEX(发票统计!E$4:E$1003,$W77)&amp;"")</f>
        <v/>
      </c>
      <c r="F77" s="68" t="str">
        <f aca="false">IF($W77="","",INDEX(发票统计!F$4:F$1003,$W77)&amp;"")</f>
        <v/>
      </c>
      <c r="G77" s="68" t="str">
        <f aca="false">IF($W77="","",IF(INDEX(发票统计!G$4:G$1003,$W77)="","",INDEX(发票统计!G$4:G$1003,$W77)))</f>
        <v/>
      </c>
      <c r="H77" s="56" t="str">
        <f aca="false">IF($W77="","",N(INDEX(发票统计!H$4:H$1003,$W77)))</f>
        <v/>
      </c>
      <c r="I77" s="56" t="str">
        <f aca="false">IF($W77="","",N(INDEX(发票统计!I$4:I$1003,$W77)))</f>
        <v/>
      </c>
      <c r="J77" s="56" t="str">
        <f aca="false">IF($W77="","",N(INDEX(发票统计!J$4:J$1003,$W77)))</f>
        <v/>
      </c>
      <c r="K77" s="56" t="str">
        <f aca="false">IF($W77="","",N(INDEX(发票统计!K$4:K$1003,$W77)))</f>
        <v/>
      </c>
      <c r="L77" s="56" t="str">
        <f aca="false">IF($W77="","",SUM(J$4:J77)-SUM(K$4:K77))</f>
        <v/>
      </c>
      <c r="M77" s="56" t="str">
        <f aca="false">IF($W77="","",N(INDEX(发票统计!M$4:M$1003,$W77)))</f>
        <v/>
      </c>
      <c r="N77" s="56" t="str">
        <f aca="false">IF($W77="","",N(INDEX(发票统计!N$4:N$1003,$W77)))</f>
        <v/>
      </c>
      <c r="O77" s="56" t="str">
        <f aca="false">IF($W77="","",N(INDEX(发票统计!O$4:O$1003,$W77)))</f>
        <v/>
      </c>
      <c r="P77" s="56" t="str">
        <f aca="false">IF($W77="","",SUM(M$4:M77)-SUM(N$4:N77)-SUM(O$4:O77))</f>
        <v/>
      </c>
      <c r="Q77" s="56" t="str">
        <f aca="false">IF($W77="","",N(INDEX(发票统计!Q$4:Q$1003,$W77)))</f>
        <v/>
      </c>
      <c r="R77" s="56" t="str">
        <f aca="false">IF($W77="","",N(INDEX(发票统计!R$4:R$1003,$W77)))</f>
        <v/>
      </c>
      <c r="S77" s="56" t="str">
        <f aca="false">IF($W77="","",N(INDEX(发票统计!S$4:S$1003,$W77)))</f>
        <v/>
      </c>
      <c r="T77" s="56" t="str">
        <f aca="false">IF($W77="","",SUM(Q$4:Q77)-SUM(R$4:R77)-SUM(S$4:S77))</f>
        <v/>
      </c>
      <c r="U77" s="56" t="str">
        <f aca="false">IF($W77="","",INDEX(发票统计!U$4:U$1003,$W77)&amp;"")</f>
        <v/>
      </c>
      <c r="W77" s="1" t="str">
        <f aca="false">IF($V$3="","",IFERROR(MATCH($V$3&amp;"#"&amp;ROWS(W$4:W77),发票统计!$W$4:$W$1003,0),""))</f>
        <v/>
      </c>
    </row>
    <row r="78" customFormat="false" ht="16.5" hidden="false" customHeight="false" outlineLevel="0" collapsed="false">
      <c r="A78" s="3" t="str">
        <f aca="false">IF($W78="","",INDEX(发票统计!A$4:A$1003,$W78)&amp;"")</f>
        <v/>
      </c>
      <c r="B78" s="3" t="str">
        <f aca="false">IF($W78="","",INDEX(发票统计!B$4:B$1003,$W78)&amp;"")</f>
        <v/>
      </c>
      <c r="C78" s="3" t="str">
        <f aca="false">IF($W78="","",INDEX(发票统计!C$4:C$1003,$W78)&amp;"")</f>
        <v/>
      </c>
      <c r="D78" s="3" t="str">
        <f aca="false">IF($W78="","",INDEX(发票统计!D$4:D$1003,$W78)&amp;"")</f>
        <v/>
      </c>
      <c r="E78" s="67" t="str">
        <f aca="false">IF($W78="","",INDEX(发票统计!E$4:E$1003,$W78)&amp;"")</f>
        <v/>
      </c>
      <c r="F78" s="68" t="str">
        <f aca="false">IF($W78="","",INDEX(发票统计!F$4:F$1003,$W78)&amp;"")</f>
        <v/>
      </c>
      <c r="G78" s="68" t="str">
        <f aca="false">IF($W78="","",IF(INDEX(发票统计!G$4:G$1003,$W78)="","",INDEX(发票统计!G$4:G$1003,$W78)))</f>
        <v/>
      </c>
      <c r="H78" s="56" t="str">
        <f aca="false">IF($W78="","",N(INDEX(发票统计!H$4:H$1003,$W78)))</f>
        <v/>
      </c>
      <c r="I78" s="56" t="str">
        <f aca="false">IF($W78="","",N(INDEX(发票统计!I$4:I$1003,$W78)))</f>
        <v/>
      </c>
      <c r="J78" s="56" t="str">
        <f aca="false">IF($W78="","",N(INDEX(发票统计!J$4:J$1003,$W78)))</f>
        <v/>
      </c>
      <c r="K78" s="56" t="str">
        <f aca="false">IF($W78="","",N(INDEX(发票统计!K$4:K$1003,$W78)))</f>
        <v/>
      </c>
      <c r="L78" s="56" t="str">
        <f aca="false">IF($W78="","",SUM(J$4:J78)-SUM(K$4:K78))</f>
        <v/>
      </c>
      <c r="M78" s="56" t="str">
        <f aca="false">IF($W78="","",N(INDEX(发票统计!M$4:M$1003,$W78)))</f>
        <v/>
      </c>
      <c r="N78" s="56" t="str">
        <f aca="false">IF($W78="","",N(INDEX(发票统计!N$4:N$1003,$W78)))</f>
        <v/>
      </c>
      <c r="O78" s="56" t="str">
        <f aca="false">IF($W78="","",N(INDEX(发票统计!O$4:O$1003,$W78)))</f>
        <v/>
      </c>
      <c r="P78" s="56" t="str">
        <f aca="false">IF($W78="","",SUM(M$4:M78)-SUM(N$4:N78)-SUM(O$4:O78))</f>
        <v/>
      </c>
      <c r="Q78" s="56" t="str">
        <f aca="false">IF($W78="","",N(INDEX(发票统计!Q$4:Q$1003,$W78)))</f>
        <v/>
      </c>
      <c r="R78" s="56" t="str">
        <f aca="false">IF($W78="","",N(INDEX(发票统计!R$4:R$1003,$W78)))</f>
        <v/>
      </c>
      <c r="S78" s="56" t="str">
        <f aca="false">IF($W78="","",N(INDEX(发票统计!S$4:S$1003,$W78)))</f>
        <v/>
      </c>
      <c r="T78" s="56" t="str">
        <f aca="false">IF($W78="","",SUM(Q$4:Q78)-SUM(R$4:R78)-SUM(S$4:S78))</f>
        <v/>
      </c>
      <c r="U78" s="56" t="str">
        <f aca="false">IF($W78="","",INDEX(发票统计!U$4:U$1003,$W78)&amp;"")</f>
        <v/>
      </c>
      <c r="W78" s="1" t="str">
        <f aca="false">IF($V$3="","",IFERROR(MATCH($V$3&amp;"#"&amp;ROWS(W$4:W78),发票统计!$W$4:$W$1003,0),""))</f>
        <v/>
      </c>
    </row>
    <row r="79" customFormat="false" ht="16.5" hidden="false" customHeight="false" outlineLevel="0" collapsed="false">
      <c r="A79" s="3" t="str">
        <f aca="false">IF($W79="","",INDEX(发票统计!A$4:A$1003,$W79)&amp;"")</f>
        <v/>
      </c>
      <c r="B79" s="3" t="str">
        <f aca="false">IF($W79="","",INDEX(发票统计!B$4:B$1003,$W79)&amp;"")</f>
        <v/>
      </c>
      <c r="C79" s="3" t="str">
        <f aca="false">IF($W79="","",INDEX(发票统计!C$4:C$1003,$W79)&amp;"")</f>
        <v/>
      </c>
      <c r="D79" s="3" t="str">
        <f aca="false">IF($W79="","",INDEX(发票统计!D$4:D$1003,$W79)&amp;"")</f>
        <v/>
      </c>
      <c r="E79" s="67" t="str">
        <f aca="false">IF($W79="","",INDEX(发票统计!E$4:E$1003,$W79)&amp;"")</f>
        <v/>
      </c>
      <c r="F79" s="68" t="str">
        <f aca="false">IF($W79="","",INDEX(发票统计!F$4:F$1003,$W79)&amp;"")</f>
        <v/>
      </c>
      <c r="G79" s="68" t="str">
        <f aca="false">IF($W79="","",IF(INDEX(发票统计!G$4:G$1003,$W79)="","",INDEX(发票统计!G$4:G$1003,$W79)))</f>
        <v/>
      </c>
      <c r="H79" s="56" t="str">
        <f aca="false">IF($W79="","",N(INDEX(发票统计!H$4:H$1003,$W79)))</f>
        <v/>
      </c>
      <c r="I79" s="56" t="str">
        <f aca="false">IF($W79="","",N(INDEX(发票统计!I$4:I$1003,$W79)))</f>
        <v/>
      </c>
      <c r="J79" s="56" t="str">
        <f aca="false">IF($W79="","",N(INDEX(发票统计!J$4:J$1003,$W79)))</f>
        <v/>
      </c>
      <c r="K79" s="56" t="str">
        <f aca="false">IF($W79="","",N(INDEX(发票统计!K$4:K$1003,$W79)))</f>
        <v/>
      </c>
      <c r="L79" s="56" t="str">
        <f aca="false">IF($W79="","",SUM(J$4:J79)-SUM(K$4:K79))</f>
        <v/>
      </c>
      <c r="M79" s="56" t="str">
        <f aca="false">IF($W79="","",N(INDEX(发票统计!M$4:M$1003,$W79)))</f>
        <v/>
      </c>
      <c r="N79" s="56" t="str">
        <f aca="false">IF($W79="","",N(INDEX(发票统计!N$4:N$1003,$W79)))</f>
        <v/>
      </c>
      <c r="O79" s="56" t="str">
        <f aca="false">IF($W79="","",N(INDEX(发票统计!O$4:O$1003,$W79)))</f>
        <v/>
      </c>
      <c r="P79" s="56" t="str">
        <f aca="false">IF($W79="","",SUM(M$4:M79)-SUM(N$4:N79)-SUM(O$4:O79))</f>
        <v/>
      </c>
      <c r="Q79" s="56" t="str">
        <f aca="false">IF($W79="","",N(INDEX(发票统计!Q$4:Q$1003,$W79)))</f>
        <v/>
      </c>
      <c r="R79" s="56" t="str">
        <f aca="false">IF($W79="","",N(INDEX(发票统计!R$4:R$1003,$W79)))</f>
        <v/>
      </c>
      <c r="S79" s="56" t="str">
        <f aca="false">IF($W79="","",N(INDEX(发票统计!S$4:S$1003,$W79)))</f>
        <v/>
      </c>
      <c r="T79" s="56" t="str">
        <f aca="false">IF($W79="","",SUM(Q$4:Q79)-SUM(R$4:R79)-SUM(S$4:S79))</f>
        <v/>
      </c>
      <c r="U79" s="56" t="str">
        <f aca="false">IF($W79="","",INDEX(发票统计!U$4:U$1003,$W79)&amp;"")</f>
        <v/>
      </c>
      <c r="W79" s="1" t="str">
        <f aca="false">IF($V$3="","",IFERROR(MATCH($V$3&amp;"#"&amp;ROWS(W$4:W79),发票统计!$W$4:$W$1003,0),""))</f>
        <v/>
      </c>
    </row>
    <row r="80" customFormat="false" ht="16.5" hidden="false" customHeight="false" outlineLevel="0" collapsed="false">
      <c r="A80" s="3" t="str">
        <f aca="false">IF($W80="","",INDEX(发票统计!A$4:A$1003,$W80)&amp;"")</f>
        <v/>
      </c>
      <c r="B80" s="3" t="str">
        <f aca="false">IF($W80="","",INDEX(发票统计!B$4:B$1003,$W80)&amp;"")</f>
        <v/>
      </c>
      <c r="C80" s="3" t="str">
        <f aca="false">IF($W80="","",INDEX(发票统计!C$4:C$1003,$W80)&amp;"")</f>
        <v/>
      </c>
      <c r="D80" s="3" t="str">
        <f aca="false">IF($W80="","",INDEX(发票统计!D$4:D$1003,$W80)&amp;"")</f>
        <v/>
      </c>
      <c r="E80" s="67" t="str">
        <f aca="false">IF($W80="","",INDEX(发票统计!E$4:E$1003,$W80)&amp;"")</f>
        <v/>
      </c>
      <c r="F80" s="68" t="str">
        <f aca="false">IF($W80="","",INDEX(发票统计!F$4:F$1003,$W80)&amp;"")</f>
        <v/>
      </c>
      <c r="G80" s="68" t="str">
        <f aca="false">IF($W80="","",IF(INDEX(发票统计!G$4:G$1003,$W80)="","",INDEX(发票统计!G$4:G$1003,$W80)))</f>
        <v/>
      </c>
      <c r="H80" s="56" t="str">
        <f aca="false">IF($W80="","",N(INDEX(发票统计!H$4:H$1003,$W80)))</f>
        <v/>
      </c>
      <c r="I80" s="56" t="str">
        <f aca="false">IF($W80="","",N(INDEX(发票统计!I$4:I$1003,$W80)))</f>
        <v/>
      </c>
      <c r="J80" s="56" t="str">
        <f aca="false">IF($W80="","",N(INDEX(发票统计!J$4:J$1003,$W80)))</f>
        <v/>
      </c>
      <c r="K80" s="56" t="str">
        <f aca="false">IF($W80="","",N(INDEX(发票统计!K$4:K$1003,$W80)))</f>
        <v/>
      </c>
      <c r="L80" s="56" t="str">
        <f aca="false">IF($W80="","",SUM(J$4:J80)-SUM(K$4:K80))</f>
        <v/>
      </c>
      <c r="M80" s="56" t="str">
        <f aca="false">IF($W80="","",N(INDEX(发票统计!M$4:M$1003,$W80)))</f>
        <v/>
      </c>
      <c r="N80" s="56" t="str">
        <f aca="false">IF($W80="","",N(INDEX(发票统计!N$4:N$1003,$W80)))</f>
        <v/>
      </c>
      <c r="O80" s="56" t="str">
        <f aca="false">IF($W80="","",N(INDEX(发票统计!O$4:O$1003,$W80)))</f>
        <v/>
      </c>
      <c r="P80" s="56" t="str">
        <f aca="false">IF($W80="","",SUM(M$4:M80)-SUM(N$4:N80)-SUM(O$4:O80))</f>
        <v/>
      </c>
      <c r="Q80" s="56" t="str">
        <f aca="false">IF($W80="","",N(INDEX(发票统计!Q$4:Q$1003,$W80)))</f>
        <v/>
      </c>
      <c r="R80" s="56" t="str">
        <f aca="false">IF($W80="","",N(INDEX(发票统计!R$4:R$1003,$W80)))</f>
        <v/>
      </c>
      <c r="S80" s="56" t="str">
        <f aca="false">IF($W80="","",N(INDEX(发票统计!S$4:S$1003,$W80)))</f>
        <v/>
      </c>
      <c r="T80" s="56" t="str">
        <f aca="false">IF($W80="","",SUM(Q$4:Q80)-SUM(R$4:R80)-SUM(S$4:S80))</f>
        <v/>
      </c>
      <c r="U80" s="56" t="str">
        <f aca="false">IF($W80="","",INDEX(发票统计!U$4:U$1003,$W80)&amp;"")</f>
        <v/>
      </c>
      <c r="W80" s="1" t="str">
        <f aca="false">IF($V$3="","",IFERROR(MATCH($V$3&amp;"#"&amp;ROWS(W$4:W80),发票统计!$W$4:$W$1003,0),""))</f>
        <v/>
      </c>
    </row>
    <row r="81" customFormat="false" ht="16.5" hidden="false" customHeight="false" outlineLevel="0" collapsed="false">
      <c r="A81" s="3" t="str">
        <f aca="false">IF($W81="","",INDEX(发票统计!A$4:A$1003,$W81)&amp;"")</f>
        <v/>
      </c>
      <c r="B81" s="3" t="str">
        <f aca="false">IF($W81="","",INDEX(发票统计!B$4:B$1003,$W81)&amp;"")</f>
        <v/>
      </c>
      <c r="C81" s="3" t="str">
        <f aca="false">IF($W81="","",INDEX(发票统计!C$4:C$1003,$W81)&amp;"")</f>
        <v/>
      </c>
      <c r="D81" s="3" t="str">
        <f aca="false">IF($W81="","",INDEX(发票统计!D$4:D$1003,$W81)&amp;"")</f>
        <v/>
      </c>
      <c r="E81" s="67" t="str">
        <f aca="false">IF($W81="","",INDEX(发票统计!E$4:E$1003,$W81)&amp;"")</f>
        <v/>
      </c>
      <c r="F81" s="68" t="str">
        <f aca="false">IF($W81="","",INDEX(发票统计!F$4:F$1003,$W81)&amp;"")</f>
        <v/>
      </c>
      <c r="G81" s="68" t="str">
        <f aca="false">IF($W81="","",IF(INDEX(发票统计!G$4:G$1003,$W81)="","",INDEX(发票统计!G$4:G$1003,$W81)))</f>
        <v/>
      </c>
      <c r="H81" s="56" t="str">
        <f aca="false">IF($W81="","",N(INDEX(发票统计!H$4:H$1003,$W81)))</f>
        <v/>
      </c>
      <c r="I81" s="56" t="str">
        <f aca="false">IF($W81="","",N(INDEX(发票统计!I$4:I$1003,$W81)))</f>
        <v/>
      </c>
      <c r="J81" s="56" t="str">
        <f aca="false">IF($W81="","",N(INDEX(发票统计!J$4:J$1003,$W81)))</f>
        <v/>
      </c>
      <c r="K81" s="56" t="str">
        <f aca="false">IF($W81="","",N(INDEX(发票统计!K$4:K$1003,$W81)))</f>
        <v/>
      </c>
      <c r="L81" s="56" t="str">
        <f aca="false">IF($W81="","",SUM(J$4:J81)-SUM(K$4:K81))</f>
        <v/>
      </c>
      <c r="M81" s="56" t="str">
        <f aca="false">IF($W81="","",N(INDEX(发票统计!M$4:M$1003,$W81)))</f>
        <v/>
      </c>
      <c r="N81" s="56" t="str">
        <f aca="false">IF($W81="","",N(INDEX(发票统计!N$4:N$1003,$W81)))</f>
        <v/>
      </c>
      <c r="O81" s="56" t="str">
        <f aca="false">IF($W81="","",N(INDEX(发票统计!O$4:O$1003,$W81)))</f>
        <v/>
      </c>
      <c r="P81" s="56" t="str">
        <f aca="false">IF($W81="","",SUM(M$4:M81)-SUM(N$4:N81)-SUM(O$4:O81))</f>
        <v/>
      </c>
      <c r="Q81" s="56" t="str">
        <f aca="false">IF($W81="","",N(INDEX(发票统计!Q$4:Q$1003,$W81)))</f>
        <v/>
      </c>
      <c r="R81" s="56" t="str">
        <f aca="false">IF($W81="","",N(INDEX(发票统计!R$4:R$1003,$W81)))</f>
        <v/>
      </c>
      <c r="S81" s="56" t="str">
        <f aca="false">IF($W81="","",N(INDEX(发票统计!S$4:S$1003,$W81)))</f>
        <v/>
      </c>
      <c r="T81" s="56" t="str">
        <f aca="false">IF($W81="","",SUM(Q$4:Q81)-SUM(R$4:R81)-SUM(S$4:S81))</f>
        <v/>
      </c>
      <c r="U81" s="56" t="str">
        <f aca="false">IF($W81="","",INDEX(发票统计!U$4:U$1003,$W81)&amp;"")</f>
        <v/>
      </c>
      <c r="W81" s="1" t="str">
        <f aca="false">IF($V$3="","",IFERROR(MATCH($V$3&amp;"#"&amp;ROWS(W$4:W81),发票统计!$W$4:$W$1003,0),""))</f>
        <v/>
      </c>
    </row>
    <row r="82" customFormat="false" ht="16.5" hidden="false" customHeight="false" outlineLevel="0" collapsed="false">
      <c r="A82" s="3" t="str">
        <f aca="false">IF($W82="","",INDEX(发票统计!A$4:A$1003,$W82)&amp;"")</f>
        <v/>
      </c>
      <c r="B82" s="3" t="str">
        <f aca="false">IF($W82="","",INDEX(发票统计!B$4:B$1003,$W82)&amp;"")</f>
        <v/>
      </c>
      <c r="C82" s="3" t="str">
        <f aca="false">IF($W82="","",INDEX(发票统计!C$4:C$1003,$W82)&amp;"")</f>
        <v/>
      </c>
      <c r="D82" s="3" t="str">
        <f aca="false">IF($W82="","",INDEX(发票统计!D$4:D$1003,$W82)&amp;"")</f>
        <v/>
      </c>
      <c r="E82" s="67" t="str">
        <f aca="false">IF($W82="","",INDEX(发票统计!E$4:E$1003,$W82)&amp;"")</f>
        <v/>
      </c>
      <c r="F82" s="68" t="str">
        <f aca="false">IF($W82="","",INDEX(发票统计!F$4:F$1003,$W82)&amp;"")</f>
        <v/>
      </c>
      <c r="G82" s="68" t="str">
        <f aca="false">IF($W82="","",IF(INDEX(发票统计!G$4:G$1003,$W82)="","",INDEX(发票统计!G$4:G$1003,$W82)))</f>
        <v/>
      </c>
      <c r="H82" s="56" t="str">
        <f aca="false">IF($W82="","",N(INDEX(发票统计!H$4:H$1003,$W82)))</f>
        <v/>
      </c>
      <c r="I82" s="56" t="str">
        <f aca="false">IF($W82="","",N(INDEX(发票统计!I$4:I$1003,$W82)))</f>
        <v/>
      </c>
      <c r="J82" s="56" t="str">
        <f aca="false">IF($W82="","",N(INDEX(发票统计!J$4:J$1003,$W82)))</f>
        <v/>
      </c>
      <c r="K82" s="56" t="str">
        <f aca="false">IF($W82="","",N(INDEX(发票统计!K$4:K$1003,$W82)))</f>
        <v/>
      </c>
      <c r="L82" s="56" t="str">
        <f aca="false">IF($W82="","",SUM(J$4:J82)-SUM(K$4:K82))</f>
        <v/>
      </c>
      <c r="M82" s="56" t="str">
        <f aca="false">IF($W82="","",N(INDEX(发票统计!M$4:M$1003,$W82)))</f>
        <v/>
      </c>
      <c r="N82" s="56" t="str">
        <f aca="false">IF($W82="","",N(INDEX(发票统计!N$4:N$1003,$W82)))</f>
        <v/>
      </c>
      <c r="O82" s="56" t="str">
        <f aca="false">IF($W82="","",N(INDEX(发票统计!O$4:O$1003,$W82)))</f>
        <v/>
      </c>
      <c r="P82" s="56" t="str">
        <f aca="false">IF($W82="","",SUM(M$4:M82)-SUM(N$4:N82)-SUM(O$4:O82))</f>
        <v/>
      </c>
      <c r="Q82" s="56" t="str">
        <f aca="false">IF($W82="","",N(INDEX(发票统计!Q$4:Q$1003,$W82)))</f>
        <v/>
      </c>
      <c r="R82" s="56" t="str">
        <f aca="false">IF($W82="","",N(INDEX(发票统计!R$4:R$1003,$W82)))</f>
        <v/>
      </c>
      <c r="S82" s="56" t="str">
        <f aca="false">IF($W82="","",N(INDEX(发票统计!S$4:S$1003,$W82)))</f>
        <v/>
      </c>
      <c r="T82" s="56" t="str">
        <f aca="false">IF($W82="","",SUM(Q$4:Q82)-SUM(R$4:R82)-SUM(S$4:S82))</f>
        <v/>
      </c>
      <c r="U82" s="56" t="str">
        <f aca="false">IF($W82="","",INDEX(发票统计!U$4:U$1003,$W82)&amp;"")</f>
        <v/>
      </c>
      <c r="W82" s="1" t="str">
        <f aca="false">IF($V$3="","",IFERROR(MATCH($V$3&amp;"#"&amp;ROWS(W$4:W82),发票统计!$W$4:$W$1003,0),""))</f>
        <v/>
      </c>
    </row>
    <row r="83" customFormat="false" ht="16.5" hidden="false" customHeight="false" outlineLevel="0" collapsed="false">
      <c r="A83" s="3" t="str">
        <f aca="false">IF($W83="","",INDEX(发票统计!A$4:A$1003,$W83)&amp;"")</f>
        <v/>
      </c>
      <c r="B83" s="3" t="str">
        <f aca="false">IF($W83="","",INDEX(发票统计!B$4:B$1003,$W83)&amp;"")</f>
        <v/>
      </c>
      <c r="C83" s="3" t="str">
        <f aca="false">IF($W83="","",INDEX(发票统计!C$4:C$1003,$W83)&amp;"")</f>
        <v/>
      </c>
      <c r="D83" s="3" t="str">
        <f aca="false">IF($W83="","",INDEX(发票统计!D$4:D$1003,$W83)&amp;"")</f>
        <v/>
      </c>
      <c r="E83" s="67" t="str">
        <f aca="false">IF($W83="","",INDEX(发票统计!E$4:E$1003,$W83)&amp;"")</f>
        <v/>
      </c>
      <c r="F83" s="68" t="str">
        <f aca="false">IF($W83="","",INDEX(发票统计!F$4:F$1003,$W83)&amp;"")</f>
        <v/>
      </c>
      <c r="G83" s="68" t="str">
        <f aca="false">IF($W83="","",IF(INDEX(发票统计!G$4:G$1003,$W83)="","",INDEX(发票统计!G$4:G$1003,$W83)))</f>
        <v/>
      </c>
      <c r="H83" s="56" t="str">
        <f aca="false">IF($W83="","",N(INDEX(发票统计!H$4:H$1003,$W83)))</f>
        <v/>
      </c>
      <c r="I83" s="56" t="str">
        <f aca="false">IF($W83="","",N(INDEX(发票统计!I$4:I$1003,$W83)))</f>
        <v/>
      </c>
      <c r="J83" s="56" t="str">
        <f aca="false">IF($W83="","",N(INDEX(发票统计!J$4:J$1003,$W83)))</f>
        <v/>
      </c>
      <c r="K83" s="56" t="str">
        <f aca="false">IF($W83="","",N(INDEX(发票统计!K$4:K$1003,$W83)))</f>
        <v/>
      </c>
      <c r="L83" s="56" t="str">
        <f aca="false">IF($W83="","",SUM(J$4:J83)-SUM(K$4:K83))</f>
        <v/>
      </c>
      <c r="M83" s="56" t="str">
        <f aca="false">IF($W83="","",N(INDEX(发票统计!M$4:M$1003,$W83)))</f>
        <v/>
      </c>
      <c r="N83" s="56" t="str">
        <f aca="false">IF($W83="","",N(INDEX(发票统计!N$4:N$1003,$W83)))</f>
        <v/>
      </c>
      <c r="O83" s="56" t="str">
        <f aca="false">IF($W83="","",N(INDEX(发票统计!O$4:O$1003,$W83)))</f>
        <v/>
      </c>
      <c r="P83" s="56" t="str">
        <f aca="false">IF($W83="","",SUM(M$4:M83)-SUM(N$4:N83)-SUM(O$4:O83))</f>
        <v/>
      </c>
      <c r="Q83" s="56" t="str">
        <f aca="false">IF($W83="","",N(INDEX(发票统计!Q$4:Q$1003,$W83)))</f>
        <v/>
      </c>
      <c r="R83" s="56" t="str">
        <f aca="false">IF($W83="","",N(INDEX(发票统计!R$4:R$1003,$W83)))</f>
        <v/>
      </c>
      <c r="S83" s="56" t="str">
        <f aca="false">IF($W83="","",N(INDEX(发票统计!S$4:S$1003,$W83)))</f>
        <v/>
      </c>
      <c r="T83" s="56" t="str">
        <f aca="false">IF($W83="","",SUM(Q$4:Q83)-SUM(R$4:R83)-SUM(S$4:S83))</f>
        <v/>
      </c>
      <c r="U83" s="56" t="str">
        <f aca="false">IF($W83="","",INDEX(发票统计!U$4:U$1003,$W83)&amp;"")</f>
        <v/>
      </c>
      <c r="W83" s="1" t="str">
        <f aca="false">IF($V$3="","",IFERROR(MATCH($V$3&amp;"#"&amp;ROWS(W$4:W83),发票统计!$W$4:$W$1003,0),""))</f>
        <v/>
      </c>
    </row>
    <row r="84" customFormat="false" ht="16.5" hidden="false" customHeight="false" outlineLevel="0" collapsed="false">
      <c r="A84" s="3" t="str">
        <f aca="false">IF($W84="","",INDEX(发票统计!A$4:A$1003,$W84)&amp;"")</f>
        <v/>
      </c>
      <c r="B84" s="3" t="str">
        <f aca="false">IF($W84="","",INDEX(发票统计!B$4:B$1003,$W84)&amp;"")</f>
        <v/>
      </c>
      <c r="C84" s="3" t="str">
        <f aca="false">IF($W84="","",INDEX(发票统计!C$4:C$1003,$W84)&amp;"")</f>
        <v/>
      </c>
      <c r="D84" s="3" t="str">
        <f aca="false">IF($W84="","",INDEX(发票统计!D$4:D$1003,$W84)&amp;"")</f>
        <v/>
      </c>
      <c r="E84" s="67" t="str">
        <f aca="false">IF($W84="","",INDEX(发票统计!E$4:E$1003,$W84)&amp;"")</f>
        <v/>
      </c>
      <c r="F84" s="68" t="str">
        <f aca="false">IF($W84="","",INDEX(发票统计!F$4:F$1003,$W84)&amp;"")</f>
        <v/>
      </c>
      <c r="G84" s="68" t="str">
        <f aca="false">IF($W84="","",IF(INDEX(发票统计!G$4:G$1003,$W84)="","",INDEX(发票统计!G$4:G$1003,$W84)))</f>
        <v/>
      </c>
      <c r="H84" s="56" t="str">
        <f aca="false">IF($W84="","",N(INDEX(发票统计!H$4:H$1003,$W84)))</f>
        <v/>
      </c>
      <c r="I84" s="56" t="str">
        <f aca="false">IF($W84="","",N(INDEX(发票统计!I$4:I$1003,$W84)))</f>
        <v/>
      </c>
      <c r="J84" s="56" t="str">
        <f aca="false">IF($W84="","",N(INDEX(发票统计!J$4:J$1003,$W84)))</f>
        <v/>
      </c>
      <c r="K84" s="56" t="str">
        <f aca="false">IF($W84="","",N(INDEX(发票统计!K$4:K$1003,$W84)))</f>
        <v/>
      </c>
      <c r="L84" s="56" t="str">
        <f aca="false">IF($W84="","",SUM(J$4:J84)-SUM(K$4:K84))</f>
        <v/>
      </c>
      <c r="M84" s="56" t="str">
        <f aca="false">IF($W84="","",N(INDEX(发票统计!M$4:M$1003,$W84)))</f>
        <v/>
      </c>
      <c r="N84" s="56" t="str">
        <f aca="false">IF($W84="","",N(INDEX(发票统计!N$4:N$1003,$W84)))</f>
        <v/>
      </c>
      <c r="O84" s="56" t="str">
        <f aca="false">IF($W84="","",N(INDEX(发票统计!O$4:O$1003,$W84)))</f>
        <v/>
      </c>
      <c r="P84" s="56" t="str">
        <f aca="false">IF($W84="","",SUM(M$4:M84)-SUM(N$4:N84)-SUM(O$4:O84))</f>
        <v/>
      </c>
      <c r="Q84" s="56" t="str">
        <f aca="false">IF($W84="","",N(INDEX(发票统计!Q$4:Q$1003,$W84)))</f>
        <v/>
      </c>
      <c r="R84" s="56" t="str">
        <f aca="false">IF($W84="","",N(INDEX(发票统计!R$4:R$1003,$W84)))</f>
        <v/>
      </c>
      <c r="S84" s="56" t="str">
        <f aca="false">IF($W84="","",N(INDEX(发票统计!S$4:S$1003,$W84)))</f>
        <v/>
      </c>
      <c r="T84" s="56" t="str">
        <f aca="false">IF($W84="","",SUM(Q$4:Q84)-SUM(R$4:R84)-SUM(S$4:S84))</f>
        <v/>
      </c>
      <c r="U84" s="56" t="str">
        <f aca="false">IF($W84="","",INDEX(发票统计!U$4:U$1003,$W84)&amp;"")</f>
        <v/>
      </c>
      <c r="W84" s="1" t="str">
        <f aca="false">IF($V$3="","",IFERROR(MATCH($V$3&amp;"#"&amp;ROWS(W$4:W84),发票统计!$W$4:$W$1003,0),""))</f>
        <v/>
      </c>
    </row>
    <row r="85" customFormat="false" ht="16.5" hidden="false" customHeight="false" outlineLevel="0" collapsed="false">
      <c r="A85" s="3" t="str">
        <f aca="false">IF($W85="","",INDEX(发票统计!A$4:A$1003,$W85)&amp;"")</f>
        <v/>
      </c>
      <c r="B85" s="3" t="str">
        <f aca="false">IF($W85="","",INDEX(发票统计!B$4:B$1003,$W85)&amp;"")</f>
        <v/>
      </c>
      <c r="C85" s="3" t="str">
        <f aca="false">IF($W85="","",INDEX(发票统计!C$4:C$1003,$W85)&amp;"")</f>
        <v/>
      </c>
      <c r="D85" s="3" t="str">
        <f aca="false">IF($W85="","",INDEX(发票统计!D$4:D$1003,$W85)&amp;"")</f>
        <v/>
      </c>
      <c r="E85" s="67" t="str">
        <f aca="false">IF($W85="","",INDEX(发票统计!E$4:E$1003,$W85)&amp;"")</f>
        <v/>
      </c>
      <c r="F85" s="68" t="str">
        <f aca="false">IF($W85="","",INDEX(发票统计!F$4:F$1003,$W85)&amp;"")</f>
        <v/>
      </c>
      <c r="G85" s="68" t="str">
        <f aca="false">IF($W85="","",IF(INDEX(发票统计!G$4:G$1003,$W85)="","",INDEX(发票统计!G$4:G$1003,$W85)))</f>
        <v/>
      </c>
      <c r="H85" s="56" t="str">
        <f aca="false">IF($W85="","",N(INDEX(发票统计!H$4:H$1003,$W85)))</f>
        <v/>
      </c>
      <c r="I85" s="56" t="str">
        <f aca="false">IF($W85="","",N(INDEX(发票统计!I$4:I$1003,$W85)))</f>
        <v/>
      </c>
      <c r="J85" s="56" t="str">
        <f aca="false">IF($W85="","",N(INDEX(发票统计!J$4:J$1003,$W85)))</f>
        <v/>
      </c>
      <c r="K85" s="56" t="str">
        <f aca="false">IF($W85="","",N(INDEX(发票统计!K$4:K$1003,$W85)))</f>
        <v/>
      </c>
      <c r="L85" s="56" t="str">
        <f aca="false">IF($W85="","",SUM(J$4:J85)-SUM(K$4:K85))</f>
        <v/>
      </c>
      <c r="M85" s="56" t="str">
        <f aca="false">IF($W85="","",N(INDEX(发票统计!M$4:M$1003,$W85)))</f>
        <v/>
      </c>
      <c r="N85" s="56" t="str">
        <f aca="false">IF($W85="","",N(INDEX(发票统计!N$4:N$1003,$W85)))</f>
        <v/>
      </c>
      <c r="O85" s="56" t="str">
        <f aca="false">IF($W85="","",N(INDEX(发票统计!O$4:O$1003,$W85)))</f>
        <v/>
      </c>
      <c r="P85" s="56" t="str">
        <f aca="false">IF($W85="","",SUM(M$4:M85)-SUM(N$4:N85)-SUM(O$4:O85))</f>
        <v/>
      </c>
      <c r="Q85" s="56" t="str">
        <f aca="false">IF($W85="","",N(INDEX(发票统计!Q$4:Q$1003,$W85)))</f>
        <v/>
      </c>
      <c r="R85" s="56" t="str">
        <f aca="false">IF($W85="","",N(INDEX(发票统计!R$4:R$1003,$W85)))</f>
        <v/>
      </c>
      <c r="S85" s="56" t="str">
        <f aca="false">IF($W85="","",N(INDEX(发票统计!S$4:S$1003,$W85)))</f>
        <v/>
      </c>
      <c r="T85" s="56" t="str">
        <f aca="false">IF($W85="","",SUM(Q$4:Q85)-SUM(R$4:R85)-SUM(S$4:S85))</f>
        <v/>
      </c>
      <c r="U85" s="56" t="str">
        <f aca="false">IF($W85="","",INDEX(发票统计!U$4:U$1003,$W85)&amp;"")</f>
        <v/>
      </c>
      <c r="W85" s="1" t="str">
        <f aca="false">IF($V$3="","",IFERROR(MATCH($V$3&amp;"#"&amp;ROWS(W$4:W85),发票统计!$W$4:$W$1003,0),""))</f>
        <v/>
      </c>
    </row>
    <row r="86" customFormat="false" ht="16.5" hidden="false" customHeight="false" outlineLevel="0" collapsed="false">
      <c r="A86" s="3" t="str">
        <f aca="false">IF($W86="","",INDEX(发票统计!A$4:A$1003,$W86)&amp;"")</f>
        <v/>
      </c>
      <c r="B86" s="3" t="str">
        <f aca="false">IF($W86="","",INDEX(发票统计!B$4:B$1003,$W86)&amp;"")</f>
        <v/>
      </c>
      <c r="C86" s="3" t="str">
        <f aca="false">IF($W86="","",INDEX(发票统计!C$4:C$1003,$W86)&amp;"")</f>
        <v/>
      </c>
      <c r="D86" s="3" t="str">
        <f aca="false">IF($W86="","",INDEX(发票统计!D$4:D$1003,$W86)&amp;"")</f>
        <v/>
      </c>
      <c r="E86" s="67" t="str">
        <f aca="false">IF($W86="","",INDEX(发票统计!E$4:E$1003,$W86)&amp;"")</f>
        <v/>
      </c>
      <c r="F86" s="68" t="str">
        <f aca="false">IF($W86="","",INDEX(发票统计!F$4:F$1003,$W86)&amp;"")</f>
        <v/>
      </c>
      <c r="G86" s="68" t="str">
        <f aca="false">IF($W86="","",IF(INDEX(发票统计!G$4:G$1003,$W86)="","",INDEX(发票统计!G$4:G$1003,$W86)))</f>
        <v/>
      </c>
      <c r="H86" s="56" t="str">
        <f aca="false">IF($W86="","",N(INDEX(发票统计!H$4:H$1003,$W86)))</f>
        <v/>
      </c>
      <c r="I86" s="56" t="str">
        <f aca="false">IF($W86="","",N(INDEX(发票统计!I$4:I$1003,$W86)))</f>
        <v/>
      </c>
      <c r="J86" s="56" t="str">
        <f aca="false">IF($W86="","",N(INDEX(发票统计!J$4:J$1003,$W86)))</f>
        <v/>
      </c>
      <c r="K86" s="56" t="str">
        <f aca="false">IF($W86="","",N(INDEX(发票统计!K$4:K$1003,$W86)))</f>
        <v/>
      </c>
      <c r="L86" s="56" t="str">
        <f aca="false">IF($W86="","",SUM(J$4:J86)-SUM(K$4:K86))</f>
        <v/>
      </c>
      <c r="M86" s="56" t="str">
        <f aca="false">IF($W86="","",N(INDEX(发票统计!M$4:M$1003,$W86)))</f>
        <v/>
      </c>
      <c r="N86" s="56" t="str">
        <f aca="false">IF($W86="","",N(INDEX(发票统计!N$4:N$1003,$W86)))</f>
        <v/>
      </c>
      <c r="O86" s="56" t="str">
        <f aca="false">IF($W86="","",N(INDEX(发票统计!O$4:O$1003,$W86)))</f>
        <v/>
      </c>
      <c r="P86" s="56" t="str">
        <f aca="false">IF($W86="","",SUM(M$4:M86)-SUM(N$4:N86)-SUM(O$4:O86))</f>
        <v/>
      </c>
      <c r="Q86" s="56" t="str">
        <f aca="false">IF($W86="","",N(INDEX(发票统计!Q$4:Q$1003,$W86)))</f>
        <v/>
      </c>
      <c r="R86" s="56" t="str">
        <f aca="false">IF($W86="","",N(INDEX(发票统计!R$4:R$1003,$W86)))</f>
        <v/>
      </c>
      <c r="S86" s="56" t="str">
        <f aca="false">IF($W86="","",N(INDEX(发票统计!S$4:S$1003,$W86)))</f>
        <v/>
      </c>
      <c r="T86" s="56" t="str">
        <f aca="false">IF($W86="","",SUM(Q$4:Q86)-SUM(R$4:R86)-SUM(S$4:S86))</f>
        <v/>
      </c>
      <c r="U86" s="56" t="str">
        <f aca="false">IF($W86="","",INDEX(发票统计!U$4:U$1003,$W86)&amp;"")</f>
        <v/>
      </c>
      <c r="W86" s="1" t="str">
        <f aca="false">IF($V$3="","",IFERROR(MATCH($V$3&amp;"#"&amp;ROWS(W$4:W86),发票统计!$W$4:$W$1003,0),""))</f>
        <v/>
      </c>
    </row>
    <row r="87" customFormat="false" ht="16.5" hidden="false" customHeight="false" outlineLevel="0" collapsed="false">
      <c r="A87" s="3" t="str">
        <f aca="false">IF($W87="","",INDEX(发票统计!A$4:A$1003,$W87)&amp;"")</f>
        <v/>
      </c>
      <c r="B87" s="3" t="str">
        <f aca="false">IF($W87="","",INDEX(发票统计!B$4:B$1003,$W87)&amp;"")</f>
        <v/>
      </c>
      <c r="C87" s="3" t="str">
        <f aca="false">IF($W87="","",INDEX(发票统计!C$4:C$1003,$W87)&amp;"")</f>
        <v/>
      </c>
      <c r="D87" s="3" t="str">
        <f aca="false">IF($W87="","",INDEX(发票统计!D$4:D$1003,$W87)&amp;"")</f>
        <v/>
      </c>
      <c r="E87" s="67" t="str">
        <f aca="false">IF($W87="","",INDEX(发票统计!E$4:E$1003,$W87)&amp;"")</f>
        <v/>
      </c>
      <c r="F87" s="68" t="str">
        <f aca="false">IF($W87="","",INDEX(发票统计!F$4:F$1003,$W87)&amp;"")</f>
        <v/>
      </c>
      <c r="G87" s="68" t="str">
        <f aca="false">IF($W87="","",IF(INDEX(发票统计!G$4:G$1003,$W87)="","",INDEX(发票统计!G$4:G$1003,$W87)))</f>
        <v/>
      </c>
      <c r="H87" s="56" t="str">
        <f aca="false">IF($W87="","",N(INDEX(发票统计!H$4:H$1003,$W87)))</f>
        <v/>
      </c>
      <c r="I87" s="56" t="str">
        <f aca="false">IF($W87="","",N(INDEX(发票统计!I$4:I$1003,$W87)))</f>
        <v/>
      </c>
      <c r="J87" s="56" t="str">
        <f aca="false">IF($W87="","",N(INDEX(发票统计!J$4:J$1003,$W87)))</f>
        <v/>
      </c>
      <c r="K87" s="56" t="str">
        <f aca="false">IF($W87="","",N(INDEX(发票统计!K$4:K$1003,$W87)))</f>
        <v/>
      </c>
      <c r="L87" s="56" t="str">
        <f aca="false">IF($W87="","",SUM(J$4:J87)-SUM(K$4:K87))</f>
        <v/>
      </c>
      <c r="M87" s="56" t="str">
        <f aca="false">IF($W87="","",N(INDEX(发票统计!M$4:M$1003,$W87)))</f>
        <v/>
      </c>
      <c r="N87" s="56" t="str">
        <f aca="false">IF($W87="","",N(INDEX(发票统计!N$4:N$1003,$W87)))</f>
        <v/>
      </c>
      <c r="O87" s="56" t="str">
        <f aca="false">IF($W87="","",N(INDEX(发票统计!O$4:O$1003,$W87)))</f>
        <v/>
      </c>
      <c r="P87" s="56" t="str">
        <f aca="false">IF($W87="","",SUM(M$4:M87)-SUM(N$4:N87)-SUM(O$4:O87))</f>
        <v/>
      </c>
      <c r="Q87" s="56" t="str">
        <f aca="false">IF($W87="","",N(INDEX(发票统计!Q$4:Q$1003,$W87)))</f>
        <v/>
      </c>
      <c r="R87" s="56" t="str">
        <f aca="false">IF($W87="","",N(INDEX(发票统计!R$4:R$1003,$W87)))</f>
        <v/>
      </c>
      <c r="S87" s="56" t="str">
        <f aca="false">IF($W87="","",N(INDEX(发票统计!S$4:S$1003,$W87)))</f>
        <v/>
      </c>
      <c r="T87" s="56" t="str">
        <f aca="false">IF($W87="","",SUM(Q$4:Q87)-SUM(R$4:R87)-SUM(S$4:S87))</f>
        <v/>
      </c>
      <c r="U87" s="56" t="str">
        <f aca="false">IF($W87="","",INDEX(发票统计!U$4:U$1003,$W87)&amp;"")</f>
        <v/>
      </c>
      <c r="W87" s="1" t="str">
        <f aca="false">IF($V$3="","",IFERROR(MATCH($V$3&amp;"#"&amp;ROWS(W$4:W87),发票统计!$W$4:$W$1003,0),""))</f>
        <v/>
      </c>
    </row>
    <row r="88" customFormat="false" ht="16.5" hidden="false" customHeight="false" outlineLevel="0" collapsed="false">
      <c r="A88" s="3" t="str">
        <f aca="false">IF($W88="","",INDEX(发票统计!A$4:A$1003,$W88)&amp;"")</f>
        <v/>
      </c>
      <c r="B88" s="3" t="str">
        <f aca="false">IF($W88="","",INDEX(发票统计!B$4:B$1003,$W88)&amp;"")</f>
        <v/>
      </c>
      <c r="C88" s="3" t="str">
        <f aca="false">IF($W88="","",INDEX(发票统计!C$4:C$1003,$W88)&amp;"")</f>
        <v/>
      </c>
      <c r="D88" s="3" t="str">
        <f aca="false">IF($W88="","",INDEX(发票统计!D$4:D$1003,$W88)&amp;"")</f>
        <v/>
      </c>
      <c r="E88" s="67" t="str">
        <f aca="false">IF($W88="","",INDEX(发票统计!E$4:E$1003,$W88)&amp;"")</f>
        <v/>
      </c>
      <c r="F88" s="68" t="str">
        <f aca="false">IF($W88="","",INDEX(发票统计!F$4:F$1003,$W88)&amp;"")</f>
        <v/>
      </c>
      <c r="G88" s="68" t="str">
        <f aca="false">IF($W88="","",IF(INDEX(发票统计!G$4:G$1003,$W88)="","",INDEX(发票统计!G$4:G$1003,$W88)))</f>
        <v/>
      </c>
      <c r="H88" s="56" t="str">
        <f aca="false">IF($W88="","",N(INDEX(发票统计!H$4:H$1003,$W88)))</f>
        <v/>
      </c>
      <c r="I88" s="56" t="str">
        <f aca="false">IF($W88="","",N(INDEX(发票统计!I$4:I$1003,$W88)))</f>
        <v/>
      </c>
      <c r="J88" s="56" t="str">
        <f aca="false">IF($W88="","",N(INDEX(发票统计!J$4:J$1003,$W88)))</f>
        <v/>
      </c>
      <c r="K88" s="56" t="str">
        <f aca="false">IF($W88="","",N(INDEX(发票统计!K$4:K$1003,$W88)))</f>
        <v/>
      </c>
      <c r="L88" s="56" t="str">
        <f aca="false">IF($W88="","",SUM(J$4:J88)-SUM(K$4:K88))</f>
        <v/>
      </c>
      <c r="M88" s="56" t="str">
        <f aca="false">IF($W88="","",N(INDEX(发票统计!M$4:M$1003,$W88)))</f>
        <v/>
      </c>
      <c r="N88" s="56" t="str">
        <f aca="false">IF($W88="","",N(INDEX(发票统计!N$4:N$1003,$W88)))</f>
        <v/>
      </c>
      <c r="O88" s="56" t="str">
        <f aca="false">IF($W88="","",N(INDEX(发票统计!O$4:O$1003,$W88)))</f>
        <v/>
      </c>
      <c r="P88" s="56" t="str">
        <f aca="false">IF($W88="","",SUM(M$4:M88)-SUM(N$4:N88)-SUM(O$4:O88))</f>
        <v/>
      </c>
      <c r="Q88" s="56" t="str">
        <f aca="false">IF($W88="","",N(INDEX(发票统计!Q$4:Q$1003,$W88)))</f>
        <v/>
      </c>
      <c r="R88" s="56" t="str">
        <f aca="false">IF($W88="","",N(INDEX(发票统计!R$4:R$1003,$W88)))</f>
        <v/>
      </c>
      <c r="S88" s="56" t="str">
        <f aca="false">IF($W88="","",N(INDEX(发票统计!S$4:S$1003,$W88)))</f>
        <v/>
      </c>
      <c r="T88" s="56" t="str">
        <f aca="false">IF($W88="","",SUM(Q$4:Q88)-SUM(R$4:R88)-SUM(S$4:S88))</f>
        <v/>
      </c>
      <c r="U88" s="56" t="str">
        <f aca="false">IF($W88="","",INDEX(发票统计!U$4:U$1003,$W88)&amp;"")</f>
        <v/>
      </c>
      <c r="W88" s="1" t="str">
        <f aca="false">IF($V$3="","",IFERROR(MATCH($V$3&amp;"#"&amp;ROWS(W$4:W88),发票统计!$W$4:$W$1003,0),""))</f>
        <v/>
      </c>
    </row>
    <row r="89" customFormat="false" ht="16.5" hidden="false" customHeight="false" outlineLevel="0" collapsed="false">
      <c r="A89" s="3" t="str">
        <f aca="false">IF($W89="","",INDEX(发票统计!A$4:A$1003,$W89)&amp;"")</f>
        <v/>
      </c>
      <c r="B89" s="3" t="str">
        <f aca="false">IF($W89="","",INDEX(发票统计!B$4:B$1003,$W89)&amp;"")</f>
        <v/>
      </c>
      <c r="C89" s="3" t="str">
        <f aca="false">IF($W89="","",INDEX(发票统计!C$4:C$1003,$W89)&amp;"")</f>
        <v/>
      </c>
      <c r="D89" s="3" t="str">
        <f aca="false">IF($W89="","",INDEX(发票统计!D$4:D$1003,$W89)&amp;"")</f>
        <v/>
      </c>
      <c r="E89" s="67" t="str">
        <f aca="false">IF($W89="","",INDEX(发票统计!E$4:E$1003,$W89)&amp;"")</f>
        <v/>
      </c>
      <c r="F89" s="68" t="str">
        <f aca="false">IF($W89="","",INDEX(发票统计!F$4:F$1003,$W89)&amp;"")</f>
        <v/>
      </c>
      <c r="G89" s="68" t="str">
        <f aca="false">IF($W89="","",IF(INDEX(发票统计!G$4:G$1003,$W89)="","",INDEX(发票统计!G$4:G$1003,$W89)))</f>
        <v/>
      </c>
      <c r="H89" s="56" t="str">
        <f aca="false">IF($W89="","",N(INDEX(发票统计!H$4:H$1003,$W89)))</f>
        <v/>
      </c>
      <c r="I89" s="56" t="str">
        <f aca="false">IF($W89="","",N(INDEX(发票统计!I$4:I$1003,$W89)))</f>
        <v/>
      </c>
      <c r="J89" s="56" t="str">
        <f aca="false">IF($W89="","",N(INDEX(发票统计!J$4:J$1003,$W89)))</f>
        <v/>
      </c>
      <c r="K89" s="56" t="str">
        <f aca="false">IF($W89="","",N(INDEX(发票统计!K$4:K$1003,$W89)))</f>
        <v/>
      </c>
      <c r="L89" s="56" t="str">
        <f aca="false">IF($W89="","",SUM(J$4:J89)-SUM(K$4:K89))</f>
        <v/>
      </c>
      <c r="M89" s="56" t="str">
        <f aca="false">IF($W89="","",N(INDEX(发票统计!M$4:M$1003,$W89)))</f>
        <v/>
      </c>
      <c r="N89" s="56" t="str">
        <f aca="false">IF($W89="","",N(INDEX(发票统计!N$4:N$1003,$W89)))</f>
        <v/>
      </c>
      <c r="O89" s="56" t="str">
        <f aca="false">IF($W89="","",N(INDEX(发票统计!O$4:O$1003,$W89)))</f>
        <v/>
      </c>
      <c r="P89" s="56" t="str">
        <f aca="false">IF($W89="","",SUM(M$4:M89)-SUM(N$4:N89)-SUM(O$4:O89))</f>
        <v/>
      </c>
      <c r="Q89" s="56" t="str">
        <f aca="false">IF($W89="","",N(INDEX(发票统计!Q$4:Q$1003,$W89)))</f>
        <v/>
      </c>
      <c r="R89" s="56" t="str">
        <f aca="false">IF($W89="","",N(INDEX(发票统计!R$4:R$1003,$W89)))</f>
        <v/>
      </c>
      <c r="S89" s="56" t="str">
        <f aca="false">IF($W89="","",N(INDEX(发票统计!S$4:S$1003,$W89)))</f>
        <v/>
      </c>
      <c r="T89" s="56" t="str">
        <f aca="false">IF($W89="","",SUM(Q$4:Q89)-SUM(R$4:R89)-SUM(S$4:S89))</f>
        <v/>
      </c>
      <c r="U89" s="56" t="str">
        <f aca="false">IF($W89="","",INDEX(发票统计!U$4:U$1003,$W89)&amp;"")</f>
        <v/>
      </c>
      <c r="W89" s="1" t="str">
        <f aca="false">IF($V$3="","",IFERROR(MATCH($V$3&amp;"#"&amp;ROWS(W$4:W89),发票统计!$W$4:$W$1003,0),""))</f>
        <v/>
      </c>
    </row>
    <row r="90" customFormat="false" ht="16.5" hidden="false" customHeight="false" outlineLevel="0" collapsed="false">
      <c r="A90" s="3" t="str">
        <f aca="false">IF($W90="","",INDEX(发票统计!A$4:A$1003,$W90)&amp;"")</f>
        <v/>
      </c>
      <c r="B90" s="3" t="str">
        <f aca="false">IF($W90="","",INDEX(发票统计!B$4:B$1003,$W90)&amp;"")</f>
        <v/>
      </c>
      <c r="C90" s="3" t="str">
        <f aca="false">IF($W90="","",INDEX(发票统计!C$4:C$1003,$W90)&amp;"")</f>
        <v/>
      </c>
      <c r="D90" s="3" t="str">
        <f aca="false">IF($W90="","",INDEX(发票统计!D$4:D$1003,$W90)&amp;"")</f>
        <v/>
      </c>
      <c r="E90" s="67" t="str">
        <f aca="false">IF($W90="","",INDEX(发票统计!E$4:E$1003,$W90)&amp;"")</f>
        <v/>
      </c>
      <c r="F90" s="68" t="str">
        <f aca="false">IF($W90="","",INDEX(发票统计!F$4:F$1003,$W90)&amp;"")</f>
        <v/>
      </c>
      <c r="G90" s="68" t="str">
        <f aca="false">IF($W90="","",IF(INDEX(发票统计!G$4:G$1003,$W90)="","",INDEX(发票统计!G$4:G$1003,$W90)))</f>
        <v/>
      </c>
      <c r="H90" s="56" t="str">
        <f aca="false">IF($W90="","",N(INDEX(发票统计!H$4:H$1003,$W90)))</f>
        <v/>
      </c>
      <c r="I90" s="56" t="str">
        <f aca="false">IF($W90="","",N(INDEX(发票统计!I$4:I$1003,$W90)))</f>
        <v/>
      </c>
      <c r="J90" s="56" t="str">
        <f aca="false">IF($W90="","",N(INDEX(发票统计!J$4:J$1003,$W90)))</f>
        <v/>
      </c>
      <c r="K90" s="56" t="str">
        <f aca="false">IF($W90="","",N(INDEX(发票统计!K$4:K$1003,$W90)))</f>
        <v/>
      </c>
      <c r="L90" s="56" t="str">
        <f aca="false">IF($W90="","",SUM(J$4:J90)-SUM(K$4:K90))</f>
        <v/>
      </c>
      <c r="M90" s="56" t="str">
        <f aca="false">IF($W90="","",N(INDEX(发票统计!M$4:M$1003,$W90)))</f>
        <v/>
      </c>
      <c r="N90" s="56" t="str">
        <f aca="false">IF($W90="","",N(INDEX(发票统计!N$4:N$1003,$W90)))</f>
        <v/>
      </c>
      <c r="O90" s="56" t="str">
        <f aca="false">IF($W90="","",N(INDEX(发票统计!O$4:O$1003,$W90)))</f>
        <v/>
      </c>
      <c r="P90" s="56" t="str">
        <f aca="false">IF($W90="","",SUM(M$4:M90)-SUM(N$4:N90)-SUM(O$4:O90))</f>
        <v/>
      </c>
      <c r="Q90" s="56" t="str">
        <f aca="false">IF($W90="","",N(INDEX(发票统计!Q$4:Q$1003,$W90)))</f>
        <v/>
      </c>
      <c r="R90" s="56" t="str">
        <f aca="false">IF($W90="","",N(INDEX(发票统计!R$4:R$1003,$W90)))</f>
        <v/>
      </c>
      <c r="S90" s="56" t="str">
        <f aca="false">IF($W90="","",N(INDEX(发票统计!S$4:S$1003,$W90)))</f>
        <v/>
      </c>
      <c r="T90" s="56" t="str">
        <f aca="false">IF($W90="","",SUM(Q$4:Q90)-SUM(R$4:R90)-SUM(S$4:S90))</f>
        <v/>
      </c>
      <c r="U90" s="56" t="str">
        <f aca="false">IF($W90="","",INDEX(发票统计!U$4:U$1003,$W90)&amp;"")</f>
        <v/>
      </c>
      <c r="W90" s="1" t="str">
        <f aca="false">IF($V$3="","",IFERROR(MATCH($V$3&amp;"#"&amp;ROWS(W$4:W90),发票统计!$W$4:$W$1003,0),""))</f>
        <v/>
      </c>
    </row>
    <row r="91" customFormat="false" ht="16.5" hidden="false" customHeight="false" outlineLevel="0" collapsed="false">
      <c r="A91" s="3" t="str">
        <f aca="false">IF($W91="","",INDEX(发票统计!A$4:A$1003,$W91)&amp;"")</f>
        <v/>
      </c>
      <c r="B91" s="3" t="str">
        <f aca="false">IF($W91="","",INDEX(发票统计!B$4:B$1003,$W91)&amp;"")</f>
        <v/>
      </c>
      <c r="C91" s="3" t="str">
        <f aca="false">IF($W91="","",INDEX(发票统计!C$4:C$1003,$W91)&amp;"")</f>
        <v/>
      </c>
      <c r="D91" s="3" t="str">
        <f aca="false">IF($W91="","",INDEX(发票统计!D$4:D$1003,$W91)&amp;"")</f>
        <v/>
      </c>
      <c r="E91" s="67" t="str">
        <f aca="false">IF($W91="","",INDEX(发票统计!E$4:E$1003,$W91)&amp;"")</f>
        <v/>
      </c>
      <c r="F91" s="68" t="str">
        <f aca="false">IF($W91="","",INDEX(发票统计!F$4:F$1003,$W91)&amp;"")</f>
        <v/>
      </c>
      <c r="G91" s="68" t="str">
        <f aca="false">IF($W91="","",IF(INDEX(发票统计!G$4:G$1003,$W91)="","",INDEX(发票统计!G$4:G$1003,$W91)))</f>
        <v/>
      </c>
      <c r="H91" s="56" t="str">
        <f aca="false">IF($W91="","",N(INDEX(发票统计!H$4:H$1003,$W91)))</f>
        <v/>
      </c>
      <c r="I91" s="56" t="str">
        <f aca="false">IF($W91="","",N(INDEX(发票统计!I$4:I$1003,$W91)))</f>
        <v/>
      </c>
      <c r="J91" s="56" t="str">
        <f aca="false">IF($W91="","",N(INDEX(发票统计!J$4:J$1003,$W91)))</f>
        <v/>
      </c>
      <c r="K91" s="56" t="str">
        <f aca="false">IF($W91="","",N(INDEX(发票统计!K$4:K$1003,$W91)))</f>
        <v/>
      </c>
      <c r="L91" s="56" t="str">
        <f aca="false">IF($W91="","",SUM(J$4:J91)-SUM(K$4:K91))</f>
        <v/>
      </c>
      <c r="M91" s="56" t="str">
        <f aca="false">IF($W91="","",N(INDEX(发票统计!M$4:M$1003,$W91)))</f>
        <v/>
      </c>
      <c r="N91" s="56" t="str">
        <f aca="false">IF($W91="","",N(INDEX(发票统计!N$4:N$1003,$W91)))</f>
        <v/>
      </c>
      <c r="O91" s="56" t="str">
        <f aca="false">IF($W91="","",N(INDEX(发票统计!O$4:O$1003,$W91)))</f>
        <v/>
      </c>
      <c r="P91" s="56" t="str">
        <f aca="false">IF($W91="","",SUM(M$4:M91)-SUM(N$4:N91)-SUM(O$4:O91))</f>
        <v/>
      </c>
      <c r="Q91" s="56" t="str">
        <f aca="false">IF($W91="","",N(INDEX(发票统计!Q$4:Q$1003,$W91)))</f>
        <v/>
      </c>
      <c r="R91" s="56" t="str">
        <f aca="false">IF($W91="","",N(INDEX(发票统计!R$4:R$1003,$W91)))</f>
        <v/>
      </c>
      <c r="S91" s="56" t="str">
        <f aca="false">IF($W91="","",N(INDEX(发票统计!S$4:S$1003,$W91)))</f>
        <v/>
      </c>
      <c r="T91" s="56" t="str">
        <f aca="false">IF($W91="","",SUM(Q$4:Q91)-SUM(R$4:R91)-SUM(S$4:S91))</f>
        <v/>
      </c>
      <c r="U91" s="56" t="str">
        <f aca="false">IF($W91="","",INDEX(发票统计!U$4:U$1003,$W91)&amp;"")</f>
        <v/>
      </c>
      <c r="W91" s="1" t="str">
        <f aca="false">IF($V$3="","",IFERROR(MATCH($V$3&amp;"#"&amp;ROWS(W$4:W91),发票统计!$W$4:$W$1003,0),""))</f>
        <v/>
      </c>
    </row>
    <row r="92" customFormat="false" ht="16.5" hidden="false" customHeight="false" outlineLevel="0" collapsed="false">
      <c r="A92" s="3" t="str">
        <f aca="false">IF($W92="","",INDEX(发票统计!A$4:A$1003,$W92)&amp;"")</f>
        <v/>
      </c>
      <c r="B92" s="3" t="str">
        <f aca="false">IF($W92="","",INDEX(发票统计!B$4:B$1003,$W92)&amp;"")</f>
        <v/>
      </c>
      <c r="C92" s="3" t="str">
        <f aca="false">IF($W92="","",INDEX(发票统计!C$4:C$1003,$W92)&amp;"")</f>
        <v/>
      </c>
      <c r="D92" s="3" t="str">
        <f aca="false">IF($W92="","",INDEX(发票统计!D$4:D$1003,$W92)&amp;"")</f>
        <v/>
      </c>
      <c r="E92" s="67" t="str">
        <f aca="false">IF($W92="","",INDEX(发票统计!E$4:E$1003,$W92)&amp;"")</f>
        <v/>
      </c>
      <c r="F92" s="68" t="str">
        <f aca="false">IF($W92="","",INDEX(发票统计!F$4:F$1003,$W92)&amp;"")</f>
        <v/>
      </c>
      <c r="G92" s="68" t="str">
        <f aca="false">IF($W92="","",IF(INDEX(发票统计!G$4:G$1003,$W92)="","",INDEX(发票统计!G$4:G$1003,$W92)))</f>
        <v/>
      </c>
      <c r="H92" s="56" t="str">
        <f aca="false">IF($W92="","",N(INDEX(发票统计!H$4:H$1003,$W92)))</f>
        <v/>
      </c>
      <c r="I92" s="56" t="str">
        <f aca="false">IF($W92="","",N(INDEX(发票统计!I$4:I$1003,$W92)))</f>
        <v/>
      </c>
      <c r="J92" s="56" t="str">
        <f aca="false">IF($W92="","",N(INDEX(发票统计!J$4:J$1003,$W92)))</f>
        <v/>
      </c>
      <c r="K92" s="56" t="str">
        <f aca="false">IF($W92="","",N(INDEX(发票统计!K$4:K$1003,$W92)))</f>
        <v/>
      </c>
      <c r="L92" s="56" t="str">
        <f aca="false">IF($W92="","",SUM(J$4:J92)-SUM(K$4:K92))</f>
        <v/>
      </c>
      <c r="M92" s="56" t="str">
        <f aca="false">IF($W92="","",N(INDEX(发票统计!M$4:M$1003,$W92)))</f>
        <v/>
      </c>
      <c r="N92" s="56" t="str">
        <f aca="false">IF($W92="","",N(INDEX(发票统计!N$4:N$1003,$W92)))</f>
        <v/>
      </c>
      <c r="O92" s="56" t="str">
        <f aca="false">IF($W92="","",N(INDEX(发票统计!O$4:O$1003,$W92)))</f>
        <v/>
      </c>
      <c r="P92" s="56" t="str">
        <f aca="false">IF($W92="","",SUM(M$4:M92)-SUM(N$4:N92)-SUM(O$4:O92))</f>
        <v/>
      </c>
      <c r="Q92" s="56" t="str">
        <f aca="false">IF($W92="","",N(INDEX(发票统计!Q$4:Q$1003,$W92)))</f>
        <v/>
      </c>
      <c r="R92" s="56" t="str">
        <f aca="false">IF($W92="","",N(INDEX(发票统计!R$4:R$1003,$W92)))</f>
        <v/>
      </c>
      <c r="S92" s="56" t="str">
        <f aca="false">IF($W92="","",N(INDEX(发票统计!S$4:S$1003,$W92)))</f>
        <v/>
      </c>
      <c r="T92" s="56" t="str">
        <f aca="false">IF($W92="","",SUM(Q$4:Q92)-SUM(R$4:R92)-SUM(S$4:S92))</f>
        <v/>
      </c>
      <c r="U92" s="56" t="str">
        <f aca="false">IF($W92="","",INDEX(发票统计!U$4:U$1003,$W92)&amp;"")</f>
        <v/>
      </c>
      <c r="W92" s="1" t="str">
        <f aca="false">IF($V$3="","",IFERROR(MATCH($V$3&amp;"#"&amp;ROWS(W$4:W92),发票统计!$W$4:$W$1003,0),""))</f>
        <v/>
      </c>
    </row>
    <row r="93" customFormat="false" ht="16.5" hidden="false" customHeight="false" outlineLevel="0" collapsed="false">
      <c r="A93" s="3" t="str">
        <f aca="false">IF($W93="","",INDEX(发票统计!A$4:A$1003,$W93)&amp;"")</f>
        <v/>
      </c>
      <c r="B93" s="3" t="str">
        <f aca="false">IF($W93="","",INDEX(发票统计!B$4:B$1003,$W93)&amp;"")</f>
        <v/>
      </c>
      <c r="C93" s="3" t="str">
        <f aca="false">IF($W93="","",INDEX(发票统计!C$4:C$1003,$W93)&amp;"")</f>
        <v/>
      </c>
      <c r="D93" s="3" t="str">
        <f aca="false">IF($W93="","",INDEX(发票统计!D$4:D$1003,$W93)&amp;"")</f>
        <v/>
      </c>
      <c r="E93" s="67" t="str">
        <f aca="false">IF($W93="","",INDEX(发票统计!E$4:E$1003,$W93)&amp;"")</f>
        <v/>
      </c>
      <c r="F93" s="68" t="str">
        <f aca="false">IF($W93="","",INDEX(发票统计!F$4:F$1003,$W93)&amp;"")</f>
        <v/>
      </c>
      <c r="G93" s="68" t="str">
        <f aca="false">IF($W93="","",IF(INDEX(发票统计!G$4:G$1003,$W93)="","",INDEX(发票统计!G$4:G$1003,$W93)))</f>
        <v/>
      </c>
      <c r="H93" s="56" t="str">
        <f aca="false">IF($W93="","",N(INDEX(发票统计!H$4:H$1003,$W93)))</f>
        <v/>
      </c>
      <c r="I93" s="56" t="str">
        <f aca="false">IF($W93="","",N(INDEX(发票统计!I$4:I$1003,$W93)))</f>
        <v/>
      </c>
      <c r="J93" s="56" t="str">
        <f aca="false">IF($W93="","",N(INDEX(发票统计!J$4:J$1003,$W93)))</f>
        <v/>
      </c>
      <c r="K93" s="56" t="str">
        <f aca="false">IF($W93="","",N(INDEX(发票统计!K$4:K$1003,$W93)))</f>
        <v/>
      </c>
      <c r="L93" s="56" t="str">
        <f aca="false">IF($W93="","",SUM(J$4:J93)-SUM(K$4:K93))</f>
        <v/>
      </c>
      <c r="M93" s="56" t="str">
        <f aca="false">IF($W93="","",N(INDEX(发票统计!M$4:M$1003,$W93)))</f>
        <v/>
      </c>
      <c r="N93" s="56" t="str">
        <f aca="false">IF($W93="","",N(INDEX(发票统计!N$4:N$1003,$W93)))</f>
        <v/>
      </c>
      <c r="O93" s="56" t="str">
        <f aca="false">IF($W93="","",N(INDEX(发票统计!O$4:O$1003,$W93)))</f>
        <v/>
      </c>
      <c r="P93" s="56" t="str">
        <f aca="false">IF($W93="","",SUM(M$4:M93)-SUM(N$4:N93)-SUM(O$4:O93))</f>
        <v/>
      </c>
      <c r="Q93" s="56" t="str">
        <f aca="false">IF($W93="","",N(INDEX(发票统计!Q$4:Q$1003,$W93)))</f>
        <v/>
      </c>
      <c r="R93" s="56" t="str">
        <f aca="false">IF($W93="","",N(INDEX(发票统计!R$4:R$1003,$W93)))</f>
        <v/>
      </c>
      <c r="S93" s="56" t="str">
        <f aca="false">IF($W93="","",N(INDEX(发票统计!S$4:S$1003,$W93)))</f>
        <v/>
      </c>
      <c r="T93" s="56" t="str">
        <f aca="false">IF($W93="","",SUM(Q$4:Q93)-SUM(R$4:R93)-SUM(S$4:S93))</f>
        <v/>
      </c>
      <c r="U93" s="56" t="str">
        <f aca="false">IF($W93="","",INDEX(发票统计!U$4:U$1003,$W93)&amp;"")</f>
        <v/>
      </c>
      <c r="W93" s="1" t="str">
        <f aca="false">IF($V$3="","",IFERROR(MATCH($V$3&amp;"#"&amp;ROWS(W$4:W93),发票统计!$W$4:$W$1003,0),""))</f>
        <v/>
      </c>
    </row>
    <row r="94" customFormat="false" ht="16.5" hidden="false" customHeight="false" outlineLevel="0" collapsed="false">
      <c r="A94" s="3" t="str">
        <f aca="false">IF($W94="","",INDEX(发票统计!A$4:A$1003,$W94)&amp;"")</f>
        <v/>
      </c>
      <c r="B94" s="3" t="str">
        <f aca="false">IF($W94="","",INDEX(发票统计!B$4:B$1003,$W94)&amp;"")</f>
        <v/>
      </c>
      <c r="C94" s="3" t="str">
        <f aca="false">IF($W94="","",INDEX(发票统计!C$4:C$1003,$W94)&amp;"")</f>
        <v/>
      </c>
      <c r="D94" s="3" t="str">
        <f aca="false">IF($W94="","",INDEX(发票统计!D$4:D$1003,$W94)&amp;"")</f>
        <v/>
      </c>
      <c r="E94" s="67" t="str">
        <f aca="false">IF($W94="","",INDEX(发票统计!E$4:E$1003,$W94)&amp;"")</f>
        <v/>
      </c>
      <c r="F94" s="68" t="str">
        <f aca="false">IF($W94="","",INDEX(发票统计!F$4:F$1003,$W94)&amp;"")</f>
        <v/>
      </c>
      <c r="G94" s="68" t="str">
        <f aca="false">IF($W94="","",IF(INDEX(发票统计!G$4:G$1003,$W94)="","",INDEX(发票统计!G$4:G$1003,$W94)))</f>
        <v/>
      </c>
      <c r="H94" s="56" t="str">
        <f aca="false">IF($W94="","",N(INDEX(发票统计!H$4:H$1003,$W94)))</f>
        <v/>
      </c>
      <c r="I94" s="56" t="str">
        <f aca="false">IF($W94="","",N(INDEX(发票统计!I$4:I$1003,$W94)))</f>
        <v/>
      </c>
      <c r="J94" s="56" t="str">
        <f aca="false">IF($W94="","",N(INDEX(发票统计!J$4:J$1003,$W94)))</f>
        <v/>
      </c>
      <c r="K94" s="56" t="str">
        <f aca="false">IF($W94="","",N(INDEX(发票统计!K$4:K$1003,$W94)))</f>
        <v/>
      </c>
      <c r="L94" s="56" t="str">
        <f aca="false">IF($W94="","",SUM(J$4:J94)-SUM(K$4:K94))</f>
        <v/>
      </c>
      <c r="M94" s="56" t="str">
        <f aca="false">IF($W94="","",N(INDEX(发票统计!M$4:M$1003,$W94)))</f>
        <v/>
      </c>
      <c r="N94" s="56" t="str">
        <f aca="false">IF($W94="","",N(INDEX(发票统计!N$4:N$1003,$W94)))</f>
        <v/>
      </c>
      <c r="O94" s="56" t="str">
        <f aca="false">IF($W94="","",N(INDEX(发票统计!O$4:O$1003,$W94)))</f>
        <v/>
      </c>
      <c r="P94" s="56" t="str">
        <f aca="false">IF($W94="","",SUM(M$4:M94)-SUM(N$4:N94)-SUM(O$4:O94))</f>
        <v/>
      </c>
      <c r="Q94" s="56" t="str">
        <f aca="false">IF($W94="","",N(INDEX(发票统计!Q$4:Q$1003,$W94)))</f>
        <v/>
      </c>
      <c r="R94" s="56" t="str">
        <f aca="false">IF($W94="","",N(INDEX(发票统计!R$4:R$1003,$W94)))</f>
        <v/>
      </c>
      <c r="S94" s="56" t="str">
        <f aca="false">IF($W94="","",N(INDEX(发票统计!S$4:S$1003,$W94)))</f>
        <v/>
      </c>
      <c r="T94" s="56" t="str">
        <f aca="false">IF($W94="","",SUM(Q$4:Q94)-SUM(R$4:R94)-SUM(S$4:S94))</f>
        <v/>
      </c>
      <c r="U94" s="56" t="str">
        <f aca="false">IF($W94="","",INDEX(发票统计!U$4:U$1003,$W94)&amp;"")</f>
        <v/>
      </c>
      <c r="W94" s="1" t="str">
        <f aca="false">IF($V$3="","",IFERROR(MATCH($V$3&amp;"#"&amp;ROWS(W$4:W94),发票统计!$W$4:$W$1003,0),""))</f>
        <v/>
      </c>
    </row>
    <row r="95" customFormat="false" ht="16.5" hidden="false" customHeight="false" outlineLevel="0" collapsed="false">
      <c r="A95" s="3" t="str">
        <f aca="false">IF($W95="","",INDEX(发票统计!A$4:A$1003,$W95)&amp;"")</f>
        <v/>
      </c>
      <c r="B95" s="3" t="str">
        <f aca="false">IF($W95="","",INDEX(发票统计!B$4:B$1003,$W95)&amp;"")</f>
        <v/>
      </c>
      <c r="C95" s="3" t="str">
        <f aca="false">IF($W95="","",INDEX(发票统计!C$4:C$1003,$W95)&amp;"")</f>
        <v/>
      </c>
      <c r="D95" s="3" t="str">
        <f aca="false">IF($W95="","",INDEX(发票统计!D$4:D$1003,$W95)&amp;"")</f>
        <v/>
      </c>
      <c r="E95" s="67" t="str">
        <f aca="false">IF($W95="","",INDEX(发票统计!E$4:E$1003,$W95)&amp;"")</f>
        <v/>
      </c>
      <c r="F95" s="68" t="str">
        <f aca="false">IF($W95="","",INDEX(发票统计!F$4:F$1003,$W95)&amp;"")</f>
        <v/>
      </c>
      <c r="G95" s="68" t="str">
        <f aca="false">IF($W95="","",IF(INDEX(发票统计!G$4:G$1003,$W95)="","",INDEX(发票统计!G$4:G$1003,$W95)))</f>
        <v/>
      </c>
      <c r="H95" s="56" t="str">
        <f aca="false">IF($W95="","",N(INDEX(发票统计!H$4:H$1003,$W95)))</f>
        <v/>
      </c>
      <c r="I95" s="56" t="str">
        <f aca="false">IF($W95="","",N(INDEX(发票统计!I$4:I$1003,$W95)))</f>
        <v/>
      </c>
      <c r="J95" s="56" t="str">
        <f aca="false">IF($W95="","",N(INDEX(发票统计!J$4:J$1003,$W95)))</f>
        <v/>
      </c>
      <c r="K95" s="56" t="str">
        <f aca="false">IF($W95="","",N(INDEX(发票统计!K$4:K$1003,$W95)))</f>
        <v/>
      </c>
      <c r="L95" s="56" t="str">
        <f aca="false">IF($W95="","",SUM(J$4:J95)-SUM(K$4:K95))</f>
        <v/>
      </c>
      <c r="M95" s="56" t="str">
        <f aca="false">IF($W95="","",N(INDEX(发票统计!M$4:M$1003,$W95)))</f>
        <v/>
      </c>
      <c r="N95" s="56" t="str">
        <f aca="false">IF($W95="","",N(INDEX(发票统计!N$4:N$1003,$W95)))</f>
        <v/>
      </c>
      <c r="O95" s="56" t="str">
        <f aca="false">IF($W95="","",N(INDEX(发票统计!O$4:O$1003,$W95)))</f>
        <v/>
      </c>
      <c r="P95" s="56" t="str">
        <f aca="false">IF($W95="","",SUM(M$4:M95)-SUM(N$4:N95)-SUM(O$4:O95))</f>
        <v/>
      </c>
      <c r="Q95" s="56" t="str">
        <f aca="false">IF($W95="","",N(INDEX(发票统计!Q$4:Q$1003,$W95)))</f>
        <v/>
      </c>
      <c r="R95" s="56" t="str">
        <f aca="false">IF($W95="","",N(INDEX(发票统计!R$4:R$1003,$W95)))</f>
        <v/>
      </c>
      <c r="S95" s="56" t="str">
        <f aca="false">IF($W95="","",N(INDEX(发票统计!S$4:S$1003,$W95)))</f>
        <v/>
      </c>
      <c r="T95" s="56" t="str">
        <f aca="false">IF($W95="","",SUM(Q$4:Q95)-SUM(R$4:R95)-SUM(S$4:S95))</f>
        <v/>
      </c>
      <c r="U95" s="56" t="str">
        <f aca="false">IF($W95="","",INDEX(发票统计!U$4:U$1003,$W95)&amp;"")</f>
        <v/>
      </c>
      <c r="W95" s="1" t="str">
        <f aca="false">IF($V$3="","",IFERROR(MATCH($V$3&amp;"#"&amp;ROWS(W$4:W95),发票统计!$W$4:$W$1003,0),""))</f>
        <v/>
      </c>
    </row>
    <row r="96" customFormat="false" ht="16.5" hidden="false" customHeight="false" outlineLevel="0" collapsed="false">
      <c r="A96" s="3" t="str">
        <f aca="false">IF($W96="","",INDEX(发票统计!A$4:A$1003,$W96)&amp;"")</f>
        <v/>
      </c>
      <c r="B96" s="3" t="str">
        <f aca="false">IF($W96="","",INDEX(发票统计!B$4:B$1003,$W96)&amp;"")</f>
        <v/>
      </c>
      <c r="C96" s="3" t="str">
        <f aca="false">IF($W96="","",INDEX(发票统计!C$4:C$1003,$W96)&amp;"")</f>
        <v/>
      </c>
      <c r="D96" s="3" t="str">
        <f aca="false">IF($W96="","",INDEX(发票统计!D$4:D$1003,$W96)&amp;"")</f>
        <v/>
      </c>
      <c r="E96" s="67" t="str">
        <f aca="false">IF($W96="","",INDEX(发票统计!E$4:E$1003,$W96)&amp;"")</f>
        <v/>
      </c>
      <c r="F96" s="68" t="str">
        <f aca="false">IF($W96="","",INDEX(发票统计!F$4:F$1003,$W96)&amp;"")</f>
        <v/>
      </c>
      <c r="G96" s="68" t="str">
        <f aca="false">IF($W96="","",IF(INDEX(发票统计!G$4:G$1003,$W96)="","",INDEX(发票统计!G$4:G$1003,$W96)))</f>
        <v/>
      </c>
      <c r="H96" s="56" t="str">
        <f aca="false">IF($W96="","",N(INDEX(发票统计!H$4:H$1003,$W96)))</f>
        <v/>
      </c>
      <c r="I96" s="56" t="str">
        <f aca="false">IF($W96="","",N(INDEX(发票统计!I$4:I$1003,$W96)))</f>
        <v/>
      </c>
      <c r="J96" s="56" t="str">
        <f aca="false">IF($W96="","",N(INDEX(发票统计!J$4:J$1003,$W96)))</f>
        <v/>
      </c>
      <c r="K96" s="56" t="str">
        <f aca="false">IF($W96="","",N(INDEX(发票统计!K$4:K$1003,$W96)))</f>
        <v/>
      </c>
      <c r="L96" s="56" t="str">
        <f aca="false">IF($W96="","",SUM(J$4:J96)-SUM(K$4:K96))</f>
        <v/>
      </c>
      <c r="M96" s="56" t="str">
        <f aca="false">IF($W96="","",N(INDEX(发票统计!M$4:M$1003,$W96)))</f>
        <v/>
      </c>
      <c r="N96" s="56" t="str">
        <f aca="false">IF($W96="","",N(INDEX(发票统计!N$4:N$1003,$W96)))</f>
        <v/>
      </c>
      <c r="O96" s="56" t="str">
        <f aca="false">IF($W96="","",N(INDEX(发票统计!O$4:O$1003,$W96)))</f>
        <v/>
      </c>
      <c r="P96" s="56" t="str">
        <f aca="false">IF($W96="","",SUM(M$4:M96)-SUM(N$4:N96)-SUM(O$4:O96))</f>
        <v/>
      </c>
      <c r="Q96" s="56" t="str">
        <f aca="false">IF($W96="","",N(INDEX(发票统计!Q$4:Q$1003,$W96)))</f>
        <v/>
      </c>
      <c r="R96" s="56" t="str">
        <f aca="false">IF($W96="","",N(INDEX(发票统计!R$4:R$1003,$W96)))</f>
        <v/>
      </c>
      <c r="S96" s="56" t="str">
        <f aca="false">IF($W96="","",N(INDEX(发票统计!S$4:S$1003,$W96)))</f>
        <v/>
      </c>
      <c r="T96" s="56" t="str">
        <f aca="false">IF($W96="","",SUM(Q$4:Q96)-SUM(R$4:R96)-SUM(S$4:S96))</f>
        <v/>
      </c>
      <c r="U96" s="56" t="str">
        <f aca="false">IF($W96="","",INDEX(发票统计!U$4:U$1003,$W96)&amp;"")</f>
        <v/>
      </c>
      <c r="W96" s="1" t="str">
        <f aca="false">IF($V$3="","",IFERROR(MATCH($V$3&amp;"#"&amp;ROWS(W$4:W96),发票统计!$W$4:$W$1003,0),""))</f>
        <v/>
      </c>
    </row>
    <row r="97" customFormat="false" ht="16.5" hidden="false" customHeight="false" outlineLevel="0" collapsed="false">
      <c r="A97" s="3" t="str">
        <f aca="false">IF($W97="","",INDEX(发票统计!A$4:A$1003,$W97)&amp;"")</f>
        <v/>
      </c>
      <c r="B97" s="3" t="str">
        <f aca="false">IF($W97="","",INDEX(发票统计!B$4:B$1003,$W97)&amp;"")</f>
        <v/>
      </c>
      <c r="C97" s="3" t="str">
        <f aca="false">IF($W97="","",INDEX(发票统计!C$4:C$1003,$W97)&amp;"")</f>
        <v/>
      </c>
      <c r="D97" s="3" t="str">
        <f aca="false">IF($W97="","",INDEX(发票统计!D$4:D$1003,$W97)&amp;"")</f>
        <v/>
      </c>
      <c r="E97" s="67" t="str">
        <f aca="false">IF($W97="","",INDEX(发票统计!E$4:E$1003,$W97)&amp;"")</f>
        <v/>
      </c>
      <c r="F97" s="68" t="str">
        <f aca="false">IF($W97="","",INDEX(发票统计!F$4:F$1003,$W97)&amp;"")</f>
        <v/>
      </c>
      <c r="G97" s="68" t="str">
        <f aca="false">IF($W97="","",IF(INDEX(发票统计!G$4:G$1003,$W97)="","",INDEX(发票统计!G$4:G$1003,$W97)))</f>
        <v/>
      </c>
      <c r="H97" s="56" t="str">
        <f aca="false">IF($W97="","",N(INDEX(发票统计!H$4:H$1003,$W97)))</f>
        <v/>
      </c>
      <c r="I97" s="56" t="str">
        <f aca="false">IF($W97="","",N(INDEX(发票统计!I$4:I$1003,$W97)))</f>
        <v/>
      </c>
      <c r="J97" s="56" t="str">
        <f aca="false">IF($W97="","",N(INDEX(发票统计!J$4:J$1003,$W97)))</f>
        <v/>
      </c>
      <c r="K97" s="56" t="str">
        <f aca="false">IF($W97="","",N(INDEX(发票统计!K$4:K$1003,$W97)))</f>
        <v/>
      </c>
      <c r="L97" s="56" t="str">
        <f aca="false">IF($W97="","",SUM(J$4:J97)-SUM(K$4:K97))</f>
        <v/>
      </c>
      <c r="M97" s="56" t="str">
        <f aca="false">IF($W97="","",N(INDEX(发票统计!M$4:M$1003,$W97)))</f>
        <v/>
      </c>
      <c r="N97" s="56" t="str">
        <f aca="false">IF($W97="","",N(INDEX(发票统计!N$4:N$1003,$W97)))</f>
        <v/>
      </c>
      <c r="O97" s="56" t="str">
        <f aca="false">IF($W97="","",N(INDEX(发票统计!O$4:O$1003,$W97)))</f>
        <v/>
      </c>
      <c r="P97" s="56" t="str">
        <f aca="false">IF($W97="","",SUM(M$4:M97)-SUM(N$4:N97)-SUM(O$4:O97))</f>
        <v/>
      </c>
      <c r="Q97" s="56" t="str">
        <f aca="false">IF($W97="","",N(INDEX(发票统计!Q$4:Q$1003,$W97)))</f>
        <v/>
      </c>
      <c r="R97" s="56" t="str">
        <f aca="false">IF($W97="","",N(INDEX(发票统计!R$4:R$1003,$W97)))</f>
        <v/>
      </c>
      <c r="S97" s="56" t="str">
        <f aca="false">IF($W97="","",N(INDEX(发票统计!S$4:S$1003,$W97)))</f>
        <v/>
      </c>
      <c r="T97" s="56" t="str">
        <f aca="false">IF($W97="","",SUM(Q$4:Q97)-SUM(R$4:R97)-SUM(S$4:S97))</f>
        <v/>
      </c>
      <c r="U97" s="56" t="str">
        <f aca="false">IF($W97="","",INDEX(发票统计!U$4:U$1003,$W97)&amp;"")</f>
        <v/>
      </c>
      <c r="W97" s="1" t="str">
        <f aca="false">IF($V$3="","",IFERROR(MATCH($V$3&amp;"#"&amp;ROWS(W$4:W97),发票统计!$W$4:$W$1003,0),""))</f>
        <v/>
      </c>
    </row>
    <row r="98" customFormat="false" ht="16.5" hidden="false" customHeight="false" outlineLevel="0" collapsed="false">
      <c r="A98" s="3" t="str">
        <f aca="false">IF($W98="","",INDEX(发票统计!A$4:A$1003,$W98)&amp;"")</f>
        <v/>
      </c>
      <c r="B98" s="3" t="str">
        <f aca="false">IF($W98="","",INDEX(发票统计!B$4:B$1003,$W98)&amp;"")</f>
        <v/>
      </c>
      <c r="C98" s="3" t="str">
        <f aca="false">IF($W98="","",INDEX(发票统计!C$4:C$1003,$W98)&amp;"")</f>
        <v/>
      </c>
      <c r="D98" s="3" t="str">
        <f aca="false">IF($W98="","",INDEX(发票统计!D$4:D$1003,$W98)&amp;"")</f>
        <v/>
      </c>
      <c r="E98" s="67" t="str">
        <f aca="false">IF($W98="","",INDEX(发票统计!E$4:E$1003,$W98)&amp;"")</f>
        <v/>
      </c>
      <c r="F98" s="68" t="str">
        <f aca="false">IF($W98="","",INDEX(发票统计!F$4:F$1003,$W98)&amp;"")</f>
        <v/>
      </c>
      <c r="G98" s="68" t="str">
        <f aca="false">IF($W98="","",IF(INDEX(发票统计!G$4:G$1003,$W98)="","",INDEX(发票统计!G$4:G$1003,$W98)))</f>
        <v/>
      </c>
      <c r="H98" s="56" t="str">
        <f aca="false">IF($W98="","",N(INDEX(发票统计!H$4:H$1003,$W98)))</f>
        <v/>
      </c>
      <c r="I98" s="56" t="str">
        <f aca="false">IF($W98="","",N(INDEX(发票统计!I$4:I$1003,$W98)))</f>
        <v/>
      </c>
      <c r="J98" s="56" t="str">
        <f aca="false">IF($W98="","",N(INDEX(发票统计!J$4:J$1003,$W98)))</f>
        <v/>
      </c>
      <c r="K98" s="56" t="str">
        <f aca="false">IF($W98="","",N(INDEX(发票统计!K$4:K$1003,$W98)))</f>
        <v/>
      </c>
      <c r="L98" s="56" t="str">
        <f aca="false">IF($W98="","",SUM(J$4:J98)-SUM(K$4:K98))</f>
        <v/>
      </c>
      <c r="M98" s="56" t="str">
        <f aca="false">IF($W98="","",N(INDEX(发票统计!M$4:M$1003,$W98)))</f>
        <v/>
      </c>
      <c r="N98" s="56" t="str">
        <f aca="false">IF($W98="","",N(INDEX(发票统计!N$4:N$1003,$W98)))</f>
        <v/>
      </c>
      <c r="O98" s="56" t="str">
        <f aca="false">IF($W98="","",N(INDEX(发票统计!O$4:O$1003,$W98)))</f>
        <v/>
      </c>
      <c r="P98" s="56" t="str">
        <f aca="false">IF($W98="","",SUM(M$4:M98)-SUM(N$4:N98)-SUM(O$4:O98))</f>
        <v/>
      </c>
      <c r="Q98" s="56" t="str">
        <f aca="false">IF($W98="","",N(INDEX(发票统计!Q$4:Q$1003,$W98)))</f>
        <v/>
      </c>
      <c r="R98" s="56" t="str">
        <f aca="false">IF($W98="","",N(INDEX(发票统计!R$4:R$1003,$W98)))</f>
        <v/>
      </c>
      <c r="S98" s="56" t="str">
        <f aca="false">IF($W98="","",N(INDEX(发票统计!S$4:S$1003,$W98)))</f>
        <v/>
      </c>
      <c r="T98" s="56" t="str">
        <f aca="false">IF($W98="","",SUM(Q$4:Q98)-SUM(R$4:R98)-SUM(S$4:S98))</f>
        <v/>
      </c>
      <c r="U98" s="56" t="str">
        <f aca="false">IF($W98="","",INDEX(发票统计!U$4:U$1003,$W98)&amp;"")</f>
        <v/>
      </c>
      <c r="W98" s="1" t="str">
        <f aca="false">IF($V$3="","",IFERROR(MATCH($V$3&amp;"#"&amp;ROWS(W$4:W98),发票统计!$W$4:$W$1003,0),""))</f>
        <v/>
      </c>
    </row>
    <row r="99" customFormat="false" ht="16.5" hidden="false" customHeight="false" outlineLevel="0" collapsed="false">
      <c r="A99" s="3" t="str">
        <f aca="false">IF($W99="","",INDEX(发票统计!A$4:A$1003,$W99)&amp;"")</f>
        <v/>
      </c>
      <c r="B99" s="3" t="str">
        <f aca="false">IF($W99="","",INDEX(发票统计!B$4:B$1003,$W99)&amp;"")</f>
        <v/>
      </c>
      <c r="C99" s="3" t="str">
        <f aca="false">IF($W99="","",INDEX(发票统计!C$4:C$1003,$W99)&amp;"")</f>
        <v/>
      </c>
      <c r="D99" s="3" t="str">
        <f aca="false">IF($W99="","",INDEX(发票统计!D$4:D$1003,$W99)&amp;"")</f>
        <v/>
      </c>
      <c r="E99" s="67" t="str">
        <f aca="false">IF($W99="","",INDEX(发票统计!E$4:E$1003,$W99)&amp;"")</f>
        <v/>
      </c>
      <c r="F99" s="68" t="str">
        <f aca="false">IF($W99="","",INDEX(发票统计!F$4:F$1003,$W99)&amp;"")</f>
        <v/>
      </c>
      <c r="G99" s="68" t="str">
        <f aca="false">IF($W99="","",IF(INDEX(发票统计!G$4:G$1003,$W99)="","",INDEX(发票统计!G$4:G$1003,$W99)))</f>
        <v/>
      </c>
      <c r="H99" s="56" t="str">
        <f aca="false">IF($W99="","",N(INDEX(发票统计!H$4:H$1003,$W99)))</f>
        <v/>
      </c>
      <c r="I99" s="56" t="str">
        <f aca="false">IF($W99="","",N(INDEX(发票统计!I$4:I$1003,$W99)))</f>
        <v/>
      </c>
      <c r="J99" s="56" t="str">
        <f aca="false">IF($W99="","",N(INDEX(发票统计!J$4:J$1003,$W99)))</f>
        <v/>
      </c>
      <c r="K99" s="56" t="str">
        <f aca="false">IF($W99="","",N(INDEX(发票统计!K$4:K$1003,$W99)))</f>
        <v/>
      </c>
      <c r="L99" s="56" t="str">
        <f aca="false">IF($W99="","",SUM(J$4:J99)-SUM(K$4:K99))</f>
        <v/>
      </c>
      <c r="M99" s="56" t="str">
        <f aca="false">IF($W99="","",N(INDEX(发票统计!M$4:M$1003,$W99)))</f>
        <v/>
      </c>
      <c r="N99" s="56" t="str">
        <f aca="false">IF($W99="","",N(INDEX(发票统计!N$4:N$1003,$W99)))</f>
        <v/>
      </c>
      <c r="O99" s="56" t="str">
        <f aca="false">IF($W99="","",N(INDEX(发票统计!O$4:O$1003,$W99)))</f>
        <v/>
      </c>
      <c r="P99" s="56" t="str">
        <f aca="false">IF($W99="","",SUM(M$4:M99)-SUM(N$4:N99)-SUM(O$4:O99))</f>
        <v/>
      </c>
      <c r="Q99" s="56" t="str">
        <f aca="false">IF($W99="","",N(INDEX(发票统计!Q$4:Q$1003,$W99)))</f>
        <v/>
      </c>
      <c r="R99" s="56" t="str">
        <f aca="false">IF($W99="","",N(INDEX(发票统计!R$4:R$1003,$W99)))</f>
        <v/>
      </c>
      <c r="S99" s="56" t="str">
        <f aca="false">IF($W99="","",N(INDEX(发票统计!S$4:S$1003,$W99)))</f>
        <v/>
      </c>
      <c r="T99" s="56" t="str">
        <f aca="false">IF($W99="","",SUM(Q$4:Q99)-SUM(R$4:R99)-SUM(S$4:S99))</f>
        <v/>
      </c>
      <c r="U99" s="56" t="str">
        <f aca="false">IF($W99="","",INDEX(发票统计!U$4:U$1003,$W99)&amp;"")</f>
        <v/>
      </c>
      <c r="W99" s="1" t="str">
        <f aca="false">IF($V$3="","",IFERROR(MATCH($V$3&amp;"#"&amp;ROWS(W$4:W99),发票统计!$W$4:$W$1003,0),""))</f>
        <v/>
      </c>
    </row>
    <row r="100" customFormat="false" ht="16.5" hidden="false" customHeight="false" outlineLevel="0" collapsed="false">
      <c r="A100" s="3" t="str">
        <f aca="false">IF($W100="","",INDEX(发票统计!A$4:A$1003,$W100)&amp;"")</f>
        <v/>
      </c>
      <c r="B100" s="3" t="str">
        <f aca="false">IF($W100="","",INDEX(发票统计!B$4:B$1003,$W100)&amp;"")</f>
        <v/>
      </c>
      <c r="C100" s="3" t="str">
        <f aca="false">IF($W100="","",INDEX(发票统计!C$4:C$1003,$W100)&amp;"")</f>
        <v/>
      </c>
      <c r="D100" s="3" t="str">
        <f aca="false">IF($W100="","",INDEX(发票统计!D$4:D$1003,$W100)&amp;"")</f>
        <v/>
      </c>
      <c r="E100" s="67" t="str">
        <f aca="false">IF($W100="","",INDEX(发票统计!E$4:E$1003,$W100)&amp;"")</f>
        <v/>
      </c>
      <c r="F100" s="68" t="str">
        <f aca="false">IF($W100="","",INDEX(发票统计!F$4:F$1003,$W100)&amp;"")</f>
        <v/>
      </c>
      <c r="G100" s="68" t="str">
        <f aca="false">IF($W100="","",IF(INDEX(发票统计!G$4:G$1003,$W100)="","",INDEX(发票统计!G$4:G$1003,$W100)))</f>
        <v/>
      </c>
      <c r="H100" s="56" t="str">
        <f aca="false">IF($W100="","",N(INDEX(发票统计!H$4:H$1003,$W100)))</f>
        <v/>
      </c>
      <c r="I100" s="56" t="str">
        <f aca="false">IF($W100="","",N(INDEX(发票统计!I$4:I$1003,$W100)))</f>
        <v/>
      </c>
      <c r="J100" s="56" t="str">
        <f aca="false">IF($W100="","",N(INDEX(发票统计!J$4:J$1003,$W100)))</f>
        <v/>
      </c>
      <c r="K100" s="56" t="str">
        <f aca="false">IF($W100="","",N(INDEX(发票统计!K$4:K$1003,$W100)))</f>
        <v/>
      </c>
      <c r="L100" s="56" t="str">
        <f aca="false">IF($W100="","",SUM(J$4:J100)-SUM(K$4:K100))</f>
        <v/>
      </c>
      <c r="M100" s="56" t="str">
        <f aca="false">IF($W100="","",N(INDEX(发票统计!M$4:M$1003,$W100)))</f>
        <v/>
      </c>
      <c r="N100" s="56" t="str">
        <f aca="false">IF($W100="","",N(INDEX(发票统计!N$4:N$1003,$W100)))</f>
        <v/>
      </c>
      <c r="O100" s="56" t="str">
        <f aca="false">IF($W100="","",N(INDEX(发票统计!O$4:O$1003,$W100)))</f>
        <v/>
      </c>
      <c r="P100" s="56" t="str">
        <f aca="false">IF($W100="","",SUM(M$4:M100)-SUM(N$4:N100)-SUM(O$4:O100))</f>
        <v/>
      </c>
      <c r="Q100" s="56" t="str">
        <f aca="false">IF($W100="","",N(INDEX(发票统计!Q$4:Q$1003,$W100)))</f>
        <v/>
      </c>
      <c r="R100" s="56" t="str">
        <f aca="false">IF($W100="","",N(INDEX(发票统计!R$4:R$1003,$W100)))</f>
        <v/>
      </c>
      <c r="S100" s="56" t="str">
        <f aca="false">IF($W100="","",N(INDEX(发票统计!S$4:S$1003,$W100)))</f>
        <v/>
      </c>
      <c r="T100" s="56" t="str">
        <f aca="false">IF($W100="","",SUM(Q$4:Q100)-SUM(R$4:R100)-SUM(S$4:S100))</f>
        <v/>
      </c>
      <c r="U100" s="56" t="str">
        <f aca="false">IF($W100="","",INDEX(发票统计!U$4:U$1003,$W100)&amp;"")</f>
        <v/>
      </c>
      <c r="W100" s="1" t="str">
        <f aca="false">IF($V$3="","",IFERROR(MATCH($V$3&amp;"#"&amp;ROWS(W$4:W100),发票统计!$W$4:$W$1003,0),""))</f>
        <v/>
      </c>
    </row>
    <row r="101" customFormat="false" ht="16.5" hidden="false" customHeight="false" outlineLevel="0" collapsed="false">
      <c r="A101" s="3" t="str">
        <f aca="false">IF($W101="","",INDEX(发票统计!A$4:A$1003,$W101)&amp;"")</f>
        <v/>
      </c>
      <c r="B101" s="3" t="str">
        <f aca="false">IF($W101="","",INDEX(发票统计!B$4:B$1003,$W101)&amp;"")</f>
        <v/>
      </c>
      <c r="C101" s="3" t="str">
        <f aca="false">IF($W101="","",INDEX(发票统计!C$4:C$1003,$W101)&amp;"")</f>
        <v/>
      </c>
      <c r="D101" s="3" t="str">
        <f aca="false">IF($W101="","",INDEX(发票统计!D$4:D$1003,$W101)&amp;"")</f>
        <v/>
      </c>
      <c r="E101" s="67" t="str">
        <f aca="false">IF($W101="","",INDEX(发票统计!E$4:E$1003,$W101)&amp;"")</f>
        <v/>
      </c>
      <c r="F101" s="68" t="str">
        <f aca="false">IF($W101="","",INDEX(发票统计!F$4:F$1003,$W101)&amp;"")</f>
        <v/>
      </c>
      <c r="G101" s="68" t="str">
        <f aca="false">IF($W101="","",IF(INDEX(发票统计!G$4:G$1003,$W101)="","",INDEX(发票统计!G$4:G$1003,$W101)))</f>
        <v/>
      </c>
      <c r="H101" s="56" t="str">
        <f aca="false">IF($W101="","",N(INDEX(发票统计!H$4:H$1003,$W101)))</f>
        <v/>
      </c>
      <c r="I101" s="56" t="str">
        <f aca="false">IF($W101="","",N(INDEX(发票统计!I$4:I$1003,$W101)))</f>
        <v/>
      </c>
      <c r="J101" s="56" t="str">
        <f aca="false">IF($W101="","",N(INDEX(发票统计!J$4:J$1003,$W101)))</f>
        <v/>
      </c>
      <c r="K101" s="56" t="str">
        <f aca="false">IF($W101="","",N(INDEX(发票统计!K$4:K$1003,$W101)))</f>
        <v/>
      </c>
      <c r="L101" s="56" t="str">
        <f aca="false">IF($W101="","",SUM(J$4:J101)-SUM(K$4:K101))</f>
        <v/>
      </c>
      <c r="M101" s="56" t="str">
        <f aca="false">IF($W101="","",N(INDEX(发票统计!M$4:M$1003,$W101)))</f>
        <v/>
      </c>
      <c r="N101" s="56" t="str">
        <f aca="false">IF($W101="","",N(INDEX(发票统计!N$4:N$1003,$W101)))</f>
        <v/>
      </c>
      <c r="O101" s="56" t="str">
        <f aca="false">IF($W101="","",N(INDEX(发票统计!O$4:O$1003,$W101)))</f>
        <v/>
      </c>
      <c r="P101" s="56" t="str">
        <f aca="false">IF($W101="","",SUM(M$4:M101)-SUM(N$4:N101)-SUM(O$4:O101))</f>
        <v/>
      </c>
      <c r="Q101" s="56" t="str">
        <f aca="false">IF($W101="","",N(INDEX(发票统计!Q$4:Q$1003,$W101)))</f>
        <v/>
      </c>
      <c r="R101" s="56" t="str">
        <f aca="false">IF($W101="","",N(INDEX(发票统计!R$4:R$1003,$W101)))</f>
        <v/>
      </c>
      <c r="S101" s="56" t="str">
        <f aca="false">IF($W101="","",N(INDEX(发票统计!S$4:S$1003,$W101)))</f>
        <v/>
      </c>
      <c r="T101" s="56" t="str">
        <f aca="false">IF($W101="","",SUM(Q$4:Q101)-SUM(R$4:R101)-SUM(S$4:S101))</f>
        <v/>
      </c>
      <c r="U101" s="56" t="str">
        <f aca="false">IF($W101="","",INDEX(发票统计!U$4:U$1003,$W101)&amp;"")</f>
        <v/>
      </c>
      <c r="W101" s="1" t="str">
        <f aca="false">IF($V$3="","",IFERROR(MATCH($V$3&amp;"#"&amp;ROWS(W$4:W101),发票统计!$W$4:$W$1003,0),""))</f>
        <v/>
      </c>
    </row>
    <row r="102" customFormat="false" ht="16.5" hidden="false" customHeight="false" outlineLevel="0" collapsed="false">
      <c r="A102" s="3" t="str">
        <f aca="false">IF($W102="","",INDEX(发票统计!A$4:A$1003,$W102)&amp;"")</f>
        <v/>
      </c>
      <c r="B102" s="3" t="str">
        <f aca="false">IF($W102="","",INDEX(发票统计!B$4:B$1003,$W102)&amp;"")</f>
        <v/>
      </c>
      <c r="C102" s="3" t="str">
        <f aca="false">IF($W102="","",INDEX(发票统计!C$4:C$1003,$W102)&amp;"")</f>
        <v/>
      </c>
      <c r="D102" s="3" t="str">
        <f aca="false">IF($W102="","",INDEX(发票统计!D$4:D$1003,$W102)&amp;"")</f>
        <v/>
      </c>
      <c r="E102" s="67" t="str">
        <f aca="false">IF($W102="","",INDEX(发票统计!E$4:E$1003,$W102)&amp;"")</f>
        <v/>
      </c>
      <c r="F102" s="68" t="str">
        <f aca="false">IF($W102="","",INDEX(发票统计!F$4:F$1003,$W102)&amp;"")</f>
        <v/>
      </c>
      <c r="G102" s="68" t="str">
        <f aca="false">IF($W102="","",IF(INDEX(发票统计!G$4:G$1003,$W102)="","",INDEX(发票统计!G$4:G$1003,$W102)))</f>
        <v/>
      </c>
      <c r="H102" s="56" t="str">
        <f aca="false">IF($W102="","",N(INDEX(发票统计!H$4:H$1003,$W102)))</f>
        <v/>
      </c>
      <c r="I102" s="56" t="str">
        <f aca="false">IF($W102="","",N(INDEX(发票统计!I$4:I$1003,$W102)))</f>
        <v/>
      </c>
      <c r="J102" s="56" t="str">
        <f aca="false">IF($W102="","",N(INDEX(发票统计!J$4:J$1003,$W102)))</f>
        <v/>
      </c>
      <c r="K102" s="56" t="str">
        <f aca="false">IF($W102="","",N(INDEX(发票统计!K$4:K$1003,$W102)))</f>
        <v/>
      </c>
      <c r="L102" s="56" t="str">
        <f aca="false">IF($W102="","",SUM(J$4:J102)-SUM(K$4:K102))</f>
        <v/>
      </c>
      <c r="M102" s="56" t="str">
        <f aca="false">IF($W102="","",N(INDEX(发票统计!M$4:M$1003,$W102)))</f>
        <v/>
      </c>
      <c r="N102" s="56" t="str">
        <f aca="false">IF($W102="","",N(INDEX(发票统计!N$4:N$1003,$W102)))</f>
        <v/>
      </c>
      <c r="O102" s="56" t="str">
        <f aca="false">IF($W102="","",N(INDEX(发票统计!O$4:O$1003,$W102)))</f>
        <v/>
      </c>
      <c r="P102" s="56" t="str">
        <f aca="false">IF($W102="","",SUM(M$4:M102)-SUM(N$4:N102)-SUM(O$4:O102))</f>
        <v/>
      </c>
      <c r="Q102" s="56" t="str">
        <f aca="false">IF($W102="","",N(INDEX(发票统计!Q$4:Q$1003,$W102)))</f>
        <v/>
      </c>
      <c r="R102" s="56" t="str">
        <f aca="false">IF($W102="","",N(INDEX(发票统计!R$4:R$1003,$W102)))</f>
        <v/>
      </c>
      <c r="S102" s="56" t="str">
        <f aca="false">IF($W102="","",N(INDEX(发票统计!S$4:S$1003,$W102)))</f>
        <v/>
      </c>
      <c r="T102" s="56" t="str">
        <f aca="false">IF($W102="","",SUM(Q$4:Q102)-SUM(R$4:R102)-SUM(S$4:S102))</f>
        <v/>
      </c>
      <c r="U102" s="56" t="str">
        <f aca="false">IF($W102="","",INDEX(发票统计!U$4:U$1003,$W102)&amp;"")</f>
        <v/>
      </c>
      <c r="W102" s="1" t="str">
        <f aca="false">IF($V$3="","",IFERROR(MATCH($V$3&amp;"#"&amp;ROWS(W$4:W102),发票统计!$W$4:$W$1003,0),""))</f>
        <v/>
      </c>
    </row>
    <row r="103" customFormat="false" ht="16.5" hidden="false" customHeight="false" outlineLevel="0" collapsed="false">
      <c r="A103" s="3" t="str">
        <f aca="false">IF($W103="","",INDEX(发票统计!A$4:A$1003,$W103)&amp;"")</f>
        <v/>
      </c>
      <c r="B103" s="3" t="str">
        <f aca="false">IF($W103="","",INDEX(发票统计!B$4:B$1003,$W103)&amp;"")</f>
        <v/>
      </c>
      <c r="C103" s="3" t="str">
        <f aca="false">IF($W103="","",INDEX(发票统计!C$4:C$1003,$W103)&amp;"")</f>
        <v/>
      </c>
      <c r="D103" s="3" t="str">
        <f aca="false">IF($W103="","",INDEX(发票统计!D$4:D$1003,$W103)&amp;"")</f>
        <v/>
      </c>
      <c r="E103" s="67" t="str">
        <f aca="false">IF($W103="","",INDEX(发票统计!E$4:E$1003,$W103)&amp;"")</f>
        <v/>
      </c>
      <c r="F103" s="68" t="str">
        <f aca="false">IF($W103="","",INDEX(发票统计!F$4:F$1003,$W103)&amp;"")</f>
        <v/>
      </c>
      <c r="G103" s="68" t="str">
        <f aca="false">IF($W103="","",IF(INDEX(发票统计!G$4:G$1003,$W103)="","",INDEX(发票统计!G$4:G$1003,$W103)))</f>
        <v/>
      </c>
      <c r="H103" s="56" t="str">
        <f aca="false">IF($W103="","",N(INDEX(发票统计!H$4:H$1003,$W103)))</f>
        <v/>
      </c>
      <c r="I103" s="56" t="str">
        <f aca="false">IF($W103="","",N(INDEX(发票统计!I$4:I$1003,$W103)))</f>
        <v/>
      </c>
      <c r="J103" s="56" t="str">
        <f aca="false">IF($W103="","",N(INDEX(发票统计!J$4:J$1003,$W103)))</f>
        <v/>
      </c>
      <c r="K103" s="56" t="str">
        <f aca="false">IF($W103="","",N(INDEX(发票统计!K$4:K$1003,$W103)))</f>
        <v/>
      </c>
      <c r="L103" s="56" t="str">
        <f aca="false">IF($W103="","",SUM(J$4:J103)-SUM(K$4:K103))</f>
        <v/>
      </c>
      <c r="M103" s="56" t="str">
        <f aca="false">IF($W103="","",N(INDEX(发票统计!M$4:M$1003,$W103)))</f>
        <v/>
      </c>
      <c r="N103" s="56" t="str">
        <f aca="false">IF($W103="","",N(INDEX(发票统计!N$4:N$1003,$W103)))</f>
        <v/>
      </c>
      <c r="O103" s="56" t="str">
        <f aca="false">IF($W103="","",N(INDEX(发票统计!O$4:O$1003,$W103)))</f>
        <v/>
      </c>
      <c r="P103" s="56" t="str">
        <f aca="false">IF($W103="","",SUM(M$4:M103)-SUM(N$4:N103)-SUM(O$4:O103))</f>
        <v/>
      </c>
      <c r="Q103" s="56" t="str">
        <f aca="false">IF($W103="","",N(INDEX(发票统计!Q$4:Q$1003,$W103)))</f>
        <v/>
      </c>
      <c r="R103" s="56" t="str">
        <f aca="false">IF($W103="","",N(INDEX(发票统计!R$4:R$1003,$W103)))</f>
        <v/>
      </c>
      <c r="S103" s="56" t="str">
        <f aca="false">IF($W103="","",N(INDEX(发票统计!S$4:S$1003,$W103)))</f>
        <v/>
      </c>
      <c r="T103" s="56" t="str">
        <f aca="false">IF($W103="","",SUM(Q$4:Q103)-SUM(R$4:R103)-SUM(S$4:S103))</f>
        <v/>
      </c>
      <c r="U103" s="56" t="str">
        <f aca="false">IF($W103="","",INDEX(发票统计!U$4:U$1003,$W103)&amp;"")</f>
        <v/>
      </c>
      <c r="W103" s="1" t="str">
        <f aca="false">IF($V$3="","",IFERROR(MATCH($V$3&amp;"#"&amp;ROWS(W$4:W103),发票统计!$W$4:$W$1003,0),""))</f>
        <v/>
      </c>
    </row>
    <row r="104" customFormat="false" ht="16.5" hidden="false" customHeight="false" outlineLevel="0" collapsed="false">
      <c r="A104" s="3" t="str">
        <f aca="false">IF($W104="","",INDEX(发票统计!A$4:A$1003,$W104)&amp;"")</f>
        <v/>
      </c>
      <c r="B104" s="3" t="str">
        <f aca="false">IF($W104="","",INDEX(发票统计!B$4:B$1003,$W104)&amp;"")</f>
        <v/>
      </c>
      <c r="C104" s="3" t="str">
        <f aca="false">IF($W104="","",INDEX(发票统计!C$4:C$1003,$W104)&amp;"")</f>
        <v/>
      </c>
      <c r="D104" s="3" t="str">
        <f aca="false">IF($W104="","",INDEX(发票统计!D$4:D$1003,$W104)&amp;"")</f>
        <v/>
      </c>
      <c r="E104" s="67" t="str">
        <f aca="false">IF($W104="","",INDEX(发票统计!E$4:E$1003,$W104)&amp;"")</f>
        <v/>
      </c>
      <c r="F104" s="68" t="str">
        <f aca="false">IF($W104="","",INDEX(发票统计!F$4:F$1003,$W104)&amp;"")</f>
        <v/>
      </c>
      <c r="G104" s="68" t="str">
        <f aca="false">IF($W104="","",IF(INDEX(发票统计!G$4:G$1003,$W104)="","",INDEX(发票统计!G$4:G$1003,$W104)))</f>
        <v/>
      </c>
      <c r="H104" s="56" t="str">
        <f aca="false">IF($W104="","",N(INDEX(发票统计!H$4:H$1003,$W104)))</f>
        <v/>
      </c>
      <c r="I104" s="56" t="str">
        <f aca="false">IF($W104="","",N(INDEX(发票统计!I$4:I$1003,$W104)))</f>
        <v/>
      </c>
      <c r="J104" s="56" t="str">
        <f aca="false">IF($W104="","",N(INDEX(发票统计!J$4:J$1003,$W104)))</f>
        <v/>
      </c>
      <c r="K104" s="56" t="str">
        <f aca="false">IF($W104="","",N(INDEX(发票统计!K$4:K$1003,$W104)))</f>
        <v/>
      </c>
      <c r="L104" s="56" t="str">
        <f aca="false">IF($W104="","",SUM(J$4:J104)-SUM(K$4:K104))</f>
        <v/>
      </c>
      <c r="M104" s="56" t="str">
        <f aca="false">IF($W104="","",N(INDEX(发票统计!M$4:M$1003,$W104)))</f>
        <v/>
      </c>
      <c r="N104" s="56" t="str">
        <f aca="false">IF($W104="","",N(INDEX(发票统计!N$4:N$1003,$W104)))</f>
        <v/>
      </c>
      <c r="O104" s="56" t="str">
        <f aca="false">IF($W104="","",N(INDEX(发票统计!O$4:O$1003,$W104)))</f>
        <v/>
      </c>
      <c r="P104" s="56" t="str">
        <f aca="false">IF($W104="","",SUM(M$4:M104)-SUM(N$4:N104)-SUM(O$4:O104))</f>
        <v/>
      </c>
      <c r="Q104" s="56" t="str">
        <f aca="false">IF($W104="","",N(INDEX(发票统计!Q$4:Q$1003,$W104)))</f>
        <v/>
      </c>
      <c r="R104" s="56" t="str">
        <f aca="false">IF($W104="","",N(INDEX(发票统计!R$4:R$1003,$W104)))</f>
        <v/>
      </c>
      <c r="S104" s="56" t="str">
        <f aca="false">IF($W104="","",N(INDEX(发票统计!S$4:S$1003,$W104)))</f>
        <v/>
      </c>
      <c r="T104" s="56" t="str">
        <f aca="false">IF($W104="","",SUM(Q$4:Q104)-SUM(R$4:R104)-SUM(S$4:S104))</f>
        <v/>
      </c>
      <c r="U104" s="56" t="str">
        <f aca="false">IF($W104="","",INDEX(发票统计!U$4:U$1003,$W104)&amp;"")</f>
        <v/>
      </c>
      <c r="W104" s="1" t="str">
        <f aca="false">IF($V$3="","",IFERROR(MATCH($V$3&amp;"#"&amp;ROWS(W$4:W104),发票统计!$W$4:$W$1003,0),""))</f>
        <v/>
      </c>
    </row>
    <row r="105" customFormat="false" ht="16.5" hidden="false" customHeight="false" outlineLevel="0" collapsed="false">
      <c r="A105" s="3" t="str">
        <f aca="false">IF($W105="","",INDEX(发票统计!A$4:A$1003,$W105)&amp;"")</f>
        <v/>
      </c>
      <c r="B105" s="3" t="str">
        <f aca="false">IF($W105="","",INDEX(发票统计!B$4:B$1003,$W105)&amp;"")</f>
        <v/>
      </c>
      <c r="C105" s="3" t="str">
        <f aca="false">IF($W105="","",INDEX(发票统计!C$4:C$1003,$W105)&amp;"")</f>
        <v/>
      </c>
      <c r="D105" s="3" t="str">
        <f aca="false">IF($W105="","",INDEX(发票统计!D$4:D$1003,$W105)&amp;"")</f>
        <v/>
      </c>
      <c r="E105" s="67" t="str">
        <f aca="false">IF($W105="","",INDEX(发票统计!E$4:E$1003,$W105)&amp;"")</f>
        <v/>
      </c>
      <c r="F105" s="68" t="str">
        <f aca="false">IF($W105="","",INDEX(发票统计!F$4:F$1003,$W105)&amp;"")</f>
        <v/>
      </c>
      <c r="G105" s="68" t="str">
        <f aca="false">IF($W105="","",IF(INDEX(发票统计!G$4:G$1003,$W105)="","",INDEX(发票统计!G$4:G$1003,$W105)))</f>
        <v/>
      </c>
      <c r="H105" s="56" t="str">
        <f aca="false">IF($W105="","",N(INDEX(发票统计!H$4:H$1003,$W105)))</f>
        <v/>
      </c>
      <c r="I105" s="56" t="str">
        <f aca="false">IF($W105="","",N(INDEX(发票统计!I$4:I$1003,$W105)))</f>
        <v/>
      </c>
      <c r="J105" s="56" t="str">
        <f aca="false">IF($W105="","",N(INDEX(发票统计!J$4:J$1003,$W105)))</f>
        <v/>
      </c>
      <c r="K105" s="56" t="str">
        <f aca="false">IF($W105="","",N(INDEX(发票统计!K$4:K$1003,$W105)))</f>
        <v/>
      </c>
      <c r="L105" s="56" t="str">
        <f aca="false">IF($W105="","",SUM(J$4:J105)-SUM(K$4:K105))</f>
        <v/>
      </c>
      <c r="M105" s="56" t="str">
        <f aca="false">IF($W105="","",N(INDEX(发票统计!M$4:M$1003,$W105)))</f>
        <v/>
      </c>
      <c r="N105" s="56" t="str">
        <f aca="false">IF($W105="","",N(INDEX(发票统计!N$4:N$1003,$W105)))</f>
        <v/>
      </c>
      <c r="O105" s="56" t="str">
        <f aca="false">IF($W105="","",N(INDEX(发票统计!O$4:O$1003,$W105)))</f>
        <v/>
      </c>
      <c r="P105" s="56" t="str">
        <f aca="false">IF($W105="","",SUM(M$4:M105)-SUM(N$4:N105)-SUM(O$4:O105))</f>
        <v/>
      </c>
      <c r="Q105" s="56" t="str">
        <f aca="false">IF($W105="","",N(INDEX(发票统计!Q$4:Q$1003,$W105)))</f>
        <v/>
      </c>
      <c r="R105" s="56" t="str">
        <f aca="false">IF($W105="","",N(INDEX(发票统计!R$4:R$1003,$W105)))</f>
        <v/>
      </c>
      <c r="S105" s="56" t="str">
        <f aca="false">IF($W105="","",N(INDEX(发票统计!S$4:S$1003,$W105)))</f>
        <v/>
      </c>
      <c r="T105" s="56" t="str">
        <f aca="false">IF($W105="","",SUM(Q$4:Q105)-SUM(R$4:R105)-SUM(S$4:S105))</f>
        <v/>
      </c>
      <c r="U105" s="56" t="str">
        <f aca="false">IF($W105="","",INDEX(发票统计!U$4:U$1003,$W105)&amp;"")</f>
        <v/>
      </c>
      <c r="W105" s="1" t="str">
        <f aca="false">IF($V$3="","",IFERROR(MATCH($V$3&amp;"#"&amp;ROWS(W$4:W105),发票统计!$W$4:$W$1003,0),""))</f>
        <v/>
      </c>
    </row>
    <row r="106" customFormat="false" ht="16.5" hidden="false" customHeight="false" outlineLevel="0" collapsed="false">
      <c r="A106" s="3" t="str">
        <f aca="false">IF($W106="","",INDEX(发票统计!A$4:A$1003,$W106)&amp;"")</f>
        <v/>
      </c>
      <c r="B106" s="3" t="str">
        <f aca="false">IF($W106="","",INDEX(发票统计!B$4:B$1003,$W106)&amp;"")</f>
        <v/>
      </c>
      <c r="C106" s="3" t="str">
        <f aca="false">IF($W106="","",INDEX(发票统计!C$4:C$1003,$W106)&amp;"")</f>
        <v/>
      </c>
      <c r="D106" s="3" t="str">
        <f aca="false">IF($W106="","",INDEX(发票统计!D$4:D$1003,$W106)&amp;"")</f>
        <v/>
      </c>
      <c r="E106" s="67" t="str">
        <f aca="false">IF($W106="","",INDEX(发票统计!E$4:E$1003,$W106)&amp;"")</f>
        <v/>
      </c>
      <c r="F106" s="68" t="str">
        <f aca="false">IF($W106="","",INDEX(发票统计!F$4:F$1003,$W106)&amp;"")</f>
        <v/>
      </c>
      <c r="G106" s="68" t="str">
        <f aca="false">IF($W106="","",IF(INDEX(发票统计!G$4:G$1003,$W106)="","",INDEX(发票统计!G$4:G$1003,$W106)))</f>
        <v/>
      </c>
      <c r="H106" s="56" t="str">
        <f aca="false">IF($W106="","",N(INDEX(发票统计!H$4:H$1003,$W106)))</f>
        <v/>
      </c>
      <c r="I106" s="56" t="str">
        <f aca="false">IF($W106="","",N(INDEX(发票统计!I$4:I$1003,$W106)))</f>
        <v/>
      </c>
      <c r="J106" s="56" t="str">
        <f aca="false">IF($W106="","",N(INDEX(发票统计!J$4:J$1003,$W106)))</f>
        <v/>
      </c>
      <c r="K106" s="56" t="str">
        <f aca="false">IF($W106="","",N(INDEX(发票统计!K$4:K$1003,$W106)))</f>
        <v/>
      </c>
      <c r="L106" s="56" t="str">
        <f aca="false">IF($W106="","",SUM(J$4:J106)-SUM(K$4:K106))</f>
        <v/>
      </c>
      <c r="M106" s="56" t="str">
        <f aca="false">IF($W106="","",N(INDEX(发票统计!M$4:M$1003,$W106)))</f>
        <v/>
      </c>
      <c r="N106" s="56" t="str">
        <f aca="false">IF($W106="","",N(INDEX(发票统计!N$4:N$1003,$W106)))</f>
        <v/>
      </c>
      <c r="O106" s="56" t="str">
        <f aca="false">IF($W106="","",N(INDEX(发票统计!O$4:O$1003,$W106)))</f>
        <v/>
      </c>
      <c r="P106" s="56" t="str">
        <f aca="false">IF($W106="","",SUM(M$4:M106)-SUM(N$4:N106)-SUM(O$4:O106))</f>
        <v/>
      </c>
      <c r="Q106" s="56" t="str">
        <f aca="false">IF($W106="","",N(INDEX(发票统计!Q$4:Q$1003,$W106)))</f>
        <v/>
      </c>
      <c r="R106" s="56" t="str">
        <f aca="false">IF($W106="","",N(INDEX(发票统计!R$4:R$1003,$W106)))</f>
        <v/>
      </c>
      <c r="S106" s="56" t="str">
        <f aca="false">IF($W106="","",N(INDEX(发票统计!S$4:S$1003,$W106)))</f>
        <v/>
      </c>
      <c r="T106" s="56" t="str">
        <f aca="false">IF($W106="","",SUM(Q$4:Q106)-SUM(R$4:R106)-SUM(S$4:S106))</f>
        <v/>
      </c>
      <c r="U106" s="56" t="str">
        <f aca="false">IF($W106="","",INDEX(发票统计!U$4:U$1003,$W106)&amp;"")</f>
        <v/>
      </c>
      <c r="W106" s="1" t="str">
        <f aca="false">IF($V$3="","",IFERROR(MATCH($V$3&amp;"#"&amp;ROWS(W$4:W106),发票统计!$W$4:$W$1003,0),""))</f>
        <v/>
      </c>
    </row>
    <row r="107" customFormat="false" ht="16.5" hidden="false" customHeight="false" outlineLevel="0" collapsed="false">
      <c r="A107" s="3" t="str">
        <f aca="false">IF($W107="","",INDEX(发票统计!A$4:A$1003,$W107)&amp;"")</f>
        <v/>
      </c>
      <c r="B107" s="3" t="str">
        <f aca="false">IF($W107="","",INDEX(发票统计!B$4:B$1003,$W107)&amp;"")</f>
        <v/>
      </c>
      <c r="C107" s="3" t="str">
        <f aca="false">IF($W107="","",INDEX(发票统计!C$4:C$1003,$W107)&amp;"")</f>
        <v/>
      </c>
      <c r="D107" s="3" t="str">
        <f aca="false">IF($W107="","",INDEX(发票统计!D$4:D$1003,$W107)&amp;"")</f>
        <v/>
      </c>
      <c r="E107" s="67" t="str">
        <f aca="false">IF($W107="","",INDEX(发票统计!E$4:E$1003,$W107)&amp;"")</f>
        <v/>
      </c>
      <c r="F107" s="68" t="str">
        <f aca="false">IF($W107="","",INDEX(发票统计!F$4:F$1003,$W107)&amp;"")</f>
        <v/>
      </c>
      <c r="G107" s="68" t="str">
        <f aca="false">IF($W107="","",IF(INDEX(发票统计!G$4:G$1003,$W107)="","",INDEX(发票统计!G$4:G$1003,$W107)))</f>
        <v/>
      </c>
      <c r="H107" s="56" t="str">
        <f aca="false">IF($W107="","",N(INDEX(发票统计!H$4:H$1003,$W107)))</f>
        <v/>
      </c>
      <c r="I107" s="56" t="str">
        <f aca="false">IF($W107="","",N(INDEX(发票统计!I$4:I$1003,$W107)))</f>
        <v/>
      </c>
      <c r="J107" s="56" t="str">
        <f aca="false">IF($W107="","",N(INDEX(发票统计!J$4:J$1003,$W107)))</f>
        <v/>
      </c>
      <c r="K107" s="56" t="str">
        <f aca="false">IF($W107="","",N(INDEX(发票统计!K$4:K$1003,$W107)))</f>
        <v/>
      </c>
      <c r="L107" s="56" t="str">
        <f aca="false">IF($W107="","",SUM(J$4:J107)-SUM(K$4:K107))</f>
        <v/>
      </c>
      <c r="M107" s="56" t="str">
        <f aca="false">IF($W107="","",N(INDEX(发票统计!M$4:M$1003,$W107)))</f>
        <v/>
      </c>
      <c r="N107" s="56" t="str">
        <f aca="false">IF($W107="","",N(INDEX(发票统计!N$4:N$1003,$W107)))</f>
        <v/>
      </c>
      <c r="O107" s="56" t="str">
        <f aca="false">IF($W107="","",N(INDEX(发票统计!O$4:O$1003,$W107)))</f>
        <v/>
      </c>
      <c r="P107" s="56" t="str">
        <f aca="false">IF($W107="","",SUM(M$4:M107)-SUM(N$4:N107)-SUM(O$4:O107))</f>
        <v/>
      </c>
      <c r="Q107" s="56" t="str">
        <f aca="false">IF($W107="","",N(INDEX(发票统计!Q$4:Q$1003,$W107)))</f>
        <v/>
      </c>
      <c r="R107" s="56" t="str">
        <f aca="false">IF($W107="","",N(INDEX(发票统计!R$4:R$1003,$W107)))</f>
        <v/>
      </c>
      <c r="S107" s="56" t="str">
        <f aca="false">IF($W107="","",N(INDEX(发票统计!S$4:S$1003,$W107)))</f>
        <v/>
      </c>
      <c r="T107" s="56" t="str">
        <f aca="false">IF($W107="","",SUM(Q$4:Q107)-SUM(R$4:R107)-SUM(S$4:S107))</f>
        <v/>
      </c>
      <c r="U107" s="56" t="str">
        <f aca="false">IF($W107="","",INDEX(发票统计!U$4:U$1003,$W107)&amp;"")</f>
        <v/>
      </c>
      <c r="W107" s="1" t="str">
        <f aca="false">IF($V$3="","",IFERROR(MATCH($V$3&amp;"#"&amp;ROWS(W$4:W107),发票统计!$W$4:$W$1003,0),""))</f>
        <v/>
      </c>
    </row>
    <row r="108" customFormat="false" ht="16.5" hidden="false" customHeight="false" outlineLevel="0" collapsed="false">
      <c r="A108" s="3" t="str">
        <f aca="false">IF($W108="","",INDEX(发票统计!A$4:A$1003,$W108)&amp;"")</f>
        <v/>
      </c>
      <c r="B108" s="3" t="str">
        <f aca="false">IF($W108="","",INDEX(发票统计!B$4:B$1003,$W108)&amp;"")</f>
        <v/>
      </c>
      <c r="C108" s="3" t="str">
        <f aca="false">IF($W108="","",INDEX(发票统计!C$4:C$1003,$W108)&amp;"")</f>
        <v/>
      </c>
      <c r="D108" s="3" t="str">
        <f aca="false">IF($W108="","",INDEX(发票统计!D$4:D$1003,$W108)&amp;"")</f>
        <v/>
      </c>
      <c r="E108" s="67" t="str">
        <f aca="false">IF($W108="","",INDEX(发票统计!E$4:E$1003,$W108)&amp;"")</f>
        <v/>
      </c>
      <c r="F108" s="68" t="str">
        <f aca="false">IF($W108="","",INDEX(发票统计!F$4:F$1003,$W108)&amp;"")</f>
        <v/>
      </c>
      <c r="G108" s="68" t="str">
        <f aca="false">IF($W108="","",IF(INDEX(发票统计!G$4:G$1003,$W108)="","",INDEX(发票统计!G$4:G$1003,$W108)))</f>
        <v/>
      </c>
      <c r="H108" s="56" t="str">
        <f aca="false">IF($W108="","",N(INDEX(发票统计!H$4:H$1003,$W108)))</f>
        <v/>
      </c>
      <c r="I108" s="56" t="str">
        <f aca="false">IF($W108="","",N(INDEX(发票统计!I$4:I$1003,$W108)))</f>
        <v/>
      </c>
      <c r="J108" s="56" t="str">
        <f aca="false">IF($W108="","",N(INDEX(发票统计!J$4:J$1003,$W108)))</f>
        <v/>
      </c>
      <c r="K108" s="56" t="str">
        <f aca="false">IF($W108="","",N(INDEX(发票统计!K$4:K$1003,$W108)))</f>
        <v/>
      </c>
      <c r="L108" s="56" t="str">
        <f aca="false">IF($W108="","",SUM(J$4:J108)-SUM(K$4:K108))</f>
        <v/>
      </c>
      <c r="M108" s="56" t="str">
        <f aca="false">IF($W108="","",N(INDEX(发票统计!M$4:M$1003,$W108)))</f>
        <v/>
      </c>
      <c r="N108" s="56" t="str">
        <f aca="false">IF($W108="","",N(INDEX(发票统计!N$4:N$1003,$W108)))</f>
        <v/>
      </c>
      <c r="O108" s="56" t="str">
        <f aca="false">IF($W108="","",N(INDEX(发票统计!O$4:O$1003,$W108)))</f>
        <v/>
      </c>
      <c r="P108" s="56" t="str">
        <f aca="false">IF($W108="","",SUM(M$4:M108)-SUM(N$4:N108)-SUM(O$4:O108))</f>
        <v/>
      </c>
      <c r="Q108" s="56" t="str">
        <f aca="false">IF($W108="","",N(INDEX(发票统计!Q$4:Q$1003,$W108)))</f>
        <v/>
      </c>
      <c r="R108" s="56" t="str">
        <f aca="false">IF($W108="","",N(INDEX(发票统计!R$4:R$1003,$W108)))</f>
        <v/>
      </c>
      <c r="S108" s="56" t="str">
        <f aca="false">IF($W108="","",N(INDEX(发票统计!S$4:S$1003,$W108)))</f>
        <v/>
      </c>
      <c r="T108" s="56" t="str">
        <f aca="false">IF($W108="","",SUM(Q$4:Q108)-SUM(R$4:R108)-SUM(S$4:S108))</f>
        <v/>
      </c>
      <c r="U108" s="56" t="str">
        <f aca="false">IF($W108="","",INDEX(发票统计!U$4:U$1003,$W108)&amp;"")</f>
        <v/>
      </c>
      <c r="W108" s="1" t="str">
        <f aca="false">IF($V$3="","",IFERROR(MATCH($V$3&amp;"#"&amp;ROWS(W$4:W108),发票统计!$W$4:$W$1003,0),""))</f>
        <v/>
      </c>
    </row>
    <row r="109" customFormat="false" ht="16.5" hidden="false" customHeight="false" outlineLevel="0" collapsed="false">
      <c r="A109" s="3" t="str">
        <f aca="false">IF($W109="","",INDEX(发票统计!A$4:A$1003,$W109)&amp;"")</f>
        <v/>
      </c>
      <c r="B109" s="3" t="str">
        <f aca="false">IF($W109="","",INDEX(发票统计!B$4:B$1003,$W109)&amp;"")</f>
        <v/>
      </c>
      <c r="C109" s="3" t="str">
        <f aca="false">IF($W109="","",INDEX(发票统计!C$4:C$1003,$W109)&amp;"")</f>
        <v/>
      </c>
      <c r="D109" s="3" t="str">
        <f aca="false">IF($W109="","",INDEX(发票统计!D$4:D$1003,$W109)&amp;"")</f>
        <v/>
      </c>
      <c r="E109" s="67" t="str">
        <f aca="false">IF($W109="","",INDEX(发票统计!E$4:E$1003,$W109)&amp;"")</f>
        <v/>
      </c>
      <c r="F109" s="68" t="str">
        <f aca="false">IF($W109="","",INDEX(发票统计!F$4:F$1003,$W109)&amp;"")</f>
        <v/>
      </c>
      <c r="G109" s="68" t="str">
        <f aca="false">IF($W109="","",IF(INDEX(发票统计!G$4:G$1003,$W109)="","",INDEX(发票统计!G$4:G$1003,$W109)))</f>
        <v/>
      </c>
      <c r="H109" s="56" t="str">
        <f aca="false">IF($W109="","",N(INDEX(发票统计!H$4:H$1003,$W109)))</f>
        <v/>
      </c>
      <c r="I109" s="56" t="str">
        <f aca="false">IF($W109="","",N(INDEX(发票统计!I$4:I$1003,$W109)))</f>
        <v/>
      </c>
      <c r="J109" s="56" t="str">
        <f aca="false">IF($W109="","",N(INDEX(发票统计!J$4:J$1003,$W109)))</f>
        <v/>
      </c>
      <c r="K109" s="56" t="str">
        <f aca="false">IF($W109="","",N(INDEX(发票统计!K$4:K$1003,$W109)))</f>
        <v/>
      </c>
      <c r="L109" s="56" t="str">
        <f aca="false">IF($W109="","",SUM(J$4:J109)-SUM(K$4:K109))</f>
        <v/>
      </c>
      <c r="M109" s="56" t="str">
        <f aca="false">IF($W109="","",N(INDEX(发票统计!M$4:M$1003,$W109)))</f>
        <v/>
      </c>
      <c r="N109" s="56" t="str">
        <f aca="false">IF($W109="","",N(INDEX(发票统计!N$4:N$1003,$W109)))</f>
        <v/>
      </c>
      <c r="O109" s="56" t="str">
        <f aca="false">IF($W109="","",N(INDEX(发票统计!O$4:O$1003,$W109)))</f>
        <v/>
      </c>
      <c r="P109" s="56" t="str">
        <f aca="false">IF($W109="","",SUM(M$4:M109)-SUM(N$4:N109)-SUM(O$4:O109))</f>
        <v/>
      </c>
      <c r="Q109" s="56" t="str">
        <f aca="false">IF($W109="","",N(INDEX(发票统计!Q$4:Q$1003,$W109)))</f>
        <v/>
      </c>
      <c r="R109" s="56" t="str">
        <f aca="false">IF($W109="","",N(INDEX(发票统计!R$4:R$1003,$W109)))</f>
        <v/>
      </c>
      <c r="S109" s="56" t="str">
        <f aca="false">IF($W109="","",N(INDEX(发票统计!S$4:S$1003,$W109)))</f>
        <v/>
      </c>
      <c r="T109" s="56" t="str">
        <f aca="false">IF($W109="","",SUM(Q$4:Q109)-SUM(R$4:R109)-SUM(S$4:S109))</f>
        <v/>
      </c>
      <c r="U109" s="56" t="str">
        <f aca="false">IF($W109="","",INDEX(发票统计!U$4:U$1003,$W109)&amp;"")</f>
        <v/>
      </c>
      <c r="W109" s="1" t="str">
        <f aca="false">IF($V$3="","",IFERROR(MATCH($V$3&amp;"#"&amp;ROWS(W$4:W109),发票统计!$W$4:$W$1003,0),""))</f>
        <v/>
      </c>
    </row>
    <row r="110" customFormat="false" ht="16.5" hidden="false" customHeight="false" outlineLevel="0" collapsed="false">
      <c r="A110" s="3" t="str">
        <f aca="false">IF($W110="","",INDEX(发票统计!A$4:A$1003,$W110)&amp;"")</f>
        <v/>
      </c>
      <c r="B110" s="3" t="str">
        <f aca="false">IF($W110="","",INDEX(发票统计!B$4:B$1003,$W110)&amp;"")</f>
        <v/>
      </c>
      <c r="C110" s="3" t="str">
        <f aca="false">IF($W110="","",INDEX(发票统计!C$4:C$1003,$W110)&amp;"")</f>
        <v/>
      </c>
      <c r="D110" s="3" t="str">
        <f aca="false">IF($W110="","",INDEX(发票统计!D$4:D$1003,$W110)&amp;"")</f>
        <v/>
      </c>
      <c r="E110" s="67" t="str">
        <f aca="false">IF($W110="","",INDEX(发票统计!E$4:E$1003,$W110)&amp;"")</f>
        <v/>
      </c>
      <c r="F110" s="68" t="str">
        <f aca="false">IF($W110="","",INDEX(发票统计!F$4:F$1003,$W110)&amp;"")</f>
        <v/>
      </c>
      <c r="G110" s="68" t="str">
        <f aca="false">IF($W110="","",IF(INDEX(发票统计!G$4:G$1003,$W110)="","",INDEX(发票统计!G$4:G$1003,$W110)))</f>
        <v/>
      </c>
      <c r="H110" s="56" t="str">
        <f aca="false">IF($W110="","",N(INDEX(发票统计!H$4:H$1003,$W110)))</f>
        <v/>
      </c>
      <c r="I110" s="56" t="str">
        <f aca="false">IF($W110="","",N(INDEX(发票统计!I$4:I$1003,$W110)))</f>
        <v/>
      </c>
      <c r="J110" s="56" t="str">
        <f aca="false">IF($W110="","",N(INDEX(发票统计!J$4:J$1003,$W110)))</f>
        <v/>
      </c>
      <c r="K110" s="56" t="str">
        <f aca="false">IF($W110="","",N(INDEX(发票统计!K$4:K$1003,$W110)))</f>
        <v/>
      </c>
      <c r="L110" s="56" t="str">
        <f aca="false">IF($W110="","",SUM(J$4:J110)-SUM(K$4:K110))</f>
        <v/>
      </c>
      <c r="M110" s="56" t="str">
        <f aca="false">IF($W110="","",N(INDEX(发票统计!M$4:M$1003,$W110)))</f>
        <v/>
      </c>
      <c r="N110" s="56" t="str">
        <f aca="false">IF($W110="","",N(INDEX(发票统计!N$4:N$1003,$W110)))</f>
        <v/>
      </c>
      <c r="O110" s="56" t="str">
        <f aca="false">IF($W110="","",N(INDEX(发票统计!O$4:O$1003,$W110)))</f>
        <v/>
      </c>
      <c r="P110" s="56" t="str">
        <f aca="false">IF($W110="","",SUM(M$4:M110)-SUM(N$4:N110)-SUM(O$4:O110))</f>
        <v/>
      </c>
      <c r="Q110" s="56" t="str">
        <f aca="false">IF($W110="","",N(INDEX(发票统计!Q$4:Q$1003,$W110)))</f>
        <v/>
      </c>
      <c r="R110" s="56" t="str">
        <f aca="false">IF($W110="","",N(INDEX(发票统计!R$4:R$1003,$W110)))</f>
        <v/>
      </c>
      <c r="S110" s="56" t="str">
        <f aca="false">IF($W110="","",N(INDEX(发票统计!S$4:S$1003,$W110)))</f>
        <v/>
      </c>
      <c r="T110" s="56" t="str">
        <f aca="false">IF($W110="","",SUM(Q$4:Q110)-SUM(R$4:R110)-SUM(S$4:S110))</f>
        <v/>
      </c>
      <c r="U110" s="56" t="str">
        <f aca="false">IF($W110="","",INDEX(发票统计!U$4:U$1003,$W110)&amp;"")</f>
        <v/>
      </c>
      <c r="W110" s="1" t="str">
        <f aca="false">IF($V$3="","",IFERROR(MATCH($V$3&amp;"#"&amp;ROWS(W$4:W110),发票统计!$W$4:$W$1003,0),""))</f>
        <v/>
      </c>
    </row>
    <row r="111" customFormat="false" ht="16.5" hidden="false" customHeight="false" outlineLevel="0" collapsed="false">
      <c r="A111" s="3" t="str">
        <f aca="false">IF($W111="","",INDEX(发票统计!A$4:A$1003,$W111)&amp;"")</f>
        <v/>
      </c>
      <c r="B111" s="3" t="str">
        <f aca="false">IF($W111="","",INDEX(发票统计!B$4:B$1003,$W111)&amp;"")</f>
        <v/>
      </c>
      <c r="C111" s="3" t="str">
        <f aca="false">IF($W111="","",INDEX(发票统计!C$4:C$1003,$W111)&amp;"")</f>
        <v/>
      </c>
      <c r="D111" s="3" t="str">
        <f aca="false">IF($W111="","",INDEX(发票统计!D$4:D$1003,$W111)&amp;"")</f>
        <v/>
      </c>
      <c r="E111" s="67" t="str">
        <f aca="false">IF($W111="","",INDEX(发票统计!E$4:E$1003,$W111)&amp;"")</f>
        <v/>
      </c>
      <c r="F111" s="68" t="str">
        <f aca="false">IF($W111="","",INDEX(发票统计!F$4:F$1003,$W111)&amp;"")</f>
        <v/>
      </c>
      <c r="G111" s="68" t="str">
        <f aca="false">IF($W111="","",IF(INDEX(发票统计!G$4:G$1003,$W111)="","",INDEX(发票统计!G$4:G$1003,$W111)))</f>
        <v/>
      </c>
      <c r="H111" s="56" t="str">
        <f aca="false">IF($W111="","",N(INDEX(发票统计!H$4:H$1003,$W111)))</f>
        <v/>
      </c>
      <c r="I111" s="56" t="str">
        <f aca="false">IF($W111="","",N(INDEX(发票统计!I$4:I$1003,$W111)))</f>
        <v/>
      </c>
      <c r="J111" s="56" t="str">
        <f aca="false">IF($W111="","",N(INDEX(发票统计!J$4:J$1003,$W111)))</f>
        <v/>
      </c>
      <c r="K111" s="56" t="str">
        <f aca="false">IF($W111="","",N(INDEX(发票统计!K$4:K$1003,$W111)))</f>
        <v/>
      </c>
      <c r="L111" s="56" t="str">
        <f aca="false">IF($W111="","",SUM(J$4:J111)-SUM(K$4:K111))</f>
        <v/>
      </c>
      <c r="M111" s="56" t="str">
        <f aca="false">IF($W111="","",N(INDEX(发票统计!M$4:M$1003,$W111)))</f>
        <v/>
      </c>
      <c r="N111" s="56" t="str">
        <f aca="false">IF($W111="","",N(INDEX(发票统计!N$4:N$1003,$W111)))</f>
        <v/>
      </c>
      <c r="O111" s="56" t="str">
        <f aca="false">IF($W111="","",N(INDEX(发票统计!O$4:O$1003,$W111)))</f>
        <v/>
      </c>
      <c r="P111" s="56" t="str">
        <f aca="false">IF($W111="","",SUM(M$4:M111)-SUM(N$4:N111)-SUM(O$4:O111))</f>
        <v/>
      </c>
      <c r="Q111" s="56" t="str">
        <f aca="false">IF($W111="","",N(INDEX(发票统计!Q$4:Q$1003,$W111)))</f>
        <v/>
      </c>
      <c r="R111" s="56" t="str">
        <f aca="false">IF($W111="","",N(INDEX(发票统计!R$4:R$1003,$W111)))</f>
        <v/>
      </c>
      <c r="S111" s="56" t="str">
        <f aca="false">IF($W111="","",N(INDEX(发票统计!S$4:S$1003,$W111)))</f>
        <v/>
      </c>
      <c r="T111" s="56" t="str">
        <f aca="false">IF($W111="","",SUM(Q$4:Q111)-SUM(R$4:R111)-SUM(S$4:S111))</f>
        <v/>
      </c>
      <c r="U111" s="56" t="str">
        <f aca="false">IF($W111="","",INDEX(发票统计!U$4:U$1003,$W111)&amp;"")</f>
        <v/>
      </c>
      <c r="W111" s="1" t="str">
        <f aca="false">IF($V$3="","",IFERROR(MATCH($V$3&amp;"#"&amp;ROWS(W$4:W111),发票统计!$W$4:$W$1003,0),""))</f>
        <v/>
      </c>
    </row>
    <row r="112" customFormat="false" ht="16.5" hidden="false" customHeight="false" outlineLevel="0" collapsed="false">
      <c r="A112" s="3" t="str">
        <f aca="false">IF($W112="","",INDEX(发票统计!A$4:A$1003,$W112)&amp;"")</f>
        <v/>
      </c>
      <c r="B112" s="3" t="str">
        <f aca="false">IF($W112="","",INDEX(发票统计!B$4:B$1003,$W112)&amp;"")</f>
        <v/>
      </c>
      <c r="C112" s="3" t="str">
        <f aca="false">IF($W112="","",INDEX(发票统计!C$4:C$1003,$W112)&amp;"")</f>
        <v/>
      </c>
      <c r="D112" s="3" t="str">
        <f aca="false">IF($W112="","",INDEX(发票统计!D$4:D$1003,$W112)&amp;"")</f>
        <v/>
      </c>
      <c r="E112" s="67" t="str">
        <f aca="false">IF($W112="","",INDEX(发票统计!E$4:E$1003,$W112)&amp;"")</f>
        <v/>
      </c>
      <c r="F112" s="68" t="str">
        <f aca="false">IF($W112="","",INDEX(发票统计!F$4:F$1003,$W112)&amp;"")</f>
        <v/>
      </c>
      <c r="G112" s="68" t="str">
        <f aca="false">IF($W112="","",IF(INDEX(发票统计!G$4:G$1003,$W112)="","",INDEX(发票统计!G$4:G$1003,$W112)))</f>
        <v/>
      </c>
      <c r="H112" s="56" t="str">
        <f aca="false">IF($W112="","",N(INDEX(发票统计!H$4:H$1003,$W112)))</f>
        <v/>
      </c>
      <c r="I112" s="56" t="str">
        <f aca="false">IF($W112="","",N(INDEX(发票统计!I$4:I$1003,$W112)))</f>
        <v/>
      </c>
      <c r="J112" s="56" t="str">
        <f aca="false">IF($W112="","",N(INDEX(发票统计!J$4:J$1003,$W112)))</f>
        <v/>
      </c>
      <c r="K112" s="56" t="str">
        <f aca="false">IF($W112="","",N(INDEX(发票统计!K$4:K$1003,$W112)))</f>
        <v/>
      </c>
      <c r="L112" s="56" t="str">
        <f aca="false">IF($W112="","",SUM(J$4:J112)-SUM(K$4:K112))</f>
        <v/>
      </c>
      <c r="M112" s="56" t="str">
        <f aca="false">IF($W112="","",N(INDEX(发票统计!M$4:M$1003,$W112)))</f>
        <v/>
      </c>
      <c r="N112" s="56" t="str">
        <f aca="false">IF($W112="","",N(INDEX(发票统计!N$4:N$1003,$W112)))</f>
        <v/>
      </c>
      <c r="O112" s="56" t="str">
        <f aca="false">IF($W112="","",N(INDEX(发票统计!O$4:O$1003,$W112)))</f>
        <v/>
      </c>
      <c r="P112" s="56" t="str">
        <f aca="false">IF($W112="","",SUM(M$4:M112)-SUM(N$4:N112)-SUM(O$4:O112))</f>
        <v/>
      </c>
      <c r="Q112" s="56" t="str">
        <f aca="false">IF($W112="","",N(INDEX(发票统计!Q$4:Q$1003,$W112)))</f>
        <v/>
      </c>
      <c r="R112" s="56" t="str">
        <f aca="false">IF($W112="","",N(INDEX(发票统计!R$4:R$1003,$W112)))</f>
        <v/>
      </c>
      <c r="S112" s="56" t="str">
        <f aca="false">IF($W112="","",N(INDEX(发票统计!S$4:S$1003,$W112)))</f>
        <v/>
      </c>
      <c r="T112" s="56" t="str">
        <f aca="false">IF($W112="","",SUM(Q$4:Q112)-SUM(R$4:R112)-SUM(S$4:S112))</f>
        <v/>
      </c>
      <c r="U112" s="56" t="str">
        <f aca="false">IF($W112="","",INDEX(发票统计!U$4:U$1003,$W112)&amp;"")</f>
        <v/>
      </c>
      <c r="W112" s="1" t="str">
        <f aca="false">IF($V$3="","",IFERROR(MATCH($V$3&amp;"#"&amp;ROWS(W$4:W112),发票统计!$W$4:$W$1003,0),""))</f>
        <v/>
      </c>
    </row>
    <row r="113" customFormat="false" ht="16.5" hidden="false" customHeight="false" outlineLevel="0" collapsed="false">
      <c r="A113" s="3" t="str">
        <f aca="false">IF($W113="","",INDEX(发票统计!A$4:A$1003,$W113)&amp;"")</f>
        <v/>
      </c>
      <c r="B113" s="3" t="str">
        <f aca="false">IF($W113="","",INDEX(发票统计!B$4:B$1003,$W113)&amp;"")</f>
        <v/>
      </c>
      <c r="C113" s="3" t="str">
        <f aca="false">IF($W113="","",INDEX(发票统计!C$4:C$1003,$W113)&amp;"")</f>
        <v/>
      </c>
      <c r="D113" s="3" t="str">
        <f aca="false">IF($W113="","",INDEX(发票统计!D$4:D$1003,$W113)&amp;"")</f>
        <v/>
      </c>
      <c r="E113" s="67" t="str">
        <f aca="false">IF($W113="","",INDEX(发票统计!E$4:E$1003,$W113)&amp;"")</f>
        <v/>
      </c>
      <c r="F113" s="68" t="str">
        <f aca="false">IF($W113="","",INDEX(发票统计!F$4:F$1003,$W113)&amp;"")</f>
        <v/>
      </c>
      <c r="G113" s="68" t="str">
        <f aca="false">IF($W113="","",IF(INDEX(发票统计!G$4:G$1003,$W113)="","",INDEX(发票统计!G$4:G$1003,$W113)))</f>
        <v/>
      </c>
      <c r="H113" s="56" t="str">
        <f aca="false">IF($W113="","",N(INDEX(发票统计!H$4:H$1003,$W113)))</f>
        <v/>
      </c>
      <c r="I113" s="56" t="str">
        <f aca="false">IF($W113="","",N(INDEX(发票统计!I$4:I$1003,$W113)))</f>
        <v/>
      </c>
      <c r="J113" s="56" t="str">
        <f aca="false">IF($W113="","",N(INDEX(发票统计!J$4:J$1003,$W113)))</f>
        <v/>
      </c>
      <c r="K113" s="56" t="str">
        <f aca="false">IF($W113="","",N(INDEX(发票统计!K$4:K$1003,$W113)))</f>
        <v/>
      </c>
      <c r="L113" s="56" t="str">
        <f aca="false">IF($W113="","",SUM(J$4:J113)-SUM(K$4:K113))</f>
        <v/>
      </c>
      <c r="M113" s="56" t="str">
        <f aca="false">IF($W113="","",N(INDEX(发票统计!M$4:M$1003,$W113)))</f>
        <v/>
      </c>
      <c r="N113" s="56" t="str">
        <f aca="false">IF($W113="","",N(INDEX(发票统计!N$4:N$1003,$W113)))</f>
        <v/>
      </c>
      <c r="O113" s="56" t="str">
        <f aca="false">IF($W113="","",N(INDEX(发票统计!O$4:O$1003,$W113)))</f>
        <v/>
      </c>
      <c r="P113" s="56" t="str">
        <f aca="false">IF($W113="","",SUM(M$4:M113)-SUM(N$4:N113)-SUM(O$4:O113))</f>
        <v/>
      </c>
      <c r="Q113" s="56" t="str">
        <f aca="false">IF($W113="","",N(INDEX(发票统计!Q$4:Q$1003,$W113)))</f>
        <v/>
      </c>
      <c r="R113" s="56" t="str">
        <f aca="false">IF($W113="","",N(INDEX(发票统计!R$4:R$1003,$W113)))</f>
        <v/>
      </c>
      <c r="S113" s="56" t="str">
        <f aca="false">IF($W113="","",N(INDEX(发票统计!S$4:S$1003,$W113)))</f>
        <v/>
      </c>
      <c r="T113" s="56" t="str">
        <f aca="false">IF($W113="","",SUM(Q$4:Q113)-SUM(R$4:R113)-SUM(S$4:S113))</f>
        <v/>
      </c>
      <c r="U113" s="56" t="str">
        <f aca="false">IF($W113="","",INDEX(发票统计!U$4:U$1003,$W113)&amp;"")</f>
        <v/>
      </c>
      <c r="W113" s="1" t="str">
        <f aca="false">IF($V$3="","",IFERROR(MATCH($V$3&amp;"#"&amp;ROWS(W$4:W113),发票统计!$W$4:$W$1003,0),""))</f>
        <v/>
      </c>
    </row>
    <row r="114" customFormat="false" ht="16.5" hidden="false" customHeight="false" outlineLevel="0" collapsed="false">
      <c r="A114" s="3" t="str">
        <f aca="false">IF($W114="","",INDEX(发票统计!A$4:A$1003,$W114)&amp;"")</f>
        <v/>
      </c>
      <c r="B114" s="3" t="str">
        <f aca="false">IF($W114="","",INDEX(发票统计!B$4:B$1003,$W114)&amp;"")</f>
        <v/>
      </c>
      <c r="C114" s="3" t="str">
        <f aca="false">IF($W114="","",INDEX(发票统计!C$4:C$1003,$W114)&amp;"")</f>
        <v/>
      </c>
      <c r="D114" s="3" t="str">
        <f aca="false">IF($W114="","",INDEX(发票统计!D$4:D$1003,$W114)&amp;"")</f>
        <v/>
      </c>
      <c r="E114" s="67" t="str">
        <f aca="false">IF($W114="","",INDEX(发票统计!E$4:E$1003,$W114)&amp;"")</f>
        <v/>
      </c>
      <c r="F114" s="68" t="str">
        <f aca="false">IF($W114="","",INDEX(发票统计!F$4:F$1003,$W114)&amp;"")</f>
        <v/>
      </c>
      <c r="G114" s="68" t="str">
        <f aca="false">IF($W114="","",IF(INDEX(发票统计!G$4:G$1003,$W114)="","",INDEX(发票统计!G$4:G$1003,$W114)))</f>
        <v/>
      </c>
      <c r="H114" s="56" t="str">
        <f aca="false">IF($W114="","",N(INDEX(发票统计!H$4:H$1003,$W114)))</f>
        <v/>
      </c>
      <c r="I114" s="56" t="str">
        <f aca="false">IF($W114="","",N(INDEX(发票统计!I$4:I$1003,$W114)))</f>
        <v/>
      </c>
      <c r="J114" s="56" t="str">
        <f aca="false">IF($W114="","",N(INDEX(发票统计!J$4:J$1003,$W114)))</f>
        <v/>
      </c>
      <c r="K114" s="56" t="str">
        <f aca="false">IF($W114="","",N(INDEX(发票统计!K$4:K$1003,$W114)))</f>
        <v/>
      </c>
      <c r="L114" s="56" t="str">
        <f aca="false">IF($W114="","",SUM(J$4:J114)-SUM(K$4:K114))</f>
        <v/>
      </c>
      <c r="M114" s="56" t="str">
        <f aca="false">IF($W114="","",N(INDEX(发票统计!M$4:M$1003,$W114)))</f>
        <v/>
      </c>
      <c r="N114" s="56" t="str">
        <f aca="false">IF($W114="","",N(INDEX(发票统计!N$4:N$1003,$W114)))</f>
        <v/>
      </c>
      <c r="O114" s="56" t="str">
        <f aca="false">IF($W114="","",N(INDEX(发票统计!O$4:O$1003,$W114)))</f>
        <v/>
      </c>
      <c r="P114" s="56" t="str">
        <f aca="false">IF($W114="","",SUM(M$4:M114)-SUM(N$4:N114)-SUM(O$4:O114))</f>
        <v/>
      </c>
      <c r="Q114" s="56" t="str">
        <f aca="false">IF($W114="","",N(INDEX(发票统计!Q$4:Q$1003,$W114)))</f>
        <v/>
      </c>
      <c r="R114" s="56" t="str">
        <f aca="false">IF($W114="","",N(INDEX(发票统计!R$4:R$1003,$W114)))</f>
        <v/>
      </c>
      <c r="S114" s="56" t="str">
        <f aca="false">IF($W114="","",N(INDEX(发票统计!S$4:S$1003,$W114)))</f>
        <v/>
      </c>
      <c r="T114" s="56" t="str">
        <f aca="false">IF($W114="","",SUM(Q$4:Q114)-SUM(R$4:R114)-SUM(S$4:S114))</f>
        <v/>
      </c>
      <c r="U114" s="56" t="str">
        <f aca="false">IF($W114="","",INDEX(发票统计!U$4:U$1003,$W114)&amp;"")</f>
        <v/>
      </c>
      <c r="W114" s="1" t="str">
        <f aca="false">IF($V$3="","",IFERROR(MATCH($V$3&amp;"#"&amp;ROWS(W$4:W114),发票统计!$W$4:$W$1003,0),""))</f>
        <v/>
      </c>
    </row>
    <row r="115" customFormat="false" ht="16.5" hidden="false" customHeight="false" outlineLevel="0" collapsed="false">
      <c r="A115" s="3" t="str">
        <f aca="false">IF($W115="","",INDEX(发票统计!A$4:A$1003,$W115)&amp;"")</f>
        <v/>
      </c>
      <c r="B115" s="3" t="str">
        <f aca="false">IF($W115="","",INDEX(发票统计!B$4:B$1003,$W115)&amp;"")</f>
        <v/>
      </c>
      <c r="C115" s="3" t="str">
        <f aca="false">IF($W115="","",INDEX(发票统计!C$4:C$1003,$W115)&amp;"")</f>
        <v/>
      </c>
      <c r="D115" s="3" t="str">
        <f aca="false">IF($W115="","",INDEX(发票统计!D$4:D$1003,$W115)&amp;"")</f>
        <v/>
      </c>
      <c r="E115" s="67" t="str">
        <f aca="false">IF($W115="","",INDEX(发票统计!E$4:E$1003,$W115)&amp;"")</f>
        <v/>
      </c>
      <c r="F115" s="68" t="str">
        <f aca="false">IF($W115="","",INDEX(发票统计!F$4:F$1003,$W115)&amp;"")</f>
        <v/>
      </c>
      <c r="G115" s="68" t="str">
        <f aca="false">IF($W115="","",IF(INDEX(发票统计!G$4:G$1003,$W115)="","",INDEX(发票统计!G$4:G$1003,$W115)))</f>
        <v/>
      </c>
      <c r="H115" s="56" t="str">
        <f aca="false">IF($W115="","",N(INDEX(发票统计!H$4:H$1003,$W115)))</f>
        <v/>
      </c>
      <c r="I115" s="56" t="str">
        <f aca="false">IF($W115="","",N(INDEX(发票统计!I$4:I$1003,$W115)))</f>
        <v/>
      </c>
      <c r="J115" s="56" t="str">
        <f aca="false">IF($W115="","",N(INDEX(发票统计!J$4:J$1003,$W115)))</f>
        <v/>
      </c>
      <c r="K115" s="56" t="str">
        <f aca="false">IF($W115="","",N(INDEX(发票统计!K$4:K$1003,$W115)))</f>
        <v/>
      </c>
      <c r="L115" s="56" t="str">
        <f aca="false">IF($W115="","",SUM(J$4:J115)-SUM(K$4:K115))</f>
        <v/>
      </c>
      <c r="M115" s="56" t="str">
        <f aca="false">IF($W115="","",N(INDEX(发票统计!M$4:M$1003,$W115)))</f>
        <v/>
      </c>
      <c r="N115" s="56" t="str">
        <f aca="false">IF($W115="","",N(INDEX(发票统计!N$4:N$1003,$W115)))</f>
        <v/>
      </c>
      <c r="O115" s="56" t="str">
        <f aca="false">IF($W115="","",N(INDEX(发票统计!O$4:O$1003,$W115)))</f>
        <v/>
      </c>
      <c r="P115" s="56" t="str">
        <f aca="false">IF($W115="","",SUM(M$4:M115)-SUM(N$4:N115)-SUM(O$4:O115))</f>
        <v/>
      </c>
      <c r="Q115" s="56" t="str">
        <f aca="false">IF($W115="","",N(INDEX(发票统计!Q$4:Q$1003,$W115)))</f>
        <v/>
      </c>
      <c r="R115" s="56" t="str">
        <f aca="false">IF($W115="","",N(INDEX(发票统计!R$4:R$1003,$W115)))</f>
        <v/>
      </c>
      <c r="S115" s="56" t="str">
        <f aca="false">IF($W115="","",N(INDEX(发票统计!S$4:S$1003,$W115)))</f>
        <v/>
      </c>
      <c r="T115" s="56" t="str">
        <f aca="false">IF($W115="","",SUM(Q$4:Q115)-SUM(R$4:R115)-SUM(S$4:S115))</f>
        <v/>
      </c>
      <c r="U115" s="56" t="str">
        <f aca="false">IF($W115="","",INDEX(发票统计!U$4:U$1003,$W115)&amp;"")</f>
        <v/>
      </c>
      <c r="W115" s="1" t="str">
        <f aca="false">IF($V$3="","",IFERROR(MATCH($V$3&amp;"#"&amp;ROWS(W$4:W115),发票统计!$W$4:$W$1003,0),""))</f>
        <v/>
      </c>
    </row>
    <row r="116" customFormat="false" ht="16.5" hidden="false" customHeight="false" outlineLevel="0" collapsed="false">
      <c r="A116" s="3" t="str">
        <f aca="false">IF($W116="","",INDEX(发票统计!A$4:A$1003,$W116)&amp;"")</f>
        <v/>
      </c>
      <c r="B116" s="3" t="str">
        <f aca="false">IF($W116="","",INDEX(发票统计!B$4:B$1003,$W116)&amp;"")</f>
        <v/>
      </c>
      <c r="C116" s="3" t="str">
        <f aca="false">IF($W116="","",INDEX(发票统计!C$4:C$1003,$W116)&amp;"")</f>
        <v/>
      </c>
      <c r="D116" s="3" t="str">
        <f aca="false">IF($W116="","",INDEX(发票统计!D$4:D$1003,$W116)&amp;"")</f>
        <v/>
      </c>
      <c r="E116" s="67" t="str">
        <f aca="false">IF($W116="","",INDEX(发票统计!E$4:E$1003,$W116)&amp;"")</f>
        <v/>
      </c>
      <c r="F116" s="68" t="str">
        <f aca="false">IF($W116="","",INDEX(发票统计!F$4:F$1003,$W116)&amp;"")</f>
        <v/>
      </c>
      <c r="G116" s="68" t="str">
        <f aca="false">IF($W116="","",IF(INDEX(发票统计!G$4:G$1003,$W116)="","",INDEX(发票统计!G$4:G$1003,$W116)))</f>
        <v/>
      </c>
      <c r="H116" s="56" t="str">
        <f aca="false">IF($W116="","",N(INDEX(发票统计!H$4:H$1003,$W116)))</f>
        <v/>
      </c>
      <c r="I116" s="56" t="str">
        <f aca="false">IF($W116="","",N(INDEX(发票统计!I$4:I$1003,$W116)))</f>
        <v/>
      </c>
      <c r="J116" s="56" t="str">
        <f aca="false">IF($W116="","",N(INDEX(发票统计!J$4:J$1003,$W116)))</f>
        <v/>
      </c>
      <c r="K116" s="56" t="str">
        <f aca="false">IF($W116="","",N(INDEX(发票统计!K$4:K$1003,$W116)))</f>
        <v/>
      </c>
      <c r="L116" s="56" t="str">
        <f aca="false">IF($W116="","",SUM(J$4:J116)-SUM(K$4:K116))</f>
        <v/>
      </c>
      <c r="M116" s="56" t="str">
        <f aca="false">IF($W116="","",N(INDEX(发票统计!M$4:M$1003,$W116)))</f>
        <v/>
      </c>
      <c r="N116" s="56" t="str">
        <f aca="false">IF($W116="","",N(INDEX(发票统计!N$4:N$1003,$W116)))</f>
        <v/>
      </c>
      <c r="O116" s="56" t="str">
        <f aca="false">IF($W116="","",N(INDEX(发票统计!O$4:O$1003,$W116)))</f>
        <v/>
      </c>
      <c r="P116" s="56" t="str">
        <f aca="false">IF($W116="","",SUM(M$4:M116)-SUM(N$4:N116)-SUM(O$4:O116))</f>
        <v/>
      </c>
      <c r="Q116" s="56" t="str">
        <f aca="false">IF($W116="","",N(INDEX(发票统计!Q$4:Q$1003,$W116)))</f>
        <v/>
      </c>
      <c r="R116" s="56" t="str">
        <f aca="false">IF($W116="","",N(INDEX(发票统计!R$4:R$1003,$W116)))</f>
        <v/>
      </c>
      <c r="S116" s="56" t="str">
        <f aca="false">IF($W116="","",N(INDEX(发票统计!S$4:S$1003,$W116)))</f>
        <v/>
      </c>
      <c r="T116" s="56" t="str">
        <f aca="false">IF($W116="","",SUM(Q$4:Q116)-SUM(R$4:R116)-SUM(S$4:S116))</f>
        <v/>
      </c>
      <c r="U116" s="56" t="str">
        <f aca="false">IF($W116="","",INDEX(发票统计!U$4:U$1003,$W116)&amp;"")</f>
        <v/>
      </c>
      <c r="W116" s="1" t="str">
        <f aca="false">IF($V$3="","",IFERROR(MATCH($V$3&amp;"#"&amp;ROWS(W$4:W116),发票统计!$W$4:$W$1003,0),""))</f>
        <v/>
      </c>
    </row>
    <row r="117" customFormat="false" ht="16.5" hidden="false" customHeight="false" outlineLevel="0" collapsed="false">
      <c r="A117" s="3" t="str">
        <f aca="false">IF($W117="","",INDEX(发票统计!A$4:A$1003,$W117)&amp;"")</f>
        <v/>
      </c>
      <c r="B117" s="3" t="str">
        <f aca="false">IF($W117="","",INDEX(发票统计!B$4:B$1003,$W117)&amp;"")</f>
        <v/>
      </c>
      <c r="C117" s="3" t="str">
        <f aca="false">IF($W117="","",INDEX(发票统计!C$4:C$1003,$W117)&amp;"")</f>
        <v/>
      </c>
      <c r="D117" s="3" t="str">
        <f aca="false">IF($W117="","",INDEX(发票统计!D$4:D$1003,$W117)&amp;"")</f>
        <v/>
      </c>
      <c r="E117" s="67" t="str">
        <f aca="false">IF($W117="","",INDEX(发票统计!E$4:E$1003,$W117)&amp;"")</f>
        <v/>
      </c>
      <c r="F117" s="68" t="str">
        <f aca="false">IF($W117="","",INDEX(发票统计!F$4:F$1003,$W117)&amp;"")</f>
        <v/>
      </c>
      <c r="G117" s="68" t="str">
        <f aca="false">IF($W117="","",IF(INDEX(发票统计!G$4:G$1003,$W117)="","",INDEX(发票统计!G$4:G$1003,$W117)))</f>
        <v/>
      </c>
      <c r="H117" s="56" t="str">
        <f aca="false">IF($W117="","",N(INDEX(发票统计!H$4:H$1003,$W117)))</f>
        <v/>
      </c>
      <c r="I117" s="56" t="str">
        <f aca="false">IF($W117="","",N(INDEX(发票统计!I$4:I$1003,$W117)))</f>
        <v/>
      </c>
      <c r="J117" s="56" t="str">
        <f aca="false">IF($W117="","",N(INDEX(发票统计!J$4:J$1003,$W117)))</f>
        <v/>
      </c>
      <c r="K117" s="56" t="str">
        <f aca="false">IF($W117="","",N(INDEX(发票统计!K$4:K$1003,$W117)))</f>
        <v/>
      </c>
      <c r="L117" s="56" t="str">
        <f aca="false">IF($W117="","",SUM(J$4:J117)-SUM(K$4:K117))</f>
        <v/>
      </c>
      <c r="M117" s="56" t="str">
        <f aca="false">IF($W117="","",N(INDEX(发票统计!M$4:M$1003,$W117)))</f>
        <v/>
      </c>
      <c r="N117" s="56" t="str">
        <f aca="false">IF($W117="","",N(INDEX(发票统计!N$4:N$1003,$W117)))</f>
        <v/>
      </c>
      <c r="O117" s="56" t="str">
        <f aca="false">IF($W117="","",N(INDEX(发票统计!O$4:O$1003,$W117)))</f>
        <v/>
      </c>
      <c r="P117" s="56" t="str">
        <f aca="false">IF($W117="","",SUM(M$4:M117)-SUM(N$4:N117)-SUM(O$4:O117))</f>
        <v/>
      </c>
      <c r="Q117" s="56" t="str">
        <f aca="false">IF($W117="","",N(INDEX(发票统计!Q$4:Q$1003,$W117)))</f>
        <v/>
      </c>
      <c r="R117" s="56" t="str">
        <f aca="false">IF($W117="","",N(INDEX(发票统计!R$4:R$1003,$W117)))</f>
        <v/>
      </c>
      <c r="S117" s="56" t="str">
        <f aca="false">IF($W117="","",N(INDEX(发票统计!S$4:S$1003,$W117)))</f>
        <v/>
      </c>
      <c r="T117" s="56" t="str">
        <f aca="false">IF($W117="","",SUM(Q$4:Q117)-SUM(R$4:R117)-SUM(S$4:S117))</f>
        <v/>
      </c>
      <c r="U117" s="56" t="str">
        <f aca="false">IF($W117="","",INDEX(发票统计!U$4:U$1003,$W117)&amp;"")</f>
        <v/>
      </c>
      <c r="W117" s="1" t="str">
        <f aca="false">IF($V$3="","",IFERROR(MATCH($V$3&amp;"#"&amp;ROWS(W$4:W117),发票统计!$W$4:$W$1003,0),""))</f>
        <v/>
      </c>
    </row>
    <row r="118" customFormat="false" ht="16.5" hidden="false" customHeight="false" outlineLevel="0" collapsed="false">
      <c r="A118" s="3" t="str">
        <f aca="false">IF($W118="","",INDEX(发票统计!A$4:A$1003,$W118)&amp;"")</f>
        <v/>
      </c>
      <c r="B118" s="3" t="str">
        <f aca="false">IF($W118="","",INDEX(发票统计!B$4:B$1003,$W118)&amp;"")</f>
        <v/>
      </c>
      <c r="C118" s="3" t="str">
        <f aca="false">IF($W118="","",INDEX(发票统计!C$4:C$1003,$W118)&amp;"")</f>
        <v/>
      </c>
      <c r="D118" s="3" t="str">
        <f aca="false">IF($W118="","",INDEX(发票统计!D$4:D$1003,$W118)&amp;"")</f>
        <v/>
      </c>
      <c r="E118" s="67" t="str">
        <f aca="false">IF($W118="","",INDEX(发票统计!E$4:E$1003,$W118)&amp;"")</f>
        <v/>
      </c>
      <c r="F118" s="68" t="str">
        <f aca="false">IF($W118="","",INDEX(发票统计!F$4:F$1003,$W118)&amp;"")</f>
        <v/>
      </c>
      <c r="G118" s="68" t="str">
        <f aca="false">IF($W118="","",IF(INDEX(发票统计!G$4:G$1003,$W118)="","",INDEX(发票统计!G$4:G$1003,$W118)))</f>
        <v/>
      </c>
      <c r="H118" s="56" t="str">
        <f aca="false">IF($W118="","",N(INDEX(发票统计!H$4:H$1003,$W118)))</f>
        <v/>
      </c>
      <c r="I118" s="56" t="str">
        <f aca="false">IF($W118="","",N(INDEX(发票统计!I$4:I$1003,$W118)))</f>
        <v/>
      </c>
      <c r="J118" s="56" t="str">
        <f aca="false">IF($W118="","",N(INDEX(发票统计!J$4:J$1003,$W118)))</f>
        <v/>
      </c>
      <c r="K118" s="56" t="str">
        <f aca="false">IF($W118="","",N(INDEX(发票统计!K$4:K$1003,$W118)))</f>
        <v/>
      </c>
      <c r="L118" s="56" t="str">
        <f aca="false">IF($W118="","",SUM(J$4:J118)-SUM(K$4:K118))</f>
        <v/>
      </c>
      <c r="M118" s="56" t="str">
        <f aca="false">IF($W118="","",N(INDEX(发票统计!M$4:M$1003,$W118)))</f>
        <v/>
      </c>
      <c r="N118" s="56" t="str">
        <f aca="false">IF($W118="","",N(INDEX(发票统计!N$4:N$1003,$W118)))</f>
        <v/>
      </c>
      <c r="O118" s="56" t="str">
        <f aca="false">IF($W118="","",N(INDEX(发票统计!O$4:O$1003,$W118)))</f>
        <v/>
      </c>
      <c r="P118" s="56" t="str">
        <f aca="false">IF($W118="","",SUM(M$4:M118)-SUM(N$4:N118)-SUM(O$4:O118))</f>
        <v/>
      </c>
      <c r="Q118" s="56" t="str">
        <f aca="false">IF($W118="","",N(INDEX(发票统计!Q$4:Q$1003,$W118)))</f>
        <v/>
      </c>
      <c r="R118" s="56" t="str">
        <f aca="false">IF($W118="","",N(INDEX(发票统计!R$4:R$1003,$W118)))</f>
        <v/>
      </c>
      <c r="S118" s="56" t="str">
        <f aca="false">IF($W118="","",N(INDEX(发票统计!S$4:S$1003,$W118)))</f>
        <v/>
      </c>
      <c r="T118" s="56" t="str">
        <f aca="false">IF($W118="","",SUM(Q$4:Q118)-SUM(R$4:R118)-SUM(S$4:S118))</f>
        <v/>
      </c>
      <c r="U118" s="56" t="str">
        <f aca="false">IF($W118="","",INDEX(发票统计!U$4:U$1003,$W118)&amp;"")</f>
        <v/>
      </c>
      <c r="W118" s="1" t="str">
        <f aca="false">IF($V$3="","",IFERROR(MATCH($V$3&amp;"#"&amp;ROWS(W$4:W118),发票统计!$W$4:$W$1003,0),""))</f>
        <v/>
      </c>
    </row>
    <row r="119" customFormat="false" ht="16.5" hidden="false" customHeight="false" outlineLevel="0" collapsed="false">
      <c r="A119" s="3" t="str">
        <f aca="false">IF($W119="","",INDEX(发票统计!A$4:A$1003,$W119)&amp;"")</f>
        <v/>
      </c>
      <c r="B119" s="3" t="str">
        <f aca="false">IF($W119="","",INDEX(发票统计!B$4:B$1003,$W119)&amp;"")</f>
        <v/>
      </c>
      <c r="C119" s="3" t="str">
        <f aca="false">IF($W119="","",INDEX(发票统计!C$4:C$1003,$W119)&amp;"")</f>
        <v/>
      </c>
      <c r="D119" s="3" t="str">
        <f aca="false">IF($W119="","",INDEX(发票统计!D$4:D$1003,$W119)&amp;"")</f>
        <v/>
      </c>
      <c r="E119" s="67" t="str">
        <f aca="false">IF($W119="","",INDEX(发票统计!E$4:E$1003,$W119)&amp;"")</f>
        <v/>
      </c>
      <c r="F119" s="68" t="str">
        <f aca="false">IF($W119="","",INDEX(发票统计!F$4:F$1003,$W119)&amp;"")</f>
        <v/>
      </c>
      <c r="G119" s="68" t="str">
        <f aca="false">IF($W119="","",IF(INDEX(发票统计!G$4:G$1003,$W119)="","",INDEX(发票统计!G$4:G$1003,$W119)))</f>
        <v/>
      </c>
      <c r="H119" s="56" t="str">
        <f aca="false">IF($W119="","",N(INDEX(发票统计!H$4:H$1003,$W119)))</f>
        <v/>
      </c>
      <c r="I119" s="56" t="str">
        <f aca="false">IF($W119="","",N(INDEX(发票统计!I$4:I$1003,$W119)))</f>
        <v/>
      </c>
      <c r="J119" s="56" t="str">
        <f aca="false">IF($W119="","",N(INDEX(发票统计!J$4:J$1003,$W119)))</f>
        <v/>
      </c>
      <c r="K119" s="56" t="str">
        <f aca="false">IF($W119="","",N(INDEX(发票统计!K$4:K$1003,$W119)))</f>
        <v/>
      </c>
      <c r="L119" s="56" t="str">
        <f aca="false">IF($W119="","",SUM(J$4:J119)-SUM(K$4:K119))</f>
        <v/>
      </c>
      <c r="M119" s="56" t="str">
        <f aca="false">IF($W119="","",N(INDEX(发票统计!M$4:M$1003,$W119)))</f>
        <v/>
      </c>
      <c r="N119" s="56" t="str">
        <f aca="false">IF($W119="","",N(INDEX(发票统计!N$4:N$1003,$W119)))</f>
        <v/>
      </c>
      <c r="O119" s="56" t="str">
        <f aca="false">IF($W119="","",N(INDEX(发票统计!O$4:O$1003,$W119)))</f>
        <v/>
      </c>
      <c r="P119" s="56" t="str">
        <f aca="false">IF($W119="","",SUM(M$4:M119)-SUM(N$4:N119)-SUM(O$4:O119))</f>
        <v/>
      </c>
      <c r="Q119" s="56" t="str">
        <f aca="false">IF($W119="","",N(INDEX(发票统计!Q$4:Q$1003,$W119)))</f>
        <v/>
      </c>
      <c r="R119" s="56" t="str">
        <f aca="false">IF($W119="","",N(INDEX(发票统计!R$4:R$1003,$W119)))</f>
        <v/>
      </c>
      <c r="S119" s="56" t="str">
        <f aca="false">IF($W119="","",N(INDEX(发票统计!S$4:S$1003,$W119)))</f>
        <v/>
      </c>
      <c r="T119" s="56" t="str">
        <f aca="false">IF($W119="","",SUM(Q$4:Q119)-SUM(R$4:R119)-SUM(S$4:S119))</f>
        <v/>
      </c>
      <c r="U119" s="56" t="str">
        <f aca="false">IF($W119="","",INDEX(发票统计!U$4:U$1003,$W119)&amp;"")</f>
        <v/>
      </c>
      <c r="W119" s="1" t="str">
        <f aca="false">IF($V$3="","",IFERROR(MATCH($V$3&amp;"#"&amp;ROWS(W$4:W119),发票统计!$W$4:$W$1003,0),""))</f>
        <v/>
      </c>
    </row>
    <row r="120" customFormat="false" ht="16.5" hidden="false" customHeight="false" outlineLevel="0" collapsed="false">
      <c r="A120" s="3" t="str">
        <f aca="false">IF($W120="","",INDEX(发票统计!A$4:A$1003,$W120)&amp;"")</f>
        <v/>
      </c>
      <c r="B120" s="3" t="str">
        <f aca="false">IF($W120="","",INDEX(发票统计!B$4:B$1003,$W120)&amp;"")</f>
        <v/>
      </c>
      <c r="C120" s="3" t="str">
        <f aca="false">IF($W120="","",INDEX(发票统计!C$4:C$1003,$W120)&amp;"")</f>
        <v/>
      </c>
      <c r="D120" s="3" t="str">
        <f aca="false">IF($W120="","",INDEX(发票统计!D$4:D$1003,$W120)&amp;"")</f>
        <v/>
      </c>
      <c r="E120" s="67" t="str">
        <f aca="false">IF($W120="","",INDEX(发票统计!E$4:E$1003,$W120)&amp;"")</f>
        <v/>
      </c>
      <c r="F120" s="68" t="str">
        <f aca="false">IF($W120="","",INDEX(发票统计!F$4:F$1003,$W120)&amp;"")</f>
        <v/>
      </c>
      <c r="G120" s="68" t="str">
        <f aca="false">IF($W120="","",IF(INDEX(发票统计!G$4:G$1003,$W120)="","",INDEX(发票统计!G$4:G$1003,$W120)))</f>
        <v/>
      </c>
      <c r="H120" s="56" t="str">
        <f aca="false">IF($W120="","",N(INDEX(发票统计!H$4:H$1003,$W120)))</f>
        <v/>
      </c>
      <c r="I120" s="56" t="str">
        <f aca="false">IF($W120="","",N(INDEX(发票统计!I$4:I$1003,$W120)))</f>
        <v/>
      </c>
      <c r="J120" s="56" t="str">
        <f aca="false">IF($W120="","",N(INDEX(发票统计!J$4:J$1003,$W120)))</f>
        <v/>
      </c>
      <c r="K120" s="56" t="str">
        <f aca="false">IF($W120="","",N(INDEX(发票统计!K$4:K$1003,$W120)))</f>
        <v/>
      </c>
      <c r="L120" s="56" t="str">
        <f aca="false">IF($W120="","",SUM(J$4:J120)-SUM(K$4:K120))</f>
        <v/>
      </c>
      <c r="M120" s="56" t="str">
        <f aca="false">IF($W120="","",N(INDEX(发票统计!M$4:M$1003,$W120)))</f>
        <v/>
      </c>
      <c r="N120" s="56" t="str">
        <f aca="false">IF($W120="","",N(INDEX(发票统计!N$4:N$1003,$W120)))</f>
        <v/>
      </c>
      <c r="O120" s="56" t="str">
        <f aca="false">IF($W120="","",N(INDEX(发票统计!O$4:O$1003,$W120)))</f>
        <v/>
      </c>
      <c r="P120" s="56" t="str">
        <f aca="false">IF($W120="","",SUM(M$4:M120)-SUM(N$4:N120)-SUM(O$4:O120))</f>
        <v/>
      </c>
      <c r="Q120" s="56" t="str">
        <f aca="false">IF($W120="","",N(INDEX(发票统计!Q$4:Q$1003,$W120)))</f>
        <v/>
      </c>
      <c r="R120" s="56" t="str">
        <f aca="false">IF($W120="","",N(INDEX(发票统计!R$4:R$1003,$W120)))</f>
        <v/>
      </c>
      <c r="S120" s="56" t="str">
        <f aca="false">IF($W120="","",N(INDEX(发票统计!S$4:S$1003,$W120)))</f>
        <v/>
      </c>
      <c r="T120" s="56" t="str">
        <f aca="false">IF($W120="","",SUM(Q$4:Q120)-SUM(R$4:R120)-SUM(S$4:S120))</f>
        <v/>
      </c>
      <c r="U120" s="56" t="str">
        <f aca="false">IF($W120="","",INDEX(发票统计!U$4:U$1003,$W120)&amp;"")</f>
        <v/>
      </c>
      <c r="W120" s="1" t="str">
        <f aca="false">IF($V$3="","",IFERROR(MATCH($V$3&amp;"#"&amp;ROWS(W$4:W120),发票统计!$W$4:$W$1003,0),""))</f>
        <v/>
      </c>
    </row>
    <row r="121" customFormat="false" ht="16.5" hidden="false" customHeight="false" outlineLevel="0" collapsed="false">
      <c r="A121" s="3" t="str">
        <f aca="false">IF($W121="","",INDEX(发票统计!A$4:A$1003,$W121)&amp;"")</f>
        <v/>
      </c>
      <c r="B121" s="3" t="str">
        <f aca="false">IF($W121="","",INDEX(发票统计!B$4:B$1003,$W121)&amp;"")</f>
        <v/>
      </c>
      <c r="C121" s="3" t="str">
        <f aca="false">IF($W121="","",INDEX(发票统计!C$4:C$1003,$W121)&amp;"")</f>
        <v/>
      </c>
      <c r="D121" s="3" t="str">
        <f aca="false">IF($W121="","",INDEX(发票统计!D$4:D$1003,$W121)&amp;"")</f>
        <v/>
      </c>
      <c r="E121" s="67" t="str">
        <f aca="false">IF($W121="","",INDEX(发票统计!E$4:E$1003,$W121)&amp;"")</f>
        <v/>
      </c>
      <c r="F121" s="68" t="str">
        <f aca="false">IF($W121="","",INDEX(发票统计!F$4:F$1003,$W121)&amp;"")</f>
        <v/>
      </c>
      <c r="G121" s="68" t="str">
        <f aca="false">IF($W121="","",IF(INDEX(发票统计!G$4:G$1003,$W121)="","",INDEX(发票统计!G$4:G$1003,$W121)))</f>
        <v/>
      </c>
      <c r="H121" s="56" t="str">
        <f aca="false">IF($W121="","",N(INDEX(发票统计!H$4:H$1003,$W121)))</f>
        <v/>
      </c>
      <c r="I121" s="56" t="str">
        <f aca="false">IF($W121="","",N(INDEX(发票统计!I$4:I$1003,$W121)))</f>
        <v/>
      </c>
      <c r="J121" s="56" t="str">
        <f aca="false">IF($W121="","",N(INDEX(发票统计!J$4:J$1003,$W121)))</f>
        <v/>
      </c>
      <c r="K121" s="56" t="str">
        <f aca="false">IF($W121="","",N(INDEX(发票统计!K$4:K$1003,$W121)))</f>
        <v/>
      </c>
      <c r="L121" s="56" t="str">
        <f aca="false">IF($W121="","",SUM(J$4:J121)-SUM(K$4:K121))</f>
        <v/>
      </c>
      <c r="M121" s="56" t="str">
        <f aca="false">IF($W121="","",N(INDEX(发票统计!M$4:M$1003,$W121)))</f>
        <v/>
      </c>
      <c r="N121" s="56" t="str">
        <f aca="false">IF($W121="","",N(INDEX(发票统计!N$4:N$1003,$W121)))</f>
        <v/>
      </c>
      <c r="O121" s="56" t="str">
        <f aca="false">IF($W121="","",N(INDEX(发票统计!O$4:O$1003,$W121)))</f>
        <v/>
      </c>
      <c r="P121" s="56" t="str">
        <f aca="false">IF($W121="","",SUM(M$4:M121)-SUM(N$4:N121)-SUM(O$4:O121))</f>
        <v/>
      </c>
      <c r="Q121" s="56" t="str">
        <f aca="false">IF($W121="","",N(INDEX(发票统计!Q$4:Q$1003,$W121)))</f>
        <v/>
      </c>
      <c r="R121" s="56" t="str">
        <f aca="false">IF($W121="","",N(INDEX(发票统计!R$4:R$1003,$W121)))</f>
        <v/>
      </c>
      <c r="S121" s="56" t="str">
        <f aca="false">IF($W121="","",N(INDEX(发票统计!S$4:S$1003,$W121)))</f>
        <v/>
      </c>
      <c r="T121" s="56" t="str">
        <f aca="false">IF($W121="","",SUM(Q$4:Q121)-SUM(R$4:R121)-SUM(S$4:S121))</f>
        <v/>
      </c>
      <c r="U121" s="56" t="str">
        <f aca="false">IF($W121="","",INDEX(发票统计!U$4:U$1003,$W121)&amp;"")</f>
        <v/>
      </c>
      <c r="W121" s="1" t="str">
        <f aca="false">IF($V$3="","",IFERROR(MATCH($V$3&amp;"#"&amp;ROWS(W$4:W121),发票统计!$W$4:$W$1003,0),""))</f>
        <v/>
      </c>
    </row>
    <row r="122" customFormat="false" ht="16.5" hidden="false" customHeight="false" outlineLevel="0" collapsed="false">
      <c r="A122" s="3" t="str">
        <f aca="false">IF($W122="","",INDEX(发票统计!A$4:A$1003,$W122)&amp;"")</f>
        <v/>
      </c>
      <c r="B122" s="3" t="str">
        <f aca="false">IF($W122="","",INDEX(发票统计!B$4:B$1003,$W122)&amp;"")</f>
        <v/>
      </c>
      <c r="C122" s="3" t="str">
        <f aca="false">IF($W122="","",INDEX(发票统计!C$4:C$1003,$W122)&amp;"")</f>
        <v/>
      </c>
      <c r="D122" s="3" t="str">
        <f aca="false">IF($W122="","",INDEX(发票统计!D$4:D$1003,$W122)&amp;"")</f>
        <v/>
      </c>
      <c r="E122" s="67" t="str">
        <f aca="false">IF($W122="","",INDEX(发票统计!E$4:E$1003,$W122)&amp;"")</f>
        <v/>
      </c>
      <c r="F122" s="68" t="str">
        <f aca="false">IF($W122="","",INDEX(发票统计!F$4:F$1003,$W122)&amp;"")</f>
        <v/>
      </c>
      <c r="G122" s="68" t="str">
        <f aca="false">IF($W122="","",IF(INDEX(发票统计!G$4:G$1003,$W122)="","",INDEX(发票统计!G$4:G$1003,$W122)))</f>
        <v/>
      </c>
      <c r="H122" s="56" t="str">
        <f aca="false">IF($W122="","",N(INDEX(发票统计!H$4:H$1003,$W122)))</f>
        <v/>
      </c>
      <c r="I122" s="56" t="str">
        <f aca="false">IF($W122="","",N(INDEX(发票统计!I$4:I$1003,$W122)))</f>
        <v/>
      </c>
      <c r="J122" s="56" t="str">
        <f aca="false">IF($W122="","",N(INDEX(发票统计!J$4:J$1003,$W122)))</f>
        <v/>
      </c>
      <c r="K122" s="56" t="str">
        <f aca="false">IF($W122="","",N(INDEX(发票统计!K$4:K$1003,$W122)))</f>
        <v/>
      </c>
      <c r="L122" s="56" t="str">
        <f aca="false">IF($W122="","",SUM(J$4:J122)-SUM(K$4:K122))</f>
        <v/>
      </c>
      <c r="M122" s="56" t="str">
        <f aca="false">IF($W122="","",N(INDEX(发票统计!M$4:M$1003,$W122)))</f>
        <v/>
      </c>
      <c r="N122" s="56" t="str">
        <f aca="false">IF($W122="","",N(INDEX(发票统计!N$4:N$1003,$W122)))</f>
        <v/>
      </c>
      <c r="O122" s="56" t="str">
        <f aca="false">IF($W122="","",N(INDEX(发票统计!O$4:O$1003,$W122)))</f>
        <v/>
      </c>
      <c r="P122" s="56" t="str">
        <f aca="false">IF($W122="","",SUM(M$4:M122)-SUM(N$4:N122)-SUM(O$4:O122))</f>
        <v/>
      </c>
      <c r="Q122" s="56" t="str">
        <f aca="false">IF($W122="","",N(INDEX(发票统计!Q$4:Q$1003,$W122)))</f>
        <v/>
      </c>
      <c r="R122" s="56" t="str">
        <f aca="false">IF($W122="","",N(INDEX(发票统计!R$4:R$1003,$W122)))</f>
        <v/>
      </c>
      <c r="S122" s="56" t="str">
        <f aca="false">IF($W122="","",N(INDEX(发票统计!S$4:S$1003,$W122)))</f>
        <v/>
      </c>
      <c r="T122" s="56" t="str">
        <f aca="false">IF($W122="","",SUM(Q$4:Q122)-SUM(R$4:R122)-SUM(S$4:S122))</f>
        <v/>
      </c>
      <c r="U122" s="56" t="str">
        <f aca="false">IF($W122="","",INDEX(发票统计!U$4:U$1003,$W122)&amp;"")</f>
        <v/>
      </c>
      <c r="W122" s="1" t="str">
        <f aca="false">IF($V$3="","",IFERROR(MATCH($V$3&amp;"#"&amp;ROWS(W$4:W122),发票统计!$W$4:$W$1003,0),""))</f>
        <v/>
      </c>
    </row>
    <row r="123" customFormat="false" ht="16.5" hidden="false" customHeight="false" outlineLevel="0" collapsed="false">
      <c r="A123" s="3" t="str">
        <f aca="false">IF($W123="","",INDEX(发票统计!A$4:A$1003,$W123)&amp;"")</f>
        <v/>
      </c>
      <c r="B123" s="3" t="str">
        <f aca="false">IF($W123="","",INDEX(发票统计!B$4:B$1003,$W123)&amp;"")</f>
        <v/>
      </c>
      <c r="C123" s="3" t="str">
        <f aca="false">IF($W123="","",INDEX(发票统计!C$4:C$1003,$W123)&amp;"")</f>
        <v/>
      </c>
      <c r="D123" s="3" t="str">
        <f aca="false">IF($W123="","",INDEX(发票统计!D$4:D$1003,$W123)&amp;"")</f>
        <v/>
      </c>
      <c r="E123" s="67" t="str">
        <f aca="false">IF($W123="","",INDEX(发票统计!E$4:E$1003,$W123)&amp;"")</f>
        <v/>
      </c>
      <c r="F123" s="68" t="str">
        <f aca="false">IF($W123="","",INDEX(发票统计!F$4:F$1003,$W123)&amp;"")</f>
        <v/>
      </c>
      <c r="G123" s="68" t="str">
        <f aca="false">IF($W123="","",IF(INDEX(发票统计!G$4:G$1003,$W123)="","",INDEX(发票统计!G$4:G$1003,$W123)))</f>
        <v/>
      </c>
      <c r="H123" s="56" t="str">
        <f aca="false">IF($W123="","",N(INDEX(发票统计!H$4:H$1003,$W123)))</f>
        <v/>
      </c>
      <c r="I123" s="56" t="str">
        <f aca="false">IF($W123="","",N(INDEX(发票统计!I$4:I$1003,$W123)))</f>
        <v/>
      </c>
      <c r="J123" s="56" t="str">
        <f aca="false">IF($W123="","",N(INDEX(发票统计!J$4:J$1003,$W123)))</f>
        <v/>
      </c>
      <c r="K123" s="56" t="str">
        <f aca="false">IF($W123="","",N(INDEX(发票统计!K$4:K$1003,$W123)))</f>
        <v/>
      </c>
      <c r="L123" s="56" t="str">
        <f aca="false">IF($W123="","",SUM(J$4:J123)-SUM(K$4:K123))</f>
        <v/>
      </c>
      <c r="M123" s="56" t="str">
        <f aca="false">IF($W123="","",N(INDEX(发票统计!M$4:M$1003,$W123)))</f>
        <v/>
      </c>
      <c r="N123" s="56" t="str">
        <f aca="false">IF($W123="","",N(INDEX(发票统计!N$4:N$1003,$W123)))</f>
        <v/>
      </c>
      <c r="O123" s="56" t="str">
        <f aca="false">IF($W123="","",N(INDEX(发票统计!O$4:O$1003,$W123)))</f>
        <v/>
      </c>
      <c r="P123" s="56" t="str">
        <f aca="false">IF($W123="","",SUM(M$4:M123)-SUM(N$4:N123)-SUM(O$4:O123))</f>
        <v/>
      </c>
      <c r="Q123" s="56" t="str">
        <f aca="false">IF($W123="","",N(INDEX(发票统计!Q$4:Q$1003,$W123)))</f>
        <v/>
      </c>
      <c r="R123" s="56" t="str">
        <f aca="false">IF($W123="","",N(INDEX(发票统计!R$4:R$1003,$W123)))</f>
        <v/>
      </c>
      <c r="S123" s="56" t="str">
        <f aca="false">IF($W123="","",N(INDEX(发票统计!S$4:S$1003,$W123)))</f>
        <v/>
      </c>
      <c r="T123" s="56" t="str">
        <f aca="false">IF($W123="","",SUM(Q$4:Q123)-SUM(R$4:R123)-SUM(S$4:S123))</f>
        <v/>
      </c>
      <c r="U123" s="56" t="str">
        <f aca="false">IF($W123="","",INDEX(发票统计!U$4:U$1003,$W123)&amp;"")</f>
        <v/>
      </c>
      <c r="W123" s="1" t="str">
        <f aca="false">IF($V$3="","",IFERROR(MATCH($V$3&amp;"#"&amp;ROWS(W$4:W123),发票统计!$W$4:$W$1003,0),""))</f>
        <v/>
      </c>
    </row>
    <row r="124" customFormat="false" ht="16.5" hidden="false" customHeight="false" outlineLevel="0" collapsed="false">
      <c r="A124" s="3" t="str">
        <f aca="false">IF($W124="","",INDEX(发票统计!A$4:A$1003,$W124)&amp;"")</f>
        <v/>
      </c>
      <c r="B124" s="3" t="str">
        <f aca="false">IF($W124="","",INDEX(发票统计!B$4:B$1003,$W124)&amp;"")</f>
        <v/>
      </c>
      <c r="C124" s="3" t="str">
        <f aca="false">IF($W124="","",INDEX(发票统计!C$4:C$1003,$W124)&amp;"")</f>
        <v/>
      </c>
      <c r="D124" s="3" t="str">
        <f aca="false">IF($W124="","",INDEX(发票统计!D$4:D$1003,$W124)&amp;"")</f>
        <v/>
      </c>
      <c r="E124" s="67" t="str">
        <f aca="false">IF($W124="","",INDEX(发票统计!E$4:E$1003,$W124)&amp;"")</f>
        <v/>
      </c>
      <c r="F124" s="68" t="str">
        <f aca="false">IF($W124="","",INDEX(发票统计!F$4:F$1003,$W124)&amp;"")</f>
        <v/>
      </c>
      <c r="G124" s="68" t="str">
        <f aca="false">IF($W124="","",IF(INDEX(发票统计!G$4:G$1003,$W124)="","",INDEX(发票统计!G$4:G$1003,$W124)))</f>
        <v/>
      </c>
      <c r="H124" s="56" t="str">
        <f aca="false">IF($W124="","",N(INDEX(发票统计!H$4:H$1003,$W124)))</f>
        <v/>
      </c>
      <c r="I124" s="56" t="str">
        <f aca="false">IF($W124="","",N(INDEX(发票统计!I$4:I$1003,$W124)))</f>
        <v/>
      </c>
      <c r="J124" s="56" t="str">
        <f aca="false">IF($W124="","",N(INDEX(发票统计!J$4:J$1003,$W124)))</f>
        <v/>
      </c>
      <c r="K124" s="56" t="str">
        <f aca="false">IF($W124="","",N(INDEX(发票统计!K$4:K$1003,$W124)))</f>
        <v/>
      </c>
      <c r="L124" s="56" t="str">
        <f aca="false">IF($W124="","",SUM(J$4:J124)-SUM(K$4:K124))</f>
        <v/>
      </c>
      <c r="M124" s="56" t="str">
        <f aca="false">IF($W124="","",N(INDEX(发票统计!M$4:M$1003,$W124)))</f>
        <v/>
      </c>
      <c r="N124" s="56" t="str">
        <f aca="false">IF($W124="","",N(INDEX(发票统计!N$4:N$1003,$W124)))</f>
        <v/>
      </c>
      <c r="O124" s="56" t="str">
        <f aca="false">IF($W124="","",N(INDEX(发票统计!O$4:O$1003,$W124)))</f>
        <v/>
      </c>
      <c r="P124" s="56" t="str">
        <f aca="false">IF($W124="","",SUM(M$4:M124)-SUM(N$4:N124)-SUM(O$4:O124))</f>
        <v/>
      </c>
      <c r="Q124" s="56" t="str">
        <f aca="false">IF($W124="","",N(INDEX(发票统计!Q$4:Q$1003,$W124)))</f>
        <v/>
      </c>
      <c r="R124" s="56" t="str">
        <f aca="false">IF($W124="","",N(INDEX(发票统计!R$4:R$1003,$W124)))</f>
        <v/>
      </c>
      <c r="S124" s="56" t="str">
        <f aca="false">IF($W124="","",N(INDEX(发票统计!S$4:S$1003,$W124)))</f>
        <v/>
      </c>
      <c r="T124" s="56" t="str">
        <f aca="false">IF($W124="","",SUM(Q$4:Q124)-SUM(R$4:R124)-SUM(S$4:S124))</f>
        <v/>
      </c>
      <c r="U124" s="56" t="str">
        <f aca="false">IF($W124="","",INDEX(发票统计!U$4:U$1003,$W124)&amp;"")</f>
        <v/>
      </c>
      <c r="W124" s="1" t="str">
        <f aca="false">IF($V$3="","",IFERROR(MATCH($V$3&amp;"#"&amp;ROWS(W$4:W124),发票统计!$W$4:$W$1003,0),""))</f>
        <v/>
      </c>
    </row>
    <row r="125" customFormat="false" ht="16.5" hidden="false" customHeight="false" outlineLevel="0" collapsed="false">
      <c r="A125" s="3" t="str">
        <f aca="false">IF($W125="","",INDEX(发票统计!A$4:A$1003,$W125)&amp;"")</f>
        <v/>
      </c>
      <c r="B125" s="3" t="str">
        <f aca="false">IF($W125="","",INDEX(发票统计!B$4:B$1003,$W125)&amp;"")</f>
        <v/>
      </c>
      <c r="C125" s="3" t="str">
        <f aca="false">IF($W125="","",INDEX(发票统计!C$4:C$1003,$W125)&amp;"")</f>
        <v/>
      </c>
      <c r="D125" s="3" t="str">
        <f aca="false">IF($W125="","",INDEX(发票统计!D$4:D$1003,$W125)&amp;"")</f>
        <v/>
      </c>
      <c r="E125" s="67" t="str">
        <f aca="false">IF($W125="","",INDEX(发票统计!E$4:E$1003,$W125)&amp;"")</f>
        <v/>
      </c>
      <c r="F125" s="68" t="str">
        <f aca="false">IF($W125="","",INDEX(发票统计!F$4:F$1003,$W125)&amp;"")</f>
        <v/>
      </c>
      <c r="G125" s="68" t="str">
        <f aca="false">IF($W125="","",IF(INDEX(发票统计!G$4:G$1003,$W125)="","",INDEX(发票统计!G$4:G$1003,$W125)))</f>
        <v/>
      </c>
      <c r="H125" s="56" t="str">
        <f aca="false">IF($W125="","",N(INDEX(发票统计!H$4:H$1003,$W125)))</f>
        <v/>
      </c>
      <c r="I125" s="56" t="str">
        <f aca="false">IF($W125="","",N(INDEX(发票统计!I$4:I$1003,$W125)))</f>
        <v/>
      </c>
      <c r="J125" s="56" t="str">
        <f aca="false">IF($W125="","",N(INDEX(发票统计!J$4:J$1003,$W125)))</f>
        <v/>
      </c>
      <c r="K125" s="56" t="str">
        <f aca="false">IF($W125="","",N(INDEX(发票统计!K$4:K$1003,$W125)))</f>
        <v/>
      </c>
      <c r="L125" s="56" t="str">
        <f aca="false">IF($W125="","",SUM(J$4:J125)-SUM(K$4:K125))</f>
        <v/>
      </c>
      <c r="M125" s="56" t="str">
        <f aca="false">IF($W125="","",N(INDEX(发票统计!M$4:M$1003,$W125)))</f>
        <v/>
      </c>
      <c r="N125" s="56" t="str">
        <f aca="false">IF($W125="","",N(INDEX(发票统计!N$4:N$1003,$W125)))</f>
        <v/>
      </c>
      <c r="O125" s="56" t="str">
        <f aca="false">IF($W125="","",N(INDEX(发票统计!O$4:O$1003,$W125)))</f>
        <v/>
      </c>
      <c r="P125" s="56" t="str">
        <f aca="false">IF($W125="","",SUM(M$4:M125)-SUM(N$4:N125)-SUM(O$4:O125))</f>
        <v/>
      </c>
      <c r="Q125" s="56" t="str">
        <f aca="false">IF($W125="","",N(INDEX(发票统计!Q$4:Q$1003,$W125)))</f>
        <v/>
      </c>
      <c r="R125" s="56" t="str">
        <f aca="false">IF($W125="","",N(INDEX(发票统计!R$4:R$1003,$W125)))</f>
        <v/>
      </c>
      <c r="S125" s="56" t="str">
        <f aca="false">IF($W125="","",N(INDEX(发票统计!S$4:S$1003,$W125)))</f>
        <v/>
      </c>
      <c r="T125" s="56" t="str">
        <f aca="false">IF($W125="","",SUM(Q$4:Q125)-SUM(R$4:R125)-SUM(S$4:S125))</f>
        <v/>
      </c>
      <c r="U125" s="56" t="str">
        <f aca="false">IF($W125="","",INDEX(发票统计!U$4:U$1003,$W125)&amp;"")</f>
        <v/>
      </c>
      <c r="W125" s="1" t="str">
        <f aca="false">IF($V$3="","",IFERROR(MATCH($V$3&amp;"#"&amp;ROWS(W$4:W125),发票统计!$W$4:$W$1003,0),""))</f>
        <v/>
      </c>
    </row>
    <row r="126" customFormat="false" ht="16.5" hidden="false" customHeight="false" outlineLevel="0" collapsed="false">
      <c r="A126" s="3" t="str">
        <f aca="false">IF($W126="","",INDEX(发票统计!A$4:A$1003,$W126)&amp;"")</f>
        <v/>
      </c>
      <c r="B126" s="3" t="str">
        <f aca="false">IF($W126="","",INDEX(发票统计!B$4:B$1003,$W126)&amp;"")</f>
        <v/>
      </c>
      <c r="C126" s="3" t="str">
        <f aca="false">IF($W126="","",INDEX(发票统计!C$4:C$1003,$W126)&amp;"")</f>
        <v/>
      </c>
      <c r="D126" s="3" t="str">
        <f aca="false">IF($W126="","",INDEX(发票统计!D$4:D$1003,$W126)&amp;"")</f>
        <v/>
      </c>
      <c r="E126" s="67" t="str">
        <f aca="false">IF($W126="","",INDEX(发票统计!E$4:E$1003,$W126)&amp;"")</f>
        <v/>
      </c>
      <c r="F126" s="68" t="str">
        <f aca="false">IF($W126="","",INDEX(发票统计!F$4:F$1003,$W126)&amp;"")</f>
        <v/>
      </c>
      <c r="G126" s="68" t="str">
        <f aca="false">IF($W126="","",IF(INDEX(发票统计!G$4:G$1003,$W126)="","",INDEX(发票统计!G$4:G$1003,$W126)))</f>
        <v/>
      </c>
      <c r="H126" s="56" t="str">
        <f aca="false">IF($W126="","",N(INDEX(发票统计!H$4:H$1003,$W126)))</f>
        <v/>
      </c>
      <c r="I126" s="56" t="str">
        <f aca="false">IF($W126="","",N(INDEX(发票统计!I$4:I$1003,$W126)))</f>
        <v/>
      </c>
      <c r="J126" s="56" t="str">
        <f aca="false">IF($W126="","",N(INDEX(发票统计!J$4:J$1003,$W126)))</f>
        <v/>
      </c>
      <c r="K126" s="56" t="str">
        <f aca="false">IF($W126="","",N(INDEX(发票统计!K$4:K$1003,$W126)))</f>
        <v/>
      </c>
      <c r="L126" s="56" t="str">
        <f aca="false">IF($W126="","",SUM(J$4:J126)-SUM(K$4:K126))</f>
        <v/>
      </c>
      <c r="M126" s="56" t="str">
        <f aca="false">IF($W126="","",N(INDEX(发票统计!M$4:M$1003,$W126)))</f>
        <v/>
      </c>
      <c r="N126" s="56" t="str">
        <f aca="false">IF($W126="","",N(INDEX(发票统计!N$4:N$1003,$W126)))</f>
        <v/>
      </c>
      <c r="O126" s="56" t="str">
        <f aca="false">IF($W126="","",N(INDEX(发票统计!O$4:O$1003,$W126)))</f>
        <v/>
      </c>
      <c r="P126" s="56" t="str">
        <f aca="false">IF($W126="","",SUM(M$4:M126)-SUM(N$4:N126)-SUM(O$4:O126))</f>
        <v/>
      </c>
      <c r="Q126" s="56" t="str">
        <f aca="false">IF($W126="","",N(INDEX(发票统计!Q$4:Q$1003,$W126)))</f>
        <v/>
      </c>
      <c r="R126" s="56" t="str">
        <f aca="false">IF($W126="","",N(INDEX(发票统计!R$4:R$1003,$W126)))</f>
        <v/>
      </c>
      <c r="S126" s="56" t="str">
        <f aca="false">IF($W126="","",N(INDEX(发票统计!S$4:S$1003,$W126)))</f>
        <v/>
      </c>
      <c r="T126" s="56" t="str">
        <f aca="false">IF($W126="","",SUM(Q$4:Q126)-SUM(R$4:R126)-SUM(S$4:S126))</f>
        <v/>
      </c>
      <c r="U126" s="56" t="str">
        <f aca="false">IF($W126="","",INDEX(发票统计!U$4:U$1003,$W126)&amp;"")</f>
        <v/>
      </c>
      <c r="W126" s="1" t="str">
        <f aca="false">IF($V$3="","",IFERROR(MATCH($V$3&amp;"#"&amp;ROWS(W$4:W126),发票统计!$W$4:$W$1003,0),""))</f>
        <v/>
      </c>
    </row>
    <row r="127" customFormat="false" ht="16.5" hidden="false" customHeight="false" outlineLevel="0" collapsed="false">
      <c r="A127" s="3" t="str">
        <f aca="false">IF($W127="","",INDEX(发票统计!A$4:A$1003,$W127)&amp;"")</f>
        <v/>
      </c>
      <c r="B127" s="3" t="str">
        <f aca="false">IF($W127="","",INDEX(发票统计!B$4:B$1003,$W127)&amp;"")</f>
        <v/>
      </c>
      <c r="C127" s="3" t="str">
        <f aca="false">IF($W127="","",INDEX(发票统计!C$4:C$1003,$W127)&amp;"")</f>
        <v/>
      </c>
      <c r="D127" s="3" t="str">
        <f aca="false">IF($W127="","",INDEX(发票统计!D$4:D$1003,$W127)&amp;"")</f>
        <v/>
      </c>
      <c r="E127" s="67" t="str">
        <f aca="false">IF($W127="","",INDEX(发票统计!E$4:E$1003,$W127)&amp;"")</f>
        <v/>
      </c>
      <c r="F127" s="68" t="str">
        <f aca="false">IF($W127="","",INDEX(发票统计!F$4:F$1003,$W127)&amp;"")</f>
        <v/>
      </c>
      <c r="G127" s="68" t="str">
        <f aca="false">IF($W127="","",IF(INDEX(发票统计!G$4:G$1003,$W127)="","",INDEX(发票统计!G$4:G$1003,$W127)))</f>
        <v/>
      </c>
      <c r="H127" s="56" t="str">
        <f aca="false">IF($W127="","",N(INDEX(发票统计!H$4:H$1003,$W127)))</f>
        <v/>
      </c>
      <c r="I127" s="56" t="str">
        <f aca="false">IF($W127="","",N(INDEX(发票统计!I$4:I$1003,$W127)))</f>
        <v/>
      </c>
      <c r="J127" s="56" t="str">
        <f aca="false">IF($W127="","",N(INDEX(发票统计!J$4:J$1003,$W127)))</f>
        <v/>
      </c>
      <c r="K127" s="56" t="str">
        <f aca="false">IF($W127="","",N(INDEX(发票统计!K$4:K$1003,$W127)))</f>
        <v/>
      </c>
      <c r="L127" s="56" t="str">
        <f aca="false">IF($W127="","",SUM(J$4:J127)-SUM(K$4:K127))</f>
        <v/>
      </c>
      <c r="M127" s="56" t="str">
        <f aca="false">IF($W127="","",N(INDEX(发票统计!M$4:M$1003,$W127)))</f>
        <v/>
      </c>
      <c r="N127" s="56" t="str">
        <f aca="false">IF($W127="","",N(INDEX(发票统计!N$4:N$1003,$W127)))</f>
        <v/>
      </c>
      <c r="O127" s="56" t="str">
        <f aca="false">IF($W127="","",N(INDEX(发票统计!O$4:O$1003,$W127)))</f>
        <v/>
      </c>
      <c r="P127" s="56" t="str">
        <f aca="false">IF($W127="","",SUM(M$4:M127)-SUM(N$4:N127)-SUM(O$4:O127))</f>
        <v/>
      </c>
      <c r="Q127" s="56" t="str">
        <f aca="false">IF($W127="","",N(INDEX(发票统计!Q$4:Q$1003,$W127)))</f>
        <v/>
      </c>
      <c r="R127" s="56" t="str">
        <f aca="false">IF($W127="","",N(INDEX(发票统计!R$4:R$1003,$W127)))</f>
        <v/>
      </c>
      <c r="S127" s="56" t="str">
        <f aca="false">IF($W127="","",N(INDEX(发票统计!S$4:S$1003,$W127)))</f>
        <v/>
      </c>
      <c r="T127" s="56" t="str">
        <f aca="false">IF($W127="","",SUM(Q$4:Q127)-SUM(R$4:R127)-SUM(S$4:S127))</f>
        <v/>
      </c>
      <c r="U127" s="56" t="str">
        <f aca="false">IF($W127="","",INDEX(发票统计!U$4:U$1003,$W127)&amp;"")</f>
        <v/>
      </c>
      <c r="W127" s="1" t="str">
        <f aca="false">IF($V$3="","",IFERROR(MATCH($V$3&amp;"#"&amp;ROWS(W$4:W127),发票统计!$W$4:$W$1003,0),""))</f>
        <v/>
      </c>
    </row>
    <row r="128" customFormat="false" ht="16.5" hidden="false" customHeight="false" outlineLevel="0" collapsed="false">
      <c r="A128" s="3" t="str">
        <f aca="false">IF($W128="","",INDEX(发票统计!A$4:A$1003,$W128)&amp;"")</f>
        <v/>
      </c>
      <c r="B128" s="3" t="str">
        <f aca="false">IF($W128="","",INDEX(发票统计!B$4:B$1003,$W128)&amp;"")</f>
        <v/>
      </c>
      <c r="C128" s="3" t="str">
        <f aca="false">IF($W128="","",INDEX(发票统计!C$4:C$1003,$W128)&amp;"")</f>
        <v/>
      </c>
      <c r="D128" s="3" t="str">
        <f aca="false">IF($W128="","",INDEX(发票统计!D$4:D$1003,$W128)&amp;"")</f>
        <v/>
      </c>
      <c r="E128" s="67" t="str">
        <f aca="false">IF($W128="","",INDEX(发票统计!E$4:E$1003,$W128)&amp;"")</f>
        <v/>
      </c>
      <c r="F128" s="68" t="str">
        <f aca="false">IF($W128="","",INDEX(发票统计!F$4:F$1003,$W128)&amp;"")</f>
        <v/>
      </c>
      <c r="G128" s="68" t="str">
        <f aca="false">IF($W128="","",IF(INDEX(发票统计!G$4:G$1003,$W128)="","",INDEX(发票统计!G$4:G$1003,$W128)))</f>
        <v/>
      </c>
      <c r="H128" s="56" t="str">
        <f aca="false">IF($W128="","",N(INDEX(发票统计!H$4:H$1003,$W128)))</f>
        <v/>
      </c>
      <c r="I128" s="56" t="str">
        <f aca="false">IF($W128="","",N(INDEX(发票统计!I$4:I$1003,$W128)))</f>
        <v/>
      </c>
      <c r="J128" s="56" t="str">
        <f aca="false">IF($W128="","",N(INDEX(发票统计!J$4:J$1003,$W128)))</f>
        <v/>
      </c>
      <c r="K128" s="56" t="str">
        <f aca="false">IF($W128="","",N(INDEX(发票统计!K$4:K$1003,$W128)))</f>
        <v/>
      </c>
      <c r="L128" s="56" t="str">
        <f aca="false">IF($W128="","",SUM(J$4:J128)-SUM(K$4:K128))</f>
        <v/>
      </c>
      <c r="M128" s="56" t="str">
        <f aca="false">IF($W128="","",N(INDEX(发票统计!M$4:M$1003,$W128)))</f>
        <v/>
      </c>
      <c r="N128" s="56" t="str">
        <f aca="false">IF($W128="","",N(INDEX(发票统计!N$4:N$1003,$W128)))</f>
        <v/>
      </c>
      <c r="O128" s="56" t="str">
        <f aca="false">IF($W128="","",N(INDEX(发票统计!O$4:O$1003,$W128)))</f>
        <v/>
      </c>
      <c r="P128" s="56" t="str">
        <f aca="false">IF($W128="","",SUM(M$4:M128)-SUM(N$4:N128)-SUM(O$4:O128))</f>
        <v/>
      </c>
      <c r="Q128" s="56" t="str">
        <f aca="false">IF($W128="","",N(INDEX(发票统计!Q$4:Q$1003,$W128)))</f>
        <v/>
      </c>
      <c r="R128" s="56" t="str">
        <f aca="false">IF($W128="","",N(INDEX(发票统计!R$4:R$1003,$W128)))</f>
        <v/>
      </c>
      <c r="S128" s="56" t="str">
        <f aca="false">IF($W128="","",N(INDEX(发票统计!S$4:S$1003,$W128)))</f>
        <v/>
      </c>
      <c r="T128" s="56" t="str">
        <f aca="false">IF($W128="","",SUM(Q$4:Q128)-SUM(R$4:R128)-SUM(S$4:S128))</f>
        <v/>
      </c>
      <c r="U128" s="56" t="str">
        <f aca="false">IF($W128="","",INDEX(发票统计!U$4:U$1003,$W128)&amp;"")</f>
        <v/>
      </c>
      <c r="W128" s="1" t="str">
        <f aca="false">IF($V$3="","",IFERROR(MATCH($V$3&amp;"#"&amp;ROWS(W$4:W128),发票统计!$W$4:$W$1003,0),""))</f>
        <v/>
      </c>
    </row>
    <row r="129" customFormat="false" ht="16.5" hidden="false" customHeight="false" outlineLevel="0" collapsed="false">
      <c r="A129" s="3" t="str">
        <f aca="false">IF($W129="","",INDEX(发票统计!A$4:A$1003,$W129)&amp;"")</f>
        <v/>
      </c>
      <c r="B129" s="3" t="str">
        <f aca="false">IF($W129="","",INDEX(发票统计!B$4:B$1003,$W129)&amp;"")</f>
        <v/>
      </c>
      <c r="C129" s="3" t="str">
        <f aca="false">IF($W129="","",INDEX(发票统计!C$4:C$1003,$W129)&amp;"")</f>
        <v/>
      </c>
      <c r="D129" s="3" t="str">
        <f aca="false">IF($W129="","",INDEX(发票统计!D$4:D$1003,$W129)&amp;"")</f>
        <v/>
      </c>
      <c r="E129" s="67" t="str">
        <f aca="false">IF($W129="","",INDEX(发票统计!E$4:E$1003,$W129)&amp;"")</f>
        <v/>
      </c>
      <c r="F129" s="68" t="str">
        <f aca="false">IF($W129="","",INDEX(发票统计!F$4:F$1003,$W129)&amp;"")</f>
        <v/>
      </c>
      <c r="G129" s="68" t="str">
        <f aca="false">IF($W129="","",IF(INDEX(发票统计!G$4:G$1003,$W129)="","",INDEX(发票统计!G$4:G$1003,$W129)))</f>
        <v/>
      </c>
      <c r="H129" s="56" t="str">
        <f aca="false">IF($W129="","",N(INDEX(发票统计!H$4:H$1003,$W129)))</f>
        <v/>
      </c>
      <c r="I129" s="56" t="str">
        <f aca="false">IF($W129="","",N(INDEX(发票统计!I$4:I$1003,$W129)))</f>
        <v/>
      </c>
      <c r="J129" s="56" t="str">
        <f aca="false">IF($W129="","",N(INDEX(发票统计!J$4:J$1003,$W129)))</f>
        <v/>
      </c>
      <c r="K129" s="56" t="str">
        <f aca="false">IF($W129="","",N(INDEX(发票统计!K$4:K$1003,$W129)))</f>
        <v/>
      </c>
      <c r="L129" s="56" t="str">
        <f aca="false">IF($W129="","",SUM(J$4:J129)-SUM(K$4:K129))</f>
        <v/>
      </c>
      <c r="M129" s="56" t="str">
        <f aca="false">IF($W129="","",N(INDEX(发票统计!M$4:M$1003,$W129)))</f>
        <v/>
      </c>
      <c r="N129" s="56" t="str">
        <f aca="false">IF($W129="","",N(INDEX(发票统计!N$4:N$1003,$W129)))</f>
        <v/>
      </c>
      <c r="O129" s="56" t="str">
        <f aca="false">IF($W129="","",N(INDEX(发票统计!O$4:O$1003,$W129)))</f>
        <v/>
      </c>
      <c r="P129" s="56" t="str">
        <f aca="false">IF($W129="","",SUM(M$4:M129)-SUM(N$4:N129)-SUM(O$4:O129))</f>
        <v/>
      </c>
      <c r="Q129" s="56" t="str">
        <f aca="false">IF($W129="","",N(INDEX(发票统计!Q$4:Q$1003,$W129)))</f>
        <v/>
      </c>
      <c r="R129" s="56" t="str">
        <f aca="false">IF($W129="","",N(INDEX(发票统计!R$4:R$1003,$W129)))</f>
        <v/>
      </c>
      <c r="S129" s="56" t="str">
        <f aca="false">IF($W129="","",N(INDEX(发票统计!S$4:S$1003,$W129)))</f>
        <v/>
      </c>
      <c r="T129" s="56" t="str">
        <f aca="false">IF($W129="","",SUM(Q$4:Q129)-SUM(R$4:R129)-SUM(S$4:S129))</f>
        <v/>
      </c>
      <c r="U129" s="56" t="str">
        <f aca="false">IF($W129="","",INDEX(发票统计!U$4:U$1003,$W129)&amp;"")</f>
        <v/>
      </c>
      <c r="W129" s="1" t="str">
        <f aca="false">IF($V$3="","",IFERROR(MATCH($V$3&amp;"#"&amp;ROWS(W$4:W129),发票统计!$W$4:$W$1003,0),""))</f>
        <v/>
      </c>
    </row>
    <row r="130" customFormat="false" ht="16.5" hidden="false" customHeight="false" outlineLevel="0" collapsed="false">
      <c r="A130" s="3" t="str">
        <f aca="false">IF($W130="","",INDEX(发票统计!A$4:A$1003,$W130)&amp;"")</f>
        <v/>
      </c>
      <c r="B130" s="3" t="str">
        <f aca="false">IF($W130="","",INDEX(发票统计!B$4:B$1003,$W130)&amp;"")</f>
        <v/>
      </c>
      <c r="C130" s="3" t="str">
        <f aca="false">IF($W130="","",INDEX(发票统计!C$4:C$1003,$W130)&amp;"")</f>
        <v/>
      </c>
      <c r="D130" s="3" t="str">
        <f aca="false">IF($W130="","",INDEX(发票统计!D$4:D$1003,$W130)&amp;"")</f>
        <v/>
      </c>
      <c r="E130" s="67" t="str">
        <f aca="false">IF($W130="","",INDEX(发票统计!E$4:E$1003,$W130)&amp;"")</f>
        <v/>
      </c>
      <c r="F130" s="68" t="str">
        <f aca="false">IF($W130="","",INDEX(发票统计!F$4:F$1003,$W130)&amp;"")</f>
        <v/>
      </c>
      <c r="G130" s="68" t="str">
        <f aca="false">IF($W130="","",IF(INDEX(发票统计!G$4:G$1003,$W130)="","",INDEX(发票统计!G$4:G$1003,$W130)))</f>
        <v/>
      </c>
      <c r="H130" s="56" t="str">
        <f aca="false">IF($W130="","",N(INDEX(发票统计!H$4:H$1003,$W130)))</f>
        <v/>
      </c>
      <c r="I130" s="56" t="str">
        <f aca="false">IF($W130="","",N(INDEX(发票统计!I$4:I$1003,$W130)))</f>
        <v/>
      </c>
      <c r="J130" s="56" t="str">
        <f aca="false">IF($W130="","",N(INDEX(发票统计!J$4:J$1003,$W130)))</f>
        <v/>
      </c>
      <c r="K130" s="56" t="str">
        <f aca="false">IF($W130="","",N(INDEX(发票统计!K$4:K$1003,$W130)))</f>
        <v/>
      </c>
      <c r="L130" s="56" t="str">
        <f aca="false">IF($W130="","",SUM(J$4:J130)-SUM(K$4:K130))</f>
        <v/>
      </c>
      <c r="M130" s="56" t="str">
        <f aca="false">IF($W130="","",N(INDEX(发票统计!M$4:M$1003,$W130)))</f>
        <v/>
      </c>
      <c r="N130" s="56" t="str">
        <f aca="false">IF($W130="","",N(INDEX(发票统计!N$4:N$1003,$W130)))</f>
        <v/>
      </c>
      <c r="O130" s="56" t="str">
        <f aca="false">IF($W130="","",N(INDEX(发票统计!O$4:O$1003,$W130)))</f>
        <v/>
      </c>
      <c r="P130" s="56" t="str">
        <f aca="false">IF($W130="","",SUM(M$4:M130)-SUM(N$4:N130)-SUM(O$4:O130))</f>
        <v/>
      </c>
      <c r="Q130" s="56" t="str">
        <f aca="false">IF($W130="","",N(INDEX(发票统计!Q$4:Q$1003,$W130)))</f>
        <v/>
      </c>
      <c r="R130" s="56" t="str">
        <f aca="false">IF($W130="","",N(INDEX(发票统计!R$4:R$1003,$W130)))</f>
        <v/>
      </c>
      <c r="S130" s="56" t="str">
        <f aca="false">IF($W130="","",N(INDEX(发票统计!S$4:S$1003,$W130)))</f>
        <v/>
      </c>
      <c r="T130" s="56" t="str">
        <f aca="false">IF($W130="","",SUM(Q$4:Q130)-SUM(R$4:R130)-SUM(S$4:S130))</f>
        <v/>
      </c>
      <c r="U130" s="56" t="str">
        <f aca="false">IF($W130="","",INDEX(发票统计!U$4:U$1003,$W130)&amp;"")</f>
        <v/>
      </c>
      <c r="W130" s="1" t="str">
        <f aca="false">IF($V$3="","",IFERROR(MATCH($V$3&amp;"#"&amp;ROWS(W$4:W130),发票统计!$W$4:$W$1003,0),""))</f>
        <v/>
      </c>
    </row>
    <row r="131" customFormat="false" ht="16.5" hidden="false" customHeight="false" outlineLevel="0" collapsed="false">
      <c r="A131" s="3" t="str">
        <f aca="false">IF($W131="","",INDEX(发票统计!A$4:A$1003,$W131)&amp;"")</f>
        <v/>
      </c>
      <c r="B131" s="3" t="str">
        <f aca="false">IF($W131="","",INDEX(发票统计!B$4:B$1003,$W131)&amp;"")</f>
        <v/>
      </c>
      <c r="C131" s="3" t="str">
        <f aca="false">IF($W131="","",INDEX(发票统计!C$4:C$1003,$W131)&amp;"")</f>
        <v/>
      </c>
      <c r="D131" s="3" t="str">
        <f aca="false">IF($W131="","",INDEX(发票统计!D$4:D$1003,$W131)&amp;"")</f>
        <v/>
      </c>
      <c r="E131" s="67" t="str">
        <f aca="false">IF($W131="","",INDEX(发票统计!E$4:E$1003,$W131)&amp;"")</f>
        <v/>
      </c>
      <c r="F131" s="68" t="str">
        <f aca="false">IF($W131="","",INDEX(发票统计!F$4:F$1003,$W131)&amp;"")</f>
        <v/>
      </c>
      <c r="G131" s="68" t="str">
        <f aca="false">IF($W131="","",IF(INDEX(发票统计!G$4:G$1003,$W131)="","",INDEX(发票统计!G$4:G$1003,$W131)))</f>
        <v/>
      </c>
      <c r="H131" s="56" t="str">
        <f aca="false">IF($W131="","",N(INDEX(发票统计!H$4:H$1003,$W131)))</f>
        <v/>
      </c>
      <c r="I131" s="56" t="str">
        <f aca="false">IF($W131="","",N(INDEX(发票统计!I$4:I$1003,$W131)))</f>
        <v/>
      </c>
      <c r="J131" s="56" t="str">
        <f aca="false">IF($W131="","",N(INDEX(发票统计!J$4:J$1003,$W131)))</f>
        <v/>
      </c>
      <c r="K131" s="56" t="str">
        <f aca="false">IF($W131="","",N(INDEX(发票统计!K$4:K$1003,$W131)))</f>
        <v/>
      </c>
      <c r="L131" s="56" t="str">
        <f aca="false">IF($W131="","",SUM(J$4:J131)-SUM(K$4:K131))</f>
        <v/>
      </c>
      <c r="M131" s="56" t="str">
        <f aca="false">IF($W131="","",N(INDEX(发票统计!M$4:M$1003,$W131)))</f>
        <v/>
      </c>
      <c r="N131" s="56" t="str">
        <f aca="false">IF($W131="","",N(INDEX(发票统计!N$4:N$1003,$W131)))</f>
        <v/>
      </c>
      <c r="O131" s="56" t="str">
        <f aca="false">IF($W131="","",N(INDEX(发票统计!O$4:O$1003,$W131)))</f>
        <v/>
      </c>
      <c r="P131" s="56" t="str">
        <f aca="false">IF($W131="","",SUM(M$4:M131)-SUM(N$4:N131)-SUM(O$4:O131))</f>
        <v/>
      </c>
      <c r="Q131" s="56" t="str">
        <f aca="false">IF($W131="","",N(INDEX(发票统计!Q$4:Q$1003,$W131)))</f>
        <v/>
      </c>
      <c r="R131" s="56" t="str">
        <f aca="false">IF($W131="","",N(INDEX(发票统计!R$4:R$1003,$W131)))</f>
        <v/>
      </c>
      <c r="S131" s="56" t="str">
        <f aca="false">IF($W131="","",N(INDEX(发票统计!S$4:S$1003,$W131)))</f>
        <v/>
      </c>
      <c r="T131" s="56" t="str">
        <f aca="false">IF($W131="","",SUM(Q$4:Q131)-SUM(R$4:R131)-SUM(S$4:S131))</f>
        <v/>
      </c>
      <c r="U131" s="56" t="str">
        <f aca="false">IF($W131="","",INDEX(发票统计!U$4:U$1003,$W131)&amp;"")</f>
        <v/>
      </c>
      <c r="W131" s="1" t="str">
        <f aca="false">IF($V$3="","",IFERROR(MATCH($V$3&amp;"#"&amp;ROWS(W$4:W131),发票统计!$W$4:$W$1003,0),""))</f>
        <v/>
      </c>
    </row>
    <row r="132" customFormat="false" ht="16.5" hidden="false" customHeight="false" outlineLevel="0" collapsed="false">
      <c r="A132" s="3" t="str">
        <f aca="false">IF($W132="","",INDEX(发票统计!A$4:A$1003,$W132)&amp;"")</f>
        <v/>
      </c>
      <c r="B132" s="3" t="str">
        <f aca="false">IF($W132="","",INDEX(发票统计!B$4:B$1003,$W132)&amp;"")</f>
        <v/>
      </c>
      <c r="C132" s="3" t="str">
        <f aca="false">IF($W132="","",INDEX(发票统计!C$4:C$1003,$W132)&amp;"")</f>
        <v/>
      </c>
      <c r="D132" s="3" t="str">
        <f aca="false">IF($W132="","",INDEX(发票统计!D$4:D$1003,$W132)&amp;"")</f>
        <v/>
      </c>
      <c r="E132" s="67" t="str">
        <f aca="false">IF($W132="","",INDEX(发票统计!E$4:E$1003,$W132)&amp;"")</f>
        <v/>
      </c>
      <c r="F132" s="68" t="str">
        <f aca="false">IF($W132="","",INDEX(发票统计!F$4:F$1003,$W132)&amp;"")</f>
        <v/>
      </c>
      <c r="G132" s="68" t="str">
        <f aca="false">IF($W132="","",IF(INDEX(发票统计!G$4:G$1003,$W132)="","",INDEX(发票统计!G$4:G$1003,$W132)))</f>
        <v/>
      </c>
      <c r="H132" s="56" t="str">
        <f aca="false">IF($W132="","",N(INDEX(发票统计!H$4:H$1003,$W132)))</f>
        <v/>
      </c>
      <c r="I132" s="56" t="str">
        <f aca="false">IF($W132="","",N(INDEX(发票统计!I$4:I$1003,$W132)))</f>
        <v/>
      </c>
      <c r="J132" s="56" t="str">
        <f aca="false">IF($W132="","",N(INDEX(发票统计!J$4:J$1003,$W132)))</f>
        <v/>
      </c>
      <c r="K132" s="56" t="str">
        <f aca="false">IF($W132="","",N(INDEX(发票统计!K$4:K$1003,$W132)))</f>
        <v/>
      </c>
      <c r="L132" s="56" t="str">
        <f aca="false">IF($W132="","",SUM(J$4:J132)-SUM(K$4:K132))</f>
        <v/>
      </c>
      <c r="M132" s="56" t="str">
        <f aca="false">IF($W132="","",N(INDEX(发票统计!M$4:M$1003,$W132)))</f>
        <v/>
      </c>
      <c r="N132" s="56" t="str">
        <f aca="false">IF($W132="","",N(INDEX(发票统计!N$4:N$1003,$W132)))</f>
        <v/>
      </c>
      <c r="O132" s="56" t="str">
        <f aca="false">IF($W132="","",N(INDEX(发票统计!O$4:O$1003,$W132)))</f>
        <v/>
      </c>
      <c r="P132" s="56" t="str">
        <f aca="false">IF($W132="","",SUM(M$4:M132)-SUM(N$4:N132)-SUM(O$4:O132))</f>
        <v/>
      </c>
      <c r="Q132" s="56" t="str">
        <f aca="false">IF($W132="","",N(INDEX(发票统计!Q$4:Q$1003,$W132)))</f>
        <v/>
      </c>
      <c r="R132" s="56" t="str">
        <f aca="false">IF($W132="","",N(INDEX(发票统计!R$4:R$1003,$W132)))</f>
        <v/>
      </c>
      <c r="S132" s="56" t="str">
        <f aca="false">IF($W132="","",N(INDEX(发票统计!S$4:S$1003,$W132)))</f>
        <v/>
      </c>
      <c r="T132" s="56" t="str">
        <f aca="false">IF($W132="","",SUM(Q$4:Q132)-SUM(R$4:R132)-SUM(S$4:S132))</f>
        <v/>
      </c>
      <c r="U132" s="56" t="str">
        <f aca="false">IF($W132="","",INDEX(发票统计!U$4:U$1003,$W132)&amp;"")</f>
        <v/>
      </c>
      <c r="W132" s="1" t="str">
        <f aca="false">IF($V$3="","",IFERROR(MATCH($V$3&amp;"#"&amp;ROWS(W$4:W132),发票统计!$W$4:$W$1003,0),""))</f>
        <v/>
      </c>
    </row>
    <row r="133" customFormat="false" ht="16.5" hidden="false" customHeight="false" outlineLevel="0" collapsed="false">
      <c r="A133" s="3" t="str">
        <f aca="false">IF($W133="","",INDEX(发票统计!A$4:A$1003,$W133)&amp;"")</f>
        <v/>
      </c>
      <c r="B133" s="3" t="str">
        <f aca="false">IF($W133="","",INDEX(发票统计!B$4:B$1003,$W133)&amp;"")</f>
        <v/>
      </c>
      <c r="C133" s="3" t="str">
        <f aca="false">IF($W133="","",INDEX(发票统计!C$4:C$1003,$W133)&amp;"")</f>
        <v/>
      </c>
      <c r="D133" s="3" t="str">
        <f aca="false">IF($W133="","",INDEX(发票统计!D$4:D$1003,$W133)&amp;"")</f>
        <v/>
      </c>
      <c r="E133" s="67" t="str">
        <f aca="false">IF($W133="","",INDEX(发票统计!E$4:E$1003,$W133)&amp;"")</f>
        <v/>
      </c>
      <c r="F133" s="68" t="str">
        <f aca="false">IF($W133="","",INDEX(发票统计!F$4:F$1003,$W133)&amp;"")</f>
        <v/>
      </c>
      <c r="G133" s="68" t="str">
        <f aca="false">IF($W133="","",IF(INDEX(发票统计!G$4:G$1003,$W133)="","",INDEX(发票统计!G$4:G$1003,$W133)))</f>
        <v/>
      </c>
      <c r="H133" s="56" t="str">
        <f aca="false">IF($W133="","",N(INDEX(发票统计!H$4:H$1003,$W133)))</f>
        <v/>
      </c>
      <c r="I133" s="56" t="str">
        <f aca="false">IF($W133="","",N(INDEX(发票统计!I$4:I$1003,$W133)))</f>
        <v/>
      </c>
      <c r="J133" s="56" t="str">
        <f aca="false">IF($W133="","",N(INDEX(发票统计!J$4:J$1003,$W133)))</f>
        <v/>
      </c>
      <c r="K133" s="56" t="str">
        <f aca="false">IF($W133="","",N(INDEX(发票统计!K$4:K$1003,$W133)))</f>
        <v/>
      </c>
      <c r="L133" s="56" t="str">
        <f aca="false">IF($W133="","",SUM(J$4:J133)-SUM(K$4:K133))</f>
        <v/>
      </c>
      <c r="M133" s="56" t="str">
        <f aca="false">IF($W133="","",N(INDEX(发票统计!M$4:M$1003,$W133)))</f>
        <v/>
      </c>
      <c r="N133" s="56" t="str">
        <f aca="false">IF($W133="","",N(INDEX(发票统计!N$4:N$1003,$W133)))</f>
        <v/>
      </c>
      <c r="O133" s="56" t="str">
        <f aca="false">IF($W133="","",N(INDEX(发票统计!O$4:O$1003,$W133)))</f>
        <v/>
      </c>
      <c r="P133" s="56" t="str">
        <f aca="false">IF($W133="","",SUM(M$4:M133)-SUM(N$4:N133)-SUM(O$4:O133))</f>
        <v/>
      </c>
      <c r="Q133" s="56" t="str">
        <f aca="false">IF($W133="","",N(INDEX(发票统计!Q$4:Q$1003,$W133)))</f>
        <v/>
      </c>
      <c r="R133" s="56" t="str">
        <f aca="false">IF($W133="","",N(INDEX(发票统计!R$4:R$1003,$W133)))</f>
        <v/>
      </c>
      <c r="S133" s="56" t="str">
        <f aca="false">IF($W133="","",N(INDEX(发票统计!S$4:S$1003,$W133)))</f>
        <v/>
      </c>
      <c r="T133" s="56" t="str">
        <f aca="false">IF($W133="","",SUM(Q$4:Q133)-SUM(R$4:R133)-SUM(S$4:S133))</f>
        <v/>
      </c>
      <c r="U133" s="56" t="str">
        <f aca="false">IF($W133="","",INDEX(发票统计!U$4:U$1003,$W133)&amp;"")</f>
        <v/>
      </c>
      <c r="W133" s="1" t="str">
        <f aca="false">IF($V$3="","",IFERROR(MATCH($V$3&amp;"#"&amp;ROWS(W$4:W133),发票统计!$W$4:$W$1003,0),""))</f>
        <v/>
      </c>
    </row>
    <row r="134" customFormat="false" ht="16.5" hidden="false" customHeight="false" outlineLevel="0" collapsed="false">
      <c r="A134" s="3" t="str">
        <f aca="false">IF($W134="","",INDEX(发票统计!A$4:A$1003,$W134)&amp;"")</f>
        <v/>
      </c>
      <c r="B134" s="3" t="str">
        <f aca="false">IF($W134="","",INDEX(发票统计!B$4:B$1003,$W134)&amp;"")</f>
        <v/>
      </c>
      <c r="C134" s="3" t="str">
        <f aca="false">IF($W134="","",INDEX(发票统计!C$4:C$1003,$W134)&amp;"")</f>
        <v/>
      </c>
      <c r="D134" s="3" t="str">
        <f aca="false">IF($W134="","",INDEX(发票统计!D$4:D$1003,$W134)&amp;"")</f>
        <v/>
      </c>
      <c r="E134" s="67" t="str">
        <f aca="false">IF($W134="","",INDEX(发票统计!E$4:E$1003,$W134)&amp;"")</f>
        <v/>
      </c>
      <c r="F134" s="68" t="str">
        <f aca="false">IF($W134="","",INDEX(发票统计!F$4:F$1003,$W134)&amp;"")</f>
        <v/>
      </c>
      <c r="G134" s="68" t="str">
        <f aca="false">IF($W134="","",IF(INDEX(发票统计!G$4:G$1003,$W134)="","",INDEX(发票统计!G$4:G$1003,$W134)))</f>
        <v/>
      </c>
      <c r="H134" s="56" t="str">
        <f aca="false">IF($W134="","",N(INDEX(发票统计!H$4:H$1003,$W134)))</f>
        <v/>
      </c>
      <c r="I134" s="56" t="str">
        <f aca="false">IF($W134="","",N(INDEX(发票统计!I$4:I$1003,$W134)))</f>
        <v/>
      </c>
      <c r="J134" s="56" t="str">
        <f aca="false">IF($W134="","",N(INDEX(发票统计!J$4:J$1003,$W134)))</f>
        <v/>
      </c>
      <c r="K134" s="56" t="str">
        <f aca="false">IF($W134="","",N(INDEX(发票统计!K$4:K$1003,$W134)))</f>
        <v/>
      </c>
      <c r="L134" s="56" t="str">
        <f aca="false">IF($W134="","",SUM(J$4:J134)-SUM(K$4:K134))</f>
        <v/>
      </c>
      <c r="M134" s="56" t="str">
        <f aca="false">IF($W134="","",N(INDEX(发票统计!M$4:M$1003,$W134)))</f>
        <v/>
      </c>
      <c r="N134" s="56" t="str">
        <f aca="false">IF($W134="","",N(INDEX(发票统计!N$4:N$1003,$W134)))</f>
        <v/>
      </c>
      <c r="O134" s="56" t="str">
        <f aca="false">IF($W134="","",N(INDEX(发票统计!O$4:O$1003,$W134)))</f>
        <v/>
      </c>
      <c r="P134" s="56" t="str">
        <f aca="false">IF($W134="","",SUM(M$4:M134)-SUM(N$4:N134)-SUM(O$4:O134))</f>
        <v/>
      </c>
      <c r="Q134" s="56" t="str">
        <f aca="false">IF($W134="","",N(INDEX(发票统计!Q$4:Q$1003,$W134)))</f>
        <v/>
      </c>
      <c r="R134" s="56" t="str">
        <f aca="false">IF($W134="","",N(INDEX(发票统计!R$4:R$1003,$W134)))</f>
        <v/>
      </c>
      <c r="S134" s="56" t="str">
        <f aca="false">IF($W134="","",N(INDEX(发票统计!S$4:S$1003,$W134)))</f>
        <v/>
      </c>
      <c r="T134" s="56" t="str">
        <f aca="false">IF($W134="","",SUM(Q$4:Q134)-SUM(R$4:R134)-SUM(S$4:S134))</f>
        <v/>
      </c>
      <c r="U134" s="56" t="str">
        <f aca="false">IF($W134="","",INDEX(发票统计!U$4:U$1003,$W134)&amp;"")</f>
        <v/>
      </c>
      <c r="W134" s="1" t="str">
        <f aca="false">IF($V$3="","",IFERROR(MATCH($V$3&amp;"#"&amp;ROWS(W$4:W134),发票统计!$W$4:$W$1003,0),""))</f>
        <v/>
      </c>
    </row>
    <row r="135" customFormat="false" ht="16.5" hidden="false" customHeight="false" outlineLevel="0" collapsed="false">
      <c r="A135" s="3" t="str">
        <f aca="false">IF($W135="","",INDEX(发票统计!A$4:A$1003,$W135)&amp;"")</f>
        <v/>
      </c>
      <c r="B135" s="3" t="str">
        <f aca="false">IF($W135="","",INDEX(发票统计!B$4:B$1003,$W135)&amp;"")</f>
        <v/>
      </c>
      <c r="C135" s="3" t="str">
        <f aca="false">IF($W135="","",INDEX(发票统计!C$4:C$1003,$W135)&amp;"")</f>
        <v/>
      </c>
      <c r="D135" s="3" t="str">
        <f aca="false">IF($W135="","",INDEX(发票统计!D$4:D$1003,$W135)&amp;"")</f>
        <v/>
      </c>
      <c r="E135" s="67" t="str">
        <f aca="false">IF($W135="","",INDEX(发票统计!E$4:E$1003,$W135)&amp;"")</f>
        <v/>
      </c>
      <c r="F135" s="68" t="str">
        <f aca="false">IF($W135="","",INDEX(发票统计!F$4:F$1003,$W135)&amp;"")</f>
        <v/>
      </c>
      <c r="G135" s="68" t="str">
        <f aca="false">IF($W135="","",IF(INDEX(发票统计!G$4:G$1003,$W135)="","",INDEX(发票统计!G$4:G$1003,$W135)))</f>
        <v/>
      </c>
      <c r="H135" s="56" t="str">
        <f aca="false">IF($W135="","",N(INDEX(发票统计!H$4:H$1003,$W135)))</f>
        <v/>
      </c>
      <c r="I135" s="56" t="str">
        <f aca="false">IF($W135="","",N(INDEX(发票统计!I$4:I$1003,$W135)))</f>
        <v/>
      </c>
      <c r="J135" s="56" t="str">
        <f aca="false">IF($W135="","",N(INDEX(发票统计!J$4:J$1003,$W135)))</f>
        <v/>
      </c>
      <c r="K135" s="56" t="str">
        <f aca="false">IF($W135="","",N(INDEX(发票统计!K$4:K$1003,$W135)))</f>
        <v/>
      </c>
      <c r="L135" s="56" t="str">
        <f aca="false">IF($W135="","",SUM(J$4:J135)-SUM(K$4:K135))</f>
        <v/>
      </c>
      <c r="M135" s="56" t="str">
        <f aca="false">IF($W135="","",N(INDEX(发票统计!M$4:M$1003,$W135)))</f>
        <v/>
      </c>
      <c r="N135" s="56" t="str">
        <f aca="false">IF($W135="","",N(INDEX(发票统计!N$4:N$1003,$W135)))</f>
        <v/>
      </c>
      <c r="O135" s="56" t="str">
        <f aca="false">IF($W135="","",N(INDEX(发票统计!O$4:O$1003,$W135)))</f>
        <v/>
      </c>
      <c r="P135" s="56" t="str">
        <f aca="false">IF($W135="","",SUM(M$4:M135)-SUM(N$4:N135)-SUM(O$4:O135))</f>
        <v/>
      </c>
      <c r="Q135" s="56" t="str">
        <f aca="false">IF($W135="","",N(INDEX(发票统计!Q$4:Q$1003,$W135)))</f>
        <v/>
      </c>
      <c r="R135" s="56" t="str">
        <f aca="false">IF($W135="","",N(INDEX(发票统计!R$4:R$1003,$W135)))</f>
        <v/>
      </c>
      <c r="S135" s="56" t="str">
        <f aca="false">IF($W135="","",N(INDEX(发票统计!S$4:S$1003,$W135)))</f>
        <v/>
      </c>
      <c r="T135" s="56" t="str">
        <f aca="false">IF($W135="","",SUM(Q$4:Q135)-SUM(R$4:R135)-SUM(S$4:S135))</f>
        <v/>
      </c>
      <c r="U135" s="56" t="str">
        <f aca="false">IF($W135="","",INDEX(发票统计!U$4:U$1003,$W135)&amp;"")</f>
        <v/>
      </c>
      <c r="W135" s="1" t="str">
        <f aca="false">IF($V$3="","",IFERROR(MATCH($V$3&amp;"#"&amp;ROWS(W$4:W135),发票统计!$W$4:$W$1003,0),""))</f>
        <v/>
      </c>
    </row>
    <row r="136" customFormat="false" ht="16.5" hidden="false" customHeight="false" outlineLevel="0" collapsed="false">
      <c r="A136" s="3" t="str">
        <f aca="false">IF($W136="","",INDEX(发票统计!A$4:A$1003,$W136)&amp;"")</f>
        <v/>
      </c>
      <c r="B136" s="3" t="str">
        <f aca="false">IF($W136="","",INDEX(发票统计!B$4:B$1003,$W136)&amp;"")</f>
        <v/>
      </c>
      <c r="C136" s="3" t="str">
        <f aca="false">IF($W136="","",INDEX(发票统计!C$4:C$1003,$W136)&amp;"")</f>
        <v/>
      </c>
      <c r="D136" s="3" t="str">
        <f aca="false">IF($W136="","",INDEX(发票统计!D$4:D$1003,$W136)&amp;"")</f>
        <v/>
      </c>
      <c r="E136" s="67" t="str">
        <f aca="false">IF($W136="","",INDEX(发票统计!E$4:E$1003,$W136)&amp;"")</f>
        <v/>
      </c>
      <c r="F136" s="68" t="str">
        <f aca="false">IF($W136="","",INDEX(发票统计!F$4:F$1003,$W136)&amp;"")</f>
        <v/>
      </c>
      <c r="G136" s="68" t="str">
        <f aca="false">IF($W136="","",IF(INDEX(发票统计!G$4:G$1003,$W136)="","",INDEX(发票统计!G$4:G$1003,$W136)))</f>
        <v/>
      </c>
      <c r="H136" s="56" t="str">
        <f aca="false">IF($W136="","",N(INDEX(发票统计!H$4:H$1003,$W136)))</f>
        <v/>
      </c>
      <c r="I136" s="56" t="str">
        <f aca="false">IF($W136="","",N(INDEX(发票统计!I$4:I$1003,$W136)))</f>
        <v/>
      </c>
      <c r="J136" s="56" t="str">
        <f aca="false">IF($W136="","",N(INDEX(发票统计!J$4:J$1003,$W136)))</f>
        <v/>
      </c>
      <c r="K136" s="56" t="str">
        <f aca="false">IF($W136="","",N(INDEX(发票统计!K$4:K$1003,$W136)))</f>
        <v/>
      </c>
      <c r="L136" s="56" t="str">
        <f aca="false">IF($W136="","",SUM(J$4:J136)-SUM(K$4:K136))</f>
        <v/>
      </c>
      <c r="M136" s="56" t="str">
        <f aca="false">IF($W136="","",N(INDEX(发票统计!M$4:M$1003,$W136)))</f>
        <v/>
      </c>
      <c r="N136" s="56" t="str">
        <f aca="false">IF($W136="","",N(INDEX(发票统计!N$4:N$1003,$W136)))</f>
        <v/>
      </c>
      <c r="O136" s="56" t="str">
        <f aca="false">IF($W136="","",N(INDEX(发票统计!O$4:O$1003,$W136)))</f>
        <v/>
      </c>
      <c r="P136" s="56" t="str">
        <f aca="false">IF($W136="","",SUM(M$4:M136)-SUM(N$4:N136)-SUM(O$4:O136))</f>
        <v/>
      </c>
      <c r="Q136" s="56" t="str">
        <f aca="false">IF($W136="","",N(INDEX(发票统计!Q$4:Q$1003,$W136)))</f>
        <v/>
      </c>
      <c r="R136" s="56" t="str">
        <f aca="false">IF($W136="","",N(INDEX(发票统计!R$4:R$1003,$W136)))</f>
        <v/>
      </c>
      <c r="S136" s="56" t="str">
        <f aca="false">IF($W136="","",N(INDEX(发票统计!S$4:S$1003,$W136)))</f>
        <v/>
      </c>
      <c r="T136" s="56" t="str">
        <f aca="false">IF($W136="","",SUM(Q$4:Q136)-SUM(R$4:R136)-SUM(S$4:S136))</f>
        <v/>
      </c>
      <c r="U136" s="56" t="str">
        <f aca="false">IF($W136="","",INDEX(发票统计!U$4:U$1003,$W136)&amp;"")</f>
        <v/>
      </c>
      <c r="W136" s="1" t="str">
        <f aca="false">IF($V$3="","",IFERROR(MATCH($V$3&amp;"#"&amp;ROWS(W$4:W136),发票统计!$W$4:$W$1003,0),""))</f>
        <v/>
      </c>
    </row>
    <row r="137" customFormat="false" ht="16.5" hidden="false" customHeight="false" outlineLevel="0" collapsed="false">
      <c r="A137" s="3" t="str">
        <f aca="false">IF($W137="","",INDEX(发票统计!A$4:A$1003,$W137)&amp;"")</f>
        <v/>
      </c>
      <c r="B137" s="3" t="str">
        <f aca="false">IF($W137="","",INDEX(发票统计!B$4:B$1003,$W137)&amp;"")</f>
        <v/>
      </c>
      <c r="C137" s="3" t="str">
        <f aca="false">IF($W137="","",INDEX(发票统计!C$4:C$1003,$W137)&amp;"")</f>
        <v/>
      </c>
      <c r="D137" s="3" t="str">
        <f aca="false">IF($W137="","",INDEX(发票统计!D$4:D$1003,$W137)&amp;"")</f>
        <v/>
      </c>
      <c r="E137" s="67" t="str">
        <f aca="false">IF($W137="","",INDEX(发票统计!E$4:E$1003,$W137)&amp;"")</f>
        <v/>
      </c>
      <c r="F137" s="68" t="str">
        <f aca="false">IF($W137="","",INDEX(发票统计!F$4:F$1003,$W137)&amp;"")</f>
        <v/>
      </c>
      <c r="G137" s="68" t="str">
        <f aca="false">IF($W137="","",IF(INDEX(发票统计!G$4:G$1003,$W137)="","",INDEX(发票统计!G$4:G$1003,$W137)))</f>
        <v/>
      </c>
      <c r="H137" s="56" t="str">
        <f aca="false">IF($W137="","",N(INDEX(发票统计!H$4:H$1003,$W137)))</f>
        <v/>
      </c>
      <c r="I137" s="56" t="str">
        <f aca="false">IF($W137="","",N(INDEX(发票统计!I$4:I$1003,$W137)))</f>
        <v/>
      </c>
      <c r="J137" s="56" t="str">
        <f aca="false">IF($W137="","",N(INDEX(发票统计!J$4:J$1003,$W137)))</f>
        <v/>
      </c>
      <c r="K137" s="56" t="str">
        <f aca="false">IF($W137="","",N(INDEX(发票统计!K$4:K$1003,$W137)))</f>
        <v/>
      </c>
      <c r="L137" s="56" t="str">
        <f aca="false">IF($W137="","",SUM(J$4:J137)-SUM(K$4:K137))</f>
        <v/>
      </c>
      <c r="M137" s="56" t="str">
        <f aca="false">IF($W137="","",N(INDEX(发票统计!M$4:M$1003,$W137)))</f>
        <v/>
      </c>
      <c r="N137" s="56" t="str">
        <f aca="false">IF($W137="","",N(INDEX(发票统计!N$4:N$1003,$W137)))</f>
        <v/>
      </c>
      <c r="O137" s="56" t="str">
        <f aca="false">IF($W137="","",N(INDEX(发票统计!O$4:O$1003,$W137)))</f>
        <v/>
      </c>
      <c r="P137" s="56" t="str">
        <f aca="false">IF($W137="","",SUM(M$4:M137)-SUM(N$4:N137)-SUM(O$4:O137))</f>
        <v/>
      </c>
      <c r="Q137" s="56" t="str">
        <f aca="false">IF($W137="","",N(INDEX(发票统计!Q$4:Q$1003,$W137)))</f>
        <v/>
      </c>
      <c r="R137" s="56" t="str">
        <f aca="false">IF($W137="","",N(INDEX(发票统计!R$4:R$1003,$W137)))</f>
        <v/>
      </c>
      <c r="S137" s="56" t="str">
        <f aca="false">IF($W137="","",N(INDEX(发票统计!S$4:S$1003,$W137)))</f>
        <v/>
      </c>
      <c r="T137" s="56" t="str">
        <f aca="false">IF($W137="","",SUM(Q$4:Q137)-SUM(R$4:R137)-SUM(S$4:S137))</f>
        <v/>
      </c>
      <c r="U137" s="56" t="str">
        <f aca="false">IF($W137="","",INDEX(发票统计!U$4:U$1003,$W137)&amp;"")</f>
        <v/>
      </c>
      <c r="W137" s="1" t="str">
        <f aca="false">IF($V$3="","",IFERROR(MATCH($V$3&amp;"#"&amp;ROWS(W$4:W137),发票统计!$W$4:$W$1003,0),""))</f>
        <v/>
      </c>
    </row>
    <row r="138" customFormat="false" ht="16.5" hidden="false" customHeight="false" outlineLevel="0" collapsed="false">
      <c r="A138" s="3" t="str">
        <f aca="false">IF($W138="","",INDEX(发票统计!A$4:A$1003,$W138)&amp;"")</f>
        <v/>
      </c>
      <c r="B138" s="3" t="str">
        <f aca="false">IF($W138="","",INDEX(发票统计!B$4:B$1003,$W138)&amp;"")</f>
        <v/>
      </c>
      <c r="C138" s="3" t="str">
        <f aca="false">IF($W138="","",INDEX(发票统计!C$4:C$1003,$W138)&amp;"")</f>
        <v/>
      </c>
      <c r="D138" s="3" t="str">
        <f aca="false">IF($W138="","",INDEX(发票统计!D$4:D$1003,$W138)&amp;"")</f>
        <v/>
      </c>
      <c r="E138" s="67" t="str">
        <f aca="false">IF($W138="","",INDEX(发票统计!E$4:E$1003,$W138)&amp;"")</f>
        <v/>
      </c>
      <c r="F138" s="68" t="str">
        <f aca="false">IF($W138="","",INDEX(发票统计!F$4:F$1003,$W138)&amp;"")</f>
        <v/>
      </c>
      <c r="G138" s="68" t="str">
        <f aca="false">IF($W138="","",IF(INDEX(发票统计!G$4:G$1003,$W138)="","",INDEX(发票统计!G$4:G$1003,$W138)))</f>
        <v/>
      </c>
      <c r="H138" s="56" t="str">
        <f aca="false">IF($W138="","",N(INDEX(发票统计!H$4:H$1003,$W138)))</f>
        <v/>
      </c>
      <c r="I138" s="56" t="str">
        <f aca="false">IF($W138="","",N(INDEX(发票统计!I$4:I$1003,$W138)))</f>
        <v/>
      </c>
      <c r="J138" s="56" t="str">
        <f aca="false">IF($W138="","",N(INDEX(发票统计!J$4:J$1003,$W138)))</f>
        <v/>
      </c>
      <c r="K138" s="56" t="str">
        <f aca="false">IF($W138="","",N(INDEX(发票统计!K$4:K$1003,$W138)))</f>
        <v/>
      </c>
      <c r="L138" s="56" t="str">
        <f aca="false">IF($W138="","",SUM(J$4:J138)-SUM(K$4:K138))</f>
        <v/>
      </c>
      <c r="M138" s="56" t="str">
        <f aca="false">IF($W138="","",N(INDEX(发票统计!M$4:M$1003,$W138)))</f>
        <v/>
      </c>
      <c r="N138" s="56" t="str">
        <f aca="false">IF($W138="","",N(INDEX(发票统计!N$4:N$1003,$W138)))</f>
        <v/>
      </c>
      <c r="O138" s="56" t="str">
        <f aca="false">IF($W138="","",N(INDEX(发票统计!O$4:O$1003,$W138)))</f>
        <v/>
      </c>
      <c r="P138" s="56" t="str">
        <f aca="false">IF($W138="","",SUM(M$4:M138)-SUM(N$4:N138)-SUM(O$4:O138))</f>
        <v/>
      </c>
      <c r="Q138" s="56" t="str">
        <f aca="false">IF($W138="","",N(INDEX(发票统计!Q$4:Q$1003,$W138)))</f>
        <v/>
      </c>
      <c r="R138" s="56" t="str">
        <f aca="false">IF($W138="","",N(INDEX(发票统计!R$4:R$1003,$W138)))</f>
        <v/>
      </c>
      <c r="S138" s="56" t="str">
        <f aca="false">IF($W138="","",N(INDEX(发票统计!S$4:S$1003,$W138)))</f>
        <v/>
      </c>
      <c r="T138" s="56" t="str">
        <f aca="false">IF($W138="","",SUM(Q$4:Q138)-SUM(R$4:R138)-SUM(S$4:S138))</f>
        <v/>
      </c>
      <c r="U138" s="56" t="str">
        <f aca="false">IF($W138="","",INDEX(发票统计!U$4:U$1003,$W138)&amp;"")</f>
        <v/>
      </c>
      <c r="W138" s="1" t="str">
        <f aca="false">IF($V$3="","",IFERROR(MATCH($V$3&amp;"#"&amp;ROWS(W$4:W138),发票统计!$W$4:$W$1003,0),""))</f>
        <v/>
      </c>
    </row>
    <row r="139" customFormat="false" ht="16.5" hidden="false" customHeight="false" outlineLevel="0" collapsed="false">
      <c r="A139" s="3" t="str">
        <f aca="false">IF($W139="","",INDEX(发票统计!A$4:A$1003,$W139)&amp;"")</f>
        <v/>
      </c>
      <c r="B139" s="3" t="str">
        <f aca="false">IF($W139="","",INDEX(发票统计!B$4:B$1003,$W139)&amp;"")</f>
        <v/>
      </c>
      <c r="C139" s="3" t="str">
        <f aca="false">IF($W139="","",INDEX(发票统计!C$4:C$1003,$W139)&amp;"")</f>
        <v/>
      </c>
      <c r="D139" s="3" t="str">
        <f aca="false">IF($W139="","",INDEX(发票统计!D$4:D$1003,$W139)&amp;"")</f>
        <v/>
      </c>
      <c r="E139" s="67" t="str">
        <f aca="false">IF($W139="","",INDEX(发票统计!E$4:E$1003,$W139)&amp;"")</f>
        <v/>
      </c>
      <c r="F139" s="68" t="str">
        <f aca="false">IF($W139="","",INDEX(发票统计!F$4:F$1003,$W139)&amp;"")</f>
        <v/>
      </c>
      <c r="G139" s="68" t="str">
        <f aca="false">IF($W139="","",IF(INDEX(发票统计!G$4:G$1003,$W139)="","",INDEX(发票统计!G$4:G$1003,$W139)))</f>
        <v/>
      </c>
      <c r="H139" s="56" t="str">
        <f aca="false">IF($W139="","",N(INDEX(发票统计!H$4:H$1003,$W139)))</f>
        <v/>
      </c>
      <c r="I139" s="56" t="str">
        <f aca="false">IF($W139="","",N(INDEX(发票统计!I$4:I$1003,$W139)))</f>
        <v/>
      </c>
      <c r="J139" s="56" t="str">
        <f aca="false">IF($W139="","",N(INDEX(发票统计!J$4:J$1003,$W139)))</f>
        <v/>
      </c>
      <c r="K139" s="56" t="str">
        <f aca="false">IF($W139="","",N(INDEX(发票统计!K$4:K$1003,$W139)))</f>
        <v/>
      </c>
      <c r="L139" s="56" t="str">
        <f aca="false">IF($W139="","",SUM(J$4:J139)-SUM(K$4:K139))</f>
        <v/>
      </c>
      <c r="M139" s="56" t="str">
        <f aca="false">IF($W139="","",N(INDEX(发票统计!M$4:M$1003,$W139)))</f>
        <v/>
      </c>
      <c r="N139" s="56" t="str">
        <f aca="false">IF($W139="","",N(INDEX(发票统计!N$4:N$1003,$W139)))</f>
        <v/>
      </c>
      <c r="O139" s="56" t="str">
        <f aca="false">IF($W139="","",N(INDEX(发票统计!O$4:O$1003,$W139)))</f>
        <v/>
      </c>
      <c r="P139" s="56" t="str">
        <f aca="false">IF($W139="","",SUM(M$4:M139)-SUM(N$4:N139)-SUM(O$4:O139))</f>
        <v/>
      </c>
      <c r="Q139" s="56" t="str">
        <f aca="false">IF($W139="","",N(INDEX(发票统计!Q$4:Q$1003,$W139)))</f>
        <v/>
      </c>
      <c r="R139" s="56" t="str">
        <f aca="false">IF($W139="","",N(INDEX(发票统计!R$4:R$1003,$W139)))</f>
        <v/>
      </c>
      <c r="S139" s="56" t="str">
        <f aca="false">IF($W139="","",N(INDEX(发票统计!S$4:S$1003,$W139)))</f>
        <v/>
      </c>
      <c r="T139" s="56" t="str">
        <f aca="false">IF($W139="","",SUM(Q$4:Q139)-SUM(R$4:R139)-SUM(S$4:S139))</f>
        <v/>
      </c>
      <c r="U139" s="56" t="str">
        <f aca="false">IF($W139="","",INDEX(发票统计!U$4:U$1003,$W139)&amp;"")</f>
        <v/>
      </c>
      <c r="W139" s="1" t="str">
        <f aca="false">IF($V$3="","",IFERROR(MATCH($V$3&amp;"#"&amp;ROWS(W$4:W139),发票统计!$W$4:$W$1003,0),""))</f>
        <v/>
      </c>
    </row>
    <row r="140" customFormat="false" ht="16.5" hidden="false" customHeight="false" outlineLevel="0" collapsed="false">
      <c r="A140" s="3" t="str">
        <f aca="false">IF($W140="","",INDEX(发票统计!A$4:A$1003,$W140)&amp;"")</f>
        <v/>
      </c>
      <c r="B140" s="3" t="str">
        <f aca="false">IF($W140="","",INDEX(发票统计!B$4:B$1003,$W140)&amp;"")</f>
        <v/>
      </c>
      <c r="C140" s="3" t="str">
        <f aca="false">IF($W140="","",INDEX(发票统计!C$4:C$1003,$W140)&amp;"")</f>
        <v/>
      </c>
      <c r="D140" s="3" t="str">
        <f aca="false">IF($W140="","",INDEX(发票统计!D$4:D$1003,$W140)&amp;"")</f>
        <v/>
      </c>
      <c r="E140" s="67" t="str">
        <f aca="false">IF($W140="","",INDEX(发票统计!E$4:E$1003,$W140)&amp;"")</f>
        <v/>
      </c>
      <c r="F140" s="68" t="str">
        <f aca="false">IF($W140="","",INDEX(发票统计!F$4:F$1003,$W140)&amp;"")</f>
        <v/>
      </c>
      <c r="G140" s="68" t="str">
        <f aca="false">IF($W140="","",IF(INDEX(发票统计!G$4:G$1003,$W140)="","",INDEX(发票统计!G$4:G$1003,$W140)))</f>
        <v/>
      </c>
      <c r="H140" s="56" t="str">
        <f aca="false">IF($W140="","",N(INDEX(发票统计!H$4:H$1003,$W140)))</f>
        <v/>
      </c>
      <c r="I140" s="56" t="str">
        <f aca="false">IF($W140="","",N(INDEX(发票统计!I$4:I$1003,$W140)))</f>
        <v/>
      </c>
      <c r="J140" s="56" t="str">
        <f aca="false">IF($W140="","",N(INDEX(发票统计!J$4:J$1003,$W140)))</f>
        <v/>
      </c>
      <c r="K140" s="56" t="str">
        <f aca="false">IF($W140="","",N(INDEX(发票统计!K$4:K$1003,$W140)))</f>
        <v/>
      </c>
      <c r="L140" s="56" t="str">
        <f aca="false">IF($W140="","",SUM(J$4:J140)-SUM(K$4:K140))</f>
        <v/>
      </c>
      <c r="M140" s="56" t="str">
        <f aca="false">IF($W140="","",N(INDEX(发票统计!M$4:M$1003,$W140)))</f>
        <v/>
      </c>
      <c r="N140" s="56" t="str">
        <f aca="false">IF($W140="","",N(INDEX(发票统计!N$4:N$1003,$W140)))</f>
        <v/>
      </c>
      <c r="O140" s="56" t="str">
        <f aca="false">IF($W140="","",N(INDEX(发票统计!O$4:O$1003,$W140)))</f>
        <v/>
      </c>
      <c r="P140" s="56" t="str">
        <f aca="false">IF($W140="","",SUM(M$4:M140)-SUM(N$4:N140)-SUM(O$4:O140))</f>
        <v/>
      </c>
      <c r="Q140" s="56" t="str">
        <f aca="false">IF($W140="","",N(INDEX(发票统计!Q$4:Q$1003,$W140)))</f>
        <v/>
      </c>
      <c r="R140" s="56" t="str">
        <f aca="false">IF($W140="","",N(INDEX(发票统计!R$4:R$1003,$W140)))</f>
        <v/>
      </c>
      <c r="S140" s="56" t="str">
        <f aca="false">IF($W140="","",N(INDEX(发票统计!S$4:S$1003,$W140)))</f>
        <v/>
      </c>
      <c r="T140" s="56" t="str">
        <f aca="false">IF($W140="","",SUM(Q$4:Q140)-SUM(R$4:R140)-SUM(S$4:S140))</f>
        <v/>
      </c>
      <c r="U140" s="56" t="str">
        <f aca="false">IF($W140="","",INDEX(发票统计!U$4:U$1003,$W140)&amp;"")</f>
        <v/>
      </c>
      <c r="W140" s="1" t="str">
        <f aca="false">IF($V$3="","",IFERROR(MATCH($V$3&amp;"#"&amp;ROWS(W$4:W140),发票统计!$W$4:$W$1003,0),""))</f>
        <v/>
      </c>
    </row>
    <row r="141" customFormat="false" ht="16.5" hidden="false" customHeight="false" outlineLevel="0" collapsed="false">
      <c r="A141" s="3" t="str">
        <f aca="false">IF($W141="","",INDEX(发票统计!A$4:A$1003,$W141)&amp;"")</f>
        <v/>
      </c>
      <c r="B141" s="3" t="str">
        <f aca="false">IF($W141="","",INDEX(发票统计!B$4:B$1003,$W141)&amp;"")</f>
        <v/>
      </c>
      <c r="C141" s="3" t="str">
        <f aca="false">IF($W141="","",INDEX(发票统计!C$4:C$1003,$W141)&amp;"")</f>
        <v/>
      </c>
      <c r="D141" s="3" t="str">
        <f aca="false">IF($W141="","",INDEX(发票统计!D$4:D$1003,$W141)&amp;"")</f>
        <v/>
      </c>
      <c r="E141" s="67" t="str">
        <f aca="false">IF($W141="","",INDEX(发票统计!E$4:E$1003,$W141)&amp;"")</f>
        <v/>
      </c>
      <c r="F141" s="68" t="str">
        <f aca="false">IF($W141="","",INDEX(发票统计!F$4:F$1003,$W141)&amp;"")</f>
        <v/>
      </c>
      <c r="G141" s="68" t="str">
        <f aca="false">IF($W141="","",IF(INDEX(发票统计!G$4:G$1003,$W141)="","",INDEX(发票统计!G$4:G$1003,$W141)))</f>
        <v/>
      </c>
      <c r="H141" s="56" t="str">
        <f aca="false">IF($W141="","",N(INDEX(发票统计!H$4:H$1003,$W141)))</f>
        <v/>
      </c>
      <c r="I141" s="56" t="str">
        <f aca="false">IF($W141="","",N(INDEX(发票统计!I$4:I$1003,$W141)))</f>
        <v/>
      </c>
      <c r="J141" s="56" t="str">
        <f aca="false">IF($W141="","",N(INDEX(发票统计!J$4:J$1003,$W141)))</f>
        <v/>
      </c>
      <c r="K141" s="56" t="str">
        <f aca="false">IF($W141="","",N(INDEX(发票统计!K$4:K$1003,$W141)))</f>
        <v/>
      </c>
      <c r="L141" s="56" t="str">
        <f aca="false">IF($W141="","",SUM(J$4:J141)-SUM(K$4:K141))</f>
        <v/>
      </c>
      <c r="M141" s="56" t="str">
        <f aca="false">IF($W141="","",N(INDEX(发票统计!M$4:M$1003,$W141)))</f>
        <v/>
      </c>
      <c r="N141" s="56" t="str">
        <f aca="false">IF($W141="","",N(INDEX(发票统计!N$4:N$1003,$W141)))</f>
        <v/>
      </c>
      <c r="O141" s="56" t="str">
        <f aca="false">IF($W141="","",N(INDEX(发票统计!O$4:O$1003,$W141)))</f>
        <v/>
      </c>
      <c r="P141" s="56" t="str">
        <f aca="false">IF($W141="","",SUM(M$4:M141)-SUM(N$4:N141)-SUM(O$4:O141))</f>
        <v/>
      </c>
      <c r="Q141" s="56" t="str">
        <f aca="false">IF($W141="","",N(INDEX(发票统计!Q$4:Q$1003,$W141)))</f>
        <v/>
      </c>
      <c r="R141" s="56" t="str">
        <f aca="false">IF($W141="","",N(INDEX(发票统计!R$4:R$1003,$W141)))</f>
        <v/>
      </c>
      <c r="S141" s="56" t="str">
        <f aca="false">IF($W141="","",N(INDEX(发票统计!S$4:S$1003,$W141)))</f>
        <v/>
      </c>
      <c r="T141" s="56" t="str">
        <f aca="false">IF($W141="","",SUM(Q$4:Q141)-SUM(R$4:R141)-SUM(S$4:S141))</f>
        <v/>
      </c>
      <c r="U141" s="56" t="str">
        <f aca="false">IF($W141="","",INDEX(发票统计!U$4:U$1003,$W141)&amp;"")</f>
        <v/>
      </c>
      <c r="W141" s="1" t="str">
        <f aca="false">IF($V$3="","",IFERROR(MATCH($V$3&amp;"#"&amp;ROWS(W$4:W141),发票统计!$W$4:$W$1003,0),""))</f>
        <v/>
      </c>
    </row>
    <row r="142" customFormat="false" ht="16.5" hidden="false" customHeight="false" outlineLevel="0" collapsed="false">
      <c r="A142" s="3" t="str">
        <f aca="false">IF($W142="","",INDEX(发票统计!A$4:A$1003,$W142)&amp;"")</f>
        <v/>
      </c>
      <c r="B142" s="3" t="str">
        <f aca="false">IF($W142="","",INDEX(发票统计!B$4:B$1003,$W142)&amp;"")</f>
        <v/>
      </c>
      <c r="C142" s="3" t="str">
        <f aca="false">IF($W142="","",INDEX(发票统计!C$4:C$1003,$W142)&amp;"")</f>
        <v/>
      </c>
      <c r="D142" s="3" t="str">
        <f aca="false">IF($W142="","",INDEX(发票统计!D$4:D$1003,$W142)&amp;"")</f>
        <v/>
      </c>
      <c r="E142" s="67" t="str">
        <f aca="false">IF($W142="","",INDEX(发票统计!E$4:E$1003,$W142)&amp;"")</f>
        <v/>
      </c>
      <c r="F142" s="68" t="str">
        <f aca="false">IF($W142="","",INDEX(发票统计!F$4:F$1003,$W142)&amp;"")</f>
        <v/>
      </c>
      <c r="G142" s="68" t="str">
        <f aca="false">IF($W142="","",IF(INDEX(发票统计!G$4:G$1003,$W142)="","",INDEX(发票统计!G$4:G$1003,$W142)))</f>
        <v/>
      </c>
      <c r="H142" s="56" t="str">
        <f aca="false">IF($W142="","",N(INDEX(发票统计!H$4:H$1003,$W142)))</f>
        <v/>
      </c>
      <c r="I142" s="56" t="str">
        <f aca="false">IF($W142="","",N(INDEX(发票统计!I$4:I$1003,$W142)))</f>
        <v/>
      </c>
      <c r="J142" s="56" t="str">
        <f aca="false">IF($W142="","",N(INDEX(发票统计!J$4:J$1003,$W142)))</f>
        <v/>
      </c>
      <c r="K142" s="56" t="str">
        <f aca="false">IF($W142="","",N(INDEX(发票统计!K$4:K$1003,$W142)))</f>
        <v/>
      </c>
      <c r="L142" s="56" t="str">
        <f aca="false">IF($W142="","",SUM(J$4:J142)-SUM(K$4:K142))</f>
        <v/>
      </c>
      <c r="M142" s="56" t="str">
        <f aca="false">IF($W142="","",N(INDEX(发票统计!M$4:M$1003,$W142)))</f>
        <v/>
      </c>
      <c r="N142" s="56" t="str">
        <f aca="false">IF($W142="","",N(INDEX(发票统计!N$4:N$1003,$W142)))</f>
        <v/>
      </c>
      <c r="O142" s="56" t="str">
        <f aca="false">IF($W142="","",N(INDEX(发票统计!O$4:O$1003,$W142)))</f>
        <v/>
      </c>
      <c r="P142" s="56" t="str">
        <f aca="false">IF($W142="","",SUM(M$4:M142)-SUM(N$4:N142)-SUM(O$4:O142))</f>
        <v/>
      </c>
      <c r="Q142" s="56" t="str">
        <f aca="false">IF($W142="","",N(INDEX(发票统计!Q$4:Q$1003,$W142)))</f>
        <v/>
      </c>
      <c r="R142" s="56" t="str">
        <f aca="false">IF($W142="","",N(INDEX(发票统计!R$4:R$1003,$W142)))</f>
        <v/>
      </c>
      <c r="S142" s="56" t="str">
        <f aca="false">IF($W142="","",N(INDEX(发票统计!S$4:S$1003,$W142)))</f>
        <v/>
      </c>
      <c r="T142" s="56" t="str">
        <f aca="false">IF($W142="","",SUM(Q$4:Q142)-SUM(R$4:R142)-SUM(S$4:S142))</f>
        <v/>
      </c>
      <c r="U142" s="56" t="str">
        <f aca="false">IF($W142="","",INDEX(发票统计!U$4:U$1003,$W142)&amp;"")</f>
        <v/>
      </c>
      <c r="W142" s="1" t="str">
        <f aca="false">IF($V$3="","",IFERROR(MATCH($V$3&amp;"#"&amp;ROWS(W$4:W142),发票统计!$W$4:$W$1003,0),""))</f>
        <v/>
      </c>
    </row>
    <row r="143" customFormat="false" ht="16.5" hidden="false" customHeight="false" outlineLevel="0" collapsed="false">
      <c r="A143" s="3" t="str">
        <f aca="false">IF($W143="","",INDEX(发票统计!A$4:A$1003,$W143)&amp;"")</f>
        <v/>
      </c>
      <c r="B143" s="3" t="str">
        <f aca="false">IF($W143="","",INDEX(发票统计!B$4:B$1003,$W143)&amp;"")</f>
        <v/>
      </c>
      <c r="C143" s="3" t="str">
        <f aca="false">IF($W143="","",INDEX(发票统计!C$4:C$1003,$W143)&amp;"")</f>
        <v/>
      </c>
      <c r="D143" s="3" t="str">
        <f aca="false">IF($W143="","",INDEX(发票统计!D$4:D$1003,$W143)&amp;"")</f>
        <v/>
      </c>
      <c r="E143" s="67" t="str">
        <f aca="false">IF($W143="","",INDEX(发票统计!E$4:E$1003,$W143)&amp;"")</f>
        <v/>
      </c>
      <c r="F143" s="68" t="str">
        <f aca="false">IF($W143="","",INDEX(发票统计!F$4:F$1003,$W143)&amp;"")</f>
        <v/>
      </c>
      <c r="G143" s="68" t="str">
        <f aca="false">IF($W143="","",IF(INDEX(发票统计!G$4:G$1003,$W143)="","",INDEX(发票统计!G$4:G$1003,$W143)))</f>
        <v/>
      </c>
      <c r="H143" s="56" t="str">
        <f aca="false">IF($W143="","",N(INDEX(发票统计!H$4:H$1003,$W143)))</f>
        <v/>
      </c>
      <c r="I143" s="56" t="str">
        <f aca="false">IF($W143="","",N(INDEX(发票统计!I$4:I$1003,$W143)))</f>
        <v/>
      </c>
      <c r="J143" s="56" t="str">
        <f aca="false">IF($W143="","",N(INDEX(发票统计!J$4:J$1003,$W143)))</f>
        <v/>
      </c>
      <c r="K143" s="56" t="str">
        <f aca="false">IF($W143="","",N(INDEX(发票统计!K$4:K$1003,$W143)))</f>
        <v/>
      </c>
      <c r="L143" s="56" t="str">
        <f aca="false">IF($W143="","",SUM(J$4:J143)-SUM(K$4:K143))</f>
        <v/>
      </c>
      <c r="M143" s="56" t="str">
        <f aca="false">IF($W143="","",N(INDEX(发票统计!M$4:M$1003,$W143)))</f>
        <v/>
      </c>
      <c r="N143" s="56" t="str">
        <f aca="false">IF($W143="","",N(INDEX(发票统计!N$4:N$1003,$W143)))</f>
        <v/>
      </c>
      <c r="O143" s="56" t="str">
        <f aca="false">IF($W143="","",N(INDEX(发票统计!O$4:O$1003,$W143)))</f>
        <v/>
      </c>
      <c r="P143" s="56" t="str">
        <f aca="false">IF($W143="","",SUM(M$4:M143)-SUM(N$4:N143)-SUM(O$4:O143))</f>
        <v/>
      </c>
      <c r="Q143" s="56" t="str">
        <f aca="false">IF($W143="","",N(INDEX(发票统计!Q$4:Q$1003,$W143)))</f>
        <v/>
      </c>
      <c r="R143" s="56" t="str">
        <f aca="false">IF($W143="","",N(INDEX(发票统计!R$4:R$1003,$W143)))</f>
        <v/>
      </c>
      <c r="S143" s="56" t="str">
        <f aca="false">IF($W143="","",N(INDEX(发票统计!S$4:S$1003,$W143)))</f>
        <v/>
      </c>
      <c r="T143" s="56" t="str">
        <f aca="false">IF($W143="","",SUM(Q$4:Q143)-SUM(R$4:R143)-SUM(S$4:S143))</f>
        <v/>
      </c>
      <c r="U143" s="56" t="str">
        <f aca="false">IF($W143="","",INDEX(发票统计!U$4:U$1003,$W143)&amp;"")</f>
        <v/>
      </c>
      <c r="W143" s="1" t="str">
        <f aca="false">IF($V$3="","",IFERROR(MATCH($V$3&amp;"#"&amp;ROWS(W$4:W143),发票统计!$W$4:$W$1003,0),""))</f>
        <v/>
      </c>
    </row>
    <row r="144" customFormat="false" ht="16.5" hidden="false" customHeight="false" outlineLevel="0" collapsed="false">
      <c r="A144" s="3" t="str">
        <f aca="false">IF($W144="","",INDEX(发票统计!A$4:A$1003,$W144)&amp;"")</f>
        <v/>
      </c>
      <c r="B144" s="3" t="str">
        <f aca="false">IF($W144="","",INDEX(发票统计!B$4:B$1003,$W144)&amp;"")</f>
        <v/>
      </c>
      <c r="C144" s="3" t="str">
        <f aca="false">IF($W144="","",INDEX(发票统计!C$4:C$1003,$W144)&amp;"")</f>
        <v/>
      </c>
      <c r="D144" s="3" t="str">
        <f aca="false">IF($W144="","",INDEX(发票统计!D$4:D$1003,$W144)&amp;"")</f>
        <v/>
      </c>
      <c r="E144" s="67" t="str">
        <f aca="false">IF($W144="","",INDEX(发票统计!E$4:E$1003,$W144)&amp;"")</f>
        <v/>
      </c>
      <c r="F144" s="68" t="str">
        <f aca="false">IF($W144="","",INDEX(发票统计!F$4:F$1003,$W144)&amp;"")</f>
        <v/>
      </c>
      <c r="G144" s="68" t="str">
        <f aca="false">IF($W144="","",IF(INDEX(发票统计!G$4:G$1003,$W144)="","",INDEX(发票统计!G$4:G$1003,$W144)))</f>
        <v/>
      </c>
      <c r="H144" s="56" t="str">
        <f aca="false">IF($W144="","",N(INDEX(发票统计!H$4:H$1003,$W144)))</f>
        <v/>
      </c>
      <c r="I144" s="56" t="str">
        <f aca="false">IF($W144="","",N(INDEX(发票统计!I$4:I$1003,$W144)))</f>
        <v/>
      </c>
      <c r="J144" s="56" t="str">
        <f aca="false">IF($W144="","",N(INDEX(发票统计!J$4:J$1003,$W144)))</f>
        <v/>
      </c>
      <c r="K144" s="56" t="str">
        <f aca="false">IF($W144="","",N(INDEX(发票统计!K$4:K$1003,$W144)))</f>
        <v/>
      </c>
      <c r="L144" s="56" t="str">
        <f aca="false">IF($W144="","",SUM(J$4:J144)-SUM(K$4:K144))</f>
        <v/>
      </c>
      <c r="M144" s="56" t="str">
        <f aca="false">IF($W144="","",N(INDEX(发票统计!M$4:M$1003,$W144)))</f>
        <v/>
      </c>
      <c r="N144" s="56" t="str">
        <f aca="false">IF($W144="","",N(INDEX(发票统计!N$4:N$1003,$W144)))</f>
        <v/>
      </c>
      <c r="O144" s="56" t="str">
        <f aca="false">IF($W144="","",N(INDEX(发票统计!O$4:O$1003,$W144)))</f>
        <v/>
      </c>
      <c r="P144" s="56" t="str">
        <f aca="false">IF($W144="","",SUM(M$4:M144)-SUM(N$4:N144)-SUM(O$4:O144))</f>
        <v/>
      </c>
      <c r="Q144" s="56" t="str">
        <f aca="false">IF($W144="","",N(INDEX(发票统计!Q$4:Q$1003,$W144)))</f>
        <v/>
      </c>
      <c r="R144" s="56" t="str">
        <f aca="false">IF($W144="","",N(INDEX(发票统计!R$4:R$1003,$W144)))</f>
        <v/>
      </c>
      <c r="S144" s="56" t="str">
        <f aca="false">IF($W144="","",N(INDEX(发票统计!S$4:S$1003,$W144)))</f>
        <v/>
      </c>
      <c r="T144" s="56" t="str">
        <f aca="false">IF($W144="","",SUM(Q$4:Q144)-SUM(R$4:R144)-SUM(S$4:S144))</f>
        <v/>
      </c>
      <c r="U144" s="56" t="str">
        <f aca="false">IF($W144="","",INDEX(发票统计!U$4:U$1003,$W144)&amp;"")</f>
        <v/>
      </c>
      <c r="W144" s="1" t="str">
        <f aca="false">IF($V$3="","",IFERROR(MATCH($V$3&amp;"#"&amp;ROWS(W$4:W144),发票统计!$W$4:$W$1003,0),""))</f>
        <v/>
      </c>
    </row>
    <row r="145" customFormat="false" ht="16.5" hidden="false" customHeight="false" outlineLevel="0" collapsed="false">
      <c r="A145" s="3" t="str">
        <f aca="false">IF($W145="","",INDEX(发票统计!A$4:A$1003,$W145)&amp;"")</f>
        <v/>
      </c>
      <c r="B145" s="3" t="str">
        <f aca="false">IF($W145="","",INDEX(发票统计!B$4:B$1003,$W145)&amp;"")</f>
        <v/>
      </c>
      <c r="C145" s="3" t="str">
        <f aca="false">IF($W145="","",INDEX(发票统计!C$4:C$1003,$W145)&amp;"")</f>
        <v/>
      </c>
      <c r="D145" s="3" t="str">
        <f aca="false">IF($W145="","",INDEX(发票统计!D$4:D$1003,$W145)&amp;"")</f>
        <v/>
      </c>
      <c r="E145" s="67" t="str">
        <f aca="false">IF($W145="","",INDEX(发票统计!E$4:E$1003,$W145)&amp;"")</f>
        <v/>
      </c>
      <c r="F145" s="68" t="str">
        <f aca="false">IF($W145="","",INDEX(发票统计!F$4:F$1003,$W145)&amp;"")</f>
        <v/>
      </c>
      <c r="G145" s="68" t="str">
        <f aca="false">IF($W145="","",IF(INDEX(发票统计!G$4:G$1003,$W145)="","",INDEX(发票统计!G$4:G$1003,$W145)))</f>
        <v/>
      </c>
      <c r="H145" s="56" t="str">
        <f aca="false">IF($W145="","",N(INDEX(发票统计!H$4:H$1003,$W145)))</f>
        <v/>
      </c>
      <c r="I145" s="56" t="str">
        <f aca="false">IF($W145="","",N(INDEX(发票统计!I$4:I$1003,$W145)))</f>
        <v/>
      </c>
      <c r="J145" s="56" t="str">
        <f aca="false">IF($W145="","",N(INDEX(发票统计!J$4:J$1003,$W145)))</f>
        <v/>
      </c>
      <c r="K145" s="56" t="str">
        <f aca="false">IF($W145="","",N(INDEX(发票统计!K$4:K$1003,$W145)))</f>
        <v/>
      </c>
      <c r="L145" s="56" t="str">
        <f aca="false">IF($W145="","",SUM(J$4:J145)-SUM(K$4:K145))</f>
        <v/>
      </c>
      <c r="M145" s="56" t="str">
        <f aca="false">IF($W145="","",N(INDEX(发票统计!M$4:M$1003,$W145)))</f>
        <v/>
      </c>
      <c r="N145" s="56" t="str">
        <f aca="false">IF($W145="","",N(INDEX(发票统计!N$4:N$1003,$W145)))</f>
        <v/>
      </c>
      <c r="O145" s="56" t="str">
        <f aca="false">IF($W145="","",N(INDEX(发票统计!O$4:O$1003,$W145)))</f>
        <v/>
      </c>
      <c r="P145" s="56" t="str">
        <f aca="false">IF($W145="","",SUM(M$4:M145)-SUM(N$4:N145)-SUM(O$4:O145))</f>
        <v/>
      </c>
      <c r="Q145" s="56" t="str">
        <f aca="false">IF($W145="","",N(INDEX(发票统计!Q$4:Q$1003,$W145)))</f>
        <v/>
      </c>
      <c r="R145" s="56" t="str">
        <f aca="false">IF($W145="","",N(INDEX(发票统计!R$4:R$1003,$W145)))</f>
        <v/>
      </c>
      <c r="S145" s="56" t="str">
        <f aca="false">IF($W145="","",N(INDEX(发票统计!S$4:S$1003,$W145)))</f>
        <v/>
      </c>
      <c r="T145" s="56" t="str">
        <f aca="false">IF($W145="","",SUM(Q$4:Q145)-SUM(R$4:R145)-SUM(S$4:S145))</f>
        <v/>
      </c>
      <c r="U145" s="56" t="str">
        <f aca="false">IF($W145="","",INDEX(发票统计!U$4:U$1003,$W145)&amp;"")</f>
        <v/>
      </c>
      <c r="W145" s="1" t="str">
        <f aca="false">IF($V$3="","",IFERROR(MATCH($V$3&amp;"#"&amp;ROWS(W$4:W145),发票统计!$W$4:$W$1003,0),""))</f>
        <v/>
      </c>
    </row>
    <row r="146" customFormat="false" ht="16.5" hidden="false" customHeight="false" outlineLevel="0" collapsed="false">
      <c r="A146" s="3" t="str">
        <f aca="false">IF($W146="","",INDEX(发票统计!A$4:A$1003,$W146)&amp;"")</f>
        <v/>
      </c>
      <c r="B146" s="3" t="str">
        <f aca="false">IF($W146="","",INDEX(发票统计!B$4:B$1003,$W146)&amp;"")</f>
        <v/>
      </c>
      <c r="C146" s="3" t="str">
        <f aca="false">IF($W146="","",INDEX(发票统计!C$4:C$1003,$W146)&amp;"")</f>
        <v/>
      </c>
      <c r="D146" s="3" t="str">
        <f aca="false">IF($W146="","",INDEX(发票统计!D$4:D$1003,$W146)&amp;"")</f>
        <v/>
      </c>
      <c r="E146" s="67" t="str">
        <f aca="false">IF($W146="","",INDEX(发票统计!E$4:E$1003,$W146)&amp;"")</f>
        <v/>
      </c>
      <c r="F146" s="68" t="str">
        <f aca="false">IF($W146="","",INDEX(发票统计!F$4:F$1003,$W146)&amp;"")</f>
        <v/>
      </c>
      <c r="G146" s="68" t="str">
        <f aca="false">IF($W146="","",IF(INDEX(发票统计!G$4:G$1003,$W146)="","",INDEX(发票统计!G$4:G$1003,$W146)))</f>
        <v/>
      </c>
      <c r="H146" s="56" t="str">
        <f aca="false">IF($W146="","",N(INDEX(发票统计!H$4:H$1003,$W146)))</f>
        <v/>
      </c>
      <c r="I146" s="56" t="str">
        <f aca="false">IF($W146="","",N(INDEX(发票统计!I$4:I$1003,$W146)))</f>
        <v/>
      </c>
      <c r="J146" s="56" t="str">
        <f aca="false">IF($W146="","",N(INDEX(发票统计!J$4:J$1003,$W146)))</f>
        <v/>
      </c>
      <c r="K146" s="56" t="str">
        <f aca="false">IF($W146="","",N(INDEX(发票统计!K$4:K$1003,$W146)))</f>
        <v/>
      </c>
      <c r="L146" s="56" t="str">
        <f aca="false">IF($W146="","",SUM(J$4:J146)-SUM(K$4:K146))</f>
        <v/>
      </c>
      <c r="M146" s="56" t="str">
        <f aca="false">IF($W146="","",N(INDEX(发票统计!M$4:M$1003,$W146)))</f>
        <v/>
      </c>
      <c r="N146" s="56" t="str">
        <f aca="false">IF($W146="","",N(INDEX(发票统计!N$4:N$1003,$W146)))</f>
        <v/>
      </c>
      <c r="O146" s="56" t="str">
        <f aca="false">IF($W146="","",N(INDEX(发票统计!O$4:O$1003,$W146)))</f>
        <v/>
      </c>
      <c r="P146" s="56" t="str">
        <f aca="false">IF($W146="","",SUM(M$4:M146)-SUM(N$4:N146)-SUM(O$4:O146))</f>
        <v/>
      </c>
      <c r="Q146" s="56" t="str">
        <f aca="false">IF($W146="","",N(INDEX(发票统计!Q$4:Q$1003,$W146)))</f>
        <v/>
      </c>
      <c r="R146" s="56" t="str">
        <f aca="false">IF($W146="","",N(INDEX(发票统计!R$4:R$1003,$W146)))</f>
        <v/>
      </c>
      <c r="S146" s="56" t="str">
        <f aca="false">IF($W146="","",N(INDEX(发票统计!S$4:S$1003,$W146)))</f>
        <v/>
      </c>
      <c r="T146" s="56" t="str">
        <f aca="false">IF($W146="","",SUM(Q$4:Q146)-SUM(R$4:R146)-SUM(S$4:S146))</f>
        <v/>
      </c>
      <c r="U146" s="56" t="str">
        <f aca="false">IF($W146="","",INDEX(发票统计!U$4:U$1003,$W146)&amp;"")</f>
        <v/>
      </c>
      <c r="W146" s="1" t="str">
        <f aca="false">IF($V$3="","",IFERROR(MATCH($V$3&amp;"#"&amp;ROWS(W$4:W146),发票统计!$W$4:$W$1003,0),""))</f>
        <v/>
      </c>
    </row>
    <row r="147" customFormat="false" ht="16.5" hidden="false" customHeight="false" outlineLevel="0" collapsed="false">
      <c r="A147" s="3" t="str">
        <f aca="false">IF($W147="","",INDEX(发票统计!A$4:A$1003,$W147)&amp;"")</f>
        <v/>
      </c>
      <c r="B147" s="3" t="str">
        <f aca="false">IF($W147="","",INDEX(发票统计!B$4:B$1003,$W147)&amp;"")</f>
        <v/>
      </c>
      <c r="C147" s="3" t="str">
        <f aca="false">IF($W147="","",INDEX(发票统计!C$4:C$1003,$W147)&amp;"")</f>
        <v/>
      </c>
      <c r="D147" s="3" t="str">
        <f aca="false">IF($W147="","",INDEX(发票统计!D$4:D$1003,$W147)&amp;"")</f>
        <v/>
      </c>
      <c r="E147" s="67" t="str">
        <f aca="false">IF($W147="","",INDEX(发票统计!E$4:E$1003,$W147)&amp;"")</f>
        <v/>
      </c>
      <c r="F147" s="68" t="str">
        <f aca="false">IF($W147="","",INDEX(发票统计!F$4:F$1003,$W147)&amp;"")</f>
        <v/>
      </c>
      <c r="G147" s="68" t="str">
        <f aca="false">IF($W147="","",IF(INDEX(发票统计!G$4:G$1003,$W147)="","",INDEX(发票统计!G$4:G$1003,$W147)))</f>
        <v/>
      </c>
      <c r="H147" s="56" t="str">
        <f aca="false">IF($W147="","",N(INDEX(发票统计!H$4:H$1003,$W147)))</f>
        <v/>
      </c>
      <c r="I147" s="56" t="str">
        <f aca="false">IF($W147="","",N(INDEX(发票统计!I$4:I$1003,$W147)))</f>
        <v/>
      </c>
      <c r="J147" s="56" t="str">
        <f aca="false">IF($W147="","",N(INDEX(发票统计!J$4:J$1003,$W147)))</f>
        <v/>
      </c>
      <c r="K147" s="56" t="str">
        <f aca="false">IF($W147="","",N(INDEX(发票统计!K$4:K$1003,$W147)))</f>
        <v/>
      </c>
      <c r="L147" s="56" t="str">
        <f aca="false">IF($W147="","",SUM(J$4:J147)-SUM(K$4:K147))</f>
        <v/>
      </c>
      <c r="M147" s="56" t="str">
        <f aca="false">IF($W147="","",N(INDEX(发票统计!M$4:M$1003,$W147)))</f>
        <v/>
      </c>
      <c r="N147" s="56" t="str">
        <f aca="false">IF($W147="","",N(INDEX(发票统计!N$4:N$1003,$W147)))</f>
        <v/>
      </c>
      <c r="O147" s="56" t="str">
        <f aca="false">IF($W147="","",N(INDEX(发票统计!O$4:O$1003,$W147)))</f>
        <v/>
      </c>
      <c r="P147" s="56" t="str">
        <f aca="false">IF($W147="","",SUM(M$4:M147)-SUM(N$4:N147)-SUM(O$4:O147))</f>
        <v/>
      </c>
      <c r="Q147" s="56" t="str">
        <f aca="false">IF($W147="","",N(INDEX(发票统计!Q$4:Q$1003,$W147)))</f>
        <v/>
      </c>
      <c r="R147" s="56" t="str">
        <f aca="false">IF($W147="","",N(INDEX(发票统计!R$4:R$1003,$W147)))</f>
        <v/>
      </c>
      <c r="S147" s="56" t="str">
        <f aca="false">IF($W147="","",N(INDEX(发票统计!S$4:S$1003,$W147)))</f>
        <v/>
      </c>
      <c r="T147" s="56" t="str">
        <f aca="false">IF($W147="","",SUM(Q$4:Q147)-SUM(R$4:R147)-SUM(S$4:S147))</f>
        <v/>
      </c>
      <c r="U147" s="56" t="str">
        <f aca="false">IF($W147="","",INDEX(发票统计!U$4:U$1003,$W147)&amp;"")</f>
        <v/>
      </c>
      <c r="W147" s="1" t="str">
        <f aca="false">IF($V$3="","",IFERROR(MATCH($V$3&amp;"#"&amp;ROWS(W$4:W147),发票统计!$W$4:$W$1003,0),""))</f>
        <v/>
      </c>
    </row>
    <row r="148" customFormat="false" ht="16.5" hidden="false" customHeight="false" outlineLevel="0" collapsed="false">
      <c r="A148" s="3" t="str">
        <f aca="false">IF($W148="","",INDEX(发票统计!A$4:A$1003,$W148)&amp;"")</f>
        <v/>
      </c>
      <c r="B148" s="3" t="str">
        <f aca="false">IF($W148="","",INDEX(发票统计!B$4:B$1003,$W148)&amp;"")</f>
        <v/>
      </c>
      <c r="C148" s="3" t="str">
        <f aca="false">IF($W148="","",INDEX(发票统计!C$4:C$1003,$W148)&amp;"")</f>
        <v/>
      </c>
      <c r="D148" s="3" t="str">
        <f aca="false">IF($W148="","",INDEX(发票统计!D$4:D$1003,$W148)&amp;"")</f>
        <v/>
      </c>
      <c r="E148" s="67" t="str">
        <f aca="false">IF($W148="","",INDEX(发票统计!E$4:E$1003,$W148)&amp;"")</f>
        <v/>
      </c>
      <c r="F148" s="68" t="str">
        <f aca="false">IF($W148="","",INDEX(发票统计!F$4:F$1003,$W148)&amp;"")</f>
        <v/>
      </c>
      <c r="G148" s="68" t="str">
        <f aca="false">IF($W148="","",IF(INDEX(发票统计!G$4:G$1003,$W148)="","",INDEX(发票统计!G$4:G$1003,$W148)))</f>
        <v/>
      </c>
      <c r="H148" s="56" t="str">
        <f aca="false">IF($W148="","",N(INDEX(发票统计!H$4:H$1003,$W148)))</f>
        <v/>
      </c>
      <c r="I148" s="56" t="str">
        <f aca="false">IF($W148="","",N(INDEX(发票统计!I$4:I$1003,$W148)))</f>
        <v/>
      </c>
      <c r="J148" s="56" t="str">
        <f aca="false">IF($W148="","",N(INDEX(发票统计!J$4:J$1003,$W148)))</f>
        <v/>
      </c>
      <c r="K148" s="56" t="str">
        <f aca="false">IF($W148="","",N(INDEX(发票统计!K$4:K$1003,$W148)))</f>
        <v/>
      </c>
      <c r="L148" s="56" t="str">
        <f aca="false">IF($W148="","",SUM(J$4:J148)-SUM(K$4:K148))</f>
        <v/>
      </c>
      <c r="M148" s="56" t="str">
        <f aca="false">IF($W148="","",N(INDEX(发票统计!M$4:M$1003,$W148)))</f>
        <v/>
      </c>
      <c r="N148" s="56" t="str">
        <f aca="false">IF($W148="","",N(INDEX(发票统计!N$4:N$1003,$W148)))</f>
        <v/>
      </c>
      <c r="O148" s="56" t="str">
        <f aca="false">IF($W148="","",N(INDEX(发票统计!O$4:O$1003,$W148)))</f>
        <v/>
      </c>
      <c r="P148" s="56" t="str">
        <f aca="false">IF($W148="","",SUM(M$4:M148)-SUM(N$4:N148)-SUM(O$4:O148))</f>
        <v/>
      </c>
      <c r="Q148" s="56" t="str">
        <f aca="false">IF($W148="","",N(INDEX(发票统计!Q$4:Q$1003,$W148)))</f>
        <v/>
      </c>
      <c r="R148" s="56" t="str">
        <f aca="false">IF($W148="","",N(INDEX(发票统计!R$4:R$1003,$W148)))</f>
        <v/>
      </c>
      <c r="S148" s="56" t="str">
        <f aca="false">IF($W148="","",N(INDEX(发票统计!S$4:S$1003,$W148)))</f>
        <v/>
      </c>
      <c r="T148" s="56" t="str">
        <f aca="false">IF($W148="","",SUM(Q$4:Q148)-SUM(R$4:R148)-SUM(S$4:S148))</f>
        <v/>
      </c>
      <c r="U148" s="56" t="str">
        <f aca="false">IF($W148="","",INDEX(发票统计!U$4:U$1003,$W148)&amp;"")</f>
        <v/>
      </c>
      <c r="W148" s="1" t="str">
        <f aca="false">IF($V$3="","",IFERROR(MATCH($V$3&amp;"#"&amp;ROWS(W$4:W148),发票统计!$W$4:$W$1003,0),""))</f>
        <v/>
      </c>
    </row>
    <row r="149" customFormat="false" ht="16.5" hidden="false" customHeight="false" outlineLevel="0" collapsed="false">
      <c r="A149" s="3" t="str">
        <f aca="false">IF($W149="","",INDEX(发票统计!A$4:A$1003,$W149)&amp;"")</f>
        <v/>
      </c>
      <c r="B149" s="3" t="str">
        <f aca="false">IF($W149="","",INDEX(发票统计!B$4:B$1003,$W149)&amp;"")</f>
        <v/>
      </c>
      <c r="C149" s="3" t="str">
        <f aca="false">IF($W149="","",INDEX(发票统计!C$4:C$1003,$W149)&amp;"")</f>
        <v/>
      </c>
      <c r="D149" s="3" t="str">
        <f aca="false">IF($W149="","",INDEX(发票统计!D$4:D$1003,$W149)&amp;"")</f>
        <v/>
      </c>
      <c r="E149" s="67" t="str">
        <f aca="false">IF($W149="","",INDEX(发票统计!E$4:E$1003,$W149)&amp;"")</f>
        <v/>
      </c>
      <c r="F149" s="68" t="str">
        <f aca="false">IF($W149="","",INDEX(发票统计!F$4:F$1003,$W149)&amp;"")</f>
        <v/>
      </c>
      <c r="G149" s="68" t="str">
        <f aca="false">IF($W149="","",IF(INDEX(发票统计!G$4:G$1003,$W149)="","",INDEX(发票统计!G$4:G$1003,$W149)))</f>
        <v/>
      </c>
      <c r="H149" s="56" t="str">
        <f aca="false">IF($W149="","",N(INDEX(发票统计!H$4:H$1003,$W149)))</f>
        <v/>
      </c>
      <c r="I149" s="56" t="str">
        <f aca="false">IF($W149="","",N(INDEX(发票统计!I$4:I$1003,$W149)))</f>
        <v/>
      </c>
      <c r="J149" s="56" t="str">
        <f aca="false">IF($W149="","",N(INDEX(发票统计!J$4:J$1003,$W149)))</f>
        <v/>
      </c>
      <c r="K149" s="56" t="str">
        <f aca="false">IF($W149="","",N(INDEX(发票统计!K$4:K$1003,$W149)))</f>
        <v/>
      </c>
      <c r="L149" s="56" t="str">
        <f aca="false">IF($W149="","",SUM(J$4:J149)-SUM(K$4:K149))</f>
        <v/>
      </c>
      <c r="M149" s="56" t="str">
        <f aca="false">IF($W149="","",N(INDEX(发票统计!M$4:M$1003,$W149)))</f>
        <v/>
      </c>
      <c r="N149" s="56" t="str">
        <f aca="false">IF($W149="","",N(INDEX(发票统计!N$4:N$1003,$W149)))</f>
        <v/>
      </c>
      <c r="O149" s="56" t="str">
        <f aca="false">IF($W149="","",N(INDEX(发票统计!O$4:O$1003,$W149)))</f>
        <v/>
      </c>
      <c r="P149" s="56" t="str">
        <f aca="false">IF($W149="","",SUM(M$4:M149)-SUM(N$4:N149)-SUM(O$4:O149))</f>
        <v/>
      </c>
      <c r="Q149" s="56" t="str">
        <f aca="false">IF($W149="","",N(INDEX(发票统计!Q$4:Q$1003,$W149)))</f>
        <v/>
      </c>
      <c r="R149" s="56" t="str">
        <f aca="false">IF($W149="","",N(INDEX(发票统计!R$4:R$1003,$W149)))</f>
        <v/>
      </c>
      <c r="S149" s="56" t="str">
        <f aca="false">IF($W149="","",N(INDEX(发票统计!S$4:S$1003,$W149)))</f>
        <v/>
      </c>
      <c r="T149" s="56" t="str">
        <f aca="false">IF($W149="","",SUM(Q$4:Q149)-SUM(R$4:R149)-SUM(S$4:S149))</f>
        <v/>
      </c>
      <c r="U149" s="56" t="str">
        <f aca="false">IF($W149="","",INDEX(发票统计!U$4:U$1003,$W149)&amp;"")</f>
        <v/>
      </c>
      <c r="W149" s="1" t="str">
        <f aca="false">IF($V$3="","",IFERROR(MATCH($V$3&amp;"#"&amp;ROWS(W$4:W149),发票统计!$W$4:$W$1003,0),""))</f>
        <v/>
      </c>
    </row>
    <row r="150" customFormat="false" ht="16.5" hidden="false" customHeight="false" outlineLevel="0" collapsed="false">
      <c r="A150" s="3" t="str">
        <f aca="false">IF($W150="","",INDEX(发票统计!A$4:A$1003,$W150)&amp;"")</f>
        <v/>
      </c>
      <c r="B150" s="3" t="str">
        <f aca="false">IF($W150="","",INDEX(发票统计!B$4:B$1003,$W150)&amp;"")</f>
        <v/>
      </c>
      <c r="C150" s="3" t="str">
        <f aca="false">IF($W150="","",INDEX(发票统计!C$4:C$1003,$W150)&amp;"")</f>
        <v/>
      </c>
      <c r="D150" s="3" t="str">
        <f aca="false">IF($W150="","",INDEX(发票统计!D$4:D$1003,$W150)&amp;"")</f>
        <v/>
      </c>
      <c r="E150" s="67" t="str">
        <f aca="false">IF($W150="","",INDEX(发票统计!E$4:E$1003,$W150)&amp;"")</f>
        <v/>
      </c>
      <c r="F150" s="68" t="str">
        <f aca="false">IF($W150="","",INDEX(发票统计!F$4:F$1003,$W150)&amp;"")</f>
        <v/>
      </c>
      <c r="G150" s="68" t="str">
        <f aca="false">IF($W150="","",IF(INDEX(发票统计!G$4:G$1003,$W150)="","",INDEX(发票统计!G$4:G$1003,$W150)))</f>
        <v/>
      </c>
      <c r="H150" s="56" t="str">
        <f aca="false">IF($W150="","",N(INDEX(发票统计!H$4:H$1003,$W150)))</f>
        <v/>
      </c>
      <c r="I150" s="56" t="str">
        <f aca="false">IF($W150="","",N(INDEX(发票统计!I$4:I$1003,$W150)))</f>
        <v/>
      </c>
      <c r="J150" s="56" t="str">
        <f aca="false">IF($W150="","",N(INDEX(发票统计!J$4:J$1003,$W150)))</f>
        <v/>
      </c>
      <c r="K150" s="56" t="str">
        <f aca="false">IF($W150="","",N(INDEX(发票统计!K$4:K$1003,$W150)))</f>
        <v/>
      </c>
      <c r="L150" s="56" t="str">
        <f aca="false">IF($W150="","",SUM(J$4:J150)-SUM(K$4:K150))</f>
        <v/>
      </c>
      <c r="M150" s="56" t="str">
        <f aca="false">IF($W150="","",N(INDEX(发票统计!M$4:M$1003,$W150)))</f>
        <v/>
      </c>
      <c r="N150" s="56" t="str">
        <f aca="false">IF($W150="","",N(INDEX(发票统计!N$4:N$1003,$W150)))</f>
        <v/>
      </c>
      <c r="O150" s="56" t="str">
        <f aca="false">IF($W150="","",N(INDEX(发票统计!O$4:O$1003,$W150)))</f>
        <v/>
      </c>
      <c r="P150" s="56" t="str">
        <f aca="false">IF($W150="","",SUM(M$4:M150)-SUM(N$4:N150)-SUM(O$4:O150))</f>
        <v/>
      </c>
      <c r="Q150" s="56" t="str">
        <f aca="false">IF($W150="","",N(INDEX(发票统计!Q$4:Q$1003,$W150)))</f>
        <v/>
      </c>
      <c r="R150" s="56" t="str">
        <f aca="false">IF($W150="","",N(INDEX(发票统计!R$4:R$1003,$W150)))</f>
        <v/>
      </c>
      <c r="S150" s="56" t="str">
        <f aca="false">IF($W150="","",N(INDEX(发票统计!S$4:S$1003,$W150)))</f>
        <v/>
      </c>
      <c r="T150" s="56" t="str">
        <f aca="false">IF($W150="","",SUM(Q$4:Q150)-SUM(R$4:R150)-SUM(S$4:S150))</f>
        <v/>
      </c>
      <c r="U150" s="56" t="str">
        <f aca="false">IF($W150="","",INDEX(发票统计!U$4:U$1003,$W150)&amp;"")</f>
        <v/>
      </c>
      <c r="W150" s="1" t="str">
        <f aca="false">IF($V$3="","",IFERROR(MATCH($V$3&amp;"#"&amp;ROWS(W$4:W150),发票统计!$W$4:$W$1003,0),""))</f>
        <v/>
      </c>
    </row>
    <row r="151" customFormat="false" ht="16.5" hidden="false" customHeight="false" outlineLevel="0" collapsed="false">
      <c r="A151" s="3" t="str">
        <f aca="false">IF($W151="","",INDEX(发票统计!A$4:A$1003,$W151)&amp;"")</f>
        <v/>
      </c>
      <c r="B151" s="3" t="str">
        <f aca="false">IF($W151="","",INDEX(发票统计!B$4:B$1003,$W151)&amp;"")</f>
        <v/>
      </c>
      <c r="C151" s="3" t="str">
        <f aca="false">IF($W151="","",INDEX(发票统计!C$4:C$1003,$W151)&amp;"")</f>
        <v/>
      </c>
      <c r="D151" s="3" t="str">
        <f aca="false">IF($W151="","",INDEX(发票统计!D$4:D$1003,$W151)&amp;"")</f>
        <v/>
      </c>
      <c r="E151" s="67" t="str">
        <f aca="false">IF($W151="","",INDEX(发票统计!E$4:E$1003,$W151)&amp;"")</f>
        <v/>
      </c>
      <c r="F151" s="68" t="str">
        <f aca="false">IF($W151="","",INDEX(发票统计!F$4:F$1003,$W151)&amp;"")</f>
        <v/>
      </c>
      <c r="G151" s="68" t="str">
        <f aca="false">IF($W151="","",IF(INDEX(发票统计!G$4:G$1003,$W151)="","",INDEX(发票统计!G$4:G$1003,$W151)))</f>
        <v/>
      </c>
      <c r="H151" s="56" t="str">
        <f aca="false">IF($W151="","",N(INDEX(发票统计!H$4:H$1003,$W151)))</f>
        <v/>
      </c>
      <c r="I151" s="56" t="str">
        <f aca="false">IF($W151="","",N(INDEX(发票统计!I$4:I$1003,$W151)))</f>
        <v/>
      </c>
      <c r="J151" s="56" t="str">
        <f aca="false">IF($W151="","",N(INDEX(发票统计!J$4:J$1003,$W151)))</f>
        <v/>
      </c>
      <c r="K151" s="56" t="str">
        <f aca="false">IF($W151="","",N(INDEX(发票统计!K$4:K$1003,$W151)))</f>
        <v/>
      </c>
      <c r="L151" s="56" t="str">
        <f aca="false">IF($W151="","",SUM(J$4:J151)-SUM(K$4:K151))</f>
        <v/>
      </c>
      <c r="M151" s="56" t="str">
        <f aca="false">IF($W151="","",N(INDEX(发票统计!M$4:M$1003,$W151)))</f>
        <v/>
      </c>
      <c r="N151" s="56" t="str">
        <f aca="false">IF($W151="","",N(INDEX(发票统计!N$4:N$1003,$W151)))</f>
        <v/>
      </c>
      <c r="O151" s="56" t="str">
        <f aca="false">IF($W151="","",N(INDEX(发票统计!O$4:O$1003,$W151)))</f>
        <v/>
      </c>
      <c r="P151" s="56" t="str">
        <f aca="false">IF($W151="","",SUM(M$4:M151)-SUM(N$4:N151)-SUM(O$4:O151))</f>
        <v/>
      </c>
      <c r="Q151" s="56" t="str">
        <f aca="false">IF($W151="","",N(INDEX(发票统计!Q$4:Q$1003,$W151)))</f>
        <v/>
      </c>
      <c r="R151" s="56" t="str">
        <f aca="false">IF($W151="","",N(INDEX(发票统计!R$4:R$1003,$W151)))</f>
        <v/>
      </c>
      <c r="S151" s="56" t="str">
        <f aca="false">IF($W151="","",N(INDEX(发票统计!S$4:S$1003,$W151)))</f>
        <v/>
      </c>
      <c r="T151" s="56" t="str">
        <f aca="false">IF($W151="","",SUM(Q$4:Q151)-SUM(R$4:R151)-SUM(S$4:S151))</f>
        <v/>
      </c>
      <c r="U151" s="56" t="str">
        <f aca="false">IF($W151="","",INDEX(发票统计!U$4:U$1003,$W151)&amp;"")</f>
        <v/>
      </c>
      <c r="W151" s="1" t="str">
        <f aca="false">IF($V$3="","",IFERROR(MATCH($V$3&amp;"#"&amp;ROWS(W$4:W151),发票统计!$W$4:$W$1003,0),""))</f>
        <v/>
      </c>
    </row>
    <row r="152" customFormat="false" ht="16.5" hidden="false" customHeight="false" outlineLevel="0" collapsed="false">
      <c r="A152" s="3" t="str">
        <f aca="false">IF($W152="","",INDEX(发票统计!A$4:A$1003,$W152)&amp;"")</f>
        <v/>
      </c>
      <c r="B152" s="3" t="str">
        <f aca="false">IF($W152="","",INDEX(发票统计!B$4:B$1003,$W152)&amp;"")</f>
        <v/>
      </c>
      <c r="C152" s="3" t="str">
        <f aca="false">IF($W152="","",INDEX(发票统计!C$4:C$1003,$W152)&amp;"")</f>
        <v/>
      </c>
      <c r="D152" s="3" t="str">
        <f aca="false">IF($W152="","",INDEX(发票统计!D$4:D$1003,$W152)&amp;"")</f>
        <v/>
      </c>
      <c r="E152" s="67" t="str">
        <f aca="false">IF($W152="","",INDEX(发票统计!E$4:E$1003,$W152)&amp;"")</f>
        <v/>
      </c>
      <c r="F152" s="68" t="str">
        <f aca="false">IF($W152="","",INDEX(发票统计!F$4:F$1003,$W152)&amp;"")</f>
        <v/>
      </c>
      <c r="G152" s="68" t="str">
        <f aca="false">IF($W152="","",IF(INDEX(发票统计!G$4:G$1003,$W152)="","",INDEX(发票统计!G$4:G$1003,$W152)))</f>
        <v/>
      </c>
      <c r="H152" s="56" t="str">
        <f aca="false">IF($W152="","",N(INDEX(发票统计!H$4:H$1003,$W152)))</f>
        <v/>
      </c>
      <c r="I152" s="56" t="str">
        <f aca="false">IF($W152="","",N(INDEX(发票统计!I$4:I$1003,$W152)))</f>
        <v/>
      </c>
      <c r="J152" s="56" t="str">
        <f aca="false">IF($W152="","",N(INDEX(发票统计!J$4:J$1003,$W152)))</f>
        <v/>
      </c>
      <c r="K152" s="56" t="str">
        <f aca="false">IF($W152="","",N(INDEX(发票统计!K$4:K$1003,$W152)))</f>
        <v/>
      </c>
      <c r="L152" s="56" t="str">
        <f aca="false">IF($W152="","",SUM(J$4:J152)-SUM(K$4:K152))</f>
        <v/>
      </c>
      <c r="M152" s="56" t="str">
        <f aca="false">IF($W152="","",N(INDEX(发票统计!M$4:M$1003,$W152)))</f>
        <v/>
      </c>
      <c r="N152" s="56" t="str">
        <f aca="false">IF($W152="","",N(INDEX(发票统计!N$4:N$1003,$W152)))</f>
        <v/>
      </c>
      <c r="O152" s="56" t="str">
        <f aca="false">IF($W152="","",N(INDEX(发票统计!O$4:O$1003,$W152)))</f>
        <v/>
      </c>
      <c r="P152" s="56" t="str">
        <f aca="false">IF($W152="","",SUM(M$4:M152)-SUM(N$4:N152)-SUM(O$4:O152))</f>
        <v/>
      </c>
      <c r="Q152" s="56" t="str">
        <f aca="false">IF($W152="","",N(INDEX(发票统计!Q$4:Q$1003,$W152)))</f>
        <v/>
      </c>
      <c r="R152" s="56" t="str">
        <f aca="false">IF($W152="","",N(INDEX(发票统计!R$4:R$1003,$W152)))</f>
        <v/>
      </c>
      <c r="S152" s="56" t="str">
        <f aca="false">IF($W152="","",N(INDEX(发票统计!S$4:S$1003,$W152)))</f>
        <v/>
      </c>
      <c r="T152" s="56" t="str">
        <f aca="false">IF($W152="","",SUM(Q$4:Q152)-SUM(R$4:R152)-SUM(S$4:S152))</f>
        <v/>
      </c>
      <c r="U152" s="56" t="str">
        <f aca="false">IF($W152="","",INDEX(发票统计!U$4:U$1003,$W152)&amp;"")</f>
        <v/>
      </c>
      <c r="W152" s="1" t="str">
        <f aca="false">IF($V$3="","",IFERROR(MATCH($V$3&amp;"#"&amp;ROWS(W$4:W152),发票统计!$W$4:$W$1003,0),""))</f>
        <v/>
      </c>
    </row>
    <row r="153" customFormat="false" ht="16.5" hidden="false" customHeight="false" outlineLevel="0" collapsed="false">
      <c r="A153" s="3" t="str">
        <f aca="false">IF($W153="","",INDEX(发票统计!A$4:A$1003,$W153)&amp;"")</f>
        <v/>
      </c>
      <c r="B153" s="3" t="str">
        <f aca="false">IF($W153="","",INDEX(发票统计!B$4:B$1003,$W153)&amp;"")</f>
        <v/>
      </c>
      <c r="C153" s="3" t="str">
        <f aca="false">IF($W153="","",INDEX(发票统计!C$4:C$1003,$W153)&amp;"")</f>
        <v/>
      </c>
      <c r="D153" s="3" t="str">
        <f aca="false">IF($W153="","",INDEX(发票统计!D$4:D$1003,$W153)&amp;"")</f>
        <v/>
      </c>
      <c r="E153" s="67" t="str">
        <f aca="false">IF($W153="","",INDEX(发票统计!E$4:E$1003,$W153)&amp;"")</f>
        <v/>
      </c>
      <c r="F153" s="68" t="str">
        <f aca="false">IF($W153="","",INDEX(发票统计!F$4:F$1003,$W153)&amp;"")</f>
        <v/>
      </c>
      <c r="G153" s="68" t="str">
        <f aca="false">IF($W153="","",IF(INDEX(发票统计!G$4:G$1003,$W153)="","",INDEX(发票统计!G$4:G$1003,$W153)))</f>
        <v/>
      </c>
      <c r="H153" s="56" t="str">
        <f aca="false">IF($W153="","",N(INDEX(发票统计!H$4:H$1003,$W153)))</f>
        <v/>
      </c>
      <c r="I153" s="56" t="str">
        <f aca="false">IF($W153="","",N(INDEX(发票统计!I$4:I$1003,$W153)))</f>
        <v/>
      </c>
      <c r="J153" s="56" t="str">
        <f aca="false">IF($W153="","",N(INDEX(发票统计!J$4:J$1003,$W153)))</f>
        <v/>
      </c>
      <c r="K153" s="56" t="str">
        <f aca="false">IF($W153="","",N(INDEX(发票统计!K$4:K$1003,$W153)))</f>
        <v/>
      </c>
      <c r="L153" s="56" t="str">
        <f aca="false">IF($W153="","",SUM(J$4:J153)-SUM(K$4:K153))</f>
        <v/>
      </c>
      <c r="M153" s="56" t="str">
        <f aca="false">IF($W153="","",N(INDEX(发票统计!M$4:M$1003,$W153)))</f>
        <v/>
      </c>
      <c r="N153" s="56" t="str">
        <f aca="false">IF($W153="","",N(INDEX(发票统计!N$4:N$1003,$W153)))</f>
        <v/>
      </c>
      <c r="O153" s="56" t="str">
        <f aca="false">IF($W153="","",N(INDEX(发票统计!O$4:O$1003,$W153)))</f>
        <v/>
      </c>
      <c r="P153" s="56" t="str">
        <f aca="false">IF($W153="","",SUM(M$4:M153)-SUM(N$4:N153)-SUM(O$4:O153))</f>
        <v/>
      </c>
      <c r="Q153" s="56" t="str">
        <f aca="false">IF($W153="","",N(INDEX(发票统计!Q$4:Q$1003,$W153)))</f>
        <v/>
      </c>
      <c r="R153" s="56" t="str">
        <f aca="false">IF($W153="","",N(INDEX(发票统计!R$4:R$1003,$W153)))</f>
        <v/>
      </c>
      <c r="S153" s="56" t="str">
        <f aca="false">IF($W153="","",N(INDEX(发票统计!S$4:S$1003,$W153)))</f>
        <v/>
      </c>
      <c r="T153" s="56" t="str">
        <f aca="false">IF($W153="","",SUM(Q$4:Q153)-SUM(R$4:R153)-SUM(S$4:S153))</f>
        <v/>
      </c>
      <c r="U153" s="56" t="str">
        <f aca="false">IF($W153="","",INDEX(发票统计!U$4:U$1003,$W153)&amp;"")</f>
        <v/>
      </c>
      <c r="W153" s="1" t="str">
        <f aca="false">IF($V$3="","",IFERROR(MATCH($V$3&amp;"#"&amp;ROWS(W$4:W153),发票统计!$W$4:$W$1003,0),""))</f>
        <v/>
      </c>
    </row>
    <row r="154" customFormat="false" ht="16.5" hidden="false" customHeight="false" outlineLevel="0" collapsed="false">
      <c r="A154" s="3" t="str">
        <f aca="false">IF($W154="","",INDEX(发票统计!A$4:A$1003,$W154)&amp;"")</f>
        <v/>
      </c>
      <c r="B154" s="3" t="str">
        <f aca="false">IF($W154="","",INDEX(发票统计!B$4:B$1003,$W154)&amp;"")</f>
        <v/>
      </c>
      <c r="C154" s="3" t="str">
        <f aca="false">IF($W154="","",INDEX(发票统计!C$4:C$1003,$W154)&amp;"")</f>
        <v/>
      </c>
      <c r="D154" s="3" t="str">
        <f aca="false">IF($W154="","",INDEX(发票统计!D$4:D$1003,$W154)&amp;"")</f>
        <v/>
      </c>
      <c r="E154" s="67" t="str">
        <f aca="false">IF($W154="","",INDEX(发票统计!E$4:E$1003,$W154)&amp;"")</f>
        <v/>
      </c>
      <c r="F154" s="68" t="str">
        <f aca="false">IF($W154="","",INDEX(发票统计!F$4:F$1003,$W154)&amp;"")</f>
        <v/>
      </c>
      <c r="G154" s="68" t="str">
        <f aca="false">IF($W154="","",IF(INDEX(发票统计!G$4:G$1003,$W154)="","",INDEX(发票统计!G$4:G$1003,$W154)))</f>
        <v/>
      </c>
      <c r="H154" s="56" t="str">
        <f aca="false">IF($W154="","",N(INDEX(发票统计!H$4:H$1003,$W154)))</f>
        <v/>
      </c>
      <c r="I154" s="56" t="str">
        <f aca="false">IF($W154="","",N(INDEX(发票统计!I$4:I$1003,$W154)))</f>
        <v/>
      </c>
      <c r="J154" s="56" t="str">
        <f aca="false">IF($W154="","",N(INDEX(发票统计!J$4:J$1003,$W154)))</f>
        <v/>
      </c>
      <c r="K154" s="56" t="str">
        <f aca="false">IF($W154="","",N(INDEX(发票统计!K$4:K$1003,$W154)))</f>
        <v/>
      </c>
      <c r="L154" s="56" t="str">
        <f aca="false">IF($W154="","",SUM(J$4:J154)-SUM(K$4:K154))</f>
        <v/>
      </c>
      <c r="M154" s="56" t="str">
        <f aca="false">IF($W154="","",N(INDEX(发票统计!M$4:M$1003,$W154)))</f>
        <v/>
      </c>
      <c r="N154" s="56" t="str">
        <f aca="false">IF($W154="","",N(INDEX(发票统计!N$4:N$1003,$W154)))</f>
        <v/>
      </c>
      <c r="O154" s="56" t="str">
        <f aca="false">IF($W154="","",N(INDEX(发票统计!O$4:O$1003,$W154)))</f>
        <v/>
      </c>
      <c r="P154" s="56" t="str">
        <f aca="false">IF($W154="","",SUM(M$4:M154)-SUM(N$4:N154)-SUM(O$4:O154))</f>
        <v/>
      </c>
      <c r="Q154" s="56" t="str">
        <f aca="false">IF($W154="","",N(INDEX(发票统计!Q$4:Q$1003,$W154)))</f>
        <v/>
      </c>
      <c r="R154" s="56" t="str">
        <f aca="false">IF($W154="","",N(INDEX(发票统计!R$4:R$1003,$W154)))</f>
        <v/>
      </c>
      <c r="S154" s="56" t="str">
        <f aca="false">IF($W154="","",N(INDEX(发票统计!S$4:S$1003,$W154)))</f>
        <v/>
      </c>
      <c r="T154" s="56" t="str">
        <f aca="false">IF($W154="","",SUM(Q$4:Q154)-SUM(R$4:R154)-SUM(S$4:S154))</f>
        <v/>
      </c>
      <c r="U154" s="56" t="str">
        <f aca="false">IF($W154="","",INDEX(发票统计!U$4:U$1003,$W154)&amp;"")</f>
        <v/>
      </c>
      <c r="W154" s="1" t="str">
        <f aca="false">IF($V$3="","",IFERROR(MATCH($V$3&amp;"#"&amp;ROWS(W$4:W154),发票统计!$W$4:$W$1003,0),""))</f>
        <v/>
      </c>
    </row>
    <row r="155" customFormat="false" ht="16.5" hidden="false" customHeight="false" outlineLevel="0" collapsed="false">
      <c r="A155" s="3" t="str">
        <f aca="false">IF($W155="","",INDEX(发票统计!A$4:A$1003,$W155)&amp;"")</f>
        <v/>
      </c>
      <c r="B155" s="3" t="str">
        <f aca="false">IF($W155="","",INDEX(发票统计!B$4:B$1003,$W155)&amp;"")</f>
        <v/>
      </c>
      <c r="C155" s="3" t="str">
        <f aca="false">IF($W155="","",INDEX(发票统计!C$4:C$1003,$W155)&amp;"")</f>
        <v/>
      </c>
      <c r="D155" s="3" t="str">
        <f aca="false">IF($W155="","",INDEX(发票统计!D$4:D$1003,$W155)&amp;"")</f>
        <v/>
      </c>
      <c r="E155" s="67" t="str">
        <f aca="false">IF($W155="","",INDEX(发票统计!E$4:E$1003,$W155)&amp;"")</f>
        <v/>
      </c>
      <c r="F155" s="68" t="str">
        <f aca="false">IF($W155="","",INDEX(发票统计!F$4:F$1003,$W155)&amp;"")</f>
        <v/>
      </c>
      <c r="G155" s="68" t="str">
        <f aca="false">IF($W155="","",IF(INDEX(发票统计!G$4:G$1003,$W155)="","",INDEX(发票统计!G$4:G$1003,$W155)))</f>
        <v/>
      </c>
      <c r="H155" s="56" t="str">
        <f aca="false">IF($W155="","",N(INDEX(发票统计!H$4:H$1003,$W155)))</f>
        <v/>
      </c>
      <c r="I155" s="56" t="str">
        <f aca="false">IF($W155="","",N(INDEX(发票统计!I$4:I$1003,$W155)))</f>
        <v/>
      </c>
      <c r="J155" s="56" t="str">
        <f aca="false">IF($W155="","",N(INDEX(发票统计!J$4:J$1003,$W155)))</f>
        <v/>
      </c>
      <c r="K155" s="56" t="str">
        <f aca="false">IF($W155="","",N(INDEX(发票统计!K$4:K$1003,$W155)))</f>
        <v/>
      </c>
      <c r="L155" s="56" t="str">
        <f aca="false">IF($W155="","",SUM(J$4:J155)-SUM(K$4:K155))</f>
        <v/>
      </c>
      <c r="M155" s="56" t="str">
        <f aca="false">IF($W155="","",N(INDEX(发票统计!M$4:M$1003,$W155)))</f>
        <v/>
      </c>
      <c r="N155" s="56" t="str">
        <f aca="false">IF($W155="","",N(INDEX(发票统计!N$4:N$1003,$W155)))</f>
        <v/>
      </c>
      <c r="O155" s="56" t="str">
        <f aca="false">IF($W155="","",N(INDEX(发票统计!O$4:O$1003,$W155)))</f>
        <v/>
      </c>
      <c r="P155" s="56" t="str">
        <f aca="false">IF($W155="","",SUM(M$4:M155)-SUM(N$4:N155)-SUM(O$4:O155))</f>
        <v/>
      </c>
      <c r="Q155" s="56" t="str">
        <f aca="false">IF($W155="","",N(INDEX(发票统计!Q$4:Q$1003,$W155)))</f>
        <v/>
      </c>
      <c r="R155" s="56" t="str">
        <f aca="false">IF($W155="","",N(INDEX(发票统计!R$4:R$1003,$W155)))</f>
        <v/>
      </c>
      <c r="S155" s="56" t="str">
        <f aca="false">IF($W155="","",N(INDEX(发票统计!S$4:S$1003,$W155)))</f>
        <v/>
      </c>
      <c r="T155" s="56" t="str">
        <f aca="false">IF($W155="","",SUM(Q$4:Q155)-SUM(R$4:R155)-SUM(S$4:S155))</f>
        <v/>
      </c>
      <c r="U155" s="56" t="str">
        <f aca="false">IF($W155="","",INDEX(发票统计!U$4:U$1003,$W155)&amp;"")</f>
        <v/>
      </c>
      <c r="W155" s="1" t="str">
        <f aca="false">IF($V$3="","",IFERROR(MATCH($V$3&amp;"#"&amp;ROWS(W$4:W155),发票统计!$W$4:$W$1003,0),""))</f>
        <v/>
      </c>
    </row>
    <row r="156" customFormat="false" ht="16.5" hidden="false" customHeight="false" outlineLevel="0" collapsed="false">
      <c r="A156" s="3" t="str">
        <f aca="false">IF($W156="","",INDEX(发票统计!A$4:A$1003,$W156)&amp;"")</f>
        <v/>
      </c>
      <c r="B156" s="3" t="str">
        <f aca="false">IF($W156="","",INDEX(发票统计!B$4:B$1003,$W156)&amp;"")</f>
        <v/>
      </c>
      <c r="C156" s="3" t="str">
        <f aca="false">IF($W156="","",INDEX(发票统计!C$4:C$1003,$W156)&amp;"")</f>
        <v/>
      </c>
      <c r="D156" s="3" t="str">
        <f aca="false">IF($W156="","",INDEX(发票统计!D$4:D$1003,$W156)&amp;"")</f>
        <v/>
      </c>
      <c r="E156" s="67" t="str">
        <f aca="false">IF($W156="","",INDEX(发票统计!E$4:E$1003,$W156)&amp;"")</f>
        <v/>
      </c>
      <c r="F156" s="68" t="str">
        <f aca="false">IF($W156="","",INDEX(发票统计!F$4:F$1003,$W156)&amp;"")</f>
        <v/>
      </c>
      <c r="G156" s="68" t="str">
        <f aca="false">IF($W156="","",IF(INDEX(发票统计!G$4:G$1003,$W156)="","",INDEX(发票统计!G$4:G$1003,$W156)))</f>
        <v/>
      </c>
      <c r="H156" s="56" t="str">
        <f aca="false">IF($W156="","",N(INDEX(发票统计!H$4:H$1003,$W156)))</f>
        <v/>
      </c>
      <c r="I156" s="56" t="str">
        <f aca="false">IF($W156="","",N(INDEX(发票统计!I$4:I$1003,$W156)))</f>
        <v/>
      </c>
      <c r="J156" s="56" t="str">
        <f aca="false">IF($W156="","",N(INDEX(发票统计!J$4:J$1003,$W156)))</f>
        <v/>
      </c>
      <c r="K156" s="56" t="str">
        <f aca="false">IF($W156="","",N(INDEX(发票统计!K$4:K$1003,$W156)))</f>
        <v/>
      </c>
      <c r="L156" s="56" t="str">
        <f aca="false">IF($W156="","",SUM(J$4:J156)-SUM(K$4:K156))</f>
        <v/>
      </c>
      <c r="M156" s="56" t="str">
        <f aca="false">IF($W156="","",N(INDEX(发票统计!M$4:M$1003,$W156)))</f>
        <v/>
      </c>
      <c r="N156" s="56" t="str">
        <f aca="false">IF($W156="","",N(INDEX(发票统计!N$4:N$1003,$W156)))</f>
        <v/>
      </c>
      <c r="O156" s="56" t="str">
        <f aca="false">IF($W156="","",N(INDEX(发票统计!O$4:O$1003,$W156)))</f>
        <v/>
      </c>
      <c r="P156" s="56" t="str">
        <f aca="false">IF($W156="","",SUM(M$4:M156)-SUM(N$4:N156)-SUM(O$4:O156))</f>
        <v/>
      </c>
      <c r="Q156" s="56" t="str">
        <f aca="false">IF($W156="","",N(INDEX(发票统计!Q$4:Q$1003,$W156)))</f>
        <v/>
      </c>
      <c r="R156" s="56" t="str">
        <f aca="false">IF($W156="","",N(INDEX(发票统计!R$4:R$1003,$W156)))</f>
        <v/>
      </c>
      <c r="S156" s="56" t="str">
        <f aca="false">IF($W156="","",N(INDEX(发票统计!S$4:S$1003,$W156)))</f>
        <v/>
      </c>
      <c r="T156" s="56" t="str">
        <f aca="false">IF($W156="","",SUM(Q$4:Q156)-SUM(R$4:R156)-SUM(S$4:S156))</f>
        <v/>
      </c>
      <c r="U156" s="56" t="str">
        <f aca="false">IF($W156="","",INDEX(发票统计!U$4:U$1003,$W156)&amp;"")</f>
        <v/>
      </c>
      <c r="W156" s="1" t="str">
        <f aca="false">IF($V$3="","",IFERROR(MATCH($V$3&amp;"#"&amp;ROWS(W$4:W156),发票统计!$W$4:$W$1003,0),""))</f>
        <v/>
      </c>
    </row>
    <row r="157" customFormat="false" ht="16.5" hidden="false" customHeight="false" outlineLevel="0" collapsed="false">
      <c r="A157" s="3" t="str">
        <f aca="false">IF($W157="","",INDEX(发票统计!A$4:A$1003,$W157)&amp;"")</f>
        <v/>
      </c>
      <c r="B157" s="3" t="str">
        <f aca="false">IF($W157="","",INDEX(发票统计!B$4:B$1003,$W157)&amp;"")</f>
        <v/>
      </c>
      <c r="C157" s="3" t="str">
        <f aca="false">IF($W157="","",INDEX(发票统计!C$4:C$1003,$W157)&amp;"")</f>
        <v/>
      </c>
      <c r="D157" s="3" t="str">
        <f aca="false">IF($W157="","",INDEX(发票统计!D$4:D$1003,$W157)&amp;"")</f>
        <v/>
      </c>
      <c r="E157" s="67" t="str">
        <f aca="false">IF($W157="","",INDEX(发票统计!E$4:E$1003,$W157)&amp;"")</f>
        <v/>
      </c>
      <c r="F157" s="68" t="str">
        <f aca="false">IF($W157="","",INDEX(发票统计!F$4:F$1003,$W157)&amp;"")</f>
        <v/>
      </c>
      <c r="G157" s="68" t="str">
        <f aca="false">IF($W157="","",IF(INDEX(发票统计!G$4:G$1003,$W157)="","",INDEX(发票统计!G$4:G$1003,$W157)))</f>
        <v/>
      </c>
      <c r="H157" s="56" t="str">
        <f aca="false">IF($W157="","",N(INDEX(发票统计!H$4:H$1003,$W157)))</f>
        <v/>
      </c>
      <c r="I157" s="56" t="str">
        <f aca="false">IF($W157="","",N(INDEX(发票统计!I$4:I$1003,$W157)))</f>
        <v/>
      </c>
      <c r="J157" s="56" t="str">
        <f aca="false">IF($W157="","",N(INDEX(发票统计!J$4:J$1003,$W157)))</f>
        <v/>
      </c>
      <c r="K157" s="56" t="str">
        <f aca="false">IF($W157="","",N(INDEX(发票统计!K$4:K$1003,$W157)))</f>
        <v/>
      </c>
      <c r="L157" s="56" t="str">
        <f aca="false">IF($W157="","",SUM(J$4:J157)-SUM(K$4:K157))</f>
        <v/>
      </c>
      <c r="M157" s="56" t="str">
        <f aca="false">IF($W157="","",N(INDEX(发票统计!M$4:M$1003,$W157)))</f>
        <v/>
      </c>
      <c r="N157" s="56" t="str">
        <f aca="false">IF($W157="","",N(INDEX(发票统计!N$4:N$1003,$W157)))</f>
        <v/>
      </c>
      <c r="O157" s="56" t="str">
        <f aca="false">IF($W157="","",N(INDEX(发票统计!O$4:O$1003,$W157)))</f>
        <v/>
      </c>
      <c r="P157" s="56" t="str">
        <f aca="false">IF($W157="","",SUM(M$4:M157)-SUM(N$4:N157)-SUM(O$4:O157))</f>
        <v/>
      </c>
      <c r="Q157" s="56" t="str">
        <f aca="false">IF($W157="","",N(INDEX(发票统计!Q$4:Q$1003,$W157)))</f>
        <v/>
      </c>
      <c r="R157" s="56" t="str">
        <f aca="false">IF($W157="","",N(INDEX(发票统计!R$4:R$1003,$W157)))</f>
        <v/>
      </c>
      <c r="S157" s="56" t="str">
        <f aca="false">IF($W157="","",N(INDEX(发票统计!S$4:S$1003,$W157)))</f>
        <v/>
      </c>
      <c r="T157" s="56" t="str">
        <f aca="false">IF($W157="","",SUM(Q$4:Q157)-SUM(R$4:R157)-SUM(S$4:S157))</f>
        <v/>
      </c>
      <c r="U157" s="56" t="str">
        <f aca="false">IF($W157="","",INDEX(发票统计!U$4:U$1003,$W157)&amp;"")</f>
        <v/>
      </c>
      <c r="W157" s="1" t="str">
        <f aca="false">IF($V$3="","",IFERROR(MATCH($V$3&amp;"#"&amp;ROWS(W$4:W157),发票统计!$W$4:$W$1003,0),""))</f>
        <v/>
      </c>
    </row>
    <row r="158" customFormat="false" ht="16.5" hidden="false" customHeight="false" outlineLevel="0" collapsed="false">
      <c r="A158" s="3" t="str">
        <f aca="false">IF($W158="","",INDEX(发票统计!A$4:A$1003,$W158)&amp;"")</f>
        <v/>
      </c>
      <c r="B158" s="3" t="str">
        <f aca="false">IF($W158="","",INDEX(发票统计!B$4:B$1003,$W158)&amp;"")</f>
        <v/>
      </c>
      <c r="C158" s="3" t="str">
        <f aca="false">IF($W158="","",INDEX(发票统计!C$4:C$1003,$W158)&amp;"")</f>
        <v/>
      </c>
      <c r="D158" s="3" t="str">
        <f aca="false">IF($W158="","",INDEX(发票统计!D$4:D$1003,$W158)&amp;"")</f>
        <v/>
      </c>
      <c r="E158" s="67" t="str">
        <f aca="false">IF($W158="","",INDEX(发票统计!E$4:E$1003,$W158)&amp;"")</f>
        <v/>
      </c>
      <c r="F158" s="68" t="str">
        <f aca="false">IF($W158="","",INDEX(发票统计!F$4:F$1003,$W158)&amp;"")</f>
        <v/>
      </c>
      <c r="G158" s="68" t="str">
        <f aca="false">IF($W158="","",IF(INDEX(发票统计!G$4:G$1003,$W158)="","",INDEX(发票统计!G$4:G$1003,$W158)))</f>
        <v/>
      </c>
      <c r="H158" s="56" t="str">
        <f aca="false">IF($W158="","",N(INDEX(发票统计!H$4:H$1003,$W158)))</f>
        <v/>
      </c>
      <c r="I158" s="56" t="str">
        <f aca="false">IF($W158="","",N(INDEX(发票统计!I$4:I$1003,$W158)))</f>
        <v/>
      </c>
      <c r="J158" s="56" t="str">
        <f aca="false">IF($W158="","",N(INDEX(发票统计!J$4:J$1003,$W158)))</f>
        <v/>
      </c>
      <c r="K158" s="56" t="str">
        <f aca="false">IF($W158="","",N(INDEX(发票统计!K$4:K$1003,$W158)))</f>
        <v/>
      </c>
      <c r="L158" s="56" t="str">
        <f aca="false">IF($W158="","",SUM(J$4:J158)-SUM(K$4:K158))</f>
        <v/>
      </c>
      <c r="M158" s="56" t="str">
        <f aca="false">IF($W158="","",N(INDEX(发票统计!M$4:M$1003,$W158)))</f>
        <v/>
      </c>
      <c r="N158" s="56" t="str">
        <f aca="false">IF($W158="","",N(INDEX(发票统计!N$4:N$1003,$W158)))</f>
        <v/>
      </c>
      <c r="O158" s="56" t="str">
        <f aca="false">IF($W158="","",N(INDEX(发票统计!O$4:O$1003,$W158)))</f>
        <v/>
      </c>
      <c r="P158" s="56" t="str">
        <f aca="false">IF($W158="","",SUM(M$4:M158)-SUM(N$4:N158)-SUM(O$4:O158))</f>
        <v/>
      </c>
      <c r="Q158" s="56" t="str">
        <f aca="false">IF($W158="","",N(INDEX(发票统计!Q$4:Q$1003,$W158)))</f>
        <v/>
      </c>
      <c r="R158" s="56" t="str">
        <f aca="false">IF($W158="","",N(INDEX(发票统计!R$4:R$1003,$W158)))</f>
        <v/>
      </c>
      <c r="S158" s="56" t="str">
        <f aca="false">IF($W158="","",N(INDEX(发票统计!S$4:S$1003,$W158)))</f>
        <v/>
      </c>
      <c r="T158" s="56" t="str">
        <f aca="false">IF($W158="","",SUM(Q$4:Q158)-SUM(R$4:R158)-SUM(S$4:S158))</f>
        <v/>
      </c>
      <c r="U158" s="56" t="str">
        <f aca="false">IF($W158="","",INDEX(发票统计!U$4:U$1003,$W158)&amp;"")</f>
        <v/>
      </c>
      <c r="W158" s="1" t="str">
        <f aca="false">IF($V$3="","",IFERROR(MATCH($V$3&amp;"#"&amp;ROWS(W$4:W158),发票统计!$W$4:$W$1003,0),""))</f>
        <v/>
      </c>
    </row>
    <row r="159" customFormat="false" ht="16.5" hidden="false" customHeight="false" outlineLevel="0" collapsed="false">
      <c r="A159" s="3" t="str">
        <f aca="false">IF($W159="","",INDEX(发票统计!A$4:A$1003,$W159)&amp;"")</f>
        <v/>
      </c>
      <c r="B159" s="3" t="str">
        <f aca="false">IF($W159="","",INDEX(发票统计!B$4:B$1003,$W159)&amp;"")</f>
        <v/>
      </c>
      <c r="C159" s="3" t="str">
        <f aca="false">IF($W159="","",INDEX(发票统计!C$4:C$1003,$W159)&amp;"")</f>
        <v/>
      </c>
      <c r="D159" s="3" t="str">
        <f aca="false">IF($W159="","",INDEX(发票统计!D$4:D$1003,$W159)&amp;"")</f>
        <v/>
      </c>
      <c r="E159" s="67" t="str">
        <f aca="false">IF($W159="","",INDEX(发票统计!E$4:E$1003,$W159)&amp;"")</f>
        <v/>
      </c>
      <c r="F159" s="68" t="str">
        <f aca="false">IF($W159="","",INDEX(发票统计!F$4:F$1003,$W159)&amp;"")</f>
        <v/>
      </c>
      <c r="G159" s="68" t="str">
        <f aca="false">IF($W159="","",IF(INDEX(发票统计!G$4:G$1003,$W159)="","",INDEX(发票统计!G$4:G$1003,$W159)))</f>
        <v/>
      </c>
      <c r="H159" s="56" t="str">
        <f aca="false">IF($W159="","",N(INDEX(发票统计!H$4:H$1003,$W159)))</f>
        <v/>
      </c>
      <c r="I159" s="56" t="str">
        <f aca="false">IF($W159="","",N(INDEX(发票统计!I$4:I$1003,$W159)))</f>
        <v/>
      </c>
      <c r="J159" s="56" t="str">
        <f aca="false">IF($W159="","",N(INDEX(发票统计!J$4:J$1003,$W159)))</f>
        <v/>
      </c>
      <c r="K159" s="56" t="str">
        <f aca="false">IF($W159="","",N(INDEX(发票统计!K$4:K$1003,$W159)))</f>
        <v/>
      </c>
      <c r="L159" s="56" t="str">
        <f aca="false">IF($W159="","",SUM(J$4:J159)-SUM(K$4:K159))</f>
        <v/>
      </c>
      <c r="M159" s="56" t="str">
        <f aca="false">IF($W159="","",N(INDEX(发票统计!M$4:M$1003,$W159)))</f>
        <v/>
      </c>
      <c r="N159" s="56" t="str">
        <f aca="false">IF($W159="","",N(INDEX(发票统计!N$4:N$1003,$W159)))</f>
        <v/>
      </c>
      <c r="O159" s="56" t="str">
        <f aca="false">IF($W159="","",N(INDEX(发票统计!O$4:O$1003,$W159)))</f>
        <v/>
      </c>
      <c r="P159" s="56" t="str">
        <f aca="false">IF($W159="","",SUM(M$4:M159)-SUM(N$4:N159)-SUM(O$4:O159))</f>
        <v/>
      </c>
      <c r="Q159" s="56" t="str">
        <f aca="false">IF($W159="","",N(INDEX(发票统计!Q$4:Q$1003,$W159)))</f>
        <v/>
      </c>
      <c r="R159" s="56" t="str">
        <f aca="false">IF($W159="","",N(INDEX(发票统计!R$4:R$1003,$W159)))</f>
        <v/>
      </c>
      <c r="S159" s="56" t="str">
        <f aca="false">IF($W159="","",N(INDEX(发票统计!S$4:S$1003,$W159)))</f>
        <v/>
      </c>
      <c r="T159" s="56" t="str">
        <f aca="false">IF($W159="","",SUM(Q$4:Q159)-SUM(R$4:R159)-SUM(S$4:S159))</f>
        <v/>
      </c>
      <c r="U159" s="56" t="str">
        <f aca="false">IF($W159="","",INDEX(发票统计!U$4:U$1003,$W159)&amp;"")</f>
        <v/>
      </c>
      <c r="W159" s="1" t="str">
        <f aca="false">IF($V$3="","",IFERROR(MATCH($V$3&amp;"#"&amp;ROWS(W$4:W159),发票统计!$W$4:$W$1003,0),""))</f>
        <v/>
      </c>
    </row>
    <row r="160" customFormat="false" ht="16.5" hidden="false" customHeight="false" outlineLevel="0" collapsed="false">
      <c r="A160" s="3" t="str">
        <f aca="false">IF($W160="","",INDEX(发票统计!A$4:A$1003,$W160)&amp;"")</f>
        <v/>
      </c>
      <c r="B160" s="3" t="str">
        <f aca="false">IF($W160="","",INDEX(发票统计!B$4:B$1003,$W160)&amp;"")</f>
        <v/>
      </c>
      <c r="C160" s="3" t="str">
        <f aca="false">IF($W160="","",INDEX(发票统计!C$4:C$1003,$W160)&amp;"")</f>
        <v/>
      </c>
      <c r="D160" s="3" t="str">
        <f aca="false">IF($W160="","",INDEX(发票统计!D$4:D$1003,$W160)&amp;"")</f>
        <v/>
      </c>
      <c r="E160" s="67" t="str">
        <f aca="false">IF($W160="","",INDEX(发票统计!E$4:E$1003,$W160)&amp;"")</f>
        <v/>
      </c>
      <c r="F160" s="68" t="str">
        <f aca="false">IF($W160="","",INDEX(发票统计!F$4:F$1003,$W160)&amp;"")</f>
        <v/>
      </c>
      <c r="G160" s="68" t="str">
        <f aca="false">IF($W160="","",IF(INDEX(发票统计!G$4:G$1003,$W160)="","",INDEX(发票统计!G$4:G$1003,$W160)))</f>
        <v/>
      </c>
      <c r="H160" s="56" t="str">
        <f aca="false">IF($W160="","",N(INDEX(发票统计!H$4:H$1003,$W160)))</f>
        <v/>
      </c>
      <c r="I160" s="56" t="str">
        <f aca="false">IF($W160="","",N(INDEX(发票统计!I$4:I$1003,$W160)))</f>
        <v/>
      </c>
      <c r="J160" s="56" t="str">
        <f aca="false">IF($W160="","",N(INDEX(发票统计!J$4:J$1003,$W160)))</f>
        <v/>
      </c>
      <c r="K160" s="56" t="str">
        <f aca="false">IF($W160="","",N(INDEX(发票统计!K$4:K$1003,$W160)))</f>
        <v/>
      </c>
      <c r="L160" s="56" t="str">
        <f aca="false">IF($W160="","",SUM(J$4:J160)-SUM(K$4:K160))</f>
        <v/>
      </c>
      <c r="M160" s="56" t="str">
        <f aca="false">IF($W160="","",N(INDEX(发票统计!M$4:M$1003,$W160)))</f>
        <v/>
      </c>
      <c r="N160" s="56" t="str">
        <f aca="false">IF($W160="","",N(INDEX(发票统计!N$4:N$1003,$W160)))</f>
        <v/>
      </c>
      <c r="O160" s="56" t="str">
        <f aca="false">IF($W160="","",N(INDEX(发票统计!O$4:O$1003,$W160)))</f>
        <v/>
      </c>
      <c r="P160" s="56" t="str">
        <f aca="false">IF($W160="","",SUM(M$4:M160)-SUM(N$4:N160)-SUM(O$4:O160))</f>
        <v/>
      </c>
      <c r="Q160" s="56" t="str">
        <f aca="false">IF($W160="","",N(INDEX(发票统计!Q$4:Q$1003,$W160)))</f>
        <v/>
      </c>
      <c r="R160" s="56" t="str">
        <f aca="false">IF($W160="","",N(INDEX(发票统计!R$4:R$1003,$W160)))</f>
        <v/>
      </c>
      <c r="S160" s="56" t="str">
        <f aca="false">IF($W160="","",N(INDEX(发票统计!S$4:S$1003,$W160)))</f>
        <v/>
      </c>
      <c r="T160" s="56" t="str">
        <f aca="false">IF($W160="","",SUM(Q$4:Q160)-SUM(R$4:R160)-SUM(S$4:S160))</f>
        <v/>
      </c>
      <c r="U160" s="56" t="str">
        <f aca="false">IF($W160="","",INDEX(发票统计!U$4:U$1003,$W160)&amp;"")</f>
        <v/>
      </c>
      <c r="W160" s="1" t="str">
        <f aca="false">IF($V$3="","",IFERROR(MATCH($V$3&amp;"#"&amp;ROWS(W$4:W160),发票统计!$W$4:$W$1003,0),""))</f>
        <v/>
      </c>
    </row>
    <row r="161" customFormat="false" ht="16.5" hidden="false" customHeight="false" outlineLevel="0" collapsed="false">
      <c r="A161" s="3" t="str">
        <f aca="false">IF($W161="","",INDEX(发票统计!A$4:A$1003,$W161)&amp;"")</f>
        <v/>
      </c>
      <c r="B161" s="3" t="str">
        <f aca="false">IF($W161="","",INDEX(发票统计!B$4:B$1003,$W161)&amp;"")</f>
        <v/>
      </c>
      <c r="C161" s="3" t="str">
        <f aca="false">IF($W161="","",INDEX(发票统计!C$4:C$1003,$W161)&amp;"")</f>
        <v/>
      </c>
      <c r="D161" s="3" t="str">
        <f aca="false">IF($W161="","",INDEX(发票统计!D$4:D$1003,$W161)&amp;"")</f>
        <v/>
      </c>
      <c r="E161" s="67" t="str">
        <f aca="false">IF($W161="","",INDEX(发票统计!E$4:E$1003,$W161)&amp;"")</f>
        <v/>
      </c>
      <c r="F161" s="68" t="str">
        <f aca="false">IF($W161="","",INDEX(发票统计!F$4:F$1003,$W161)&amp;"")</f>
        <v/>
      </c>
      <c r="G161" s="68" t="str">
        <f aca="false">IF($W161="","",IF(INDEX(发票统计!G$4:G$1003,$W161)="","",INDEX(发票统计!G$4:G$1003,$W161)))</f>
        <v/>
      </c>
      <c r="H161" s="56" t="str">
        <f aca="false">IF($W161="","",N(INDEX(发票统计!H$4:H$1003,$W161)))</f>
        <v/>
      </c>
      <c r="I161" s="56" t="str">
        <f aca="false">IF($W161="","",N(INDEX(发票统计!I$4:I$1003,$W161)))</f>
        <v/>
      </c>
      <c r="J161" s="56" t="str">
        <f aca="false">IF($W161="","",N(INDEX(发票统计!J$4:J$1003,$W161)))</f>
        <v/>
      </c>
      <c r="K161" s="56" t="str">
        <f aca="false">IF($W161="","",N(INDEX(发票统计!K$4:K$1003,$W161)))</f>
        <v/>
      </c>
      <c r="L161" s="56" t="str">
        <f aca="false">IF($W161="","",SUM(J$4:J161)-SUM(K$4:K161))</f>
        <v/>
      </c>
      <c r="M161" s="56" t="str">
        <f aca="false">IF($W161="","",N(INDEX(发票统计!M$4:M$1003,$W161)))</f>
        <v/>
      </c>
      <c r="N161" s="56" t="str">
        <f aca="false">IF($W161="","",N(INDEX(发票统计!N$4:N$1003,$W161)))</f>
        <v/>
      </c>
      <c r="O161" s="56" t="str">
        <f aca="false">IF($W161="","",N(INDEX(发票统计!O$4:O$1003,$W161)))</f>
        <v/>
      </c>
      <c r="P161" s="56" t="str">
        <f aca="false">IF($W161="","",SUM(M$4:M161)-SUM(N$4:N161)-SUM(O$4:O161))</f>
        <v/>
      </c>
      <c r="Q161" s="56" t="str">
        <f aca="false">IF($W161="","",N(INDEX(发票统计!Q$4:Q$1003,$W161)))</f>
        <v/>
      </c>
      <c r="R161" s="56" t="str">
        <f aca="false">IF($W161="","",N(INDEX(发票统计!R$4:R$1003,$W161)))</f>
        <v/>
      </c>
      <c r="S161" s="56" t="str">
        <f aca="false">IF($W161="","",N(INDEX(发票统计!S$4:S$1003,$W161)))</f>
        <v/>
      </c>
      <c r="T161" s="56" t="str">
        <f aca="false">IF($W161="","",SUM(Q$4:Q161)-SUM(R$4:R161)-SUM(S$4:S161))</f>
        <v/>
      </c>
      <c r="U161" s="56" t="str">
        <f aca="false">IF($W161="","",INDEX(发票统计!U$4:U$1003,$W161)&amp;"")</f>
        <v/>
      </c>
      <c r="W161" s="1" t="str">
        <f aca="false">IF($V$3="","",IFERROR(MATCH($V$3&amp;"#"&amp;ROWS(W$4:W161),发票统计!$W$4:$W$1003,0),""))</f>
        <v/>
      </c>
    </row>
    <row r="162" customFormat="false" ht="16.5" hidden="false" customHeight="false" outlineLevel="0" collapsed="false">
      <c r="A162" s="3" t="str">
        <f aca="false">IF($W162="","",INDEX(发票统计!A$4:A$1003,$W162)&amp;"")</f>
        <v/>
      </c>
      <c r="B162" s="3" t="str">
        <f aca="false">IF($W162="","",INDEX(发票统计!B$4:B$1003,$W162)&amp;"")</f>
        <v/>
      </c>
      <c r="C162" s="3" t="str">
        <f aca="false">IF($W162="","",INDEX(发票统计!C$4:C$1003,$W162)&amp;"")</f>
        <v/>
      </c>
      <c r="D162" s="3" t="str">
        <f aca="false">IF($W162="","",INDEX(发票统计!D$4:D$1003,$W162)&amp;"")</f>
        <v/>
      </c>
      <c r="E162" s="67" t="str">
        <f aca="false">IF($W162="","",INDEX(发票统计!E$4:E$1003,$W162)&amp;"")</f>
        <v/>
      </c>
      <c r="F162" s="68" t="str">
        <f aca="false">IF($W162="","",INDEX(发票统计!F$4:F$1003,$W162)&amp;"")</f>
        <v/>
      </c>
      <c r="G162" s="68" t="str">
        <f aca="false">IF($W162="","",IF(INDEX(发票统计!G$4:G$1003,$W162)="","",INDEX(发票统计!G$4:G$1003,$W162)))</f>
        <v/>
      </c>
      <c r="H162" s="56" t="str">
        <f aca="false">IF($W162="","",N(INDEX(发票统计!H$4:H$1003,$W162)))</f>
        <v/>
      </c>
      <c r="I162" s="56" t="str">
        <f aca="false">IF($W162="","",N(INDEX(发票统计!I$4:I$1003,$W162)))</f>
        <v/>
      </c>
      <c r="J162" s="56" t="str">
        <f aca="false">IF($W162="","",N(INDEX(发票统计!J$4:J$1003,$W162)))</f>
        <v/>
      </c>
      <c r="K162" s="56" t="str">
        <f aca="false">IF($W162="","",N(INDEX(发票统计!K$4:K$1003,$W162)))</f>
        <v/>
      </c>
      <c r="L162" s="56" t="str">
        <f aca="false">IF($W162="","",SUM(J$4:J162)-SUM(K$4:K162))</f>
        <v/>
      </c>
      <c r="M162" s="56" t="str">
        <f aca="false">IF($W162="","",N(INDEX(发票统计!M$4:M$1003,$W162)))</f>
        <v/>
      </c>
      <c r="N162" s="56" t="str">
        <f aca="false">IF($W162="","",N(INDEX(发票统计!N$4:N$1003,$W162)))</f>
        <v/>
      </c>
      <c r="O162" s="56" t="str">
        <f aca="false">IF($W162="","",N(INDEX(发票统计!O$4:O$1003,$W162)))</f>
        <v/>
      </c>
      <c r="P162" s="56" t="str">
        <f aca="false">IF($W162="","",SUM(M$4:M162)-SUM(N$4:N162)-SUM(O$4:O162))</f>
        <v/>
      </c>
      <c r="Q162" s="56" t="str">
        <f aca="false">IF($W162="","",N(INDEX(发票统计!Q$4:Q$1003,$W162)))</f>
        <v/>
      </c>
      <c r="R162" s="56" t="str">
        <f aca="false">IF($W162="","",N(INDEX(发票统计!R$4:R$1003,$W162)))</f>
        <v/>
      </c>
      <c r="S162" s="56" t="str">
        <f aca="false">IF($W162="","",N(INDEX(发票统计!S$4:S$1003,$W162)))</f>
        <v/>
      </c>
      <c r="T162" s="56" t="str">
        <f aca="false">IF($W162="","",SUM(Q$4:Q162)-SUM(R$4:R162)-SUM(S$4:S162))</f>
        <v/>
      </c>
      <c r="U162" s="56" t="str">
        <f aca="false">IF($W162="","",INDEX(发票统计!U$4:U$1003,$W162)&amp;"")</f>
        <v/>
      </c>
      <c r="W162" s="1" t="str">
        <f aca="false">IF($V$3="","",IFERROR(MATCH($V$3&amp;"#"&amp;ROWS(W$4:W162),发票统计!$W$4:$W$1003,0),""))</f>
        <v/>
      </c>
    </row>
    <row r="163" customFormat="false" ht="16.5" hidden="false" customHeight="false" outlineLevel="0" collapsed="false">
      <c r="A163" s="3" t="str">
        <f aca="false">IF($W163="","",INDEX(发票统计!A$4:A$1003,$W163)&amp;"")</f>
        <v/>
      </c>
      <c r="B163" s="3" t="str">
        <f aca="false">IF($W163="","",INDEX(发票统计!B$4:B$1003,$W163)&amp;"")</f>
        <v/>
      </c>
      <c r="C163" s="3" t="str">
        <f aca="false">IF($W163="","",INDEX(发票统计!C$4:C$1003,$W163)&amp;"")</f>
        <v/>
      </c>
      <c r="D163" s="3" t="str">
        <f aca="false">IF($W163="","",INDEX(发票统计!D$4:D$1003,$W163)&amp;"")</f>
        <v/>
      </c>
      <c r="E163" s="67" t="str">
        <f aca="false">IF($W163="","",INDEX(发票统计!E$4:E$1003,$W163)&amp;"")</f>
        <v/>
      </c>
      <c r="F163" s="68" t="str">
        <f aca="false">IF($W163="","",INDEX(发票统计!F$4:F$1003,$W163)&amp;"")</f>
        <v/>
      </c>
      <c r="G163" s="68" t="str">
        <f aca="false">IF($W163="","",IF(INDEX(发票统计!G$4:G$1003,$W163)="","",INDEX(发票统计!G$4:G$1003,$W163)))</f>
        <v/>
      </c>
      <c r="H163" s="56" t="str">
        <f aca="false">IF($W163="","",N(INDEX(发票统计!H$4:H$1003,$W163)))</f>
        <v/>
      </c>
      <c r="I163" s="56" t="str">
        <f aca="false">IF($W163="","",N(INDEX(发票统计!I$4:I$1003,$W163)))</f>
        <v/>
      </c>
      <c r="J163" s="56" t="str">
        <f aca="false">IF($W163="","",N(INDEX(发票统计!J$4:J$1003,$W163)))</f>
        <v/>
      </c>
      <c r="K163" s="56" t="str">
        <f aca="false">IF($W163="","",N(INDEX(发票统计!K$4:K$1003,$W163)))</f>
        <v/>
      </c>
      <c r="L163" s="56" t="str">
        <f aca="false">IF($W163="","",SUM(J$4:J163)-SUM(K$4:K163))</f>
        <v/>
      </c>
      <c r="M163" s="56" t="str">
        <f aca="false">IF($W163="","",N(INDEX(发票统计!M$4:M$1003,$W163)))</f>
        <v/>
      </c>
      <c r="N163" s="56" t="str">
        <f aca="false">IF($W163="","",N(INDEX(发票统计!N$4:N$1003,$W163)))</f>
        <v/>
      </c>
      <c r="O163" s="56" t="str">
        <f aca="false">IF($W163="","",N(INDEX(发票统计!O$4:O$1003,$W163)))</f>
        <v/>
      </c>
      <c r="P163" s="56" t="str">
        <f aca="false">IF($W163="","",SUM(M$4:M163)-SUM(N$4:N163)-SUM(O$4:O163))</f>
        <v/>
      </c>
      <c r="Q163" s="56" t="str">
        <f aca="false">IF($W163="","",N(INDEX(发票统计!Q$4:Q$1003,$W163)))</f>
        <v/>
      </c>
      <c r="R163" s="56" t="str">
        <f aca="false">IF($W163="","",N(INDEX(发票统计!R$4:R$1003,$W163)))</f>
        <v/>
      </c>
      <c r="S163" s="56" t="str">
        <f aca="false">IF($W163="","",N(INDEX(发票统计!S$4:S$1003,$W163)))</f>
        <v/>
      </c>
      <c r="T163" s="56" t="str">
        <f aca="false">IF($W163="","",SUM(Q$4:Q163)-SUM(R$4:R163)-SUM(S$4:S163))</f>
        <v/>
      </c>
      <c r="U163" s="56" t="str">
        <f aca="false">IF($W163="","",INDEX(发票统计!U$4:U$1003,$W163)&amp;"")</f>
        <v/>
      </c>
      <c r="W163" s="1" t="str">
        <f aca="false">IF($V$3="","",IFERROR(MATCH($V$3&amp;"#"&amp;ROWS(W$4:W163),发票统计!$W$4:$W$1003,0),""))</f>
        <v/>
      </c>
    </row>
    <row r="164" customFormat="false" ht="16.5" hidden="false" customHeight="false" outlineLevel="0" collapsed="false">
      <c r="A164" s="3" t="str">
        <f aca="false">IF($W164="","",INDEX(发票统计!A$4:A$1003,$W164)&amp;"")</f>
        <v/>
      </c>
      <c r="B164" s="3" t="str">
        <f aca="false">IF($W164="","",INDEX(发票统计!B$4:B$1003,$W164)&amp;"")</f>
        <v/>
      </c>
      <c r="C164" s="3" t="str">
        <f aca="false">IF($W164="","",INDEX(发票统计!C$4:C$1003,$W164)&amp;"")</f>
        <v/>
      </c>
      <c r="D164" s="3" t="str">
        <f aca="false">IF($W164="","",INDEX(发票统计!D$4:D$1003,$W164)&amp;"")</f>
        <v/>
      </c>
      <c r="E164" s="67" t="str">
        <f aca="false">IF($W164="","",INDEX(发票统计!E$4:E$1003,$W164)&amp;"")</f>
        <v/>
      </c>
      <c r="F164" s="68" t="str">
        <f aca="false">IF($W164="","",INDEX(发票统计!F$4:F$1003,$W164)&amp;"")</f>
        <v/>
      </c>
      <c r="G164" s="68" t="str">
        <f aca="false">IF($W164="","",IF(INDEX(发票统计!G$4:G$1003,$W164)="","",INDEX(发票统计!G$4:G$1003,$W164)))</f>
        <v/>
      </c>
      <c r="H164" s="56" t="str">
        <f aca="false">IF($W164="","",N(INDEX(发票统计!H$4:H$1003,$W164)))</f>
        <v/>
      </c>
      <c r="I164" s="56" t="str">
        <f aca="false">IF($W164="","",N(INDEX(发票统计!I$4:I$1003,$W164)))</f>
        <v/>
      </c>
      <c r="J164" s="56" t="str">
        <f aca="false">IF($W164="","",N(INDEX(发票统计!J$4:J$1003,$W164)))</f>
        <v/>
      </c>
      <c r="K164" s="56" t="str">
        <f aca="false">IF($W164="","",N(INDEX(发票统计!K$4:K$1003,$W164)))</f>
        <v/>
      </c>
      <c r="L164" s="56" t="str">
        <f aca="false">IF($W164="","",SUM(J$4:J164)-SUM(K$4:K164))</f>
        <v/>
      </c>
      <c r="M164" s="56" t="str">
        <f aca="false">IF($W164="","",N(INDEX(发票统计!M$4:M$1003,$W164)))</f>
        <v/>
      </c>
      <c r="N164" s="56" t="str">
        <f aca="false">IF($W164="","",N(INDEX(发票统计!N$4:N$1003,$W164)))</f>
        <v/>
      </c>
      <c r="O164" s="56" t="str">
        <f aca="false">IF($W164="","",N(INDEX(发票统计!O$4:O$1003,$W164)))</f>
        <v/>
      </c>
      <c r="P164" s="56" t="str">
        <f aca="false">IF($W164="","",SUM(M$4:M164)-SUM(N$4:N164)-SUM(O$4:O164))</f>
        <v/>
      </c>
      <c r="Q164" s="56" t="str">
        <f aca="false">IF($W164="","",N(INDEX(发票统计!Q$4:Q$1003,$W164)))</f>
        <v/>
      </c>
      <c r="R164" s="56" t="str">
        <f aca="false">IF($W164="","",N(INDEX(发票统计!R$4:R$1003,$W164)))</f>
        <v/>
      </c>
      <c r="S164" s="56" t="str">
        <f aca="false">IF($W164="","",N(INDEX(发票统计!S$4:S$1003,$W164)))</f>
        <v/>
      </c>
      <c r="T164" s="56" t="str">
        <f aca="false">IF($W164="","",SUM(Q$4:Q164)-SUM(R$4:R164)-SUM(S$4:S164))</f>
        <v/>
      </c>
      <c r="U164" s="56" t="str">
        <f aca="false">IF($W164="","",INDEX(发票统计!U$4:U$1003,$W164)&amp;"")</f>
        <v/>
      </c>
      <c r="W164" s="1" t="str">
        <f aca="false">IF($V$3="","",IFERROR(MATCH($V$3&amp;"#"&amp;ROWS(W$4:W164),发票统计!$W$4:$W$1003,0),""))</f>
        <v/>
      </c>
    </row>
    <row r="165" customFormat="false" ht="16.5" hidden="false" customHeight="false" outlineLevel="0" collapsed="false">
      <c r="A165" s="3" t="str">
        <f aca="false">IF($W165="","",INDEX(发票统计!A$4:A$1003,$W165)&amp;"")</f>
        <v/>
      </c>
      <c r="B165" s="3" t="str">
        <f aca="false">IF($W165="","",INDEX(发票统计!B$4:B$1003,$W165)&amp;"")</f>
        <v/>
      </c>
      <c r="C165" s="3" t="str">
        <f aca="false">IF($W165="","",INDEX(发票统计!C$4:C$1003,$W165)&amp;"")</f>
        <v/>
      </c>
      <c r="D165" s="3" t="str">
        <f aca="false">IF($W165="","",INDEX(发票统计!D$4:D$1003,$W165)&amp;"")</f>
        <v/>
      </c>
      <c r="E165" s="67" t="str">
        <f aca="false">IF($W165="","",INDEX(发票统计!E$4:E$1003,$W165)&amp;"")</f>
        <v/>
      </c>
      <c r="F165" s="68" t="str">
        <f aca="false">IF($W165="","",INDEX(发票统计!F$4:F$1003,$W165)&amp;"")</f>
        <v/>
      </c>
      <c r="G165" s="68" t="str">
        <f aca="false">IF($W165="","",IF(INDEX(发票统计!G$4:G$1003,$W165)="","",INDEX(发票统计!G$4:G$1003,$W165)))</f>
        <v/>
      </c>
      <c r="H165" s="56" t="str">
        <f aca="false">IF($W165="","",N(INDEX(发票统计!H$4:H$1003,$W165)))</f>
        <v/>
      </c>
      <c r="I165" s="56" t="str">
        <f aca="false">IF($W165="","",N(INDEX(发票统计!I$4:I$1003,$W165)))</f>
        <v/>
      </c>
      <c r="J165" s="56" t="str">
        <f aca="false">IF($W165="","",N(INDEX(发票统计!J$4:J$1003,$W165)))</f>
        <v/>
      </c>
      <c r="K165" s="56" t="str">
        <f aca="false">IF($W165="","",N(INDEX(发票统计!K$4:K$1003,$W165)))</f>
        <v/>
      </c>
      <c r="L165" s="56" t="str">
        <f aca="false">IF($W165="","",SUM(J$4:J165)-SUM(K$4:K165))</f>
        <v/>
      </c>
      <c r="M165" s="56" t="str">
        <f aca="false">IF($W165="","",N(INDEX(发票统计!M$4:M$1003,$W165)))</f>
        <v/>
      </c>
      <c r="N165" s="56" t="str">
        <f aca="false">IF($W165="","",N(INDEX(发票统计!N$4:N$1003,$W165)))</f>
        <v/>
      </c>
      <c r="O165" s="56" t="str">
        <f aca="false">IF($W165="","",N(INDEX(发票统计!O$4:O$1003,$W165)))</f>
        <v/>
      </c>
      <c r="P165" s="56" t="str">
        <f aca="false">IF($W165="","",SUM(M$4:M165)-SUM(N$4:N165)-SUM(O$4:O165))</f>
        <v/>
      </c>
      <c r="Q165" s="56" t="str">
        <f aca="false">IF($W165="","",N(INDEX(发票统计!Q$4:Q$1003,$W165)))</f>
        <v/>
      </c>
      <c r="R165" s="56" t="str">
        <f aca="false">IF($W165="","",N(INDEX(发票统计!R$4:R$1003,$W165)))</f>
        <v/>
      </c>
      <c r="S165" s="56" t="str">
        <f aca="false">IF($W165="","",N(INDEX(发票统计!S$4:S$1003,$W165)))</f>
        <v/>
      </c>
      <c r="T165" s="56" t="str">
        <f aca="false">IF($W165="","",SUM(Q$4:Q165)-SUM(R$4:R165)-SUM(S$4:S165))</f>
        <v/>
      </c>
      <c r="U165" s="56" t="str">
        <f aca="false">IF($W165="","",INDEX(发票统计!U$4:U$1003,$W165)&amp;"")</f>
        <v/>
      </c>
      <c r="W165" s="1" t="str">
        <f aca="false">IF($V$3="","",IFERROR(MATCH($V$3&amp;"#"&amp;ROWS(W$4:W165),发票统计!$W$4:$W$1003,0),""))</f>
        <v/>
      </c>
    </row>
    <row r="166" customFormat="false" ht="16.5" hidden="false" customHeight="false" outlineLevel="0" collapsed="false">
      <c r="A166" s="3" t="str">
        <f aca="false">IF($W166="","",INDEX(发票统计!A$4:A$1003,$W166)&amp;"")</f>
        <v/>
      </c>
      <c r="B166" s="3" t="str">
        <f aca="false">IF($W166="","",INDEX(发票统计!B$4:B$1003,$W166)&amp;"")</f>
        <v/>
      </c>
      <c r="C166" s="3" t="str">
        <f aca="false">IF($W166="","",INDEX(发票统计!C$4:C$1003,$W166)&amp;"")</f>
        <v/>
      </c>
      <c r="D166" s="3" t="str">
        <f aca="false">IF($W166="","",INDEX(发票统计!D$4:D$1003,$W166)&amp;"")</f>
        <v/>
      </c>
      <c r="E166" s="67" t="str">
        <f aca="false">IF($W166="","",INDEX(发票统计!E$4:E$1003,$W166)&amp;"")</f>
        <v/>
      </c>
      <c r="F166" s="68" t="str">
        <f aca="false">IF($W166="","",INDEX(发票统计!F$4:F$1003,$W166)&amp;"")</f>
        <v/>
      </c>
      <c r="G166" s="68" t="str">
        <f aca="false">IF($W166="","",IF(INDEX(发票统计!G$4:G$1003,$W166)="","",INDEX(发票统计!G$4:G$1003,$W166)))</f>
        <v/>
      </c>
      <c r="H166" s="56" t="str">
        <f aca="false">IF($W166="","",N(INDEX(发票统计!H$4:H$1003,$W166)))</f>
        <v/>
      </c>
      <c r="I166" s="56" t="str">
        <f aca="false">IF($W166="","",N(INDEX(发票统计!I$4:I$1003,$W166)))</f>
        <v/>
      </c>
      <c r="J166" s="56" t="str">
        <f aca="false">IF($W166="","",N(INDEX(发票统计!J$4:J$1003,$W166)))</f>
        <v/>
      </c>
      <c r="K166" s="56" t="str">
        <f aca="false">IF($W166="","",N(INDEX(发票统计!K$4:K$1003,$W166)))</f>
        <v/>
      </c>
      <c r="L166" s="56" t="str">
        <f aca="false">IF($W166="","",SUM(J$4:J166)-SUM(K$4:K166))</f>
        <v/>
      </c>
      <c r="M166" s="56" t="str">
        <f aca="false">IF($W166="","",N(INDEX(发票统计!M$4:M$1003,$W166)))</f>
        <v/>
      </c>
      <c r="N166" s="56" t="str">
        <f aca="false">IF($W166="","",N(INDEX(发票统计!N$4:N$1003,$W166)))</f>
        <v/>
      </c>
      <c r="O166" s="56" t="str">
        <f aca="false">IF($W166="","",N(INDEX(发票统计!O$4:O$1003,$W166)))</f>
        <v/>
      </c>
      <c r="P166" s="56" t="str">
        <f aca="false">IF($W166="","",SUM(M$4:M166)-SUM(N$4:N166)-SUM(O$4:O166))</f>
        <v/>
      </c>
      <c r="Q166" s="56" t="str">
        <f aca="false">IF($W166="","",N(INDEX(发票统计!Q$4:Q$1003,$W166)))</f>
        <v/>
      </c>
      <c r="R166" s="56" t="str">
        <f aca="false">IF($W166="","",N(INDEX(发票统计!R$4:R$1003,$W166)))</f>
        <v/>
      </c>
      <c r="S166" s="56" t="str">
        <f aca="false">IF($W166="","",N(INDEX(发票统计!S$4:S$1003,$W166)))</f>
        <v/>
      </c>
      <c r="T166" s="56" t="str">
        <f aca="false">IF($W166="","",SUM(Q$4:Q166)-SUM(R$4:R166)-SUM(S$4:S166))</f>
        <v/>
      </c>
      <c r="U166" s="56" t="str">
        <f aca="false">IF($W166="","",INDEX(发票统计!U$4:U$1003,$W166)&amp;"")</f>
        <v/>
      </c>
      <c r="W166" s="1" t="str">
        <f aca="false">IF($V$3="","",IFERROR(MATCH($V$3&amp;"#"&amp;ROWS(W$4:W166),发票统计!$W$4:$W$1003,0),""))</f>
        <v/>
      </c>
    </row>
    <row r="167" customFormat="false" ht="16.5" hidden="false" customHeight="false" outlineLevel="0" collapsed="false">
      <c r="A167" s="3" t="str">
        <f aca="false">IF($W167="","",INDEX(发票统计!A$4:A$1003,$W167)&amp;"")</f>
        <v/>
      </c>
      <c r="B167" s="3" t="str">
        <f aca="false">IF($W167="","",INDEX(发票统计!B$4:B$1003,$W167)&amp;"")</f>
        <v/>
      </c>
      <c r="C167" s="3" t="str">
        <f aca="false">IF($W167="","",INDEX(发票统计!C$4:C$1003,$W167)&amp;"")</f>
        <v/>
      </c>
      <c r="D167" s="3" t="str">
        <f aca="false">IF($W167="","",INDEX(发票统计!D$4:D$1003,$W167)&amp;"")</f>
        <v/>
      </c>
      <c r="E167" s="67" t="str">
        <f aca="false">IF($W167="","",INDEX(发票统计!E$4:E$1003,$W167)&amp;"")</f>
        <v/>
      </c>
      <c r="F167" s="68" t="str">
        <f aca="false">IF($W167="","",INDEX(发票统计!F$4:F$1003,$W167)&amp;"")</f>
        <v/>
      </c>
      <c r="G167" s="68" t="str">
        <f aca="false">IF($W167="","",IF(INDEX(发票统计!G$4:G$1003,$W167)="","",INDEX(发票统计!G$4:G$1003,$W167)))</f>
        <v/>
      </c>
      <c r="H167" s="56" t="str">
        <f aca="false">IF($W167="","",N(INDEX(发票统计!H$4:H$1003,$W167)))</f>
        <v/>
      </c>
      <c r="I167" s="56" t="str">
        <f aca="false">IF($W167="","",N(INDEX(发票统计!I$4:I$1003,$W167)))</f>
        <v/>
      </c>
      <c r="J167" s="56" t="str">
        <f aca="false">IF($W167="","",N(INDEX(发票统计!J$4:J$1003,$W167)))</f>
        <v/>
      </c>
      <c r="K167" s="56" t="str">
        <f aca="false">IF($W167="","",N(INDEX(发票统计!K$4:K$1003,$W167)))</f>
        <v/>
      </c>
      <c r="L167" s="56" t="str">
        <f aca="false">IF($W167="","",SUM(J$4:J167)-SUM(K$4:K167))</f>
        <v/>
      </c>
      <c r="M167" s="56" t="str">
        <f aca="false">IF($W167="","",N(INDEX(发票统计!M$4:M$1003,$W167)))</f>
        <v/>
      </c>
      <c r="N167" s="56" t="str">
        <f aca="false">IF($W167="","",N(INDEX(发票统计!N$4:N$1003,$W167)))</f>
        <v/>
      </c>
      <c r="O167" s="56" t="str">
        <f aca="false">IF($W167="","",N(INDEX(发票统计!O$4:O$1003,$W167)))</f>
        <v/>
      </c>
      <c r="P167" s="56" t="str">
        <f aca="false">IF($W167="","",SUM(M$4:M167)-SUM(N$4:N167)-SUM(O$4:O167))</f>
        <v/>
      </c>
      <c r="Q167" s="56" t="str">
        <f aca="false">IF($W167="","",N(INDEX(发票统计!Q$4:Q$1003,$W167)))</f>
        <v/>
      </c>
      <c r="R167" s="56" t="str">
        <f aca="false">IF($W167="","",N(INDEX(发票统计!R$4:R$1003,$W167)))</f>
        <v/>
      </c>
      <c r="S167" s="56" t="str">
        <f aca="false">IF($W167="","",N(INDEX(发票统计!S$4:S$1003,$W167)))</f>
        <v/>
      </c>
      <c r="T167" s="56" t="str">
        <f aca="false">IF($W167="","",SUM(Q$4:Q167)-SUM(R$4:R167)-SUM(S$4:S167))</f>
        <v/>
      </c>
      <c r="U167" s="56" t="str">
        <f aca="false">IF($W167="","",INDEX(发票统计!U$4:U$1003,$W167)&amp;"")</f>
        <v/>
      </c>
      <c r="W167" s="1" t="str">
        <f aca="false">IF($V$3="","",IFERROR(MATCH($V$3&amp;"#"&amp;ROWS(W$4:W167),发票统计!$W$4:$W$1003,0),""))</f>
        <v/>
      </c>
    </row>
    <row r="168" customFormat="false" ht="16.5" hidden="false" customHeight="false" outlineLevel="0" collapsed="false">
      <c r="A168" s="3" t="str">
        <f aca="false">IF($W168="","",INDEX(发票统计!A$4:A$1003,$W168)&amp;"")</f>
        <v/>
      </c>
      <c r="B168" s="3" t="str">
        <f aca="false">IF($W168="","",INDEX(发票统计!B$4:B$1003,$W168)&amp;"")</f>
        <v/>
      </c>
      <c r="C168" s="3" t="str">
        <f aca="false">IF($W168="","",INDEX(发票统计!C$4:C$1003,$W168)&amp;"")</f>
        <v/>
      </c>
      <c r="D168" s="3" t="str">
        <f aca="false">IF($W168="","",INDEX(发票统计!D$4:D$1003,$W168)&amp;"")</f>
        <v/>
      </c>
      <c r="E168" s="67" t="str">
        <f aca="false">IF($W168="","",INDEX(发票统计!E$4:E$1003,$W168)&amp;"")</f>
        <v/>
      </c>
      <c r="F168" s="68" t="str">
        <f aca="false">IF($W168="","",INDEX(发票统计!F$4:F$1003,$W168)&amp;"")</f>
        <v/>
      </c>
      <c r="G168" s="68" t="str">
        <f aca="false">IF($W168="","",IF(INDEX(发票统计!G$4:G$1003,$W168)="","",INDEX(发票统计!G$4:G$1003,$W168)))</f>
        <v/>
      </c>
      <c r="H168" s="56" t="str">
        <f aca="false">IF($W168="","",N(INDEX(发票统计!H$4:H$1003,$W168)))</f>
        <v/>
      </c>
      <c r="I168" s="56" t="str">
        <f aca="false">IF($W168="","",N(INDEX(发票统计!I$4:I$1003,$W168)))</f>
        <v/>
      </c>
      <c r="J168" s="56" t="str">
        <f aca="false">IF($W168="","",N(INDEX(发票统计!J$4:J$1003,$W168)))</f>
        <v/>
      </c>
      <c r="K168" s="56" t="str">
        <f aca="false">IF($W168="","",N(INDEX(发票统计!K$4:K$1003,$W168)))</f>
        <v/>
      </c>
      <c r="L168" s="56" t="str">
        <f aca="false">IF($W168="","",SUM(J$4:J168)-SUM(K$4:K168))</f>
        <v/>
      </c>
      <c r="M168" s="56" t="str">
        <f aca="false">IF($W168="","",N(INDEX(发票统计!M$4:M$1003,$W168)))</f>
        <v/>
      </c>
      <c r="N168" s="56" t="str">
        <f aca="false">IF($W168="","",N(INDEX(发票统计!N$4:N$1003,$W168)))</f>
        <v/>
      </c>
      <c r="O168" s="56" t="str">
        <f aca="false">IF($W168="","",N(INDEX(发票统计!O$4:O$1003,$W168)))</f>
        <v/>
      </c>
      <c r="P168" s="56" t="str">
        <f aca="false">IF($W168="","",SUM(M$4:M168)-SUM(N$4:N168)-SUM(O$4:O168))</f>
        <v/>
      </c>
      <c r="Q168" s="56" t="str">
        <f aca="false">IF($W168="","",N(INDEX(发票统计!Q$4:Q$1003,$W168)))</f>
        <v/>
      </c>
      <c r="R168" s="56" t="str">
        <f aca="false">IF($W168="","",N(INDEX(发票统计!R$4:R$1003,$W168)))</f>
        <v/>
      </c>
      <c r="S168" s="56" t="str">
        <f aca="false">IF($W168="","",N(INDEX(发票统计!S$4:S$1003,$W168)))</f>
        <v/>
      </c>
      <c r="T168" s="56" t="str">
        <f aca="false">IF($W168="","",SUM(Q$4:Q168)-SUM(R$4:R168)-SUM(S$4:S168))</f>
        <v/>
      </c>
      <c r="U168" s="56" t="str">
        <f aca="false">IF($W168="","",INDEX(发票统计!U$4:U$1003,$W168)&amp;"")</f>
        <v/>
      </c>
      <c r="W168" s="1" t="str">
        <f aca="false">IF($V$3="","",IFERROR(MATCH($V$3&amp;"#"&amp;ROWS(W$4:W168),发票统计!$W$4:$W$1003,0),""))</f>
        <v/>
      </c>
    </row>
    <row r="169" customFormat="false" ht="16.5" hidden="false" customHeight="false" outlineLevel="0" collapsed="false">
      <c r="A169" s="3" t="str">
        <f aca="false">IF($W169="","",INDEX(发票统计!A$4:A$1003,$W169)&amp;"")</f>
        <v/>
      </c>
      <c r="B169" s="3" t="str">
        <f aca="false">IF($W169="","",INDEX(发票统计!B$4:B$1003,$W169)&amp;"")</f>
        <v/>
      </c>
      <c r="C169" s="3" t="str">
        <f aca="false">IF($W169="","",INDEX(发票统计!C$4:C$1003,$W169)&amp;"")</f>
        <v/>
      </c>
      <c r="D169" s="3" t="str">
        <f aca="false">IF($W169="","",INDEX(发票统计!D$4:D$1003,$W169)&amp;"")</f>
        <v/>
      </c>
      <c r="E169" s="67" t="str">
        <f aca="false">IF($W169="","",INDEX(发票统计!E$4:E$1003,$W169)&amp;"")</f>
        <v/>
      </c>
      <c r="F169" s="68" t="str">
        <f aca="false">IF($W169="","",INDEX(发票统计!F$4:F$1003,$W169)&amp;"")</f>
        <v/>
      </c>
      <c r="G169" s="68" t="str">
        <f aca="false">IF($W169="","",IF(INDEX(发票统计!G$4:G$1003,$W169)="","",INDEX(发票统计!G$4:G$1003,$W169)))</f>
        <v/>
      </c>
      <c r="H169" s="56" t="str">
        <f aca="false">IF($W169="","",N(INDEX(发票统计!H$4:H$1003,$W169)))</f>
        <v/>
      </c>
      <c r="I169" s="56" t="str">
        <f aca="false">IF($W169="","",N(INDEX(发票统计!I$4:I$1003,$W169)))</f>
        <v/>
      </c>
      <c r="J169" s="56" t="str">
        <f aca="false">IF($W169="","",N(INDEX(发票统计!J$4:J$1003,$W169)))</f>
        <v/>
      </c>
      <c r="K169" s="56" t="str">
        <f aca="false">IF($W169="","",N(INDEX(发票统计!K$4:K$1003,$W169)))</f>
        <v/>
      </c>
      <c r="L169" s="56" t="str">
        <f aca="false">IF($W169="","",SUM(J$4:J169)-SUM(K$4:K169))</f>
        <v/>
      </c>
      <c r="M169" s="56" t="str">
        <f aca="false">IF($W169="","",N(INDEX(发票统计!M$4:M$1003,$W169)))</f>
        <v/>
      </c>
      <c r="N169" s="56" t="str">
        <f aca="false">IF($W169="","",N(INDEX(发票统计!N$4:N$1003,$W169)))</f>
        <v/>
      </c>
      <c r="O169" s="56" t="str">
        <f aca="false">IF($W169="","",N(INDEX(发票统计!O$4:O$1003,$W169)))</f>
        <v/>
      </c>
      <c r="P169" s="56" t="str">
        <f aca="false">IF($W169="","",SUM(M$4:M169)-SUM(N$4:N169)-SUM(O$4:O169))</f>
        <v/>
      </c>
      <c r="Q169" s="56" t="str">
        <f aca="false">IF($W169="","",N(INDEX(发票统计!Q$4:Q$1003,$W169)))</f>
        <v/>
      </c>
      <c r="R169" s="56" t="str">
        <f aca="false">IF($W169="","",N(INDEX(发票统计!R$4:R$1003,$W169)))</f>
        <v/>
      </c>
      <c r="S169" s="56" t="str">
        <f aca="false">IF($W169="","",N(INDEX(发票统计!S$4:S$1003,$W169)))</f>
        <v/>
      </c>
      <c r="T169" s="56" t="str">
        <f aca="false">IF($W169="","",SUM(Q$4:Q169)-SUM(R$4:R169)-SUM(S$4:S169))</f>
        <v/>
      </c>
      <c r="U169" s="56" t="str">
        <f aca="false">IF($W169="","",INDEX(发票统计!U$4:U$1003,$W169)&amp;"")</f>
        <v/>
      </c>
      <c r="W169" s="1" t="str">
        <f aca="false">IF($V$3="","",IFERROR(MATCH($V$3&amp;"#"&amp;ROWS(W$4:W169),发票统计!$W$4:$W$1003,0),""))</f>
        <v/>
      </c>
    </row>
    <row r="170" customFormat="false" ht="16.5" hidden="false" customHeight="false" outlineLevel="0" collapsed="false">
      <c r="A170" s="3" t="str">
        <f aca="false">IF($W170="","",INDEX(发票统计!A$4:A$1003,$W170)&amp;"")</f>
        <v/>
      </c>
      <c r="B170" s="3" t="str">
        <f aca="false">IF($W170="","",INDEX(发票统计!B$4:B$1003,$W170)&amp;"")</f>
        <v/>
      </c>
      <c r="C170" s="3" t="str">
        <f aca="false">IF($W170="","",INDEX(发票统计!C$4:C$1003,$W170)&amp;"")</f>
        <v/>
      </c>
      <c r="D170" s="3" t="str">
        <f aca="false">IF($W170="","",INDEX(发票统计!D$4:D$1003,$W170)&amp;"")</f>
        <v/>
      </c>
      <c r="E170" s="67" t="str">
        <f aca="false">IF($W170="","",INDEX(发票统计!E$4:E$1003,$W170)&amp;"")</f>
        <v/>
      </c>
      <c r="F170" s="68" t="str">
        <f aca="false">IF($W170="","",INDEX(发票统计!F$4:F$1003,$W170)&amp;"")</f>
        <v/>
      </c>
      <c r="G170" s="68" t="str">
        <f aca="false">IF($W170="","",IF(INDEX(发票统计!G$4:G$1003,$W170)="","",INDEX(发票统计!G$4:G$1003,$W170)))</f>
        <v/>
      </c>
      <c r="H170" s="56" t="str">
        <f aca="false">IF($W170="","",N(INDEX(发票统计!H$4:H$1003,$W170)))</f>
        <v/>
      </c>
      <c r="I170" s="56" t="str">
        <f aca="false">IF($W170="","",N(INDEX(发票统计!I$4:I$1003,$W170)))</f>
        <v/>
      </c>
      <c r="J170" s="56" t="str">
        <f aca="false">IF($W170="","",N(INDEX(发票统计!J$4:J$1003,$W170)))</f>
        <v/>
      </c>
      <c r="K170" s="56" t="str">
        <f aca="false">IF($W170="","",N(INDEX(发票统计!K$4:K$1003,$W170)))</f>
        <v/>
      </c>
      <c r="L170" s="56" t="str">
        <f aca="false">IF($W170="","",SUM(J$4:J170)-SUM(K$4:K170))</f>
        <v/>
      </c>
      <c r="M170" s="56" t="str">
        <f aca="false">IF($W170="","",N(INDEX(发票统计!M$4:M$1003,$W170)))</f>
        <v/>
      </c>
      <c r="N170" s="56" t="str">
        <f aca="false">IF($W170="","",N(INDEX(发票统计!N$4:N$1003,$W170)))</f>
        <v/>
      </c>
      <c r="O170" s="56" t="str">
        <f aca="false">IF($W170="","",N(INDEX(发票统计!O$4:O$1003,$W170)))</f>
        <v/>
      </c>
      <c r="P170" s="56" t="str">
        <f aca="false">IF($W170="","",SUM(M$4:M170)-SUM(N$4:N170)-SUM(O$4:O170))</f>
        <v/>
      </c>
      <c r="Q170" s="56" t="str">
        <f aca="false">IF($W170="","",N(INDEX(发票统计!Q$4:Q$1003,$W170)))</f>
        <v/>
      </c>
      <c r="R170" s="56" t="str">
        <f aca="false">IF($W170="","",N(INDEX(发票统计!R$4:R$1003,$W170)))</f>
        <v/>
      </c>
      <c r="S170" s="56" t="str">
        <f aca="false">IF($W170="","",N(INDEX(发票统计!S$4:S$1003,$W170)))</f>
        <v/>
      </c>
      <c r="T170" s="56" t="str">
        <f aca="false">IF($W170="","",SUM(Q$4:Q170)-SUM(R$4:R170)-SUM(S$4:S170))</f>
        <v/>
      </c>
      <c r="U170" s="56" t="str">
        <f aca="false">IF($W170="","",INDEX(发票统计!U$4:U$1003,$W170)&amp;"")</f>
        <v/>
      </c>
      <c r="W170" s="1" t="str">
        <f aca="false">IF($V$3="","",IFERROR(MATCH($V$3&amp;"#"&amp;ROWS(W$4:W170),发票统计!$W$4:$W$1003,0),""))</f>
        <v/>
      </c>
    </row>
    <row r="171" customFormat="false" ht="16.5" hidden="false" customHeight="false" outlineLevel="0" collapsed="false">
      <c r="A171" s="3" t="str">
        <f aca="false">IF($W171="","",INDEX(发票统计!A$4:A$1003,$W171)&amp;"")</f>
        <v/>
      </c>
      <c r="B171" s="3" t="str">
        <f aca="false">IF($W171="","",INDEX(发票统计!B$4:B$1003,$W171)&amp;"")</f>
        <v/>
      </c>
      <c r="C171" s="3" t="str">
        <f aca="false">IF($W171="","",INDEX(发票统计!C$4:C$1003,$W171)&amp;"")</f>
        <v/>
      </c>
      <c r="D171" s="3" t="str">
        <f aca="false">IF($W171="","",INDEX(发票统计!D$4:D$1003,$W171)&amp;"")</f>
        <v/>
      </c>
      <c r="E171" s="67" t="str">
        <f aca="false">IF($W171="","",INDEX(发票统计!E$4:E$1003,$W171)&amp;"")</f>
        <v/>
      </c>
      <c r="F171" s="68" t="str">
        <f aca="false">IF($W171="","",INDEX(发票统计!F$4:F$1003,$W171)&amp;"")</f>
        <v/>
      </c>
      <c r="G171" s="68" t="str">
        <f aca="false">IF($W171="","",IF(INDEX(发票统计!G$4:G$1003,$W171)="","",INDEX(发票统计!G$4:G$1003,$W171)))</f>
        <v/>
      </c>
      <c r="H171" s="56" t="str">
        <f aca="false">IF($W171="","",N(INDEX(发票统计!H$4:H$1003,$W171)))</f>
        <v/>
      </c>
      <c r="I171" s="56" t="str">
        <f aca="false">IF($W171="","",N(INDEX(发票统计!I$4:I$1003,$W171)))</f>
        <v/>
      </c>
      <c r="J171" s="56" t="str">
        <f aca="false">IF($W171="","",N(INDEX(发票统计!J$4:J$1003,$W171)))</f>
        <v/>
      </c>
      <c r="K171" s="56" t="str">
        <f aca="false">IF($W171="","",N(INDEX(发票统计!K$4:K$1003,$W171)))</f>
        <v/>
      </c>
      <c r="L171" s="56" t="str">
        <f aca="false">IF($W171="","",SUM(J$4:J171)-SUM(K$4:K171))</f>
        <v/>
      </c>
      <c r="M171" s="56" t="str">
        <f aca="false">IF($W171="","",N(INDEX(发票统计!M$4:M$1003,$W171)))</f>
        <v/>
      </c>
      <c r="N171" s="56" t="str">
        <f aca="false">IF($W171="","",N(INDEX(发票统计!N$4:N$1003,$W171)))</f>
        <v/>
      </c>
      <c r="O171" s="56" t="str">
        <f aca="false">IF($W171="","",N(INDEX(发票统计!O$4:O$1003,$W171)))</f>
        <v/>
      </c>
      <c r="P171" s="56" t="str">
        <f aca="false">IF($W171="","",SUM(M$4:M171)-SUM(N$4:N171)-SUM(O$4:O171))</f>
        <v/>
      </c>
      <c r="Q171" s="56" t="str">
        <f aca="false">IF($W171="","",N(INDEX(发票统计!Q$4:Q$1003,$W171)))</f>
        <v/>
      </c>
      <c r="R171" s="56" t="str">
        <f aca="false">IF($W171="","",N(INDEX(发票统计!R$4:R$1003,$W171)))</f>
        <v/>
      </c>
      <c r="S171" s="56" t="str">
        <f aca="false">IF($W171="","",N(INDEX(发票统计!S$4:S$1003,$W171)))</f>
        <v/>
      </c>
      <c r="T171" s="56" t="str">
        <f aca="false">IF($W171="","",SUM(Q$4:Q171)-SUM(R$4:R171)-SUM(S$4:S171))</f>
        <v/>
      </c>
      <c r="U171" s="56" t="str">
        <f aca="false">IF($W171="","",INDEX(发票统计!U$4:U$1003,$W171)&amp;"")</f>
        <v/>
      </c>
      <c r="W171" s="1" t="str">
        <f aca="false">IF($V$3="","",IFERROR(MATCH($V$3&amp;"#"&amp;ROWS(W$4:W171),发票统计!$W$4:$W$1003,0),""))</f>
        <v/>
      </c>
    </row>
    <row r="172" customFormat="false" ht="16.5" hidden="false" customHeight="false" outlineLevel="0" collapsed="false">
      <c r="A172" s="3" t="str">
        <f aca="false">IF($W172="","",INDEX(发票统计!A$4:A$1003,$W172)&amp;"")</f>
        <v/>
      </c>
      <c r="B172" s="3" t="str">
        <f aca="false">IF($W172="","",INDEX(发票统计!B$4:B$1003,$W172)&amp;"")</f>
        <v/>
      </c>
      <c r="C172" s="3" t="str">
        <f aca="false">IF($W172="","",INDEX(发票统计!C$4:C$1003,$W172)&amp;"")</f>
        <v/>
      </c>
      <c r="D172" s="3" t="str">
        <f aca="false">IF($W172="","",INDEX(发票统计!D$4:D$1003,$W172)&amp;"")</f>
        <v/>
      </c>
      <c r="E172" s="67" t="str">
        <f aca="false">IF($W172="","",INDEX(发票统计!E$4:E$1003,$W172)&amp;"")</f>
        <v/>
      </c>
      <c r="F172" s="68" t="str">
        <f aca="false">IF($W172="","",INDEX(发票统计!F$4:F$1003,$W172)&amp;"")</f>
        <v/>
      </c>
      <c r="G172" s="68" t="str">
        <f aca="false">IF($W172="","",IF(INDEX(发票统计!G$4:G$1003,$W172)="","",INDEX(发票统计!G$4:G$1003,$W172)))</f>
        <v/>
      </c>
      <c r="H172" s="56" t="str">
        <f aca="false">IF($W172="","",N(INDEX(发票统计!H$4:H$1003,$W172)))</f>
        <v/>
      </c>
      <c r="I172" s="56" t="str">
        <f aca="false">IF($W172="","",N(INDEX(发票统计!I$4:I$1003,$W172)))</f>
        <v/>
      </c>
      <c r="J172" s="56" t="str">
        <f aca="false">IF($W172="","",N(INDEX(发票统计!J$4:J$1003,$W172)))</f>
        <v/>
      </c>
      <c r="K172" s="56" t="str">
        <f aca="false">IF($W172="","",N(INDEX(发票统计!K$4:K$1003,$W172)))</f>
        <v/>
      </c>
      <c r="L172" s="56" t="str">
        <f aca="false">IF($W172="","",SUM(J$4:J172)-SUM(K$4:K172))</f>
        <v/>
      </c>
      <c r="M172" s="56" t="str">
        <f aca="false">IF($W172="","",N(INDEX(发票统计!M$4:M$1003,$W172)))</f>
        <v/>
      </c>
      <c r="N172" s="56" t="str">
        <f aca="false">IF($W172="","",N(INDEX(发票统计!N$4:N$1003,$W172)))</f>
        <v/>
      </c>
      <c r="O172" s="56" t="str">
        <f aca="false">IF($W172="","",N(INDEX(发票统计!O$4:O$1003,$W172)))</f>
        <v/>
      </c>
      <c r="P172" s="56" t="str">
        <f aca="false">IF($W172="","",SUM(M$4:M172)-SUM(N$4:N172)-SUM(O$4:O172))</f>
        <v/>
      </c>
      <c r="Q172" s="56" t="str">
        <f aca="false">IF($W172="","",N(INDEX(发票统计!Q$4:Q$1003,$W172)))</f>
        <v/>
      </c>
      <c r="R172" s="56" t="str">
        <f aca="false">IF($W172="","",N(INDEX(发票统计!R$4:R$1003,$W172)))</f>
        <v/>
      </c>
      <c r="S172" s="56" t="str">
        <f aca="false">IF($W172="","",N(INDEX(发票统计!S$4:S$1003,$W172)))</f>
        <v/>
      </c>
      <c r="T172" s="56" t="str">
        <f aca="false">IF($W172="","",SUM(Q$4:Q172)-SUM(R$4:R172)-SUM(S$4:S172))</f>
        <v/>
      </c>
      <c r="U172" s="56" t="str">
        <f aca="false">IF($W172="","",INDEX(发票统计!U$4:U$1003,$W172)&amp;"")</f>
        <v/>
      </c>
      <c r="W172" s="1" t="str">
        <f aca="false">IF($V$3="","",IFERROR(MATCH($V$3&amp;"#"&amp;ROWS(W$4:W172),发票统计!$W$4:$W$1003,0),""))</f>
        <v/>
      </c>
    </row>
    <row r="173" customFormat="false" ht="16.5" hidden="false" customHeight="false" outlineLevel="0" collapsed="false">
      <c r="A173" s="3" t="str">
        <f aca="false">IF($W173="","",INDEX(发票统计!A$4:A$1003,$W173)&amp;"")</f>
        <v/>
      </c>
      <c r="B173" s="3" t="str">
        <f aca="false">IF($W173="","",INDEX(发票统计!B$4:B$1003,$W173)&amp;"")</f>
        <v/>
      </c>
      <c r="C173" s="3" t="str">
        <f aca="false">IF($W173="","",INDEX(发票统计!C$4:C$1003,$W173)&amp;"")</f>
        <v/>
      </c>
      <c r="D173" s="3" t="str">
        <f aca="false">IF($W173="","",INDEX(发票统计!D$4:D$1003,$W173)&amp;"")</f>
        <v/>
      </c>
      <c r="E173" s="67" t="str">
        <f aca="false">IF($W173="","",INDEX(发票统计!E$4:E$1003,$W173)&amp;"")</f>
        <v/>
      </c>
      <c r="F173" s="68" t="str">
        <f aca="false">IF($W173="","",INDEX(发票统计!F$4:F$1003,$W173)&amp;"")</f>
        <v/>
      </c>
      <c r="G173" s="68" t="str">
        <f aca="false">IF($W173="","",IF(INDEX(发票统计!G$4:G$1003,$W173)="","",INDEX(发票统计!G$4:G$1003,$W173)))</f>
        <v/>
      </c>
      <c r="H173" s="56" t="str">
        <f aca="false">IF($W173="","",N(INDEX(发票统计!H$4:H$1003,$W173)))</f>
        <v/>
      </c>
      <c r="I173" s="56" t="str">
        <f aca="false">IF($W173="","",N(INDEX(发票统计!I$4:I$1003,$W173)))</f>
        <v/>
      </c>
      <c r="J173" s="56" t="str">
        <f aca="false">IF($W173="","",N(INDEX(发票统计!J$4:J$1003,$W173)))</f>
        <v/>
      </c>
      <c r="K173" s="56" t="str">
        <f aca="false">IF($W173="","",N(INDEX(发票统计!K$4:K$1003,$W173)))</f>
        <v/>
      </c>
      <c r="L173" s="56" t="str">
        <f aca="false">IF($W173="","",SUM(J$4:J173)-SUM(K$4:K173))</f>
        <v/>
      </c>
      <c r="M173" s="56" t="str">
        <f aca="false">IF($W173="","",N(INDEX(发票统计!M$4:M$1003,$W173)))</f>
        <v/>
      </c>
      <c r="N173" s="56" t="str">
        <f aca="false">IF($W173="","",N(INDEX(发票统计!N$4:N$1003,$W173)))</f>
        <v/>
      </c>
      <c r="O173" s="56" t="str">
        <f aca="false">IF($W173="","",N(INDEX(发票统计!O$4:O$1003,$W173)))</f>
        <v/>
      </c>
      <c r="P173" s="56" t="str">
        <f aca="false">IF($W173="","",SUM(M$4:M173)-SUM(N$4:N173)-SUM(O$4:O173))</f>
        <v/>
      </c>
      <c r="Q173" s="56" t="str">
        <f aca="false">IF($W173="","",N(INDEX(发票统计!Q$4:Q$1003,$W173)))</f>
        <v/>
      </c>
      <c r="R173" s="56" t="str">
        <f aca="false">IF($W173="","",N(INDEX(发票统计!R$4:R$1003,$W173)))</f>
        <v/>
      </c>
      <c r="S173" s="56" t="str">
        <f aca="false">IF($W173="","",N(INDEX(发票统计!S$4:S$1003,$W173)))</f>
        <v/>
      </c>
      <c r="T173" s="56" t="str">
        <f aca="false">IF($W173="","",SUM(Q$4:Q173)-SUM(R$4:R173)-SUM(S$4:S173))</f>
        <v/>
      </c>
      <c r="U173" s="56" t="str">
        <f aca="false">IF($W173="","",INDEX(发票统计!U$4:U$1003,$W173)&amp;"")</f>
        <v/>
      </c>
      <c r="W173" s="1" t="str">
        <f aca="false">IF($V$3="","",IFERROR(MATCH($V$3&amp;"#"&amp;ROWS(W$4:W173),发票统计!$W$4:$W$1003,0),""))</f>
        <v/>
      </c>
    </row>
    <row r="174" customFormat="false" ht="16.5" hidden="false" customHeight="false" outlineLevel="0" collapsed="false">
      <c r="A174" s="3" t="str">
        <f aca="false">IF($W174="","",INDEX(发票统计!A$4:A$1003,$W174)&amp;"")</f>
        <v/>
      </c>
      <c r="B174" s="3" t="str">
        <f aca="false">IF($W174="","",INDEX(发票统计!B$4:B$1003,$W174)&amp;"")</f>
        <v/>
      </c>
      <c r="C174" s="3" t="str">
        <f aca="false">IF($W174="","",INDEX(发票统计!C$4:C$1003,$W174)&amp;"")</f>
        <v/>
      </c>
      <c r="D174" s="3" t="str">
        <f aca="false">IF($W174="","",INDEX(发票统计!D$4:D$1003,$W174)&amp;"")</f>
        <v/>
      </c>
      <c r="E174" s="67" t="str">
        <f aca="false">IF($W174="","",INDEX(发票统计!E$4:E$1003,$W174)&amp;"")</f>
        <v/>
      </c>
      <c r="F174" s="68" t="str">
        <f aca="false">IF($W174="","",INDEX(发票统计!F$4:F$1003,$W174)&amp;"")</f>
        <v/>
      </c>
      <c r="G174" s="68" t="str">
        <f aca="false">IF($W174="","",IF(INDEX(发票统计!G$4:G$1003,$W174)="","",INDEX(发票统计!G$4:G$1003,$W174)))</f>
        <v/>
      </c>
      <c r="H174" s="56" t="str">
        <f aca="false">IF($W174="","",N(INDEX(发票统计!H$4:H$1003,$W174)))</f>
        <v/>
      </c>
      <c r="I174" s="56" t="str">
        <f aca="false">IF($W174="","",N(INDEX(发票统计!I$4:I$1003,$W174)))</f>
        <v/>
      </c>
      <c r="J174" s="56" t="str">
        <f aca="false">IF($W174="","",N(INDEX(发票统计!J$4:J$1003,$W174)))</f>
        <v/>
      </c>
      <c r="K174" s="56" t="str">
        <f aca="false">IF($W174="","",N(INDEX(发票统计!K$4:K$1003,$W174)))</f>
        <v/>
      </c>
      <c r="L174" s="56" t="str">
        <f aca="false">IF($W174="","",SUM(J$4:J174)-SUM(K$4:K174))</f>
        <v/>
      </c>
      <c r="M174" s="56" t="str">
        <f aca="false">IF($W174="","",N(INDEX(发票统计!M$4:M$1003,$W174)))</f>
        <v/>
      </c>
      <c r="N174" s="56" t="str">
        <f aca="false">IF($W174="","",N(INDEX(发票统计!N$4:N$1003,$W174)))</f>
        <v/>
      </c>
      <c r="O174" s="56" t="str">
        <f aca="false">IF($W174="","",N(INDEX(发票统计!O$4:O$1003,$W174)))</f>
        <v/>
      </c>
      <c r="P174" s="56" t="str">
        <f aca="false">IF($W174="","",SUM(M$4:M174)-SUM(N$4:N174)-SUM(O$4:O174))</f>
        <v/>
      </c>
      <c r="Q174" s="56" t="str">
        <f aca="false">IF($W174="","",N(INDEX(发票统计!Q$4:Q$1003,$W174)))</f>
        <v/>
      </c>
      <c r="R174" s="56" t="str">
        <f aca="false">IF($W174="","",N(INDEX(发票统计!R$4:R$1003,$W174)))</f>
        <v/>
      </c>
      <c r="S174" s="56" t="str">
        <f aca="false">IF($W174="","",N(INDEX(发票统计!S$4:S$1003,$W174)))</f>
        <v/>
      </c>
      <c r="T174" s="56" t="str">
        <f aca="false">IF($W174="","",SUM(Q$4:Q174)-SUM(R$4:R174)-SUM(S$4:S174))</f>
        <v/>
      </c>
      <c r="U174" s="56" t="str">
        <f aca="false">IF($W174="","",INDEX(发票统计!U$4:U$1003,$W174)&amp;"")</f>
        <v/>
      </c>
      <c r="W174" s="1" t="str">
        <f aca="false">IF($V$3="","",IFERROR(MATCH($V$3&amp;"#"&amp;ROWS(W$4:W174),发票统计!$W$4:$W$1003,0),""))</f>
        <v/>
      </c>
    </row>
    <row r="175" customFormat="false" ht="16.5" hidden="false" customHeight="false" outlineLevel="0" collapsed="false">
      <c r="A175" s="3" t="str">
        <f aca="false">IF($W175="","",INDEX(发票统计!A$4:A$1003,$W175)&amp;"")</f>
        <v/>
      </c>
      <c r="B175" s="3" t="str">
        <f aca="false">IF($W175="","",INDEX(发票统计!B$4:B$1003,$W175)&amp;"")</f>
        <v/>
      </c>
      <c r="C175" s="3" t="str">
        <f aca="false">IF($W175="","",INDEX(发票统计!C$4:C$1003,$W175)&amp;"")</f>
        <v/>
      </c>
      <c r="D175" s="3" t="str">
        <f aca="false">IF($W175="","",INDEX(发票统计!D$4:D$1003,$W175)&amp;"")</f>
        <v/>
      </c>
      <c r="E175" s="67" t="str">
        <f aca="false">IF($W175="","",INDEX(发票统计!E$4:E$1003,$W175)&amp;"")</f>
        <v/>
      </c>
      <c r="F175" s="68" t="str">
        <f aca="false">IF($W175="","",INDEX(发票统计!F$4:F$1003,$W175)&amp;"")</f>
        <v/>
      </c>
      <c r="G175" s="68" t="str">
        <f aca="false">IF($W175="","",IF(INDEX(发票统计!G$4:G$1003,$W175)="","",INDEX(发票统计!G$4:G$1003,$W175)))</f>
        <v/>
      </c>
      <c r="H175" s="56" t="str">
        <f aca="false">IF($W175="","",N(INDEX(发票统计!H$4:H$1003,$W175)))</f>
        <v/>
      </c>
      <c r="I175" s="56" t="str">
        <f aca="false">IF($W175="","",N(INDEX(发票统计!I$4:I$1003,$W175)))</f>
        <v/>
      </c>
      <c r="J175" s="56" t="str">
        <f aca="false">IF($W175="","",N(INDEX(发票统计!J$4:J$1003,$W175)))</f>
        <v/>
      </c>
      <c r="K175" s="56" t="str">
        <f aca="false">IF($W175="","",N(INDEX(发票统计!K$4:K$1003,$W175)))</f>
        <v/>
      </c>
      <c r="L175" s="56" t="str">
        <f aca="false">IF($W175="","",SUM(J$4:J175)-SUM(K$4:K175))</f>
        <v/>
      </c>
      <c r="M175" s="56" t="str">
        <f aca="false">IF($W175="","",N(INDEX(发票统计!M$4:M$1003,$W175)))</f>
        <v/>
      </c>
      <c r="N175" s="56" t="str">
        <f aca="false">IF($W175="","",N(INDEX(发票统计!N$4:N$1003,$W175)))</f>
        <v/>
      </c>
      <c r="O175" s="56" t="str">
        <f aca="false">IF($W175="","",N(INDEX(发票统计!O$4:O$1003,$W175)))</f>
        <v/>
      </c>
      <c r="P175" s="56" t="str">
        <f aca="false">IF($W175="","",SUM(M$4:M175)-SUM(N$4:N175)-SUM(O$4:O175))</f>
        <v/>
      </c>
      <c r="Q175" s="56" t="str">
        <f aca="false">IF($W175="","",N(INDEX(发票统计!Q$4:Q$1003,$W175)))</f>
        <v/>
      </c>
      <c r="R175" s="56" t="str">
        <f aca="false">IF($W175="","",N(INDEX(发票统计!R$4:R$1003,$W175)))</f>
        <v/>
      </c>
      <c r="S175" s="56" t="str">
        <f aca="false">IF($W175="","",N(INDEX(发票统计!S$4:S$1003,$W175)))</f>
        <v/>
      </c>
      <c r="T175" s="56" t="str">
        <f aca="false">IF($W175="","",SUM(Q$4:Q175)-SUM(R$4:R175)-SUM(S$4:S175))</f>
        <v/>
      </c>
      <c r="U175" s="56" t="str">
        <f aca="false">IF($W175="","",INDEX(发票统计!U$4:U$1003,$W175)&amp;"")</f>
        <v/>
      </c>
      <c r="W175" s="1" t="str">
        <f aca="false">IF($V$3="","",IFERROR(MATCH($V$3&amp;"#"&amp;ROWS(W$4:W175),发票统计!$W$4:$W$1003,0),""))</f>
        <v/>
      </c>
    </row>
    <row r="176" customFormat="false" ht="16.5" hidden="false" customHeight="false" outlineLevel="0" collapsed="false">
      <c r="A176" s="3" t="str">
        <f aca="false">IF($W176="","",INDEX(发票统计!A$4:A$1003,$W176)&amp;"")</f>
        <v/>
      </c>
      <c r="B176" s="3" t="str">
        <f aca="false">IF($W176="","",INDEX(发票统计!B$4:B$1003,$W176)&amp;"")</f>
        <v/>
      </c>
      <c r="C176" s="3" t="str">
        <f aca="false">IF($W176="","",INDEX(发票统计!C$4:C$1003,$W176)&amp;"")</f>
        <v/>
      </c>
      <c r="D176" s="3" t="str">
        <f aca="false">IF($W176="","",INDEX(发票统计!D$4:D$1003,$W176)&amp;"")</f>
        <v/>
      </c>
      <c r="E176" s="67" t="str">
        <f aca="false">IF($W176="","",INDEX(发票统计!E$4:E$1003,$W176)&amp;"")</f>
        <v/>
      </c>
      <c r="F176" s="68" t="str">
        <f aca="false">IF($W176="","",INDEX(发票统计!F$4:F$1003,$W176)&amp;"")</f>
        <v/>
      </c>
      <c r="G176" s="68" t="str">
        <f aca="false">IF($W176="","",IF(INDEX(发票统计!G$4:G$1003,$W176)="","",INDEX(发票统计!G$4:G$1003,$W176)))</f>
        <v/>
      </c>
      <c r="H176" s="56" t="str">
        <f aca="false">IF($W176="","",N(INDEX(发票统计!H$4:H$1003,$W176)))</f>
        <v/>
      </c>
      <c r="I176" s="56" t="str">
        <f aca="false">IF($W176="","",N(INDEX(发票统计!I$4:I$1003,$W176)))</f>
        <v/>
      </c>
      <c r="J176" s="56" t="str">
        <f aca="false">IF($W176="","",N(INDEX(发票统计!J$4:J$1003,$W176)))</f>
        <v/>
      </c>
      <c r="K176" s="56" t="str">
        <f aca="false">IF($W176="","",N(INDEX(发票统计!K$4:K$1003,$W176)))</f>
        <v/>
      </c>
      <c r="L176" s="56" t="str">
        <f aca="false">IF($W176="","",SUM(J$4:J176)-SUM(K$4:K176))</f>
        <v/>
      </c>
      <c r="M176" s="56" t="str">
        <f aca="false">IF($W176="","",N(INDEX(发票统计!M$4:M$1003,$W176)))</f>
        <v/>
      </c>
      <c r="N176" s="56" t="str">
        <f aca="false">IF($W176="","",N(INDEX(发票统计!N$4:N$1003,$W176)))</f>
        <v/>
      </c>
      <c r="O176" s="56" t="str">
        <f aca="false">IF($W176="","",N(INDEX(发票统计!O$4:O$1003,$W176)))</f>
        <v/>
      </c>
      <c r="P176" s="56" t="str">
        <f aca="false">IF($W176="","",SUM(M$4:M176)-SUM(N$4:N176)-SUM(O$4:O176))</f>
        <v/>
      </c>
      <c r="Q176" s="56" t="str">
        <f aca="false">IF($W176="","",N(INDEX(发票统计!Q$4:Q$1003,$W176)))</f>
        <v/>
      </c>
      <c r="R176" s="56" t="str">
        <f aca="false">IF($W176="","",N(INDEX(发票统计!R$4:R$1003,$W176)))</f>
        <v/>
      </c>
      <c r="S176" s="56" t="str">
        <f aca="false">IF($W176="","",N(INDEX(发票统计!S$4:S$1003,$W176)))</f>
        <v/>
      </c>
      <c r="T176" s="56" t="str">
        <f aca="false">IF($W176="","",SUM(Q$4:Q176)-SUM(R$4:R176)-SUM(S$4:S176))</f>
        <v/>
      </c>
      <c r="U176" s="56" t="str">
        <f aca="false">IF($W176="","",INDEX(发票统计!U$4:U$1003,$W176)&amp;"")</f>
        <v/>
      </c>
      <c r="W176" s="1" t="str">
        <f aca="false">IF($V$3="","",IFERROR(MATCH($V$3&amp;"#"&amp;ROWS(W$4:W176),发票统计!$W$4:$W$1003,0),""))</f>
        <v/>
      </c>
    </row>
    <row r="177" customFormat="false" ht="16.5" hidden="false" customHeight="false" outlineLevel="0" collapsed="false">
      <c r="A177" s="3" t="str">
        <f aca="false">IF($W177="","",INDEX(发票统计!A$4:A$1003,$W177)&amp;"")</f>
        <v/>
      </c>
      <c r="B177" s="3" t="str">
        <f aca="false">IF($W177="","",INDEX(发票统计!B$4:B$1003,$W177)&amp;"")</f>
        <v/>
      </c>
      <c r="C177" s="3" t="str">
        <f aca="false">IF($W177="","",INDEX(发票统计!C$4:C$1003,$W177)&amp;"")</f>
        <v/>
      </c>
      <c r="D177" s="3" t="str">
        <f aca="false">IF($W177="","",INDEX(发票统计!D$4:D$1003,$W177)&amp;"")</f>
        <v/>
      </c>
      <c r="E177" s="67" t="str">
        <f aca="false">IF($W177="","",INDEX(发票统计!E$4:E$1003,$W177)&amp;"")</f>
        <v/>
      </c>
      <c r="F177" s="68" t="str">
        <f aca="false">IF($W177="","",INDEX(发票统计!F$4:F$1003,$W177)&amp;"")</f>
        <v/>
      </c>
      <c r="G177" s="68" t="str">
        <f aca="false">IF($W177="","",IF(INDEX(发票统计!G$4:G$1003,$W177)="","",INDEX(发票统计!G$4:G$1003,$W177)))</f>
        <v/>
      </c>
      <c r="H177" s="56" t="str">
        <f aca="false">IF($W177="","",N(INDEX(发票统计!H$4:H$1003,$W177)))</f>
        <v/>
      </c>
      <c r="I177" s="56" t="str">
        <f aca="false">IF($W177="","",N(INDEX(发票统计!I$4:I$1003,$W177)))</f>
        <v/>
      </c>
      <c r="J177" s="56" t="str">
        <f aca="false">IF($W177="","",N(INDEX(发票统计!J$4:J$1003,$W177)))</f>
        <v/>
      </c>
      <c r="K177" s="56" t="str">
        <f aca="false">IF($W177="","",N(INDEX(发票统计!K$4:K$1003,$W177)))</f>
        <v/>
      </c>
      <c r="L177" s="56" t="str">
        <f aca="false">IF($W177="","",SUM(J$4:J177)-SUM(K$4:K177))</f>
        <v/>
      </c>
      <c r="M177" s="56" t="str">
        <f aca="false">IF($W177="","",N(INDEX(发票统计!M$4:M$1003,$W177)))</f>
        <v/>
      </c>
      <c r="N177" s="56" t="str">
        <f aca="false">IF($W177="","",N(INDEX(发票统计!N$4:N$1003,$W177)))</f>
        <v/>
      </c>
      <c r="O177" s="56" t="str">
        <f aca="false">IF($W177="","",N(INDEX(发票统计!O$4:O$1003,$W177)))</f>
        <v/>
      </c>
      <c r="P177" s="56" t="str">
        <f aca="false">IF($W177="","",SUM(M$4:M177)-SUM(N$4:N177)-SUM(O$4:O177))</f>
        <v/>
      </c>
      <c r="Q177" s="56" t="str">
        <f aca="false">IF($W177="","",N(INDEX(发票统计!Q$4:Q$1003,$W177)))</f>
        <v/>
      </c>
      <c r="R177" s="56" t="str">
        <f aca="false">IF($W177="","",N(INDEX(发票统计!R$4:R$1003,$W177)))</f>
        <v/>
      </c>
      <c r="S177" s="56" t="str">
        <f aca="false">IF($W177="","",N(INDEX(发票统计!S$4:S$1003,$W177)))</f>
        <v/>
      </c>
      <c r="T177" s="56" t="str">
        <f aca="false">IF($W177="","",SUM(Q$4:Q177)-SUM(R$4:R177)-SUM(S$4:S177))</f>
        <v/>
      </c>
      <c r="U177" s="56" t="str">
        <f aca="false">IF($W177="","",INDEX(发票统计!U$4:U$1003,$W177)&amp;"")</f>
        <v/>
      </c>
      <c r="W177" s="1" t="str">
        <f aca="false">IF($V$3="","",IFERROR(MATCH($V$3&amp;"#"&amp;ROWS(W$4:W177),发票统计!$W$4:$W$1003,0),""))</f>
        <v/>
      </c>
    </row>
    <row r="178" customFormat="false" ht="16.5" hidden="false" customHeight="false" outlineLevel="0" collapsed="false">
      <c r="A178" s="3" t="str">
        <f aca="false">IF($W178="","",INDEX(发票统计!A$4:A$1003,$W178)&amp;"")</f>
        <v/>
      </c>
      <c r="B178" s="3" t="str">
        <f aca="false">IF($W178="","",INDEX(发票统计!B$4:B$1003,$W178)&amp;"")</f>
        <v/>
      </c>
      <c r="C178" s="3" t="str">
        <f aca="false">IF($W178="","",INDEX(发票统计!C$4:C$1003,$W178)&amp;"")</f>
        <v/>
      </c>
      <c r="D178" s="3" t="str">
        <f aca="false">IF($W178="","",INDEX(发票统计!D$4:D$1003,$W178)&amp;"")</f>
        <v/>
      </c>
      <c r="E178" s="67" t="str">
        <f aca="false">IF($W178="","",INDEX(发票统计!E$4:E$1003,$W178)&amp;"")</f>
        <v/>
      </c>
      <c r="F178" s="68" t="str">
        <f aca="false">IF($W178="","",INDEX(发票统计!F$4:F$1003,$W178)&amp;"")</f>
        <v/>
      </c>
      <c r="G178" s="68" t="str">
        <f aca="false">IF($W178="","",IF(INDEX(发票统计!G$4:G$1003,$W178)="","",INDEX(发票统计!G$4:G$1003,$W178)))</f>
        <v/>
      </c>
      <c r="H178" s="56" t="str">
        <f aca="false">IF($W178="","",N(INDEX(发票统计!H$4:H$1003,$W178)))</f>
        <v/>
      </c>
      <c r="I178" s="56" t="str">
        <f aca="false">IF($W178="","",N(INDEX(发票统计!I$4:I$1003,$W178)))</f>
        <v/>
      </c>
      <c r="J178" s="56" t="str">
        <f aca="false">IF($W178="","",N(INDEX(发票统计!J$4:J$1003,$W178)))</f>
        <v/>
      </c>
      <c r="K178" s="56" t="str">
        <f aca="false">IF($W178="","",N(INDEX(发票统计!K$4:K$1003,$W178)))</f>
        <v/>
      </c>
      <c r="L178" s="56" t="str">
        <f aca="false">IF($W178="","",SUM(J$4:J178)-SUM(K$4:K178))</f>
        <v/>
      </c>
      <c r="M178" s="56" t="str">
        <f aca="false">IF($W178="","",N(INDEX(发票统计!M$4:M$1003,$W178)))</f>
        <v/>
      </c>
      <c r="N178" s="56" t="str">
        <f aca="false">IF($W178="","",N(INDEX(发票统计!N$4:N$1003,$W178)))</f>
        <v/>
      </c>
      <c r="O178" s="56" t="str">
        <f aca="false">IF($W178="","",N(INDEX(发票统计!O$4:O$1003,$W178)))</f>
        <v/>
      </c>
      <c r="P178" s="56" t="str">
        <f aca="false">IF($W178="","",SUM(M$4:M178)-SUM(N$4:N178)-SUM(O$4:O178))</f>
        <v/>
      </c>
      <c r="Q178" s="56" t="str">
        <f aca="false">IF($W178="","",N(INDEX(发票统计!Q$4:Q$1003,$W178)))</f>
        <v/>
      </c>
      <c r="R178" s="56" t="str">
        <f aca="false">IF($W178="","",N(INDEX(发票统计!R$4:R$1003,$W178)))</f>
        <v/>
      </c>
      <c r="S178" s="56" t="str">
        <f aca="false">IF($W178="","",N(INDEX(发票统计!S$4:S$1003,$W178)))</f>
        <v/>
      </c>
      <c r="T178" s="56" t="str">
        <f aca="false">IF($W178="","",SUM(Q$4:Q178)-SUM(R$4:R178)-SUM(S$4:S178))</f>
        <v/>
      </c>
      <c r="U178" s="56" t="str">
        <f aca="false">IF($W178="","",INDEX(发票统计!U$4:U$1003,$W178)&amp;"")</f>
        <v/>
      </c>
      <c r="W178" s="1" t="str">
        <f aca="false">IF($V$3="","",IFERROR(MATCH($V$3&amp;"#"&amp;ROWS(W$4:W178),发票统计!$W$4:$W$1003,0),""))</f>
        <v/>
      </c>
    </row>
    <row r="179" customFormat="false" ht="16.5" hidden="false" customHeight="false" outlineLevel="0" collapsed="false">
      <c r="A179" s="3" t="str">
        <f aca="false">IF($W179="","",INDEX(发票统计!A$4:A$1003,$W179)&amp;"")</f>
        <v/>
      </c>
      <c r="B179" s="3" t="str">
        <f aca="false">IF($W179="","",INDEX(发票统计!B$4:B$1003,$W179)&amp;"")</f>
        <v/>
      </c>
      <c r="C179" s="3" t="str">
        <f aca="false">IF($W179="","",INDEX(发票统计!C$4:C$1003,$W179)&amp;"")</f>
        <v/>
      </c>
      <c r="D179" s="3" t="str">
        <f aca="false">IF($W179="","",INDEX(发票统计!D$4:D$1003,$W179)&amp;"")</f>
        <v/>
      </c>
      <c r="E179" s="67" t="str">
        <f aca="false">IF($W179="","",INDEX(发票统计!E$4:E$1003,$W179)&amp;"")</f>
        <v/>
      </c>
      <c r="F179" s="68" t="str">
        <f aca="false">IF($W179="","",INDEX(发票统计!F$4:F$1003,$W179)&amp;"")</f>
        <v/>
      </c>
      <c r="G179" s="68" t="str">
        <f aca="false">IF($W179="","",IF(INDEX(发票统计!G$4:G$1003,$W179)="","",INDEX(发票统计!G$4:G$1003,$W179)))</f>
        <v/>
      </c>
      <c r="H179" s="56" t="str">
        <f aca="false">IF($W179="","",N(INDEX(发票统计!H$4:H$1003,$W179)))</f>
        <v/>
      </c>
      <c r="I179" s="56" t="str">
        <f aca="false">IF($W179="","",N(INDEX(发票统计!I$4:I$1003,$W179)))</f>
        <v/>
      </c>
      <c r="J179" s="56" t="str">
        <f aca="false">IF($W179="","",N(INDEX(发票统计!J$4:J$1003,$W179)))</f>
        <v/>
      </c>
      <c r="K179" s="56" t="str">
        <f aca="false">IF($W179="","",N(INDEX(发票统计!K$4:K$1003,$W179)))</f>
        <v/>
      </c>
      <c r="L179" s="56" t="str">
        <f aca="false">IF($W179="","",SUM(J$4:J179)-SUM(K$4:K179))</f>
        <v/>
      </c>
      <c r="M179" s="56" t="str">
        <f aca="false">IF($W179="","",N(INDEX(发票统计!M$4:M$1003,$W179)))</f>
        <v/>
      </c>
      <c r="N179" s="56" t="str">
        <f aca="false">IF($W179="","",N(INDEX(发票统计!N$4:N$1003,$W179)))</f>
        <v/>
      </c>
      <c r="O179" s="56" t="str">
        <f aca="false">IF($W179="","",N(INDEX(发票统计!O$4:O$1003,$W179)))</f>
        <v/>
      </c>
      <c r="P179" s="56" t="str">
        <f aca="false">IF($W179="","",SUM(M$4:M179)-SUM(N$4:N179)-SUM(O$4:O179))</f>
        <v/>
      </c>
      <c r="Q179" s="56" t="str">
        <f aca="false">IF($W179="","",N(INDEX(发票统计!Q$4:Q$1003,$W179)))</f>
        <v/>
      </c>
      <c r="R179" s="56" t="str">
        <f aca="false">IF($W179="","",N(INDEX(发票统计!R$4:R$1003,$W179)))</f>
        <v/>
      </c>
      <c r="S179" s="56" t="str">
        <f aca="false">IF($W179="","",N(INDEX(发票统计!S$4:S$1003,$W179)))</f>
        <v/>
      </c>
      <c r="T179" s="56" t="str">
        <f aca="false">IF($W179="","",SUM(Q$4:Q179)-SUM(R$4:R179)-SUM(S$4:S179))</f>
        <v/>
      </c>
      <c r="U179" s="56" t="str">
        <f aca="false">IF($W179="","",INDEX(发票统计!U$4:U$1003,$W179)&amp;"")</f>
        <v/>
      </c>
      <c r="W179" s="1" t="str">
        <f aca="false">IF($V$3="","",IFERROR(MATCH($V$3&amp;"#"&amp;ROWS(W$4:W179),发票统计!$W$4:$W$1003,0),""))</f>
        <v/>
      </c>
    </row>
    <row r="180" customFormat="false" ht="16.5" hidden="false" customHeight="false" outlineLevel="0" collapsed="false">
      <c r="A180" s="3" t="str">
        <f aca="false">IF($W180="","",INDEX(发票统计!A$4:A$1003,$W180)&amp;"")</f>
        <v/>
      </c>
      <c r="B180" s="3" t="str">
        <f aca="false">IF($W180="","",INDEX(发票统计!B$4:B$1003,$W180)&amp;"")</f>
        <v/>
      </c>
      <c r="C180" s="3" t="str">
        <f aca="false">IF($W180="","",INDEX(发票统计!C$4:C$1003,$W180)&amp;"")</f>
        <v/>
      </c>
      <c r="D180" s="3" t="str">
        <f aca="false">IF($W180="","",INDEX(发票统计!D$4:D$1003,$W180)&amp;"")</f>
        <v/>
      </c>
      <c r="E180" s="67" t="str">
        <f aca="false">IF($W180="","",INDEX(发票统计!E$4:E$1003,$W180)&amp;"")</f>
        <v/>
      </c>
      <c r="F180" s="68" t="str">
        <f aca="false">IF($W180="","",INDEX(发票统计!F$4:F$1003,$W180)&amp;"")</f>
        <v/>
      </c>
      <c r="G180" s="68" t="str">
        <f aca="false">IF($W180="","",IF(INDEX(发票统计!G$4:G$1003,$W180)="","",INDEX(发票统计!G$4:G$1003,$W180)))</f>
        <v/>
      </c>
      <c r="H180" s="56" t="str">
        <f aca="false">IF($W180="","",N(INDEX(发票统计!H$4:H$1003,$W180)))</f>
        <v/>
      </c>
      <c r="I180" s="56" t="str">
        <f aca="false">IF($W180="","",N(INDEX(发票统计!I$4:I$1003,$W180)))</f>
        <v/>
      </c>
      <c r="J180" s="56" t="str">
        <f aca="false">IF($W180="","",N(INDEX(发票统计!J$4:J$1003,$W180)))</f>
        <v/>
      </c>
      <c r="K180" s="56" t="str">
        <f aca="false">IF($W180="","",N(INDEX(发票统计!K$4:K$1003,$W180)))</f>
        <v/>
      </c>
      <c r="L180" s="56" t="str">
        <f aca="false">IF($W180="","",SUM(J$4:J180)-SUM(K$4:K180))</f>
        <v/>
      </c>
      <c r="M180" s="56" t="str">
        <f aca="false">IF($W180="","",N(INDEX(发票统计!M$4:M$1003,$W180)))</f>
        <v/>
      </c>
      <c r="N180" s="56" t="str">
        <f aca="false">IF($W180="","",N(INDEX(发票统计!N$4:N$1003,$W180)))</f>
        <v/>
      </c>
      <c r="O180" s="56" t="str">
        <f aca="false">IF($W180="","",N(INDEX(发票统计!O$4:O$1003,$W180)))</f>
        <v/>
      </c>
      <c r="P180" s="56" t="str">
        <f aca="false">IF($W180="","",SUM(M$4:M180)-SUM(N$4:N180)-SUM(O$4:O180))</f>
        <v/>
      </c>
      <c r="Q180" s="56" t="str">
        <f aca="false">IF($W180="","",N(INDEX(发票统计!Q$4:Q$1003,$W180)))</f>
        <v/>
      </c>
      <c r="R180" s="56" t="str">
        <f aca="false">IF($W180="","",N(INDEX(发票统计!R$4:R$1003,$W180)))</f>
        <v/>
      </c>
      <c r="S180" s="56" t="str">
        <f aca="false">IF($W180="","",N(INDEX(发票统计!S$4:S$1003,$W180)))</f>
        <v/>
      </c>
      <c r="T180" s="56" t="str">
        <f aca="false">IF($W180="","",SUM(Q$4:Q180)-SUM(R$4:R180)-SUM(S$4:S180))</f>
        <v/>
      </c>
      <c r="U180" s="56" t="str">
        <f aca="false">IF($W180="","",INDEX(发票统计!U$4:U$1003,$W180)&amp;"")</f>
        <v/>
      </c>
      <c r="W180" s="1" t="str">
        <f aca="false">IF($V$3="","",IFERROR(MATCH($V$3&amp;"#"&amp;ROWS(W$4:W180),发票统计!$W$4:$W$1003,0),""))</f>
        <v/>
      </c>
    </row>
    <row r="181" customFormat="false" ht="16.5" hidden="false" customHeight="false" outlineLevel="0" collapsed="false">
      <c r="A181" s="3" t="str">
        <f aca="false">IF($W181="","",INDEX(发票统计!A$4:A$1003,$W181)&amp;"")</f>
        <v/>
      </c>
      <c r="B181" s="3" t="str">
        <f aca="false">IF($W181="","",INDEX(发票统计!B$4:B$1003,$W181)&amp;"")</f>
        <v/>
      </c>
      <c r="C181" s="3" t="str">
        <f aca="false">IF($W181="","",INDEX(发票统计!C$4:C$1003,$W181)&amp;"")</f>
        <v/>
      </c>
      <c r="D181" s="3" t="str">
        <f aca="false">IF($W181="","",INDEX(发票统计!D$4:D$1003,$W181)&amp;"")</f>
        <v/>
      </c>
      <c r="E181" s="67" t="str">
        <f aca="false">IF($W181="","",INDEX(发票统计!E$4:E$1003,$W181)&amp;"")</f>
        <v/>
      </c>
      <c r="F181" s="68" t="str">
        <f aca="false">IF($W181="","",INDEX(发票统计!F$4:F$1003,$W181)&amp;"")</f>
        <v/>
      </c>
      <c r="G181" s="68" t="str">
        <f aca="false">IF($W181="","",IF(INDEX(发票统计!G$4:G$1003,$W181)="","",INDEX(发票统计!G$4:G$1003,$W181)))</f>
        <v/>
      </c>
      <c r="H181" s="56" t="str">
        <f aca="false">IF($W181="","",N(INDEX(发票统计!H$4:H$1003,$W181)))</f>
        <v/>
      </c>
      <c r="I181" s="56" t="str">
        <f aca="false">IF($W181="","",N(INDEX(发票统计!I$4:I$1003,$W181)))</f>
        <v/>
      </c>
      <c r="J181" s="56" t="str">
        <f aca="false">IF($W181="","",N(INDEX(发票统计!J$4:J$1003,$W181)))</f>
        <v/>
      </c>
      <c r="K181" s="56" t="str">
        <f aca="false">IF($W181="","",N(INDEX(发票统计!K$4:K$1003,$W181)))</f>
        <v/>
      </c>
      <c r="L181" s="56" t="str">
        <f aca="false">IF($W181="","",SUM(J$4:J181)-SUM(K$4:K181))</f>
        <v/>
      </c>
      <c r="M181" s="56" t="str">
        <f aca="false">IF($W181="","",N(INDEX(发票统计!M$4:M$1003,$W181)))</f>
        <v/>
      </c>
      <c r="N181" s="56" t="str">
        <f aca="false">IF($W181="","",N(INDEX(发票统计!N$4:N$1003,$W181)))</f>
        <v/>
      </c>
      <c r="O181" s="56" t="str">
        <f aca="false">IF($W181="","",N(INDEX(发票统计!O$4:O$1003,$W181)))</f>
        <v/>
      </c>
      <c r="P181" s="56" t="str">
        <f aca="false">IF($W181="","",SUM(M$4:M181)-SUM(N$4:N181)-SUM(O$4:O181))</f>
        <v/>
      </c>
      <c r="Q181" s="56" t="str">
        <f aca="false">IF($W181="","",N(INDEX(发票统计!Q$4:Q$1003,$W181)))</f>
        <v/>
      </c>
      <c r="R181" s="56" t="str">
        <f aca="false">IF($W181="","",N(INDEX(发票统计!R$4:R$1003,$W181)))</f>
        <v/>
      </c>
      <c r="S181" s="56" t="str">
        <f aca="false">IF($W181="","",N(INDEX(发票统计!S$4:S$1003,$W181)))</f>
        <v/>
      </c>
      <c r="T181" s="56" t="str">
        <f aca="false">IF($W181="","",SUM(Q$4:Q181)-SUM(R$4:R181)-SUM(S$4:S181))</f>
        <v/>
      </c>
      <c r="U181" s="56" t="str">
        <f aca="false">IF($W181="","",INDEX(发票统计!U$4:U$1003,$W181)&amp;"")</f>
        <v/>
      </c>
      <c r="W181" s="1" t="str">
        <f aca="false">IF($V$3="","",IFERROR(MATCH($V$3&amp;"#"&amp;ROWS(W$4:W181),发票统计!$W$4:$W$1003,0),""))</f>
        <v/>
      </c>
    </row>
    <row r="182" customFormat="false" ht="16.5" hidden="false" customHeight="false" outlineLevel="0" collapsed="false">
      <c r="A182" s="3" t="str">
        <f aca="false">IF($W182="","",INDEX(发票统计!A$4:A$1003,$W182)&amp;"")</f>
        <v/>
      </c>
      <c r="B182" s="3" t="str">
        <f aca="false">IF($W182="","",INDEX(发票统计!B$4:B$1003,$W182)&amp;"")</f>
        <v/>
      </c>
      <c r="C182" s="3" t="str">
        <f aca="false">IF($W182="","",INDEX(发票统计!C$4:C$1003,$W182)&amp;"")</f>
        <v/>
      </c>
      <c r="D182" s="3" t="str">
        <f aca="false">IF($W182="","",INDEX(发票统计!D$4:D$1003,$W182)&amp;"")</f>
        <v/>
      </c>
      <c r="E182" s="67" t="str">
        <f aca="false">IF($W182="","",INDEX(发票统计!E$4:E$1003,$W182)&amp;"")</f>
        <v/>
      </c>
      <c r="F182" s="68" t="str">
        <f aca="false">IF($W182="","",INDEX(发票统计!F$4:F$1003,$W182)&amp;"")</f>
        <v/>
      </c>
      <c r="G182" s="68" t="str">
        <f aca="false">IF($W182="","",IF(INDEX(发票统计!G$4:G$1003,$W182)="","",INDEX(发票统计!G$4:G$1003,$W182)))</f>
        <v/>
      </c>
      <c r="H182" s="56" t="str">
        <f aca="false">IF($W182="","",N(INDEX(发票统计!H$4:H$1003,$W182)))</f>
        <v/>
      </c>
      <c r="I182" s="56" t="str">
        <f aca="false">IF($W182="","",N(INDEX(发票统计!I$4:I$1003,$W182)))</f>
        <v/>
      </c>
      <c r="J182" s="56" t="str">
        <f aca="false">IF($W182="","",N(INDEX(发票统计!J$4:J$1003,$W182)))</f>
        <v/>
      </c>
      <c r="K182" s="56" t="str">
        <f aca="false">IF($W182="","",N(INDEX(发票统计!K$4:K$1003,$W182)))</f>
        <v/>
      </c>
      <c r="L182" s="56" t="str">
        <f aca="false">IF($W182="","",SUM(J$4:J182)-SUM(K$4:K182))</f>
        <v/>
      </c>
      <c r="M182" s="56" t="str">
        <f aca="false">IF($W182="","",N(INDEX(发票统计!M$4:M$1003,$W182)))</f>
        <v/>
      </c>
      <c r="N182" s="56" t="str">
        <f aca="false">IF($W182="","",N(INDEX(发票统计!N$4:N$1003,$W182)))</f>
        <v/>
      </c>
      <c r="O182" s="56" t="str">
        <f aca="false">IF($W182="","",N(INDEX(发票统计!O$4:O$1003,$W182)))</f>
        <v/>
      </c>
      <c r="P182" s="56" t="str">
        <f aca="false">IF($W182="","",SUM(M$4:M182)-SUM(N$4:N182)-SUM(O$4:O182))</f>
        <v/>
      </c>
      <c r="Q182" s="56" t="str">
        <f aca="false">IF($W182="","",N(INDEX(发票统计!Q$4:Q$1003,$W182)))</f>
        <v/>
      </c>
      <c r="R182" s="56" t="str">
        <f aca="false">IF($W182="","",N(INDEX(发票统计!R$4:R$1003,$W182)))</f>
        <v/>
      </c>
      <c r="S182" s="56" t="str">
        <f aca="false">IF($W182="","",N(INDEX(发票统计!S$4:S$1003,$W182)))</f>
        <v/>
      </c>
      <c r="T182" s="56" t="str">
        <f aca="false">IF($W182="","",SUM(Q$4:Q182)-SUM(R$4:R182)-SUM(S$4:S182))</f>
        <v/>
      </c>
      <c r="U182" s="56" t="str">
        <f aca="false">IF($W182="","",INDEX(发票统计!U$4:U$1003,$W182)&amp;"")</f>
        <v/>
      </c>
      <c r="W182" s="1" t="str">
        <f aca="false">IF($V$3="","",IFERROR(MATCH($V$3&amp;"#"&amp;ROWS(W$4:W182),发票统计!$W$4:$W$1003,0),""))</f>
        <v/>
      </c>
    </row>
    <row r="183" customFormat="false" ht="16.5" hidden="false" customHeight="false" outlineLevel="0" collapsed="false">
      <c r="A183" s="3" t="str">
        <f aca="false">IF($W183="","",INDEX(发票统计!A$4:A$1003,$W183)&amp;"")</f>
        <v/>
      </c>
      <c r="B183" s="3" t="str">
        <f aca="false">IF($W183="","",INDEX(发票统计!B$4:B$1003,$W183)&amp;"")</f>
        <v/>
      </c>
      <c r="C183" s="3" t="str">
        <f aca="false">IF($W183="","",INDEX(发票统计!C$4:C$1003,$W183)&amp;"")</f>
        <v/>
      </c>
      <c r="D183" s="3" t="str">
        <f aca="false">IF($W183="","",INDEX(发票统计!D$4:D$1003,$W183)&amp;"")</f>
        <v/>
      </c>
      <c r="E183" s="67" t="str">
        <f aca="false">IF($W183="","",INDEX(发票统计!E$4:E$1003,$W183)&amp;"")</f>
        <v/>
      </c>
      <c r="F183" s="68" t="str">
        <f aca="false">IF($W183="","",INDEX(发票统计!F$4:F$1003,$W183)&amp;"")</f>
        <v/>
      </c>
      <c r="G183" s="68" t="str">
        <f aca="false">IF($W183="","",IF(INDEX(发票统计!G$4:G$1003,$W183)="","",INDEX(发票统计!G$4:G$1003,$W183)))</f>
        <v/>
      </c>
      <c r="H183" s="56" t="str">
        <f aca="false">IF($W183="","",N(INDEX(发票统计!H$4:H$1003,$W183)))</f>
        <v/>
      </c>
      <c r="I183" s="56" t="str">
        <f aca="false">IF($W183="","",N(INDEX(发票统计!I$4:I$1003,$W183)))</f>
        <v/>
      </c>
      <c r="J183" s="56" t="str">
        <f aca="false">IF($W183="","",N(INDEX(发票统计!J$4:J$1003,$W183)))</f>
        <v/>
      </c>
      <c r="K183" s="56" t="str">
        <f aca="false">IF($W183="","",N(INDEX(发票统计!K$4:K$1003,$W183)))</f>
        <v/>
      </c>
      <c r="L183" s="56" t="str">
        <f aca="false">IF($W183="","",SUM(J$4:J183)-SUM(K$4:K183))</f>
        <v/>
      </c>
      <c r="M183" s="56" t="str">
        <f aca="false">IF($W183="","",N(INDEX(发票统计!M$4:M$1003,$W183)))</f>
        <v/>
      </c>
      <c r="N183" s="56" t="str">
        <f aca="false">IF($W183="","",N(INDEX(发票统计!N$4:N$1003,$W183)))</f>
        <v/>
      </c>
      <c r="O183" s="56" t="str">
        <f aca="false">IF($W183="","",N(INDEX(发票统计!O$4:O$1003,$W183)))</f>
        <v/>
      </c>
      <c r="P183" s="56" t="str">
        <f aca="false">IF($W183="","",SUM(M$4:M183)-SUM(N$4:N183)-SUM(O$4:O183))</f>
        <v/>
      </c>
      <c r="Q183" s="56" t="str">
        <f aca="false">IF($W183="","",N(INDEX(发票统计!Q$4:Q$1003,$W183)))</f>
        <v/>
      </c>
      <c r="R183" s="56" t="str">
        <f aca="false">IF($W183="","",N(INDEX(发票统计!R$4:R$1003,$W183)))</f>
        <v/>
      </c>
      <c r="S183" s="56" t="str">
        <f aca="false">IF($W183="","",N(INDEX(发票统计!S$4:S$1003,$W183)))</f>
        <v/>
      </c>
      <c r="T183" s="56" t="str">
        <f aca="false">IF($W183="","",SUM(Q$4:Q183)-SUM(R$4:R183)-SUM(S$4:S183))</f>
        <v/>
      </c>
      <c r="U183" s="56" t="str">
        <f aca="false">IF($W183="","",INDEX(发票统计!U$4:U$1003,$W183)&amp;"")</f>
        <v/>
      </c>
      <c r="W183" s="1" t="str">
        <f aca="false">IF($V$3="","",IFERROR(MATCH($V$3&amp;"#"&amp;ROWS(W$4:W183),发票统计!$W$4:$W$1003,0),""))</f>
        <v/>
      </c>
    </row>
    <row r="184" customFormat="false" ht="16.5" hidden="false" customHeight="false" outlineLevel="0" collapsed="false">
      <c r="A184" s="3" t="str">
        <f aca="false">IF($W184="","",INDEX(发票统计!A$4:A$1003,$W184)&amp;"")</f>
        <v/>
      </c>
      <c r="B184" s="3" t="str">
        <f aca="false">IF($W184="","",INDEX(发票统计!B$4:B$1003,$W184)&amp;"")</f>
        <v/>
      </c>
      <c r="C184" s="3" t="str">
        <f aca="false">IF($W184="","",INDEX(发票统计!C$4:C$1003,$W184)&amp;"")</f>
        <v/>
      </c>
      <c r="D184" s="3" t="str">
        <f aca="false">IF($W184="","",INDEX(发票统计!D$4:D$1003,$W184)&amp;"")</f>
        <v/>
      </c>
      <c r="E184" s="67" t="str">
        <f aca="false">IF($W184="","",INDEX(发票统计!E$4:E$1003,$W184)&amp;"")</f>
        <v/>
      </c>
      <c r="F184" s="68" t="str">
        <f aca="false">IF($W184="","",INDEX(发票统计!F$4:F$1003,$W184)&amp;"")</f>
        <v/>
      </c>
      <c r="G184" s="68" t="str">
        <f aca="false">IF($W184="","",IF(INDEX(发票统计!G$4:G$1003,$W184)="","",INDEX(发票统计!G$4:G$1003,$W184)))</f>
        <v/>
      </c>
      <c r="H184" s="56" t="str">
        <f aca="false">IF($W184="","",N(INDEX(发票统计!H$4:H$1003,$W184)))</f>
        <v/>
      </c>
      <c r="I184" s="56" t="str">
        <f aca="false">IF($W184="","",N(INDEX(发票统计!I$4:I$1003,$W184)))</f>
        <v/>
      </c>
      <c r="J184" s="56" t="str">
        <f aca="false">IF($W184="","",N(INDEX(发票统计!J$4:J$1003,$W184)))</f>
        <v/>
      </c>
      <c r="K184" s="56" t="str">
        <f aca="false">IF($W184="","",N(INDEX(发票统计!K$4:K$1003,$W184)))</f>
        <v/>
      </c>
      <c r="L184" s="56" t="str">
        <f aca="false">IF($W184="","",SUM(J$4:J184)-SUM(K$4:K184))</f>
        <v/>
      </c>
      <c r="M184" s="56" t="str">
        <f aca="false">IF($W184="","",N(INDEX(发票统计!M$4:M$1003,$W184)))</f>
        <v/>
      </c>
      <c r="N184" s="56" t="str">
        <f aca="false">IF($W184="","",N(INDEX(发票统计!N$4:N$1003,$W184)))</f>
        <v/>
      </c>
      <c r="O184" s="56" t="str">
        <f aca="false">IF($W184="","",N(INDEX(发票统计!O$4:O$1003,$W184)))</f>
        <v/>
      </c>
      <c r="P184" s="56" t="str">
        <f aca="false">IF($W184="","",SUM(M$4:M184)-SUM(N$4:N184)-SUM(O$4:O184))</f>
        <v/>
      </c>
      <c r="Q184" s="56" t="str">
        <f aca="false">IF($W184="","",N(INDEX(发票统计!Q$4:Q$1003,$W184)))</f>
        <v/>
      </c>
      <c r="R184" s="56" t="str">
        <f aca="false">IF($W184="","",N(INDEX(发票统计!R$4:R$1003,$W184)))</f>
        <v/>
      </c>
      <c r="S184" s="56" t="str">
        <f aca="false">IF($W184="","",N(INDEX(发票统计!S$4:S$1003,$W184)))</f>
        <v/>
      </c>
      <c r="T184" s="56" t="str">
        <f aca="false">IF($W184="","",SUM(Q$4:Q184)-SUM(R$4:R184)-SUM(S$4:S184))</f>
        <v/>
      </c>
      <c r="U184" s="56" t="str">
        <f aca="false">IF($W184="","",INDEX(发票统计!U$4:U$1003,$W184)&amp;"")</f>
        <v/>
      </c>
      <c r="W184" s="1" t="str">
        <f aca="false">IF($V$3="","",IFERROR(MATCH($V$3&amp;"#"&amp;ROWS(W$4:W184),发票统计!$W$4:$W$1003,0),""))</f>
        <v/>
      </c>
    </row>
    <row r="185" customFormat="false" ht="16.5" hidden="false" customHeight="false" outlineLevel="0" collapsed="false">
      <c r="A185" s="3" t="str">
        <f aca="false">IF($W185="","",INDEX(发票统计!A$4:A$1003,$W185)&amp;"")</f>
        <v/>
      </c>
      <c r="B185" s="3" t="str">
        <f aca="false">IF($W185="","",INDEX(发票统计!B$4:B$1003,$W185)&amp;"")</f>
        <v/>
      </c>
      <c r="C185" s="3" t="str">
        <f aca="false">IF($W185="","",INDEX(发票统计!C$4:C$1003,$W185)&amp;"")</f>
        <v/>
      </c>
      <c r="D185" s="3" t="str">
        <f aca="false">IF($W185="","",INDEX(发票统计!D$4:D$1003,$W185)&amp;"")</f>
        <v/>
      </c>
      <c r="E185" s="67" t="str">
        <f aca="false">IF($W185="","",INDEX(发票统计!E$4:E$1003,$W185)&amp;"")</f>
        <v/>
      </c>
      <c r="F185" s="68" t="str">
        <f aca="false">IF($W185="","",INDEX(发票统计!F$4:F$1003,$W185)&amp;"")</f>
        <v/>
      </c>
      <c r="G185" s="68" t="str">
        <f aca="false">IF($W185="","",IF(INDEX(发票统计!G$4:G$1003,$W185)="","",INDEX(发票统计!G$4:G$1003,$W185)))</f>
        <v/>
      </c>
      <c r="H185" s="56" t="str">
        <f aca="false">IF($W185="","",N(INDEX(发票统计!H$4:H$1003,$W185)))</f>
        <v/>
      </c>
      <c r="I185" s="56" t="str">
        <f aca="false">IF($W185="","",N(INDEX(发票统计!I$4:I$1003,$W185)))</f>
        <v/>
      </c>
      <c r="J185" s="56" t="str">
        <f aca="false">IF($W185="","",N(INDEX(发票统计!J$4:J$1003,$W185)))</f>
        <v/>
      </c>
      <c r="K185" s="56" t="str">
        <f aca="false">IF($W185="","",N(INDEX(发票统计!K$4:K$1003,$W185)))</f>
        <v/>
      </c>
      <c r="L185" s="56" t="str">
        <f aca="false">IF($W185="","",SUM(J$4:J185)-SUM(K$4:K185))</f>
        <v/>
      </c>
      <c r="M185" s="56" t="str">
        <f aca="false">IF($W185="","",N(INDEX(发票统计!M$4:M$1003,$W185)))</f>
        <v/>
      </c>
      <c r="N185" s="56" t="str">
        <f aca="false">IF($W185="","",N(INDEX(发票统计!N$4:N$1003,$W185)))</f>
        <v/>
      </c>
      <c r="O185" s="56" t="str">
        <f aca="false">IF($W185="","",N(INDEX(发票统计!O$4:O$1003,$W185)))</f>
        <v/>
      </c>
      <c r="P185" s="56" t="str">
        <f aca="false">IF($W185="","",SUM(M$4:M185)-SUM(N$4:N185)-SUM(O$4:O185))</f>
        <v/>
      </c>
      <c r="Q185" s="56" t="str">
        <f aca="false">IF($W185="","",N(INDEX(发票统计!Q$4:Q$1003,$W185)))</f>
        <v/>
      </c>
      <c r="R185" s="56" t="str">
        <f aca="false">IF($W185="","",N(INDEX(发票统计!R$4:R$1003,$W185)))</f>
        <v/>
      </c>
      <c r="S185" s="56" t="str">
        <f aca="false">IF($W185="","",N(INDEX(发票统计!S$4:S$1003,$W185)))</f>
        <v/>
      </c>
      <c r="T185" s="56" t="str">
        <f aca="false">IF($W185="","",SUM(Q$4:Q185)-SUM(R$4:R185)-SUM(S$4:S185))</f>
        <v/>
      </c>
      <c r="U185" s="56" t="str">
        <f aca="false">IF($W185="","",INDEX(发票统计!U$4:U$1003,$W185)&amp;"")</f>
        <v/>
      </c>
      <c r="W185" s="1" t="str">
        <f aca="false">IF($V$3="","",IFERROR(MATCH($V$3&amp;"#"&amp;ROWS(W$4:W185),发票统计!$W$4:$W$1003,0),""))</f>
        <v/>
      </c>
    </row>
    <row r="186" customFormat="false" ht="16.5" hidden="false" customHeight="false" outlineLevel="0" collapsed="false">
      <c r="A186" s="3" t="str">
        <f aca="false">IF($W186="","",INDEX(发票统计!A$4:A$1003,$W186)&amp;"")</f>
        <v/>
      </c>
      <c r="B186" s="3" t="str">
        <f aca="false">IF($W186="","",INDEX(发票统计!B$4:B$1003,$W186)&amp;"")</f>
        <v/>
      </c>
      <c r="C186" s="3" t="str">
        <f aca="false">IF($W186="","",INDEX(发票统计!C$4:C$1003,$W186)&amp;"")</f>
        <v/>
      </c>
      <c r="D186" s="3" t="str">
        <f aca="false">IF($W186="","",INDEX(发票统计!D$4:D$1003,$W186)&amp;"")</f>
        <v/>
      </c>
      <c r="E186" s="67" t="str">
        <f aca="false">IF($W186="","",INDEX(发票统计!E$4:E$1003,$W186)&amp;"")</f>
        <v/>
      </c>
      <c r="F186" s="68" t="str">
        <f aca="false">IF($W186="","",INDEX(发票统计!F$4:F$1003,$W186)&amp;"")</f>
        <v/>
      </c>
      <c r="G186" s="68" t="str">
        <f aca="false">IF($W186="","",IF(INDEX(发票统计!G$4:G$1003,$W186)="","",INDEX(发票统计!G$4:G$1003,$W186)))</f>
        <v/>
      </c>
      <c r="H186" s="56" t="str">
        <f aca="false">IF($W186="","",N(INDEX(发票统计!H$4:H$1003,$W186)))</f>
        <v/>
      </c>
      <c r="I186" s="56" t="str">
        <f aca="false">IF($W186="","",N(INDEX(发票统计!I$4:I$1003,$W186)))</f>
        <v/>
      </c>
      <c r="J186" s="56" t="str">
        <f aca="false">IF($W186="","",N(INDEX(发票统计!J$4:J$1003,$W186)))</f>
        <v/>
      </c>
      <c r="K186" s="56" t="str">
        <f aca="false">IF($W186="","",N(INDEX(发票统计!K$4:K$1003,$W186)))</f>
        <v/>
      </c>
      <c r="L186" s="56" t="str">
        <f aca="false">IF($W186="","",SUM(J$4:J186)-SUM(K$4:K186))</f>
        <v/>
      </c>
      <c r="M186" s="56" t="str">
        <f aca="false">IF($W186="","",N(INDEX(发票统计!M$4:M$1003,$W186)))</f>
        <v/>
      </c>
      <c r="N186" s="56" t="str">
        <f aca="false">IF($W186="","",N(INDEX(发票统计!N$4:N$1003,$W186)))</f>
        <v/>
      </c>
      <c r="O186" s="56" t="str">
        <f aca="false">IF($W186="","",N(INDEX(发票统计!O$4:O$1003,$W186)))</f>
        <v/>
      </c>
      <c r="P186" s="56" t="str">
        <f aca="false">IF($W186="","",SUM(M$4:M186)-SUM(N$4:N186)-SUM(O$4:O186))</f>
        <v/>
      </c>
      <c r="Q186" s="56" t="str">
        <f aca="false">IF($W186="","",N(INDEX(发票统计!Q$4:Q$1003,$W186)))</f>
        <v/>
      </c>
      <c r="R186" s="56" t="str">
        <f aca="false">IF($W186="","",N(INDEX(发票统计!R$4:R$1003,$W186)))</f>
        <v/>
      </c>
      <c r="S186" s="56" t="str">
        <f aca="false">IF($W186="","",N(INDEX(发票统计!S$4:S$1003,$W186)))</f>
        <v/>
      </c>
      <c r="T186" s="56" t="str">
        <f aca="false">IF($W186="","",SUM(Q$4:Q186)-SUM(R$4:R186)-SUM(S$4:S186))</f>
        <v/>
      </c>
      <c r="U186" s="56" t="str">
        <f aca="false">IF($W186="","",INDEX(发票统计!U$4:U$1003,$W186)&amp;"")</f>
        <v/>
      </c>
      <c r="W186" s="1" t="str">
        <f aca="false">IF($V$3="","",IFERROR(MATCH($V$3&amp;"#"&amp;ROWS(W$4:W186),发票统计!$W$4:$W$1003,0),""))</f>
        <v/>
      </c>
    </row>
    <row r="187" customFormat="false" ht="16.5" hidden="false" customHeight="false" outlineLevel="0" collapsed="false">
      <c r="A187" s="3" t="str">
        <f aca="false">IF($W187="","",INDEX(发票统计!A$4:A$1003,$W187)&amp;"")</f>
        <v/>
      </c>
      <c r="B187" s="3" t="str">
        <f aca="false">IF($W187="","",INDEX(发票统计!B$4:B$1003,$W187)&amp;"")</f>
        <v/>
      </c>
      <c r="C187" s="3" t="str">
        <f aca="false">IF($W187="","",INDEX(发票统计!C$4:C$1003,$W187)&amp;"")</f>
        <v/>
      </c>
      <c r="D187" s="3" t="str">
        <f aca="false">IF($W187="","",INDEX(发票统计!D$4:D$1003,$W187)&amp;"")</f>
        <v/>
      </c>
      <c r="E187" s="67" t="str">
        <f aca="false">IF($W187="","",INDEX(发票统计!E$4:E$1003,$W187)&amp;"")</f>
        <v/>
      </c>
      <c r="F187" s="68" t="str">
        <f aca="false">IF($W187="","",INDEX(发票统计!F$4:F$1003,$W187)&amp;"")</f>
        <v/>
      </c>
      <c r="G187" s="68" t="str">
        <f aca="false">IF($W187="","",IF(INDEX(发票统计!G$4:G$1003,$W187)="","",INDEX(发票统计!G$4:G$1003,$W187)))</f>
        <v/>
      </c>
      <c r="H187" s="56" t="str">
        <f aca="false">IF($W187="","",N(INDEX(发票统计!H$4:H$1003,$W187)))</f>
        <v/>
      </c>
      <c r="I187" s="56" t="str">
        <f aca="false">IF($W187="","",N(INDEX(发票统计!I$4:I$1003,$W187)))</f>
        <v/>
      </c>
      <c r="J187" s="56" t="str">
        <f aca="false">IF($W187="","",N(INDEX(发票统计!J$4:J$1003,$W187)))</f>
        <v/>
      </c>
      <c r="K187" s="56" t="str">
        <f aca="false">IF($W187="","",N(INDEX(发票统计!K$4:K$1003,$W187)))</f>
        <v/>
      </c>
      <c r="L187" s="56" t="str">
        <f aca="false">IF($W187="","",SUM(J$4:J187)-SUM(K$4:K187))</f>
        <v/>
      </c>
      <c r="M187" s="56" t="str">
        <f aca="false">IF($W187="","",N(INDEX(发票统计!M$4:M$1003,$W187)))</f>
        <v/>
      </c>
      <c r="N187" s="56" t="str">
        <f aca="false">IF($W187="","",N(INDEX(发票统计!N$4:N$1003,$W187)))</f>
        <v/>
      </c>
      <c r="O187" s="56" t="str">
        <f aca="false">IF($W187="","",N(INDEX(发票统计!O$4:O$1003,$W187)))</f>
        <v/>
      </c>
      <c r="P187" s="56" t="str">
        <f aca="false">IF($W187="","",SUM(M$4:M187)-SUM(N$4:N187)-SUM(O$4:O187))</f>
        <v/>
      </c>
      <c r="Q187" s="56" t="str">
        <f aca="false">IF($W187="","",N(INDEX(发票统计!Q$4:Q$1003,$W187)))</f>
        <v/>
      </c>
      <c r="R187" s="56" t="str">
        <f aca="false">IF($W187="","",N(INDEX(发票统计!R$4:R$1003,$W187)))</f>
        <v/>
      </c>
      <c r="S187" s="56" t="str">
        <f aca="false">IF($W187="","",N(INDEX(发票统计!S$4:S$1003,$W187)))</f>
        <v/>
      </c>
      <c r="T187" s="56" t="str">
        <f aca="false">IF($W187="","",SUM(Q$4:Q187)-SUM(R$4:R187)-SUM(S$4:S187))</f>
        <v/>
      </c>
      <c r="U187" s="56" t="str">
        <f aca="false">IF($W187="","",INDEX(发票统计!U$4:U$1003,$W187)&amp;"")</f>
        <v/>
      </c>
      <c r="W187" s="1" t="str">
        <f aca="false">IF($V$3="","",IFERROR(MATCH($V$3&amp;"#"&amp;ROWS(W$4:W187),发票统计!$W$4:$W$1003,0),""))</f>
        <v/>
      </c>
    </row>
    <row r="188" customFormat="false" ht="16.5" hidden="false" customHeight="false" outlineLevel="0" collapsed="false">
      <c r="A188" s="3" t="str">
        <f aca="false">IF($W188="","",INDEX(发票统计!A$4:A$1003,$W188)&amp;"")</f>
        <v/>
      </c>
      <c r="B188" s="3" t="str">
        <f aca="false">IF($W188="","",INDEX(发票统计!B$4:B$1003,$W188)&amp;"")</f>
        <v/>
      </c>
      <c r="C188" s="3" t="str">
        <f aca="false">IF($W188="","",INDEX(发票统计!C$4:C$1003,$W188)&amp;"")</f>
        <v/>
      </c>
      <c r="D188" s="3" t="str">
        <f aca="false">IF($W188="","",INDEX(发票统计!D$4:D$1003,$W188)&amp;"")</f>
        <v/>
      </c>
      <c r="E188" s="67" t="str">
        <f aca="false">IF($W188="","",INDEX(发票统计!E$4:E$1003,$W188)&amp;"")</f>
        <v/>
      </c>
      <c r="F188" s="68" t="str">
        <f aca="false">IF($W188="","",INDEX(发票统计!F$4:F$1003,$W188)&amp;"")</f>
        <v/>
      </c>
      <c r="G188" s="68" t="str">
        <f aca="false">IF($W188="","",IF(INDEX(发票统计!G$4:G$1003,$W188)="","",INDEX(发票统计!G$4:G$1003,$W188)))</f>
        <v/>
      </c>
      <c r="H188" s="56" t="str">
        <f aca="false">IF($W188="","",N(INDEX(发票统计!H$4:H$1003,$W188)))</f>
        <v/>
      </c>
      <c r="I188" s="56" t="str">
        <f aca="false">IF($W188="","",N(INDEX(发票统计!I$4:I$1003,$W188)))</f>
        <v/>
      </c>
      <c r="J188" s="56" t="str">
        <f aca="false">IF($W188="","",N(INDEX(发票统计!J$4:J$1003,$W188)))</f>
        <v/>
      </c>
      <c r="K188" s="56" t="str">
        <f aca="false">IF($W188="","",N(INDEX(发票统计!K$4:K$1003,$W188)))</f>
        <v/>
      </c>
      <c r="L188" s="56" t="str">
        <f aca="false">IF($W188="","",SUM(J$4:J188)-SUM(K$4:K188))</f>
        <v/>
      </c>
      <c r="M188" s="56" t="str">
        <f aca="false">IF($W188="","",N(INDEX(发票统计!M$4:M$1003,$W188)))</f>
        <v/>
      </c>
      <c r="N188" s="56" t="str">
        <f aca="false">IF($W188="","",N(INDEX(发票统计!N$4:N$1003,$W188)))</f>
        <v/>
      </c>
      <c r="O188" s="56" t="str">
        <f aca="false">IF($W188="","",N(INDEX(发票统计!O$4:O$1003,$W188)))</f>
        <v/>
      </c>
      <c r="P188" s="56" t="str">
        <f aca="false">IF($W188="","",SUM(M$4:M188)-SUM(N$4:N188)-SUM(O$4:O188))</f>
        <v/>
      </c>
      <c r="Q188" s="56" t="str">
        <f aca="false">IF($W188="","",N(INDEX(发票统计!Q$4:Q$1003,$W188)))</f>
        <v/>
      </c>
      <c r="R188" s="56" t="str">
        <f aca="false">IF($W188="","",N(INDEX(发票统计!R$4:R$1003,$W188)))</f>
        <v/>
      </c>
      <c r="S188" s="56" t="str">
        <f aca="false">IF($W188="","",N(INDEX(发票统计!S$4:S$1003,$W188)))</f>
        <v/>
      </c>
      <c r="T188" s="56" t="str">
        <f aca="false">IF($W188="","",SUM(Q$4:Q188)-SUM(R$4:R188)-SUM(S$4:S188))</f>
        <v/>
      </c>
      <c r="U188" s="56" t="str">
        <f aca="false">IF($W188="","",INDEX(发票统计!U$4:U$1003,$W188)&amp;"")</f>
        <v/>
      </c>
      <c r="W188" s="1" t="str">
        <f aca="false">IF($V$3="","",IFERROR(MATCH($V$3&amp;"#"&amp;ROWS(W$4:W188),发票统计!$W$4:$W$1003,0),""))</f>
        <v/>
      </c>
    </row>
    <row r="189" customFormat="false" ht="16.5" hidden="false" customHeight="false" outlineLevel="0" collapsed="false">
      <c r="A189" s="3" t="str">
        <f aca="false">IF($W189="","",INDEX(发票统计!A$4:A$1003,$W189)&amp;"")</f>
        <v/>
      </c>
      <c r="B189" s="3" t="str">
        <f aca="false">IF($W189="","",INDEX(发票统计!B$4:B$1003,$W189)&amp;"")</f>
        <v/>
      </c>
      <c r="C189" s="3" t="str">
        <f aca="false">IF($W189="","",INDEX(发票统计!C$4:C$1003,$W189)&amp;"")</f>
        <v/>
      </c>
      <c r="D189" s="3" t="str">
        <f aca="false">IF($W189="","",INDEX(发票统计!D$4:D$1003,$W189)&amp;"")</f>
        <v/>
      </c>
      <c r="E189" s="67" t="str">
        <f aca="false">IF($W189="","",INDEX(发票统计!E$4:E$1003,$W189)&amp;"")</f>
        <v/>
      </c>
      <c r="F189" s="68" t="str">
        <f aca="false">IF($W189="","",INDEX(发票统计!F$4:F$1003,$W189)&amp;"")</f>
        <v/>
      </c>
      <c r="G189" s="68" t="str">
        <f aca="false">IF($W189="","",IF(INDEX(发票统计!G$4:G$1003,$W189)="","",INDEX(发票统计!G$4:G$1003,$W189)))</f>
        <v/>
      </c>
      <c r="H189" s="56" t="str">
        <f aca="false">IF($W189="","",N(INDEX(发票统计!H$4:H$1003,$W189)))</f>
        <v/>
      </c>
      <c r="I189" s="56" t="str">
        <f aca="false">IF($W189="","",N(INDEX(发票统计!I$4:I$1003,$W189)))</f>
        <v/>
      </c>
      <c r="J189" s="56" t="str">
        <f aca="false">IF($W189="","",N(INDEX(发票统计!J$4:J$1003,$W189)))</f>
        <v/>
      </c>
      <c r="K189" s="56" t="str">
        <f aca="false">IF($W189="","",N(INDEX(发票统计!K$4:K$1003,$W189)))</f>
        <v/>
      </c>
      <c r="L189" s="56" t="str">
        <f aca="false">IF($W189="","",SUM(J$4:J189)-SUM(K$4:K189))</f>
        <v/>
      </c>
      <c r="M189" s="56" t="str">
        <f aca="false">IF($W189="","",N(INDEX(发票统计!M$4:M$1003,$W189)))</f>
        <v/>
      </c>
      <c r="N189" s="56" t="str">
        <f aca="false">IF($W189="","",N(INDEX(发票统计!N$4:N$1003,$W189)))</f>
        <v/>
      </c>
      <c r="O189" s="56" t="str">
        <f aca="false">IF($W189="","",N(INDEX(发票统计!O$4:O$1003,$W189)))</f>
        <v/>
      </c>
      <c r="P189" s="56" t="str">
        <f aca="false">IF($W189="","",SUM(M$4:M189)-SUM(N$4:N189)-SUM(O$4:O189))</f>
        <v/>
      </c>
      <c r="Q189" s="56" t="str">
        <f aca="false">IF($W189="","",N(INDEX(发票统计!Q$4:Q$1003,$W189)))</f>
        <v/>
      </c>
      <c r="R189" s="56" t="str">
        <f aca="false">IF($W189="","",N(INDEX(发票统计!R$4:R$1003,$W189)))</f>
        <v/>
      </c>
      <c r="S189" s="56" t="str">
        <f aca="false">IF($W189="","",N(INDEX(发票统计!S$4:S$1003,$W189)))</f>
        <v/>
      </c>
      <c r="T189" s="56" t="str">
        <f aca="false">IF($W189="","",SUM(Q$4:Q189)-SUM(R$4:R189)-SUM(S$4:S189))</f>
        <v/>
      </c>
      <c r="U189" s="56" t="str">
        <f aca="false">IF($W189="","",INDEX(发票统计!U$4:U$1003,$W189)&amp;"")</f>
        <v/>
      </c>
      <c r="W189" s="1" t="str">
        <f aca="false">IF($V$3="","",IFERROR(MATCH($V$3&amp;"#"&amp;ROWS(W$4:W189),发票统计!$W$4:$W$1003,0),""))</f>
        <v/>
      </c>
    </row>
    <row r="190" customFormat="false" ht="16.5" hidden="false" customHeight="false" outlineLevel="0" collapsed="false">
      <c r="A190" s="3" t="str">
        <f aca="false">IF($W190="","",INDEX(发票统计!A$4:A$1003,$W190)&amp;"")</f>
        <v/>
      </c>
      <c r="B190" s="3" t="str">
        <f aca="false">IF($W190="","",INDEX(发票统计!B$4:B$1003,$W190)&amp;"")</f>
        <v/>
      </c>
      <c r="C190" s="3" t="str">
        <f aca="false">IF($W190="","",INDEX(发票统计!C$4:C$1003,$W190)&amp;"")</f>
        <v/>
      </c>
      <c r="D190" s="3" t="str">
        <f aca="false">IF($W190="","",INDEX(发票统计!D$4:D$1003,$W190)&amp;"")</f>
        <v/>
      </c>
      <c r="E190" s="67" t="str">
        <f aca="false">IF($W190="","",INDEX(发票统计!E$4:E$1003,$W190)&amp;"")</f>
        <v/>
      </c>
      <c r="F190" s="68" t="str">
        <f aca="false">IF($W190="","",INDEX(发票统计!F$4:F$1003,$W190)&amp;"")</f>
        <v/>
      </c>
      <c r="G190" s="68" t="str">
        <f aca="false">IF($W190="","",IF(INDEX(发票统计!G$4:G$1003,$W190)="","",INDEX(发票统计!G$4:G$1003,$W190)))</f>
        <v/>
      </c>
      <c r="H190" s="56" t="str">
        <f aca="false">IF($W190="","",N(INDEX(发票统计!H$4:H$1003,$W190)))</f>
        <v/>
      </c>
      <c r="I190" s="56" t="str">
        <f aca="false">IF($W190="","",N(INDEX(发票统计!I$4:I$1003,$W190)))</f>
        <v/>
      </c>
      <c r="J190" s="56" t="str">
        <f aca="false">IF($W190="","",N(INDEX(发票统计!J$4:J$1003,$W190)))</f>
        <v/>
      </c>
      <c r="K190" s="56" t="str">
        <f aca="false">IF($W190="","",N(INDEX(发票统计!K$4:K$1003,$W190)))</f>
        <v/>
      </c>
      <c r="L190" s="56" t="str">
        <f aca="false">IF($W190="","",SUM(J$4:J190)-SUM(K$4:K190))</f>
        <v/>
      </c>
      <c r="M190" s="56" t="str">
        <f aca="false">IF($W190="","",N(INDEX(发票统计!M$4:M$1003,$W190)))</f>
        <v/>
      </c>
      <c r="N190" s="56" t="str">
        <f aca="false">IF($W190="","",N(INDEX(发票统计!N$4:N$1003,$W190)))</f>
        <v/>
      </c>
      <c r="O190" s="56" t="str">
        <f aca="false">IF($W190="","",N(INDEX(发票统计!O$4:O$1003,$W190)))</f>
        <v/>
      </c>
      <c r="P190" s="56" t="str">
        <f aca="false">IF($W190="","",SUM(M$4:M190)-SUM(N$4:N190)-SUM(O$4:O190))</f>
        <v/>
      </c>
      <c r="Q190" s="56" t="str">
        <f aca="false">IF($W190="","",N(INDEX(发票统计!Q$4:Q$1003,$W190)))</f>
        <v/>
      </c>
      <c r="R190" s="56" t="str">
        <f aca="false">IF($W190="","",N(INDEX(发票统计!R$4:R$1003,$W190)))</f>
        <v/>
      </c>
      <c r="S190" s="56" t="str">
        <f aca="false">IF($W190="","",N(INDEX(发票统计!S$4:S$1003,$W190)))</f>
        <v/>
      </c>
      <c r="T190" s="56" t="str">
        <f aca="false">IF($W190="","",SUM(Q$4:Q190)-SUM(R$4:R190)-SUM(S$4:S190))</f>
        <v/>
      </c>
      <c r="U190" s="56" t="str">
        <f aca="false">IF($W190="","",INDEX(发票统计!U$4:U$1003,$W190)&amp;"")</f>
        <v/>
      </c>
      <c r="W190" s="1" t="str">
        <f aca="false">IF($V$3="","",IFERROR(MATCH($V$3&amp;"#"&amp;ROWS(W$4:W190),发票统计!$W$4:$W$1003,0),""))</f>
        <v/>
      </c>
    </row>
    <row r="191" customFormat="false" ht="16.5" hidden="false" customHeight="false" outlineLevel="0" collapsed="false">
      <c r="A191" s="3" t="str">
        <f aca="false">IF($W191="","",INDEX(发票统计!A$4:A$1003,$W191)&amp;"")</f>
        <v/>
      </c>
      <c r="B191" s="3" t="str">
        <f aca="false">IF($W191="","",INDEX(发票统计!B$4:B$1003,$W191)&amp;"")</f>
        <v/>
      </c>
      <c r="C191" s="3" t="str">
        <f aca="false">IF($W191="","",INDEX(发票统计!C$4:C$1003,$W191)&amp;"")</f>
        <v/>
      </c>
      <c r="D191" s="3" t="str">
        <f aca="false">IF($W191="","",INDEX(发票统计!D$4:D$1003,$W191)&amp;"")</f>
        <v/>
      </c>
      <c r="E191" s="67" t="str">
        <f aca="false">IF($W191="","",INDEX(发票统计!E$4:E$1003,$W191)&amp;"")</f>
        <v/>
      </c>
      <c r="F191" s="68" t="str">
        <f aca="false">IF($W191="","",INDEX(发票统计!F$4:F$1003,$W191)&amp;"")</f>
        <v/>
      </c>
      <c r="G191" s="68" t="str">
        <f aca="false">IF($W191="","",IF(INDEX(发票统计!G$4:G$1003,$W191)="","",INDEX(发票统计!G$4:G$1003,$W191)))</f>
        <v/>
      </c>
      <c r="H191" s="56" t="str">
        <f aca="false">IF($W191="","",N(INDEX(发票统计!H$4:H$1003,$W191)))</f>
        <v/>
      </c>
      <c r="I191" s="56" t="str">
        <f aca="false">IF($W191="","",N(INDEX(发票统计!I$4:I$1003,$W191)))</f>
        <v/>
      </c>
      <c r="J191" s="56" t="str">
        <f aca="false">IF($W191="","",N(INDEX(发票统计!J$4:J$1003,$W191)))</f>
        <v/>
      </c>
      <c r="K191" s="56" t="str">
        <f aca="false">IF($W191="","",N(INDEX(发票统计!K$4:K$1003,$W191)))</f>
        <v/>
      </c>
      <c r="L191" s="56" t="str">
        <f aca="false">IF($W191="","",SUM(J$4:J191)-SUM(K$4:K191))</f>
        <v/>
      </c>
      <c r="M191" s="56" t="str">
        <f aca="false">IF($W191="","",N(INDEX(发票统计!M$4:M$1003,$W191)))</f>
        <v/>
      </c>
      <c r="N191" s="56" t="str">
        <f aca="false">IF($W191="","",N(INDEX(发票统计!N$4:N$1003,$W191)))</f>
        <v/>
      </c>
      <c r="O191" s="56" t="str">
        <f aca="false">IF($W191="","",N(INDEX(发票统计!O$4:O$1003,$W191)))</f>
        <v/>
      </c>
      <c r="P191" s="56" t="str">
        <f aca="false">IF($W191="","",SUM(M$4:M191)-SUM(N$4:N191)-SUM(O$4:O191))</f>
        <v/>
      </c>
      <c r="Q191" s="56" t="str">
        <f aca="false">IF($W191="","",N(INDEX(发票统计!Q$4:Q$1003,$W191)))</f>
        <v/>
      </c>
      <c r="R191" s="56" t="str">
        <f aca="false">IF($W191="","",N(INDEX(发票统计!R$4:R$1003,$W191)))</f>
        <v/>
      </c>
      <c r="S191" s="56" t="str">
        <f aca="false">IF($W191="","",N(INDEX(发票统计!S$4:S$1003,$W191)))</f>
        <v/>
      </c>
      <c r="T191" s="56" t="str">
        <f aca="false">IF($W191="","",SUM(Q$4:Q191)-SUM(R$4:R191)-SUM(S$4:S191))</f>
        <v/>
      </c>
      <c r="U191" s="56" t="str">
        <f aca="false">IF($W191="","",INDEX(发票统计!U$4:U$1003,$W191)&amp;"")</f>
        <v/>
      </c>
      <c r="W191" s="1" t="str">
        <f aca="false">IF($V$3="","",IFERROR(MATCH($V$3&amp;"#"&amp;ROWS(W$4:W191),发票统计!$W$4:$W$1003,0),""))</f>
        <v/>
      </c>
    </row>
    <row r="192" customFormat="false" ht="16.5" hidden="false" customHeight="false" outlineLevel="0" collapsed="false">
      <c r="A192" s="3" t="str">
        <f aca="false">IF($W192="","",INDEX(发票统计!A$4:A$1003,$W192)&amp;"")</f>
        <v/>
      </c>
      <c r="B192" s="3" t="str">
        <f aca="false">IF($W192="","",INDEX(发票统计!B$4:B$1003,$W192)&amp;"")</f>
        <v/>
      </c>
      <c r="C192" s="3" t="str">
        <f aca="false">IF($W192="","",INDEX(发票统计!C$4:C$1003,$W192)&amp;"")</f>
        <v/>
      </c>
      <c r="D192" s="3" t="str">
        <f aca="false">IF($W192="","",INDEX(发票统计!D$4:D$1003,$W192)&amp;"")</f>
        <v/>
      </c>
      <c r="E192" s="67" t="str">
        <f aca="false">IF($W192="","",INDEX(发票统计!E$4:E$1003,$W192)&amp;"")</f>
        <v/>
      </c>
      <c r="F192" s="68" t="str">
        <f aca="false">IF($W192="","",INDEX(发票统计!F$4:F$1003,$W192)&amp;"")</f>
        <v/>
      </c>
      <c r="G192" s="68" t="str">
        <f aca="false">IF($W192="","",IF(INDEX(发票统计!G$4:G$1003,$W192)="","",INDEX(发票统计!G$4:G$1003,$W192)))</f>
        <v/>
      </c>
      <c r="H192" s="56" t="str">
        <f aca="false">IF($W192="","",N(INDEX(发票统计!H$4:H$1003,$W192)))</f>
        <v/>
      </c>
      <c r="I192" s="56" t="str">
        <f aca="false">IF($W192="","",N(INDEX(发票统计!I$4:I$1003,$W192)))</f>
        <v/>
      </c>
      <c r="J192" s="56" t="str">
        <f aca="false">IF($W192="","",N(INDEX(发票统计!J$4:J$1003,$W192)))</f>
        <v/>
      </c>
      <c r="K192" s="56" t="str">
        <f aca="false">IF($W192="","",N(INDEX(发票统计!K$4:K$1003,$W192)))</f>
        <v/>
      </c>
      <c r="L192" s="56" t="str">
        <f aca="false">IF($W192="","",SUM(J$4:J192)-SUM(K$4:K192))</f>
        <v/>
      </c>
      <c r="M192" s="56" t="str">
        <f aca="false">IF($W192="","",N(INDEX(发票统计!M$4:M$1003,$W192)))</f>
        <v/>
      </c>
      <c r="N192" s="56" t="str">
        <f aca="false">IF($W192="","",N(INDEX(发票统计!N$4:N$1003,$W192)))</f>
        <v/>
      </c>
      <c r="O192" s="56" t="str">
        <f aca="false">IF($W192="","",N(INDEX(发票统计!O$4:O$1003,$W192)))</f>
        <v/>
      </c>
      <c r="P192" s="56" t="str">
        <f aca="false">IF($W192="","",SUM(M$4:M192)-SUM(N$4:N192)-SUM(O$4:O192))</f>
        <v/>
      </c>
      <c r="Q192" s="56" t="str">
        <f aca="false">IF($W192="","",N(INDEX(发票统计!Q$4:Q$1003,$W192)))</f>
        <v/>
      </c>
      <c r="R192" s="56" t="str">
        <f aca="false">IF($W192="","",N(INDEX(发票统计!R$4:R$1003,$W192)))</f>
        <v/>
      </c>
      <c r="S192" s="56" t="str">
        <f aca="false">IF($W192="","",N(INDEX(发票统计!S$4:S$1003,$W192)))</f>
        <v/>
      </c>
      <c r="T192" s="56" t="str">
        <f aca="false">IF($W192="","",SUM(Q$4:Q192)-SUM(R$4:R192)-SUM(S$4:S192))</f>
        <v/>
      </c>
      <c r="U192" s="56" t="str">
        <f aca="false">IF($W192="","",INDEX(发票统计!U$4:U$1003,$W192)&amp;"")</f>
        <v/>
      </c>
      <c r="W192" s="1" t="str">
        <f aca="false">IF($V$3="","",IFERROR(MATCH($V$3&amp;"#"&amp;ROWS(W$4:W192),发票统计!$W$4:$W$1003,0),""))</f>
        <v/>
      </c>
    </row>
    <row r="193" customFormat="false" ht="16.5" hidden="false" customHeight="false" outlineLevel="0" collapsed="false">
      <c r="A193" s="3" t="str">
        <f aca="false">IF($W193="","",INDEX(发票统计!A$4:A$1003,$W193)&amp;"")</f>
        <v/>
      </c>
      <c r="B193" s="3" t="str">
        <f aca="false">IF($W193="","",INDEX(发票统计!B$4:B$1003,$W193)&amp;"")</f>
        <v/>
      </c>
      <c r="C193" s="3" t="str">
        <f aca="false">IF($W193="","",INDEX(发票统计!C$4:C$1003,$W193)&amp;"")</f>
        <v/>
      </c>
      <c r="D193" s="3" t="str">
        <f aca="false">IF($W193="","",INDEX(发票统计!D$4:D$1003,$W193)&amp;"")</f>
        <v/>
      </c>
      <c r="E193" s="67" t="str">
        <f aca="false">IF($W193="","",INDEX(发票统计!E$4:E$1003,$W193)&amp;"")</f>
        <v/>
      </c>
      <c r="F193" s="68" t="str">
        <f aca="false">IF($W193="","",INDEX(发票统计!F$4:F$1003,$W193)&amp;"")</f>
        <v/>
      </c>
      <c r="G193" s="68" t="str">
        <f aca="false">IF($W193="","",IF(INDEX(发票统计!G$4:G$1003,$W193)="","",INDEX(发票统计!G$4:G$1003,$W193)))</f>
        <v/>
      </c>
      <c r="H193" s="56" t="str">
        <f aca="false">IF($W193="","",N(INDEX(发票统计!H$4:H$1003,$W193)))</f>
        <v/>
      </c>
      <c r="I193" s="56" t="str">
        <f aca="false">IF($W193="","",N(INDEX(发票统计!I$4:I$1003,$W193)))</f>
        <v/>
      </c>
      <c r="J193" s="56" t="str">
        <f aca="false">IF($W193="","",N(INDEX(发票统计!J$4:J$1003,$W193)))</f>
        <v/>
      </c>
      <c r="K193" s="56" t="str">
        <f aca="false">IF($W193="","",N(INDEX(发票统计!K$4:K$1003,$W193)))</f>
        <v/>
      </c>
      <c r="L193" s="56" t="str">
        <f aca="false">IF($W193="","",SUM(J$4:J193)-SUM(K$4:K193))</f>
        <v/>
      </c>
      <c r="M193" s="56" t="str">
        <f aca="false">IF($W193="","",N(INDEX(发票统计!M$4:M$1003,$W193)))</f>
        <v/>
      </c>
      <c r="N193" s="56" t="str">
        <f aca="false">IF($W193="","",N(INDEX(发票统计!N$4:N$1003,$W193)))</f>
        <v/>
      </c>
      <c r="O193" s="56" t="str">
        <f aca="false">IF($W193="","",N(INDEX(发票统计!O$4:O$1003,$W193)))</f>
        <v/>
      </c>
      <c r="P193" s="56" t="str">
        <f aca="false">IF($W193="","",SUM(M$4:M193)-SUM(N$4:N193)-SUM(O$4:O193))</f>
        <v/>
      </c>
      <c r="Q193" s="56" t="str">
        <f aca="false">IF($W193="","",N(INDEX(发票统计!Q$4:Q$1003,$W193)))</f>
        <v/>
      </c>
      <c r="R193" s="56" t="str">
        <f aca="false">IF($W193="","",N(INDEX(发票统计!R$4:R$1003,$W193)))</f>
        <v/>
      </c>
      <c r="S193" s="56" t="str">
        <f aca="false">IF($W193="","",N(INDEX(发票统计!S$4:S$1003,$W193)))</f>
        <v/>
      </c>
      <c r="T193" s="56" t="str">
        <f aca="false">IF($W193="","",SUM(Q$4:Q193)-SUM(R$4:R193)-SUM(S$4:S193))</f>
        <v/>
      </c>
      <c r="U193" s="56" t="str">
        <f aca="false">IF($W193="","",INDEX(发票统计!U$4:U$1003,$W193)&amp;"")</f>
        <v/>
      </c>
      <c r="W193" s="1" t="str">
        <f aca="false">IF($V$3="","",IFERROR(MATCH($V$3&amp;"#"&amp;ROWS(W$4:W193),发票统计!$W$4:$W$1003,0),""))</f>
        <v/>
      </c>
    </row>
    <row r="194" customFormat="false" ht="16.5" hidden="false" customHeight="false" outlineLevel="0" collapsed="false">
      <c r="A194" s="3" t="str">
        <f aca="false">IF($W194="","",INDEX(发票统计!A$4:A$1003,$W194)&amp;"")</f>
        <v/>
      </c>
      <c r="B194" s="3" t="str">
        <f aca="false">IF($W194="","",INDEX(发票统计!B$4:B$1003,$W194)&amp;"")</f>
        <v/>
      </c>
      <c r="C194" s="3" t="str">
        <f aca="false">IF($W194="","",INDEX(发票统计!C$4:C$1003,$W194)&amp;"")</f>
        <v/>
      </c>
      <c r="D194" s="3" t="str">
        <f aca="false">IF($W194="","",INDEX(发票统计!D$4:D$1003,$W194)&amp;"")</f>
        <v/>
      </c>
      <c r="E194" s="67" t="str">
        <f aca="false">IF($W194="","",INDEX(发票统计!E$4:E$1003,$W194)&amp;"")</f>
        <v/>
      </c>
      <c r="F194" s="68" t="str">
        <f aca="false">IF($W194="","",INDEX(发票统计!F$4:F$1003,$W194)&amp;"")</f>
        <v/>
      </c>
      <c r="G194" s="68" t="str">
        <f aca="false">IF($W194="","",IF(INDEX(发票统计!G$4:G$1003,$W194)="","",INDEX(发票统计!G$4:G$1003,$W194)))</f>
        <v/>
      </c>
      <c r="H194" s="56" t="str">
        <f aca="false">IF($W194="","",N(INDEX(发票统计!H$4:H$1003,$W194)))</f>
        <v/>
      </c>
      <c r="I194" s="56" t="str">
        <f aca="false">IF($W194="","",N(INDEX(发票统计!I$4:I$1003,$W194)))</f>
        <v/>
      </c>
      <c r="J194" s="56" t="str">
        <f aca="false">IF($W194="","",N(INDEX(发票统计!J$4:J$1003,$W194)))</f>
        <v/>
      </c>
      <c r="K194" s="56" t="str">
        <f aca="false">IF($W194="","",N(INDEX(发票统计!K$4:K$1003,$W194)))</f>
        <v/>
      </c>
      <c r="L194" s="56" t="str">
        <f aca="false">IF($W194="","",SUM(J$4:J194)-SUM(K$4:K194))</f>
        <v/>
      </c>
      <c r="M194" s="56" t="str">
        <f aca="false">IF($W194="","",N(INDEX(发票统计!M$4:M$1003,$W194)))</f>
        <v/>
      </c>
      <c r="N194" s="56" t="str">
        <f aca="false">IF($W194="","",N(INDEX(发票统计!N$4:N$1003,$W194)))</f>
        <v/>
      </c>
      <c r="O194" s="56" t="str">
        <f aca="false">IF($W194="","",N(INDEX(发票统计!O$4:O$1003,$W194)))</f>
        <v/>
      </c>
      <c r="P194" s="56" t="str">
        <f aca="false">IF($W194="","",SUM(M$4:M194)-SUM(N$4:N194)-SUM(O$4:O194))</f>
        <v/>
      </c>
      <c r="Q194" s="56" t="str">
        <f aca="false">IF($W194="","",N(INDEX(发票统计!Q$4:Q$1003,$W194)))</f>
        <v/>
      </c>
      <c r="R194" s="56" t="str">
        <f aca="false">IF($W194="","",N(INDEX(发票统计!R$4:R$1003,$W194)))</f>
        <v/>
      </c>
      <c r="S194" s="56" t="str">
        <f aca="false">IF($W194="","",N(INDEX(发票统计!S$4:S$1003,$W194)))</f>
        <v/>
      </c>
      <c r="T194" s="56" t="str">
        <f aca="false">IF($W194="","",SUM(Q$4:Q194)-SUM(R$4:R194)-SUM(S$4:S194))</f>
        <v/>
      </c>
      <c r="U194" s="56" t="str">
        <f aca="false">IF($W194="","",INDEX(发票统计!U$4:U$1003,$W194)&amp;"")</f>
        <v/>
      </c>
      <c r="W194" s="1" t="str">
        <f aca="false">IF($V$3="","",IFERROR(MATCH($V$3&amp;"#"&amp;ROWS(W$4:W194),发票统计!$W$4:$W$1003,0),""))</f>
        <v/>
      </c>
    </row>
    <row r="195" customFormat="false" ht="16.5" hidden="false" customHeight="false" outlineLevel="0" collapsed="false">
      <c r="A195" s="3" t="str">
        <f aca="false">IF($W195="","",INDEX(发票统计!A$4:A$1003,$W195)&amp;"")</f>
        <v/>
      </c>
      <c r="B195" s="3" t="str">
        <f aca="false">IF($W195="","",INDEX(发票统计!B$4:B$1003,$W195)&amp;"")</f>
        <v/>
      </c>
      <c r="C195" s="3" t="str">
        <f aca="false">IF($W195="","",INDEX(发票统计!C$4:C$1003,$W195)&amp;"")</f>
        <v/>
      </c>
      <c r="D195" s="3" t="str">
        <f aca="false">IF($W195="","",INDEX(发票统计!D$4:D$1003,$W195)&amp;"")</f>
        <v/>
      </c>
      <c r="E195" s="67" t="str">
        <f aca="false">IF($W195="","",INDEX(发票统计!E$4:E$1003,$W195)&amp;"")</f>
        <v/>
      </c>
      <c r="F195" s="68" t="str">
        <f aca="false">IF($W195="","",INDEX(发票统计!F$4:F$1003,$W195)&amp;"")</f>
        <v/>
      </c>
      <c r="G195" s="68" t="str">
        <f aca="false">IF($W195="","",IF(INDEX(发票统计!G$4:G$1003,$W195)="","",INDEX(发票统计!G$4:G$1003,$W195)))</f>
        <v/>
      </c>
      <c r="H195" s="56" t="str">
        <f aca="false">IF($W195="","",N(INDEX(发票统计!H$4:H$1003,$W195)))</f>
        <v/>
      </c>
      <c r="I195" s="56" t="str">
        <f aca="false">IF($W195="","",N(INDEX(发票统计!I$4:I$1003,$W195)))</f>
        <v/>
      </c>
      <c r="J195" s="56" t="str">
        <f aca="false">IF($W195="","",N(INDEX(发票统计!J$4:J$1003,$W195)))</f>
        <v/>
      </c>
      <c r="K195" s="56" t="str">
        <f aca="false">IF($W195="","",N(INDEX(发票统计!K$4:K$1003,$W195)))</f>
        <v/>
      </c>
      <c r="L195" s="56" t="str">
        <f aca="false">IF($W195="","",SUM(J$4:J195)-SUM(K$4:K195))</f>
        <v/>
      </c>
      <c r="M195" s="56" t="str">
        <f aca="false">IF($W195="","",N(INDEX(发票统计!M$4:M$1003,$W195)))</f>
        <v/>
      </c>
      <c r="N195" s="56" t="str">
        <f aca="false">IF($W195="","",N(INDEX(发票统计!N$4:N$1003,$W195)))</f>
        <v/>
      </c>
      <c r="O195" s="56" t="str">
        <f aca="false">IF($W195="","",N(INDEX(发票统计!O$4:O$1003,$W195)))</f>
        <v/>
      </c>
      <c r="P195" s="56" t="str">
        <f aca="false">IF($W195="","",SUM(M$4:M195)-SUM(N$4:N195)-SUM(O$4:O195))</f>
        <v/>
      </c>
      <c r="Q195" s="56" t="str">
        <f aca="false">IF($W195="","",N(INDEX(发票统计!Q$4:Q$1003,$W195)))</f>
        <v/>
      </c>
      <c r="R195" s="56" t="str">
        <f aca="false">IF($W195="","",N(INDEX(发票统计!R$4:R$1003,$W195)))</f>
        <v/>
      </c>
      <c r="S195" s="56" t="str">
        <f aca="false">IF($W195="","",N(INDEX(发票统计!S$4:S$1003,$W195)))</f>
        <v/>
      </c>
      <c r="T195" s="56" t="str">
        <f aca="false">IF($W195="","",SUM(Q$4:Q195)-SUM(R$4:R195)-SUM(S$4:S195))</f>
        <v/>
      </c>
      <c r="U195" s="56" t="str">
        <f aca="false">IF($W195="","",INDEX(发票统计!U$4:U$1003,$W195)&amp;"")</f>
        <v/>
      </c>
      <c r="W195" s="1" t="str">
        <f aca="false">IF($V$3="","",IFERROR(MATCH($V$3&amp;"#"&amp;ROWS(W$4:W195),发票统计!$W$4:$W$1003,0),""))</f>
        <v/>
      </c>
    </row>
    <row r="196" customFormat="false" ht="16.5" hidden="false" customHeight="false" outlineLevel="0" collapsed="false">
      <c r="A196" s="3" t="str">
        <f aca="false">IF($W196="","",INDEX(发票统计!A$4:A$1003,$W196)&amp;"")</f>
        <v/>
      </c>
      <c r="B196" s="3" t="str">
        <f aca="false">IF($W196="","",INDEX(发票统计!B$4:B$1003,$W196)&amp;"")</f>
        <v/>
      </c>
      <c r="C196" s="3" t="str">
        <f aca="false">IF($W196="","",INDEX(发票统计!C$4:C$1003,$W196)&amp;"")</f>
        <v/>
      </c>
      <c r="D196" s="3" t="str">
        <f aca="false">IF($W196="","",INDEX(发票统计!D$4:D$1003,$W196)&amp;"")</f>
        <v/>
      </c>
      <c r="E196" s="67" t="str">
        <f aca="false">IF($W196="","",INDEX(发票统计!E$4:E$1003,$W196)&amp;"")</f>
        <v/>
      </c>
      <c r="F196" s="68" t="str">
        <f aca="false">IF($W196="","",INDEX(发票统计!F$4:F$1003,$W196)&amp;"")</f>
        <v/>
      </c>
      <c r="G196" s="68" t="str">
        <f aca="false">IF($W196="","",IF(INDEX(发票统计!G$4:G$1003,$W196)="","",INDEX(发票统计!G$4:G$1003,$W196)))</f>
        <v/>
      </c>
      <c r="H196" s="56" t="str">
        <f aca="false">IF($W196="","",N(INDEX(发票统计!H$4:H$1003,$W196)))</f>
        <v/>
      </c>
      <c r="I196" s="56" t="str">
        <f aca="false">IF($W196="","",N(INDEX(发票统计!I$4:I$1003,$W196)))</f>
        <v/>
      </c>
      <c r="J196" s="56" t="str">
        <f aca="false">IF($W196="","",N(INDEX(发票统计!J$4:J$1003,$W196)))</f>
        <v/>
      </c>
      <c r="K196" s="56" t="str">
        <f aca="false">IF($W196="","",N(INDEX(发票统计!K$4:K$1003,$W196)))</f>
        <v/>
      </c>
      <c r="L196" s="56" t="str">
        <f aca="false">IF($W196="","",SUM(J$4:J196)-SUM(K$4:K196))</f>
        <v/>
      </c>
      <c r="M196" s="56" t="str">
        <f aca="false">IF($W196="","",N(INDEX(发票统计!M$4:M$1003,$W196)))</f>
        <v/>
      </c>
      <c r="N196" s="56" t="str">
        <f aca="false">IF($W196="","",N(INDEX(发票统计!N$4:N$1003,$W196)))</f>
        <v/>
      </c>
      <c r="O196" s="56" t="str">
        <f aca="false">IF($W196="","",N(INDEX(发票统计!O$4:O$1003,$W196)))</f>
        <v/>
      </c>
      <c r="P196" s="56" t="str">
        <f aca="false">IF($W196="","",SUM(M$4:M196)-SUM(N$4:N196)-SUM(O$4:O196))</f>
        <v/>
      </c>
      <c r="Q196" s="56" t="str">
        <f aca="false">IF($W196="","",N(INDEX(发票统计!Q$4:Q$1003,$W196)))</f>
        <v/>
      </c>
      <c r="R196" s="56" t="str">
        <f aca="false">IF($W196="","",N(INDEX(发票统计!R$4:R$1003,$W196)))</f>
        <v/>
      </c>
      <c r="S196" s="56" t="str">
        <f aca="false">IF($W196="","",N(INDEX(发票统计!S$4:S$1003,$W196)))</f>
        <v/>
      </c>
      <c r="T196" s="56" t="str">
        <f aca="false">IF($W196="","",SUM(Q$4:Q196)-SUM(R$4:R196)-SUM(S$4:S196))</f>
        <v/>
      </c>
      <c r="U196" s="56" t="str">
        <f aca="false">IF($W196="","",INDEX(发票统计!U$4:U$1003,$W196)&amp;"")</f>
        <v/>
      </c>
      <c r="W196" s="1" t="str">
        <f aca="false">IF($V$3="","",IFERROR(MATCH($V$3&amp;"#"&amp;ROWS(W$4:W196),发票统计!$W$4:$W$1003,0),""))</f>
        <v/>
      </c>
    </row>
    <row r="197" customFormat="false" ht="16.5" hidden="false" customHeight="false" outlineLevel="0" collapsed="false">
      <c r="A197" s="3" t="str">
        <f aca="false">IF($W197="","",INDEX(发票统计!A$4:A$1003,$W197)&amp;"")</f>
        <v/>
      </c>
      <c r="B197" s="3" t="str">
        <f aca="false">IF($W197="","",INDEX(发票统计!B$4:B$1003,$W197)&amp;"")</f>
        <v/>
      </c>
      <c r="C197" s="3" t="str">
        <f aca="false">IF($W197="","",INDEX(发票统计!C$4:C$1003,$W197)&amp;"")</f>
        <v/>
      </c>
      <c r="D197" s="3" t="str">
        <f aca="false">IF($W197="","",INDEX(发票统计!D$4:D$1003,$W197)&amp;"")</f>
        <v/>
      </c>
      <c r="E197" s="67" t="str">
        <f aca="false">IF($W197="","",INDEX(发票统计!E$4:E$1003,$W197)&amp;"")</f>
        <v/>
      </c>
      <c r="F197" s="68" t="str">
        <f aca="false">IF($W197="","",INDEX(发票统计!F$4:F$1003,$W197)&amp;"")</f>
        <v/>
      </c>
      <c r="G197" s="68" t="str">
        <f aca="false">IF($W197="","",IF(INDEX(发票统计!G$4:G$1003,$W197)="","",INDEX(发票统计!G$4:G$1003,$W197)))</f>
        <v/>
      </c>
      <c r="H197" s="56" t="str">
        <f aca="false">IF($W197="","",N(INDEX(发票统计!H$4:H$1003,$W197)))</f>
        <v/>
      </c>
      <c r="I197" s="56" t="str">
        <f aca="false">IF($W197="","",N(INDEX(发票统计!I$4:I$1003,$W197)))</f>
        <v/>
      </c>
      <c r="J197" s="56" t="str">
        <f aca="false">IF($W197="","",N(INDEX(发票统计!J$4:J$1003,$W197)))</f>
        <v/>
      </c>
      <c r="K197" s="56" t="str">
        <f aca="false">IF($W197="","",N(INDEX(发票统计!K$4:K$1003,$W197)))</f>
        <v/>
      </c>
      <c r="L197" s="56" t="str">
        <f aca="false">IF($W197="","",SUM(J$4:J197)-SUM(K$4:K197))</f>
        <v/>
      </c>
      <c r="M197" s="56" t="str">
        <f aca="false">IF($W197="","",N(INDEX(发票统计!M$4:M$1003,$W197)))</f>
        <v/>
      </c>
      <c r="N197" s="56" t="str">
        <f aca="false">IF($W197="","",N(INDEX(发票统计!N$4:N$1003,$W197)))</f>
        <v/>
      </c>
      <c r="O197" s="56" t="str">
        <f aca="false">IF($W197="","",N(INDEX(发票统计!O$4:O$1003,$W197)))</f>
        <v/>
      </c>
      <c r="P197" s="56" t="str">
        <f aca="false">IF($W197="","",SUM(M$4:M197)-SUM(N$4:N197)-SUM(O$4:O197))</f>
        <v/>
      </c>
      <c r="Q197" s="56" t="str">
        <f aca="false">IF($W197="","",N(INDEX(发票统计!Q$4:Q$1003,$W197)))</f>
        <v/>
      </c>
      <c r="R197" s="56" t="str">
        <f aca="false">IF($W197="","",N(INDEX(发票统计!R$4:R$1003,$W197)))</f>
        <v/>
      </c>
      <c r="S197" s="56" t="str">
        <f aca="false">IF($W197="","",N(INDEX(发票统计!S$4:S$1003,$W197)))</f>
        <v/>
      </c>
      <c r="T197" s="56" t="str">
        <f aca="false">IF($W197="","",SUM(Q$4:Q197)-SUM(R$4:R197)-SUM(S$4:S197))</f>
        <v/>
      </c>
      <c r="U197" s="56" t="str">
        <f aca="false">IF($W197="","",INDEX(发票统计!U$4:U$1003,$W197)&amp;"")</f>
        <v/>
      </c>
      <c r="W197" s="1" t="str">
        <f aca="false">IF($V$3="","",IFERROR(MATCH($V$3&amp;"#"&amp;ROWS(W$4:W197),发票统计!$W$4:$W$1003,0),""))</f>
        <v/>
      </c>
    </row>
    <row r="198" customFormat="false" ht="16.5" hidden="false" customHeight="false" outlineLevel="0" collapsed="false">
      <c r="A198" s="3" t="str">
        <f aca="false">IF($W198="","",INDEX(发票统计!A$4:A$1003,$W198)&amp;"")</f>
        <v/>
      </c>
      <c r="B198" s="3" t="str">
        <f aca="false">IF($W198="","",INDEX(发票统计!B$4:B$1003,$W198)&amp;"")</f>
        <v/>
      </c>
      <c r="C198" s="3" t="str">
        <f aca="false">IF($W198="","",INDEX(发票统计!C$4:C$1003,$W198)&amp;"")</f>
        <v/>
      </c>
      <c r="D198" s="3" t="str">
        <f aca="false">IF($W198="","",INDEX(发票统计!D$4:D$1003,$W198)&amp;"")</f>
        <v/>
      </c>
      <c r="E198" s="67" t="str">
        <f aca="false">IF($W198="","",INDEX(发票统计!E$4:E$1003,$W198)&amp;"")</f>
        <v/>
      </c>
      <c r="F198" s="68" t="str">
        <f aca="false">IF($W198="","",INDEX(发票统计!F$4:F$1003,$W198)&amp;"")</f>
        <v/>
      </c>
      <c r="G198" s="68" t="str">
        <f aca="false">IF($W198="","",IF(INDEX(发票统计!G$4:G$1003,$W198)="","",INDEX(发票统计!G$4:G$1003,$W198)))</f>
        <v/>
      </c>
      <c r="H198" s="56" t="str">
        <f aca="false">IF($W198="","",N(INDEX(发票统计!H$4:H$1003,$W198)))</f>
        <v/>
      </c>
      <c r="I198" s="56" t="str">
        <f aca="false">IF($W198="","",N(INDEX(发票统计!I$4:I$1003,$W198)))</f>
        <v/>
      </c>
      <c r="J198" s="56" t="str">
        <f aca="false">IF($W198="","",N(INDEX(发票统计!J$4:J$1003,$W198)))</f>
        <v/>
      </c>
      <c r="K198" s="56" t="str">
        <f aca="false">IF($W198="","",N(INDEX(发票统计!K$4:K$1003,$W198)))</f>
        <v/>
      </c>
      <c r="L198" s="56" t="str">
        <f aca="false">IF($W198="","",SUM(J$4:J198)-SUM(K$4:K198))</f>
        <v/>
      </c>
      <c r="M198" s="56" t="str">
        <f aca="false">IF($W198="","",N(INDEX(发票统计!M$4:M$1003,$W198)))</f>
        <v/>
      </c>
      <c r="N198" s="56" t="str">
        <f aca="false">IF($W198="","",N(INDEX(发票统计!N$4:N$1003,$W198)))</f>
        <v/>
      </c>
      <c r="O198" s="56" t="str">
        <f aca="false">IF($W198="","",N(INDEX(发票统计!O$4:O$1003,$W198)))</f>
        <v/>
      </c>
      <c r="P198" s="56" t="str">
        <f aca="false">IF($W198="","",SUM(M$4:M198)-SUM(N$4:N198)-SUM(O$4:O198))</f>
        <v/>
      </c>
      <c r="Q198" s="56" t="str">
        <f aca="false">IF($W198="","",N(INDEX(发票统计!Q$4:Q$1003,$W198)))</f>
        <v/>
      </c>
      <c r="R198" s="56" t="str">
        <f aca="false">IF($W198="","",N(INDEX(发票统计!R$4:R$1003,$W198)))</f>
        <v/>
      </c>
      <c r="S198" s="56" t="str">
        <f aca="false">IF($W198="","",N(INDEX(发票统计!S$4:S$1003,$W198)))</f>
        <v/>
      </c>
      <c r="T198" s="56" t="str">
        <f aca="false">IF($W198="","",SUM(Q$4:Q198)-SUM(R$4:R198)-SUM(S$4:S198))</f>
        <v/>
      </c>
      <c r="U198" s="56" t="str">
        <f aca="false">IF($W198="","",INDEX(发票统计!U$4:U$1003,$W198)&amp;"")</f>
        <v/>
      </c>
      <c r="W198" s="1" t="str">
        <f aca="false">IF($V$3="","",IFERROR(MATCH($V$3&amp;"#"&amp;ROWS(W$4:W198),发票统计!$W$4:$W$1003,0),""))</f>
        <v/>
      </c>
    </row>
    <row r="199" customFormat="false" ht="16.5" hidden="false" customHeight="false" outlineLevel="0" collapsed="false">
      <c r="A199" s="3" t="str">
        <f aca="false">IF($W199="","",INDEX(发票统计!A$4:A$1003,$W199)&amp;"")</f>
        <v/>
      </c>
      <c r="B199" s="3" t="str">
        <f aca="false">IF($W199="","",INDEX(发票统计!B$4:B$1003,$W199)&amp;"")</f>
        <v/>
      </c>
      <c r="C199" s="3" t="str">
        <f aca="false">IF($W199="","",INDEX(发票统计!C$4:C$1003,$W199)&amp;"")</f>
        <v/>
      </c>
      <c r="D199" s="3" t="str">
        <f aca="false">IF($W199="","",INDEX(发票统计!D$4:D$1003,$W199)&amp;"")</f>
        <v/>
      </c>
      <c r="E199" s="67" t="str">
        <f aca="false">IF($W199="","",INDEX(发票统计!E$4:E$1003,$W199)&amp;"")</f>
        <v/>
      </c>
      <c r="F199" s="68" t="str">
        <f aca="false">IF($W199="","",INDEX(发票统计!F$4:F$1003,$W199)&amp;"")</f>
        <v/>
      </c>
      <c r="G199" s="68" t="str">
        <f aca="false">IF($W199="","",IF(INDEX(发票统计!G$4:G$1003,$W199)="","",INDEX(发票统计!G$4:G$1003,$W199)))</f>
        <v/>
      </c>
      <c r="H199" s="56" t="str">
        <f aca="false">IF($W199="","",N(INDEX(发票统计!H$4:H$1003,$W199)))</f>
        <v/>
      </c>
      <c r="I199" s="56" t="str">
        <f aca="false">IF($W199="","",N(INDEX(发票统计!I$4:I$1003,$W199)))</f>
        <v/>
      </c>
      <c r="J199" s="56" t="str">
        <f aca="false">IF($W199="","",N(INDEX(发票统计!J$4:J$1003,$W199)))</f>
        <v/>
      </c>
      <c r="K199" s="56" t="str">
        <f aca="false">IF($W199="","",N(INDEX(发票统计!K$4:K$1003,$W199)))</f>
        <v/>
      </c>
      <c r="L199" s="56" t="str">
        <f aca="false">IF($W199="","",SUM(J$4:J199)-SUM(K$4:K199))</f>
        <v/>
      </c>
      <c r="M199" s="56" t="str">
        <f aca="false">IF($W199="","",N(INDEX(发票统计!M$4:M$1003,$W199)))</f>
        <v/>
      </c>
      <c r="N199" s="56" t="str">
        <f aca="false">IF($W199="","",N(INDEX(发票统计!N$4:N$1003,$W199)))</f>
        <v/>
      </c>
      <c r="O199" s="56" t="str">
        <f aca="false">IF($W199="","",N(INDEX(发票统计!O$4:O$1003,$W199)))</f>
        <v/>
      </c>
      <c r="P199" s="56" t="str">
        <f aca="false">IF($W199="","",SUM(M$4:M199)-SUM(N$4:N199)-SUM(O$4:O199))</f>
        <v/>
      </c>
      <c r="Q199" s="56" t="str">
        <f aca="false">IF($W199="","",N(INDEX(发票统计!Q$4:Q$1003,$W199)))</f>
        <v/>
      </c>
      <c r="R199" s="56" t="str">
        <f aca="false">IF($W199="","",N(INDEX(发票统计!R$4:R$1003,$W199)))</f>
        <v/>
      </c>
      <c r="S199" s="56" t="str">
        <f aca="false">IF($W199="","",N(INDEX(发票统计!S$4:S$1003,$W199)))</f>
        <v/>
      </c>
      <c r="T199" s="56" t="str">
        <f aca="false">IF($W199="","",SUM(Q$4:Q199)-SUM(R$4:R199)-SUM(S$4:S199))</f>
        <v/>
      </c>
      <c r="U199" s="56" t="str">
        <f aca="false">IF($W199="","",INDEX(发票统计!U$4:U$1003,$W199)&amp;"")</f>
        <v/>
      </c>
      <c r="W199" s="1" t="str">
        <f aca="false">IF($V$3="","",IFERROR(MATCH($V$3&amp;"#"&amp;ROWS(W$4:W199),发票统计!$W$4:$W$1003,0),""))</f>
        <v/>
      </c>
    </row>
    <row r="200" customFormat="false" ht="16.5" hidden="false" customHeight="false" outlineLevel="0" collapsed="false">
      <c r="A200" s="3" t="str">
        <f aca="false">IF($W200="","",INDEX(发票统计!A$4:A$1003,$W200)&amp;"")</f>
        <v/>
      </c>
      <c r="B200" s="3" t="str">
        <f aca="false">IF($W200="","",INDEX(发票统计!B$4:B$1003,$W200)&amp;"")</f>
        <v/>
      </c>
      <c r="C200" s="3" t="str">
        <f aca="false">IF($W200="","",INDEX(发票统计!C$4:C$1003,$W200)&amp;"")</f>
        <v/>
      </c>
      <c r="D200" s="3" t="str">
        <f aca="false">IF($W200="","",INDEX(发票统计!D$4:D$1003,$W200)&amp;"")</f>
        <v/>
      </c>
      <c r="E200" s="67" t="str">
        <f aca="false">IF($W200="","",INDEX(发票统计!E$4:E$1003,$W200)&amp;"")</f>
        <v/>
      </c>
      <c r="F200" s="68" t="str">
        <f aca="false">IF($W200="","",INDEX(发票统计!F$4:F$1003,$W200)&amp;"")</f>
        <v/>
      </c>
      <c r="G200" s="68" t="str">
        <f aca="false">IF($W200="","",IF(INDEX(发票统计!G$4:G$1003,$W200)="","",INDEX(发票统计!G$4:G$1003,$W200)))</f>
        <v/>
      </c>
      <c r="H200" s="56" t="str">
        <f aca="false">IF($W200="","",N(INDEX(发票统计!H$4:H$1003,$W200)))</f>
        <v/>
      </c>
      <c r="I200" s="56" t="str">
        <f aca="false">IF($W200="","",N(INDEX(发票统计!I$4:I$1003,$W200)))</f>
        <v/>
      </c>
      <c r="J200" s="56" t="str">
        <f aca="false">IF($W200="","",N(INDEX(发票统计!J$4:J$1003,$W200)))</f>
        <v/>
      </c>
      <c r="K200" s="56" t="str">
        <f aca="false">IF($W200="","",N(INDEX(发票统计!K$4:K$1003,$W200)))</f>
        <v/>
      </c>
      <c r="L200" s="56" t="str">
        <f aca="false">IF($W200="","",SUM(J$4:J200)-SUM(K$4:K200))</f>
        <v/>
      </c>
      <c r="M200" s="56" t="str">
        <f aca="false">IF($W200="","",N(INDEX(发票统计!M$4:M$1003,$W200)))</f>
        <v/>
      </c>
      <c r="N200" s="56" t="str">
        <f aca="false">IF($W200="","",N(INDEX(发票统计!N$4:N$1003,$W200)))</f>
        <v/>
      </c>
      <c r="O200" s="56" t="str">
        <f aca="false">IF($W200="","",N(INDEX(发票统计!O$4:O$1003,$W200)))</f>
        <v/>
      </c>
      <c r="P200" s="56" t="str">
        <f aca="false">IF($W200="","",SUM(M$4:M200)-SUM(N$4:N200)-SUM(O$4:O200))</f>
        <v/>
      </c>
      <c r="Q200" s="56" t="str">
        <f aca="false">IF($W200="","",N(INDEX(发票统计!Q$4:Q$1003,$W200)))</f>
        <v/>
      </c>
      <c r="R200" s="56" t="str">
        <f aca="false">IF($W200="","",N(INDEX(发票统计!R$4:R$1003,$W200)))</f>
        <v/>
      </c>
      <c r="S200" s="56" t="str">
        <f aca="false">IF($W200="","",N(INDEX(发票统计!S$4:S$1003,$W200)))</f>
        <v/>
      </c>
      <c r="T200" s="56" t="str">
        <f aca="false">IF($W200="","",SUM(Q$4:Q200)-SUM(R$4:R200)-SUM(S$4:S200))</f>
        <v/>
      </c>
      <c r="U200" s="56" t="str">
        <f aca="false">IF($W200="","",INDEX(发票统计!U$4:U$1003,$W200)&amp;"")</f>
        <v/>
      </c>
      <c r="W200" s="1" t="str">
        <f aca="false">IF($V$3="","",IFERROR(MATCH($V$3&amp;"#"&amp;ROWS(W$4:W200),发票统计!$W$4:$W$1003,0),""))</f>
        <v/>
      </c>
    </row>
    <row r="201" customFormat="false" ht="16.5" hidden="false" customHeight="false" outlineLevel="0" collapsed="false">
      <c r="A201" s="3" t="str">
        <f aca="false">IF($W201="","",INDEX(发票统计!A$4:A$1003,$W201)&amp;"")</f>
        <v/>
      </c>
      <c r="B201" s="3" t="str">
        <f aca="false">IF($W201="","",INDEX(发票统计!B$4:B$1003,$W201)&amp;"")</f>
        <v/>
      </c>
      <c r="C201" s="3" t="str">
        <f aca="false">IF($W201="","",INDEX(发票统计!C$4:C$1003,$W201)&amp;"")</f>
        <v/>
      </c>
      <c r="D201" s="3" t="str">
        <f aca="false">IF($W201="","",INDEX(发票统计!D$4:D$1003,$W201)&amp;"")</f>
        <v/>
      </c>
      <c r="E201" s="67" t="str">
        <f aca="false">IF($W201="","",INDEX(发票统计!E$4:E$1003,$W201)&amp;"")</f>
        <v/>
      </c>
      <c r="F201" s="68" t="str">
        <f aca="false">IF($W201="","",INDEX(发票统计!F$4:F$1003,$W201)&amp;"")</f>
        <v/>
      </c>
      <c r="G201" s="68" t="str">
        <f aca="false">IF($W201="","",IF(INDEX(发票统计!G$4:G$1003,$W201)="","",INDEX(发票统计!G$4:G$1003,$W201)))</f>
        <v/>
      </c>
      <c r="H201" s="56" t="str">
        <f aca="false">IF($W201="","",N(INDEX(发票统计!H$4:H$1003,$W201)))</f>
        <v/>
      </c>
      <c r="I201" s="56" t="str">
        <f aca="false">IF($W201="","",N(INDEX(发票统计!I$4:I$1003,$W201)))</f>
        <v/>
      </c>
      <c r="J201" s="56" t="str">
        <f aca="false">IF($W201="","",N(INDEX(发票统计!J$4:J$1003,$W201)))</f>
        <v/>
      </c>
      <c r="K201" s="56" t="str">
        <f aca="false">IF($W201="","",N(INDEX(发票统计!K$4:K$1003,$W201)))</f>
        <v/>
      </c>
      <c r="L201" s="56" t="str">
        <f aca="false">IF($W201="","",SUM(J$4:J201)-SUM(K$4:K201))</f>
        <v/>
      </c>
      <c r="M201" s="56" t="str">
        <f aca="false">IF($W201="","",N(INDEX(发票统计!M$4:M$1003,$W201)))</f>
        <v/>
      </c>
      <c r="N201" s="56" t="str">
        <f aca="false">IF($W201="","",N(INDEX(发票统计!N$4:N$1003,$W201)))</f>
        <v/>
      </c>
      <c r="O201" s="56" t="str">
        <f aca="false">IF($W201="","",N(INDEX(发票统计!O$4:O$1003,$W201)))</f>
        <v/>
      </c>
      <c r="P201" s="56" t="str">
        <f aca="false">IF($W201="","",SUM(M$4:M201)-SUM(N$4:N201)-SUM(O$4:O201))</f>
        <v/>
      </c>
      <c r="Q201" s="56" t="str">
        <f aca="false">IF($W201="","",N(INDEX(发票统计!Q$4:Q$1003,$W201)))</f>
        <v/>
      </c>
      <c r="R201" s="56" t="str">
        <f aca="false">IF($W201="","",N(INDEX(发票统计!R$4:R$1003,$W201)))</f>
        <v/>
      </c>
      <c r="S201" s="56" t="str">
        <f aca="false">IF($W201="","",N(INDEX(发票统计!S$4:S$1003,$W201)))</f>
        <v/>
      </c>
      <c r="T201" s="56" t="str">
        <f aca="false">IF($W201="","",SUM(Q$4:Q201)-SUM(R$4:R201)-SUM(S$4:S201))</f>
        <v/>
      </c>
      <c r="U201" s="56" t="str">
        <f aca="false">IF($W201="","",INDEX(发票统计!U$4:U$1003,$W201)&amp;"")</f>
        <v/>
      </c>
      <c r="W201" s="1" t="str">
        <f aca="false">IF($V$3="","",IFERROR(MATCH($V$3&amp;"#"&amp;ROWS(W$4:W201),发票统计!$W$4:$W$1003,0),""))</f>
        <v/>
      </c>
    </row>
    <row r="202" customFormat="false" ht="16.5" hidden="false" customHeight="false" outlineLevel="0" collapsed="false">
      <c r="A202" s="3" t="str">
        <f aca="false">IF($W202="","",INDEX(发票统计!A$4:A$1003,$W202)&amp;"")</f>
        <v/>
      </c>
      <c r="B202" s="3" t="str">
        <f aca="false">IF($W202="","",INDEX(发票统计!B$4:B$1003,$W202)&amp;"")</f>
        <v/>
      </c>
      <c r="C202" s="3" t="str">
        <f aca="false">IF($W202="","",INDEX(发票统计!C$4:C$1003,$W202)&amp;"")</f>
        <v/>
      </c>
      <c r="D202" s="3" t="str">
        <f aca="false">IF($W202="","",INDEX(发票统计!D$4:D$1003,$W202)&amp;"")</f>
        <v/>
      </c>
      <c r="E202" s="67" t="str">
        <f aca="false">IF($W202="","",INDEX(发票统计!E$4:E$1003,$W202)&amp;"")</f>
        <v/>
      </c>
      <c r="F202" s="68" t="str">
        <f aca="false">IF($W202="","",INDEX(发票统计!F$4:F$1003,$W202)&amp;"")</f>
        <v/>
      </c>
      <c r="G202" s="68" t="str">
        <f aca="false">IF($W202="","",IF(INDEX(发票统计!G$4:G$1003,$W202)="","",INDEX(发票统计!G$4:G$1003,$W202)))</f>
        <v/>
      </c>
      <c r="H202" s="56" t="str">
        <f aca="false">IF($W202="","",N(INDEX(发票统计!H$4:H$1003,$W202)))</f>
        <v/>
      </c>
      <c r="I202" s="56" t="str">
        <f aca="false">IF($W202="","",N(INDEX(发票统计!I$4:I$1003,$W202)))</f>
        <v/>
      </c>
      <c r="J202" s="56" t="str">
        <f aca="false">IF($W202="","",N(INDEX(发票统计!J$4:J$1003,$W202)))</f>
        <v/>
      </c>
      <c r="K202" s="56" t="str">
        <f aca="false">IF($W202="","",N(INDEX(发票统计!K$4:K$1003,$W202)))</f>
        <v/>
      </c>
      <c r="L202" s="56" t="str">
        <f aca="false">IF($W202="","",SUM(J$4:J202)-SUM(K$4:K202))</f>
        <v/>
      </c>
      <c r="M202" s="56" t="str">
        <f aca="false">IF($W202="","",N(INDEX(发票统计!M$4:M$1003,$W202)))</f>
        <v/>
      </c>
      <c r="N202" s="56" t="str">
        <f aca="false">IF($W202="","",N(INDEX(发票统计!N$4:N$1003,$W202)))</f>
        <v/>
      </c>
      <c r="O202" s="56" t="str">
        <f aca="false">IF($W202="","",N(INDEX(发票统计!O$4:O$1003,$W202)))</f>
        <v/>
      </c>
      <c r="P202" s="56" t="str">
        <f aca="false">IF($W202="","",SUM(M$4:M202)-SUM(N$4:N202)-SUM(O$4:O202))</f>
        <v/>
      </c>
      <c r="Q202" s="56" t="str">
        <f aca="false">IF($W202="","",N(INDEX(发票统计!Q$4:Q$1003,$W202)))</f>
        <v/>
      </c>
      <c r="R202" s="56" t="str">
        <f aca="false">IF($W202="","",N(INDEX(发票统计!R$4:R$1003,$W202)))</f>
        <v/>
      </c>
      <c r="S202" s="56" t="str">
        <f aca="false">IF($W202="","",N(INDEX(发票统计!S$4:S$1003,$W202)))</f>
        <v/>
      </c>
      <c r="T202" s="56" t="str">
        <f aca="false">IF($W202="","",SUM(Q$4:Q202)-SUM(R$4:R202)-SUM(S$4:S202))</f>
        <v/>
      </c>
      <c r="U202" s="56" t="str">
        <f aca="false">IF($W202="","",INDEX(发票统计!U$4:U$1003,$W202)&amp;"")</f>
        <v/>
      </c>
      <c r="W202" s="1" t="str">
        <f aca="false">IF($V$3="","",IFERROR(MATCH($V$3&amp;"#"&amp;ROWS(W$4:W202),发票统计!$W$4:$W$1003,0),""))</f>
        <v/>
      </c>
    </row>
    <row r="203" customFormat="false" ht="16.5" hidden="false" customHeight="false" outlineLevel="0" collapsed="false">
      <c r="A203" s="3" t="str">
        <f aca="false">IF($W203="","",INDEX(发票统计!A$4:A$1003,$W203)&amp;"")</f>
        <v/>
      </c>
      <c r="B203" s="3" t="str">
        <f aca="false">IF($W203="","",INDEX(发票统计!B$4:B$1003,$W203)&amp;"")</f>
        <v/>
      </c>
      <c r="C203" s="3" t="str">
        <f aca="false">IF($W203="","",INDEX(发票统计!C$4:C$1003,$W203)&amp;"")</f>
        <v/>
      </c>
      <c r="D203" s="3" t="str">
        <f aca="false">IF($W203="","",INDEX(发票统计!D$4:D$1003,$W203)&amp;"")</f>
        <v/>
      </c>
      <c r="E203" s="67" t="str">
        <f aca="false">IF($W203="","",INDEX(发票统计!E$4:E$1003,$W203)&amp;"")</f>
        <v/>
      </c>
      <c r="F203" s="68" t="str">
        <f aca="false">IF($W203="","",INDEX(发票统计!F$4:F$1003,$W203)&amp;"")</f>
        <v/>
      </c>
      <c r="G203" s="68" t="str">
        <f aca="false">IF($W203="","",IF(INDEX(发票统计!G$4:G$1003,$W203)="","",INDEX(发票统计!G$4:G$1003,$W203)))</f>
        <v/>
      </c>
      <c r="H203" s="56" t="str">
        <f aca="false">IF($W203="","",N(INDEX(发票统计!H$4:H$1003,$W203)))</f>
        <v/>
      </c>
      <c r="I203" s="56" t="str">
        <f aca="false">IF($W203="","",N(INDEX(发票统计!I$4:I$1003,$W203)))</f>
        <v/>
      </c>
      <c r="J203" s="56" t="str">
        <f aca="false">IF($W203="","",N(INDEX(发票统计!J$4:J$1003,$W203)))</f>
        <v/>
      </c>
      <c r="K203" s="56" t="str">
        <f aca="false">IF($W203="","",N(INDEX(发票统计!K$4:K$1003,$W203)))</f>
        <v/>
      </c>
      <c r="L203" s="56" t="str">
        <f aca="false">IF($W203="","",SUM(J$4:J203)-SUM(K$4:K203))</f>
        <v/>
      </c>
      <c r="M203" s="56" t="str">
        <f aca="false">IF($W203="","",N(INDEX(发票统计!M$4:M$1003,$W203)))</f>
        <v/>
      </c>
      <c r="N203" s="56" t="str">
        <f aca="false">IF($W203="","",N(INDEX(发票统计!N$4:N$1003,$W203)))</f>
        <v/>
      </c>
      <c r="O203" s="56" t="str">
        <f aca="false">IF($W203="","",N(INDEX(发票统计!O$4:O$1003,$W203)))</f>
        <v/>
      </c>
      <c r="P203" s="56" t="str">
        <f aca="false">IF($W203="","",SUM(M$4:M203)-SUM(N$4:N203)-SUM(O$4:O203))</f>
        <v/>
      </c>
      <c r="Q203" s="56" t="str">
        <f aca="false">IF($W203="","",N(INDEX(发票统计!Q$4:Q$1003,$W203)))</f>
        <v/>
      </c>
      <c r="R203" s="56" t="str">
        <f aca="false">IF($W203="","",N(INDEX(发票统计!R$4:R$1003,$W203)))</f>
        <v/>
      </c>
      <c r="S203" s="56" t="str">
        <f aca="false">IF($W203="","",N(INDEX(发票统计!S$4:S$1003,$W203)))</f>
        <v/>
      </c>
      <c r="T203" s="56" t="str">
        <f aca="false">IF($W203="","",SUM(Q$4:Q203)-SUM(R$4:R203)-SUM(S$4:S203))</f>
        <v/>
      </c>
      <c r="U203" s="56" t="str">
        <f aca="false">IF($W203="","",INDEX(发票统计!U$4:U$1003,$W203)&amp;"")</f>
        <v/>
      </c>
      <c r="W203" s="1" t="str">
        <f aca="false">IF($V$3="","",IFERROR(MATCH($V$3&amp;"#"&amp;ROWS(W$4:W203),发票统计!$W$4:$W$1003,0),""))</f>
        <v/>
      </c>
    </row>
    <row r="204" customFormat="false" ht="16.5" hidden="false" customHeight="false" outlineLevel="0" collapsed="false">
      <c r="A204" s="3" t="str">
        <f aca="false">IF($W204="","",INDEX(发票统计!A$4:A$1003,$W204)&amp;"")</f>
        <v/>
      </c>
      <c r="B204" s="3" t="str">
        <f aca="false">IF($W204="","",INDEX(发票统计!B$4:B$1003,$W204)&amp;"")</f>
        <v/>
      </c>
      <c r="C204" s="3" t="str">
        <f aca="false">IF($W204="","",INDEX(发票统计!C$4:C$1003,$W204)&amp;"")</f>
        <v/>
      </c>
      <c r="D204" s="3" t="str">
        <f aca="false">IF($W204="","",INDEX(发票统计!D$4:D$1003,$W204)&amp;"")</f>
        <v/>
      </c>
      <c r="E204" s="67" t="str">
        <f aca="false">IF($W204="","",INDEX(发票统计!E$4:E$1003,$W204)&amp;"")</f>
        <v/>
      </c>
      <c r="F204" s="68" t="str">
        <f aca="false">IF($W204="","",INDEX(发票统计!F$4:F$1003,$W204)&amp;"")</f>
        <v/>
      </c>
      <c r="G204" s="68" t="str">
        <f aca="false">IF($W204="","",IF(INDEX(发票统计!G$4:G$1003,$W204)="","",INDEX(发票统计!G$4:G$1003,$W204)))</f>
        <v/>
      </c>
      <c r="H204" s="56" t="str">
        <f aca="false">IF($W204="","",N(INDEX(发票统计!H$4:H$1003,$W204)))</f>
        <v/>
      </c>
      <c r="I204" s="56" t="str">
        <f aca="false">IF($W204="","",N(INDEX(发票统计!I$4:I$1003,$W204)))</f>
        <v/>
      </c>
      <c r="J204" s="56" t="str">
        <f aca="false">IF($W204="","",N(INDEX(发票统计!J$4:J$1003,$W204)))</f>
        <v/>
      </c>
      <c r="K204" s="56" t="str">
        <f aca="false">IF($W204="","",N(INDEX(发票统计!K$4:K$1003,$W204)))</f>
        <v/>
      </c>
      <c r="L204" s="56" t="str">
        <f aca="false">IF($W204="","",SUM(J$4:J204)-SUM(K$4:K204))</f>
        <v/>
      </c>
      <c r="M204" s="56" t="str">
        <f aca="false">IF($W204="","",N(INDEX(发票统计!M$4:M$1003,$W204)))</f>
        <v/>
      </c>
      <c r="N204" s="56" t="str">
        <f aca="false">IF($W204="","",N(INDEX(发票统计!N$4:N$1003,$W204)))</f>
        <v/>
      </c>
      <c r="O204" s="56" t="str">
        <f aca="false">IF($W204="","",N(INDEX(发票统计!O$4:O$1003,$W204)))</f>
        <v/>
      </c>
      <c r="P204" s="56" t="str">
        <f aca="false">IF($W204="","",SUM(M$4:M204)-SUM(N$4:N204)-SUM(O$4:O204))</f>
        <v/>
      </c>
      <c r="Q204" s="56" t="str">
        <f aca="false">IF($W204="","",N(INDEX(发票统计!Q$4:Q$1003,$W204)))</f>
        <v/>
      </c>
      <c r="R204" s="56" t="str">
        <f aca="false">IF($W204="","",N(INDEX(发票统计!R$4:R$1003,$W204)))</f>
        <v/>
      </c>
      <c r="S204" s="56" t="str">
        <f aca="false">IF($W204="","",N(INDEX(发票统计!S$4:S$1003,$W204)))</f>
        <v/>
      </c>
      <c r="T204" s="56" t="str">
        <f aca="false">IF($W204="","",SUM(Q$4:Q204)-SUM(R$4:R204)-SUM(S$4:S204))</f>
        <v/>
      </c>
      <c r="U204" s="56" t="str">
        <f aca="false">IF($W204="","",INDEX(发票统计!U$4:U$1003,$W204)&amp;"")</f>
        <v/>
      </c>
      <c r="W204" s="1" t="str">
        <f aca="false">IF($V$3="","",IFERROR(MATCH($V$3&amp;"#"&amp;ROWS(W$4:W204),发票统计!$W$4:$W$1003,0),""))</f>
        <v/>
      </c>
    </row>
    <row r="205" customFormat="false" ht="16.5" hidden="false" customHeight="false" outlineLevel="0" collapsed="false">
      <c r="A205" s="3" t="str">
        <f aca="false">IF($W205="","",INDEX(发票统计!A$4:A$1003,$W205)&amp;"")</f>
        <v/>
      </c>
      <c r="B205" s="3" t="str">
        <f aca="false">IF($W205="","",INDEX(发票统计!B$4:B$1003,$W205)&amp;"")</f>
        <v/>
      </c>
      <c r="C205" s="3" t="str">
        <f aca="false">IF($W205="","",INDEX(发票统计!C$4:C$1003,$W205)&amp;"")</f>
        <v/>
      </c>
      <c r="D205" s="3" t="str">
        <f aca="false">IF($W205="","",INDEX(发票统计!D$4:D$1003,$W205)&amp;"")</f>
        <v/>
      </c>
      <c r="E205" s="67" t="str">
        <f aca="false">IF($W205="","",INDEX(发票统计!E$4:E$1003,$W205)&amp;"")</f>
        <v/>
      </c>
      <c r="F205" s="68" t="str">
        <f aca="false">IF($W205="","",INDEX(发票统计!F$4:F$1003,$W205)&amp;"")</f>
        <v/>
      </c>
      <c r="G205" s="68" t="str">
        <f aca="false">IF($W205="","",IF(INDEX(发票统计!G$4:G$1003,$W205)="","",INDEX(发票统计!G$4:G$1003,$W205)))</f>
        <v/>
      </c>
      <c r="H205" s="56" t="str">
        <f aca="false">IF($W205="","",N(INDEX(发票统计!H$4:H$1003,$W205)))</f>
        <v/>
      </c>
      <c r="I205" s="56" t="str">
        <f aca="false">IF($W205="","",N(INDEX(发票统计!I$4:I$1003,$W205)))</f>
        <v/>
      </c>
      <c r="J205" s="56" t="str">
        <f aca="false">IF($W205="","",N(INDEX(发票统计!J$4:J$1003,$W205)))</f>
        <v/>
      </c>
      <c r="K205" s="56" t="str">
        <f aca="false">IF($W205="","",N(INDEX(发票统计!K$4:K$1003,$W205)))</f>
        <v/>
      </c>
      <c r="L205" s="56" t="str">
        <f aca="false">IF($W205="","",SUM(J$4:J205)-SUM(K$4:K205))</f>
        <v/>
      </c>
      <c r="M205" s="56" t="str">
        <f aca="false">IF($W205="","",N(INDEX(发票统计!M$4:M$1003,$W205)))</f>
        <v/>
      </c>
      <c r="N205" s="56" t="str">
        <f aca="false">IF($W205="","",N(INDEX(发票统计!N$4:N$1003,$W205)))</f>
        <v/>
      </c>
      <c r="O205" s="56" t="str">
        <f aca="false">IF($W205="","",N(INDEX(发票统计!O$4:O$1003,$W205)))</f>
        <v/>
      </c>
      <c r="P205" s="56" t="str">
        <f aca="false">IF($W205="","",SUM(M$4:M205)-SUM(N$4:N205)-SUM(O$4:O205))</f>
        <v/>
      </c>
      <c r="Q205" s="56" t="str">
        <f aca="false">IF($W205="","",N(INDEX(发票统计!Q$4:Q$1003,$W205)))</f>
        <v/>
      </c>
      <c r="R205" s="56" t="str">
        <f aca="false">IF($W205="","",N(INDEX(发票统计!R$4:R$1003,$W205)))</f>
        <v/>
      </c>
      <c r="S205" s="56" t="str">
        <f aca="false">IF($W205="","",N(INDEX(发票统计!S$4:S$1003,$W205)))</f>
        <v/>
      </c>
      <c r="T205" s="56" t="str">
        <f aca="false">IF($W205="","",SUM(Q$4:Q205)-SUM(R$4:R205)-SUM(S$4:S205))</f>
        <v/>
      </c>
      <c r="U205" s="56" t="str">
        <f aca="false">IF($W205="","",INDEX(发票统计!U$4:U$1003,$W205)&amp;"")</f>
        <v/>
      </c>
      <c r="W205" s="1" t="str">
        <f aca="false">IF($V$3="","",IFERROR(MATCH($V$3&amp;"#"&amp;ROWS(W$4:W205),发票统计!$W$4:$W$1003,0),""))</f>
        <v/>
      </c>
    </row>
    <row r="206" customFormat="false" ht="16.5" hidden="false" customHeight="false" outlineLevel="0" collapsed="false">
      <c r="A206" s="3" t="str">
        <f aca="false">IF($W206="","",INDEX(发票统计!A$4:A$1003,$W206)&amp;"")</f>
        <v/>
      </c>
      <c r="B206" s="3" t="str">
        <f aca="false">IF($W206="","",INDEX(发票统计!B$4:B$1003,$W206)&amp;"")</f>
        <v/>
      </c>
      <c r="C206" s="3" t="str">
        <f aca="false">IF($W206="","",INDEX(发票统计!C$4:C$1003,$W206)&amp;"")</f>
        <v/>
      </c>
      <c r="D206" s="3" t="str">
        <f aca="false">IF($W206="","",INDEX(发票统计!D$4:D$1003,$W206)&amp;"")</f>
        <v/>
      </c>
      <c r="E206" s="67" t="str">
        <f aca="false">IF($W206="","",INDEX(发票统计!E$4:E$1003,$W206)&amp;"")</f>
        <v/>
      </c>
      <c r="F206" s="68" t="str">
        <f aca="false">IF($W206="","",INDEX(发票统计!F$4:F$1003,$W206)&amp;"")</f>
        <v/>
      </c>
      <c r="G206" s="68" t="str">
        <f aca="false">IF($W206="","",IF(INDEX(发票统计!G$4:G$1003,$W206)="","",INDEX(发票统计!G$4:G$1003,$W206)))</f>
        <v/>
      </c>
      <c r="H206" s="56" t="str">
        <f aca="false">IF($W206="","",N(INDEX(发票统计!H$4:H$1003,$W206)))</f>
        <v/>
      </c>
      <c r="I206" s="56" t="str">
        <f aca="false">IF($W206="","",N(INDEX(发票统计!I$4:I$1003,$W206)))</f>
        <v/>
      </c>
      <c r="J206" s="56" t="str">
        <f aca="false">IF($W206="","",N(INDEX(发票统计!J$4:J$1003,$W206)))</f>
        <v/>
      </c>
      <c r="K206" s="56" t="str">
        <f aca="false">IF($W206="","",N(INDEX(发票统计!K$4:K$1003,$W206)))</f>
        <v/>
      </c>
      <c r="L206" s="56" t="str">
        <f aca="false">IF($W206="","",SUM(J$4:J206)-SUM(K$4:K206))</f>
        <v/>
      </c>
      <c r="M206" s="56" t="str">
        <f aca="false">IF($W206="","",N(INDEX(发票统计!M$4:M$1003,$W206)))</f>
        <v/>
      </c>
      <c r="N206" s="56" t="str">
        <f aca="false">IF($W206="","",N(INDEX(发票统计!N$4:N$1003,$W206)))</f>
        <v/>
      </c>
      <c r="O206" s="56" t="str">
        <f aca="false">IF($W206="","",N(INDEX(发票统计!O$4:O$1003,$W206)))</f>
        <v/>
      </c>
      <c r="P206" s="56" t="str">
        <f aca="false">IF($W206="","",SUM(M$4:M206)-SUM(N$4:N206)-SUM(O$4:O206))</f>
        <v/>
      </c>
      <c r="Q206" s="56" t="str">
        <f aca="false">IF($W206="","",N(INDEX(发票统计!Q$4:Q$1003,$W206)))</f>
        <v/>
      </c>
      <c r="R206" s="56" t="str">
        <f aca="false">IF($W206="","",N(INDEX(发票统计!R$4:R$1003,$W206)))</f>
        <v/>
      </c>
      <c r="S206" s="56" t="str">
        <f aca="false">IF($W206="","",N(INDEX(发票统计!S$4:S$1003,$W206)))</f>
        <v/>
      </c>
      <c r="T206" s="56" t="str">
        <f aca="false">IF($W206="","",SUM(Q$4:Q206)-SUM(R$4:R206)-SUM(S$4:S206))</f>
        <v/>
      </c>
      <c r="U206" s="56" t="str">
        <f aca="false">IF($W206="","",INDEX(发票统计!U$4:U$1003,$W206)&amp;"")</f>
        <v/>
      </c>
      <c r="W206" s="1" t="str">
        <f aca="false">IF($V$3="","",IFERROR(MATCH($V$3&amp;"#"&amp;ROWS(W$4:W206),发票统计!$W$4:$W$1003,0),""))</f>
        <v/>
      </c>
    </row>
    <row r="207" customFormat="false" ht="16.5" hidden="false" customHeight="false" outlineLevel="0" collapsed="false">
      <c r="A207" s="3" t="str">
        <f aca="false">IF($W207="","",INDEX(发票统计!A$4:A$1003,$W207)&amp;"")</f>
        <v/>
      </c>
      <c r="B207" s="3" t="str">
        <f aca="false">IF($W207="","",INDEX(发票统计!B$4:B$1003,$W207)&amp;"")</f>
        <v/>
      </c>
      <c r="C207" s="3" t="str">
        <f aca="false">IF($W207="","",INDEX(发票统计!C$4:C$1003,$W207)&amp;"")</f>
        <v/>
      </c>
      <c r="D207" s="3" t="str">
        <f aca="false">IF($W207="","",INDEX(发票统计!D$4:D$1003,$W207)&amp;"")</f>
        <v/>
      </c>
      <c r="E207" s="67" t="str">
        <f aca="false">IF($W207="","",INDEX(发票统计!E$4:E$1003,$W207)&amp;"")</f>
        <v/>
      </c>
      <c r="F207" s="68" t="str">
        <f aca="false">IF($W207="","",INDEX(发票统计!F$4:F$1003,$W207)&amp;"")</f>
        <v/>
      </c>
      <c r="G207" s="68" t="str">
        <f aca="false">IF($W207="","",IF(INDEX(发票统计!G$4:G$1003,$W207)="","",INDEX(发票统计!G$4:G$1003,$W207)))</f>
        <v/>
      </c>
      <c r="H207" s="56" t="str">
        <f aca="false">IF($W207="","",N(INDEX(发票统计!H$4:H$1003,$W207)))</f>
        <v/>
      </c>
      <c r="I207" s="56" t="str">
        <f aca="false">IF($W207="","",N(INDEX(发票统计!I$4:I$1003,$W207)))</f>
        <v/>
      </c>
      <c r="J207" s="56" t="str">
        <f aca="false">IF($W207="","",N(INDEX(发票统计!J$4:J$1003,$W207)))</f>
        <v/>
      </c>
      <c r="K207" s="56" t="str">
        <f aca="false">IF($W207="","",N(INDEX(发票统计!K$4:K$1003,$W207)))</f>
        <v/>
      </c>
      <c r="L207" s="56" t="str">
        <f aca="false">IF($W207="","",SUM(J$4:J207)-SUM(K$4:K207))</f>
        <v/>
      </c>
      <c r="M207" s="56" t="str">
        <f aca="false">IF($W207="","",N(INDEX(发票统计!M$4:M$1003,$W207)))</f>
        <v/>
      </c>
      <c r="N207" s="56" t="str">
        <f aca="false">IF($W207="","",N(INDEX(发票统计!N$4:N$1003,$W207)))</f>
        <v/>
      </c>
      <c r="O207" s="56" t="str">
        <f aca="false">IF($W207="","",N(INDEX(发票统计!O$4:O$1003,$W207)))</f>
        <v/>
      </c>
      <c r="P207" s="56" t="str">
        <f aca="false">IF($W207="","",SUM(M$4:M207)-SUM(N$4:N207)-SUM(O$4:O207))</f>
        <v/>
      </c>
      <c r="Q207" s="56" t="str">
        <f aca="false">IF($W207="","",N(INDEX(发票统计!Q$4:Q$1003,$W207)))</f>
        <v/>
      </c>
      <c r="R207" s="56" t="str">
        <f aca="false">IF($W207="","",N(INDEX(发票统计!R$4:R$1003,$W207)))</f>
        <v/>
      </c>
      <c r="S207" s="56" t="str">
        <f aca="false">IF($W207="","",N(INDEX(发票统计!S$4:S$1003,$W207)))</f>
        <v/>
      </c>
      <c r="T207" s="56" t="str">
        <f aca="false">IF($W207="","",SUM(Q$4:Q207)-SUM(R$4:R207)-SUM(S$4:S207))</f>
        <v/>
      </c>
      <c r="U207" s="56" t="str">
        <f aca="false">IF($W207="","",INDEX(发票统计!U$4:U$1003,$W207)&amp;"")</f>
        <v/>
      </c>
      <c r="W207" s="1" t="str">
        <f aca="false">IF($V$3="","",IFERROR(MATCH($V$3&amp;"#"&amp;ROWS(W$4:W207),发票统计!$W$4:$W$1003,0),""))</f>
        <v/>
      </c>
    </row>
    <row r="208" customFormat="false" ht="16.5" hidden="false" customHeight="false" outlineLevel="0" collapsed="false">
      <c r="A208" s="3" t="str">
        <f aca="false">IF($W208="","",INDEX(发票统计!A$4:A$1003,$W208)&amp;"")</f>
        <v/>
      </c>
      <c r="B208" s="3" t="str">
        <f aca="false">IF($W208="","",INDEX(发票统计!B$4:B$1003,$W208)&amp;"")</f>
        <v/>
      </c>
      <c r="C208" s="3" t="str">
        <f aca="false">IF($W208="","",INDEX(发票统计!C$4:C$1003,$W208)&amp;"")</f>
        <v/>
      </c>
      <c r="D208" s="3" t="str">
        <f aca="false">IF($W208="","",INDEX(发票统计!D$4:D$1003,$W208)&amp;"")</f>
        <v/>
      </c>
      <c r="E208" s="67" t="str">
        <f aca="false">IF($W208="","",INDEX(发票统计!E$4:E$1003,$W208)&amp;"")</f>
        <v/>
      </c>
      <c r="F208" s="68" t="str">
        <f aca="false">IF($W208="","",INDEX(发票统计!F$4:F$1003,$W208)&amp;"")</f>
        <v/>
      </c>
      <c r="G208" s="68" t="str">
        <f aca="false">IF($W208="","",IF(INDEX(发票统计!G$4:G$1003,$W208)="","",INDEX(发票统计!G$4:G$1003,$W208)))</f>
        <v/>
      </c>
      <c r="H208" s="56" t="str">
        <f aca="false">IF($W208="","",N(INDEX(发票统计!H$4:H$1003,$W208)))</f>
        <v/>
      </c>
      <c r="I208" s="56" t="str">
        <f aca="false">IF($W208="","",N(INDEX(发票统计!I$4:I$1003,$W208)))</f>
        <v/>
      </c>
      <c r="J208" s="56" t="str">
        <f aca="false">IF($W208="","",N(INDEX(发票统计!J$4:J$1003,$W208)))</f>
        <v/>
      </c>
      <c r="K208" s="56" t="str">
        <f aca="false">IF($W208="","",N(INDEX(发票统计!K$4:K$1003,$W208)))</f>
        <v/>
      </c>
      <c r="L208" s="56" t="str">
        <f aca="false">IF($W208="","",SUM(J$4:J208)-SUM(K$4:K208))</f>
        <v/>
      </c>
      <c r="M208" s="56" t="str">
        <f aca="false">IF($W208="","",N(INDEX(发票统计!M$4:M$1003,$W208)))</f>
        <v/>
      </c>
      <c r="N208" s="56" t="str">
        <f aca="false">IF($W208="","",N(INDEX(发票统计!N$4:N$1003,$W208)))</f>
        <v/>
      </c>
      <c r="O208" s="56" t="str">
        <f aca="false">IF($W208="","",N(INDEX(发票统计!O$4:O$1003,$W208)))</f>
        <v/>
      </c>
      <c r="P208" s="56" t="str">
        <f aca="false">IF($W208="","",SUM(M$4:M208)-SUM(N$4:N208)-SUM(O$4:O208))</f>
        <v/>
      </c>
      <c r="Q208" s="56" t="str">
        <f aca="false">IF($W208="","",N(INDEX(发票统计!Q$4:Q$1003,$W208)))</f>
        <v/>
      </c>
      <c r="R208" s="56" t="str">
        <f aca="false">IF($W208="","",N(INDEX(发票统计!R$4:R$1003,$W208)))</f>
        <v/>
      </c>
      <c r="S208" s="56" t="str">
        <f aca="false">IF($W208="","",N(INDEX(发票统计!S$4:S$1003,$W208)))</f>
        <v/>
      </c>
      <c r="T208" s="56" t="str">
        <f aca="false">IF($W208="","",SUM(Q$4:Q208)-SUM(R$4:R208)-SUM(S$4:S208))</f>
        <v/>
      </c>
      <c r="U208" s="56" t="str">
        <f aca="false">IF($W208="","",INDEX(发票统计!U$4:U$1003,$W208)&amp;"")</f>
        <v/>
      </c>
      <c r="W208" s="1" t="str">
        <f aca="false">IF($V$3="","",IFERROR(MATCH($V$3&amp;"#"&amp;ROWS(W$4:W208),发票统计!$W$4:$W$1003,0),""))</f>
        <v/>
      </c>
    </row>
    <row r="209" customFormat="false" ht="16.5" hidden="false" customHeight="false" outlineLevel="0" collapsed="false">
      <c r="A209" s="3" t="str">
        <f aca="false">IF($W209="","",INDEX(发票统计!A$4:A$1003,$W209)&amp;"")</f>
        <v/>
      </c>
      <c r="B209" s="3" t="str">
        <f aca="false">IF($W209="","",INDEX(发票统计!B$4:B$1003,$W209)&amp;"")</f>
        <v/>
      </c>
      <c r="C209" s="3" t="str">
        <f aca="false">IF($W209="","",INDEX(发票统计!C$4:C$1003,$W209)&amp;"")</f>
        <v/>
      </c>
      <c r="D209" s="3" t="str">
        <f aca="false">IF($W209="","",INDEX(发票统计!D$4:D$1003,$W209)&amp;"")</f>
        <v/>
      </c>
      <c r="E209" s="67" t="str">
        <f aca="false">IF($W209="","",INDEX(发票统计!E$4:E$1003,$W209)&amp;"")</f>
        <v/>
      </c>
      <c r="F209" s="68" t="str">
        <f aca="false">IF($W209="","",INDEX(发票统计!F$4:F$1003,$W209)&amp;"")</f>
        <v/>
      </c>
      <c r="G209" s="68" t="str">
        <f aca="false">IF($W209="","",IF(INDEX(发票统计!G$4:G$1003,$W209)="","",INDEX(发票统计!G$4:G$1003,$W209)))</f>
        <v/>
      </c>
      <c r="H209" s="56" t="str">
        <f aca="false">IF($W209="","",N(INDEX(发票统计!H$4:H$1003,$W209)))</f>
        <v/>
      </c>
      <c r="I209" s="56" t="str">
        <f aca="false">IF($W209="","",N(INDEX(发票统计!I$4:I$1003,$W209)))</f>
        <v/>
      </c>
      <c r="J209" s="56" t="str">
        <f aca="false">IF($W209="","",N(INDEX(发票统计!J$4:J$1003,$W209)))</f>
        <v/>
      </c>
      <c r="K209" s="56" t="str">
        <f aca="false">IF($W209="","",N(INDEX(发票统计!K$4:K$1003,$W209)))</f>
        <v/>
      </c>
      <c r="L209" s="56" t="str">
        <f aca="false">IF($W209="","",SUM(J$4:J209)-SUM(K$4:K209))</f>
        <v/>
      </c>
      <c r="M209" s="56" t="str">
        <f aca="false">IF($W209="","",N(INDEX(发票统计!M$4:M$1003,$W209)))</f>
        <v/>
      </c>
      <c r="N209" s="56" t="str">
        <f aca="false">IF($W209="","",N(INDEX(发票统计!N$4:N$1003,$W209)))</f>
        <v/>
      </c>
      <c r="O209" s="56" t="str">
        <f aca="false">IF($W209="","",N(INDEX(发票统计!O$4:O$1003,$W209)))</f>
        <v/>
      </c>
      <c r="P209" s="56" t="str">
        <f aca="false">IF($W209="","",SUM(M$4:M209)-SUM(N$4:N209)-SUM(O$4:O209))</f>
        <v/>
      </c>
      <c r="Q209" s="56" t="str">
        <f aca="false">IF($W209="","",N(INDEX(发票统计!Q$4:Q$1003,$W209)))</f>
        <v/>
      </c>
      <c r="R209" s="56" t="str">
        <f aca="false">IF($W209="","",N(INDEX(发票统计!R$4:R$1003,$W209)))</f>
        <v/>
      </c>
      <c r="S209" s="56" t="str">
        <f aca="false">IF($W209="","",N(INDEX(发票统计!S$4:S$1003,$W209)))</f>
        <v/>
      </c>
      <c r="T209" s="56" t="str">
        <f aca="false">IF($W209="","",SUM(Q$4:Q209)-SUM(R$4:R209)-SUM(S$4:S209))</f>
        <v/>
      </c>
      <c r="U209" s="56" t="str">
        <f aca="false">IF($W209="","",INDEX(发票统计!U$4:U$1003,$W209)&amp;"")</f>
        <v/>
      </c>
      <c r="W209" s="1" t="str">
        <f aca="false">IF($V$3="","",IFERROR(MATCH($V$3&amp;"#"&amp;ROWS(W$4:W209),发票统计!$W$4:$W$1003,0),""))</f>
        <v/>
      </c>
    </row>
    <row r="210" customFormat="false" ht="16.5" hidden="false" customHeight="false" outlineLevel="0" collapsed="false">
      <c r="A210" s="3" t="str">
        <f aca="false">IF($W210="","",INDEX(发票统计!A$4:A$1003,$W210)&amp;"")</f>
        <v/>
      </c>
      <c r="B210" s="3" t="str">
        <f aca="false">IF($W210="","",INDEX(发票统计!B$4:B$1003,$W210)&amp;"")</f>
        <v/>
      </c>
      <c r="C210" s="3" t="str">
        <f aca="false">IF($W210="","",INDEX(发票统计!C$4:C$1003,$W210)&amp;"")</f>
        <v/>
      </c>
      <c r="D210" s="3" t="str">
        <f aca="false">IF($W210="","",INDEX(发票统计!D$4:D$1003,$W210)&amp;"")</f>
        <v/>
      </c>
      <c r="E210" s="67" t="str">
        <f aca="false">IF($W210="","",INDEX(发票统计!E$4:E$1003,$W210)&amp;"")</f>
        <v/>
      </c>
      <c r="F210" s="68" t="str">
        <f aca="false">IF($W210="","",INDEX(发票统计!F$4:F$1003,$W210)&amp;"")</f>
        <v/>
      </c>
      <c r="G210" s="68" t="str">
        <f aca="false">IF($W210="","",IF(INDEX(发票统计!G$4:G$1003,$W210)="","",INDEX(发票统计!G$4:G$1003,$W210)))</f>
        <v/>
      </c>
      <c r="H210" s="56" t="str">
        <f aca="false">IF($W210="","",N(INDEX(发票统计!H$4:H$1003,$W210)))</f>
        <v/>
      </c>
      <c r="I210" s="56" t="str">
        <f aca="false">IF($W210="","",N(INDEX(发票统计!I$4:I$1003,$W210)))</f>
        <v/>
      </c>
      <c r="J210" s="56" t="str">
        <f aca="false">IF($W210="","",N(INDEX(发票统计!J$4:J$1003,$W210)))</f>
        <v/>
      </c>
      <c r="K210" s="56" t="str">
        <f aca="false">IF($W210="","",N(INDEX(发票统计!K$4:K$1003,$W210)))</f>
        <v/>
      </c>
      <c r="L210" s="56" t="str">
        <f aca="false">IF($W210="","",SUM(J$4:J210)-SUM(K$4:K210))</f>
        <v/>
      </c>
      <c r="M210" s="56" t="str">
        <f aca="false">IF($W210="","",N(INDEX(发票统计!M$4:M$1003,$W210)))</f>
        <v/>
      </c>
      <c r="N210" s="56" t="str">
        <f aca="false">IF($W210="","",N(INDEX(发票统计!N$4:N$1003,$W210)))</f>
        <v/>
      </c>
      <c r="O210" s="56" t="str">
        <f aca="false">IF($W210="","",N(INDEX(发票统计!O$4:O$1003,$W210)))</f>
        <v/>
      </c>
      <c r="P210" s="56" t="str">
        <f aca="false">IF($W210="","",SUM(M$4:M210)-SUM(N$4:N210)-SUM(O$4:O210))</f>
        <v/>
      </c>
      <c r="Q210" s="56" t="str">
        <f aca="false">IF($W210="","",N(INDEX(发票统计!Q$4:Q$1003,$W210)))</f>
        <v/>
      </c>
      <c r="R210" s="56" t="str">
        <f aca="false">IF($W210="","",N(INDEX(发票统计!R$4:R$1003,$W210)))</f>
        <v/>
      </c>
      <c r="S210" s="56" t="str">
        <f aca="false">IF($W210="","",N(INDEX(发票统计!S$4:S$1003,$W210)))</f>
        <v/>
      </c>
      <c r="T210" s="56" t="str">
        <f aca="false">IF($W210="","",SUM(Q$4:Q210)-SUM(R$4:R210)-SUM(S$4:S210))</f>
        <v/>
      </c>
      <c r="U210" s="56" t="str">
        <f aca="false">IF($W210="","",INDEX(发票统计!U$4:U$1003,$W210)&amp;"")</f>
        <v/>
      </c>
      <c r="W210" s="1" t="str">
        <f aca="false">IF($V$3="","",IFERROR(MATCH($V$3&amp;"#"&amp;ROWS(W$4:W210),发票统计!$W$4:$W$1003,0),""))</f>
        <v/>
      </c>
    </row>
    <row r="211" customFormat="false" ht="16.5" hidden="false" customHeight="false" outlineLevel="0" collapsed="false">
      <c r="A211" s="3" t="str">
        <f aca="false">IF($W211="","",INDEX(发票统计!A$4:A$1003,$W211)&amp;"")</f>
        <v/>
      </c>
      <c r="B211" s="3" t="str">
        <f aca="false">IF($W211="","",INDEX(发票统计!B$4:B$1003,$W211)&amp;"")</f>
        <v/>
      </c>
      <c r="C211" s="3" t="str">
        <f aca="false">IF($W211="","",INDEX(发票统计!C$4:C$1003,$W211)&amp;"")</f>
        <v/>
      </c>
      <c r="D211" s="3" t="str">
        <f aca="false">IF($W211="","",INDEX(发票统计!D$4:D$1003,$W211)&amp;"")</f>
        <v/>
      </c>
      <c r="E211" s="67" t="str">
        <f aca="false">IF($W211="","",INDEX(发票统计!E$4:E$1003,$W211)&amp;"")</f>
        <v/>
      </c>
      <c r="F211" s="68" t="str">
        <f aca="false">IF($W211="","",INDEX(发票统计!F$4:F$1003,$W211)&amp;"")</f>
        <v/>
      </c>
      <c r="G211" s="68" t="str">
        <f aca="false">IF($W211="","",IF(INDEX(发票统计!G$4:G$1003,$W211)="","",INDEX(发票统计!G$4:G$1003,$W211)))</f>
        <v/>
      </c>
      <c r="H211" s="56" t="str">
        <f aca="false">IF($W211="","",N(INDEX(发票统计!H$4:H$1003,$W211)))</f>
        <v/>
      </c>
      <c r="I211" s="56" t="str">
        <f aca="false">IF($W211="","",N(INDEX(发票统计!I$4:I$1003,$W211)))</f>
        <v/>
      </c>
      <c r="J211" s="56" t="str">
        <f aca="false">IF($W211="","",N(INDEX(发票统计!J$4:J$1003,$W211)))</f>
        <v/>
      </c>
      <c r="K211" s="56" t="str">
        <f aca="false">IF($W211="","",N(INDEX(发票统计!K$4:K$1003,$W211)))</f>
        <v/>
      </c>
      <c r="L211" s="56" t="str">
        <f aca="false">IF($W211="","",SUM(J$4:J211)-SUM(K$4:K211))</f>
        <v/>
      </c>
      <c r="M211" s="56" t="str">
        <f aca="false">IF($W211="","",N(INDEX(发票统计!M$4:M$1003,$W211)))</f>
        <v/>
      </c>
      <c r="N211" s="56" t="str">
        <f aca="false">IF($W211="","",N(INDEX(发票统计!N$4:N$1003,$W211)))</f>
        <v/>
      </c>
      <c r="O211" s="56" t="str">
        <f aca="false">IF($W211="","",N(INDEX(发票统计!O$4:O$1003,$W211)))</f>
        <v/>
      </c>
      <c r="P211" s="56" t="str">
        <f aca="false">IF($W211="","",SUM(M$4:M211)-SUM(N$4:N211)-SUM(O$4:O211))</f>
        <v/>
      </c>
      <c r="Q211" s="56" t="str">
        <f aca="false">IF($W211="","",N(INDEX(发票统计!Q$4:Q$1003,$W211)))</f>
        <v/>
      </c>
      <c r="R211" s="56" t="str">
        <f aca="false">IF($W211="","",N(INDEX(发票统计!R$4:R$1003,$W211)))</f>
        <v/>
      </c>
      <c r="S211" s="56" t="str">
        <f aca="false">IF($W211="","",N(INDEX(发票统计!S$4:S$1003,$W211)))</f>
        <v/>
      </c>
      <c r="T211" s="56" t="str">
        <f aca="false">IF($W211="","",SUM(Q$4:Q211)-SUM(R$4:R211)-SUM(S$4:S211))</f>
        <v/>
      </c>
      <c r="U211" s="56" t="str">
        <f aca="false">IF($W211="","",INDEX(发票统计!U$4:U$1003,$W211)&amp;"")</f>
        <v/>
      </c>
      <c r="W211" s="1" t="str">
        <f aca="false">IF($V$3="","",IFERROR(MATCH($V$3&amp;"#"&amp;ROWS(W$4:W211),发票统计!$W$4:$W$1003,0),""))</f>
        <v/>
      </c>
    </row>
    <row r="212" customFormat="false" ht="16.5" hidden="false" customHeight="false" outlineLevel="0" collapsed="false">
      <c r="A212" s="3" t="str">
        <f aca="false">IF($W212="","",INDEX(发票统计!A$4:A$1003,$W212)&amp;"")</f>
        <v/>
      </c>
      <c r="B212" s="3" t="str">
        <f aca="false">IF($W212="","",INDEX(发票统计!B$4:B$1003,$W212)&amp;"")</f>
        <v/>
      </c>
      <c r="C212" s="3" t="str">
        <f aca="false">IF($W212="","",INDEX(发票统计!C$4:C$1003,$W212)&amp;"")</f>
        <v/>
      </c>
      <c r="D212" s="3" t="str">
        <f aca="false">IF($W212="","",INDEX(发票统计!D$4:D$1003,$W212)&amp;"")</f>
        <v/>
      </c>
      <c r="E212" s="67" t="str">
        <f aca="false">IF($W212="","",INDEX(发票统计!E$4:E$1003,$W212)&amp;"")</f>
        <v/>
      </c>
      <c r="F212" s="68" t="str">
        <f aca="false">IF($W212="","",INDEX(发票统计!F$4:F$1003,$W212)&amp;"")</f>
        <v/>
      </c>
      <c r="G212" s="68" t="str">
        <f aca="false">IF($W212="","",IF(INDEX(发票统计!G$4:G$1003,$W212)="","",INDEX(发票统计!G$4:G$1003,$W212)))</f>
        <v/>
      </c>
      <c r="H212" s="56" t="str">
        <f aca="false">IF($W212="","",N(INDEX(发票统计!H$4:H$1003,$W212)))</f>
        <v/>
      </c>
      <c r="I212" s="56" t="str">
        <f aca="false">IF($W212="","",N(INDEX(发票统计!I$4:I$1003,$W212)))</f>
        <v/>
      </c>
      <c r="J212" s="56" t="str">
        <f aca="false">IF($W212="","",N(INDEX(发票统计!J$4:J$1003,$W212)))</f>
        <v/>
      </c>
      <c r="K212" s="56" t="str">
        <f aca="false">IF($W212="","",N(INDEX(发票统计!K$4:K$1003,$W212)))</f>
        <v/>
      </c>
      <c r="L212" s="56" t="str">
        <f aca="false">IF($W212="","",SUM(J$4:J212)-SUM(K$4:K212))</f>
        <v/>
      </c>
      <c r="M212" s="56" t="str">
        <f aca="false">IF($W212="","",N(INDEX(发票统计!M$4:M$1003,$W212)))</f>
        <v/>
      </c>
      <c r="N212" s="56" t="str">
        <f aca="false">IF($W212="","",N(INDEX(发票统计!N$4:N$1003,$W212)))</f>
        <v/>
      </c>
      <c r="O212" s="56" t="str">
        <f aca="false">IF($W212="","",N(INDEX(发票统计!O$4:O$1003,$W212)))</f>
        <v/>
      </c>
      <c r="P212" s="56" t="str">
        <f aca="false">IF($W212="","",SUM(M$4:M212)-SUM(N$4:N212)-SUM(O$4:O212))</f>
        <v/>
      </c>
      <c r="Q212" s="56" t="str">
        <f aca="false">IF($W212="","",N(INDEX(发票统计!Q$4:Q$1003,$W212)))</f>
        <v/>
      </c>
      <c r="R212" s="56" t="str">
        <f aca="false">IF($W212="","",N(INDEX(发票统计!R$4:R$1003,$W212)))</f>
        <v/>
      </c>
      <c r="S212" s="56" t="str">
        <f aca="false">IF($W212="","",N(INDEX(发票统计!S$4:S$1003,$W212)))</f>
        <v/>
      </c>
      <c r="T212" s="56" t="str">
        <f aca="false">IF($W212="","",SUM(Q$4:Q212)-SUM(R$4:R212)-SUM(S$4:S212))</f>
        <v/>
      </c>
      <c r="U212" s="56" t="str">
        <f aca="false">IF($W212="","",INDEX(发票统计!U$4:U$1003,$W212)&amp;"")</f>
        <v/>
      </c>
      <c r="W212" s="1" t="str">
        <f aca="false">IF($V$3="","",IFERROR(MATCH($V$3&amp;"#"&amp;ROWS(W$4:W212),发票统计!$W$4:$W$1003,0),""))</f>
        <v/>
      </c>
    </row>
    <row r="213" customFormat="false" ht="16.5" hidden="false" customHeight="false" outlineLevel="0" collapsed="false">
      <c r="A213" s="3" t="str">
        <f aca="false">IF($W213="","",INDEX(发票统计!A$4:A$1003,$W213)&amp;"")</f>
        <v/>
      </c>
      <c r="B213" s="3" t="str">
        <f aca="false">IF($W213="","",INDEX(发票统计!B$4:B$1003,$W213)&amp;"")</f>
        <v/>
      </c>
      <c r="C213" s="3" t="str">
        <f aca="false">IF($W213="","",INDEX(发票统计!C$4:C$1003,$W213)&amp;"")</f>
        <v/>
      </c>
      <c r="D213" s="3" t="str">
        <f aca="false">IF($W213="","",INDEX(发票统计!D$4:D$1003,$W213)&amp;"")</f>
        <v/>
      </c>
      <c r="E213" s="67" t="str">
        <f aca="false">IF($W213="","",INDEX(发票统计!E$4:E$1003,$W213)&amp;"")</f>
        <v/>
      </c>
      <c r="F213" s="68" t="str">
        <f aca="false">IF($W213="","",INDEX(发票统计!F$4:F$1003,$W213)&amp;"")</f>
        <v/>
      </c>
      <c r="G213" s="68" t="str">
        <f aca="false">IF($W213="","",IF(INDEX(发票统计!G$4:G$1003,$W213)="","",INDEX(发票统计!G$4:G$1003,$W213)))</f>
        <v/>
      </c>
      <c r="H213" s="56" t="str">
        <f aca="false">IF($W213="","",N(INDEX(发票统计!H$4:H$1003,$W213)))</f>
        <v/>
      </c>
      <c r="I213" s="56" t="str">
        <f aca="false">IF($W213="","",N(INDEX(发票统计!I$4:I$1003,$W213)))</f>
        <v/>
      </c>
      <c r="J213" s="56" t="str">
        <f aca="false">IF($W213="","",N(INDEX(发票统计!J$4:J$1003,$W213)))</f>
        <v/>
      </c>
      <c r="K213" s="56" t="str">
        <f aca="false">IF($W213="","",N(INDEX(发票统计!K$4:K$1003,$W213)))</f>
        <v/>
      </c>
      <c r="L213" s="56" t="str">
        <f aca="false">IF($W213="","",SUM(J$4:J213)-SUM(K$4:K213))</f>
        <v/>
      </c>
      <c r="M213" s="56" t="str">
        <f aca="false">IF($W213="","",N(INDEX(发票统计!M$4:M$1003,$W213)))</f>
        <v/>
      </c>
      <c r="N213" s="56" t="str">
        <f aca="false">IF($W213="","",N(INDEX(发票统计!N$4:N$1003,$W213)))</f>
        <v/>
      </c>
      <c r="O213" s="56" t="str">
        <f aca="false">IF($W213="","",N(INDEX(发票统计!O$4:O$1003,$W213)))</f>
        <v/>
      </c>
      <c r="P213" s="56" t="str">
        <f aca="false">IF($W213="","",SUM(M$4:M213)-SUM(N$4:N213)-SUM(O$4:O213))</f>
        <v/>
      </c>
      <c r="Q213" s="56" t="str">
        <f aca="false">IF($W213="","",N(INDEX(发票统计!Q$4:Q$1003,$W213)))</f>
        <v/>
      </c>
      <c r="R213" s="56" t="str">
        <f aca="false">IF($W213="","",N(INDEX(发票统计!R$4:R$1003,$W213)))</f>
        <v/>
      </c>
      <c r="S213" s="56" t="str">
        <f aca="false">IF($W213="","",N(INDEX(发票统计!S$4:S$1003,$W213)))</f>
        <v/>
      </c>
      <c r="T213" s="56" t="str">
        <f aca="false">IF($W213="","",SUM(Q$4:Q213)-SUM(R$4:R213)-SUM(S$4:S213))</f>
        <v/>
      </c>
      <c r="U213" s="56" t="str">
        <f aca="false">IF($W213="","",INDEX(发票统计!U$4:U$1003,$W213)&amp;"")</f>
        <v/>
      </c>
      <c r="W213" s="1" t="str">
        <f aca="false">IF($V$3="","",IFERROR(MATCH($V$3&amp;"#"&amp;ROWS(W$4:W213),发票统计!$W$4:$W$1003,0),""))</f>
        <v/>
      </c>
    </row>
    <row r="214" customFormat="false" ht="16.5" hidden="false" customHeight="false" outlineLevel="0" collapsed="false">
      <c r="A214" s="3" t="str">
        <f aca="false">IF($W214="","",INDEX(发票统计!A$4:A$1003,$W214)&amp;"")</f>
        <v/>
      </c>
      <c r="B214" s="3" t="str">
        <f aca="false">IF($W214="","",INDEX(发票统计!B$4:B$1003,$W214)&amp;"")</f>
        <v/>
      </c>
      <c r="C214" s="3" t="str">
        <f aca="false">IF($W214="","",INDEX(发票统计!C$4:C$1003,$W214)&amp;"")</f>
        <v/>
      </c>
      <c r="D214" s="3" t="str">
        <f aca="false">IF($W214="","",INDEX(发票统计!D$4:D$1003,$W214)&amp;"")</f>
        <v/>
      </c>
      <c r="E214" s="67" t="str">
        <f aca="false">IF($W214="","",INDEX(发票统计!E$4:E$1003,$W214)&amp;"")</f>
        <v/>
      </c>
      <c r="F214" s="68" t="str">
        <f aca="false">IF($W214="","",INDEX(发票统计!F$4:F$1003,$W214)&amp;"")</f>
        <v/>
      </c>
      <c r="G214" s="68" t="str">
        <f aca="false">IF($W214="","",IF(INDEX(发票统计!G$4:G$1003,$W214)="","",INDEX(发票统计!G$4:G$1003,$W214)))</f>
        <v/>
      </c>
      <c r="H214" s="56" t="str">
        <f aca="false">IF($W214="","",N(INDEX(发票统计!H$4:H$1003,$W214)))</f>
        <v/>
      </c>
      <c r="I214" s="56" t="str">
        <f aca="false">IF($W214="","",N(INDEX(发票统计!I$4:I$1003,$W214)))</f>
        <v/>
      </c>
      <c r="J214" s="56" t="str">
        <f aca="false">IF($W214="","",N(INDEX(发票统计!J$4:J$1003,$W214)))</f>
        <v/>
      </c>
      <c r="K214" s="56" t="str">
        <f aca="false">IF($W214="","",N(INDEX(发票统计!K$4:K$1003,$W214)))</f>
        <v/>
      </c>
      <c r="L214" s="56" t="str">
        <f aca="false">IF($W214="","",SUM(J$4:J214)-SUM(K$4:K214))</f>
        <v/>
      </c>
      <c r="M214" s="56" t="str">
        <f aca="false">IF($W214="","",N(INDEX(发票统计!M$4:M$1003,$W214)))</f>
        <v/>
      </c>
      <c r="N214" s="56" t="str">
        <f aca="false">IF($W214="","",N(INDEX(发票统计!N$4:N$1003,$W214)))</f>
        <v/>
      </c>
      <c r="O214" s="56" t="str">
        <f aca="false">IF($W214="","",N(INDEX(发票统计!O$4:O$1003,$W214)))</f>
        <v/>
      </c>
      <c r="P214" s="56" t="str">
        <f aca="false">IF($W214="","",SUM(M$4:M214)-SUM(N$4:N214)-SUM(O$4:O214))</f>
        <v/>
      </c>
      <c r="Q214" s="56" t="str">
        <f aca="false">IF($W214="","",N(INDEX(发票统计!Q$4:Q$1003,$W214)))</f>
        <v/>
      </c>
      <c r="R214" s="56" t="str">
        <f aca="false">IF($W214="","",N(INDEX(发票统计!R$4:R$1003,$W214)))</f>
        <v/>
      </c>
      <c r="S214" s="56" t="str">
        <f aca="false">IF($W214="","",N(INDEX(发票统计!S$4:S$1003,$W214)))</f>
        <v/>
      </c>
      <c r="T214" s="56" t="str">
        <f aca="false">IF($W214="","",SUM(Q$4:Q214)-SUM(R$4:R214)-SUM(S$4:S214))</f>
        <v/>
      </c>
      <c r="U214" s="56" t="str">
        <f aca="false">IF($W214="","",INDEX(发票统计!U$4:U$1003,$W214)&amp;"")</f>
        <v/>
      </c>
      <c r="W214" s="1" t="str">
        <f aca="false">IF($V$3="","",IFERROR(MATCH($V$3&amp;"#"&amp;ROWS(W$4:W214),发票统计!$W$4:$W$1003,0),""))</f>
        <v/>
      </c>
    </row>
    <row r="215" customFormat="false" ht="16.5" hidden="false" customHeight="false" outlineLevel="0" collapsed="false">
      <c r="A215" s="3" t="str">
        <f aca="false">IF($W215="","",INDEX(发票统计!A$4:A$1003,$W215)&amp;"")</f>
        <v/>
      </c>
      <c r="B215" s="3" t="str">
        <f aca="false">IF($W215="","",INDEX(发票统计!B$4:B$1003,$W215)&amp;"")</f>
        <v/>
      </c>
      <c r="C215" s="3" t="str">
        <f aca="false">IF($W215="","",INDEX(发票统计!C$4:C$1003,$W215)&amp;"")</f>
        <v/>
      </c>
      <c r="D215" s="3" t="str">
        <f aca="false">IF($W215="","",INDEX(发票统计!D$4:D$1003,$W215)&amp;"")</f>
        <v/>
      </c>
      <c r="E215" s="67" t="str">
        <f aca="false">IF($W215="","",INDEX(发票统计!E$4:E$1003,$W215)&amp;"")</f>
        <v/>
      </c>
      <c r="F215" s="68" t="str">
        <f aca="false">IF($W215="","",INDEX(发票统计!F$4:F$1003,$W215)&amp;"")</f>
        <v/>
      </c>
      <c r="G215" s="68" t="str">
        <f aca="false">IF($W215="","",IF(INDEX(发票统计!G$4:G$1003,$W215)="","",INDEX(发票统计!G$4:G$1003,$W215)))</f>
        <v/>
      </c>
      <c r="H215" s="56" t="str">
        <f aca="false">IF($W215="","",N(INDEX(发票统计!H$4:H$1003,$W215)))</f>
        <v/>
      </c>
      <c r="I215" s="56" t="str">
        <f aca="false">IF($W215="","",N(INDEX(发票统计!I$4:I$1003,$W215)))</f>
        <v/>
      </c>
      <c r="J215" s="56" t="str">
        <f aca="false">IF($W215="","",N(INDEX(发票统计!J$4:J$1003,$W215)))</f>
        <v/>
      </c>
      <c r="K215" s="56" t="str">
        <f aca="false">IF($W215="","",N(INDEX(发票统计!K$4:K$1003,$W215)))</f>
        <v/>
      </c>
      <c r="L215" s="56" t="str">
        <f aca="false">IF($W215="","",SUM(J$4:J215)-SUM(K$4:K215))</f>
        <v/>
      </c>
      <c r="M215" s="56" t="str">
        <f aca="false">IF($W215="","",N(INDEX(发票统计!M$4:M$1003,$W215)))</f>
        <v/>
      </c>
      <c r="N215" s="56" t="str">
        <f aca="false">IF($W215="","",N(INDEX(发票统计!N$4:N$1003,$W215)))</f>
        <v/>
      </c>
      <c r="O215" s="56" t="str">
        <f aca="false">IF($W215="","",N(INDEX(发票统计!O$4:O$1003,$W215)))</f>
        <v/>
      </c>
      <c r="P215" s="56" t="str">
        <f aca="false">IF($W215="","",SUM(M$4:M215)-SUM(N$4:N215)-SUM(O$4:O215))</f>
        <v/>
      </c>
      <c r="Q215" s="56" t="str">
        <f aca="false">IF($W215="","",N(INDEX(发票统计!Q$4:Q$1003,$W215)))</f>
        <v/>
      </c>
      <c r="R215" s="56" t="str">
        <f aca="false">IF($W215="","",N(INDEX(发票统计!R$4:R$1003,$W215)))</f>
        <v/>
      </c>
      <c r="S215" s="56" t="str">
        <f aca="false">IF($W215="","",N(INDEX(发票统计!S$4:S$1003,$W215)))</f>
        <v/>
      </c>
      <c r="T215" s="56" t="str">
        <f aca="false">IF($W215="","",SUM(Q$4:Q215)-SUM(R$4:R215)-SUM(S$4:S215))</f>
        <v/>
      </c>
      <c r="U215" s="56" t="str">
        <f aca="false">IF($W215="","",INDEX(发票统计!U$4:U$1003,$W215)&amp;"")</f>
        <v/>
      </c>
      <c r="W215" s="1" t="str">
        <f aca="false">IF($V$3="","",IFERROR(MATCH($V$3&amp;"#"&amp;ROWS(W$4:W215),发票统计!$W$4:$W$1003,0),""))</f>
        <v/>
      </c>
    </row>
    <row r="216" customFormat="false" ht="16.5" hidden="false" customHeight="false" outlineLevel="0" collapsed="false">
      <c r="A216" s="3" t="str">
        <f aca="false">IF($W216="","",INDEX(发票统计!A$4:A$1003,$W216)&amp;"")</f>
        <v/>
      </c>
      <c r="B216" s="3" t="str">
        <f aca="false">IF($W216="","",INDEX(发票统计!B$4:B$1003,$W216)&amp;"")</f>
        <v/>
      </c>
      <c r="C216" s="3" t="str">
        <f aca="false">IF($W216="","",INDEX(发票统计!C$4:C$1003,$W216)&amp;"")</f>
        <v/>
      </c>
      <c r="D216" s="3" t="str">
        <f aca="false">IF($W216="","",INDEX(发票统计!D$4:D$1003,$W216)&amp;"")</f>
        <v/>
      </c>
      <c r="E216" s="67" t="str">
        <f aca="false">IF($W216="","",INDEX(发票统计!E$4:E$1003,$W216)&amp;"")</f>
        <v/>
      </c>
      <c r="F216" s="68" t="str">
        <f aca="false">IF($W216="","",INDEX(发票统计!F$4:F$1003,$W216)&amp;"")</f>
        <v/>
      </c>
      <c r="G216" s="68" t="str">
        <f aca="false">IF($W216="","",IF(INDEX(发票统计!G$4:G$1003,$W216)="","",INDEX(发票统计!G$4:G$1003,$W216)))</f>
        <v/>
      </c>
      <c r="H216" s="56" t="str">
        <f aca="false">IF($W216="","",N(INDEX(发票统计!H$4:H$1003,$W216)))</f>
        <v/>
      </c>
      <c r="I216" s="56" t="str">
        <f aca="false">IF($W216="","",N(INDEX(发票统计!I$4:I$1003,$W216)))</f>
        <v/>
      </c>
      <c r="J216" s="56" t="str">
        <f aca="false">IF($W216="","",N(INDEX(发票统计!J$4:J$1003,$W216)))</f>
        <v/>
      </c>
      <c r="K216" s="56" t="str">
        <f aca="false">IF($W216="","",N(INDEX(发票统计!K$4:K$1003,$W216)))</f>
        <v/>
      </c>
      <c r="L216" s="56" t="str">
        <f aca="false">IF($W216="","",SUM(J$4:J216)-SUM(K$4:K216))</f>
        <v/>
      </c>
      <c r="M216" s="56" t="str">
        <f aca="false">IF($W216="","",N(INDEX(发票统计!M$4:M$1003,$W216)))</f>
        <v/>
      </c>
      <c r="N216" s="56" t="str">
        <f aca="false">IF($W216="","",N(INDEX(发票统计!N$4:N$1003,$W216)))</f>
        <v/>
      </c>
      <c r="O216" s="56" t="str">
        <f aca="false">IF($W216="","",N(INDEX(发票统计!O$4:O$1003,$W216)))</f>
        <v/>
      </c>
      <c r="P216" s="56" t="str">
        <f aca="false">IF($W216="","",SUM(M$4:M216)-SUM(N$4:N216)-SUM(O$4:O216))</f>
        <v/>
      </c>
      <c r="Q216" s="56" t="str">
        <f aca="false">IF($W216="","",N(INDEX(发票统计!Q$4:Q$1003,$W216)))</f>
        <v/>
      </c>
      <c r="R216" s="56" t="str">
        <f aca="false">IF($W216="","",N(INDEX(发票统计!R$4:R$1003,$W216)))</f>
        <v/>
      </c>
      <c r="S216" s="56" t="str">
        <f aca="false">IF($W216="","",N(INDEX(发票统计!S$4:S$1003,$W216)))</f>
        <v/>
      </c>
      <c r="T216" s="56" t="str">
        <f aca="false">IF($W216="","",SUM(Q$4:Q216)-SUM(R$4:R216)-SUM(S$4:S216))</f>
        <v/>
      </c>
      <c r="U216" s="56" t="str">
        <f aca="false">IF($W216="","",INDEX(发票统计!U$4:U$1003,$W216)&amp;"")</f>
        <v/>
      </c>
      <c r="W216" s="1" t="str">
        <f aca="false">IF($V$3="","",IFERROR(MATCH($V$3&amp;"#"&amp;ROWS(W$4:W216),发票统计!$W$4:$W$1003,0),""))</f>
        <v/>
      </c>
    </row>
    <row r="217" customFormat="false" ht="16.5" hidden="false" customHeight="false" outlineLevel="0" collapsed="false">
      <c r="A217" s="3" t="str">
        <f aca="false">IF($W217="","",INDEX(发票统计!A$4:A$1003,$W217)&amp;"")</f>
        <v/>
      </c>
      <c r="B217" s="3" t="str">
        <f aca="false">IF($W217="","",INDEX(发票统计!B$4:B$1003,$W217)&amp;"")</f>
        <v/>
      </c>
      <c r="C217" s="3" t="str">
        <f aca="false">IF($W217="","",INDEX(发票统计!C$4:C$1003,$W217)&amp;"")</f>
        <v/>
      </c>
      <c r="D217" s="3" t="str">
        <f aca="false">IF($W217="","",INDEX(发票统计!D$4:D$1003,$W217)&amp;"")</f>
        <v/>
      </c>
      <c r="E217" s="67" t="str">
        <f aca="false">IF($W217="","",INDEX(发票统计!E$4:E$1003,$W217)&amp;"")</f>
        <v/>
      </c>
      <c r="F217" s="68" t="str">
        <f aca="false">IF($W217="","",INDEX(发票统计!F$4:F$1003,$W217)&amp;"")</f>
        <v/>
      </c>
      <c r="G217" s="68" t="str">
        <f aca="false">IF($W217="","",IF(INDEX(发票统计!G$4:G$1003,$W217)="","",INDEX(发票统计!G$4:G$1003,$W217)))</f>
        <v/>
      </c>
      <c r="H217" s="56" t="str">
        <f aca="false">IF($W217="","",N(INDEX(发票统计!H$4:H$1003,$W217)))</f>
        <v/>
      </c>
      <c r="I217" s="56" t="str">
        <f aca="false">IF($W217="","",N(INDEX(发票统计!I$4:I$1003,$W217)))</f>
        <v/>
      </c>
      <c r="J217" s="56" t="str">
        <f aca="false">IF($W217="","",N(INDEX(发票统计!J$4:J$1003,$W217)))</f>
        <v/>
      </c>
      <c r="K217" s="56" t="str">
        <f aca="false">IF($W217="","",N(INDEX(发票统计!K$4:K$1003,$W217)))</f>
        <v/>
      </c>
      <c r="L217" s="56" t="str">
        <f aca="false">IF($W217="","",SUM(J$4:J217)-SUM(K$4:K217))</f>
        <v/>
      </c>
      <c r="M217" s="56" t="str">
        <f aca="false">IF($W217="","",N(INDEX(发票统计!M$4:M$1003,$W217)))</f>
        <v/>
      </c>
      <c r="N217" s="56" t="str">
        <f aca="false">IF($W217="","",N(INDEX(发票统计!N$4:N$1003,$W217)))</f>
        <v/>
      </c>
      <c r="O217" s="56" t="str">
        <f aca="false">IF($W217="","",N(INDEX(发票统计!O$4:O$1003,$W217)))</f>
        <v/>
      </c>
      <c r="P217" s="56" t="str">
        <f aca="false">IF($W217="","",SUM(M$4:M217)-SUM(N$4:N217)-SUM(O$4:O217))</f>
        <v/>
      </c>
      <c r="Q217" s="56" t="str">
        <f aca="false">IF($W217="","",N(INDEX(发票统计!Q$4:Q$1003,$W217)))</f>
        <v/>
      </c>
      <c r="R217" s="56" t="str">
        <f aca="false">IF($W217="","",N(INDEX(发票统计!R$4:R$1003,$W217)))</f>
        <v/>
      </c>
      <c r="S217" s="56" t="str">
        <f aca="false">IF($W217="","",N(INDEX(发票统计!S$4:S$1003,$W217)))</f>
        <v/>
      </c>
      <c r="T217" s="56" t="str">
        <f aca="false">IF($W217="","",SUM(Q$4:Q217)-SUM(R$4:R217)-SUM(S$4:S217))</f>
        <v/>
      </c>
      <c r="U217" s="56" t="str">
        <f aca="false">IF($W217="","",INDEX(发票统计!U$4:U$1003,$W217)&amp;"")</f>
        <v/>
      </c>
      <c r="W217" s="1" t="str">
        <f aca="false">IF($V$3="","",IFERROR(MATCH($V$3&amp;"#"&amp;ROWS(W$4:W217),发票统计!$W$4:$W$1003,0),""))</f>
        <v/>
      </c>
    </row>
    <row r="218" customFormat="false" ht="16.5" hidden="false" customHeight="false" outlineLevel="0" collapsed="false">
      <c r="A218" s="3" t="str">
        <f aca="false">IF($W218="","",INDEX(发票统计!A$4:A$1003,$W218)&amp;"")</f>
        <v/>
      </c>
      <c r="B218" s="3" t="str">
        <f aca="false">IF($W218="","",INDEX(发票统计!B$4:B$1003,$W218)&amp;"")</f>
        <v/>
      </c>
      <c r="C218" s="3" t="str">
        <f aca="false">IF($W218="","",INDEX(发票统计!C$4:C$1003,$W218)&amp;"")</f>
        <v/>
      </c>
      <c r="D218" s="3" t="str">
        <f aca="false">IF($W218="","",INDEX(发票统计!D$4:D$1003,$W218)&amp;"")</f>
        <v/>
      </c>
      <c r="E218" s="67" t="str">
        <f aca="false">IF($W218="","",INDEX(发票统计!E$4:E$1003,$W218)&amp;"")</f>
        <v/>
      </c>
      <c r="F218" s="68" t="str">
        <f aca="false">IF($W218="","",INDEX(发票统计!F$4:F$1003,$W218)&amp;"")</f>
        <v/>
      </c>
      <c r="G218" s="68" t="str">
        <f aca="false">IF($W218="","",IF(INDEX(发票统计!G$4:G$1003,$W218)="","",INDEX(发票统计!G$4:G$1003,$W218)))</f>
        <v/>
      </c>
      <c r="H218" s="56" t="str">
        <f aca="false">IF($W218="","",N(INDEX(发票统计!H$4:H$1003,$W218)))</f>
        <v/>
      </c>
      <c r="I218" s="56" t="str">
        <f aca="false">IF($W218="","",N(INDEX(发票统计!I$4:I$1003,$W218)))</f>
        <v/>
      </c>
      <c r="J218" s="56" t="str">
        <f aca="false">IF($W218="","",N(INDEX(发票统计!J$4:J$1003,$W218)))</f>
        <v/>
      </c>
      <c r="K218" s="56" t="str">
        <f aca="false">IF($W218="","",N(INDEX(发票统计!K$4:K$1003,$W218)))</f>
        <v/>
      </c>
      <c r="L218" s="56" t="str">
        <f aca="false">IF($W218="","",SUM(J$4:J218)-SUM(K$4:K218))</f>
        <v/>
      </c>
      <c r="M218" s="56" t="str">
        <f aca="false">IF($W218="","",N(INDEX(发票统计!M$4:M$1003,$W218)))</f>
        <v/>
      </c>
      <c r="N218" s="56" t="str">
        <f aca="false">IF($W218="","",N(INDEX(发票统计!N$4:N$1003,$W218)))</f>
        <v/>
      </c>
      <c r="O218" s="56" t="str">
        <f aca="false">IF($W218="","",N(INDEX(发票统计!O$4:O$1003,$W218)))</f>
        <v/>
      </c>
      <c r="P218" s="56" t="str">
        <f aca="false">IF($W218="","",SUM(M$4:M218)-SUM(N$4:N218)-SUM(O$4:O218))</f>
        <v/>
      </c>
      <c r="Q218" s="56" t="str">
        <f aca="false">IF($W218="","",N(INDEX(发票统计!Q$4:Q$1003,$W218)))</f>
        <v/>
      </c>
      <c r="R218" s="56" t="str">
        <f aca="false">IF($W218="","",N(INDEX(发票统计!R$4:R$1003,$W218)))</f>
        <v/>
      </c>
      <c r="S218" s="56" t="str">
        <f aca="false">IF($W218="","",N(INDEX(发票统计!S$4:S$1003,$W218)))</f>
        <v/>
      </c>
      <c r="T218" s="56" t="str">
        <f aca="false">IF($W218="","",SUM(Q$4:Q218)-SUM(R$4:R218)-SUM(S$4:S218))</f>
        <v/>
      </c>
      <c r="U218" s="56" t="str">
        <f aca="false">IF($W218="","",INDEX(发票统计!U$4:U$1003,$W218)&amp;"")</f>
        <v/>
      </c>
      <c r="W218" s="1" t="str">
        <f aca="false">IF($V$3="","",IFERROR(MATCH($V$3&amp;"#"&amp;ROWS(W$4:W218),发票统计!$W$4:$W$1003,0),""))</f>
        <v/>
      </c>
    </row>
    <row r="219" customFormat="false" ht="16.5" hidden="false" customHeight="false" outlineLevel="0" collapsed="false">
      <c r="A219" s="3" t="str">
        <f aca="false">IF($W219="","",INDEX(发票统计!A$4:A$1003,$W219)&amp;"")</f>
        <v/>
      </c>
      <c r="B219" s="3" t="str">
        <f aca="false">IF($W219="","",INDEX(发票统计!B$4:B$1003,$W219)&amp;"")</f>
        <v/>
      </c>
      <c r="C219" s="3" t="str">
        <f aca="false">IF($W219="","",INDEX(发票统计!C$4:C$1003,$W219)&amp;"")</f>
        <v/>
      </c>
      <c r="D219" s="3" t="str">
        <f aca="false">IF($W219="","",INDEX(发票统计!D$4:D$1003,$W219)&amp;"")</f>
        <v/>
      </c>
      <c r="E219" s="67" t="str">
        <f aca="false">IF($W219="","",INDEX(发票统计!E$4:E$1003,$W219)&amp;"")</f>
        <v/>
      </c>
      <c r="F219" s="68" t="str">
        <f aca="false">IF($W219="","",INDEX(发票统计!F$4:F$1003,$W219)&amp;"")</f>
        <v/>
      </c>
      <c r="G219" s="68" t="str">
        <f aca="false">IF($W219="","",IF(INDEX(发票统计!G$4:G$1003,$W219)="","",INDEX(发票统计!G$4:G$1003,$W219)))</f>
        <v/>
      </c>
      <c r="H219" s="56" t="str">
        <f aca="false">IF($W219="","",N(INDEX(发票统计!H$4:H$1003,$W219)))</f>
        <v/>
      </c>
      <c r="I219" s="56" t="str">
        <f aca="false">IF($W219="","",N(INDEX(发票统计!I$4:I$1003,$W219)))</f>
        <v/>
      </c>
      <c r="J219" s="56" t="str">
        <f aca="false">IF($W219="","",N(INDEX(发票统计!J$4:J$1003,$W219)))</f>
        <v/>
      </c>
      <c r="K219" s="56" t="str">
        <f aca="false">IF($W219="","",N(INDEX(发票统计!K$4:K$1003,$W219)))</f>
        <v/>
      </c>
      <c r="L219" s="56" t="str">
        <f aca="false">IF($W219="","",SUM(J$4:J219)-SUM(K$4:K219))</f>
        <v/>
      </c>
      <c r="M219" s="56" t="str">
        <f aca="false">IF($W219="","",N(INDEX(发票统计!M$4:M$1003,$W219)))</f>
        <v/>
      </c>
      <c r="N219" s="56" t="str">
        <f aca="false">IF($W219="","",N(INDEX(发票统计!N$4:N$1003,$W219)))</f>
        <v/>
      </c>
      <c r="O219" s="56" t="str">
        <f aca="false">IF($W219="","",N(INDEX(发票统计!O$4:O$1003,$W219)))</f>
        <v/>
      </c>
      <c r="P219" s="56" t="str">
        <f aca="false">IF($W219="","",SUM(M$4:M219)-SUM(N$4:N219)-SUM(O$4:O219))</f>
        <v/>
      </c>
      <c r="Q219" s="56" t="str">
        <f aca="false">IF($W219="","",N(INDEX(发票统计!Q$4:Q$1003,$W219)))</f>
        <v/>
      </c>
      <c r="R219" s="56" t="str">
        <f aca="false">IF($W219="","",N(INDEX(发票统计!R$4:R$1003,$W219)))</f>
        <v/>
      </c>
      <c r="S219" s="56" t="str">
        <f aca="false">IF($W219="","",N(INDEX(发票统计!S$4:S$1003,$W219)))</f>
        <v/>
      </c>
      <c r="T219" s="56" t="str">
        <f aca="false">IF($W219="","",SUM(Q$4:Q219)-SUM(R$4:R219)-SUM(S$4:S219))</f>
        <v/>
      </c>
      <c r="U219" s="56" t="str">
        <f aca="false">IF($W219="","",INDEX(发票统计!U$4:U$1003,$W219)&amp;"")</f>
        <v/>
      </c>
      <c r="W219" s="1" t="str">
        <f aca="false">IF($V$3="","",IFERROR(MATCH($V$3&amp;"#"&amp;ROWS(W$4:W219),发票统计!$W$4:$W$1003,0),""))</f>
        <v/>
      </c>
    </row>
    <row r="220" customFormat="false" ht="16.5" hidden="false" customHeight="false" outlineLevel="0" collapsed="false">
      <c r="A220" s="3" t="str">
        <f aca="false">IF($W220="","",INDEX(发票统计!A$4:A$1003,$W220)&amp;"")</f>
        <v/>
      </c>
      <c r="B220" s="3" t="str">
        <f aca="false">IF($W220="","",INDEX(发票统计!B$4:B$1003,$W220)&amp;"")</f>
        <v/>
      </c>
      <c r="C220" s="3" t="str">
        <f aca="false">IF($W220="","",INDEX(发票统计!C$4:C$1003,$W220)&amp;"")</f>
        <v/>
      </c>
      <c r="D220" s="3" t="str">
        <f aca="false">IF($W220="","",INDEX(发票统计!D$4:D$1003,$W220)&amp;"")</f>
        <v/>
      </c>
      <c r="E220" s="67" t="str">
        <f aca="false">IF($W220="","",INDEX(发票统计!E$4:E$1003,$W220)&amp;"")</f>
        <v/>
      </c>
      <c r="F220" s="68" t="str">
        <f aca="false">IF($W220="","",INDEX(发票统计!F$4:F$1003,$W220)&amp;"")</f>
        <v/>
      </c>
      <c r="G220" s="68" t="str">
        <f aca="false">IF($W220="","",IF(INDEX(发票统计!G$4:G$1003,$W220)="","",INDEX(发票统计!G$4:G$1003,$W220)))</f>
        <v/>
      </c>
      <c r="H220" s="56" t="str">
        <f aca="false">IF($W220="","",N(INDEX(发票统计!H$4:H$1003,$W220)))</f>
        <v/>
      </c>
      <c r="I220" s="56" t="str">
        <f aca="false">IF($W220="","",N(INDEX(发票统计!I$4:I$1003,$W220)))</f>
        <v/>
      </c>
      <c r="J220" s="56" t="str">
        <f aca="false">IF($W220="","",N(INDEX(发票统计!J$4:J$1003,$W220)))</f>
        <v/>
      </c>
      <c r="K220" s="56" t="str">
        <f aca="false">IF($W220="","",N(INDEX(发票统计!K$4:K$1003,$W220)))</f>
        <v/>
      </c>
      <c r="L220" s="56" t="str">
        <f aca="false">IF($W220="","",SUM(J$4:J220)-SUM(K$4:K220))</f>
        <v/>
      </c>
      <c r="M220" s="56" t="str">
        <f aca="false">IF($W220="","",N(INDEX(发票统计!M$4:M$1003,$W220)))</f>
        <v/>
      </c>
      <c r="N220" s="56" t="str">
        <f aca="false">IF($W220="","",N(INDEX(发票统计!N$4:N$1003,$W220)))</f>
        <v/>
      </c>
      <c r="O220" s="56" t="str">
        <f aca="false">IF($W220="","",N(INDEX(发票统计!O$4:O$1003,$W220)))</f>
        <v/>
      </c>
      <c r="P220" s="56" t="str">
        <f aca="false">IF($W220="","",SUM(M$4:M220)-SUM(N$4:N220)-SUM(O$4:O220))</f>
        <v/>
      </c>
      <c r="Q220" s="56" t="str">
        <f aca="false">IF($W220="","",N(INDEX(发票统计!Q$4:Q$1003,$W220)))</f>
        <v/>
      </c>
      <c r="R220" s="56" t="str">
        <f aca="false">IF($W220="","",N(INDEX(发票统计!R$4:R$1003,$W220)))</f>
        <v/>
      </c>
      <c r="S220" s="56" t="str">
        <f aca="false">IF($W220="","",N(INDEX(发票统计!S$4:S$1003,$W220)))</f>
        <v/>
      </c>
      <c r="T220" s="56" t="str">
        <f aca="false">IF($W220="","",SUM(Q$4:Q220)-SUM(R$4:R220)-SUM(S$4:S220))</f>
        <v/>
      </c>
      <c r="U220" s="56" t="str">
        <f aca="false">IF($W220="","",INDEX(发票统计!U$4:U$1003,$W220)&amp;"")</f>
        <v/>
      </c>
      <c r="W220" s="1" t="str">
        <f aca="false">IF($V$3="","",IFERROR(MATCH($V$3&amp;"#"&amp;ROWS(W$4:W220),发票统计!$W$4:$W$1003,0),""))</f>
        <v/>
      </c>
    </row>
    <row r="221" customFormat="false" ht="16.5" hidden="false" customHeight="false" outlineLevel="0" collapsed="false">
      <c r="A221" s="3" t="str">
        <f aca="false">IF($W221="","",INDEX(发票统计!A$4:A$1003,$W221)&amp;"")</f>
        <v/>
      </c>
      <c r="B221" s="3" t="str">
        <f aca="false">IF($W221="","",INDEX(发票统计!B$4:B$1003,$W221)&amp;"")</f>
        <v/>
      </c>
      <c r="C221" s="3" t="str">
        <f aca="false">IF($W221="","",INDEX(发票统计!C$4:C$1003,$W221)&amp;"")</f>
        <v/>
      </c>
      <c r="D221" s="3" t="str">
        <f aca="false">IF($W221="","",INDEX(发票统计!D$4:D$1003,$W221)&amp;"")</f>
        <v/>
      </c>
      <c r="E221" s="67" t="str">
        <f aca="false">IF($W221="","",INDEX(发票统计!E$4:E$1003,$W221)&amp;"")</f>
        <v/>
      </c>
      <c r="F221" s="68" t="str">
        <f aca="false">IF($W221="","",INDEX(发票统计!F$4:F$1003,$W221)&amp;"")</f>
        <v/>
      </c>
      <c r="G221" s="68" t="str">
        <f aca="false">IF($W221="","",IF(INDEX(发票统计!G$4:G$1003,$W221)="","",INDEX(发票统计!G$4:G$1003,$W221)))</f>
        <v/>
      </c>
      <c r="H221" s="56" t="str">
        <f aca="false">IF($W221="","",N(INDEX(发票统计!H$4:H$1003,$W221)))</f>
        <v/>
      </c>
      <c r="I221" s="56" t="str">
        <f aca="false">IF($W221="","",N(INDEX(发票统计!I$4:I$1003,$W221)))</f>
        <v/>
      </c>
      <c r="J221" s="56" t="str">
        <f aca="false">IF($W221="","",N(INDEX(发票统计!J$4:J$1003,$W221)))</f>
        <v/>
      </c>
      <c r="K221" s="56" t="str">
        <f aca="false">IF($W221="","",N(INDEX(发票统计!K$4:K$1003,$W221)))</f>
        <v/>
      </c>
      <c r="L221" s="56" t="str">
        <f aca="false">IF($W221="","",SUM(J$4:J221)-SUM(K$4:K221))</f>
        <v/>
      </c>
      <c r="M221" s="56" t="str">
        <f aca="false">IF($W221="","",N(INDEX(发票统计!M$4:M$1003,$W221)))</f>
        <v/>
      </c>
      <c r="N221" s="56" t="str">
        <f aca="false">IF($W221="","",N(INDEX(发票统计!N$4:N$1003,$W221)))</f>
        <v/>
      </c>
      <c r="O221" s="56" t="str">
        <f aca="false">IF($W221="","",N(INDEX(发票统计!O$4:O$1003,$W221)))</f>
        <v/>
      </c>
      <c r="P221" s="56" t="str">
        <f aca="false">IF($W221="","",SUM(M$4:M221)-SUM(N$4:N221)-SUM(O$4:O221))</f>
        <v/>
      </c>
      <c r="Q221" s="56" t="str">
        <f aca="false">IF($W221="","",N(INDEX(发票统计!Q$4:Q$1003,$W221)))</f>
        <v/>
      </c>
      <c r="R221" s="56" t="str">
        <f aca="false">IF($W221="","",N(INDEX(发票统计!R$4:R$1003,$W221)))</f>
        <v/>
      </c>
      <c r="S221" s="56" t="str">
        <f aca="false">IF($W221="","",N(INDEX(发票统计!S$4:S$1003,$W221)))</f>
        <v/>
      </c>
      <c r="T221" s="56" t="str">
        <f aca="false">IF($W221="","",SUM(Q$4:Q221)-SUM(R$4:R221)-SUM(S$4:S221))</f>
        <v/>
      </c>
      <c r="U221" s="56" t="str">
        <f aca="false">IF($W221="","",INDEX(发票统计!U$4:U$1003,$W221)&amp;"")</f>
        <v/>
      </c>
      <c r="W221" s="1" t="str">
        <f aca="false">IF($V$3="","",IFERROR(MATCH($V$3&amp;"#"&amp;ROWS(W$4:W221),发票统计!$W$4:$W$1003,0),""))</f>
        <v/>
      </c>
    </row>
    <row r="222" customFormat="false" ht="16.5" hidden="false" customHeight="false" outlineLevel="0" collapsed="false">
      <c r="A222" s="3" t="str">
        <f aca="false">IF($W222="","",INDEX(发票统计!A$4:A$1003,$W222)&amp;"")</f>
        <v/>
      </c>
      <c r="B222" s="3" t="str">
        <f aca="false">IF($W222="","",INDEX(发票统计!B$4:B$1003,$W222)&amp;"")</f>
        <v/>
      </c>
      <c r="C222" s="3" t="str">
        <f aca="false">IF($W222="","",INDEX(发票统计!C$4:C$1003,$W222)&amp;"")</f>
        <v/>
      </c>
      <c r="D222" s="3" t="str">
        <f aca="false">IF($W222="","",INDEX(发票统计!D$4:D$1003,$W222)&amp;"")</f>
        <v/>
      </c>
      <c r="E222" s="67" t="str">
        <f aca="false">IF($W222="","",INDEX(发票统计!E$4:E$1003,$W222)&amp;"")</f>
        <v/>
      </c>
      <c r="F222" s="68" t="str">
        <f aca="false">IF($W222="","",INDEX(发票统计!F$4:F$1003,$W222)&amp;"")</f>
        <v/>
      </c>
      <c r="G222" s="68" t="str">
        <f aca="false">IF($W222="","",IF(INDEX(发票统计!G$4:G$1003,$W222)="","",INDEX(发票统计!G$4:G$1003,$W222)))</f>
        <v/>
      </c>
      <c r="H222" s="56" t="str">
        <f aca="false">IF($W222="","",N(INDEX(发票统计!H$4:H$1003,$W222)))</f>
        <v/>
      </c>
      <c r="I222" s="56" t="str">
        <f aca="false">IF($W222="","",N(INDEX(发票统计!I$4:I$1003,$W222)))</f>
        <v/>
      </c>
      <c r="J222" s="56" t="str">
        <f aca="false">IF($W222="","",N(INDEX(发票统计!J$4:J$1003,$W222)))</f>
        <v/>
      </c>
      <c r="K222" s="56" t="str">
        <f aca="false">IF($W222="","",N(INDEX(发票统计!K$4:K$1003,$W222)))</f>
        <v/>
      </c>
      <c r="L222" s="56" t="str">
        <f aca="false">IF($W222="","",SUM(J$4:J222)-SUM(K$4:K222))</f>
        <v/>
      </c>
      <c r="M222" s="56" t="str">
        <f aca="false">IF($W222="","",N(INDEX(发票统计!M$4:M$1003,$W222)))</f>
        <v/>
      </c>
      <c r="N222" s="56" t="str">
        <f aca="false">IF($W222="","",N(INDEX(发票统计!N$4:N$1003,$W222)))</f>
        <v/>
      </c>
      <c r="O222" s="56" t="str">
        <f aca="false">IF($W222="","",N(INDEX(发票统计!O$4:O$1003,$W222)))</f>
        <v/>
      </c>
      <c r="P222" s="56" t="str">
        <f aca="false">IF($W222="","",SUM(M$4:M222)-SUM(N$4:N222)-SUM(O$4:O222))</f>
        <v/>
      </c>
      <c r="Q222" s="56" t="str">
        <f aca="false">IF($W222="","",N(INDEX(发票统计!Q$4:Q$1003,$W222)))</f>
        <v/>
      </c>
      <c r="R222" s="56" t="str">
        <f aca="false">IF($W222="","",N(INDEX(发票统计!R$4:R$1003,$W222)))</f>
        <v/>
      </c>
      <c r="S222" s="56" t="str">
        <f aca="false">IF($W222="","",N(INDEX(发票统计!S$4:S$1003,$W222)))</f>
        <v/>
      </c>
      <c r="T222" s="56" t="str">
        <f aca="false">IF($W222="","",SUM(Q$4:Q222)-SUM(R$4:R222)-SUM(S$4:S222))</f>
        <v/>
      </c>
      <c r="U222" s="56" t="str">
        <f aca="false">IF($W222="","",INDEX(发票统计!U$4:U$1003,$W222)&amp;"")</f>
        <v/>
      </c>
      <c r="W222" s="1" t="str">
        <f aca="false">IF($V$3="","",IFERROR(MATCH($V$3&amp;"#"&amp;ROWS(W$4:W222),发票统计!$W$4:$W$1003,0),""))</f>
        <v/>
      </c>
    </row>
    <row r="223" customFormat="false" ht="16.5" hidden="false" customHeight="false" outlineLevel="0" collapsed="false">
      <c r="A223" s="3" t="str">
        <f aca="false">IF($W223="","",INDEX(发票统计!A$4:A$1003,$W223)&amp;"")</f>
        <v/>
      </c>
      <c r="B223" s="3" t="str">
        <f aca="false">IF($W223="","",INDEX(发票统计!B$4:B$1003,$W223)&amp;"")</f>
        <v/>
      </c>
      <c r="C223" s="3" t="str">
        <f aca="false">IF($W223="","",INDEX(发票统计!C$4:C$1003,$W223)&amp;"")</f>
        <v/>
      </c>
      <c r="D223" s="3" t="str">
        <f aca="false">IF($W223="","",INDEX(发票统计!D$4:D$1003,$W223)&amp;"")</f>
        <v/>
      </c>
      <c r="E223" s="67" t="str">
        <f aca="false">IF($W223="","",INDEX(发票统计!E$4:E$1003,$W223)&amp;"")</f>
        <v/>
      </c>
      <c r="F223" s="68" t="str">
        <f aca="false">IF($W223="","",INDEX(发票统计!F$4:F$1003,$W223)&amp;"")</f>
        <v/>
      </c>
      <c r="G223" s="68" t="str">
        <f aca="false">IF($W223="","",IF(INDEX(发票统计!G$4:G$1003,$W223)="","",INDEX(发票统计!G$4:G$1003,$W223)))</f>
        <v/>
      </c>
      <c r="H223" s="56" t="str">
        <f aca="false">IF($W223="","",N(INDEX(发票统计!H$4:H$1003,$W223)))</f>
        <v/>
      </c>
      <c r="I223" s="56" t="str">
        <f aca="false">IF($W223="","",N(INDEX(发票统计!I$4:I$1003,$W223)))</f>
        <v/>
      </c>
      <c r="J223" s="56" t="str">
        <f aca="false">IF($W223="","",N(INDEX(发票统计!J$4:J$1003,$W223)))</f>
        <v/>
      </c>
      <c r="K223" s="56" t="str">
        <f aca="false">IF($W223="","",N(INDEX(发票统计!K$4:K$1003,$W223)))</f>
        <v/>
      </c>
      <c r="L223" s="56" t="str">
        <f aca="false">IF($W223="","",SUM(J$4:J223)-SUM(K$4:K223))</f>
        <v/>
      </c>
      <c r="M223" s="56" t="str">
        <f aca="false">IF($W223="","",N(INDEX(发票统计!M$4:M$1003,$W223)))</f>
        <v/>
      </c>
      <c r="N223" s="56" t="str">
        <f aca="false">IF($W223="","",N(INDEX(发票统计!N$4:N$1003,$W223)))</f>
        <v/>
      </c>
      <c r="O223" s="56" t="str">
        <f aca="false">IF($W223="","",N(INDEX(发票统计!O$4:O$1003,$W223)))</f>
        <v/>
      </c>
      <c r="P223" s="56" t="str">
        <f aca="false">IF($W223="","",SUM(M$4:M223)-SUM(N$4:N223)-SUM(O$4:O223))</f>
        <v/>
      </c>
      <c r="Q223" s="56" t="str">
        <f aca="false">IF($W223="","",N(INDEX(发票统计!Q$4:Q$1003,$W223)))</f>
        <v/>
      </c>
      <c r="R223" s="56" t="str">
        <f aca="false">IF($W223="","",N(INDEX(发票统计!R$4:R$1003,$W223)))</f>
        <v/>
      </c>
      <c r="S223" s="56" t="str">
        <f aca="false">IF($W223="","",N(INDEX(发票统计!S$4:S$1003,$W223)))</f>
        <v/>
      </c>
      <c r="T223" s="56" t="str">
        <f aca="false">IF($W223="","",SUM(Q$4:Q223)-SUM(R$4:R223)-SUM(S$4:S223))</f>
        <v/>
      </c>
      <c r="U223" s="56" t="str">
        <f aca="false">IF($W223="","",INDEX(发票统计!U$4:U$1003,$W223)&amp;"")</f>
        <v/>
      </c>
      <c r="W223" s="1" t="str">
        <f aca="false">IF($V$3="","",IFERROR(MATCH($V$3&amp;"#"&amp;ROWS(W$4:W223),发票统计!$W$4:$W$1003,0),""))</f>
        <v/>
      </c>
    </row>
    <row r="224" customFormat="false" ht="16.5" hidden="false" customHeight="false" outlineLevel="0" collapsed="false">
      <c r="A224" s="3" t="str">
        <f aca="false">IF($W224="","",INDEX(发票统计!A$4:A$1003,$W224)&amp;"")</f>
        <v/>
      </c>
      <c r="B224" s="3" t="str">
        <f aca="false">IF($W224="","",INDEX(发票统计!B$4:B$1003,$W224)&amp;"")</f>
        <v/>
      </c>
      <c r="C224" s="3" t="str">
        <f aca="false">IF($W224="","",INDEX(发票统计!C$4:C$1003,$W224)&amp;"")</f>
        <v/>
      </c>
      <c r="D224" s="3" t="str">
        <f aca="false">IF($W224="","",INDEX(发票统计!D$4:D$1003,$W224)&amp;"")</f>
        <v/>
      </c>
      <c r="E224" s="67" t="str">
        <f aca="false">IF($W224="","",INDEX(发票统计!E$4:E$1003,$W224)&amp;"")</f>
        <v/>
      </c>
      <c r="F224" s="68" t="str">
        <f aca="false">IF($W224="","",INDEX(发票统计!F$4:F$1003,$W224)&amp;"")</f>
        <v/>
      </c>
      <c r="G224" s="68" t="str">
        <f aca="false">IF($W224="","",IF(INDEX(发票统计!G$4:G$1003,$W224)="","",INDEX(发票统计!G$4:G$1003,$W224)))</f>
        <v/>
      </c>
      <c r="H224" s="56" t="str">
        <f aca="false">IF($W224="","",N(INDEX(发票统计!H$4:H$1003,$W224)))</f>
        <v/>
      </c>
      <c r="I224" s="56" t="str">
        <f aca="false">IF($W224="","",N(INDEX(发票统计!I$4:I$1003,$W224)))</f>
        <v/>
      </c>
      <c r="J224" s="56" t="str">
        <f aca="false">IF($W224="","",N(INDEX(发票统计!J$4:J$1003,$W224)))</f>
        <v/>
      </c>
      <c r="K224" s="56" t="str">
        <f aca="false">IF($W224="","",N(INDEX(发票统计!K$4:K$1003,$W224)))</f>
        <v/>
      </c>
      <c r="L224" s="56" t="str">
        <f aca="false">IF($W224="","",SUM(J$4:J224)-SUM(K$4:K224))</f>
        <v/>
      </c>
      <c r="M224" s="56" t="str">
        <f aca="false">IF($W224="","",N(INDEX(发票统计!M$4:M$1003,$W224)))</f>
        <v/>
      </c>
      <c r="N224" s="56" t="str">
        <f aca="false">IF($W224="","",N(INDEX(发票统计!N$4:N$1003,$W224)))</f>
        <v/>
      </c>
      <c r="O224" s="56" t="str">
        <f aca="false">IF($W224="","",N(INDEX(发票统计!O$4:O$1003,$W224)))</f>
        <v/>
      </c>
      <c r="P224" s="56" t="str">
        <f aca="false">IF($W224="","",SUM(M$4:M224)-SUM(N$4:N224)-SUM(O$4:O224))</f>
        <v/>
      </c>
      <c r="Q224" s="56" t="str">
        <f aca="false">IF($W224="","",N(INDEX(发票统计!Q$4:Q$1003,$W224)))</f>
        <v/>
      </c>
      <c r="R224" s="56" t="str">
        <f aca="false">IF($W224="","",N(INDEX(发票统计!R$4:R$1003,$W224)))</f>
        <v/>
      </c>
      <c r="S224" s="56" t="str">
        <f aca="false">IF($W224="","",N(INDEX(发票统计!S$4:S$1003,$W224)))</f>
        <v/>
      </c>
      <c r="T224" s="56" t="str">
        <f aca="false">IF($W224="","",SUM(Q$4:Q224)-SUM(R$4:R224)-SUM(S$4:S224))</f>
        <v/>
      </c>
      <c r="U224" s="56" t="str">
        <f aca="false">IF($W224="","",INDEX(发票统计!U$4:U$1003,$W224)&amp;"")</f>
        <v/>
      </c>
      <c r="W224" s="1" t="str">
        <f aca="false">IF($V$3="","",IFERROR(MATCH($V$3&amp;"#"&amp;ROWS(W$4:W224),发票统计!$W$4:$W$1003,0),""))</f>
        <v/>
      </c>
    </row>
    <row r="225" customFormat="false" ht="16.5" hidden="false" customHeight="false" outlineLevel="0" collapsed="false">
      <c r="A225" s="3" t="str">
        <f aca="false">IF($W225="","",INDEX(发票统计!A$4:A$1003,$W225)&amp;"")</f>
        <v/>
      </c>
      <c r="B225" s="3" t="str">
        <f aca="false">IF($W225="","",INDEX(发票统计!B$4:B$1003,$W225)&amp;"")</f>
        <v/>
      </c>
      <c r="C225" s="3" t="str">
        <f aca="false">IF($W225="","",INDEX(发票统计!C$4:C$1003,$W225)&amp;"")</f>
        <v/>
      </c>
      <c r="D225" s="3" t="str">
        <f aca="false">IF($W225="","",INDEX(发票统计!D$4:D$1003,$W225)&amp;"")</f>
        <v/>
      </c>
      <c r="E225" s="67" t="str">
        <f aca="false">IF($W225="","",INDEX(发票统计!E$4:E$1003,$W225)&amp;"")</f>
        <v/>
      </c>
      <c r="F225" s="68" t="str">
        <f aca="false">IF($W225="","",INDEX(发票统计!F$4:F$1003,$W225)&amp;"")</f>
        <v/>
      </c>
      <c r="G225" s="68" t="str">
        <f aca="false">IF($W225="","",IF(INDEX(发票统计!G$4:G$1003,$W225)="","",INDEX(发票统计!G$4:G$1003,$W225)))</f>
        <v/>
      </c>
      <c r="H225" s="56" t="str">
        <f aca="false">IF($W225="","",N(INDEX(发票统计!H$4:H$1003,$W225)))</f>
        <v/>
      </c>
      <c r="I225" s="56" t="str">
        <f aca="false">IF($W225="","",N(INDEX(发票统计!I$4:I$1003,$W225)))</f>
        <v/>
      </c>
      <c r="J225" s="56" t="str">
        <f aca="false">IF($W225="","",N(INDEX(发票统计!J$4:J$1003,$W225)))</f>
        <v/>
      </c>
      <c r="K225" s="56" t="str">
        <f aca="false">IF($W225="","",N(INDEX(发票统计!K$4:K$1003,$W225)))</f>
        <v/>
      </c>
      <c r="L225" s="56" t="str">
        <f aca="false">IF($W225="","",SUM(J$4:J225)-SUM(K$4:K225))</f>
        <v/>
      </c>
      <c r="M225" s="56" t="str">
        <f aca="false">IF($W225="","",N(INDEX(发票统计!M$4:M$1003,$W225)))</f>
        <v/>
      </c>
      <c r="N225" s="56" t="str">
        <f aca="false">IF($W225="","",N(INDEX(发票统计!N$4:N$1003,$W225)))</f>
        <v/>
      </c>
      <c r="O225" s="56" t="str">
        <f aca="false">IF($W225="","",N(INDEX(发票统计!O$4:O$1003,$W225)))</f>
        <v/>
      </c>
      <c r="P225" s="56" t="str">
        <f aca="false">IF($W225="","",SUM(M$4:M225)-SUM(N$4:N225)-SUM(O$4:O225))</f>
        <v/>
      </c>
      <c r="Q225" s="56" t="str">
        <f aca="false">IF($W225="","",N(INDEX(发票统计!Q$4:Q$1003,$W225)))</f>
        <v/>
      </c>
      <c r="R225" s="56" t="str">
        <f aca="false">IF($W225="","",N(INDEX(发票统计!R$4:R$1003,$W225)))</f>
        <v/>
      </c>
      <c r="S225" s="56" t="str">
        <f aca="false">IF($W225="","",N(INDEX(发票统计!S$4:S$1003,$W225)))</f>
        <v/>
      </c>
      <c r="T225" s="56" t="str">
        <f aca="false">IF($W225="","",SUM(Q$4:Q225)-SUM(R$4:R225)-SUM(S$4:S225))</f>
        <v/>
      </c>
      <c r="U225" s="56" t="str">
        <f aca="false">IF($W225="","",INDEX(发票统计!U$4:U$1003,$W225)&amp;"")</f>
        <v/>
      </c>
      <c r="W225" s="1" t="str">
        <f aca="false">IF($V$3="","",IFERROR(MATCH($V$3&amp;"#"&amp;ROWS(W$4:W225),发票统计!$W$4:$W$1003,0),""))</f>
        <v/>
      </c>
    </row>
    <row r="226" customFormat="false" ht="16.5" hidden="false" customHeight="false" outlineLevel="0" collapsed="false">
      <c r="A226" s="3" t="str">
        <f aca="false">IF($W226="","",INDEX(发票统计!A$4:A$1003,$W226)&amp;"")</f>
        <v/>
      </c>
      <c r="B226" s="3" t="str">
        <f aca="false">IF($W226="","",INDEX(发票统计!B$4:B$1003,$W226)&amp;"")</f>
        <v/>
      </c>
      <c r="C226" s="3" t="str">
        <f aca="false">IF($W226="","",INDEX(发票统计!C$4:C$1003,$W226)&amp;"")</f>
        <v/>
      </c>
      <c r="D226" s="3" t="str">
        <f aca="false">IF($W226="","",INDEX(发票统计!D$4:D$1003,$W226)&amp;"")</f>
        <v/>
      </c>
      <c r="E226" s="67" t="str">
        <f aca="false">IF($W226="","",INDEX(发票统计!E$4:E$1003,$W226)&amp;"")</f>
        <v/>
      </c>
      <c r="F226" s="68" t="str">
        <f aca="false">IF($W226="","",INDEX(发票统计!F$4:F$1003,$W226)&amp;"")</f>
        <v/>
      </c>
      <c r="G226" s="68" t="str">
        <f aca="false">IF($W226="","",IF(INDEX(发票统计!G$4:G$1003,$W226)="","",INDEX(发票统计!G$4:G$1003,$W226)))</f>
        <v/>
      </c>
      <c r="H226" s="56" t="str">
        <f aca="false">IF($W226="","",N(INDEX(发票统计!H$4:H$1003,$W226)))</f>
        <v/>
      </c>
      <c r="I226" s="56" t="str">
        <f aca="false">IF($W226="","",N(INDEX(发票统计!I$4:I$1003,$W226)))</f>
        <v/>
      </c>
      <c r="J226" s="56" t="str">
        <f aca="false">IF($W226="","",N(INDEX(发票统计!J$4:J$1003,$W226)))</f>
        <v/>
      </c>
      <c r="K226" s="56" t="str">
        <f aca="false">IF($W226="","",N(INDEX(发票统计!K$4:K$1003,$W226)))</f>
        <v/>
      </c>
      <c r="L226" s="56" t="str">
        <f aca="false">IF($W226="","",SUM(J$4:J226)-SUM(K$4:K226))</f>
        <v/>
      </c>
      <c r="M226" s="56" t="str">
        <f aca="false">IF($W226="","",N(INDEX(发票统计!M$4:M$1003,$W226)))</f>
        <v/>
      </c>
      <c r="N226" s="56" t="str">
        <f aca="false">IF($W226="","",N(INDEX(发票统计!N$4:N$1003,$W226)))</f>
        <v/>
      </c>
      <c r="O226" s="56" t="str">
        <f aca="false">IF($W226="","",N(INDEX(发票统计!O$4:O$1003,$W226)))</f>
        <v/>
      </c>
      <c r="P226" s="56" t="str">
        <f aca="false">IF($W226="","",SUM(M$4:M226)-SUM(N$4:N226)-SUM(O$4:O226))</f>
        <v/>
      </c>
      <c r="Q226" s="56" t="str">
        <f aca="false">IF($W226="","",N(INDEX(发票统计!Q$4:Q$1003,$W226)))</f>
        <v/>
      </c>
      <c r="R226" s="56" t="str">
        <f aca="false">IF($W226="","",N(INDEX(发票统计!R$4:R$1003,$W226)))</f>
        <v/>
      </c>
      <c r="S226" s="56" t="str">
        <f aca="false">IF($W226="","",N(INDEX(发票统计!S$4:S$1003,$W226)))</f>
        <v/>
      </c>
      <c r="T226" s="56" t="str">
        <f aca="false">IF($W226="","",SUM(Q$4:Q226)-SUM(R$4:R226)-SUM(S$4:S226))</f>
        <v/>
      </c>
      <c r="U226" s="56" t="str">
        <f aca="false">IF($W226="","",INDEX(发票统计!U$4:U$1003,$W226)&amp;"")</f>
        <v/>
      </c>
      <c r="W226" s="1" t="str">
        <f aca="false">IF($V$3="","",IFERROR(MATCH($V$3&amp;"#"&amp;ROWS(W$4:W226),发票统计!$W$4:$W$1003,0),""))</f>
        <v/>
      </c>
    </row>
    <row r="227" customFormat="false" ht="16.5" hidden="false" customHeight="false" outlineLevel="0" collapsed="false">
      <c r="A227" s="3" t="str">
        <f aca="false">IF($W227="","",INDEX(发票统计!A$4:A$1003,$W227)&amp;"")</f>
        <v/>
      </c>
      <c r="B227" s="3" t="str">
        <f aca="false">IF($W227="","",INDEX(发票统计!B$4:B$1003,$W227)&amp;"")</f>
        <v/>
      </c>
      <c r="C227" s="3" t="str">
        <f aca="false">IF($W227="","",INDEX(发票统计!C$4:C$1003,$W227)&amp;"")</f>
        <v/>
      </c>
      <c r="D227" s="3" t="str">
        <f aca="false">IF($W227="","",INDEX(发票统计!D$4:D$1003,$W227)&amp;"")</f>
        <v/>
      </c>
      <c r="E227" s="67" t="str">
        <f aca="false">IF($W227="","",INDEX(发票统计!E$4:E$1003,$W227)&amp;"")</f>
        <v/>
      </c>
      <c r="F227" s="68" t="str">
        <f aca="false">IF($W227="","",INDEX(发票统计!F$4:F$1003,$W227)&amp;"")</f>
        <v/>
      </c>
      <c r="G227" s="68" t="str">
        <f aca="false">IF($W227="","",IF(INDEX(发票统计!G$4:G$1003,$W227)="","",INDEX(发票统计!G$4:G$1003,$W227)))</f>
        <v/>
      </c>
      <c r="H227" s="56" t="str">
        <f aca="false">IF($W227="","",N(INDEX(发票统计!H$4:H$1003,$W227)))</f>
        <v/>
      </c>
      <c r="I227" s="56" t="str">
        <f aca="false">IF($W227="","",N(INDEX(发票统计!I$4:I$1003,$W227)))</f>
        <v/>
      </c>
      <c r="J227" s="56" t="str">
        <f aca="false">IF($W227="","",N(INDEX(发票统计!J$4:J$1003,$W227)))</f>
        <v/>
      </c>
      <c r="K227" s="56" t="str">
        <f aca="false">IF($W227="","",N(INDEX(发票统计!K$4:K$1003,$W227)))</f>
        <v/>
      </c>
      <c r="L227" s="56" t="str">
        <f aca="false">IF($W227="","",SUM(J$4:J227)-SUM(K$4:K227))</f>
        <v/>
      </c>
      <c r="M227" s="56" t="str">
        <f aca="false">IF($W227="","",N(INDEX(发票统计!M$4:M$1003,$W227)))</f>
        <v/>
      </c>
      <c r="N227" s="56" t="str">
        <f aca="false">IF($W227="","",N(INDEX(发票统计!N$4:N$1003,$W227)))</f>
        <v/>
      </c>
      <c r="O227" s="56" t="str">
        <f aca="false">IF($W227="","",N(INDEX(发票统计!O$4:O$1003,$W227)))</f>
        <v/>
      </c>
      <c r="P227" s="56" t="str">
        <f aca="false">IF($W227="","",SUM(M$4:M227)-SUM(N$4:N227)-SUM(O$4:O227))</f>
        <v/>
      </c>
      <c r="Q227" s="56" t="str">
        <f aca="false">IF($W227="","",N(INDEX(发票统计!Q$4:Q$1003,$W227)))</f>
        <v/>
      </c>
      <c r="R227" s="56" t="str">
        <f aca="false">IF($W227="","",N(INDEX(发票统计!R$4:R$1003,$W227)))</f>
        <v/>
      </c>
      <c r="S227" s="56" t="str">
        <f aca="false">IF($W227="","",N(INDEX(发票统计!S$4:S$1003,$W227)))</f>
        <v/>
      </c>
      <c r="T227" s="56" t="str">
        <f aca="false">IF($W227="","",SUM(Q$4:Q227)-SUM(R$4:R227)-SUM(S$4:S227))</f>
        <v/>
      </c>
      <c r="U227" s="56" t="str">
        <f aca="false">IF($W227="","",INDEX(发票统计!U$4:U$1003,$W227)&amp;"")</f>
        <v/>
      </c>
      <c r="W227" s="1" t="str">
        <f aca="false">IF($V$3="","",IFERROR(MATCH($V$3&amp;"#"&amp;ROWS(W$4:W227),发票统计!$W$4:$W$1003,0),""))</f>
        <v/>
      </c>
    </row>
    <row r="228" customFormat="false" ht="16.5" hidden="false" customHeight="false" outlineLevel="0" collapsed="false">
      <c r="A228" s="3" t="str">
        <f aca="false">IF($W228="","",INDEX(发票统计!A$4:A$1003,$W228)&amp;"")</f>
        <v/>
      </c>
      <c r="B228" s="3" t="str">
        <f aca="false">IF($W228="","",INDEX(发票统计!B$4:B$1003,$W228)&amp;"")</f>
        <v/>
      </c>
      <c r="C228" s="3" t="str">
        <f aca="false">IF($W228="","",INDEX(发票统计!C$4:C$1003,$W228)&amp;"")</f>
        <v/>
      </c>
      <c r="D228" s="3" t="str">
        <f aca="false">IF($W228="","",INDEX(发票统计!D$4:D$1003,$W228)&amp;"")</f>
        <v/>
      </c>
      <c r="E228" s="67" t="str">
        <f aca="false">IF($W228="","",INDEX(发票统计!E$4:E$1003,$W228)&amp;"")</f>
        <v/>
      </c>
      <c r="F228" s="68" t="str">
        <f aca="false">IF($W228="","",INDEX(发票统计!F$4:F$1003,$W228)&amp;"")</f>
        <v/>
      </c>
      <c r="G228" s="68" t="str">
        <f aca="false">IF($W228="","",IF(INDEX(发票统计!G$4:G$1003,$W228)="","",INDEX(发票统计!G$4:G$1003,$W228)))</f>
        <v/>
      </c>
      <c r="H228" s="56" t="str">
        <f aca="false">IF($W228="","",N(INDEX(发票统计!H$4:H$1003,$W228)))</f>
        <v/>
      </c>
      <c r="I228" s="56" t="str">
        <f aca="false">IF($W228="","",N(INDEX(发票统计!I$4:I$1003,$W228)))</f>
        <v/>
      </c>
      <c r="J228" s="56" t="str">
        <f aca="false">IF($W228="","",N(INDEX(发票统计!J$4:J$1003,$W228)))</f>
        <v/>
      </c>
      <c r="K228" s="56" t="str">
        <f aca="false">IF($W228="","",N(INDEX(发票统计!K$4:K$1003,$W228)))</f>
        <v/>
      </c>
      <c r="L228" s="56" t="str">
        <f aca="false">IF($W228="","",SUM(J$4:J228)-SUM(K$4:K228))</f>
        <v/>
      </c>
      <c r="M228" s="56" t="str">
        <f aca="false">IF($W228="","",N(INDEX(发票统计!M$4:M$1003,$W228)))</f>
        <v/>
      </c>
      <c r="N228" s="56" t="str">
        <f aca="false">IF($W228="","",N(INDEX(发票统计!N$4:N$1003,$W228)))</f>
        <v/>
      </c>
      <c r="O228" s="56" t="str">
        <f aca="false">IF($W228="","",N(INDEX(发票统计!O$4:O$1003,$W228)))</f>
        <v/>
      </c>
      <c r="P228" s="56" t="str">
        <f aca="false">IF($W228="","",SUM(M$4:M228)-SUM(N$4:N228)-SUM(O$4:O228))</f>
        <v/>
      </c>
      <c r="Q228" s="56" t="str">
        <f aca="false">IF($W228="","",N(INDEX(发票统计!Q$4:Q$1003,$W228)))</f>
        <v/>
      </c>
      <c r="R228" s="56" t="str">
        <f aca="false">IF($W228="","",N(INDEX(发票统计!R$4:R$1003,$W228)))</f>
        <v/>
      </c>
      <c r="S228" s="56" t="str">
        <f aca="false">IF($W228="","",N(INDEX(发票统计!S$4:S$1003,$W228)))</f>
        <v/>
      </c>
      <c r="T228" s="56" t="str">
        <f aca="false">IF($W228="","",SUM(Q$4:Q228)-SUM(R$4:R228)-SUM(S$4:S228))</f>
        <v/>
      </c>
      <c r="U228" s="56" t="str">
        <f aca="false">IF($W228="","",INDEX(发票统计!U$4:U$1003,$W228)&amp;"")</f>
        <v/>
      </c>
      <c r="W228" s="1" t="str">
        <f aca="false">IF($V$3="","",IFERROR(MATCH($V$3&amp;"#"&amp;ROWS(W$4:W228),发票统计!$W$4:$W$1003,0),""))</f>
        <v/>
      </c>
    </row>
    <row r="229" customFormat="false" ht="16.5" hidden="false" customHeight="false" outlineLevel="0" collapsed="false">
      <c r="A229" s="3" t="str">
        <f aca="false">IF($W229="","",INDEX(发票统计!A$4:A$1003,$W229)&amp;"")</f>
        <v/>
      </c>
      <c r="B229" s="3" t="str">
        <f aca="false">IF($W229="","",INDEX(发票统计!B$4:B$1003,$W229)&amp;"")</f>
        <v/>
      </c>
      <c r="C229" s="3" t="str">
        <f aca="false">IF($W229="","",INDEX(发票统计!C$4:C$1003,$W229)&amp;"")</f>
        <v/>
      </c>
      <c r="D229" s="3" t="str">
        <f aca="false">IF($W229="","",INDEX(发票统计!D$4:D$1003,$W229)&amp;"")</f>
        <v/>
      </c>
      <c r="E229" s="67" t="str">
        <f aca="false">IF($W229="","",INDEX(发票统计!E$4:E$1003,$W229)&amp;"")</f>
        <v/>
      </c>
      <c r="F229" s="68" t="str">
        <f aca="false">IF($W229="","",INDEX(发票统计!F$4:F$1003,$W229)&amp;"")</f>
        <v/>
      </c>
      <c r="G229" s="68" t="str">
        <f aca="false">IF($W229="","",IF(INDEX(发票统计!G$4:G$1003,$W229)="","",INDEX(发票统计!G$4:G$1003,$W229)))</f>
        <v/>
      </c>
      <c r="H229" s="56" t="str">
        <f aca="false">IF($W229="","",N(INDEX(发票统计!H$4:H$1003,$W229)))</f>
        <v/>
      </c>
      <c r="I229" s="56" t="str">
        <f aca="false">IF($W229="","",N(INDEX(发票统计!I$4:I$1003,$W229)))</f>
        <v/>
      </c>
      <c r="J229" s="56" t="str">
        <f aca="false">IF($W229="","",N(INDEX(发票统计!J$4:J$1003,$W229)))</f>
        <v/>
      </c>
      <c r="K229" s="56" t="str">
        <f aca="false">IF($W229="","",N(INDEX(发票统计!K$4:K$1003,$W229)))</f>
        <v/>
      </c>
      <c r="L229" s="56" t="str">
        <f aca="false">IF($W229="","",SUM(J$4:J229)-SUM(K$4:K229))</f>
        <v/>
      </c>
      <c r="M229" s="56" t="str">
        <f aca="false">IF($W229="","",N(INDEX(发票统计!M$4:M$1003,$W229)))</f>
        <v/>
      </c>
      <c r="N229" s="56" t="str">
        <f aca="false">IF($W229="","",N(INDEX(发票统计!N$4:N$1003,$W229)))</f>
        <v/>
      </c>
      <c r="O229" s="56" t="str">
        <f aca="false">IF($W229="","",N(INDEX(发票统计!O$4:O$1003,$W229)))</f>
        <v/>
      </c>
      <c r="P229" s="56" t="str">
        <f aca="false">IF($W229="","",SUM(M$4:M229)-SUM(N$4:N229)-SUM(O$4:O229))</f>
        <v/>
      </c>
      <c r="Q229" s="56" t="str">
        <f aca="false">IF($W229="","",N(INDEX(发票统计!Q$4:Q$1003,$W229)))</f>
        <v/>
      </c>
      <c r="R229" s="56" t="str">
        <f aca="false">IF($W229="","",N(INDEX(发票统计!R$4:R$1003,$W229)))</f>
        <v/>
      </c>
      <c r="S229" s="56" t="str">
        <f aca="false">IF($W229="","",N(INDEX(发票统计!S$4:S$1003,$W229)))</f>
        <v/>
      </c>
      <c r="T229" s="56" t="str">
        <f aca="false">IF($W229="","",SUM(Q$4:Q229)-SUM(R$4:R229)-SUM(S$4:S229))</f>
        <v/>
      </c>
      <c r="U229" s="56" t="str">
        <f aca="false">IF($W229="","",INDEX(发票统计!U$4:U$1003,$W229)&amp;"")</f>
        <v/>
      </c>
      <c r="W229" s="1" t="str">
        <f aca="false">IF($V$3="","",IFERROR(MATCH($V$3&amp;"#"&amp;ROWS(W$4:W229),发票统计!$W$4:$W$1003,0),""))</f>
        <v/>
      </c>
    </row>
    <row r="230" customFormat="false" ht="16.5" hidden="false" customHeight="false" outlineLevel="0" collapsed="false">
      <c r="A230" s="3" t="str">
        <f aca="false">IF($W230="","",INDEX(发票统计!A$4:A$1003,$W230)&amp;"")</f>
        <v/>
      </c>
      <c r="B230" s="3" t="str">
        <f aca="false">IF($W230="","",INDEX(发票统计!B$4:B$1003,$W230)&amp;"")</f>
        <v/>
      </c>
      <c r="C230" s="3" t="str">
        <f aca="false">IF($W230="","",INDEX(发票统计!C$4:C$1003,$W230)&amp;"")</f>
        <v/>
      </c>
      <c r="D230" s="3" t="str">
        <f aca="false">IF($W230="","",INDEX(发票统计!D$4:D$1003,$W230)&amp;"")</f>
        <v/>
      </c>
      <c r="E230" s="67" t="str">
        <f aca="false">IF($W230="","",INDEX(发票统计!E$4:E$1003,$W230)&amp;"")</f>
        <v/>
      </c>
      <c r="F230" s="68" t="str">
        <f aca="false">IF($W230="","",INDEX(发票统计!F$4:F$1003,$W230)&amp;"")</f>
        <v/>
      </c>
      <c r="G230" s="68" t="str">
        <f aca="false">IF($W230="","",IF(INDEX(发票统计!G$4:G$1003,$W230)="","",INDEX(发票统计!G$4:G$1003,$W230)))</f>
        <v/>
      </c>
      <c r="H230" s="56" t="str">
        <f aca="false">IF($W230="","",N(INDEX(发票统计!H$4:H$1003,$W230)))</f>
        <v/>
      </c>
      <c r="I230" s="56" t="str">
        <f aca="false">IF($W230="","",N(INDEX(发票统计!I$4:I$1003,$W230)))</f>
        <v/>
      </c>
      <c r="J230" s="56" t="str">
        <f aca="false">IF($W230="","",N(INDEX(发票统计!J$4:J$1003,$W230)))</f>
        <v/>
      </c>
      <c r="K230" s="56" t="str">
        <f aca="false">IF($W230="","",N(INDEX(发票统计!K$4:K$1003,$W230)))</f>
        <v/>
      </c>
      <c r="L230" s="56" t="str">
        <f aca="false">IF($W230="","",SUM(J$4:J230)-SUM(K$4:K230))</f>
        <v/>
      </c>
      <c r="M230" s="56" t="str">
        <f aca="false">IF($W230="","",N(INDEX(发票统计!M$4:M$1003,$W230)))</f>
        <v/>
      </c>
      <c r="N230" s="56" t="str">
        <f aca="false">IF($W230="","",N(INDEX(发票统计!N$4:N$1003,$W230)))</f>
        <v/>
      </c>
      <c r="O230" s="56" t="str">
        <f aca="false">IF($W230="","",N(INDEX(发票统计!O$4:O$1003,$W230)))</f>
        <v/>
      </c>
      <c r="P230" s="56" t="str">
        <f aca="false">IF($W230="","",SUM(M$4:M230)-SUM(N$4:N230)-SUM(O$4:O230))</f>
        <v/>
      </c>
      <c r="Q230" s="56" t="str">
        <f aca="false">IF($W230="","",N(INDEX(发票统计!Q$4:Q$1003,$W230)))</f>
        <v/>
      </c>
      <c r="R230" s="56" t="str">
        <f aca="false">IF($W230="","",N(INDEX(发票统计!R$4:R$1003,$W230)))</f>
        <v/>
      </c>
      <c r="S230" s="56" t="str">
        <f aca="false">IF($W230="","",N(INDEX(发票统计!S$4:S$1003,$W230)))</f>
        <v/>
      </c>
      <c r="T230" s="56" t="str">
        <f aca="false">IF($W230="","",SUM(Q$4:Q230)-SUM(R$4:R230)-SUM(S$4:S230))</f>
        <v/>
      </c>
      <c r="U230" s="56" t="str">
        <f aca="false">IF($W230="","",INDEX(发票统计!U$4:U$1003,$W230)&amp;"")</f>
        <v/>
      </c>
      <c r="W230" s="1" t="str">
        <f aca="false">IF($V$3="","",IFERROR(MATCH($V$3&amp;"#"&amp;ROWS(W$4:W230),发票统计!$W$4:$W$1003,0),""))</f>
        <v/>
      </c>
    </row>
    <row r="231" customFormat="false" ht="16.5" hidden="false" customHeight="false" outlineLevel="0" collapsed="false">
      <c r="A231" s="3" t="str">
        <f aca="false">IF($W231="","",INDEX(发票统计!A$4:A$1003,$W231)&amp;"")</f>
        <v/>
      </c>
      <c r="B231" s="3" t="str">
        <f aca="false">IF($W231="","",INDEX(发票统计!B$4:B$1003,$W231)&amp;"")</f>
        <v/>
      </c>
      <c r="C231" s="3" t="str">
        <f aca="false">IF($W231="","",INDEX(发票统计!C$4:C$1003,$W231)&amp;"")</f>
        <v/>
      </c>
      <c r="D231" s="3" t="str">
        <f aca="false">IF($W231="","",INDEX(发票统计!D$4:D$1003,$W231)&amp;"")</f>
        <v/>
      </c>
      <c r="E231" s="67" t="str">
        <f aca="false">IF($W231="","",INDEX(发票统计!E$4:E$1003,$W231)&amp;"")</f>
        <v/>
      </c>
      <c r="F231" s="68" t="str">
        <f aca="false">IF($W231="","",INDEX(发票统计!F$4:F$1003,$W231)&amp;"")</f>
        <v/>
      </c>
      <c r="G231" s="68" t="str">
        <f aca="false">IF($W231="","",IF(INDEX(发票统计!G$4:G$1003,$W231)="","",INDEX(发票统计!G$4:G$1003,$W231)))</f>
        <v/>
      </c>
      <c r="H231" s="56" t="str">
        <f aca="false">IF($W231="","",N(INDEX(发票统计!H$4:H$1003,$W231)))</f>
        <v/>
      </c>
      <c r="I231" s="56" t="str">
        <f aca="false">IF($W231="","",N(INDEX(发票统计!I$4:I$1003,$W231)))</f>
        <v/>
      </c>
      <c r="J231" s="56" t="str">
        <f aca="false">IF($W231="","",N(INDEX(发票统计!J$4:J$1003,$W231)))</f>
        <v/>
      </c>
      <c r="K231" s="56" t="str">
        <f aca="false">IF($W231="","",N(INDEX(发票统计!K$4:K$1003,$W231)))</f>
        <v/>
      </c>
      <c r="L231" s="56" t="str">
        <f aca="false">IF($W231="","",SUM(J$4:J231)-SUM(K$4:K231))</f>
        <v/>
      </c>
      <c r="M231" s="56" t="str">
        <f aca="false">IF($W231="","",N(INDEX(发票统计!M$4:M$1003,$W231)))</f>
        <v/>
      </c>
      <c r="N231" s="56" t="str">
        <f aca="false">IF($W231="","",N(INDEX(发票统计!N$4:N$1003,$W231)))</f>
        <v/>
      </c>
      <c r="O231" s="56" t="str">
        <f aca="false">IF($W231="","",N(INDEX(发票统计!O$4:O$1003,$W231)))</f>
        <v/>
      </c>
      <c r="P231" s="56" t="str">
        <f aca="false">IF($W231="","",SUM(M$4:M231)-SUM(N$4:N231)-SUM(O$4:O231))</f>
        <v/>
      </c>
      <c r="Q231" s="56" t="str">
        <f aca="false">IF($W231="","",N(INDEX(发票统计!Q$4:Q$1003,$W231)))</f>
        <v/>
      </c>
      <c r="R231" s="56" t="str">
        <f aca="false">IF($W231="","",N(INDEX(发票统计!R$4:R$1003,$W231)))</f>
        <v/>
      </c>
      <c r="S231" s="56" t="str">
        <f aca="false">IF($W231="","",N(INDEX(发票统计!S$4:S$1003,$W231)))</f>
        <v/>
      </c>
      <c r="T231" s="56" t="str">
        <f aca="false">IF($W231="","",SUM(Q$4:Q231)-SUM(R$4:R231)-SUM(S$4:S231))</f>
        <v/>
      </c>
      <c r="U231" s="56" t="str">
        <f aca="false">IF($W231="","",INDEX(发票统计!U$4:U$1003,$W231)&amp;"")</f>
        <v/>
      </c>
      <c r="W231" s="1" t="str">
        <f aca="false">IF($V$3="","",IFERROR(MATCH($V$3&amp;"#"&amp;ROWS(W$4:W231),发票统计!$W$4:$W$1003,0),""))</f>
        <v/>
      </c>
    </row>
    <row r="232" customFormat="false" ht="16.5" hidden="false" customHeight="false" outlineLevel="0" collapsed="false">
      <c r="A232" s="3" t="str">
        <f aca="false">IF($W232="","",INDEX(发票统计!A$4:A$1003,$W232)&amp;"")</f>
        <v/>
      </c>
      <c r="B232" s="3" t="str">
        <f aca="false">IF($W232="","",INDEX(发票统计!B$4:B$1003,$W232)&amp;"")</f>
        <v/>
      </c>
      <c r="C232" s="3" t="str">
        <f aca="false">IF($W232="","",INDEX(发票统计!C$4:C$1003,$W232)&amp;"")</f>
        <v/>
      </c>
      <c r="D232" s="3" t="str">
        <f aca="false">IF($W232="","",INDEX(发票统计!D$4:D$1003,$W232)&amp;"")</f>
        <v/>
      </c>
      <c r="E232" s="67" t="str">
        <f aca="false">IF($W232="","",INDEX(发票统计!E$4:E$1003,$W232)&amp;"")</f>
        <v/>
      </c>
      <c r="F232" s="68" t="str">
        <f aca="false">IF($W232="","",INDEX(发票统计!F$4:F$1003,$W232)&amp;"")</f>
        <v/>
      </c>
      <c r="G232" s="68" t="str">
        <f aca="false">IF($W232="","",IF(INDEX(发票统计!G$4:G$1003,$W232)="","",INDEX(发票统计!G$4:G$1003,$W232)))</f>
        <v/>
      </c>
      <c r="H232" s="56" t="str">
        <f aca="false">IF($W232="","",N(INDEX(发票统计!H$4:H$1003,$W232)))</f>
        <v/>
      </c>
      <c r="I232" s="56" t="str">
        <f aca="false">IF($W232="","",N(INDEX(发票统计!I$4:I$1003,$W232)))</f>
        <v/>
      </c>
      <c r="J232" s="56" t="str">
        <f aca="false">IF($W232="","",N(INDEX(发票统计!J$4:J$1003,$W232)))</f>
        <v/>
      </c>
      <c r="K232" s="56" t="str">
        <f aca="false">IF($W232="","",N(INDEX(发票统计!K$4:K$1003,$W232)))</f>
        <v/>
      </c>
      <c r="L232" s="56" t="str">
        <f aca="false">IF($W232="","",SUM(J$4:J232)-SUM(K$4:K232))</f>
        <v/>
      </c>
      <c r="M232" s="56" t="str">
        <f aca="false">IF($W232="","",N(INDEX(发票统计!M$4:M$1003,$W232)))</f>
        <v/>
      </c>
      <c r="N232" s="56" t="str">
        <f aca="false">IF($W232="","",N(INDEX(发票统计!N$4:N$1003,$W232)))</f>
        <v/>
      </c>
      <c r="O232" s="56" t="str">
        <f aca="false">IF($W232="","",N(INDEX(发票统计!O$4:O$1003,$W232)))</f>
        <v/>
      </c>
      <c r="P232" s="56" t="str">
        <f aca="false">IF($W232="","",SUM(M$4:M232)-SUM(N$4:N232)-SUM(O$4:O232))</f>
        <v/>
      </c>
      <c r="Q232" s="56" t="str">
        <f aca="false">IF($W232="","",N(INDEX(发票统计!Q$4:Q$1003,$W232)))</f>
        <v/>
      </c>
      <c r="R232" s="56" t="str">
        <f aca="false">IF($W232="","",N(INDEX(发票统计!R$4:R$1003,$W232)))</f>
        <v/>
      </c>
      <c r="S232" s="56" t="str">
        <f aca="false">IF($W232="","",N(INDEX(发票统计!S$4:S$1003,$W232)))</f>
        <v/>
      </c>
      <c r="T232" s="56" t="str">
        <f aca="false">IF($W232="","",SUM(Q$4:Q232)-SUM(R$4:R232)-SUM(S$4:S232))</f>
        <v/>
      </c>
      <c r="U232" s="56" t="str">
        <f aca="false">IF($W232="","",INDEX(发票统计!U$4:U$1003,$W232)&amp;"")</f>
        <v/>
      </c>
      <c r="W232" s="1" t="str">
        <f aca="false">IF($V$3="","",IFERROR(MATCH($V$3&amp;"#"&amp;ROWS(W$4:W232),发票统计!$W$4:$W$1003,0),""))</f>
        <v/>
      </c>
    </row>
    <row r="233" customFormat="false" ht="16.5" hidden="false" customHeight="false" outlineLevel="0" collapsed="false">
      <c r="A233" s="3" t="str">
        <f aca="false">IF($W233="","",INDEX(发票统计!A$4:A$1003,$W233)&amp;"")</f>
        <v/>
      </c>
      <c r="B233" s="3" t="str">
        <f aca="false">IF($W233="","",INDEX(发票统计!B$4:B$1003,$W233)&amp;"")</f>
        <v/>
      </c>
      <c r="C233" s="3" t="str">
        <f aca="false">IF($W233="","",INDEX(发票统计!C$4:C$1003,$W233)&amp;"")</f>
        <v/>
      </c>
      <c r="D233" s="3" t="str">
        <f aca="false">IF($W233="","",INDEX(发票统计!D$4:D$1003,$W233)&amp;"")</f>
        <v/>
      </c>
      <c r="E233" s="67" t="str">
        <f aca="false">IF($W233="","",INDEX(发票统计!E$4:E$1003,$W233)&amp;"")</f>
        <v/>
      </c>
      <c r="F233" s="68" t="str">
        <f aca="false">IF($W233="","",INDEX(发票统计!F$4:F$1003,$W233)&amp;"")</f>
        <v/>
      </c>
      <c r="G233" s="68" t="str">
        <f aca="false">IF($W233="","",IF(INDEX(发票统计!G$4:G$1003,$W233)="","",INDEX(发票统计!G$4:G$1003,$W233)))</f>
        <v/>
      </c>
      <c r="H233" s="56" t="str">
        <f aca="false">IF($W233="","",N(INDEX(发票统计!H$4:H$1003,$W233)))</f>
        <v/>
      </c>
      <c r="I233" s="56" t="str">
        <f aca="false">IF($W233="","",N(INDEX(发票统计!I$4:I$1003,$W233)))</f>
        <v/>
      </c>
      <c r="J233" s="56" t="str">
        <f aca="false">IF($W233="","",N(INDEX(发票统计!J$4:J$1003,$W233)))</f>
        <v/>
      </c>
      <c r="K233" s="56" t="str">
        <f aca="false">IF($W233="","",N(INDEX(发票统计!K$4:K$1003,$W233)))</f>
        <v/>
      </c>
      <c r="L233" s="56" t="str">
        <f aca="false">IF($W233="","",SUM(J$4:J233)-SUM(K$4:K233))</f>
        <v/>
      </c>
      <c r="M233" s="56" t="str">
        <f aca="false">IF($W233="","",N(INDEX(发票统计!M$4:M$1003,$W233)))</f>
        <v/>
      </c>
      <c r="N233" s="56" t="str">
        <f aca="false">IF($W233="","",N(INDEX(发票统计!N$4:N$1003,$W233)))</f>
        <v/>
      </c>
      <c r="O233" s="56" t="str">
        <f aca="false">IF($W233="","",N(INDEX(发票统计!O$4:O$1003,$W233)))</f>
        <v/>
      </c>
      <c r="P233" s="56" t="str">
        <f aca="false">IF($W233="","",SUM(M$4:M233)-SUM(N$4:N233)-SUM(O$4:O233))</f>
        <v/>
      </c>
      <c r="Q233" s="56" t="str">
        <f aca="false">IF($W233="","",N(INDEX(发票统计!Q$4:Q$1003,$W233)))</f>
        <v/>
      </c>
      <c r="R233" s="56" t="str">
        <f aca="false">IF($W233="","",N(INDEX(发票统计!R$4:R$1003,$W233)))</f>
        <v/>
      </c>
      <c r="S233" s="56" t="str">
        <f aca="false">IF($W233="","",N(INDEX(发票统计!S$4:S$1003,$W233)))</f>
        <v/>
      </c>
      <c r="T233" s="56" t="str">
        <f aca="false">IF($W233="","",SUM(Q$4:Q233)-SUM(R$4:R233)-SUM(S$4:S233))</f>
        <v/>
      </c>
      <c r="U233" s="56" t="str">
        <f aca="false">IF($W233="","",INDEX(发票统计!U$4:U$1003,$W233)&amp;"")</f>
        <v/>
      </c>
      <c r="W233" s="1" t="str">
        <f aca="false">IF($V$3="","",IFERROR(MATCH($V$3&amp;"#"&amp;ROWS(W$4:W233),发票统计!$W$4:$W$1003,0),""))</f>
        <v/>
      </c>
    </row>
    <row r="234" customFormat="false" ht="16.5" hidden="false" customHeight="false" outlineLevel="0" collapsed="false">
      <c r="A234" s="3" t="str">
        <f aca="false">IF($W234="","",INDEX(发票统计!A$4:A$1003,$W234)&amp;"")</f>
        <v/>
      </c>
      <c r="B234" s="3" t="str">
        <f aca="false">IF($W234="","",INDEX(发票统计!B$4:B$1003,$W234)&amp;"")</f>
        <v/>
      </c>
      <c r="C234" s="3" t="str">
        <f aca="false">IF($W234="","",INDEX(发票统计!C$4:C$1003,$W234)&amp;"")</f>
        <v/>
      </c>
      <c r="D234" s="3" t="str">
        <f aca="false">IF($W234="","",INDEX(发票统计!D$4:D$1003,$W234)&amp;"")</f>
        <v/>
      </c>
      <c r="E234" s="67" t="str">
        <f aca="false">IF($W234="","",INDEX(发票统计!E$4:E$1003,$W234)&amp;"")</f>
        <v/>
      </c>
      <c r="F234" s="68" t="str">
        <f aca="false">IF($W234="","",INDEX(发票统计!F$4:F$1003,$W234)&amp;"")</f>
        <v/>
      </c>
      <c r="G234" s="68" t="str">
        <f aca="false">IF($W234="","",IF(INDEX(发票统计!G$4:G$1003,$W234)="","",INDEX(发票统计!G$4:G$1003,$W234)))</f>
        <v/>
      </c>
      <c r="H234" s="56" t="str">
        <f aca="false">IF($W234="","",N(INDEX(发票统计!H$4:H$1003,$W234)))</f>
        <v/>
      </c>
      <c r="I234" s="56" t="str">
        <f aca="false">IF($W234="","",N(INDEX(发票统计!I$4:I$1003,$W234)))</f>
        <v/>
      </c>
      <c r="J234" s="56" t="str">
        <f aca="false">IF($W234="","",N(INDEX(发票统计!J$4:J$1003,$W234)))</f>
        <v/>
      </c>
      <c r="K234" s="56" t="str">
        <f aca="false">IF($W234="","",N(INDEX(发票统计!K$4:K$1003,$W234)))</f>
        <v/>
      </c>
      <c r="L234" s="56" t="str">
        <f aca="false">IF($W234="","",SUM(J$4:J234)-SUM(K$4:K234))</f>
        <v/>
      </c>
      <c r="M234" s="56" t="str">
        <f aca="false">IF($W234="","",N(INDEX(发票统计!M$4:M$1003,$W234)))</f>
        <v/>
      </c>
      <c r="N234" s="56" t="str">
        <f aca="false">IF($W234="","",N(INDEX(发票统计!N$4:N$1003,$W234)))</f>
        <v/>
      </c>
      <c r="O234" s="56" t="str">
        <f aca="false">IF($W234="","",N(INDEX(发票统计!O$4:O$1003,$W234)))</f>
        <v/>
      </c>
      <c r="P234" s="56" t="str">
        <f aca="false">IF($W234="","",SUM(M$4:M234)-SUM(N$4:N234)-SUM(O$4:O234))</f>
        <v/>
      </c>
      <c r="Q234" s="56" t="str">
        <f aca="false">IF($W234="","",N(INDEX(发票统计!Q$4:Q$1003,$W234)))</f>
        <v/>
      </c>
      <c r="R234" s="56" t="str">
        <f aca="false">IF($W234="","",N(INDEX(发票统计!R$4:R$1003,$W234)))</f>
        <v/>
      </c>
      <c r="S234" s="56" t="str">
        <f aca="false">IF($W234="","",N(INDEX(发票统计!S$4:S$1003,$W234)))</f>
        <v/>
      </c>
      <c r="T234" s="56" t="str">
        <f aca="false">IF($W234="","",SUM(Q$4:Q234)-SUM(R$4:R234)-SUM(S$4:S234))</f>
        <v/>
      </c>
      <c r="U234" s="56" t="str">
        <f aca="false">IF($W234="","",INDEX(发票统计!U$4:U$1003,$W234)&amp;"")</f>
        <v/>
      </c>
      <c r="W234" s="1" t="str">
        <f aca="false">IF($V$3="","",IFERROR(MATCH($V$3&amp;"#"&amp;ROWS(W$4:W234),发票统计!$W$4:$W$1003,0),""))</f>
        <v/>
      </c>
    </row>
    <row r="235" customFormat="false" ht="16.5" hidden="false" customHeight="false" outlineLevel="0" collapsed="false">
      <c r="A235" s="3" t="str">
        <f aca="false">IF($W235="","",INDEX(发票统计!A$4:A$1003,$W235)&amp;"")</f>
        <v/>
      </c>
      <c r="B235" s="3" t="str">
        <f aca="false">IF($W235="","",INDEX(发票统计!B$4:B$1003,$W235)&amp;"")</f>
        <v/>
      </c>
      <c r="C235" s="3" t="str">
        <f aca="false">IF($W235="","",INDEX(发票统计!C$4:C$1003,$W235)&amp;"")</f>
        <v/>
      </c>
      <c r="D235" s="3" t="str">
        <f aca="false">IF($W235="","",INDEX(发票统计!D$4:D$1003,$W235)&amp;"")</f>
        <v/>
      </c>
      <c r="E235" s="67" t="str">
        <f aca="false">IF($W235="","",INDEX(发票统计!E$4:E$1003,$W235)&amp;"")</f>
        <v/>
      </c>
      <c r="F235" s="68" t="str">
        <f aca="false">IF($W235="","",INDEX(发票统计!F$4:F$1003,$W235)&amp;"")</f>
        <v/>
      </c>
      <c r="G235" s="68" t="str">
        <f aca="false">IF($W235="","",IF(INDEX(发票统计!G$4:G$1003,$W235)="","",INDEX(发票统计!G$4:G$1003,$W235)))</f>
        <v/>
      </c>
      <c r="H235" s="56" t="str">
        <f aca="false">IF($W235="","",N(INDEX(发票统计!H$4:H$1003,$W235)))</f>
        <v/>
      </c>
      <c r="I235" s="56" t="str">
        <f aca="false">IF($W235="","",N(INDEX(发票统计!I$4:I$1003,$W235)))</f>
        <v/>
      </c>
      <c r="J235" s="56" t="str">
        <f aca="false">IF($W235="","",N(INDEX(发票统计!J$4:J$1003,$W235)))</f>
        <v/>
      </c>
      <c r="K235" s="56" t="str">
        <f aca="false">IF($W235="","",N(INDEX(发票统计!K$4:K$1003,$W235)))</f>
        <v/>
      </c>
      <c r="L235" s="56" t="str">
        <f aca="false">IF($W235="","",SUM(J$4:J235)-SUM(K$4:K235))</f>
        <v/>
      </c>
      <c r="M235" s="56" t="str">
        <f aca="false">IF($W235="","",N(INDEX(发票统计!M$4:M$1003,$W235)))</f>
        <v/>
      </c>
      <c r="N235" s="56" t="str">
        <f aca="false">IF($W235="","",N(INDEX(发票统计!N$4:N$1003,$W235)))</f>
        <v/>
      </c>
      <c r="O235" s="56" t="str">
        <f aca="false">IF($W235="","",N(INDEX(发票统计!O$4:O$1003,$W235)))</f>
        <v/>
      </c>
      <c r="P235" s="56" t="str">
        <f aca="false">IF($W235="","",SUM(M$4:M235)-SUM(N$4:N235)-SUM(O$4:O235))</f>
        <v/>
      </c>
      <c r="Q235" s="56" t="str">
        <f aca="false">IF($W235="","",N(INDEX(发票统计!Q$4:Q$1003,$W235)))</f>
        <v/>
      </c>
      <c r="R235" s="56" t="str">
        <f aca="false">IF($W235="","",N(INDEX(发票统计!R$4:R$1003,$W235)))</f>
        <v/>
      </c>
      <c r="S235" s="56" t="str">
        <f aca="false">IF($W235="","",N(INDEX(发票统计!S$4:S$1003,$W235)))</f>
        <v/>
      </c>
      <c r="T235" s="56" t="str">
        <f aca="false">IF($W235="","",SUM(Q$4:Q235)-SUM(R$4:R235)-SUM(S$4:S235))</f>
        <v/>
      </c>
      <c r="U235" s="56" t="str">
        <f aca="false">IF($W235="","",INDEX(发票统计!U$4:U$1003,$W235)&amp;"")</f>
        <v/>
      </c>
      <c r="W235" s="1" t="str">
        <f aca="false">IF($V$3="","",IFERROR(MATCH($V$3&amp;"#"&amp;ROWS(W$4:W235),发票统计!$W$4:$W$1003,0),""))</f>
        <v/>
      </c>
    </row>
    <row r="236" customFormat="false" ht="16.5" hidden="false" customHeight="false" outlineLevel="0" collapsed="false">
      <c r="A236" s="3" t="str">
        <f aca="false">IF($W236="","",INDEX(发票统计!A$4:A$1003,$W236)&amp;"")</f>
        <v/>
      </c>
      <c r="B236" s="3" t="str">
        <f aca="false">IF($W236="","",INDEX(发票统计!B$4:B$1003,$W236)&amp;"")</f>
        <v/>
      </c>
      <c r="C236" s="3" t="str">
        <f aca="false">IF($W236="","",INDEX(发票统计!C$4:C$1003,$W236)&amp;"")</f>
        <v/>
      </c>
      <c r="D236" s="3" t="str">
        <f aca="false">IF($W236="","",INDEX(发票统计!D$4:D$1003,$W236)&amp;"")</f>
        <v/>
      </c>
      <c r="E236" s="67" t="str">
        <f aca="false">IF($W236="","",INDEX(发票统计!E$4:E$1003,$W236)&amp;"")</f>
        <v/>
      </c>
      <c r="F236" s="68" t="str">
        <f aca="false">IF($W236="","",INDEX(发票统计!F$4:F$1003,$W236)&amp;"")</f>
        <v/>
      </c>
      <c r="G236" s="68" t="str">
        <f aca="false">IF($W236="","",IF(INDEX(发票统计!G$4:G$1003,$W236)="","",INDEX(发票统计!G$4:G$1003,$W236)))</f>
        <v/>
      </c>
      <c r="H236" s="56" t="str">
        <f aca="false">IF($W236="","",N(INDEX(发票统计!H$4:H$1003,$W236)))</f>
        <v/>
      </c>
      <c r="I236" s="56" t="str">
        <f aca="false">IF($W236="","",N(INDEX(发票统计!I$4:I$1003,$W236)))</f>
        <v/>
      </c>
      <c r="J236" s="56" t="str">
        <f aca="false">IF($W236="","",N(INDEX(发票统计!J$4:J$1003,$W236)))</f>
        <v/>
      </c>
      <c r="K236" s="56" t="str">
        <f aca="false">IF($W236="","",N(INDEX(发票统计!K$4:K$1003,$W236)))</f>
        <v/>
      </c>
      <c r="L236" s="56" t="str">
        <f aca="false">IF($W236="","",SUM(J$4:J236)-SUM(K$4:K236))</f>
        <v/>
      </c>
      <c r="M236" s="56" t="str">
        <f aca="false">IF($W236="","",N(INDEX(发票统计!M$4:M$1003,$W236)))</f>
        <v/>
      </c>
      <c r="N236" s="56" t="str">
        <f aca="false">IF($W236="","",N(INDEX(发票统计!N$4:N$1003,$W236)))</f>
        <v/>
      </c>
      <c r="O236" s="56" t="str">
        <f aca="false">IF($W236="","",N(INDEX(发票统计!O$4:O$1003,$W236)))</f>
        <v/>
      </c>
      <c r="P236" s="56" t="str">
        <f aca="false">IF($W236="","",SUM(M$4:M236)-SUM(N$4:N236)-SUM(O$4:O236))</f>
        <v/>
      </c>
      <c r="Q236" s="56" t="str">
        <f aca="false">IF($W236="","",N(INDEX(发票统计!Q$4:Q$1003,$W236)))</f>
        <v/>
      </c>
      <c r="R236" s="56" t="str">
        <f aca="false">IF($W236="","",N(INDEX(发票统计!R$4:R$1003,$W236)))</f>
        <v/>
      </c>
      <c r="S236" s="56" t="str">
        <f aca="false">IF($W236="","",N(INDEX(发票统计!S$4:S$1003,$W236)))</f>
        <v/>
      </c>
      <c r="T236" s="56" t="str">
        <f aca="false">IF($W236="","",SUM(Q$4:Q236)-SUM(R$4:R236)-SUM(S$4:S236))</f>
        <v/>
      </c>
      <c r="U236" s="56" t="str">
        <f aca="false">IF($W236="","",INDEX(发票统计!U$4:U$1003,$W236)&amp;"")</f>
        <v/>
      </c>
      <c r="W236" s="1" t="str">
        <f aca="false">IF($V$3="","",IFERROR(MATCH($V$3&amp;"#"&amp;ROWS(W$4:W236),发票统计!$W$4:$W$1003,0),""))</f>
        <v/>
      </c>
    </row>
    <row r="237" customFormat="false" ht="16.5" hidden="false" customHeight="false" outlineLevel="0" collapsed="false">
      <c r="A237" s="3" t="str">
        <f aca="false">IF($W237="","",INDEX(发票统计!A$4:A$1003,$W237)&amp;"")</f>
        <v/>
      </c>
      <c r="B237" s="3" t="str">
        <f aca="false">IF($W237="","",INDEX(发票统计!B$4:B$1003,$W237)&amp;"")</f>
        <v/>
      </c>
      <c r="C237" s="3" t="str">
        <f aca="false">IF($W237="","",INDEX(发票统计!C$4:C$1003,$W237)&amp;"")</f>
        <v/>
      </c>
      <c r="D237" s="3" t="str">
        <f aca="false">IF($W237="","",INDEX(发票统计!D$4:D$1003,$W237)&amp;"")</f>
        <v/>
      </c>
      <c r="E237" s="67" t="str">
        <f aca="false">IF($W237="","",INDEX(发票统计!E$4:E$1003,$W237)&amp;"")</f>
        <v/>
      </c>
      <c r="F237" s="68" t="str">
        <f aca="false">IF($W237="","",INDEX(发票统计!F$4:F$1003,$W237)&amp;"")</f>
        <v/>
      </c>
      <c r="G237" s="68" t="str">
        <f aca="false">IF($W237="","",IF(INDEX(发票统计!G$4:G$1003,$W237)="","",INDEX(发票统计!G$4:G$1003,$W237)))</f>
        <v/>
      </c>
      <c r="H237" s="56" t="str">
        <f aca="false">IF($W237="","",N(INDEX(发票统计!H$4:H$1003,$W237)))</f>
        <v/>
      </c>
      <c r="I237" s="56" t="str">
        <f aca="false">IF($W237="","",N(INDEX(发票统计!I$4:I$1003,$W237)))</f>
        <v/>
      </c>
      <c r="J237" s="56" t="str">
        <f aca="false">IF($W237="","",N(INDEX(发票统计!J$4:J$1003,$W237)))</f>
        <v/>
      </c>
      <c r="K237" s="56" t="str">
        <f aca="false">IF($W237="","",N(INDEX(发票统计!K$4:K$1003,$W237)))</f>
        <v/>
      </c>
      <c r="L237" s="56" t="str">
        <f aca="false">IF($W237="","",SUM(J$4:J237)-SUM(K$4:K237))</f>
        <v/>
      </c>
      <c r="M237" s="56" t="str">
        <f aca="false">IF($W237="","",N(INDEX(发票统计!M$4:M$1003,$W237)))</f>
        <v/>
      </c>
      <c r="N237" s="56" t="str">
        <f aca="false">IF($W237="","",N(INDEX(发票统计!N$4:N$1003,$W237)))</f>
        <v/>
      </c>
      <c r="O237" s="56" t="str">
        <f aca="false">IF($W237="","",N(INDEX(发票统计!O$4:O$1003,$W237)))</f>
        <v/>
      </c>
      <c r="P237" s="56" t="str">
        <f aca="false">IF($W237="","",SUM(M$4:M237)-SUM(N$4:N237)-SUM(O$4:O237))</f>
        <v/>
      </c>
      <c r="Q237" s="56" t="str">
        <f aca="false">IF($W237="","",N(INDEX(发票统计!Q$4:Q$1003,$W237)))</f>
        <v/>
      </c>
      <c r="R237" s="56" t="str">
        <f aca="false">IF($W237="","",N(INDEX(发票统计!R$4:R$1003,$W237)))</f>
        <v/>
      </c>
      <c r="S237" s="56" t="str">
        <f aca="false">IF($W237="","",N(INDEX(发票统计!S$4:S$1003,$W237)))</f>
        <v/>
      </c>
      <c r="T237" s="56" t="str">
        <f aca="false">IF($W237="","",SUM(Q$4:Q237)-SUM(R$4:R237)-SUM(S$4:S237))</f>
        <v/>
      </c>
      <c r="U237" s="56" t="str">
        <f aca="false">IF($W237="","",INDEX(发票统计!U$4:U$1003,$W237)&amp;"")</f>
        <v/>
      </c>
      <c r="W237" s="1" t="str">
        <f aca="false">IF($V$3="","",IFERROR(MATCH($V$3&amp;"#"&amp;ROWS(W$4:W237),发票统计!$W$4:$W$1003,0),""))</f>
        <v/>
      </c>
    </row>
    <row r="238" customFormat="false" ht="16.5" hidden="false" customHeight="false" outlineLevel="0" collapsed="false">
      <c r="A238" s="3" t="str">
        <f aca="false">IF($W238="","",INDEX(发票统计!A$4:A$1003,$W238)&amp;"")</f>
        <v/>
      </c>
      <c r="B238" s="3" t="str">
        <f aca="false">IF($W238="","",INDEX(发票统计!B$4:B$1003,$W238)&amp;"")</f>
        <v/>
      </c>
      <c r="C238" s="3" t="str">
        <f aca="false">IF($W238="","",INDEX(发票统计!C$4:C$1003,$W238)&amp;"")</f>
        <v/>
      </c>
      <c r="D238" s="3" t="str">
        <f aca="false">IF($W238="","",INDEX(发票统计!D$4:D$1003,$W238)&amp;"")</f>
        <v/>
      </c>
      <c r="E238" s="67" t="str">
        <f aca="false">IF($W238="","",INDEX(发票统计!E$4:E$1003,$W238)&amp;"")</f>
        <v/>
      </c>
      <c r="F238" s="68" t="str">
        <f aca="false">IF($W238="","",INDEX(发票统计!F$4:F$1003,$W238)&amp;"")</f>
        <v/>
      </c>
      <c r="G238" s="68" t="str">
        <f aca="false">IF($W238="","",IF(INDEX(发票统计!G$4:G$1003,$W238)="","",INDEX(发票统计!G$4:G$1003,$W238)))</f>
        <v/>
      </c>
      <c r="H238" s="56" t="str">
        <f aca="false">IF($W238="","",N(INDEX(发票统计!H$4:H$1003,$W238)))</f>
        <v/>
      </c>
      <c r="I238" s="56" t="str">
        <f aca="false">IF($W238="","",N(INDEX(发票统计!I$4:I$1003,$W238)))</f>
        <v/>
      </c>
      <c r="J238" s="56" t="str">
        <f aca="false">IF($W238="","",N(INDEX(发票统计!J$4:J$1003,$W238)))</f>
        <v/>
      </c>
      <c r="K238" s="56" t="str">
        <f aca="false">IF($W238="","",N(INDEX(发票统计!K$4:K$1003,$W238)))</f>
        <v/>
      </c>
      <c r="L238" s="56" t="str">
        <f aca="false">IF($W238="","",SUM(J$4:J238)-SUM(K$4:K238))</f>
        <v/>
      </c>
      <c r="M238" s="56" t="str">
        <f aca="false">IF($W238="","",N(INDEX(发票统计!M$4:M$1003,$W238)))</f>
        <v/>
      </c>
      <c r="N238" s="56" t="str">
        <f aca="false">IF($W238="","",N(INDEX(发票统计!N$4:N$1003,$W238)))</f>
        <v/>
      </c>
      <c r="O238" s="56" t="str">
        <f aca="false">IF($W238="","",N(INDEX(发票统计!O$4:O$1003,$W238)))</f>
        <v/>
      </c>
      <c r="P238" s="56" t="str">
        <f aca="false">IF($W238="","",SUM(M$4:M238)-SUM(N$4:N238)-SUM(O$4:O238))</f>
        <v/>
      </c>
      <c r="Q238" s="56" t="str">
        <f aca="false">IF($W238="","",N(INDEX(发票统计!Q$4:Q$1003,$W238)))</f>
        <v/>
      </c>
      <c r="R238" s="56" t="str">
        <f aca="false">IF($W238="","",N(INDEX(发票统计!R$4:R$1003,$W238)))</f>
        <v/>
      </c>
      <c r="S238" s="56" t="str">
        <f aca="false">IF($W238="","",N(INDEX(发票统计!S$4:S$1003,$W238)))</f>
        <v/>
      </c>
      <c r="T238" s="56" t="str">
        <f aca="false">IF($W238="","",SUM(Q$4:Q238)-SUM(R$4:R238)-SUM(S$4:S238))</f>
        <v/>
      </c>
      <c r="U238" s="56" t="str">
        <f aca="false">IF($W238="","",INDEX(发票统计!U$4:U$1003,$W238)&amp;"")</f>
        <v/>
      </c>
      <c r="W238" s="1" t="str">
        <f aca="false">IF($V$3="","",IFERROR(MATCH($V$3&amp;"#"&amp;ROWS(W$4:W238),发票统计!$W$4:$W$1003,0),""))</f>
        <v/>
      </c>
    </row>
    <row r="239" customFormat="false" ht="16.5" hidden="false" customHeight="false" outlineLevel="0" collapsed="false">
      <c r="A239" s="3" t="str">
        <f aca="false">IF($W239="","",INDEX(发票统计!A$4:A$1003,$W239)&amp;"")</f>
        <v/>
      </c>
      <c r="B239" s="3" t="str">
        <f aca="false">IF($W239="","",INDEX(发票统计!B$4:B$1003,$W239)&amp;"")</f>
        <v/>
      </c>
      <c r="C239" s="3" t="str">
        <f aca="false">IF($W239="","",INDEX(发票统计!C$4:C$1003,$W239)&amp;"")</f>
        <v/>
      </c>
      <c r="D239" s="3" t="str">
        <f aca="false">IF($W239="","",INDEX(发票统计!D$4:D$1003,$W239)&amp;"")</f>
        <v/>
      </c>
      <c r="E239" s="67" t="str">
        <f aca="false">IF($W239="","",INDEX(发票统计!E$4:E$1003,$W239)&amp;"")</f>
        <v/>
      </c>
      <c r="F239" s="68" t="str">
        <f aca="false">IF($W239="","",INDEX(发票统计!F$4:F$1003,$W239)&amp;"")</f>
        <v/>
      </c>
      <c r="G239" s="68" t="str">
        <f aca="false">IF($W239="","",IF(INDEX(发票统计!G$4:G$1003,$W239)="","",INDEX(发票统计!G$4:G$1003,$W239)))</f>
        <v/>
      </c>
      <c r="H239" s="56" t="str">
        <f aca="false">IF($W239="","",N(INDEX(发票统计!H$4:H$1003,$W239)))</f>
        <v/>
      </c>
      <c r="I239" s="56" t="str">
        <f aca="false">IF($W239="","",N(INDEX(发票统计!I$4:I$1003,$W239)))</f>
        <v/>
      </c>
      <c r="J239" s="56" t="str">
        <f aca="false">IF($W239="","",N(INDEX(发票统计!J$4:J$1003,$W239)))</f>
        <v/>
      </c>
      <c r="K239" s="56" t="str">
        <f aca="false">IF($W239="","",N(INDEX(发票统计!K$4:K$1003,$W239)))</f>
        <v/>
      </c>
      <c r="L239" s="56" t="str">
        <f aca="false">IF($W239="","",SUM(J$4:J239)-SUM(K$4:K239))</f>
        <v/>
      </c>
      <c r="M239" s="56" t="str">
        <f aca="false">IF($W239="","",N(INDEX(发票统计!M$4:M$1003,$W239)))</f>
        <v/>
      </c>
      <c r="N239" s="56" t="str">
        <f aca="false">IF($W239="","",N(INDEX(发票统计!N$4:N$1003,$W239)))</f>
        <v/>
      </c>
      <c r="O239" s="56" t="str">
        <f aca="false">IF($W239="","",N(INDEX(发票统计!O$4:O$1003,$W239)))</f>
        <v/>
      </c>
      <c r="P239" s="56" t="str">
        <f aca="false">IF($W239="","",SUM(M$4:M239)-SUM(N$4:N239)-SUM(O$4:O239))</f>
        <v/>
      </c>
      <c r="Q239" s="56" t="str">
        <f aca="false">IF($W239="","",N(INDEX(发票统计!Q$4:Q$1003,$W239)))</f>
        <v/>
      </c>
      <c r="R239" s="56" t="str">
        <f aca="false">IF($W239="","",N(INDEX(发票统计!R$4:R$1003,$W239)))</f>
        <v/>
      </c>
      <c r="S239" s="56" t="str">
        <f aca="false">IF($W239="","",N(INDEX(发票统计!S$4:S$1003,$W239)))</f>
        <v/>
      </c>
      <c r="T239" s="56" t="str">
        <f aca="false">IF($W239="","",SUM(Q$4:Q239)-SUM(R$4:R239)-SUM(S$4:S239))</f>
        <v/>
      </c>
      <c r="U239" s="56" t="str">
        <f aca="false">IF($W239="","",INDEX(发票统计!U$4:U$1003,$W239)&amp;"")</f>
        <v/>
      </c>
      <c r="W239" s="1" t="str">
        <f aca="false">IF($V$3="","",IFERROR(MATCH($V$3&amp;"#"&amp;ROWS(W$4:W239),发票统计!$W$4:$W$1003,0),""))</f>
        <v/>
      </c>
    </row>
    <row r="240" customFormat="false" ht="16.5" hidden="false" customHeight="false" outlineLevel="0" collapsed="false">
      <c r="A240" s="3" t="str">
        <f aca="false">IF($W240="","",INDEX(发票统计!A$4:A$1003,$W240)&amp;"")</f>
        <v/>
      </c>
      <c r="B240" s="3" t="str">
        <f aca="false">IF($W240="","",INDEX(发票统计!B$4:B$1003,$W240)&amp;"")</f>
        <v/>
      </c>
      <c r="C240" s="3" t="str">
        <f aca="false">IF($W240="","",INDEX(发票统计!C$4:C$1003,$W240)&amp;"")</f>
        <v/>
      </c>
      <c r="D240" s="3" t="str">
        <f aca="false">IF($W240="","",INDEX(发票统计!D$4:D$1003,$W240)&amp;"")</f>
        <v/>
      </c>
      <c r="E240" s="67" t="str">
        <f aca="false">IF($W240="","",INDEX(发票统计!E$4:E$1003,$W240)&amp;"")</f>
        <v/>
      </c>
      <c r="F240" s="68" t="str">
        <f aca="false">IF($W240="","",INDEX(发票统计!F$4:F$1003,$W240)&amp;"")</f>
        <v/>
      </c>
      <c r="G240" s="68" t="str">
        <f aca="false">IF($W240="","",IF(INDEX(发票统计!G$4:G$1003,$W240)="","",INDEX(发票统计!G$4:G$1003,$W240)))</f>
        <v/>
      </c>
      <c r="H240" s="56" t="str">
        <f aca="false">IF($W240="","",N(INDEX(发票统计!H$4:H$1003,$W240)))</f>
        <v/>
      </c>
      <c r="I240" s="56" t="str">
        <f aca="false">IF($W240="","",N(INDEX(发票统计!I$4:I$1003,$W240)))</f>
        <v/>
      </c>
      <c r="J240" s="56" t="str">
        <f aca="false">IF($W240="","",N(INDEX(发票统计!J$4:J$1003,$W240)))</f>
        <v/>
      </c>
      <c r="K240" s="56" t="str">
        <f aca="false">IF($W240="","",N(INDEX(发票统计!K$4:K$1003,$W240)))</f>
        <v/>
      </c>
      <c r="L240" s="56" t="str">
        <f aca="false">IF($W240="","",SUM(J$4:J240)-SUM(K$4:K240))</f>
        <v/>
      </c>
      <c r="M240" s="56" t="str">
        <f aca="false">IF($W240="","",N(INDEX(发票统计!M$4:M$1003,$W240)))</f>
        <v/>
      </c>
      <c r="N240" s="56" t="str">
        <f aca="false">IF($W240="","",N(INDEX(发票统计!N$4:N$1003,$W240)))</f>
        <v/>
      </c>
      <c r="O240" s="56" t="str">
        <f aca="false">IF($W240="","",N(INDEX(发票统计!O$4:O$1003,$W240)))</f>
        <v/>
      </c>
      <c r="P240" s="56" t="str">
        <f aca="false">IF($W240="","",SUM(M$4:M240)-SUM(N$4:N240)-SUM(O$4:O240))</f>
        <v/>
      </c>
      <c r="Q240" s="56" t="str">
        <f aca="false">IF($W240="","",N(INDEX(发票统计!Q$4:Q$1003,$W240)))</f>
        <v/>
      </c>
      <c r="R240" s="56" t="str">
        <f aca="false">IF($W240="","",N(INDEX(发票统计!R$4:R$1003,$W240)))</f>
        <v/>
      </c>
      <c r="S240" s="56" t="str">
        <f aca="false">IF($W240="","",N(INDEX(发票统计!S$4:S$1003,$W240)))</f>
        <v/>
      </c>
      <c r="T240" s="56" t="str">
        <f aca="false">IF($W240="","",SUM(Q$4:Q240)-SUM(R$4:R240)-SUM(S$4:S240))</f>
        <v/>
      </c>
      <c r="U240" s="56" t="str">
        <f aca="false">IF($W240="","",INDEX(发票统计!U$4:U$1003,$W240)&amp;"")</f>
        <v/>
      </c>
      <c r="W240" s="1" t="str">
        <f aca="false">IF($V$3="","",IFERROR(MATCH($V$3&amp;"#"&amp;ROWS(W$4:W240),发票统计!$W$4:$W$1003,0),""))</f>
        <v/>
      </c>
    </row>
    <row r="241" customFormat="false" ht="16.5" hidden="false" customHeight="false" outlineLevel="0" collapsed="false">
      <c r="A241" s="3" t="str">
        <f aca="false">IF($W241="","",INDEX(发票统计!A$4:A$1003,$W241)&amp;"")</f>
        <v/>
      </c>
      <c r="B241" s="3" t="str">
        <f aca="false">IF($W241="","",INDEX(发票统计!B$4:B$1003,$W241)&amp;"")</f>
        <v/>
      </c>
      <c r="C241" s="3" t="str">
        <f aca="false">IF($W241="","",INDEX(发票统计!C$4:C$1003,$W241)&amp;"")</f>
        <v/>
      </c>
      <c r="D241" s="3" t="str">
        <f aca="false">IF($W241="","",INDEX(发票统计!D$4:D$1003,$W241)&amp;"")</f>
        <v/>
      </c>
      <c r="E241" s="67" t="str">
        <f aca="false">IF($W241="","",INDEX(发票统计!E$4:E$1003,$W241)&amp;"")</f>
        <v/>
      </c>
      <c r="F241" s="68" t="str">
        <f aca="false">IF($W241="","",INDEX(发票统计!F$4:F$1003,$W241)&amp;"")</f>
        <v/>
      </c>
      <c r="G241" s="68" t="str">
        <f aca="false">IF($W241="","",IF(INDEX(发票统计!G$4:G$1003,$W241)="","",INDEX(发票统计!G$4:G$1003,$W241)))</f>
        <v/>
      </c>
      <c r="H241" s="56" t="str">
        <f aca="false">IF($W241="","",N(INDEX(发票统计!H$4:H$1003,$W241)))</f>
        <v/>
      </c>
      <c r="I241" s="56" t="str">
        <f aca="false">IF($W241="","",N(INDEX(发票统计!I$4:I$1003,$W241)))</f>
        <v/>
      </c>
      <c r="J241" s="56" t="str">
        <f aca="false">IF($W241="","",N(INDEX(发票统计!J$4:J$1003,$W241)))</f>
        <v/>
      </c>
      <c r="K241" s="56" t="str">
        <f aca="false">IF($W241="","",N(INDEX(发票统计!K$4:K$1003,$W241)))</f>
        <v/>
      </c>
      <c r="L241" s="56" t="str">
        <f aca="false">IF($W241="","",SUM(J$4:J241)-SUM(K$4:K241))</f>
        <v/>
      </c>
      <c r="M241" s="56" t="str">
        <f aca="false">IF($W241="","",N(INDEX(发票统计!M$4:M$1003,$W241)))</f>
        <v/>
      </c>
      <c r="N241" s="56" t="str">
        <f aca="false">IF($W241="","",N(INDEX(发票统计!N$4:N$1003,$W241)))</f>
        <v/>
      </c>
      <c r="O241" s="56" t="str">
        <f aca="false">IF($W241="","",N(INDEX(发票统计!O$4:O$1003,$W241)))</f>
        <v/>
      </c>
      <c r="P241" s="56" t="str">
        <f aca="false">IF($W241="","",SUM(M$4:M241)-SUM(N$4:N241)-SUM(O$4:O241))</f>
        <v/>
      </c>
      <c r="Q241" s="56" t="str">
        <f aca="false">IF($W241="","",N(INDEX(发票统计!Q$4:Q$1003,$W241)))</f>
        <v/>
      </c>
      <c r="R241" s="56" t="str">
        <f aca="false">IF($W241="","",N(INDEX(发票统计!R$4:R$1003,$W241)))</f>
        <v/>
      </c>
      <c r="S241" s="56" t="str">
        <f aca="false">IF($W241="","",N(INDEX(发票统计!S$4:S$1003,$W241)))</f>
        <v/>
      </c>
      <c r="T241" s="56" t="str">
        <f aca="false">IF($W241="","",SUM(Q$4:Q241)-SUM(R$4:R241)-SUM(S$4:S241))</f>
        <v/>
      </c>
      <c r="U241" s="56" t="str">
        <f aca="false">IF($W241="","",INDEX(发票统计!U$4:U$1003,$W241)&amp;"")</f>
        <v/>
      </c>
      <c r="W241" s="1" t="str">
        <f aca="false">IF($V$3="","",IFERROR(MATCH($V$3&amp;"#"&amp;ROWS(W$4:W241),发票统计!$W$4:$W$1003,0),""))</f>
        <v/>
      </c>
    </row>
    <row r="242" customFormat="false" ht="16.5" hidden="false" customHeight="false" outlineLevel="0" collapsed="false">
      <c r="A242" s="3" t="str">
        <f aca="false">IF($W242="","",INDEX(发票统计!A$4:A$1003,$W242)&amp;"")</f>
        <v/>
      </c>
      <c r="B242" s="3" t="str">
        <f aca="false">IF($W242="","",INDEX(发票统计!B$4:B$1003,$W242)&amp;"")</f>
        <v/>
      </c>
      <c r="C242" s="3" t="str">
        <f aca="false">IF($W242="","",INDEX(发票统计!C$4:C$1003,$W242)&amp;"")</f>
        <v/>
      </c>
      <c r="D242" s="3" t="str">
        <f aca="false">IF($W242="","",INDEX(发票统计!D$4:D$1003,$W242)&amp;"")</f>
        <v/>
      </c>
      <c r="E242" s="67" t="str">
        <f aca="false">IF($W242="","",INDEX(发票统计!E$4:E$1003,$W242)&amp;"")</f>
        <v/>
      </c>
      <c r="F242" s="68" t="str">
        <f aca="false">IF($W242="","",INDEX(发票统计!F$4:F$1003,$W242)&amp;"")</f>
        <v/>
      </c>
      <c r="G242" s="68" t="str">
        <f aca="false">IF($W242="","",IF(INDEX(发票统计!G$4:G$1003,$W242)="","",INDEX(发票统计!G$4:G$1003,$W242)))</f>
        <v/>
      </c>
      <c r="H242" s="56" t="str">
        <f aca="false">IF($W242="","",N(INDEX(发票统计!H$4:H$1003,$W242)))</f>
        <v/>
      </c>
      <c r="I242" s="56" t="str">
        <f aca="false">IF($W242="","",N(INDEX(发票统计!I$4:I$1003,$W242)))</f>
        <v/>
      </c>
      <c r="J242" s="56" t="str">
        <f aca="false">IF($W242="","",N(INDEX(发票统计!J$4:J$1003,$W242)))</f>
        <v/>
      </c>
      <c r="K242" s="56" t="str">
        <f aca="false">IF($W242="","",N(INDEX(发票统计!K$4:K$1003,$W242)))</f>
        <v/>
      </c>
      <c r="L242" s="56" t="str">
        <f aca="false">IF($W242="","",SUM(J$4:J242)-SUM(K$4:K242))</f>
        <v/>
      </c>
      <c r="M242" s="56" t="str">
        <f aca="false">IF($W242="","",N(INDEX(发票统计!M$4:M$1003,$W242)))</f>
        <v/>
      </c>
      <c r="N242" s="56" t="str">
        <f aca="false">IF($W242="","",N(INDEX(发票统计!N$4:N$1003,$W242)))</f>
        <v/>
      </c>
      <c r="O242" s="56" t="str">
        <f aca="false">IF($W242="","",N(INDEX(发票统计!O$4:O$1003,$W242)))</f>
        <v/>
      </c>
      <c r="P242" s="56" t="str">
        <f aca="false">IF($W242="","",SUM(M$4:M242)-SUM(N$4:N242)-SUM(O$4:O242))</f>
        <v/>
      </c>
      <c r="Q242" s="56" t="str">
        <f aca="false">IF($W242="","",N(INDEX(发票统计!Q$4:Q$1003,$W242)))</f>
        <v/>
      </c>
      <c r="R242" s="56" t="str">
        <f aca="false">IF($W242="","",N(INDEX(发票统计!R$4:R$1003,$W242)))</f>
        <v/>
      </c>
      <c r="S242" s="56" t="str">
        <f aca="false">IF($W242="","",N(INDEX(发票统计!S$4:S$1003,$W242)))</f>
        <v/>
      </c>
      <c r="T242" s="56" t="str">
        <f aca="false">IF($W242="","",SUM(Q$4:Q242)-SUM(R$4:R242)-SUM(S$4:S242))</f>
        <v/>
      </c>
      <c r="U242" s="56" t="str">
        <f aca="false">IF($W242="","",INDEX(发票统计!U$4:U$1003,$W242)&amp;"")</f>
        <v/>
      </c>
      <c r="W242" s="1" t="str">
        <f aca="false">IF($V$3="","",IFERROR(MATCH($V$3&amp;"#"&amp;ROWS(W$4:W242),发票统计!$W$4:$W$1003,0),""))</f>
        <v/>
      </c>
    </row>
    <row r="243" customFormat="false" ht="16.5" hidden="false" customHeight="false" outlineLevel="0" collapsed="false">
      <c r="A243" s="3" t="str">
        <f aca="false">IF($W243="","",INDEX(发票统计!A$4:A$1003,$W243)&amp;"")</f>
        <v/>
      </c>
      <c r="B243" s="3" t="str">
        <f aca="false">IF($W243="","",INDEX(发票统计!B$4:B$1003,$W243)&amp;"")</f>
        <v/>
      </c>
      <c r="C243" s="3" t="str">
        <f aca="false">IF($W243="","",INDEX(发票统计!C$4:C$1003,$W243)&amp;"")</f>
        <v/>
      </c>
      <c r="D243" s="3" t="str">
        <f aca="false">IF($W243="","",INDEX(发票统计!D$4:D$1003,$W243)&amp;"")</f>
        <v/>
      </c>
      <c r="E243" s="67" t="str">
        <f aca="false">IF($W243="","",INDEX(发票统计!E$4:E$1003,$W243)&amp;"")</f>
        <v/>
      </c>
      <c r="F243" s="68" t="str">
        <f aca="false">IF($W243="","",INDEX(发票统计!F$4:F$1003,$W243)&amp;"")</f>
        <v/>
      </c>
      <c r="G243" s="68" t="str">
        <f aca="false">IF($W243="","",IF(INDEX(发票统计!G$4:G$1003,$W243)="","",INDEX(发票统计!G$4:G$1003,$W243)))</f>
        <v/>
      </c>
      <c r="H243" s="56" t="str">
        <f aca="false">IF($W243="","",N(INDEX(发票统计!H$4:H$1003,$W243)))</f>
        <v/>
      </c>
      <c r="I243" s="56" t="str">
        <f aca="false">IF($W243="","",N(INDEX(发票统计!I$4:I$1003,$W243)))</f>
        <v/>
      </c>
      <c r="J243" s="56" t="str">
        <f aca="false">IF($W243="","",N(INDEX(发票统计!J$4:J$1003,$W243)))</f>
        <v/>
      </c>
      <c r="K243" s="56" t="str">
        <f aca="false">IF($W243="","",N(INDEX(发票统计!K$4:K$1003,$W243)))</f>
        <v/>
      </c>
      <c r="L243" s="56" t="str">
        <f aca="false">IF($W243="","",SUM(J$4:J243)-SUM(K$4:K243))</f>
        <v/>
      </c>
      <c r="M243" s="56" t="str">
        <f aca="false">IF($W243="","",N(INDEX(发票统计!M$4:M$1003,$W243)))</f>
        <v/>
      </c>
      <c r="N243" s="56" t="str">
        <f aca="false">IF($W243="","",N(INDEX(发票统计!N$4:N$1003,$W243)))</f>
        <v/>
      </c>
      <c r="O243" s="56" t="str">
        <f aca="false">IF($W243="","",N(INDEX(发票统计!O$4:O$1003,$W243)))</f>
        <v/>
      </c>
      <c r="P243" s="56" t="str">
        <f aca="false">IF($W243="","",SUM(M$4:M243)-SUM(N$4:N243)-SUM(O$4:O243))</f>
        <v/>
      </c>
      <c r="Q243" s="56" t="str">
        <f aca="false">IF($W243="","",N(INDEX(发票统计!Q$4:Q$1003,$W243)))</f>
        <v/>
      </c>
      <c r="R243" s="56" t="str">
        <f aca="false">IF($W243="","",N(INDEX(发票统计!R$4:R$1003,$W243)))</f>
        <v/>
      </c>
      <c r="S243" s="56" t="str">
        <f aca="false">IF($W243="","",N(INDEX(发票统计!S$4:S$1003,$W243)))</f>
        <v/>
      </c>
      <c r="T243" s="56" t="str">
        <f aca="false">IF($W243="","",SUM(Q$4:Q243)-SUM(R$4:R243)-SUM(S$4:S243))</f>
        <v/>
      </c>
      <c r="U243" s="56" t="str">
        <f aca="false">IF($W243="","",INDEX(发票统计!U$4:U$1003,$W243)&amp;"")</f>
        <v/>
      </c>
      <c r="W243" s="1" t="str">
        <f aca="false">IF($V$3="","",IFERROR(MATCH($V$3&amp;"#"&amp;ROWS(W$4:W243),发票统计!$W$4:$W$1003,0),""))</f>
        <v/>
      </c>
    </row>
    <row r="244" customFormat="false" ht="16.5" hidden="false" customHeight="false" outlineLevel="0" collapsed="false">
      <c r="A244" s="3" t="str">
        <f aca="false">IF($W244="","",INDEX(发票统计!A$4:A$1003,$W244)&amp;"")</f>
        <v/>
      </c>
      <c r="B244" s="3" t="str">
        <f aca="false">IF($W244="","",INDEX(发票统计!B$4:B$1003,$W244)&amp;"")</f>
        <v/>
      </c>
      <c r="C244" s="3" t="str">
        <f aca="false">IF($W244="","",INDEX(发票统计!C$4:C$1003,$W244)&amp;"")</f>
        <v/>
      </c>
      <c r="D244" s="3" t="str">
        <f aca="false">IF($W244="","",INDEX(发票统计!D$4:D$1003,$W244)&amp;"")</f>
        <v/>
      </c>
      <c r="E244" s="67" t="str">
        <f aca="false">IF($W244="","",INDEX(发票统计!E$4:E$1003,$W244)&amp;"")</f>
        <v/>
      </c>
      <c r="F244" s="68" t="str">
        <f aca="false">IF($W244="","",INDEX(发票统计!F$4:F$1003,$W244)&amp;"")</f>
        <v/>
      </c>
      <c r="G244" s="68" t="str">
        <f aca="false">IF($W244="","",IF(INDEX(发票统计!G$4:G$1003,$W244)="","",INDEX(发票统计!G$4:G$1003,$W244)))</f>
        <v/>
      </c>
      <c r="H244" s="56" t="str">
        <f aca="false">IF($W244="","",N(INDEX(发票统计!H$4:H$1003,$W244)))</f>
        <v/>
      </c>
      <c r="I244" s="56" t="str">
        <f aca="false">IF($W244="","",N(INDEX(发票统计!I$4:I$1003,$W244)))</f>
        <v/>
      </c>
      <c r="J244" s="56" t="str">
        <f aca="false">IF($W244="","",N(INDEX(发票统计!J$4:J$1003,$W244)))</f>
        <v/>
      </c>
      <c r="K244" s="56" t="str">
        <f aca="false">IF($W244="","",N(INDEX(发票统计!K$4:K$1003,$W244)))</f>
        <v/>
      </c>
      <c r="L244" s="56" t="str">
        <f aca="false">IF($W244="","",SUM(J$4:J244)-SUM(K$4:K244))</f>
        <v/>
      </c>
      <c r="M244" s="56" t="str">
        <f aca="false">IF($W244="","",N(INDEX(发票统计!M$4:M$1003,$W244)))</f>
        <v/>
      </c>
      <c r="N244" s="56" t="str">
        <f aca="false">IF($W244="","",N(INDEX(发票统计!N$4:N$1003,$W244)))</f>
        <v/>
      </c>
      <c r="O244" s="56" t="str">
        <f aca="false">IF($W244="","",N(INDEX(发票统计!O$4:O$1003,$W244)))</f>
        <v/>
      </c>
      <c r="P244" s="56" t="str">
        <f aca="false">IF($W244="","",SUM(M$4:M244)-SUM(N$4:N244)-SUM(O$4:O244))</f>
        <v/>
      </c>
      <c r="Q244" s="56" t="str">
        <f aca="false">IF($W244="","",N(INDEX(发票统计!Q$4:Q$1003,$W244)))</f>
        <v/>
      </c>
      <c r="R244" s="56" t="str">
        <f aca="false">IF($W244="","",N(INDEX(发票统计!R$4:R$1003,$W244)))</f>
        <v/>
      </c>
      <c r="S244" s="56" t="str">
        <f aca="false">IF($W244="","",N(INDEX(发票统计!S$4:S$1003,$W244)))</f>
        <v/>
      </c>
      <c r="T244" s="56" t="str">
        <f aca="false">IF($W244="","",SUM(Q$4:Q244)-SUM(R$4:R244)-SUM(S$4:S244))</f>
        <v/>
      </c>
      <c r="U244" s="56" t="str">
        <f aca="false">IF($W244="","",INDEX(发票统计!U$4:U$1003,$W244)&amp;"")</f>
        <v/>
      </c>
      <c r="W244" s="1" t="str">
        <f aca="false">IF($V$3="","",IFERROR(MATCH($V$3&amp;"#"&amp;ROWS(W$4:W244),发票统计!$W$4:$W$1003,0),""))</f>
        <v/>
      </c>
    </row>
    <row r="245" customFormat="false" ht="16.5" hidden="false" customHeight="false" outlineLevel="0" collapsed="false">
      <c r="A245" s="3" t="str">
        <f aca="false">IF($W245="","",INDEX(发票统计!A$4:A$1003,$W245)&amp;"")</f>
        <v/>
      </c>
      <c r="B245" s="3" t="str">
        <f aca="false">IF($W245="","",INDEX(发票统计!B$4:B$1003,$W245)&amp;"")</f>
        <v/>
      </c>
      <c r="C245" s="3" t="str">
        <f aca="false">IF($W245="","",INDEX(发票统计!C$4:C$1003,$W245)&amp;"")</f>
        <v/>
      </c>
      <c r="D245" s="3" t="str">
        <f aca="false">IF($W245="","",INDEX(发票统计!D$4:D$1003,$W245)&amp;"")</f>
        <v/>
      </c>
      <c r="E245" s="67" t="str">
        <f aca="false">IF($W245="","",INDEX(发票统计!E$4:E$1003,$W245)&amp;"")</f>
        <v/>
      </c>
      <c r="F245" s="68" t="str">
        <f aca="false">IF($W245="","",INDEX(发票统计!F$4:F$1003,$W245)&amp;"")</f>
        <v/>
      </c>
      <c r="G245" s="68" t="str">
        <f aca="false">IF($W245="","",IF(INDEX(发票统计!G$4:G$1003,$W245)="","",INDEX(发票统计!G$4:G$1003,$W245)))</f>
        <v/>
      </c>
      <c r="H245" s="56" t="str">
        <f aca="false">IF($W245="","",N(INDEX(发票统计!H$4:H$1003,$W245)))</f>
        <v/>
      </c>
      <c r="I245" s="56" t="str">
        <f aca="false">IF($W245="","",N(INDEX(发票统计!I$4:I$1003,$W245)))</f>
        <v/>
      </c>
      <c r="J245" s="56" t="str">
        <f aca="false">IF($W245="","",N(INDEX(发票统计!J$4:J$1003,$W245)))</f>
        <v/>
      </c>
      <c r="K245" s="56" t="str">
        <f aca="false">IF($W245="","",N(INDEX(发票统计!K$4:K$1003,$W245)))</f>
        <v/>
      </c>
      <c r="L245" s="56" t="str">
        <f aca="false">IF($W245="","",SUM(J$4:J245)-SUM(K$4:K245))</f>
        <v/>
      </c>
      <c r="M245" s="56" t="str">
        <f aca="false">IF($W245="","",N(INDEX(发票统计!M$4:M$1003,$W245)))</f>
        <v/>
      </c>
      <c r="N245" s="56" t="str">
        <f aca="false">IF($W245="","",N(INDEX(发票统计!N$4:N$1003,$W245)))</f>
        <v/>
      </c>
      <c r="O245" s="56" t="str">
        <f aca="false">IF($W245="","",N(INDEX(发票统计!O$4:O$1003,$W245)))</f>
        <v/>
      </c>
      <c r="P245" s="56" t="str">
        <f aca="false">IF($W245="","",SUM(M$4:M245)-SUM(N$4:N245)-SUM(O$4:O245))</f>
        <v/>
      </c>
      <c r="Q245" s="56" t="str">
        <f aca="false">IF($W245="","",N(INDEX(发票统计!Q$4:Q$1003,$W245)))</f>
        <v/>
      </c>
      <c r="R245" s="56" t="str">
        <f aca="false">IF($W245="","",N(INDEX(发票统计!R$4:R$1003,$W245)))</f>
        <v/>
      </c>
      <c r="S245" s="56" t="str">
        <f aca="false">IF($W245="","",N(INDEX(发票统计!S$4:S$1003,$W245)))</f>
        <v/>
      </c>
      <c r="T245" s="56" t="str">
        <f aca="false">IF($W245="","",SUM(Q$4:Q245)-SUM(R$4:R245)-SUM(S$4:S245))</f>
        <v/>
      </c>
      <c r="U245" s="56" t="str">
        <f aca="false">IF($W245="","",INDEX(发票统计!U$4:U$1003,$W245)&amp;"")</f>
        <v/>
      </c>
      <c r="W245" s="1" t="str">
        <f aca="false">IF($V$3="","",IFERROR(MATCH($V$3&amp;"#"&amp;ROWS(W$4:W245),发票统计!$W$4:$W$1003,0),""))</f>
        <v/>
      </c>
    </row>
    <row r="246" customFormat="false" ht="16.5" hidden="false" customHeight="false" outlineLevel="0" collapsed="false">
      <c r="A246" s="3" t="str">
        <f aca="false">IF($W246="","",INDEX(发票统计!A$4:A$1003,$W246)&amp;"")</f>
        <v/>
      </c>
      <c r="B246" s="3" t="str">
        <f aca="false">IF($W246="","",INDEX(发票统计!B$4:B$1003,$W246)&amp;"")</f>
        <v/>
      </c>
      <c r="C246" s="3" t="str">
        <f aca="false">IF($W246="","",INDEX(发票统计!C$4:C$1003,$W246)&amp;"")</f>
        <v/>
      </c>
      <c r="D246" s="3" t="str">
        <f aca="false">IF($W246="","",INDEX(发票统计!D$4:D$1003,$W246)&amp;"")</f>
        <v/>
      </c>
      <c r="E246" s="67" t="str">
        <f aca="false">IF($W246="","",INDEX(发票统计!E$4:E$1003,$W246)&amp;"")</f>
        <v/>
      </c>
      <c r="F246" s="68" t="str">
        <f aca="false">IF($W246="","",INDEX(发票统计!F$4:F$1003,$W246)&amp;"")</f>
        <v/>
      </c>
      <c r="G246" s="68" t="str">
        <f aca="false">IF($W246="","",IF(INDEX(发票统计!G$4:G$1003,$W246)="","",INDEX(发票统计!G$4:G$1003,$W246)))</f>
        <v/>
      </c>
      <c r="H246" s="56" t="str">
        <f aca="false">IF($W246="","",N(INDEX(发票统计!H$4:H$1003,$W246)))</f>
        <v/>
      </c>
      <c r="I246" s="56" t="str">
        <f aca="false">IF($W246="","",N(INDEX(发票统计!I$4:I$1003,$W246)))</f>
        <v/>
      </c>
      <c r="J246" s="56" t="str">
        <f aca="false">IF($W246="","",N(INDEX(发票统计!J$4:J$1003,$W246)))</f>
        <v/>
      </c>
      <c r="K246" s="56" t="str">
        <f aca="false">IF($W246="","",N(INDEX(发票统计!K$4:K$1003,$W246)))</f>
        <v/>
      </c>
      <c r="L246" s="56" t="str">
        <f aca="false">IF($W246="","",SUM(J$4:J246)-SUM(K$4:K246))</f>
        <v/>
      </c>
      <c r="M246" s="56" t="str">
        <f aca="false">IF($W246="","",N(INDEX(发票统计!M$4:M$1003,$W246)))</f>
        <v/>
      </c>
      <c r="N246" s="56" t="str">
        <f aca="false">IF($W246="","",N(INDEX(发票统计!N$4:N$1003,$W246)))</f>
        <v/>
      </c>
      <c r="O246" s="56" t="str">
        <f aca="false">IF($W246="","",N(INDEX(发票统计!O$4:O$1003,$W246)))</f>
        <v/>
      </c>
      <c r="P246" s="56" t="str">
        <f aca="false">IF($W246="","",SUM(M$4:M246)-SUM(N$4:N246)-SUM(O$4:O246))</f>
        <v/>
      </c>
      <c r="Q246" s="56" t="str">
        <f aca="false">IF($W246="","",N(INDEX(发票统计!Q$4:Q$1003,$W246)))</f>
        <v/>
      </c>
      <c r="R246" s="56" t="str">
        <f aca="false">IF($W246="","",N(INDEX(发票统计!R$4:R$1003,$W246)))</f>
        <v/>
      </c>
      <c r="S246" s="56" t="str">
        <f aca="false">IF($W246="","",N(INDEX(发票统计!S$4:S$1003,$W246)))</f>
        <v/>
      </c>
      <c r="T246" s="56" t="str">
        <f aca="false">IF($W246="","",SUM(Q$4:Q246)-SUM(R$4:R246)-SUM(S$4:S246))</f>
        <v/>
      </c>
      <c r="U246" s="56" t="str">
        <f aca="false">IF($W246="","",INDEX(发票统计!U$4:U$1003,$W246)&amp;"")</f>
        <v/>
      </c>
      <c r="W246" s="1" t="str">
        <f aca="false">IF($V$3="","",IFERROR(MATCH($V$3&amp;"#"&amp;ROWS(W$4:W246),发票统计!$W$4:$W$1003,0),""))</f>
        <v/>
      </c>
    </row>
    <row r="247" customFormat="false" ht="16.5" hidden="false" customHeight="false" outlineLevel="0" collapsed="false">
      <c r="A247" s="3" t="str">
        <f aca="false">IF($W247="","",INDEX(发票统计!A$4:A$1003,$W247)&amp;"")</f>
        <v/>
      </c>
      <c r="B247" s="3" t="str">
        <f aca="false">IF($W247="","",INDEX(发票统计!B$4:B$1003,$W247)&amp;"")</f>
        <v/>
      </c>
      <c r="C247" s="3" t="str">
        <f aca="false">IF($W247="","",INDEX(发票统计!C$4:C$1003,$W247)&amp;"")</f>
        <v/>
      </c>
      <c r="D247" s="3" t="str">
        <f aca="false">IF($W247="","",INDEX(发票统计!D$4:D$1003,$W247)&amp;"")</f>
        <v/>
      </c>
      <c r="E247" s="67" t="str">
        <f aca="false">IF($W247="","",INDEX(发票统计!E$4:E$1003,$W247)&amp;"")</f>
        <v/>
      </c>
      <c r="F247" s="68" t="str">
        <f aca="false">IF($W247="","",INDEX(发票统计!F$4:F$1003,$W247)&amp;"")</f>
        <v/>
      </c>
      <c r="G247" s="68" t="str">
        <f aca="false">IF($W247="","",IF(INDEX(发票统计!G$4:G$1003,$W247)="","",INDEX(发票统计!G$4:G$1003,$W247)))</f>
        <v/>
      </c>
      <c r="H247" s="56" t="str">
        <f aca="false">IF($W247="","",N(INDEX(发票统计!H$4:H$1003,$W247)))</f>
        <v/>
      </c>
      <c r="I247" s="56" t="str">
        <f aca="false">IF($W247="","",N(INDEX(发票统计!I$4:I$1003,$W247)))</f>
        <v/>
      </c>
      <c r="J247" s="56" t="str">
        <f aca="false">IF($W247="","",N(INDEX(发票统计!J$4:J$1003,$W247)))</f>
        <v/>
      </c>
      <c r="K247" s="56" t="str">
        <f aca="false">IF($W247="","",N(INDEX(发票统计!K$4:K$1003,$W247)))</f>
        <v/>
      </c>
      <c r="L247" s="56" t="str">
        <f aca="false">IF($W247="","",SUM(J$4:J247)-SUM(K$4:K247))</f>
        <v/>
      </c>
      <c r="M247" s="56" t="str">
        <f aca="false">IF($W247="","",N(INDEX(发票统计!M$4:M$1003,$W247)))</f>
        <v/>
      </c>
      <c r="N247" s="56" t="str">
        <f aca="false">IF($W247="","",N(INDEX(发票统计!N$4:N$1003,$W247)))</f>
        <v/>
      </c>
      <c r="O247" s="56" t="str">
        <f aca="false">IF($W247="","",N(INDEX(发票统计!O$4:O$1003,$W247)))</f>
        <v/>
      </c>
      <c r="P247" s="56" t="str">
        <f aca="false">IF($W247="","",SUM(M$4:M247)-SUM(N$4:N247)-SUM(O$4:O247))</f>
        <v/>
      </c>
      <c r="Q247" s="56" t="str">
        <f aca="false">IF($W247="","",N(INDEX(发票统计!Q$4:Q$1003,$W247)))</f>
        <v/>
      </c>
      <c r="R247" s="56" t="str">
        <f aca="false">IF($W247="","",N(INDEX(发票统计!R$4:R$1003,$W247)))</f>
        <v/>
      </c>
      <c r="S247" s="56" t="str">
        <f aca="false">IF($W247="","",N(INDEX(发票统计!S$4:S$1003,$W247)))</f>
        <v/>
      </c>
      <c r="T247" s="56" t="str">
        <f aca="false">IF($W247="","",SUM(Q$4:Q247)-SUM(R$4:R247)-SUM(S$4:S247))</f>
        <v/>
      </c>
      <c r="U247" s="56" t="str">
        <f aca="false">IF($W247="","",INDEX(发票统计!U$4:U$1003,$W247)&amp;"")</f>
        <v/>
      </c>
      <c r="W247" s="1" t="str">
        <f aca="false">IF($V$3="","",IFERROR(MATCH($V$3&amp;"#"&amp;ROWS(W$4:W247),发票统计!$W$4:$W$1003,0),""))</f>
        <v/>
      </c>
    </row>
    <row r="248" customFormat="false" ht="16.5" hidden="false" customHeight="false" outlineLevel="0" collapsed="false">
      <c r="A248" s="3" t="str">
        <f aca="false">IF($W248="","",INDEX(发票统计!A$4:A$1003,$W248)&amp;"")</f>
        <v/>
      </c>
      <c r="B248" s="3" t="str">
        <f aca="false">IF($W248="","",INDEX(发票统计!B$4:B$1003,$W248)&amp;"")</f>
        <v/>
      </c>
      <c r="C248" s="3" t="str">
        <f aca="false">IF($W248="","",INDEX(发票统计!C$4:C$1003,$W248)&amp;"")</f>
        <v/>
      </c>
      <c r="D248" s="3" t="str">
        <f aca="false">IF($W248="","",INDEX(发票统计!D$4:D$1003,$W248)&amp;"")</f>
        <v/>
      </c>
      <c r="E248" s="67" t="str">
        <f aca="false">IF($W248="","",INDEX(发票统计!E$4:E$1003,$W248)&amp;"")</f>
        <v/>
      </c>
      <c r="F248" s="68" t="str">
        <f aca="false">IF($W248="","",INDEX(发票统计!F$4:F$1003,$W248)&amp;"")</f>
        <v/>
      </c>
      <c r="G248" s="68" t="str">
        <f aca="false">IF($W248="","",IF(INDEX(发票统计!G$4:G$1003,$W248)="","",INDEX(发票统计!G$4:G$1003,$W248)))</f>
        <v/>
      </c>
      <c r="H248" s="56" t="str">
        <f aca="false">IF($W248="","",N(INDEX(发票统计!H$4:H$1003,$W248)))</f>
        <v/>
      </c>
      <c r="I248" s="56" t="str">
        <f aca="false">IF($W248="","",N(INDEX(发票统计!I$4:I$1003,$W248)))</f>
        <v/>
      </c>
      <c r="J248" s="56" t="str">
        <f aca="false">IF($W248="","",N(INDEX(发票统计!J$4:J$1003,$W248)))</f>
        <v/>
      </c>
      <c r="K248" s="56" t="str">
        <f aca="false">IF($W248="","",N(INDEX(发票统计!K$4:K$1003,$W248)))</f>
        <v/>
      </c>
      <c r="L248" s="56" t="str">
        <f aca="false">IF($W248="","",SUM(J$4:J248)-SUM(K$4:K248))</f>
        <v/>
      </c>
      <c r="M248" s="56" t="str">
        <f aca="false">IF($W248="","",N(INDEX(发票统计!M$4:M$1003,$W248)))</f>
        <v/>
      </c>
      <c r="N248" s="56" t="str">
        <f aca="false">IF($W248="","",N(INDEX(发票统计!N$4:N$1003,$W248)))</f>
        <v/>
      </c>
      <c r="O248" s="56" t="str">
        <f aca="false">IF($W248="","",N(INDEX(发票统计!O$4:O$1003,$W248)))</f>
        <v/>
      </c>
      <c r="P248" s="56" t="str">
        <f aca="false">IF($W248="","",SUM(M$4:M248)-SUM(N$4:N248)-SUM(O$4:O248))</f>
        <v/>
      </c>
      <c r="Q248" s="56" t="str">
        <f aca="false">IF($W248="","",N(INDEX(发票统计!Q$4:Q$1003,$W248)))</f>
        <v/>
      </c>
      <c r="R248" s="56" t="str">
        <f aca="false">IF($W248="","",N(INDEX(发票统计!R$4:R$1003,$W248)))</f>
        <v/>
      </c>
      <c r="S248" s="56" t="str">
        <f aca="false">IF($W248="","",N(INDEX(发票统计!S$4:S$1003,$W248)))</f>
        <v/>
      </c>
      <c r="T248" s="56" t="str">
        <f aca="false">IF($W248="","",SUM(Q$4:Q248)-SUM(R$4:R248)-SUM(S$4:S248))</f>
        <v/>
      </c>
      <c r="U248" s="56" t="str">
        <f aca="false">IF($W248="","",INDEX(发票统计!U$4:U$1003,$W248)&amp;"")</f>
        <v/>
      </c>
      <c r="W248" s="1" t="str">
        <f aca="false">IF($V$3="","",IFERROR(MATCH($V$3&amp;"#"&amp;ROWS(W$4:W248),发票统计!$W$4:$W$1003,0),""))</f>
        <v/>
      </c>
    </row>
    <row r="249" customFormat="false" ht="16.5" hidden="false" customHeight="false" outlineLevel="0" collapsed="false">
      <c r="A249" s="3" t="str">
        <f aca="false">IF($W249="","",INDEX(发票统计!A$4:A$1003,$W249)&amp;"")</f>
        <v/>
      </c>
      <c r="B249" s="3" t="str">
        <f aca="false">IF($W249="","",INDEX(发票统计!B$4:B$1003,$W249)&amp;"")</f>
        <v/>
      </c>
      <c r="C249" s="3" t="str">
        <f aca="false">IF($W249="","",INDEX(发票统计!C$4:C$1003,$W249)&amp;"")</f>
        <v/>
      </c>
      <c r="D249" s="3" t="str">
        <f aca="false">IF($W249="","",INDEX(发票统计!D$4:D$1003,$W249)&amp;"")</f>
        <v/>
      </c>
      <c r="E249" s="67" t="str">
        <f aca="false">IF($W249="","",INDEX(发票统计!E$4:E$1003,$W249)&amp;"")</f>
        <v/>
      </c>
      <c r="F249" s="68" t="str">
        <f aca="false">IF($W249="","",INDEX(发票统计!F$4:F$1003,$W249)&amp;"")</f>
        <v/>
      </c>
      <c r="G249" s="68" t="str">
        <f aca="false">IF($W249="","",IF(INDEX(发票统计!G$4:G$1003,$W249)="","",INDEX(发票统计!G$4:G$1003,$W249)))</f>
        <v/>
      </c>
      <c r="H249" s="56" t="str">
        <f aca="false">IF($W249="","",N(INDEX(发票统计!H$4:H$1003,$W249)))</f>
        <v/>
      </c>
      <c r="I249" s="56" t="str">
        <f aca="false">IF($W249="","",N(INDEX(发票统计!I$4:I$1003,$W249)))</f>
        <v/>
      </c>
      <c r="J249" s="56" t="str">
        <f aca="false">IF($W249="","",N(INDEX(发票统计!J$4:J$1003,$W249)))</f>
        <v/>
      </c>
      <c r="K249" s="56" t="str">
        <f aca="false">IF($W249="","",N(INDEX(发票统计!K$4:K$1003,$W249)))</f>
        <v/>
      </c>
      <c r="L249" s="56" t="str">
        <f aca="false">IF($W249="","",SUM(J$4:J249)-SUM(K$4:K249))</f>
        <v/>
      </c>
      <c r="M249" s="56" t="str">
        <f aca="false">IF($W249="","",N(INDEX(发票统计!M$4:M$1003,$W249)))</f>
        <v/>
      </c>
      <c r="N249" s="56" t="str">
        <f aca="false">IF($W249="","",N(INDEX(发票统计!N$4:N$1003,$W249)))</f>
        <v/>
      </c>
      <c r="O249" s="56" t="str">
        <f aca="false">IF($W249="","",N(INDEX(发票统计!O$4:O$1003,$W249)))</f>
        <v/>
      </c>
      <c r="P249" s="56" t="str">
        <f aca="false">IF($W249="","",SUM(M$4:M249)-SUM(N$4:N249)-SUM(O$4:O249))</f>
        <v/>
      </c>
      <c r="Q249" s="56" t="str">
        <f aca="false">IF($W249="","",N(INDEX(发票统计!Q$4:Q$1003,$W249)))</f>
        <v/>
      </c>
      <c r="R249" s="56" t="str">
        <f aca="false">IF($W249="","",N(INDEX(发票统计!R$4:R$1003,$W249)))</f>
        <v/>
      </c>
      <c r="S249" s="56" t="str">
        <f aca="false">IF($W249="","",N(INDEX(发票统计!S$4:S$1003,$W249)))</f>
        <v/>
      </c>
      <c r="T249" s="56" t="str">
        <f aca="false">IF($W249="","",SUM(Q$4:Q249)-SUM(R$4:R249)-SUM(S$4:S249))</f>
        <v/>
      </c>
      <c r="U249" s="56" t="str">
        <f aca="false">IF($W249="","",INDEX(发票统计!U$4:U$1003,$W249)&amp;"")</f>
        <v/>
      </c>
      <c r="W249" s="1" t="str">
        <f aca="false">IF($V$3="","",IFERROR(MATCH($V$3&amp;"#"&amp;ROWS(W$4:W249),发票统计!$W$4:$W$1003,0),""))</f>
        <v/>
      </c>
    </row>
    <row r="250" customFormat="false" ht="16.5" hidden="false" customHeight="false" outlineLevel="0" collapsed="false">
      <c r="A250" s="3" t="str">
        <f aca="false">IF($W250="","",INDEX(发票统计!A$4:A$1003,$W250)&amp;"")</f>
        <v/>
      </c>
      <c r="B250" s="3" t="str">
        <f aca="false">IF($W250="","",INDEX(发票统计!B$4:B$1003,$W250)&amp;"")</f>
        <v/>
      </c>
      <c r="C250" s="3" t="str">
        <f aca="false">IF($W250="","",INDEX(发票统计!C$4:C$1003,$W250)&amp;"")</f>
        <v/>
      </c>
      <c r="D250" s="3" t="str">
        <f aca="false">IF($W250="","",INDEX(发票统计!D$4:D$1003,$W250)&amp;"")</f>
        <v/>
      </c>
      <c r="E250" s="67" t="str">
        <f aca="false">IF($W250="","",INDEX(发票统计!E$4:E$1003,$W250)&amp;"")</f>
        <v/>
      </c>
      <c r="F250" s="68" t="str">
        <f aca="false">IF($W250="","",INDEX(发票统计!F$4:F$1003,$W250)&amp;"")</f>
        <v/>
      </c>
      <c r="G250" s="68" t="str">
        <f aca="false">IF($W250="","",IF(INDEX(发票统计!G$4:G$1003,$W250)="","",INDEX(发票统计!G$4:G$1003,$W250)))</f>
        <v/>
      </c>
      <c r="H250" s="56" t="str">
        <f aca="false">IF($W250="","",N(INDEX(发票统计!H$4:H$1003,$W250)))</f>
        <v/>
      </c>
      <c r="I250" s="56" t="str">
        <f aca="false">IF($W250="","",N(INDEX(发票统计!I$4:I$1003,$W250)))</f>
        <v/>
      </c>
      <c r="J250" s="56" t="str">
        <f aca="false">IF($W250="","",N(INDEX(发票统计!J$4:J$1003,$W250)))</f>
        <v/>
      </c>
      <c r="K250" s="56" t="str">
        <f aca="false">IF($W250="","",N(INDEX(发票统计!K$4:K$1003,$W250)))</f>
        <v/>
      </c>
      <c r="L250" s="56" t="str">
        <f aca="false">IF($W250="","",SUM(J$4:J250)-SUM(K$4:K250))</f>
        <v/>
      </c>
      <c r="M250" s="56" t="str">
        <f aca="false">IF($W250="","",N(INDEX(发票统计!M$4:M$1003,$W250)))</f>
        <v/>
      </c>
      <c r="N250" s="56" t="str">
        <f aca="false">IF($W250="","",N(INDEX(发票统计!N$4:N$1003,$W250)))</f>
        <v/>
      </c>
      <c r="O250" s="56" t="str">
        <f aca="false">IF($W250="","",N(INDEX(发票统计!O$4:O$1003,$W250)))</f>
        <v/>
      </c>
      <c r="P250" s="56" t="str">
        <f aca="false">IF($W250="","",SUM(M$4:M250)-SUM(N$4:N250)-SUM(O$4:O250))</f>
        <v/>
      </c>
      <c r="Q250" s="56" t="str">
        <f aca="false">IF($W250="","",N(INDEX(发票统计!Q$4:Q$1003,$W250)))</f>
        <v/>
      </c>
      <c r="R250" s="56" t="str">
        <f aca="false">IF($W250="","",N(INDEX(发票统计!R$4:R$1003,$W250)))</f>
        <v/>
      </c>
      <c r="S250" s="56" t="str">
        <f aca="false">IF($W250="","",N(INDEX(发票统计!S$4:S$1003,$W250)))</f>
        <v/>
      </c>
      <c r="T250" s="56" t="str">
        <f aca="false">IF($W250="","",SUM(Q$4:Q250)-SUM(R$4:R250)-SUM(S$4:S250))</f>
        <v/>
      </c>
      <c r="U250" s="56" t="str">
        <f aca="false">IF($W250="","",INDEX(发票统计!U$4:U$1003,$W250)&amp;"")</f>
        <v/>
      </c>
      <c r="W250" s="1" t="str">
        <f aca="false">IF($V$3="","",IFERROR(MATCH($V$3&amp;"#"&amp;ROWS(W$4:W250),发票统计!$W$4:$W$1003,0),""))</f>
        <v/>
      </c>
    </row>
    <row r="251" customFormat="false" ht="16.5" hidden="false" customHeight="false" outlineLevel="0" collapsed="false">
      <c r="A251" s="3" t="str">
        <f aca="false">IF($W251="","",INDEX(发票统计!A$4:A$1003,$W251)&amp;"")</f>
        <v/>
      </c>
      <c r="B251" s="3" t="str">
        <f aca="false">IF($W251="","",INDEX(发票统计!B$4:B$1003,$W251)&amp;"")</f>
        <v/>
      </c>
      <c r="C251" s="3" t="str">
        <f aca="false">IF($W251="","",INDEX(发票统计!C$4:C$1003,$W251)&amp;"")</f>
        <v/>
      </c>
      <c r="D251" s="3" t="str">
        <f aca="false">IF($W251="","",INDEX(发票统计!D$4:D$1003,$W251)&amp;"")</f>
        <v/>
      </c>
      <c r="E251" s="67" t="str">
        <f aca="false">IF($W251="","",INDEX(发票统计!E$4:E$1003,$W251)&amp;"")</f>
        <v/>
      </c>
      <c r="F251" s="68" t="str">
        <f aca="false">IF($W251="","",INDEX(发票统计!F$4:F$1003,$W251)&amp;"")</f>
        <v/>
      </c>
      <c r="G251" s="68" t="str">
        <f aca="false">IF($W251="","",IF(INDEX(发票统计!G$4:G$1003,$W251)="","",INDEX(发票统计!G$4:G$1003,$W251)))</f>
        <v/>
      </c>
      <c r="H251" s="56" t="str">
        <f aca="false">IF($W251="","",N(INDEX(发票统计!H$4:H$1003,$W251)))</f>
        <v/>
      </c>
      <c r="I251" s="56" t="str">
        <f aca="false">IF($W251="","",N(INDEX(发票统计!I$4:I$1003,$W251)))</f>
        <v/>
      </c>
      <c r="J251" s="56" t="str">
        <f aca="false">IF($W251="","",N(INDEX(发票统计!J$4:J$1003,$W251)))</f>
        <v/>
      </c>
      <c r="K251" s="56" t="str">
        <f aca="false">IF($W251="","",N(INDEX(发票统计!K$4:K$1003,$W251)))</f>
        <v/>
      </c>
      <c r="L251" s="56" t="str">
        <f aca="false">IF($W251="","",SUM(J$4:J251)-SUM(K$4:K251))</f>
        <v/>
      </c>
      <c r="M251" s="56" t="str">
        <f aca="false">IF($W251="","",N(INDEX(发票统计!M$4:M$1003,$W251)))</f>
        <v/>
      </c>
      <c r="N251" s="56" t="str">
        <f aca="false">IF($W251="","",N(INDEX(发票统计!N$4:N$1003,$W251)))</f>
        <v/>
      </c>
      <c r="O251" s="56" t="str">
        <f aca="false">IF($W251="","",N(INDEX(发票统计!O$4:O$1003,$W251)))</f>
        <v/>
      </c>
      <c r="P251" s="56" t="str">
        <f aca="false">IF($W251="","",SUM(M$4:M251)-SUM(N$4:N251)-SUM(O$4:O251))</f>
        <v/>
      </c>
      <c r="Q251" s="56" t="str">
        <f aca="false">IF($W251="","",N(INDEX(发票统计!Q$4:Q$1003,$W251)))</f>
        <v/>
      </c>
      <c r="R251" s="56" t="str">
        <f aca="false">IF($W251="","",N(INDEX(发票统计!R$4:R$1003,$W251)))</f>
        <v/>
      </c>
      <c r="S251" s="56" t="str">
        <f aca="false">IF($W251="","",N(INDEX(发票统计!S$4:S$1003,$W251)))</f>
        <v/>
      </c>
      <c r="T251" s="56" t="str">
        <f aca="false">IF($W251="","",SUM(Q$4:Q251)-SUM(R$4:R251)-SUM(S$4:S251))</f>
        <v/>
      </c>
      <c r="U251" s="56" t="str">
        <f aca="false">IF($W251="","",INDEX(发票统计!U$4:U$1003,$W251)&amp;"")</f>
        <v/>
      </c>
      <c r="W251" s="1" t="str">
        <f aca="false">IF($V$3="","",IFERROR(MATCH($V$3&amp;"#"&amp;ROWS(W$4:W251),发票统计!$W$4:$W$1003,0),""))</f>
        <v/>
      </c>
    </row>
    <row r="252" customFormat="false" ht="16.5" hidden="false" customHeight="false" outlineLevel="0" collapsed="false">
      <c r="A252" s="3" t="str">
        <f aca="false">IF($W252="","",INDEX(发票统计!A$4:A$1003,$W252)&amp;"")</f>
        <v/>
      </c>
      <c r="B252" s="3" t="str">
        <f aca="false">IF($W252="","",INDEX(发票统计!B$4:B$1003,$W252)&amp;"")</f>
        <v/>
      </c>
      <c r="C252" s="3" t="str">
        <f aca="false">IF($W252="","",INDEX(发票统计!C$4:C$1003,$W252)&amp;"")</f>
        <v/>
      </c>
      <c r="D252" s="3" t="str">
        <f aca="false">IF($W252="","",INDEX(发票统计!D$4:D$1003,$W252)&amp;"")</f>
        <v/>
      </c>
      <c r="E252" s="67" t="str">
        <f aca="false">IF($W252="","",INDEX(发票统计!E$4:E$1003,$W252)&amp;"")</f>
        <v/>
      </c>
      <c r="F252" s="68" t="str">
        <f aca="false">IF($W252="","",INDEX(发票统计!F$4:F$1003,$W252)&amp;"")</f>
        <v/>
      </c>
      <c r="G252" s="68" t="str">
        <f aca="false">IF($W252="","",IF(INDEX(发票统计!G$4:G$1003,$W252)="","",INDEX(发票统计!G$4:G$1003,$W252)))</f>
        <v/>
      </c>
      <c r="H252" s="56" t="str">
        <f aca="false">IF($W252="","",N(INDEX(发票统计!H$4:H$1003,$W252)))</f>
        <v/>
      </c>
      <c r="I252" s="56" t="str">
        <f aca="false">IF($W252="","",N(INDEX(发票统计!I$4:I$1003,$W252)))</f>
        <v/>
      </c>
      <c r="J252" s="56" t="str">
        <f aca="false">IF($W252="","",N(INDEX(发票统计!J$4:J$1003,$W252)))</f>
        <v/>
      </c>
      <c r="K252" s="56" t="str">
        <f aca="false">IF($W252="","",N(INDEX(发票统计!K$4:K$1003,$W252)))</f>
        <v/>
      </c>
      <c r="L252" s="56" t="str">
        <f aca="false">IF($W252="","",SUM(J$4:J252)-SUM(K$4:K252))</f>
        <v/>
      </c>
      <c r="M252" s="56" t="str">
        <f aca="false">IF($W252="","",N(INDEX(发票统计!M$4:M$1003,$W252)))</f>
        <v/>
      </c>
      <c r="N252" s="56" t="str">
        <f aca="false">IF($W252="","",N(INDEX(发票统计!N$4:N$1003,$W252)))</f>
        <v/>
      </c>
      <c r="O252" s="56" t="str">
        <f aca="false">IF($W252="","",N(INDEX(发票统计!O$4:O$1003,$W252)))</f>
        <v/>
      </c>
      <c r="P252" s="56" t="str">
        <f aca="false">IF($W252="","",SUM(M$4:M252)-SUM(N$4:N252)-SUM(O$4:O252))</f>
        <v/>
      </c>
      <c r="Q252" s="56" t="str">
        <f aca="false">IF($W252="","",N(INDEX(发票统计!Q$4:Q$1003,$W252)))</f>
        <v/>
      </c>
      <c r="R252" s="56" t="str">
        <f aca="false">IF($W252="","",N(INDEX(发票统计!R$4:R$1003,$W252)))</f>
        <v/>
      </c>
      <c r="S252" s="56" t="str">
        <f aca="false">IF($W252="","",N(INDEX(发票统计!S$4:S$1003,$W252)))</f>
        <v/>
      </c>
      <c r="T252" s="56" t="str">
        <f aca="false">IF($W252="","",SUM(Q$4:Q252)-SUM(R$4:R252)-SUM(S$4:S252))</f>
        <v/>
      </c>
      <c r="U252" s="56" t="str">
        <f aca="false">IF($W252="","",INDEX(发票统计!U$4:U$1003,$W252)&amp;"")</f>
        <v/>
      </c>
      <c r="W252" s="1" t="str">
        <f aca="false">IF($V$3="","",IFERROR(MATCH($V$3&amp;"#"&amp;ROWS(W$4:W252),发票统计!$W$4:$W$1003,0),""))</f>
        <v/>
      </c>
    </row>
    <row r="253" customFormat="false" ht="16.5" hidden="false" customHeight="false" outlineLevel="0" collapsed="false">
      <c r="A253" s="3" t="str">
        <f aca="false">IF($W253="","",INDEX(发票统计!A$4:A$1003,$W253)&amp;"")</f>
        <v/>
      </c>
      <c r="B253" s="3" t="str">
        <f aca="false">IF($W253="","",INDEX(发票统计!B$4:B$1003,$W253)&amp;"")</f>
        <v/>
      </c>
      <c r="C253" s="3" t="str">
        <f aca="false">IF($W253="","",INDEX(发票统计!C$4:C$1003,$W253)&amp;"")</f>
        <v/>
      </c>
      <c r="D253" s="3" t="str">
        <f aca="false">IF($W253="","",INDEX(发票统计!D$4:D$1003,$W253)&amp;"")</f>
        <v/>
      </c>
      <c r="E253" s="67" t="str">
        <f aca="false">IF($W253="","",INDEX(发票统计!E$4:E$1003,$W253)&amp;"")</f>
        <v/>
      </c>
      <c r="F253" s="68" t="str">
        <f aca="false">IF($W253="","",INDEX(发票统计!F$4:F$1003,$W253)&amp;"")</f>
        <v/>
      </c>
      <c r="G253" s="68" t="str">
        <f aca="false">IF($W253="","",IF(INDEX(发票统计!G$4:G$1003,$W253)="","",INDEX(发票统计!G$4:G$1003,$W253)))</f>
        <v/>
      </c>
      <c r="H253" s="56" t="str">
        <f aca="false">IF($W253="","",N(INDEX(发票统计!H$4:H$1003,$W253)))</f>
        <v/>
      </c>
      <c r="I253" s="56" t="str">
        <f aca="false">IF($W253="","",N(INDEX(发票统计!I$4:I$1003,$W253)))</f>
        <v/>
      </c>
      <c r="J253" s="56" t="str">
        <f aca="false">IF($W253="","",N(INDEX(发票统计!J$4:J$1003,$W253)))</f>
        <v/>
      </c>
      <c r="K253" s="56" t="str">
        <f aca="false">IF($W253="","",N(INDEX(发票统计!K$4:K$1003,$W253)))</f>
        <v/>
      </c>
      <c r="L253" s="56" t="str">
        <f aca="false">IF($W253="","",SUM(J$4:J253)-SUM(K$4:K253))</f>
        <v/>
      </c>
      <c r="M253" s="56" t="str">
        <f aca="false">IF($W253="","",N(INDEX(发票统计!M$4:M$1003,$W253)))</f>
        <v/>
      </c>
      <c r="N253" s="56" t="str">
        <f aca="false">IF($W253="","",N(INDEX(发票统计!N$4:N$1003,$W253)))</f>
        <v/>
      </c>
      <c r="O253" s="56" t="str">
        <f aca="false">IF($W253="","",N(INDEX(发票统计!O$4:O$1003,$W253)))</f>
        <v/>
      </c>
      <c r="P253" s="56" t="str">
        <f aca="false">IF($W253="","",SUM(M$4:M253)-SUM(N$4:N253)-SUM(O$4:O253))</f>
        <v/>
      </c>
      <c r="Q253" s="56" t="str">
        <f aca="false">IF($W253="","",N(INDEX(发票统计!Q$4:Q$1003,$W253)))</f>
        <v/>
      </c>
      <c r="R253" s="56" t="str">
        <f aca="false">IF($W253="","",N(INDEX(发票统计!R$4:R$1003,$W253)))</f>
        <v/>
      </c>
      <c r="S253" s="56" t="str">
        <f aca="false">IF($W253="","",N(INDEX(发票统计!S$4:S$1003,$W253)))</f>
        <v/>
      </c>
      <c r="T253" s="56" t="str">
        <f aca="false">IF($W253="","",SUM(Q$4:Q253)-SUM(R$4:R253)-SUM(S$4:S253))</f>
        <v/>
      </c>
      <c r="U253" s="56" t="str">
        <f aca="false">IF($W253="","",INDEX(发票统计!U$4:U$1003,$W253)&amp;"")</f>
        <v/>
      </c>
      <c r="W253" s="1" t="str">
        <f aca="false">IF($V$3="","",IFERROR(MATCH($V$3&amp;"#"&amp;ROWS(W$4:W253),发票统计!$W$4:$W$1003,0),""))</f>
        <v/>
      </c>
    </row>
    <row r="254" customFormat="false" ht="16.5" hidden="false" customHeight="false" outlineLevel="0" collapsed="false">
      <c r="A254" s="3" t="str">
        <f aca="false">IF($W254="","",INDEX(发票统计!A$4:A$1003,$W254)&amp;"")</f>
        <v/>
      </c>
      <c r="B254" s="3" t="str">
        <f aca="false">IF($W254="","",INDEX(发票统计!B$4:B$1003,$W254)&amp;"")</f>
        <v/>
      </c>
      <c r="C254" s="3" t="str">
        <f aca="false">IF($W254="","",INDEX(发票统计!C$4:C$1003,$W254)&amp;"")</f>
        <v/>
      </c>
      <c r="D254" s="3" t="str">
        <f aca="false">IF($W254="","",INDEX(发票统计!D$4:D$1003,$W254)&amp;"")</f>
        <v/>
      </c>
      <c r="E254" s="67" t="str">
        <f aca="false">IF($W254="","",INDEX(发票统计!E$4:E$1003,$W254)&amp;"")</f>
        <v/>
      </c>
      <c r="F254" s="68" t="str">
        <f aca="false">IF($W254="","",INDEX(发票统计!F$4:F$1003,$W254)&amp;"")</f>
        <v/>
      </c>
      <c r="G254" s="68" t="str">
        <f aca="false">IF($W254="","",IF(INDEX(发票统计!G$4:G$1003,$W254)="","",INDEX(发票统计!G$4:G$1003,$W254)))</f>
        <v/>
      </c>
      <c r="H254" s="56" t="str">
        <f aca="false">IF($W254="","",N(INDEX(发票统计!H$4:H$1003,$W254)))</f>
        <v/>
      </c>
      <c r="I254" s="56" t="str">
        <f aca="false">IF($W254="","",N(INDEX(发票统计!I$4:I$1003,$W254)))</f>
        <v/>
      </c>
      <c r="J254" s="56" t="str">
        <f aca="false">IF($W254="","",N(INDEX(发票统计!J$4:J$1003,$W254)))</f>
        <v/>
      </c>
      <c r="K254" s="56" t="str">
        <f aca="false">IF($W254="","",N(INDEX(发票统计!K$4:K$1003,$W254)))</f>
        <v/>
      </c>
      <c r="L254" s="56" t="str">
        <f aca="false">IF($W254="","",SUM(J$4:J254)-SUM(K$4:K254))</f>
        <v/>
      </c>
      <c r="M254" s="56" t="str">
        <f aca="false">IF($W254="","",N(INDEX(发票统计!M$4:M$1003,$W254)))</f>
        <v/>
      </c>
      <c r="N254" s="56" t="str">
        <f aca="false">IF($W254="","",N(INDEX(发票统计!N$4:N$1003,$W254)))</f>
        <v/>
      </c>
      <c r="O254" s="56" t="str">
        <f aca="false">IF($W254="","",N(INDEX(发票统计!O$4:O$1003,$W254)))</f>
        <v/>
      </c>
      <c r="P254" s="56" t="str">
        <f aca="false">IF($W254="","",SUM(M$4:M254)-SUM(N$4:N254)-SUM(O$4:O254))</f>
        <v/>
      </c>
      <c r="Q254" s="56" t="str">
        <f aca="false">IF($W254="","",N(INDEX(发票统计!Q$4:Q$1003,$W254)))</f>
        <v/>
      </c>
      <c r="R254" s="56" t="str">
        <f aca="false">IF($W254="","",N(INDEX(发票统计!R$4:R$1003,$W254)))</f>
        <v/>
      </c>
      <c r="S254" s="56" t="str">
        <f aca="false">IF($W254="","",N(INDEX(发票统计!S$4:S$1003,$W254)))</f>
        <v/>
      </c>
      <c r="T254" s="56" t="str">
        <f aca="false">IF($W254="","",SUM(Q$4:Q254)-SUM(R$4:R254)-SUM(S$4:S254))</f>
        <v/>
      </c>
      <c r="U254" s="56" t="str">
        <f aca="false">IF($W254="","",INDEX(发票统计!U$4:U$1003,$W254)&amp;"")</f>
        <v/>
      </c>
      <c r="W254" s="1" t="str">
        <f aca="false">IF($V$3="","",IFERROR(MATCH($V$3&amp;"#"&amp;ROWS(W$4:W254),发票统计!$W$4:$W$1003,0),""))</f>
        <v/>
      </c>
    </row>
    <row r="255" customFormat="false" ht="16.5" hidden="false" customHeight="false" outlineLevel="0" collapsed="false">
      <c r="A255" s="3" t="str">
        <f aca="false">IF($W255="","",INDEX(发票统计!A$4:A$1003,$W255)&amp;"")</f>
        <v/>
      </c>
      <c r="B255" s="3" t="str">
        <f aca="false">IF($W255="","",INDEX(发票统计!B$4:B$1003,$W255)&amp;"")</f>
        <v/>
      </c>
      <c r="C255" s="3" t="str">
        <f aca="false">IF($W255="","",INDEX(发票统计!C$4:C$1003,$W255)&amp;"")</f>
        <v/>
      </c>
      <c r="D255" s="3" t="str">
        <f aca="false">IF($W255="","",INDEX(发票统计!D$4:D$1003,$W255)&amp;"")</f>
        <v/>
      </c>
      <c r="E255" s="67" t="str">
        <f aca="false">IF($W255="","",INDEX(发票统计!E$4:E$1003,$W255)&amp;"")</f>
        <v/>
      </c>
      <c r="F255" s="68" t="str">
        <f aca="false">IF($W255="","",INDEX(发票统计!F$4:F$1003,$W255)&amp;"")</f>
        <v/>
      </c>
      <c r="G255" s="68" t="str">
        <f aca="false">IF($W255="","",IF(INDEX(发票统计!G$4:G$1003,$W255)="","",INDEX(发票统计!G$4:G$1003,$W255)))</f>
        <v/>
      </c>
      <c r="H255" s="56" t="str">
        <f aca="false">IF($W255="","",N(INDEX(发票统计!H$4:H$1003,$W255)))</f>
        <v/>
      </c>
      <c r="I255" s="56" t="str">
        <f aca="false">IF($W255="","",N(INDEX(发票统计!I$4:I$1003,$W255)))</f>
        <v/>
      </c>
      <c r="J255" s="56" t="str">
        <f aca="false">IF($W255="","",N(INDEX(发票统计!J$4:J$1003,$W255)))</f>
        <v/>
      </c>
      <c r="K255" s="56" t="str">
        <f aca="false">IF($W255="","",N(INDEX(发票统计!K$4:K$1003,$W255)))</f>
        <v/>
      </c>
      <c r="L255" s="56" t="str">
        <f aca="false">IF($W255="","",SUM(J$4:J255)-SUM(K$4:K255))</f>
        <v/>
      </c>
      <c r="M255" s="56" t="str">
        <f aca="false">IF($W255="","",N(INDEX(发票统计!M$4:M$1003,$W255)))</f>
        <v/>
      </c>
      <c r="N255" s="56" t="str">
        <f aca="false">IF($W255="","",N(INDEX(发票统计!N$4:N$1003,$W255)))</f>
        <v/>
      </c>
      <c r="O255" s="56" t="str">
        <f aca="false">IF($W255="","",N(INDEX(发票统计!O$4:O$1003,$W255)))</f>
        <v/>
      </c>
      <c r="P255" s="56" t="str">
        <f aca="false">IF($W255="","",SUM(M$4:M255)-SUM(N$4:N255)-SUM(O$4:O255))</f>
        <v/>
      </c>
      <c r="Q255" s="56" t="str">
        <f aca="false">IF($W255="","",N(INDEX(发票统计!Q$4:Q$1003,$W255)))</f>
        <v/>
      </c>
      <c r="R255" s="56" t="str">
        <f aca="false">IF($W255="","",N(INDEX(发票统计!R$4:R$1003,$W255)))</f>
        <v/>
      </c>
      <c r="S255" s="56" t="str">
        <f aca="false">IF($W255="","",N(INDEX(发票统计!S$4:S$1003,$W255)))</f>
        <v/>
      </c>
      <c r="T255" s="56" t="str">
        <f aca="false">IF($W255="","",SUM(Q$4:Q255)-SUM(R$4:R255)-SUM(S$4:S255))</f>
        <v/>
      </c>
      <c r="U255" s="56" t="str">
        <f aca="false">IF($W255="","",INDEX(发票统计!U$4:U$1003,$W255)&amp;"")</f>
        <v/>
      </c>
      <c r="W255" s="1" t="str">
        <f aca="false">IF($V$3="","",IFERROR(MATCH($V$3&amp;"#"&amp;ROWS(W$4:W255),发票统计!$W$4:$W$1003,0),""))</f>
        <v/>
      </c>
    </row>
    <row r="256" customFormat="false" ht="16.5" hidden="false" customHeight="false" outlineLevel="0" collapsed="false">
      <c r="A256" s="3" t="str">
        <f aca="false">IF($W256="","",INDEX(发票统计!A$4:A$1003,$W256)&amp;"")</f>
        <v/>
      </c>
      <c r="B256" s="3" t="str">
        <f aca="false">IF($W256="","",INDEX(发票统计!B$4:B$1003,$W256)&amp;"")</f>
        <v/>
      </c>
      <c r="C256" s="3" t="str">
        <f aca="false">IF($W256="","",INDEX(发票统计!C$4:C$1003,$W256)&amp;"")</f>
        <v/>
      </c>
      <c r="D256" s="3" t="str">
        <f aca="false">IF($W256="","",INDEX(发票统计!D$4:D$1003,$W256)&amp;"")</f>
        <v/>
      </c>
      <c r="E256" s="67" t="str">
        <f aca="false">IF($W256="","",INDEX(发票统计!E$4:E$1003,$W256)&amp;"")</f>
        <v/>
      </c>
      <c r="F256" s="68" t="str">
        <f aca="false">IF($W256="","",INDEX(发票统计!F$4:F$1003,$W256)&amp;"")</f>
        <v/>
      </c>
      <c r="G256" s="68" t="str">
        <f aca="false">IF($W256="","",IF(INDEX(发票统计!G$4:G$1003,$W256)="","",INDEX(发票统计!G$4:G$1003,$W256)))</f>
        <v/>
      </c>
      <c r="H256" s="56" t="str">
        <f aca="false">IF($W256="","",N(INDEX(发票统计!H$4:H$1003,$W256)))</f>
        <v/>
      </c>
      <c r="I256" s="56" t="str">
        <f aca="false">IF($W256="","",N(INDEX(发票统计!I$4:I$1003,$W256)))</f>
        <v/>
      </c>
      <c r="J256" s="56" t="str">
        <f aca="false">IF($W256="","",N(INDEX(发票统计!J$4:J$1003,$W256)))</f>
        <v/>
      </c>
      <c r="K256" s="56" t="str">
        <f aca="false">IF($W256="","",N(INDEX(发票统计!K$4:K$1003,$W256)))</f>
        <v/>
      </c>
      <c r="L256" s="56" t="str">
        <f aca="false">IF($W256="","",SUM(J$4:J256)-SUM(K$4:K256))</f>
        <v/>
      </c>
      <c r="M256" s="56" t="str">
        <f aca="false">IF($W256="","",N(INDEX(发票统计!M$4:M$1003,$W256)))</f>
        <v/>
      </c>
      <c r="N256" s="56" t="str">
        <f aca="false">IF($W256="","",N(INDEX(发票统计!N$4:N$1003,$W256)))</f>
        <v/>
      </c>
      <c r="O256" s="56" t="str">
        <f aca="false">IF($W256="","",N(INDEX(发票统计!O$4:O$1003,$W256)))</f>
        <v/>
      </c>
      <c r="P256" s="56" t="str">
        <f aca="false">IF($W256="","",SUM(M$4:M256)-SUM(N$4:N256)-SUM(O$4:O256))</f>
        <v/>
      </c>
      <c r="Q256" s="56" t="str">
        <f aca="false">IF($W256="","",N(INDEX(发票统计!Q$4:Q$1003,$W256)))</f>
        <v/>
      </c>
      <c r="R256" s="56" t="str">
        <f aca="false">IF($W256="","",N(INDEX(发票统计!R$4:R$1003,$W256)))</f>
        <v/>
      </c>
      <c r="S256" s="56" t="str">
        <f aca="false">IF($W256="","",N(INDEX(发票统计!S$4:S$1003,$W256)))</f>
        <v/>
      </c>
      <c r="T256" s="56" t="str">
        <f aca="false">IF($W256="","",SUM(Q$4:Q256)-SUM(R$4:R256)-SUM(S$4:S256))</f>
        <v/>
      </c>
      <c r="U256" s="56" t="str">
        <f aca="false">IF($W256="","",INDEX(发票统计!U$4:U$1003,$W256)&amp;"")</f>
        <v/>
      </c>
      <c r="W256" s="1" t="str">
        <f aca="false">IF($V$3="","",IFERROR(MATCH($V$3&amp;"#"&amp;ROWS(W$4:W256),发票统计!$W$4:$W$1003,0),""))</f>
        <v/>
      </c>
    </row>
    <row r="257" customFormat="false" ht="16.5" hidden="false" customHeight="false" outlineLevel="0" collapsed="false">
      <c r="A257" s="3" t="str">
        <f aca="false">IF($W257="","",INDEX(发票统计!A$4:A$1003,$W257)&amp;"")</f>
        <v/>
      </c>
      <c r="B257" s="3" t="str">
        <f aca="false">IF($W257="","",INDEX(发票统计!B$4:B$1003,$W257)&amp;"")</f>
        <v/>
      </c>
      <c r="C257" s="3" t="str">
        <f aca="false">IF($W257="","",INDEX(发票统计!C$4:C$1003,$W257)&amp;"")</f>
        <v/>
      </c>
      <c r="D257" s="3" t="str">
        <f aca="false">IF($W257="","",INDEX(发票统计!D$4:D$1003,$W257)&amp;"")</f>
        <v/>
      </c>
      <c r="E257" s="67" t="str">
        <f aca="false">IF($W257="","",INDEX(发票统计!E$4:E$1003,$W257)&amp;"")</f>
        <v/>
      </c>
      <c r="F257" s="68" t="str">
        <f aca="false">IF($W257="","",INDEX(发票统计!F$4:F$1003,$W257)&amp;"")</f>
        <v/>
      </c>
      <c r="G257" s="68" t="str">
        <f aca="false">IF($W257="","",IF(INDEX(发票统计!G$4:G$1003,$W257)="","",INDEX(发票统计!G$4:G$1003,$W257)))</f>
        <v/>
      </c>
      <c r="H257" s="56" t="str">
        <f aca="false">IF($W257="","",N(INDEX(发票统计!H$4:H$1003,$W257)))</f>
        <v/>
      </c>
      <c r="I257" s="56" t="str">
        <f aca="false">IF($W257="","",N(INDEX(发票统计!I$4:I$1003,$W257)))</f>
        <v/>
      </c>
      <c r="J257" s="56" t="str">
        <f aca="false">IF($W257="","",N(INDEX(发票统计!J$4:J$1003,$W257)))</f>
        <v/>
      </c>
      <c r="K257" s="56" t="str">
        <f aca="false">IF($W257="","",N(INDEX(发票统计!K$4:K$1003,$W257)))</f>
        <v/>
      </c>
      <c r="L257" s="56" t="str">
        <f aca="false">IF($W257="","",SUM(J$4:J257)-SUM(K$4:K257))</f>
        <v/>
      </c>
      <c r="M257" s="56" t="str">
        <f aca="false">IF($W257="","",N(INDEX(发票统计!M$4:M$1003,$W257)))</f>
        <v/>
      </c>
      <c r="N257" s="56" t="str">
        <f aca="false">IF($W257="","",N(INDEX(发票统计!N$4:N$1003,$W257)))</f>
        <v/>
      </c>
      <c r="O257" s="56" t="str">
        <f aca="false">IF($W257="","",N(INDEX(发票统计!O$4:O$1003,$W257)))</f>
        <v/>
      </c>
      <c r="P257" s="56" t="str">
        <f aca="false">IF($W257="","",SUM(M$4:M257)-SUM(N$4:N257)-SUM(O$4:O257))</f>
        <v/>
      </c>
      <c r="Q257" s="56" t="str">
        <f aca="false">IF($W257="","",N(INDEX(发票统计!Q$4:Q$1003,$W257)))</f>
        <v/>
      </c>
      <c r="R257" s="56" t="str">
        <f aca="false">IF($W257="","",N(INDEX(发票统计!R$4:R$1003,$W257)))</f>
        <v/>
      </c>
      <c r="S257" s="56" t="str">
        <f aca="false">IF($W257="","",N(INDEX(发票统计!S$4:S$1003,$W257)))</f>
        <v/>
      </c>
      <c r="T257" s="56" t="str">
        <f aca="false">IF($W257="","",SUM(Q$4:Q257)-SUM(R$4:R257)-SUM(S$4:S257))</f>
        <v/>
      </c>
      <c r="U257" s="56" t="str">
        <f aca="false">IF($W257="","",INDEX(发票统计!U$4:U$1003,$W257)&amp;"")</f>
        <v/>
      </c>
      <c r="W257" s="1" t="str">
        <f aca="false">IF($V$3="","",IFERROR(MATCH($V$3&amp;"#"&amp;ROWS(W$4:W257),发票统计!$W$4:$W$1003,0),""))</f>
        <v/>
      </c>
    </row>
    <row r="258" customFormat="false" ht="16.5" hidden="false" customHeight="false" outlineLevel="0" collapsed="false">
      <c r="A258" s="3" t="str">
        <f aca="false">IF($W258="","",INDEX(发票统计!A$4:A$1003,$W258)&amp;"")</f>
        <v/>
      </c>
      <c r="B258" s="3" t="str">
        <f aca="false">IF($W258="","",INDEX(发票统计!B$4:B$1003,$W258)&amp;"")</f>
        <v/>
      </c>
      <c r="C258" s="3" t="str">
        <f aca="false">IF($W258="","",INDEX(发票统计!C$4:C$1003,$W258)&amp;"")</f>
        <v/>
      </c>
      <c r="D258" s="3" t="str">
        <f aca="false">IF($W258="","",INDEX(发票统计!D$4:D$1003,$W258)&amp;"")</f>
        <v/>
      </c>
      <c r="E258" s="67" t="str">
        <f aca="false">IF($W258="","",INDEX(发票统计!E$4:E$1003,$W258)&amp;"")</f>
        <v/>
      </c>
      <c r="F258" s="68" t="str">
        <f aca="false">IF($W258="","",INDEX(发票统计!F$4:F$1003,$W258)&amp;"")</f>
        <v/>
      </c>
      <c r="G258" s="68" t="str">
        <f aca="false">IF($W258="","",IF(INDEX(发票统计!G$4:G$1003,$W258)="","",INDEX(发票统计!G$4:G$1003,$W258)))</f>
        <v/>
      </c>
      <c r="H258" s="56" t="str">
        <f aca="false">IF($W258="","",N(INDEX(发票统计!H$4:H$1003,$W258)))</f>
        <v/>
      </c>
      <c r="I258" s="56" t="str">
        <f aca="false">IF($W258="","",N(INDEX(发票统计!I$4:I$1003,$W258)))</f>
        <v/>
      </c>
      <c r="J258" s="56" t="str">
        <f aca="false">IF($W258="","",N(INDEX(发票统计!J$4:J$1003,$W258)))</f>
        <v/>
      </c>
      <c r="K258" s="56" t="str">
        <f aca="false">IF($W258="","",N(INDEX(发票统计!K$4:K$1003,$W258)))</f>
        <v/>
      </c>
      <c r="L258" s="56" t="str">
        <f aca="false">IF($W258="","",SUM(J$4:J258)-SUM(K$4:K258))</f>
        <v/>
      </c>
      <c r="M258" s="56" t="str">
        <f aca="false">IF($W258="","",N(INDEX(发票统计!M$4:M$1003,$W258)))</f>
        <v/>
      </c>
      <c r="N258" s="56" t="str">
        <f aca="false">IF($W258="","",N(INDEX(发票统计!N$4:N$1003,$W258)))</f>
        <v/>
      </c>
      <c r="O258" s="56" t="str">
        <f aca="false">IF($W258="","",N(INDEX(发票统计!O$4:O$1003,$W258)))</f>
        <v/>
      </c>
      <c r="P258" s="56" t="str">
        <f aca="false">IF($W258="","",SUM(M$4:M258)-SUM(N$4:N258)-SUM(O$4:O258))</f>
        <v/>
      </c>
      <c r="Q258" s="56" t="str">
        <f aca="false">IF($W258="","",N(INDEX(发票统计!Q$4:Q$1003,$W258)))</f>
        <v/>
      </c>
      <c r="R258" s="56" t="str">
        <f aca="false">IF($W258="","",N(INDEX(发票统计!R$4:R$1003,$W258)))</f>
        <v/>
      </c>
      <c r="S258" s="56" t="str">
        <f aca="false">IF($W258="","",N(INDEX(发票统计!S$4:S$1003,$W258)))</f>
        <v/>
      </c>
      <c r="T258" s="56" t="str">
        <f aca="false">IF($W258="","",SUM(Q$4:Q258)-SUM(R$4:R258)-SUM(S$4:S258))</f>
        <v/>
      </c>
      <c r="U258" s="56" t="str">
        <f aca="false">IF($W258="","",INDEX(发票统计!U$4:U$1003,$W258)&amp;"")</f>
        <v/>
      </c>
      <c r="W258" s="1" t="str">
        <f aca="false">IF($V$3="","",IFERROR(MATCH($V$3&amp;"#"&amp;ROWS(W$4:W258),发票统计!$W$4:$W$1003,0),""))</f>
        <v/>
      </c>
    </row>
    <row r="259" customFormat="false" ht="16.5" hidden="false" customHeight="false" outlineLevel="0" collapsed="false">
      <c r="A259" s="3" t="str">
        <f aca="false">IF($W259="","",INDEX(发票统计!A$4:A$1003,$W259)&amp;"")</f>
        <v/>
      </c>
      <c r="B259" s="3" t="str">
        <f aca="false">IF($W259="","",INDEX(发票统计!B$4:B$1003,$W259)&amp;"")</f>
        <v/>
      </c>
      <c r="C259" s="3" t="str">
        <f aca="false">IF($W259="","",INDEX(发票统计!C$4:C$1003,$W259)&amp;"")</f>
        <v/>
      </c>
      <c r="D259" s="3" t="str">
        <f aca="false">IF($W259="","",INDEX(发票统计!D$4:D$1003,$W259)&amp;"")</f>
        <v/>
      </c>
      <c r="E259" s="67" t="str">
        <f aca="false">IF($W259="","",INDEX(发票统计!E$4:E$1003,$W259)&amp;"")</f>
        <v/>
      </c>
      <c r="F259" s="68" t="str">
        <f aca="false">IF($W259="","",INDEX(发票统计!F$4:F$1003,$W259)&amp;"")</f>
        <v/>
      </c>
      <c r="G259" s="68" t="str">
        <f aca="false">IF($W259="","",IF(INDEX(发票统计!G$4:G$1003,$W259)="","",INDEX(发票统计!G$4:G$1003,$W259)))</f>
        <v/>
      </c>
      <c r="H259" s="56" t="str">
        <f aca="false">IF($W259="","",N(INDEX(发票统计!H$4:H$1003,$W259)))</f>
        <v/>
      </c>
      <c r="I259" s="56" t="str">
        <f aca="false">IF($W259="","",N(INDEX(发票统计!I$4:I$1003,$W259)))</f>
        <v/>
      </c>
      <c r="J259" s="56" t="str">
        <f aca="false">IF($W259="","",N(INDEX(发票统计!J$4:J$1003,$W259)))</f>
        <v/>
      </c>
      <c r="K259" s="56" t="str">
        <f aca="false">IF($W259="","",N(INDEX(发票统计!K$4:K$1003,$W259)))</f>
        <v/>
      </c>
      <c r="L259" s="56" t="str">
        <f aca="false">IF($W259="","",SUM(J$4:J259)-SUM(K$4:K259))</f>
        <v/>
      </c>
      <c r="M259" s="56" t="str">
        <f aca="false">IF($W259="","",N(INDEX(发票统计!M$4:M$1003,$W259)))</f>
        <v/>
      </c>
      <c r="N259" s="56" t="str">
        <f aca="false">IF($W259="","",N(INDEX(发票统计!N$4:N$1003,$W259)))</f>
        <v/>
      </c>
      <c r="O259" s="56" t="str">
        <f aca="false">IF($W259="","",N(INDEX(发票统计!O$4:O$1003,$W259)))</f>
        <v/>
      </c>
      <c r="P259" s="56" t="str">
        <f aca="false">IF($W259="","",SUM(M$4:M259)-SUM(N$4:N259)-SUM(O$4:O259))</f>
        <v/>
      </c>
      <c r="Q259" s="56" t="str">
        <f aca="false">IF($W259="","",N(INDEX(发票统计!Q$4:Q$1003,$W259)))</f>
        <v/>
      </c>
      <c r="R259" s="56" t="str">
        <f aca="false">IF($W259="","",N(INDEX(发票统计!R$4:R$1003,$W259)))</f>
        <v/>
      </c>
      <c r="S259" s="56" t="str">
        <f aca="false">IF($W259="","",N(INDEX(发票统计!S$4:S$1003,$W259)))</f>
        <v/>
      </c>
      <c r="T259" s="56" t="str">
        <f aca="false">IF($W259="","",SUM(Q$4:Q259)-SUM(R$4:R259)-SUM(S$4:S259))</f>
        <v/>
      </c>
      <c r="U259" s="56" t="str">
        <f aca="false">IF($W259="","",INDEX(发票统计!U$4:U$1003,$W259)&amp;"")</f>
        <v/>
      </c>
      <c r="W259" s="1" t="str">
        <f aca="false">IF($V$3="","",IFERROR(MATCH($V$3&amp;"#"&amp;ROWS(W$4:W259),发票统计!$W$4:$W$1003,0),""))</f>
        <v/>
      </c>
    </row>
    <row r="260" customFormat="false" ht="16.5" hidden="false" customHeight="false" outlineLevel="0" collapsed="false">
      <c r="A260" s="3" t="str">
        <f aca="false">IF($W260="","",INDEX(发票统计!A$4:A$1003,$W260)&amp;"")</f>
        <v/>
      </c>
      <c r="B260" s="3" t="str">
        <f aca="false">IF($W260="","",INDEX(发票统计!B$4:B$1003,$W260)&amp;"")</f>
        <v/>
      </c>
      <c r="C260" s="3" t="str">
        <f aca="false">IF($W260="","",INDEX(发票统计!C$4:C$1003,$W260)&amp;"")</f>
        <v/>
      </c>
      <c r="D260" s="3" t="str">
        <f aca="false">IF($W260="","",INDEX(发票统计!D$4:D$1003,$W260)&amp;"")</f>
        <v/>
      </c>
      <c r="E260" s="67" t="str">
        <f aca="false">IF($W260="","",INDEX(发票统计!E$4:E$1003,$W260)&amp;"")</f>
        <v/>
      </c>
      <c r="F260" s="68" t="str">
        <f aca="false">IF($W260="","",INDEX(发票统计!F$4:F$1003,$W260)&amp;"")</f>
        <v/>
      </c>
      <c r="G260" s="68" t="str">
        <f aca="false">IF($W260="","",IF(INDEX(发票统计!G$4:G$1003,$W260)="","",INDEX(发票统计!G$4:G$1003,$W260)))</f>
        <v/>
      </c>
      <c r="H260" s="56" t="str">
        <f aca="false">IF($W260="","",N(INDEX(发票统计!H$4:H$1003,$W260)))</f>
        <v/>
      </c>
      <c r="I260" s="56" t="str">
        <f aca="false">IF($W260="","",N(INDEX(发票统计!I$4:I$1003,$W260)))</f>
        <v/>
      </c>
      <c r="J260" s="56" t="str">
        <f aca="false">IF($W260="","",N(INDEX(发票统计!J$4:J$1003,$W260)))</f>
        <v/>
      </c>
      <c r="K260" s="56" t="str">
        <f aca="false">IF($W260="","",N(INDEX(发票统计!K$4:K$1003,$W260)))</f>
        <v/>
      </c>
      <c r="L260" s="56" t="str">
        <f aca="false">IF($W260="","",SUM(J$4:J260)-SUM(K$4:K260))</f>
        <v/>
      </c>
      <c r="M260" s="56" t="str">
        <f aca="false">IF($W260="","",N(INDEX(发票统计!M$4:M$1003,$W260)))</f>
        <v/>
      </c>
      <c r="N260" s="56" t="str">
        <f aca="false">IF($W260="","",N(INDEX(发票统计!N$4:N$1003,$W260)))</f>
        <v/>
      </c>
      <c r="O260" s="56" t="str">
        <f aca="false">IF($W260="","",N(INDEX(发票统计!O$4:O$1003,$W260)))</f>
        <v/>
      </c>
      <c r="P260" s="56" t="str">
        <f aca="false">IF($W260="","",SUM(M$4:M260)-SUM(N$4:N260)-SUM(O$4:O260))</f>
        <v/>
      </c>
      <c r="Q260" s="56" t="str">
        <f aca="false">IF($W260="","",N(INDEX(发票统计!Q$4:Q$1003,$W260)))</f>
        <v/>
      </c>
      <c r="R260" s="56" t="str">
        <f aca="false">IF($W260="","",N(INDEX(发票统计!R$4:R$1003,$W260)))</f>
        <v/>
      </c>
      <c r="S260" s="56" t="str">
        <f aca="false">IF($W260="","",N(INDEX(发票统计!S$4:S$1003,$W260)))</f>
        <v/>
      </c>
      <c r="T260" s="56" t="str">
        <f aca="false">IF($W260="","",SUM(Q$4:Q260)-SUM(R$4:R260)-SUM(S$4:S260))</f>
        <v/>
      </c>
      <c r="U260" s="56" t="str">
        <f aca="false">IF($W260="","",INDEX(发票统计!U$4:U$1003,$W260)&amp;"")</f>
        <v/>
      </c>
      <c r="W260" s="1" t="str">
        <f aca="false">IF($V$3="","",IFERROR(MATCH($V$3&amp;"#"&amp;ROWS(W$4:W260),发票统计!$W$4:$W$1003,0),""))</f>
        <v/>
      </c>
    </row>
    <row r="261" customFormat="false" ht="16.5" hidden="false" customHeight="false" outlineLevel="0" collapsed="false">
      <c r="A261" s="3" t="str">
        <f aca="false">IF($W261="","",INDEX(发票统计!A$4:A$1003,$W261)&amp;"")</f>
        <v/>
      </c>
      <c r="B261" s="3" t="str">
        <f aca="false">IF($W261="","",INDEX(发票统计!B$4:B$1003,$W261)&amp;"")</f>
        <v/>
      </c>
      <c r="C261" s="3" t="str">
        <f aca="false">IF($W261="","",INDEX(发票统计!C$4:C$1003,$W261)&amp;"")</f>
        <v/>
      </c>
      <c r="D261" s="3" t="str">
        <f aca="false">IF($W261="","",INDEX(发票统计!D$4:D$1003,$W261)&amp;"")</f>
        <v/>
      </c>
      <c r="E261" s="67" t="str">
        <f aca="false">IF($W261="","",INDEX(发票统计!E$4:E$1003,$W261)&amp;"")</f>
        <v/>
      </c>
      <c r="F261" s="68" t="str">
        <f aca="false">IF($W261="","",INDEX(发票统计!F$4:F$1003,$W261)&amp;"")</f>
        <v/>
      </c>
      <c r="G261" s="68" t="str">
        <f aca="false">IF($W261="","",IF(INDEX(发票统计!G$4:G$1003,$W261)="","",INDEX(发票统计!G$4:G$1003,$W261)))</f>
        <v/>
      </c>
      <c r="H261" s="56" t="str">
        <f aca="false">IF($W261="","",N(INDEX(发票统计!H$4:H$1003,$W261)))</f>
        <v/>
      </c>
      <c r="I261" s="56" t="str">
        <f aca="false">IF($W261="","",N(INDEX(发票统计!I$4:I$1003,$W261)))</f>
        <v/>
      </c>
      <c r="J261" s="56" t="str">
        <f aca="false">IF($W261="","",N(INDEX(发票统计!J$4:J$1003,$W261)))</f>
        <v/>
      </c>
      <c r="K261" s="56" t="str">
        <f aca="false">IF($W261="","",N(INDEX(发票统计!K$4:K$1003,$W261)))</f>
        <v/>
      </c>
      <c r="L261" s="56" t="str">
        <f aca="false">IF($W261="","",SUM(J$4:J261)-SUM(K$4:K261))</f>
        <v/>
      </c>
      <c r="M261" s="56" t="str">
        <f aca="false">IF($W261="","",N(INDEX(发票统计!M$4:M$1003,$W261)))</f>
        <v/>
      </c>
      <c r="N261" s="56" t="str">
        <f aca="false">IF($W261="","",N(INDEX(发票统计!N$4:N$1003,$W261)))</f>
        <v/>
      </c>
      <c r="O261" s="56" t="str">
        <f aca="false">IF($W261="","",N(INDEX(发票统计!O$4:O$1003,$W261)))</f>
        <v/>
      </c>
      <c r="P261" s="56" t="str">
        <f aca="false">IF($W261="","",SUM(M$4:M261)-SUM(N$4:N261)-SUM(O$4:O261))</f>
        <v/>
      </c>
      <c r="Q261" s="56" t="str">
        <f aca="false">IF($W261="","",N(INDEX(发票统计!Q$4:Q$1003,$W261)))</f>
        <v/>
      </c>
      <c r="R261" s="56" t="str">
        <f aca="false">IF($W261="","",N(INDEX(发票统计!R$4:R$1003,$W261)))</f>
        <v/>
      </c>
      <c r="S261" s="56" t="str">
        <f aca="false">IF($W261="","",N(INDEX(发票统计!S$4:S$1003,$W261)))</f>
        <v/>
      </c>
      <c r="T261" s="56" t="str">
        <f aca="false">IF($W261="","",SUM(Q$4:Q261)-SUM(R$4:R261)-SUM(S$4:S261))</f>
        <v/>
      </c>
      <c r="U261" s="56" t="str">
        <f aca="false">IF($W261="","",INDEX(发票统计!U$4:U$1003,$W261)&amp;"")</f>
        <v/>
      </c>
      <c r="W261" s="1" t="str">
        <f aca="false">IF($V$3="","",IFERROR(MATCH($V$3&amp;"#"&amp;ROWS(W$4:W261),发票统计!$W$4:$W$1003,0),""))</f>
        <v/>
      </c>
    </row>
    <row r="262" customFormat="false" ht="16.5" hidden="false" customHeight="false" outlineLevel="0" collapsed="false">
      <c r="A262" s="3" t="str">
        <f aca="false">IF($W262="","",INDEX(发票统计!A$4:A$1003,$W262)&amp;"")</f>
        <v/>
      </c>
      <c r="B262" s="3" t="str">
        <f aca="false">IF($W262="","",INDEX(发票统计!B$4:B$1003,$W262)&amp;"")</f>
        <v/>
      </c>
      <c r="C262" s="3" t="str">
        <f aca="false">IF($W262="","",INDEX(发票统计!C$4:C$1003,$W262)&amp;"")</f>
        <v/>
      </c>
      <c r="D262" s="3" t="str">
        <f aca="false">IF($W262="","",INDEX(发票统计!D$4:D$1003,$W262)&amp;"")</f>
        <v/>
      </c>
      <c r="E262" s="67" t="str">
        <f aca="false">IF($W262="","",INDEX(发票统计!E$4:E$1003,$W262)&amp;"")</f>
        <v/>
      </c>
      <c r="F262" s="68" t="str">
        <f aca="false">IF($W262="","",INDEX(发票统计!F$4:F$1003,$W262)&amp;"")</f>
        <v/>
      </c>
      <c r="G262" s="68" t="str">
        <f aca="false">IF($W262="","",IF(INDEX(发票统计!G$4:G$1003,$W262)="","",INDEX(发票统计!G$4:G$1003,$W262)))</f>
        <v/>
      </c>
      <c r="H262" s="56" t="str">
        <f aca="false">IF($W262="","",N(INDEX(发票统计!H$4:H$1003,$W262)))</f>
        <v/>
      </c>
      <c r="I262" s="56" t="str">
        <f aca="false">IF($W262="","",N(INDEX(发票统计!I$4:I$1003,$W262)))</f>
        <v/>
      </c>
      <c r="J262" s="56" t="str">
        <f aca="false">IF($W262="","",N(INDEX(发票统计!J$4:J$1003,$W262)))</f>
        <v/>
      </c>
      <c r="K262" s="56" t="str">
        <f aca="false">IF($W262="","",N(INDEX(发票统计!K$4:K$1003,$W262)))</f>
        <v/>
      </c>
      <c r="L262" s="56" t="str">
        <f aca="false">IF($W262="","",SUM(J$4:J262)-SUM(K$4:K262))</f>
        <v/>
      </c>
      <c r="M262" s="56" t="str">
        <f aca="false">IF($W262="","",N(INDEX(发票统计!M$4:M$1003,$W262)))</f>
        <v/>
      </c>
      <c r="N262" s="56" t="str">
        <f aca="false">IF($W262="","",N(INDEX(发票统计!N$4:N$1003,$W262)))</f>
        <v/>
      </c>
      <c r="O262" s="56" t="str">
        <f aca="false">IF($W262="","",N(INDEX(发票统计!O$4:O$1003,$W262)))</f>
        <v/>
      </c>
      <c r="P262" s="56" t="str">
        <f aca="false">IF($W262="","",SUM(M$4:M262)-SUM(N$4:N262)-SUM(O$4:O262))</f>
        <v/>
      </c>
      <c r="Q262" s="56" t="str">
        <f aca="false">IF($W262="","",N(INDEX(发票统计!Q$4:Q$1003,$W262)))</f>
        <v/>
      </c>
      <c r="R262" s="56" t="str">
        <f aca="false">IF($W262="","",N(INDEX(发票统计!R$4:R$1003,$W262)))</f>
        <v/>
      </c>
      <c r="S262" s="56" t="str">
        <f aca="false">IF($W262="","",N(INDEX(发票统计!S$4:S$1003,$W262)))</f>
        <v/>
      </c>
      <c r="T262" s="56" t="str">
        <f aca="false">IF($W262="","",SUM(Q$4:Q262)-SUM(R$4:R262)-SUM(S$4:S262))</f>
        <v/>
      </c>
      <c r="U262" s="56" t="str">
        <f aca="false">IF($W262="","",INDEX(发票统计!U$4:U$1003,$W262)&amp;"")</f>
        <v/>
      </c>
      <c r="W262" s="1" t="str">
        <f aca="false">IF($V$3="","",IFERROR(MATCH($V$3&amp;"#"&amp;ROWS(W$4:W262),发票统计!$W$4:$W$1003,0),""))</f>
        <v/>
      </c>
    </row>
    <row r="263" customFormat="false" ht="16.5" hidden="false" customHeight="false" outlineLevel="0" collapsed="false">
      <c r="A263" s="3" t="str">
        <f aca="false">IF($W263="","",INDEX(发票统计!A$4:A$1003,$W263)&amp;"")</f>
        <v/>
      </c>
      <c r="B263" s="3" t="str">
        <f aca="false">IF($W263="","",INDEX(发票统计!B$4:B$1003,$W263)&amp;"")</f>
        <v/>
      </c>
      <c r="C263" s="3" t="str">
        <f aca="false">IF($W263="","",INDEX(发票统计!C$4:C$1003,$W263)&amp;"")</f>
        <v/>
      </c>
      <c r="D263" s="3" t="str">
        <f aca="false">IF($W263="","",INDEX(发票统计!D$4:D$1003,$W263)&amp;"")</f>
        <v/>
      </c>
      <c r="E263" s="67" t="str">
        <f aca="false">IF($W263="","",INDEX(发票统计!E$4:E$1003,$W263)&amp;"")</f>
        <v/>
      </c>
      <c r="F263" s="68" t="str">
        <f aca="false">IF($W263="","",INDEX(发票统计!F$4:F$1003,$W263)&amp;"")</f>
        <v/>
      </c>
      <c r="G263" s="68" t="str">
        <f aca="false">IF($W263="","",IF(INDEX(发票统计!G$4:G$1003,$W263)="","",INDEX(发票统计!G$4:G$1003,$W263)))</f>
        <v/>
      </c>
      <c r="H263" s="56" t="str">
        <f aca="false">IF($W263="","",N(INDEX(发票统计!H$4:H$1003,$W263)))</f>
        <v/>
      </c>
      <c r="I263" s="56" t="str">
        <f aca="false">IF($W263="","",N(INDEX(发票统计!I$4:I$1003,$W263)))</f>
        <v/>
      </c>
      <c r="J263" s="56" t="str">
        <f aca="false">IF($W263="","",N(INDEX(发票统计!J$4:J$1003,$W263)))</f>
        <v/>
      </c>
      <c r="K263" s="56" t="str">
        <f aca="false">IF($W263="","",N(INDEX(发票统计!K$4:K$1003,$W263)))</f>
        <v/>
      </c>
      <c r="L263" s="56" t="str">
        <f aca="false">IF($W263="","",SUM(J$4:J263)-SUM(K$4:K263))</f>
        <v/>
      </c>
      <c r="M263" s="56" t="str">
        <f aca="false">IF($W263="","",N(INDEX(发票统计!M$4:M$1003,$W263)))</f>
        <v/>
      </c>
      <c r="N263" s="56" t="str">
        <f aca="false">IF($W263="","",N(INDEX(发票统计!N$4:N$1003,$W263)))</f>
        <v/>
      </c>
      <c r="O263" s="56" t="str">
        <f aca="false">IF($W263="","",N(INDEX(发票统计!O$4:O$1003,$W263)))</f>
        <v/>
      </c>
      <c r="P263" s="56" t="str">
        <f aca="false">IF($W263="","",SUM(M$4:M263)-SUM(N$4:N263)-SUM(O$4:O263))</f>
        <v/>
      </c>
      <c r="Q263" s="56" t="str">
        <f aca="false">IF($W263="","",N(INDEX(发票统计!Q$4:Q$1003,$W263)))</f>
        <v/>
      </c>
      <c r="R263" s="56" t="str">
        <f aca="false">IF($W263="","",N(INDEX(发票统计!R$4:R$1003,$W263)))</f>
        <v/>
      </c>
      <c r="S263" s="56" t="str">
        <f aca="false">IF($W263="","",N(INDEX(发票统计!S$4:S$1003,$W263)))</f>
        <v/>
      </c>
      <c r="T263" s="56" t="str">
        <f aca="false">IF($W263="","",SUM(Q$4:Q263)-SUM(R$4:R263)-SUM(S$4:S263))</f>
        <v/>
      </c>
      <c r="U263" s="56" t="str">
        <f aca="false">IF($W263="","",INDEX(发票统计!U$4:U$1003,$W263)&amp;"")</f>
        <v/>
      </c>
      <c r="W263" s="1" t="str">
        <f aca="false">IF($V$3="","",IFERROR(MATCH($V$3&amp;"#"&amp;ROWS(W$4:W263),发票统计!$W$4:$W$1003,0),""))</f>
        <v/>
      </c>
    </row>
    <row r="264" customFormat="false" ht="16.5" hidden="false" customHeight="false" outlineLevel="0" collapsed="false">
      <c r="A264" s="3" t="str">
        <f aca="false">IF($W264="","",INDEX(发票统计!A$4:A$1003,$W264)&amp;"")</f>
        <v/>
      </c>
      <c r="B264" s="3" t="str">
        <f aca="false">IF($W264="","",INDEX(发票统计!B$4:B$1003,$W264)&amp;"")</f>
        <v/>
      </c>
      <c r="C264" s="3" t="str">
        <f aca="false">IF($W264="","",INDEX(发票统计!C$4:C$1003,$W264)&amp;"")</f>
        <v/>
      </c>
      <c r="D264" s="3" t="str">
        <f aca="false">IF($W264="","",INDEX(发票统计!D$4:D$1003,$W264)&amp;"")</f>
        <v/>
      </c>
      <c r="E264" s="67" t="str">
        <f aca="false">IF($W264="","",INDEX(发票统计!E$4:E$1003,$W264)&amp;"")</f>
        <v/>
      </c>
      <c r="F264" s="68" t="str">
        <f aca="false">IF($W264="","",INDEX(发票统计!F$4:F$1003,$W264)&amp;"")</f>
        <v/>
      </c>
      <c r="G264" s="68" t="str">
        <f aca="false">IF($W264="","",IF(INDEX(发票统计!G$4:G$1003,$W264)="","",INDEX(发票统计!G$4:G$1003,$W264)))</f>
        <v/>
      </c>
      <c r="H264" s="56" t="str">
        <f aca="false">IF($W264="","",N(INDEX(发票统计!H$4:H$1003,$W264)))</f>
        <v/>
      </c>
      <c r="I264" s="56" t="str">
        <f aca="false">IF($W264="","",N(INDEX(发票统计!I$4:I$1003,$W264)))</f>
        <v/>
      </c>
      <c r="J264" s="56" t="str">
        <f aca="false">IF($W264="","",N(INDEX(发票统计!J$4:J$1003,$W264)))</f>
        <v/>
      </c>
      <c r="K264" s="56" t="str">
        <f aca="false">IF($W264="","",N(INDEX(发票统计!K$4:K$1003,$W264)))</f>
        <v/>
      </c>
      <c r="L264" s="56" t="str">
        <f aca="false">IF($W264="","",SUM(J$4:J264)-SUM(K$4:K264))</f>
        <v/>
      </c>
      <c r="M264" s="56" t="str">
        <f aca="false">IF($W264="","",N(INDEX(发票统计!M$4:M$1003,$W264)))</f>
        <v/>
      </c>
      <c r="N264" s="56" t="str">
        <f aca="false">IF($W264="","",N(INDEX(发票统计!N$4:N$1003,$W264)))</f>
        <v/>
      </c>
      <c r="O264" s="56" t="str">
        <f aca="false">IF($W264="","",N(INDEX(发票统计!O$4:O$1003,$W264)))</f>
        <v/>
      </c>
      <c r="P264" s="56" t="str">
        <f aca="false">IF($W264="","",SUM(M$4:M264)-SUM(N$4:N264)-SUM(O$4:O264))</f>
        <v/>
      </c>
      <c r="Q264" s="56" t="str">
        <f aca="false">IF($W264="","",N(INDEX(发票统计!Q$4:Q$1003,$W264)))</f>
        <v/>
      </c>
      <c r="R264" s="56" t="str">
        <f aca="false">IF($W264="","",N(INDEX(发票统计!R$4:R$1003,$W264)))</f>
        <v/>
      </c>
      <c r="S264" s="56" t="str">
        <f aca="false">IF($W264="","",N(INDEX(发票统计!S$4:S$1003,$W264)))</f>
        <v/>
      </c>
      <c r="T264" s="56" t="str">
        <f aca="false">IF($W264="","",SUM(Q$4:Q264)-SUM(R$4:R264)-SUM(S$4:S264))</f>
        <v/>
      </c>
      <c r="U264" s="56" t="str">
        <f aca="false">IF($W264="","",INDEX(发票统计!U$4:U$1003,$W264)&amp;"")</f>
        <v/>
      </c>
      <c r="W264" s="1" t="str">
        <f aca="false">IF($V$3="","",IFERROR(MATCH($V$3&amp;"#"&amp;ROWS(W$4:W264),发票统计!$W$4:$W$1003,0),""))</f>
        <v/>
      </c>
    </row>
    <row r="265" customFormat="false" ht="16.5" hidden="false" customHeight="false" outlineLevel="0" collapsed="false">
      <c r="A265" s="3" t="str">
        <f aca="false">IF($W265="","",INDEX(发票统计!A$4:A$1003,$W265)&amp;"")</f>
        <v/>
      </c>
      <c r="B265" s="3" t="str">
        <f aca="false">IF($W265="","",INDEX(发票统计!B$4:B$1003,$W265)&amp;"")</f>
        <v/>
      </c>
      <c r="C265" s="3" t="str">
        <f aca="false">IF($W265="","",INDEX(发票统计!C$4:C$1003,$W265)&amp;"")</f>
        <v/>
      </c>
      <c r="D265" s="3" t="str">
        <f aca="false">IF($W265="","",INDEX(发票统计!D$4:D$1003,$W265)&amp;"")</f>
        <v/>
      </c>
      <c r="E265" s="67" t="str">
        <f aca="false">IF($W265="","",INDEX(发票统计!E$4:E$1003,$W265)&amp;"")</f>
        <v/>
      </c>
      <c r="F265" s="68" t="str">
        <f aca="false">IF($W265="","",INDEX(发票统计!F$4:F$1003,$W265)&amp;"")</f>
        <v/>
      </c>
      <c r="G265" s="68" t="str">
        <f aca="false">IF($W265="","",IF(INDEX(发票统计!G$4:G$1003,$W265)="","",INDEX(发票统计!G$4:G$1003,$W265)))</f>
        <v/>
      </c>
      <c r="H265" s="56" t="str">
        <f aca="false">IF($W265="","",N(INDEX(发票统计!H$4:H$1003,$W265)))</f>
        <v/>
      </c>
      <c r="I265" s="56" t="str">
        <f aca="false">IF($W265="","",N(INDEX(发票统计!I$4:I$1003,$W265)))</f>
        <v/>
      </c>
      <c r="J265" s="56" t="str">
        <f aca="false">IF($W265="","",N(INDEX(发票统计!J$4:J$1003,$W265)))</f>
        <v/>
      </c>
      <c r="K265" s="56" t="str">
        <f aca="false">IF($W265="","",N(INDEX(发票统计!K$4:K$1003,$W265)))</f>
        <v/>
      </c>
      <c r="L265" s="56" t="str">
        <f aca="false">IF($W265="","",SUM(J$4:J265)-SUM(K$4:K265))</f>
        <v/>
      </c>
      <c r="M265" s="56" t="str">
        <f aca="false">IF($W265="","",N(INDEX(发票统计!M$4:M$1003,$W265)))</f>
        <v/>
      </c>
      <c r="N265" s="56" t="str">
        <f aca="false">IF($W265="","",N(INDEX(发票统计!N$4:N$1003,$W265)))</f>
        <v/>
      </c>
      <c r="O265" s="56" t="str">
        <f aca="false">IF($W265="","",N(INDEX(发票统计!O$4:O$1003,$W265)))</f>
        <v/>
      </c>
      <c r="P265" s="56" t="str">
        <f aca="false">IF($W265="","",SUM(M$4:M265)-SUM(N$4:N265)-SUM(O$4:O265))</f>
        <v/>
      </c>
      <c r="Q265" s="56" t="str">
        <f aca="false">IF($W265="","",N(INDEX(发票统计!Q$4:Q$1003,$W265)))</f>
        <v/>
      </c>
      <c r="R265" s="56" t="str">
        <f aca="false">IF($W265="","",N(INDEX(发票统计!R$4:R$1003,$W265)))</f>
        <v/>
      </c>
      <c r="S265" s="56" t="str">
        <f aca="false">IF($W265="","",N(INDEX(发票统计!S$4:S$1003,$W265)))</f>
        <v/>
      </c>
      <c r="T265" s="56" t="str">
        <f aca="false">IF($W265="","",SUM(Q$4:Q265)-SUM(R$4:R265)-SUM(S$4:S265))</f>
        <v/>
      </c>
      <c r="U265" s="56" t="str">
        <f aca="false">IF($W265="","",INDEX(发票统计!U$4:U$1003,$W265)&amp;"")</f>
        <v/>
      </c>
      <c r="W265" s="1" t="str">
        <f aca="false">IF($V$3="","",IFERROR(MATCH($V$3&amp;"#"&amp;ROWS(W$4:W265),发票统计!$W$4:$W$1003,0),""))</f>
        <v/>
      </c>
    </row>
    <row r="266" customFormat="false" ht="16.5" hidden="false" customHeight="false" outlineLevel="0" collapsed="false">
      <c r="A266" s="3" t="str">
        <f aca="false">IF($W266="","",INDEX(发票统计!A$4:A$1003,$W266)&amp;"")</f>
        <v/>
      </c>
      <c r="B266" s="3" t="str">
        <f aca="false">IF($W266="","",INDEX(发票统计!B$4:B$1003,$W266)&amp;"")</f>
        <v/>
      </c>
      <c r="C266" s="3" t="str">
        <f aca="false">IF($W266="","",INDEX(发票统计!C$4:C$1003,$W266)&amp;"")</f>
        <v/>
      </c>
      <c r="D266" s="3" t="str">
        <f aca="false">IF($W266="","",INDEX(发票统计!D$4:D$1003,$W266)&amp;"")</f>
        <v/>
      </c>
      <c r="E266" s="67" t="str">
        <f aca="false">IF($W266="","",INDEX(发票统计!E$4:E$1003,$W266)&amp;"")</f>
        <v/>
      </c>
      <c r="F266" s="68" t="str">
        <f aca="false">IF($W266="","",INDEX(发票统计!F$4:F$1003,$W266)&amp;"")</f>
        <v/>
      </c>
      <c r="G266" s="68" t="str">
        <f aca="false">IF($W266="","",IF(INDEX(发票统计!G$4:G$1003,$W266)="","",INDEX(发票统计!G$4:G$1003,$W266)))</f>
        <v/>
      </c>
      <c r="H266" s="56" t="str">
        <f aca="false">IF($W266="","",N(INDEX(发票统计!H$4:H$1003,$W266)))</f>
        <v/>
      </c>
      <c r="I266" s="56" t="str">
        <f aca="false">IF($W266="","",N(INDEX(发票统计!I$4:I$1003,$W266)))</f>
        <v/>
      </c>
      <c r="J266" s="56" t="str">
        <f aca="false">IF($W266="","",N(INDEX(发票统计!J$4:J$1003,$W266)))</f>
        <v/>
      </c>
      <c r="K266" s="56" t="str">
        <f aca="false">IF($W266="","",N(INDEX(发票统计!K$4:K$1003,$W266)))</f>
        <v/>
      </c>
      <c r="L266" s="56" t="str">
        <f aca="false">IF($W266="","",SUM(J$4:J266)-SUM(K$4:K266))</f>
        <v/>
      </c>
      <c r="M266" s="56" t="str">
        <f aca="false">IF($W266="","",N(INDEX(发票统计!M$4:M$1003,$W266)))</f>
        <v/>
      </c>
      <c r="N266" s="56" t="str">
        <f aca="false">IF($W266="","",N(INDEX(发票统计!N$4:N$1003,$W266)))</f>
        <v/>
      </c>
      <c r="O266" s="56" t="str">
        <f aca="false">IF($W266="","",N(INDEX(发票统计!O$4:O$1003,$W266)))</f>
        <v/>
      </c>
      <c r="P266" s="56" t="str">
        <f aca="false">IF($W266="","",SUM(M$4:M266)-SUM(N$4:N266)-SUM(O$4:O266))</f>
        <v/>
      </c>
      <c r="Q266" s="56" t="str">
        <f aca="false">IF($W266="","",N(INDEX(发票统计!Q$4:Q$1003,$W266)))</f>
        <v/>
      </c>
      <c r="R266" s="56" t="str">
        <f aca="false">IF($W266="","",N(INDEX(发票统计!R$4:R$1003,$W266)))</f>
        <v/>
      </c>
      <c r="S266" s="56" t="str">
        <f aca="false">IF($W266="","",N(INDEX(发票统计!S$4:S$1003,$W266)))</f>
        <v/>
      </c>
      <c r="T266" s="56" t="str">
        <f aca="false">IF($W266="","",SUM(Q$4:Q266)-SUM(R$4:R266)-SUM(S$4:S266))</f>
        <v/>
      </c>
      <c r="U266" s="56" t="str">
        <f aca="false">IF($W266="","",INDEX(发票统计!U$4:U$1003,$W266)&amp;"")</f>
        <v/>
      </c>
      <c r="W266" s="1" t="str">
        <f aca="false">IF($V$3="","",IFERROR(MATCH($V$3&amp;"#"&amp;ROWS(W$4:W266),发票统计!$W$4:$W$1003,0),""))</f>
        <v/>
      </c>
    </row>
    <row r="267" customFormat="false" ht="16.5" hidden="false" customHeight="false" outlineLevel="0" collapsed="false">
      <c r="A267" s="3" t="str">
        <f aca="false">IF($W267="","",INDEX(发票统计!A$4:A$1003,$W267)&amp;"")</f>
        <v/>
      </c>
      <c r="B267" s="3" t="str">
        <f aca="false">IF($W267="","",INDEX(发票统计!B$4:B$1003,$W267)&amp;"")</f>
        <v/>
      </c>
      <c r="C267" s="3" t="str">
        <f aca="false">IF($W267="","",INDEX(发票统计!C$4:C$1003,$W267)&amp;"")</f>
        <v/>
      </c>
      <c r="D267" s="3" t="str">
        <f aca="false">IF($W267="","",INDEX(发票统计!D$4:D$1003,$W267)&amp;"")</f>
        <v/>
      </c>
      <c r="E267" s="67" t="str">
        <f aca="false">IF($W267="","",INDEX(发票统计!E$4:E$1003,$W267)&amp;"")</f>
        <v/>
      </c>
      <c r="F267" s="68" t="str">
        <f aca="false">IF($W267="","",INDEX(发票统计!F$4:F$1003,$W267)&amp;"")</f>
        <v/>
      </c>
      <c r="G267" s="68" t="str">
        <f aca="false">IF($W267="","",IF(INDEX(发票统计!G$4:G$1003,$W267)="","",INDEX(发票统计!G$4:G$1003,$W267)))</f>
        <v/>
      </c>
      <c r="H267" s="56" t="str">
        <f aca="false">IF($W267="","",N(INDEX(发票统计!H$4:H$1003,$W267)))</f>
        <v/>
      </c>
      <c r="I267" s="56" t="str">
        <f aca="false">IF($W267="","",N(INDEX(发票统计!I$4:I$1003,$W267)))</f>
        <v/>
      </c>
      <c r="J267" s="56" t="str">
        <f aca="false">IF($W267="","",N(INDEX(发票统计!J$4:J$1003,$W267)))</f>
        <v/>
      </c>
      <c r="K267" s="56" t="str">
        <f aca="false">IF($W267="","",N(INDEX(发票统计!K$4:K$1003,$W267)))</f>
        <v/>
      </c>
      <c r="L267" s="56" t="str">
        <f aca="false">IF($W267="","",SUM(J$4:J267)-SUM(K$4:K267))</f>
        <v/>
      </c>
      <c r="M267" s="56" t="str">
        <f aca="false">IF($W267="","",N(INDEX(发票统计!M$4:M$1003,$W267)))</f>
        <v/>
      </c>
      <c r="N267" s="56" t="str">
        <f aca="false">IF($W267="","",N(INDEX(发票统计!N$4:N$1003,$W267)))</f>
        <v/>
      </c>
      <c r="O267" s="56" t="str">
        <f aca="false">IF($W267="","",N(INDEX(发票统计!O$4:O$1003,$W267)))</f>
        <v/>
      </c>
      <c r="P267" s="56" t="str">
        <f aca="false">IF($W267="","",SUM(M$4:M267)-SUM(N$4:N267)-SUM(O$4:O267))</f>
        <v/>
      </c>
      <c r="Q267" s="56" t="str">
        <f aca="false">IF($W267="","",N(INDEX(发票统计!Q$4:Q$1003,$W267)))</f>
        <v/>
      </c>
      <c r="R267" s="56" t="str">
        <f aca="false">IF($W267="","",N(INDEX(发票统计!R$4:R$1003,$W267)))</f>
        <v/>
      </c>
      <c r="S267" s="56" t="str">
        <f aca="false">IF($W267="","",N(INDEX(发票统计!S$4:S$1003,$W267)))</f>
        <v/>
      </c>
      <c r="T267" s="56" t="str">
        <f aca="false">IF($W267="","",SUM(Q$4:Q267)-SUM(R$4:R267)-SUM(S$4:S267))</f>
        <v/>
      </c>
      <c r="U267" s="56" t="str">
        <f aca="false">IF($W267="","",INDEX(发票统计!U$4:U$1003,$W267)&amp;"")</f>
        <v/>
      </c>
      <c r="W267" s="1" t="str">
        <f aca="false">IF($V$3="","",IFERROR(MATCH($V$3&amp;"#"&amp;ROWS(W$4:W267),发票统计!$W$4:$W$1003,0),""))</f>
        <v/>
      </c>
    </row>
    <row r="268" customFormat="false" ht="16.5" hidden="false" customHeight="false" outlineLevel="0" collapsed="false">
      <c r="A268" s="3" t="str">
        <f aca="false">IF($W268="","",INDEX(发票统计!A$4:A$1003,$W268)&amp;"")</f>
        <v/>
      </c>
      <c r="B268" s="3" t="str">
        <f aca="false">IF($W268="","",INDEX(发票统计!B$4:B$1003,$W268)&amp;"")</f>
        <v/>
      </c>
      <c r="C268" s="3" t="str">
        <f aca="false">IF($W268="","",INDEX(发票统计!C$4:C$1003,$W268)&amp;"")</f>
        <v/>
      </c>
      <c r="D268" s="3" t="str">
        <f aca="false">IF($W268="","",INDEX(发票统计!D$4:D$1003,$W268)&amp;"")</f>
        <v/>
      </c>
      <c r="E268" s="67" t="str">
        <f aca="false">IF($W268="","",INDEX(发票统计!E$4:E$1003,$W268)&amp;"")</f>
        <v/>
      </c>
      <c r="F268" s="68" t="str">
        <f aca="false">IF($W268="","",INDEX(发票统计!F$4:F$1003,$W268)&amp;"")</f>
        <v/>
      </c>
      <c r="G268" s="68" t="str">
        <f aca="false">IF($W268="","",IF(INDEX(发票统计!G$4:G$1003,$W268)="","",INDEX(发票统计!G$4:G$1003,$W268)))</f>
        <v/>
      </c>
      <c r="H268" s="56" t="str">
        <f aca="false">IF($W268="","",N(INDEX(发票统计!H$4:H$1003,$W268)))</f>
        <v/>
      </c>
      <c r="I268" s="56" t="str">
        <f aca="false">IF($W268="","",N(INDEX(发票统计!I$4:I$1003,$W268)))</f>
        <v/>
      </c>
      <c r="J268" s="56" t="str">
        <f aca="false">IF($W268="","",N(INDEX(发票统计!J$4:J$1003,$W268)))</f>
        <v/>
      </c>
      <c r="K268" s="56" t="str">
        <f aca="false">IF($W268="","",N(INDEX(发票统计!K$4:K$1003,$W268)))</f>
        <v/>
      </c>
      <c r="L268" s="56" t="str">
        <f aca="false">IF($W268="","",SUM(J$4:J268)-SUM(K$4:K268))</f>
        <v/>
      </c>
      <c r="M268" s="56" t="str">
        <f aca="false">IF($W268="","",N(INDEX(发票统计!M$4:M$1003,$W268)))</f>
        <v/>
      </c>
      <c r="N268" s="56" t="str">
        <f aca="false">IF($W268="","",N(INDEX(发票统计!N$4:N$1003,$W268)))</f>
        <v/>
      </c>
      <c r="O268" s="56" t="str">
        <f aca="false">IF($W268="","",N(INDEX(发票统计!O$4:O$1003,$W268)))</f>
        <v/>
      </c>
      <c r="P268" s="56" t="str">
        <f aca="false">IF($W268="","",SUM(M$4:M268)-SUM(N$4:N268)-SUM(O$4:O268))</f>
        <v/>
      </c>
      <c r="Q268" s="56" t="str">
        <f aca="false">IF($W268="","",N(INDEX(发票统计!Q$4:Q$1003,$W268)))</f>
        <v/>
      </c>
      <c r="R268" s="56" t="str">
        <f aca="false">IF($W268="","",N(INDEX(发票统计!R$4:R$1003,$W268)))</f>
        <v/>
      </c>
      <c r="S268" s="56" t="str">
        <f aca="false">IF($W268="","",N(INDEX(发票统计!S$4:S$1003,$W268)))</f>
        <v/>
      </c>
      <c r="T268" s="56" t="str">
        <f aca="false">IF($W268="","",SUM(Q$4:Q268)-SUM(R$4:R268)-SUM(S$4:S268))</f>
        <v/>
      </c>
      <c r="U268" s="56" t="str">
        <f aca="false">IF($W268="","",INDEX(发票统计!U$4:U$1003,$W268)&amp;"")</f>
        <v/>
      </c>
      <c r="W268" s="1" t="str">
        <f aca="false">IF($V$3="","",IFERROR(MATCH($V$3&amp;"#"&amp;ROWS(W$4:W268),发票统计!$W$4:$W$1003,0),""))</f>
        <v/>
      </c>
    </row>
    <row r="269" customFormat="false" ht="16.5" hidden="false" customHeight="false" outlineLevel="0" collapsed="false">
      <c r="A269" s="3" t="str">
        <f aca="false">IF($W269="","",INDEX(发票统计!A$4:A$1003,$W269)&amp;"")</f>
        <v/>
      </c>
      <c r="B269" s="3" t="str">
        <f aca="false">IF($W269="","",INDEX(发票统计!B$4:B$1003,$W269)&amp;"")</f>
        <v/>
      </c>
      <c r="C269" s="3" t="str">
        <f aca="false">IF($W269="","",INDEX(发票统计!C$4:C$1003,$W269)&amp;"")</f>
        <v/>
      </c>
      <c r="D269" s="3" t="str">
        <f aca="false">IF($W269="","",INDEX(发票统计!D$4:D$1003,$W269)&amp;"")</f>
        <v/>
      </c>
      <c r="E269" s="67" t="str">
        <f aca="false">IF($W269="","",INDEX(发票统计!E$4:E$1003,$W269)&amp;"")</f>
        <v/>
      </c>
      <c r="F269" s="68" t="str">
        <f aca="false">IF($W269="","",INDEX(发票统计!F$4:F$1003,$W269)&amp;"")</f>
        <v/>
      </c>
      <c r="G269" s="68" t="str">
        <f aca="false">IF($W269="","",IF(INDEX(发票统计!G$4:G$1003,$W269)="","",INDEX(发票统计!G$4:G$1003,$W269)))</f>
        <v/>
      </c>
      <c r="H269" s="56" t="str">
        <f aca="false">IF($W269="","",N(INDEX(发票统计!H$4:H$1003,$W269)))</f>
        <v/>
      </c>
      <c r="I269" s="56" t="str">
        <f aca="false">IF($W269="","",N(INDEX(发票统计!I$4:I$1003,$W269)))</f>
        <v/>
      </c>
      <c r="J269" s="56" t="str">
        <f aca="false">IF($W269="","",N(INDEX(发票统计!J$4:J$1003,$W269)))</f>
        <v/>
      </c>
      <c r="K269" s="56" t="str">
        <f aca="false">IF($W269="","",N(INDEX(发票统计!K$4:K$1003,$W269)))</f>
        <v/>
      </c>
      <c r="L269" s="56" t="str">
        <f aca="false">IF($W269="","",SUM(J$4:J269)-SUM(K$4:K269))</f>
        <v/>
      </c>
      <c r="M269" s="56" t="str">
        <f aca="false">IF($W269="","",N(INDEX(发票统计!M$4:M$1003,$W269)))</f>
        <v/>
      </c>
      <c r="N269" s="56" t="str">
        <f aca="false">IF($W269="","",N(INDEX(发票统计!N$4:N$1003,$W269)))</f>
        <v/>
      </c>
      <c r="O269" s="56" t="str">
        <f aca="false">IF($W269="","",N(INDEX(发票统计!O$4:O$1003,$W269)))</f>
        <v/>
      </c>
      <c r="P269" s="56" t="str">
        <f aca="false">IF($W269="","",SUM(M$4:M269)-SUM(N$4:N269)-SUM(O$4:O269))</f>
        <v/>
      </c>
      <c r="Q269" s="56" t="str">
        <f aca="false">IF($W269="","",N(INDEX(发票统计!Q$4:Q$1003,$W269)))</f>
        <v/>
      </c>
      <c r="R269" s="56" t="str">
        <f aca="false">IF($W269="","",N(INDEX(发票统计!R$4:R$1003,$W269)))</f>
        <v/>
      </c>
      <c r="S269" s="56" t="str">
        <f aca="false">IF($W269="","",N(INDEX(发票统计!S$4:S$1003,$W269)))</f>
        <v/>
      </c>
      <c r="T269" s="56" t="str">
        <f aca="false">IF($W269="","",SUM(Q$4:Q269)-SUM(R$4:R269)-SUM(S$4:S269))</f>
        <v/>
      </c>
      <c r="U269" s="56" t="str">
        <f aca="false">IF($W269="","",INDEX(发票统计!U$4:U$1003,$W269)&amp;"")</f>
        <v/>
      </c>
      <c r="W269" s="1" t="str">
        <f aca="false">IF($V$3="","",IFERROR(MATCH($V$3&amp;"#"&amp;ROWS(W$4:W269),发票统计!$W$4:$W$1003,0),""))</f>
        <v/>
      </c>
    </row>
    <row r="270" customFormat="false" ht="16.5" hidden="false" customHeight="false" outlineLevel="0" collapsed="false">
      <c r="A270" s="3" t="str">
        <f aca="false">IF($W270="","",INDEX(发票统计!A$4:A$1003,$W270)&amp;"")</f>
        <v/>
      </c>
      <c r="B270" s="3" t="str">
        <f aca="false">IF($W270="","",INDEX(发票统计!B$4:B$1003,$W270)&amp;"")</f>
        <v/>
      </c>
      <c r="C270" s="3" t="str">
        <f aca="false">IF($W270="","",INDEX(发票统计!C$4:C$1003,$W270)&amp;"")</f>
        <v/>
      </c>
      <c r="D270" s="3" t="str">
        <f aca="false">IF($W270="","",INDEX(发票统计!D$4:D$1003,$W270)&amp;"")</f>
        <v/>
      </c>
      <c r="E270" s="67" t="str">
        <f aca="false">IF($W270="","",INDEX(发票统计!E$4:E$1003,$W270)&amp;"")</f>
        <v/>
      </c>
      <c r="F270" s="68" t="str">
        <f aca="false">IF($W270="","",INDEX(发票统计!F$4:F$1003,$W270)&amp;"")</f>
        <v/>
      </c>
      <c r="G270" s="68" t="str">
        <f aca="false">IF($W270="","",IF(INDEX(发票统计!G$4:G$1003,$W270)="","",INDEX(发票统计!G$4:G$1003,$W270)))</f>
        <v/>
      </c>
      <c r="H270" s="56" t="str">
        <f aca="false">IF($W270="","",N(INDEX(发票统计!H$4:H$1003,$W270)))</f>
        <v/>
      </c>
      <c r="I270" s="56" t="str">
        <f aca="false">IF($W270="","",N(INDEX(发票统计!I$4:I$1003,$W270)))</f>
        <v/>
      </c>
      <c r="J270" s="56" t="str">
        <f aca="false">IF($W270="","",N(INDEX(发票统计!J$4:J$1003,$W270)))</f>
        <v/>
      </c>
      <c r="K270" s="56" t="str">
        <f aca="false">IF($W270="","",N(INDEX(发票统计!K$4:K$1003,$W270)))</f>
        <v/>
      </c>
      <c r="L270" s="56" t="str">
        <f aca="false">IF($W270="","",SUM(J$4:J270)-SUM(K$4:K270))</f>
        <v/>
      </c>
      <c r="M270" s="56" t="str">
        <f aca="false">IF($W270="","",N(INDEX(发票统计!M$4:M$1003,$W270)))</f>
        <v/>
      </c>
      <c r="N270" s="56" t="str">
        <f aca="false">IF($W270="","",N(INDEX(发票统计!N$4:N$1003,$W270)))</f>
        <v/>
      </c>
      <c r="O270" s="56" t="str">
        <f aca="false">IF($W270="","",N(INDEX(发票统计!O$4:O$1003,$W270)))</f>
        <v/>
      </c>
      <c r="P270" s="56" t="str">
        <f aca="false">IF($W270="","",SUM(M$4:M270)-SUM(N$4:N270)-SUM(O$4:O270))</f>
        <v/>
      </c>
      <c r="Q270" s="56" t="str">
        <f aca="false">IF($W270="","",N(INDEX(发票统计!Q$4:Q$1003,$W270)))</f>
        <v/>
      </c>
      <c r="R270" s="56" t="str">
        <f aca="false">IF($W270="","",N(INDEX(发票统计!R$4:R$1003,$W270)))</f>
        <v/>
      </c>
      <c r="S270" s="56" t="str">
        <f aca="false">IF($W270="","",N(INDEX(发票统计!S$4:S$1003,$W270)))</f>
        <v/>
      </c>
      <c r="T270" s="56" t="str">
        <f aca="false">IF($W270="","",SUM(Q$4:Q270)-SUM(R$4:R270)-SUM(S$4:S270))</f>
        <v/>
      </c>
      <c r="U270" s="56" t="str">
        <f aca="false">IF($W270="","",INDEX(发票统计!U$4:U$1003,$W270)&amp;"")</f>
        <v/>
      </c>
      <c r="W270" s="1" t="str">
        <f aca="false">IF($V$3="","",IFERROR(MATCH($V$3&amp;"#"&amp;ROWS(W$4:W270),发票统计!$W$4:$W$1003,0),""))</f>
        <v/>
      </c>
    </row>
    <row r="271" customFormat="false" ht="16.5" hidden="false" customHeight="false" outlineLevel="0" collapsed="false">
      <c r="A271" s="3" t="str">
        <f aca="false">IF($W271="","",INDEX(发票统计!A$4:A$1003,$W271)&amp;"")</f>
        <v/>
      </c>
      <c r="B271" s="3" t="str">
        <f aca="false">IF($W271="","",INDEX(发票统计!B$4:B$1003,$W271)&amp;"")</f>
        <v/>
      </c>
      <c r="C271" s="3" t="str">
        <f aca="false">IF($W271="","",INDEX(发票统计!C$4:C$1003,$W271)&amp;"")</f>
        <v/>
      </c>
      <c r="D271" s="3" t="str">
        <f aca="false">IF($W271="","",INDEX(发票统计!D$4:D$1003,$W271)&amp;"")</f>
        <v/>
      </c>
      <c r="E271" s="67" t="str">
        <f aca="false">IF($W271="","",INDEX(发票统计!E$4:E$1003,$W271)&amp;"")</f>
        <v/>
      </c>
      <c r="F271" s="68" t="str">
        <f aca="false">IF($W271="","",INDEX(发票统计!F$4:F$1003,$W271)&amp;"")</f>
        <v/>
      </c>
      <c r="G271" s="68" t="str">
        <f aca="false">IF($W271="","",IF(INDEX(发票统计!G$4:G$1003,$W271)="","",INDEX(发票统计!G$4:G$1003,$W271)))</f>
        <v/>
      </c>
      <c r="H271" s="56" t="str">
        <f aca="false">IF($W271="","",N(INDEX(发票统计!H$4:H$1003,$W271)))</f>
        <v/>
      </c>
      <c r="I271" s="56" t="str">
        <f aca="false">IF($W271="","",N(INDEX(发票统计!I$4:I$1003,$W271)))</f>
        <v/>
      </c>
      <c r="J271" s="56" t="str">
        <f aca="false">IF($W271="","",N(INDEX(发票统计!J$4:J$1003,$W271)))</f>
        <v/>
      </c>
      <c r="K271" s="56" t="str">
        <f aca="false">IF($W271="","",N(INDEX(发票统计!K$4:K$1003,$W271)))</f>
        <v/>
      </c>
      <c r="L271" s="56" t="str">
        <f aca="false">IF($W271="","",SUM(J$4:J271)-SUM(K$4:K271))</f>
        <v/>
      </c>
      <c r="M271" s="56" t="str">
        <f aca="false">IF($W271="","",N(INDEX(发票统计!M$4:M$1003,$W271)))</f>
        <v/>
      </c>
      <c r="N271" s="56" t="str">
        <f aca="false">IF($W271="","",N(INDEX(发票统计!N$4:N$1003,$W271)))</f>
        <v/>
      </c>
      <c r="O271" s="56" t="str">
        <f aca="false">IF($W271="","",N(INDEX(发票统计!O$4:O$1003,$W271)))</f>
        <v/>
      </c>
      <c r="P271" s="56" t="str">
        <f aca="false">IF($W271="","",SUM(M$4:M271)-SUM(N$4:N271)-SUM(O$4:O271))</f>
        <v/>
      </c>
      <c r="Q271" s="56" t="str">
        <f aca="false">IF($W271="","",N(INDEX(发票统计!Q$4:Q$1003,$W271)))</f>
        <v/>
      </c>
      <c r="R271" s="56" t="str">
        <f aca="false">IF($W271="","",N(INDEX(发票统计!R$4:R$1003,$W271)))</f>
        <v/>
      </c>
      <c r="S271" s="56" t="str">
        <f aca="false">IF($W271="","",N(INDEX(发票统计!S$4:S$1003,$W271)))</f>
        <v/>
      </c>
      <c r="T271" s="56" t="str">
        <f aca="false">IF($W271="","",SUM(Q$4:Q271)-SUM(R$4:R271)-SUM(S$4:S271))</f>
        <v/>
      </c>
      <c r="U271" s="56" t="str">
        <f aca="false">IF($W271="","",INDEX(发票统计!U$4:U$1003,$W271)&amp;"")</f>
        <v/>
      </c>
      <c r="W271" s="1" t="str">
        <f aca="false">IF($V$3="","",IFERROR(MATCH($V$3&amp;"#"&amp;ROWS(W$4:W271),发票统计!$W$4:$W$1003,0),""))</f>
        <v/>
      </c>
    </row>
    <row r="272" customFormat="false" ht="16.5" hidden="false" customHeight="false" outlineLevel="0" collapsed="false">
      <c r="A272" s="3" t="str">
        <f aca="false">IF($W272="","",INDEX(发票统计!A$4:A$1003,$W272)&amp;"")</f>
        <v/>
      </c>
      <c r="B272" s="3" t="str">
        <f aca="false">IF($W272="","",INDEX(发票统计!B$4:B$1003,$W272)&amp;"")</f>
        <v/>
      </c>
      <c r="C272" s="3" t="str">
        <f aca="false">IF($W272="","",INDEX(发票统计!C$4:C$1003,$W272)&amp;"")</f>
        <v/>
      </c>
      <c r="D272" s="3" t="str">
        <f aca="false">IF($W272="","",INDEX(发票统计!D$4:D$1003,$W272)&amp;"")</f>
        <v/>
      </c>
      <c r="E272" s="67" t="str">
        <f aca="false">IF($W272="","",INDEX(发票统计!E$4:E$1003,$W272)&amp;"")</f>
        <v/>
      </c>
      <c r="F272" s="68" t="str">
        <f aca="false">IF($W272="","",INDEX(发票统计!F$4:F$1003,$W272)&amp;"")</f>
        <v/>
      </c>
      <c r="G272" s="68" t="str">
        <f aca="false">IF($W272="","",IF(INDEX(发票统计!G$4:G$1003,$W272)="","",INDEX(发票统计!G$4:G$1003,$W272)))</f>
        <v/>
      </c>
      <c r="H272" s="56" t="str">
        <f aca="false">IF($W272="","",N(INDEX(发票统计!H$4:H$1003,$W272)))</f>
        <v/>
      </c>
      <c r="I272" s="56" t="str">
        <f aca="false">IF($W272="","",N(INDEX(发票统计!I$4:I$1003,$W272)))</f>
        <v/>
      </c>
      <c r="J272" s="56" t="str">
        <f aca="false">IF($W272="","",N(INDEX(发票统计!J$4:J$1003,$W272)))</f>
        <v/>
      </c>
      <c r="K272" s="56" t="str">
        <f aca="false">IF($W272="","",N(INDEX(发票统计!K$4:K$1003,$W272)))</f>
        <v/>
      </c>
      <c r="L272" s="56" t="str">
        <f aca="false">IF($W272="","",SUM(J$4:J272)-SUM(K$4:K272))</f>
        <v/>
      </c>
      <c r="M272" s="56" t="str">
        <f aca="false">IF($W272="","",N(INDEX(发票统计!M$4:M$1003,$W272)))</f>
        <v/>
      </c>
      <c r="N272" s="56" t="str">
        <f aca="false">IF($W272="","",N(INDEX(发票统计!N$4:N$1003,$W272)))</f>
        <v/>
      </c>
      <c r="O272" s="56" t="str">
        <f aca="false">IF($W272="","",N(INDEX(发票统计!O$4:O$1003,$W272)))</f>
        <v/>
      </c>
      <c r="P272" s="56" t="str">
        <f aca="false">IF($W272="","",SUM(M$4:M272)-SUM(N$4:N272)-SUM(O$4:O272))</f>
        <v/>
      </c>
      <c r="Q272" s="56" t="str">
        <f aca="false">IF($W272="","",N(INDEX(发票统计!Q$4:Q$1003,$W272)))</f>
        <v/>
      </c>
      <c r="R272" s="56" t="str">
        <f aca="false">IF($W272="","",N(INDEX(发票统计!R$4:R$1003,$W272)))</f>
        <v/>
      </c>
      <c r="S272" s="56" t="str">
        <f aca="false">IF($W272="","",N(INDEX(发票统计!S$4:S$1003,$W272)))</f>
        <v/>
      </c>
      <c r="T272" s="56" t="str">
        <f aca="false">IF($W272="","",SUM(Q$4:Q272)-SUM(R$4:R272)-SUM(S$4:S272))</f>
        <v/>
      </c>
      <c r="U272" s="56" t="str">
        <f aca="false">IF($W272="","",INDEX(发票统计!U$4:U$1003,$W272)&amp;"")</f>
        <v/>
      </c>
      <c r="W272" s="1" t="str">
        <f aca="false">IF($V$3="","",IFERROR(MATCH($V$3&amp;"#"&amp;ROWS(W$4:W272),发票统计!$W$4:$W$1003,0),""))</f>
        <v/>
      </c>
    </row>
    <row r="273" customFormat="false" ht="16.5" hidden="false" customHeight="false" outlineLevel="0" collapsed="false">
      <c r="A273" s="3" t="str">
        <f aca="false">IF($W273="","",INDEX(发票统计!A$4:A$1003,$W273)&amp;"")</f>
        <v/>
      </c>
      <c r="B273" s="3" t="str">
        <f aca="false">IF($W273="","",INDEX(发票统计!B$4:B$1003,$W273)&amp;"")</f>
        <v/>
      </c>
      <c r="C273" s="3" t="str">
        <f aca="false">IF($W273="","",INDEX(发票统计!C$4:C$1003,$W273)&amp;"")</f>
        <v/>
      </c>
      <c r="D273" s="3" t="str">
        <f aca="false">IF($W273="","",INDEX(发票统计!D$4:D$1003,$W273)&amp;"")</f>
        <v/>
      </c>
      <c r="E273" s="67" t="str">
        <f aca="false">IF($W273="","",INDEX(发票统计!E$4:E$1003,$W273)&amp;"")</f>
        <v/>
      </c>
      <c r="F273" s="68" t="str">
        <f aca="false">IF($W273="","",INDEX(发票统计!F$4:F$1003,$W273)&amp;"")</f>
        <v/>
      </c>
      <c r="G273" s="68" t="str">
        <f aca="false">IF($W273="","",IF(INDEX(发票统计!G$4:G$1003,$W273)="","",INDEX(发票统计!G$4:G$1003,$W273)))</f>
        <v/>
      </c>
      <c r="H273" s="56" t="str">
        <f aca="false">IF($W273="","",N(INDEX(发票统计!H$4:H$1003,$W273)))</f>
        <v/>
      </c>
      <c r="I273" s="56" t="str">
        <f aca="false">IF($W273="","",N(INDEX(发票统计!I$4:I$1003,$W273)))</f>
        <v/>
      </c>
      <c r="J273" s="56" t="str">
        <f aca="false">IF($W273="","",N(INDEX(发票统计!J$4:J$1003,$W273)))</f>
        <v/>
      </c>
      <c r="K273" s="56" t="str">
        <f aca="false">IF($W273="","",N(INDEX(发票统计!K$4:K$1003,$W273)))</f>
        <v/>
      </c>
      <c r="L273" s="56" t="str">
        <f aca="false">IF($W273="","",SUM(J$4:J273)-SUM(K$4:K273))</f>
        <v/>
      </c>
      <c r="M273" s="56" t="str">
        <f aca="false">IF($W273="","",N(INDEX(发票统计!M$4:M$1003,$W273)))</f>
        <v/>
      </c>
      <c r="N273" s="56" t="str">
        <f aca="false">IF($W273="","",N(INDEX(发票统计!N$4:N$1003,$W273)))</f>
        <v/>
      </c>
      <c r="O273" s="56" t="str">
        <f aca="false">IF($W273="","",N(INDEX(发票统计!O$4:O$1003,$W273)))</f>
        <v/>
      </c>
      <c r="P273" s="56" t="str">
        <f aca="false">IF($W273="","",SUM(M$4:M273)-SUM(N$4:N273)-SUM(O$4:O273))</f>
        <v/>
      </c>
      <c r="Q273" s="56" t="str">
        <f aca="false">IF($W273="","",N(INDEX(发票统计!Q$4:Q$1003,$W273)))</f>
        <v/>
      </c>
      <c r="R273" s="56" t="str">
        <f aca="false">IF($W273="","",N(INDEX(发票统计!R$4:R$1003,$W273)))</f>
        <v/>
      </c>
      <c r="S273" s="56" t="str">
        <f aca="false">IF($W273="","",N(INDEX(发票统计!S$4:S$1003,$W273)))</f>
        <v/>
      </c>
      <c r="T273" s="56" t="str">
        <f aca="false">IF($W273="","",SUM(Q$4:Q273)-SUM(R$4:R273)-SUM(S$4:S273))</f>
        <v/>
      </c>
      <c r="U273" s="56" t="str">
        <f aca="false">IF($W273="","",INDEX(发票统计!U$4:U$1003,$W273)&amp;"")</f>
        <v/>
      </c>
      <c r="W273" s="1" t="str">
        <f aca="false">IF($V$3="","",IFERROR(MATCH($V$3&amp;"#"&amp;ROWS(W$4:W273),发票统计!$W$4:$W$1003,0),""))</f>
        <v/>
      </c>
    </row>
    <row r="274" customFormat="false" ht="16.5" hidden="false" customHeight="false" outlineLevel="0" collapsed="false">
      <c r="A274" s="3" t="str">
        <f aca="false">IF($W274="","",INDEX(发票统计!A$4:A$1003,$W274)&amp;"")</f>
        <v/>
      </c>
      <c r="B274" s="3" t="str">
        <f aca="false">IF($W274="","",INDEX(发票统计!B$4:B$1003,$W274)&amp;"")</f>
        <v/>
      </c>
      <c r="C274" s="3" t="str">
        <f aca="false">IF($W274="","",INDEX(发票统计!C$4:C$1003,$W274)&amp;"")</f>
        <v/>
      </c>
      <c r="D274" s="3" t="str">
        <f aca="false">IF($W274="","",INDEX(发票统计!D$4:D$1003,$W274)&amp;"")</f>
        <v/>
      </c>
      <c r="E274" s="67" t="str">
        <f aca="false">IF($W274="","",INDEX(发票统计!E$4:E$1003,$W274)&amp;"")</f>
        <v/>
      </c>
      <c r="F274" s="68" t="str">
        <f aca="false">IF($W274="","",INDEX(发票统计!F$4:F$1003,$W274)&amp;"")</f>
        <v/>
      </c>
      <c r="G274" s="68" t="str">
        <f aca="false">IF($W274="","",IF(INDEX(发票统计!G$4:G$1003,$W274)="","",INDEX(发票统计!G$4:G$1003,$W274)))</f>
        <v/>
      </c>
      <c r="H274" s="56" t="str">
        <f aca="false">IF($W274="","",N(INDEX(发票统计!H$4:H$1003,$W274)))</f>
        <v/>
      </c>
      <c r="I274" s="56" t="str">
        <f aca="false">IF($W274="","",N(INDEX(发票统计!I$4:I$1003,$W274)))</f>
        <v/>
      </c>
      <c r="J274" s="56" t="str">
        <f aca="false">IF($W274="","",N(INDEX(发票统计!J$4:J$1003,$W274)))</f>
        <v/>
      </c>
      <c r="K274" s="56" t="str">
        <f aca="false">IF($W274="","",N(INDEX(发票统计!K$4:K$1003,$W274)))</f>
        <v/>
      </c>
      <c r="L274" s="56" t="str">
        <f aca="false">IF($W274="","",SUM(J$4:J274)-SUM(K$4:K274))</f>
        <v/>
      </c>
      <c r="M274" s="56" t="str">
        <f aca="false">IF($W274="","",N(INDEX(发票统计!M$4:M$1003,$W274)))</f>
        <v/>
      </c>
      <c r="N274" s="56" t="str">
        <f aca="false">IF($W274="","",N(INDEX(发票统计!N$4:N$1003,$W274)))</f>
        <v/>
      </c>
      <c r="O274" s="56" t="str">
        <f aca="false">IF($W274="","",N(INDEX(发票统计!O$4:O$1003,$W274)))</f>
        <v/>
      </c>
      <c r="P274" s="56" t="str">
        <f aca="false">IF($W274="","",SUM(M$4:M274)-SUM(N$4:N274)-SUM(O$4:O274))</f>
        <v/>
      </c>
      <c r="Q274" s="56" t="str">
        <f aca="false">IF($W274="","",N(INDEX(发票统计!Q$4:Q$1003,$W274)))</f>
        <v/>
      </c>
      <c r="R274" s="56" t="str">
        <f aca="false">IF($W274="","",N(INDEX(发票统计!R$4:R$1003,$W274)))</f>
        <v/>
      </c>
      <c r="S274" s="56" t="str">
        <f aca="false">IF($W274="","",N(INDEX(发票统计!S$4:S$1003,$W274)))</f>
        <v/>
      </c>
      <c r="T274" s="56" t="str">
        <f aca="false">IF($W274="","",SUM(Q$4:Q274)-SUM(R$4:R274)-SUM(S$4:S274))</f>
        <v/>
      </c>
      <c r="U274" s="56" t="str">
        <f aca="false">IF($W274="","",INDEX(发票统计!U$4:U$1003,$W274)&amp;"")</f>
        <v/>
      </c>
      <c r="W274" s="1" t="str">
        <f aca="false">IF($V$3="","",IFERROR(MATCH($V$3&amp;"#"&amp;ROWS(W$4:W274),发票统计!$W$4:$W$1003,0),""))</f>
        <v/>
      </c>
    </row>
    <row r="275" customFormat="false" ht="16.5" hidden="false" customHeight="false" outlineLevel="0" collapsed="false">
      <c r="A275" s="3" t="str">
        <f aca="false">IF($W275="","",INDEX(发票统计!A$4:A$1003,$W275)&amp;"")</f>
        <v/>
      </c>
      <c r="B275" s="3" t="str">
        <f aca="false">IF($W275="","",INDEX(发票统计!B$4:B$1003,$W275)&amp;"")</f>
        <v/>
      </c>
      <c r="C275" s="3" t="str">
        <f aca="false">IF($W275="","",INDEX(发票统计!C$4:C$1003,$W275)&amp;"")</f>
        <v/>
      </c>
      <c r="D275" s="3" t="str">
        <f aca="false">IF($W275="","",INDEX(发票统计!D$4:D$1003,$W275)&amp;"")</f>
        <v/>
      </c>
      <c r="E275" s="67" t="str">
        <f aca="false">IF($W275="","",INDEX(发票统计!E$4:E$1003,$W275)&amp;"")</f>
        <v/>
      </c>
      <c r="F275" s="68" t="str">
        <f aca="false">IF($W275="","",INDEX(发票统计!F$4:F$1003,$W275)&amp;"")</f>
        <v/>
      </c>
      <c r="G275" s="68" t="str">
        <f aca="false">IF($W275="","",IF(INDEX(发票统计!G$4:G$1003,$W275)="","",INDEX(发票统计!G$4:G$1003,$W275)))</f>
        <v/>
      </c>
      <c r="H275" s="56" t="str">
        <f aca="false">IF($W275="","",N(INDEX(发票统计!H$4:H$1003,$W275)))</f>
        <v/>
      </c>
      <c r="I275" s="56" t="str">
        <f aca="false">IF($W275="","",N(INDEX(发票统计!I$4:I$1003,$W275)))</f>
        <v/>
      </c>
      <c r="J275" s="56" t="str">
        <f aca="false">IF($W275="","",N(INDEX(发票统计!J$4:J$1003,$W275)))</f>
        <v/>
      </c>
      <c r="K275" s="56" t="str">
        <f aca="false">IF($W275="","",N(INDEX(发票统计!K$4:K$1003,$W275)))</f>
        <v/>
      </c>
      <c r="L275" s="56" t="str">
        <f aca="false">IF($W275="","",SUM(J$4:J275)-SUM(K$4:K275))</f>
        <v/>
      </c>
      <c r="M275" s="56" t="str">
        <f aca="false">IF($W275="","",N(INDEX(发票统计!M$4:M$1003,$W275)))</f>
        <v/>
      </c>
      <c r="N275" s="56" t="str">
        <f aca="false">IF($W275="","",N(INDEX(发票统计!N$4:N$1003,$W275)))</f>
        <v/>
      </c>
      <c r="O275" s="56" t="str">
        <f aca="false">IF($W275="","",N(INDEX(发票统计!O$4:O$1003,$W275)))</f>
        <v/>
      </c>
      <c r="P275" s="56" t="str">
        <f aca="false">IF($W275="","",SUM(M$4:M275)-SUM(N$4:N275)-SUM(O$4:O275))</f>
        <v/>
      </c>
      <c r="Q275" s="56" t="str">
        <f aca="false">IF($W275="","",N(INDEX(发票统计!Q$4:Q$1003,$W275)))</f>
        <v/>
      </c>
      <c r="R275" s="56" t="str">
        <f aca="false">IF($W275="","",N(INDEX(发票统计!R$4:R$1003,$W275)))</f>
        <v/>
      </c>
      <c r="S275" s="56" t="str">
        <f aca="false">IF($W275="","",N(INDEX(发票统计!S$4:S$1003,$W275)))</f>
        <v/>
      </c>
      <c r="T275" s="56" t="str">
        <f aca="false">IF($W275="","",SUM(Q$4:Q275)-SUM(R$4:R275)-SUM(S$4:S275))</f>
        <v/>
      </c>
      <c r="U275" s="56" t="str">
        <f aca="false">IF($W275="","",INDEX(发票统计!U$4:U$1003,$W275)&amp;"")</f>
        <v/>
      </c>
      <c r="W275" s="1" t="str">
        <f aca="false">IF($V$3="","",IFERROR(MATCH($V$3&amp;"#"&amp;ROWS(W$4:W275),发票统计!$W$4:$W$1003,0),""))</f>
        <v/>
      </c>
    </row>
    <row r="276" customFormat="false" ht="16.5" hidden="false" customHeight="false" outlineLevel="0" collapsed="false">
      <c r="A276" s="3" t="str">
        <f aca="false">IF($W276="","",INDEX(发票统计!A$4:A$1003,$W276)&amp;"")</f>
        <v/>
      </c>
      <c r="B276" s="3" t="str">
        <f aca="false">IF($W276="","",INDEX(发票统计!B$4:B$1003,$W276)&amp;"")</f>
        <v/>
      </c>
      <c r="C276" s="3" t="str">
        <f aca="false">IF($W276="","",INDEX(发票统计!C$4:C$1003,$W276)&amp;"")</f>
        <v/>
      </c>
      <c r="D276" s="3" t="str">
        <f aca="false">IF($W276="","",INDEX(发票统计!D$4:D$1003,$W276)&amp;"")</f>
        <v/>
      </c>
      <c r="E276" s="67" t="str">
        <f aca="false">IF($W276="","",INDEX(发票统计!E$4:E$1003,$W276)&amp;"")</f>
        <v/>
      </c>
      <c r="F276" s="68" t="str">
        <f aca="false">IF($W276="","",INDEX(发票统计!F$4:F$1003,$W276)&amp;"")</f>
        <v/>
      </c>
      <c r="G276" s="68" t="str">
        <f aca="false">IF($W276="","",IF(INDEX(发票统计!G$4:G$1003,$W276)="","",INDEX(发票统计!G$4:G$1003,$W276)))</f>
        <v/>
      </c>
      <c r="H276" s="56" t="str">
        <f aca="false">IF($W276="","",N(INDEX(发票统计!H$4:H$1003,$W276)))</f>
        <v/>
      </c>
      <c r="I276" s="56" t="str">
        <f aca="false">IF($W276="","",N(INDEX(发票统计!I$4:I$1003,$W276)))</f>
        <v/>
      </c>
      <c r="J276" s="56" t="str">
        <f aca="false">IF($W276="","",N(INDEX(发票统计!J$4:J$1003,$W276)))</f>
        <v/>
      </c>
      <c r="K276" s="56" t="str">
        <f aca="false">IF($W276="","",N(INDEX(发票统计!K$4:K$1003,$W276)))</f>
        <v/>
      </c>
      <c r="L276" s="56" t="str">
        <f aca="false">IF($W276="","",SUM(J$4:J276)-SUM(K$4:K276))</f>
        <v/>
      </c>
      <c r="M276" s="56" t="str">
        <f aca="false">IF($W276="","",N(INDEX(发票统计!M$4:M$1003,$W276)))</f>
        <v/>
      </c>
      <c r="N276" s="56" t="str">
        <f aca="false">IF($W276="","",N(INDEX(发票统计!N$4:N$1003,$W276)))</f>
        <v/>
      </c>
      <c r="O276" s="56" t="str">
        <f aca="false">IF($W276="","",N(INDEX(发票统计!O$4:O$1003,$W276)))</f>
        <v/>
      </c>
      <c r="P276" s="56" t="str">
        <f aca="false">IF($W276="","",SUM(M$4:M276)-SUM(N$4:N276)-SUM(O$4:O276))</f>
        <v/>
      </c>
      <c r="Q276" s="56" t="str">
        <f aca="false">IF($W276="","",N(INDEX(发票统计!Q$4:Q$1003,$W276)))</f>
        <v/>
      </c>
      <c r="R276" s="56" t="str">
        <f aca="false">IF($W276="","",N(INDEX(发票统计!R$4:R$1003,$W276)))</f>
        <v/>
      </c>
      <c r="S276" s="56" t="str">
        <f aca="false">IF($W276="","",N(INDEX(发票统计!S$4:S$1003,$W276)))</f>
        <v/>
      </c>
      <c r="T276" s="56" t="str">
        <f aca="false">IF($W276="","",SUM(Q$4:Q276)-SUM(R$4:R276)-SUM(S$4:S276))</f>
        <v/>
      </c>
      <c r="U276" s="56" t="str">
        <f aca="false">IF($W276="","",INDEX(发票统计!U$4:U$1003,$W276)&amp;"")</f>
        <v/>
      </c>
      <c r="W276" s="1" t="str">
        <f aca="false">IF($V$3="","",IFERROR(MATCH($V$3&amp;"#"&amp;ROWS(W$4:W276),发票统计!$W$4:$W$1003,0),""))</f>
        <v/>
      </c>
    </row>
    <row r="277" customFormat="false" ht="16.5" hidden="false" customHeight="false" outlineLevel="0" collapsed="false">
      <c r="A277" s="3" t="str">
        <f aca="false">IF($W277="","",INDEX(发票统计!A$4:A$1003,$W277)&amp;"")</f>
        <v/>
      </c>
      <c r="B277" s="3" t="str">
        <f aca="false">IF($W277="","",INDEX(发票统计!B$4:B$1003,$W277)&amp;"")</f>
        <v/>
      </c>
      <c r="C277" s="3" t="str">
        <f aca="false">IF($W277="","",INDEX(发票统计!C$4:C$1003,$W277)&amp;"")</f>
        <v/>
      </c>
      <c r="D277" s="3" t="str">
        <f aca="false">IF($W277="","",INDEX(发票统计!D$4:D$1003,$W277)&amp;"")</f>
        <v/>
      </c>
      <c r="E277" s="67" t="str">
        <f aca="false">IF($W277="","",INDEX(发票统计!E$4:E$1003,$W277)&amp;"")</f>
        <v/>
      </c>
      <c r="F277" s="68" t="str">
        <f aca="false">IF($W277="","",INDEX(发票统计!F$4:F$1003,$W277)&amp;"")</f>
        <v/>
      </c>
      <c r="G277" s="68" t="str">
        <f aca="false">IF($W277="","",IF(INDEX(发票统计!G$4:G$1003,$W277)="","",INDEX(发票统计!G$4:G$1003,$W277)))</f>
        <v/>
      </c>
      <c r="H277" s="56" t="str">
        <f aca="false">IF($W277="","",N(INDEX(发票统计!H$4:H$1003,$W277)))</f>
        <v/>
      </c>
      <c r="I277" s="56" t="str">
        <f aca="false">IF($W277="","",N(INDEX(发票统计!I$4:I$1003,$W277)))</f>
        <v/>
      </c>
      <c r="J277" s="56" t="str">
        <f aca="false">IF($W277="","",N(INDEX(发票统计!J$4:J$1003,$W277)))</f>
        <v/>
      </c>
      <c r="K277" s="56" t="str">
        <f aca="false">IF($W277="","",N(INDEX(发票统计!K$4:K$1003,$W277)))</f>
        <v/>
      </c>
      <c r="L277" s="56" t="str">
        <f aca="false">IF($W277="","",SUM(J$4:J277)-SUM(K$4:K277))</f>
        <v/>
      </c>
      <c r="M277" s="56" t="str">
        <f aca="false">IF($W277="","",N(INDEX(发票统计!M$4:M$1003,$W277)))</f>
        <v/>
      </c>
      <c r="N277" s="56" t="str">
        <f aca="false">IF($W277="","",N(INDEX(发票统计!N$4:N$1003,$W277)))</f>
        <v/>
      </c>
      <c r="O277" s="56" t="str">
        <f aca="false">IF($W277="","",N(INDEX(发票统计!O$4:O$1003,$W277)))</f>
        <v/>
      </c>
      <c r="P277" s="56" t="str">
        <f aca="false">IF($W277="","",SUM(M$4:M277)-SUM(N$4:N277)-SUM(O$4:O277))</f>
        <v/>
      </c>
      <c r="Q277" s="56" t="str">
        <f aca="false">IF($W277="","",N(INDEX(发票统计!Q$4:Q$1003,$W277)))</f>
        <v/>
      </c>
      <c r="R277" s="56" t="str">
        <f aca="false">IF($W277="","",N(INDEX(发票统计!R$4:R$1003,$W277)))</f>
        <v/>
      </c>
      <c r="S277" s="56" t="str">
        <f aca="false">IF($W277="","",N(INDEX(发票统计!S$4:S$1003,$W277)))</f>
        <v/>
      </c>
      <c r="T277" s="56" t="str">
        <f aca="false">IF($W277="","",SUM(Q$4:Q277)-SUM(R$4:R277)-SUM(S$4:S277))</f>
        <v/>
      </c>
      <c r="U277" s="56" t="str">
        <f aca="false">IF($W277="","",INDEX(发票统计!U$4:U$1003,$W277)&amp;"")</f>
        <v/>
      </c>
      <c r="W277" s="1" t="str">
        <f aca="false">IF($V$3="","",IFERROR(MATCH($V$3&amp;"#"&amp;ROWS(W$4:W277),发票统计!$W$4:$W$1003,0),""))</f>
        <v/>
      </c>
    </row>
    <row r="278" customFormat="false" ht="16.5" hidden="false" customHeight="false" outlineLevel="0" collapsed="false">
      <c r="A278" s="3" t="str">
        <f aca="false">IF($W278="","",INDEX(发票统计!A$4:A$1003,$W278)&amp;"")</f>
        <v/>
      </c>
      <c r="B278" s="3" t="str">
        <f aca="false">IF($W278="","",INDEX(发票统计!B$4:B$1003,$W278)&amp;"")</f>
        <v/>
      </c>
      <c r="C278" s="3" t="str">
        <f aca="false">IF($W278="","",INDEX(发票统计!C$4:C$1003,$W278)&amp;"")</f>
        <v/>
      </c>
      <c r="D278" s="3" t="str">
        <f aca="false">IF($W278="","",INDEX(发票统计!D$4:D$1003,$W278)&amp;"")</f>
        <v/>
      </c>
      <c r="E278" s="67" t="str">
        <f aca="false">IF($W278="","",INDEX(发票统计!E$4:E$1003,$W278)&amp;"")</f>
        <v/>
      </c>
      <c r="F278" s="68" t="str">
        <f aca="false">IF($W278="","",INDEX(发票统计!F$4:F$1003,$W278)&amp;"")</f>
        <v/>
      </c>
      <c r="G278" s="68" t="str">
        <f aca="false">IF($W278="","",IF(INDEX(发票统计!G$4:G$1003,$W278)="","",INDEX(发票统计!G$4:G$1003,$W278)))</f>
        <v/>
      </c>
      <c r="H278" s="56" t="str">
        <f aca="false">IF($W278="","",N(INDEX(发票统计!H$4:H$1003,$W278)))</f>
        <v/>
      </c>
      <c r="I278" s="56" t="str">
        <f aca="false">IF($W278="","",N(INDEX(发票统计!I$4:I$1003,$W278)))</f>
        <v/>
      </c>
      <c r="J278" s="56" t="str">
        <f aca="false">IF($W278="","",N(INDEX(发票统计!J$4:J$1003,$W278)))</f>
        <v/>
      </c>
      <c r="K278" s="56" t="str">
        <f aca="false">IF($W278="","",N(INDEX(发票统计!K$4:K$1003,$W278)))</f>
        <v/>
      </c>
      <c r="L278" s="56" t="str">
        <f aca="false">IF($W278="","",SUM(J$4:J278)-SUM(K$4:K278))</f>
        <v/>
      </c>
      <c r="M278" s="56" t="str">
        <f aca="false">IF($W278="","",N(INDEX(发票统计!M$4:M$1003,$W278)))</f>
        <v/>
      </c>
      <c r="N278" s="56" t="str">
        <f aca="false">IF($W278="","",N(INDEX(发票统计!N$4:N$1003,$W278)))</f>
        <v/>
      </c>
      <c r="O278" s="56" t="str">
        <f aca="false">IF($W278="","",N(INDEX(发票统计!O$4:O$1003,$W278)))</f>
        <v/>
      </c>
      <c r="P278" s="56" t="str">
        <f aca="false">IF($W278="","",SUM(M$4:M278)-SUM(N$4:N278)-SUM(O$4:O278))</f>
        <v/>
      </c>
      <c r="Q278" s="56" t="str">
        <f aca="false">IF($W278="","",N(INDEX(发票统计!Q$4:Q$1003,$W278)))</f>
        <v/>
      </c>
      <c r="R278" s="56" t="str">
        <f aca="false">IF($W278="","",N(INDEX(发票统计!R$4:R$1003,$W278)))</f>
        <v/>
      </c>
      <c r="S278" s="56" t="str">
        <f aca="false">IF($W278="","",N(INDEX(发票统计!S$4:S$1003,$W278)))</f>
        <v/>
      </c>
      <c r="T278" s="56" t="str">
        <f aca="false">IF($W278="","",SUM(Q$4:Q278)-SUM(R$4:R278)-SUM(S$4:S278))</f>
        <v/>
      </c>
      <c r="U278" s="56" t="str">
        <f aca="false">IF($W278="","",INDEX(发票统计!U$4:U$1003,$W278)&amp;"")</f>
        <v/>
      </c>
      <c r="W278" s="1" t="str">
        <f aca="false">IF($V$3="","",IFERROR(MATCH($V$3&amp;"#"&amp;ROWS(W$4:W278),发票统计!$W$4:$W$1003,0),""))</f>
        <v/>
      </c>
    </row>
    <row r="279" customFormat="false" ht="16.5" hidden="false" customHeight="false" outlineLevel="0" collapsed="false">
      <c r="A279" s="3" t="str">
        <f aca="false">IF($W279="","",INDEX(发票统计!A$4:A$1003,$W279)&amp;"")</f>
        <v/>
      </c>
      <c r="B279" s="3" t="str">
        <f aca="false">IF($W279="","",INDEX(发票统计!B$4:B$1003,$W279)&amp;"")</f>
        <v/>
      </c>
      <c r="C279" s="3" t="str">
        <f aca="false">IF($W279="","",INDEX(发票统计!C$4:C$1003,$W279)&amp;"")</f>
        <v/>
      </c>
      <c r="D279" s="3" t="str">
        <f aca="false">IF($W279="","",INDEX(发票统计!D$4:D$1003,$W279)&amp;"")</f>
        <v/>
      </c>
      <c r="E279" s="67" t="str">
        <f aca="false">IF($W279="","",INDEX(发票统计!E$4:E$1003,$W279)&amp;"")</f>
        <v/>
      </c>
      <c r="F279" s="68" t="str">
        <f aca="false">IF($W279="","",INDEX(发票统计!F$4:F$1003,$W279)&amp;"")</f>
        <v/>
      </c>
      <c r="G279" s="68" t="str">
        <f aca="false">IF($W279="","",IF(INDEX(发票统计!G$4:G$1003,$W279)="","",INDEX(发票统计!G$4:G$1003,$W279)))</f>
        <v/>
      </c>
      <c r="H279" s="56" t="str">
        <f aca="false">IF($W279="","",N(INDEX(发票统计!H$4:H$1003,$W279)))</f>
        <v/>
      </c>
      <c r="I279" s="56" t="str">
        <f aca="false">IF($W279="","",N(INDEX(发票统计!I$4:I$1003,$W279)))</f>
        <v/>
      </c>
      <c r="J279" s="56" t="str">
        <f aca="false">IF($W279="","",N(INDEX(发票统计!J$4:J$1003,$W279)))</f>
        <v/>
      </c>
      <c r="K279" s="56" t="str">
        <f aca="false">IF($W279="","",N(INDEX(发票统计!K$4:K$1003,$W279)))</f>
        <v/>
      </c>
      <c r="L279" s="56" t="str">
        <f aca="false">IF($W279="","",SUM(J$4:J279)-SUM(K$4:K279))</f>
        <v/>
      </c>
      <c r="M279" s="56" t="str">
        <f aca="false">IF($W279="","",N(INDEX(发票统计!M$4:M$1003,$W279)))</f>
        <v/>
      </c>
      <c r="N279" s="56" t="str">
        <f aca="false">IF($W279="","",N(INDEX(发票统计!N$4:N$1003,$W279)))</f>
        <v/>
      </c>
      <c r="O279" s="56" t="str">
        <f aca="false">IF($W279="","",N(INDEX(发票统计!O$4:O$1003,$W279)))</f>
        <v/>
      </c>
      <c r="P279" s="56" t="str">
        <f aca="false">IF($W279="","",SUM(M$4:M279)-SUM(N$4:N279)-SUM(O$4:O279))</f>
        <v/>
      </c>
      <c r="Q279" s="56" t="str">
        <f aca="false">IF($W279="","",N(INDEX(发票统计!Q$4:Q$1003,$W279)))</f>
        <v/>
      </c>
      <c r="R279" s="56" t="str">
        <f aca="false">IF($W279="","",N(INDEX(发票统计!R$4:R$1003,$W279)))</f>
        <v/>
      </c>
      <c r="S279" s="56" t="str">
        <f aca="false">IF($W279="","",N(INDEX(发票统计!S$4:S$1003,$W279)))</f>
        <v/>
      </c>
      <c r="T279" s="56" t="str">
        <f aca="false">IF($W279="","",SUM(Q$4:Q279)-SUM(R$4:R279)-SUM(S$4:S279))</f>
        <v/>
      </c>
      <c r="U279" s="56" t="str">
        <f aca="false">IF($W279="","",INDEX(发票统计!U$4:U$1003,$W279)&amp;"")</f>
        <v/>
      </c>
      <c r="W279" s="1" t="str">
        <f aca="false">IF($V$3="","",IFERROR(MATCH($V$3&amp;"#"&amp;ROWS(W$4:W279),发票统计!$W$4:$W$1003,0),""))</f>
        <v/>
      </c>
    </row>
    <row r="280" customFormat="false" ht="16.5" hidden="false" customHeight="false" outlineLevel="0" collapsed="false">
      <c r="A280" s="3" t="str">
        <f aca="false">IF($W280="","",INDEX(发票统计!A$4:A$1003,$W280)&amp;"")</f>
        <v/>
      </c>
      <c r="B280" s="3" t="str">
        <f aca="false">IF($W280="","",INDEX(发票统计!B$4:B$1003,$W280)&amp;"")</f>
        <v/>
      </c>
      <c r="C280" s="3" t="str">
        <f aca="false">IF($W280="","",INDEX(发票统计!C$4:C$1003,$W280)&amp;"")</f>
        <v/>
      </c>
      <c r="D280" s="3" t="str">
        <f aca="false">IF($W280="","",INDEX(发票统计!D$4:D$1003,$W280)&amp;"")</f>
        <v/>
      </c>
      <c r="E280" s="67" t="str">
        <f aca="false">IF($W280="","",INDEX(发票统计!E$4:E$1003,$W280)&amp;"")</f>
        <v/>
      </c>
      <c r="F280" s="68" t="str">
        <f aca="false">IF($W280="","",INDEX(发票统计!F$4:F$1003,$W280)&amp;"")</f>
        <v/>
      </c>
      <c r="G280" s="68" t="str">
        <f aca="false">IF($W280="","",IF(INDEX(发票统计!G$4:G$1003,$W280)="","",INDEX(发票统计!G$4:G$1003,$W280)))</f>
        <v/>
      </c>
      <c r="H280" s="56" t="str">
        <f aca="false">IF($W280="","",N(INDEX(发票统计!H$4:H$1003,$W280)))</f>
        <v/>
      </c>
      <c r="I280" s="56" t="str">
        <f aca="false">IF($W280="","",N(INDEX(发票统计!I$4:I$1003,$W280)))</f>
        <v/>
      </c>
      <c r="J280" s="56" t="str">
        <f aca="false">IF($W280="","",N(INDEX(发票统计!J$4:J$1003,$W280)))</f>
        <v/>
      </c>
      <c r="K280" s="56" t="str">
        <f aca="false">IF($W280="","",N(INDEX(发票统计!K$4:K$1003,$W280)))</f>
        <v/>
      </c>
      <c r="L280" s="56" t="str">
        <f aca="false">IF($W280="","",SUM(J$4:J280)-SUM(K$4:K280))</f>
        <v/>
      </c>
      <c r="M280" s="56" t="str">
        <f aca="false">IF($W280="","",N(INDEX(发票统计!M$4:M$1003,$W280)))</f>
        <v/>
      </c>
      <c r="N280" s="56" t="str">
        <f aca="false">IF($W280="","",N(INDEX(发票统计!N$4:N$1003,$W280)))</f>
        <v/>
      </c>
      <c r="O280" s="56" t="str">
        <f aca="false">IF($W280="","",N(INDEX(发票统计!O$4:O$1003,$W280)))</f>
        <v/>
      </c>
      <c r="P280" s="56" t="str">
        <f aca="false">IF($W280="","",SUM(M$4:M280)-SUM(N$4:N280)-SUM(O$4:O280))</f>
        <v/>
      </c>
      <c r="Q280" s="56" t="str">
        <f aca="false">IF($W280="","",N(INDEX(发票统计!Q$4:Q$1003,$W280)))</f>
        <v/>
      </c>
      <c r="R280" s="56" t="str">
        <f aca="false">IF($W280="","",N(INDEX(发票统计!R$4:R$1003,$W280)))</f>
        <v/>
      </c>
      <c r="S280" s="56" t="str">
        <f aca="false">IF($W280="","",N(INDEX(发票统计!S$4:S$1003,$W280)))</f>
        <v/>
      </c>
      <c r="T280" s="56" t="str">
        <f aca="false">IF($W280="","",SUM(Q$4:Q280)-SUM(R$4:R280)-SUM(S$4:S280))</f>
        <v/>
      </c>
      <c r="U280" s="56" t="str">
        <f aca="false">IF($W280="","",INDEX(发票统计!U$4:U$1003,$W280)&amp;"")</f>
        <v/>
      </c>
      <c r="W280" s="1" t="str">
        <f aca="false">IF($V$3="","",IFERROR(MATCH($V$3&amp;"#"&amp;ROWS(W$4:W280),发票统计!$W$4:$W$1003,0),""))</f>
        <v/>
      </c>
    </row>
    <row r="281" customFormat="false" ht="16.5" hidden="false" customHeight="false" outlineLevel="0" collapsed="false">
      <c r="A281" s="3" t="str">
        <f aca="false">IF($W281="","",INDEX(发票统计!A$4:A$1003,$W281)&amp;"")</f>
        <v/>
      </c>
      <c r="B281" s="3" t="str">
        <f aca="false">IF($W281="","",INDEX(发票统计!B$4:B$1003,$W281)&amp;"")</f>
        <v/>
      </c>
      <c r="C281" s="3" t="str">
        <f aca="false">IF($W281="","",INDEX(发票统计!C$4:C$1003,$W281)&amp;"")</f>
        <v/>
      </c>
      <c r="D281" s="3" t="str">
        <f aca="false">IF($W281="","",INDEX(发票统计!D$4:D$1003,$W281)&amp;"")</f>
        <v/>
      </c>
      <c r="E281" s="67" t="str">
        <f aca="false">IF($W281="","",INDEX(发票统计!E$4:E$1003,$W281)&amp;"")</f>
        <v/>
      </c>
      <c r="F281" s="68" t="str">
        <f aca="false">IF($W281="","",INDEX(发票统计!F$4:F$1003,$W281)&amp;"")</f>
        <v/>
      </c>
      <c r="G281" s="68" t="str">
        <f aca="false">IF($W281="","",IF(INDEX(发票统计!G$4:G$1003,$W281)="","",INDEX(发票统计!G$4:G$1003,$W281)))</f>
        <v/>
      </c>
      <c r="H281" s="56" t="str">
        <f aca="false">IF($W281="","",N(INDEX(发票统计!H$4:H$1003,$W281)))</f>
        <v/>
      </c>
      <c r="I281" s="56" t="str">
        <f aca="false">IF($W281="","",N(INDEX(发票统计!I$4:I$1003,$W281)))</f>
        <v/>
      </c>
      <c r="J281" s="56" t="str">
        <f aca="false">IF($W281="","",N(INDEX(发票统计!J$4:J$1003,$W281)))</f>
        <v/>
      </c>
      <c r="K281" s="56" t="str">
        <f aca="false">IF($W281="","",N(INDEX(发票统计!K$4:K$1003,$W281)))</f>
        <v/>
      </c>
      <c r="L281" s="56" t="str">
        <f aca="false">IF($W281="","",SUM(J$4:J281)-SUM(K$4:K281))</f>
        <v/>
      </c>
      <c r="M281" s="56" t="str">
        <f aca="false">IF($W281="","",N(INDEX(发票统计!M$4:M$1003,$W281)))</f>
        <v/>
      </c>
      <c r="N281" s="56" t="str">
        <f aca="false">IF($W281="","",N(INDEX(发票统计!N$4:N$1003,$W281)))</f>
        <v/>
      </c>
      <c r="O281" s="56" t="str">
        <f aca="false">IF($W281="","",N(INDEX(发票统计!O$4:O$1003,$W281)))</f>
        <v/>
      </c>
      <c r="P281" s="56" t="str">
        <f aca="false">IF($W281="","",SUM(M$4:M281)-SUM(N$4:N281)-SUM(O$4:O281))</f>
        <v/>
      </c>
      <c r="Q281" s="56" t="str">
        <f aca="false">IF($W281="","",N(INDEX(发票统计!Q$4:Q$1003,$W281)))</f>
        <v/>
      </c>
      <c r="R281" s="56" t="str">
        <f aca="false">IF($W281="","",N(INDEX(发票统计!R$4:R$1003,$W281)))</f>
        <v/>
      </c>
      <c r="S281" s="56" t="str">
        <f aca="false">IF($W281="","",N(INDEX(发票统计!S$4:S$1003,$W281)))</f>
        <v/>
      </c>
      <c r="T281" s="56" t="str">
        <f aca="false">IF($W281="","",SUM(Q$4:Q281)-SUM(R$4:R281)-SUM(S$4:S281))</f>
        <v/>
      </c>
      <c r="U281" s="56" t="str">
        <f aca="false">IF($W281="","",INDEX(发票统计!U$4:U$1003,$W281)&amp;"")</f>
        <v/>
      </c>
      <c r="W281" s="1" t="str">
        <f aca="false">IF($V$3="","",IFERROR(MATCH($V$3&amp;"#"&amp;ROWS(W$4:W281),发票统计!$W$4:$W$1003,0),""))</f>
        <v/>
      </c>
    </row>
    <row r="282" customFormat="false" ht="16.5" hidden="false" customHeight="false" outlineLevel="0" collapsed="false">
      <c r="A282" s="3" t="str">
        <f aca="false">IF($W282="","",INDEX(发票统计!A$4:A$1003,$W282)&amp;"")</f>
        <v/>
      </c>
      <c r="B282" s="3" t="str">
        <f aca="false">IF($W282="","",INDEX(发票统计!B$4:B$1003,$W282)&amp;"")</f>
        <v/>
      </c>
      <c r="C282" s="3" t="str">
        <f aca="false">IF($W282="","",INDEX(发票统计!C$4:C$1003,$W282)&amp;"")</f>
        <v/>
      </c>
      <c r="D282" s="3" t="str">
        <f aca="false">IF($W282="","",INDEX(发票统计!D$4:D$1003,$W282)&amp;"")</f>
        <v/>
      </c>
      <c r="E282" s="67" t="str">
        <f aca="false">IF($W282="","",INDEX(发票统计!E$4:E$1003,$W282)&amp;"")</f>
        <v/>
      </c>
      <c r="F282" s="68" t="str">
        <f aca="false">IF($W282="","",INDEX(发票统计!F$4:F$1003,$W282)&amp;"")</f>
        <v/>
      </c>
      <c r="G282" s="68" t="str">
        <f aca="false">IF($W282="","",IF(INDEX(发票统计!G$4:G$1003,$W282)="","",INDEX(发票统计!G$4:G$1003,$W282)))</f>
        <v/>
      </c>
      <c r="H282" s="56" t="str">
        <f aca="false">IF($W282="","",N(INDEX(发票统计!H$4:H$1003,$W282)))</f>
        <v/>
      </c>
      <c r="I282" s="56" t="str">
        <f aca="false">IF($W282="","",N(INDEX(发票统计!I$4:I$1003,$W282)))</f>
        <v/>
      </c>
      <c r="J282" s="56" t="str">
        <f aca="false">IF($W282="","",N(INDEX(发票统计!J$4:J$1003,$W282)))</f>
        <v/>
      </c>
      <c r="K282" s="56" t="str">
        <f aca="false">IF($W282="","",N(INDEX(发票统计!K$4:K$1003,$W282)))</f>
        <v/>
      </c>
      <c r="L282" s="56" t="str">
        <f aca="false">IF($W282="","",SUM(J$4:J282)-SUM(K$4:K282))</f>
        <v/>
      </c>
      <c r="M282" s="56" t="str">
        <f aca="false">IF($W282="","",N(INDEX(发票统计!M$4:M$1003,$W282)))</f>
        <v/>
      </c>
      <c r="N282" s="56" t="str">
        <f aca="false">IF($W282="","",N(INDEX(发票统计!N$4:N$1003,$W282)))</f>
        <v/>
      </c>
      <c r="O282" s="56" t="str">
        <f aca="false">IF($W282="","",N(INDEX(发票统计!O$4:O$1003,$W282)))</f>
        <v/>
      </c>
      <c r="P282" s="56" t="str">
        <f aca="false">IF($W282="","",SUM(M$4:M282)-SUM(N$4:N282)-SUM(O$4:O282))</f>
        <v/>
      </c>
      <c r="Q282" s="56" t="str">
        <f aca="false">IF($W282="","",N(INDEX(发票统计!Q$4:Q$1003,$W282)))</f>
        <v/>
      </c>
      <c r="R282" s="56" t="str">
        <f aca="false">IF($W282="","",N(INDEX(发票统计!R$4:R$1003,$W282)))</f>
        <v/>
      </c>
      <c r="S282" s="56" t="str">
        <f aca="false">IF($W282="","",N(INDEX(发票统计!S$4:S$1003,$W282)))</f>
        <v/>
      </c>
      <c r="T282" s="56" t="str">
        <f aca="false">IF($W282="","",SUM(Q$4:Q282)-SUM(R$4:R282)-SUM(S$4:S282))</f>
        <v/>
      </c>
      <c r="U282" s="56" t="str">
        <f aca="false">IF($W282="","",INDEX(发票统计!U$4:U$1003,$W282)&amp;"")</f>
        <v/>
      </c>
      <c r="W282" s="1" t="str">
        <f aca="false">IF($V$3="","",IFERROR(MATCH($V$3&amp;"#"&amp;ROWS(W$4:W282),发票统计!$W$4:$W$1003,0),""))</f>
        <v/>
      </c>
    </row>
    <row r="283" customFormat="false" ht="16.5" hidden="false" customHeight="false" outlineLevel="0" collapsed="false">
      <c r="A283" s="3" t="str">
        <f aca="false">IF($W283="","",INDEX(发票统计!A$4:A$1003,$W283)&amp;"")</f>
        <v/>
      </c>
      <c r="B283" s="3" t="str">
        <f aca="false">IF($W283="","",INDEX(发票统计!B$4:B$1003,$W283)&amp;"")</f>
        <v/>
      </c>
      <c r="C283" s="3" t="str">
        <f aca="false">IF($W283="","",INDEX(发票统计!C$4:C$1003,$W283)&amp;"")</f>
        <v/>
      </c>
      <c r="D283" s="3" t="str">
        <f aca="false">IF($W283="","",INDEX(发票统计!D$4:D$1003,$W283)&amp;"")</f>
        <v/>
      </c>
      <c r="E283" s="67" t="str">
        <f aca="false">IF($W283="","",INDEX(发票统计!E$4:E$1003,$W283)&amp;"")</f>
        <v/>
      </c>
      <c r="F283" s="68" t="str">
        <f aca="false">IF($W283="","",INDEX(发票统计!F$4:F$1003,$W283)&amp;"")</f>
        <v/>
      </c>
      <c r="G283" s="68" t="str">
        <f aca="false">IF($W283="","",IF(INDEX(发票统计!G$4:G$1003,$W283)="","",INDEX(发票统计!G$4:G$1003,$W283)))</f>
        <v/>
      </c>
      <c r="H283" s="56" t="str">
        <f aca="false">IF($W283="","",N(INDEX(发票统计!H$4:H$1003,$W283)))</f>
        <v/>
      </c>
      <c r="I283" s="56" t="str">
        <f aca="false">IF($W283="","",N(INDEX(发票统计!I$4:I$1003,$W283)))</f>
        <v/>
      </c>
      <c r="J283" s="56" t="str">
        <f aca="false">IF($W283="","",N(INDEX(发票统计!J$4:J$1003,$W283)))</f>
        <v/>
      </c>
      <c r="K283" s="56" t="str">
        <f aca="false">IF($W283="","",N(INDEX(发票统计!K$4:K$1003,$W283)))</f>
        <v/>
      </c>
      <c r="L283" s="56" t="str">
        <f aca="false">IF($W283="","",SUM(J$4:J283)-SUM(K$4:K283))</f>
        <v/>
      </c>
      <c r="M283" s="56" t="str">
        <f aca="false">IF($W283="","",N(INDEX(发票统计!M$4:M$1003,$W283)))</f>
        <v/>
      </c>
      <c r="N283" s="56" t="str">
        <f aca="false">IF($W283="","",N(INDEX(发票统计!N$4:N$1003,$W283)))</f>
        <v/>
      </c>
      <c r="O283" s="56" t="str">
        <f aca="false">IF($W283="","",N(INDEX(发票统计!O$4:O$1003,$W283)))</f>
        <v/>
      </c>
      <c r="P283" s="56" t="str">
        <f aca="false">IF($W283="","",SUM(M$4:M283)-SUM(N$4:N283)-SUM(O$4:O283))</f>
        <v/>
      </c>
      <c r="Q283" s="56" t="str">
        <f aca="false">IF($W283="","",N(INDEX(发票统计!Q$4:Q$1003,$W283)))</f>
        <v/>
      </c>
      <c r="R283" s="56" t="str">
        <f aca="false">IF($W283="","",N(INDEX(发票统计!R$4:R$1003,$W283)))</f>
        <v/>
      </c>
      <c r="S283" s="56" t="str">
        <f aca="false">IF($W283="","",N(INDEX(发票统计!S$4:S$1003,$W283)))</f>
        <v/>
      </c>
      <c r="T283" s="56" t="str">
        <f aca="false">IF($W283="","",SUM(Q$4:Q283)-SUM(R$4:R283)-SUM(S$4:S283))</f>
        <v/>
      </c>
      <c r="U283" s="56" t="str">
        <f aca="false">IF($W283="","",INDEX(发票统计!U$4:U$1003,$W283)&amp;"")</f>
        <v/>
      </c>
      <c r="W283" s="1" t="str">
        <f aca="false">IF($V$3="","",IFERROR(MATCH($V$3&amp;"#"&amp;ROWS(W$4:W283),发票统计!$W$4:$W$1003,0),""))</f>
        <v/>
      </c>
    </row>
    <row r="284" customFormat="false" ht="16.5" hidden="false" customHeight="false" outlineLevel="0" collapsed="false">
      <c r="A284" s="3" t="str">
        <f aca="false">IF($W284="","",INDEX(发票统计!A$4:A$1003,$W284)&amp;"")</f>
        <v/>
      </c>
      <c r="B284" s="3" t="str">
        <f aca="false">IF($W284="","",INDEX(发票统计!B$4:B$1003,$W284)&amp;"")</f>
        <v/>
      </c>
      <c r="C284" s="3" t="str">
        <f aca="false">IF($W284="","",INDEX(发票统计!C$4:C$1003,$W284)&amp;"")</f>
        <v/>
      </c>
      <c r="D284" s="3" t="str">
        <f aca="false">IF($W284="","",INDEX(发票统计!D$4:D$1003,$W284)&amp;"")</f>
        <v/>
      </c>
      <c r="E284" s="67" t="str">
        <f aca="false">IF($W284="","",INDEX(发票统计!E$4:E$1003,$W284)&amp;"")</f>
        <v/>
      </c>
      <c r="F284" s="68" t="str">
        <f aca="false">IF($W284="","",INDEX(发票统计!F$4:F$1003,$W284)&amp;"")</f>
        <v/>
      </c>
      <c r="G284" s="68" t="str">
        <f aca="false">IF($W284="","",IF(INDEX(发票统计!G$4:G$1003,$W284)="","",INDEX(发票统计!G$4:G$1003,$W284)))</f>
        <v/>
      </c>
      <c r="H284" s="56" t="str">
        <f aca="false">IF($W284="","",N(INDEX(发票统计!H$4:H$1003,$W284)))</f>
        <v/>
      </c>
      <c r="I284" s="56" t="str">
        <f aca="false">IF($W284="","",N(INDEX(发票统计!I$4:I$1003,$W284)))</f>
        <v/>
      </c>
      <c r="J284" s="56" t="str">
        <f aca="false">IF($W284="","",N(INDEX(发票统计!J$4:J$1003,$W284)))</f>
        <v/>
      </c>
      <c r="K284" s="56" t="str">
        <f aca="false">IF($W284="","",N(INDEX(发票统计!K$4:K$1003,$W284)))</f>
        <v/>
      </c>
      <c r="L284" s="56" t="str">
        <f aca="false">IF($W284="","",SUM(J$4:J284)-SUM(K$4:K284))</f>
        <v/>
      </c>
      <c r="M284" s="56" t="str">
        <f aca="false">IF($W284="","",N(INDEX(发票统计!M$4:M$1003,$W284)))</f>
        <v/>
      </c>
      <c r="N284" s="56" t="str">
        <f aca="false">IF($W284="","",N(INDEX(发票统计!N$4:N$1003,$W284)))</f>
        <v/>
      </c>
      <c r="O284" s="56" t="str">
        <f aca="false">IF($W284="","",N(INDEX(发票统计!O$4:O$1003,$W284)))</f>
        <v/>
      </c>
      <c r="P284" s="56" t="str">
        <f aca="false">IF($W284="","",SUM(M$4:M284)-SUM(N$4:N284)-SUM(O$4:O284))</f>
        <v/>
      </c>
      <c r="Q284" s="56" t="str">
        <f aca="false">IF($W284="","",N(INDEX(发票统计!Q$4:Q$1003,$W284)))</f>
        <v/>
      </c>
      <c r="R284" s="56" t="str">
        <f aca="false">IF($W284="","",N(INDEX(发票统计!R$4:R$1003,$W284)))</f>
        <v/>
      </c>
      <c r="S284" s="56" t="str">
        <f aca="false">IF($W284="","",N(INDEX(发票统计!S$4:S$1003,$W284)))</f>
        <v/>
      </c>
      <c r="T284" s="56" t="str">
        <f aca="false">IF($W284="","",SUM(Q$4:Q284)-SUM(R$4:R284)-SUM(S$4:S284))</f>
        <v/>
      </c>
      <c r="U284" s="56" t="str">
        <f aca="false">IF($W284="","",INDEX(发票统计!U$4:U$1003,$W284)&amp;"")</f>
        <v/>
      </c>
      <c r="W284" s="1" t="str">
        <f aca="false">IF($V$3="","",IFERROR(MATCH($V$3&amp;"#"&amp;ROWS(W$4:W284),发票统计!$W$4:$W$1003,0),""))</f>
        <v/>
      </c>
    </row>
    <row r="285" customFormat="false" ht="16.5" hidden="false" customHeight="false" outlineLevel="0" collapsed="false">
      <c r="A285" s="3" t="str">
        <f aca="false">IF($W285="","",INDEX(发票统计!A$4:A$1003,$W285)&amp;"")</f>
        <v/>
      </c>
      <c r="B285" s="3" t="str">
        <f aca="false">IF($W285="","",INDEX(发票统计!B$4:B$1003,$W285)&amp;"")</f>
        <v/>
      </c>
      <c r="C285" s="3" t="str">
        <f aca="false">IF($W285="","",INDEX(发票统计!C$4:C$1003,$W285)&amp;"")</f>
        <v/>
      </c>
      <c r="D285" s="3" t="str">
        <f aca="false">IF($W285="","",INDEX(发票统计!D$4:D$1003,$W285)&amp;"")</f>
        <v/>
      </c>
      <c r="E285" s="67" t="str">
        <f aca="false">IF($W285="","",INDEX(发票统计!E$4:E$1003,$W285)&amp;"")</f>
        <v/>
      </c>
      <c r="F285" s="68" t="str">
        <f aca="false">IF($W285="","",INDEX(发票统计!F$4:F$1003,$W285)&amp;"")</f>
        <v/>
      </c>
      <c r="G285" s="68" t="str">
        <f aca="false">IF($W285="","",IF(INDEX(发票统计!G$4:G$1003,$W285)="","",INDEX(发票统计!G$4:G$1003,$W285)))</f>
        <v/>
      </c>
      <c r="H285" s="56" t="str">
        <f aca="false">IF($W285="","",N(INDEX(发票统计!H$4:H$1003,$W285)))</f>
        <v/>
      </c>
      <c r="I285" s="56" t="str">
        <f aca="false">IF($W285="","",N(INDEX(发票统计!I$4:I$1003,$W285)))</f>
        <v/>
      </c>
      <c r="J285" s="56" t="str">
        <f aca="false">IF($W285="","",N(INDEX(发票统计!J$4:J$1003,$W285)))</f>
        <v/>
      </c>
      <c r="K285" s="56" t="str">
        <f aca="false">IF($W285="","",N(INDEX(发票统计!K$4:K$1003,$W285)))</f>
        <v/>
      </c>
      <c r="L285" s="56" t="str">
        <f aca="false">IF($W285="","",SUM(J$4:J285)-SUM(K$4:K285))</f>
        <v/>
      </c>
      <c r="M285" s="56" t="str">
        <f aca="false">IF($W285="","",N(INDEX(发票统计!M$4:M$1003,$W285)))</f>
        <v/>
      </c>
      <c r="N285" s="56" t="str">
        <f aca="false">IF($W285="","",N(INDEX(发票统计!N$4:N$1003,$W285)))</f>
        <v/>
      </c>
      <c r="O285" s="56" t="str">
        <f aca="false">IF($W285="","",N(INDEX(发票统计!O$4:O$1003,$W285)))</f>
        <v/>
      </c>
      <c r="P285" s="56" t="str">
        <f aca="false">IF($W285="","",SUM(M$4:M285)-SUM(N$4:N285)-SUM(O$4:O285))</f>
        <v/>
      </c>
      <c r="Q285" s="56" t="str">
        <f aca="false">IF($W285="","",N(INDEX(发票统计!Q$4:Q$1003,$W285)))</f>
        <v/>
      </c>
      <c r="R285" s="56" t="str">
        <f aca="false">IF($W285="","",N(INDEX(发票统计!R$4:R$1003,$W285)))</f>
        <v/>
      </c>
      <c r="S285" s="56" t="str">
        <f aca="false">IF($W285="","",N(INDEX(发票统计!S$4:S$1003,$W285)))</f>
        <v/>
      </c>
      <c r="T285" s="56" t="str">
        <f aca="false">IF($W285="","",SUM(Q$4:Q285)-SUM(R$4:R285)-SUM(S$4:S285))</f>
        <v/>
      </c>
      <c r="U285" s="56" t="str">
        <f aca="false">IF($W285="","",INDEX(发票统计!U$4:U$1003,$W285)&amp;"")</f>
        <v/>
      </c>
      <c r="W285" s="1" t="str">
        <f aca="false">IF($V$3="","",IFERROR(MATCH($V$3&amp;"#"&amp;ROWS(W$4:W285),发票统计!$W$4:$W$1003,0),""))</f>
        <v/>
      </c>
    </row>
    <row r="286" customFormat="false" ht="16.5" hidden="false" customHeight="false" outlineLevel="0" collapsed="false">
      <c r="A286" s="3" t="str">
        <f aca="false">IF($W286="","",INDEX(发票统计!A$4:A$1003,$W286)&amp;"")</f>
        <v/>
      </c>
      <c r="B286" s="3" t="str">
        <f aca="false">IF($W286="","",INDEX(发票统计!B$4:B$1003,$W286)&amp;"")</f>
        <v/>
      </c>
      <c r="C286" s="3" t="str">
        <f aca="false">IF($W286="","",INDEX(发票统计!C$4:C$1003,$W286)&amp;"")</f>
        <v/>
      </c>
      <c r="D286" s="3" t="str">
        <f aca="false">IF($W286="","",INDEX(发票统计!D$4:D$1003,$W286)&amp;"")</f>
        <v/>
      </c>
      <c r="E286" s="67" t="str">
        <f aca="false">IF($W286="","",INDEX(发票统计!E$4:E$1003,$W286)&amp;"")</f>
        <v/>
      </c>
      <c r="F286" s="68" t="str">
        <f aca="false">IF($W286="","",INDEX(发票统计!F$4:F$1003,$W286)&amp;"")</f>
        <v/>
      </c>
      <c r="G286" s="68" t="str">
        <f aca="false">IF($W286="","",IF(INDEX(发票统计!G$4:G$1003,$W286)="","",INDEX(发票统计!G$4:G$1003,$W286)))</f>
        <v/>
      </c>
      <c r="H286" s="56" t="str">
        <f aca="false">IF($W286="","",N(INDEX(发票统计!H$4:H$1003,$W286)))</f>
        <v/>
      </c>
      <c r="I286" s="56" t="str">
        <f aca="false">IF($W286="","",N(INDEX(发票统计!I$4:I$1003,$W286)))</f>
        <v/>
      </c>
      <c r="J286" s="56" t="str">
        <f aca="false">IF($W286="","",N(INDEX(发票统计!J$4:J$1003,$W286)))</f>
        <v/>
      </c>
      <c r="K286" s="56" t="str">
        <f aca="false">IF($W286="","",N(INDEX(发票统计!K$4:K$1003,$W286)))</f>
        <v/>
      </c>
      <c r="L286" s="56" t="str">
        <f aca="false">IF($W286="","",SUM(J$4:J286)-SUM(K$4:K286))</f>
        <v/>
      </c>
      <c r="M286" s="56" t="str">
        <f aca="false">IF($W286="","",N(INDEX(发票统计!M$4:M$1003,$W286)))</f>
        <v/>
      </c>
      <c r="N286" s="56" t="str">
        <f aca="false">IF($W286="","",N(INDEX(发票统计!N$4:N$1003,$W286)))</f>
        <v/>
      </c>
      <c r="O286" s="56" t="str">
        <f aca="false">IF($W286="","",N(INDEX(发票统计!O$4:O$1003,$W286)))</f>
        <v/>
      </c>
      <c r="P286" s="56" t="str">
        <f aca="false">IF($W286="","",SUM(M$4:M286)-SUM(N$4:N286)-SUM(O$4:O286))</f>
        <v/>
      </c>
      <c r="Q286" s="56" t="str">
        <f aca="false">IF($W286="","",N(INDEX(发票统计!Q$4:Q$1003,$W286)))</f>
        <v/>
      </c>
      <c r="R286" s="56" t="str">
        <f aca="false">IF($W286="","",N(INDEX(发票统计!R$4:R$1003,$W286)))</f>
        <v/>
      </c>
      <c r="S286" s="56" t="str">
        <f aca="false">IF($W286="","",N(INDEX(发票统计!S$4:S$1003,$W286)))</f>
        <v/>
      </c>
      <c r="T286" s="56" t="str">
        <f aca="false">IF($W286="","",SUM(Q$4:Q286)-SUM(R$4:R286)-SUM(S$4:S286))</f>
        <v/>
      </c>
      <c r="U286" s="56" t="str">
        <f aca="false">IF($W286="","",INDEX(发票统计!U$4:U$1003,$W286)&amp;"")</f>
        <v/>
      </c>
      <c r="W286" s="1" t="str">
        <f aca="false">IF($V$3="","",IFERROR(MATCH($V$3&amp;"#"&amp;ROWS(W$4:W286),发票统计!$W$4:$W$1003,0),""))</f>
        <v/>
      </c>
    </row>
    <row r="287" customFormat="false" ht="16.5" hidden="false" customHeight="false" outlineLevel="0" collapsed="false">
      <c r="A287" s="3" t="str">
        <f aca="false">IF($W287="","",INDEX(发票统计!A$4:A$1003,$W287)&amp;"")</f>
        <v/>
      </c>
      <c r="B287" s="3" t="str">
        <f aca="false">IF($W287="","",INDEX(发票统计!B$4:B$1003,$W287)&amp;"")</f>
        <v/>
      </c>
      <c r="C287" s="3" t="str">
        <f aca="false">IF($W287="","",INDEX(发票统计!C$4:C$1003,$W287)&amp;"")</f>
        <v/>
      </c>
      <c r="D287" s="3" t="str">
        <f aca="false">IF($W287="","",INDEX(发票统计!D$4:D$1003,$W287)&amp;"")</f>
        <v/>
      </c>
      <c r="E287" s="67" t="str">
        <f aca="false">IF($W287="","",INDEX(发票统计!E$4:E$1003,$W287)&amp;"")</f>
        <v/>
      </c>
      <c r="F287" s="68" t="str">
        <f aca="false">IF($W287="","",INDEX(发票统计!F$4:F$1003,$W287)&amp;"")</f>
        <v/>
      </c>
      <c r="G287" s="68" t="str">
        <f aca="false">IF($W287="","",IF(INDEX(发票统计!G$4:G$1003,$W287)="","",INDEX(发票统计!G$4:G$1003,$W287)))</f>
        <v/>
      </c>
      <c r="H287" s="56" t="str">
        <f aca="false">IF($W287="","",N(INDEX(发票统计!H$4:H$1003,$W287)))</f>
        <v/>
      </c>
      <c r="I287" s="56" t="str">
        <f aca="false">IF($W287="","",N(INDEX(发票统计!I$4:I$1003,$W287)))</f>
        <v/>
      </c>
      <c r="J287" s="56" t="str">
        <f aca="false">IF($W287="","",N(INDEX(发票统计!J$4:J$1003,$W287)))</f>
        <v/>
      </c>
      <c r="K287" s="56" t="str">
        <f aca="false">IF($W287="","",N(INDEX(发票统计!K$4:K$1003,$W287)))</f>
        <v/>
      </c>
      <c r="L287" s="56" t="str">
        <f aca="false">IF($W287="","",SUM(J$4:J287)-SUM(K$4:K287))</f>
        <v/>
      </c>
      <c r="M287" s="56" t="str">
        <f aca="false">IF($W287="","",N(INDEX(发票统计!M$4:M$1003,$W287)))</f>
        <v/>
      </c>
      <c r="N287" s="56" t="str">
        <f aca="false">IF($W287="","",N(INDEX(发票统计!N$4:N$1003,$W287)))</f>
        <v/>
      </c>
      <c r="O287" s="56" t="str">
        <f aca="false">IF($W287="","",N(INDEX(发票统计!O$4:O$1003,$W287)))</f>
        <v/>
      </c>
      <c r="P287" s="56" t="str">
        <f aca="false">IF($W287="","",SUM(M$4:M287)-SUM(N$4:N287)-SUM(O$4:O287))</f>
        <v/>
      </c>
      <c r="Q287" s="56" t="str">
        <f aca="false">IF($W287="","",N(INDEX(发票统计!Q$4:Q$1003,$W287)))</f>
        <v/>
      </c>
      <c r="R287" s="56" t="str">
        <f aca="false">IF($W287="","",N(INDEX(发票统计!R$4:R$1003,$W287)))</f>
        <v/>
      </c>
      <c r="S287" s="56" t="str">
        <f aca="false">IF($W287="","",N(INDEX(发票统计!S$4:S$1003,$W287)))</f>
        <v/>
      </c>
      <c r="T287" s="56" t="str">
        <f aca="false">IF($W287="","",SUM(Q$4:Q287)-SUM(R$4:R287)-SUM(S$4:S287))</f>
        <v/>
      </c>
      <c r="U287" s="56" t="str">
        <f aca="false">IF($W287="","",INDEX(发票统计!U$4:U$1003,$W287)&amp;"")</f>
        <v/>
      </c>
      <c r="W287" s="1" t="str">
        <f aca="false">IF($V$3="","",IFERROR(MATCH($V$3&amp;"#"&amp;ROWS(W$4:W287),发票统计!$W$4:$W$1003,0),""))</f>
        <v/>
      </c>
    </row>
    <row r="288" customFormat="false" ht="16.5" hidden="false" customHeight="false" outlineLevel="0" collapsed="false">
      <c r="A288" s="3" t="str">
        <f aca="false">IF($W288="","",INDEX(发票统计!A$4:A$1003,$W288)&amp;"")</f>
        <v/>
      </c>
      <c r="B288" s="3" t="str">
        <f aca="false">IF($W288="","",INDEX(发票统计!B$4:B$1003,$W288)&amp;"")</f>
        <v/>
      </c>
      <c r="C288" s="3" t="str">
        <f aca="false">IF($W288="","",INDEX(发票统计!C$4:C$1003,$W288)&amp;"")</f>
        <v/>
      </c>
      <c r="D288" s="3" t="str">
        <f aca="false">IF($W288="","",INDEX(发票统计!D$4:D$1003,$W288)&amp;"")</f>
        <v/>
      </c>
      <c r="E288" s="67" t="str">
        <f aca="false">IF($W288="","",INDEX(发票统计!E$4:E$1003,$W288)&amp;"")</f>
        <v/>
      </c>
      <c r="F288" s="68" t="str">
        <f aca="false">IF($W288="","",INDEX(发票统计!F$4:F$1003,$W288)&amp;"")</f>
        <v/>
      </c>
      <c r="G288" s="68" t="str">
        <f aca="false">IF($W288="","",IF(INDEX(发票统计!G$4:G$1003,$W288)="","",INDEX(发票统计!G$4:G$1003,$W288)))</f>
        <v/>
      </c>
      <c r="H288" s="56" t="str">
        <f aca="false">IF($W288="","",N(INDEX(发票统计!H$4:H$1003,$W288)))</f>
        <v/>
      </c>
      <c r="I288" s="56" t="str">
        <f aca="false">IF($W288="","",N(INDEX(发票统计!I$4:I$1003,$W288)))</f>
        <v/>
      </c>
      <c r="J288" s="56" t="str">
        <f aca="false">IF($W288="","",N(INDEX(发票统计!J$4:J$1003,$W288)))</f>
        <v/>
      </c>
      <c r="K288" s="56" t="str">
        <f aca="false">IF($W288="","",N(INDEX(发票统计!K$4:K$1003,$W288)))</f>
        <v/>
      </c>
      <c r="L288" s="56" t="str">
        <f aca="false">IF($W288="","",SUM(J$4:J288)-SUM(K$4:K288))</f>
        <v/>
      </c>
      <c r="M288" s="56" t="str">
        <f aca="false">IF($W288="","",N(INDEX(发票统计!M$4:M$1003,$W288)))</f>
        <v/>
      </c>
      <c r="N288" s="56" t="str">
        <f aca="false">IF($W288="","",N(INDEX(发票统计!N$4:N$1003,$W288)))</f>
        <v/>
      </c>
      <c r="O288" s="56" t="str">
        <f aca="false">IF($W288="","",N(INDEX(发票统计!O$4:O$1003,$W288)))</f>
        <v/>
      </c>
      <c r="P288" s="56" t="str">
        <f aca="false">IF($W288="","",SUM(M$4:M288)-SUM(N$4:N288)-SUM(O$4:O288))</f>
        <v/>
      </c>
      <c r="Q288" s="56" t="str">
        <f aca="false">IF($W288="","",N(INDEX(发票统计!Q$4:Q$1003,$W288)))</f>
        <v/>
      </c>
      <c r="R288" s="56" t="str">
        <f aca="false">IF($W288="","",N(INDEX(发票统计!R$4:R$1003,$W288)))</f>
        <v/>
      </c>
      <c r="S288" s="56" t="str">
        <f aca="false">IF($W288="","",N(INDEX(发票统计!S$4:S$1003,$W288)))</f>
        <v/>
      </c>
      <c r="T288" s="56" t="str">
        <f aca="false">IF($W288="","",SUM(Q$4:Q288)-SUM(R$4:R288)-SUM(S$4:S288))</f>
        <v/>
      </c>
      <c r="U288" s="56" t="str">
        <f aca="false">IF($W288="","",INDEX(发票统计!U$4:U$1003,$W288)&amp;"")</f>
        <v/>
      </c>
      <c r="W288" s="1" t="str">
        <f aca="false">IF($V$3="","",IFERROR(MATCH($V$3&amp;"#"&amp;ROWS(W$4:W288),发票统计!$W$4:$W$1003,0),""))</f>
        <v/>
      </c>
    </row>
    <row r="289" customFormat="false" ht="16.5" hidden="false" customHeight="false" outlineLevel="0" collapsed="false">
      <c r="A289" s="3" t="str">
        <f aca="false">IF($W289="","",INDEX(发票统计!A$4:A$1003,$W289)&amp;"")</f>
        <v/>
      </c>
      <c r="B289" s="3" t="str">
        <f aca="false">IF($W289="","",INDEX(发票统计!B$4:B$1003,$W289)&amp;"")</f>
        <v/>
      </c>
      <c r="C289" s="3" t="str">
        <f aca="false">IF($W289="","",INDEX(发票统计!C$4:C$1003,$W289)&amp;"")</f>
        <v/>
      </c>
      <c r="D289" s="3" t="str">
        <f aca="false">IF($W289="","",INDEX(发票统计!D$4:D$1003,$W289)&amp;"")</f>
        <v/>
      </c>
      <c r="E289" s="67" t="str">
        <f aca="false">IF($W289="","",INDEX(发票统计!E$4:E$1003,$W289)&amp;"")</f>
        <v/>
      </c>
      <c r="F289" s="68" t="str">
        <f aca="false">IF($W289="","",INDEX(发票统计!F$4:F$1003,$W289)&amp;"")</f>
        <v/>
      </c>
      <c r="G289" s="68" t="str">
        <f aca="false">IF($W289="","",IF(INDEX(发票统计!G$4:G$1003,$W289)="","",INDEX(发票统计!G$4:G$1003,$W289)))</f>
        <v/>
      </c>
      <c r="H289" s="56" t="str">
        <f aca="false">IF($W289="","",N(INDEX(发票统计!H$4:H$1003,$W289)))</f>
        <v/>
      </c>
      <c r="I289" s="56" t="str">
        <f aca="false">IF($W289="","",N(INDEX(发票统计!I$4:I$1003,$W289)))</f>
        <v/>
      </c>
      <c r="J289" s="56" t="str">
        <f aca="false">IF($W289="","",N(INDEX(发票统计!J$4:J$1003,$W289)))</f>
        <v/>
      </c>
      <c r="K289" s="56" t="str">
        <f aca="false">IF($W289="","",N(INDEX(发票统计!K$4:K$1003,$W289)))</f>
        <v/>
      </c>
      <c r="L289" s="56" t="str">
        <f aca="false">IF($W289="","",SUM(J$4:J289)-SUM(K$4:K289))</f>
        <v/>
      </c>
      <c r="M289" s="56" t="str">
        <f aca="false">IF($W289="","",N(INDEX(发票统计!M$4:M$1003,$W289)))</f>
        <v/>
      </c>
      <c r="N289" s="56" t="str">
        <f aca="false">IF($W289="","",N(INDEX(发票统计!N$4:N$1003,$W289)))</f>
        <v/>
      </c>
      <c r="O289" s="56" t="str">
        <f aca="false">IF($W289="","",N(INDEX(发票统计!O$4:O$1003,$W289)))</f>
        <v/>
      </c>
      <c r="P289" s="56" t="str">
        <f aca="false">IF($W289="","",SUM(M$4:M289)-SUM(N$4:N289)-SUM(O$4:O289))</f>
        <v/>
      </c>
      <c r="Q289" s="56" t="str">
        <f aca="false">IF($W289="","",N(INDEX(发票统计!Q$4:Q$1003,$W289)))</f>
        <v/>
      </c>
      <c r="R289" s="56" t="str">
        <f aca="false">IF($W289="","",N(INDEX(发票统计!R$4:R$1003,$W289)))</f>
        <v/>
      </c>
      <c r="S289" s="56" t="str">
        <f aca="false">IF($W289="","",N(INDEX(发票统计!S$4:S$1003,$W289)))</f>
        <v/>
      </c>
      <c r="T289" s="56" t="str">
        <f aca="false">IF($W289="","",SUM(Q$4:Q289)-SUM(R$4:R289)-SUM(S$4:S289))</f>
        <v/>
      </c>
      <c r="U289" s="56" t="str">
        <f aca="false">IF($W289="","",INDEX(发票统计!U$4:U$1003,$W289)&amp;"")</f>
        <v/>
      </c>
      <c r="W289" s="1" t="str">
        <f aca="false">IF($V$3="","",IFERROR(MATCH($V$3&amp;"#"&amp;ROWS(W$4:W289),发票统计!$W$4:$W$1003,0),""))</f>
        <v/>
      </c>
    </row>
    <row r="290" customFormat="false" ht="16.5" hidden="false" customHeight="false" outlineLevel="0" collapsed="false">
      <c r="A290" s="3" t="str">
        <f aca="false">IF($W290="","",INDEX(发票统计!A$4:A$1003,$W290)&amp;"")</f>
        <v/>
      </c>
      <c r="B290" s="3" t="str">
        <f aca="false">IF($W290="","",INDEX(发票统计!B$4:B$1003,$W290)&amp;"")</f>
        <v/>
      </c>
      <c r="C290" s="3" t="str">
        <f aca="false">IF($W290="","",INDEX(发票统计!C$4:C$1003,$W290)&amp;"")</f>
        <v/>
      </c>
      <c r="D290" s="3" t="str">
        <f aca="false">IF($W290="","",INDEX(发票统计!D$4:D$1003,$W290)&amp;"")</f>
        <v/>
      </c>
      <c r="E290" s="67" t="str">
        <f aca="false">IF($W290="","",INDEX(发票统计!E$4:E$1003,$W290)&amp;"")</f>
        <v/>
      </c>
      <c r="F290" s="68" t="str">
        <f aca="false">IF($W290="","",INDEX(发票统计!F$4:F$1003,$W290)&amp;"")</f>
        <v/>
      </c>
      <c r="G290" s="68" t="str">
        <f aca="false">IF($W290="","",IF(INDEX(发票统计!G$4:G$1003,$W290)="","",INDEX(发票统计!G$4:G$1003,$W290)))</f>
        <v/>
      </c>
      <c r="H290" s="56" t="str">
        <f aca="false">IF($W290="","",N(INDEX(发票统计!H$4:H$1003,$W290)))</f>
        <v/>
      </c>
      <c r="I290" s="56" t="str">
        <f aca="false">IF($W290="","",N(INDEX(发票统计!I$4:I$1003,$W290)))</f>
        <v/>
      </c>
      <c r="J290" s="56" t="str">
        <f aca="false">IF($W290="","",N(INDEX(发票统计!J$4:J$1003,$W290)))</f>
        <v/>
      </c>
      <c r="K290" s="56" t="str">
        <f aca="false">IF($W290="","",N(INDEX(发票统计!K$4:K$1003,$W290)))</f>
        <v/>
      </c>
      <c r="L290" s="56" t="str">
        <f aca="false">IF($W290="","",SUM(J$4:J290)-SUM(K$4:K290))</f>
        <v/>
      </c>
      <c r="M290" s="56" t="str">
        <f aca="false">IF($W290="","",N(INDEX(发票统计!M$4:M$1003,$W290)))</f>
        <v/>
      </c>
      <c r="N290" s="56" t="str">
        <f aca="false">IF($W290="","",N(INDEX(发票统计!N$4:N$1003,$W290)))</f>
        <v/>
      </c>
      <c r="O290" s="56" t="str">
        <f aca="false">IF($W290="","",N(INDEX(发票统计!O$4:O$1003,$W290)))</f>
        <v/>
      </c>
      <c r="P290" s="56" t="str">
        <f aca="false">IF($W290="","",SUM(M$4:M290)-SUM(N$4:N290)-SUM(O$4:O290))</f>
        <v/>
      </c>
      <c r="Q290" s="56" t="str">
        <f aca="false">IF($W290="","",N(INDEX(发票统计!Q$4:Q$1003,$W290)))</f>
        <v/>
      </c>
      <c r="R290" s="56" t="str">
        <f aca="false">IF($W290="","",N(INDEX(发票统计!R$4:R$1003,$W290)))</f>
        <v/>
      </c>
      <c r="S290" s="56" t="str">
        <f aca="false">IF($W290="","",N(INDEX(发票统计!S$4:S$1003,$W290)))</f>
        <v/>
      </c>
      <c r="T290" s="56" t="str">
        <f aca="false">IF($W290="","",SUM(Q$4:Q290)-SUM(R$4:R290)-SUM(S$4:S290))</f>
        <v/>
      </c>
      <c r="U290" s="56" t="str">
        <f aca="false">IF($W290="","",INDEX(发票统计!U$4:U$1003,$W290)&amp;"")</f>
        <v/>
      </c>
      <c r="W290" s="1" t="str">
        <f aca="false">IF($V$3="","",IFERROR(MATCH($V$3&amp;"#"&amp;ROWS(W$4:W290),发票统计!$W$4:$W$1003,0),""))</f>
        <v/>
      </c>
    </row>
    <row r="291" customFormat="false" ht="16.5" hidden="false" customHeight="false" outlineLevel="0" collapsed="false">
      <c r="A291" s="3" t="str">
        <f aca="false">IF($W291="","",INDEX(发票统计!A$4:A$1003,$W291)&amp;"")</f>
        <v/>
      </c>
      <c r="B291" s="3" t="str">
        <f aca="false">IF($W291="","",INDEX(发票统计!B$4:B$1003,$W291)&amp;"")</f>
        <v/>
      </c>
      <c r="C291" s="3" t="str">
        <f aca="false">IF($W291="","",INDEX(发票统计!C$4:C$1003,$W291)&amp;"")</f>
        <v/>
      </c>
      <c r="D291" s="3" t="str">
        <f aca="false">IF($W291="","",INDEX(发票统计!D$4:D$1003,$W291)&amp;"")</f>
        <v/>
      </c>
      <c r="E291" s="67" t="str">
        <f aca="false">IF($W291="","",INDEX(发票统计!E$4:E$1003,$W291)&amp;"")</f>
        <v/>
      </c>
      <c r="F291" s="68" t="str">
        <f aca="false">IF($W291="","",INDEX(发票统计!F$4:F$1003,$W291)&amp;"")</f>
        <v/>
      </c>
      <c r="G291" s="68" t="str">
        <f aca="false">IF($W291="","",IF(INDEX(发票统计!G$4:G$1003,$W291)="","",INDEX(发票统计!G$4:G$1003,$W291)))</f>
        <v/>
      </c>
      <c r="H291" s="56" t="str">
        <f aca="false">IF($W291="","",N(INDEX(发票统计!H$4:H$1003,$W291)))</f>
        <v/>
      </c>
      <c r="I291" s="56" t="str">
        <f aca="false">IF($W291="","",N(INDEX(发票统计!I$4:I$1003,$W291)))</f>
        <v/>
      </c>
      <c r="J291" s="56" t="str">
        <f aca="false">IF($W291="","",N(INDEX(发票统计!J$4:J$1003,$W291)))</f>
        <v/>
      </c>
      <c r="K291" s="56" t="str">
        <f aca="false">IF($W291="","",N(INDEX(发票统计!K$4:K$1003,$W291)))</f>
        <v/>
      </c>
      <c r="L291" s="56" t="str">
        <f aca="false">IF($W291="","",SUM(J$4:J291)-SUM(K$4:K291))</f>
        <v/>
      </c>
      <c r="M291" s="56" t="str">
        <f aca="false">IF($W291="","",N(INDEX(发票统计!M$4:M$1003,$W291)))</f>
        <v/>
      </c>
      <c r="N291" s="56" t="str">
        <f aca="false">IF($W291="","",N(INDEX(发票统计!N$4:N$1003,$W291)))</f>
        <v/>
      </c>
      <c r="O291" s="56" t="str">
        <f aca="false">IF($W291="","",N(INDEX(发票统计!O$4:O$1003,$W291)))</f>
        <v/>
      </c>
      <c r="P291" s="56" t="str">
        <f aca="false">IF($W291="","",SUM(M$4:M291)-SUM(N$4:N291)-SUM(O$4:O291))</f>
        <v/>
      </c>
      <c r="Q291" s="56" t="str">
        <f aca="false">IF($W291="","",N(INDEX(发票统计!Q$4:Q$1003,$W291)))</f>
        <v/>
      </c>
      <c r="R291" s="56" t="str">
        <f aca="false">IF($W291="","",N(INDEX(发票统计!R$4:R$1003,$W291)))</f>
        <v/>
      </c>
      <c r="S291" s="56" t="str">
        <f aca="false">IF($W291="","",N(INDEX(发票统计!S$4:S$1003,$W291)))</f>
        <v/>
      </c>
      <c r="T291" s="56" t="str">
        <f aca="false">IF($W291="","",SUM(Q$4:Q291)-SUM(R$4:R291)-SUM(S$4:S291))</f>
        <v/>
      </c>
      <c r="U291" s="56" t="str">
        <f aca="false">IF($W291="","",INDEX(发票统计!U$4:U$1003,$W291)&amp;"")</f>
        <v/>
      </c>
      <c r="W291" s="1" t="str">
        <f aca="false">IF($V$3="","",IFERROR(MATCH($V$3&amp;"#"&amp;ROWS(W$4:W291),发票统计!$W$4:$W$1003,0),""))</f>
        <v/>
      </c>
    </row>
    <row r="292" customFormat="false" ht="16.5" hidden="false" customHeight="false" outlineLevel="0" collapsed="false">
      <c r="A292" s="3" t="str">
        <f aca="false">IF($W292="","",INDEX(发票统计!A$4:A$1003,$W292)&amp;"")</f>
        <v/>
      </c>
      <c r="B292" s="3" t="str">
        <f aca="false">IF($W292="","",INDEX(发票统计!B$4:B$1003,$W292)&amp;"")</f>
        <v/>
      </c>
      <c r="C292" s="3" t="str">
        <f aca="false">IF($W292="","",INDEX(发票统计!C$4:C$1003,$W292)&amp;"")</f>
        <v/>
      </c>
      <c r="D292" s="3" t="str">
        <f aca="false">IF($W292="","",INDEX(发票统计!D$4:D$1003,$W292)&amp;"")</f>
        <v/>
      </c>
      <c r="E292" s="67" t="str">
        <f aca="false">IF($W292="","",INDEX(发票统计!E$4:E$1003,$W292)&amp;"")</f>
        <v/>
      </c>
      <c r="F292" s="68" t="str">
        <f aca="false">IF($W292="","",INDEX(发票统计!F$4:F$1003,$W292)&amp;"")</f>
        <v/>
      </c>
      <c r="G292" s="68" t="str">
        <f aca="false">IF($W292="","",IF(INDEX(发票统计!G$4:G$1003,$W292)="","",INDEX(发票统计!G$4:G$1003,$W292)))</f>
        <v/>
      </c>
      <c r="H292" s="56" t="str">
        <f aca="false">IF($W292="","",N(INDEX(发票统计!H$4:H$1003,$W292)))</f>
        <v/>
      </c>
      <c r="I292" s="56" t="str">
        <f aca="false">IF($W292="","",N(INDEX(发票统计!I$4:I$1003,$W292)))</f>
        <v/>
      </c>
      <c r="J292" s="56" t="str">
        <f aca="false">IF($W292="","",N(INDEX(发票统计!J$4:J$1003,$W292)))</f>
        <v/>
      </c>
      <c r="K292" s="56" t="str">
        <f aca="false">IF($W292="","",N(INDEX(发票统计!K$4:K$1003,$W292)))</f>
        <v/>
      </c>
      <c r="L292" s="56" t="str">
        <f aca="false">IF($W292="","",SUM(J$4:J292)-SUM(K$4:K292))</f>
        <v/>
      </c>
      <c r="M292" s="56" t="str">
        <f aca="false">IF($W292="","",N(INDEX(发票统计!M$4:M$1003,$W292)))</f>
        <v/>
      </c>
      <c r="N292" s="56" t="str">
        <f aca="false">IF($W292="","",N(INDEX(发票统计!N$4:N$1003,$W292)))</f>
        <v/>
      </c>
      <c r="O292" s="56" t="str">
        <f aca="false">IF($W292="","",N(INDEX(发票统计!O$4:O$1003,$W292)))</f>
        <v/>
      </c>
      <c r="P292" s="56" t="str">
        <f aca="false">IF($W292="","",SUM(M$4:M292)-SUM(N$4:N292)-SUM(O$4:O292))</f>
        <v/>
      </c>
      <c r="Q292" s="56" t="str">
        <f aca="false">IF($W292="","",N(INDEX(发票统计!Q$4:Q$1003,$W292)))</f>
        <v/>
      </c>
      <c r="R292" s="56" t="str">
        <f aca="false">IF($W292="","",N(INDEX(发票统计!R$4:R$1003,$W292)))</f>
        <v/>
      </c>
      <c r="S292" s="56" t="str">
        <f aca="false">IF($W292="","",N(INDEX(发票统计!S$4:S$1003,$W292)))</f>
        <v/>
      </c>
      <c r="T292" s="56" t="str">
        <f aca="false">IF($W292="","",SUM(Q$4:Q292)-SUM(R$4:R292)-SUM(S$4:S292))</f>
        <v/>
      </c>
      <c r="U292" s="56" t="str">
        <f aca="false">IF($W292="","",INDEX(发票统计!U$4:U$1003,$W292)&amp;"")</f>
        <v/>
      </c>
      <c r="W292" s="1" t="str">
        <f aca="false">IF($V$3="","",IFERROR(MATCH($V$3&amp;"#"&amp;ROWS(W$4:W292),发票统计!$W$4:$W$1003,0),""))</f>
        <v/>
      </c>
    </row>
    <row r="293" customFormat="false" ht="16.5" hidden="false" customHeight="false" outlineLevel="0" collapsed="false">
      <c r="A293" s="3" t="str">
        <f aca="false">IF($W293="","",INDEX(发票统计!A$4:A$1003,$W293)&amp;"")</f>
        <v/>
      </c>
      <c r="B293" s="3" t="str">
        <f aca="false">IF($W293="","",INDEX(发票统计!B$4:B$1003,$W293)&amp;"")</f>
        <v/>
      </c>
      <c r="C293" s="3" t="str">
        <f aca="false">IF($W293="","",INDEX(发票统计!C$4:C$1003,$W293)&amp;"")</f>
        <v/>
      </c>
      <c r="D293" s="3" t="str">
        <f aca="false">IF($W293="","",INDEX(发票统计!D$4:D$1003,$W293)&amp;"")</f>
        <v/>
      </c>
      <c r="E293" s="67" t="str">
        <f aca="false">IF($W293="","",INDEX(发票统计!E$4:E$1003,$W293)&amp;"")</f>
        <v/>
      </c>
      <c r="F293" s="68" t="str">
        <f aca="false">IF($W293="","",INDEX(发票统计!F$4:F$1003,$W293)&amp;"")</f>
        <v/>
      </c>
      <c r="G293" s="68" t="str">
        <f aca="false">IF($W293="","",IF(INDEX(发票统计!G$4:G$1003,$W293)="","",INDEX(发票统计!G$4:G$1003,$W293)))</f>
        <v/>
      </c>
      <c r="H293" s="56" t="str">
        <f aca="false">IF($W293="","",N(INDEX(发票统计!H$4:H$1003,$W293)))</f>
        <v/>
      </c>
      <c r="I293" s="56" t="str">
        <f aca="false">IF($W293="","",N(INDEX(发票统计!I$4:I$1003,$W293)))</f>
        <v/>
      </c>
      <c r="J293" s="56" t="str">
        <f aca="false">IF($W293="","",N(INDEX(发票统计!J$4:J$1003,$W293)))</f>
        <v/>
      </c>
      <c r="K293" s="56" t="str">
        <f aca="false">IF($W293="","",N(INDEX(发票统计!K$4:K$1003,$W293)))</f>
        <v/>
      </c>
      <c r="L293" s="56" t="str">
        <f aca="false">IF($W293="","",SUM(J$4:J293)-SUM(K$4:K293))</f>
        <v/>
      </c>
      <c r="M293" s="56" t="str">
        <f aca="false">IF($W293="","",N(INDEX(发票统计!M$4:M$1003,$W293)))</f>
        <v/>
      </c>
      <c r="N293" s="56" t="str">
        <f aca="false">IF($W293="","",N(INDEX(发票统计!N$4:N$1003,$W293)))</f>
        <v/>
      </c>
      <c r="O293" s="56" t="str">
        <f aca="false">IF($W293="","",N(INDEX(发票统计!O$4:O$1003,$W293)))</f>
        <v/>
      </c>
      <c r="P293" s="56" t="str">
        <f aca="false">IF($W293="","",SUM(M$4:M293)-SUM(N$4:N293)-SUM(O$4:O293))</f>
        <v/>
      </c>
      <c r="Q293" s="56" t="str">
        <f aca="false">IF($W293="","",N(INDEX(发票统计!Q$4:Q$1003,$W293)))</f>
        <v/>
      </c>
      <c r="R293" s="56" t="str">
        <f aca="false">IF($W293="","",N(INDEX(发票统计!R$4:R$1003,$W293)))</f>
        <v/>
      </c>
      <c r="S293" s="56" t="str">
        <f aca="false">IF($W293="","",N(INDEX(发票统计!S$4:S$1003,$W293)))</f>
        <v/>
      </c>
      <c r="T293" s="56" t="str">
        <f aca="false">IF($W293="","",SUM(Q$4:Q293)-SUM(R$4:R293)-SUM(S$4:S293))</f>
        <v/>
      </c>
      <c r="U293" s="56" t="str">
        <f aca="false">IF($W293="","",INDEX(发票统计!U$4:U$1003,$W293)&amp;"")</f>
        <v/>
      </c>
      <c r="W293" s="1" t="str">
        <f aca="false">IF($V$3="","",IFERROR(MATCH($V$3&amp;"#"&amp;ROWS(W$4:W293),发票统计!$W$4:$W$1003,0),""))</f>
        <v/>
      </c>
    </row>
    <row r="294" customFormat="false" ht="16.5" hidden="false" customHeight="false" outlineLevel="0" collapsed="false">
      <c r="A294" s="3" t="str">
        <f aca="false">IF($W294="","",INDEX(发票统计!A$4:A$1003,$W294)&amp;"")</f>
        <v/>
      </c>
      <c r="B294" s="3" t="str">
        <f aca="false">IF($W294="","",INDEX(发票统计!B$4:B$1003,$W294)&amp;"")</f>
        <v/>
      </c>
      <c r="C294" s="3" t="str">
        <f aca="false">IF($W294="","",INDEX(发票统计!C$4:C$1003,$W294)&amp;"")</f>
        <v/>
      </c>
      <c r="D294" s="3" t="str">
        <f aca="false">IF($W294="","",INDEX(发票统计!D$4:D$1003,$W294)&amp;"")</f>
        <v/>
      </c>
      <c r="E294" s="67" t="str">
        <f aca="false">IF($W294="","",INDEX(发票统计!E$4:E$1003,$W294)&amp;"")</f>
        <v/>
      </c>
      <c r="F294" s="68" t="str">
        <f aca="false">IF($W294="","",INDEX(发票统计!F$4:F$1003,$W294)&amp;"")</f>
        <v/>
      </c>
      <c r="G294" s="68" t="str">
        <f aca="false">IF($W294="","",IF(INDEX(发票统计!G$4:G$1003,$W294)="","",INDEX(发票统计!G$4:G$1003,$W294)))</f>
        <v/>
      </c>
      <c r="H294" s="56" t="str">
        <f aca="false">IF($W294="","",N(INDEX(发票统计!H$4:H$1003,$W294)))</f>
        <v/>
      </c>
      <c r="I294" s="56" t="str">
        <f aca="false">IF($W294="","",N(INDEX(发票统计!I$4:I$1003,$W294)))</f>
        <v/>
      </c>
      <c r="J294" s="56" t="str">
        <f aca="false">IF($W294="","",N(INDEX(发票统计!J$4:J$1003,$W294)))</f>
        <v/>
      </c>
      <c r="K294" s="56" t="str">
        <f aca="false">IF($W294="","",N(INDEX(发票统计!K$4:K$1003,$W294)))</f>
        <v/>
      </c>
      <c r="L294" s="56" t="str">
        <f aca="false">IF($W294="","",SUM(J$4:J294)-SUM(K$4:K294))</f>
        <v/>
      </c>
      <c r="M294" s="56" t="str">
        <f aca="false">IF($W294="","",N(INDEX(发票统计!M$4:M$1003,$W294)))</f>
        <v/>
      </c>
      <c r="N294" s="56" t="str">
        <f aca="false">IF($W294="","",N(INDEX(发票统计!N$4:N$1003,$W294)))</f>
        <v/>
      </c>
      <c r="O294" s="56" t="str">
        <f aca="false">IF($W294="","",N(INDEX(发票统计!O$4:O$1003,$W294)))</f>
        <v/>
      </c>
      <c r="P294" s="56" t="str">
        <f aca="false">IF($W294="","",SUM(M$4:M294)-SUM(N$4:N294)-SUM(O$4:O294))</f>
        <v/>
      </c>
      <c r="Q294" s="56" t="str">
        <f aca="false">IF($W294="","",N(INDEX(发票统计!Q$4:Q$1003,$W294)))</f>
        <v/>
      </c>
      <c r="R294" s="56" t="str">
        <f aca="false">IF($W294="","",N(INDEX(发票统计!R$4:R$1003,$W294)))</f>
        <v/>
      </c>
      <c r="S294" s="56" t="str">
        <f aca="false">IF($W294="","",N(INDEX(发票统计!S$4:S$1003,$W294)))</f>
        <v/>
      </c>
      <c r="T294" s="56" t="str">
        <f aca="false">IF($W294="","",SUM(Q$4:Q294)-SUM(R$4:R294)-SUM(S$4:S294))</f>
        <v/>
      </c>
      <c r="U294" s="56" t="str">
        <f aca="false">IF($W294="","",INDEX(发票统计!U$4:U$1003,$W294)&amp;"")</f>
        <v/>
      </c>
      <c r="W294" s="1" t="str">
        <f aca="false">IF($V$3="","",IFERROR(MATCH($V$3&amp;"#"&amp;ROWS(W$4:W294),发票统计!$W$4:$W$1003,0),""))</f>
        <v/>
      </c>
    </row>
    <row r="295" customFormat="false" ht="16.5" hidden="false" customHeight="false" outlineLevel="0" collapsed="false">
      <c r="A295" s="3" t="str">
        <f aca="false">IF($W295="","",INDEX(发票统计!A$4:A$1003,$W295)&amp;"")</f>
        <v/>
      </c>
      <c r="B295" s="3" t="str">
        <f aca="false">IF($W295="","",INDEX(发票统计!B$4:B$1003,$W295)&amp;"")</f>
        <v/>
      </c>
      <c r="C295" s="3" t="str">
        <f aca="false">IF($W295="","",INDEX(发票统计!C$4:C$1003,$W295)&amp;"")</f>
        <v/>
      </c>
      <c r="D295" s="3" t="str">
        <f aca="false">IF($W295="","",INDEX(发票统计!D$4:D$1003,$W295)&amp;"")</f>
        <v/>
      </c>
      <c r="E295" s="67" t="str">
        <f aca="false">IF($W295="","",INDEX(发票统计!E$4:E$1003,$W295)&amp;"")</f>
        <v/>
      </c>
      <c r="F295" s="68" t="str">
        <f aca="false">IF($W295="","",INDEX(发票统计!F$4:F$1003,$W295)&amp;"")</f>
        <v/>
      </c>
      <c r="G295" s="68" t="str">
        <f aca="false">IF($W295="","",IF(INDEX(发票统计!G$4:G$1003,$W295)="","",INDEX(发票统计!G$4:G$1003,$W295)))</f>
        <v/>
      </c>
      <c r="H295" s="56" t="str">
        <f aca="false">IF($W295="","",N(INDEX(发票统计!H$4:H$1003,$W295)))</f>
        <v/>
      </c>
      <c r="I295" s="56" t="str">
        <f aca="false">IF($W295="","",N(INDEX(发票统计!I$4:I$1003,$W295)))</f>
        <v/>
      </c>
      <c r="J295" s="56" t="str">
        <f aca="false">IF($W295="","",N(INDEX(发票统计!J$4:J$1003,$W295)))</f>
        <v/>
      </c>
      <c r="K295" s="56" t="str">
        <f aca="false">IF($W295="","",N(INDEX(发票统计!K$4:K$1003,$W295)))</f>
        <v/>
      </c>
      <c r="L295" s="56" t="str">
        <f aca="false">IF($W295="","",SUM(J$4:J295)-SUM(K$4:K295))</f>
        <v/>
      </c>
      <c r="M295" s="56" t="str">
        <f aca="false">IF($W295="","",N(INDEX(发票统计!M$4:M$1003,$W295)))</f>
        <v/>
      </c>
      <c r="N295" s="56" t="str">
        <f aca="false">IF($W295="","",N(INDEX(发票统计!N$4:N$1003,$W295)))</f>
        <v/>
      </c>
      <c r="O295" s="56" t="str">
        <f aca="false">IF($W295="","",N(INDEX(发票统计!O$4:O$1003,$W295)))</f>
        <v/>
      </c>
      <c r="P295" s="56" t="str">
        <f aca="false">IF($W295="","",SUM(M$4:M295)-SUM(N$4:N295)-SUM(O$4:O295))</f>
        <v/>
      </c>
      <c r="Q295" s="56" t="str">
        <f aca="false">IF($W295="","",N(INDEX(发票统计!Q$4:Q$1003,$W295)))</f>
        <v/>
      </c>
      <c r="R295" s="56" t="str">
        <f aca="false">IF($W295="","",N(INDEX(发票统计!R$4:R$1003,$W295)))</f>
        <v/>
      </c>
      <c r="S295" s="56" t="str">
        <f aca="false">IF($W295="","",N(INDEX(发票统计!S$4:S$1003,$W295)))</f>
        <v/>
      </c>
      <c r="T295" s="56" t="str">
        <f aca="false">IF($W295="","",SUM(Q$4:Q295)-SUM(R$4:R295)-SUM(S$4:S295))</f>
        <v/>
      </c>
      <c r="U295" s="56" t="str">
        <f aca="false">IF($W295="","",INDEX(发票统计!U$4:U$1003,$W295)&amp;"")</f>
        <v/>
      </c>
      <c r="W295" s="1" t="str">
        <f aca="false">IF($V$3="","",IFERROR(MATCH($V$3&amp;"#"&amp;ROWS(W$4:W295),发票统计!$W$4:$W$1003,0),""))</f>
        <v/>
      </c>
    </row>
    <row r="296" customFormat="false" ht="16.5" hidden="false" customHeight="false" outlineLevel="0" collapsed="false">
      <c r="A296" s="3" t="str">
        <f aca="false">IF($W296="","",INDEX(发票统计!A$4:A$1003,$W296)&amp;"")</f>
        <v/>
      </c>
      <c r="B296" s="3" t="str">
        <f aca="false">IF($W296="","",INDEX(发票统计!B$4:B$1003,$W296)&amp;"")</f>
        <v/>
      </c>
      <c r="C296" s="3" t="str">
        <f aca="false">IF($W296="","",INDEX(发票统计!C$4:C$1003,$W296)&amp;"")</f>
        <v/>
      </c>
      <c r="D296" s="3" t="str">
        <f aca="false">IF($W296="","",INDEX(发票统计!D$4:D$1003,$W296)&amp;"")</f>
        <v/>
      </c>
      <c r="E296" s="67" t="str">
        <f aca="false">IF($W296="","",INDEX(发票统计!E$4:E$1003,$W296)&amp;"")</f>
        <v/>
      </c>
      <c r="F296" s="68" t="str">
        <f aca="false">IF($W296="","",INDEX(发票统计!F$4:F$1003,$W296)&amp;"")</f>
        <v/>
      </c>
      <c r="G296" s="68" t="str">
        <f aca="false">IF($W296="","",IF(INDEX(发票统计!G$4:G$1003,$W296)="","",INDEX(发票统计!G$4:G$1003,$W296)))</f>
        <v/>
      </c>
      <c r="H296" s="56" t="str">
        <f aca="false">IF($W296="","",N(INDEX(发票统计!H$4:H$1003,$W296)))</f>
        <v/>
      </c>
      <c r="I296" s="56" t="str">
        <f aca="false">IF($W296="","",N(INDEX(发票统计!I$4:I$1003,$W296)))</f>
        <v/>
      </c>
      <c r="J296" s="56" t="str">
        <f aca="false">IF($W296="","",N(INDEX(发票统计!J$4:J$1003,$W296)))</f>
        <v/>
      </c>
      <c r="K296" s="56" t="str">
        <f aca="false">IF($W296="","",N(INDEX(发票统计!K$4:K$1003,$W296)))</f>
        <v/>
      </c>
      <c r="L296" s="56" t="str">
        <f aca="false">IF($W296="","",SUM(J$4:J296)-SUM(K$4:K296))</f>
        <v/>
      </c>
      <c r="M296" s="56" t="str">
        <f aca="false">IF($W296="","",N(INDEX(发票统计!M$4:M$1003,$W296)))</f>
        <v/>
      </c>
      <c r="N296" s="56" t="str">
        <f aca="false">IF($W296="","",N(INDEX(发票统计!N$4:N$1003,$W296)))</f>
        <v/>
      </c>
      <c r="O296" s="56" t="str">
        <f aca="false">IF($W296="","",N(INDEX(发票统计!O$4:O$1003,$W296)))</f>
        <v/>
      </c>
      <c r="P296" s="56" t="str">
        <f aca="false">IF($W296="","",SUM(M$4:M296)-SUM(N$4:N296)-SUM(O$4:O296))</f>
        <v/>
      </c>
      <c r="Q296" s="56" t="str">
        <f aca="false">IF($W296="","",N(INDEX(发票统计!Q$4:Q$1003,$W296)))</f>
        <v/>
      </c>
      <c r="R296" s="56" t="str">
        <f aca="false">IF($W296="","",N(INDEX(发票统计!R$4:R$1003,$W296)))</f>
        <v/>
      </c>
      <c r="S296" s="56" t="str">
        <f aca="false">IF($W296="","",N(INDEX(发票统计!S$4:S$1003,$W296)))</f>
        <v/>
      </c>
      <c r="T296" s="56" t="str">
        <f aca="false">IF($W296="","",SUM(Q$4:Q296)-SUM(R$4:R296)-SUM(S$4:S296))</f>
        <v/>
      </c>
      <c r="U296" s="56" t="str">
        <f aca="false">IF($W296="","",INDEX(发票统计!U$4:U$1003,$W296)&amp;"")</f>
        <v/>
      </c>
      <c r="W296" s="1" t="str">
        <f aca="false">IF($V$3="","",IFERROR(MATCH($V$3&amp;"#"&amp;ROWS(W$4:W296),发票统计!$W$4:$W$1003,0),""))</f>
        <v/>
      </c>
    </row>
    <row r="297" customFormat="false" ht="16.5" hidden="false" customHeight="false" outlineLevel="0" collapsed="false">
      <c r="A297" s="3" t="str">
        <f aca="false">IF($W297="","",INDEX(发票统计!A$4:A$1003,$W297)&amp;"")</f>
        <v/>
      </c>
      <c r="B297" s="3" t="str">
        <f aca="false">IF($W297="","",INDEX(发票统计!B$4:B$1003,$W297)&amp;"")</f>
        <v/>
      </c>
      <c r="C297" s="3" t="str">
        <f aca="false">IF($W297="","",INDEX(发票统计!C$4:C$1003,$W297)&amp;"")</f>
        <v/>
      </c>
      <c r="D297" s="3" t="str">
        <f aca="false">IF($W297="","",INDEX(发票统计!D$4:D$1003,$W297)&amp;"")</f>
        <v/>
      </c>
      <c r="E297" s="67" t="str">
        <f aca="false">IF($W297="","",INDEX(发票统计!E$4:E$1003,$W297)&amp;"")</f>
        <v/>
      </c>
      <c r="F297" s="68" t="str">
        <f aca="false">IF($W297="","",INDEX(发票统计!F$4:F$1003,$W297)&amp;"")</f>
        <v/>
      </c>
      <c r="G297" s="68" t="str">
        <f aca="false">IF($W297="","",IF(INDEX(发票统计!G$4:G$1003,$W297)="","",INDEX(发票统计!G$4:G$1003,$W297)))</f>
        <v/>
      </c>
      <c r="H297" s="56" t="str">
        <f aca="false">IF($W297="","",N(INDEX(发票统计!H$4:H$1003,$W297)))</f>
        <v/>
      </c>
      <c r="I297" s="56" t="str">
        <f aca="false">IF($W297="","",N(INDEX(发票统计!I$4:I$1003,$W297)))</f>
        <v/>
      </c>
      <c r="J297" s="56" t="str">
        <f aca="false">IF($W297="","",N(INDEX(发票统计!J$4:J$1003,$W297)))</f>
        <v/>
      </c>
      <c r="K297" s="56" t="str">
        <f aca="false">IF($W297="","",N(INDEX(发票统计!K$4:K$1003,$W297)))</f>
        <v/>
      </c>
      <c r="L297" s="56" t="str">
        <f aca="false">IF($W297="","",SUM(J$4:J297)-SUM(K$4:K297))</f>
        <v/>
      </c>
      <c r="M297" s="56" t="str">
        <f aca="false">IF($W297="","",N(INDEX(发票统计!M$4:M$1003,$W297)))</f>
        <v/>
      </c>
      <c r="N297" s="56" t="str">
        <f aca="false">IF($W297="","",N(INDEX(发票统计!N$4:N$1003,$W297)))</f>
        <v/>
      </c>
      <c r="O297" s="56" t="str">
        <f aca="false">IF($W297="","",N(INDEX(发票统计!O$4:O$1003,$W297)))</f>
        <v/>
      </c>
      <c r="P297" s="56" t="str">
        <f aca="false">IF($W297="","",SUM(M$4:M297)-SUM(N$4:N297)-SUM(O$4:O297))</f>
        <v/>
      </c>
      <c r="Q297" s="56" t="str">
        <f aca="false">IF($W297="","",N(INDEX(发票统计!Q$4:Q$1003,$W297)))</f>
        <v/>
      </c>
      <c r="R297" s="56" t="str">
        <f aca="false">IF($W297="","",N(INDEX(发票统计!R$4:R$1003,$W297)))</f>
        <v/>
      </c>
      <c r="S297" s="56" t="str">
        <f aca="false">IF($W297="","",N(INDEX(发票统计!S$4:S$1003,$W297)))</f>
        <v/>
      </c>
      <c r="T297" s="56" t="str">
        <f aca="false">IF($W297="","",SUM(Q$4:Q297)-SUM(R$4:R297)-SUM(S$4:S297))</f>
        <v/>
      </c>
      <c r="U297" s="56" t="str">
        <f aca="false">IF($W297="","",INDEX(发票统计!U$4:U$1003,$W297)&amp;"")</f>
        <v/>
      </c>
      <c r="W297" s="1" t="str">
        <f aca="false">IF($V$3="","",IFERROR(MATCH($V$3&amp;"#"&amp;ROWS(W$4:W297),发票统计!$W$4:$W$1003,0),""))</f>
        <v/>
      </c>
    </row>
    <row r="298" customFormat="false" ht="16.5" hidden="false" customHeight="false" outlineLevel="0" collapsed="false">
      <c r="A298" s="3" t="str">
        <f aca="false">IF($W298="","",INDEX(发票统计!A$4:A$1003,$W298)&amp;"")</f>
        <v/>
      </c>
      <c r="B298" s="3" t="str">
        <f aca="false">IF($W298="","",INDEX(发票统计!B$4:B$1003,$W298)&amp;"")</f>
        <v/>
      </c>
      <c r="C298" s="3" t="str">
        <f aca="false">IF($W298="","",INDEX(发票统计!C$4:C$1003,$W298)&amp;"")</f>
        <v/>
      </c>
      <c r="D298" s="3" t="str">
        <f aca="false">IF($W298="","",INDEX(发票统计!D$4:D$1003,$W298)&amp;"")</f>
        <v/>
      </c>
      <c r="E298" s="67" t="str">
        <f aca="false">IF($W298="","",INDEX(发票统计!E$4:E$1003,$W298)&amp;"")</f>
        <v/>
      </c>
      <c r="F298" s="68" t="str">
        <f aca="false">IF($W298="","",INDEX(发票统计!F$4:F$1003,$W298)&amp;"")</f>
        <v/>
      </c>
      <c r="G298" s="68" t="str">
        <f aca="false">IF($W298="","",IF(INDEX(发票统计!G$4:G$1003,$W298)="","",INDEX(发票统计!G$4:G$1003,$W298)))</f>
        <v/>
      </c>
      <c r="H298" s="56" t="str">
        <f aca="false">IF($W298="","",N(INDEX(发票统计!H$4:H$1003,$W298)))</f>
        <v/>
      </c>
      <c r="I298" s="56" t="str">
        <f aca="false">IF($W298="","",N(INDEX(发票统计!I$4:I$1003,$W298)))</f>
        <v/>
      </c>
      <c r="J298" s="56" t="str">
        <f aca="false">IF($W298="","",N(INDEX(发票统计!J$4:J$1003,$W298)))</f>
        <v/>
      </c>
      <c r="K298" s="56" t="str">
        <f aca="false">IF($W298="","",N(INDEX(发票统计!K$4:K$1003,$W298)))</f>
        <v/>
      </c>
      <c r="L298" s="56" t="str">
        <f aca="false">IF($W298="","",SUM(J$4:J298)-SUM(K$4:K298))</f>
        <v/>
      </c>
      <c r="M298" s="56" t="str">
        <f aca="false">IF($W298="","",N(INDEX(发票统计!M$4:M$1003,$W298)))</f>
        <v/>
      </c>
      <c r="N298" s="56" t="str">
        <f aca="false">IF($W298="","",N(INDEX(发票统计!N$4:N$1003,$W298)))</f>
        <v/>
      </c>
      <c r="O298" s="56" t="str">
        <f aca="false">IF($W298="","",N(INDEX(发票统计!O$4:O$1003,$W298)))</f>
        <v/>
      </c>
      <c r="P298" s="56" t="str">
        <f aca="false">IF($W298="","",SUM(M$4:M298)-SUM(N$4:N298)-SUM(O$4:O298))</f>
        <v/>
      </c>
      <c r="Q298" s="56" t="str">
        <f aca="false">IF($W298="","",N(INDEX(发票统计!Q$4:Q$1003,$W298)))</f>
        <v/>
      </c>
      <c r="R298" s="56" t="str">
        <f aca="false">IF($W298="","",N(INDEX(发票统计!R$4:R$1003,$W298)))</f>
        <v/>
      </c>
      <c r="S298" s="56" t="str">
        <f aca="false">IF($W298="","",N(INDEX(发票统计!S$4:S$1003,$W298)))</f>
        <v/>
      </c>
      <c r="T298" s="56" t="str">
        <f aca="false">IF($W298="","",SUM(Q$4:Q298)-SUM(R$4:R298)-SUM(S$4:S298))</f>
        <v/>
      </c>
      <c r="U298" s="56" t="str">
        <f aca="false">IF($W298="","",INDEX(发票统计!U$4:U$1003,$W298)&amp;"")</f>
        <v/>
      </c>
      <c r="W298" s="1" t="str">
        <f aca="false">IF($V$3="","",IFERROR(MATCH($V$3&amp;"#"&amp;ROWS(W$4:W298),发票统计!$W$4:$W$1003,0),""))</f>
        <v/>
      </c>
    </row>
    <row r="299" customFormat="false" ht="16.5" hidden="false" customHeight="false" outlineLevel="0" collapsed="false">
      <c r="A299" s="3" t="str">
        <f aca="false">IF($W299="","",INDEX(发票统计!A$4:A$1003,$W299)&amp;"")</f>
        <v/>
      </c>
      <c r="B299" s="3" t="str">
        <f aca="false">IF($W299="","",INDEX(发票统计!B$4:B$1003,$W299)&amp;"")</f>
        <v/>
      </c>
      <c r="C299" s="3" t="str">
        <f aca="false">IF($W299="","",INDEX(发票统计!C$4:C$1003,$W299)&amp;"")</f>
        <v/>
      </c>
      <c r="D299" s="3" t="str">
        <f aca="false">IF($W299="","",INDEX(发票统计!D$4:D$1003,$W299)&amp;"")</f>
        <v/>
      </c>
      <c r="E299" s="67" t="str">
        <f aca="false">IF($W299="","",INDEX(发票统计!E$4:E$1003,$W299)&amp;"")</f>
        <v/>
      </c>
      <c r="F299" s="68" t="str">
        <f aca="false">IF($W299="","",INDEX(发票统计!F$4:F$1003,$W299)&amp;"")</f>
        <v/>
      </c>
      <c r="G299" s="68" t="str">
        <f aca="false">IF($W299="","",IF(INDEX(发票统计!G$4:G$1003,$W299)="","",INDEX(发票统计!G$4:G$1003,$W299)))</f>
        <v/>
      </c>
      <c r="H299" s="56" t="str">
        <f aca="false">IF($W299="","",N(INDEX(发票统计!H$4:H$1003,$W299)))</f>
        <v/>
      </c>
      <c r="I299" s="56" t="str">
        <f aca="false">IF($W299="","",N(INDEX(发票统计!I$4:I$1003,$W299)))</f>
        <v/>
      </c>
      <c r="J299" s="56" t="str">
        <f aca="false">IF($W299="","",N(INDEX(发票统计!J$4:J$1003,$W299)))</f>
        <v/>
      </c>
      <c r="K299" s="56" t="str">
        <f aca="false">IF($W299="","",N(INDEX(发票统计!K$4:K$1003,$W299)))</f>
        <v/>
      </c>
      <c r="L299" s="56" t="str">
        <f aca="false">IF($W299="","",SUM(J$4:J299)-SUM(K$4:K299))</f>
        <v/>
      </c>
      <c r="M299" s="56" t="str">
        <f aca="false">IF($W299="","",N(INDEX(发票统计!M$4:M$1003,$W299)))</f>
        <v/>
      </c>
      <c r="N299" s="56" t="str">
        <f aca="false">IF($W299="","",N(INDEX(发票统计!N$4:N$1003,$W299)))</f>
        <v/>
      </c>
      <c r="O299" s="56" t="str">
        <f aca="false">IF($W299="","",N(INDEX(发票统计!O$4:O$1003,$W299)))</f>
        <v/>
      </c>
      <c r="P299" s="56" t="str">
        <f aca="false">IF($W299="","",SUM(M$4:M299)-SUM(N$4:N299)-SUM(O$4:O299))</f>
        <v/>
      </c>
      <c r="Q299" s="56" t="str">
        <f aca="false">IF($W299="","",N(INDEX(发票统计!Q$4:Q$1003,$W299)))</f>
        <v/>
      </c>
      <c r="R299" s="56" t="str">
        <f aca="false">IF($W299="","",N(INDEX(发票统计!R$4:R$1003,$W299)))</f>
        <v/>
      </c>
      <c r="S299" s="56" t="str">
        <f aca="false">IF($W299="","",N(INDEX(发票统计!S$4:S$1003,$W299)))</f>
        <v/>
      </c>
      <c r="T299" s="56" t="str">
        <f aca="false">IF($W299="","",SUM(Q$4:Q299)-SUM(R$4:R299)-SUM(S$4:S299))</f>
        <v/>
      </c>
      <c r="U299" s="56" t="str">
        <f aca="false">IF($W299="","",INDEX(发票统计!U$4:U$1003,$W299)&amp;"")</f>
        <v/>
      </c>
      <c r="W299" s="1" t="str">
        <f aca="false">IF($V$3="","",IFERROR(MATCH($V$3&amp;"#"&amp;ROWS(W$4:W299),发票统计!$W$4:$W$1003,0),""))</f>
        <v/>
      </c>
    </row>
    <row r="300" customFormat="false" ht="16.5" hidden="false" customHeight="false" outlineLevel="0" collapsed="false">
      <c r="A300" s="3" t="str">
        <f aca="false">IF($W300="","",INDEX(发票统计!A$4:A$1003,$W300)&amp;"")</f>
        <v/>
      </c>
      <c r="B300" s="3" t="str">
        <f aca="false">IF($W300="","",INDEX(发票统计!B$4:B$1003,$W300)&amp;"")</f>
        <v/>
      </c>
      <c r="C300" s="3" t="str">
        <f aca="false">IF($W300="","",INDEX(发票统计!C$4:C$1003,$W300)&amp;"")</f>
        <v/>
      </c>
      <c r="D300" s="3" t="str">
        <f aca="false">IF($W300="","",INDEX(发票统计!D$4:D$1003,$W300)&amp;"")</f>
        <v/>
      </c>
      <c r="E300" s="67" t="str">
        <f aca="false">IF($W300="","",INDEX(发票统计!E$4:E$1003,$W300)&amp;"")</f>
        <v/>
      </c>
      <c r="F300" s="68" t="str">
        <f aca="false">IF($W300="","",INDEX(发票统计!F$4:F$1003,$W300)&amp;"")</f>
        <v/>
      </c>
      <c r="G300" s="68" t="str">
        <f aca="false">IF($W300="","",IF(INDEX(发票统计!G$4:G$1003,$W300)="","",INDEX(发票统计!G$4:G$1003,$W300)))</f>
        <v/>
      </c>
      <c r="H300" s="56" t="str">
        <f aca="false">IF($W300="","",N(INDEX(发票统计!H$4:H$1003,$W300)))</f>
        <v/>
      </c>
      <c r="I300" s="56" t="str">
        <f aca="false">IF($W300="","",N(INDEX(发票统计!I$4:I$1003,$W300)))</f>
        <v/>
      </c>
      <c r="J300" s="56" t="str">
        <f aca="false">IF($W300="","",N(INDEX(发票统计!J$4:J$1003,$W300)))</f>
        <v/>
      </c>
      <c r="K300" s="56" t="str">
        <f aca="false">IF($W300="","",N(INDEX(发票统计!K$4:K$1003,$W300)))</f>
        <v/>
      </c>
      <c r="L300" s="56" t="str">
        <f aca="false">IF($W300="","",SUM(J$4:J300)-SUM(K$4:K300))</f>
        <v/>
      </c>
      <c r="M300" s="56" t="str">
        <f aca="false">IF($W300="","",N(INDEX(发票统计!M$4:M$1003,$W300)))</f>
        <v/>
      </c>
      <c r="N300" s="56" t="str">
        <f aca="false">IF($W300="","",N(INDEX(发票统计!N$4:N$1003,$W300)))</f>
        <v/>
      </c>
      <c r="O300" s="56" t="str">
        <f aca="false">IF($W300="","",N(INDEX(发票统计!O$4:O$1003,$W300)))</f>
        <v/>
      </c>
      <c r="P300" s="56" t="str">
        <f aca="false">IF($W300="","",SUM(M$4:M300)-SUM(N$4:N300)-SUM(O$4:O300))</f>
        <v/>
      </c>
      <c r="Q300" s="56" t="str">
        <f aca="false">IF($W300="","",N(INDEX(发票统计!Q$4:Q$1003,$W300)))</f>
        <v/>
      </c>
      <c r="R300" s="56" t="str">
        <f aca="false">IF($W300="","",N(INDEX(发票统计!R$4:R$1003,$W300)))</f>
        <v/>
      </c>
      <c r="S300" s="56" t="str">
        <f aca="false">IF($W300="","",N(INDEX(发票统计!S$4:S$1003,$W300)))</f>
        <v/>
      </c>
      <c r="T300" s="56" t="str">
        <f aca="false">IF($W300="","",SUM(Q$4:Q300)-SUM(R$4:R300)-SUM(S$4:S300))</f>
        <v/>
      </c>
      <c r="U300" s="56" t="str">
        <f aca="false">IF($W300="","",INDEX(发票统计!U$4:U$1003,$W300)&amp;"")</f>
        <v/>
      </c>
      <c r="W300" s="1" t="str">
        <f aca="false">IF($V$3="","",IFERROR(MATCH($V$3&amp;"#"&amp;ROWS(W$4:W300),发票统计!$W$4:$W$1003,0),""))</f>
        <v/>
      </c>
    </row>
    <row r="301" customFormat="false" ht="16.5" hidden="false" customHeight="false" outlineLevel="0" collapsed="false">
      <c r="A301" s="3" t="str">
        <f aca="false">IF($W301="","",INDEX(发票统计!A$4:A$1003,$W301)&amp;"")</f>
        <v/>
      </c>
      <c r="B301" s="3" t="str">
        <f aca="false">IF($W301="","",INDEX(发票统计!B$4:B$1003,$W301)&amp;"")</f>
        <v/>
      </c>
      <c r="C301" s="3" t="str">
        <f aca="false">IF($W301="","",INDEX(发票统计!C$4:C$1003,$W301)&amp;"")</f>
        <v/>
      </c>
      <c r="D301" s="3" t="str">
        <f aca="false">IF($W301="","",INDEX(发票统计!D$4:D$1003,$W301)&amp;"")</f>
        <v/>
      </c>
      <c r="E301" s="67" t="str">
        <f aca="false">IF($W301="","",INDEX(发票统计!E$4:E$1003,$W301)&amp;"")</f>
        <v/>
      </c>
      <c r="F301" s="68" t="str">
        <f aca="false">IF($W301="","",INDEX(发票统计!F$4:F$1003,$W301)&amp;"")</f>
        <v/>
      </c>
      <c r="G301" s="68" t="str">
        <f aca="false">IF($W301="","",IF(INDEX(发票统计!G$4:G$1003,$W301)="","",INDEX(发票统计!G$4:G$1003,$W301)))</f>
        <v/>
      </c>
      <c r="H301" s="56" t="str">
        <f aca="false">IF($W301="","",N(INDEX(发票统计!H$4:H$1003,$W301)))</f>
        <v/>
      </c>
      <c r="I301" s="56" t="str">
        <f aca="false">IF($W301="","",N(INDEX(发票统计!I$4:I$1003,$W301)))</f>
        <v/>
      </c>
      <c r="J301" s="56" t="str">
        <f aca="false">IF($W301="","",N(INDEX(发票统计!J$4:J$1003,$W301)))</f>
        <v/>
      </c>
      <c r="K301" s="56" t="str">
        <f aca="false">IF($W301="","",N(INDEX(发票统计!K$4:K$1003,$W301)))</f>
        <v/>
      </c>
      <c r="L301" s="56" t="str">
        <f aca="false">IF($W301="","",SUM(J$4:J301)-SUM(K$4:K301))</f>
        <v/>
      </c>
      <c r="M301" s="56" t="str">
        <f aca="false">IF($W301="","",N(INDEX(发票统计!M$4:M$1003,$W301)))</f>
        <v/>
      </c>
      <c r="N301" s="56" t="str">
        <f aca="false">IF($W301="","",N(INDEX(发票统计!N$4:N$1003,$W301)))</f>
        <v/>
      </c>
      <c r="O301" s="56" t="str">
        <f aca="false">IF($W301="","",N(INDEX(发票统计!O$4:O$1003,$W301)))</f>
        <v/>
      </c>
      <c r="P301" s="56" t="str">
        <f aca="false">IF($W301="","",SUM(M$4:M301)-SUM(N$4:N301)-SUM(O$4:O301))</f>
        <v/>
      </c>
      <c r="Q301" s="56" t="str">
        <f aca="false">IF($W301="","",N(INDEX(发票统计!Q$4:Q$1003,$W301)))</f>
        <v/>
      </c>
      <c r="R301" s="56" t="str">
        <f aca="false">IF($W301="","",N(INDEX(发票统计!R$4:R$1003,$W301)))</f>
        <v/>
      </c>
      <c r="S301" s="56" t="str">
        <f aca="false">IF($W301="","",N(INDEX(发票统计!S$4:S$1003,$W301)))</f>
        <v/>
      </c>
      <c r="T301" s="56" t="str">
        <f aca="false">IF($W301="","",SUM(Q$4:Q301)-SUM(R$4:R301)-SUM(S$4:S301))</f>
        <v/>
      </c>
      <c r="U301" s="56" t="str">
        <f aca="false">IF($W301="","",INDEX(发票统计!U$4:U$1003,$W301)&amp;"")</f>
        <v/>
      </c>
      <c r="W301" s="1" t="str">
        <f aca="false">IF($V$3="","",IFERROR(MATCH($V$3&amp;"#"&amp;ROWS(W$4:W301),发票统计!$W$4:$W$1003,0),""))</f>
        <v/>
      </c>
    </row>
    <row r="302" customFormat="false" ht="16.5" hidden="false" customHeight="false" outlineLevel="0" collapsed="false">
      <c r="A302" s="3" t="str">
        <f aca="false">IF($W302="","",INDEX(发票统计!A$4:A$1003,$W302)&amp;"")</f>
        <v/>
      </c>
      <c r="B302" s="3" t="str">
        <f aca="false">IF($W302="","",INDEX(发票统计!B$4:B$1003,$W302)&amp;"")</f>
        <v/>
      </c>
      <c r="C302" s="3" t="str">
        <f aca="false">IF($W302="","",INDEX(发票统计!C$4:C$1003,$W302)&amp;"")</f>
        <v/>
      </c>
      <c r="D302" s="3" t="str">
        <f aca="false">IF($W302="","",INDEX(发票统计!D$4:D$1003,$W302)&amp;"")</f>
        <v/>
      </c>
      <c r="E302" s="67" t="str">
        <f aca="false">IF($W302="","",INDEX(发票统计!E$4:E$1003,$W302)&amp;"")</f>
        <v/>
      </c>
      <c r="F302" s="68" t="str">
        <f aca="false">IF($W302="","",INDEX(发票统计!F$4:F$1003,$W302)&amp;"")</f>
        <v/>
      </c>
      <c r="G302" s="68" t="str">
        <f aca="false">IF($W302="","",IF(INDEX(发票统计!G$4:G$1003,$W302)="","",INDEX(发票统计!G$4:G$1003,$W302)))</f>
        <v/>
      </c>
      <c r="H302" s="56" t="str">
        <f aca="false">IF($W302="","",N(INDEX(发票统计!H$4:H$1003,$W302)))</f>
        <v/>
      </c>
      <c r="I302" s="56" t="str">
        <f aca="false">IF($W302="","",N(INDEX(发票统计!I$4:I$1003,$W302)))</f>
        <v/>
      </c>
      <c r="J302" s="56" t="str">
        <f aca="false">IF($W302="","",N(INDEX(发票统计!J$4:J$1003,$W302)))</f>
        <v/>
      </c>
      <c r="K302" s="56" t="str">
        <f aca="false">IF($W302="","",N(INDEX(发票统计!K$4:K$1003,$W302)))</f>
        <v/>
      </c>
      <c r="L302" s="56" t="str">
        <f aca="false">IF($W302="","",SUM(J$4:J302)-SUM(K$4:K302))</f>
        <v/>
      </c>
      <c r="M302" s="56" t="str">
        <f aca="false">IF($W302="","",N(INDEX(发票统计!M$4:M$1003,$W302)))</f>
        <v/>
      </c>
      <c r="N302" s="56" t="str">
        <f aca="false">IF($W302="","",N(INDEX(发票统计!N$4:N$1003,$W302)))</f>
        <v/>
      </c>
      <c r="O302" s="56" t="str">
        <f aca="false">IF($W302="","",N(INDEX(发票统计!O$4:O$1003,$W302)))</f>
        <v/>
      </c>
      <c r="P302" s="56" t="str">
        <f aca="false">IF($W302="","",SUM(M$4:M302)-SUM(N$4:N302)-SUM(O$4:O302))</f>
        <v/>
      </c>
      <c r="Q302" s="56" t="str">
        <f aca="false">IF($W302="","",N(INDEX(发票统计!Q$4:Q$1003,$W302)))</f>
        <v/>
      </c>
      <c r="R302" s="56" t="str">
        <f aca="false">IF($W302="","",N(INDEX(发票统计!R$4:R$1003,$W302)))</f>
        <v/>
      </c>
      <c r="S302" s="56" t="str">
        <f aca="false">IF($W302="","",N(INDEX(发票统计!S$4:S$1003,$W302)))</f>
        <v/>
      </c>
      <c r="T302" s="56" t="str">
        <f aca="false">IF($W302="","",SUM(Q$4:Q302)-SUM(R$4:R302)-SUM(S$4:S302))</f>
        <v/>
      </c>
      <c r="U302" s="56" t="str">
        <f aca="false">IF($W302="","",INDEX(发票统计!U$4:U$1003,$W302)&amp;"")</f>
        <v/>
      </c>
      <c r="W302" s="1" t="str">
        <f aca="false">IF($V$3="","",IFERROR(MATCH($V$3&amp;"#"&amp;ROWS(W$4:W302),发票统计!$W$4:$W$1003,0),""))</f>
        <v/>
      </c>
    </row>
    <row r="303" customFormat="false" ht="16.5" hidden="false" customHeight="false" outlineLevel="0" collapsed="false">
      <c r="A303" s="3" t="str">
        <f aca="false">IF($W303="","",INDEX(发票统计!A$4:A$1003,$W303)&amp;"")</f>
        <v/>
      </c>
      <c r="B303" s="3" t="str">
        <f aca="false">IF($W303="","",INDEX(发票统计!B$4:B$1003,$W303)&amp;"")</f>
        <v/>
      </c>
      <c r="C303" s="3" t="str">
        <f aca="false">IF($W303="","",INDEX(发票统计!C$4:C$1003,$W303)&amp;"")</f>
        <v/>
      </c>
      <c r="D303" s="3" t="str">
        <f aca="false">IF($W303="","",INDEX(发票统计!D$4:D$1003,$W303)&amp;"")</f>
        <v/>
      </c>
      <c r="E303" s="67" t="str">
        <f aca="false">IF($W303="","",INDEX(发票统计!E$4:E$1003,$W303)&amp;"")</f>
        <v/>
      </c>
      <c r="F303" s="68" t="str">
        <f aca="false">IF($W303="","",INDEX(发票统计!F$4:F$1003,$W303)&amp;"")</f>
        <v/>
      </c>
      <c r="G303" s="68" t="str">
        <f aca="false">IF($W303="","",IF(INDEX(发票统计!G$4:G$1003,$W303)="","",INDEX(发票统计!G$4:G$1003,$W303)))</f>
        <v/>
      </c>
      <c r="H303" s="56" t="str">
        <f aca="false">IF($W303="","",N(INDEX(发票统计!H$4:H$1003,$W303)))</f>
        <v/>
      </c>
      <c r="I303" s="56" t="str">
        <f aca="false">IF($W303="","",N(INDEX(发票统计!I$4:I$1003,$W303)))</f>
        <v/>
      </c>
      <c r="J303" s="56" t="str">
        <f aca="false">IF($W303="","",N(INDEX(发票统计!J$4:J$1003,$W303)))</f>
        <v/>
      </c>
      <c r="K303" s="56" t="str">
        <f aca="false">IF($W303="","",N(INDEX(发票统计!K$4:K$1003,$W303)))</f>
        <v/>
      </c>
      <c r="L303" s="56" t="str">
        <f aca="false">IF($W303="","",SUM(J$4:J303)-SUM(K$4:K303))</f>
        <v/>
      </c>
      <c r="M303" s="56" t="str">
        <f aca="false">IF($W303="","",N(INDEX(发票统计!M$4:M$1003,$W303)))</f>
        <v/>
      </c>
      <c r="N303" s="56" t="str">
        <f aca="false">IF($W303="","",N(INDEX(发票统计!N$4:N$1003,$W303)))</f>
        <v/>
      </c>
      <c r="O303" s="56" t="str">
        <f aca="false">IF($W303="","",N(INDEX(发票统计!O$4:O$1003,$W303)))</f>
        <v/>
      </c>
      <c r="P303" s="56" t="str">
        <f aca="false">IF($W303="","",SUM(M$4:M303)-SUM(N$4:N303)-SUM(O$4:O303))</f>
        <v/>
      </c>
      <c r="Q303" s="56" t="str">
        <f aca="false">IF($W303="","",N(INDEX(发票统计!Q$4:Q$1003,$W303)))</f>
        <v/>
      </c>
      <c r="R303" s="56" t="str">
        <f aca="false">IF($W303="","",N(INDEX(发票统计!R$4:R$1003,$W303)))</f>
        <v/>
      </c>
      <c r="S303" s="56" t="str">
        <f aca="false">IF($W303="","",N(INDEX(发票统计!S$4:S$1003,$W303)))</f>
        <v/>
      </c>
      <c r="T303" s="56" t="str">
        <f aca="false">IF($W303="","",SUM(Q$4:Q303)-SUM(R$4:R303)-SUM(S$4:S303))</f>
        <v/>
      </c>
      <c r="U303" s="56" t="str">
        <f aca="false">IF($W303="","",INDEX(发票统计!U$4:U$1003,$W303)&amp;"")</f>
        <v/>
      </c>
      <c r="W303" s="1" t="str">
        <f aca="false">IF($V$3="","",IFERROR(MATCH($V$3&amp;"#"&amp;ROWS(W$4:W303),发票统计!$W$4:$W$1003,0),""))</f>
        <v/>
      </c>
    </row>
  </sheetData>
  <autoFilter ref="A2:V36"/>
  <mergeCells count="7">
    <mergeCell ref="A1:U1"/>
    <mergeCell ref="A2:A3"/>
    <mergeCell ref="B2:B3"/>
    <mergeCell ref="D2:D3"/>
    <mergeCell ref="E2:E3"/>
    <mergeCell ref="F2:F3"/>
    <mergeCell ref="G2:G3"/>
  </mergeCells>
  <conditionalFormatting sqref="V4">
    <cfRule type="expression" priority="2" aboveAverage="0" equalAverage="0" bottom="0" percent="0" rank="0" text="" dxfId="13">
      <formula>LEFT($V4,1)="⚠"</formula>
    </cfRule>
    <cfRule type="expression" priority="3" aboveAverage="0" equalAverage="0" bottom="0" percent="0" rank="0" text="" dxfId="14">
      <formula>LEFT($V4,1)="△"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5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58" width="3"/>
    <col collapsed="false" customWidth="true" hidden="false" outlineLevel="0" max="2" min="2" style="58" width="120"/>
  </cols>
  <sheetData>
    <row r="1" customFormat="false" ht="36" hidden="false" customHeight="true" outlineLevel="0" collapsed="false">
      <c r="B1" s="74" t="s">
        <v>155</v>
      </c>
    </row>
    <row r="3" customFormat="false" ht="16.4" hidden="false" customHeight="false" outlineLevel="0" collapsed="false">
      <c r="B3" s="75" t="s">
        <v>156</v>
      </c>
    </row>
    <row r="4" customFormat="false" ht="15" hidden="false" customHeight="false" outlineLevel="0" collapsed="false">
      <c r="B4" s="76" t="s">
        <v>157</v>
      </c>
    </row>
    <row r="5" customFormat="false" ht="15" hidden="false" customHeight="false" outlineLevel="0" collapsed="false">
      <c r="B5" s="76" t="s">
        <v>158</v>
      </c>
    </row>
    <row r="6" customFormat="false" ht="15" hidden="false" customHeight="false" outlineLevel="0" collapsed="false">
      <c r="B6" s="76" t="s">
        <v>159</v>
      </c>
    </row>
    <row r="7" customFormat="false" ht="15" hidden="false" customHeight="false" outlineLevel="0" collapsed="false">
      <c r="B7" s="76" t="s">
        <v>160</v>
      </c>
    </row>
    <row r="8" customFormat="false" ht="25.5" hidden="false" customHeight="true" outlineLevel="0" collapsed="false">
      <c r="B8" s="75" t="s">
        <v>161</v>
      </c>
    </row>
    <row r="9" customFormat="false" ht="28.35" hidden="false" customHeight="false" outlineLevel="0" collapsed="false">
      <c r="B9" s="76" t="s">
        <v>162</v>
      </c>
    </row>
    <row r="10" customFormat="false" ht="15" hidden="false" customHeight="false" outlineLevel="0" collapsed="false">
      <c r="B10" s="76" t="s">
        <v>163</v>
      </c>
    </row>
    <row r="11" customFormat="false" ht="15" hidden="false" customHeight="false" outlineLevel="0" collapsed="false">
      <c r="B11" s="76" t="s">
        <v>164</v>
      </c>
    </row>
    <row r="12" customFormat="false" ht="28.35" hidden="false" customHeight="false" outlineLevel="0" collapsed="false">
      <c r="B12" s="76" t="s">
        <v>165</v>
      </c>
    </row>
    <row r="13" customFormat="false" ht="28.35" hidden="false" customHeight="false" outlineLevel="0" collapsed="false">
      <c r="B13" s="76" t="s">
        <v>166</v>
      </c>
    </row>
    <row r="14" customFormat="false" ht="25.5" hidden="false" customHeight="true" outlineLevel="0" collapsed="false">
      <c r="B14" s="75" t="s">
        <v>167</v>
      </c>
    </row>
    <row r="15" customFormat="false" ht="15" hidden="false" customHeight="false" outlineLevel="0" collapsed="false">
      <c r="B15" s="76" t="s">
        <v>168</v>
      </c>
    </row>
    <row r="16" customFormat="false" ht="15" hidden="false" customHeight="false" outlineLevel="0" collapsed="false">
      <c r="B16" s="76" t="s">
        <v>169</v>
      </c>
    </row>
    <row r="17" customFormat="false" ht="15" hidden="false" customHeight="false" outlineLevel="0" collapsed="false">
      <c r="B17" s="76" t="s">
        <v>170</v>
      </c>
    </row>
    <row r="18" customFormat="false" ht="15" hidden="false" customHeight="false" outlineLevel="0" collapsed="false">
      <c r="B18" s="76" t="s">
        <v>171</v>
      </c>
    </row>
    <row r="19" customFormat="false" ht="15" hidden="false" customHeight="false" outlineLevel="0" collapsed="false">
      <c r="B19" s="76" t="s">
        <v>172</v>
      </c>
    </row>
    <row r="20" customFormat="false" ht="15" hidden="false" customHeight="false" outlineLevel="0" collapsed="false">
      <c r="B20" s="76" t="s">
        <v>173</v>
      </c>
    </row>
    <row r="21" customFormat="false" ht="25.5" hidden="false" customHeight="true" outlineLevel="0" collapsed="false">
      <c r="B21" s="75" t="s">
        <v>174</v>
      </c>
    </row>
    <row r="22" customFormat="false" ht="15" hidden="false" customHeight="false" outlineLevel="0" collapsed="false">
      <c r="B22" s="76" t="s">
        <v>175</v>
      </c>
    </row>
    <row r="23" customFormat="false" ht="28.35" hidden="false" customHeight="false" outlineLevel="0" collapsed="false">
      <c r="B23" s="76" t="s">
        <v>176</v>
      </c>
    </row>
    <row r="24" customFormat="false" ht="15" hidden="false" customHeight="false" outlineLevel="0" collapsed="false">
      <c r="B24" s="76" t="s">
        <v>177</v>
      </c>
    </row>
    <row r="25" customFormat="false" ht="15" hidden="false" customHeight="false" outlineLevel="0" collapsed="false">
      <c r="B25" s="76" t="s">
        <v>178</v>
      </c>
    </row>
    <row r="26" customFormat="false" ht="25.5" hidden="false" customHeight="true" outlineLevel="0" collapsed="false">
      <c r="B26" s="75" t="s">
        <v>179</v>
      </c>
    </row>
    <row r="27" customFormat="false" ht="15" hidden="false" customHeight="false" outlineLevel="0" collapsed="false">
      <c r="B27" s="76" t="s">
        <v>180</v>
      </c>
    </row>
    <row r="28" customFormat="false" ht="15" hidden="false" customHeight="false" outlineLevel="0" collapsed="false">
      <c r="B28" s="76" t="s">
        <v>181</v>
      </c>
    </row>
    <row r="29" customFormat="false" ht="15" hidden="false" customHeight="false" outlineLevel="0" collapsed="false">
      <c r="B29" s="76" t="s">
        <v>182</v>
      </c>
    </row>
    <row r="30" customFormat="false" ht="25.5" hidden="false" customHeight="true" outlineLevel="0" collapsed="false">
      <c r="B30" s="75" t="s">
        <v>183</v>
      </c>
    </row>
    <row r="31" customFormat="false" ht="15" hidden="false" customHeight="false" outlineLevel="0" collapsed="false">
      <c r="B31" s="76" t="s">
        <v>184</v>
      </c>
    </row>
    <row r="32" customFormat="false" ht="15" hidden="false" customHeight="false" outlineLevel="0" collapsed="false">
      <c r="B32" s="76" t="s">
        <v>185</v>
      </c>
    </row>
    <row r="33" customFormat="false" ht="15" hidden="false" customHeight="false" outlineLevel="0" collapsed="false">
      <c r="B33" s="76" t="s">
        <v>186</v>
      </c>
    </row>
    <row r="34" customFormat="false" ht="15" hidden="false" customHeight="false" outlineLevel="0" collapsed="false">
      <c r="B34" s="76" t="s">
        <v>187</v>
      </c>
    </row>
    <row r="35" customFormat="false" ht="15" hidden="false" customHeight="false" outlineLevel="0" collapsed="false">
      <c r="B35" s="7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openpyxl</dc:creator>
  <dc:description/>
  <dc:language>en-US</dc:language>
  <cp:lastModifiedBy>春暖花开</cp:lastModifiedBy>
  <dcterms:modified xsi:type="dcterms:W3CDTF">2026-09-24T13:16:34Z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51E8D05976A14D169B07C55578C5141C_13</vt:lpwstr>
  </property>
  <property fmtid="{D5CDD505-2E9C-101B-9397-08002B2CF9AE}" pid="4" name="KSOProductBuildVer">
    <vt:lpwstr>2052-12.1.0.28505</vt:lpwstr>
  </property>
</Properties>
</file>